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66" documentId="13_ncr:1_{0A45857B-13F6-41B6-B00F-2441B2625ED4}" xr6:coauthVersionLast="47" xr6:coauthVersionMax="47" xr10:uidLastSave="{4C0A690C-6436-43DB-AD2D-C5148D84C32A}"/>
  <bookViews>
    <workbookView xWindow="-120" yWindow="-120" windowWidth="29040" windowHeight="15720" xr2:uid="{00000000-000D-0000-FFFF-FFFF00000000}"/>
  </bookViews>
  <sheets>
    <sheet name="IFCポータル_概算見積（内部用）" sheetId="15" r:id="rId1"/>
    <sheet name="IFCポータル_概算見積（顧客提出用）" sheetId="13" r:id="rId2"/>
    <sheet name="スケジュール概算" sheetId="14" r:id="rId3"/>
  </sheets>
  <definedNames>
    <definedName name="_xlnm.Print_Area" localSheetId="1">'IFCポータル_概算見積（顧客提出用）'!$A$1:$E$18</definedName>
    <definedName name="_xlnm.Print_Titles" localSheetId="1">'IFCポータル_概算見積（顧客提出用）'!$1:$2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5" i="15" l="1"/>
  <c r="S4" i="15"/>
  <c r="F3" i="14"/>
  <c r="R4" i="14" s="1"/>
  <c r="G3" i="14"/>
  <c r="R5" i="14" s="1"/>
  <c r="H3" i="14"/>
  <c r="R6" i="14" s="1"/>
  <c r="I3" i="14"/>
  <c r="R7" i="14" s="1"/>
  <c r="J3" i="14"/>
  <c r="R8" i="14" s="1"/>
  <c r="E3" i="14"/>
  <c r="R3" i="14" s="1"/>
  <c r="C3" i="14" l="1"/>
  <c r="B3" i="14"/>
  <c r="A3" i="14"/>
  <c r="A4" i="13" l="1"/>
  <c r="A3" i="13"/>
  <c r="C4" i="13"/>
  <c r="B4" i="13"/>
  <c r="C3" i="13"/>
  <c r="B3" i="13"/>
  <c r="AL4" i="15"/>
  <c r="AM4" i="15"/>
  <c r="AN4" i="15"/>
  <c r="AO4" i="15"/>
  <c r="AP4" i="15"/>
  <c r="AK4" i="15"/>
  <c r="V5" i="15"/>
  <c r="U5" i="15"/>
  <c r="T5" i="15"/>
  <c r="S5" i="15"/>
  <c r="R5" i="15"/>
  <c r="Q5" i="15"/>
  <c r="O5" i="15"/>
  <c r="Q4" i="15"/>
  <c r="V4" i="15"/>
  <c r="U4" i="15"/>
  <c r="T4" i="15"/>
  <c r="R4" i="15"/>
  <c r="AT4" i="15" l="1"/>
  <c r="AU4" i="15"/>
  <c r="AX4" i="15"/>
  <c r="AW4" i="15"/>
  <c r="AV4" i="15"/>
  <c r="AS4" i="15"/>
  <c r="W5" i="15"/>
  <c r="F5" i="15"/>
  <c r="Y5" i="15"/>
  <c r="AA5" i="15" s="1"/>
  <c r="Z5" i="15" l="1"/>
  <c r="AE5" i="15"/>
  <c r="AB5" i="15"/>
  <c r="AC5" i="15" l="1"/>
  <c r="E4" i="13" s="1"/>
  <c r="AF5" i="15"/>
  <c r="AH5" i="15"/>
  <c r="H5" i="15"/>
  <c r="O4" i="15"/>
  <c r="AI5" i="15" l="1"/>
  <c r="F4" i="15"/>
  <c r="K3" i="14" s="1"/>
  <c r="L3" i="14" s="1"/>
  <c r="AQ4" i="15"/>
  <c r="W4" i="15"/>
  <c r="AY4" i="15" s="1"/>
  <c r="Y4" i="15"/>
  <c r="AA4" i="15" s="1"/>
  <c r="Z4" i="15" l="1"/>
  <c r="AB4" i="15"/>
  <c r="AE4" i="15"/>
  <c r="AG4" i="15" s="1"/>
  <c r="AC4" i="15" l="1"/>
  <c r="E3" i="13" s="1"/>
  <c r="H4" i="15"/>
  <c r="M3" i="14" s="1"/>
  <c r="AF4" i="15"/>
  <c r="AH4" i="15"/>
  <c r="AI4" i="15" l="1"/>
</calcChain>
</file>

<file path=xl/sharedStrings.xml><?xml version="1.0" encoding="utf-8"?>
<sst xmlns="http://schemas.openxmlformats.org/spreadsheetml/2006/main" count="123" uniqueCount="69">
  <si>
    <t>人日</t>
    <rPh sb="0" eb="2">
      <t>ニンニチ</t>
    </rPh>
    <phoneticPr fontId="1"/>
  </si>
  <si>
    <t>人月</t>
    <rPh sb="0" eb="2">
      <t>ニンゲツ</t>
    </rPh>
    <phoneticPr fontId="1"/>
  </si>
  <si>
    <t>工程別作業工数合算</t>
    <rPh sb="0" eb="3">
      <t>コウテイベツ</t>
    </rPh>
    <rPh sb="3" eb="7">
      <t>サギョウコウスウ</t>
    </rPh>
    <rPh sb="7" eb="9">
      <t>ガッサン</t>
    </rPh>
    <phoneticPr fontId="1"/>
  </si>
  <si>
    <t>開発</t>
    <rPh sb="0" eb="2">
      <t>カイハツ</t>
    </rPh>
    <phoneticPr fontId="1"/>
  </si>
  <si>
    <t>管理</t>
    <rPh sb="0" eb="2">
      <t>カンリ</t>
    </rPh>
    <phoneticPr fontId="1"/>
  </si>
  <si>
    <t>No.</t>
    <phoneticPr fontId="1"/>
  </si>
  <si>
    <t>案件名</t>
    <rPh sb="0" eb="2">
      <t>アンケン</t>
    </rPh>
    <rPh sb="2" eb="3">
      <t>メイ</t>
    </rPh>
    <phoneticPr fontId="1"/>
  </si>
  <si>
    <t>内容</t>
    <rPh sb="0" eb="2">
      <t>ナイヨウ</t>
    </rPh>
    <phoneticPr fontId="1"/>
  </si>
  <si>
    <t>改修内容</t>
    <rPh sb="0" eb="2">
      <t>カイシュウ</t>
    </rPh>
    <rPh sb="2" eb="4">
      <t>ナイヨウ</t>
    </rPh>
    <phoneticPr fontId="1"/>
  </si>
  <si>
    <t>概算工数
開発工数内訳（人日）</t>
    <rPh sb="0" eb="2">
      <t>ガイサン</t>
    </rPh>
    <rPh sb="2" eb="4">
      <t>コウスウ</t>
    </rPh>
    <rPh sb="5" eb="7">
      <t>カイハツ</t>
    </rPh>
    <rPh sb="7" eb="9">
      <t>コウスウ</t>
    </rPh>
    <rPh sb="9" eb="11">
      <t>ウチワケ</t>
    </rPh>
    <rPh sb="12" eb="14">
      <t>ニンニチ</t>
    </rPh>
    <phoneticPr fontId="1"/>
  </si>
  <si>
    <t>概算工数
開発工数（人日）</t>
    <rPh sb="0" eb="2">
      <t>ガイサン</t>
    </rPh>
    <rPh sb="2" eb="4">
      <t>コウスウ</t>
    </rPh>
    <rPh sb="5" eb="7">
      <t>カイハツ</t>
    </rPh>
    <rPh sb="7" eb="9">
      <t>コウスウ</t>
    </rPh>
    <rPh sb="10" eb="12">
      <t>ニンニチ</t>
    </rPh>
    <phoneticPr fontId="1"/>
  </si>
  <si>
    <t>調査・設計</t>
    <rPh sb="0" eb="2">
      <t>チョウサ</t>
    </rPh>
    <rPh sb="3" eb="5">
      <t>セッケイ</t>
    </rPh>
    <phoneticPr fontId="1"/>
  </si>
  <si>
    <t>IT</t>
    <phoneticPr fontId="1"/>
  </si>
  <si>
    <t>ST</t>
    <phoneticPr fontId="1"/>
  </si>
  <si>
    <t>リリース</t>
    <phoneticPr fontId="1"/>
  </si>
  <si>
    <t>合計</t>
    <rPh sb="0" eb="2">
      <t>ゴウケイ</t>
    </rPh>
    <phoneticPr fontId="1"/>
  </si>
  <si>
    <t>備考</t>
    <rPh sb="0" eb="2">
      <t>ビコウ</t>
    </rPh>
    <phoneticPr fontId="1"/>
  </si>
  <si>
    <t>金額</t>
    <rPh sb="0" eb="2">
      <t>キンガク</t>
    </rPh>
    <phoneticPr fontId="1"/>
  </si>
  <si>
    <t>合計金額</t>
    <rPh sb="0" eb="4">
      <t>ゴウケイキンガク</t>
    </rPh>
    <phoneticPr fontId="1"/>
  </si>
  <si>
    <t>リリース工数、初期流動工数を含んでおります。</t>
    <rPh sb="4" eb="6">
      <t>コウスウ</t>
    </rPh>
    <rPh sb="7" eb="11">
      <t>ショキリュウドウ</t>
    </rPh>
    <rPh sb="11" eb="13">
      <t>コウスウ</t>
    </rPh>
    <rPh sb="14" eb="15">
      <t>フク</t>
    </rPh>
    <phoneticPr fontId="1"/>
  </si>
  <si>
    <t>費用は開発業務と管理業務で算出しております。</t>
    <phoneticPr fontId="1"/>
  </si>
  <si>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1"/>
  </si>
  <si>
    <t>管理工数込み（人日）</t>
    <rPh sb="0" eb="5">
      <t>カンリコウスウコ</t>
    </rPh>
    <phoneticPr fontId="1"/>
  </si>
  <si>
    <t>PG</t>
    <phoneticPr fontId="1"/>
  </si>
  <si>
    <t>完成希望日</t>
    <phoneticPr fontId="1"/>
  </si>
  <si>
    <t>合計</t>
    <phoneticPr fontId="1"/>
  </si>
  <si>
    <t>体制</t>
    <rPh sb="0" eb="2">
      <t>タイセイ</t>
    </rPh>
    <phoneticPr fontId="1"/>
  </si>
  <si>
    <t>髙橋裕輔</t>
    <rPh sb="0" eb="4">
      <t>タカハシユウスケ</t>
    </rPh>
    <phoneticPr fontId="1"/>
  </si>
  <si>
    <t>小計</t>
    <rPh sb="0" eb="2">
      <t>ショウケイ</t>
    </rPh>
    <phoneticPr fontId="1"/>
  </si>
  <si>
    <t>内容</t>
    <phoneticPr fontId="1"/>
  </si>
  <si>
    <t>管理工数込み</t>
    <phoneticPr fontId="1"/>
  </si>
  <si>
    <t>着手</t>
    <rPh sb="0" eb="2">
      <t>チャクシュ</t>
    </rPh>
    <phoneticPr fontId="1"/>
  </si>
  <si>
    <t>(人日)</t>
    <rPh sb="1" eb="3">
      <t>ニンニチ</t>
    </rPh>
    <phoneticPr fontId="1"/>
  </si>
  <si>
    <t>PM</t>
    <phoneticPr fontId="1"/>
  </si>
  <si>
    <t>SE</t>
    <phoneticPr fontId="1"/>
  </si>
  <si>
    <t>IFC生産委託ポータル　下請法対応概算見積</t>
    <rPh sb="3" eb="7">
      <t>セイサンイタク</t>
    </rPh>
    <rPh sb="12" eb="15">
      <t>シタウケホウ</t>
    </rPh>
    <rPh sb="15" eb="17">
      <t>タイオウ</t>
    </rPh>
    <rPh sb="17" eb="21">
      <t>ガイサンミツモリ</t>
    </rPh>
    <phoneticPr fontId="1"/>
  </si>
  <si>
    <t>下請法対応概算見積</t>
    <phoneticPr fontId="1"/>
  </si>
  <si>
    <t>下請法対応機能を追加する。
（自動連携）</t>
    <rPh sb="0" eb="3">
      <t>シタウケホウ</t>
    </rPh>
    <rPh sb="3" eb="5">
      <t>タイオウ</t>
    </rPh>
    <rPh sb="5" eb="7">
      <t>キノウ</t>
    </rPh>
    <rPh sb="8" eb="10">
      <t>ツイカ</t>
    </rPh>
    <rPh sb="15" eb="19">
      <t>ジドウレンケイ</t>
    </rPh>
    <phoneticPr fontId="1"/>
  </si>
  <si>
    <t>UAT</t>
    <phoneticPr fontId="1"/>
  </si>
  <si>
    <t>下請法対応機能を追加する。
（手動連携）</t>
    <rPh sb="0" eb="3">
      <t>シタウケホウ</t>
    </rPh>
    <rPh sb="3" eb="5">
      <t>タイオウ</t>
    </rPh>
    <rPh sb="5" eb="7">
      <t>キノウ</t>
    </rPh>
    <rPh sb="8" eb="10">
      <t>ツイカ</t>
    </rPh>
    <rPh sb="15" eb="17">
      <t>シュドウ</t>
    </rPh>
    <rPh sb="17" eb="19">
      <t>レンケイ</t>
    </rPh>
    <phoneticPr fontId="1"/>
  </si>
  <si>
    <t>PG</t>
  </si>
  <si>
    <t>IT</t>
  </si>
  <si>
    <t>ST</t>
  </si>
  <si>
    <t>UAT</t>
  </si>
  <si>
    <t>リリース</t>
  </si>
  <si>
    <t>契約</t>
    <rPh sb="0" eb="2">
      <t>ケイヤク</t>
    </rPh>
    <phoneticPr fontId="1"/>
  </si>
  <si>
    <t>PJ開始</t>
    <rPh sb="2" eb="4">
      <t>カイシ</t>
    </rPh>
    <phoneticPr fontId="1"/>
  </si>
  <si>
    <t>リリース作業は2人対応といたします。</t>
    <phoneticPr fontId="1"/>
  </si>
  <si>
    <t>5月中のリリースをご希望される場合、ご契約：4/9、プロジェクト開始：4/14が必須条件となります。</t>
    <rPh sb="1" eb="2">
      <t>ガツ</t>
    </rPh>
    <rPh sb="2" eb="3">
      <t>チュウ</t>
    </rPh>
    <rPh sb="10" eb="12">
      <t>キボウ</t>
    </rPh>
    <rPh sb="15" eb="17">
      <t>バアイ</t>
    </rPh>
    <rPh sb="19" eb="21">
      <t>ケイヤク</t>
    </rPh>
    <rPh sb="32" eb="34">
      <t>カイシ</t>
    </rPh>
    <rPh sb="40" eb="44">
      <t>ヒッスジョウケン</t>
    </rPh>
    <phoneticPr fontId="1"/>
  </si>
  <si>
    <t>4月は0.5人月換算、5月は1人月換算</t>
    <rPh sb="1" eb="2">
      <t>ガツ</t>
    </rPh>
    <rPh sb="6" eb="8">
      <t>ニンゲツ</t>
    </rPh>
    <rPh sb="8" eb="10">
      <t>カンサン</t>
    </rPh>
    <rPh sb="12" eb="13">
      <t>ガツ</t>
    </rPh>
    <rPh sb="15" eb="17">
      <t>ニンゲツ</t>
    </rPh>
    <rPh sb="17" eb="19">
      <t>カンサン</t>
    </rPh>
    <phoneticPr fontId="1"/>
  </si>
  <si>
    <t>※上記が対応できない場合、5月の体制が構築できない可能性がございまずのでご了承ください。</t>
    <rPh sb="1" eb="3">
      <t>ジョウキ</t>
    </rPh>
    <rPh sb="4" eb="6">
      <t>タイオウ</t>
    </rPh>
    <rPh sb="10" eb="12">
      <t>バアイ</t>
    </rPh>
    <rPh sb="14" eb="15">
      <t>ガツ</t>
    </rPh>
    <rPh sb="16" eb="18">
      <t>タイセイ</t>
    </rPh>
    <rPh sb="19" eb="21">
      <t>コウチク</t>
    </rPh>
    <rPh sb="25" eb="28">
      <t>カノウセイ</t>
    </rPh>
    <rPh sb="37" eb="39">
      <t>リョウショウ</t>
    </rPh>
    <phoneticPr fontId="1"/>
  </si>
  <si>
    <r>
      <t xml:space="preserve">【生産状況確認表】
　項目追加
　　・子画面表示ボタン項目を追加する
　表示制御
　　・所属、権限により表示制御する
【下請法項目表示子画面】
　・下請法項目表示用子画面作成。要Excel出力ボタン
【下請法項目出力帳票】
　・下請法項目出力用帳票作成。Excelフォーマット
【下請法連携】
　アップロードボタン
　　・自動連携を実装しない場合、ファイルを選択し連携する
　バッチ
　　・KIS四カ月見込システム間のCSV連携バッチを追加
【操作マニュアル】
　・下請法対応についてマニュアル記載（IFC・委託先）
</t>
    </r>
    <r>
      <rPr>
        <b/>
        <sz val="11"/>
        <color rgb="FFFF0000"/>
        <rFont val="游ゴシック"/>
        <family val="3"/>
        <charset val="128"/>
        <scheme val="minor"/>
      </rPr>
      <t>※Excelレイアウト決定・・・4月中期限
※連携NAS・・・開発完了までに情報決定</t>
    </r>
    <rPh sb="1" eb="5">
      <t>セイサンジョウキョウ</t>
    </rPh>
    <rPh sb="5" eb="8">
      <t>カクニンヒョウ</t>
    </rPh>
    <rPh sb="19" eb="22">
      <t>コガメン</t>
    </rPh>
    <rPh sb="22" eb="24">
      <t>ヒョウジ</t>
    </rPh>
    <rPh sb="27" eb="29">
      <t>コウモク</t>
    </rPh>
    <rPh sb="30" eb="32">
      <t>ツイカ</t>
    </rPh>
    <rPh sb="44" eb="46">
      <t>ショゾク</t>
    </rPh>
    <rPh sb="47" eb="49">
      <t>ケンゲン</t>
    </rPh>
    <rPh sb="52" eb="54">
      <t>ヒョウジ</t>
    </rPh>
    <rPh sb="54" eb="56">
      <t>セイギョ</t>
    </rPh>
    <phoneticPr fontId="1"/>
  </si>
  <si>
    <r>
      <t xml:space="preserve">【生産状況確認表】
　項目追加
　　・子画面表示ボタン項目を追加する
　表示制御
　　・所属、権限により表示制御する
【下請法項目表示子画面】
　・下請法項目表示用子画面作成。要Excel出力ボタン
【下請法項目出力帳票】
　・下請法項目出力用帳票作成。Excelフォーマット
【下請法連携】
　バッチ
　　・KIS四カ月見込システム間のCSV連携バッチを追加
　自動連携
　　・下請法連携バッチを定期実行するジョブを設定
【操作マニュアル】
　・下請法対応についてマニュアル記載（IFC・委託先）
</t>
    </r>
    <r>
      <rPr>
        <b/>
        <sz val="11"/>
        <color rgb="FFFF0000"/>
        <rFont val="游ゴシック"/>
        <family val="3"/>
        <charset val="128"/>
        <scheme val="minor"/>
      </rPr>
      <t>※Excelレイアウト決定・・・4月中期限
※連携NAS・・・開発完了までに情報決定</t>
    </r>
    <rPh sb="1" eb="5">
      <t>セイサンジョウキョウ</t>
    </rPh>
    <rPh sb="5" eb="8">
      <t>カクニンヒョウ</t>
    </rPh>
    <rPh sb="19" eb="22">
      <t>コガメン</t>
    </rPh>
    <rPh sb="22" eb="24">
      <t>ヒョウジ</t>
    </rPh>
    <rPh sb="27" eb="29">
      <t>コウモク</t>
    </rPh>
    <rPh sb="30" eb="32">
      <t>ツイカ</t>
    </rPh>
    <rPh sb="44" eb="46">
      <t>ショゾク</t>
    </rPh>
    <rPh sb="47" eb="49">
      <t>ケンゲン</t>
    </rPh>
    <rPh sb="52" eb="54">
      <t>ヒョウジ</t>
    </rPh>
    <rPh sb="54" eb="56">
      <t>セイギョ</t>
    </rPh>
    <rPh sb="262" eb="264">
      <t>ケッテイ</t>
    </rPh>
    <rPh sb="268" eb="270">
      <t>ガツチュウ</t>
    </rPh>
    <rPh sb="270" eb="272">
      <t>キゲン</t>
    </rPh>
    <rPh sb="274" eb="276">
      <t>レンケイ</t>
    </rPh>
    <rPh sb="282" eb="286">
      <t>カイハツカンリョウ</t>
    </rPh>
    <rPh sb="289" eb="291">
      <t>ジョウホウ</t>
    </rPh>
    <rPh sb="291" eb="293">
      <t>ケッテイ</t>
    </rPh>
    <phoneticPr fontId="1"/>
  </si>
  <si>
    <t>連携NASの準備は見積に含まれません。</t>
    <rPh sb="0" eb="2">
      <t>レンケイ</t>
    </rPh>
    <rPh sb="6" eb="8">
      <t>ジュンビ</t>
    </rPh>
    <rPh sb="9" eb="11">
      <t>ミツモリ</t>
    </rPh>
    <rPh sb="12" eb="13">
      <t>フク</t>
    </rPh>
    <phoneticPr fontId="1"/>
  </si>
  <si>
    <r>
      <t xml:space="preserve">【生産状況確認表】
　項目追加
　　・子画面表示ボタン項目を追加する
　表示制御
　　・所属、権限により表示制御する
【下請法項目表示子画面】
　・下請法項目表示用子画面作成。要Excel出力ボタン
【下請法項目出力帳票】
　・下請法項目出力用帳票作成。Excelフォーマット
【下請法連携】
　バッチ
　　・KIS四カ月見込システム間のCSV連携バッチを追加
　自動連携
　　・下請法連携バッチを定期実行するジョブを設定
【操作マニュアル】
　・下請法対応についてマニュアル記載（IFC・委託先）
</t>
    </r>
    <r>
      <rPr>
        <b/>
        <sz val="11"/>
        <color rgb="FFFF0000"/>
        <rFont val="游ゴシック"/>
        <family val="3"/>
        <charset val="128"/>
        <scheme val="minor"/>
      </rPr>
      <t>※Excelレイアウト決定・・・4月中期限
※連携NAS・・・開発完了までに情報決定</t>
    </r>
    <phoneticPr fontId="1"/>
  </si>
  <si>
    <r>
      <t xml:space="preserve">【生産状況確認表】
　項目追加
　　・子画面表示ボタン項目を追加する
　表示制御
　　・所属、権限により表示制御する
【下請法項目表示子画面】
　・下請法項目表示用子画面作成。要Excel出力ボタン
【下請法項目出力帳票】
　・下請法項目出力用帳票作成。Excelフォーマット
【下請法連携】
　アップロードボタン
　　・自動連携を実装しない場合、ファイルを選択し連携する
　バッチ
　　・KIS四カ月見込システム間のCSV連携バッチを追加
【操作マニュアル】
　・下請法対応についてマニュアル記載（IFC・委託先）
</t>
    </r>
    <r>
      <rPr>
        <b/>
        <sz val="11"/>
        <color rgb="FFFF0000"/>
        <rFont val="游ゴシック"/>
        <family val="3"/>
        <charset val="128"/>
        <scheme val="minor"/>
      </rPr>
      <t>※Excelレイアウト決定・・・4月中期限
※連携NAS・・・開発完了までに情報決定</t>
    </r>
    <phoneticPr fontId="1"/>
  </si>
  <si>
    <t>現地等遠隔地での作業が発生した場合は、交通費・宿泊費等の必要経費を別途ご請求させて頂きます。</t>
    <phoneticPr fontId="1"/>
  </si>
  <si>
    <t>見積の前提条件</t>
    <rPh sb="3" eb="5">
      <t>ゼンテイ</t>
    </rPh>
    <rPh sb="5" eb="7">
      <t>ジョウケン</t>
    </rPh>
    <phoneticPr fontId="1"/>
  </si>
  <si>
    <t>見積の工数には、ハードウェア・ミドルウェア等にかかる費用は含まれておりません。</t>
  </si>
  <si>
    <t>費用は開発業務と管理業務別々に算出しております。</t>
  </si>
  <si>
    <t>作業は弊社千葉事業所（在宅勤務を含む）で行うことを前提としています。</t>
  </si>
  <si>
    <t>遠隔地での作業が発生した場合、工数を変更する可能性があります。</t>
  </si>
  <si>
    <t>遠隔地での作業が発生した場合は、交通費や宿泊費等の必要経費を別途請求させていただきます。</t>
  </si>
  <si>
    <t>見積もりの工数にはハードウェアやミドルウェア等にかかる費用は含まれておりません。</t>
  </si>
  <si>
    <t>リリース作業は2名で対応いたします。なお、連携NASの準備は見積もりに含まれません。</t>
  </si>
  <si>
    <t>プロジェクト期間は1.5か月から2か月を想定しています。&lt;例&gt;5月開始の場合は、6月後半にリリースを予定しております。</t>
  </si>
  <si>
    <t>5月開始をご希望される場合は、契約を4月23日までに締結できるようご協力をお願いいたします。</t>
  </si>
  <si>
    <t>上記の対応が難しい場合、5月以降に現在の担当者の空きが発生し、別案件対応をお願いする可能性がございます。この場合、ご希望のタイミングでの案件開始が難しくなる場合がありますので、ご了承ください。</t>
    <rPh sb="34" eb="36">
      <t>タイオウ</t>
    </rPh>
    <rPh sb="38" eb="39">
      <t>ネガ</t>
    </rPh>
    <phoneticPr fontId="1"/>
  </si>
  <si>
    <t>改修案件について、初期流動工数は含まれておりません。なお、問い合わせ対応は保守工数で処理する想定です。</t>
    <rPh sb="46" eb="48">
      <t>ソウテイ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</si>
</sst>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0_ "/>
    <numFmt numFmtId="177" formatCode="0.0"/>
    <numFmt numFmtId="178" formatCode="&quot;¥&quot;#,##0_);[Red]\(&quot;¥&quot;#,##0\)"/>
    <numFmt numFmtId="179" formatCode="#,##0.00_ "/>
    <numFmt numFmtId="180" formatCode="m/d;@"/>
  </numFmts>
  <fonts count="10"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0"/>
      <name val="游ゴシック"/>
      <family val="3"/>
      <charset val="128"/>
      <scheme val="minor"/>
    </font>
    <font>
      <b/>
      <sz val="14"/>
      <color theme="1"/>
      <name val="游ゴシック"/>
      <family val="3"/>
      <charset val="128"/>
      <scheme val="minor"/>
    </font>
    <font>
      <b/>
      <sz val="11"/>
      <color theme="1"/>
      <name val="游ゴシック"/>
      <family val="3"/>
      <charset val="128"/>
      <scheme val="minor"/>
    </font>
    <font>
      <sz val="11"/>
      <color theme="1"/>
      <name val="游ゴシック"/>
      <family val="2"/>
      <charset val="128"/>
      <scheme val="minor"/>
    </font>
    <font>
      <b/>
      <sz val="10"/>
      <color theme="0"/>
      <name val="游ゴシック"/>
      <family val="3"/>
      <charset val="128"/>
      <scheme val="minor"/>
    </font>
    <font>
      <b/>
      <sz val="9"/>
      <color theme="0"/>
      <name val="游ゴシック"/>
      <family val="3"/>
      <charset val="128"/>
      <scheme val="minor"/>
    </font>
    <font>
      <b/>
      <sz val="11"/>
      <color rgb="FFFF0000"/>
      <name val="游ゴシック"/>
      <family val="3"/>
      <charset val="128"/>
      <scheme val="minor"/>
    </font>
  </fonts>
  <fills count="6">
    <fill>
      <patternFill patternType="none"/>
    </fill>
    <fill>
      <patternFill patternType="gray125"/>
    </fill>
    <fill>
      <patternFill patternType="solid">
        <fgColor theme="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alignment vertical="center"/>
    </xf>
    <xf numFmtId="0" fontId="2" fillId="0" borderId="0">
      <alignment vertical="center"/>
    </xf>
    <xf numFmtId="6" fontId="6" fillId="0" borderId="0" applyFont="0" applyFill="0" applyBorder="0" applyAlignment="0" applyProtection="0">
      <alignment vertical="center"/>
    </xf>
  </cellStyleXfs>
  <cellXfs count="72">
    <xf numFmtId="0" fontId="0" fillId="0" borderId="0" xfId="0">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vertical="top" wrapText="1"/>
    </xf>
    <xf numFmtId="176" fontId="0" fillId="0" borderId="0" xfId="0" applyNumberFormat="1" applyAlignment="1">
      <alignment vertical="top"/>
    </xf>
    <xf numFmtId="0" fontId="4" fillId="0" borderId="0" xfId="0" applyFont="1" applyAlignment="1">
      <alignment horizontal="left" vertical="top"/>
    </xf>
    <xf numFmtId="0" fontId="0" fillId="0" borderId="2" xfId="0" applyBorder="1" applyAlignment="1">
      <alignment horizontal="lef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vertical="top"/>
    </xf>
    <xf numFmtId="0" fontId="0" fillId="0" borderId="6" xfId="0" applyBorder="1" applyAlignment="1">
      <alignment vertical="top" wrapText="1"/>
    </xf>
    <xf numFmtId="176" fontId="0" fillId="0" borderId="7" xfId="0" applyNumberFormat="1" applyBorder="1" applyAlignment="1">
      <alignment vertical="top"/>
    </xf>
    <xf numFmtId="176" fontId="0" fillId="0" borderId="8" xfId="0" applyNumberFormat="1" applyBorder="1" applyAlignment="1">
      <alignment vertical="top"/>
    </xf>
    <xf numFmtId="176" fontId="0" fillId="0" borderId="9" xfId="0" applyNumberFormat="1" applyBorder="1" applyAlignment="1">
      <alignment vertical="top"/>
    </xf>
    <xf numFmtId="176" fontId="3" fillId="2" borderId="1" xfId="0" applyNumberFormat="1"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vertical="top"/>
    </xf>
    <xf numFmtId="176" fontId="3" fillId="2" borderId="12" xfId="0" applyNumberFormat="1" applyFont="1" applyFill="1" applyBorder="1" applyAlignment="1">
      <alignment horizontal="center" vertical="top" wrapText="1"/>
    </xf>
    <xf numFmtId="176" fontId="3" fillId="0" borderId="0" xfId="0" applyNumberFormat="1" applyFont="1" applyAlignment="1">
      <alignment horizontal="center" vertical="top" wrapText="1"/>
    </xf>
    <xf numFmtId="0" fontId="5" fillId="0" borderId="0" xfId="0" applyFont="1" applyAlignment="1">
      <alignment horizontal="center" vertical="center"/>
    </xf>
    <xf numFmtId="178" fontId="0" fillId="0" borderId="1" xfId="0" applyNumberFormat="1" applyBorder="1" applyAlignment="1">
      <alignment vertical="top"/>
    </xf>
    <xf numFmtId="176" fontId="0" fillId="0" borderId="1" xfId="0" applyNumberFormat="1" applyBorder="1" applyAlignment="1">
      <alignment vertical="top"/>
    </xf>
    <xf numFmtId="6" fontId="0" fillId="0" borderId="10" xfId="2" applyFont="1" applyBorder="1" applyAlignment="1">
      <alignment horizontal="right" vertical="top" wrapText="1"/>
    </xf>
    <xf numFmtId="176" fontId="0" fillId="0" borderId="0" xfId="0" applyNumberFormat="1">
      <alignment vertical="center"/>
    </xf>
    <xf numFmtId="177" fontId="0" fillId="0" borderId="10" xfId="0" applyNumberFormat="1" applyBorder="1" applyAlignment="1">
      <alignment vertical="top" wrapText="1"/>
    </xf>
    <xf numFmtId="177" fontId="0" fillId="0" borderId="11" xfId="0" applyNumberFormat="1" applyBorder="1" applyAlignment="1">
      <alignment vertical="top" wrapText="1"/>
    </xf>
    <xf numFmtId="0" fontId="2" fillId="0" borderId="0" xfId="0" applyFont="1" applyAlignment="1">
      <alignment vertical="top" wrapText="1"/>
    </xf>
    <xf numFmtId="14" fontId="0" fillId="0" borderId="0" xfId="0" applyNumberFormat="1" applyAlignment="1">
      <alignment vertical="top" wrapText="1"/>
    </xf>
    <xf numFmtId="177" fontId="0" fillId="0" borderId="0" xfId="0" applyNumberFormat="1" applyAlignment="1">
      <alignment vertical="top" wrapText="1"/>
    </xf>
    <xf numFmtId="180" fontId="3" fillId="2" borderId="1" xfId="0" applyNumberFormat="1" applyFont="1" applyFill="1" applyBorder="1" applyAlignment="1">
      <alignment vertical="top" wrapText="1"/>
    </xf>
    <xf numFmtId="0" fontId="2" fillId="0" borderId="1" xfId="0" applyFont="1" applyBorder="1" applyAlignment="1">
      <alignment vertical="top" wrapText="1"/>
    </xf>
    <xf numFmtId="176" fontId="0" fillId="0" borderId="11" xfId="0" applyNumberFormat="1" applyBorder="1" applyAlignment="1">
      <alignment horizontal="right" vertical="top"/>
    </xf>
    <xf numFmtId="176" fontId="0" fillId="0" borderId="1" xfId="0" applyNumberFormat="1" applyBorder="1" applyAlignment="1">
      <alignment horizontal="right" vertical="top"/>
    </xf>
    <xf numFmtId="177" fontId="0" fillId="0" borderId="0" xfId="0" applyNumberFormat="1" applyAlignment="1">
      <alignment vertical="top"/>
    </xf>
    <xf numFmtId="179" fontId="0" fillId="0" borderId="1" xfId="0" applyNumberFormat="1" applyBorder="1" applyAlignment="1">
      <alignment horizontal="right" vertical="top"/>
    </xf>
    <xf numFmtId="49" fontId="0" fillId="0" borderId="0" xfId="0" applyNumberFormat="1" applyAlignment="1">
      <alignment horizontal="right" vertical="top"/>
    </xf>
    <xf numFmtId="14" fontId="0" fillId="0" borderId="1" xfId="0" quotePrefix="1" applyNumberFormat="1" applyBorder="1" applyAlignment="1">
      <alignment vertical="top" wrapText="1"/>
    </xf>
    <xf numFmtId="177" fontId="0" fillId="0" borderId="1" xfId="0" applyNumberFormat="1" applyBorder="1" applyAlignment="1">
      <alignment vertical="top"/>
    </xf>
    <xf numFmtId="6" fontId="0" fillId="0" borderId="1" xfId="2" applyFont="1" applyFill="1" applyBorder="1" applyAlignment="1">
      <alignment vertical="top"/>
    </xf>
    <xf numFmtId="0" fontId="0" fillId="0" borderId="1" xfId="0" applyBorder="1" applyAlignment="1">
      <alignment horizontal="left" vertical="top"/>
    </xf>
    <xf numFmtId="14" fontId="0" fillId="0" borderId="10" xfId="0" applyNumberFormat="1" applyBorder="1" applyAlignment="1">
      <alignment vertical="top" wrapText="1"/>
    </xf>
    <xf numFmtId="6" fontId="0" fillId="0" borderId="1" xfId="2" applyFont="1" applyBorder="1" applyAlignment="1">
      <alignment horizontal="right" vertical="top" wrapText="1"/>
    </xf>
    <xf numFmtId="176" fontId="0" fillId="0" borderId="10" xfId="0" applyNumberFormat="1" applyBorder="1" applyAlignment="1">
      <alignment vertical="top"/>
    </xf>
    <xf numFmtId="180" fontId="3" fillId="5" borderId="1" xfId="0" applyNumberFormat="1" applyFont="1" applyFill="1" applyBorder="1" applyAlignment="1">
      <alignment vertical="top" wrapText="1"/>
    </xf>
    <xf numFmtId="0" fontId="7" fillId="2" borderId="1" xfId="0" applyFont="1" applyFill="1" applyBorder="1" applyAlignment="1">
      <alignment vertical="top" wrapText="1"/>
    </xf>
    <xf numFmtId="0" fontId="8" fillId="2" borderId="1" xfId="0" applyFont="1" applyFill="1" applyBorder="1" applyAlignment="1">
      <alignment vertical="top" wrapText="1"/>
    </xf>
    <xf numFmtId="14" fontId="0" fillId="0" borderId="1" xfId="0" applyNumberFormat="1" applyBorder="1" applyAlignment="1">
      <alignment vertical="top" wrapText="1"/>
    </xf>
    <xf numFmtId="0" fontId="0" fillId="0" borderId="1" xfId="0" applyBorder="1">
      <alignment vertical="center"/>
    </xf>
    <xf numFmtId="14" fontId="0" fillId="0" borderId="13" xfId="0" applyNumberFormat="1" applyBorder="1" applyAlignment="1">
      <alignment vertical="top" wrapText="1"/>
    </xf>
    <xf numFmtId="0" fontId="0" fillId="0" borderId="13" xfId="0" applyBorder="1">
      <alignment vertical="center"/>
    </xf>
    <xf numFmtId="0" fontId="0" fillId="0" borderId="11" xfId="0" applyBorder="1">
      <alignment vertical="center"/>
    </xf>
    <xf numFmtId="177" fontId="7" fillId="2" borderId="1" xfId="0" applyNumberFormat="1" applyFont="1" applyFill="1" applyBorder="1" applyAlignment="1">
      <alignment vertical="top" wrapText="1"/>
    </xf>
    <xf numFmtId="14" fontId="0" fillId="4" borderId="1" xfId="0" applyNumberFormat="1" applyFill="1" applyBorder="1" applyAlignment="1">
      <alignment vertical="top" wrapText="1"/>
    </xf>
    <xf numFmtId="0" fontId="0" fillId="4" borderId="1" xfId="0" applyFill="1" applyBorder="1">
      <alignment vertical="center"/>
    </xf>
    <xf numFmtId="0" fontId="9" fillId="0" borderId="0" xfId="0" applyFont="1" applyAlignment="1">
      <alignment vertical="top"/>
    </xf>
    <xf numFmtId="0" fontId="5" fillId="4" borderId="1" xfId="0" applyFont="1" applyFill="1" applyBorder="1" applyAlignment="1">
      <alignment horizontal="center" vertical="top"/>
    </xf>
    <xf numFmtId="0" fontId="5" fillId="3" borderId="1" xfId="0" applyFont="1" applyFill="1" applyBorder="1" applyAlignment="1">
      <alignment horizontal="center" vertical="top"/>
    </xf>
    <xf numFmtId="0" fontId="0" fillId="0" borderId="1" xfId="0" applyBorder="1" applyAlignment="1">
      <alignment horizontal="center" vertical="top"/>
    </xf>
    <xf numFmtId="0" fontId="5" fillId="4" borderId="11" xfId="0" applyFont="1" applyFill="1" applyBorder="1" applyAlignment="1">
      <alignment horizontal="center" vertical="top"/>
    </xf>
    <xf numFmtId="0" fontId="5" fillId="3" borderId="11" xfId="0" applyFont="1" applyFill="1" applyBorder="1" applyAlignment="1">
      <alignment horizontal="center" vertical="top"/>
    </xf>
    <xf numFmtId="0" fontId="0" fillId="0" borderId="10" xfId="0" applyBorder="1" applyAlignment="1">
      <alignment vertical="top"/>
    </xf>
    <xf numFmtId="0" fontId="0" fillId="0" borderId="11" xfId="0" applyBorder="1" applyAlignment="1">
      <alignment vertical="top"/>
    </xf>
    <xf numFmtId="0" fontId="0" fillId="0" borderId="10" xfId="0" applyBorder="1" applyAlignment="1">
      <alignment vertical="top" wrapText="1"/>
    </xf>
    <xf numFmtId="0" fontId="0" fillId="0" borderId="11" xfId="0"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14" fontId="0" fillId="0" borderId="10" xfId="0" applyNumberFormat="1" applyBorder="1" applyAlignment="1">
      <alignment horizontal="center" vertical="top" wrapText="1"/>
    </xf>
    <xf numFmtId="14" fontId="0" fillId="0" borderId="11" xfId="0" applyNumberFormat="1" applyBorder="1" applyAlignment="1">
      <alignment horizontal="center" vertical="top" wrapText="1"/>
    </xf>
  </cellXfs>
  <cellStyles count="3">
    <cellStyle name="通貨" xfId="2" builtinId="7"/>
    <cellStyle name="標準" xfId="0" builtinId="0"/>
    <cellStyle name="標準 3" xfId="1" xr:uid="{00000000-0005-0000-0000-00000100000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31</xdr:col>
      <xdr:colOff>3174</xdr:colOff>
      <xdr:row>2</xdr:row>
      <xdr:rowOff>0</xdr:rowOff>
    </xdr:from>
    <xdr:to>
      <xdr:col>36</xdr:col>
      <xdr:colOff>3174</xdr:colOff>
      <xdr:row>3</xdr:row>
      <xdr:rowOff>0</xdr:rowOff>
    </xdr:to>
    <xdr:sp macro="" textlink="">
      <xdr:nvSpPr>
        <xdr:cNvPr id="2" name="正方形/長方形 1">
          <a:extLst>
            <a:ext uri="{FF2B5EF4-FFF2-40B4-BE49-F238E27FC236}">
              <a16:creationId xmlns:a16="http://schemas.microsoft.com/office/drawing/2014/main" id="{5C97A52D-69F7-405E-8971-21DE41FD8178}"/>
            </a:ext>
          </a:extLst>
        </xdr:cNvPr>
        <xdr:cNvSpPr/>
      </xdr:nvSpPr>
      <xdr:spPr>
        <a:xfrm>
          <a:off x="18700749" y="647700"/>
          <a:ext cx="23336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0</xdr:colOff>
      <xdr:row>3</xdr:row>
      <xdr:rowOff>0</xdr:rowOff>
    </xdr:from>
    <xdr:to>
      <xdr:col>50</xdr:col>
      <xdr:colOff>0</xdr:colOff>
      <xdr:row>4</xdr:row>
      <xdr:rowOff>0</xdr:rowOff>
    </xdr:to>
    <xdr:sp macro="" textlink="">
      <xdr:nvSpPr>
        <xdr:cNvPr id="4" name="正方形/長方形 3">
          <a:extLst>
            <a:ext uri="{FF2B5EF4-FFF2-40B4-BE49-F238E27FC236}">
              <a16:creationId xmlns:a16="http://schemas.microsoft.com/office/drawing/2014/main" id="{CF4D1D23-5389-2A38-7B81-EAC707AA4F1D}"/>
            </a:ext>
          </a:extLst>
        </xdr:cNvPr>
        <xdr:cNvSpPr/>
      </xdr:nvSpPr>
      <xdr:spPr>
        <a:xfrm>
          <a:off x="27098625" y="876300"/>
          <a:ext cx="4667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0</xdr:colOff>
      <xdr:row>6</xdr:row>
      <xdr:rowOff>0</xdr:rowOff>
    </xdr:from>
    <xdr:to>
      <xdr:col>77</xdr:col>
      <xdr:colOff>0</xdr:colOff>
      <xdr:row>7</xdr:row>
      <xdr:rowOff>0</xdr:rowOff>
    </xdr:to>
    <xdr:sp macro="" textlink="">
      <xdr:nvSpPr>
        <xdr:cNvPr id="11" name="正方形/長方形 10">
          <a:extLst>
            <a:ext uri="{FF2B5EF4-FFF2-40B4-BE49-F238E27FC236}">
              <a16:creationId xmlns:a16="http://schemas.microsoft.com/office/drawing/2014/main" id="{E7143944-8A69-9509-C40F-7D4EE3EC9419}"/>
            </a:ext>
          </a:extLst>
        </xdr:cNvPr>
        <xdr:cNvSpPr/>
      </xdr:nvSpPr>
      <xdr:spPr>
        <a:xfrm>
          <a:off x="38766750" y="1562100"/>
          <a:ext cx="140017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xdr:colOff>
      <xdr:row>3</xdr:row>
      <xdr:rowOff>0</xdr:rowOff>
    </xdr:from>
    <xdr:to>
      <xdr:col>63</xdr:col>
      <xdr:colOff>1</xdr:colOff>
      <xdr:row>4</xdr:row>
      <xdr:rowOff>0</xdr:rowOff>
    </xdr:to>
    <xdr:sp macro="" textlink="">
      <xdr:nvSpPr>
        <xdr:cNvPr id="12" name="正方形/長方形 11">
          <a:extLst>
            <a:ext uri="{FF2B5EF4-FFF2-40B4-BE49-F238E27FC236}">
              <a16:creationId xmlns:a16="http://schemas.microsoft.com/office/drawing/2014/main" id="{1BDFC181-0BED-903C-2883-F0EB412D2CD4}"/>
            </a:ext>
          </a:extLst>
        </xdr:cNvPr>
        <xdr:cNvSpPr/>
      </xdr:nvSpPr>
      <xdr:spPr>
        <a:xfrm>
          <a:off x="31765876" y="876300"/>
          <a:ext cx="186690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xdr:colOff>
      <xdr:row>2</xdr:row>
      <xdr:rowOff>0</xdr:rowOff>
    </xdr:from>
    <xdr:to>
      <xdr:col>49</xdr:col>
      <xdr:colOff>0</xdr:colOff>
      <xdr:row>3</xdr:row>
      <xdr:rowOff>0</xdr:rowOff>
    </xdr:to>
    <xdr:sp macro="" textlink="">
      <xdr:nvSpPr>
        <xdr:cNvPr id="13" name="正方形/長方形 12">
          <a:extLst>
            <a:ext uri="{FF2B5EF4-FFF2-40B4-BE49-F238E27FC236}">
              <a16:creationId xmlns:a16="http://schemas.microsoft.com/office/drawing/2014/main" id="{14C53971-1DF9-D619-E2F5-F0F31638BDF9}"/>
            </a:ext>
          </a:extLst>
        </xdr:cNvPr>
        <xdr:cNvSpPr/>
      </xdr:nvSpPr>
      <xdr:spPr>
        <a:xfrm>
          <a:off x="26165176" y="647700"/>
          <a:ext cx="933449"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xdr:colOff>
      <xdr:row>3</xdr:row>
      <xdr:rowOff>0</xdr:rowOff>
    </xdr:from>
    <xdr:to>
      <xdr:col>57</xdr:col>
      <xdr:colOff>0</xdr:colOff>
      <xdr:row>4</xdr:row>
      <xdr:rowOff>0</xdr:rowOff>
    </xdr:to>
    <xdr:sp macro="" textlink="">
      <xdr:nvSpPr>
        <xdr:cNvPr id="14" name="正方形/長方形 13">
          <a:extLst>
            <a:ext uri="{FF2B5EF4-FFF2-40B4-BE49-F238E27FC236}">
              <a16:creationId xmlns:a16="http://schemas.microsoft.com/office/drawing/2014/main" id="{3E3E5FAB-2163-7709-41A2-66B8CB1EE115}"/>
            </a:ext>
          </a:extLst>
        </xdr:cNvPr>
        <xdr:cNvSpPr/>
      </xdr:nvSpPr>
      <xdr:spPr>
        <a:xfrm>
          <a:off x="29432251" y="876300"/>
          <a:ext cx="1400174"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3175</xdr:colOff>
      <xdr:row>4</xdr:row>
      <xdr:rowOff>0</xdr:rowOff>
    </xdr:from>
    <xdr:to>
      <xdr:col>70</xdr:col>
      <xdr:colOff>1</xdr:colOff>
      <xdr:row>5</xdr:row>
      <xdr:rowOff>0</xdr:rowOff>
    </xdr:to>
    <xdr:sp macro="" textlink="">
      <xdr:nvSpPr>
        <xdr:cNvPr id="16" name="正方形/長方形 15">
          <a:extLst>
            <a:ext uri="{FF2B5EF4-FFF2-40B4-BE49-F238E27FC236}">
              <a16:creationId xmlns:a16="http://schemas.microsoft.com/office/drawing/2014/main" id="{CBA5AB49-408D-5FD0-6E2D-DB3B2A92F333}"/>
            </a:ext>
          </a:extLst>
        </xdr:cNvPr>
        <xdr:cNvSpPr/>
      </xdr:nvSpPr>
      <xdr:spPr>
        <a:xfrm>
          <a:off x="35036125" y="1104900"/>
          <a:ext cx="1863726"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0</xdr:colOff>
      <xdr:row>5</xdr:row>
      <xdr:rowOff>0</xdr:rowOff>
    </xdr:from>
    <xdr:to>
      <xdr:col>74</xdr:col>
      <xdr:colOff>0</xdr:colOff>
      <xdr:row>6</xdr:row>
      <xdr:rowOff>0</xdr:rowOff>
    </xdr:to>
    <xdr:sp macro="" textlink="">
      <xdr:nvSpPr>
        <xdr:cNvPr id="17" name="正方形/長方形 16">
          <a:extLst>
            <a:ext uri="{FF2B5EF4-FFF2-40B4-BE49-F238E27FC236}">
              <a16:creationId xmlns:a16="http://schemas.microsoft.com/office/drawing/2014/main" id="{1B658DEA-FD24-9811-46C9-234E11EA460F}"/>
            </a:ext>
          </a:extLst>
        </xdr:cNvPr>
        <xdr:cNvSpPr/>
      </xdr:nvSpPr>
      <xdr:spPr>
        <a:xfrm>
          <a:off x="38300025" y="1333500"/>
          <a:ext cx="4667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0</xdr:colOff>
      <xdr:row>7</xdr:row>
      <xdr:rowOff>0</xdr:rowOff>
    </xdr:from>
    <xdr:to>
      <xdr:col>78</xdr:col>
      <xdr:colOff>0</xdr:colOff>
      <xdr:row>8</xdr:row>
      <xdr:rowOff>0</xdr:rowOff>
    </xdr:to>
    <xdr:sp macro="" textlink="">
      <xdr:nvSpPr>
        <xdr:cNvPr id="18" name="正方形/長方形 17">
          <a:extLst>
            <a:ext uri="{FF2B5EF4-FFF2-40B4-BE49-F238E27FC236}">
              <a16:creationId xmlns:a16="http://schemas.microsoft.com/office/drawing/2014/main" id="{3E7AED3B-09FC-F438-916E-9026C46C0BA6}"/>
            </a:ext>
          </a:extLst>
        </xdr:cNvPr>
        <xdr:cNvSpPr/>
      </xdr:nvSpPr>
      <xdr:spPr>
        <a:xfrm>
          <a:off x="40166925" y="1790700"/>
          <a:ext cx="4667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0</xdr:colOff>
      <xdr:row>2</xdr:row>
      <xdr:rowOff>0</xdr:rowOff>
    </xdr:from>
    <xdr:to>
      <xdr:col>43</xdr:col>
      <xdr:colOff>0</xdr:colOff>
      <xdr:row>3</xdr:row>
      <xdr:rowOff>0</xdr:rowOff>
    </xdr:to>
    <xdr:sp macro="" textlink="">
      <xdr:nvSpPr>
        <xdr:cNvPr id="8" name="正方形/長方形 7">
          <a:extLst>
            <a:ext uri="{FF2B5EF4-FFF2-40B4-BE49-F238E27FC236}">
              <a16:creationId xmlns:a16="http://schemas.microsoft.com/office/drawing/2014/main" id="{BACCA7AD-E9DA-549C-467A-CD3FCF06618C}"/>
            </a:ext>
          </a:extLst>
        </xdr:cNvPr>
        <xdr:cNvSpPr/>
      </xdr:nvSpPr>
      <xdr:spPr>
        <a:xfrm>
          <a:off x="21964650" y="647700"/>
          <a:ext cx="23336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0</xdr:colOff>
      <xdr:row>4</xdr:row>
      <xdr:rowOff>0</xdr:rowOff>
    </xdr:from>
    <xdr:to>
      <xdr:col>64</xdr:col>
      <xdr:colOff>0</xdr:colOff>
      <xdr:row>5</xdr:row>
      <xdr:rowOff>0</xdr:rowOff>
    </xdr:to>
    <xdr:sp macro="" textlink="">
      <xdr:nvSpPr>
        <xdr:cNvPr id="9" name="正方形/長方形 8">
          <a:extLst>
            <a:ext uri="{FF2B5EF4-FFF2-40B4-BE49-F238E27FC236}">
              <a16:creationId xmlns:a16="http://schemas.microsoft.com/office/drawing/2014/main" id="{F5E3B758-A966-21F9-9586-52BAFA072C3F}"/>
            </a:ext>
          </a:extLst>
        </xdr:cNvPr>
        <xdr:cNvSpPr/>
      </xdr:nvSpPr>
      <xdr:spPr>
        <a:xfrm>
          <a:off x="33632775" y="1104900"/>
          <a:ext cx="4667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0</xdr:colOff>
      <xdr:row>5</xdr:row>
      <xdr:rowOff>0</xdr:rowOff>
    </xdr:from>
    <xdr:to>
      <xdr:col>71</xdr:col>
      <xdr:colOff>0</xdr:colOff>
      <xdr:row>6</xdr:row>
      <xdr:rowOff>0</xdr:rowOff>
    </xdr:to>
    <xdr:sp macro="" textlink="">
      <xdr:nvSpPr>
        <xdr:cNvPr id="10" name="正方形/長方形 9">
          <a:extLst>
            <a:ext uri="{FF2B5EF4-FFF2-40B4-BE49-F238E27FC236}">
              <a16:creationId xmlns:a16="http://schemas.microsoft.com/office/drawing/2014/main" id="{00B69A8F-5BA0-2C62-291F-31FD9711C2A8}"/>
            </a:ext>
          </a:extLst>
        </xdr:cNvPr>
        <xdr:cNvSpPr/>
      </xdr:nvSpPr>
      <xdr:spPr>
        <a:xfrm>
          <a:off x="36433125" y="1333500"/>
          <a:ext cx="93345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3C37-BF8E-4EC3-96EA-6A44BABB0DCF}">
  <dimension ref="A1:AZ18"/>
  <sheetViews>
    <sheetView showGridLines="0" tabSelected="1" topLeftCell="S4" zoomScale="85" zoomScaleNormal="85" workbookViewId="0">
      <selection activeCell="AG6" sqref="AG6"/>
    </sheetView>
  </sheetViews>
  <sheetFormatPr defaultRowHeight="18.75" outlineLevelCol="1" x14ac:dyDescent="0.4"/>
  <cols>
    <col min="1" max="1" width="4.375" style="3" bestFit="1" customWidth="1"/>
    <col min="2" max="2" width="19.875" style="1" customWidth="1"/>
    <col min="3" max="3" width="17.625" style="2" customWidth="1"/>
    <col min="4" max="4" width="27.5" style="2" bestFit="1" customWidth="1"/>
    <col min="5" max="5" width="112.5" style="2" customWidth="1"/>
    <col min="6" max="8" width="9.625" style="6" customWidth="1"/>
    <col min="9" max="15" width="9.625" style="1" customWidth="1" outlineLevel="1"/>
    <col min="16" max="16" width="1.625" style="1" customWidth="1"/>
    <col min="17" max="23" width="9.625" style="1" customWidth="1" outlineLevel="1"/>
    <col min="24" max="24" width="13.875" style="1" customWidth="1"/>
    <col min="25" max="25" width="9.625" style="1" customWidth="1" outlineLevel="1"/>
    <col min="26" max="26" width="14.125" style="1" customWidth="1" outlineLevel="1"/>
    <col min="27" max="27" width="9.625" style="1" customWidth="1" outlineLevel="1"/>
    <col min="28" max="29" width="14.125" style="1" customWidth="1" outlineLevel="1"/>
    <col min="30" max="30" width="2.625" style="1" customWidth="1"/>
    <col min="31" max="31" width="9.625" style="1" customWidth="1" outlineLevel="1"/>
    <col min="32" max="32" width="14.125" style="1" customWidth="1" outlineLevel="1"/>
    <col min="33" max="33" width="9.625" style="1" customWidth="1" outlineLevel="1"/>
    <col min="34" max="35" width="14.125" style="1" customWidth="1" outlineLevel="1"/>
    <col min="36" max="36" width="5" style="1" customWidth="1"/>
    <col min="37" max="43" width="9.625" style="1" hidden="1" customWidth="1" outlineLevel="1"/>
    <col min="44" max="44" width="3.625" style="1" customWidth="1" collapsed="1"/>
    <col min="45" max="51" width="9" style="1" hidden="1" customWidth="1" outlineLevel="1"/>
    <col min="52" max="52" width="8.625" collapsed="1"/>
  </cols>
  <sheetData>
    <row r="1" spans="1:51" ht="24" x14ac:dyDescent="0.4">
      <c r="A1" s="7" t="s">
        <v>35</v>
      </c>
      <c r="Y1" s="59" t="s">
        <v>0</v>
      </c>
      <c r="Z1" s="59"/>
      <c r="AA1" s="59"/>
      <c r="AB1" s="59"/>
      <c r="AC1" s="59"/>
      <c r="AE1" s="60" t="s">
        <v>1</v>
      </c>
      <c r="AF1" s="60"/>
      <c r="AG1" s="60"/>
      <c r="AH1" s="60"/>
      <c r="AI1" s="60"/>
      <c r="AK1" s="61" t="s">
        <v>2</v>
      </c>
      <c r="AL1" s="61"/>
      <c r="AM1" s="61"/>
      <c r="AN1" s="61"/>
      <c r="AO1" s="61"/>
      <c r="AP1" s="61"/>
      <c r="AQ1" s="61"/>
      <c r="AR1" s="61"/>
      <c r="AS1" s="61"/>
      <c r="AT1" s="61"/>
      <c r="AU1" s="61"/>
      <c r="AV1" s="61"/>
      <c r="AW1" s="61"/>
      <c r="AX1" s="61"/>
      <c r="AY1" s="61"/>
    </row>
    <row r="2" spans="1:51" x14ac:dyDescent="0.4">
      <c r="I2" s="59" t="s">
        <v>0</v>
      </c>
      <c r="J2" s="59"/>
      <c r="K2" s="59"/>
      <c r="L2" s="59"/>
      <c r="M2" s="59"/>
      <c r="N2" s="59"/>
      <c r="O2" s="59"/>
      <c r="Q2" s="60" t="s">
        <v>1</v>
      </c>
      <c r="R2" s="60"/>
      <c r="S2" s="60"/>
      <c r="T2" s="60"/>
      <c r="U2" s="60"/>
      <c r="V2" s="60"/>
      <c r="W2" s="60"/>
      <c r="Y2" s="20" t="s">
        <v>3</v>
      </c>
      <c r="Z2" s="24">
        <v>50000</v>
      </c>
      <c r="AA2" s="20" t="s">
        <v>4</v>
      </c>
      <c r="AB2" s="24">
        <v>70000</v>
      </c>
      <c r="AC2" s="20"/>
      <c r="AE2" s="20" t="s">
        <v>3</v>
      </c>
      <c r="AF2" s="24">
        <v>1000000</v>
      </c>
      <c r="AG2" s="20" t="s">
        <v>4</v>
      </c>
      <c r="AH2" s="24">
        <v>1400000</v>
      </c>
      <c r="AI2" s="20"/>
      <c r="AK2" s="62" t="s">
        <v>0</v>
      </c>
      <c r="AL2" s="62"/>
      <c r="AM2" s="62"/>
      <c r="AN2" s="62"/>
      <c r="AO2" s="62"/>
      <c r="AP2" s="62"/>
      <c r="AQ2" s="62"/>
      <c r="AS2" s="63" t="s">
        <v>1</v>
      </c>
      <c r="AT2" s="63"/>
      <c r="AU2" s="63"/>
      <c r="AV2" s="63"/>
      <c r="AW2" s="63"/>
      <c r="AX2" s="63"/>
      <c r="AY2" s="63"/>
    </row>
    <row r="3" spans="1:51" ht="72" x14ac:dyDescent="0.4">
      <c r="A3" s="4" t="s">
        <v>5</v>
      </c>
      <c r="B3" s="5" t="s">
        <v>6</v>
      </c>
      <c r="C3" s="5" t="s">
        <v>24</v>
      </c>
      <c r="D3" s="5" t="s">
        <v>7</v>
      </c>
      <c r="E3" s="5" t="s">
        <v>8</v>
      </c>
      <c r="F3" s="18" t="s">
        <v>9</v>
      </c>
      <c r="G3" s="21" t="s">
        <v>10</v>
      </c>
      <c r="H3" s="21" t="s">
        <v>22</v>
      </c>
      <c r="I3" s="19" t="s">
        <v>11</v>
      </c>
      <c r="J3" s="20" t="s">
        <v>23</v>
      </c>
      <c r="K3" s="20" t="s">
        <v>12</v>
      </c>
      <c r="L3" s="20" t="s">
        <v>13</v>
      </c>
      <c r="M3" s="20" t="s">
        <v>38</v>
      </c>
      <c r="N3" s="20" t="s">
        <v>14</v>
      </c>
      <c r="O3" s="20" t="s">
        <v>15</v>
      </c>
      <c r="Q3" s="19" t="s">
        <v>11</v>
      </c>
      <c r="R3" s="20" t="s">
        <v>23</v>
      </c>
      <c r="S3" s="20" t="s">
        <v>12</v>
      </c>
      <c r="T3" s="20" t="s">
        <v>13</v>
      </c>
      <c r="U3" s="20" t="s">
        <v>38</v>
      </c>
      <c r="V3" s="20" t="s">
        <v>14</v>
      </c>
      <c r="W3" s="20" t="s">
        <v>15</v>
      </c>
      <c r="X3" s="23" t="s">
        <v>16</v>
      </c>
      <c r="Y3" s="18" t="s">
        <v>0</v>
      </c>
      <c r="Z3" s="18" t="s">
        <v>17</v>
      </c>
      <c r="AA3" s="18" t="s">
        <v>0</v>
      </c>
      <c r="AB3" s="18" t="s">
        <v>17</v>
      </c>
      <c r="AC3" s="18" t="s">
        <v>18</v>
      </c>
      <c r="AD3" s="22"/>
      <c r="AE3" s="18" t="s">
        <v>1</v>
      </c>
      <c r="AF3" s="18" t="s">
        <v>17</v>
      </c>
      <c r="AG3" s="18" t="s">
        <v>1</v>
      </c>
      <c r="AH3" s="18" t="s">
        <v>17</v>
      </c>
      <c r="AI3" s="18" t="s">
        <v>18</v>
      </c>
      <c r="AK3" s="19" t="s">
        <v>11</v>
      </c>
      <c r="AL3" s="20" t="s">
        <v>23</v>
      </c>
      <c r="AM3" s="20" t="s">
        <v>12</v>
      </c>
      <c r="AN3" s="20" t="s">
        <v>13</v>
      </c>
      <c r="AO3" s="20" t="s">
        <v>38</v>
      </c>
      <c r="AP3" s="20" t="s">
        <v>14</v>
      </c>
      <c r="AQ3" s="20" t="s">
        <v>15</v>
      </c>
      <c r="AS3" s="19" t="s">
        <v>11</v>
      </c>
      <c r="AT3" s="20" t="s">
        <v>23</v>
      </c>
      <c r="AU3" s="20" t="s">
        <v>12</v>
      </c>
      <c r="AV3" s="20" t="s">
        <v>13</v>
      </c>
      <c r="AW3" s="20" t="s">
        <v>38</v>
      </c>
      <c r="AX3" s="20" t="s">
        <v>14</v>
      </c>
      <c r="AY3" s="20" t="s">
        <v>15</v>
      </c>
    </row>
    <row r="4" spans="1:51" ht="358.5" customHeight="1" x14ac:dyDescent="0.4">
      <c r="A4" s="20">
        <v>1</v>
      </c>
      <c r="B4" s="19" t="s">
        <v>36</v>
      </c>
      <c r="C4" s="40">
        <v>45808</v>
      </c>
      <c r="D4" s="19" t="s">
        <v>37</v>
      </c>
      <c r="E4" s="34" t="s">
        <v>52</v>
      </c>
      <c r="F4" s="35">
        <f t="shared" ref="F4:F5" si="0">O4</f>
        <v>25.5</v>
      </c>
      <c r="G4" s="35">
        <v>20</v>
      </c>
      <c r="H4" s="46">
        <f>Y4+AA4</f>
        <v>30.6</v>
      </c>
      <c r="I4" s="36">
        <v>6</v>
      </c>
      <c r="J4" s="36">
        <v>8</v>
      </c>
      <c r="K4" s="36">
        <v>4.5</v>
      </c>
      <c r="L4" s="36">
        <v>3</v>
      </c>
      <c r="M4" s="36">
        <v>2</v>
      </c>
      <c r="N4" s="36">
        <v>2</v>
      </c>
      <c r="O4" s="36">
        <f>SUM(I4:N4)</f>
        <v>25.5</v>
      </c>
      <c r="P4" s="37"/>
      <c r="Q4" s="38">
        <f>ROUNDUP(I4/20,3)</f>
        <v>0.3</v>
      </c>
      <c r="R4" s="38">
        <f>ROUNDUP(J4/20,3)</f>
        <v>0.4</v>
      </c>
      <c r="S4" s="38">
        <f>ROUNDUP(L4/20,3)</f>
        <v>0.15</v>
      </c>
      <c r="T4" s="38">
        <f t="shared" ref="T4:W4" si="1">ROUNDUP(L4/20,3)</f>
        <v>0.15</v>
      </c>
      <c r="U4" s="38">
        <f t="shared" si="1"/>
        <v>0.1</v>
      </c>
      <c r="V4" s="38">
        <f t="shared" si="1"/>
        <v>0.1</v>
      </c>
      <c r="W4" s="38">
        <f t="shared" si="1"/>
        <v>1.2749999999999999</v>
      </c>
      <c r="X4" s="39"/>
      <c r="Y4" s="41">
        <f>O4</f>
        <v>25.5</v>
      </c>
      <c r="Z4" s="42">
        <f>Y4*$Z$2</f>
        <v>1275000</v>
      </c>
      <c r="AA4" s="41">
        <f>ROUNDUP(Y4*0.2,2)</f>
        <v>5.0999999999999996</v>
      </c>
      <c r="AB4" s="42">
        <f>ROUNDUP(AA4*$AB$2,-3)</f>
        <v>357000</v>
      </c>
      <c r="AC4" s="42">
        <f>SUM(Z4,AB4)</f>
        <v>1632000</v>
      </c>
      <c r="AE4" s="41">
        <f>W4</f>
        <v>1.2749999999999999</v>
      </c>
      <c r="AF4" s="42">
        <f>AE4*$AF$2</f>
        <v>1275000</v>
      </c>
      <c r="AG4" s="41">
        <f>ROUNDUP(AE4*0.2,3)</f>
        <v>0.255</v>
      </c>
      <c r="AH4" s="42">
        <f>AG4*$AH$2</f>
        <v>357000</v>
      </c>
      <c r="AI4" s="42">
        <f>ROUNDUP(SUM(AF4,AH4),-3)</f>
        <v>1632000</v>
      </c>
      <c r="AK4" s="41">
        <f>SUM(I4:I5)</f>
        <v>11.5</v>
      </c>
      <c r="AL4" s="41">
        <f t="shared" ref="AL4:AQ4" si="2">SUM(J4:J5)</f>
        <v>13</v>
      </c>
      <c r="AM4" s="41">
        <f t="shared" si="2"/>
        <v>8.5</v>
      </c>
      <c r="AN4" s="41">
        <f t="shared" si="2"/>
        <v>5</v>
      </c>
      <c r="AO4" s="41">
        <f t="shared" si="2"/>
        <v>4</v>
      </c>
      <c r="AP4" s="41">
        <f t="shared" si="2"/>
        <v>4</v>
      </c>
      <c r="AQ4" s="41">
        <f t="shared" si="2"/>
        <v>46</v>
      </c>
      <c r="AS4" s="41">
        <f>SUM(Q4:Q5)</f>
        <v>0.57499999999999996</v>
      </c>
      <c r="AT4" s="41">
        <f t="shared" ref="AT4:AX4" si="3">SUM(R4:R5)</f>
        <v>0.65</v>
      </c>
      <c r="AU4" s="41">
        <f t="shared" si="3"/>
        <v>0.25</v>
      </c>
      <c r="AV4" s="41">
        <f t="shared" si="3"/>
        <v>0.25</v>
      </c>
      <c r="AW4" s="41">
        <f t="shared" si="3"/>
        <v>0.2</v>
      </c>
      <c r="AX4" s="41">
        <f t="shared" si="3"/>
        <v>0.2</v>
      </c>
      <c r="AY4" s="41">
        <f>SUM(W4:W5)</f>
        <v>2.2999999999999998</v>
      </c>
    </row>
    <row r="5" spans="1:51" ht="358.5" customHeight="1" x14ac:dyDescent="0.4">
      <c r="A5" s="20">
        <v>2</v>
      </c>
      <c r="B5" s="19" t="s">
        <v>36</v>
      </c>
      <c r="C5" s="40">
        <v>45808</v>
      </c>
      <c r="D5" s="19" t="s">
        <v>39</v>
      </c>
      <c r="E5" s="34" t="s">
        <v>51</v>
      </c>
      <c r="F5" s="35">
        <f t="shared" si="0"/>
        <v>20.5</v>
      </c>
      <c r="G5" s="35">
        <v>17</v>
      </c>
      <c r="H5" s="25">
        <f>Y5+AA5</f>
        <v>24.6</v>
      </c>
      <c r="I5" s="36">
        <v>5.5</v>
      </c>
      <c r="J5" s="36">
        <v>5</v>
      </c>
      <c r="K5" s="36">
        <v>4</v>
      </c>
      <c r="L5" s="36">
        <v>2</v>
      </c>
      <c r="M5" s="36">
        <v>2</v>
      </c>
      <c r="N5" s="36">
        <v>2</v>
      </c>
      <c r="O5" s="36">
        <f>SUM(I5:N5)</f>
        <v>20.5</v>
      </c>
      <c r="P5" s="37"/>
      <c r="Q5" s="38">
        <f>ROUNDUP(I5/20,3)</f>
        <v>0.27500000000000002</v>
      </c>
      <c r="R5" s="38">
        <f>ROUNDUP(J5/20,3)</f>
        <v>0.25</v>
      </c>
      <c r="S5" s="38">
        <f>ROUNDUP(L5/20,3)</f>
        <v>0.1</v>
      </c>
      <c r="T5" s="38">
        <f t="shared" ref="T5" si="4">ROUNDUP(L5/20,3)</f>
        <v>0.1</v>
      </c>
      <c r="U5" s="38">
        <f t="shared" ref="U5" si="5">ROUNDUP(M5/20,3)</f>
        <v>0.1</v>
      </c>
      <c r="V5" s="38">
        <f t="shared" ref="V5" si="6">ROUNDUP(N5/20,3)</f>
        <v>0.1</v>
      </c>
      <c r="W5" s="38">
        <f t="shared" ref="W5" si="7">ROUNDUP(O5/20,3)</f>
        <v>1.0249999999999999</v>
      </c>
      <c r="X5" s="39"/>
      <c r="Y5" s="41">
        <f>O5</f>
        <v>20.5</v>
      </c>
      <c r="Z5" s="42">
        <f>Y5*$Z$2</f>
        <v>1025000</v>
      </c>
      <c r="AA5" s="41">
        <f>ROUNDUP(Y5*0.2,2)</f>
        <v>4.0999999999999996</v>
      </c>
      <c r="AB5" s="42">
        <f>ROUNDUP(AA5*$AB$2,-3)</f>
        <v>287000</v>
      </c>
      <c r="AC5" s="42">
        <f>SUM(Z5,AB5)</f>
        <v>1312000</v>
      </c>
      <c r="AE5" s="41">
        <f>W5</f>
        <v>1.0249999999999999</v>
      </c>
      <c r="AF5" s="42">
        <f>AE5*$AF$2</f>
        <v>1024999.9999999999</v>
      </c>
      <c r="AG5" s="41">
        <f>ROUNDUP(AE5*0.2,3)</f>
        <v>0.20499999999999999</v>
      </c>
      <c r="AH5" s="42">
        <f>AG5*$AH$2</f>
        <v>287000</v>
      </c>
      <c r="AI5" s="42">
        <f>ROUNDUP(SUM(AF5,AH5),-3)</f>
        <v>1312000</v>
      </c>
      <c r="AK5" s="41"/>
      <c r="AL5" s="41"/>
      <c r="AM5" s="41"/>
      <c r="AN5" s="41"/>
      <c r="AO5" s="41"/>
      <c r="AP5" s="41"/>
      <c r="AQ5" s="41"/>
      <c r="AS5" s="41"/>
      <c r="AT5" s="41"/>
      <c r="AU5" s="41"/>
      <c r="AV5" s="41"/>
      <c r="AW5" s="41"/>
      <c r="AX5" s="41"/>
      <c r="AY5" s="41"/>
    </row>
    <row r="6" spans="1:51" x14ac:dyDescent="0.4">
      <c r="A6" s="8" t="s">
        <v>57</v>
      </c>
      <c r="B6" s="9"/>
      <c r="C6" s="10"/>
      <c r="D6" s="10"/>
      <c r="E6" s="10"/>
      <c r="F6" s="15"/>
    </row>
    <row r="7" spans="1:51" x14ac:dyDescent="0.4">
      <c r="A7" s="11"/>
      <c r="F7" s="16"/>
    </row>
    <row r="8" spans="1:51" x14ac:dyDescent="0.4">
      <c r="A8" s="11"/>
      <c r="B8" s="3" t="s">
        <v>68</v>
      </c>
      <c r="F8" s="16"/>
    </row>
    <row r="9" spans="1:51" x14ac:dyDescent="0.4">
      <c r="A9" s="11"/>
      <c r="B9" s="3" t="s">
        <v>59</v>
      </c>
      <c r="F9" s="16"/>
    </row>
    <row r="10" spans="1:51" x14ac:dyDescent="0.4">
      <c r="A10" s="11"/>
      <c r="B10" s="3" t="s">
        <v>60</v>
      </c>
      <c r="F10" s="16"/>
    </row>
    <row r="11" spans="1:51" x14ac:dyDescent="0.4">
      <c r="A11" s="11"/>
      <c r="B11" s="1" t="s">
        <v>61</v>
      </c>
      <c r="F11" s="16"/>
    </row>
    <row r="12" spans="1:51" x14ac:dyDescent="0.4">
      <c r="A12" s="11"/>
      <c r="B12" s="1" t="s">
        <v>62</v>
      </c>
      <c r="F12" s="16"/>
    </row>
    <row r="13" spans="1:51" s="1" customFormat="1" x14ac:dyDescent="0.4">
      <c r="A13" s="11"/>
      <c r="B13" s="1" t="s">
        <v>63</v>
      </c>
      <c r="C13" s="2"/>
      <c r="D13" s="2"/>
      <c r="E13" s="2"/>
      <c r="F13" s="16"/>
      <c r="H13" s="6"/>
      <c r="I13" s="6"/>
    </row>
    <row r="14" spans="1:51" s="1" customFormat="1" x14ac:dyDescent="0.4">
      <c r="A14" s="11"/>
      <c r="B14" s="1" t="s">
        <v>64</v>
      </c>
      <c r="C14" s="2"/>
      <c r="D14" s="2"/>
      <c r="F14" s="16"/>
    </row>
    <row r="15" spans="1:51" s="1" customFormat="1" x14ac:dyDescent="0.4">
      <c r="A15" s="11"/>
      <c r="B15" s="58" t="s">
        <v>65</v>
      </c>
      <c r="C15" s="2"/>
      <c r="D15" s="2"/>
      <c r="F15" s="16"/>
    </row>
    <row r="16" spans="1:51" s="1" customFormat="1" x14ac:dyDescent="0.4">
      <c r="A16" s="11"/>
      <c r="B16" s="58" t="s">
        <v>66</v>
      </c>
      <c r="C16" s="2"/>
      <c r="D16" s="2"/>
      <c r="F16" s="16"/>
      <c r="H16" s="6"/>
      <c r="I16" s="6"/>
    </row>
    <row r="17" spans="1:6" s="1" customFormat="1" x14ac:dyDescent="0.4">
      <c r="A17" s="11"/>
      <c r="B17" s="58" t="s">
        <v>67</v>
      </c>
      <c r="C17" s="2"/>
      <c r="D17" s="2"/>
      <c r="F17" s="16"/>
    </row>
    <row r="18" spans="1:6" x14ac:dyDescent="0.4">
      <c r="A18" s="12"/>
      <c r="B18" s="13"/>
      <c r="C18" s="14"/>
      <c r="D18" s="14"/>
      <c r="E18" s="14"/>
      <c r="F18" s="17"/>
    </row>
  </sheetData>
  <mergeCells count="7">
    <mergeCell ref="Y1:AC1"/>
    <mergeCell ref="AE1:AI1"/>
    <mergeCell ref="AK1:AY1"/>
    <mergeCell ref="I2:O2"/>
    <mergeCell ref="Q2:W2"/>
    <mergeCell ref="AK2:AQ2"/>
    <mergeCell ref="AS2:AY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1AE3-EFB2-47D0-B03F-6BE3BB1F703E}">
  <sheetPr>
    <pageSetUpPr fitToPage="1"/>
  </sheetPr>
  <dimension ref="A1:E18"/>
  <sheetViews>
    <sheetView showGridLines="0" zoomScaleNormal="100" workbookViewId="0">
      <pane ySplit="2" topLeftCell="A3" activePane="bottomLeft" state="frozen"/>
      <selection activeCell="D1" sqref="D1"/>
      <selection pane="bottomLeft" activeCell="A3" sqref="A3"/>
    </sheetView>
  </sheetViews>
  <sheetFormatPr defaultColWidth="9" defaultRowHeight="18.75" x14ac:dyDescent="0.4"/>
  <cols>
    <col min="1" max="1" width="4.375" style="3" bestFit="1" customWidth="1"/>
    <col min="2" max="2" width="19.875" style="1" customWidth="1"/>
    <col min="3" max="3" width="26" style="2" bestFit="1" customWidth="1"/>
    <col min="4" max="4" width="61.625" style="2" bestFit="1" customWidth="1"/>
    <col min="5" max="5" width="16.625" style="6" customWidth="1"/>
    <col min="6" max="16384" width="9" style="1"/>
  </cols>
  <sheetData>
    <row r="1" spans="1:5" ht="24" x14ac:dyDescent="0.4">
      <c r="A1" s="7" t="s">
        <v>35</v>
      </c>
    </row>
    <row r="2" spans="1:5" x14ac:dyDescent="0.4">
      <c r="A2" s="4" t="s">
        <v>5</v>
      </c>
      <c r="B2" s="5" t="s">
        <v>6</v>
      </c>
      <c r="C2" s="5" t="s">
        <v>7</v>
      </c>
      <c r="D2" s="5" t="s">
        <v>8</v>
      </c>
      <c r="E2" s="18" t="s">
        <v>18</v>
      </c>
    </row>
    <row r="3" spans="1:5" ht="365.1" customHeight="1" x14ac:dyDescent="0.4">
      <c r="A3" s="43">
        <f>'IFCポータル_概算見積（内部用）'!A4</f>
        <v>1</v>
      </c>
      <c r="B3" s="19" t="str">
        <f>'IFCポータル_概算見積（内部用）'!B4</f>
        <v>下請法対応概算見積</v>
      </c>
      <c r="C3" s="19" t="str">
        <f>'IFCポータル_概算見積（内部用）'!D4</f>
        <v>下請法対応機能を追加する。
（自動連携）</v>
      </c>
      <c r="D3" s="19" t="s">
        <v>54</v>
      </c>
      <c r="E3" s="26">
        <f>'IFCポータル_概算見積（内部用）'!AC4</f>
        <v>1632000</v>
      </c>
    </row>
    <row r="4" spans="1:5" ht="365.1" customHeight="1" x14ac:dyDescent="0.4">
      <c r="A4" s="43">
        <f>'IFCポータル_概算見積（内部用）'!A5</f>
        <v>2</v>
      </c>
      <c r="B4" s="19" t="str">
        <f>'IFCポータル_概算見積（内部用）'!B5</f>
        <v>下請法対応概算見積</v>
      </c>
      <c r="C4" s="19" t="str">
        <f>'IFCポータル_概算見積（内部用）'!D5</f>
        <v>下請法対応機能を追加する。
（手動連携）</v>
      </c>
      <c r="D4" s="19" t="s">
        <v>55</v>
      </c>
      <c r="E4" s="45">
        <f>'IFCポータル_概算見積（内部用）'!AC5</f>
        <v>1312000</v>
      </c>
    </row>
    <row r="7" spans="1:5" x14ac:dyDescent="0.4">
      <c r="A7" s="8" t="s">
        <v>57</v>
      </c>
      <c r="B7" s="9"/>
      <c r="C7" s="10"/>
      <c r="D7" s="10"/>
      <c r="E7" s="15"/>
    </row>
    <row r="8" spans="1:5" x14ac:dyDescent="0.4">
      <c r="A8" s="11"/>
      <c r="E8" s="16"/>
    </row>
    <row r="9" spans="1:5" x14ac:dyDescent="0.4">
      <c r="A9" s="11"/>
      <c r="B9" s="3" t="s">
        <v>19</v>
      </c>
      <c r="E9" s="16"/>
    </row>
    <row r="10" spans="1:5" x14ac:dyDescent="0.4">
      <c r="A10" s="11"/>
      <c r="B10" s="3" t="s">
        <v>20</v>
      </c>
      <c r="E10" s="16"/>
    </row>
    <row r="11" spans="1:5" x14ac:dyDescent="0.4">
      <c r="A11" s="11"/>
      <c r="B11" s="3" t="s">
        <v>21</v>
      </c>
      <c r="E11" s="16"/>
    </row>
    <row r="12" spans="1:5" x14ac:dyDescent="0.4">
      <c r="A12" s="11"/>
      <c r="B12" s="1" t="s">
        <v>56</v>
      </c>
      <c r="E12" s="16"/>
    </row>
    <row r="13" spans="1:5" x14ac:dyDescent="0.4">
      <c r="A13" s="11"/>
      <c r="B13" s="1" t="s">
        <v>58</v>
      </c>
      <c r="E13" s="16"/>
    </row>
    <row r="14" spans="1:5" x14ac:dyDescent="0.4">
      <c r="A14" s="11"/>
      <c r="B14" s="1" t="s">
        <v>47</v>
      </c>
      <c r="E14" s="16"/>
    </row>
    <row r="15" spans="1:5" x14ac:dyDescent="0.4">
      <c r="A15" s="11"/>
      <c r="B15" s="1" t="s">
        <v>53</v>
      </c>
      <c r="E15" s="16"/>
    </row>
    <row r="16" spans="1:5" x14ac:dyDescent="0.4">
      <c r="A16" s="11"/>
      <c r="B16" s="58" t="s">
        <v>48</v>
      </c>
      <c r="E16" s="16"/>
    </row>
    <row r="17" spans="1:5" x14ac:dyDescent="0.4">
      <c r="A17" s="11"/>
      <c r="B17" s="58" t="s">
        <v>50</v>
      </c>
      <c r="E17" s="16"/>
    </row>
    <row r="18" spans="1:5" x14ac:dyDescent="0.4">
      <c r="A18" s="12"/>
      <c r="B18" s="13"/>
      <c r="C18" s="14"/>
      <c r="D18" s="14"/>
      <c r="E18" s="17"/>
    </row>
  </sheetData>
  <phoneticPr fontId="1"/>
  <pageMargins left="0.23622047244094491" right="0.23622047244094491" top="0.74803149606299213" bottom="0.74803149606299213" header="0.31496062992125984" footer="0.31496062992125984"/>
  <pageSetup paperSize="9" scale="54" fitToHeight="0" orientation="landscape" horizontalDpi="300" verticalDpi="300" r:id="rId1"/>
  <headerFoot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2F26-AF8A-4228-8EB0-CB0850D0D530}">
  <dimension ref="A1:CF22"/>
  <sheetViews>
    <sheetView showGridLines="0" workbookViewId="0">
      <selection activeCell="C18" sqref="C18"/>
    </sheetView>
  </sheetViews>
  <sheetFormatPr defaultRowHeight="18.75" x14ac:dyDescent="0.4"/>
  <cols>
    <col min="1" max="1" width="4.375" style="3" customWidth="1"/>
    <col min="2" max="2" width="19.875" style="1" customWidth="1"/>
    <col min="3" max="3" width="26" style="2" customWidth="1"/>
    <col min="4" max="4" width="10.125" style="2" bestFit="1" customWidth="1"/>
    <col min="5" max="5" width="6.125" style="2" customWidth="1"/>
    <col min="6" max="12" width="6.125" customWidth="1"/>
    <col min="13" max="13" width="8.625" customWidth="1"/>
    <col min="15" max="16" width="11.375" customWidth="1"/>
    <col min="17" max="17" width="9.625" bestFit="1" customWidth="1"/>
    <col min="18" max="18" width="6.625" customWidth="1"/>
    <col min="19" max="84" width="6.125" customWidth="1"/>
  </cols>
  <sheetData>
    <row r="1" spans="1:84" x14ac:dyDescent="0.4">
      <c r="N1" t="s">
        <v>32</v>
      </c>
      <c r="S1">
        <v>2025</v>
      </c>
    </row>
    <row r="2" spans="1:84" ht="33" x14ac:dyDescent="0.4">
      <c r="A2" s="4" t="s">
        <v>5</v>
      </c>
      <c r="B2" s="5" t="s">
        <v>6</v>
      </c>
      <c r="C2" s="5" t="s">
        <v>29</v>
      </c>
      <c r="D2" s="49" t="s">
        <v>24</v>
      </c>
      <c r="E2" s="48" t="s">
        <v>11</v>
      </c>
      <c r="F2" s="48" t="s">
        <v>40</v>
      </c>
      <c r="G2" s="48" t="s">
        <v>41</v>
      </c>
      <c r="H2" s="48" t="s">
        <v>42</v>
      </c>
      <c r="I2" s="48" t="s">
        <v>43</v>
      </c>
      <c r="J2" s="48" t="s">
        <v>44</v>
      </c>
      <c r="K2" s="48" t="s">
        <v>28</v>
      </c>
      <c r="L2" s="48" t="s">
        <v>25</v>
      </c>
      <c r="M2" s="48" t="s">
        <v>30</v>
      </c>
      <c r="O2" s="5" t="s">
        <v>31</v>
      </c>
      <c r="P2" s="5" t="s">
        <v>14</v>
      </c>
      <c r="Q2" s="5"/>
      <c r="R2" s="5"/>
      <c r="S2" s="33">
        <v>45748</v>
      </c>
      <c r="T2" s="33">
        <v>45749</v>
      </c>
      <c r="U2" s="33">
        <v>45750</v>
      </c>
      <c r="V2" s="33">
        <v>45751</v>
      </c>
      <c r="W2" s="47">
        <v>45752</v>
      </c>
      <c r="X2" s="47">
        <v>45753</v>
      </c>
      <c r="Y2" s="33">
        <v>45754</v>
      </c>
      <c r="Z2" s="33">
        <v>45755</v>
      </c>
      <c r="AA2" s="33">
        <v>45756</v>
      </c>
      <c r="AB2" s="33">
        <v>45757</v>
      </c>
      <c r="AC2" s="33">
        <v>45758</v>
      </c>
      <c r="AD2" s="47">
        <v>45759</v>
      </c>
      <c r="AE2" s="47">
        <v>45760</v>
      </c>
      <c r="AF2" s="33">
        <v>45761</v>
      </c>
      <c r="AG2" s="33">
        <v>45762</v>
      </c>
      <c r="AH2" s="33">
        <v>45763</v>
      </c>
      <c r="AI2" s="33">
        <v>45764</v>
      </c>
      <c r="AJ2" s="33">
        <v>45765</v>
      </c>
      <c r="AK2" s="47">
        <v>45766</v>
      </c>
      <c r="AL2" s="47">
        <v>45767</v>
      </c>
      <c r="AM2" s="33">
        <v>45768</v>
      </c>
      <c r="AN2" s="33">
        <v>45769</v>
      </c>
      <c r="AO2" s="33">
        <v>45770</v>
      </c>
      <c r="AP2" s="33">
        <v>45771</v>
      </c>
      <c r="AQ2" s="33">
        <v>45772</v>
      </c>
      <c r="AR2" s="47">
        <v>45773</v>
      </c>
      <c r="AS2" s="47">
        <v>45774</v>
      </c>
      <c r="AT2" s="33">
        <v>45775</v>
      </c>
      <c r="AU2" s="47">
        <v>45776</v>
      </c>
      <c r="AV2" s="33">
        <v>45777</v>
      </c>
      <c r="AW2" s="33">
        <v>45778</v>
      </c>
      <c r="AX2" s="33">
        <v>45779</v>
      </c>
      <c r="AY2" s="47">
        <v>45780</v>
      </c>
      <c r="AZ2" s="47">
        <v>45781</v>
      </c>
      <c r="BA2" s="47">
        <v>45782</v>
      </c>
      <c r="BB2" s="47">
        <v>45783</v>
      </c>
      <c r="BC2" s="33">
        <v>45784</v>
      </c>
      <c r="BD2" s="33">
        <v>45785</v>
      </c>
      <c r="BE2" s="33">
        <v>45786</v>
      </c>
      <c r="BF2" s="47">
        <v>45787</v>
      </c>
      <c r="BG2" s="47">
        <v>45788</v>
      </c>
      <c r="BH2" s="33">
        <v>45789</v>
      </c>
      <c r="BI2" s="33">
        <v>45790</v>
      </c>
      <c r="BJ2" s="33">
        <v>45791</v>
      </c>
      <c r="BK2" s="33">
        <v>45792</v>
      </c>
      <c r="BL2" s="33">
        <v>45793</v>
      </c>
      <c r="BM2" s="47">
        <v>45794</v>
      </c>
      <c r="BN2" s="47">
        <v>45795</v>
      </c>
      <c r="BO2" s="33">
        <v>45796</v>
      </c>
      <c r="BP2" s="33">
        <v>45797</v>
      </c>
      <c r="BQ2" s="33">
        <v>45798</v>
      </c>
      <c r="BR2" s="33">
        <v>45799</v>
      </c>
      <c r="BS2" s="33">
        <v>45800</v>
      </c>
      <c r="BT2" s="47">
        <v>45801</v>
      </c>
      <c r="BU2" s="47">
        <v>45802</v>
      </c>
      <c r="BV2" s="33">
        <v>45803</v>
      </c>
      <c r="BW2" s="33">
        <v>45804</v>
      </c>
      <c r="BX2" s="33">
        <v>45805</v>
      </c>
      <c r="BY2" s="33">
        <v>45806</v>
      </c>
      <c r="BZ2" s="33">
        <v>45807</v>
      </c>
      <c r="CA2" s="47">
        <v>45808</v>
      </c>
      <c r="CB2" s="47">
        <v>45809</v>
      </c>
      <c r="CC2" s="33">
        <v>45810</v>
      </c>
      <c r="CD2" s="33">
        <v>45811</v>
      </c>
      <c r="CE2" s="33">
        <v>45812</v>
      </c>
      <c r="CF2" s="33">
        <v>45813</v>
      </c>
    </row>
    <row r="3" spans="1:84" s="1" customFormat="1" ht="18" customHeight="1" x14ac:dyDescent="0.4">
      <c r="A3" s="64">
        <f>'IFCポータル_概算見積（内部用）'!A4</f>
        <v>1</v>
      </c>
      <c r="B3" s="66" t="str">
        <f>'IFCポータル_概算見積（内部用）'!B4</f>
        <v>下請法対応概算見積</v>
      </c>
      <c r="C3" s="68" t="str">
        <f>'IFCポータル_概算見積（内部用）'!D4</f>
        <v>下請法対応機能を追加する。
（自動連携）</v>
      </c>
      <c r="D3" s="70">
        <v>45808</v>
      </c>
      <c r="E3" s="28">
        <f>'IFCポータル_概算見積（内部用）'!I4</f>
        <v>6</v>
      </c>
      <c r="F3" s="28">
        <f>'IFCポータル_概算見積（内部用）'!J4</f>
        <v>8</v>
      </c>
      <c r="G3" s="28">
        <f>'IFCポータル_概算見積（内部用）'!K4</f>
        <v>4.5</v>
      </c>
      <c r="H3" s="28">
        <f>'IFCポータル_概算見積（内部用）'!L4</f>
        <v>3</v>
      </c>
      <c r="I3" s="28">
        <f>'IFCポータル_概算見積（内部用）'!M4</f>
        <v>2</v>
      </c>
      <c r="J3" s="28">
        <f>'IFCポータル_概算見積（内部用）'!N4</f>
        <v>2</v>
      </c>
      <c r="K3" s="28">
        <f>'IFCポータル_概算見積（内部用）'!F4</f>
        <v>25.5</v>
      </c>
      <c r="L3" s="28">
        <f>K3</f>
        <v>25.5</v>
      </c>
      <c r="M3" s="28">
        <f>'IFCポータル_概算見積（内部用）'!H4</f>
        <v>30.6</v>
      </c>
      <c r="N3"/>
      <c r="O3" s="44">
        <v>45761</v>
      </c>
      <c r="P3" s="44">
        <v>45807</v>
      </c>
      <c r="Q3" s="48" t="s">
        <v>11</v>
      </c>
      <c r="R3" s="55">
        <f>E3</f>
        <v>6</v>
      </c>
      <c r="S3" s="50"/>
      <c r="T3" s="50"/>
      <c r="U3" s="50"/>
      <c r="V3" s="50"/>
      <c r="W3" s="50"/>
      <c r="X3" s="50"/>
      <c r="Y3" s="50"/>
      <c r="Z3" s="50"/>
      <c r="AA3" s="56"/>
      <c r="AB3" s="50"/>
      <c r="AC3" s="50"/>
      <c r="AD3" s="50"/>
      <c r="AE3" s="50"/>
      <c r="AF3" s="56"/>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row>
    <row r="4" spans="1:84" s="1" customFormat="1" x14ac:dyDescent="0.4">
      <c r="A4" s="65"/>
      <c r="B4" s="67"/>
      <c r="C4" s="69"/>
      <c r="D4" s="71"/>
      <c r="E4" s="29"/>
      <c r="F4" s="29"/>
      <c r="G4" s="29"/>
      <c r="H4" s="29"/>
      <c r="I4" s="29"/>
      <c r="J4" s="29"/>
      <c r="K4" s="29"/>
      <c r="L4" s="29"/>
      <c r="M4" s="29"/>
      <c r="N4"/>
      <c r="O4" s="52"/>
      <c r="P4" s="52"/>
      <c r="Q4" s="48" t="s">
        <v>40</v>
      </c>
      <c r="R4" s="55">
        <f>F3</f>
        <v>8</v>
      </c>
      <c r="S4" s="50"/>
      <c r="T4" s="50"/>
      <c r="U4" s="50"/>
      <c r="V4" s="50"/>
      <c r="W4" s="50"/>
      <c r="X4" s="50"/>
      <c r="Y4" s="50"/>
      <c r="Z4" s="50"/>
      <c r="AA4" s="56"/>
      <c r="AB4" s="50"/>
      <c r="AC4" s="50"/>
      <c r="AD4" s="50"/>
      <c r="AE4" s="50"/>
      <c r="AF4" s="56"/>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row>
    <row r="5" spans="1:84" x14ac:dyDescent="0.4">
      <c r="A5" s="1"/>
      <c r="B5" s="2"/>
      <c r="D5" s="30"/>
      <c r="E5" s="31"/>
      <c r="F5" s="32"/>
      <c r="G5" s="32"/>
      <c r="H5" s="32"/>
      <c r="I5" s="32"/>
      <c r="J5" s="32"/>
      <c r="K5" s="32"/>
      <c r="L5" s="32"/>
      <c r="M5" s="32"/>
      <c r="N5" s="32"/>
      <c r="O5" s="53"/>
      <c r="P5" s="53"/>
      <c r="Q5" s="48" t="s">
        <v>41</v>
      </c>
      <c r="R5" s="55">
        <f>G3</f>
        <v>4.5</v>
      </c>
      <c r="S5" s="51"/>
      <c r="T5" s="51"/>
      <c r="U5" s="51"/>
      <c r="V5" s="51"/>
      <c r="W5" s="51"/>
      <c r="X5" s="51"/>
      <c r="Y5" s="51"/>
      <c r="Z5" s="51"/>
      <c r="AA5" s="57"/>
      <c r="AB5" s="51"/>
      <c r="AC5" s="51"/>
      <c r="AD5" s="51"/>
      <c r="AE5" s="51"/>
      <c r="AF5" s="57"/>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row>
    <row r="6" spans="1:84" x14ac:dyDescent="0.4">
      <c r="A6" s="3" t="s">
        <v>26</v>
      </c>
      <c r="O6" s="53"/>
      <c r="P6" s="53"/>
      <c r="Q6" s="48" t="s">
        <v>42</v>
      </c>
      <c r="R6" s="55">
        <f>H3</f>
        <v>3</v>
      </c>
      <c r="S6" s="51"/>
      <c r="T6" s="51"/>
      <c r="U6" s="51"/>
      <c r="V6" s="51"/>
      <c r="W6" s="51"/>
      <c r="X6" s="51"/>
      <c r="Y6" s="51"/>
      <c r="Z6" s="51"/>
      <c r="AA6" s="57"/>
      <c r="AB6" s="51"/>
      <c r="AC6" s="51"/>
      <c r="AD6" s="51"/>
      <c r="AE6" s="51"/>
      <c r="AF6" s="57"/>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row>
    <row r="7" spans="1:84" x14ac:dyDescent="0.4">
      <c r="B7" s="1" t="s">
        <v>33</v>
      </c>
      <c r="C7" s="1" t="s">
        <v>27</v>
      </c>
      <c r="O7" s="53"/>
      <c r="P7" s="53"/>
      <c r="Q7" s="48" t="s">
        <v>43</v>
      </c>
      <c r="R7" s="55">
        <f>I3</f>
        <v>2</v>
      </c>
      <c r="S7" s="51"/>
      <c r="T7" s="51"/>
      <c r="U7" s="51"/>
      <c r="V7" s="51"/>
      <c r="W7" s="51"/>
      <c r="X7" s="51"/>
      <c r="Y7" s="51"/>
      <c r="Z7" s="51"/>
      <c r="AA7" s="57"/>
      <c r="AB7" s="51"/>
      <c r="AC7" s="51"/>
      <c r="AD7" s="51"/>
      <c r="AE7" s="51"/>
      <c r="AF7" s="57"/>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row>
    <row r="8" spans="1:84" x14ac:dyDescent="0.4">
      <c r="B8" s="1" t="s">
        <v>34</v>
      </c>
      <c r="C8" s="1"/>
      <c r="O8" s="54"/>
      <c r="P8" s="54"/>
      <c r="Q8" s="48" t="s">
        <v>44</v>
      </c>
      <c r="R8" s="55">
        <f>J3</f>
        <v>2</v>
      </c>
      <c r="S8" s="51"/>
      <c r="T8" s="51"/>
      <c r="U8" s="51"/>
      <c r="V8" s="51"/>
      <c r="W8" s="51"/>
      <c r="X8" s="51"/>
      <c r="Y8" s="51"/>
      <c r="Z8" s="51"/>
      <c r="AA8" s="57"/>
      <c r="AB8" s="51"/>
      <c r="AC8" s="51"/>
      <c r="AD8" s="51"/>
      <c r="AE8" s="51"/>
      <c r="AF8" s="57"/>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row>
    <row r="9" spans="1:84" x14ac:dyDescent="0.4">
      <c r="F9" s="27"/>
      <c r="G9" s="27"/>
      <c r="O9" t="s">
        <v>49</v>
      </c>
      <c r="AA9" t="s">
        <v>45</v>
      </c>
      <c r="AF9" t="s">
        <v>46</v>
      </c>
    </row>
    <row r="10" spans="1:84" x14ac:dyDescent="0.4">
      <c r="F10" s="27"/>
      <c r="G10" s="27"/>
    </row>
    <row r="11" spans="1:84" x14ac:dyDescent="0.4">
      <c r="F11" s="27"/>
      <c r="G11" s="27"/>
    </row>
    <row r="12" spans="1:84" x14ac:dyDescent="0.4">
      <c r="F12" s="27"/>
      <c r="G12" s="27"/>
    </row>
    <row r="13" spans="1:84" x14ac:dyDescent="0.4">
      <c r="F13" s="27"/>
      <c r="G13" s="27"/>
    </row>
    <row r="14" spans="1:84" x14ac:dyDescent="0.4">
      <c r="F14" s="27"/>
      <c r="G14" s="27"/>
    </row>
    <row r="15" spans="1:84" x14ac:dyDescent="0.4">
      <c r="F15" s="27"/>
      <c r="G15" s="27"/>
    </row>
    <row r="16" spans="1:84" x14ac:dyDescent="0.4">
      <c r="F16" s="27"/>
      <c r="G16" s="27"/>
    </row>
    <row r="17" spans="6:7" x14ac:dyDescent="0.4">
      <c r="F17" s="27"/>
      <c r="G17" s="27"/>
    </row>
    <row r="18" spans="6:7" ht="18" customHeight="1" x14ac:dyDescent="0.4">
      <c r="F18" s="27"/>
      <c r="G18" s="27"/>
    </row>
    <row r="19" spans="6:7" x14ac:dyDescent="0.4">
      <c r="F19" s="27"/>
      <c r="G19" s="27"/>
    </row>
    <row r="20" spans="6:7" x14ac:dyDescent="0.4">
      <c r="F20" s="27"/>
      <c r="G20" s="27"/>
    </row>
    <row r="21" spans="6:7" x14ac:dyDescent="0.4">
      <c r="F21" s="27"/>
      <c r="G21" s="27"/>
    </row>
    <row r="22" spans="6:7" x14ac:dyDescent="0.4">
      <c r="F22" s="27"/>
      <c r="G22" s="27"/>
    </row>
  </sheetData>
  <mergeCells count="4">
    <mergeCell ref="A3:A4"/>
    <mergeCell ref="B3:B4"/>
    <mergeCell ref="C3:C4"/>
    <mergeCell ref="D3:D4"/>
  </mergeCells>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B6FB0D-85F6-4733-BA78-E1D5BD145FF9}">
  <ds:schemaRefs>
    <ds:schemaRef ds:uri="http://schemas.microsoft.com/sharepoint/v3/contenttype/forms"/>
  </ds:schemaRefs>
</ds:datastoreItem>
</file>

<file path=customXml/itemProps2.xml><?xml version="1.0" encoding="utf-8"?>
<ds:datastoreItem xmlns:ds="http://schemas.openxmlformats.org/officeDocument/2006/customXml" ds:itemID="{96CB48E8-A0E7-463D-B080-DDE36C75D7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88540A-5945-4146-8B07-A28EAF53F433}">
  <ds:schemaRefs>
    <ds:schemaRef ds:uri="http://purl.org/dc/terms/"/>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2fd442da-66a9-4fa6-ba31-eb0d54ad1381"/>
    <ds:schemaRef ds:uri="http://purl.org/dc/dcmitype/"/>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IFCポータル_概算見積（内部用）</vt:lpstr>
      <vt:lpstr>IFCポータル_概算見積（顧客提出用）</vt:lpstr>
      <vt:lpstr>スケジュール概算</vt:lpstr>
      <vt:lpstr>'IFCポータル_概算見積（顧客提出用）'!Print_Area</vt:lpstr>
      <vt:lpstr>'IFCポータル_概算見積（顧客提出用）'!Print_Titles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m-fukuda</dc:creator>
  <cp:keywords/>
  <dc:description/>
  <cp:lastModifiedBy>川名翔太</cp:lastModifiedBy>
  <cp:revision/>
  <dcterms:created xsi:type="dcterms:W3CDTF">2019-12-18T08:19:30Z</dcterms:created>
  <dcterms:modified xsi:type="dcterms:W3CDTF">2025-04-08T08:25:09Z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