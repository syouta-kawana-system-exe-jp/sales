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2"/>
  <workbookPr codeName="ThisWorkbook"/>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21" documentId="13_ncr:1_{847C01C9-09CA-4CD9-8A50-961A375225D5}" xr6:coauthVersionLast="47" xr6:coauthVersionMax="47" xr10:uidLastSave="{9335FD8B-44C8-47A4-B1D9-F6D999D53807}"/>
  <bookViews>
    <workbookView xWindow="40920" yWindow="-120" windowWidth="29040" windowHeight="16440" firstSheet="2" activeTab="2" xr2:uid="{00000000-000D-0000-FFFF-FFFF00000000}"/>
  </bookViews>
  <sheets>
    <sheet name="No.394_工数見積もり" sheetId="1" r:id="rId1"/>
    <sheet name="マスタ" sheetId="8" state="hidden" r:id="rId2"/>
    <sheet name="作業工数" sheetId="5" r:id="rId3"/>
    <sheet name="Excelマクロツールの改修内容" sheetId="6" r:id="rId4"/>
    <sheet name="sql" sheetId="7" r:id="rId5"/>
    <sheet name="No.394_工数見積もり_old" sheetId="4" state="hidden" r:id="rId6"/>
    <sheet name="作業工数_old" sheetId="3"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5" l="1"/>
  <c r="I33" i="5"/>
  <c r="I30" i="5"/>
  <c r="I28" i="5"/>
  <c r="I25" i="5"/>
  <c r="I22" i="5"/>
  <c r="I13" i="5"/>
  <c r="I11" i="5"/>
  <c r="B35" i="1"/>
  <c r="J28" i="5" l="1"/>
  <c r="J25" i="5"/>
  <c r="J22" i="5"/>
  <c r="J13" i="5"/>
  <c r="J11" i="5"/>
  <c r="H33" i="5"/>
  <c r="E33" i="5"/>
  <c r="H22" i="5"/>
  <c r="E28" i="5"/>
  <c r="H28" i="5" s="1"/>
  <c r="E25" i="5"/>
  <c r="H25" i="5" s="1"/>
  <c r="E22" i="5"/>
  <c r="E11" i="5"/>
  <c r="H11" i="5" s="1"/>
  <c r="E25" i="3"/>
  <c r="E22" i="3"/>
  <c r="E11" i="3"/>
  <c r="F19" i="3"/>
  <c r="F16" i="3"/>
  <c r="J33" i="5" l="1"/>
  <c r="E13" i="5"/>
  <c r="E14" i="3"/>
  <c r="E28" i="3" s="1"/>
  <c r="F31" i="5" l="1"/>
  <c r="E30" i="5" s="1"/>
  <c r="H30" i="5" s="1"/>
  <c r="H13" i="5"/>
</calcChain>
</file>

<file path=xl/sharedStrings.xml><?xml version="1.0" encoding="utf-8"?>
<sst xmlns="http://schemas.openxmlformats.org/spreadsheetml/2006/main" count="187" uniqueCount="122">
  <si>
    <t>No.394_工数見積もり</t>
  </si>
  <si>
    <t>当初のご要望内容</t>
    <rPh sb="0" eb="2">
      <t>トウショ</t>
    </rPh>
    <rPh sb="4" eb="6">
      <t>ヨウボウ</t>
    </rPh>
    <rPh sb="6" eb="8">
      <t>ナイヨウ</t>
    </rPh>
    <phoneticPr fontId="3"/>
  </si>
  <si>
    <t>関東第二支店では、販売部から提供頂いたデータをもとに、下記の通り各SSの黒本ポータルの利用状況を把握しております。</t>
  </si>
  <si>
    <t>上記のデータに加えてSSが黒本ポータルを利用するにあたり、「（在庫増減確認の）□にチェックを入れたか」を把握したい、と考えております。</t>
  </si>
  <si>
    <t>＊在庫登録だけでなく、在庫増減数量及び増減率を「確認」しないと、漏洩管理を実施したことにならない為</t>
  </si>
  <si>
    <t>つきましては、以下３点が相談事項となります。</t>
  </si>
  <si>
    <t>１．    月１回、黒本ポータル登録SSで「（在庫増減確認の）□」にチェックを入れているかどうか確認したい。</t>
    <phoneticPr fontId="3"/>
  </si>
  <si>
    <t>２．   出来れば日別で把握したい。</t>
  </si>
  <si>
    <t>３．   上記２点をエクセルデータで頂きたい。</t>
  </si>
  <si>
    <t>ご確認事項</t>
    <rPh sb="1" eb="3">
      <t>カクニン</t>
    </rPh>
    <rPh sb="3" eb="5">
      <t>ジコウ</t>
    </rPh>
    <phoneticPr fontId="3"/>
  </si>
  <si>
    <t>Box\apollostationポータル構築プロジェクト\42_黒本ポータル構築PJ（システムエグゼ様 × 出光）\11_保守\【No.394】黒本ポータル利用実績について\システムエグゼ調査\確認事項一覧.xlsx</t>
    <phoneticPr fontId="3"/>
  </si>
  <si>
    <t>要件整理</t>
    <rPh sb="0" eb="2">
      <t>ヨウケン</t>
    </rPh>
    <rPh sb="2" eb="4">
      <t>セイリ</t>
    </rPh>
    <phoneticPr fontId="3"/>
  </si>
  <si>
    <t>１．　月２回、黒本ポータル登録SSで「（在庫増減確認の）□」にチェックをいれているかどうか確認したい。</t>
    <rPh sb="3" eb="4">
      <t>ツキ</t>
    </rPh>
    <rPh sb="5" eb="6">
      <t>カイ</t>
    </rPh>
    <rPh sb="7" eb="9">
      <t>クロホン</t>
    </rPh>
    <rPh sb="13" eb="15">
      <t>トウロク</t>
    </rPh>
    <rPh sb="20" eb="26">
      <t>ザイコゾウゲンカクニン</t>
    </rPh>
    <rPh sb="45" eb="47">
      <t>カクニン</t>
    </rPh>
    <phoneticPr fontId="3"/>
  </si>
  <si>
    <t>　　（例１～１５日分を次の営業日の午前中、１６～末分を次の営業日の午前中）在庫入力、在庫管理実施状況の「○」は、それぞれ、１～１５日及び１６～末日で１回でも実施すれば「○」）</t>
    <rPh sb="3" eb="4">
      <t>レイ</t>
    </rPh>
    <rPh sb="8" eb="10">
      <t>ニチブン</t>
    </rPh>
    <rPh sb="11" eb="12">
      <t>ツギ</t>
    </rPh>
    <rPh sb="13" eb="16">
      <t>エイギョウビ</t>
    </rPh>
    <rPh sb="17" eb="20">
      <t>ゴゼンチュウ</t>
    </rPh>
    <rPh sb="24" eb="25">
      <t>マツ</t>
    </rPh>
    <rPh sb="25" eb="26">
      <t>ブン</t>
    </rPh>
    <rPh sb="27" eb="28">
      <t>ツギ</t>
    </rPh>
    <rPh sb="29" eb="32">
      <t>エイギョウビ</t>
    </rPh>
    <rPh sb="37" eb="41">
      <t>ザイコニュウリョク</t>
    </rPh>
    <rPh sb="42" eb="50">
      <t>ザイコカンリジッシジョウキョウ</t>
    </rPh>
    <rPh sb="65" eb="66">
      <t>ニチ</t>
    </rPh>
    <rPh sb="66" eb="67">
      <t>オヨ</t>
    </rPh>
    <rPh sb="71" eb="73">
      <t>マツジツ</t>
    </rPh>
    <rPh sb="75" eb="76">
      <t>カイ</t>
    </rPh>
    <rPh sb="78" eb="80">
      <t>ジッシ</t>
    </rPh>
    <phoneticPr fontId="3"/>
  </si>
  <si>
    <t>２．　現状出力している利用状況データの項目「No.1_CD」～「在庫登録」に「在庫増減確認」を追加する。</t>
    <phoneticPr fontId="3"/>
  </si>
  <si>
    <t>　　また、項目「毎日・毎週点検登録」～「在庫増減登録」の〇は対象月に登録されたものに〇を付ける</t>
    <phoneticPr fontId="3"/>
  </si>
  <si>
    <t>３．　フォーマットは現状出力している利用状況データと同じ。</t>
  </si>
  <si>
    <t>４．　現状提供している利用状況データ(下記)と同様の流れでのご提供とする。</t>
    <rPh sb="3" eb="5">
      <t>ゲンジョウ</t>
    </rPh>
    <rPh sb="5" eb="7">
      <t>テイキョウ</t>
    </rPh>
    <rPh sb="11" eb="13">
      <t>リヨウ</t>
    </rPh>
    <rPh sb="13" eb="15">
      <t>ジョウキョウ</t>
    </rPh>
    <rPh sb="19" eb="21">
      <t>カキ</t>
    </rPh>
    <rPh sb="23" eb="25">
      <t>ドウヨウ</t>
    </rPh>
    <rPh sb="26" eb="27">
      <t>ナガ</t>
    </rPh>
    <rPh sb="31" eb="33">
      <t>テイキョウ</t>
    </rPh>
    <phoneticPr fontId="3"/>
  </si>
  <si>
    <t>お見積もり工数(人日)</t>
    <rPh sb="1" eb="3">
      <t>ミツ</t>
    </rPh>
    <rPh sb="5" eb="7">
      <t>コウスウ</t>
    </rPh>
    <rPh sb="8" eb="9">
      <t>ヒト</t>
    </rPh>
    <rPh sb="9" eb="10">
      <t>ニチ</t>
    </rPh>
    <phoneticPr fontId="3"/>
  </si>
  <si>
    <t>人日</t>
    <rPh sb="0" eb="1">
      <t>ヒト</t>
    </rPh>
    <rPh sb="1" eb="2">
      <t>ニチ</t>
    </rPh>
    <phoneticPr fontId="3"/>
  </si>
  <si>
    <t>詳細は下記参照ください。</t>
    <rPh sb="0" eb="2">
      <t>ショウサイ</t>
    </rPh>
    <rPh sb="3" eb="5">
      <t>カキ</t>
    </rPh>
    <rPh sb="5" eb="7">
      <t>サンショウ</t>
    </rPh>
    <phoneticPr fontId="3"/>
  </si>
  <si>
    <t>作業工数</t>
    <rPh sb="0" eb="4">
      <t>サギョウコウスウ</t>
    </rPh>
    <phoneticPr fontId="3"/>
  </si>
  <si>
    <t>■単価</t>
    <rPh sb="1" eb="3">
      <t>タンカ</t>
    </rPh>
    <phoneticPr fontId="3"/>
  </si>
  <si>
    <t>管理</t>
    <rPh sb="0" eb="2">
      <t>カンリ</t>
    </rPh>
    <phoneticPr fontId="3"/>
  </si>
  <si>
    <t>管理以外</t>
    <rPh sb="0" eb="4">
      <t>カンリイガイ</t>
    </rPh>
    <phoneticPr fontId="3"/>
  </si>
  <si>
    <t>前提</t>
    <rPh sb="0" eb="2">
      <t>ゼンテイ</t>
    </rPh>
    <phoneticPr fontId="3"/>
  </si>
  <si>
    <t>NASサーバとして使用するサーバと出力先フォルダが現状提供している利用状況データと同じであること。</t>
    <rPh sb="9" eb="11">
      <t>シヨウ</t>
    </rPh>
    <rPh sb="17" eb="20">
      <t>シュツリョクサキ</t>
    </rPh>
    <rPh sb="25" eb="27">
      <t>ゲンジョウ</t>
    </rPh>
    <phoneticPr fontId="3"/>
  </si>
  <si>
    <t>※別フォルダにするのであれば改修内容も修正が必要</t>
    <rPh sb="1" eb="2">
      <t>ベツ</t>
    </rPh>
    <rPh sb="14" eb="16">
      <t>カイシュウ</t>
    </rPh>
    <rPh sb="16" eb="18">
      <t>ナイヨウ</t>
    </rPh>
    <rPh sb="19" eb="21">
      <t>シュウセイ</t>
    </rPh>
    <rPh sb="22" eb="24">
      <t>ヒツヨウ</t>
    </rPh>
    <phoneticPr fontId="3"/>
  </si>
  <si>
    <t>Excelマクロツールは利用状況データで使用しているものを改修すること。</t>
    <rPh sb="20" eb="22">
      <t>シヨウ</t>
    </rPh>
    <rPh sb="29" eb="31">
      <t>カイシュウ</t>
    </rPh>
    <phoneticPr fontId="3"/>
  </si>
  <si>
    <t>工数</t>
    <rPh sb="0" eb="2">
      <t>コウスウ</t>
    </rPh>
    <phoneticPr fontId="3"/>
  </si>
  <si>
    <t>行程</t>
    <rPh sb="0" eb="2">
      <t>コウテイ</t>
    </rPh>
    <phoneticPr fontId="3"/>
  </si>
  <si>
    <t>工数
(人時)</t>
    <rPh sb="0" eb="2">
      <t>コウスウ</t>
    </rPh>
    <rPh sb="4" eb="5">
      <t>ヒト</t>
    </rPh>
    <rPh sb="5" eb="6">
      <t>ジ</t>
    </rPh>
    <phoneticPr fontId="3"/>
  </si>
  <si>
    <t>工数
(人日)</t>
    <rPh sb="0" eb="2">
      <t>コウスウ</t>
    </rPh>
    <rPh sb="4" eb="6">
      <t>ニンニチ</t>
    </rPh>
    <phoneticPr fontId="3"/>
  </si>
  <si>
    <t>工数
(人月)</t>
    <rPh sb="0" eb="2">
      <t>コウスウ</t>
    </rPh>
    <rPh sb="4" eb="6">
      <t>ニンゲツ</t>
    </rPh>
    <phoneticPr fontId="3"/>
  </si>
  <si>
    <t>金額</t>
    <rPh sb="0" eb="2">
      <t>キンガク</t>
    </rPh>
    <phoneticPr fontId="3"/>
  </si>
  <si>
    <t>メモ</t>
    <phoneticPr fontId="3"/>
  </si>
  <si>
    <t>設計</t>
    <rPh sb="0" eb="2">
      <t>セッケイ</t>
    </rPh>
    <phoneticPr fontId="3"/>
  </si>
  <si>
    <t>バッチ仕様書</t>
    <rPh sb="3" eb="6">
      <t>シヨウショ</t>
    </rPh>
    <phoneticPr fontId="3"/>
  </si>
  <si>
    <t>実装・単体テスト</t>
    <rPh sb="0" eb="2">
      <t>ジッソウ</t>
    </rPh>
    <rPh sb="3" eb="5">
      <t>タンタイ</t>
    </rPh>
    <phoneticPr fontId="3"/>
  </si>
  <si>
    <t>ジョブ</t>
    <phoneticPr fontId="3"/>
  </si>
  <si>
    <t>batファイル</t>
    <phoneticPr fontId="3"/>
  </si>
  <si>
    <t>サーバ処理</t>
    <rPh sb="3" eb="5">
      <t>ショリ</t>
    </rPh>
    <phoneticPr fontId="3"/>
  </si>
  <si>
    <t>実装</t>
    <rPh sb="0" eb="2">
      <t>ジッソウ</t>
    </rPh>
    <phoneticPr fontId="3"/>
  </si>
  <si>
    <t>BatchService, Service, application.yml(リリース時の差替え用のymlファイルも修正必要)</t>
    <rPh sb="43" eb="44">
      <t>ジ</t>
    </rPh>
    <rPh sb="45" eb="46">
      <t>サ</t>
    </rPh>
    <rPh sb="46" eb="47">
      <t>カ</t>
    </rPh>
    <rPh sb="48" eb="49">
      <t>ヨウ</t>
    </rPh>
    <rPh sb="58" eb="60">
      <t>シュウセイ</t>
    </rPh>
    <rPh sb="60" eb="62">
      <t>ヒツヨウ</t>
    </rPh>
    <phoneticPr fontId="3"/>
  </si>
  <si>
    <t>単体テスト</t>
    <rPh sb="0" eb="2">
      <t>タンタイ</t>
    </rPh>
    <phoneticPr fontId="3"/>
  </si>
  <si>
    <t>※出力日のパターンについては、current_dateを変更することができないので、sqlの日付部分を変更したjarを作成して実施する</t>
    <rPh sb="59" eb="61">
      <t>サクセイ</t>
    </rPh>
    <phoneticPr fontId="3"/>
  </si>
  <si>
    <t>Excelマクロ</t>
    <phoneticPr fontId="3"/>
  </si>
  <si>
    <t>現行ファイルを改修する想定</t>
    <rPh sb="0" eb="2">
      <t>ゲンコウ</t>
    </rPh>
    <rPh sb="7" eb="9">
      <t>カイシュウ</t>
    </rPh>
    <rPh sb="11" eb="13">
      <t>ソウテイ</t>
    </rPh>
    <phoneticPr fontId="3"/>
  </si>
  <si>
    <t>現行ファイル改修</t>
    <rPh sb="0" eb="2">
      <t>ゲンコウ</t>
    </rPh>
    <rPh sb="6" eb="8">
      <t>カイシュウ</t>
    </rPh>
    <phoneticPr fontId="3"/>
  </si>
  <si>
    <t>用途選択方式の追加、用途による取得ファイルの切替え、用途によるテンプレート(レイアウト)の切替え</t>
    <rPh sb="0" eb="2">
      <t>ヨウト</t>
    </rPh>
    <rPh sb="2" eb="4">
      <t>センタク</t>
    </rPh>
    <rPh sb="4" eb="6">
      <t>ホウシキ</t>
    </rPh>
    <rPh sb="7" eb="9">
      <t>ツイカ</t>
    </rPh>
    <rPh sb="10" eb="12">
      <t>ヨウト</t>
    </rPh>
    <rPh sb="15" eb="17">
      <t>シュトク</t>
    </rPh>
    <rPh sb="22" eb="24">
      <t>キリカエ</t>
    </rPh>
    <rPh sb="26" eb="28">
      <t>ヨウト</t>
    </rPh>
    <rPh sb="45" eb="47">
      <t>キリカエ</t>
    </rPh>
    <phoneticPr fontId="3"/>
  </si>
  <si>
    <t>Excelマクロツールの改修内容</t>
    <phoneticPr fontId="3"/>
  </si>
  <si>
    <t>高速化</t>
    <rPh sb="0" eb="3">
      <t>コウソクカ</t>
    </rPh>
    <phoneticPr fontId="3"/>
  </si>
  <si>
    <t>一般的な対処(描画を止める、自動計算の停止、イベント処理の停止、等)のみの想定</t>
    <rPh sb="0" eb="3">
      <t>イッパンテキ</t>
    </rPh>
    <rPh sb="4" eb="6">
      <t>タイショ</t>
    </rPh>
    <rPh sb="7" eb="9">
      <t>ビョウガ</t>
    </rPh>
    <rPh sb="10" eb="11">
      <t>ト</t>
    </rPh>
    <rPh sb="14" eb="18">
      <t>ジドウケイサン</t>
    </rPh>
    <rPh sb="19" eb="21">
      <t>テイシ</t>
    </rPh>
    <rPh sb="26" eb="28">
      <t>ショリ</t>
    </rPh>
    <rPh sb="29" eb="31">
      <t>テイシ</t>
    </rPh>
    <rPh sb="32" eb="33">
      <t>トウ</t>
    </rPh>
    <rPh sb="37" eb="39">
      <t>ソウテイ</t>
    </rPh>
    <phoneticPr fontId="3"/>
  </si>
  <si>
    <t>在庫増減確認シートの出力、利用状況シートの出力(デグレ確認)</t>
    <rPh sb="0" eb="4">
      <t>ザイコゾウゲン</t>
    </rPh>
    <rPh sb="4" eb="6">
      <t>カクニン</t>
    </rPh>
    <rPh sb="10" eb="12">
      <t>シュツリョク</t>
    </rPh>
    <rPh sb="21" eb="23">
      <t>シュツリョク</t>
    </rPh>
    <rPh sb="27" eb="29">
      <t>カクニン</t>
    </rPh>
    <phoneticPr fontId="3"/>
  </si>
  <si>
    <t>結合テスト</t>
    <rPh sb="0" eb="2">
      <t>ケツゴウ</t>
    </rPh>
    <phoneticPr fontId="3"/>
  </si>
  <si>
    <t>結合部分の確認を想定</t>
    <rPh sb="0" eb="2">
      <t>ケツゴウ</t>
    </rPh>
    <rPh sb="2" eb="4">
      <t>ブブン</t>
    </rPh>
    <rPh sb="5" eb="7">
      <t>カクニン</t>
    </rPh>
    <rPh sb="8" eb="10">
      <t>ソウテイ</t>
    </rPh>
    <phoneticPr fontId="3"/>
  </si>
  <si>
    <t>テスト仕様書</t>
    <rPh sb="3" eb="6">
      <t>シヨウショ</t>
    </rPh>
    <phoneticPr fontId="3"/>
  </si>
  <si>
    <t>項目作成(バッチ処理～Excelマクロ)、検証環境確認
本番の「\\10.180.0.106\015hanbai\黒本ポータル利用実績」フォルダへのアクセスを実際に行うかは要相談</t>
    <rPh sb="0" eb="4">
      <t>コウモクサクセイ</t>
    </rPh>
    <rPh sb="8" eb="10">
      <t>ショリ</t>
    </rPh>
    <rPh sb="21" eb="23">
      <t>ケンショウ</t>
    </rPh>
    <rPh sb="23" eb="25">
      <t>カンキョウ</t>
    </rPh>
    <rPh sb="25" eb="27">
      <t>カクニン</t>
    </rPh>
    <rPh sb="28" eb="30">
      <t>ホンバン</t>
    </rPh>
    <rPh sb="79" eb="81">
      <t>ジッサイ</t>
    </rPh>
    <rPh sb="82" eb="83">
      <t>オコナ</t>
    </rPh>
    <rPh sb="86" eb="89">
      <t>ヨウソウダン</t>
    </rPh>
    <phoneticPr fontId="3"/>
  </si>
  <si>
    <t>実施</t>
    <rPh sb="0" eb="2">
      <t>ジッシ</t>
    </rPh>
    <phoneticPr fontId="3"/>
  </si>
  <si>
    <t>リリース作業</t>
    <rPh sb="4" eb="6">
      <t>サギョウ</t>
    </rPh>
    <phoneticPr fontId="3"/>
  </si>
  <si>
    <t>リリース手順書</t>
    <rPh sb="4" eb="7">
      <t>テジュンショ</t>
    </rPh>
    <phoneticPr fontId="3"/>
  </si>
  <si>
    <t>実施者とバックチェック者の2名分</t>
    <rPh sb="0" eb="3">
      <t>ジッシシャ</t>
    </rPh>
    <rPh sb="11" eb="12">
      <t>シャ</t>
    </rPh>
    <rPh sb="14" eb="16">
      <t>メイブン</t>
    </rPh>
    <phoneticPr fontId="3"/>
  </si>
  <si>
    <t>リリース後の問合せ対応</t>
    <rPh sb="4" eb="5">
      <t>ゴ</t>
    </rPh>
    <rPh sb="6" eb="8">
      <t>トイアワ</t>
    </rPh>
    <rPh sb="9" eb="11">
      <t>タイオウ</t>
    </rPh>
    <phoneticPr fontId="3"/>
  </si>
  <si>
    <t>問合せ対応</t>
    <rPh sb="0" eb="2">
      <t>トイアワ</t>
    </rPh>
    <rPh sb="3" eb="5">
      <t>タイオウ</t>
    </rPh>
    <phoneticPr fontId="3"/>
  </si>
  <si>
    <t>管理工数</t>
    <rPh sb="0" eb="4">
      <t>カンリコウスウ</t>
    </rPh>
    <phoneticPr fontId="3"/>
  </si>
  <si>
    <t>PJ管理</t>
    <rPh sb="2" eb="4">
      <t>カンリ</t>
    </rPh>
    <phoneticPr fontId="3"/>
  </si>
  <si>
    <t>合計</t>
    <rPh sb="0" eb="2">
      <t>ゴウケイ</t>
    </rPh>
    <phoneticPr fontId="3"/>
  </si>
  <si>
    <t>Excelマクロツールの改修内容</t>
    <rPh sb="12" eb="14">
      <t>カイシュウ</t>
    </rPh>
    <rPh sb="14" eb="16">
      <t>ナイヨウ</t>
    </rPh>
    <phoneticPr fontId="3"/>
  </si>
  <si>
    <t>「利用状況取込」シートにて、用途を選択できるようにします。</t>
    <rPh sb="1" eb="7">
      <t>リヨウジョウキョウトリコミ</t>
    </rPh>
    <rPh sb="14" eb="16">
      <t>ヨウト</t>
    </rPh>
    <rPh sb="17" eb="19">
      <t>センタク</t>
    </rPh>
    <phoneticPr fontId="3"/>
  </si>
  <si>
    <t>「利用状況」を選択した場合</t>
    <rPh sb="1" eb="3">
      <t>リヨウ</t>
    </rPh>
    <rPh sb="3" eb="5">
      <t>ジョウキョウ</t>
    </rPh>
    <rPh sb="7" eb="9">
      <t>センタク</t>
    </rPh>
    <rPh sb="11" eb="13">
      <t>バアイ</t>
    </rPh>
    <phoneticPr fontId="3"/>
  </si>
  <si>
    <t>「\\10.180.0.106\015hanbai\黒本ポータル利用実績」フォルダ内の「usage_survey_」のファイルを読込んで出力処理を実施します。</t>
    <rPh sb="41" eb="42">
      <t>ナイ</t>
    </rPh>
    <rPh sb="64" eb="66">
      <t>ヨミコ</t>
    </rPh>
    <rPh sb="68" eb="70">
      <t>シュツリョク</t>
    </rPh>
    <rPh sb="70" eb="72">
      <t>ショリ</t>
    </rPh>
    <rPh sb="73" eb="75">
      <t>ジッシ</t>
    </rPh>
    <phoneticPr fontId="3"/>
  </si>
  <si>
    <t>従来の利用状況シートを作成します。</t>
    <rPh sb="0" eb="2">
      <t>ジュウライ</t>
    </rPh>
    <rPh sb="3" eb="7">
      <t>リヨウジョウキョウ</t>
    </rPh>
    <rPh sb="11" eb="13">
      <t>サクセイ</t>
    </rPh>
    <phoneticPr fontId="3"/>
  </si>
  <si>
    <t>シート名は従来通りとします。</t>
    <rPh sb="3" eb="4">
      <t>メイ</t>
    </rPh>
    <rPh sb="5" eb="8">
      <t>ジュウライドオ</t>
    </rPh>
    <phoneticPr fontId="3"/>
  </si>
  <si>
    <t>「在庫増減確認」を選択した場合</t>
    <rPh sb="1" eb="7">
      <t>ザイコゾウゲンカクニン</t>
    </rPh>
    <rPh sb="9" eb="11">
      <t>センタク</t>
    </rPh>
    <rPh sb="13" eb="15">
      <t>バアイ</t>
    </rPh>
    <phoneticPr fontId="3"/>
  </si>
  <si>
    <t>「\\10.180.0.106\015hanbai\黒本ポータル利用実績」フォルダ内の「inventory_confirmation_survey_」のファイルを読込んで出力処理を実施します。</t>
    <rPh sb="41" eb="42">
      <t>ナイ</t>
    </rPh>
    <rPh sb="81" eb="83">
      <t>ヨミコ</t>
    </rPh>
    <rPh sb="85" eb="87">
      <t>シュツリョク</t>
    </rPh>
    <rPh sb="87" eb="89">
      <t>ショリ</t>
    </rPh>
    <rPh sb="90" eb="92">
      <t>ジッシ</t>
    </rPh>
    <phoneticPr fontId="3"/>
  </si>
  <si>
    <t>在庫増減確認シートを作成します。</t>
    <rPh sb="0" eb="4">
      <t>ザイコゾウゲン</t>
    </rPh>
    <rPh sb="4" eb="6">
      <t>カクニン</t>
    </rPh>
    <rPh sb="10" eb="12">
      <t>サクセイ</t>
    </rPh>
    <phoneticPr fontId="3"/>
  </si>
  <si>
    <t>シート名は年月日+「在庫増減確認」とします。</t>
    <rPh sb="3" eb="4">
      <t>メイ</t>
    </rPh>
    <rPh sb="5" eb="8">
      <t>ネンガッピ</t>
    </rPh>
    <rPh sb="10" eb="14">
      <t>ザイコゾウゲン</t>
    </rPh>
    <rPh sb="14" eb="16">
      <t>カクニン</t>
    </rPh>
    <phoneticPr fontId="3"/>
  </si>
  <si>
    <r>
      <t>select</t>
    </r>
    <r>
      <rPr>
        <sz val="10"/>
        <color theme="1"/>
        <rFont val="ＭＳ ゴシック"/>
        <family val="3"/>
        <charset val="128"/>
      </rPr>
      <t xml:space="preserve"> </t>
    </r>
  </si>
  <si>
    <r>
      <t xml:space="preserve">    ss</t>
    </r>
    <r>
      <rPr>
        <sz val="10"/>
        <color rgb="FF808080"/>
        <rFont val="ＭＳ ゴシック"/>
        <family val="3"/>
        <charset val="128"/>
      </rPr>
      <t>.</t>
    </r>
    <r>
      <rPr>
        <sz val="10"/>
        <color theme="1"/>
        <rFont val="ＭＳ ゴシック"/>
        <family val="3"/>
        <charset val="128"/>
      </rPr>
      <t xml:space="preserve">ref_no1 </t>
    </r>
    <r>
      <rPr>
        <sz val="10"/>
        <color rgb="FF0080FF"/>
        <rFont val="ＭＳ ゴシック"/>
        <family val="3"/>
        <charset val="128"/>
      </rPr>
      <t>as</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head</t>
    </r>
    <r>
      <rPr>
        <sz val="10"/>
        <color rgb="FF808080"/>
        <rFont val="ＭＳ ゴシック"/>
        <family val="3"/>
        <charset val="128"/>
      </rPr>
      <t>.</t>
    </r>
    <r>
      <rPr>
        <sz val="10"/>
        <color theme="1"/>
        <rFont val="ＭＳ ゴシック"/>
        <family val="3"/>
        <charset val="128"/>
      </rPr>
      <t xml:space="preserve">name </t>
    </r>
    <r>
      <rPr>
        <sz val="10"/>
        <color rgb="FF0080FF"/>
        <rFont val="ＭＳ ゴシック"/>
        <family val="3"/>
        <charset val="128"/>
      </rPr>
      <t>as</t>
    </r>
    <r>
      <rPr>
        <sz val="10"/>
        <color theme="1"/>
        <rFont val="ＭＳ ゴシック"/>
        <family val="3"/>
        <charset val="128"/>
      </rPr>
      <t xml:space="preserve"> torihikisaki_no1_nm</t>
    </r>
    <r>
      <rPr>
        <sz val="10"/>
        <color rgb="FF808080"/>
        <rFont val="ＭＳ ゴシック"/>
        <family val="3"/>
        <charset val="128"/>
      </rPr>
      <t>,</t>
    </r>
  </si>
  <si>
    <r>
      <t xml:space="preserve">    ss</t>
    </r>
    <r>
      <rPr>
        <sz val="10"/>
        <color rgb="FF808080"/>
        <rFont val="ＭＳ ゴシック"/>
        <family val="3"/>
        <charset val="128"/>
      </rPr>
      <t>.</t>
    </r>
    <r>
      <rPr>
        <sz val="10"/>
        <color theme="1"/>
        <rFont val="ＭＳ ゴシック"/>
        <family val="3"/>
        <charset val="128"/>
      </rPr>
      <t xml:space="preserve">no2_code </t>
    </r>
    <r>
      <rPr>
        <sz val="10"/>
        <color rgb="FF0080FF"/>
        <rFont val="ＭＳ ゴシック"/>
        <family val="3"/>
        <charset val="128"/>
      </rPr>
      <t>as</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 xml:space="preserve">name </t>
    </r>
    <r>
      <rPr>
        <sz val="10"/>
        <color rgb="FF0080FF"/>
        <rFont val="ＭＳ ゴシック"/>
        <family val="3"/>
        <charset val="128"/>
      </rPr>
      <t>as</t>
    </r>
    <r>
      <rPr>
        <sz val="10"/>
        <color theme="1"/>
        <rFont val="ＭＳ ゴシック"/>
        <family val="3"/>
        <charset val="128"/>
      </rPr>
      <t xml:space="preserve"> torihikisaki_no2_nm</t>
    </r>
    <r>
      <rPr>
        <sz val="10"/>
        <color rgb="FF808080"/>
        <rFont val="ＭＳ ゴシック"/>
        <family val="3"/>
        <charset val="128"/>
      </rPr>
      <t>,</t>
    </r>
  </si>
  <si>
    <r>
      <t xml:space="preserve">    ss</t>
    </r>
    <r>
      <rPr>
        <sz val="10"/>
        <color rgb="FF808080"/>
        <rFont val="ＭＳ ゴシック"/>
        <family val="3"/>
        <charset val="128"/>
      </rPr>
      <t>.</t>
    </r>
    <r>
      <rPr>
        <sz val="10"/>
        <color theme="1"/>
        <rFont val="ＭＳ ゴシック"/>
        <family val="3"/>
        <charset val="128"/>
      </rPr>
      <t>branch_code</t>
    </r>
    <r>
      <rPr>
        <sz val="10"/>
        <color rgb="FF808080"/>
        <rFont val="ＭＳ ゴシック"/>
        <family val="3"/>
        <charset val="128"/>
      </rPr>
      <t>,</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branch_name</t>
    </r>
    <r>
      <rPr>
        <sz val="10"/>
        <color rgb="FF808080"/>
        <rFont val="ＭＳ ゴシック"/>
        <family val="3"/>
        <charset val="128"/>
      </rPr>
      <t>,</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department_code</t>
    </r>
    <r>
      <rPr>
        <sz val="10"/>
        <color rgb="FF808080"/>
        <rFont val="ＭＳ ゴシック"/>
        <family val="3"/>
        <charset val="128"/>
      </rPr>
      <t>,</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department_name</t>
    </r>
    <r>
      <rPr>
        <sz val="10"/>
        <color rgb="FF808080"/>
        <rFont val="ＭＳ ゴシック"/>
        <family val="3"/>
        <charset val="128"/>
      </rPr>
      <t>,</t>
    </r>
  </si>
  <si>
    <r>
      <t xml:space="preserve">    ifnull</t>
    </r>
    <r>
      <rPr>
        <sz val="10"/>
        <color rgb="FF808080"/>
        <rFont val="ＭＳ ゴシック"/>
        <family val="3"/>
        <charset val="128"/>
      </rPr>
      <t>(</t>
    </r>
    <r>
      <rPr>
        <sz val="10"/>
        <color theme="1"/>
        <rFont val="ＭＳ ゴシック"/>
        <family val="3"/>
        <charset val="128"/>
      </rPr>
      <t>tank</t>
    </r>
    <r>
      <rPr>
        <sz val="10"/>
        <color rgb="FF808080"/>
        <rFont val="ＭＳ ゴシック"/>
        <family val="3"/>
        <charset val="128"/>
      </rPr>
      <t>.</t>
    </r>
    <r>
      <rPr>
        <sz val="10"/>
        <color theme="1"/>
        <rFont val="ＭＳ ゴシック"/>
        <family val="3"/>
        <charset val="128"/>
      </rPr>
      <t>tank_cnt</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0</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tank_cnt</t>
    </r>
    <r>
      <rPr>
        <sz val="10"/>
        <color rgb="FF808080"/>
        <rFont val="ＭＳ ゴシック"/>
        <family val="3"/>
        <charset val="128"/>
      </rPr>
      <t>,</t>
    </r>
  </si>
  <si>
    <r>
      <t xml:space="preserve">    </t>
    </r>
    <r>
      <rPr>
        <sz val="10"/>
        <color rgb="FF0080FF"/>
        <rFont val="ＭＳ ゴシック"/>
        <family val="3"/>
        <charset val="128"/>
      </rPr>
      <t>if</t>
    </r>
    <r>
      <rPr>
        <sz val="10"/>
        <color rgb="FF808080"/>
        <rFont val="ＭＳ ゴシック"/>
        <family val="3"/>
        <charset val="128"/>
      </rPr>
      <t>(</t>
    </r>
    <r>
      <rPr>
        <sz val="10"/>
        <color theme="1"/>
        <rFont val="ＭＳ ゴシック"/>
        <family val="3"/>
        <charset val="128"/>
      </rPr>
      <t>daily</t>
    </r>
    <r>
      <rPr>
        <sz val="10"/>
        <color rgb="FF808080"/>
        <rFont val="ＭＳ ゴシック"/>
        <family val="3"/>
        <charset val="128"/>
      </rPr>
      <t>.</t>
    </r>
    <r>
      <rPr>
        <sz val="10"/>
        <color theme="1"/>
        <rFont val="ＭＳ ゴシック"/>
        <family val="3"/>
        <charset val="128"/>
      </rPr>
      <t xml:space="preserve">daily_cnt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0</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'〇'</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daily_cnt</t>
    </r>
    <r>
      <rPr>
        <sz val="10"/>
        <color rgb="FF808080"/>
        <rFont val="ＭＳ ゴシック"/>
        <family val="3"/>
        <charset val="128"/>
      </rPr>
      <t>,</t>
    </r>
  </si>
  <si>
    <r>
      <t xml:space="preserve">    </t>
    </r>
    <r>
      <rPr>
        <sz val="10"/>
        <color rgb="FF0080FF"/>
        <rFont val="ＭＳ ゴシック"/>
        <family val="3"/>
        <charset val="128"/>
      </rPr>
      <t>if</t>
    </r>
    <r>
      <rPr>
        <sz val="10"/>
        <color rgb="FF808080"/>
        <rFont val="ＭＳ ゴシック"/>
        <family val="3"/>
        <charset val="128"/>
      </rPr>
      <t>(</t>
    </r>
    <r>
      <rPr>
        <sz val="10"/>
        <color theme="1"/>
        <rFont val="ＭＳ ゴシック"/>
        <family val="3"/>
        <charset val="128"/>
      </rPr>
      <t>monthly</t>
    </r>
    <r>
      <rPr>
        <sz val="10"/>
        <color rgb="FF808080"/>
        <rFont val="ＭＳ ゴシック"/>
        <family val="3"/>
        <charset val="128"/>
      </rPr>
      <t>.</t>
    </r>
    <r>
      <rPr>
        <sz val="10"/>
        <color theme="1"/>
        <rFont val="ＭＳ ゴシック"/>
        <family val="3"/>
        <charset val="128"/>
      </rPr>
      <t xml:space="preserve">monthly_cnt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0</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'〇'</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monthly_cnt</t>
    </r>
    <r>
      <rPr>
        <sz val="10"/>
        <color rgb="FF808080"/>
        <rFont val="ＭＳ ゴシック"/>
        <family val="3"/>
        <charset val="128"/>
      </rPr>
      <t>,</t>
    </r>
  </si>
  <si>
    <r>
      <t xml:space="preserve">    </t>
    </r>
    <r>
      <rPr>
        <sz val="10"/>
        <color rgb="FF0080FF"/>
        <rFont val="ＭＳ ゴシック"/>
        <family val="3"/>
        <charset val="128"/>
      </rPr>
      <t>if</t>
    </r>
    <r>
      <rPr>
        <sz val="10"/>
        <color rgb="FF808080"/>
        <rFont val="ＭＳ ゴシック"/>
        <family val="3"/>
        <charset val="128"/>
      </rPr>
      <t>(</t>
    </r>
    <r>
      <rPr>
        <sz val="10"/>
        <color theme="1"/>
        <rFont val="ＭＳ ゴシック"/>
        <family val="3"/>
        <charset val="128"/>
      </rPr>
      <t>half_year</t>
    </r>
    <r>
      <rPr>
        <sz val="10"/>
        <color rgb="FF808080"/>
        <rFont val="ＭＳ ゴシック"/>
        <family val="3"/>
        <charset val="128"/>
      </rPr>
      <t>.</t>
    </r>
    <r>
      <rPr>
        <sz val="10"/>
        <color theme="1"/>
        <rFont val="ＭＳ ゴシック"/>
        <family val="3"/>
        <charset val="128"/>
      </rPr>
      <t xml:space="preserve">half_year_cnt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0</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'〇'</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half_year_cnt</t>
    </r>
    <r>
      <rPr>
        <sz val="10"/>
        <color rgb="FF808080"/>
        <rFont val="ＭＳ ゴシック"/>
        <family val="3"/>
        <charset val="128"/>
      </rPr>
      <t>,</t>
    </r>
  </si>
  <si>
    <r>
      <t xml:space="preserve">    </t>
    </r>
    <r>
      <rPr>
        <sz val="10"/>
        <color rgb="FF0080FF"/>
        <rFont val="ＭＳ ゴシック"/>
        <family val="3"/>
        <charset val="128"/>
      </rPr>
      <t>if</t>
    </r>
    <r>
      <rPr>
        <sz val="10"/>
        <color rgb="FF808080"/>
        <rFont val="ＭＳ ゴシック"/>
        <family val="3"/>
        <charset val="128"/>
      </rPr>
      <t>(</t>
    </r>
    <r>
      <rPr>
        <sz val="10"/>
        <color theme="1"/>
        <rFont val="ＭＳ ゴシック"/>
        <family val="3"/>
        <charset val="128"/>
      </rPr>
      <t>inventory</t>
    </r>
    <r>
      <rPr>
        <sz val="10"/>
        <color rgb="FF808080"/>
        <rFont val="ＭＳ ゴシック"/>
        <family val="3"/>
        <charset val="128"/>
      </rPr>
      <t>.</t>
    </r>
    <r>
      <rPr>
        <sz val="10"/>
        <color theme="1"/>
        <rFont val="ＭＳ ゴシック"/>
        <family val="3"/>
        <charset val="128"/>
      </rPr>
      <t xml:space="preserve">inventory_cnt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0</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'〇'</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inventory_cnt</t>
    </r>
    <r>
      <rPr>
        <sz val="10"/>
        <color rgb="FF808080"/>
        <rFont val="ＭＳ ゴシック"/>
        <family val="3"/>
        <charset val="128"/>
      </rPr>
      <t>,</t>
    </r>
  </si>
  <si>
    <r>
      <t xml:space="preserve">    </t>
    </r>
    <r>
      <rPr>
        <sz val="10"/>
        <color rgb="FF0080FF"/>
        <rFont val="ＭＳ ゴシック"/>
        <family val="3"/>
        <charset val="128"/>
      </rPr>
      <t>if</t>
    </r>
    <r>
      <rPr>
        <sz val="10"/>
        <color rgb="FF808080"/>
        <rFont val="ＭＳ ゴシック"/>
        <family val="3"/>
        <charset val="128"/>
      </rPr>
      <t>(</t>
    </r>
    <r>
      <rPr>
        <sz val="10"/>
        <color theme="1"/>
        <rFont val="ＭＳ ゴシック"/>
        <family val="3"/>
        <charset val="128"/>
      </rPr>
      <t>pos_inspection_checked</t>
    </r>
    <r>
      <rPr>
        <sz val="10"/>
        <color rgb="FF808080"/>
        <rFont val="ＭＳ ゴシック"/>
        <family val="3"/>
        <charset val="128"/>
      </rPr>
      <t>.</t>
    </r>
    <r>
      <rPr>
        <sz val="10"/>
        <color theme="1"/>
        <rFont val="ＭＳ ゴシック"/>
        <family val="3"/>
        <charset val="128"/>
      </rPr>
      <t xml:space="preserve">pos_inspection_cnt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0</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'〇'</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pos_inspection_checked</t>
    </r>
  </si>
  <si>
    <r>
      <t>from</t>
    </r>
    <r>
      <rPr>
        <sz val="10"/>
        <color theme="1"/>
        <rFont val="ＭＳ ゴシック"/>
        <family val="3"/>
        <charset val="128"/>
      </rPr>
      <t xml:space="preserve"> m_dealership_ss </t>
    </r>
    <r>
      <rPr>
        <sz val="10"/>
        <color rgb="FF0080FF"/>
        <rFont val="ＭＳ ゴシック"/>
        <family val="3"/>
        <charset val="128"/>
      </rPr>
      <t>as</t>
    </r>
    <r>
      <rPr>
        <sz val="10"/>
        <color theme="1"/>
        <rFont val="ＭＳ ゴシック"/>
        <family val="3"/>
        <charset val="128"/>
      </rPr>
      <t xml:space="preserve"> ss</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</si>
  <si>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m_dealership_head </t>
    </r>
    <r>
      <rPr>
        <sz val="10"/>
        <color rgb="FF0080FF"/>
        <rFont val="ＭＳ ゴシック"/>
        <family val="3"/>
        <charset val="128"/>
      </rPr>
      <t>as</t>
    </r>
    <r>
      <rPr>
        <sz val="10"/>
        <color theme="1"/>
        <rFont val="ＭＳ ゴシック"/>
        <family val="3"/>
        <charset val="128"/>
      </rPr>
      <t xml:space="preserve"> head </t>
    </r>
    <r>
      <rPr>
        <sz val="10"/>
        <color rgb="FF0080FF"/>
        <rFont val="ＭＳ ゴシック"/>
        <family val="3"/>
        <charset val="128"/>
      </rPr>
      <t>on</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 xml:space="preserve">ref_no1 </t>
    </r>
    <r>
      <rPr>
        <sz val="10"/>
        <color rgb="FF808080"/>
        <rFont val="ＭＳ ゴシック"/>
        <family val="3"/>
        <charset val="128"/>
      </rPr>
      <t>=</t>
    </r>
    <r>
      <rPr>
        <sz val="10"/>
        <color theme="1"/>
        <rFont val="ＭＳ ゴシック"/>
        <family val="3"/>
        <charset val="128"/>
      </rPr>
      <t xml:space="preserve"> head</t>
    </r>
    <r>
      <rPr>
        <sz val="10"/>
        <color rgb="FF808080"/>
        <rFont val="ＭＳ ゴシック"/>
        <family val="3"/>
        <charset val="128"/>
      </rPr>
      <t>.</t>
    </r>
    <r>
      <rPr>
        <sz val="10"/>
        <color theme="1"/>
        <rFont val="ＭＳ ゴシック"/>
        <family val="3"/>
        <charset val="128"/>
      </rPr>
      <t>no1_code</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</si>
  <si>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select</t>
    </r>
    <r>
      <rPr>
        <sz val="10"/>
        <color theme="1"/>
        <rFont val="ＭＳ ゴシック"/>
        <family val="3"/>
        <charset val="128"/>
      </rPr>
      <t xml:space="preserve"> torihikisaki_no1_cd </t>
    </r>
    <r>
      <rPr>
        <sz val="10"/>
        <color rgb="FF0080FF"/>
        <rFont val="ＭＳ ゴシック"/>
        <family val="3"/>
        <charset val="128"/>
      </rPr>
      <t>as</t>
    </r>
    <r>
      <rPr>
        <sz val="10"/>
        <color theme="1"/>
        <rFont val="ＭＳ ゴシック"/>
        <family val="3"/>
        <charset val="128"/>
      </rPr>
      <t xml:space="preserve"> ref_no1</t>
    </r>
    <r>
      <rPr>
        <sz val="10"/>
        <color rgb="FF808080"/>
        <rFont val="ＭＳ ゴシック"/>
        <family val="3"/>
        <charset val="128"/>
      </rPr>
      <t>,</t>
    </r>
    <r>
      <rPr>
        <sz val="10"/>
        <color theme="1"/>
        <rFont val="ＭＳ ゴシック"/>
        <family val="3"/>
        <charset val="128"/>
      </rPr>
      <t xml:space="preserve"> torihikisaki_no2_cd </t>
    </r>
    <r>
      <rPr>
        <sz val="10"/>
        <color rgb="FF0080FF"/>
        <rFont val="ＭＳ ゴシック"/>
        <family val="3"/>
        <charset val="128"/>
      </rPr>
      <t>as</t>
    </r>
    <r>
      <rPr>
        <sz val="10"/>
        <color theme="1"/>
        <rFont val="ＭＳ ゴシック"/>
        <family val="3"/>
        <charset val="128"/>
      </rPr>
      <t xml:space="preserve"> no2_code</t>
    </r>
    <r>
      <rPr>
        <sz val="10"/>
        <color rgb="FF808080"/>
        <rFont val="ＭＳ ゴシック"/>
        <family val="3"/>
        <charset val="128"/>
      </rPr>
      <t>,</t>
    </r>
    <r>
      <rPr>
        <sz val="10"/>
        <color theme="1"/>
        <rFont val="ＭＳ ゴシック"/>
        <family val="3"/>
        <charset val="128"/>
      </rPr>
      <t xml:space="preserve"> count</t>
    </r>
    <r>
      <rPr>
        <sz val="10"/>
        <color rgb="FF808080"/>
        <rFont val="ＭＳ ゴシック"/>
        <family val="3"/>
        <charset val="128"/>
      </rPr>
      <t>(</t>
    </r>
    <r>
      <rPr>
        <sz val="10"/>
        <color theme="1"/>
        <rFont val="ＭＳ ゴシック"/>
        <family val="3"/>
        <charset val="128"/>
      </rPr>
      <t>tank_id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tank_cnt </t>
    </r>
    <r>
      <rPr>
        <sz val="10"/>
        <color rgb="FF0080FF"/>
        <rFont val="ＭＳ ゴシック"/>
        <family val="3"/>
        <charset val="128"/>
      </rPr>
      <t>from</t>
    </r>
    <r>
      <rPr>
        <sz val="10"/>
        <color theme="1"/>
        <rFont val="ＭＳ ゴシック"/>
        <family val="3"/>
        <charset val="128"/>
      </rPr>
      <t xml:space="preserve"> m_tank </t>
    </r>
    <r>
      <rPr>
        <sz val="10"/>
        <color rgb="FF0080FF"/>
        <rFont val="ＭＳ ゴシック"/>
        <family val="3"/>
        <charset val="128"/>
      </rPr>
      <t>group</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tank</t>
    </r>
  </si>
  <si>
    <r>
      <t>using</t>
    </r>
    <r>
      <rPr>
        <sz val="10"/>
        <color theme="1"/>
        <rFont val="ＭＳ ゴシック"/>
        <family val="3"/>
        <charset val="128"/>
      </rPr>
      <t xml:space="preserve"> </t>
    </r>
    <r>
      <rPr>
        <sz val="10"/>
        <color rgb="FF808080"/>
        <rFont val="ＭＳ ゴシック"/>
        <family val="3"/>
        <charset val="128"/>
      </rPr>
      <t>(</t>
    </r>
    <r>
      <rPr>
        <sz val="10"/>
        <color theme="1"/>
        <rFont val="ＭＳ ゴシック"/>
        <family val="3"/>
        <charset val="128"/>
      </rPr>
      <t>ref_no1</t>
    </r>
    <r>
      <rPr>
        <sz val="10"/>
        <color rgb="FF808080"/>
        <rFont val="ＭＳ ゴシック"/>
        <family val="3"/>
        <charset val="128"/>
      </rPr>
      <t>,</t>
    </r>
    <r>
      <rPr>
        <sz val="10"/>
        <color theme="1"/>
        <rFont val="ＭＳ ゴシック"/>
        <family val="3"/>
        <charset val="128"/>
      </rPr>
      <t xml:space="preserve"> no2_code</t>
    </r>
    <r>
      <rPr>
        <sz val="10"/>
        <color rgb="FF808080"/>
        <rFont val="ＭＳ ゴシック"/>
        <family val="3"/>
        <charset val="128"/>
      </rPr>
      <t>)</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</si>
  <si>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select</t>
    </r>
    <r>
      <rPr>
        <sz val="10"/>
        <color theme="1"/>
        <rFont val="ＭＳ ゴシック"/>
        <family val="3"/>
        <charset val="128"/>
      </rPr>
      <t xml:space="preserve"> torihikisaki_no1_cd </t>
    </r>
    <r>
      <rPr>
        <sz val="10"/>
        <color rgb="FF0080FF"/>
        <rFont val="ＭＳ ゴシック"/>
        <family val="3"/>
        <charset val="128"/>
      </rPr>
      <t>as</t>
    </r>
    <r>
      <rPr>
        <sz val="10"/>
        <color theme="1"/>
        <rFont val="ＭＳ ゴシック"/>
        <family val="3"/>
        <charset val="128"/>
      </rPr>
      <t xml:space="preserve"> ref_no1</t>
    </r>
    <r>
      <rPr>
        <sz val="10"/>
        <color rgb="FF808080"/>
        <rFont val="ＭＳ ゴシック"/>
        <family val="3"/>
        <charset val="128"/>
      </rPr>
      <t>,</t>
    </r>
    <r>
      <rPr>
        <sz val="10"/>
        <color theme="1"/>
        <rFont val="ＭＳ ゴシック"/>
        <family val="3"/>
        <charset val="128"/>
      </rPr>
      <t xml:space="preserve"> torihikisaki_no2_cd </t>
    </r>
    <r>
      <rPr>
        <sz val="10"/>
        <color rgb="FF0080FF"/>
        <rFont val="ＭＳ ゴシック"/>
        <family val="3"/>
        <charset val="128"/>
      </rPr>
      <t>as</t>
    </r>
    <r>
      <rPr>
        <sz val="10"/>
        <color theme="1"/>
        <rFont val="ＭＳ ゴシック"/>
        <family val="3"/>
        <charset val="128"/>
      </rPr>
      <t xml:space="preserve"> no2_code</t>
    </r>
    <r>
      <rPr>
        <sz val="10"/>
        <color rgb="FF808080"/>
        <rFont val="ＭＳ ゴシック"/>
        <family val="3"/>
        <charset val="128"/>
      </rPr>
      <t>,</t>
    </r>
    <r>
      <rPr>
        <sz val="10"/>
        <color theme="1"/>
        <rFont val="ＭＳ ゴシック"/>
        <family val="3"/>
        <charset val="128"/>
      </rPr>
      <t xml:space="preserve"> count</t>
    </r>
    <r>
      <rPr>
        <sz val="10"/>
        <color rgb="FF808080"/>
        <rFont val="ＭＳ ゴシック"/>
        <family val="3"/>
        <charset val="128"/>
      </rPr>
      <t>(</t>
    </r>
    <r>
      <rPr>
        <sz val="10"/>
        <color theme="1"/>
        <rFont val="ＭＳ ゴシック"/>
        <family val="3"/>
        <charset val="128"/>
      </rPr>
      <t>inspection_date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daily_cnt </t>
    </r>
    <r>
      <rPr>
        <sz val="10"/>
        <color rgb="FF0080FF"/>
        <rFont val="ＭＳ ゴシック"/>
        <family val="3"/>
        <charset val="128"/>
      </rPr>
      <t>FROM</t>
    </r>
    <r>
      <rPr>
        <sz val="10"/>
        <color theme="1"/>
        <rFont val="ＭＳ ゴシック"/>
        <family val="3"/>
        <charset val="128"/>
      </rPr>
      <t xml:space="preserve"> daily_inspection </t>
    </r>
  </si>
  <si>
    <r>
      <t xml:space="preserve">            </t>
    </r>
    <r>
      <rPr>
        <sz val="10"/>
        <color rgb="FF0080FF"/>
        <rFont val="ＭＳ ゴシック"/>
        <family val="3"/>
        <charset val="128"/>
      </rPr>
      <t>where</t>
    </r>
    <r>
      <rPr>
        <sz val="10"/>
        <color theme="1"/>
        <rFont val="ＭＳ ゴシック"/>
        <family val="3"/>
        <charset val="128"/>
      </rPr>
      <t xml:space="preserve"> inspection_date </t>
    </r>
    <r>
      <rPr>
        <sz val="10"/>
        <color rgb="FF0080FF"/>
        <rFont val="ＭＳ ゴシック"/>
        <family val="3"/>
        <charset val="128"/>
      </rPr>
      <t>between</t>
    </r>
    <r>
      <rPr>
        <sz val="10"/>
        <color theme="1"/>
        <rFont val="ＭＳ ゴシック"/>
        <family val="3"/>
        <charset val="128"/>
      </rPr>
      <t xml:space="preserve"> </t>
    </r>
  </si>
  <si>
    <r>
      <t xml:space="preserve">            </t>
    </r>
    <r>
      <rPr>
        <sz val="10"/>
        <color rgb="FF808080"/>
        <rFont val="ＭＳ ゴシック"/>
        <family val="3"/>
        <charset val="128"/>
      </rPr>
      <t>(</t>
    </r>
    <r>
      <rPr>
        <sz val="10"/>
        <color rgb="FF0080FF"/>
        <rFont val="ＭＳ ゴシック"/>
        <family val="3"/>
        <charset val="128"/>
      </rPr>
      <t>case</t>
    </r>
    <r>
      <rPr>
        <sz val="10"/>
        <color theme="1"/>
        <rFont val="ＭＳ ゴシック"/>
        <family val="3"/>
        <charset val="128"/>
      </rPr>
      <t xml:space="preserve"> </t>
    </r>
    <r>
      <rPr>
        <sz val="10"/>
        <color rgb="FF0080FF"/>
        <rFont val="ＭＳ ゴシック"/>
        <family val="3"/>
        <charset val="128"/>
      </rPr>
      <t>when</t>
    </r>
    <r>
      <rPr>
        <sz val="10"/>
        <color theme="1"/>
        <rFont val="ＭＳ ゴシック"/>
        <family val="3"/>
        <charset val="128"/>
      </rPr>
      <t xml:space="preserve"> </t>
    </r>
    <r>
      <rPr>
        <sz val="10"/>
        <color rgb="FF0080FF"/>
        <rFont val="ＭＳ ゴシック"/>
        <family val="3"/>
        <charset val="128"/>
      </rPr>
      <t>day</t>
    </r>
    <r>
      <rPr>
        <sz val="10"/>
        <color rgb="FF808080"/>
        <rFont val="ＭＳ ゴシック"/>
        <family val="3"/>
        <charset val="128"/>
      </rPr>
      <t>(</t>
    </r>
    <r>
      <rPr>
        <sz val="10"/>
        <color rgb="FF0080FF"/>
        <rFont val="ＭＳ ゴシック"/>
        <family val="3"/>
        <charset val="128"/>
      </rPr>
      <t>current_date</t>
    </r>
    <r>
      <rPr>
        <sz val="10"/>
        <color rgb="FF808080"/>
        <rFont val="ＭＳ ゴシック"/>
        <family val="3"/>
        <charset val="128"/>
      </rPr>
      <t>)</t>
    </r>
    <r>
      <rPr>
        <sz val="10"/>
        <color theme="1"/>
        <rFont val="ＭＳ ゴシック"/>
        <family val="3"/>
        <charset val="128"/>
      </rPr>
      <t xml:space="preserve">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16</t>
    </r>
    <r>
      <rPr>
        <sz val="10"/>
        <color theme="1"/>
        <rFont val="ＭＳ ゴシック"/>
        <family val="3"/>
        <charset val="128"/>
      </rPr>
      <t xml:space="preserve"> </t>
    </r>
    <r>
      <rPr>
        <sz val="10"/>
        <color rgb="FF0080FF"/>
        <rFont val="ＭＳ ゴシック"/>
        <family val="3"/>
        <charset val="128"/>
      </rPr>
      <t>then</t>
    </r>
    <r>
      <rPr>
        <sz val="10"/>
        <color theme="1"/>
        <rFont val="ＭＳ ゴシック"/>
        <family val="3"/>
        <charset val="128"/>
      </rPr>
      <t xml:space="preserve"> date_format</t>
    </r>
    <r>
      <rPr>
        <sz val="10"/>
        <color rgb="FF808080"/>
        <rFont val="ＭＳ ゴシック"/>
        <family val="3"/>
        <charset val="128"/>
      </rPr>
      <t>(</t>
    </r>
    <r>
      <rPr>
        <sz val="10"/>
        <color rgb="FF0080FF"/>
        <rFont val="ＭＳ ゴシック"/>
        <family val="3"/>
        <charset val="128"/>
      </rPr>
      <t>current_date</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'%Y-%m-01'</t>
    </r>
    <r>
      <rPr>
        <sz val="10"/>
        <color rgb="FF808080"/>
        <rFont val="ＭＳ ゴシック"/>
        <family val="3"/>
        <charset val="128"/>
      </rPr>
      <t>)</t>
    </r>
    <r>
      <rPr>
        <sz val="10"/>
        <color theme="1"/>
        <rFont val="ＭＳ ゴシック"/>
        <family val="3"/>
        <charset val="128"/>
      </rPr>
      <t xml:space="preserve"> </t>
    </r>
  </si>
  <si>
    <r>
      <t xml:space="preserve">                  </t>
    </r>
    <r>
      <rPr>
        <sz val="10"/>
        <color rgb="FF0080FF"/>
        <rFont val="ＭＳ ゴシック"/>
        <family val="3"/>
        <charset val="128"/>
      </rPr>
      <t>else</t>
    </r>
    <r>
      <rPr>
        <sz val="10"/>
        <color theme="1"/>
        <rFont val="ＭＳ ゴシック"/>
        <family val="3"/>
        <charset val="128"/>
      </rPr>
      <t xml:space="preserve"> date_format</t>
    </r>
    <r>
      <rPr>
        <sz val="10"/>
        <color rgb="FF808080"/>
        <rFont val="ＭＳ ゴシック"/>
        <family val="3"/>
        <charset val="128"/>
      </rPr>
      <t>(</t>
    </r>
    <r>
      <rPr>
        <sz val="10"/>
        <color theme="1"/>
        <rFont val="ＭＳ ゴシック"/>
        <family val="3"/>
        <charset val="128"/>
      </rPr>
      <t>date_sub</t>
    </r>
    <r>
      <rPr>
        <sz val="10"/>
        <color rgb="FF808080"/>
        <rFont val="ＭＳ ゴシック"/>
        <family val="3"/>
        <charset val="128"/>
      </rPr>
      <t>(</t>
    </r>
    <r>
      <rPr>
        <sz val="10"/>
        <color rgb="FF0080FF"/>
        <rFont val="ＭＳ ゴシック"/>
        <family val="3"/>
        <charset val="128"/>
      </rPr>
      <t>current_date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interval</t>
    </r>
    <r>
      <rPr>
        <sz val="10"/>
        <color theme="1"/>
        <rFont val="ＭＳ ゴシック"/>
        <family val="3"/>
        <charset val="128"/>
      </rPr>
      <t xml:space="preserve"> </t>
    </r>
    <r>
      <rPr>
        <sz val="10"/>
        <color rgb="FFFF2800"/>
        <rFont val="ＭＳ ゴシック"/>
        <family val="3"/>
        <charset val="128"/>
      </rPr>
      <t>1</t>
    </r>
    <r>
      <rPr>
        <sz val="10"/>
        <color theme="1"/>
        <rFont val="ＭＳ ゴシック"/>
        <family val="3"/>
        <charset val="128"/>
      </rPr>
      <t xml:space="preserve"> </t>
    </r>
    <r>
      <rPr>
        <sz val="10"/>
        <color rgb="FF0080FF"/>
        <rFont val="ＭＳ ゴシック"/>
        <family val="3"/>
        <charset val="128"/>
      </rPr>
      <t>month</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'%Y-%m-16'</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end</t>
    </r>
    <r>
      <rPr>
        <sz val="10"/>
        <color rgb="FF808080"/>
        <rFont val="ＭＳ ゴシック"/>
        <family val="3"/>
        <charset val="128"/>
      </rPr>
      <t>)</t>
    </r>
    <r>
      <rPr>
        <sz val="10"/>
        <color theme="1"/>
        <rFont val="ＭＳ ゴシック"/>
        <family val="3"/>
        <charset val="128"/>
      </rPr>
      <t xml:space="preserve"> </t>
    </r>
  </si>
  <si>
    <r>
      <t xml:space="preserve">            </t>
    </r>
    <r>
      <rPr>
        <sz val="10"/>
        <color rgb="FF0080FF"/>
        <rFont val="ＭＳ ゴシック"/>
        <family val="3"/>
        <charset val="128"/>
      </rPr>
      <t>and</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case</t>
    </r>
    <r>
      <rPr>
        <sz val="10"/>
        <color theme="1"/>
        <rFont val="ＭＳ ゴシック"/>
        <family val="3"/>
        <charset val="128"/>
      </rPr>
      <t xml:space="preserve"> </t>
    </r>
    <r>
      <rPr>
        <sz val="10"/>
        <color rgb="FF0080FF"/>
        <rFont val="ＭＳ ゴシック"/>
        <family val="3"/>
        <charset val="128"/>
      </rPr>
      <t>when</t>
    </r>
    <r>
      <rPr>
        <sz val="10"/>
        <color theme="1"/>
        <rFont val="ＭＳ ゴシック"/>
        <family val="3"/>
        <charset val="128"/>
      </rPr>
      <t xml:space="preserve"> </t>
    </r>
    <r>
      <rPr>
        <sz val="10"/>
        <color rgb="FF0080FF"/>
        <rFont val="ＭＳ ゴシック"/>
        <family val="3"/>
        <charset val="128"/>
      </rPr>
      <t>day</t>
    </r>
    <r>
      <rPr>
        <sz val="10"/>
        <color rgb="FF808080"/>
        <rFont val="ＭＳ ゴシック"/>
        <family val="3"/>
        <charset val="128"/>
      </rPr>
      <t>(</t>
    </r>
    <r>
      <rPr>
        <sz val="10"/>
        <color rgb="FF0080FF"/>
        <rFont val="ＭＳ ゴシック"/>
        <family val="3"/>
        <charset val="128"/>
      </rPr>
      <t>current_date</t>
    </r>
    <r>
      <rPr>
        <sz val="10"/>
        <color rgb="FF808080"/>
        <rFont val="ＭＳ ゴシック"/>
        <family val="3"/>
        <charset val="128"/>
      </rPr>
      <t>)</t>
    </r>
    <r>
      <rPr>
        <sz val="10"/>
        <color theme="1"/>
        <rFont val="ＭＳ ゴシック"/>
        <family val="3"/>
        <charset val="128"/>
      </rPr>
      <t xml:space="preserve"> </t>
    </r>
    <r>
      <rPr>
        <sz val="10"/>
        <color rgb="FF808080"/>
        <rFont val="ＭＳ ゴシック"/>
        <family val="3"/>
        <charset val="128"/>
      </rPr>
      <t>&gt;=</t>
    </r>
    <r>
      <rPr>
        <sz val="10"/>
        <color theme="1"/>
        <rFont val="ＭＳ ゴシック"/>
        <family val="3"/>
        <charset val="128"/>
      </rPr>
      <t xml:space="preserve"> </t>
    </r>
    <r>
      <rPr>
        <sz val="10"/>
        <color rgb="FFFF2800"/>
        <rFont val="ＭＳ ゴシック"/>
        <family val="3"/>
        <charset val="128"/>
      </rPr>
      <t>16</t>
    </r>
    <r>
      <rPr>
        <sz val="10"/>
        <color theme="1"/>
        <rFont val="ＭＳ ゴシック"/>
        <family val="3"/>
        <charset val="128"/>
      </rPr>
      <t xml:space="preserve"> </t>
    </r>
    <r>
      <rPr>
        <sz val="10"/>
        <color rgb="FF0080FF"/>
        <rFont val="ＭＳ ゴシック"/>
        <family val="3"/>
        <charset val="128"/>
      </rPr>
      <t>then</t>
    </r>
    <r>
      <rPr>
        <sz val="10"/>
        <color theme="1"/>
        <rFont val="ＭＳ ゴシック"/>
        <family val="3"/>
        <charset val="128"/>
      </rPr>
      <t xml:space="preserve"> date_format</t>
    </r>
    <r>
      <rPr>
        <sz val="10"/>
        <color rgb="FF808080"/>
        <rFont val="ＭＳ ゴシック"/>
        <family val="3"/>
        <charset val="128"/>
      </rPr>
      <t>(</t>
    </r>
    <r>
      <rPr>
        <sz val="10"/>
        <color rgb="FF0080FF"/>
        <rFont val="ＭＳ ゴシック"/>
        <family val="3"/>
        <charset val="128"/>
      </rPr>
      <t>current_date</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'%Y-%m-15'</t>
    </r>
    <r>
      <rPr>
        <sz val="10"/>
        <color rgb="FF808080"/>
        <rFont val="ＭＳ ゴシック"/>
        <family val="3"/>
        <charset val="128"/>
      </rPr>
      <t>)</t>
    </r>
  </si>
  <si>
    <r>
      <t xml:space="preserve">                  </t>
    </r>
    <r>
      <rPr>
        <sz val="10"/>
        <color rgb="FF0080FF"/>
        <rFont val="ＭＳ ゴシック"/>
        <family val="3"/>
        <charset val="128"/>
      </rPr>
      <t>else</t>
    </r>
    <r>
      <rPr>
        <sz val="10"/>
        <color theme="1"/>
        <rFont val="ＭＳ ゴシック"/>
        <family val="3"/>
        <charset val="128"/>
      </rPr>
      <t xml:space="preserve"> last_day</t>
    </r>
    <r>
      <rPr>
        <sz val="10"/>
        <color rgb="FF808080"/>
        <rFont val="ＭＳ ゴシック"/>
        <family val="3"/>
        <charset val="128"/>
      </rPr>
      <t>(</t>
    </r>
    <r>
      <rPr>
        <sz val="10"/>
        <color theme="1"/>
        <rFont val="ＭＳ ゴシック"/>
        <family val="3"/>
        <charset val="128"/>
      </rPr>
      <t>date_sub</t>
    </r>
    <r>
      <rPr>
        <sz val="10"/>
        <color rgb="FF808080"/>
        <rFont val="ＭＳ ゴシック"/>
        <family val="3"/>
        <charset val="128"/>
      </rPr>
      <t>(</t>
    </r>
    <r>
      <rPr>
        <sz val="10"/>
        <color rgb="FF0080FF"/>
        <rFont val="ＭＳ ゴシック"/>
        <family val="3"/>
        <charset val="128"/>
      </rPr>
      <t>current_date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interval</t>
    </r>
    <r>
      <rPr>
        <sz val="10"/>
        <color theme="1"/>
        <rFont val="ＭＳ ゴシック"/>
        <family val="3"/>
        <charset val="128"/>
      </rPr>
      <t xml:space="preserve"> </t>
    </r>
    <r>
      <rPr>
        <sz val="10"/>
        <color rgb="FFFF2800"/>
        <rFont val="ＭＳ ゴシック"/>
        <family val="3"/>
        <charset val="128"/>
      </rPr>
      <t>1</t>
    </r>
    <r>
      <rPr>
        <sz val="10"/>
        <color theme="1"/>
        <rFont val="ＭＳ ゴシック"/>
        <family val="3"/>
        <charset val="128"/>
      </rPr>
      <t xml:space="preserve"> </t>
    </r>
    <r>
      <rPr>
        <sz val="10"/>
        <color rgb="FF0080FF"/>
        <rFont val="ＭＳ ゴシック"/>
        <family val="3"/>
        <charset val="128"/>
      </rPr>
      <t>month</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end</t>
    </r>
    <r>
      <rPr>
        <sz val="10"/>
        <color rgb="FF808080"/>
        <rFont val="ＭＳ ゴシック"/>
        <family val="3"/>
        <charset val="128"/>
      </rPr>
      <t>)</t>
    </r>
  </si>
  <si>
    <r>
      <t xml:space="preserve">            </t>
    </r>
    <r>
      <rPr>
        <sz val="10"/>
        <color rgb="FF0080FF"/>
        <rFont val="ＭＳ ゴシック"/>
        <family val="3"/>
        <charset val="128"/>
      </rPr>
      <t>group</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daily</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</si>
  <si>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select</t>
    </r>
    <r>
      <rPr>
        <sz val="10"/>
        <color theme="1"/>
        <rFont val="ＭＳ ゴシック"/>
        <family val="3"/>
        <charset val="128"/>
      </rPr>
      <t xml:space="preserve"> torihikisaki_no1_cd </t>
    </r>
    <r>
      <rPr>
        <sz val="10"/>
        <color rgb="FF0080FF"/>
        <rFont val="ＭＳ ゴシック"/>
        <family val="3"/>
        <charset val="128"/>
      </rPr>
      <t>as</t>
    </r>
    <r>
      <rPr>
        <sz val="10"/>
        <color theme="1"/>
        <rFont val="ＭＳ ゴシック"/>
        <family val="3"/>
        <charset val="128"/>
      </rPr>
      <t xml:space="preserve"> ref_no1</t>
    </r>
    <r>
      <rPr>
        <sz val="10"/>
        <color rgb="FF808080"/>
        <rFont val="ＭＳ ゴシック"/>
        <family val="3"/>
        <charset val="128"/>
      </rPr>
      <t>,</t>
    </r>
    <r>
      <rPr>
        <sz val="10"/>
        <color theme="1"/>
        <rFont val="ＭＳ ゴシック"/>
        <family val="3"/>
        <charset val="128"/>
      </rPr>
      <t xml:space="preserve"> torihikisaki_no2_cd </t>
    </r>
    <r>
      <rPr>
        <sz val="10"/>
        <color rgb="FF0080FF"/>
        <rFont val="ＭＳ ゴシック"/>
        <family val="3"/>
        <charset val="128"/>
      </rPr>
      <t>as</t>
    </r>
    <r>
      <rPr>
        <sz val="10"/>
        <color theme="1"/>
        <rFont val="ＭＳ ゴシック"/>
        <family val="3"/>
        <charset val="128"/>
      </rPr>
      <t xml:space="preserve"> no2_code</t>
    </r>
    <r>
      <rPr>
        <sz val="10"/>
        <color rgb="FF808080"/>
        <rFont val="ＭＳ ゴシック"/>
        <family val="3"/>
        <charset val="128"/>
      </rPr>
      <t>,</t>
    </r>
    <r>
      <rPr>
        <sz val="10"/>
        <color theme="1"/>
        <rFont val="ＭＳ ゴシック"/>
        <family val="3"/>
        <charset val="128"/>
      </rPr>
      <t xml:space="preserve"> count</t>
    </r>
    <r>
      <rPr>
        <sz val="10"/>
        <color rgb="FF808080"/>
        <rFont val="ＭＳ ゴシック"/>
        <family val="3"/>
        <charset val="128"/>
      </rPr>
      <t>(</t>
    </r>
    <r>
      <rPr>
        <sz val="10"/>
        <color theme="1"/>
        <rFont val="ＭＳ ゴシック"/>
        <family val="3"/>
        <charset val="128"/>
      </rPr>
      <t>inspection_date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monthly_cnt </t>
    </r>
    <r>
      <rPr>
        <sz val="10"/>
        <color rgb="FF0080FF"/>
        <rFont val="ＭＳ ゴシック"/>
        <family val="3"/>
        <charset val="128"/>
      </rPr>
      <t>FROM</t>
    </r>
    <r>
      <rPr>
        <sz val="10"/>
        <color theme="1"/>
        <rFont val="ＭＳ ゴシック"/>
        <family val="3"/>
        <charset val="128"/>
      </rPr>
      <t xml:space="preserve"> monthly_inspection </t>
    </r>
  </si>
  <si>
    <r>
      <t xml:space="preserve">            </t>
    </r>
    <r>
      <rPr>
        <sz val="10"/>
        <color rgb="FF0080FF"/>
        <rFont val="ＭＳ ゴシック"/>
        <family val="3"/>
        <charset val="128"/>
      </rPr>
      <t>group</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monthly</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</si>
  <si>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select</t>
    </r>
    <r>
      <rPr>
        <sz val="10"/>
        <color theme="1"/>
        <rFont val="ＭＳ ゴシック"/>
        <family val="3"/>
        <charset val="128"/>
      </rPr>
      <t xml:space="preserve"> torihikisaki_no1_cd </t>
    </r>
    <r>
      <rPr>
        <sz val="10"/>
        <color rgb="FF0080FF"/>
        <rFont val="ＭＳ ゴシック"/>
        <family val="3"/>
        <charset val="128"/>
      </rPr>
      <t>as</t>
    </r>
    <r>
      <rPr>
        <sz val="10"/>
        <color theme="1"/>
        <rFont val="ＭＳ ゴシック"/>
        <family val="3"/>
        <charset val="128"/>
      </rPr>
      <t xml:space="preserve"> ref_no1</t>
    </r>
    <r>
      <rPr>
        <sz val="10"/>
        <color rgb="FF808080"/>
        <rFont val="ＭＳ ゴシック"/>
        <family val="3"/>
        <charset val="128"/>
      </rPr>
      <t>,</t>
    </r>
    <r>
      <rPr>
        <sz val="10"/>
        <color theme="1"/>
        <rFont val="ＭＳ ゴシック"/>
        <family val="3"/>
        <charset val="128"/>
      </rPr>
      <t xml:space="preserve"> torihikisaki_no2_cd </t>
    </r>
    <r>
      <rPr>
        <sz val="10"/>
        <color rgb="FF0080FF"/>
        <rFont val="ＭＳ ゴシック"/>
        <family val="3"/>
        <charset val="128"/>
      </rPr>
      <t>as</t>
    </r>
    <r>
      <rPr>
        <sz val="10"/>
        <color theme="1"/>
        <rFont val="ＭＳ ゴシック"/>
        <family val="3"/>
        <charset val="128"/>
      </rPr>
      <t xml:space="preserve"> no2_code</t>
    </r>
    <r>
      <rPr>
        <sz val="10"/>
        <color rgb="FF808080"/>
        <rFont val="ＭＳ ゴシック"/>
        <family val="3"/>
        <charset val="128"/>
      </rPr>
      <t>,</t>
    </r>
    <r>
      <rPr>
        <sz val="10"/>
        <color theme="1"/>
        <rFont val="ＭＳ ゴシック"/>
        <family val="3"/>
        <charset val="128"/>
      </rPr>
      <t xml:space="preserve"> count</t>
    </r>
    <r>
      <rPr>
        <sz val="10"/>
        <color rgb="FF808080"/>
        <rFont val="ＭＳ ゴシック"/>
        <family val="3"/>
        <charset val="128"/>
      </rPr>
      <t>(</t>
    </r>
    <r>
      <rPr>
        <sz val="10"/>
        <color theme="1"/>
        <rFont val="ＭＳ ゴシック"/>
        <family val="3"/>
        <charset val="128"/>
      </rPr>
      <t>inspection_date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half_year_cnt </t>
    </r>
    <r>
      <rPr>
        <sz val="10"/>
        <color rgb="FF0080FF"/>
        <rFont val="ＭＳ ゴシック"/>
        <family val="3"/>
        <charset val="128"/>
      </rPr>
      <t>FROM</t>
    </r>
    <r>
      <rPr>
        <sz val="10"/>
        <color theme="1"/>
        <rFont val="ＭＳ ゴシック"/>
        <family val="3"/>
        <charset val="128"/>
      </rPr>
      <t xml:space="preserve"> half_year_inspection </t>
    </r>
  </si>
  <si>
    <r>
      <t xml:space="preserve">            </t>
    </r>
    <r>
      <rPr>
        <sz val="10"/>
        <color rgb="FF0080FF"/>
        <rFont val="ＭＳ ゴシック"/>
        <family val="3"/>
        <charset val="128"/>
      </rPr>
      <t>group</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half_year</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</si>
  <si>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select</t>
    </r>
    <r>
      <rPr>
        <sz val="10"/>
        <color theme="1"/>
        <rFont val="ＭＳ ゴシック"/>
        <family val="3"/>
        <charset val="128"/>
      </rPr>
      <t xml:space="preserve"> torihikisaki_no1_cd </t>
    </r>
    <r>
      <rPr>
        <sz val="10"/>
        <color rgb="FF0080FF"/>
        <rFont val="ＭＳ ゴシック"/>
        <family val="3"/>
        <charset val="128"/>
      </rPr>
      <t>as</t>
    </r>
    <r>
      <rPr>
        <sz val="10"/>
        <color theme="1"/>
        <rFont val="ＭＳ ゴシック"/>
        <family val="3"/>
        <charset val="128"/>
      </rPr>
      <t xml:space="preserve"> ref_no1</t>
    </r>
    <r>
      <rPr>
        <sz val="10"/>
        <color rgb="FF808080"/>
        <rFont val="ＭＳ ゴシック"/>
        <family val="3"/>
        <charset val="128"/>
      </rPr>
      <t>,</t>
    </r>
    <r>
      <rPr>
        <sz val="10"/>
        <color theme="1"/>
        <rFont val="ＭＳ ゴシック"/>
        <family val="3"/>
        <charset val="128"/>
      </rPr>
      <t xml:space="preserve"> torihikisaki_no2_cd </t>
    </r>
    <r>
      <rPr>
        <sz val="10"/>
        <color rgb="FF0080FF"/>
        <rFont val="ＭＳ ゴシック"/>
        <family val="3"/>
        <charset val="128"/>
      </rPr>
      <t>as</t>
    </r>
    <r>
      <rPr>
        <sz val="10"/>
        <color theme="1"/>
        <rFont val="ＭＳ ゴシック"/>
        <family val="3"/>
        <charset val="128"/>
      </rPr>
      <t xml:space="preserve"> no2_code</t>
    </r>
    <r>
      <rPr>
        <sz val="10"/>
        <color rgb="FF808080"/>
        <rFont val="ＭＳ ゴシック"/>
        <family val="3"/>
        <charset val="128"/>
      </rPr>
      <t>,</t>
    </r>
    <r>
      <rPr>
        <sz val="10"/>
        <color theme="1"/>
        <rFont val="ＭＳ ゴシック"/>
        <family val="3"/>
        <charset val="128"/>
      </rPr>
      <t xml:space="preserve"> count</t>
    </r>
    <r>
      <rPr>
        <sz val="10"/>
        <color rgb="FF808080"/>
        <rFont val="ＭＳ ゴシック"/>
        <family val="3"/>
        <charset val="128"/>
      </rPr>
      <t>(</t>
    </r>
    <r>
      <rPr>
        <sz val="10"/>
        <color theme="1"/>
        <rFont val="ＭＳ ゴシック"/>
        <family val="3"/>
        <charset val="128"/>
      </rPr>
      <t>inspection_date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inventory_cnt </t>
    </r>
    <r>
      <rPr>
        <sz val="10"/>
        <color rgb="FF0080FF"/>
        <rFont val="ＭＳ ゴシック"/>
        <family val="3"/>
        <charset val="128"/>
      </rPr>
      <t>FROM</t>
    </r>
    <r>
      <rPr>
        <sz val="10"/>
        <color theme="1"/>
        <rFont val="ＭＳ ゴシック"/>
        <family val="3"/>
        <charset val="128"/>
      </rPr>
      <t xml:space="preserve"> inventory_control </t>
    </r>
  </si>
  <si>
    <r>
      <t xml:space="preserve">            </t>
    </r>
    <r>
      <rPr>
        <sz val="10"/>
        <color rgb="FF0080FF"/>
        <rFont val="ＭＳ ゴシック"/>
        <family val="3"/>
        <charset val="128"/>
      </rPr>
      <t>group</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inventory</t>
    </r>
  </si>
  <si>
    <r>
      <t>left</t>
    </r>
    <r>
      <rPr>
        <sz val="10"/>
        <color theme="1"/>
        <rFont val="ＭＳ ゴシック"/>
        <family val="3"/>
        <charset val="128"/>
      </rPr>
      <t xml:space="preserve"> </t>
    </r>
    <r>
      <rPr>
        <sz val="10"/>
        <color rgb="FF0080FF"/>
        <rFont val="ＭＳ ゴシック"/>
        <family val="3"/>
        <charset val="128"/>
      </rPr>
      <t>join</t>
    </r>
    <r>
      <rPr>
        <sz val="10"/>
        <color theme="1"/>
        <rFont val="ＭＳ ゴシック"/>
        <family val="3"/>
        <charset val="128"/>
      </rPr>
      <t xml:space="preserve"> </t>
    </r>
    <r>
      <rPr>
        <sz val="10"/>
        <color rgb="FF808080"/>
        <rFont val="ＭＳ ゴシック"/>
        <family val="3"/>
        <charset val="128"/>
      </rPr>
      <t>(</t>
    </r>
    <r>
      <rPr>
        <sz val="10"/>
        <color rgb="FF0080FF"/>
        <rFont val="ＭＳ ゴシック"/>
        <family val="3"/>
        <charset val="128"/>
      </rPr>
      <t>select</t>
    </r>
    <r>
      <rPr>
        <sz val="10"/>
        <color theme="1"/>
        <rFont val="ＭＳ ゴシック"/>
        <family val="3"/>
        <charset val="128"/>
      </rPr>
      <t xml:space="preserve"> torihikisaki_no1_cd </t>
    </r>
    <r>
      <rPr>
        <sz val="10"/>
        <color rgb="FF0080FF"/>
        <rFont val="ＭＳ ゴシック"/>
        <family val="3"/>
        <charset val="128"/>
      </rPr>
      <t>as</t>
    </r>
    <r>
      <rPr>
        <sz val="10"/>
        <color theme="1"/>
        <rFont val="ＭＳ ゴシック"/>
        <family val="3"/>
        <charset val="128"/>
      </rPr>
      <t xml:space="preserve"> ref_no1</t>
    </r>
    <r>
      <rPr>
        <sz val="10"/>
        <color rgb="FF808080"/>
        <rFont val="ＭＳ ゴシック"/>
        <family val="3"/>
        <charset val="128"/>
      </rPr>
      <t>,</t>
    </r>
    <r>
      <rPr>
        <sz val="10"/>
        <color theme="1"/>
        <rFont val="ＭＳ ゴシック"/>
        <family val="3"/>
        <charset val="128"/>
      </rPr>
      <t xml:space="preserve"> torihikisaki_no2_cd </t>
    </r>
    <r>
      <rPr>
        <sz val="10"/>
        <color rgb="FF0080FF"/>
        <rFont val="ＭＳ ゴシック"/>
        <family val="3"/>
        <charset val="128"/>
      </rPr>
      <t>as</t>
    </r>
    <r>
      <rPr>
        <sz val="10"/>
        <color theme="1"/>
        <rFont val="ＭＳ ゴシック"/>
        <family val="3"/>
        <charset val="128"/>
      </rPr>
      <t xml:space="preserve"> no2_code</t>
    </r>
    <r>
      <rPr>
        <sz val="10"/>
        <color rgb="FF808080"/>
        <rFont val="ＭＳ ゴシック"/>
        <family val="3"/>
        <charset val="128"/>
      </rPr>
      <t>,</t>
    </r>
    <r>
      <rPr>
        <sz val="10"/>
        <color theme="1"/>
        <rFont val="ＭＳ ゴシック"/>
        <family val="3"/>
        <charset val="128"/>
      </rPr>
      <t xml:space="preserve"> count</t>
    </r>
    <r>
      <rPr>
        <sz val="10"/>
        <color rgb="FF808080"/>
        <rFont val="ＭＳ ゴシック"/>
        <family val="3"/>
        <charset val="128"/>
      </rPr>
      <t>(</t>
    </r>
    <r>
      <rPr>
        <sz val="10"/>
        <color theme="1"/>
        <rFont val="ＭＳ ゴシック"/>
        <family val="3"/>
        <charset val="128"/>
      </rPr>
      <t>inspection_date</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pos_inspection_cnt </t>
    </r>
    <r>
      <rPr>
        <sz val="10"/>
        <color rgb="FF0080FF"/>
        <rFont val="ＭＳ ゴシック"/>
        <family val="3"/>
        <charset val="128"/>
      </rPr>
      <t>FROM</t>
    </r>
    <r>
      <rPr>
        <sz val="10"/>
        <color theme="1"/>
        <rFont val="ＭＳ ゴシック"/>
        <family val="3"/>
        <charset val="128"/>
      </rPr>
      <t xml:space="preserve"> pos_inspection </t>
    </r>
  </si>
  <si>
    <r>
      <t xml:space="preserve">            </t>
    </r>
    <r>
      <rPr>
        <sz val="10"/>
        <color rgb="FF0080FF"/>
        <rFont val="ＭＳ ゴシック"/>
        <family val="3"/>
        <charset val="128"/>
      </rPr>
      <t>and</t>
    </r>
    <r>
      <rPr>
        <sz val="10"/>
        <color theme="1"/>
        <rFont val="ＭＳ ゴシック"/>
        <family val="3"/>
        <charset val="128"/>
      </rPr>
      <t xml:space="preserve"> pos_inspection_flg </t>
    </r>
    <r>
      <rPr>
        <sz val="10"/>
        <color rgb="FF808080"/>
        <rFont val="ＭＳ ゴシック"/>
        <family val="3"/>
        <charset val="128"/>
      </rPr>
      <t>=</t>
    </r>
    <r>
      <rPr>
        <sz val="10"/>
        <color theme="1"/>
        <rFont val="ＭＳ ゴシック"/>
        <family val="3"/>
        <charset val="128"/>
      </rPr>
      <t xml:space="preserve"> </t>
    </r>
    <r>
      <rPr>
        <sz val="10"/>
        <color rgb="FFFF2800"/>
        <rFont val="ＭＳ ゴシック"/>
        <family val="3"/>
        <charset val="128"/>
      </rPr>
      <t>'1'</t>
    </r>
    <r>
      <rPr>
        <sz val="10"/>
        <color theme="1"/>
        <rFont val="ＭＳ ゴシック"/>
        <family val="3"/>
        <charset val="128"/>
      </rPr>
      <t xml:space="preserve"> </t>
    </r>
  </si>
  <si>
    <r>
      <t xml:space="preserve">            </t>
    </r>
    <r>
      <rPr>
        <sz val="10"/>
        <color rgb="FF0080FF"/>
        <rFont val="ＭＳ ゴシック"/>
        <family val="3"/>
        <charset val="128"/>
      </rPr>
      <t>group</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torihikisaki_no1_cd</t>
    </r>
    <r>
      <rPr>
        <sz val="10"/>
        <color rgb="FF808080"/>
        <rFont val="ＭＳ ゴシック"/>
        <family val="3"/>
        <charset val="128"/>
      </rPr>
      <t>,</t>
    </r>
    <r>
      <rPr>
        <sz val="10"/>
        <color theme="1"/>
        <rFont val="ＭＳ ゴシック"/>
        <family val="3"/>
        <charset val="128"/>
      </rPr>
      <t xml:space="preserve"> torihikisaki_no2_cd</t>
    </r>
    <r>
      <rPr>
        <sz val="10"/>
        <color rgb="FF808080"/>
        <rFont val="ＭＳ ゴシック"/>
        <family val="3"/>
        <charset val="128"/>
      </rPr>
      <t>)</t>
    </r>
    <r>
      <rPr>
        <sz val="10"/>
        <color theme="1"/>
        <rFont val="ＭＳ ゴシック"/>
        <family val="3"/>
        <charset val="128"/>
      </rPr>
      <t xml:space="preserve"> </t>
    </r>
    <r>
      <rPr>
        <sz val="10"/>
        <color rgb="FF0080FF"/>
        <rFont val="ＭＳ ゴシック"/>
        <family val="3"/>
        <charset val="128"/>
      </rPr>
      <t>as</t>
    </r>
    <r>
      <rPr>
        <sz val="10"/>
        <color theme="1"/>
        <rFont val="ＭＳ ゴシック"/>
        <family val="3"/>
        <charset val="128"/>
      </rPr>
      <t xml:space="preserve"> pos_inspection_checked</t>
    </r>
  </si>
  <si>
    <r>
      <t>where</t>
    </r>
    <r>
      <rPr>
        <sz val="10"/>
        <color theme="1"/>
        <rFont val="ＭＳ ゴシック"/>
        <family val="3"/>
        <charset val="128"/>
      </rPr>
      <t xml:space="preserve"> </t>
    </r>
    <r>
      <rPr>
        <sz val="10"/>
        <color rgb="FF808080"/>
        <rFont val="ＭＳ ゴシック"/>
        <family val="3"/>
        <charset val="128"/>
      </rPr>
      <t>(</t>
    </r>
    <r>
      <rPr>
        <sz val="10"/>
        <color theme="1"/>
        <rFont val="ＭＳ ゴシック"/>
        <family val="3"/>
        <charset val="128"/>
      </rPr>
      <t>tank</t>
    </r>
    <r>
      <rPr>
        <sz val="10"/>
        <color rgb="FF808080"/>
        <rFont val="ＭＳ ゴシック"/>
        <family val="3"/>
        <charset val="128"/>
      </rPr>
      <t>.</t>
    </r>
    <r>
      <rPr>
        <sz val="10"/>
        <color theme="1"/>
        <rFont val="ＭＳ ゴシック"/>
        <family val="3"/>
        <charset val="128"/>
      </rPr>
      <t xml:space="preserve">tank_cnt </t>
    </r>
    <r>
      <rPr>
        <sz val="10"/>
        <color rgb="FF0080FF"/>
        <rFont val="ＭＳ ゴシック"/>
        <family val="3"/>
        <charset val="128"/>
      </rPr>
      <t>is</t>
    </r>
    <r>
      <rPr>
        <sz val="10"/>
        <color theme="1"/>
        <rFont val="ＭＳ ゴシック"/>
        <family val="3"/>
        <charset val="128"/>
      </rPr>
      <t xml:space="preserve"> </t>
    </r>
    <r>
      <rPr>
        <sz val="10"/>
        <color rgb="FF0080FF"/>
        <rFont val="ＭＳ ゴシック"/>
        <family val="3"/>
        <charset val="128"/>
      </rPr>
      <t>not</t>
    </r>
    <r>
      <rPr>
        <sz val="10"/>
        <color theme="1"/>
        <rFont val="ＭＳ ゴシック"/>
        <family val="3"/>
        <charset val="128"/>
      </rPr>
      <t xml:space="preserve"> </t>
    </r>
    <r>
      <rPr>
        <sz val="10"/>
        <color rgb="FF0080FF"/>
        <rFont val="ＭＳ ゴシック"/>
        <family val="3"/>
        <charset val="128"/>
      </rPr>
      <t>null</t>
    </r>
    <r>
      <rPr>
        <sz val="10"/>
        <color theme="1"/>
        <rFont val="ＭＳ ゴシック"/>
        <family val="3"/>
        <charset val="128"/>
      </rPr>
      <t xml:space="preserve"> </t>
    </r>
    <r>
      <rPr>
        <sz val="10"/>
        <color rgb="FF0080FF"/>
        <rFont val="ＭＳ ゴシック"/>
        <family val="3"/>
        <charset val="128"/>
      </rPr>
      <t>or</t>
    </r>
    <r>
      <rPr>
        <sz val="10"/>
        <color theme="1"/>
        <rFont val="ＭＳ ゴシック"/>
        <family val="3"/>
        <charset val="128"/>
      </rPr>
      <t xml:space="preserve"> daily</t>
    </r>
    <r>
      <rPr>
        <sz val="10"/>
        <color rgb="FF808080"/>
        <rFont val="ＭＳ ゴシック"/>
        <family val="3"/>
        <charset val="128"/>
      </rPr>
      <t>.</t>
    </r>
    <r>
      <rPr>
        <sz val="10"/>
        <color theme="1"/>
        <rFont val="ＭＳ ゴシック"/>
        <family val="3"/>
        <charset val="128"/>
      </rPr>
      <t xml:space="preserve">daily_cnt </t>
    </r>
    <r>
      <rPr>
        <sz val="10"/>
        <color rgb="FF0080FF"/>
        <rFont val="ＭＳ ゴシック"/>
        <family val="3"/>
        <charset val="128"/>
      </rPr>
      <t>is</t>
    </r>
    <r>
      <rPr>
        <sz val="10"/>
        <color theme="1"/>
        <rFont val="ＭＳ ゴシック"/>
        <family val="3"/>
        <charset val="128"/>
      </rPr>
      <t xml:space="preserve"> </t>
    </r>
    <r>
      <rPr>
        <sz val="10"/>
        <color rgb="FF0080FF"/>
        <rFont val="ＭＳ ゴシック"/>
        <family val="3"/>
        <charset val="128"/>
      </rPr>
      <t>not</t>
    </r>
    <r>
      <rPr>
        <sz val="10"/>
        <color theme="1"/>
        <rFont val="ＭＳ ゴシック"/>
        <family val="3"/>
        <charset val="128"/>
      </rPr>
      <t xml:space="preserve"> </t>
    </r>
    <r>
      <rPr>
        <sz val="10"/>
        <color rgb="FF0080FF"/>
        <rFont val="ＭＳ ゴシック"/>
        <family val="3"/>
        <charset val="128"/>
      </rPr>
      <t>null</t>
    </r>
    <r>
      <rPr>
        <sz val="10"/>
        <color theme="1"/>
        <rFont val="ＭＳ ゴシック"/>
        <family val="3"/>
        <charset val="128"/>
      </rPr>
      <t xml:space="preserve"> </t>
    </r>
    <r>
      <rPr>
        <sz val="10"/>
        <color rgb="FF0080FF"/>
        <rFont val="ＭＳ ゴシック"/>
        <family val="3"/>
        <charset val="128"/>
      </rPr>
      <t>or</t>
    </r>
    <r>
      <rPr>
        <sz val="10"/>
        <color theme="1"/>
        <rFont val="ＭＳ ゴシック"/>
        <family val="3"/>
        <charset val="128"/>
      </rPr>
      <t xml:space="preserve"> monthly</t>
    </r>
    <r>
      <rPr>
        <sz val="10"/>
        <color rgb="FF808080"/>
        <rFont val="ＭＳ ゴシック"/>
        <family val="3"/>
        <charset val="128"/>
      </rPr>
      <t>.</t>
    </r>
    <r>
      <rPr>
        <sz val="10"/>
        <color theme="1"/>
        <rFont val="ＭＳ ゴシック"/>
        <family val="3"/>
        <charset val="128"/>
      </rPr>
      <t xml:space="preserve">monthly_cnt </t>
    </r>
    <r>
      <rPr>
        <sz val="10"/>
        <color rgb="FF0080FF"/>
        <rFont val="ＭＳ ゴシック"/>
        <family val="3"/>
        <charset val="128"/>
      </rPr>
      <t>is</t>
    </r>
    <r>
      <rPr>
        <sz val="10"/>
        <color theme="1"/>
        <rFont val="ＭＳ ゴシック"/>
        <family val="3"/>
        <charset val="128"/>
      </rPr>
      <t xml:space="preserve"> </t>
    </r>
    <r>
      <rPr>
        <sz val="10"/>
        <color rgb="FF0080FF"/>
        <rFont val="ＭＳ ゴシック"/>
        <family val="3"/>
        <charset val="128"/>
      </rPr>
      <t>not</t>
    </r>
    <r>
      <rPr>
        <sz val="10"/>
        <color theme="1"/>
        <rFont val="ＭＳ ゴシック"/>
        <family val="3"/>
        <charset val="128"/>
      </rPr>
      <t xml:space="preserve"> </t>
    </r>
    <r>
      <rPr>
        <sz val="10"/>
        <color rgb="FF0080FF"/>
        <rFont val="ＭＳ ゴシック"/>
        <family val="3"/>
        <charset val="128"/>
      </rPr>
      <t>null</t>
    </r>
    <r>
      <rPr>
        <sz val="10"/>
        <color theme="1"/>
        <rFont val="ＭＳ ゴシック"/>
        <family val="3"/>
        <charset val="128"/>
      </rPr>
      <t xml:space="preserve"> </t>
    </r>
    <r>
      <rPr>
        <sz val="10"/>
        <color rgb="FF0080FF"/>
        <rFont val="ＭＳ ゴシック"/>
        <family val="3"/>
        <charset val="128"/>
      </rPr>
      <t>or</t>
    </r>
    <r>
      <rPr>
        <sz val="10"/>
        <color theme="1"/>
        <rFont val="ＭＳ ゴシック"/>
        <family val="3"/>
        <charset val="128"/>
      </rPr>
      <t xml:space="preserve"> half_year</t>
    </r>
    <r>
      <rPr>
        <sz val="10"/>
        <color rgb="FF808080"/>
        <rFont val="ＭＳ ゴシック"/>
        <family val="3"/>
        <charset val="128"/>
      </rPr>
      <t>.</t>
    </r>
    <r>
      <rPr>
        <sz val="10"/>
        <color theme="1"/>
        <rFont val="ＭＳ ゴシック"/>
        <family val="3"/>
        <charset val="128"/>
      </rPr>
      <t xml:space="preserve">half_year_cnt </t>
    </r>
    <r>
      <rPr>
        <sz val="10"/>
        <color rgb="FF0080FF"/>
        <rFont val="ＭＳ ゴシック"/>
        <family val="3"/>
        <charset val="128"/>
      </rPr>
      <t>is</t>
    </r>
    <r>
      <rPr>
        <sz val="10"/>
        <color theme="1"/>
        <rFont val="ＭＳ ゴシック"/>
        <family val="3"/>
        <charset val="128"/>
      </rPr>
      <t xml:space="preserve"> </t>
    </r>
    <r>
      <rPr>
        <sz val="10"/>
        <color rgb="FF0080FF"/>
        <rFont val="ＭＳ ゴシック"/>
        <family val="3"/>
        <charset val="128"/>
      </rPr>
      <t>not</t>
    </r>
    <r>
      <rPr>
        <sz val="10"/>
        <color theme="1"/>
        <rFont val="ＭＳ ゴシック"/>
        <family val="3"/>
        <charset val="128"/>
      </rPr>
      <t xml:space="preserve"> </t>
    </r>
    <r>
      <rPr>
        <sz val="10"/>
        <color rgb="FF0080FF"/>
        <rFont val="ＭＳ ゴシック"/>
        <family val="3"/>
        <charset val="128"/>
      </rPr>
      <t>null</t>
    </r>
    <r>
      <rPr>
        <sz val="10"/>
        <color theme="1"/>
        <rFont val="ＭＳ ゴシック"/>
        <family val="3"/>
        <charset val="128"/>
      </rPr>
      <t xml:space="preserve"> </t>
    </r>
    <r>
      <rPr>
        <sz val="10"/>
        <color rgb="FF0080FF"/>
        <rFont val="ＭＳ ゴシック"/>
        <family val="3"/>
        <charset val="128"/>
      </rPr>
      <t>or</t>
    </r>
    <r>
      <rPr>
        <sz val="10"/>
        <color theme="1"/>
        <rFont val="ＭＳ ゴシック"/>
        <family val="3"/>
        <charset val="128"/>
      </rPr>
      <t xml:space="preserve"> inventory</t>
    </r>
    <r>
      <rPr>
        <sz val="10"/>
        <color rgb="FF808080"/>
        <rFont val="ＭＳ ゴシック"/>
        <family val="3"/>
        <charset val="128"/>
      </rPr>
      <t>.</t>
    </r>
    <r>
      <rPr>
        <sz val="10"/>
        <color theme="1"/>
        <rFont val="ＭＳ ゴシック"/>
        <family val="3"/>
        <charset val="128"/>
      </rPr>
      <t xml:space="preserve">inventory_cnt </t>
    </r>
    <r>
      <rPr>
        <sz val="10"/>
        <color rgb="FF0080FF"/>
        <rFont val="ＭＳ ゴシック"/>
        <family val="3"/>
        <charset val="128"/>
      </rPr>
      <t>is</t>
    </r>
    <r>
      <rPr>
        <sz val="10"/>
        <color theme="1"/>
        <rFont val="ＭＳ ゴシック"/>
        <family val="3"/>
        <charset val="128"/>
      </rPr>
      <t xml:space="preserve"> </t>
    </r>
    <r>
      <rPr>
        <sz val="10"/>
        <color rgb="FF0080FF"/>
        <rFont val="ＭＳ ゴシック"/>
        <family val="3"/>
        <charset val="128"/>
      </rPr>
      <t>not</t>
    </r>
    <r>
      <rPr>
        <sz val="10"/>
        <color theme="1"/>
        <rFont val="ＭＳ ゴシック"/>
        <family val="3"/>
        <charset val="128"/>
      </rPr>
      <t xml:space="preserve"> </t>
    </r>
    <r>
      <rPr>
        <sz val="10"/>
        <color rgb="FF0080FF"/>
        <rFont val="ＭＳ ゴシック"/>
        <family val="3"/>
        <charset val="128"/>
      </rPr>
      <t>null</t>
    </r>
    <r>
      <rPr>
        <sz val="10"/>
        <color rgb="FF808080"/>
        <rFont val="ＭＳ ゴシック"/>
        <family val="3"/>
        <charset val="128"/>
      </rPr>
      <t>)</t>
    </r>
    <r>
      <rPr>
        <sz val="10"/>
        <color theme="1"/>
        <rFont val="ＭＳ ゴシック"/>
        <family val="3"/>
        <charset val="128"/>
      </rPr>
      <t xml:space="preserve"> </t>
    </r>
  </si>
  <si>
    <r>
      <t xml:space="preserve">      </t>
    </r>
    <r>
      <rPr>
        <sz val="10"/>
        <color rgb="FF0080FF"/>
        <rFont val="ＭＳ ゴシック"/>
        <family val="3"/>
        <charset val="128"/>
      </rPr>
      <t>and</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 xml:space="preserve">ref_no1 </t>
    </r>
    <r>
      <rPr>
        <sz val="10"/>
        <color rgb="FF0080FF"/>
        <rFont val="ＭＳ ゴシック"/>
        <family val="3"/>
        <charset val="128"/>
      </rPr>
      <t>not</t>
    </r>
    <r>
      <rPr>
        <sz val="10"/>
        <color theme="1"/>
        <rFont val="ＭＳ ゴシック"/>
        <family val="3"/>
        <charset val="128"/>
      </rPr>
      <t xml:space="preserve"> </t>
    </r>
    <r>
      <rPr>
        <sz val="10"/>
        <color rgb="FF0080FF"/>
        <rFont val="ＭＳ ゴシック"/>
        <family val="3"/>
        <charset val="128"/>
      </rPr>
      <t>like</t>
    </r>
    <r>
      <rPr>
        <sz val="10"/>
        <color theme="1"/>
        <rFont val="ＭＳ ゴシック"/>
        <family val="3"/>
        <charset val="128"/>
      </rPr>
      <t xml:space="preserve"> </t>
    </r>
    <r>
      <rPr>
        <sz val="10"/>
        <color rgb="FFFF2800"/>
        <rFont val="ＭＳ ゴシック"/>
        <family val="3"/>
        <charset val="128"/>
      </rPr>
      <t>'DUMMYNO%'</t>
    </r>
  </si>
  <si>
    <r>
      <t>order</t>
    </r>
    <r>
      <rPr>
        <sz val="10"/>
        <color theme="1"/>
        <rFont val="ＭＳ ゴシック"/>
        <family val="3"/>
        <charset val="128"/>
      </rPr>
      <t xml:space="preserve"> </t>
    </r>
    <r>
      <rPr>
        <sz val="10"/>
        <color rgb="FF0080FF"/>
        <rFont val="ＭＳ ゴシック"/>
        <family val="3"/>
        <charset val="128"/>
      </rPr>
      <t>by</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ref_no1</t>
    </r>
    <r>
      <rPr>
        <sz val="10"/>
        <color rgb="FF808080"/>
        <rFont val="ＭＳ ゴシック"/>
        <family val="3"/>
        <charset val="128"/>
      </rPr>
      <t>,</t>
    </r>
    <r>
      <rPr>
        <sz val="10"/>
        <color theme="1"/>
        <rFont val="ＭＳ ゴシック"/>
        <family val="3"/>
        <charset val="128"/>
      </rPr>
      <t xml:space="preserve"> ss</t>
    </r>
    <r>
      <rPr>
        <sz val="10"/>
        <color rgb="FF808080"/>
        <rFont val="ＭＳ ゴシック"/>
        <family val="3"/>
        <charset val="128"/>
      </rPr>
      <t>.</t>
    </r>
    <r>
      <rPr>
        <sz val="10"/>
        <color theme="1"/>
        <rFont val="ＭＳ ゴシック"/>
        <family val="3"/>
        <charset val="128"/>
      </rPr>
      <t>no2_code</t>
    </r>
    <r>
      <rPr>
        <sz val="10"/>
        <color rgb="FF808080"/>
        <rFont val="ＭＳ ゴシック"/>
        <family val="3"/>
        <charset val="128"/>
      </rPr>
      <t>;</t>
    </r>
  </si>
  <si>
    <t>ご要望内容</t>
    <rPh sb="1" eb="3">
      <t>ヨウボウ</t>
    </rPh>
    <rPh sb="3" eb="5">
      <t>ナイヨウ</t>
    </rPh>
    <phoneticPr fontId="3"/>
  </si>
  <si>
    <t>お見積もり工数(人時)</t>
    <rPh sb="1" eb="3">
      <t>ミツ</t>
    </rPh>
    <rPh sb="5" eb="7">
      <t>コウスウ</t>
    </rPh>
    <rPh sb="8" eb="9">
      <t>ヒト</t>
    </rPh>
    <rPh sb="9" eb="10">
      <t>ジ</t>
    </rPh>
    <phoneticPr fontId="3"/>
  </si>
  <si>
    <t>38人時</t>
    <rPh sb="2" eb="4">
      <t>ニンジ</t>
    </rPh>
    <phoneticPr fontId="3"/>
  </si>
  <si>
    <t>※22025/6/9時点でのお見積りとなります。今後予定しているヒアリングの結果によって変更することがあります。</t>
    <rPh sb="10" eb="12">
      <t>ジテン</t>
    </rPh>
    <rPh sb="15" eb="17">
      <t>ミツモ</t>
    </rPh>
    <rPh sb="24" eb="26">
      <t>コンゴ</t>
    </rPh>
    <rPh sb="26" eb="28">
      <t>ヨテイ</t>
    </rPh>
    <rPh sb="38" eb="40">
      <t>ケッカ</t>
    </rPh>
    <rPh sb="44" eb="46">
      <t>ヘンコウ</t>
    </rPh>
    <phoneticPr fontId="3"/>
  </si>
  <si>
    <t>既存の作業状況抽出と同じ流れであること(バッチ処理→Excelマクロ)。</t>
    <rPh sb="0" eb="2">
      <t>キソン</t>
    </rPh>
    <rPh sb="3" eb="7">
      <t>サギョウジョウキョウ</t>
    </rPh>
    <rPh sb="7" eb="9">
      <t>チュウシュツ</t>
    </rPh>
    <rPh sb="10" eb="11">
      <t>オナ</t>
    </rPh>
    <rPh sb="12" eb="13">
      <t>ナガ</t>
    </rPh>
    <rPh sb="23" eb="25">
      <t>ショリ</t>
    </rPh>
    <phoneticPr fontId="3"/>
  </si>
  <si>
    <t>サーバの出力先フォルダが決まっていること。</t>
    <rPh sb="4" eb="6">
      <t>シュツリョク</t>
    </rPh>
    <rPh sb="6" eb="7">
      <t>サキ</t>
    </rPh>
    <rPh sb="12" eb="13">
      <t>キ</t>
    </rPh>
    <phoneticPr fontId="3"/>
  </si>
  <si>
    <t>Excelマクロのレイアウトが決まっていること。</t>
    <rPh sb="15" eb="16">
      <t>キ</t>
    </rPh>
    <phoneticPr fontId="3"/>
  </si>
  <si>
    <t>レビュー工数は含めていません。</t>
    <rPh sb="4" eb="6">
      <t>コウスウ</t>
    </rPh>
    <rPh sb="7" eb="8">
      <t>フク</t>
    </rPh>
    <phoneticPr fontId="3"/>
  </si>
  <si>
    <t>IF定義書</t>
    <rPh sb="2" eb="5">
      <t>テイギショ</t>
    </rPh>
    <phoneticPr fontId="3"/>
  </si>
  <si>
    <t>オペマネ</t>
    <phoneticPr fontId="3"/>
  </si>
  <si>
    <t>BatchService, Service, application.yml</t>
    <phoneticPr fontId="3"/>
  </si>
  <si>
    <t>現行ファイル改修(用途の切替え)</t>
    <rPh sb="0" eb="2">
      <t>ゲンコウ</t>
    </rPh>
    <rPh sb="6" eb="8">
      <t>カイシュウ</t>
    </rPh>
    <rPh sb="9" eb="11">
      <t>ヨウト</t>
    </rPh>
    <rPh sb="12" eb="14">
      <t>キリカエ</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</si>
</sst>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12">
    <font>
      <sz val="11"/>
      <color theme="1"/>
      <name val="Yu Gothic"/>
      <family val="2"/>
      <scheme val="minor"/>
    </font>
    <font>
      <b/>
      <sz val="11"/>
      <color theme="1"/>
      <name val="Yu Gothic"/>
      <family val="3"/>
      <charset val="128"/>
      <scheme val="minor"/>
    </font>
    <font>
      <b/>
      <sz val="14"/>
      <color theme="1"/>
      <name val="Yu Gothic"/>
      <family val="3"/>
      <charset val="128"/>
      <scheme val="minor"/>
    </font>
    <font>
      <sz val="6"/>
      <name val="Yu Gothic"/>
      <family val="3"/>
      <charset val="128"/>
      <scheme val="minor"/>
    </font>
    <font>
      <u/>
      <sz val="11"/>
      <color theme="10"/>
      <name val="Yu Gothic"/>
      <family val="2"/>
      <scheme val="minor"/>
    </font>
    <font>
      <sz val="11"/>
      <color theme="1"/>
      <name val="Segoe UI Symbol"/>
      <family val="2"/>
    </font>
    <font>
      <sz val="10"/>
      <color theme="1"/>
      <name val="ＭＳ ゴシック"/>
      <family val="3"/>
      <charset val="128"/>
    </font>
    <font>
      <sz val="10"/>
      <color rgb="FF0080FF"/>
      <name val="ＭＳ ゴシック"/>
      <family val="3"/>
      <charset val="128"/>
    </font>
    <font>
      <sz val="10"/>
      <color rgb="FF808080"/>
      <name val="ＭＳ ゴシック"/>
      <family val="3"/>
      <charset val="128"/>
    </font>
    <font>
      <sz val="10"/>
      <color rgb="FFFF2800"/>
      <name val="ＭＳ ゴシック"/>
      <family val="3"/>
      <charset val="128"/>
    </font>
    <font>
      <sz val="11"/>
      <color theme="1"/>
      <name val="Yu Gothic"/>
      <family val="3"/>
      <charset val="128"/>
      <scheme val="minor"/>
    </font>
    <font>
      <sz val="11"/>
      <color theme="1"/>
      <name val="Yu Gothic"/>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s>
  <borders count="11">
    <border>
      <left/>
      <right/>
      <top/>
      <bottom/>
      <diagonal/>
    </border>
    <border>
      <left/>
      <right/>
      <top style="double">
        <color auto="1"/>
      </top>
      <bottom/>
      <diagonal/>
    </border>
    <border>
      <left/>
      <right/>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xf numFmtId="38" fontId="11" fillId="0" borderId="0" applyFont="0" applyFill="0" applyBorder="0" applyAlignment="0" applyProtection="0">
      <alignment vertical="center"/>
    </xf>
  </cellStyleXfs>
  <cellXfs count="31">
    <xf numFmtId="0" fontId="0" fillId="0" borderId="0" xfId="0"/>
    <xf numFmtId="0" fontId="1" fillId="0" borderId="0" xfId="0" applyFont="1"/>
    <xf numFmtId="0" fontId="2" fillId="0" borderId="0" xfId="0" applyFont="1"/>
    <xf numFmtId="0" fontId="1" fillId="0" borderId="1" xfId="0" applyFont="1" applyBorder="1"/>
    <xf numFmtId="0" fontId="0" fillId="0" borderId="1" xfId="0" applyBorder="1"/>
    <xf numFmtId="0" fontId="1" fillId="2" borderId="0" xfId="0" applyFont="1" applyFill="1"/>
    <xf numFmtId="0" fontId="0" fillId="2" borderId="0" xfId="0" applyFill="1"/>
    <xf numFmtId="0" fontId="1" fillId="2" borderId="1" xfId="0" applyFont="1" applyFill="1" applyBorder="1"/>
    <xf numFmtId="0" fontId="4" fillId="0" borderId="0" xfId="1"/>
    <xf numFmtId="0" fontId="0" fillId="0" borderId="3" xfId="0" applyBorder="1"/>
    <xf numFmtId="0" fontId="1" fillId="0" borderId="2" xfId="0" applyFont="1" applyBorder="1"/>
    <xf numFmtId="0" fontId="1" fillId="2" borderId="2" xfId="0" applyFont="1" applyFill="1" applyBorder="1" applyAlignment="1">
      <alignment wrapText="1"/>
    </xf>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0" xfId="0" applyFill="1"/>
    <xf numFmtId="0" fontId="0" fillId="3" borderId="8" xfId="0" applyFill="1" applyBorder="1"/>
    <xf numFmtId="0" fontId="0" fillId="3" borderId="9" xfId="0" applyFill="1" applyBorder="1"/>
    <xf numFmtId="0" fontId="0" fillId="3" borderId="2" xfId="0" applyFill="1" applyBorder="1"/>
    <xf numFmtId="0" fontId="0" fillId="3" borderId="10" xfId="0" applyFill="1" applyBorder="1"/>
    <xf numFmtId="0" fontId="5" fillId="0" borderId="0" xfId="0" applyFont="1"/>
    <xf numFmtId="0" fontId="0" fillId="0" borderId="0" xfId="0" applyAlignment="1">
      <alignment wrapText="1"/>
    </xf>
    <xf numFmtId="0" fontId="7" fillId="0" borderId="0" xfId="0" applyFont="1" applyAlignment="1">
      <alignment vertical="center"/>
    </xf>
    <xf numFmtId="0" fontId="6" fillId="0" borderId="0" xfId="0" applyFont="1" applyAlignment="1">
      <alignment vertical="center"/>
    </xf>
    <xf numFmtId="3" fontId="0" fillId="0" borderId="0" xfId="0" applyNumberFormat="1"/>
    <xf numFmtId="0" fontId="10" fillId="0" borderId="0" xfId="0" applyFont="1"/>
    <xf numFmtId="0" fontId="1" fillId="4" borderId="2" xfId="0" applyFont="1" applyFill="1" applyBorder="1" applyAlignment="1">
      <alignment wrapText="1"/>
    </xf>
    <xf numFmtId="176" fontId="0" fillId="4" borderId="0" xfId="0" applyNumberFormat="1" applyFill="1"/>
    <xf numFmtId="176" fontId="1" fillId="4" borderId="1" xfId="0" applyNumberFormat="1" applyFont="1" applyFill="1" applyBorder="1"/>
    <xf numFmtId="38" fontId="0" fillId="0" borderId="0" xfId="2" applyFont="1" applyAlignment="1"/>
  </cellXfs>
  <cellStyles count="3">
    <cellStyle name="ハイパーリンク" xfId="1" builtinId="8"/>
    <cellStyle name="桁区切り" xfId="2"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1</xdr:col>
      <xdr:colOff>304800</xdr:colOff>
      <xdr:row>21</xdr:row>
      <xdr:rowOff>76200</xdr:rowOff>
    </xdr:to>
    <xdr:sp macro="" textlink="">
      <xdr:nvSpPr>
        <xdr:cNvPr id="1025" name="AutoShape 1">
          <a:extLst>
            <a:ext uri="{FF2B5EF4-FFF2-40B4-BE49-F238E27FC236}">
              <a16:creationId xmlns:a16="http://schemas.microsoft.com/office/drawing/2014/main" id="{0676F15D-1946-1900-D660-82FBF442DD43}"/>
            </a:ext>
          </a:extLst>
        </xdr:cNvPr>
        <xdr:cNvSpPr>
          <a:spLocks noChangeAspect="1" noChangeArrowheads="1"/>
        </xdr:cNvSpPr>
      </xdr:nvSpPr>
      <xdr:spPr bwMode="auto">
        <a:xfrm>
          <a:off x="670560" y="3482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21</xdr:row>
      <xdr:rowOff>76200</xdr:rowOff>
    </xdr:to>
    <xdr:sp macro="" textlink="">
      <xdr:nvSpPr>
        <xdr:cNvPr id="1028" name="AutoShape 4">
          <a:extLst>
            <a:ext uri="{FF2B5EF4-FFF2-40B4-BE49-F238E27FC236}">
              <a16:creationId xmlns:a16="http://schemas.microsoft.com/office/drawing/2014/main" id="{E4FF2155-CA17-9AFF-9DA3-4681ECDA78E6}"/>
            </a:ext>
          </a:extLst>
        </xdr:cNvPr>
        <xdr:cNvSpPr>
          <a:spLocks noChangeAspect="1" noChangeArrowheads="1"/>
        </xdr:cNvSpPr>
      </xdr:nvSpPr>
      <xdr:spPr bwMode="auto">
        <a:xfrm>
          <a:off x="670560" y="3482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17</xdr:col>
      <xdr:colOff>0</xdr:colOff>
      <xdr:row>10</xdr:row>
      <xdr:rowOff>17601</xdr:rowOff>
    </xdr:to>
    <xdr:pic>
      <xdr:nvPicPr>
        <xdr:cNvPr id="2" name="図 1">
          <a:extLst>
            <a:ext uri="{FF2B5EF4-FFF2-40B4-BE49-F238E27FC236}">
              <a16:creationId xmlns:a16="http://schemas.microsoft.com/office/drawing/2014/main" id="{6BA7128F-7353-4D03-8AA2-3D9BEF8C22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428750"/>
          <a:ext cx="10668000" cy="1396821"/>
        </a:xfrm>
        <a:prstGeom prst="rect">
          <a:avLst/>
        </a:prstGeom>
        <a:solidFill>
          <a:schemeClr val="bg1"/>
        </a:solid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10</xdr:col>
      <xdr:colOff>134194</xdr:colOff>
      <xdr:row>62</xdr:row>
      <xdr:rowOff>76274</xdr:rowOff>
    </xdr:to>
    <xdr:pic>
      <xdr:nvPicPr>
        <xdr:cNvPr id="21" name="図 20">
          <a:extLst>
            <a:ext uri="{FF2B5EF4-FFF2-40B4-BE49-F238E27FC236}">
              <a16:creationId xmlns:a16="http://schemas.microsoft.com/office/drawing/2014/main" id="{543EF936-E8E3-E82C-751D-7607470ADAED}"/>
            </a:ext>
          </a:extLst>
        </xdr:cNvPr>
        <xdr:cNvPicPr>
          <a:picLocks noChangeAspect="1"/>
        </xdr:cNvPicPr>
      </xdr:nvPicPr>
      <xdr:blipFill>
        <a:blip xmlns:r="http://schemas.openxmlformats.org/officeDocument/2006/relationships" r:embed="rId1"/>
        <a:stretch>
          <a:fillRect/>
        </a:stretch>
      </xdr:blipFill>
      <xdr:spPr>
        <a:xfrm>
          <a:off x="657225" y="12573000"/>
          <a:ext cx="6049219" cy="533474"/>
        </a:xfrm>
        <a:prstGeom prst="rect">
          <a:avLst/>
        </a:prstGeom>
      </xdr:spPr>
    </xdr:pic>
    <xdr:clientData/>
  </xdr:twoCellAnchor>
  <xdr:twoCellAnchor editAs="oneCell">
    <xdr:from>
      <xdr:col>1</xdr:col>
      <xdr:colOff>0</xdr:colOff>
      <xdr:row>31</xdr:row>
      <xdr:rowOff>0</xdr:rowOff>
    </xdr:from>
    <xdr:to>
      <xdr:col>10</xdr:col>
      <xdr:colOff>191352</xdr:colOff>
      <xdr:row>33</xdr:row>
      <xdr:rowOff>162011</xdr:rowOff>
    </xdr:to>
    <xdr:pic>
      <xdr:nvPicPr>
        <xdr:cNvPr id="20" name="図 19">
          <a:extLst>
            <a:ext uri="{FF2B5EF4-FFF2-40B4-BE49-F238E27FC236}">
              <a16:creationId xmlns:a16="http://schemas.microsoft.com/office/drawing/2014/main" id="{05B8C565-F794-46B0-22C5-88ED71810660}"/>
            </a:ext>
          </a:extLst>
        </xdr:cNvPr>
        <xdr:cNvPicPr>
          <a:picLocks noChangeAspect="1"/>
        </xdr:cNvPicPr>
      </xdr:nvPicPr>
      <xdr:blipFill>
        <a:blip xmlns:r="http://schemas.openxmlformats.org/officeDocument/2006/relationships" r:embed="rId2"/>
        <a:stretch>
          <a:fillRect/>
        </a:stretch>
      </xdr:blipFill>
      <xdr:spPr>
        <a:xfrm>
          <a:off x="657225" y="6858000"/>
          <a:ext cx="6106377" cy="619211"/>
        </a:xfrm>
        <a:prstGeom prst="rect">
          <a:avLst/>
        </a:prstGeom>
      </xdr:spPr>
    </xdr:pic>
    <xdr:clientData/>
  </xdr:twoCellAnchor>
  <xdr:twoCellAnchor editAs="oneCell">
    <xdr:from>
      <xdr:col>1</xdr:col>
      <xdr:colOff>0</xdr:colOff>
      <xdr:row>3</xdr:row>
      <xdr:rowOff>0</xdr:rowOff>
    </xdr:from>
    <xdr:to>
      <xdr:col>15</xdr:col>
      <xdr:colOff>630022</xdr:colOff>
      <xdr:row>28</xdr:row>
      <xdr:rowOff>26202</xdr:rowOff>
    </xdr:to>
    <xdr:pic>
      <xdr:nvPicPr>
        <xdr:cNvPr id="5" name="図 4">
          <a:extLst>
            <a:ext uri="{FF2B5EF4-FFF2-40B4-BE49-F238E27FC236}">
              <a16:creationId xmlns:a16="http://schemas.microsoft.com/office/drawing/2014/main" id="{3998ED80-E3A6-839E-3734-26B56FEC9915}"/>
            </a:ext>
          </a:extLst>
        </xdr:cNvPr>
        <xdr:cNvPicPr>
          <a:picLocks noChangeAspect="1"/>
        </xdr:cNvPicPr>
      </xdr:nvPicPr>
      <xdr:blipFill>
        <a:blip xmlns:r="http://schemas.openxmlformats.org/officeDocument/2006/relationships" r:embed="rId3"/>
        <a:stretch>
          <a:fillRect/>
        </a:stretch>
      </xdr:blipFill>
      <xdr:spPr>
        <a:xfrm>
          <a:off x="657225" y="457200"/>
          <a:ext cx="9831172" cy="5744377"/>
        </a:xfrm>
        <a:prstGeom prst="rect">
          <a:avLst/>
        </a:prstGeom>
      </xdr:spPr>
    </xdr:pic>
    <xdr:clientData/>
  </xdr:twoCellAnchor>
  <xdr:twoCellAnchor>
    <xdr:from>
      <xdr:col>3</xdr:col>
      <xdr:colOff>387351</xdr:colOff>
      <xdr:row>9</xdr:row>
      <xdr:rowOff>225425</xdr:rowOff>
    </xdr:from>
    <xdr:to>
      <xdr:col>13</xdr:col>
      <xdr:colOff>381001</xdr:colOff>
      <xdr:row>14</xdr:row>
      <xdr:rowOff>85725</xdr:rowOff>
    </xdr:to>
    <xdr:sp macro="" textlink="">
      <xdr:nvSpPr>
        <xdr:cNvPr id="3" name="正方形/長方形 2">
          <a:extLst>
            <a:ext uri="{FF2B5EF4-FFF2-40B4-BE49-F238E27FC236}">
              <a16:creationId xmlns:a16="http://schemas.microsoft.com/office/drawing/2014/main" id="{4D71069D-76FC-38F9-4C96-48EA58961144}"/>
            </a:ext>
          </a:extLst>
        </xdr:cNvPr>
        <xdr:cNvSpPr/>
      </xdr:nvSpPr>
      <xdr:spPr>
        <a:xfrm>
          <a:off x="2359026" y="2054225"/>
          <a:ext cx="6565900" cy="10033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36</xdr:row>
      <xdr:rowOff>0</xdr:rowOff>
    </xdr:from>
    <xdr:to>
      <xdr:col>11</xdr:col>
      <xdr:colOff>502638</xdr:colOff>
      <xdr:row>40</xdr:row>
      <xdr:rowOff>57286</xdr:rowOff>
    </xdr:to>
    <xdr:pic>
      <xdr:nvPicPr>
        <xdr:cNvPr id="9" name="図 8">
          <a:extLst>
            <a:ext uri="{FF2B5EF4-FFF2-40B4-BE49-F238E27FC236}">
              <a16:creationId xmlns:a16="http://schemas.microsoft.com/office/drawing/2014/main" id="{24F48E02-141C-66D9-7F8B-04391375A0D0}"/>
            </a:ext>
          </a:extLst>
        </xdr:cNvPr>
        <xdr:cNvPicPr>
          <a:picLocks noChangeAspect="1"/>
        </xdr:cNvPicPr>
      </xdr:nvPicPr>
      <xdr:blipFill>
        <a:blip xmlns:r="http://schemas.openxmlformats.org/officeDocument/2006/relationships" r:embed="rId4"/>
        <a:stretch>
          <a:fillRect/>
        </a:stretch>
      </xdr:blipFill>
      <xdr:spPr>
        <a:xfrm>
          <a:off x="657225" y="8001000"/>
          <a:ext cx="7078063" cy="971686"/>
        </a:xfrm>
        <a:prstGeom prst="rect">
          <a:avLst/>
        </a:prstGeom>
      </xdr:spPr>
    </xdr:pic>
    <xdr:clientData/>
  </xdr:twoCellAnchor>
  <xdr:twoCellAnchor>
    <xdr:from>
      <xdr:col>1</xdr:col>
      <xdr:colOff>177801</xdr:colOff>
      <xdr:row>38</xdr:row>
      <xdr:rowOff>139700</xdr:rowOff>
    </xdr:from>
    <xdr:to>
      <xdr:col>4</xdr:col>
      <xdr:colOff>104776</xdr:colOff>
      <xdr:row>39</xdr:row>
      <xdr:rowOff>171450</xdr:rowOff>
    </xdr:to>
    <xdr:sp macro="" textlink="">
      <xdr:nvSpPr>
        <xdr:cNvPr id="10" name="正方形/長方形 9">
          <a:extLst>
            <a:ext uri="{FF2B5EF4-FFF2-40B4-BE49-F238E27FC236}">
              <a16:creationId xmlns:a16="http://schemas.microsoft.com/office/drawing/2014/main" id="{2E999983-45B4-42AB-AC82-C7F27DFD54FB}"/>
            </a:ext>
          </a:extLst>
        </xdr:cNvPr>
        <xdr:cNvSpPr/>
      </xdr:nvSpPr>
      <xdr:spPr>
        <a:xfrm>
          <a:off x="835026" y="8597900"/>
          <a:ext cx="1898650" cy="2603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0</xdr:colOff>
      <xdr:row>65</xdr:row>
      <xdr:rowOff>0</xdr:rowOff>
    </xdr:from>
    <xdr:ext cx="7074888" cy="971686"/>
    <xdr:pic>
      <xdr:nvPicPr>
        <xdr:cNvPr id="13" name="図 12">
          <a:extLst>
            <a:ext uri="{FF2B5EF4-FFF2-40B4-BE49-F238E27FC236}">
              <a16:creationId xmlns:a16="http://schemas.microsoft.com/office/drawing/2014/main" id="{8D760AC0-E238-40B7-B4A3-5838813962EB}"/>
            </a:ext>
          </a:extLst>
        </xdr:cNvPr>
        <xdr:cNvPicPr>
          <a:picLocks noChangeAspect="1"/>
        </xdr:cNvPicPr>
      </xdr:nvPicPr>
      <xdr:blipFill>
        <a:blip xmlns:r="http://schemas.openxmlformats.org/officeDocument/2006/relationships" r:embed="rId4"/>
        <a:stretch>
          <a:fillRect/>
        </a:stretch>
      </xdr:blipFill>
      <xdr:spPr>
        <a:xfrm>
          <a:off x="657225" y="8001000"/>
          <a:ext cx="7074888" cy="971686"/>
        </a:xfrm>
        <a:prstGeom prst="rect">
          <a:avLst/>
        </a:prstGeom>
      </xdr:spPr>
    </xdr:pic>
    <xdr:clientData/>
  </xdr:oneCellAnchor>
  <xdr:twoCellAnchor>
    <xdr:from>
      <xdr:col>1</xdr:col>
      <xdr:colOff>114300</xdr:colOff>
      <xdr:row>66</xdr:row>
      <xdr:rowOff>76200</xdr:rowOff>
    </xdr:from>
    <xdr:to>
      <xdr:col>5</xdr:col>
      <xdr:colOff>95249</xdr:colOff>
      <xdr:row>67</xdr:row>
      <xdr:rowOff>152400</xdr:rowOff>
    </xdr:to>
    <xdr:sp macro="" textlink="">
      <xdr:nvSpPr>
        <xdr:cNvPr id="14" name="正方形/長方形 13">
          <a:extLst>
            <a:ext uri="{FF2B5EF4-FFF2-40B4-BE49-F238E27FC236}">
              <a16:creationId xmlns:a16="http://schemas.microsoft.com/office/drawing/2014/main" id="{0F4B052C-1FD1-4646-99F2-57B98DEC837A}"/>
            </a:ext>
          </a:extLst>
        </xdr:cNvPr>
        <xdr:cNvSpPr/>
      </xdr:nvSpPr>
      <xdr:spPr>
        <a:xfrm>
          <a:off x="771525" y="14020800"/>
          <a:ext cx="2609849" cy="3048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520700</xdr:colOff>
      <xdr:row>32</xdr:row>
      <xdr:rowOff>0</xdr:rowOff>
    </xdr:from>
    <xdr:to>
      <xdr:col>3</xdr:col>
      <xdr:colOff>352425</xdr:colOff>
      <xdr:row>33</xdr:row>
      <xdr:rowOff>25400</xdr:rowOff>
    </xdr:to>
    <xdr:sp macro="" textlink="">
      <xdr:nvSpPr>
        <xdr:cNvPr id="17" name="正方形/長方形 16">
          <a:extLst>
            <a:ext uri="{FF2B5EF4-FFF2-40B4-BE49-F238E27FC236}">
              <a16:creationId xmlns:a16="http://schemas.microsoft.com/office/drawing/2014/main" id="{5C36CA5C-4149-4D94-8B7E-082721193234}"/>
            </a:ext>
          </a:extLst>
        </xdr:cNvPr>
        <xdr:cNvSpPr/>
      </xdr:nvSpPr>
      <xdr:spPr>
        <a:xfrm>
          <a:off x="1177925" y="7086600"/>
          <a:ext cx="1146175" cy="2540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xdr:colOff>
      <xdr:row>60</xdr:row>
      <xdr:rowOff>171450</xdr:rowOff>
    </xdr:from>
    <xdr:to>
      <xdr:col>7</xdr:col>
      <xdr:colOff>520700</xdr:colOff>
      <xdr:row>61</xdr:row>
      <xdr:rowOff>196850</xdr:rowOff>
    </xdr:to>
    <xdr:sp macro="" textlink="">
      <xdr:nvSpPr>
        <xdr:cNvPr id="19" name="正方形/長方形 18">
          <a:extLst>
            <a:ext uri="{FF2B5EF4-FFF2-40B4-BE49-F238E27FC236}">
              <a16:creationId xmlns:a16="http://schemas.microsoft.com/office/drawing/2014/main" id="{AAF1626E-E780-439F-B3FE-15BCDED3A0DD}"/>
            </a:ext>
          </a:extLst>
        </xdr:cNvPr>
        <xdr:cNvSpPr/>
      </xdr:nvSpPr>
      <xdr:spPr>
        <a:xfrm>
          <a:off x="3981450" y="12744450"/>
          <a:ext cx="1139825" cy="2540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55</xdr:row>
      <xdr:rowOff>0</xdr:rowOff>
    </xdr:from>
    <xdr:to>
      <xdr:col>7</xdr:col>
      <xdr:colOff>514972</xdr:colOff>
      <xdr:row>56</xdr:row>
      <xdr:rowOff>177857</xdr:rowOff>
    </xdr:to>
    <xdr:pic>
      <xdr:nvPicPr>
        <xdr:cNvPr id="22" name="図 21">
          <a:extLst>
            <a:ext uri="{FF2B5EF4-FFF2-40B4-BE49-F238E27FC236}">
              <a16:creationId xmlns:a16="http://schemas.microsoft.com/office/drawing/2014/main" id="{71396B3F-1218-7327-C8D8-4F2E840CEE8A}"/>
            </a:ext>
          </a:extLst>
        </xdr:cNvPr>
        <xdr:cNvPicPr>
          <a:picLocks noChangeAspect="1"/>
        </xdr:cNvPicPr>
      </xdr:nvPicPr>
      <xdr:blipFill>
        <a:blip xmlns:r="http://schemas.openxmlformats.org/officeDocument/2006/relationships" r:embed="rId5"/>
        <a:stretch>
          <a:fillRect/>
        </a:stretch>
      </xdr:blipFill>
      <xdr:spPr>
        <a:xfrm>
          <a:off x="657225" y="11887200"/>
          <a:ext cx="4458322" cy="409632"/>
        </a:xfrm>
        <a:prstGeom prst="rect">
          <a:avLst/>
        </a:prstGeom>
      </xdr:spPr>
    </xdr:pic>
    <xdr:clientData/>
  </xdr:twoCellAnchor>
  <xdr:twoCellAnchor>
    <xdr:from>
      <xdr:col>2</xdr:col>
      <xdr:colOff>485775</xdr:colOff>
      <xdr:row>55</xdr:row>
      <xdr:rowOff>114300</xdr:rowOff>
    </xdr:from>
    <xdr:to>
      <xdr:col>4</xdr:col>
      <xdr:colOff>314325</xdr:colOff>
      <xdr:row>56</xdr:row>
      <xdr:rowOff>142875</xdr:rowOff>
    </xdr:to>
    <xdr:sp macro="" textlink="">
      <xdr:nvSpPr>
        <xdr:cNvPr id="23" name="正方形/長方形 22">
          <a:extLst>
            <a:ext uri="{FF2B5EF4-FFF2-40B4-BE49-F238E27FC236}">
              <a16:creationId xmlns:a16="http://schemas.microsoft.com/office/drawing/2014/main" id="{B26F217F-B566-4DB6-AB4A-1B65FC849C12}"/>
            </a:ext>
          </a:extLst>
        </xdr:cNvPr>
        <xdr:cNvSpPr/>
      </xdr:nvSpPr>
      <xdr:spPr>
        <a:xfrm>
          <a:off x="1800225" y="12001500"/>
          <a:ext cx="1143000" cy="2571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84</xdr:row>
      <xdr:rowOff>0</xdr:rowOff>
    </xdr:from>
    <xdr:to>
      <xdr:col>7</xdr:col>
      <xdr:colOff>514972</xdr:colOff>
      <xdr:row>85</xdr:row>
      <xdr:rowOff>177857</xdr:rowOff>
    </xdr:to>
    <xdr:pic>
      <xdr:nvPicPr>
        <xdr:cNvPr id="24" name="図 23">
          <a:extLst>
            <a:ext uri="{FF2B5EF4-FFF2-40B4-BE49-F238E27FC236}">
              <a16:creationId xmlns:a16="http://schemas.microsoft.com/office/drawing/2014/main" id="{B6C660EB-F46D-4A1B-A427-BFBF10C0F1DB}"/>
            </a:ext>
          </a:extLst>
        </xdr:cNvPr>
        <xdr:cNvPicPr>
          <a:picLocks noChangeAspect="1"/>
        </xdr:cNvPicPr>
      </xdr:nvPicPr>
      <xdr:blipFill>
        <a:blip xmlns:r="http://schemas.openxmlformats.org/officeDocument/2006/relationships" r:embed="rId5"/>
        <a:stretch>
          <a:fillRect/>
        </a:stretch>
      </xdr:blipFill>
      <xdr:spPr>
        <a:xfrm>
          <a:off x="657225" y="18059400"/>
          <a:ext cx="4458322" cy="406457"/>
        </a:xfrm>
        <a:prstGeom prst="rect">
          <a:avLst/>
        </a:prstGeom>
      </xdr:spPr>
    </xdr:pic>
    <xdr:clientData/>
  </xdr:twoCellAnchor>
  <xdr:twoCellAnchor>
    <xdr:from>
      <xdr:col>4</xdr:col>
      <xdr:colOff>406400</xdr:colOff>
      <xdr:row>84</xdr:row>
      <xdr:rowOff>133350</xdr:rowOff>
    </xdr:from>
    <xdr:to>
      <xdr:col>7</xdr:col>
      <xdr:colOff>457200</xdr:colOff>
      <xdr:row>85</xdr:row>
      <xdr:rowOff>161925</xdr:rowOff>
    </xdr:to>
    <xdr:sp macro="" textlink="">
      <xdr:nvSpPr>
        <xdr:cNvPr id="25" name="正方形/長方形 24">
          <a:extLst>
            <a:ext uri="{FF2B5EF4-FFF2-40B4-BE49-F238E27FC236}">
              <a16:creationId xmlns:a16="http://schemas.microsoft.com/office/drawing/2014/main" id="{A9EC459D-0AC3-47C1-8725-594AAFE538F8}"/>
            </a:ext>
          </a:extLst>
        </xdr:cNvPr>
        <xdr:cNvSpPr/>
      </xdr:nvSpPr>
      <xdr:spPr>
        <a:xfrm>
          <a:off x="3035300" y="18192750"/>
          <a:ext cx="2022475" cy="2571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42</xdr:row>
      <xdr:rowOff>0</xdr:rowOff>
    </xdr:from>
    <xdr:to>
      <xdr:col>25</xdr:col>
      <xdr:colOff>84764</xdr:colOff>
      <xdr:row>52</xdr:row>
      <xdr:rowOff>178144</xdr:rowOff>
    </xdr:to>
    <xdr:pic>
      <xdr:nvPicPr>
        <xdr:cNvPr id="27" name="図 26">
          <a:extLst>
            <a:ext uri="{FF2B5EF4-FFF2-40B4-BE49-F238E27FC236}">
              <a16:creationId xmlns:a16="http://schemas.microsoft.com/office/drawing/2014/main" id="{E4436DD1-3536-B8EA-15E2-C33FDBD3D548}"/>
            </a:ext>
          </a:extLst>
        </xdr:cNvPr>
        <xdr:cNvPicPr>
          <a:picLocks noChangeAspect="1"/>
        </xdr:cNvPicPr>
      </xdr:nvPicPr>
      <xdr:blipFill>
        <a:blip xmlns:r="http://schemas.openxmlformats.org/officeDocument/2006/relationships" r:embed="rId6"/>
        <a:stretch>
          <a:fillRect/>
        </a:stretch>
      </xdr:blipFill>
      <xdr:spPr>
        <a:xfrm>
          <a:off x="657225" y="9372600"/>
          <a:ext cx="15861339" cy="2467319"/>
        </a:xfrm>
        <a:prstGeom prst="rect">
          <a:avLst/>
        </a:prstGeom>
      </xdr:spPr>
    </xdr:pic>
    <xdr:clientData/>
  </xdr:twoCellAnchor>
  <xdr:twoCellAnchor editAs="oneCell">
    <xdr:from>
      <xdr:col>1</xdr:col>
      <xdr:colOff>0</xdr:colOff>
      <xdr:row>71</xdr:row>
      <xdr:rowOff>0</xdr:rowOff>
    </xdr:from>
    <xdr:to>
      <xdr:col>25</xdr:col>
      <xdr:colOff>478518</xdr:colOff>
      <xdr:row>82</xdr:row>
      <xdr:rowOff>28930</xdr:rowOff>
    </xdr:to>
    <xdr:pic>
      <xdr:nvPicPr>
        <xdr:cNvPr id="28" name="図 27">
          <a:extLst>
            <a:ext uri="{FF2B5EF4-FFF2-40B4-BE49-F238E27FC236}">
              <a16:creationId xmlns:a16="http://schemas.microsoft.com/office/drawing/2014/main" id="{F8EA77E2-7AF5-24FE-70C1-EA9BE3BF89A6}"/>
            </a:ext>
          </a:extLst>
        </xdr:cNvPr>
        <xdr:cNvPicPr>
          <a:picLocks noChangeAspect="1"/>
        </xdr:cNvPicPr>
      </xdr:nvPicPr>
      <xdr:blipFill>
        <a:blip xmlns:r="http://schemas.openxmlformats.org/officeDocument/2006/relationships" r:embed="rId7"/>
        <a:stretch>
          <a:fillRect/>
        </a:stretch>
      </xdr:blipFill>
      <xdr:spPr>
        <a:xfrm>
          <a:off x="657225" y="16002000"/>
          <a:ext cx="16251918" cy="2543530"/>
        </a:xfrm>
        <a:prstGeom prst="rect">
          <a:avLst/>
        </a:prstGeom>
      </xdr:spPr>
    </xdr:pic>
    <xdr:clientData/>
  </xdr:twoCellAnchor>
  <xdr:twoCellAnchor>
    <xdr:from>
      <xdr:col>13</xdr:col>
      <xdr:colOff>476250</xdr:colOff>
      <xdr:row>18</xdr:row>
      <xdr:rowOff>152400</xdr:rowOff>
    </xdr:from>
    <xdr:to>
      <xdr:col>17</xdr:col>
      <xdr:colOff>158750</xdr:colOff>
      <xdr:row>21</xdr:row>
      <xdr:rowOff>196850</xdr:rowOff>
    </xdr:to>
    <xdr:sp macro="" textlink="">
      <xdr:nvSpPr>
        <xdr:cNvPr id="29" name="吹き出し: 四角形 28">
          <a:extLst>
            <a:ext uri="{FF2B5EF4-FFF2-40B4-BE49-F238E27FC236}">
              <a16:creationId xmlns:a16="http://schemas.microsoft.com/office/drawing/2014/main" id="{CC2F6EE8-6B54-C36B-25DA-F478F2E96B16}"/>
            </a:ext>
          </a:extLst>
        </xdr:cNvPr>
        <xdr:cNvSpPr/>
      </xdr:nvSpPr>
      <xdr:spPr>
        <a:xfrm>
          <a:off x="9020175" y="4267200"/>
          <a:ext cx="2311400" cy="730250"/>
        </a:xfrm>
        <a:prstGeom prst="wedgeRectCallout">
          <a:avLst>
            <a:gd name="adj1" fmla="val -82510"/>
            <a:gd name="adj2" fmla="val -74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用途選択する文言を追加します。</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1</xdr:col>
      <xdr:colOff>304800</xdr:colOff>
      <xdr:row>21</xdr:row>
      <xdr:rowOff>76200</xdr:rowOff>
    </xdr:to>
    <xdr:sp macro="" textlink="">
      <xdr:nvSpPr>
        <xdr:cNvPr id="2" name="AutoShape 1">
          <a:extLst>
            <a:ext uri="{FF2B5EF4-FFF2-40B4-BE49-F238E27FC236}">
              <a16:creationId xmlns:a16="http://schemas.microsoft.com/office/drawing/2014/main" id="{2893801D-CABD-443A-9D46-09B7CBA8F479}"/>
            </a:ext>
          </a:extLst>
        </xdr:cNvPr>
        <xdr:cNvSpPr>
          <a:spLocks noChangeAspect="1" noChangeArrowheads="1"/>
        </xdr:cNvSpPr>
      </xdr:nvSpPr>
      <xdr:spPr bwMode="auto">
        <a:xfrm>
          <a:off x="657225" y="462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21</xdr:row>
      <xdr:rowOff>76200</xdr:rowOff>
    </xdr:to>
    <xdr:sp macro="" textlink="">
      <xdr:nvSpPr>
        <xdr:cNvPr id="3" name="AutoShape 4">
          <a:extLst>
            <a:ext uri="{FF2B5EF4-FFF2-40B4-BE49-F238E27FC236}">
              <a16:creationId xmlns:a16="http://schemas.microsoft.com/office/drawing/2014/main" id="{8EEA9E24-B665-4DC5-9A6D-24E4DB10A1D0}"/>
            </a:ext>
          </a:extLst>
        </xdr:cNvPr>
        <xdr:cNvSpPr>
          <a:spLocks noChangeAspect="1" noChangeArrowheads="1"/>
        </xdr:cNvSpPr>
      </xdr:nvSpPr>
      <xdr:spPr bwMode="auto">
        <a:xfrm>
          <a:off x="657225" y="462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17</xdr:col>
      <xdr:colOff>0</xdr:colOff>
      <xdr:row>10</xdr:row>
      <xdr:rowOff>17601</xdr:rowOff>
    </xdr:to>
    <xdr:pic>
      <xdr:nvPicPr>
        <xdr:cNvPr id="4" name="図 3">
          <a:extLst>
            <a:ext uri="{FF2B5EF4-FFF2-40B4-BE49-F238E27FC236}">
              <a16:creationId xmlns:a16="http://schemas.microsoft.com/office/drawing/2014/main" id="{925A9B84-3875-4EE5-B763-A067FDBC0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971550"/>
          <a:ext cx="10515600" cy="1389201"/>
        </a:xfrm>
        <a:prstGeom prst="rect">
          <a:avLst/>
        </a:prstGeom>
        <a:solidFill>
          <a:schemeClr val="bg1"/>
        </a:solidFill>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U38"/>
  <sheetViews>
    <sheetView workbookViewId="0">
      <pane ySplit="1" topLeftCell="A22" activePane="bottomLeft" state="frozen"/>
      <selection pane="bottomLeft" activeCell="E49" sqref="E49"/>
    </sheetView>
  </sheetViews>
  <sheetFormatPr defaultRowHeight="17.649999999999999"/>
  <sheetData>
    <row r="1" spans="1:2" ht="22.9">
      <c r="A1" s="2" t="s">
        <v>0</v>
      </c>
    </row>
    <row r="2" spans="1:2">
      <c r="A2" s="1" t="s">
        <v>1</v>
      </c>
    </row>
    <row r="3" spans="1:2">
      <c r="B3" t="s">
        <v>2</v>
      </c>
    </row>
    <row r="12" spans="1:2">
      <c r="B12" t="s">
        <v>3</v>
      </c>
    </row>
    <row r="13" spans="1:2">
      <c r="B13" t="s">
        <v>4</v>
      </c>
    </row>
    <row r="15" spans="1:2">
      <c r="B15" t="s">
        <v>5</v>
      </c>
    </row>
    <row r="16" spans="1:2">
      <c r="B16" t="s">
        <v>6</v>
      </c>
    </row>
    <row r="17" spans="1:21">
      <c r="B17" t="s">
        <v>7</v>
      </c>
    </row>
    <row r="18" spans="1:21">
      <c r="B18" t="s">
        <v>8</v>
      </c>
    </row>
    <row r="21" spans="1:21">
      <c r="A21" s="1" t="s">
        <v>9</v>
      </c>
    </row>
    <row r="22" spans="1:21">
      <c r="B22" t="s">
        <v>10</v>
      </c>
    </row>
    <row r="25" spans="1:21">
      <c r="A25" s="1" t="s">
        <v>11</v>
      </c>
    </row>
    <row r="26" spans="1:21">
      <c r="B26" s="12" t="s">
        <v>12</v>
      </c>
      <c r="C26" s="13"/>
      <c r="D26" s="13"/>
      <c r="E26" s="13"/>
      <c r="F26" s="13"/>
      <c r="G26" s="13"/>
      <c r="H26" s="13"/>
      <c r="I26" s="13"/>
      <c r="J26" s="13"/>
      <c r="K26" s="13"/>
      <c r="L26" s="13"/>
      <c r="M26" s="13"/>
      <c r="N26" s="13"/>
      <c r="O26" s="13"/>
      <c r="P26" s="13"/>
      <c r="Q26" s="13"/>
      <c r="R26" s="13"/>
      <c r="S26" s="13"/>
      <c r="T26" s="13"/>
      <c r="U26" s="14"/>
    </row>
    <row r="27" spans="1:21">
      <c r="B27" s="15" t="s">
        <v>13</v>
      </c>
      <c r="C27" s="16"/>
      <c r="D27" s="16"/>
      <c r="E27" s="16"/>
      <c r="F27" s="16"/>
      <c r="G27" s="16"/>
      <c r="H27" s="16"/>
      <c r="I27" s="16"/>
      <c r="J27" s="16"/>
      <c r="K27" s="16"/>
      <c r="L27" s="16"/>
      <c r="M27" s="16"/>
      <c r="N27" s="16"/>
      <c r="O27" s="16"/>
      <c r="P27" s="16"/>
      <c r="Q27" s="16"/>
      <c r="R27" s="16"/>
      <c r="S27" s="16"/>
      <c r="T27" s="16"/>
      <c r="U27" s="17"/>
    </row>
    <row r="28" spans="1:21">
      <c r="B28" s="15" t="s">
        <v>14</v>
      </c>
      <c r="C28" s="16"/>
      <c r="D28" s="16"/>
      <c r="E28" s="16"/>
      <c r="F28" s="16"/>
      <c r="G28" s="16"/>
      <c r="H28" s="16"/>
      <c r="I28" s="16"/>
      <c r="J28" s="16"/>
      <c r="K28" s="16"/>
      <c r="L28" s="16"/>
      <c r="M28" s="16"/>
      <c r="N28" s="16"/>
      <c r="O28" s="16"/>
      <c r="P28" s="16"/>
      <c r="Q28" s="16"/>
      <c r="R28" s="16"/>
      <c r="S28" s="16"/>
      <c r="T28" s="16"/>
      <c r="U28" s="17"/>
    </row>
    <row r="29" spans="1:21">
      <c r="B29" s="15" t="s">
        <v>15</v>
      </c>
      <c r="C29" s="16"/>
      <c r="D29" s="16"/>
      <c r="E29" s="16"/>
      <c r="F29" s="16"/>
      <c r="G29" s="16"/>
      <c r="H29" s="16"/>
      <c r="I29" s="16"/>
      <c r="J29" s="16"/>
      <c r="K29" s="16"/>
      <c r="L29" s="16"/>
      <c r="M29" s="16"/>
      <c r="N29" s="16"/>
      <c r="O29" s="16"/>
      <c r="P29" s="16"/>
      <c r="Q29" s="16"/>
      <c r="R29" s="16"/>
      <c r="S29" s="16"/>
      <c r="T29" s="16"/>
      <c r="U29" s="17"/>
    </row>
    <row r="30" spans="1:21">
      <c r="B30" s="15" t="s">
        <v>16</v>
      </c>
      <c r="C30" s="16"/>
      <c r="D30" s="16"/>
      <c r="E30" s="16"/>
      <c r="F30" s="16"/>
      <c r="G30" s="16"/>
      <c r="H30" s="16"/>
      <c r="I30" s="16"/>
      <c r="J30" s="16"/>
      <c r="K30" s="16"/>
      <c r="L30" s="16"/>
      <c r="M30" s="16"/>
      <c r="N30" s="16"/>
      <c r="O30" s="16"/>
      <c r="P30" s="16"/>
      <c r="Q30" s="16"/>
      <c r="R30" s="16"/>
      <c r="S30" s="16"/>
      <c r="T30" s="16"/>
      <c r="U30" s="17"/>
    </row>
    <row r="31" spans="1:21">
      <c r="B31" s="18" t="s">
        <v>17</v>
      </c>
      <c r="C31" s="19"/>
      <c r="D31" s="19"/>
      <c r="E31" s="19"/>
      <c r="F31" s="19"/>
      <c r="G31" s="19"/>
      <c r="H31" s="19"/>
      <c r="I31" s="19"/>
      <c r="J31" s="19"/>
      <c r="K31" s="19"/>
      <c r="L31" s="19"/>
      <c r="M31" s="19"/>
      <c r="N31" s="19"/>
      <c r="O31" s="19"/>
      <c r="P31" s="19"/>
      <c r="Q31" s="19"/>
      <c r="R31" s="19"/>
      <c r="S31" s="19"/>
      <c r="T31" s="19"/>
      <c r="U31" s="20"/>
    </row>
    <row r="34" spans="1:3">
      <c r="A34" s="1" t="s">
        <v>18</v>
      </c>
    </row>
    <row r="35" spans="1:3" ht="18" thickBot="1">
      <c r="B35" s="9">
        <f>作業工数!H33</f>
        <v>10.5</v>
      </c>
      <c r="C35" s="9" t="s">
        <v>19</v>
      </c>
    </row>
    <row r="36" spans="1:3" ht="18" thickTop="1"/>
    <row r="37" spans="1:3">
      <c r="B37" t="s">
        <v>20</v>
      </c>
    </row>
    <row r="38" spans="1:3">
      <c r="C38" s="8" t="s">
        <v>21</v>
      </c>
    </row>
  </sheetData>
  <phoneticPr fontId="3"/>
  <hyperlinks>
    <hyperlink ref="C38" location="作業工数!A1" display="作業工数" xr:uid="{89BFE9D2-7AEA-49A7-A716-CA32D4AA5B50}"/>
  </hyperlink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FC0A4-ACF7-46EF-914B-DC8937A6FF62}">
  <dimension ref="A2:C4"/>
  <sheetViews>
    <sheetView workbookViewId="0">
      <selection activeCell="G10" sqref="G10"/>
    </sheetView>
  </sheetViews>
  <sheetFormatPr defaultRowHeight="17.649999999999999"/>
  <sheetData>
    <row r="2" spans="1:3">
      <c r="A2" t="s">
        <v>22</v>
      </c>
    </row>
    <row r="3" spans="1:3">
      <c r="B3" t="s">
        <v>23</v>
      </c>
      <c r="C3" s="30">
        <v>1400000</v>
      </c>
    </row>
    <row r="4" spans="1:3">
      <c r="B4" t="s">
        <v>24</v>
      </c>
      <c r="C4" s="30">
        <v>1000000</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32AF1-38A7-419F-92DB-5847C724E7C9}">
  <sheetPr codeName="Sheet1"/>
  <dimension ref="A1:L39"/>
  <sheetViews>
    <sheetView tabSelected="1" topLeftCell="A7" workbookViewId="0">
      <selection activeCell="K34" sqref="K34"/>
    </sheetView>
  </sheetViews>
  <sheetFormatPr defaultRowHeight="17.649999999999999"/>
  <cols>
    <col min="2" max="3" width="9" customWidth="1"/>
    <col min="4" max="4" width="31.25" bestFit="1" customWidth="1"/>
    <col min="5" max="9" width="6.75" customWidth="1"/>
    <col min="10" max="10" width="10.875" bestFit="1" customWidth="1"/>
    <col min="11" max="11" width="106" customWidth="1"/>
  </cols>
  <sheetData>
    <row r="1" spans="1:11" ht="22.9">
      <c r="A1" s="2" t="s">
        <v>21</v>
      </c>
    </row>
    <row r="3" spans="1:11">
      <c r="A3" s="1" t="s">
        <v>25</v>
      </c>
    </row>
    <row r="4" spans="1:11">
      <c r="B4" t="s">
        <v>26</v>
      </c>
    </row>
    <row r="5" spans="1:11">
      <c r="C5" t="s">
        <v>27</v>
      </c>
    </row>
    <row r="6" spans="1:11">
      <c r="B6" t="s">
        <v>28</v>
      </c>
    </row>
    <row r="9" spans="1:11">
      <c r="A9" s="1" t="s">
        <v>29</v>
      </c>
    </row>
    <row r="10" spans="1:11" ht="35.25">
      <c r="B10" s="10" t="s">
        <v>30</v>
      </c>
      <c r="C10" s="10"/>
      <c r="D10" s="10"/>
      <c r="E10" s="11" t="s">
        <v>31</v>
      </c>
      <c r="F10" s="10"/>
      <c r="G10" s="10"/>
      <c r="H10" s="11" t="s">
        <v>32</v>
      </c>
      <c r="I10" s="11" t="s">
        <v>33</v>
      </c>
      <c r="J10" s="27" t="s">
        <v>34</v>
      </c>
      <c r="K10" s="10" t="s">
        <v>35</v>
      </c>
    </row>
    <row r="11" spans="1:11">
      <c r="B11" s="1" t="s">
        <v>36</v>
      </c>
      <c r="E11" s="5">
        <f>SUM(F12:F12)</f>
        <v>10</v>
      </c>
      <c r="H11" s="6">
        <f>E11/8</f>
        <v>1.25</v>
      </c>
      <c r="I11" s="6">
        <f>H11/20</f>
        <v>6.25E-2</v>
      </c>
      <c r="J11" s="28">
        <f>マスタ!$C$4*I11</f>
        <v>62500</v>
      </c>
    </row>
    <row r="12" spans="1:11">
      <c r="B12" s="1"/>
      <c r="C12" t="s">
        <v>37</v>
      </c>
      <c r="E12" s="6"/>
      <c r="F12">
        <v>10</v>
      </c>
      <c r="H12" s="6"/>
      <c r="I12" s="6"/>
      <c r="J12" s="28"/>
    </row>
    <row r="13" spans="1:11">
      <c r="B13" s="1" t="s">
        <v>38</v>
      </c>
      <c r="E13" s="5">
        <f>SUM(F14:F20)</f>
        <v>31</v>
      </c>
      <c r="H13" s="6">
        <f>E13/8</f>
        <v>3.875</v>
      </c>
      <c r="I13" s="6">
        <f>H13/20</f>
        <v>0.19375000000000001</v>
      </c>
      <c r="J13" s="28">
        <f>マスタ!$C$4*I13</f>
        <v>193750</v>
      </c>
    </row>
    <row r="14" spans="1:11">
      <c r="B14" s="1"/>
      <c r="C14" t="s">
        <v>39</v>
      </c>
      <c r="E14" s="6"/>
      <c r="F14">
        <v>2</v>
      </c>
      <c r="H14" s="6"/>
      <c r="I14" s="6"/>
      <c r="J14" s="28"/>
      <c r="K14" t="s">
        <v>40</v>
      </c>
    </row>
    <row r="15" spans="1:11">
      <c r="B15" s="1"/>
      <c r="C15" t="s">
        <v>41</v>
      </c>
      <c r="E15" s="6"/>
      <c r="F15">
        <v>14</v>
      </c>
      <c r="H15" s="6"/>
      <c r="I15" s="6"/>
      <c r="J15" s="28"/>
    </row>
    <row r="16" spans="1:11">
      <c r="B16" s="1"/>
      <c r="D16" t="s">
        <v>42</v>
      </c>
      <c r="E16" s="6"/>
      <c r="G16">
        <v>4</v>
      </c>
      <c r="H16" s="6"/>
      <c r="I16" s="6"/>
      <c r="J16" s="28"/>
      <c r="K16" t="s">
        <v>43</v>
      </c>
    </row>
    <row r="17" spans="2:12">
      <c r="B17" s="1"/>
      <c r="D17" t="s">
        <v>44</v>
      </c>
      <c r="E17" s="6"/>
      <c r="G17">
        <v>8</v>
      </c>
      <c r="H17" s="6"/>
      <c r="I17" s="6"/>
      <c r="J17" s="28"/>
      <c r="K17" t="s">
        <v>45</v>
      </c>
    </row>
    <row r="18" spans="2:12">
      <c r="B18" s="1"/>
      <c r="C18" t="s">
        <v>46</v>
      </c>
      <c r="E18" s="6"/>
      <c r="F18">
        <v>15</v>
      </c>
      <c r="H18" s="6"/>
      <c r="I18" s="6"/>
      <c r="J18" s="28"/>
      <c r="K18" t="s">
        <v>47</v>
      </c>
    </row>
    <row r="19" spans="2:12">
      <c r="B19" s="1"/>
      <c r="D19" t="s">
        <v>48</v>
      </c>
      <c r="E19" s="6"/>
      <c r="G19">
        <v>4</v>
      </c>
      <c r="H19" s="6"/>
      <c r="I19" s="6"/>
      <c r="J19" s="28"/>
      <c r="K19" t="s">
        <v>49</v>
      </c>
      <c r="L19" s="8" t="s">
        <v>50</v>
      </c>
    </row>
    <row r="20" spans="2:12">
      <c r="B20" s="1"/>
      <c r="D20" t="s">
        <v>51</v>
      </c>
      <c r="E20" s="6"/>
      <c r="G20">
        <v>1</v>
      </c>
      <c r="H20" s="6"/>
      <c r="I20" s="6"/>
      <c r="J20" s="28"/>
      <c r="K20" t="s">
        <v>52</v>
      </c>
    </row>
    <row r="21" spans="2:12">
      <c r="B21" s="1"/>
      <c r="D21" t="s">
        <v>44</v>
      </c>
      <c r="E21" s="6"/>
      <c r="G21">
        <v>8</v>
      </c>
      <c r="H21" s="6"/>
      <c r="I21" s="6"/>
      <c r="J21" s="28"/>
      <c r="K21" s="22" t="s">
        <v>53</v>
      </c>
    </row>
    <row r="22" spans="2:12">
      <c r="B22" s="1" t="s">
        <v>54</v>
      </c>
      <c r="E22" s="5">
        <f>SUM(F23:F24)</f>
        <v>16</v>
      </c>
      <c r="H22" s="6">
        <f>E22/8</f>
        <v>2</v>
      </c>
      <c r="I22" s="6">
        <f>H22/20</f>
        <v>0.1</v>
      </c>
      <c r="J22" s="28">
        <f>マスタ!$C$4*I22</f>
        <v>100000</v>
      </c>
      <c r="K22" t="s">
        <v>55</v>
      </c>
    </row>
    <row r="23" spans="2:12" ht="35.25">
      <c r="B23" s="1"/>
      <c r="C23" t="s">
        <v>56</v>
      </c>
      <c r="E23" s="6"/>
      <c r="F23">
        <v>10</v>
      </c>
      <c r="H23" s="6"/>
      <c r="I23" s="6"/>
      <c r="J23" s="28"/>
      <c r="K23" s="22" t="s">
        <v>57</v>
      </c>
    </row>
    <row r="24" spans="2:12">
      <c r="B24" s="1"/>
      <c r="C24" t="s">
        <v>58</v>
      </c>
      <c r="E24" s="6"/>
      <c r="F24" s="21">
        <v>6</v>
      </c>
      <c r="H24" s="6"/>
      <c r="I24" s="6"/>
      <c r="J24" s="28"/>
    </row>
    <row r="25" spans="2:12">
      <c r="B25" s="1" t="s">
        <v>59</v>
      </c>
      <c r="E25" s="5">
        <f>SUM(F26:F27)</f>
        <v>9</v>
      </c>
      <c r="H25" s="6">
        <f>E25/8</f>
        <v>1.125</v>
      </c>
      <c r="I25" s="6">
        <f>H25/20</f>
        <v>5.6250000000000001E-2</v>
      </c>
      <c r="J25" s="28">
        <f>マスタ!$C$4*I25</f>
        <v>56250</v>
      </c>
    </row>
    <row r="26" spans="2:12">
      <c r="B26" s="1"/>
      <c r="C26" t="s">
        <v>60</v>
      </c>
      <c r="E26" s="6"/>
      <c r="F26">
        <v>5</v>
      </c>
      <c r="H26" s="6"/>
      <c r="I26" s="6"/>
      <c r="J26" s="28"/>
    </row>
    <row r="27" spans="2:12">
      <c r="B27" s="1"/>
      <c r="C27" t="s">
        <v>58</v>
      </c>
      <c r="E27" s="6"/>
      <c r="F27">
        <v>4</v>
      </c>
      <c r="H27" s="6"/>
      <c r="I27" s="6"/>
      <c r="J27" s="28"/>
      <c r="K27" t="s">
        <v>61</v>
      </c>
    </row>
    <row r="28" spans="2:12">
      <c r="B28" s="1" t="s">
        <v>62</v>
      </c>
      <c r="E28" s="5">
        <f>SUM(F29:F29)</f>
        <v>4</v>
      </c>
      <c r="H28" s="6">
        <f>E28/8</f>
        <v>0.5</v>
      </c>
      <c r="I28" s="6">
        <f>H28/20</f>
        <v>2.5000000000000001E-2</v>
      </c>
      <c r="J28" s="28">
        <f>マスタ!$C$4*I28</f>
        <v>25000</v>
      </c>
    </row>
    <row r="29" spans="2:12">
      <c r="B29" s="1"/>
      <c r="C29" t="s">
        <v>63</v>
      </c>
      <c r="E29" s="6"/>
      <c r="F29">
        <v>4</v>
      </c>
      <c r="H29" s="6"/>
      <c r="I29" s="6"/>
      <c r="J29" s="28"/>
    </row>
    <row r="30" spans="2:12">
      <c r="B30" s="1" t="s">
        <v>64</v>
      </c>
      <c r="E30" s="5">
        <f>F31</f>
        <v>14</v>
      </c>
      <c r="H30" s="6">
        <f>E30/8</f>
        <v>1.75</v>
      </c>
      <c r="I30" s="6">
        <f>H30/20</f>
        <v>8.7499999999999994E-2</v>
      </c>
      <c r="J30" s="28">
        <f>マスタ!$C$3*I30</f>
        <v>122499.99999999999</v>
      </c>
    </row>
    <row r="31" spans="2:12">
      <c r="B31" s="1"/>
      <c r="C31" t="s">
        <v>65</v>
      </c>
      <c r="E31" s="6"/>
      <c r="F31">
        <f>SUM(E11:E28)*0.2</f>
        <v>14</v>
      </c>
      <c r="H31" s="6"/>
      <c r="I31" s="6"/>
      <c r="J31" s="28"/>
    </row>
    <row r="32" spans="2:12" ht="18" thickBot="1">
      <c r="B32" s="1"/>
      <c r="E32" s="6"/>
      <c r="H32" s="6"/>
      <c r="I32" s="6"/>
      <c r="J32" s="28"/>
    </row>
    <row r="33" spans="2:11" ht="18" thickTop="1">
      <c r="B33" s="3" t="s">
        <v>66</v>
      </c>
      <c r="C33" s="4"/>
      <c r="D33" s="4"/>
      <c r="E33" s="7">
        <f>SUM(E11:E32)</f>
        <v>84</v>
      </c>
      <c r="F33" s="4"/>
      <c r="G33" s="4"/>
      <c r="H33" s="7">
        <f>SUM(H11:H32)</f>
        <v>10.5</v>
      </c>
      <c r="I33" s="7">
        <f>SUM(I11:I32)</f>
        <v>0.52500000000000002</v>
      </c>
      <c r="J33" s="29">
        <f>SUM(J11:J32)</f>
        <v>560000</v>
      </c>
      <c r="K33" s="4"/>
    </row>
    <row r="36" spans="2:11">
      <c r="B36" s="26"/>
      <c r="C36" s="25"/>
    </row>
    <row r="39" spans="2:11">
      <c r="C39" s="25"/>
    </row>
  </sheetData>
  <phoneticPr fontId="3"/>
  <hyperlinks>
    <hyperlink ref="L19" location="Excelマクロツールの改修内容!A1" display="Excelマクロツールの改修内容" xr:uid="{86E0C90D-B6DE-4B03-9FE6-890A531F7F0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DBBD-9A70-49DC-BAA4-9BFCC7009A07}">
  <sheetPr codeName="Sheet5"/>
  <dimension ref="A2:B84"/>
  <sheetViews>
    <sheetView workbookViewId="0"/>
  </sheetViews>
  <sheetFormatPr defaultRowHeight="17.649999999999999"/>
  <sheetData>
    <row r="2" spans="1:2">
      <c r="A2" s="1" t="s">
        <v>67</v>
      </c>
    </row>
    <row r="3" spans="1:2">
      <c r="B3" t="s">
        <v>68</v>
      </c>
    </row>
    <row r="31" spans="1:1">
      <c r="A31" s="1" t="s">
        <v>69</v>
      </c>
    </row>
    <row r="36" spans="2:2">
      <c r="B36" t="s">
        <v>70</v>
      </c>
    </row>
    <row r="42" spans="2:2">
      <c r="B42" t="s">
        <v>71</v>
      </c>
    </row>
    <row r="55" spans="1:2">
      <c r="B55" t="s">
        <v>72</v>
      </c>
    </row>
    <row r="60" spans="1:2">
      <c r="A60" s="1" t="s">
        <v>73</v>
      </c>
    </row>
    <row r="65" spans="2:2">
      <c r="B65" t="s">
        <v>74</v>
      </c>
    </row>
    <row r="71" spans="2:2">
      <c r="B71" t="s">
        <v>75</v>
      </c>
    </row>
    <row r="84" spans="2:2">
      <c r="B84" t="s">
        <v>76</v>
      </c>
    </row>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0EB2D-FD8F-4950-BFB8-547BC39CCA7D}">
  <sheetPr codeName="Sheet6"/>
  <dimension ref="A1:A58"/>
  <sheetViews>
    <sheetView workbookViewId="0"/>
  </sheetViews>
  <sheetFormatPr defaultRowHeight="17.649999999999999"/>
  <sheetData>
    <row r="1" spans="1:1">
      <c r="A1" s="23" t="s">
        <v>77</v>
      </c>
    </row>
    <row r="2" spans="1:1">
      <c r="A2" s="24" t="s">
        <v>78</v>
      </c>
    </row>
    <row r="3" spans="1:1">
      <c r="A3" s="24" t="s">
        <v>79</v>
      </c>
    </row>
    <row r="4" spans="1:1">
      <c r="A4" s="24" t="s">
        <v>80</v>
      </c>
    </row>
    <row r="5" spans="1:1">
      <c r="A5" s="24" t="s">
        <v>81</v>
      </c>
    </row>
    <row r="6" spans="1:1">
      <c r="A6" s="24" t="s">
        <v>82</v>
      </c>
    </row>
    <row r="7" spans="1:1">
      <c r="A7" s="24" t="s">
        <v>83</v>
      </c>
    </row>
    <row r="8" spans="1:1">
      <c r="A8" s="24" t="s">
        <v>84</v>
      </c>
    </row>
    <row r="9" spans="1:1">
      <c r="A9" s="24" t="s">
        <v>85</v>
      </c>
    </row>
    <row r="10" spans="1:1">
      <c r="A10" s="24" t="s">
        <v>86</v>
      </c>
    </row>
    <row r="11" spans="1:1">
      <c r="A11" s="23" t="s">
        <v>87</v>
      </c>
    </row>
    <row r="12" spans="1:1">
      <c r="A12" s="23" t="s">
        <v>88</v>
      </c>
    </row>
    <row r="13" spans="1:1">
      <c r="A13" s="23" t="s">
        <v>89</v>
      </c>
    </row>
    <row r="14" spans="1:1">
      <c r="A14" s="23" t="s">
        <v>90</v>
      </c>
    </row>
    <row r="15" spans="1:1">
      <c r="A15" s="23" t="s">
        <v>91</v>
      </c>
    </row>
    <row r="16" spans="1:1">
      <c r="A16" s="24" t="s">
        <v>92</v>
      </c>
    </row>
    <row r="17" spans="1:1">
      <c r="A17" s="24" t="s">
        <v>93</v>
      </c>
    </row>
    <row r="18" spans="1:1">
      <c r="A18" s="24" t="s">
        <v>94</v>
      </c>
    </row>
    <row r="19" spans="1:1">
      <c r="A19" s="24" t="s">
        <v>95</v>
      </c>
    </row>
    <row r="20" spans="1:1">
      <c r="A20" s="24" t="s">
        <v>96</v>
      </c>
    </row>
    <row r="21" spans="1:1">
      <c r="A21" s="24" t="s">
        <v>97</v>
      </c>
    </row>
    <row r="22" spans="1:1">
      <c r="A22" s="23" t="s">
        <v>90</v>
      </c>
    </row>
    <row r="23" spans="1:1">
      <c r="A23" s="23" t="s">
        <v>98</v>
      </c>
    </row>
    <row r="24" spans="1:1">
      <c r="A24" s="24" t="s">
        <v>92</v>
      </c>
    </row>
    <row r="25" spans="1:1">
      <c r="A25" s="24" t="s">
        <v>93</v>
      </c>
    </row>
    <row r="26" spans="1:1">
      <c r="A26" s="24" t="s">
        <v>94</v>
      </c>
    </row>
    <row r="27" spans="1:1">
      <c r="A27" s="24" t="s">
        <v>95</v>
      </c>
    </row>
    <row r="28" spans="1:1">
      <c r="A28" s="24" t="s">
        <v>96</v>
      </c>
    </row>
    <row r="29" spans="1:1">
      <c r="A29" s="24" t="s">
        <v>99</v>
      </c>
    </row>
    <row r="30" spans="1:1">
      <c r="A30" s="23" t="s">
        <v>90</v>
      </c>
    </row>
    <row r="31" spans="1:1">
      <c r="A31" s="23" t="s">
        <v>100</v>
      </c>
    </row>
    <row r="32" spans="1:1">
      <c r="A32" s="24" t="s">
        <v>92</v>
      </c>
    </row>
    <row r="33" spans="1:1">
      <c r="A33" s="24" t="s">
        <v>93</v>
      </c>
    </row>
    <row r="34" spans="1:1">
      <c r="A34" s="24" t="s">
        <v>94</v>
      </c>
    </row>
    <row r="35" spans="1:1">
      <c r="A35" s="24" t="s">
        <v>95</v>
      </c>
    </row>
    <row r="36" spans="1:1">
      <c r="A36" s="24" t="s">
        <v>96</v>
      </c>
    </row>
    <row r="37" spans="1:1">
      <c r="A37" s="24" t="s">
        <v>101</v>
      </c>
    </row>
    <row r="38" spans="1:1">
      <c r="A38" s="23" t="s">
        <v>90</v>
      </c>
    </row>
    <row r="39" spans="1:1">
      <c r="A39" s="23" t="s">
        <v>102</v>
      </c>
    </row>
    <row r="40" spans="1:1">
      <c r="A40" s="24" t="s">
        <v>92</v>
      </c>
    </row>
    <row r="41" spans="1:1">
      <c r="A41" s="24" t="s">
        <v>93</v>
      </c>
    </row>
    <row r="42" spans="1:1">
      <c r="A42" s="24" t="s">
        <v>94</v>
      </c>
    </row>
    <row r="43" spans="1:1">
      <c r="A43" s="24" t="s">
        <v>95</v>
      </c>
    </row>
    <row r="44" spans="1:1">
      <c r="A44" s="24" t="s">
        <v>96</v>
      </c>
    </row>
    <row r="45" spans="1:1">
      <c r="A45" s="24" t="s">
        <v>103</v>
      </c>
    </row>
    <row r="46" spans="1:1">
      <c r="A46" s="23" t="s">
        <v>90</v>
      </c>
    </row>
    <row r="47" spans="1:1">
      <c r="A47" s="23" t="s">
        <v>104</v>
      </c>
    </row>
    <row r="48" spans="1:1">
      <c r="A48" s="24" t="s">
        <v>92</v>
      </c>
    </row>
    <row r="49" spans="1:1">
      <c r="A49" s="24" t="s">
        <v>93</v>
      </c>
    </row>
    <row r="50" spans="1:1">
      <c r="A50" s="24" t="s">
        <v>94</v>
      </c>
    </row>
    <row r="51" spans="1:1">
      <c r="A51" s="24" t="s">
        <v>95</v>
      </c>
    </row>
    <row r="52" spans="1:1">
      <c r="A52" s="24" t="s">
        <v>96</v>
      </c>
    </row>
    <row r="53" spans="1:1">
      <c r="A53" s="24" t="s">
        <v>105</v>
      </c>
    </row>
    <row r="54" spans="1:1">
      <c r="A54" s="24" t="s">
        <v>106</v>
      </c>
    </row>
    <row r="55" spans="1:1">
      <c r="A55" s="23" t="s">
        <v>90</v>
      </c>
    </row>
    <row r="56" spans="1:1">
      <c r="A56" s="23" t="s">
        <v>107</v>
      </c>
    </row>
    <row r="57" spans="1:1">
      <c r="A57" s="24" t="s">
        <v>108</v>
      </c>
    </row>
    <row r="58" spans="1:1">
      <c r="A58" s="23" t="s">
        <v>109</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16B9-C6EC-4C90-BA07-253A1771E454}">
  <sheetPr codeName="Sheet3">
    <tabColor theme="0" tint="-0.499984740745262"/>
  </sheetPr>
  <dimension ref="A1:D29"/>
  <sheetViews>
    <sheetView workbookViewId="0">
      <pane ySplit="1" topLeftCell="A2" activePane="bottomLeft" state="frozen"/>
      <selection pane="bottomLeft"/>
    </sheetView>
  </sheetViews>
  <sheetFormatPr defaultRowHeight="17.649999999999999"/>
  <sheetData>
    <row r="1" spans="1:2" ht="22.9">
      <c r="A1" s="2" t="s">
        <v>0</v>
      </c>
    </row>
    <row r="2" spans="1:2">
      <c r="A2" s="1" t="s">
        <v>110</v>
      </c>
    </row>
    <row r="3" spans="1:2">
      <c r="B3" t="s">
        <v>2</v>
      </c>
    </row>
    <row r="12" spans="1:2">
      <c r="B12" t="s">
        <v>3</v>
      </c>
    </row>
    <row r="13" spans="1:2">
      <c r="B13" t="s">
        <v>4</v>
      </c>
    </row>
    <row r="15" spans="1:2">
      <c r="B15" t="s">
        <v>5</v>
      </c>
    </row>
    <row r="16" spans="1:2">
      <c r="B16" t="s">
        <v>6</v>
      </c>
    </row>
    <row r="17" spans="1:4">
      <c r="B17" t="s">
        <v>7</v>
      </c>
    </row>
    <row r="18" spans="1:4">
      <c r="B18" t="s">
        <v>8</v>
      </c>
    </row>
    <row r="21" spans="1:4">
      <c r="A21" s="1" t="s">
        <v>9</v>
      </c>
    </row>
    <row r="22" spans="1:4">
      <c r="B22" t="s">
        <v>10</v>
      </c>
    </row>
    <row r="25" spans="1:4">
      <c r="A25" s="1" t="s">
        <v>111</v>
      </c>
    </row>
    <row r="26" spans="1:4" ht="18" thickBot="1">
      <c r="B26" s="9" t="s">
        <v>112</v>
      </c>
      <c r="D26" t="s">
        <v>113</v>
      </c>
    </row>
    <row r="27" spans="1:4" ht="18" thickTop="1"/>
    <row r="28" spans="1:4">
      <c r="B28" t="s">
        <v>20</v>
      </c>
    </row>
    <row r="29" spans="1:4">
      <c r="C29" s="8" t="s">
        <v>21</v>
      </c>
    </row>
  </sheetData>
  <phoneticPr fontId="3"/>
  <hyperlinks>
    <hyperlink ref="C29" location="作業工数_old!A1" display="作業工数" xr:uid="{987EDC8A-B7F4-49AF-981E-AC2FD8E0DDD0}"/>
  </hyperlink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C4C1-F79D-4884-BDD2-A8306DB10EF2}">
  <sheetPr codeName="Sheet4">
    <tabColor theme="0" tint="-0.499984740745262"/>
  </sheetPr>
  <dimension ref="A1:H28"/>
  <sheetViews>
    <sheetView topLeftCell="A7" workbookViewId="0"/>
  </sheetViews>
  <sheetFormatPr defaultRowHeight="17.649999999999999"/>
  <cols>
    <col min="2" max="3" width="9" customWidth="1"/>
    <col min="4" max="4" width="31.25" bestFit="1" customWidth="1"/>
    <col min="5" max="7" width="6.75" customWidth="1"/>
    <col min="8" max="8" width="79" bestFit="1" customWidth="1"/>
  </cols>
  <sheetData>
    <row r="1" spans="1:8" ht="22.9">
      <c r="A1" s="2" t="s">
        <v>21</v>
      </c>
    </row>
    <row r="3" spans="1:8">
      <c r="A3" s="1" t="s">
        <v>25</v>
      </c>
    </row>
    <row r="4" spans="1:8">
      <c r="B4" t="s">
        <v>114</v>
      </c>
    </row>
    <row r="5" spans="1:8">
      <c r="B5" t="s">
        <v>115</v>
      </c>
    </row>
    <row r="6" spans="1:8">
      <c r="B6" t="s">
        <v>116</v>
      </c>
    </row>
    <row r="7" spans="1:8">
      <c r="B7" t="s">
        <v>117</v>
      </c>
    </row>
    <row r="9" spans="1:8">
      <c r="A9" s="1" t="s">
        <v>29</v>
      </c>
    </row>
    <row r="10" spans="1:8" ht="35.25">
      <c r="B10" s="10" t="s">
        <v>30</v>
      </c>
      <c r="C10" s="10"/>
      <c r="D10" s="10"/>
      <c r="E10" s="11" t="s">
        <v>31</v>
      </c>
      <c r="F10" s="10"/>
      <c r="G10" s="10"/>
      <c r="H10" s="10" t="s">
        <v>35</v>
      </c>
    </row>
    <row r="11" spans="1:8">
      <c r="B11" s="1" t="s">
        <v>36</v>
      </c>
      <c r="E11" s="5">
        <f>SUM(F12:F13)</f>
        <v>8</v>
      </c>
    </row>
    <row r="12" spans="1:8">
      <c r="B12" s="1"/>
      <c r="C12" t="s">
        <v>37</v>
      </c>
      <c r="E12" s="6"/>
      <c r="F12">
        <v>4</v>
      </c>
    </row>
    <row r="13" spans="1:8">
      <c r="B13" s="1"/>
      <c r="C13" t="s">
        <v>118</v>
      </c>
      <c r="E13" s="6"/>
      <c r="F13">
        <v>4</v>
      </c>
    </row>
    <row r="14" spans="1:8">
      <c r="B14" s="1" t="s">
        <v>42</v>
      </c>
      <c r="E14" s="5">
        <f>SUM(F15:F21)</f>
        <v>14</v>
      </c>
    </row>
    <row r="15" spans="1:8">
      <c r="B15" s="1"/>
      <c r="C15" t="s">
        <v>39</v>
      </c>
      <c r="E15" s="6"/>
      <c r="F15">
        <v>1</v>
      </c>
      <c r="H15" t="s">
        <v>119</v>
      </c>
    </row>
    <row r="16" spans="1:8">
      <c r="B16" s="1"/>
      <c r="C16" t="s">
        <v>41</v>
      </c>
      <c r="E16" s="6"/>
      <c r="F16">
        <f>SUM(G17:G18)</f>
        <v>8</v>
      </c>
    </row>
    <row r="17" spans="2:8">
      <c r="B17" s="1"/>
      <c r="D17" t="s">
        <v>42</v>
      </c>
      <c r="E17" s="6"/>
      <c r="G17">
        <v>4</v>
      </c>
      <c r="H17" t="s">
        <v>120</v>
      </c>
    </row>
    <row r="18" spans="2:8">
      <c r="B18" s="1"/>
      <c r="D18" t="s">
        <v>44</v>
      </c>
      <c r="E18" s="6"/>
      <c r="G18">
        <v>4</v>
      </c>
    </row>
    <row r="19" spans="2:8">
      <c r="B19" s="1"/>
      <c r="C19" t="s">
        <v>46</v>
      </c>
      <c r="E19" s="6"/>
      <c r="F19">
        <f>SUM(G20:G21)</f>
        <v>5</v>
      </c>
      <c r="H19" t="s">
        <v>47</v>
      </c>
    </row>
    <row r="20" spans="2:8">
      <c r="B20" s="1"/>
      <c r="D20" t="s">
        <v>121</v>
      </c>
      <c r="E20" s="6"/>
      <c r="G20">
        <v>4</v>
      </c>
    </row>
    <row r="21" spans="2:8">
      <c r="B21" s="1"/>
      <c r="D21" t="s">
        <v>51</v>
      </c>
      <c r="E21" s="6"/>
      <c r="G21">
        <v>1</v>
      </c>
      <c r="H21" t="s">
        <v>52</v>
      </c>
    </row>
    <row r="22" spans="2:8">
      <c r="B22" s="1" t="s">
        <v>54</v>
      </c>
      <c r="E22" s="5">
        <f>SUM(F23:F24)</f>
        <v>8</v>
      </c>
    </row>
    <row r="23" spans="2:8">
      <c r="B23" s="1"/>
      <c r="C23" t="s">
        <v>56</v>
      </c>
      <c r="E23" s="6"/>
      <c r="F23">
        <v>4</v>
      </c>
    </row>
    <row r="24" spans="2:8">
      <c r="B24" s="1"/>
      <c r="C24" t="s">
        <v>58</v>
      </c>
      <c r="E24" s="6"/>
      <c r="F24">
        <v>4</v>
      </c>
    </row>
    <row r="25" spans="2:8">
      <c r="B25" s="1" t="s">
        <v>59</v>
      </c>
      <c r="E25" s="5">
        <f>SUM(F26:F27)</f>
        <v>8</v>
      </c>
    </row>
    <row r="26" spans="2:8">
      <c r="B26" s="1"/>
      <c r="C26" t="s">
        <v>60</v>
      </c>
      <c r="E26" s="6"/>
      <c r="F26">
        <v>4</v>
      </c>
    </row>
    <row r="27" spans="2:8" ht="18" thickBot="1">
      <c r="B27" s="1"/>
      <c r="C27" t="s">
        <v>58</v>
      </c>
      <c r="E27" s="6"/>
      <c r="F27">
        <v>4</v>
      </c>
      <c r="H27" t="s">
        <v>61</v>
      </c>
    </row>
    <row r="28" spans="2:8" ht="18" thickTop="1">
      <c r="B28" s="3" t="s">
        <v>66</v>
      </c>
      <c r="C28" s="4"/>
      <c r="D28" s="4"/>
      <c r="E28" s="7">
        <f>SUM(E11:E27)</f>
        <v>38</v>
      </c>
      <c r="F28" s="4"/>
      <c r="G28" s="4"/>
      <c r="H28" s="4"/>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BA7C5A-3BBB-48EF-BE58-B5417E6BF53E}"/>
</file>

<file path=customXml/itemProps2.xml><?xml version="1.0" encoding="utf-8"?>
<ds:datastoreItem xmlns:ds="http://schemas.openxmlformats.org/officeDocument/2006/customXml" ds:itemID="{B34EE3EF-19C3-4AE4-89E2-9A0FEC031C30}"/>
</file>

<file path=customXml/itemProps3.xml><?xml version="1.0" encoding="utf-8"?>
<ds:datastoreItem xmlns:ds="http://schemas.openxmlformats.org/officeDocument/2006/customXml" ds:itemID="{1B2D5F9F-9774-467A-808D-2D8535D076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髙浦祐朗</cp:lastModifiedBy>
  <cp:revision/>
  <dcterms:created xsi:type="dcterms:W3CDTF">2015-06-05T18:19:34Z</dcterms:created>
  <dcterms:modified xsi:type="dcterms:W3CDTF">2025-07-28T14:27:17Z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