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859" documentId="13_ncr:1_{CA24BDB8-3B58-42DF-8F7D-63DCEEFED22A}" xr6:coauthVersionLast="47" xr6:coauthVersionMax="47" xr10:uidLastSave="{301F8983-0BE4-4A78-865F-D4847473D7BA}"/>
  <bookViews>
    <workbookView xWindow="28680" yWindow="-120" windowWidth="29040" windowHeight="15840" tabRatio="790" firstSheet="18" activeTab="19" xr2:uid="{00000000-000D-0000-FFFF-FFFF00000000}"/>
  </bookViews>
  <sheets>
    <sheet name="想定作業" sheetId="7" state="hidden" r:id="rId1"/>
    <sheet name="背景・作業内容" sheetId="27" r:id="rId2"/>
    <sheet name="概要図(千葉)" sheetId="8" r:id="rId3"/>
    <sheet name="概要図(徳山)" sheetId="9" r:id="rId4"/>
    <sheet name="システム概要" sheetId="2" state="hidden" r:id="rId5"/>
    <sheet name="スケジュール（工場）" sheetId="3" r:id="rId6"/>
    <sheet name="見積（数量確定システム）_bk" sheetId="5" state="hidden" r:id="rId7"/>
    <sheet name="見積（〇〇システム）" sheetId="11" state="hidden" r:id="rId8"/>
    <sheet name="スケジュール（XenAPP）" sheetId="26" r:id="rId9"/>
    <sheet name="見積 (サマリ)" sheetId="10" r:id="rId10"/>
    <sheet name="見積（工場千葉）" sheetId="23" r:id="rId11"/>
    <sheet name="Sheet1" sheetId="1" state="hidden" r:id="rId12"/>
    <sheet name="見積（工場徳山）" sheetId="22" r:id="rId13"/>
    <sheet name="見積（XenApp）" sheetId="24" state="hidden" r:id="rId14"/>
    <sheet name="XenAPP算出根拠" sheetId="25" r:id="rId15"/>
    <sheet name="再見積もり_XenAPPサマリー(開発フェーズ以降)" sheetId="34" r:id="rId16"/>
    <sheet name="XenAPP算出根拠 (愛知)" sheetId="29" r:id="rId17"/>
    <sheet name="XenAPP算出根拠 (北海道)" sheetId="31" r:id="rId18"/>
    <sheet name="XenAPP算出根拠 (千葉)" sheetId="33" r:id="rId19"/>
    <sheet name="XenAPP算出根拠 (千葉) (追加)" sheetId="35" r:id="rId20"/>
    <sheet name="XenAPP算出根拠 (徳山) " sheetId="32" r:id="rId21"/>
    <sheet name="XenAPP算出根拠 (四日市) " sheetId="30" r:id="rId22"/>
    <sheet name="XenAPP事業所別見積" sheetId="28" r:id="rId23"/>
  </sheets>
  <definedNames>
    <definedName name="_xlnm._FilterDatabase" localSheetId="14" hidden="1">XenAPP算出根拠!#REF!</definedName>
    <definedName name="_xlnm._FilterDatabase" localSheetId="16" hidden="1">'XenAPP算出根拠 (愛知)'!#REF!</definedName>
    <definedName name="_xlnm._FilterDatabase" localSheetId="21" hidden="1">'XenAPP算出根拠 (四日市) '!#REF!</definedName>
    <definedName name="_xlnm._FilterDatabase" localSheetId="18" hidden="1">'XenAPP算出根拠 (千葉)'!#REF!</definedName>
    <definedName name="_xlnm._FilterDatabase" localSheetId="19" hidden="1">'XenAPP算出根拠 (千葉) (追加)'!#REF!</definedName>
    <definedName name="_xlnm._FilterDatabase" localSheetId="20" hidden="1">'XenAPP算出根拠 (徳山) '!#REF!</definedName>
    <definedName name="_xlnm._FilterDatabase" localSheetId="17" hidden="1">'XenAPP算出根拠 (北海道)'!#REF!</definedName>
    <definedName name="_xlnm._FilterDatabase" localSheetId="9" hidden="1">'見積 (サマリ)'!$B$4:$Q$5</definedName>
    <definedName name="_xlnm._FilterDatabase" localSheetId="7" hidden="1">'見積（〇〇システム）'!$B$4:$Y$31</definedName>
    <definedName name="_xlnm._FilterDatabase" localSheetId="13" hidden="1">'見積（XenApp）'!$B$3:$G$12</definedName>
    <definedName name="_xlnm._FilterDatabase" localSheetId="10" hidden="1">'見積（工場千葉）'!$B$3:$G$12</definedName>
    <definedName name="_xlnm._FilterDatabase" localSheetId="12" hidden="1">'見積（工場徳山）'!$B$3:$G$12</definedName>
    <definedName name="_xlnm._FilterDatabase" localSheetId="6" hidden="1">'見積（数量確定システム）_bk'!$B$4:$Y$14</definedName>
    <definedName name="AccessDatabase" hidden="1">"C:\Documents and Settings\kawana.OHSAKI\My Documents\作業中\ＤＢらいぶらり.mdb"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 i="35" l="1"/>
  <c r="I35" i="35" s="1"/>
  <c r="H40" i="35"/>
  <c r="I40" i="35" s="1"/>
  <c r="I29" i="35"/>
  <c r="Q10" i="35"/>
  <c r="G8" i="35"/>
  <c r="I8" i="35" s="1"/>
  <c r="K8" i="35" s="1"/>
  <c r="G7" i="35"/>
  <c r="I7" i="35" s="1"/>
  <c r="K7" i="35" s="1"/>
  <c r="G4" i="35"/>
  <c r="I4" i="35" s="1"/>
  <c r="G3" i="35"/>
  <c r="I3" i="35" s="1"/>
  <c r="G8" i="33"/>
  <c r="I40" i="32"/>
  <c r="I36" i="32"/>
  <c r="I40" i="33"/>
  <c r="I36" i="33"/>
  <c r="I36" i="31"/>
  <c r="I48" i="31"/>
  <c r="I40" i="31"/>
  <c r="I10" i="34"/>
  <c r="H40" i="31"/>
  <c r="H48" i="32"/>
  <c r="I48" i="32" s="1"/>
  <c r="I31" i="32"/>
  <c r="I31" i="31"/>
  <c r="I31" i="33"/>
  <c r="N9" i="34"/>
  <c r="M9" i="34"/>
  <c r="N5" i="34"/>
  <c r="N6" i="34"/>
  <c r="N7" i="34"/>
  <c r="N8" i="34"/>
  <c r="N4" i="34"/>
  <c r="H36" i="32"/>
  <c r="H40" i="32"/>
  <c r="G48" i="32"/>
  <c r="H48" i="35" l="1"/>
  <c r="I48" i="35" s="1"/>
  <c r="G6" i="35" s="1"/>
  <c r="I6" i="35" s="1"/>
  <c r="K6" i="35" s="1"/>
  <c r="G5" i="35"/>
  <c r="G9" i="35" s="1"/>
  <c r="J8" i="34"/>
  <c r="J9" i="34"/>
  <c r="J4" i="34"/>
  <c r="I8" i="34"/>
  <c r="I7" i="34"/>
  <c r="I6" i="34"/>
  <c r="I5" i="34"/>
  <c r="I4" i="34"/>
  <c r="H4" i="34"/>
  <c r="E28" i="34" a="1"/>
  <c r="E28" i="34" s="1"/>
  <c r="D28" i="34" a="1"/>
  <c r="D28" i="34" s="1"/>
  <c r="E5" i="34"/>
  <c r="E6" i="34"/>
  <c r="E7" i="34"/>
  <c r="E8" i="34"/>
  <c r="E9" i="34"/>
  <c r="E4" i="34"/>
  <c r="D5" i="34"/>
  <c r="D6" i="34"/>
  <c r="D7" i="34"/>
  <c r="D8" i="34"/>
  <c r="D9" i="34"/>
  <c r="D4" i="34"/>
  <c r="Q10" i="32"/>
  <c r="Q10" i="33"/>
  <c r="Q10" i="31"/>
  <c r="G40" i="33"/>
  <c r="G48" i="33" s="1"/>
  <c r="H48" i="33" s="1"/>
  <c r="H36" i="33"/>
  <c r="F9" i="33"/>
  <c r="I8" i="33"/>
  <c r="K8" i="33" s="1"/>
  <c r="G7" i="33"/>
  <c r="I7" i="33" s="1"/>
  <c r="K7" i="33" s="1"/>
  <c r="G4" i="33"/>
  <c r="I4" i="33" s="1"/>
  <c r="G3" i="33"/>
  <c r="G40" i="32"/>
  <c r="G5" i="32"/>
  <c r="I5" i="32" s="1"/>
  <c r="K5" i="32" s="1"/>
  <c r="F9" i="32"/>
  <c r="G8" i="32"/>
  <c r="I8" i="32" s="1"/>
  <c r="K8" i="32" s="1"/>
  <c r="G7" i="32"/>
  <c r="I7" i="32" s="1"/>
  <c r="K7" i="32" s="1"/>
  <c r="G4" i="32"/>
  <c r="I4" i="32" s="1"/>
  <c r="I3" i="32"/>
  <c r="G3" i="32"/>
  <c r="G6" i="31"/>
  <c r="I6" i="31" s="1"/>
  <c r="K6" i="31" s="1"/>
  <c r="G40" i="31"/>
  <c r="G48" i="31" s="1"/>
  <c r="H36" i="31"/>
  <c r="F9" i="31"/>
  <c r="G8" i="31"/>
  <c r="I8" i="31" s="1"/>
  <c r="G7" i="31"/>
  <c r="I7" i="31" s="1"/>
  <c r="K7" i="31" s="1"/>
  <c r="G4" i="31"/>
  <c r="I4" i="31" s="1"/>
  <c r="I3" i="31"/>
  <c r="G3" i="31"/>
  <c r="H48" i="30"/>
  <c r="I48" i="30" s="1"/>
  <c r="I31" i="30"/>
  <c r="G5" i="30" s="1"/>
  <c r="H36" i="30"/>
  <c r="Q10" i="30"/>
  <c r="G40" i="30"/>
  <c r="G48" i="30" s="1"/>
  <c r="F9" i="30"/>
  <c r="G8" i="30"/>
  <c r="I8" i="30" s="1"/>
  <c r="K8" i="30" s="1"/>
  <c r="G7" i="30"/>
  <c r="I7" i="30" s="1"/>
  <c r="K7" i="30" s="1"/>
  <c r="G4" i="30"/>
  <c r="I4" i="30" s="1"/>
  <c r="I3" i="30"/>
  <c r="G3" i="30"/>
  <c r="G40" i="29"/>
  <c r="G48" i="29" s="1"/>
  <c r="G8" i="29"/>
  <c r="I8" i="29" s="1"/>
  <c r="I48" i="29"/>
  <c r="H48" i="29"/>
  <c r="Q10" i="29"/>
  <c r="I31" i="29"/>
  <c r="G5" i="29" s="1"/>
  <c r="I5" i="29" s="1"/>
  <c r="H36" i="29"/>
  <c r="F9" i="29"/>
  <c r="G7" i="29"/>
  <c r="I7" i="29" s="1"/>
  <c r="G4" i="29"/>
  <c r="I4" i="29" s="1"/>
  <c r="G3" i="29"/>
  <c r="N11" i="28"/>
  <c r="L11" i="28"/>
  <c r="P18" i="28" s="1"/>
  <c r="Q18" i="28" s="1"/>
  <c r="J11" i="28"/>
  <c r="D11" i="28"/>
  <c r="B11" i="28"/>
  <c r="O10" i="28"/>
  <c r="M10" i="28"/>
  <c r="K10" i="28"/>
  <c r="I10" i="28"/>
  <c r="F10" i="28"/>
  <c r="O9" i="28"/>
  <c r="M9" i="28"/>
  <c r="K9" i="28"/>
  <c r="H9" i="28"/>
  <c r="I9" i="28" s="1"/>
  <c r="F9" i="28"/>
  <c r="O8" i="28"/>
  <c r="M8" i="28"/>
  <c r="K8" i="28"/>
  <c r="H8" i="28"/>
  <c r="F8" i="28"/>
  <c r="O7" i="28"/>
  <c r="M7" i="28"/>
  <c r="K7" i="28"/>
  <c r="H7" i="28"/>
  <c r="I7" i="28" s="1"/>
  <c r="F7" i="28"/>
  <c r="O6" i="28"/>
  <c r="M6" i="28"/>
  <c r="K6" i="28"/>
  <c r="K11" i="28" s="1"/>
  <c r="H6" i="28"/>
  <c r="I6" i="28" s="1"/>
  <c r="F6" i="28"/>
  <c r="P6" i="28" s="1"/>
  <c r="Q6" i="28" s="1"/>
  <c r="P5" i="28"/>
  <c r="R5" i="28" s="1"/>
  <c r="E5" i="28"/>
  <c r="E11" i="28" s="1"/>
  <c r="C5" i="28"/>
  <c r="C11" i="28" s="1"/>
  <c r="M53" i="26"/>
  <c r="L53" i="26"/>
  <c r="K53" i="26"/>
  <c r="J53" i="26"/>
  <c r="I53" i="26"/>
  <c r="H53" i="26"/>
  <c r="G53" i="26"/>
  <c r="F53" i="26"/>
  <c r="E53" i="26"/>
  <c r="M48" i="26"/>
  <c r="L48" i="26"/>
  <c r="K48" i="26"/>
  <c r="J48" i="26"/>
  <c r="I48" i="26"/>
  <c r="H48" i="26"/>
  <c r="G48" i="26"/>
  <c r="F48" i="26"/>
  <c r="E48" i="26"/>
  <c r="N48" i="26" s="1"/>
  <c r="G50" i="25"/>
  <c r="H50" i="25" s="1"/>
  <c r="I50" i="25" s="1"/>
  <c r="G49" i="25"/>
  <c r="H49" i="25" s="1"/>
  <c r="I49" i="25" s="1"/>
  <c r="G48" i="25"/>
  <c r="H48" i="25" s="1"/>
  <c r="I48" i="25" s="1"/>
  <c r="G47" i="25"/>
  <c r="H47" i="25" s="1"/>
  <c r="I47" i="25" s="1"/>
  <c r="G46" i="25"/>
  <c r="H46" i="25" s="1"/>
  <c r="I46" i="25" s="1"/>
  <c r="H40" i="25"/>
  <c r="H39" i="25"/>
  <c r="H37" i="25"/>
  <c r="H36" i="25"/>
  <c r="H35" i="25"/>
  <c r="H34" i="25"/>
  <c r="F9" i="25"/>
  <c r="G8" i="25"/>
  <c r="I8" i="25" s="1"/>
  <c r="G7" i="25"/>
  <c r="I7" i="25" s="1"/>
  <c r="G5" i="25"/>
  <c r="I5" i="25" s="1"/>
  <c r="G4" i="25"/>
  <c r="I4" i="25" s="1"/>
  <c r="G3" i="25"/>
  <c r="I5" i="35" l="1"/>
  <c r="G10" i="35"/>
  <c r="I60" i="35"/>
  <c r="I61" i="35" s="1"/>
  <c r="K8" i="31"/>
  <c r="D13" i="34"/>
  <c r="D12" i="34"/>
  <c r="D11" i="34"/>
  <c r="I48" i="33"/>
  <c r="G6" i="33" s="1"/>
  <c r="I6" i="33" s="1"/>
  <c r="G6" i="32"/>
  <c r="I6" i="32" s="1"/>
  <c r="I3" i="33"/>
  <c r="H40" i="33"/>
  <c r="G5" i="33"/>
  <c r="I5" i="33" s="1"/>
  <c r="K5" i="33" s="1"/>
  <c r="I60" i="31"/>
  <c r="I61" i="31" s="1"/>
  <c r="G5" i="31"/>
  <c r="G6" i="30"/>
  <c r="I6" i="30" s="1"/>
  <c r="K6" i="30" s="1"/>
  <c r="H40" i="30"/>
  <c r="I60" i="30"/>
  <c r="I61" i="30" s="1"/>
  <c r="I5" i="30"/>
  <c r="K5" i="30" s="1"/>
  <c r="K7" i="29"/>
  <c r="K8" i="29"/>
  <c r="K5" i="29"/>
  <c r="H40" i="29"/>
  <c r="G6" i="29"/>
  <c r="I3" i="29"/>
  <c r="P7" i="28"/>
  <c r="M11" i="28"/>
  <c r="O11" i="28"/>
  <c r="P8" i="28"/>
  <c r="Q8" i="28" s="1"/>
  <c r="G8" i="28"/>
  <c r="G9" i="28"/>
  <c r="P9" i="28"/>
  <c r="Q9" i="28" s="1"/>
  <c r="G10" i="28"/>
  <c r="P10" i="28"/>
  <c r="Q10" i="28" s="1"/>
  <c r="N53" i="26"/>
  <c r="O53" i="26"/>
  <c r="P53" i="26" s="1"/>
  <c r="S10" i="28"/>
  <c r="S9" i="28"/>
  <c r="R8" i="28"/>
  <c r="P16" i="28"/>
  <c r="G6" i="28"/>
  <c r="R9" i="28"/>
  <c r="R6" i="28"/>
  <c r="I8" i="28"/>
  <c r="G7" i="28"/>
  <c r="R10" i="28"/>
  <c r="H11" i="28"/>
  <c r="P11" i="28"/>
  <c r="F11" i="28"/>
  <c r="P17" i="28" s="1"/>
  <c r="Q17" i="28" s="1"/>
  <c r="Q5" i="28"/>
  <c r="S5" i="28"/>
  <c r="I62" i="25"/>
  <c r="I63" i="25" s="1"/>
  <c r="G6" i="25"/>
  <c r="I6" i="25" s="1"/>
  <c r="G9" i="25"/>
  <c r="I3" i="25"/>
  <c r="I9" i="25" s="1"/>
  <c r="I9" i="35" l="1"/>
  <c r="K9" i="35" s="1"/>
  <c r="K5" i="35"/>
  <c r="K10" i="35" s="1"/>
  <c r="Q11" i="35"/>
  <c r="I10" i="35"/>
  <c r="I60" i="33"/>
  <c r="I61" i="33" s="1"/>
  <c r="K6" i="33"/>
  <c r="K6" i="32"/>
  <c r="I60" i="32"/>
  <c r="I61" i="32" s="1"/>
  <c r="G9" i="32"/>
  <c r="G10" i="32" s="1"/>
  <c r="G9" i="33"/>
  <c r="G10" i="33" s="1"/>
  <c r="I9" i="33"/>
  <c r="K9" i="33" s="1"/>
  <c r="K10" i="33" s="1"/>
  <c r="I9" i="32"/>
  <c r="K9" i="32" s="1"/>
  <c r="K10" i="32" s="1"/>
  <c r="I5" i="31"/>
  <c r="D10" i="34" s="1"/>
  <c r="G9" i="31"/>
  <c r="G10" i="31" s="1"/>
  <c r="G9" i="30"/>
  <c r="G10" i="30" s="1"/>
  <c r="I9" i="30"/>
  <c r="K9" i="30" s="1"/>
  <c r="K10" i="30" s="1"/>
  <c r="I6" i="29"/>
  <c r="I9" i="29" s="1"/>
  <c r="K9" i="29" s="1"/>
  <c r="I60" i="29"/>
  <c r="I61" i="29" s="1"/>
  <c r="G9" i="29"/>
  <c r="G10" i="29" s="1"/>
  <c r="S8" i="28"/>
  <c r="I11" i="28"/>
  <c r="Q7" i="28"/>
  <c r="S7" i="28" s="1"/>
  <c r="R7" i="28"/>
  <c r="G11" i="28"/>
  <c r="S6" i="28"/>
  <c r="P12" i="28"/>
  <c r="P19" i="28"/>
  <c r="Q11" i="28"/>
  <c r="Q16" i="28"/>
  <c r="Q19" i="28" s="1"/>
  <c r="I10" i="25"/>
  <c r="G10" i="25"/>
  <c r="Q11" i="33" l="1"/>
  <c r="H6" i="34"/>
  <c r="J6" i="34" s="1"/>
  <c r="E16" i="34" a="1"/>
  <c r="E16" i="34" s="1"/>
  <c r="Q11" i="32"/>
  <c r="H7" i="34"/>
  <c r="J7" i="34" s="1"/>
  <c r="E22" i="34" a="1"/>
  <c r="E22" i="34" s="1"/>
  <c r="I10" i="33"/>
  <c r="D16" i="34" s="1" a="1"/>
  <c r="D16" i="34" s="1"/>
  <c r="I10" i="32"/>
  <c r="D22" i="34" s="1" a="1"/>
  <c r="D22" i="34" s="1"/>
  <c r="K5" i="31"/>
  <c r="I9" i="31"/>
  <c r="I10" i="30"/>
  <c r="I10" i="29"/>
  <c r="K6" i="29"/>
  <c r="Q12" i="28"/>
  <c r="K9" i="31" l="1"/>
  <c r="D14" i="34"/>
  <c r="I10" i="31"/>
  <c r="D15" i="34" s="1"/>
  <c r="K10" i="29"/>
  <c r="Q11" i="29"/>
  <c r="L11" i="24"/>
  <c r="J11" i="24" s="1"/>
  <c r="I11" i="24" s="1"/>
  <c r="H11" i="24" s="1"/>
  <c r="D11" i="24" s="1"/>
  <c r="I6" i="10"/>
  <c r="H6" i="10"/>
  <c r="G6" i="10"/>
  <c r="F6" i="10"/>
  <c r="E6" i="10"/>
  <c r="I7" i="10"/>
  <c r="H7" i="10"/>
  <c r="F7" i="10"/>
  <c r="G7" i="10"/>
  <c r="E7" i="10"/>
  <c r="D7" i="10"/>
  <c r="E12" i="24"/>
  <c r="H12" i="24"/>
  <c r="D10" i="24"/>
  <c r="D9" i="24"/>
  <c r="D8" i="24"/>
  <c r="D7" i="24"/>
  <c r="D6" i="24"/>
  <c r="D5" i="24"/>
  <c r="D4" i="24"/>
  <c r="D6" i="10"/>
  <c r="I11" i="22"/>
  <c r="H11" i="22" s="1"/>
  <c r="I11" i="23"/>
  <c r="H11" i="23" s="1"/>
  <c r="D11" i="23" s="1"/>
  <c r="D8" i="22"/>
  <c r="D5" i="22"/>
  <c r="D6" i="22"/>
  <c r="D7" i="22"/>
  <c r="D9" i="22"/>
  <c r="D10" i="22"/>
  <c r="D4" i="22"/>
  <c r="D4" i="23"/>
  <c r="D5" i="23"/>
  <c r="D6" i="23"/>
  <c r="D7" i="23"/>
  <c r="D8" i="23"/>
  <c r="D9" i="23"/>
  <c r="D10" i="23"/>
  <c r="K10" i="31" l="1"/>
  <c r="E10" i="34" s="1" a="1"/>
  <c r="E10" i="34" s="1"/>
  <c r="K6" i="10"/>
  <c r="J6" i="10"/>
  <c r="D11" i="22"/>
  <c r="Q11" i="31" l="1"/>
  <c r="H5" i="34"/>
  <c r="H10" i="34" s="1"/>
  <c r="H12" i="23"/>
  <c r="H12" i="22"/>
  <c r="K7" i="10"/>
  <c r="I5" i="10"/>
  <c r="H5" i="10"/>
  <c r="G5" i="10"/>
  <c r="F5" i="10"/>
  <c r="E5" i="10"/>
  <c r="D5" i="10"/>
  <c r="E12" i="22"/>
  <c r="J5" i="34" l="1"/>
  <c r="J10" i="34" s="1"/>
  <c r="K5" i="10"/>
  <c r="K8" i="10" s="1"/>
  <c r="E12" i="23"/>
  <c r="J7" i="10" l="1"/>
  <c r="T18" i="3"/>
  <c r="T17" i="3"/>
  <c r="S14" i="3"/>
  <c r="R14" i="3"/>
  <c r="Q14" i="3"/>
  <c r="P14" i="3"/>
  <c r="O14" i="3"/>
  <c r="N14" i="3"/>
  <c r="M14" i="3"/>
  <c r="L14" i="3"/>
  <c r="L15" i="3" s="1"/>
  <c r="K14" i="3"/>
  <c r="J14" i="3"/>
  <c r="I14" i="3"/>
  <c r="H14" i="3"/>
  <c r="G14" i="3"/>
  <c r="F14" i="3"/>
  <c r="E14" i="3"/>
  <c r="D14" i="3"/>
  <c r="C14" i="3"/>
  <c r="C16" i="3" l="1"/>
  <c r="C15" i="3"/>
  <c r="D16" i="3"/>
  <c r="D15" i="3"/>
  <c r="E16" i="3"/>
  <c r="E15" i="3"/>
  <c r="F16" i="3"/>
  <c r="F15" i="3"/>
  <c r="G16" i="3"/>
  <c r="G15" i="3"/>
  <c r="H16" i="3"/>
  <c r="H15" i="3"/>
  <c r="I16" i="3"/>
  <c r="I15" i="3"/>
  <c r="J16" i="3"/>
  <c r="J15" i="3"/>
  <c r="K16" i="3"/>
  <c r="K15" i="3"/>
  <c r="L16" i="3"/>
  <c r="M16" i="3"/>
  <c r="M15" i="3"/>
  <c r="N16" i="3"/>
  <c r="N15" i="3"/>
  <c r="O16" i="3"/>
  <c r="O15" i="3"/>
  <c r="P16" i="3"/>
  <c r="P15" i="3"/>
  <c r="Q16" i="3"/>
  <c r="Q15" i="3"/>
  <c r="R16" i="3"/>
  <c r="R15" i="3"/>
  <c r="S16" i="3"/>
  <c r="S15" i="3"/>
  <c r="H8" i="10"/>
  <c r="G8" i="10"/>
  <c r="F8" i="10"/>
  <c r="E8" i="10"/>
  <c r="T15" i="3" l="1"/>
  <c r="T19" i="3" s="1"/>
  <c r="T16" i="3"/>
  <c r="T20" i="3" s="1"/>
  <c r="D8" i="10"/>
  <c r="T21" i="3" l="1"/>
  <c r="T22" i="3" s="1"/>
  <c r="I8" i="10"/>
  <c r="J8" i="10" s="1"/>
  <c r="E10" i="10" l="1"/>
  <c r="H10" i="10"/>
  <c r="D10" i="10"/>
  <c r="J5" i="10"/>
  <c r="F10" i="10" l="1"/>
  <c r="G10" i="10" l="1"/>
  <c r="H6" i="5"/>
  <c r="I6" i="5" s="1"/>
  <c r="H7" i="5"/>
  <c r="I7" i="5"/>
  <c r="H8" i="5"/>
  <c r="I8" i="5" s="1"/>
  <c r="H9" i="5"/>
  <c r="I9" i="5"/>
  <c r="H10" i="5"/>
  <c r="I10" i="5" s="1"/>
  <c r="H11" i="5"/>
  <c r="I11" i="5"/>
  <c r="H12" i="5"/>
  <c r="I12" i="5"/>
  <c r="H13" i="5"/>
  <c r="I13" i="5"/>
  <c r="H14" i="5"/>
  <c r="I14" i="5" s="1"/>
  <c r="M6" i="5" l="1"/>
  <c r="N6" i="5" s="1"/>
  <c r="M7" i="5"/>
  <c r="N7" i="5" s="1"/>
  <c r="M11" i="5"/>
  <c r="N11" i="5" s="1"/>
  <c r="M8" i="5"/>
  <c r="N8" i="5" s="1"/>
  <c r="M9" i="5"/>
  <c r="N9" i="5" s="1"/>
  <c r="M10" i="5"/>
  <c r="N10" i="5" s="1"/>
  <c r="M12" i="5"/>
  <c r="N12" i="5" s="1"/>
  <c r="M13" i="5"/>
  <c r="N13" i="5" s="1"/>
  <c r="M14" i="5"/>
  <c r="N14" i="5" s="1"/>
  <c r="Q16" i="5"/>
  <c r="P16" i="5"/>
  <c r="O16" i="5"/>
  <c r="S35" i="11"/>
  <c r="N35" i="11"/>
  <c r="I35" i="11"/>
  <c r="Q33" i="11"/>
  <c r="Q36" i="11" s="1"/>
  <c r="P33" i="11"/>
  <c r="P36" i="11" s="1"/>
  <c r="O33" i="11"/>
  <c r="O36" i="11" s="1"/>
  <c r="L33" i="11"/>
  <c r="L36" i="11" s="1"/>
  <c r="K33" i="11"/>
  <c r="K36" i="11" s="1"/>
  <c r="J33" i="11"/>
  <c r="J36" i="11" s="1"/>
  <c r="G33" i="11"/>
  <c r="G36" i="11" s="1"/>
  <c r="F33" i="11"/>
  <c r="F36" i="11" s="1"/>
  <c r="E33" i="11"/>
  <c r="E36" i="11" s="1"/>
  <c r="R31" i="11"/>
  <c r="S31" i="11" s="1"/>
  <c r="M31" i="11"/>
  <c r="N31" i="11" s="1"/>
  <c r="H31" i="11"/>
  <c r="I31" i="11" s="1"/>
  <c r="R30" i="11"/>
  <c r="S30" i="11" s="1"/>
  <c r="M30" i="11"/>
  <c r="N30" i="11" s="1"/>
  <c r="H30" i="11"/>
  <c r="I30" i="11" s="1"/>
  <c r="R29" i="11"/>
  <c r="S29" i="11" s="1"/>
  <c r="M29" i="11"/>
  <c r="N29" i="11" s="1"/>
  <c r="H29" i="11"/>
  <c r="I29" i="11" s="1"/>
  <c r="R28" i="11"/>
  <c r="S28" i="11" s="1"/>
  <c r="M28" i="11"/>
  <c r="N28" i="11" s="1"/>
  <c r="H28" i="11"/>
  <c r="I28" i="11" s="1"/>
  <c r="R27" i="11"/>
  <c r="S27" i="11" s="1"/>
  <c r="M27" i="11"/>
  <c r="N27" i="11" s="1"/>
  <c r="H27" i="11"/>
  <c r="I27" i="11" s="1"/>
  <c r="R26" i="11"/>
  <c r="S26" i="11" s="1"/>
  <c r="M26" i="11"/>
  <c r="N26" i="11" s="1"/>
  <c r="H26" i="11"/>
  <c r="I26" i="11" s="1"/>
  <c r="R25" i="11"/>
  <c r="S25" i="11" s="1"/>
  <c r="M25" i="11"/>
  <c r="N25" i="11" s="1"/>
  <c r="H25" i="11"/>
  <c r="I25" i="11" s="1"/>
  <c r="R24" i="11"/>
  <c r="S24" i="11" s="1"/>
  <c r="M24" i="11"/>
  <c r="N24" i="11" s="1"/>
  <c r="H24" i="11"/>
  <c r="I24" i="11" s="1"/>
  <c r="R23" i="11"/>
  <c r="S23" i="11" s="1"/>
  <c r="M23" i="11"/>
  <c r="N23" i="11" s="1"/>
  <c r="H23" i="11"/>
  <c r="I23" i="11" s="1"/>
  <c r="R22" i="11"/>
  <c r="S22" i="11" s="1"/>
  <c r="M22" i="11"/>
  <c r="N22" i="11" s="1"/>
  <c r="H22" i="11"/>
  <c r="I22" i="11" s="1"/>
  <c r="R21" i="11"/>
  <c r="S21" i="11" s="1"/>
  <c r="M21" i="11"/>
  <c r="N21" i="11" s="1"/>
  <c r="H21" i="11"/>
  <c r="I21" i="11" s="1"/>
  <c r="R20" i="11"/>
  <c r="S20" i="11" s="1"/>
  <c r="M20" i="11"/>
  <c r="N20" i="11" s="1"/>
  <c r="H20" i="11"/>
  <c r="I20" i="11" s="1"/>
  <c r="R19" i="11"/>
  <c r="S19" i="11" s="1"/>
  <c r="M19" i="11"/>
  <c r="N19" i="11" s="1"/>
  <c r="H19" i="11"/>
  <c r="I19" i="11" s="1"/>
  <c r="R18" i="11"/>
  <c r="S18" i="11" s="1"/>
  <c r="M18" i="11"/>
  <c r="N18" i="11" s="1"/>
  <c r="H18" i="11"/>
  <c r="I18" i="11" s="1"/>
  <c r="R17" i="11"/>
  <c r="M17" i="11"/>
  <c r="H17" i="11"/>
  <c r="R16" i="11"/>
  <c r="S16" i="11" s="1"/>
  <c r="M16" i="11"/>
  <c r="N16" i="11" s="1"/>
  <c r="H16" i="11"/>
  <c r="I16" i="11" s="1"/>
  <c r="R15" i="11"/>
  <c r="S15" i="11" s="1"/>
  <c r="M15" i="11"/>
  <c r="N15" i="11" s="1"/>
  <c r="H15" i="11"/>
  <c r="I15" i="11" s="1"/>
  <c r="R14" i="11"/>
  <c r="S14" i="11" s="1"/>
  <c r="M14" i="11"/>
  <c r="N14" i="11" s="1"/>
  <c r="H14" i="11"/>
  <c r="I14" i="11" s="1"/>
  <c r="R13" i="11"/>
  <c r="S13" i="11" s="1"/>
  <c r="M13" i="11"/>
  <c r="N13" i="11" s="1"/>
  <c r="H13" i="11"/>
  <c r="I13" i="11" s="1"/>
  <c r="R12" i="11"/>
  <c r="S12" i="11" s="1"/>
  <c r="M12" i="11"/>
  <c r="N12" i="11" s="1"/>
  <c r="H12" i="11"/>
  <c r="I12" i="11" s="1"/>
  <c r="R11" i="11"/>
  <c r="S11" i="11" s="1"/>
  <c r="M11" i="11"/>
  <c r="N11" i="11" s="1"/>
  <c r="H11" i="11"/>
  <c r="I11" i="11" s="1"/>
  <c r="R10" i="11"/>
  <c r="S10" i="11" s="1"/>
  <c r="M10" i="11"/>
  <c r="N10" i="11" s="1"/>
  <c r="H10" i="11"/>
  <c r="I10" i="11" s="1"/>
  <c r="R9" i="11"/>
  <c r="S9" i="11" s="1"/>
  <c r="M9" i="11"/>
  <c r="N9" i="11" s="1"/>
  <c r="H9" i="11"/>
  <c r="I9" i="11" s="1"/>
  <c r="R8" i="11"/>
  <c r="S8" i="11" s="1"/>
  <c r="M8" i="11"/>
  <c r="N8" i="11" s="1"/>
  <c r="H8" i="11"/>
  <c r="I8" i="11" s="1"/>
  <c r="R7" i="11"/>
  <c r="S7" i="11" s="1"/>
  <c r="M7" i="11"/>
  <c r="N7" i="11" s="1"/>
  <c r="H7" i="11"/>
  <c r="I7" i="11" s="1"/>
  <c r="R6" i="11"/>
  <c r="S6" i="11" s="1"/>
  <c r="M6" i="11"/>
  <c r="N6" i="11" s="1"/>
  <c r="H6" i="11"/>
  <c r="I6" i="11" s="1"/>
  <c r="R5" i="11"/>
  <c r="S5" i="11" s="1"/>
  <c r="M5" i="11"/>
  <c r="N5" i="11" s="1"/>
  <c r="H5" i="11"/>
  <c r="I5" i="11" s="1"/>
  <c r="I10" i="10" l="1"/>
  <c r="H33" i="11"/>
  <c r="H36" i="11" s="1"/>
  <c r="I17" i="11"/>
  <c r="M33" i="11"/>
  <c r="M36" i="11" s="1"/>
  <c r="N17" i="11"/>
  <c r="N33" i="11" s="1"/>
  <c r="R33" i="11"/>
  <c r="R36" i="11" s="1"/>
  <c r="S36" i="11" s="1"/>
  <c r="S17" i="11"/>
  <c r="S33" i="11" s="1"/>
  <c r="N36" i="11"/>
  <c r="I36" i="11"/>
  <c r="I33" i="11"/>
  <c r="L16" i="5" l="1"/>
  <c r="K16" i="5"/>
  <c r="J16" i="5"/>
  <c r="G16" i="5"/>
  <c r="F16" i="5"/>
  <c r="E16" i="5"/>
  <c r="E19" i="5" s="1"/>
  <c r="R14" i="5" l="1"/>
  <c r="S14" i="5" s="1"/>
  <c r="R13" i="5"/>
  <c r="S13" i="5" s="1"/>
  <c r="R12" i="5"/>
  <c r="S12" i="5" s="1"/>
  <c r="R8" i="5"/>
  <c r="S8" i="5" s="1"/>
  <c r="S18" i="5"/>
  <c r="N18" i="5"/>
  <c r="I18" i="5"/>
  <c r="Q19" i="5"/>
  <c r="P19" i="5"/>
  <c r="O19" i="5"/>
  <c r="L19" i="5"/>
  <c r="K19" i="5"/>
  <c r="J19" i="5"/>
  <c r="G19" i="5"/>
  <c r="F19" i="5"/>
  <c r="R11" i="5"/>
  <c r="R7" i="5"/>
  <c r="S7" i="5" s="1"/>
  <c r="R5" i="5"/>
  <c r="M5" i="5"/>
  <c r="H5" i="5"/>
  <c r="N5" i="5" l="1"/>
  <c r="N16" i="5" s="1"/>
  <c r="M16" i="5"/>
  <c r="M19" i="5" s="1"/>
  <c r="N19" i="5" s="1"/>
  <c r="H16" i="5"/>
  <c r="H19" i="5" s="1"/>
  <c r="I19" i="5" s="1"/>
  <c r="S5" i="5"/>
  <c r="R16" i="5"/>
  <c r="R19" i="5" s="1"/>
  <c r="S19" i="5" s="1"/>
  <c r="S11" i="5"/>
  <c r="I5" i="5"/>
  <c r="J11" i="1"/>
  <c r="J10" i="1"/>
  <c r="I16" i="5" l="1"/>
  <c r="S16" i="5"/>
  <c r="J15" i="1"/>
  <c r="J13" i="1"/>
  <c r="J12" i="1"/>
  <c r="H28" i="1" l="1"/>
  <c r="H27" i="1"/>
  <c r="F28" i="1"/>
  <c r="F31" i="1"/>
  <c r="F32" i="1"/>
  <c r="F30" i="1"/>
  <c r="F33" i="1" l="1"/>
  <c r="F29" i="1"/>
  <c r="Q11" i="3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<sst xmlns="http://schemas.openxmlformats.org/spreadsheetml/2006/main" count="1814" uniqueCount="558">
  <si>
    <t>前提</t>
  </si>
  <si>
    <t>業務・機能変更は行わない。</t>
  </si>
  <si>
    <t>サーバ構成は現行踏襲とする。</t>
  </si>
  <si>
    <t>DBは現行踏襲（Oracle、SQLSever継続）</t>
  </si>
  <si>
    <t>JavaフレームワークはStruts継続</t>
    <phoneticPr fontId="2"/>
  </si>
  <si>
    <t>テストは新規構築した本番環境（次期本番機）にて行う。</t>
  </si>
  <si>
    <t>※検証、予備環境は最低限の動作確認（アプリ起動、ログイン確認程度）を想定</t>
  </si>
  <si>
    <t>想定作業</t>
  </si>
  <si>
    <t>全パターン共通</t>
    <rPh sb="0" eb="1">
      <t>ゼン</t>
    </rPh>
    <rPh sb="5" eb="7">
      <t>キョウツウ</t>
    </rPh>
    <phoneticPr fontId="2"/>
  </si>
  <si>
    <t>IP,ホスト名変更に伴う各種（IF、DB等）向け先変更、検証</t>
    <rPh sb="6" eb="7">
      <t>メイ</t>
    </rPh>
    <rPh sb="7" eb="9">
      <t>ヘンコウ</t>
    </rPh>
    <rPh sb="10" eb="11">
      <t>トモナ</t>
    </rPh>
    <rPh sb="12" eb="14">
      <t>カクシュ</t>
    </rPh>
    <rPh sb="20" eb="21">
      <t>トウ</t>
    </rPh>
    <rPh sb="22" eb="23">
      <t>ム</t>
    </rPh>
    <rPh sb="24" eb="25">
      <t>サキ</t>
    </rPh>
    <rPh sb="25" eb="27">
      <t>ヘンコウ</t>
    </rPh>
    <rPh sb="28" eb="30">
      <t>ケンショウ</t>
    </rPh>
    <phoneticPr fontId="2"/>
  </si>
  <si>
    <t>データ移行</t>
  </si>
  <si>
    <t>アプリ動作検証（全画面、帳票、バッチ、IF打鍵※現新比較）</t>
  </si>
  <si>
    <t>アプリケーション構築、ミドルウェアのセットアップ</t>
  </si>
  <si>
    <t>IF連携ID変更（連携NASを利用しているもの）※新システム</t>
  </si>
  <si>
    <t>（１）次期アーキテクチャとしてAzure環境に再構築</t>
  </si>
  <si>
    <t>DB構築（構成の検討から）</t>
    <rPh sb="2" eb="4">
      <t>コウチク</t>
    </rPh>
    <rPh sb="5" eb="7">
      <t>コウセイ</t>
    </rPh>
    <rPh sb="8" eb="10">
      <t>ケントウ</t>
    </rPh>
    <phoneticPr fontId="2"/>
  </si>
  <si>
    <t>※本見積は各システム毎に個別にOracle構築を想定</t>
  </si>
  <si>
    <t>Office 365化に伴うExcel帳票の非互換調査、対応</t>
    <rPh sb="10" eb="11">
      <t>カ</t>
    </rPh>
    <rPh sb="12" eb="13">
      <t>トモナ</t>
    </rPh>
    <rPh sb="19" eb="21">
      <t>チョウヒョウ</t>
    </rPh>
    <rPh sb="22" eb="27">
      <t>ヒゴカンチョウサ</t>
    </rPh>
    <rPh sb="28" eb="30">
      <t>タイオウ</t>
    </rPh>
    <phoneticPr fontId="2"/>
  </si>
  <si>
    <t>DBバージョンアップ（19c⇒22c）に伴う非互換調査、対応</t>
  </si>
  <si>
    <t>WebLogic⇒Tomcat移行に伴う非互換調査、対応</t>
  </si>
  <si>
    <t>スケジューラ変更（Systemwalker Operation Manager⇒A-AUTO）に伴う非互換調査、対応</t>
  </si>
  <si>
    <t>（２）Azureに構築される縮小版の共通基盤に移行</t>
    <phoneticPr fontId="2"/>
  </si>
  <si>
    <t>全パターン共通の作業のみ</t>
    <rPh sb="8" eb="10">
      <t>サギョウ</t>
    </rPh>
    <phoneticPr fontId="2"/>
  </si>
  <si>
    <t>JDKとWLSはマイナーバージョンアップされるが、Strutsへの非互換は無い認識</t>
    <rPh sb="33" eb="36">
      <t>ヒゴカン</t>
    </rPh>
    <rPh sb="37" eb="38">
      <t>ナ</t>
    </rPh>
    <rPh sb="39" eb="41">
      <t>ニンシキ</t>
    </rPh>
    <phoneticPr fontId="2"/>
  </si>
  <si>
    <t>※DBを個別構築する場合は以下が追加</t>
  </si>
  <si>
    <t>（３）現地Windows2016サーバ再構築</t>
  </si>
  <si>
    <t>サーバ構築（実際の構築作業は出光だが、スペック見積等）</t>
  </si>
  <si>
    <t>DB構築</t>
  </si>
  <si>
    <t>DBバージョンアップ（Oracle19c⇒22c、SQLServer2016⇒2022）に伴う非互換調査、対応</t>
  </si>
  <si>
    <t>.NET Framework非互換調査、64bit非互換調査（製品倉庫、ABC、数量ポリマー）</t>
    <phoneticPr fontId="2"/>
  </si>
  <si>
    <t>Office 365化に伴うExcel帳票の非互換調査、対応（製品倉庫のみ）</t>
  </si>
  <si>
    <t>Azure環境制約（Dドライブ、OSユーザ）※ヤード予備機がAzure構築のため、現地本番も構成合わせる必要</t>
  </si>
  <si>
    <t>背景</t>
    <rPh sb="0" eb="2">
      <t>ハイケイ</t>
    </rPh>
    <phoneticPr fontId="7"/>
  </si>
  <si>
    <t>2025年の8月から各事業所ごとにサーバの更新を行うので周辺システムの更新対応を行う</t>
  </si>
  <si>
    <t>・北海道：9月</t>
  </si>
  <si>
    <t>・千葉：10月</t>
  </si>
  <si>
    <t>・愛知：8月</t>
  </si>
  <si>
    <t>・徳山：11月</t>
  </si>
  <si>
    <t>・四日市：1月</t>
  </si>
  <si>
    <t>PIMSDBのクライアントのバージョンアップ</t>
    <phoneticPr fontId="7"/>
  </si>
  <si>
    <t>工場の3システムについては、バージョンアップ作業を実施予定</t>
    <rPh sb="0" eb="2">
      <t>コウジョウ</t>
    </rPh>
    <rPh sb="22" eb="24">
      <t>サギョウ</t>
    </rPh>
    <rPh sb="25" eb="27">
      <t>ジッシ</t>
    </rPh>
    <rPh sb="27" eb="29">
      <t>ヨテイ</t>
    </rPh>
    <phoneticPr fontId="7"/>
  </si>
  <si>
    <t>対応方針</t>
    <rPh sb="0" eb="2">
      <t>タイオウ</t>
    </rPh>
    <rPh sb="2" eb="4">
      <t>ホウシン</t>
    </rPh>
    <phoneticPr fontId="7"/>
  </si>
  <si>
    <t>PIMSDB接続をしているファイルの向け先変更を行う</t>
    <rPh sb="6" eb="8">
      <t>セツゾク</t>
    </rPh>
    <rPh sb="18" eb="19">
      <t>ム</t>
    </rPh>
    <rPh sb="20" eb="21">
      <t>サキ</t>
    </rPh>
    <rPh sb="21" eb="23">
      <t>ヘンコウ</t>
    </rPh>
    <rPh sb="24" eb="25">
      <t>オコナ</t>
    </rPh>
    <phoneticPr fontId="7"/>
  </si>
  <si>
    <t>PIMSDBのクライアントのバージョンアップを実施する</t>
    <rPh sb="23" eb="25">
      <t>ジッシ</t>
    </rPh>
    <phoneticPr fontId="7"/>
  </si>
  <si>
    <t>ファイル連携</t>
    <rPh sb="4" eb="6">
      <t>レンケイ</t>
    </rPh>
    <phoneticPr fontId="4"/>
  </si>
  <si>
    <t>工場系保守対象</t>
    <rPh sb="0" eb="2">
      <t>コウジョウ</t>
    </rPh>
    <rPh sb="2" eb="3">
      <t>ケイ</t>
    </rPh>
    <rPh sb="3" eb="5">
      <t>ホシュ</t>
    </rPh>
    <rPh sb="5" eb="7">
      <t>タイショウ</t>
    </rPh>
    <phoneticPr fontId="4"/>
  </si>
  <si>
    <t>館林管理</t>
    <rPh sb="0" eb="2">
      <t>タテバヤシ</t>
    </rPh>
    <rPh sb="2" eb="4">
      <t>カンリ</t>
    </rPh>
    <phoneticPr fontId="7"/>
  </si>
  <si>
    <t>DBデータ連携</t>
    <rPh sb="5" eb="7">
      <t>レンケイ</t>
    </rPh>
    <phoneticPr fontId="4"/>
  </si>
  <si>
    <t>工場系保守対象外</t>
    <rPh sb="0" eb="2">
      <t>コウジョウ</t>
    </rPh>
    <rPh sb="2" eb="3">
      <t>ケイ</t>
    </rPh>
    <rPh sb="3" eb="5">
      <t>ホシュ</t>
    </rPh>
    <rPh sb="5" eb="8">
      <t>タイショウガイ</t>
    </rPh>
    <phoneticPr fontId="4"/>
  </si>
  <si>
    <t>現地管理</t>
    <rPh sb="0" eb="2">
      <t>ゲンチ</t>
    </rPh>
    <rPh sb="2" eb="4">
      <t>カンリ</t>
    </rPh>
    <phoneticPr fontId="7"/>
  </si>
  <si>
    <t>システム概要</t>
    <rPh sb="4" eb="6">
      <t>ガイヨウ</t>
    </rPh>
    <phoneticPr fontId="2"/>
  </si>
  <si>
    <t>システム規模</t>
    <rPh sb="4" eb="6">
      <t>キボ</t>
    </rPh>
    <phoneticPr fontId="2"/>
  </si>
  <si>
    <t>共通基盤利用状況（現状）</t>
    <rPh sb="0" eb="4">
      <t>キョウツウキバン</t>
    </rPh>
    <rPh sb="4" eb="6">
      <t>リヨウ</t>
    </rPh>
    <rPh sb="6" eb="8">
      <t>ジョウキョウ</t>
    </rPh>
    <rPh sb="9" eb="11">
      <t>ゲンジョウ</t>
    </rPh>
    <phoneticPr fontId="2"/>
  </si>
  <si>
    <t>サービス: サービス番号</t>
  </si>
  <si>
    <t>サービス名</t>
  </si>
  <si>
    <t>保守領域</t>
    <rPh sb="0" eb="2">
      <t>ホシュ</t>
    </rPh>
    <rPh sb="2" eb="4">
      <t>リョウイキ</t>
    </rPh>
    <phoneticPr fontId="4"/>
  </si>
  <si>
    <t>移行状況</t>
    <rPh sb="0" eb="2">
      <t>イコウ</t>
    </rPh>
    <rPh sb="2" eb="4">
      <t>ジョウキョウ</t>
    </rPh>
    <phoneticPr fontId="2"/>
  </si>
  <si>
    <t>作業パターン
※想定作業シート参照</t>
    <rPh sb="0" eb="2">
      <t>サギョウ</t>
    </rPh>
    <rPh sb="8" eb="10">
      <t>ソウテイ</t>
    </rPh>
    <rPh sb="10" eb="12">
      <t>サギョウ</t>
    </rPh>
    <rPh sb="15" eb="17">
      <t>サンショウ</t>
    </rPh>
    <phoneticPr fontId="2"/>
  </si>
  <si>
    <t>業務概要</t>
    <rPh sb="0" eb="2">
      <t>ギョウム</t>
    </rPh>
    <rPh sb="2" eb="4">
      <t>ガイヨウ</t>
    </rPh>
    <phoneticPr fontId="2"/>
  </si>
  <si>
    <t>OS</t>
    <phoneticPr fontId="2"/>
  </si>
  <si>
    <t>アプリ</t>
    <phoneticPr fontId="2"/>
  </si>
  <si>
    <t>DB</t>
    <phoneticPr fontId="2"/>
  </si>
  <si>
    <t>ミドルウェア</t>
    <phoneticPr fontId="2"/>
  </si>
  <si>
    <t>フレームワーク</t>
  </si>
  <si>
    <t>その他</t>
    <rPh sb="2" eb="3">
      <t>タ</t>
    </rPh>
    <phoneticPr fontId="2"/>
  </si>
  <si>
    <t>サーバ構成</t>
  </si>
  <si>
    <t>画面</t>
    <rPh sb="0" eb="2">
      <t>ガメン</t>
    </rPh>
    <phoneticPr fontId="2"/>
  </si>
  <si>
    <t>帳票</t>
    <rPh sb="0" eb="2">
      <t>チョウヒョウ</t>
    </rPh>
    <phoneticPr fontId="2"/>
  </si>
  <si>
    <t>バッチ</t>
    <phoneticPr fontId="2"/>
  </si>
  <si>
    <t>IF</t>
    <phoneticPr fontId="2"/>
  </si>
  <si>
    <t>テーブル</t>
    <phoneticPr fontId="2"/>
  </si>
  <si>
    <t>共通AP</t>
    <phoneticPr fontId="4"/>
  </si>
  <si>
    <t>共通DB</t>
    <phoneticPr fontId="4"/>
  </si>
  <si>
    <t>連携</t>
    <phoneticPr fontId="4"/>
  </si>
  <si>
    <t>レポート</t>
    <phoneticPr fontId="4"/>
  </si>
  <si>
    <t>認証</t>
    <phoneticPr fontId="4"/>
  </si>
  <si>
    <t>バッチ</t>
    <phoneticPr fontId="4"/>
  </si>
  <si>
    <t>SVC-00000710</t>
  </si>
  <si>
    <t>千葉数量確定システム</t>
  </si>
  <si>
    <t>工場系</t>
    <rPh sb="0" eb="2">
      <t>コウジョウ</t>
    </rPh>
    <rPh sb="2" eb="3">
      <t>ケイ</t>
    </rPh>
    <phoneticPr fontId="4"/>
  </si>
  <si>
    <t>未実施（共通基盤）</t>
    <rPh sb="0" eb="3">
      <t>ミジッシ</t>
    </rPh>
    <rPh sb="4" eb="8">
      <t>キョウツウキバン</t>
    </rPh>
    <phoneticPr fontId="2"/>
  </si>
  <si>
    <t>（1）or（2）</t>
    <phoneticPr fontId="2"/>
  </si>
  <si>
    <t>千葉事業所及び徳山事業所の石油化学装置の生産、在庫、PL(パイプライン)出荷、品目転換数量の管理を行うシステム。またタンクヤードの日報作成(ヤード日報)機能も持つ。</t>
    <rPh sb="0" eb="5">
      <t>チバジギョウショ</t>
    </rPh>
    <rPh sb="5" eb="6">
      <t>オヨ</t>
    </rPh>
    <rPh sb="7" eb="9">
      <t>トクヤマ</t>
    </rPh>
    <rPh sb="9" eb="12">
      <t>ジギョウショ</t>
    </rPh>
    <rPh sb="13" eb="15">
      <t>セキユ</t>
    </rPh>
    <rPh sb="15" eb="17">
      <t>カガク</t>
    </rPh>
    <rPh sb="17" eb="19">
      <t>ソウチ</t>
    </rPh>
    <rPh sb="20" eb="22">
      <t>セイサン</t>
    </rPh>
    <rPh sb="23" eb="25">
      <t>ザイコ</t>
    </rPh>
    <rPh sb="36" eb="38">
      <t>シュッカ</t>
    </rPh>
    <rPh sb="39" eb="41">
      <t>ヒンモク</t>
    </rPh>
    <rPh sb="41" eb="43">
      <t>テンカン</t>
    </rPh>
    <rPh sb="43" eb="45">
      <t>スウリョウ</t>
    </rPh>
    <rPh sb="46" eb="48">
      <t>カンリ</t>
    </rPh>
    <rPh sb="49" eb="50">
      <t>オコナ</t>
    </rPh>
    <rPh sb="65" eb="67">
      <t>ニッポウ</t>
    </rPh>
    <rPh sb="67" eb="69">
      <t>サクセイ</t>
    </rPh>
    <rPh sb="73" eb="75">
      <t>ニッポウ</t>
    </rPh>
    <rPh sb="76" eb="78">
      <t>キノウ</t>
    </rPh>
    <rPh sb="79" eb="80">
      <t>モ</t>
    </rPh>
    <phoneticPr fontId="2"/>
  </si>
  <si>
    <t>Red Hat Enterprise Linux7.3</t>
    <phoneticPr fontId="2"/>
  </si>
  <si>
    <t>java 1.8.0_152
WebLogic 12.2.1.2.0</t>
  </si>
  <si>
    <t>Oracle19C</t>
  </si>
  <si>
    <t>Systemwalker Operation Manager</t>
  </si>
  <si>
    <t>struts 1.2.9</t>
    <phoneticPr fontId="2"/>
  </si>
  <si>
    <t>本番
　共通基盤（館林）
検証
　共通基盤（館林）</t>
  </si>
  <si>
    <t>千葉：41
徳山：30</t>
  </si>
  <si>
    <t>千葉：23
徳山：7</t>
  </si>
  <si>
    <t>共通：2
千葉：9
徳山：4</t>
  </si>
  <si>
    <t>千葉：8
徳山：4</t>
  </si>
  <si>
    <t>共通：58
千葉：16
徳山：9</t>
  </si>
  <si>
    <t>〇</t>
  </si>
  <si>
    <t>×</t>
  </si>
  <si>
    <t>e</t>
  </si>
  <si>
    <t>SVC-00000857</t>
  </si>
  <si>
    <t>徳山工場数量確定システム</t>
  </si>
  <si>
    <t>-</t>
    <phoneticPr fontId="2"/>
  </si>
  <si>
    <t>千葉工場用役管理システム</t>
    <rPh sb="0" eb="2">
      <t>チバ</t>
    </rPh>
    <rPh sb="2" eb="4">
      <t>コウジョウ</t>
    </rPh>
    <rPh sb="4" eb="6">
      <t>ヨウエキ</t>
    </rPh>
    <rPh sb="6" eb="8">
      <t>カンリ</t>
    </rPh>
    <phoneticPr fontId="4"/>
  </si>
  <si>
    <t>石油化学装置の生産数量、用役数量の管理を行うシステム。</t>
    <rPh sb="0" eb="2">
      <t>セキユ</t>
    </rPh>
    <rPh sb="2" eb="4">
      <t>カガク</t>
    </rPh>
    <rPh sb="4" eb="6">
      <t>ソウチ</t>
    </rPh>
    <rPh sb="7" eb="9">
      <t>セイサン</t>
    </rPh>
    <rPh sb="9" eb="11">
      <t>スウリョウ</t>
    </rPh>
    <rPh sb="12" eb="14">
      <t>ヨウエキ</t>
    </rPh>
    <rPh sb="14" eb="16">
      <t>スウリョウ</t>
    </rPh>
    <rPh sb="17" eb="19">
      <t>カンリ</t>
    </rPh>
    <rPh sb="20" eb="21">
      <t>オコナ</t>
    </rPh>
    <phoneticPr fontId="2"/>
  </si>
  <si>
    <t>struts 1.2.9</t>
  </si>
  <si>
    <t>千葉：28
徳山：17</t>
  </si>
  <si>
    <t>千葉：43
徳山：6</t>
  </si>
  <si>
    <t>共通：0
千葉：0
徳山：0</t>
  </si>
  <si>
    <t>千葉：0
徳山：0</t>
  </si>
  <si>
    <t>共通：11
千葉：1
徳山：11</t>
  </si>
  <si>
    <t>SVC-00000858</t>
  </si>
  <si>
    <t>徳山工場用役管理システム</t>
  </si>
  <si>
    <t>SVC-00001700</t>
    <phoneticPr fontId="2"/>
  </si>
  <si>
    <t>千葉化学品質管理システム</t>
    <rPh sb="0" eb="2">
      <t>チバ</t>
    </rPh>
    <rPh sb="2" eb="4">
      <t>カガク</t>
    </rPh>
    <rPh sb="4" eb="6">
      <t>ヒンシツ</t>
    </rPh>
    <rPh sb="6" eb="8">
      <t>カンリ</t>
    </rPh>
    <phoneticPr fontId="4"/>
  </si>
  <si>
    <t>千葉事業所(工場)の品質管理課にて行う各種試験(工程、製品、物性)、及びそれに付随する業務(ロット管理、試験料金計算)を行うシステム。</t>
    <rPh sb="0" eb="2">
      <t>チバ</t>
    </rPh>
    <rPh sb="2" eb="5">
      <t>ジギョウショ</t>
    </rPh>
    <rPh sb="6" eb="8">
      <t>コウジョウ</t>
    </rPh>
    <rPh sb="10" eb="12">
      <t>ヒンシツ</t>
    </rPh>
    <rPh sb="12" eb="14">
      <t>カンリ</t>
    </rPh>
    <rPh sb="14" eb="15">
      <t>カ</t>
    </rPh>
    <rPh sb="17" eb="18">
      <t>オコナ</t>
    </rPh>
    <rPh sb="19" eb="21">
      <t>カクシュ</t>
    </rPh>
    <rPh sb="21" eb="23">
      <t>シケン</t>
    </rPh>
    <rPh sb="24" eb="26">
      <t>コウテイ</t>
    </rPh>
    <rPh sb="27" eb="29">
      <t>セイヒン</t>
    </rPh>
    <rPh sb="30" eb="32">
      <t>ブッセイ</t>
    </rPh>
    <rPh sb="34" eb="35">
      <t>オヨ</t>
    </rPh>
    <rPh sb="39" eb="41">
      <t>フズイ</t>
    </rPh>
    <rPh sb="43" eb="45">
      <t>ギョウム</t>
    </rPh>
    <rPh sb="49" eb="51">
      <t>カンリ</t>
    </rPh>
    <rPh sb="52" eb="54">
      <t>シケン</t>
    </rPh>
    <rPh sb="54" eb="56">
      <t>リョウキン</t>
    </rPh>
    <rPh sb="56" eb="58">
      <t>ケイサン</t>
    </rPh>
    <rPh sb="60" eb="61">
      <t>オコナ</t>
    </rPh>
    <phoneticPr fontId="2"/>
  </si>
  <si>
    <t>java 1.8.0_131
WebLogic 12.2.1.2.0</t>
  </si>
  <si>
    <t>List Creatorでの帳票作成</t>
    <rPh sb="14" eb="16">
      <t>チョウヒョウ</t>
    </rPh>
    <rPh sb="16" eb="18">
      <t>サクセイ</t>
    </rPh>
    <phoneticPr fontId="2"/>
  </si>
  <si>
    <t>SVC-00000854</t>
  </si>
  <si>
    <t>ＬＭＰＰ包装システム</t>
    <phoneticPr fontId="2"/>
  </si>
  <si>
    <t>千葉事業所(工場)のSPS、LMPP装置で生産される製品の包装管理を行うシステム。</t>
    <rPh sb="18" eb="20">
      <t>ソウチ</t>
    </rPh>
    <rPh sb="21" eb="23">
      <t>セイサン</t>
    </rPh>
    <rPh sb="26" eb="28">
      <t>セイヒン</t>
    </rPh>
    <rPh sb="29" eb="31">
      <t>ホウソウ</t>
    </rPh>
    <rPh sb="31" eb="33">
      <t>カンリ</t>
    </rPh>
    <rPh sb="34" eb="35">
      <t>オコナ</t>
    </rPh>
    <phoneticPr fontId="2"/>
  </si>
  <si>
    <t>本番
　共通基盤（館林）
検証
　共通基盤（館林）</t>
    <phoneticPr fontId="2"/>
  </si>
  <si>
    <t>SVC-00000877</t>
  </si>
  <si>
    <t>工場DB</t>
  </si>
  <si>
    <t>未実施（共通基盤）
※アプリはXenApp</t>
    <rPh sb="0" eb="3">
      <t>ミジッシ</t>
    </rPh>
    <rPh sb="4" eb="8">
      <t>キョウツウキバン</t>
    </rPh>
    <phoneticPr fontId="2"/>
  </si>
  <si>
    <t>徳山事業所の石油化学装置の生産、在庫の計画値及び実績値を管理するDB及びエクセルマクロ群。</t>
    <rPh sb="19" eb="21">
      <t>ケイカク</t>
    </rPh>
    <rPh sb="21" eb="22">
      <t>チ</t>
    </rPh>
    <rPh sb="22" eb="23">
      <t>オヨ</t>
    </rPh>
    <rPh sb="24" eb="26">
      <t>ジッセキ</t>
    </rPh>
    <rPh sb="26" eb="27">
      <t>チ</t>
    </rPh>
    <rPh sb="28" eb="30">
      <t>カンリ</t>
    </rPh>
    <rPh sb="34" eb="35">
      <t>オヨ</t>
    </rPh>
    <rPh sb="43" eb="44">
      <t>グン</t>
    </rPh>
    <phoneticPr fontId="2"/>
  </si>
  <si>
    <t>Excel</t>
    <phoneticPr fontId="2"/>
  </si>
  <si>
    <t>SVC-00000705</t>
  </si>
  <si>
    <t>千葉ヤ－ド操業システム</t>
  </si>
  <si>
    <t>未実施（共通基盤）</t>
  </si>
  <si>
    <t>（3）</t>
  </si>
  <si>
    <t>千葉事業所及び徳山事業所の石油化学品の入出荷を管理するシステム。</t>
    <rPh sb="17" eb="18">
      <t>ヒン</t>
    </rPh>
    <rPh sb="19" eb="22">
      <t>ニュウシュッカ</t>
    </rPh>
    <rPh sb="23" eb="25">
      <t>カンリ</t>
    </rPh>
    <phoneticPr fontId="2"/>
  </si>
  <si>
    <t>WindowsServer2016</t>
    <phoneticPr fontId="2"/>
  </si>
  <si>
    <t>SQLServer2016</t>
  </si>
  <si>
    <t>Systemwalker Operation Manager
OWFT</t>
  </si>
  <si>
    <t>本番
　AP/DBサーバ×2（現地）
　AP/DB予備×2（館林）
検証
　AP/DBサーバ×2（館林）</t>
  </si>
  <si>
    <t>千葉：20
徳山：19</t>
    <rPh sb="0" eb="2">
      <t>チバ</t>
    </rPh>
    <rPh sb="6" eb="8">
      <t>トクヤマ</t>
    </rPh>
    <phoneticPr fontId="2"/>
  </si>
  <si>
    <t>千葉：16
徳山：15</t>
    <phoneticPr fontId="2"/>
  </si>
  <si>
    <t>SVC-00000707</t>
  </si>
  <si>
    <t>徳山ヤ－ド操業システム</t>
  </si>
  <si>
    <t>SVC-00000704</t>
  </si>
  <si>
    <t>千葉製品倉庫システム</t>
    <phoneticPr fontId="2"/>
  </si>
  <si>
    <t>未実施（現地サーバ）</t>
  </si>
  <si>
    <t>千葉事業所(工場)で生産されているポリマー製品の包装、入出荷、在庫管理を行うシステム。</t>
    <rPh sb="10" eb="12">
      <t>セイサン</t>
    </rPh>
    <rPh sb="21" eb="23">
      <t>セイヒン</t>
    </rPh>
    <rPh sb="24" eb="26">
      <t>ホウソウ</t>
    </rPh>
    <rPh sb="27" eb="30">
      <t>ニュウシュッカ</t>
    </rPh>
    <rPh sb="31" eb="33">
      <t>ザイコ</t>
    </rPh>
    <rPh sb="33" eb="35">
      <t>カンリ</t>
    </rPh>
    <rPh sb="36" eb="37">
      <t>オコナ</t>
    </rPh>
    <phoneticPr fontId="2"/>
  </si>
  <si>
    <t>VB.NET</t>
    <phoneticPr fontId="2"/>
  </si>
  <si>
    <t>Oracle12C</t>
  </si>
  <si>
    <t>本番
　AP/DBサーバ（現地）
検証
　APサーバ（館林）</t>
    <phoneticPr fontId="2"/>
  </si>
  <si>
    <t>SVC-00000901</t>
  </si>
  <si>
    <t>千葉工場数量確定システム（ポリマ－）</t>
    <phoneticPr fontId="2"/>
  </si>
  <si>
    <t>未実施（現地サーバ）</t>
    <rPh sb="0" eb="3">
      <t>ミジッシ</t>
    </rPh>
    <rPh sb="4" eb="6">
      <t>ゲンチ</t>
    </rPh>
    <phoneticPr fontId="2"/>
  </si>
  <si>
    <t>千葉事業所(工場)で生産されているポリマー製品の生産、在庫、PL(パイプライン)出荷、品目転換数量の管理を行うシステム。</t>
    <phoneticPr fontId="2"/>
  </si>
  <si>
    <t>ASP.NET</t>
    <phoneticPr fontId="2"/>
  </si>
  <si>
    <t>SVC-00000711</t>
  </si>
  <si>
    <t>ＡＢＣ数量確定システム</t>
    <phoneticPr fontId="2"/>
  </si>
  <si>
    <t>千葉事業所(工場)のABC装置で生産される製品の生産管理を行うシステム。</t>
    <rPh sb="13" eb="15">
      <t>ソウチ</t>
    </rPh>
    <rPh sb="16" eb="18">
      <t>セイサン</t>
    </rPh>
    <rPh sb="21" eb="23">
      <t>セイヒン</t>
    </rPh>
    <rPh sb="24" eb="26">
      <t>セイサン</t>
    </rPh>
    <rPh sb="26" eb="28">
      <t>カンリ</t>
    </rPh>
    <rPh sb="29" eb="30">
      <t>オコナ</t>
    </rPh>
    <phoneticPr fontId="2"/>
  </si>
  <si>
    <t>C#</t>
    <phoneticPr fontId="2"/>
  </si>
  <si>
    <t>千葉L3.5</t>
    <rPh sb="0" eb="2">
      <t>チバ</t>
    </rPh>
    <phoneticPr fontId="4"/>
  </si>
  <si>
    <t>L3層に存在するシステムとL4層に存在するシステムの中継となるサーバ</t>
    <rPh sb="2" eb="3">
      <t>ソウ</t>
    </rPh>
    <rPh sb="4" eb="6">
      <t>ソンザイ</t>
    </rPh>
    <rPh sb="15" eb="16">
      <t>ソウ</t>
    </rPh>
    <rPh sb="17" eb="19">
      <t>ソンザイ</t>
    </rPh>
    <rPh sb="26" eb="28">
      <t>チュウケイ</t>
    </rPh>
    <phoneticPr fontId="2"/>
  </si>
  <si>
    <t>本番
　APサーバ（現地）
検証
　APサーバ（館林）</t>
    <phoneticPr fontId="2"/>
  </si>
  <si>
    <r>
      <t>千葉：52
徳山：</t>
    </r>
    <r>
      <rPr>
        <sz val="11"/>
        <color rgb="FFFF0000"/>
        <rFont val="游ゴシック"/>
        <family val="3"/>
        <charset val="128"/>
        <scheme val="minor"/>
      </rPr>
      <t>22</t>
    </r>
    <phoneticPr fontId="2"/>
  </si>
  <si>
    <t>徳山L3.5</t>
    <rPh sb="0" eb="2">
      <t>トクヤマ</t>
    </rPh>
    <phoneticPr fontId="4"/>
  </si>
  <si>
    <t>システム</t>
  </si>
  <si>
    <t>担当</t>
  </si>
  <si>
    <t>2025年</t>
    <rPh sb="4" eb="5">
      <t>ネン</t>
    </rPh>
    <phoneticPr fontId="2"/>
  </si>
  <si>
    <t>2026年</t>
    <phoneticPr fontId="2"/>
  </si>
  <si>
    <t>1月</t>
    <rPh sb="1" eb="2">
      <t>ガツ</t>
    </rPh>
    <phoneticPr fontId="2"/>
  </si>
  <si>
    <t>2月</t>
  </si>
  <si>
    <t>3月</t>
  </si>
  <si>
    <t>4月</t>
  </si>
  <si>
    <t>5月</t>
  </si>
  <si>
    <t>6月</t>
  </si>
  <si>
    <t>7月</t>
  </si>
  <si>
    <t>8月</t>
  </si>
  <si>
    <t>9月</t>
  </si>
  <si>
    <t>10月</t>
  </si>
  <si>
    <t>11月</t>
  </si>
  <si>
    <t>12月</t>
  </si>
  <si>
    <t>マイルストン</t>
  </si>
  <si>
    <t>★千葉切替</t>
    <rPh sb="1" eb="3">
      <t>チバ</t>
    </rPh>
    <rPh sb="3" eb="5">
      <t>キリカエ</t>
    </rPh>
    <phoneticPr fontId="2"/>
  </si>
  <si>
    <t>★徳山切替</t>
    <rPh sb="1" eb="3">
      <t>トクヤマ</t>
    </rPh>
    <rPh sb="3" eb="5">
      <t>キリカエ</t>
    </rPh>
    <phoneticPr fontId="2"/>
  </si>
  <si>
    <t>千葉PIMS</t>
    <rPh sb="0" eb="2">
      <t>チバ</t>
    </rPh>
    <phoneticPr fontId="2"/>
  </si>
  <si>
    <t>徳山PIMS</t>
    <rPh sb="0" eb="2">
      <t>トクヤマ</t>
    </rPh>
    <phoneticPr fontId="2"/>
  </si>
  <si>
    <t>想定要員数（作業者のみ）</t>
  </si>
  <si>
    <t>合計</t>
  </si>
  <si>
    <t>作業者</t>
  </si>
  <si>
    <t>売上(1,000k)</t>
  </si>
  <si>
    <t>経費(800k)</t>
  </si>
  <si>
    <t>管理者</t>
  </si>
  <si>
    <t>売上(1,400k)</t>
  </si>
  <si>
    <t>経費(1,000k)</t>
  </si>
  <si>
    <t>売上合計</t>
  </si>
  <si>
    <t>経費合計</t>
  </si>
  <si>
    <t>粗利</t>
  </si>
  <si>
    <t>粗利率</t>
  </si>
  <si>
    <t>システム名：数量確定システム</t>
    <rPh sb="4" eb="5">
      <t>メイ</t>
    </rPh>
    <rPh sb="6" eb="8">
      <t>スウリョウ</t>
    </rPh>
    <rPh sb="8" eb="10">
      <t>カクテイ</t>
    </rPh>
    <phoneticPr fontId="2"/>
  </si>
  <si>
    <t>パターン</t>
    <phoneticPr fontId="2"/>
  </si>
  <si>
    <t>（１）次期アーキテクチャとしてAzure環境に再構築</t>
    <phoneticPr fontId="2"/>
  </si>
  <si>
    <t>（３）現地Windows2016サーバ再構築</t>
    <phoneticPr fontId="2"/>
  </si>
  <si>
    <t>想定工数(人月)</t>
    <rPh sb="0" eb="4">
      <t>ソウテイコウスウ</t>
    </rPh>
    <rPh sb="5" eb="7">
      <t>ニンゲツ</t>
    </rPh>
    <phoneticPr fontId="7"/>
  </si>
  <si>
    <t>No.</t>
    <phoneticPr fontId="7"/>
  </si>
  <si>
    <t>変更箇所カテゴリ</t>
    <rPh sb="0" eb="2">
      <t>ヘンコウ</t>
    </rPh>
    <rPh sb="2" eb="4">
      <t>カショ</t>
    </rPh>
    <phoneticPr fontId="7"/>
  </si>
  <si>
    <t>タスク</t>
    <phoneticPr fontId="7"/>
  </si>
  <si>
    <t>要件定義・設計</t>
    <rPh sb="0" eb="4">
      <t>ヨウケンテイギ</t>
    </rPh>
    <rPh sb="5" eb="7">
      <t>セッケイ</t>
    </rPh>
    <phoneticPr fontId="7"/>
  </si>
  <si>
    <t>製造</t>
    <rPh sb="0" eb="2">
      <t>セイゾウ</t>
    </rPh>
    <phoneticPr fontId="7"/>
  </si>
  <si>
    <t>試験・本番稼働</t>
    <rPh sb="0" eb="2">
      <t>シケン</t>
    </rPh>
    <rPh sb="3" eb="7">
      <t>ホンバンカドウ</t>
    </rPh>
    <phoneticPr fontId="7"/>
  </si>
  <si>
    <t>管理</t>
    <rPh sb="0" eb="2">
      <t>カンリ</t>
    </rPh>
    <phoneticPr fontId="7"/>
  </si>
  <si>
    <t>全体工数</t>
    <rPh sb="0" eb="2">
      <t>ゼンタイ</t>
    </rPh>
    <rPh sb="2" eb="4">
      <t>コウスウ</t>
    </rPh>
    <phoneticPr fontId="7"/>
  </si>
  <si>
    <t>備考</t>
    <rPh sb="0" eb="2">
      <t>ビコウ</t>
    </rPh>
    <phoneticPr fontId="7"/>
  </si>
  <si>
    <t>Azure移行</t>
    <rPh sb="5" eb="7">
      <t>イコウ</t>
    </rPh>
    <phoneticPr fontId="7"/>
  </si>
  <si>
    <t>IP,ホスト名変更に伴う各種（IF、DB等）向け先変更、検証</t>
    <phoneticPr fontId="2"/>
  </si>
  <si>
    <t>アプリ動作検証（各パターンで検証範囲は異なる）</t>
    <phoneticPr fontId="2"/>
  </si>
  <si>
    <t>サーバ更新</t>
    <rPh sb="3" eb="5">
      <t>コウシン</t>
    </rPh>
    <phoneticPr fontId="2"/>
  </si>
  <si>
    <t>アプリケーション構築、ミドルウェアのセットアップ</t>
    <phoneticPr fontId="2"/>
  </si>
  <si>
    <t>DB移行</t>
    <rPh sb="2" eb="4">
      <t>イコウ</t>
    </rPh>
    <phoneticPr fontId="7"/>
  </si>
  <si>
    <t>データ移行</t>
    <phoneticPr fontId="2"/>
  </si>
  <si>
    <t>DB構築（構成の検討から）</t>
    <phoneticPr fontId="2"/>
  </si>
  <si>
    <t>DBバージョンアップ（19c⇒22c）に伴う非互換調査、対応</t>
    <phoneticPr fontId="2"/>
  </si>
  <si>
    <t>Office更新</t>
    <rPh sb="6" eb="8">
      <t>コウシン</t>
    </rPh>
    <phoneticPr fontId="7"/>
  </si>
  <si>
    <t>テンプレートファイル調査・対応</t>
    <rPh sb="10" eb="12">
      <t>チョウサ</t>
    </rPh>
    <rPh sb="13" eb="15">
      <t>タイオウ</t>
    </rPh>
    <phoneticPr fontId="7"/>
  </si>
  <si>
    <t>TOMCAT移行</t>
    <rPh sb="6" eb="8">
      <t>イコウ</t>
    </rPh>
    <phoneticPr fontId="7"/>
  </si>
  <si>
    <t>アプリケーションの移行</t>
    <rPh sb="9" eb="11">
      <t>イコウ</t>
    </rPh>
    <phoneticPr fontId="7"/>
  </si>
  <si>
    <t>ミドルウェア移行</t>
    <rPh sb="6" eb="8">
      <t>イコウ</t>
    </rPh>
    <phoneticPr fontId="7"/>
  </si>
  <si>
    <t>A-Auto検証</t>
    <rPh sb="6" eb="8">
      <t>ケンショウ</t>
    </rPh>
    <phoneticPr fontId="7"/>
  </si>
  <si>
    <t>非互換検証</t>
    <rPh sb="0" eb="3">
      <t>ヒゴカン</t>
    </rPh>
    <rPh sb="3" eb="5">
      <t>ケンショウ</t>
    </rPh>
    <phoneticPr fontId="7"/>
  </si>
  <si>
    <t>オペマネのA-Auto更新</t>
    <rPh sb="11" eb="13">
      <t>コウシン</t>
    </rPh>
    <phoneticPr fontId="7"/>
  </si>
  <si>
    <t>A-AUTO14本</t>
    <phoneticPr fontId="2"/>
  </si>
  <si>
    <t>合計工数</t>
    <rPh sb="0" eb="2">
      <t>ゴウケイ</t>
    </rPh>
    <rPh sb="2" eb="4">
      <t>コウスウ</t>
    </rPh>
    <phoneticPr fontId="7"/>
  </si>
  <si>
    <t>単価(千円)</t>
    <rPh sb="0" eb="2">
      <t>タンカ</t>
    </rPh>
    <rPh sb="3" eb="5">
      <t>センエン</t>
    </rPh>
    <phoneticPr fontId="7"/>
  </si>
  <si>
    <t>金額(千円)</t>
    <rPh sb="0" eb="2">
      <t>キンガク</t>
    </rPh>
    <rPh sb="3" eb="5">
      <t>センエン</t>
    </rPh>
    <phoneticPr fontId="7"/>
  </si>
  <si>
    <t>システム名：</t>
    <rPh sb="4" eb="5">
      <t>メイ</t>
    </rPh>
    <phoneticPr fontId="2"/>
  </si>
  <si>
    <t>アプリケーション構築、向け先変更、IF検証、ミドルウェアのセットアップ</t>
    <phoneticPr fontId="2"/>
  </si>
  <si>
    <t>参考：Windows Server 2012  更新対応</t>
    <rPh sb="0" eb="2">
      <t>サンコウ</t>
    </rPh>
    <rPh sb="26" eb="28">
      <t>タイオウ</t>
    </rPh>
    <phoneticPr fontId="2"/>
  </si>
  <si>
    <t>アプリケーション構築、向け先変更、IF検証、ミドルウェアのセットアップ</t>
  </si>
  <si>
    <t>向け先変更、IF検証、ミドルウェアのセットアップ</t>
    <phoneticPr fontId="2"/>
  </si>
  <si>
    <t>OS更新</t>
    <rPh sb="2" eb="4">
      <t>コウシン</t>
    </rPh>
    <phoneticPr fontId="7"/>
  </si>
  <si>
    <t>.netFramework非互換調査、64bit非互換調査</t>
    <rPh sb="13" eb="16">
      <t>ヒゴカン</t>
    </rPh>
    <rPh sb="16" eb="18">
      <t>チョウサ</t>
    </rPh>
    <rPh sb="24" eb="27">
      <t>ヒゴカン</t>
    </rPh>
    <rPh sb="27" eb="29">
      <t>チョウサ</t>
    </rPh>
    <phoneticPr fontId="7"/>
  </si>
  <si>
    <t>バージョンアップ、データ移行、向け先変更</t>
    <rPh sb="12" eb="14">
      <t>イコウ</t>
    </rPh>
    <phoneticPr fontId="7"/>
  </si>
  <si>
    <t>A-AUTO6本</t>
    <phoneticPr fontId="2"/>
  </si>
  <si>
    <t>ざっくりスケジュール</t>
    <phoneticPr fontId="7"/>
  </si>
  <si>
    <t>２０２５年</t>
    <rPh sb="4" eb="5">
      <t>ネン</t>
    </rPh>
    <phoneticPr fontId="7"/>
  </si>
  <si>
    <t>PIMSDBスケジュール</t>
    <phoneticPr fontId="7"/>
  </si>
  <si>
    <t>４月</t>
    <rPh sb="1" eb="2">
      <t>ガツ</t>
    </rPh>
    <phoneticPr fontId="7"/>
  </si>
  <si>
    <t>５月</t>
    <rPh sb="1" eb="2">
      <t>ガツ</t>
    </rPh>
    <phoneticPr fontId="7"/>
  </si>
  <si>
    <t>６月</t>
  </si>
  <si>
    <t>７月</t>
  </si>
  <si>
    <t>８月</t>
  </si>
  <si>
    <t>９月</t>
  </si>
  <si>
    <t>１０月</t>
  </si>
  <si>
    <t>１１月</t>
  </si>
  <si>
    <t>１２月</t>
  </si>
  <si>
    <t>１月</t>
  </si>
  <si>
    <t>２月</t>
  </si>
  <si>
    <t>３月</t>
  </si>
  <si>
    <t>北海道</t>
    <rPh sb="0" eb="3">
      <t>ホッカイドウ</t>
    </rPh>
    <phoneticPr fontId="7"/>
  </si>
  <si>
    <t>リリース</t>
    <phoneticPr fontId="7"/>
  </si>
  <si>
    <t>千葉</t>
    <rPh sb="0" eb="2">
      <t>チバ</t>
    </rPh>
    <phoneticPr fontId="7"/>
  </si>
  <si>
    <t>愛知</t>
    <rPh sb="0" eb="2">
      <t>アイチ</t>
    </rPh>
    <phoneticPr fontId="7"/>
  </si>
  <si>
    <t>徳山</t>
    <rPh sb="0" eb="2">
      <t>トクヤマ</t>
    </rPh>
    <phoneticPr fontId="7"/>
  </si>
  <si>
    <t>四日市</t>
    <rPh sb="0" eb="3">
      <t>ヨッカイチ</t>
    </rPh>
    <phoneticPr fontId="7"/>
  </si>
  <si>
    <t>XenApp移行スケジュール</t>
    <rPh sb="6" eb="8">
      <t>イコウ</t>
    </rPh>
    <phoneticPr fontId="7"/>
  </si>
  <si>
    <t>要件定義</t>
    <rPh sb="0" eb="4">
      <t>ヨウケンテイギ</t>
    </rPh>
    <phoneticPr fontId="7"/>
  </si>
  <si>
    <t>基本・詳細設計</t>
    <rPh sb="0" eb="2">
      <t>キホン</t>
    </rPh>
    <rPh sb="3" eb="5">
      <t>ショウサイ</t>
    </rPh>
    <rPh sb="5" eb="7">
      <t>セッケイ</t>
    </rPh>
    <phoneticPr fontId="7"/>
  </si>
  <si>
    <t>　愛知</t>
    <rPh sb="1" eb="3">
      <t>アイチ</t>
    </rPh>
    <phoneticPr fontId="7"/>
  </si>
  <si>
    <t>開発</t>
    <rPh sb="0" eb="2">
      <t>カイハツ</t>
    </rPh>
    <phoneticPr fontId="7"/>
  </si>
  <si>
    <t>結合テスト</t>
    <rPh sb="0" eb="2">
      <t>ケツゴウ</t>
    </rPh>
    <phoneticPr fontId="7"/>
  </si>
  <si>
    <t>受入テスト</t>
    <rPh sb="0" eb="2">
      <t>ウケイレ</t>
    </rPh>
    <phoneticPr fontId="7"/>
  </si>
  <si>
    <t>本番作業</t>
    <rPh sb="0" eb="4">
      <t>ホンバンサギョウ</t>
    </rPh>
    <phoneticPr fontId="7"/>
  </si>
  <si>
    <t>初期流動</t>
    <rPh sb="0" eb="4">
      <t>ショキリュウドウ</t>
    </rPh>
    <phoneticPr fontId="7"/>
  </si>
  <si>
    <t>　北海道</t>
    <rPh sb="1" eb="4">
      <t>ホッカイドウ</t>
    </rPh>
    <phoneticPr fontId="7"/>
  </si>
  <si>
    <t>　千葉</t>
    <rPh sb="1" eb="3">
      <t>チバ</t>
    </rPh>
    <phoneticPr fontId="7"/>
  </si>
  <si>
    <t>　徳山</t>
    <rPh sb="1" eb="3">
      <t>トクヤマ</t>
    </rPh>
    <phoneticPr fontId="7"/>
  </si>
  <si>
    <t>　四日市</t>
    <rPh sb="1" eb="4">
      <t>ヨッカイチ</t>
    </rPh>
    <phoneticPr fontId="7"/>
  </si>
  <si>
    <t>売上</t>
  </si>
  <si>
    <t>PM</t>
  </si>
  <si>
    <t>原価</t>
  </si>
  <si>
    <t>利益</t>
  </si>
  <si>
    <t>利益率</t>
  </si>
  <si>
    <t>PIMS更新</t>
    <rPh sb="4" eb="6">
      <t>コウシン</t>
    </rPh>
    <phoneticPr fontId="2"/>
  </si>
  <si>
    <t>アプリ</t>
  </si>
  <si>
    <t>システム</t>
    <phoneticPr fontId="7"/>
  </si>
  <si>
    <t>調査・要件定義</t>
  </si>
  <si>
    <t>設計</t>
  </si>
  <si>
    <t>試験</t>
  </si>
  <si>
    <t>本番稼働</t>
  </si>
  <si>
    <t>工数計</t>
  </si>
  <si>
    <t>金額</t>
  </si>
  <si>
    <t>千葉</t>
    <rPh sb="0" eb="2">
      <t>チバ</t>
    </rPh>
    <phoneticPr fontId="2"/>
  </si>
  <si>
    <t>徳山</t>
    <rPh sb="0" eb="2">
      <t>トクヤマ</t>
    </rPh>
    <phoneticPr fontId="2"/>
  </si>
  <si>
    <t>XenApp</t>
  </si>
  <si>
    <t>計</t>
  </si>
  <si>
    <t>単価</t>
  </si>
  <si>
    <t>千葉数量確定システム、数量確定ポリマー</t>
    <rPh sb="0" eb="2">
      <t>チバ</t>
    </rPh>
    <rPh sb="2" eb="4">
      <t>スウリョウ</t>
    </rPh>
    <rPh sb="4" eb="6">
      <t>カクテイ</t>
    </rPh>
    <rPh sb="11" eb="13">
      <t>スウリョウ</t>
    </rPh>
    <rPh sb="13" eb="15">
      <t>カクテイ</t>
    </rPh>
    <phoneticPr fontId="2"/>
  </si>
  <si>
    <t>工程</t>
  </si>
  <si>
    <t>タスク</t>
  </si>
  <si>
    <t>概算工数</t>
  </si>
  <si>
    <t>成果物</t>
  </si>
  <si>
    <t>人日</t>
    <rPh sb="0" eb="2">
      <t>ニンニチ</t>
    </rPh>
    <phoneticPr fontId="2"/>
  </si>
  <si>
    <t>調査・要件定義</t>
    <phoneticPr fontId="2"/>
  </si>
  <si>
    <t>IP,ホスト名変更に伴う影響箇所調査</t>
    <phoneticPr fontId="2"/>
  </si>
  <si>
    <t>調査結果資料</t>
    <rPh sb="0" eb="2">
      <t>チョウサ</t>
    </rPh>
    <rPh sb="2" eb="4">
      <t>ケッカ</t>
    </rPh>
    <rPh sb="4" eb="6">
      <t>シリョウ</t>
    </rPh>
    <phoneticPr fontId="2"/>
  </si>
  <si>
    <t>IP,ホスト名使用箇所GREP調査</t>
    <phoneticPr fontId="2"/>
  </si>
  <si>
    <t>IP,ホスト名変更に伴う影響箇所対応</t>
    <phoneticPr fontId="2"/>
  </si>
  <si>
    <t>基本設計書、詳細設計書
運用ドキュメント
FW設定依頼書</t>
    <phoneticPr fontId="2"/>
  </si>
  <si>
    <t>設計書、運用ドキュメント修正
千葉数量確定、数量確定ポリマー</t>
    <rPh sb="15" eb="17">
      <t>チバ</t>
    </rPh>
    <rPh sb="17" eb="19">
      <t>スウリョウ</t>
    </rPh>
    <rPh sb="19" eb="21">
      <t>カクテイ</t>
    </rPh>
    <rPh sb="22" eb="24">
      <t>スウリョウ</t>
    </rPh>
    <rPh sb="24" eb="26">
      <t>カクテイ</t>
    </rPh>
    <phoneticPr fontId="2"/>
  </si>
  <si>
    <t>クライアントバージョンアップ</t>
    <phoneticPr fontId="2"/>
  </si>
  <si>
    <t>バージョンアップ手順書</t>
    <phoneticPr fontId="2"/>
  </si>
  <si>
    <t>千葉ヤード操業サーバ：本番、検証
PRMAP・DBサーバ：本番、検証</t>
    <rPh sb="0" eb="2">
      <t>チバ</t>
    </rPh>
    <rPh sb="5" eb="7">
      <t>ソウギョウ</t>
    </rPh>
    <phoneticPr fontId="2"/>
  </si>
  <si>
    <t>IP,ホスト名変更に伴う影響箇所対応</t>
  </si>
  <si>
    <t>PG一式</t>
  </si>
  <si>
    <t>千葉ヤード操業サーバ：本番、検証
PRMAP・DBサーバ：本番、検証</t>
    <phoneticPr fontId="2"/>
  </si>
  <si>
    <t>内部テスト</t>
  </si>
  <si>
    <t>テスト仕様書兼結果報告書</t>
  </si>
  <si>
    <t>各検証機とPIMSサーバ間のテスト
機能数=2</t>
    <phoneticPr fontId="2"/>
  </si>
  <si>
    <t>アプリ移行</t>
  </si>
  <si>
    <t>本番移行手順書</t>
  </si>
  <si>
    <t>移行手順書作成
移行作業
2システム実施</t>
    <phoneticPr fontId="2"/>
  </si>
  <si>
    <t>初期流動</t>
  </si>
  <si>
    <t>初期流動管理表</t>
  </si>
  <si>
    <t>1週間×1名</t>
    <rPh sb="1" eb="3">
      <t>シュウカン</t>
    </rPh>
    <phoneticPr fontId="2"/>
  </si>
  <si>
    <t>PJ管理</t>
  </si>
  <si>
    <t>プロジェクト計画書
課題管理表
スケジュール（WBS）
議事録
レビュー管理表
+週次報告(3h*1*4)</t>
    <rPh sb="41" eb="43">
      <t>シュウジ</t>
    </rPh>
    <rPh sb="43" eb="45">
      <t>ホウコク</t>
    </rPh>
    <phoneticPr fontId="2"/>
  </si>
  <si>
    <t>PJ管理、定例会、各工程完了レビュー</t>
    <rPh sb="2" eb="4">
      <t>カンリ</t>
    </rPh>
    <rPh sb="5" eb="7">
      <t>テイレイ</t>
    </rPh>
    <rPh sb="7" eb="8">
      <t>カイ</t>
    </rPh>
    <rPh sb="9" eb="12">
      <t>カクコウテイ</t>
    </rPh>
    <rPh sb="12" eb="14">
      <t>カンリョウ</t>
    </rPh>
    <phoneticPr fontId="2"/>
  </si>
  <si>
    <t>【対応方針】</t>
    <rPh sb="1" eb="3">
      <t>タイオウ</t>
    </rPh>
    <rPh sb="3" eb="5">
      <t>ホウシン</t>
    </rPh>
    <phoneticPr fontId="2"/>
  </si>
  <si>
    <t>・共通基盤DBに乗っているDB(数量確定、工場DB、品管、包装)は縮小基盤へ移動</t>
    <rPh sb="1" eb="3">
      <t>キョウツウ</t>
    </rPh>
    <rPh sb="3" eb="5">
      <t>キバン</t>
    </rPh>
    <rPh sb="8" eb="9">
      <t>ノ</t>
    </rPh>
    <rPh sb="33" eb="35">
      <t>シュクショウ</t>
    </rPh>
    <rPh sb="35" eb="37">
      <t>キバン</t>
    </rPh>
    <rPh sb="38" eb="40">
      <t>イドウ</t>
    </rPh>
    <phoneticPr fontId="2"/>
  </si>
  <si>
    <t>・基本全てのオペマネはA-AUTOに変更</t>
    <rPh sb="1" eb="3">
      <t>キホン</t>
    </rPh>
    <rPh sb="3" eb="4">
      <t>スベ</t>
    </rPh>
    <rPh sb="18" eb="20">
      <t>ヘンコウ</t>
    </rPh>
    <phoneticPr fontId="2"/>
  </si>
  <si>
    <t>・独立したサーバとして寄せられるシステムは寄せる(数量確定システムと用役管理システム、品管と包装)</t>
    <rPh sb="1" eb="3">
      <t>ドクリツ</t>
    </rPh>
    <rPh sb="11" eb="12">
      <t>ヨ</t>
    </rPh>
    <rPh sb="21" eb="22">
      <t>ヨ</t>
    </rPh>
    <rPh sb="25" eb="27">
      <t>スウリョウ</t>
    </rPh>
    <rPh sb="27" eb="29">
      <t>カクテイ</t>
    </rPh>
    <rPh sb="34" eb="36">
      <t>ヨウエキ</t>
    </rPh>
    <rPh sb="36" eb="38">
      <t>カンリ</t>
    </rPh>
    <rPh sb="43" eb="45">
      <t>ヒンカン</t>
    </rPh>
    <rPh sb="46" eb="48">
      <t>ホウソウ</t>
    </rPh>
    <phoneticPr fontId="2"/>
  </si>
  <si>
    <t>【対象】</t>
    <rPh sb="1" eb="3">
      <t>タイショウ</t>
    </rPh>
    <phoneticPr fontId="2"/>
  </si>
  <si>
    <t>No</t>
    <phoneticPr fontId="2"/>
  </si>
  <si>
    <t>サーバ名</t>
  </si>
  <si>
    <t>構成</t>
    <rPh sb="0" eb="2">
      <t>コウセイ</t>
    </rPh>
    <phoneticPr fontId="2"/>
  </si>
  <si>
    <t>超概算(人月)</t>
    <rPh sb="0" eb="1">
      <t>チョウ</t>
    </rPh>
    <rPh sb="1" eb="3">
      <t>ガイサン</t>
    </rPh>
    <rPh sb="4" eb="6">
      <t>ニンゲツ</t>
    </rPh>
    <phoneticPr fontId="2"/>
  </si>
  <si>
    <t>内訳</t>
    <phoneticPr fontId="2"/>
  </si>
  <si>
    <t>内訳(端数切り上げ)</t>
    <rPh sb="0" eb="2">
      <t>ウチワケ</t>
    </rPh>
    <rPh sb="3" eb="5">
      <t>ハスウ</t>
    </rPh>
    <rPh sb="5" eb="6">
      <t>キ</t>
    </rPh>
    <rPh sb="7" eb="8">
      <t>ア</t>
    </rPh>
    <phoneticPr fontId="2"/>
  </si>
  <si>
    <t>備考</t>
    <rPh sb="0" eb="2">
      <t>ビコウ</t>
    </rPh>
    <phoneticPr fontId="2"/>
  </si>
  <si>
    <t>千葉ヤード操業サーバ</t>
    <rPh sb="0" eb="2">
      <t>チバ</t>
    </rPh>
    <rPh sb="5" eb="7">
      <t>ソウギョウ</t>
    </rPh>
    <phoneticPr fontId="2"/>
  </si>
  <si>
    <t>WindowsServer2022
SQLServer2022</t>
    <phoneticPr fontId="2"/>
  </si>
  <si>
    <t>ベース金額
+webシステムテスト
+webシステムテスト修正
+tomcat非互換
+個別DB</t>
    <phoneticPr fontId="2"/>
  </si>
  <si>
    <t>4
+0.5
+0.25
+0.5
+0.5</t>
    <phoneticPr fontId="2"/>
  </si>
  <si>
    <t>Azure構築
A-AOUT化無し</t>
    <rPh sb="5" eb="7">
      <t>コウチク</t>
    </rPh>
    <phoneticPr fontId="2"/>
  </si>
  <si>
    <t>徳山ヤード操業サーバ</t>
    <rPh sb="0" eb="2">
      <t>トクヤマ</t>
    </rPh>
    <rPh sb="5" eb="7">
      <t>ソウギョウ</t>
    </rPh>
    <phoneticPr fontId="2"/>
  </si>
  <si>
    <t>数量用役システムサーバ</t>
    <rPh sb="0" eb="2">
      <t>スウリョウ</t>
    </rPh>
    <rPh sb="2" eb="4">
      <t>ヨウエキ</t>
    </rPh>
    <phoneticPr fontId="2"/>
  </si>
  <si>
    <t>Red Hat Enterprise Linux8.6</t>
    <phoneticPr fontId="2"/>
  </si>
  <si>
    <t>ベース金額
+webシステムテスト×4
+webシステムテスト修正×4
+tomcat非互換×2
+A-AUTO14本</t>
    <rPh sb="58" eb="59">
      <t>ホン</t>
    </rPh>
    <phoneticPr fontId="2"/>
  </si>
  <si>
    <t>4
+0.5*4
+0.25*4
+0.5*2
+0.5(14*5/8/20)</t>
    <phoneticPr fontId="2"/>
  </si>
  <si>
    <t>Azure構築</t>
    <rPh sb="5" eb="7">
      <t>コウチク</t>
    </rPh>
    <phoneticPr fontId="2"/>
  </si>
  <si>
    <t>品管包装システムサーバ</t>
    <rPh sb="0" eb="2">
      <t>ヒンカン</t>
    </rPh>
    <rPh sb="2" eb="4">
      <t>ホウソウ</t>
    </rPh>
    <phoneticPr fontId="2"/>
  </si>
  <si>
    <t xml:space="preserve">Red Hat Enterprise Linux8.6 </t>
    <phoneticPr fontId="2"/>
  </si>
  <si>
    <t>ベース金額
+webシステムテスト×2
+webシステムテスト修正×2
+tomcat非互換×2
+A-AUTO6本</t>
    <rPh sb="57" eb="58">
      <t>ホン</t>
    </rPh>
    <phoneticPr fontId="2"/>
  </si>
  <si>
    <t>4
+0.5*2
+0.25*2
+0.5*2
+0.25(6*5/8/20)</t>
    <phoneticPr fontId="2"/>
  </si>
  <si>
    <t>工場DB</t>
    <rPh sb="0" eb="2">
      <t>コウジョウ</t>
    </rPh>
    <phoneticPr fontId="2"/>
  </si>
  <si>
    <t>システムテスト</t>
    <phoneticPr fontId="2"/>
  </si>
  <si>
    <t>Azure構築、DB構築後のエクセルでのテスト実施</t>
    <rPh sb="5" eb="7">
      <t>コウチク</t>
    </rPh>
    <rPh sb="10" eb="12">
      <t>コウチク</t>
    </rPh>
    <rPh sb="12" eb="13">
      <t>アト</t>
    </rPh>
    <rPh sb="23" eb="25">
      <t>ジッシ</t>
    </rPh>
    <phoneticPr fontId="2"/>
  </si>
  <si>
    <t>PRMサーバ</t>
    <phoneticPr fontId="2"/>
  </si>
  <si>
    <t>WindowsServer2022
Oracle22c</t>
    <phoneticPr fontId="2"/>
  </si>
  <si>
    <t>ベース金額
+webシステムテスト×3
+webシステムテスト修正×3
+個別DB</t>
    <rPh sb="37" eb="39">
      <t>コベツ</t>
    </rPh>
    <phoneticPr fontId="2"/>
  </si>
  <si>
    <t>4
+0.5*3
+0.25*3
+0.5</t>
    <phoneticPr fontId="2"/>
  </si>
  <si>
    <t>Azure構築、
PRM資産の為DB個別構築想定</t>
    <rPh sb="5" eb="7">
      <t>コウチク</t>
    </rPh>
    <rPh sb="12" eb="14">
      <t>シサン</t>
    </rPh>
    <rPh sb="15" eb="16">
      <t>タメ</t>
    </rPh>
    <rPh sb="18" eb="20">
      <t>コベツ</t>
    </rPh>
    <rPh sb="20" eb="22">
      <t>コウチク</t>
    </rPh>
    <rPh sb="22" eb="24">
      <t>ソウテイ</t>
    </rPh>
    <phoneticPr fontId="2"/>
  </si>
  <si>
    <t>千葉L3.5サーバ</t>
    <rPh sb="0" eb="2">
      <t>チバ</t>
    </rPh>
    <phoneticPr fontId="2"/>
  </si>
  <si>
    <t>WindowsServer2022</t>
    <phoneticPr fontId="2"/>
  </si>
  <si>
    <t>ベース金額</t>
    <phoneticPr fontId="2"/>
  </si>
  <si>
    <t>現地作成
A-AOUT化無し</t>
    <rPh sb="11" eb="12">
      <t>カ</t>
    </rPh>
    <rPh sb="12" eb="13">
      <t>ナ</t>
    </rPh>
    <phoneticPr fontId="2"/>
  </si>
  <si>
    <t>徳山L3.5サーバ</t>
    <rPh sb="0" eb="2">
      <t>トクヤマ</t>
    </rPh>
    <phoneticPr fontId="2"/>
  </si>
  <si>
    <t xml:space="preserve">ベース金額
</t>
    <phoneticPr fontId="2"/>
  </si>
  <si>
    <t>現地作成
A-AOUT化無し</t>
    <phoneticPr fontId="2"/>
  </si>
  <si>
    <t>DBサーバ</t>
    <phoneticPr fontId="2"/>
  </si>
  <si>
    <t>Oracle22c</t>
    <phoneticPr fontId="2"/>
  </si>
  <si>
    <t>縮小基盤への移設</t>
    <rPh sb="0" eb="4">
      <t>シュクショウキバン</t>
    </rPh>
    <rPh sb="6" eb="8">
      <t>イセツ</t>
    </rPh>
    <phoneticPr fontId="2"/>
  </si>
  <si>
    <t>(参考)2012サーバ更新</t>
    <rPh sb="1" eb="3">
      <t>サンコウ</t>
    </rPh>
    <phoneticPr fontId="2"/>
  </si>
  <si>
    <t>ベース金額：4人月(内容：調査、基本設計、環境構築、結合テスト 、システムテスト、本番移行・初期流動、プロジェクト管理)</t>
    <rPh sb="3" eb="5">
      <t>キンガク</t>
    </rPh>
    <rPh sb="7" eb="9">
      <t>ニンゲツ</t>
    </rPh>
    <rPh sb="10" eb="12">
      <t>ナイヨウ</t>
    </rPh>
    <phoneticPr fontId="2"/>
  </si>
  <si>
    <t>webシステムテスト：0.5人月</t>
    <rPh sb="14" eb="16">
      <t>ニンゲツ</t>
    </rPh>
    <phoneticPr fontId="2"/>
  </si>
  <si>
    <t>webシステムテスト修正：0.25人月</t>
    <rPh sb="10" eb="12">
      <t>シュウセイ</t>
    </rPh>
    <rPh sb="17" eb="19">
      <t>ニンゲツ</t>
    </rPh>
    <phoneticPr fontId="2"/>
  </si>
  <si>
    <t>tomcat非互換：0.5人月</t>
    <rPh sb="6" eb="9">
      <t>ヒゴカン</t>
    </rPh>
    <rPh sb="13" eb="15">
      <t>ニンゲツ</t>
    </rPh>
    <phoneticPr fontId="2"/>
  </si>
  <si>
    <t>個別DB：0.5人月</t>
    <rPh sb="0" eb="2">
      <t>コベツ</t>
    </rPh>
    <rPh sb="8" eb="10">
      <t>ニンゲツ</t>
    </rPh>
    <phoneticPr fontId="2"/>
  </si>
  <si>
    <t>A-AUTO：1本＊5H</t>
    <rPh sb="8" eb="9">
      <t>ホン</t>
    </rPh>
    <phoneticPr fontId="2"/>
  </si>
  <si>
    <t>徳山数量確定システム</t>
    <rPh sb="0" eb="2">
      <t>トクヤマ</t>
    </rPh>
    <rPh sb="2" eb="4">
      <t>スウリョウ</t>
    </rPh>
    <rPh sb="4" eb="6">
      <t>カクテイ</t>
    </rPh>
    <phoneticPr fontId="2"/>
  </si>
  <si>
    <t>調査結果資料</t>
    <phoneticPr fontId="2"/>
  </si>
  <si>
    <t>設計書、運用ドキュメント修正
徳山数量確定</t>
    <rPh sb="15" eb="17">
      <t>トクヤマ</t>
    </rPh>
    <rPh sb="17" eb="19">
      <t>スウリョウ</t>
    </rPh>
    <rPh sb="19" eb="21">
      <t>カクテイ</t>
    </rPh>
    <phoneticPr fontId="2"/>
  </si>
  <si>
    <t>バージョンアップ手順書</t>
    <rPh sb="8" eb="11">
      <t>テジュンショ</t>
    </rPh>
    <phoneticPr fontId="2"/>
  </si>
  <si>
    <t>徳山ヤード操業サーバ：本番、検証</t>
    <rPh sb="0" eb="2">
      <t>トクヤマ</t>
    </rPh>
    <rPh sb="5" eb="7">
      <t>ソウギョウ</t>
    </rPh>
    <phoneticPr fontId="2"/>
  </si>
  <si>
    <t>徳山ヤード操業サーバ：本番、検証</t>
    <rPh sb="0" eb="2">
      <t>トクヤマ</t>
    </rPh>
    <phoneticPr fontId="2"/>
  </si>
  <si>
    <t>各検証機とPIMSサーバ間のテスト
機能数=1</t>
    <phoneticPr fontId="2"/>
  </si>
  <si>
    <t>移行手順書作成
移行作業
1システム実施</t>
    <phoneticPr fontId="2"/>
  </si>
  <si>
    <t>プロジェクト計画書
課題管理表
スケジュール（WBS）
議事録
レビュー管理表
+週次報告(3h*1*3)</t>
    <rPh sb="41" eb="43">
      <t>シュウジ</t>
    </rPh>
    <rPh sb="43" eb="45">
      <t>ホウコク</t>
    </rPh>
    <phoneticPr fontId="2"/>
  </si>
  <si>
    <t>加算する
人日</t>
  </si>
  <si>
    <t>pj全体の
打合せ時間</t>
  </si>
  <si>
    <t>１日の
基準時間</t>
  </si>
  <si>
    <t>期間(週)：
打合せ回数</t>
  </si>
  <si>
    <t>打合せ１回に
かかる時間</t>
  </si>
  <si>
    <t>期間(月)</t>
  </si>
  <si>
    <t>週数</t>
  </si>
  <si>
    <t>対応タスク</t>
    <rPh sb="0" eb="2">
      <t>タイオウ</t>
    </rPh>
    <phoneticPr fontId="7"/>
  </si>
  <si>
    <t>XenApp</t>
    <phoneticPr fontId="7"/>
  </si>
  <si>
    <t>人日</t>
    <rPh sb="0" eb="2">
      <t>ニンニチ</t>
    </rPh>
    <phoneticPr fontId="7"/>
  </si>
  <si>
    <t>人月</t>
    <rPh sb="0" eb="2">
      <t>ニンゲツ</t>
    </rPh>
    <phoneticPr fontId="7"/>
  </si>
  <si>
    <t>準委任</t>
    <rPh sb="0" eb="3">
      <t>ジュンイニン</t>
    </rPh>
    <phoneticPr fontId="7"/>
  </si>
  <si>
    <t>請負</t>
    <rPh sb="0" eb="2">
      <t>ウケオイ</t>
    </rPh>
    <phoneticPr fontId="7"/>
  </si>
  <si>
    <t>請負/準委任</t>
    <rPh sb="0" eb="2">
      <t>ウケオイ</t>
    </rPh>
    <rPh sb="3" eb="6">
      <t>ジュンイニン</t>
    </rPh>
    <phoneticPr fontId="7"/>
  </si>
  <si>
    <t>初期流動は準委任</t>
    <rPh sb="0" eb="4">
      <t>ショキリュウドウ</t>
    </rPh>
    <rPh sb="5" eb="8">
      <t>ジュンイニン</t>
    </rPh>
    <phoneticPr fontId="7"/>
  </si>
  <si>
    <t>管理費</t>
    <rPh sb="0" eb="3">
      <t>カンリヒ</t>
    </rPh>
    <phoneticPr fontId="7"/>
  </si>
  <si>
    <t>15%＋会議費(週1回3時間)</t>
    <rPh sb="4" eb="7">
      <t>カイギヒ</t>
    </rPh>
    <rPh sb="8" eb="9">
      <t>シュウ</t>
    </rPh>
    <rPh sb="10" eb="11">
      <t>カイ</t>
    </rPh>
    <rPh sb="12" eb="14">
      <t>ジカン</t>
    </rPh>
    <phoneticPr fontId="7"/>
  </si>
  <si>
    <t>人日+20%</t>
    <rPh sb="0" eb="2">
      <t>ニンニチ</t>
    </rPh>
    <phoneticPr fontId="7"/>
  </si>
  <si>
    <t>-</t>
    <phoneticPr fontId="7"/>
  </si>
  <si>
    <t>合計</t>
    <rPh sb="0" eb="2">
      <t>ゴウケイ</t>
    </rPh>
    <phoneticPr fontId="7"/>
  </si>
  <si>
    <t>前提条件</t>
    <rPh sb="0" eb="4">
      <t>ゼンテイジョウケン</t>
    </rPh>
    <phoneticPr fontId="7"/>
  </si>
  <si>
    <t>開発のエクセルの工数は、２０１９年から２０２２年にかけて行った「情報系ヒストリアン更新対応」案件で実際に修正したファイルの本数をベースにしております。</t>
  </si>
  <si>
    <t>エクセルの本数については、要件定義時に精査し確定させます。</t>
    <rPh sb="5" eb="7">
      <t>ホンスウ</t>
    </rPh>
    <rPh sb="13" eb="18">
      <t>ヨウケンテイギジ</t>
    </rPh>
    <rPh sb="19" eb="21">
      <t>セイサ</t>
    </rPh>
    <rPh sb="22" eb="24">
      <t>カクテイ</t>
    </rPh>
    <phoneticPr fontId="7"/>
  </si>
  <si>
    <t>本案件の対応内容は、向け先の変更のみで、ロジックの修正は実施しない想定をしております。</t>
    <rPh sb="0" eb="3">
      <t>ホンアンケン</t>
    </rPh>
    <rPh sb="4" eb="6">
      <t>タイオウ</t>
    </rPh>
    <rPh sb="6" eb="8">
      <t>ナイヨウ</t>
    </rPh>
    <rPh sb="10" eb="11">
      <t>ム</t>
    </rPh>
    <rPh sb="12" eb="13">
      <t>サキ</t>
    </rPh>
    <rPh sb="14" eb="16">
      <t>ヘンコウ</t>
    </rPh>
    <rPh sb="25" eb="27">
      <t>シュウセイ</t>
    </rPh>
    <rPh sb="28" eb="30">
      <t>ジッシ</t>
    </rPh>
    <rPh sb="33" eb="35">
      <t>ソウテイ</t>
    </rPh>
    <phoneticPr fontId="7"/>
  </si>
  <si>
    <t>テストでは、エラー時にのみエビデンスを取得します。</t>
    <rPh sb="9" eb="10">
      <t>ジ</t>
    </rPh>
    <rPh sb="19" eb="21">
      <t>シュトク</t>
    </rPh>
    <phoneticPr fontId="7"/>
  </si>
  <si>
    <t>本案件のテストは、改修対象のエクセルの１割を対象にサンプリングしテストすることを想定しております。</t>
    <rPh sb="0" eb="3">
      <t>ホンアンケン</t>
    </rPh>
    <rPh sb="9" eb="11">
      <t>カイシュウ</t>
    </rPh>
    <rPh sb="11" eb="13">
      <t>タイショウ</t>
    </rPh>
    <rPh sb="20" eb="21">
      <t>ワリ</t>
    </rPh>
    <rPh sb="22" eb="24">
      <t>タイショウ</t>
    </rPh>
    <rPh sb="40" eb="42">
      <t>ソウテイ</t>
    </rPh>
    <phoneticPr fontId="7"/>
  </si>
  <si>
    <t>初期流動は、準委任契約を想定しており、期間中は、対象外のファイルでも可能な限り対応することを想定しております。・</t>
  </si>
  <si>
    <t>◆</t>
    <phoneticPr fontId="7"/>
  </si>
  <si>
    <t>XenApp_PIMSDB接続ファイル向け先変更対応</t>
    <rPh sb="13" eb="15">
      <t>セツゾク</t>
    </rPh>
    <rPh sb="19" eb="20">
      <t>ム</t>
    </rPh>
    <rPh sb="21" eb="22">
      <t>サキ</t>
    </rPh>
    <rPh sb="22" eb="24">
      <t>ヘンコウ</t>
    </rPh>
    <rPh sb="24" eb="26">
      <t>タイオウ</t>
    </rPh>
    <phoneticPr fontId="7"/>
  </si>
  <si>
    <t>簡易動作検証による修正方法検証</t>
    <rPh sb="0" eb="6">
      <t>カンイドウサケンショウ</t>
    </rPh>
    <rPh sb="9" eb="11">
      <t>シュウセイ</t>
    </rPh>
    <rPh sb="11" eb="13">
      <t>ホウホウ</t>
    </rPh>
    <rPh sb="13" eb="15">
      <t>ケンショウ</t>
    </rPh>
    <phoneticPr fontId="7"/>
  </si>
  <si>
    <t>端末へのインストール及び動作検証</t>
    <rPh sb="0" eb="2">
      <t>タンマツ</t>
    </rPh>
    <rPh sb="10" eb="11">
      <t>オヨ</t>
    </rPh>
    <rPh sb="12" eb="16">
      <t>ドウサケンショウ</t>
    </rPh>
    <phoneticPr fontId="7"/>
  </si>
  <si>
    <t>対象ファイル一覧の整理</t>
    <rPh sb="0" eb="2">
      <t>タイショウ</t>
    </rPh>
    <rPh sb="6" eb="8">
      <t>イチラン</t>
    </rPh>
    <rPh sb="9" eb="11">
      <t>セイリ</t>
    </rPh>
    <phoneticPr fontId="7"/>
  </si>
  <si>
    <t>外だしファイルか、腹持ちのシート上か等の修正個所も整理したい</t>
    <rPh sb="0" eb="1">
      <t>ソト</t>
    </rPh>
    <rPh sb="9" eb="11">
      <t>ハラモ</t>
    </rPh>
    <rPh sb="16" eb="17">
      <t>ジョウ</t>
    </rPh>
    <rPh sb="18" eb="19">
      <t>ナド</t>
    </rPh>
    <rPh sb="20" eb="22">
      <t>シュウセイ</t>
    </rPh>
    <rPh sb="22" eb="24">
      <t>カショ</t>
    </rPh>
    <rPh sb="25" eb="27">
      <t>セイリ</t>
    </rPh>
    <phoneticPr fontId="7"/>
  </si>
  <si>
    <t>テストの範囲、方式検討</t>
    <rPh sb="4" eb="6">
      <t>ハンイ</t>
    </rPh>
    <rPh sb="7" eb="11">
      <t>ホウシキケントウ</t>
    </rPh>
    <phoneticPr fontId="7"/>
  </si>
  <si>
    <t>移行方式の検討</t>
    <rPh sb="0" eb="4">
      <t>イコウホウシキ</t>
    </rPh>
    <rPh sb="5" eb="7">
      <t>ケントウ</t>
    </rPh>
    <phoneticPr fontId="7"/>
  </si>
  <si>
    <t>変更仕様書作成</t>
    <rPh sb="0" eb="5">
      <t>ヘンコウシヨウショ</t>
    </rPh>
    <rPh sb="5" eb="7">
      <t>サクセイ</t>
    </rPh>
    <phoneticPr fontId="7"/>
  </si>
  <si>
    <t>パターンごとの修正方法を整理</t>
    <rPh sb="7" eb="9">
      <t>シュウセイ</t>
    </rPh>
    <rPh sb="9" eb="11">
      <t>ホウホウ</t>
    </rPh>
    <rPh sb="12" eb="14">
      <t>セイリ</t>
    </rPh>
    <phoneticPr fontId="7"/>
  </si>
  <si>
    <t>テスト仕様書の作成</t>
    <phoneticPr fontId="7"/>
  </si>
  <si>
    <t>要件定義時に作成したファイル一覧を元に作成</t>
    <rPh sb="0" eb="5">
      <t>ヨウケンテイギジ</t>
    </rPh>
    <rPh sb="6" eb="8">
      <t>サクセイ</t>
    </rPh>
    <rPh sb="14" eb="16">
      <t>イチラン</t>
    </rPh>
    <rPh sb="17" eb="18">
      <t>モト</t>
    </rPh>
    <rPh sb="19" eb="21">
      <t>サクセイ</t>
    </rPh>
    <phoneticPr fontId="7"/>
  </si>
  <si>
    <t>移行用ツールの設計</t>
    <rPh sb="0" eb="3">
      <t>イコウヨウ</t>
    </rPh>
    <rPh sb="7" eb="9">
      <t>セッケイ</t>
    </rPh>
    <phoneticPr fontId="7"/>
  </si>
  <si>
    <t>移行方式に合わせて必要なツールを設計</t>
    <rPh sb="0" eb="4">
      <t>イコウホウシキ</t>
    </rPh>
    <rPh sb="5" eb="6">
      <t>ア</t>
    </rPh>
    <rPh sb="9" eb="11">
      <t>ヒツヨウ</t>
    </rPh>
    <rPh sb="16" eb="18">
      <t>セッケイ</t>
    </rPh>
    <phoneticPr fontId="7"/>
  </si>
  <si>
    <t>移行バッチの作成</t>
    <rPh sb="0" eb="2">
      <t>イコウ</t>
    </rPh>
    <rPh sb="6" eb="8">
      <t>サクセイ</t>
    </rPh>
    <phoneticPr fontId="7"/>
  </si>
  <si>
    <t>移行ツールの設計書に基づいたバッチの作成、複数作成することを想定</t>
    <rPh sb="0" eb="2">
      <t>イコウ</t>
    </rPh>
    <rPh sb="6" eb="9">
      <t>セッケイショ</t>
    </rPh>
    <rPh sb="10" eb="11">
      <t>モト</t>
    </rPh>
    <rPh sb="18" eb="20">
      <t>サクセイ</t>
    </rPh>
    <rPh sb="21" eb="23">
      <t>フクスウ</t>
    </rPh>
    <rPh sb="23" eb="25">
      <t>サクセイ</t>
    </rPh>
    <rPh sb="30" eb="32">
      <t>ソウテイ</t>
    </rPh>
    <phoneticPr fontId="7"/>
  </si>
  <si>
    <t>過去案件参考資料：</t>
    <rPh sb="0" eb="4">
      <t>カコアンケン</t>
    </rPh>
    <rPh sb="4" eb="6">
      <t>サンコウ</t>
    </rPh>
    <rPh sb="6" eb="8">
      <t>シリョウ</t>
    </rPh>
    <phoneticPr fontId="7"/>
  </si>
  <si>
    <t>https://app.box.com/folder/160850577328</t>
    <phoneticPr fontId="7"/>
  </si>
  <si>
    <t>エクセルファイル</t>
    <phoneticPr fontId="7"/>
  </si>
  <si>
    <t>修正内容は、向け先の変更のみを想定</t>
    <rPh sb="0" eb="4">
      <t>シュウセイナイヨウ</t>
    </rPh>
    <rPh sb="6" eb="7">
      <t>ム</t>
    </rPh>
    <rPh sb="8" eb="9">
      <t>サキ</t>
    </rPh>
    <rPh sb="10" eb="12">
      <t>ヘンコウ</t>
    </rPh>
    <rPh sb="15" eb="17">
      <t>ソウテイ</t>
    </rPh>
    <phoneticPr fontId="7"/>
  </si>
  <si>
    <t>1ファイルあたり</t>
    <phoneticPr fontId="7"/>
  </si>
  <si>
    <t>10分</t>
    <rPh sb="2" eb="3">
      <t>フン</t>
    </rPh>
    <phoneticPr fontId="7"/>
  </si>
  <si>
    <t>1日8時間で48ファイル対応想定</t>
    <rPh sb="1" eb="2">
      <t>ニチ</t>
    </rPh>
    <rPh sb="3" eb="5">
      <t>ジカン</t>
    </rPh>
    <rPh sb="12" eb="14">
      <t>タイオウ</t>
    </rPh>
    <rPh sb="14" eb="16">
      <t>ソウテイ</t>
    </rPh>
    <phoneticPr fontId="7"/>
  </si>
  <si>
    <t>↓前回更新時改修ファイル数</t>
    <rPh sb="1" eb="3">
      <t>ゼンカイ</t>
    </rPh>
    <rPh sb="3" eb="6">
      <t>コウシンジ</t>
    </rPh>
    <rPh sb="6" eb="8">
      <t>カイシュウ</t>
    </rPh>
    <rPh sb="12" eb="13">
      <t>スウ</t>
    </rPh>
    <phoneticPr fontId="7"/>
  </si>
  <si>
    <t>いつのどの案件か明確にしておく</t>
    <rPh sb="5" eb="7">
      <t>アンケン</t>
    </rPh>
    <rPh sb="8" eb="10">
      <t>メイカク</t>
    </rPh>
    <phoneticPr fontId="7"/>
  </si>
  <si>
    <t>前提に算出のベースを記載</t>
    <rPh sb="0" eb="2">
      <t>ゼンテイ</t>
    </rPh>
    <rPh sb="3" eb="5">
      <t>サンシュツ</t>
    </rPh>
    <rPh sb="10" eb="12">
      <t>キサイ</t>
    </rPh>
    <phoneticPr fontId="7"/>
  </si>
  <si>
    <t>北海道分</t>
    <rPh sb="0" eb="3">
      <t>ホッカイドウ</t>
    </rPh>
    <rPh sb="3" eb="4">
      <t>ブン</t>
    </rPh>
    <phoneticPr fontId="7"/>
  </si>
  <si>
    <t>要件定義で精査して確定させることを記載しておく</t>
    <rPh sb="0" eb="4">
      <t>ヨウケンテイギ</t>
    </rPh>
    <rPh sb="5" eb="7">
      <t>セイサ</t>
    </rPh>
    <rPh sb="9" eb="11">
      <t>カクテイ</t>
    </rPh>
    <rPh sb="17" eb="19">
      <t>キサイ</t>
    </rPh>
    <phoneticPr fontId="7"/>
  </si>
  <si>
    <t>千葉分</t>
    <rPh sb="0" eb="3">
      <t>チバブン</t>
    </rPh>
    <phoneticPr fontId="7"/>
  </si>
  <si>
    <t>愛知分</t>
    <rPh sb="0" eb="2">
      <t>アイチ</t>
    </rPh>
    <rPh sb="2" eb="3">
      <t>ブン</t>
    </rPh>
    <phoneticPr fontId="7"/>
  </si>
  <si>
    <t>徳山分</t>
    <rPh sb="0" eb="3">
      <t>トクヤマブン</t>
    </rPh>
    <phoneticPr fontId="7"/>
  </si>
  <si>
    <t>四日市は新規のため総数</t>
    <rPh sb="0" eb="3">
      <t>ヨッカイチ</t>
    </rPh>
    <rPh sb="4" eb="6">
      <t>シンキ</t>
    </rPh>
    <rPh sb="9" eb="11">
      <t>ソウスウ</t>
    </rPh>
    <phoneticPr fontId="7"/>
  </si>
  <si>
    <t>四日市分</t>
    <rPh sb="0" eb="3">
      <t>ヨッカイチ</t>
    </rPh>
    <rPh sb="3" eb="4">
      <t>ブン</t>
    </rPh>
    <phoneticPr fontId="7"/>
  </si>
  <si>
    <t>総数</t>
    <rPh sb="0" eb="2">
      <t>ソウスウ</t>
    </rPh>
    <phoneticPr fontId="7"/>
  </si>
  <si>
    <t>フォルダ構成から日付やバックアップなどの文言を含むものを目視で除外</t>
    <rPh sb="4" eb="6">
      <t>コウセイ</t>
    </rPh>
    <rPh sb="8" eb="10">
      <t>ヒヅケ</t>
    </rPh>
    <rPh sb="20" eb="22">
      <t>モンゴン</t>
    </rPh>
    <rPh sb="23" eb="24">
      <t>フク</t>
    </rPh>
    <rPh sb="28" eb="30">
      <t>モクシ</t>
    </rPh>
    <rPh sb="31" eb="33">
      <t>ジョガイ</t>
    </rPh>
    <phoneticPr fontId="7"/>
  </si>
  <si>
    <t>移行用ツールのテスト</t>
    <rPh sb="0" eb="3">
      <t>イコウヨウ</t>
    </rPh>
    <phoneticPr fontId="7"/>
  </si>
  <si>
    <t>エクセルの接続確認テスト</t>
    <rPh sb="5" eb="7">
      <t>セツゾク</t>
    </rPh>
    <rPh sb="7" eb="9">
      <t>カクニン</t>
    </rPh>
    <phoneticPr fontId="7"/>
  </si>
  <si>
    <t>前提に、正常時のエビデンスは取得せず</t>
    <rPh sb="0" eb="2">
      <t>ゼンテイ</t>
    </rPh>
    <rPh sb="4" eb="6">
      <t>セイジョウ</t>
    </rPh>
    <rPh sb="6" eb="7">
      <t>ジ</t>
    </rPh>
    <rPh sb="14" eb="16">
      <t>シュトク</t>
    </rPh>
    <phoneticPr fontId="7"/>
  </si>
  <si>
    <t>15分</t>
    <rPh sb="2" eb="3">
      <t>フン</t>
    </rPh>
    <phoneticPr fontId="7"/>
  </si>
  <si>
    <t>1日8時間で32ファイル対応想定</t>
    <rPh sb="1" eb="2">
      <t>ニチ</t>
    </rPh>
    <rPh sb="3" eb="5">
      <t>ジカン</t>
    </rPh>
    <rPh sb="12" eb="14">
      <t>タイオウ</t>
    </rPh>
    <rPh sb="14" eb="16">
      <t>ソウテイ</t>
    </rPh>
    <phoneticPr fontId="7"/>
  </si>
  <si>
    <t>エラー時のみ取得することを記載する</t>
    <rPh sb="3" eb="4">
      <t>ジ</t>
    </rPh>
    <rPh sb="6" eb="8">
      <t>シュトク</t>
    </rPh>
    <rPh sb="13" eb="15">
      <t>キサイ</t>
    </rPh>
    <phoneticPr fontId="7"/>
  </si>
  <si>
    <t>各所でサンプリングしてテスト</t>
    <rPh sb="0" eb="2">
      <t>カクショ</t>
    </rPh>
    <phoneticPr fontId="7"/>
  </si>
  <si>
    <t>10%程度</t>
    <rPh sb="3" eb="5">
      <t>テイド</t>
    </rPh>
    <phoneticPr fontId="7"/>
  </si>
  <si>
    <t>前提に、改修対象の1割を対象とし、要件定義のテスト範囲決めの際に相談させていただく</t>
    <rPh sb="0" eb="2">
      <t>ゼンテイ</t>
    </rPh>
    <rPh sb="4" eb="6">
      <t>カイシュウ</t>
    </rPh>
    <rPh sb="6" eb="8">
      <t>タイショウ</t>
    </rPh>
    <rPh sb="10" eb="11">
      <t>ワリ</t>
    </rPh>
    <rPh sb="12" eb="14">
      <t>タイショウ</t>
    </rPh>
    <rPh sb="17" eb="21">
      <t>ヨウケンテイギ</t>
    </rPh>
    <rPh sb="25" eb="27">
      <t>ハンイ</t>
    </rPh>
    <rPh sb="27" eb="28">
      <t>ギ</t>
    </rPh>
    <rPh sb="30" eb="31">
      <t>サイ</t>
    </rPh>
    <rPh sb="32" eb="34">
      <t>ソウダン</t>
    </rPh>
    <phoneticPr fontId="7"/>
  </si>
  <si>
    <t>動作確認支援</t>
    <rPh sb="0" eb="4">
      <t>ドウサカクニン</t>
    </rPh>
    <rPh sb="4" eb="6">
      <t>シエン</t>
    </rPh>
    <phoneticPr fontId="7"/>
  </si>
  <si>
    <t>環境整備等</t>
    <rPh sb="0" eb="2">
      <t>カンキョウ</t>
    </rPh>
    <rPh sb="2" eb="4">
      <t>セイビ</t>
    </rPh>
    <rPh sb="4" eb="5">
      <t>トウ</t>
    </rPh>
    <phoneticPr fontId="7"/>
  </si>
  <si>
    <t>各所1日</t>
    <rPh sb="0" eb="2">
      <t>カクショ</t>
    </rPh>
    <rPh sb="3" eb="4">
      <t>ニチ</t>
    </rPh>
    <phoneticPr fontId="2"/>
  </si>
  <si>
    <t>不具合・問合せ対応</t>
    <rPh sb="0" eb="3">
      <t>フグアイ</t>
    </rPh>
    <rPh sb="4" eb="6">
      <t>トイアワ</t>
    </rPh>
    <rPh sb="7" eb="9">
      <t>タイオウ</t>
    </rPh>
    <phoneticPr fontId="7"/>
  </si>
  <si>
    <t>愛知</t>
    <rPh sb="0" eb="2">
      <t>アイチ</t>
    </rPh>
    <phoneticPr fontId="2"/>
  </si>
  <si>
    <t>前提として、ロジックの変更はしない</t>
    <rPh sb="0" eb="2">
      <t>ゼンテイ</t>
    </rPh>
    <rPh sb="11" eb="13">
      <t>ヘンコウ</t>
    </rPh>
    <phoneticPr fontId="7"/>
  </si>
  <si>
    <t>北海道</t>
    <rPh sb="0" eb="3">
      <t>ホッカイドウ</t>
    </rPh>
    <phoneticPr fontId="2"/>
  </si>
  <si>
    <t>四日市</t>
    <rPh sb="0" eb="3">
      <t>ヨッカイチ</t>
    </rPh>
    <phoneticPr fontId="2"/>
  </si>
  <si>
    <t>本番稼働</t>
    <rPh sb="0" eb="4">
      <t>ホンバンカドウ</t>
    </rPh>
    <phoneticPr fontId="7"/>
  </si>
  <si>
    <t>手順書作成</t>
    <rPh sb="0" eb="3">
      <t>テジュンショ</t>
    </rPh>
    <rPh sb="3" eb="5">
      <t>サクセイ</t>
    </rPh>
    <phoneticPr fontId="7"/>
  </si>
  <si>
    <t>手順書作成1.5人日×5所</t>
    <rPh sb="0" eb="2">
      <t>テジュン</t>
    </rPh>
    <rPh sb="2" eb="3">
      <t>ショ</t>
    </rPh>
    <rPh sb="3" eb="5">
      <t>サクセイ</t>
    </rPh>
    <rPh sb="8" eb="10">
      <t>ニンニチ</t>
    </rPh>
    <rPh sb="12" eb="13">
      <t>ショ</t>
    </rPh>
    <phoneticPr fontId="7"/>
  </si>
  <si>
    <t>本番リリース作業</t>
    <rPh sb="0" eb="2">
      <t>ホンバン</t>
    </rPh>
    <rPh sb="6" eb="8">
      <t>サギョウ</t>
    </rPh>
    <phoneticPr fontId="7"/>
  </si>
  <si>
    <t>本番6時間×4人×5所</t>
    <rPh sb="0" eb="2">
      <t>ホンバン</t>
    </rPh>
    <rPh sb="3" eb="5">
      <t>ジカン</t>
    </rPh>
    <rPh sb="7" eb="8">
      <t>ニン</t>
    </rPh>
    <rPh sb="10" eb="11">
      <t>ショ</t>
    </rPh>
    <phoneticPr fontId="7"/>
  </si>
  <si>
    <t>初回稼働確認</t>
    <rPh sb="0" eb="4">
      <t>ショカイカドウ</t>
    </rPh>
    <rPh sb="4" eb="6">
      <t>カクニン</t>
    </rPh>
    <phoneticPr fontId="7"/>
  </si>
  <si>
    <t>5日間×2人×5所</t>
  </si>
  <si>
    <t>初期流動期間中は可能な限り対応する</t>
    <phoneticPr fontId="7"/>
  </si>
  <si>
    <t>対象外のファイルは別途相談</t>
  </si>
  <si>
    <t>事業所</t>
    <rPh sb="0" eb="3">
      <t>ジギョウショ</t>
    </rPh>
    <phoneticPr fontId="2"/>
  </si>
  <si>
    <t>要件定義</t>
    <phoneticPr fontId="2"/>
  </si>
  <si>
    <t>設計</t>
    <rPh sb="0" eb="2">
      <t>セッケイ</t>
    </rPh>
    <phoneticPr fontId="2"/>
  </si>
  <si>
    <t>製造</t>
    <rPh sb="0" eb="2">
      <t>セイゾウ</t>
    </rPh>
    <phoneticPr fontId="2"/>
  </si>
  <si>
    <t>テスト</t>
    <phoneticPr fontId="2"/>
  </si>
  <si>
    <t>受入</t>
    <rPh sb="0" eb="2">
      <t>ウケイレ</t>
    </rPh>
    <phoneticPr fontId="2"/>
  </si>
  <si>
    <t>本番切替</t>
    <rPh sb="0" eb="4">
      <t>ホンバンキリカエ</t>
    </rPh>
    <phoneticPr fontId="2"/>
  </si>
  <si>
    <t>初期流動</t>
    <rPh sb="0" eb="4">
      <t>ショキリュウドウ</t>
    </rPh>
    <phoneticPr fontId="2"/>
  </si>
  <si>
    <t>プロジェクト管理</t>
    <rPh sb="6" eb="8">
      <t>カンリ</t>
    </rPh>
    <phoneticPr fontId="2"/>
  </si>
  <si>
    <t>工数</t>
    <rPh sb="0" eb="2">
      <t>コウスウ</t>
    </rPh>
    <phoneticPr fontId="2"/>
  </si>
  <si>
    <t>金額</t>
    <rPh sb="0" eb="2">
      <t>キンガク</t>
    </rPh>
    <phoneticPr fontId="2"/>
  </si>
  <si>
    <t>全所（全般）</t>
    <rPh sb="0" eb="2">
      <t>ゼンショ</t>
    </rPh>
    <rPh sb="3" eb="5">
      <t>ゼンパン</t>
    </rPh>
    <phoneticPr fontId="2"/>
  </si>
  <si>
    <t>合計</t>
    <rPh sb="0" eb="2">
      <t>ゴウケイ</t>
    </rPh>
    <phoneticPr fontId="2"/>
  </si>
  <si>
    <t>単価</t>
    <rPh sb="0" eb="2">
      <t>タンカ</t>
    </rPh>
    <phoneticPr fontId="2"/>
  </si>
  <si>
    <t>フェーズ別管理工数</t>
    <rPh sb="4" eb="5">
      <t>ベツ</t>
    </rPh>
    <rPh sb="5" eb="9">
      <t>カンリコウスウ</t>
    </rPh>
    <phoneticPr fontId="2"/>
  </si>
  <si>
    <t>要件定義</t>
    <rPh sb="0" eb="4">
      <t>ヨウケンテイギ</t>
    </rPh>
    <phoneticPr fontId="2"/>
  </si>
  <si>
    <t>開発</t>
    <rPh sb="0" eb="2">
      <t>カイハツ</t>
    </rPh>
    <phoneticPr fontId="2"/>
  </si>
  <si>
    <t>移行</t>
    <rPh sb="0" eb="2">
      <t>イコウ</t>
    </rPh>
    <phoneticPr fontId="2"/>
  </si>
  <si>
    <t>タグ調査</t>
    <rPh sb="2" eb="4">
      <t>チョウサ</t>
    </rPh>
    <phoneticPr fontId="7"/>
  </si>
  <si>
    <t>1ファイルあたり</t>
    <phoneticPr fontId="2"/>
  </si>
  <si>
    <t>1日8時間で10ファイル対応想定</t>
    <rPh sb="1" eb="2">
      <t>ニチ</t>
    </rPh>
    <rPh sb="3" eb="5">
      <t>ジカン</t>
    </rPh>
    <rPh sb="12" eb="14">
      <t>タイオウ</t>
    </rPh>
    <rPh sb="14" eb="16">
      <t>ソウテイ</t>
    </rPh>
    <phoneticPr fontId="7"/>
  </si>
  <si>
    <t>10日間×1.5人×1所
5日間×1人×1所</t>
    <phoneticPr fontId="2"/>
  </si>
  <si>
    <t>↓改修ファイル数</t>
    <rPh sb="1" eb="3">
      <t>カイシュウ</t>
    </rPh>
    <rPh sb="7" eb="8">
      <t>スウ</t>
    </rPh>
    <phoneticPr fontId="7"/>
  </si>
  <si>
    <t>リリースまでのファイル更新対応</t>
    <phoneticPr fontId="2"/>
  </si>
  <si>
    <t>参考（概算見積）</t>
    <rPh sb="0" eb="2">
      <t>サンコウ</t>
    </rPh>
    <rPh sb="3" eb="5">
      <t>ガイサン</t>
    </rPh>
    <rPh sb="5" eb="7">
      <t>ミツモリ</t>
    </rPh>
    <phoneticPr fontId="2"/>
  </si>
  <si>
    <t>再見積もり</t>
    <rPh sb="0" eb="3">
      <t>サイミツ</t>
    </rPh>
    <phoneticPr fontId="2"/>
  </si>
  <si>
    <t>追加タスク</t>
    <rPh sb="0" eb="2">
      <t>ツイカ</t>
    </rPh>
    <phoneticPr fontId="2"/>
  </si>
  <si>
    <r>
      <t>1日8時間で</t>
    </r>
    <r>
      <rPr>
        <sz val="11"/>
        <color rgb="FFFF0000"/>
        <rFont val="游ゴシック"/>
        <family val="3"/>
        <charset val="128"/>
        <scheme val="minor"/>
      </rPr>
      <t>24</t>
    </r>
    <r>
      <rPr>
        <sz val="11"/>
        <color theme="1"/>
        <rFont val="游ゴシック"/>
        <family val="2"/>
        <scheme val="minor"/>
      </rPr>
      <t>ファイル対応想定</t>
    </r>
    <rPh sb="1" eb="2">
      <t>ニチ</t>
    </rPh>
    <rPh sb="3" eb="5">
      <t>ジカン</t>
    </rPh>
    <rPh sb="12" eb="14">
      <t>タイオウ</t>
    </rPh>
    <rPh sb="14" eb="16">
      <t>ソウテイ</t>
    </rPh>
    <phoneticPr fontId="7"/>
  </si>
  <si>
    <t>テスト対象54本は出光様からご指定あり
日報・月報整理.xlsx</t>
    <rPh sb="3" eb="5">
      <t>タイショウ</t>
    </rPh>
    <rPh sb="7" eb="8">
      <t>ホン</t>
    </rPh>
    <rPh sb="9" eb="11">
      <t>イデミツ</t>
    </rPh>
    <rPh sb="11" eb="12">
      <t>サマ</t>
    </rPh>
    <rPh sb="15" eb="17">
      <t>シテイ</t>
    </rPh>
    <phoneticPr fontId="2"/>
  </si>
  <si>
    <t>対象外のファイルは別途相談
初期流動期間は月末月初の期間を挟んで欲しいと出光様要望のため3週間(15人日)とする。</t>
    <rPh sb="14" eb="16">
      <t>ショキ</t>
    </rPh>
    <rPh sb="16" eb="20">
      <t>リュウドウキカン</t>
    </rPh>
    <rPh sb="21" eb="25">
      <t>ゲツマツゲッショ</t>
    </rPh>
    <rPh sb="26" eb="28">
      <t>キカン</t>
    </rPh>
    <rPh sb="29" eb="30">
      <t>ハサ</t>
    </rPh>
    <rPh sb="32" eb="33">
      <t>ホ</t>
    </rPh>
    <rPh sb="36" eb="38">
      <t>イデミツ</t>
    </rPh>
    <rPh sb="38" eb="41">
      <t>サマヨウボウ</t>
    </rPh>
    <rPh sb="45" eb="47">
      <t>シュウカン</t>
    </rPh>
    <rPh sb="50" eb="52">
      <t>ニンニチ</t>
    </rPh>
    <phoneticPr fontId="2"/>
  </si>
  <si>
    <t>15⇒20分</t>
    <rPh sb="5" eb="6">
      <t>フン</t>
    </rPh>
    <phoneticPr fontId="7"/>
  </si>
  <si>
    <t>差額</t>
    <rPh sb="0" eb="2">
      <t>サガク</t>
    </rPh>
    <phoneticPr fontId="2"/>
  </si>
  <si>
    <t>リリースまでに修正ファイル20%程更新が発生すると想定</t>
    <rPh sb="7" eb="9">
      <t>シュウセイ</t>
    </rPh>
    <rPh sb="16" eb="17">
      <t>ホド</t>
    </rPh>
    <rPh sb="17" eb="19">
      <t>コウシン</t>
    </rPh>
    <rPh sb="20" eb="22">
      <t>ハッセイ</t>
    </rPh>
    <rPh sb="25" eb="27">
      <t>ソウテイ</t>
    </rPh>
    <phoneticPr fontId="2"/>
  </si>
  <si>
    <t>本案件のテストは、出光様指定の日報、月報ファイルをテストすることを想定しております。</t>
    <rPh sb="0" eb="3">
      <t>ホンアンケン</t>
    </rPh>
    <rPh sb="9" eb="12">
      <t>イデミツサマ</t>
    </rPh>
    <rPh sb="12" eb="14">
      <t>シテイ</t>
    </rPh>
    <rPh sb="15" eb="17">
      <t>ニッポウ</t>
    </rPh>
    <rPh sb="18" eb="20">
      <t>ゲッポウ</t>
    </rPh>
    <rPh sb="33" eb="35">
      <t>ソウテイ</t>
    </rPh>
    <phoneticPr fontId="7"/>
  </si>
  <si>
    <t>手順書作成1.5人日</t>
    <rPh sb="0" eb="2">
      <t>テジュン</t>
    </rPh>
    <rPh sb="2" eb="3">
      <t>ショ</t>
    </rPh>
    <rPh sb="3" eb="5">
      <t>サクセイ</t>
    </rPh>
    <rPh sb="8" eb="10">
      <t>ニンニチ</t>
    </rPh>
    <phoneticPr fontId="7"/>
  </si>
  <si>
    <t>本番6時間×4人</t>
    <rPh sb="0" eb="2">
      <t>ホンバン</t>
    </rPh>
    <rPh sb="3" eb="5">
      <t>ジカン</t>
    </rPh>
    <rPh sb="7" eb="8">
      <t>ニン</t>
    </rPh>
    <phoneticPr fontId="7"/>
  </si>
  <si>
    <t>愛知と同程度の調査対象を想定</t>
    <rPh sb="0" eb="2">
      <t>アイチ</t>
    </rPh>
    <rPh sb="3" eb="6">
      <t>ドウテイド</t>
    </rPh>
    <rPh sb="7" eb="11">
      <t>チョウサタイショウ</t>
    </rPh>
    <rPh sb="12" eb="14">
      <t>ソウテイ</t>
    </rPh>
    <phoneticPr fontId="2"/>
  </si>
  <si>
    <t>北海道分</t>
    <phoneticPr fontId="7"/>
  </si>
  <si>
    <t>1日8時間で24ファイル対応想定</t>
    <rPh sb="1" eb="2">
      <t>ニチ</t>
    </rPh>
    <rPh sb="3" eb="5">
      <t>ジカン</t>
    </rPh>
    <rPh sb="12" eb="14">
      <t>タイオウ</t>
    </rPh>
    <rPh sb="14" eb="16">
      <t>ソウテイ</t>
    </rPh>
    <phoneticPr fontId="7"/>
  </si>
  <si>
    <t>徳山分</t>
    <rPh sb="0" eb="2">
      <t>トクヤマ</t>
    </rPh>
    <phoneticPr fontId="7"/>
  </si>
  <si>
    <t>徳山分</t>
    <rPh sb="0" eb="2">
      <t>トクヤマ</t>
    </rPh>
    <rPh sb="2" eb="3">
      <t>ブン</t>
    </rPh>
    <phoneticPr fontId="7"/>
  </si>
  <si>
    <t>千葉分</t>
    <rPh sb="0" eb="2">
      <t>チバ</t>
    </rPh>
    <phoneticPr fontId="7"/>
  </si>
  <si>
    <t>修正本数の20%を想定</t>
    <rPh sb="0" eb="2">
      <t>シュウセイ</t>
    </rPh>
    <rPh sb="2" eb="4">
      <t>ホンスウ</t>
    </rPh>
    <rPh sb="9" eb="11">
      <t>ソウテイ</t>
    </rPh>
    <phoneticPr fontId="2"/>
  </si>
  <si>
    <t>拠点</t>
  </si>
  <si>
    <t>人月</t>
  </si>
  <si>
    <t>概算</t>
  </si>
  <si>
    <t>差額</t>
  </si>
  <si>
    <t>徳山</t>
  </si>
  <si>
    <t>開発</t>
  </si>
  <si>
    <t>結合テスト</t>
  </si>
  <si>
    <t>受入テスト</t>
  </si>
  <si>
    <t>本番作業</t>
  </si>
  <si>
    <t>管理費</t>
  </si>
  <si>
    <t>千葉</t>
  </si>
  <si>
    <t>北海道</t>
  </si>
  <si>
    <t>小計</t>
  </si>
  <si>
    <t>愛知</t>
  </si>
  <si>
    <t>四日市</t>
  </si>
  <si>
    <t>再見積もり</t>
  </si>
  <si>
    <t>崔再見積もり工数</t>
  </si>
  <si>
    <t>工場システム</t>
  </si>
  <si>
    <t>20%程度</t>
    <rPh sb="3" eb="5">
      <t>テイド</t>
    </rPh>
    <phoneticPr fontId="7"/>
  </si>
  <si>
    <t>愛知と同程度（60本）程度を想定</t>
    <phoneticPr fontId="2"/>
  </si>
  <si>
    <t>工場システム</t>
    <rPh sb="0" eb="2">
      <t>コウジョウ</t>
    </rPh>
    <phoneticPr fontId="2"/>
  </si>
  <si>
    <t>人月</t>
    <rPh sb="0" eb="2">
      <t>ニンゲツ</t>
    </rPh>
    <phoneticPr fontId="2"/>
  </si>
  <si>
    <t>管理工数のみ</t>
    <rPh sb="0" eb="2">
      <t>カンリ</t>
    </rPh>
    <rPh sb="2" eb="4">
      <t>コウスウ</t>
    </rPh>
    <phoneticPr fontId="2"/>
  </si>
  <si>
    <r>
      <rPr>
        <sz val="11"/>
        <color rgb="FFFF0000"/>
        <rFont val="游ゴシック"/>
        <family val="3"/>
        <charset val="128"/>
        <scheme val="minor"/>
      </rPr>
      <t>20%</t>
    </r>
    <r>
      <rPr>
        <sz val="11"/>
        <rFont val="游ゴシック"/>
        <family val="3"/>
        <charset val="128"/>
        <scheme val="minor"/>
      </rPr>
      <t>程度</t>
    </r>
    <rPh sb="3" eb="5">
      <t>テイド</t>
    </rPh>
    <phoneticPr fontId="7"/>
  </si>
  <si>
    <t>対象外のファイルは別途相談
初期流動期間は月末月初の期間を挟んで欲しいと出光様要望のため3週間(20人日)とする。</t>
    <rPh sb="14" eb="16">
      <t>ショキ</t>
    </rPh>
    <rPh sb="16" eb="20">
      <t>リュウドウキカン</t>
    </rPh>
    <rPh sb="21" eb="25">
      <t>ゲツマツゲッショ</t>
    </rPh>
    <rPh sb="26" eb="28">
      <t>キカン</t>
    </rPh>
    <rPh sb="29" eb="30">
      <t>ハサ</t>
    </rPh>
    <rPh sb="32" eb="33">
      <t>ホ</t>
    </rPh>
    <rPh sb="36" eb="38">
      <t>イデミツ</t>
    </rPh>
    <rPh sb="38" eb="41">
      <t>サマヨウボウ</t>
    </rPh>
    <rPh sb="45" eb="47">
      <t>シュウカン</t>
    </rPh>
    <rPh sb="50" eb="52">
      <t>ニンニチ</t>
    </rPh>
    <phoneticPr fontId="2"/>
  </si>
  <si>
    <t>追加タスク(愛知実績より対象ファイル数修正)
58ファイル⇒7人日</t>
    <rPh sb="0" eb="2">
      <t>ツイカ</t>
    </rPh>
    <rPh sb="6" eb="8">
      <t>アイチ</t>
    </rPh>
    <rPh sb="8" eb="10">
      <t>ジッセキ</t>
    </rPh>
    <rPh sb="12" eb="14">
      <t>タイショウ</t>
    </rPh>
    <rPh sb="18" eb="19">
      <t>スウ</t>
    </rPh>
    <rPh sb="19" eb="21">
      <t>シュウセイ</t>
    </rPh>
    <rPh sb="31" eb="33">
      <t>ニンニチ</t>
    </rPh>
    <phoneticPr fontId="2"/>
  </si>
  <si>
    <t>10日間×2.0人×1所
5日間×1.0人×1所</t>
    <phoneticPr fontId="2"/>
  </si>
  <si>
    <r>
      <t>1日8時間で</t>
    </r>
    <r>
      <rPr>
        <sz val="11"/>
        <color rgb="FFEE0000"/>
        <rFont val="游ゴシック"/>
        <family val="3"/>
        <charset val="128"/>
        <scheme val="minor"/>
      </rPr>
      <t>8</t>
    </r>
    <r>
      <rPr>
        <sz val="11"/>
        <rFont val="游ゴシック"/>
        <family val="3"/>
        <charset val="128"/>
        <scheme val="minor"/>
      </rPr>
      <t>ファイル対応想定</t>
    </r>
    <rPh sb="1" eb="2">
      <t>ニチ</t>
    </rPh>
    <rPh sb="3" eb="5">
      <t>ジカン</t>
    </rPh>
    <rPh sb="11" eb="13">
      <t>タイオウ</t>
    </rPh>
    <rPh sb="13" eb="15">
      <t>ソウテイ</t>
    </rPh>
    <phoneticPr fontId="7"/>
  </si>
  <si>
    <t>7/7(月)対象本数連絡あり</t>
    <rPh sb="4" eb="5">
      <t>ゲツ</t>
    </rPh>
    <rPh sb="6" eb="8">
      <t>タイショウ</t>
    </rPh>
    <rPh sb="8" eb="10">
      <t>ホンスウ</t>
    </rPh>
    <rPh sb="10" eb="12">
      <t>レンラク</t>
    </rPh>
    <phoneticPr fontId="2"/>
  </si>
  <si>
    <t>受入れテスト期間として10日間を想定(1.0人)</t>
    <rPh sb="0" eb="2">
      <t>ウケイ</t>
    </rPh>
    <rPh sb="6" eb="8">
      <t>キカン</t>
    </rPh>
    <rPh sb="13" eb="15">
      <t>カカン</t>
    </rPh>
    <rPh sb="16" eb="18">
      <t>ソウテイ</t>
    </rPh>
    <rPh sb="22" eb="23">
      <t>ニン</t>
    </rPh>
    <phoneticPr fontId="2"/>
  </si>
  <si>
    <t>受入れテスト期間として10日間を想定(1.5人)</t>
    <rPh sb="0" eb="2">
      <t>ウケイ</t>
    </rPh>
    <rPh sb="6" eb="8">
      <t>キカン</t>
    </rPh>
    <rPh sb="13" eb="15">
      <t>カカン</t>
    </rPh>
    <rPh sb="16" eb="18">
      <t>ソウテイ</t>
    </rPh>
    <rPh sb="22" eb="23">
      <t>ニン</t>
    </rPh>
    <phoneticPr fontId="2"/>
  </si>
  <si>
    <t>受入れテスト期間として5日間を想定(1.0人)</t>
    <rPh sb="0" eb="2">
      <t>ウケイ</t>
    </rPh>
    <rPh sb="6" eb="8">
      <t>キカン</t>
    </rPh>
    <rPh sb="12" eb="14">
      <t>カカン</t>
    </rPh>
    <rPh sb="15" eb="17">
      <t>ソウテイ</t>
    </rPh>
    <rPh sb="21" eb="22">
      <t>ニン</t>
    </rPh>
    <phoneticPr fontId="2"/>
  </si>
  <si>
    <t>テスト対象12本は出光様からご指定あり
XenAPP各所用フォルダ調査（北製記入版_20250702）.xlsx</t>
    <rPh sb="3" eb="5">
      <t>タイショウ</t>
    </rPh>
    <rPh sb="7" eb="8">
      <t>ホン</t>
    </rPh>
    <rPh sb="9" eb="11">
      <t>イデミツ</t>
    </rPh>
    <rPh sb="11" eb="12">
      <t>サマ</t>
    </rPh>
    <rPh sb="15" eb="17">
      <t>シテイ</t>
    </rPh>
    <phoneticPr fontId="2"/>
  </si>
  <si>
    <t>要件定義調査結果1104
追加：出光様追加ファイル47</t>
    <rPh sb="0" eb="4">
      <t>ヨウケンテイギ</t>
    </rPh>
    <rPh sb="4" eb="8">
      <t>チョウサケッカ</t>
    </rPh>
    <rPh sb="13" eb="15">
      <t>ツイカ</t>
    </rPh>
    <rPh sb="16" eb="19">
      <t>イデミツサマ</t>
    </rPh>
    <rPh sb="19" eb="21">
      <t>ツイカ</t>
    </rPh>
    <phoneticPr fontId="2"/>
  </si>
  <si>
    <t>対象外のファイルは別途相談
初期流動期間は月末月初の期間を挟んで欲しいと出光様要望のため3週間(15人日)とする。
※年末年始期間は含めない</t>
    <rPh sb="14" eb="16">
      <t>ショキ</t>
    </rPh>
    <rPh sb="16" eb="20">
      <t>リュウドウキカン</t>
    </rPh>
    <rPh sb="21" eb="25">
      <t>ゲツマツゲッショ</t>
    </rPh>
    <rPh sb="26" eb="28">
      <t>キカン</t>
    </rPh>
    <rPh sb="29" eb="30">
      <t>ハサ</t>
    </rPh>
    <rPh sb="32" eb="33">
      <t>ホ</t>
    </rPh>
    <rPh sb="36" eb="38">
      <t>イデミツ</t>
    </rPh>
    <rPh sb="38" eb="41">
      <t>サマヨウボウ</t>
    </rPh>
    <rPh sb="45" eb="47">
      <t>シュウカン</t>
    </rPh>
    <rPh sb="50" eb="52">
      <t>ニンニチ</t>
    </rPh>
    <phoneticPr fontId="2"/>
  </si>
  <si>
    <t>タグ調査不要</t>
    <rPh sb="2" eb="4">
      <t>チョウサ</t>
    </rPh>
    <rPh sb="4" eb="6">
      <t>フヨウ</t>
    </rPh>
    <phoneticPr fontId="2"/>
  </si>
  <si>
    <t>修正チェックリストメンテナンス</t>
    <rPh sb="0" eb="2">
      <t>シュウセイ</t>
    </rPh>
    <phoneticPr fontId="2"/>
  </si>
  <si>
    <t>ファイルコピー</t>
    <phoneticPr fontId="2"/>
  </si>
  <si>
    <t>ファイル配備・簡易動作検証（10ファイル程度）</t>
    <rPh sb="4" eb="6">
      <t>ハイビ</t>
    </rPh>
    <rPh sb="7" eb="9">
      <t>カンイ</t>
    </rPh>
    <rPh sb="9" eb="11">
      <t>ドウサ</t>
    </rPh>
    <rPh sb="11" eb="13">
      <t>ケンショウ</t>
    </rPh>
    <rPh sb="20" eb="22">
      <t>テイド</t>
    </rPh>
    <phoneticPr fontId="2"/>
  </si>
  <si>
    <t>1日8時間で8ファイル対応想定</t>
    <rPh sb="1" eb="2">
      <t>ニチ</t>
    </rPh>
    <rPh sb="3" eb="5">
      <t>ジカン</t>
    </rPh>
    <rPh sb="11" eb="13">
      <t>タイオウ</t>
    </rPh>
    <rPh sb="13" eb="15">
      <t>ソウテイ</t>
    </rPh>
    <phoneticPr fontId="7"/>
  </si>
  <si>
    <t>分析ツール実行、ホスト名修正</t>
    <phoneticPr fontId="2"/>
  </si>
  <si>
    <t>人日+15%</t>
    <rPh sb="0" eb="2">
      <t>ニンニチ</t>
    </rPh>
    <phoneticPr fontId="7"/>
  </si>
  <si>
    <t>1日8時間で130ファイル対応想定</t>
    <rPh sb="1" eb="2">
      <t>ニチ</t>
    </rPh>
    <rPh sb="3" eb="5">
      <t>ジカン</t>
    </rPh>
    <rPh sb="13" eb="15">
      <t>タイオウ</t>
    </rPh>
    <rPh sb="15" eb="17">
      <t>ソウテイ</t>
    </rPh>
    <phoneticPr fontId="7"/>
  </si>
  <si>
    <t>追加要望のテストは出光様にて確認とし、テストは簡易動作確認として10ファイル程度の確認とします。</t>
    <rPh sb="0" eb="2">
      <t>ツイカ</t>
    </rPh>
    <rPh sb="2" eb="4">
      <t>ヨウボウ</t>
    </rPh>
    <rPh sb="9" eb="12">
      <t>イデミツサマ</t>
    </rPh>
    <rPh sb="14" eb="16">
      <t>カクニン</t>
    </rPh>
    <rPh sb="23" eb="27">
      <t>カンイドウサ</t>
    </rPh>
    <rPh sb="27" eb="29">
      <t>カクニン</t>
    </rPh>
    <rPh sb="38" eb="40">
      <t>テイド</t>
    </rPh>
    <rPh sb="41" eb="43">
      <t>カクニン</t>
    </rPh>
    <phoneticPr fontId="7"/>
  </si>
  <si>
    <t>本番リリース、初期流動については千葉の対応でお見積りをした工数に含めております。</t>
    <rPh sb="0" eb="2">
      <t>ホンバン</t>
    </rPh>
    <rPh sb="7" eb="11">
      <t>ショキリュウドウ</t>
    </rPh>
    <rPh sb="16" eb="18">
      <t>チバ</t>
    </rPh>
    <rPh sb="19" eb="21">
      <t>タイオウ</t>
    </rPh>
    <rPh sb="23" eb="25">
      <t>ミツモ</t>
    </rPh>
    <rPh sb="29" eb="31">
      <t>コウスウ</t>
    </rPh>
    <rPh sb="32" eb="33">
      <t>フク</t>
    </rPh>
    <phoneticPr fontId="2"/>
  </si>
  <si>
    <t>本数約3倍のため 8 *3 +バッファ =27人日</t>
    <rPh sb="0" eb="2">
      <t>ホンスウ</t>
    </rPh>
    <rPh sb="2" eb="3">
      <t>ヤク</t>
    </rPh>
    <rPh sb="4" eb="5">
      <t>バイ</t>
    </rPh>
    <rPh sb="23" eb="25">
      <t>ニンニチ</t>
    </rPh>
    <phoneticPr fontId="2"/>
  </si>
  <si>
    <t>※千葉(1151)で分析5日、ホスト名変換で3日（ツール実行エラーにより複数回実行が必要であった）</t>
    <rPh sb="1" eb="3">
      <t>チバ</t>
    </rPh>
    <rPh sb="8" eb="10">
      <t>ブンセキ</t>
    </rPh>
    <rPh sb="11" eb="12">
      <t>ニチ</t>
    </rPh>
    <rPh sb="16" eb="17">
      <t>メイ</t>
    </rPh>
    <rPh sb="17" eb="19">
      <t>ヘンカン</t>
    </rPh>
    <rPh sb="21" eb="22">
      <t>ニチ</t>
    </rPh>
    <rPh sb="28" eb="30">
      <t>ジッコウ</t>
    </rPh>
    <rPh sb="34" eb="37">
      <t>フクスウカイ</t>
    </rPh>
    <rPh sb="37" eb="39">
      <t>ジッコウ</t>
    </rPh>
    <rPh sb="40" eb="42">
      <t>ヒツヨウ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</si>
</sst>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5" formatCode="&quot;¥&quot;#,##0;&quot;¥&quot;\-#,##0"/>
    <numFmt numFmtId="6" formatCode="&quot;¥&quot;#,##0;[Red]&quot;¥&quot;\-#,##0"/>
    <numFmt numFmtId="176" formatCode="0_);[Red]\(0\)"/>
    <numFmt numFmtId="177" formatCode="0.0_);[Red]\(0.0\)"/>
    <numFmt numFmtId="178" formatCode="0.00_);[Red]\(0.00\)"/>
    <numFmt numFmtId="179" formatCode="_-[$¥-411]* #,##0_-;\-[$¥-411]* #,##0_-;_-[$¥-411]* &quot;-&quot;??_-;_-@_-"/>
    <numFmt numFmtId="180" formatCode="0.000"/>
    <numFmt numFmtId="181" formatCode="_-[$¥-411]* #,##0_-;\-[$¥-411]* #,##0_-;_-[$¥-411]* &quot;-&quot;?_-;_-@_-"/>
    <numFmt numFmtId="182" formatCode="&quot;¥&quot;#,##0_);[Red]\(&quot;¥&quot;#,##0\)"/>
  </numFmts>
  <fonts count="31" x14ac:knownFonts="1">
    <font>
      <sz val="11"/>
      <color theme="1"/>
      <name val="游ゴシック"/>
      <family val="2"/>
      <charset val="128"/>
      <scheme val="minor"/>
    </font>
    <font>
      <sz val="11"/>
      <color theme="1"/>
      <name val="メイリオ"/>
      <family val="3"/>
      <charset val="128"/>
    </font>
    <font>
      <sz val="6"/>
      <name val="游ゴシック"/>
      <family val="2"/>
      <charset val="128"/>
      <scheme val="minor"/>
    </font>
    <font>
      <b/>
      <sz val="11"/>
      <color theme="1"/>
      <name val="游ゴシック"/>
      <family val="3"/>
      <charset val="128"/>
      <scheme val="minor"/>
    </font>
    <font>
      <sz val="6"/>
      <name val="ＭＳ ゴシック"/>
      <family val="2"/>
      <charset val="128"/>
    </font>
    <font>
      <sz val="11"/>
      <color theme="1"/>
      <name val="游ゴシック"/>
      <family val="3"/>
      <charset val="128"/>
      <scheme val="minor"/>
    </font>
    <font>
      <sz val="11"/>
      <color theme="1"/>
      <name val="游ゴシック"/>
      <family val="2"/>
      <scheme val="minor"/>
    </font>
    <font>
      <sz val="6"/>
      <name val="游ゴシック"/>
      <family val="3"/>
      <charset val="128"/>
      <scheme val="minor"/>
    </font>
    <font>
      <sz val="11"/>
      <color rgb="FFFF0000"/>
      <name val="游ゴシック"/>
      <family val="2"/>
      <scheme val="minor"/>
    </font>
    <font>
      <sz val="11"/>
      <color theme="1"/>
      <name val="ＭＳ ゴシック"/>
      <family val="2"/>
      <charset val="128"/>
    </font>
    <font>
      <sz val="11"/>
      <color rgb="FFFF0000"/>
      <name val="ＭＳ ゴシック"/>
      <family val="2"/>
      <charset val="128"/>
    </font>
    <font>
      <b/>
      <sz val="11"/>
      <color theme="1"/>
      <name val="ＭＳ ゴシック"/>
      <family val="3"/>
      <charset val="128"/>
    </font>
    <font>
      <b/>
      <sz val="11"/>
      <color theme="1"/>
      <name val="游ゴシック"/>
      <family val="2"/>
      <scheme val="minor"/>
    </font>
    <font>
      <b/>
      <sz val="11"/>
      <color theme="1"/>
      <name val="游ゴシック"/>
      <family val="2"/>
      <charset val="128"/>
      <scheme val="minor"/>
    </font>
    <font>
      <strike/>
      <sz val="11"/>
      <color theme="1"/>
      <name val="游ゴシック"/>
      <family val="2"/>
      <charset val="128"/>
      <scheme val="minor"/>
    </font>
    <font>
      <sz val="11"/>
      <name val="游ゴシック"/>
      <family val="3"/>
      <charset val="128"/>
      <scheme val="minor"/>
    </font>
    <font>
      <sz val="11"/>
      <color rgb="FFFF0000"/>
      <name val="游ゴシック"/>
      <family val="3"/>
      <charset val="128"/>
      <scheme val="minor"/>
    </font>
    <font>
      <sz val="11"/>
      <color theme="1"/>
      <name val="游ゴシック"/>
      <family val="2"/>
      <charset val="128"/>
      <scheme val="minor"/>
    </font>
    <font>
      <sz val="11"/>
      <name val="游ゴシック"/>
      <family val="2"/>
      <scheme val="minor"/>
    </font>
    <font>
      <u/>
      <sz val="11"/>
      <color theme="10"/>
      <name val="游ゴシック"/>
      <family val="2"/>
      <scheme val="minor"/>
    </font>
    <font>
      <b/>
      <sz val="16"/>
      <color rgb="FFFFFFFF"/>
      <name val="游ゴシック"/>
      <family val="3"/>
      <charset val="128"/>
    </font>
    <font>
      <sz val="16"/>
      <color rgb="FF000000"/>
      <name val="游ゴシック"/>
      <family val="3"/>
      <charset val="128"/>
    </font>
    <font>
      <b/>
      <sz val="16"/>
      <color rgb="FF000000"/>
      <name val="游ゴシック"/>
      <family val="3"/>
      <charset val="128"/>
    </font>
    <font>
      <b/>
      <sz val="14"/>
      <color rgb="FF000000"/>
      <name val="游ゴシック"/>
      <family val="3"/>
      <charset val="128"/>
    </font>
    <font>
      <strike/>
      <sz val="11"/>
      <color theme="1"/>
      <name val="游ゴシック"/>
      <family val="2"/>
      <scheme val="minor"/>
    </font>
    <font>
      <strike/>
      <sz val="11"/>
      <color theme="1"/>
      <name val="游ゴシック"/>
      <family val="3"/>
      <charset val="128"/>
      <scheme val="minor"/>
    </font>
    <font>
      <strike/>
      <sz val="11"/>
      <name val="游ゴシック"/>
      <family val="3"/>
      <charset val="128"/>
      <scheme val="minor"/>
    </font>
    <font>
      <u/>
      <sz val="11"/>
      <name val="游ゴシック"/>
      <family val="3"/>
      <charset val="128"/>
      <scheme val="minor"/>
    </font>
    <font>
      <sz val="11"/>
      <color rgb="FF000000"/>
      <name val="游ゴシック"/>
      <family val="3"/>
    </font>
    <font>
      <sz val="11"/>
      <color theme="0"/>
      <name val="游ゴシック"/>
      <family val="3"/>
    </font>
    <font>
      <sz val="11"/>
      <color rgb="FFEE0000"/>
      <name val="游ゴシック"/>
      <family val="3"/>
      <charset val="128"/>
      <scheme val="minor"/>
    </font>
  </fonts>
  <fills count="15">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9A3B5D"/>
        <bgColor indexed="64"/>
      </patternFill>
    </fill>
    <fill>
      <patternFill patternType="solid">
        <fgColor rgb="FFD5EDEE"/>
        <bgColor indexed="64"/>
      </patternFill>
    </fill>
    <fill>
      <patternFill patternType="solid">
        <fgColor theme="0" tint="-0.34998626667073579"/>
        <bgColor indexed="64"/>
      </patternFill>
    </fill>
    <fill>
      <patternFill patternType="solid">
        <fgColor theme="0" tint="-0.249977111117893"/>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auto="1"/>
      </top>
      <bottom style="thin">
        <color auto="1"/>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medium">
        <color rgb="FF000000"/>
      </right>
      <top/>
      <bottom/>
      <diagonal/>
    </border>
    <border>
      <left/>
      <right/>
      <top style="thin">
        <color rgb="FF000000"/>
      </top>
      <bottom style="thin">
        <color rgb="FF000000"/>
      </bottom>
      <diagonal/>
    </border>
    <border>
      <left style="medium">
        <color rgb="FF000000"/>
      </left>
      <right/>
      <top style="medium">
        <color rgb="FF000000"/>
      </top>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indexed="64"/>
      </left>
      <right/>
      <top style="medium">
        <color rgb="FF000000"/>
      </top>
      <bottom style="thin">
        <color indexed="64"/>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right style="medium">
        <color rgb="FF000000"/>
      </right>
      <top/>
      <bottom style="thin">
        <color rgb="FF000000"/>
      </bottom>
      <diagonal/>
    </border>
    <border>
      <left style="medium">
        <color rgb="FF000000"/>
      </left>
      <right style="thin">
        <color indexed="64"/>
      </right>
      <top/>
      <bottom/>
      <diagonal/>
    </border>
    <border>
      <left style="thin">
        <color indexed="64"/>
      </left>
      <right/>
      <top/>
      <bottom/>
      <diagonal/>
    </border>
    <border>
      <left/>
      <right style="thin">
        <color rgb="FF000000"/>
      </right>
      <top style="thin">
        <color rgb="FF000000"/>
      </top>
      <bottom style="medium">
        <color rgb="FF000000"/>
      </bottom>
      <diagonal/>
    </border>
    <border>
      <left/>
      <right/>
      <top style="thin">
        <color rgb="FF000000"/>
      </top>
      <bottom/>
      <diagonal/>
    </border>
    <border>
      <left style="thin">
        <color rgb="FF000000"/>
      </left>
      <right/>
      <top style="thin">
        <color rgb="FF000000"/>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rgb="FFA6A6A6"/>
      </left>
      <right style="medium">
        <color rgb="FFA6A6A6"/>
      </right>
      <top style="medium">
        <color rgb="FFA6A6A6"/>
      </top>
      <bottom/>
      <diagonal/>
    </border>
    <border>
      <left style="medium">
        <color rgb="FFA6A6A6"/>
      </left>
      <right/>
      <top/>
      <bottom style="medium">
        <color rgb="FFA6A6A6"/>
      </bottom>
      <diagonal/>
    </border>
    <border>
      <left/>
      <right/>
      <top/>
      <bottom style="medium">
        <color rgb="FFA6A6A6"/>
      </bottom>
      <diagonal/>
    </border>
    <border>
      <left style="medium">
        <color rgb="FFA6A6A6"/>
      </left>
      <right style="medium">
        <color rgb="FFA6A6A6"/>
      </right>
      <top/>
      <bottom/>
      <diagonal/>
    </border>
    <border>
      <left style="medium">
        <color rgb="FFA6A6A6"/>
      </left>
      <right/>
      <top style="medium">
        <color rgb="FFA6A6A6"/>
      </top>
      <bottom style="medium">
        <color rgb="FFA6A6A6"/>
      </bottom>
      <diagonal/>
    </border>
    <border>
      <left/>
      <right style="medium">
        <color rgb="FFA6A6A6"/>
      </right>
      <top style="medium">
        <color rgb="FFA6A6A6"/>
      </top>
      <bottom style="medium">
        <color rgb="FFA6A6A6"/>
      </bottom>
      <diagonal/>
    </border>
    <border>
      <left style="medium">
        <color rgb="FFA6A6A6"/>
      </left>
      <right style="medium">
        <color rgb="FFA6A6A6"/>
      </right>
      <top/>
      <bottom style="medium">
        <color rgb="FFA6A6A6"/>
      </bottom>
      <diagonal/>
    </border>
    <border>
      <left style="medium">
        <color rgb="FFA6A6A6"/>
      </left>
      <right style="medium">
        <color rgb="FFA6A6A6"/>
      </right>
      <top style="medium">
        <color rgb="FFA6A6A6"/>
      </top>
      <bottom style="medium">
        <color rgb="FFA6A6A6"/>
      </bottom>
      <diagonal/>
    </border>
    <border>
      <left/>
      <right style="thin">
        <color rgb="FF000000"/>
      </right>
      <top style="thin">
        <color rgb="FF000000"/>
      </top>
      <bottom/>
      <diagonal/>
    </border>
  </borders>
  <cellStyleXfs count="7">
    <xf numFmtId="0" fontId="0" fillId="0" borderId="0">
      <alignment vertical="center"/>
    </xf>
    <xf numFmtId="0" fontId="6" fillId="0" borderId="0"/>
    <xf numFmtId="38" fontId="6" fillId="0" borderId="0" applyFont="0" applyFill="0" applyBorder="0" applyAlignment="0" applyProtection="0">
      <alignment vertical="center"/>
    </xf>
    <xf numFmtId="0" fontId="9" fillId="0" borderId="0">
      <alignment vertical="center"/>
    </xf>
    <xf numFmtId="38" fontId="17" fillId="0" borderId="0" applyFont="0" applyFill="0" applyBorder="0" applyAlignment="0" applyProtection="0">
      <alignment vertical="center"/>
    </xf>
    <xf numFmtId="6" fontId="17" fillId="0" borderId="0" applyFont="0" applyFill="0" applyBorder="0" applyAlignment="0" applyProtection="0">
      <alignment vertical="center"/>
    </xf>
    <xf numFmtId="0" fontId="19" fillId="0" borderId="0" applyNumberFormat="0" applyFill="0" applyBorder="0" applyAlignment="0" applyProtection="0"/>
  </cellStyleXfs>
  <cellXfs count="325">
    <xf numFmtId="0" fontId="0" fillId="0" borderId="0" xfId="0">
      <alignment vertical="center"/>
    </xf>
    <xf numFmtId="0" fontId="1" fillId="0" borderId="0" xfId="0" applyFont="1">
      <alignment vertical="center"/>
    </xf>
    <xf numFmtId="0" fontId="1" fillId="2" borderId="1" xfId="0" applyFont="1" applyFill="1" applyBorder="1">
      <alignment vertical="center"/>
    </xf>
    <xf numFmtId="49" fontId="1" fillId="2" borderId="1" xfId="0" applyNumberFormat="1" applyFont="1" applyFill="1" applyBorder="1">
      <alignment vertical="center"/>
    </xf>
    <xf numFmtId="0" fontId="1" fillId="0" borderId="1" xfId="0" applyFont="1" applyBorder="1">
      <alignment vertical="center"/>
    </xf>
    <xf numFmtId="49" fontId="1" fillId="0" borderId="1" xfId="0" applyNumberFormat="1" applyFont="1" applyBorder="1" applyAlignment="1">
      <alignment vertical="center" wrapText="1"/>
    </xf>
    <xf numFmtId="49" fontId="1" fillId="0" borderId="1" xfId="0" applyNumberFormat="1" applyFont="1" applyBorder="1">
      <alignment vertical="center"/>
    </xf>
    <xf numFmtId="0" fontId="3" fillId="3" borderId="1" xfId="0" applyFont="1" applyFill="1" applyBorder="1" applyAlignment="1">
      <alignment horizontal="center" vertical="center" wrapText="1"/>
    </xf>
    <xf numFmtId="49" fontId="5" fillId="0" borderId="1" xfId="0" applyNumberFormat="1" applyFont="1" applyBorder="1" applyAlignment="1">
      <alignment vertical="center" wrapText="1"/>
    </xf>
    <xf numFmtId="49" fontId="5" fillId="0" borderId="1" xfId="0" applyNumberFormat="1" applyFont="1" applyBorder="1" applyAlignment="1">
      <alignment horizontal="center" vertical="center" wrapText="1"/>
    </xf>
    <xf numFmtId="0" fontId="5" fillId="0" borderId="1" xfId="0" applyFont="1" applyBorder="1">
      <alignment vertical="center"/>
    </xf>
    <xf numFmtId="0" fontId="5" fillId="0" borderId="1" xfId="0" applyFont="1" applyBorder="1" applyAlignment="1">
      <alignment horizontal="center" vertical="center"/>
    </xf>
    <xf numFmtId="0" fontId="5" fillId="0" borderId="0" xfId="0" applyFont="1">
      <alignment vertical="center"/>
    </xf>
    <xf numFmtId="0" fontId="5" fillId="0" borderId="0" xfId="0" applyFont="1" applyAlignment="1">
      <alignment horizontal="center" vertical="center"/>
    </xf>
    <xf numFmtId="0" fontId="0" fillId="0" borderId="1" xfId="0" applyBorder="1">
      <alignment vertical="center"/>
    </xf>
    <xf numFmtId="176" fontId="1" fillId="0" borderId="1" xfId="0" applyNumberFormat="1" applyFont="1" applyBorder="1" applyAlignment="1">
      <alignment vertical="center" wrapText="1"/>
    </xf>
    <xf numFmtId="177" fontId="1" fillId="0" borderId="1" xfId="0" applyNumberFormat="1" applyFont="1" applyBorder="1" applyAlignment="1">
      <alignment vertical="center" wrapText="1"/>
    </xf>
    <xf numFmtId="178" fontId="1" fillId="0" borderId="1" xfId="0" applyNumberFormat="1" applyFont="1" applyBorder="1" applyAlignment="1">
      <alignment vertical="center" wrapText="1"/>
    </xf>
    <xf numFmtId="2" fontId="0" fillId="0" borderId="0" xfId="0" applyNumberFormat="1">
      <alignment vertical="center"/>
    </xf>
    <xf numFmtId="0" fontId="6" fillId="4" borderId="4" xfId="1" applyFill="1" applyBorder="1"/>
    <xf numFmtId="0" fontId="6" fillId="4" borderId="5" xfId="1" applyFill="1" applyBorder="1"/>
    <xf numFmtId="0" fontId="6" fillId="0" borderId="0" xfId="1"/>
    <xf numFmtId="0" fontId="6" fillId="4" borderId="7" xfId="1" applyFill="1" applyBorder="1"/>
    <xf numFmtId="0" fontId="6" fillId="4" borderId="7" xfId="1" applyFill="1" applyBorder="1" applyAlignment="1">
      <alignment wrapText="1"/>
    </xf>
    <xf numFmtId="0" fontId="6" fillId="0" borderId="1" xfId="1" applyBorder="1"/>
    <xf numFmtId="0" fontId="6" fillId="0" borderId="1" xfId="1" applyBorder="1" applyAlignment="1">
      <alignment wrapText="1"/>
    </xf>
    <xf numFmtId="2" fontId="6" fillId="0" borderId="1" xfId="1" applyNumberFormat="1" applyBorder="1"/>
    <xf numFmtId="14" fontId="6" fillId="0" borderId="1" xfId="1" applyNumberFormat="1" applyBorder="1"/>
    <xf numFmtId="0" fontId="8" fillId="0" borderId="0" xfId="1" applyFont="1"/>
    <xf numFmtId="38" fontId="0" fillId="0" borderId="1" xfId="2" applyFont="1" applyBorder="1" applyAlignment="1"/>
    <xf numFmtId="49" fontId="5" fillId="5" borderId="1" xfId="0" applyNumberFormat="1" applyFont="1" applyFill="1" applyBorder="1" applyAlignment="1">
      <alignment horizontal="center" vertical="center" wrapText="1"/>
    </xf>
    <xf numFmtId="49" fontId="5" fillId="5" borderId="1" xfId="0" applyNumberFormat="1" applyFont="1" applyFill="1" applyBorder="1" applyAlignment="1">
      <alignment vertical="center" wrapText="1"/>
    </xf>
    <xf numFmtId="0" fontId="9" fillId="0" borderId="0" xfId="3">
      <alignment vertical="center"/>
    </xf>
    <xf numFmtId="0" fontId="9" fillId="6" borderId="0" xfId="3" applyFill="1">
      <alignment vertical="center"/>
    </xf>
    <xf numFmtId="0" fontId="10" fillId="7" borderId="0" xfId="3" applyFont="1" applyFill="1">
      <alignment vertical="center"/>
    </xf>
    <xf numFmtId="0" fontId="9" fillId="2" borderId="0" xfId="3" applyFill="1">
      <alignment vertical="center"/>
    </xf>
    <xf numFmtId="0" fontId="9" fillId="8" borderId="0" xfId="3" applyFill="1">
      <alignment vertical="center"/>
    </xf>
    <xf numFmtId="0" fontId="11" fillId="0" borderId="0" xfId="3" applyFont="1">
      <alignment vertical="center"/>
    </xf>
    <xf numFmtId="0" fontId="6" fillId="4" borderId="14" xfId="1" applyFill="1" applyBorder="1" applyAlignment="1">
      <alignment wrapText="1"/>
    </xf>
    <xf numFmtId="0" fontId="6" fillId="4" borderId="15" xfId="1" applyFill="1" applyBorder="1" applyAlignment="1">
      <alignment wrapText="1"/>
    </xf>
    <xf numFmtId="0" fontId="6" fillId="4" borderId="16" xfId="1" applyFill="1" applyBorder="1" applyAlignment="1">
      <alignment wrapText="1"/>
    </xf>
    <xf numFmtId="2" fontId="6" fillId="0" borderId="17" xfId="1" applyNumberFormat="1" applyBorder="1"/>
    <xf numFmtId="2" fontId="6" fillId="0" borderId="18" xfId="1" applyNumberFormat="1" applyBorder="1"/>
    <xf numFmtId="0" fontId="6" fillId="0" borderId="19" xfId="1" applyBorder="1"/>
    <xf numFmtId="0" fontId="6" fillId="0" borderId="20" xfId="1" applyBorder="1"/>
    <xf numFmtId="38" fontId="0" fillId="0" borderId="17" xfId="2" applyFont="1" applyBorder="1" applyAlignment="1"/>
    <xf numFmtId="38" fontId="0" fillId="0" borderId="18" xfId="2" applyFont="1" applyBorder="1" applyAlignment="1"/>
    <xf numFmtId="38" fontId="0" fillId="0" borderId="21" xfId="2" applyFont="1" applyBorder="1" applyAlignment="1"/>
    <xf numFmtId="38" fontId="0" fillId="0" borderId="22" xfId="2" applyFont="1" applyBorder="1" applyAlignment="1"/>
    <xf numFmtId="38" fontId="0" fillId="0" borderId="23" xfId="2" applyFont="1" applyBorder="1" applyAlignment="1"/>
    <xf numFmtId="0" fontId="6" fillId="4" borderId="1" xfId="1" applyFill="1" applyBorder="1" applyAlignment="1">
      <alignment horizontal="right"/>
    </xf>
    <xf numFmtId="2" fontId="6" fillId="0" borderId="1" xfId="0" applyNumberFormat="1" applyFont="1" applyBorder="1" applyAlignment="1"/>
    <xf numFmtId="0" fontId="0" fillId="0" borderId="0" xfId="1" applyFont="1"/>
    <xf numFmtId="0" fontId="3" fillId="3" borderId="9" xfId="0" applyFont="1" applyFill="1" applyBorder="1" applyAlignment="1">
      <alignment horizontal="center" vertical="center" wrapText="1"/>
    </xf>
    <xf numFmtId="0" fontId="5" fillId="0" borderId="1" xfId="0" applyFont="1" applyBorder="1" applyAlignment="1">
      <alignment vertical="center" wrapText="1"/>
    </xf>
    <xf numFmtId="179" fontId="12" fillId="0" borderId="33" xfId="1" applyNumberFormat="1" applyFont="1" applyBorder="1" applyAlignment="1">
      <alignment horizontal="right" vertical="center"/>
    </xf>
    <xf numFmtId="0" fontId="6" fillId="0" borderId="0" xfId="1" applyAlignment="1">
      <alignment vertical="center"/>
    </xf>
    <xf numFmtId="0" fontId="12" fillId="2" borderId="36" xfId="1" applyFont="1" applyFill="1" applyBorder="1" applyAlignment="1">
      <alignment vertical="center"/>
    </xf>
    <xf numFmtId="0" fontId="12" fillId="2" borderId="41" xfId="1" applyFont="1" applyFill="1" applyBorder="1" applyAlignment="1">
      <alignment horizontal="right" vertical="center"/>
    </xf>
    <xf numFmtId="0" fontId="12" fillId="9" borderId="25" xfId="1" applyFont="1" applyFill="1" applyBorder="1" applyAlignment="1">
      <alignment vertical="center" wrapText="1"/>
    </xf>
    <xf numFmtId="0" fontId="12" fillId="2" borderId="37" xfId="1" applyFont="1" applyFill="1" applyBorder="1" applyAlignment="1">
      <alignment vertical="center"/>
    </xf>
    <xf numFmtId="0" fontId="12" fillId="2" borderId="8" xfId="1" applyFont="1" applyFill="1" applyBorder="1" applyAlignment="1">
      <alignment vertical="center"/>
    </xf>
    <xf numFmtId="0" fontId="6" fillId="0" borderId="38" xfId="1" applyBorder="1" applyAlignment="1">
      <alignment vertical="center"/>
    </xf>
    <xf numFmtId="0" fontId="5" fillId="0" borderId="2" xfId="0" applyFont="1" applyBorder="1">
      <alignment vertical="center"/>
    </xf>
    <xf numFmtId="14" fontId="6" fillId="0" borderId="40" xfId="1" applyNumberFormat="1" applyBorder="1" applyAlignment="1">
      <alignment vertical="center"/>
    </xf>
    <xf numFmtId="0" fontId="8" fillId="0" borderId="49" xfId="1" applyFont="1" applyBorder="1" applyAlignment="1">
      <alignment vertical="center"/>
    </xf>
    <xf numFmtId="179" fontId="13" fillId="0" borderId="25" xfId="2" applyNumberFormat="1" applyFont="1" applyBorder="1" applyAlignment="1">
      <alignment vertical="center"/>
    </xf>
    <xf numFmtId="179" fontId="13" fillId="0" borderId="33" xfId="2" applyNumberFormat="1" applyFont="1" applyBorder="1" applyAlignment="1">
      <alignment vertical="center"/>
    </xf>
    <xf numFmtId="0" fontId="6" fillId="0" borderId="48" xfId="1" applyBorder="1" applyAlignment="1">
      <alignment vertical="center"/>
    </xf>
    <xf numFmtId="179" fontId="13" fillId="0" borderId="42" xfId="2" applyNumberFormat="1" applyFont="1" applyBorder="1" applyAlignment="1">
      <alignment vertical="center"/>
    </xf>
    <xf numFmtId="179" fontId="13" fillId="0" borderId="43" xfId="2" applyNumberFormat="1" applyFont="1" applyBorder="1" applyAlignment="1">
      <alignment vertical="center"/>
    </xf>
    <xf numFmtId="0" fontId="6" fillId="0" borderId="50" xfId="1" applyBorder="1" applyAlignment="1">
      <alignment vertical="center"/>
    </xf>
    <xf numFmtId="0" fontId="12" fillId="2" borderId="53" xfId="1" applyFont="1" applyFill="1" applyBorder="1" applyAlignment="1">
      <alignment vertical="center"/>
    </xf>
    <xf numFmtId="0" fontId="12" fillId="2" borderId="54" xfId="1" applyFont="1" applyFill="1" applyBorder="1" applyAlignment="1">
      <alignment vertical="center"/>
    </xf>
    <xf numFmtId="179" fontId="13" fillId="0" borderId="30" xfId="2" applyNumberFormat="1" applyFont="1" applyBorder="1" applyAlignment="1">
      <alignment vertical="center"/>
    </xf>
    <xf numFmtId="179" fontId="13" fillId="0" borderId="55" xfId="2" applyNumberFormat="1" applyFont="1" applyBorder="1" applyAlignment="1">
      <alignment vertical="center"/>
    </xf>
    <xf numFmtId="0" fontId="12" fillId="9" borderId="33" xfId="1" applyFont="1" applyFill="1" applyBorder="1" applyAlignment="1">
      <alignment vertical="center" wrapText="1"/>
    </xf>
    <xf numFmtId="0" fontId="12" fillId="9" borderId="30" xfId="1" applyFont="1" applyFill="1" applyBorder="1" applyAlignment="1">
      <alignment vertical="center" wrapText="1"/>
    </xf>
    <xf numFmtId="179" fontId="12" fillId="0" borderId="31" xfId="1" applyNumberFormat="1" applyFont="1" applyBorder="1" applyAlignment="1">
      <alignment horizontal="right" vertical="center"/>
    </xf>
    <xf numFmtId="0" fontId="0" fillId="0" borderId="25" xfId="0" applyBorder="1">
      <alignment vertical="center"/>
    </xf>
    <xf numFmtId="0" fontId="0" fillId="10" borderId="25" xfId="0" applyFill="1" applyBorder="1">
      <alignment vertical="center"/>
    </xf>
    <xf numFmtId="49" fontId="5" fillId="10" borderId="25" xfId="0" applyNumberFormat="1" applyFont="1" applyFill="1" applyBorder="1" applyAlignment="1">
      <alignment vertical="center" wrapText="1"/>
    </xf>
    <xf numFmtId="0" fontId="5" fillId="10" borderId="25" xfId="0" applyFont="1" applyFill="1" applyBorder="1">
      <alignment vertical="center"/>
    </xf>
    <xf numFmtId="0" fontId="14" fillId="0" borderId="0" xfId="0" applyFont="1">
      <alignment vertical="center"/>
    </xf>
    <xf numFmtId="0" fontId="0" fillId="0" borderId="33" xfId="0" applyBorder="1">
      <alignment vertical="center"/>
    </xf>
    <xf numFmtId="14" fontId="0" fillId="0" borderId="33" xfId="1" applyNumberFormat="1" applyFont="1" applyBorder="1"/>
    <xf numFmtId="0" fontId="0" fillId="10" borderId="7" xfId="0" applyFill="1" applyBorder="1">
      <alignment vertical="center"/>
    </xf>
    <xf numFmtId="0" fontId="0" fillId="10" borderId="28" xfId="0" applyFill="1" applyBorder="1">
      <alignment vertical="center"/>
    </xf>
    <xf numFmtId="0" fontId="13" fillId="0" borderId="25" xfId="0" applyFont="1" applyBorder="1">
      <alignment vertical="center"/>
    </xf>
    <xf numFmtId="0" fontId="0" fillId="0" borderId="26" xfId="0" applyBorder="1">
      <alignment vertical="center"/>
    </xf>
    <xf numFmtId="0" fontId="0" fillId="0" borderId="28" xfId="0" applyBorder="1">
      <alignment vertical="center"/>
    </xf>
    <xf numFmtId="0" fontId="0" fillId="10" borderId="31" xfId="0" applyFill="1" applyBorder="1">
      <alignment vertical="center"/>
    </xf>
    <xf numFmtId="0" fontId="13" fillId="0" borderId="0" xfId="0" applyFont="1">
      <alignment vertical="center"/>
    </xf>
    <xf numFmtId="0" fontId="0" fillId="10" borderId="57" xfId="0" applyFill="1" applyBorder="1">
      <alignment vertical="center"/>
    </xf>
    <xf numFmtId="0" fontId="13" fillId="0" borderId="30" xfId="0" applyFont="1" applyBorder="1">
      <alignment vertical="center"/>
    </xf>
    <xf numFmtId="179" fontId="0" fillId="0" borderId="0" xfId="0" applyNumberFormat="1">
      <alignment vertical="center"/>
    </xf>
    <xf numFmtId="179" fontId="0" fillId="4" borderId="25" xfId="0" applyNumberFormat="1" applyFill="1" applyBorder="1">
      <alignment vertical="center"/>
    </xf>
    <xf numFmtId="9" fontId="0" fillId="4" borderId="25" xfId="0" applyNumberFormat="1" applyFill="1" applyBorder="1">
      <alignment vertical="center"/>
    </xf>
    <xf numFmtId="0" fontId="15" fillId="4" borderId="25" xfId="1" applyFont="1" applyFill="1" applyBorder="1"/>
    <xf numFmtId="0" fontId="15" fillId="4" borderId="25" xfId="1" applyFont="1" applyFill="1" applyBorder="1" applyAlignment="1">
      <alignment wrapText="1"/>
    </xf>
    <xf numFmtId="0" fontId="15" fillId="0" borderId="25" xfId="1" applyFont="1" applyBorder="1" applyAlignment="1">
      <alignment vertical="top" wrapText="1"/>
    </xf>
    <xf numFmtId="0" fontId="15" fillId="0" borderId="33" xfId="1" applyFont="1" applyBorder="1" applyAlignment="1">
      <alignment wrapText="1"/>
    </xf>
    <xf numFmtId="0" fontId="15" fillId="0" borderId="33" xfId="1" applyFont="1" applyBorder="1"/>
    <xf numFmtId="0" fontId="15" fillId="0" borderId="25" xfId="1" applyFont="1" applyBorder="1" applyAlignment="1">
      <alignment vertical="top"/>
    </xf>
    <xf numFmtId="14" fontId="15" fillId="0" borderId="33" xfId="1" applyNumberFormat="1" applyFont="1" applyBorder="1" applyAlignment="1">
      <alignment wrapText="1"/>
    </xf>
    <xf numFmtId="0" fontId="15" fillId="0" borderId="33" xfId="1" applyFont="1" applyBorder="1" applyAlignment="1">
      <alignment vertical="center" wrapText="1"/>
    </xf>
    <xf numFmtId="0" fontId="15" fillId="0" borderId="33" xfId="1" applyFont="1" applyBorder="1" applyAlignment="1">
      <alignment horizontal="left" vertical="center" wrapText="1"/>
    </xf>
    <xf numFmtId="0" fontId="15" fillId="0" borderId="33" xfId="1" applyFont="1" applyBorder="1" applyAlignment="1">
      <alignment horizontal="left" vertical="center"/>
    </xf>
    <xf numFmtId="0" fontId="15" fillId="5" borderId="26" xfId="1" applyFont="1" applyFill="1" applyBorder="1" applyAlignment="1">
      <alignment horizontal="left" vertical="center" wrapText="1"/>
    </xf>
    <xf numFmtId="0" fontId="15" fillId="5" borderId="26" xfId="1" applyFont="1" applyFill="1" applyBorder="1" applyAlignment="1">
      <alignment vertical="center" wrapText="1"/>
    </xf>
    <xf numFmtId="0" fontId="15" fillId="0" borderId="26" xfId="1" applyFont="1" applyBorder="1" applyAlignment="1">
      <alignment horizontal="left" vertical="center" wrapText="1"/>
    </xf>
    <xf numFmtId="0" fontId="15" fillId="0" borderId="28" xfId="1" applyFont="1" applyBorder="1" applyAlignment="1">
      <alignment horizontal="left" vertical="center" wrapText="1"/>
    </xf>
    <xf numFmtId="14" fontId="6" fillId="0" borderId="52" xfId="1" applyNumberFormat="1" applyBorder="1" applyAlignment="1">
      <alignment vertical="center"/>
    </xf>
    <xf numFmtId="0" fontId="15" fillId="5" borderId="27" xfId="1" applyFont="1" applyFill="1" applyBorder="1" applyAlignment="1">
      <alignment horizontal="left" vertical="center" wrapText="1"/>
    </xf>
    <xf numFmtId="2" fontId="15" fillId="0" borderId="27" xfId="1" applyNumberFormat="1" applyFont="1" applyBorder="1" applyAlignment="1">
      <alignment horizontal="center" vertical="center" wrapText="1"/>
    </xf>
    <xf numFmtId="2" fontId="15" fillId="0" borderId="26" xfId="1" applyNumberFormat="1" applyFont="1" applyBorder="1" applyAlignment="1">
      <alignment horizontal="center" vertical="center"/>
    </xf>
    <xf numFmtId="2" fontId="0" fillId="0" borderId="25" xfId="1" applyNumberFormat="1" applyFont="1" applyBorder="1" applyAlignment="1">
      <alignment horizontal="center" vertical="center"/>
    </xf>
    <xf numFmtId="180" fontId="15" fillId="0" borderId="27" xfId="1" applyNumberFormat="1" applyFont="1" applyBorder="1" applyAlignment="1">
      <alignment horizontal="center" vertical="center" wrapText="1"/>
    </xf>
    <xf numFmtId="180" fontId="15" fillId="0" borderId="26" xfId="1" applyNumberFormat="1" applyFont="1" applyBorder="1" applyAlignment="1">
      <alignment horizontal="center" vertical="center"/>
    </xf>
    <xf numFmtId="180" fontId="0" fillId="0" borderId="25" xfId="1" applyNumberFormat="1" applyFont="1" applyBorder="1" applyAlignment="1">
      <alignment horizontal="center" vertical="center"/>
    </xf>
    <xf numFmtId="180" fontId="6" fillId="0" borderId="30" xfId="1" applyNumberFormat="1" applyBorder="1" applyAlignment="1">
      <alignment vertical="center"/>
    </xf>
    <xf numFmtId="180" fontId="6" fillId="0" borderId="25" xfId="1" applyNumberFormat="1" applyBorder="1" applyAlignment="1">
      <alignment vertical="center"/>
    </xf>
    <xf numFmtId="180" fontId="12" fillId="0" borderId="25" xfId="1" applyNumberFormat="1" applyFont="1" applyBorder="1" applyAlignment="1">
      <alignment vertical="center"/>
    </xf>
    <xf numFmtId="180" fontId="12" fillId="0" borderId="32" xfId="1" applyNumberFormat="1" applyFont="1" applyBorder="1" applyAlignment="1">
      <alignment vertical="center"/>
    </xf>
    <xf numFmtId="180" fontId="12" fillId="0" borderId="28" xfId="1" applyNumberFormat="1" applyFont="1" applyBorder="1" applyAlignment="1">
      <alignment vertical="center"/>
    </xf>
    <xf numFmtId="2" fontId="15" fillId="0" borderId="25" xfId="1" applyNumberFormat="1" applyFont="1" applyBorder="1"/>
    <xf numFmtId="180" fontId="15" fillId="0" borderId="25" xfId="1" applyNumberFormat="1" applyFont="1" applyBorder="1"/>
    <xf numFmtId="0" fontId="6" fillId="0" borderId="58" xfId="1" applyBorder="1" applyAlignment="1">
      <alignment vertical="center"/>
    </xf>
    <xf numFmtId="0" fontId="5" fillId="0" borderId="31" xfId="0" applyFont="1" applyBorder="1">
      <alignment vertical="center"/>
    </xf>
    <xf numFmtId="0" fontId="6" fillId="0" borderId="59" xfId="1" applyBorder="1" applyAlignment="1">
      <alignment vertical="center"/>
    </xf>
    <xf numFmtId="0" fontId="5" fillId="0" borderId="57" xfId="0" applyFont="1" applyBorder="1">
      <alignment vertical="center"/>
    </xf>
    <xf numFmtId="180" fontId="6" fillId="0" borderId="55" xfId="1" applyNumberFormat="1" applyBorder="1" applyAlignment="1">
      <alignment vertical="center"/>
    </xf>
    <xf numFmtId="180" fontId="6" fillId="0" borderId="42" xfId="1" applyNumberFormat="1" applyBorder="1" applyAlignment="1">
      <alignment vertical="center"/>
    </xf>
    <xf numFmtId="180" fontId="12" fillId="0" borderId="42" xfId="1" applyNumberFormat="1" applyFont="1" applyBorder="1" applyAlignment="1">
      <alignment vertical="center"/>
    </xf>
    <xf numFmtId="179" fontId="12" fillId="0" borderId="43" xfId="1" applyNumberFormat="1" applyFont="1" applyBorder="1" applyAlignment="1">
      <alignment horizontal="right" vertical="center"/>
    </xf>
    <xf numFmtId="0" fontId="0" fillId="0" borderId="0" xfId="1" applyFont="1" applyAlignment="1">
      <alignment wrapText="1"/>
    </xf>
    <xf numFmtId="9" fontId="6" fillId="0" borderId="0" xfId="1" applyNumberFormat="1"/>
    <xf numFmtId="0" fontId="6" fillId="0" borderId="0" xfId="1" applyAlignment="1">
      <alignment horizontal="right"/>
    </xf>
    <xf numFmtId="0" fontId="6" fillId="0" borderId="5" xfId="1" applyBorder="1"/>
    <xf numFmtId="0" fontId="6" fillId="0" borderId="60" xfId="1" applyBorder="1"/>
    <xf numFmtId="0" fontId="6" fillId="0" borderId="61" xfId="1" applyBorder="1"/>
    <xf numFmtId="0" fontId="6" fillId="0" borderId="54" xfId="1" applyBorder="1"/>
    <xf numFmtId="0" fontId="6" fillId="0" borderId="62" xfId="1" applyBorder="1"/>
    <xf numFmtId="0" fontId="6" fillId="0" borderId="8" xfId="1" applyBorder="1"/>
    <xf numFmtId="0" fontId="6" fillId="0" borderId="9" xfId="1" applyBorder="1"/>
    <xf numFmtId="0" fontId="6" fillId="0" borderId="63" xfId="1" applyBorder="1"/>
    <xf numFmtId="0" fontId="18" fillId="0" borderId="60" xfId="1" applyFont="1" applyBorder="1"/>
    <xf numFmtId="0" fontId="18" fillId="0" borderId="0" xfId="1" applyFont="1"/>
    <xf numFmtId="0" fontId="18" fillId="0" borderId="9" xfId="1" applyFont="1" applyBorder="1"/>
    <xf numFmtId="0" fontId="19" fillId="0" borderId="0" xfId="6"/>
    <xf numFmtId="9" fontId="6" fillId="0" borderId="62" xfId="1" applyNumberFormat="1" applyBorder="1"/>
    <xf numFmtId="0" fontId="6" fillId="0" borderId="2" xfId="1" applyBorder="1"/>
    <xf numFmtId="0" fontId="6" fillId="0" borderId="3" xfId="1" applyBorder="1"/>
    <xf numFmtId="0" fontId="6" fillId="0" borderId="4" xfId="1" applyBorder="1"/>
    <xf numFmtId="0" fontId="6" fillId="0" borderId="29" xfId="1" applyBorder="1"/>
    <xf numFmtId="0" fontId="6" fillId="0" borderId="7" xfId="1" applyBorder="1"/>
    <xf numFmtId="179" fontId="6" fillId="0" borderId="0" xfId="1" applyNumberFormat="1"/>
    <xf numFmtId="177" fontId="6" fillId="0" borderId="0" xfId="1" applyNumberFormat="1"/>
    <xf numFmtId="178" fontId="6" fillId="0" borderId="0" xfId="1" applyNumberFormat="1"/>
    <xf numFmtId="181" fontId="6" fillId="0" borderId="0" xfId="1" applyNumberFormat="1"/>
    <xf numFmtId="0" fontId="20" fillId="0" borderId="0" xfId="0" applyFont="1" applyAlignment="1">
      <alignment horizontal="center" vertical="center" wrapText="1" readingOrder="1"/>
    </xf>
    <xf numFmtId="0" fontId="20" fillId="11" borderId="71" xfId="0" applyFont="1" applyFill="1" applyBorder="1" applyAlignment="1">
      <alignment horizontal="center" vertical="center" wrapText="1" readingOrder="1"/>
    </xf>
    <xf numFmtId="0" fontId="21" fillId="0" borderId="71" xfId="0" applyFont="1" applyBorder="1" applyAlignment="1">
      <alignment horizontal="left" vertical="center" wrapText="1" readingOrder="1"/>
    </xf>
    <xf numFmtId="178" fontId="21" fillId="0" borderId="71" xfId="0" applyNumberFormat="1" applyFont="1" applyBorder="1" applyAlignment="1">
      <alignment horizontal="right" vertical="center" wrapText="1" readingOrder="1"/>
    </xf>
    <xf numFmtId="38" fontId="21" fillId="0" borderId="71" xfId="4" applyFont="1" applyBorder="1" applyAlignment="1">
      <alignment horizontal="right" vertical="center" wrapText="1" readingOrder="1"/>
    </xf>
    <xf numFmtId="178" fontId="21" fillId="2" borderId="71" xfId="0" applyNumberFormat="1" applyFont="1" applyFill="1" applyBorder="1" applyAlignment="1">
      <alignment horizontal="right" vertical="center" wrapText="1" readingOrder="1"/>
    </xf>
    <xf numFmtId="38" fontId="21" fillId="2" borderId="71" xfId="4" applyFont="1" applyFill="1" applyBorder="1" applyAlignment="1">
      <alignment horizontal="right" vertical="center" wrapText="1" readingOrder="1"/>
    </xf>
    <xf numFmtId="40" fontId="22" fillId="12" borderId="71" xfId="4" applyNumberFormat="1" applyFont="1" applyFill="1" applyBorder="1" applyAlignment="1">
      <alignment horizontal="right" vertical="center" wrapText="1" readingOrder="1"/>
    </xf>
    <xf numFmtId="38" fontId="22" fillId="12" borderId="71" xfId="4" applyFont="1" applyFill="1" applyBorder="1" applyAlignment="1">
      <alignment horizontal="right" vertical="center" wrapText="1" readingOrder="1"/>
    </xf>
    <xf numFmtId="0" fontId="22" fillId="12" borderId="71" xfId="0" applyFont="1" applyFill="1" applyBorder="1" applyAlignment="1">
      <alignment horizontal="right" vertical="center" wrapText="1" readingOrder="1"/>
    </xf>
    <xf numFmtId="178" fontId="22" fillId="12" borderId="71" xfId="0" applyNumberFormat="1" applyFont="1" applyFill="1" applyBorder="1" applyAlignment="1">
      <alignment horizontal="right" vertical="center" wrapText="1" readingOrder="1"/>
    </xf>
    <xf numFmtId="38" fontId="22" fillId="0" borderId="0" xfId="4" applyFont="1" applyFill="1" applyBorder="1" applyAlignment="1">
      <alignment horizontal="right" vertical="center" wrapText="1" readingOrder="1"/>
    </xf>
    <xf numFmtId="178" fontId="23" fillId="12" borderId="71" xfId="0" applyNumberFormat="1" applyFont="1" applyFill="1" applyBorder="1" applyAlignment="1">
      <alignment horizontal="right" vertical="center" wrapText="1" readingOrder="1"/>
    </xf>
    <xf numFmtId="38" fontId="23" fillId="12" borderId="71" xfId="4" applyFont="1" applyFill="1" applyBorder="1" applyAlignment="1">
      <alignment horizontal="right" vertical="center" wrapText="1" readingOrder="1"/>
    </xf>
    <xf numFmtId="38" fontId="23" fillId="0" borderId="0" xfId="4" applyFont="1" applyFill="1" applyBorder="1" applyAlignment="1">
      <alignment horizontal="right" vertical="center" wrapText="1" readingOrder="1"/>
    </xf>
    <xf numFmtId="6" fontId="0" fillId="0" borderId="0" xfId="5" applyFont="1">
      <alignment vertical="center"/>
    </xf>
    <xf numFmtId="178" fontId="0" fillId="0" borderId="0" xfId="0" applyNumberFormat="1">
      <alignment vertical="center"/>
    </xf>
    <xf numFmtId="38" fontId="0" fillId="0" borderId="0" xfId="0" applyNumberFormat="1">
      <alignment vertical="center"/>
    </xf>
    <xf numFmtId="6" fontId="0" fillId="0" borderId="0" xfId="0" applyNumberFormat="1">
      <alignment vertical="center"/>
    </xf>
    <xf numFmtId="40" fontId="0" fillId="0" borderId="0" xfId="0" applyNumberFormat="1">
      <alignment vertical="center"/>
    </xf>
    <xf numFmtId="0" fontId="8" fillId="0" borderId="60" xfId="1" applyFont="1" applyBorder="1"/>
    <xf numFmtId="0" fontId="16" fillId="0" borderId="60" xfId="1" applyFont="1" applyBorder="1"/>
    <xf numFmtId="0" fontId="16" fillId="0" borderId="0" xfId="1" applyFont="1"/>
    <xf numFmtId="0" fontId="16" fillId="0" borderId="54" xfId="1" applyFont="1" applyBorder="1"/>
    <xf numFmtId="182" fontId="6" fillId="0" borderId="0" xfId="1" applyNumberFormat="1"/>
    <xf numFmtId="182" fontId="8" fillId="0" borderId="0" xfId="1" applyNumberFormat="1" applyFont="1"/>
    <xf numFmtId="182" fontId="16" fillId="0" borderId="0" xfId="1" applyNumberFormat="1" applyFont="1"/>
    <xf numFmtId="0" fontId="15" fillId="0" borderId="0" xfId="1" applyFont="1"/>
    <xf numFmtId="0" fontId="15" fillId="0" borderId="9" xfId="1" applyFont="1" applyBorder="1"/>
    <xf numFmtId="0" fontId="15" fillId="0" borderId="63" xfId="1" applyFont="1" applyBorder="1"/>
    <xf numFmtId="9" fontId="8" fillId="0" borderId="0" xfId="1" applyNumberFormat="1" applyFont="1"/>
    <xf numFmtId="0" fontId="15" fillId="0" borderId="62" xfId="1" applyFont="1" applyBorder="1" applyAlignment="1">
      <alignment wrapText="1"/>
    </xf>
    <xf numFmtId="0" fontId="15" fillId="0" borderId="60" xfId="1" applyFont="1" applyBorder="1"/>
    <xf numFmtId="182" fontId="5" fillId="0" borderId="0" xfId="1" applyNumberFormat="1" applyFont="1"/>
    <xf numFmtId="0" fontId="8" fillId="0" borderId="54" xfId="1" applyFont="1" applyBorder="1"/>
    <xf numFmtId="0" fontId="16" fillId="0" borderId="8" xfId="1" applyFont="1" applyBorder="1"/>
    <xf numFmtId="0" fontId="16" fillId="0" borderId="9" xfId="1" applyFont="1" applyBorder="1" applyAlignment="1">
      <alignment wrapText="1"/>
    </xf>
    <xf numFmtId="0" fontId="16" fillId="0" borderId="9" xfId="1" applyFont="1" applyBorder="1"/>
    <xf numFmtId="0" fontId="16" fillId="0" borderId="63" xfId="1" applyFont="1" applyBorder="1" applyAlignment="1">
      <alignment wrapText="1"/>
    </xf>
    <xf numFmtId="0" fontId="24" fillId="0" borderId="0" xfId="1" applyFont="1"/>
    <xf numFmtId="0" fontId="25" fillId="0" borderId="0" xfId="1" applyFont="1"/>
    <xf numFmtId="182" fontId="15" fillId="0" borderId="0" xfId="1" applyNumberFormat="1" applyFont="1"/>
    <xf numFmtId="9" fontId="15" fillId="0" borderId="0" xfId="1" applyNumberFormat="1" applyFont="1"/>
    <xf numFmtId="0" fontId="26" fillId="0" borderId="0" xfId="1" applyFont="1"/>
    <xf numFmtId="0" fontId="15" fillId="0" borderId="0" xfId="1" applyFont="1" applyAlignment="1">
      <alignment horizontal="right"/>
    </xf>
    <xf numFmtId="0" fontId="15" fillId="0" borderId="5" xfId="1" applyFont="1" applyBorder="1"/>
    <xf numFmtId="0" fontId="15" fillId="0" borderId="61" xfId="1" applyFont="1" applyBorder="1"/>
    <xf numFmtId="0" fontId="15" fillId="0" borderId="54" xfId="1" applyFont="1" applyBorder="1"/>
    <xf numFmtId="0" fontId="15" fillId="0" borderId="62" xfId="1" applyFont="1" applyBorder="1"/>
    <xf numFmtId="0" fontId="15" fillId="0" borderId="8" xfId="1" applyFont="1" applyBorder="1"/>
    <xf numFmtId="0" fontId="27" fillId="0" borderId="0" xfId="6" applyFont="1"/>
    <xf numFmtId="9" fontId="15" fillId="0" borderId="62" xfId="1" applyNumberFormat="1" applyFont="1" applyBorder="1"/>
    <xf numFmtId="0" fontId="15" fillId="0" borderId="9" xfId="1" applyFont="1" applyBorder="1" applyAlignment="1">
      <alignment wrapText="1"/>
    </xf>
    <xf numFmtId="0" fontId="15" fillId="0" borderId="63" xfId="1" applyFont="1" applyBorder="1" applyAlignment="1">
      <alignment wrapText="1"/>
    </xf>
    <xf numFmtId="0" fontId="15" fillId="4" borderId="0" xfId="1" applyFont="1" applyFill="1"/>
    <xf numFmtId="0" fontId="16" fillId="0" borderId="62" xfId="1" applyFont="1" applyBorder="1"/>
    <xf numFmtId="0" fontId="16" fillId="0" borderId="62" xfId="1" applyFont="1" applyBorder="1" applyAlignment="1">
      <alignment wrapText="1"/>
    </xf>
    <xf numFmtId="0" fontId="28" fillId="0" borderId="25" xfId="0" applyFont="1" applyBorder="1">
      <alignment vertical="center"/>
    </xf>
    <xf numFmtId="0" fontId="28" fillId="8" borderId="25" xfId="0" applyFont="1" applyFill="1" applyBorder="1">
      <alignment vertical="center"/>
    </xf>
    <xf numFmtId="0" fontId="28" fillId="4" borderId="25" xfId="0" applyFont="1" applyFill="1" applyBorder="1">
      <alignment vertical="center"/>
    </xf>
    <xf numFmtId="0" fontId="28" fillId="0" borderId="30" xfId="0" applyFont="1" applyBorder="1">
      <alignment vertical="center"/>
    </xf>
    <xf numFmtId="0" fontId="28" fillId="4" borderId="30" xfId="0" applyFont="1" applyFill="1" applyBorder="1">
      <alignment vertical="center"/>
    </xf>
    <xf numFmtId="0" fontId="28" fillId="8" borderId="26" xfId="0" applyFont="1" applyFill="1" applyBorder="1">
      <alignment vertical="center"/>
    </xf>
    <xf numFmtId="0" fontId="28" fillId="0" borderId="26" xfId="0" applyFont="1" applyBorder="1">
      <alignment vertical="center"/>
    </xf>
    <xf numFmtId="0" fontId="29" fillId="0" borderId="27" xfId="0" applyFont="1" applyBorder="1">
      <alignment vertical="center"/>
    </xf>
    <xf numFmtId="0" fontId="29" fillId="0" borderId="28" xfId="0" applyFont="1" applyBorder="1">
      <alignment vertical="center"/>
    </xf>
    <xf numFmtId="182" fontId="0" fillId="0" borderId="0" xfId="0" applyNumberFormat="1">
      <alignment vertical="center"/>
    </xf>
    <xf numFmtId="182" fontId="28" fillId="8" borderId="25" xfId="0" applyNumberFormat="1" applyFont="1" applyFill="1" applyBorder="1">
      <alignment vertical="center"/>
    </xf>
    <xf numFmtId="182" fontId="28" fillId="0" borderId="25" xfId="0" applyNumberFormat="1" applyFont="1" applyBorder="1">
      <alignment vertical="center"/>
    </xf>
    <xf numFmtId="182" fontId="28" fillId="4" borderId="25" xfId="0" applyNumberFormat="1" applyFont="1" applyFill="1" applyBorder="1">
      <alignment vertical="center"/>
    </xf>
    <xf numFmtId="0" fontId="28" fillId="4" borderId="72" xfId="0" applyFont="1" applyFill="1" applyBorder="1">
      <alignment vertical="center"/>
    </xf>
    <xf numFmtId="0" fontId="28" fillId="4" borderId="26" xfId="0" applyFont="1" applyFill="1" applyBorder="1">
      <alignment vertical="center"/>
    </xf>
    <xf numFmtId="182" fontId="28" fillId="4" borderId="26" xfId="0" applyNumberFormat="1" applyFont="1" applyFill="1" applyBorder="1">
      <alignment vertical="center"/>
    </xf>
    <xf numFmtId="0" fontId="28" fillId="13" borderId="26" xfId="0" applyFont="1" applyFill="1" applyBorder="1">
      <alignment vertical="center"/>
    </xf>
    <xf numFmtId="0" fontId="28" fillId="13" borderId="30" xfId="0" applyFont="1" applyFill="1" applyBorder="1">
      <alignment vertical="center"/>
    </xf>
    <xf numFmtId="0" fontId="28" fillId="13" borderId="25" xfId="0" applyFont="1" applyFill="1" applyBorder="1">
      <alignment vertical="center"/>
    </xf>
    <xf numFmtId="182" fontId="28" fillId="13" borderId="25" xfId="0" applyNumberFormat="1" applyFont="1" applyFill="1" applyBorder="1">
      <alignment vertical="center"/>
    </xf>
    <xf numFmtId="0" fontId="29" fillId="13" borderId="27" xfId="0" applyFont="1" applyFill="1" applyBorder="1">
      <alignment vertical="center"/>
    </xf>
    <xf numFmtId="0" fontId="29" fillId="13" borderId="28" xfId="0" applyFont="1" applyFill="1" applyBorder="1">
      <alignment vertical="center"/>
    </xf>
    <xf numFmtId="182" fontId="0" fillId="0" borderId="25" xfId="0" applyNumberFormat="1" applyBorder="1">
      <alignment vertical="center"/>
    </xf>
    <xf numFmtId="182" fontId="0" fillId="14" borderId="25" xfId="0" applyNumberFormat="1" applyFill="1" applyBorder="1">
      <alignment vertical="center"/>
    </xf>
    <xf numFmtId="0" fontId="0" fillId="8" borderId="26" xfId="0" applyFill="1" applyBorder="1">
      <alignment vertical="center"/>
    </xf>
    <xf numFmtId="182" fontId="0" fillId="8" borderId="26" xfId="0" applyNumberFormat="1" applyFill="1" applyBorder="1">
      <alignment vertical="center"/>
    </xf>
    <xf numFmtId="182" fontId="28" fillId="8" borderId="26" xfId="0" applyNumberFormat="1" applyFont="1" applyFill="1" applyBorder="1">
      <alignment vertical="center"/>
    </xf>
    <xf numFmtId="0" fontId="0" fillId="8" borderId="1" xfId="0" applyFill="1" applyBorder="1">
      <alignment vertical="center"/>
    </xf>
    <xf numFmtId="5" fontId="0" fillId="0" borderId="1" xfId="0" applyNumberFormat="1" applyBorder="1">
      <alignment vertical="center"/>
    </xf>
    <xf numFmtId="0" fontId="30" fillId="0" borderId="0" xfId="1" applyFont="1"/>
    <xf numFmtId="0" fontId="15" fillId="13" borderId="5" xfId="1" applyFont="1" applyFill="1" applyBorder="1"/>
    <xf numFmtId="0" fontId="15" fillId="13" borderId="60" xfId="1" applyFont="1" applyFill="1" applyBorder="1"/>
    <xf numFmtId="0" fontId="15" fillId="13" borderId="61" xfId="1" applyFont="1" applyFill="1" applyBorder="1"/>
    <xf numFmtId="0" fontId="15" fillId="13" borderId="54" xfId="1" applyFont="1" applyFill="1" applyBorder="1"/>
    <xf numFmtId="0" fontId="15" fillId="13" borderId="0" xfId="1" applyFont="1" applyFill="1"/>
    <xf numFmtId="0" fontId="15" fillId="13" borderId="62" xfId="1" applyFont="1" applyFill="1" applyBorder="1"/>
    <xf numFmtId="0" fontId="15" fillId="13" borderId="8" xfId="1" applyFont="1" applyFill="1" applyBorder="1"/>
    <xf numFmtId="0" fontId="15" fillId="13" borderId="9" xfId="1" applyFont="1" applyFill="1" applyBorder="1"/>
    <xf numFmtId="0" fontId="15" fillId="13" borderId="63" xfId="1" applyFont="1" applyFill="1" applyBorder="1"/>
    <xf numFmtId="9" fontId="15" fillId="13" borderId="0" xfId="1" applyNumberFormat="1" applyFont="1" applyFill="1"/>
    <xf numFmtId="9" fontId="15" fillId="13" borderId="62" xfId="1" applyNumberFormat="1" applyFont="1" applyFill="1" applyBorder="1"/>
    <xf numFmtId="0" fontId="16" fillId="13" borderId="62" xfId="1" applyFont="1" applyFill="1" applyBorder="1" applyAlignment="1">
      <alignment wrapText="1"/>
    </xf>
    <xf numFmtId="0" fontId="15" fillId="13" borderId="9" xfId="1" applyFont="1" applyFill="1" applyBorder="1" applyAlignment="1">
      <alignment wrapText="1"/>
    </xf>
    <xf numFmtId="0" fontId="15" fillId="13" borderId="63" xfId="1" applyFont="1" applyFill="1" applyBorder="1" applyAlignment="1">
      <alignment wrapText="1"/>
    </xf>
    <xf numFmtId="0" fontId="30" fillId="13" borderId="0" xfId="1" applyFont="1" applyFill="1"/>
    <xf numFmtId="49" fontId="5" fillId="0" borderId="4" xfId="0" applyNumberFormat="1" applyFont="1" applyBorder="1" applyAlignment="1">
      <alignment horizontal="center" vertical="center" wrapText="1"/>
    </xf>
    <xf numFmtId="49" fontId="5" fillId="0" borderId="7" xfId="0" applyNumberFormat="1" applyFont="1" applyBorder="1" applyAlignment="1">
      <alignment horizontal="center" vertical="center" wrapText="1"/>
    </xf>
    <xf numFmtId="0" fontId="5" fillId="0" borderId="1" xfId="0" applyFont="1" applyBorder="1" applyAlignment="1">
      <alignment vertical="center" wrapText="1"/>
    </xf>
    <xf numFmtId="0" fontId="5" fillId="0" borderId="1" xfId="0" applyFont="1" applyBorder="1">
      <alignment vertical="center"/>
    </xf>
    <xf numFmtId="49" fontId="5" fillId="0" borderId="4" xfId="0" applyNumberFormat="1" applyFont="1" applyBorder="1" applyAlignment="1">
      <alignment vertical="center" wrapText="1"/>
    </xf>
    <xf numFmtId="49" fontId="5" fillId="0" borderId="7" xfId="0" applyNumberFormat="1" applyFont="1" applyBorder="1" applyAlignment="1">
      <alignment vertical="center" wrapText="1"/>
    </xf>
    <xf numFmtId="0" fontId="5" fillId="0" borderId="4" xfId="0" applyFont="1" applyBorder="1" applyAlignment="1">
      <alignment vertical="center" wrapText="1"/>
    </xf>
    <xf numFmtId="0" fontId="5" fillId="0" borderId="7" xfId="0" applyFont="1" applyBorder="1">
      <alignment vertical="center"/>
    </xf>
    <xf numFmtId="0" fontId="0" fillId="0" borderId="4" xfId="0" applyBorder="1" applyAlignment="1">
      <alignment horizontal="left" vertical="top" wrapText="1"/>
    </xf>
    <xf numFmtId="0" fontId="0" fillId="0" borderId="7" xfId="0" applyBorder="1" applyAlignment="1">
      <alignment horizontal="left" vertical="top"/>
    </xf>
    <xf numFmtId="0" fontId="5" fillId="0" borderId="4" xfId="0" applyFont="1" applyBorder="1">
      <alignment vertical="center"/>
    </xf>
    <xf numFmtId="0" fontId="5" fillId="0" borderId="1" xfId="0" quotePrefix="1" applyFont="1" applyBorder="1">
      <alignment vertical="center"/>
    </xf>
    <xf numFmtId="0" fontId="5" fillId="0" borderId="7" xfId="0" applyFont="1" applyBorder="1" applyAlignment="1">
      <alignment vertical="center" wrapText="1"/>
    </xf>
    <xf numFmtId="49" fontId="5" fillId="0" borderId="1" xfId="0" applyNumberFormat="1" applyFont="1" applyBorder="1" applyAlignment="1">
      <alignment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49" fontId="5" fillId="0" borderId="29" xfId="0" applyNumberFormat="1" applyFont="1" applyBorder="1" applyAlignment="1">
      <alignment vertical="center" wrapText="1"/>
    </xf>
    <xf numFmtId="0" fontId="0" fillId="10" borderId="1" xfId="0" applyFill="1" applyBorder="1">
      <alignment vertical="center"/>
    </xf>
    <xf numFmtId="0" fontId="0" fillId="10" borderId="33" xfId="0" applyFill="1" applyBorder="1" applyAlignment="1">
      <alignment horizontal="center" vertical="center"/>
    </xf>
    <xf numFmtId="0" fontId="0" fillId="10" borderId="30" xfId="0" applyFill="1" applyBorder="1" applyAlignment="1">
      <alignment horizontal="center" vertical="center"/>
    </xf>
    <xf numFmtId="0" fontId="0" fillId="10" borderId="26" xfId="0" applyFill="1" applyBorder="1" applyAlignment="1">
      <alignment horizontal="center" vertical="center"/>
    </xf>
    <xf numFmtId="0" fontId="0" fillId="10" borderId="28" xfId="0" applyFill="1" applyBorder="1" applyAlignment="1">
      <alignment horizontal="center" vertical="center"/>
    </xf>
    <xf numFmtId="0" fontId="13" fillId="10" borderId="25" xfId="0" applyFont="1" applyFill="1" applyBorder="1" applyAlignment="1">
      <alignment horizontal="right" vertical="center"/>
    </xf>
    <xf numFmtId="0" fontId="0" fillId="10" borderId="25" xfId="0" applyFill="1" applyBorder="1" applyAlignment="1">
      <alignment horizontal="center" vertical="center"/>
    </xf>
    <xf numFmtId="0" fontId="0" fillId="4" borderId="25" xfId="0" applyFill="1" applyBorder="1" applyAlignment="1">
      <alignment horizontal="center" vertical="center"/>
    </xf>
    <xf numFmtId="0" fontId="0" fillId="0" borderId="56" xfId="0" applyBorder="1" applyAlignment="1">
      <alignment horizontal="center" vertical="center"/>
    </xf>
    <xf numFmtId="0" fontId="0" fillId="0" borderId="0" xfId="0" applyAlignment="1">
      <alignment horizontal="center" vertical="center"/>
    </xf>
    <xf numFmtId="0" fontId="6" fillId="4" borderId="13" xfId="1" applyFill="1" applyBorder="1" applyAlignment="1">
      <alignment wrapText="1"/>
    </xf>
    <xf numFmtId="0" fontId="6" fillId="4" borderId="6" xfId="1" applyFill="1" applyBorder="1" applyAlignment="1">
      <alignment wrapText="1"/>
    </xf>
    <xf numFmtId="0" fontId="6" fillId="4" borderId="3" xfId="1" applyFill="1" applyBorder="1" applyAlignment="1">
      <alignment wrapText="1"/>
    </xf>
    <xf numFmtId="0" fontId="6" fillId="4" borderId="24" xfId="1" applyFill="1" applyBorder="1" applyAlignment="1">
      <alignment horizontal="center"/>
    </xf>
    <xf numFmtId="0" fontId="6" fillId="4" borderId="11" xfId="1" applyFill="1" applyBorder="1" applyAlignment="1">
      <alignment horizontal="center"/>
    </xf>
    <xf numFmtId="0" fontId="6" fillId="4" borderId="12" xfId="1" applyFill="1" applyBorder="1" applyAlignment="1">
      <alignment horizontal="center"/>
    </xf>
    <xf numFmtId="0" fontId="6" fillId="4" borderId="10" xfId="1" applyFill="1" applyBorder="1" applyAlignment="1">
      <alignment horizontal="center"/>
    </xf>
    <xf numFmtId="0" fontId="12" fillId="4" borderId="44" xfId="1" applyFont="1" applyFill="1" applyBorder="1" applyAlignment="1">
      <alignment horizontal="right" vertical="center"/>
    </xf>
    <xf numFmtId="0" fontId="12" fillId="4" borderId="45" xfId="1" applyFont="1" applyFill="1" applyBorder="1" applyAlignment="1">
      <alignment horizontal="right" vertical="center"/>
    </xf>
    <xf numFmtId="0" fontId="12" fillId="4" borderId="39" xfId="1" applyFont="1" applyFill="1" applyBorder="1" applyAlignment="1">
      <alignment horizontal="right" vertical="center"/>
    </xf>
    <xf numFmtId="0" fontId="12" fillId="4" borderId="35" xfId="1" applyFont="1" applyFill="1" applyBorder="1" applyAlignment="1">
      <alignment horizontal="right" vertical="center"/>
    </xf>
    <xf numFmtId="0" fontId="12" fillId="4" borderId="46" xfId="1" applyFont="1" applyFill="1" applyBorder="1" applyAlignment="1">
      <alignment horizontal="right" vertical="center"/>
    </xf>
    <xf numFmtId="0" fontId="12" fillId="4" borderId="47" xfId="1" applyFont="1" applyFill="1" applyBorder="1" applyAlignment="1">
      <alignment horizontal="right" vertical="center"/>
    </xf>
    <xf numFmtId="0" fontId="12" fillId="2" borderId="51" xfId="1" applyFont="1" applyFill="1" applyBorder="1" applyAlignment="1">
      <alignment horizontal="center" vertical="center"/>
    </xf>
    <xf numFmtId="0" fontId="12" fillId="2" borderId="34" xfId="1" applyFont="1" applyFill="1" applyBorder="1" applyAlignment="1">
      <alignment horizontal="center" vertical="center"/>
    </xf>
    <xf numFmtId="0" fontId="12" fillId="2" borderId="52" xfId="1" applyFont="1" applyFill="1" applyBorder="1" applyAlignment="1">
      <alignment horizontal="center" vertical="center"/>
    </xf>
    <xf numFmtId="0" fontId="12" fillId="9" borderId="45" xfId="1" applyFont="1" applyFill="1" applyBorder="1" applyAlignment="1">
      <alignment horizontal="left" vertical="center"/>
    </xf>
    <xf numFmtId="0" fontId="12" fillId="9" borderId="35" xfId="1" applyFont="1" applyFill="1" applyBorder="1" applyAlignment="1">
      <alignment horizontal="center" vertical="center" wrapText="1"/>
    </xf>
    <xf numFmtId="0" fontId="0" fillId="4" borderId="25" xfId="1" applyFont="1" applyFill="1" applyBorder="1" applyAlignment="1">
      <alignment horizontal="right"/>
    </xf>
    <xf numFmtId="0" fontId="15" fillId="5" borderId="26" xfId="1" applyFont="1" applyFill="1" applyBorder="1" applyAlignment="1">
      <alignment vertical="center" wrapText="1"/>
    </xf>
    <xf numFmtId="0" fontId="15" fillId="5" borderId="28" xfId="1" applyFont="1" applyFill="1" applyBorder="1" applyAlignment="1">
      <alignment vertical="center" wrapText="1"/>
    </xf>
    <xf numFmtId="180" fontId="15" fillId="0" borderId="26" xfId="1" applyNumberFormat="1" applyFont="1" applyBorder="1" applyAlignment="1">
      <alignment horizontal="center" vertical="center"/>
    </xf>
    <xf numFmtId="180" fontId="15" fillId="0" borderId="28" xfId="1" applyNumberFormat="1" applyFont="1" applyBorder="1" applyAlignment="1">
      <alignment horizontal="center" vertical="center"/>
    </xf>
    <xf numFmtId="49" fontId="1" fillId="0" borderId="2" xfId="0" applyNumberFormat="1" applyFont="1" applyBorder="1" applyAlignment="1">
      <alignment horizontal="left" vertical="center"/>
    </xf>
    <xf numFmtId="49" fontId="1" fillId="0" borderId="3" xfId="0" applyNumberFormat="1" applyFont="1" applyBorder="1" applyAlignment="1">
      <alignment horizontal="left" vertical="center"/>
    </xf>
    <xf numFmtId="49" fontId="1" fillId="0" borderId="1" xfId="0" applyNumberFormat="1" applyFont="1" applyBorder="1" applyAlignment="1">
      <alignment horizontal="left" vertical="center"/>
    </xf>
    <xf numFmtId="49" fontId="1" fillId="2" borderId="1" xfId="0" applyNumberFormat="1" applyFont="1" applyFill="1" applyBorder="1" applyAlignment="1">
      <alignment horizontal="left" vertical="center"/>
    </xf>
    <xf numFmtId="2" fontId="15" fillId="0" borderId="26" xfId="1" applyNumberFormat="1" applyFont="1" applyBorder="1" applyAlignment="1">
      <alignment horizontal="center" vertical="center"/>
    </xf>
    <xf numFmtId="2" fontId="15" fillId="0" borderId="28" xfId="1" applyNumberFormat="1" applyFont="1" applyBorder="1" applyAlignment="1">
      <alignment horizontal="center" vertical="center"/>
    </xf>
    <xf numFmtId="0" fontId="20" fillId="11" borderId="64" xfId="0" applyFont="1" applyFill="1" applyBorder="1" applyAlignment="1">
      <alignment horizontal="center" vertical="center" wrapText="1" readingOrder="1"/>
    </xf>
    <xf numFmtId="0" fontId="20" fillId="11" borderId="67" xfId="0" applyFont="1" applyFill="1" applyBorder="1" applyAlignment="1">
      <alignment horizontal="center" vertical="center" wrapText="1" readingOrder="1"/>
    </xf>
    <xf numFmtId="0" fontId="20" fillId="11" borderId="70" xfId="0" applyFont="1" applyFill="1" applyBorder="1" applyAlignment="1">
      <alignment horizontal="center" vertical="center" wrapText="1" readingOrder="1"/>
    </xf>
    <xf numFmtId="0" fontId="20" fillId="11" borderId="65" xfId="0" applyFont="1" applyFill="1" applyBorder="1" applyAlignment="1">
      <alignment horizontal="center" vertical="center" wrapText="1" readingOrder="1"/>
    </xf>
    <xf numFmtId="0" fontId="20" fillId="11" borderId="66" xfId="0" applyFont="1" applyFill="1" applyBorder="1" applyAlignment="1">
      <alignment horizontal="center" vertical="center" wrapText="1" readingOrder="1"/>
    </xf>
    <xf numFmtId="0" fontId="20" fillId="11" borderId="68" xfId="0" applyFont="1" applyFill="1" applyBorder="1" applyAlignment="1">
      <alignment horizontal="center" vertical="center" wrapText="1" readingOrder="1"/>
    </xf>
    <xf numFmtId="0" fontId="20" fillId="11" borderId="69" xfId="0" applyFont="1" applyFill="1" applyBorder="1" applyAlignment="1">
      <alignment horizontal="center" vertical="center" wrapText="1" readingOrder="1"/>
    </xf>
  </cellXfs>
  <cellStyles count="7">
    <cellStyle name="ハイパーリンク 2" xfId="6" xr:uid="{9E8F3799-1FD5-46E9-9AE4-8678D37C2D36}"/>
    <cellStyle name="桁区切り" xfId="4" builtinId="6"/>
    <cellStyle name="桁区切り 2" xfId="2" xr:uid="{00000000-0005-0000-0000-000000000000}"/>
    <cellStyle name="通貨" xfId="5" builtinId="7"/>
    <cellStyle name="標準" xfId="0" builtinId="0"/>
    <cellStyle name="標準 2" xfId="1" xr:uid="{00000000-0005-0000-0000-000002000000}"/>
    <cellStyle name="標準 28" xfId="3" xr:uid="{00000000-0005-0000-0000-000003000000}"/>
  </cellStyles>
  <dxfs count="0"/>
  <tableStyles count="0" defaultTableStyle="TableStyleMedium2" defaultPivotStyle="PivotStyleLight16"/>
  <colors>
    <mruColors>
      <color rgb="FF1581E6"/>
      <color rgb="FF1B9FCF"/>
      <color rgb="FF2863C9"/>
      <color rgb="FF5383DB"/>
      <color rgb="FF7DB4E8"/>
      <color rgb="FF91BC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 Id="rId30"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161925</xdr:colOff>
      <xdr:row>27</xdr:row>
      <xdr:rowOff>209550</xdr:rowOff>
    </xdr:from>
    <xdr:to>
      <xdr:col>6</xdr:col>
      <xdr:colOff>419100</xdr:colOff>
      <xdr:row>29</xdr:row>
      <xdr:rowOff>190500</xdr:rowOff>
    </xdr:to>
    <xdr:sp macro="" textlink="">
      <xdr:nvSpPr>
        <xdr:cNvPr id="2" name="テキスト ボックス 1">
          <a:extLst>
            <a:ext uri="{FF2B5EF4-FFF2-40B4-BE49-F238E27FC236}">
              <a16:creationId xmlns:a16="http://schemas.microsoft.com/office/drawing/2014/main" id="{00000000-0008-0000-0000-000002000000}"/>
            </a:ext>
          </a:extLst>
        </xdr:cNvPr>
        <xdr:cNvSpPr txBox="1"/>
      </xdr:nvSpPr>
      <xdr:spPr>
        <a:xfrm>
          <a:off x="161925" y="6181725"/>
          <a:ext cx="3914775" cy="438150"/>
        </a:xfrm>
        <a:prstGeom prst="rect">
          <a:avLst/>
        </a:prstGeom>
        <a:solidFill>
          <a:srgbClr val="FFFF00"/>
        </a:solidFill>
        <a:ln w="9525" cmpd="sng">
          <a:solidFill>
            <a:schemeClr val="tx1"/>
          </a:solid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Calibri" panose="020F0502020204030204" pitchFamily="34" charset="0"/>
              <a:cs typeface="Calibri" panose="020F0502020204030204" pitchFamily="34" charset="0"/>
            </a:rPr>
            <a:t>メリットが感じられないため、個別構築パターンは本見積では考えない</a:t>
          </a:r>
          <a:endParaRPr lang="ja-JP" altLang="en-US" sz="1100" b="0" i="0" u="none" strike="noStrike">
            <a:solidFill>
              <a:srgbClr val="000000"/>
            </a:solidFill>
            <a:latin typeface="+mn-lt"/>
            <a:ea typeface="+mn-lt"/>
            <a:cs typeface="+mn-lt"/>
          </a:endParaRPr>
        </a:p>
        <a:p>
          <a:pPr marL="0" indent="0" algn="l"/>
          <a:endParaRPr lang="ja-JP" altLang="en-US" sz="1100">
            <a:latin typeface="+mn-lt"/>
            <a:ea typeface="+mn-lt"/>
            <a:cs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285749</xdr:colOff>
      <xdr:row>20</xdr:row>
      <xdr:rowOff>71437</xdr:rowOff>
    </xdr:from>
    <xdr:to>
      <xdr:col>22</xdr:col>
      <xdr:colOff>21167</xdr:colOff>
      <xdr:row>29</xdr:row>
      <xdr:rowOff>11906</xdr:rowOff>
    </xdr:to>
    <xdr:sp macro="" textlink="">
      <xdr:nvSpPr>
        <xdr:cNvPr id="6" name="正方形/長方形 5">
          <a:extLst>
            <a:ext uri="{FF2B5EF4-FFF2-40B4-BE49-F238E27FC236}">
              <a16:creationId xmlns:a16="http://schemas.microsoft.com/office/drawing/2014/main" id="{00000000-0008-0000-0100-000006000000}"/>
            </a:ext>
          </a:extLst>
        </xdr:cNvPr>
        <xdr:cNvSpPr/>
      </xdr:nvSpPr>
      <xdr:spPr>
        <a:xfrm>
          <a:off x="285749" y="3458104"/>
          <a:ext cx="13239751" cy="146446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297657</xdr:colOff>
      <xdr:row>29</xdr:row>
      <xdr:rowOff>11906</xdr:rowOff>
    </xdr:from>
    <xdr:to>
      <xdr:col>16</xdr:col>
      <xdr:colOff>369095</xdr:colOff>
      <xdr:row>37</xdr:row>
      <xdr:rowOff>11906</xdr:rowOff>
    </xdr:to>
    <xdr:sp macro="" textlink="">
      <xdr:nvSpPr>
        <xdr:cNvPr id="3" name="正方形/長方形 2">
          <a:extLst>
            <a:ext uri="{FF2B5EF4-FFF2-40B4-BE49-F238E27FC236}">
              <a16:creationId xmlns:a16="http://schemas.microsoft.com/office/drawing/2014/main" id="{00000000-0008-0000-0100-000003000000}"/>
            </a:ext>
          </a:extLst>
        </xdr:cNvPr>
        <xdr:cNvSpPr/>
      </xdr:nvSpPr>
      <xdr:spPr>
        <a:xfrm>
          <a:off x="297657" y="4469606"/>
          <a:ext cx="10129838"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285750</xdr:colOff>
      <xdr:row>29</xdr:row>
      <xdr:rowOff>-1</xdr:rowOff>
    </xdr:from>
    <xdr:to>
      <xdr:col>13</xdr:col>
      <xdr:colOff>476249</xdr:colOff>
      <xdr:row>53</xdr:row>
      <xdr:rowOff>11906</xdr:rowOff>
    </xdr:to>
    <xdr:sp macro="" textlink="">
      <xdr:nvSpPr>
        <xdr:cNvPr id="4" name="正方形/長方形 3">
          <a:extLst>
            <a:ext uri="{FF2B5EF4-FFF2-40B4-BE49-F238E27FC236}">
              <a16:creationId xmlns:a16="http://schemas.microsoft.com/office/drawing/2014/main" id="{00000000-0008-0000-0100-000004000000}"/>
            </a:ext>
          </a:extLst>
        </xdr:cNvPr>
        <xdr:cNvSpPr/>
      </xdr:nvSpPr>
      <xdr:spPr>
        <a:xfrm>
          <a:off x="285750" y="4457699"/>
          <a:ext cx="8362949" cy="397430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297656</xdr:colOff>
      <xdr:row>5</xdr:row>
      <xdr:rowOff>0</xdr:rowOff>
    </xdr:from>
    <xdr:to>
      <xdr:col>22</xdr:col>
      <xdr:colOff>10584</xdr:colOff>
      <xdr:row>21</xdr:row>
      <xdr:rowOff>11906</xdr:rowOff>
    </xdr:to>
    <xdr:sp macro="" textlink="">
      <xdr:nvSpPr>
        <xdr:cNvPr id="2" name="正方形/長方形 1">
          <a:extLst>
            <a:ext uri="{FF2B5EF4-FFF2-40B4-BE49-F238E27FC236}">
              <a16:creationId xmlns:a16="http://schemas.microsoft.com/office/drawing/2014/main" id="{00000000-0008-0000-0100-000002000000}"/>
            </a:ext>
          </a:extLst>
        </xdr:cNvPr>
        <xdr:cNvSpPr/>
      </xdr:nvSpPr>
      <xdr:spPr>
        <a:xfrm>
          <a:off x="2752989" y="846667"/>
          <a:ext cx="10761928" cy="272123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11906</xdr:colOff>
      <xdr:row>45</xdr:row>
      <xdr:rowOff>0</xdr:rowOff>
    </xdr:from>
    <xdr:to>
      <xdr:col>14</xdr:col>
      <xdr:colOff>357187</xdr:colOff>
      <xdr:row>53</xdr:row>
      <xdr:rowOff>0</xdr:rowOff>
    </xdr:to>
    <xdr:sp macro="" textlink="">
      <xdr:nvSpPr>
        <xdr:cNvPr id="5" name="正方形/長方形 4">
          <a:extLst>
            <a:ext uri="{FF2B5EF4-FFF2-40B4-BE49-F238E27FC236}">
              <a16:creationId xmlns:a16="http://schemas.microsoft.com/office/drawing/2014/main" id="{00000000-0008-0000-0100-000005000000}"/>
            </a:ext>
          </a:extLst>
        </xdr:cNvPr>
        <xdr:cNvSpPr/>
      </xdr:nvSpPr>
      <xdr:spPr>
        <a:xfrm>
          <a:off x="5669756" y="7099300"/>
          <a:ext cx="3488531"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371474</xdr:colOff>
      <xdr:row>7</xdr:row>
      <xdr:rowOff>9525</xdr:rowOff>
    </xdr:from>
    <xdr:to>
      <xdr:col>16</xdr:col>
      <xdr:colOff>361949</xdr:colOff>
      <xdr:row>22</xdr:row>
      <xdr:rowOff>161924</xdr:rowOff>
    </xdr:to>
    <xdr:sp macro="" textlink="">
      <xdr:nvSpPr>
        <xdr:cNvPr id="7" name="正方形/長方形 6">
          <a:extLst>
            <a:ext uri="{FF2B5EF4-FFF2-40B4-BE49-F238E27FC236}">
              <a16:creationId xmlns:a16="http://schemas.microsoft.com/office/drawing/2014/main" id="{00000000-0008-0000-0100-000007000000}"/>
            </a:ext>
          </a:extLst>
        </xdr:cNvPr>
        <xdr:cNvSpPr/>
      </xdr:nvSpPr>
      <xdr:spPr>
        <a:xfrm>
          <a:off x="6029324" y="835025"/>
          <a:ext cx="4391025" cy="26288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5</xdr:col>
      <xdr:colOff>0</xdr:colOff>
      <xdr:row>6</xdr:row>
      <xdr:rowOff>0</xdr:rowOff>
    </xdr:from>
    <xdr:to>
      <xdr:col>8</xdr:col>
      <xdr:colOff>0</xdr:colOff>
      <xdr:row>12</xdr:row>
      <xdr:rowOff>0</xdr:rowOff>
    </xdr:to>
    <xdr:sp macro="" textlink="">
      <xdr:nvSpPr>
        <xdr:cNvPr id="8" name="正方形/長方形 7">
          <a:extLst>
            <a:ext uri="{FF2B5EF4-FFF2-40B4-BE49-F238E27FC236}">
              <a16:creationId xmlns:a16="http://schemas.microsoft.com/office/drawing/2014/main" id="{00000000-0008-0000-0100-000008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14</xdr:row>
      <xdr:rowOff>0</xdr:rowOff>
    </xdr:from>
    <xdr:to>
      <xdr:col>8</xdr:col>
      <xdr:colOff>0</xdr:colOff>
      <xdr:row>20</xdr:row>
      <xdr:rowOff>0</xdr:rowOff>
    </xdr:to>
    <xdr:sp macro="" textlink="">
      <xdr:nvSpPr>
        <xdr:cNvPr id="9" name="正方形/長方形 8">
          <a:extLst>
            <a:ext uri="{FF2B5EF4-FFF2-40B4-BE49-F238E27FC236}">
              <a16:creationId xmlns:a16="http://schemas.microsoft.com/office/drawing/2014/main" id="{00000000-0008-0000-0100-000009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30</xdr:row>
      <xdr:rowOff>0</xdr:rowOff>
    </xdr:from>
    <xdr:to>
      <xdr:col>8</xdr:col>
      <xdr:colOff>0</xdr:colOff>
      <xdr:row>36</xdr:row>
      <xdr:rowOff>0</xdr:rowOff>
    </xdr:to>
    <xdr:sp macro="" textlink="">
      <xdr:nvSpPr>
        <xdr:cNvPr id="10" name="正方形/長方形 9">
          <a:extLst>
            <a:ext uri="{FF2B5EF4-FFF2-40B4-BE49-F238E27FC236}">
              <a16:creationId xmlns:a16="http://schemas.microsoft.com/office/drawing/2014/main" id="{00000000-0008-0000-0100-00000A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150.92.14.110</a:t>
          </a: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0</xdr:colOff>
      <xdr:row>30</xdr:row>
      <xdr:rowOff>0</xdr:rowOff>
    </xdr:from>
    <xdr:to>
      <xdr:col>12</xdr:col>
      <xdr:colOff>0</xdr:colOff>
      <xdr:row>36</xdr:row>
      <xdr:rowOff>0</xdr:rowOff>
    </xdr:to>
    <xdr:sp macro="" textlink="">
      <xdr:nvSpPr>
        <xdr:cNvPr id="11" name="正方形/長方形 10">
          <a:extLst>
            <a:ext uri="{FF2B5EF4-FFF2-40B4-BE49-F238E27FC236}">
              <a16:creationId xmlns:a16="http://schemas.microsoft.com/office/drawing/2014/main" id="{00000000-0008-0000-0100-00000B000000}"/>
            </a:ext>
          </a:extLst>
        </xdr:cNvPr>
        <xdr:cNvSpPr/>
      </xdr:nvSpPr>
      <xdr:spPr>
        <a:xfrm>
          <a:off x="56578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150.92.21.226</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0</xdr:colOff>
      <xdr:row>38</xdr:row>
      <xdr:rowOff>0</xdr:rowOff>
    </xdr:from>
    <xdr:to>
      <xdr:col>10</xdr:col>
      <xdr:colOff>0</xdr:colOff>
      <xdr:row>44</xdr:row>
      <xdr:rowOff>0</xdr:rowOff>
    </xdr:to>
    <xdr:sp macro="" textlink="">
      <xdr:nvSpPr>
        <xdr:cNvPr id="12" name="正方形/長方形 11">
          <a:extLst>
            <a:ext uri="{FF2B5EF4-FFF2-40B4-BE49-F238E27FC236}">
              <a16:creationId xmlns:a16="http://schemas.microsoft.com/office/drawing/2014/main" id="{00000000-0008-0000-0100-00000C000000}"/>
            </a:ext>
          </a:extLst>
        </xdr:cNvPr>
        <xdr:cNvSpPr/>
      </xdr:nvSpPr>
      <xdr:spPr>
        <a:xfrm>
          <a:off x="44005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10.178.150.1</a:t>
          </a: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0</xdr:colOff>
      <xdr:row>16</xdr:row>
      <xdr:rowOff>9525</xdr:rowOff>
    </xdr:from>
    <xdr:to>
      <xdr:col>13</xdr:col>
      <xdr:colOff>0</xdr:colOff>
      <xdr:row>22</xdr:row>
      <xdr:rowOff>9525</xdr:rowOff>
    </xdr:to>
    <xdr:sp macro="" textlink="">
      <xdr:nvSpPr>
        <xdr:cNvPr id="13" name="正方形/長方形 12">
          <a:extLst>
            <a:ext uri="{FF2B5EF4-FFF2-40B4-BE49-F238E27FC236}">
              <a16:creationId xmlns:a16="http://schemas.microsoft.com/office/drawing/2014/main" id="{00000000-0008-0000-0100-00000D000000}"/>
            </a:ext>
            <a:ext uri="{147F2762-F138-4A5C-976F-8EAC2B608ADB}">
              <a16:predDERef xmlns:a16="http://schemas.microsoft.com/office/drawing/2014/main" pred="{00000000-0008-0000-0200-00000C000000}"/>
            </a:ext>
          </a:extLst>
        </xdr:cNvPr>
        <xdr:cNvSpPr/>
      </xdr:nvSpPr>
      <xdr:spPr>
        <a:xfrm>
          <a:off x="6191250" y="2600325"/>
          <a:ext cx="1857375" cy="97155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0</xdr:colOff>
      <xdr:row>16</xdr:row>
      <xdr:rowOff>0</xdr:rowOff>
    </xdr:from>
    <xdr:to>
      <xdr:col>16</xdr:col>
      <xdr:colOff>0</xdr:colOff>
      <xdr:row>22</xdr:row>
      <xdr:rowOff>0</xdr:rowOff>
    </xdr:to>
    <xdr:sp macro="" textlink="">
      <xdr:nvSpPr>
        <xdr:cNvPr id="14" name="正方形/長方形 13">
          <a:extLst>
            <a:ext uri="{FF2B5EF4-FFF2-40B4-BE49-F238E27FC236}">
              <a16:creationId xmlns:a16="http://schemas.microsoft.com/office/drawing/2014/main" id="{00000000-0008-0000-0100-00000E000000}"/>
            </a:ext>
          </a:extLst>
        </xdr:cNvPr>
        <xdr:cNvSpPr/>
      </xdr:nvSpPr>
      <xdr:spPr>
        <a:xfrm>
          <a:off x="8172450" y="23114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xdr:col>
      <xdr:colOff>0</xdr:colOff>
      <xdr:row>14</xdr:row>
      <xdr:rowOff>0</xdr:rowOff>
    </xdr:from>
    <xdr:to>
      <xdr:col>4</xdr:col>
      <xdr:colOff>0</xdr:colOff>
      <xdr:row>20</xdr:row>
      <xdr:rowOff>0</xdr:rowOff>
    </xdr:to>
    <xdr:sp macro="" textlink="">
      <xdr:nvSpPr>
        <xdr:cNvPr id="15" name="正方形/長方形 14">
          <a:extLst>
            <a:ext uri="{FF2B5EF4-FFF2-40B4-BE49-F238E27FC236}">
              <a16:creationId xmlns:a16="http://schemas.microsoft.com/office/drawing/2014/main" id="{00000000-0008-0000-0100-00000F000000}"/>
            </a:ext>
          </a:extLst>
        </xdr:cNvPr>
        <xdr:cNvSpPr/>
      </xdr:nvSpPr>
      <xdr:spPr>
        <a:xfrm>
          <a:off x="628650" y="19812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0</xdr:colOff>
      <xdr:row>6</xdr:row>
      <xdr:rowOff>0</xdr:rowOff>
    </xdr:from>
    <xdr:to>
      <xdr:col>4</xdr:col>
      <xdr:colOff>0</xdr:colOff>
      <xdr:row>12</xdr:row>
      <xdr:rowOff>0</xdr:rowOff>
    </xdr:to>
    <xdr:sp macro="" textlink="">
      <xdr:nvSpPr>
        <xdr:cNvPr id="16" name="正方形/長方形 15">
          <a:extLst>
            <a:ext uri="{FF2B5EF4-FFF2-40B4-BE49-F238E27FC236}">
              <a16:creationId xmlns:a16="http://schemas.microsoft.com/office/drawing/2014/main" id="{00000000-0008-0000-0100-000010000000}"/>
            </a:ext>
          </a:extLst>
        </xdr:cNvPr>
        <xdr:cNvSpPr/>
      </xdr:nvSpPr>
      <xdr:spPr>
        <a:xfrm>
          <a:off x="6286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0</xdr:colOff>
      <xdr:row>46</xdr:row>
      <xdr:rowOff>0</xdr:rowOff>
    </xdr:from>
    <xdr:to>
      <xdr:col>10</xdr:col>
      <xdr:colOff>0</xdr:colOff>
      <xdr:row>52</xdr:row>
      <xdr:rowOff>0</xdr:rowOff>
    </xdr:to>
    <xdr:sp macro="" textlink="">
      <xdr:nvSpPr>
        <xdr:cNvPr id="17" name="正方形/長方形 16">
          <a:extLst>
            <a:ext uri="{FF2B5EF4-FFF2-40B4-BE49-F238E27FC236}">
              <a16:creationId xmlns:a16="http://schemas.microsoft.com/office/drawing/2014/main" id="{00000000-0008-0000-0100-000011000000}"/>
            </a:ext>
          </a:extLst>
        </xdr:cNvPr>
        <xdr:cNvSpPr/>
      </xdr:nvSpPr>
      <xdr:spPr>
        <a:xfrm>
          <a:off x="44005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0</xdr:colOff>
      <xdr:row>46</xdr:row>
      <xdr:rowOff>0</xdr:rowOff>
    </xdr:from>
    <xdr:to>
      <xdr:col>14</xdr:col>
      <xdr:colOff>0</xdr:colOff>
      <xdr:row>52</xdr:row>
      <xdr:rowOff>0</xdr:rowOff>
    </xdr:to>
    <xdr:sp macro="" textlink="">
      <xdr:nvSpPr>
        <xdr:cNvPr id="18" name="正方形/長方形 17">
          <a:extLst>
            <a:ext uri="{FF2B5EF4-FFF2-40B4-BE49-F238E27FC236}">
              <a16:creationId xmlns:a16="http://schemas.microsoft.com/office/drawing/2014/main" id="{00000000-0008-0000-0100-000012000000}"/>
            </a:ext>
          </a:extLst>
        </xdr:cNvPr>
        <xdr:cNvSpPr/>
      </xdr:nvSpPr>
      <xdr:spPr>
        <a:xfrm>
          <a:off x="69151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0</xdr:colOff>
      <xdr:row>46</xdr:row>
      <xdr:rowOff>0</xdr:rowOff>
    </xdr:from>
    <xdr:to>
      <xdr:col>6</xdr:col>
      <xdr:colOff>0</xdr:colOff>
      <xdr:row>52</xdr:row>
      <xdr:rowOff>0</xdr:rowOff>
    </xdr:to>
    <xdr:sp macro="" textlink="">
      <xdr:nvSpPr>
        <xdr:cNvPr id="19" name="正方形/長方形 18">
          <a:extLst>
            <a:ext uri="{FF2B5EF4-FFF2-40B4-BE49-F238E27FC236}">
              <a16:creationId xmlns:a16="http://schemas.microsoft.com/office/drawing/2014/main" id="{00000000-0008-0000-0100-000013000000}"/>
            </a:ext>
          </a:extLst>
        </xdr:cNvPr>
        <xdr:cNvSpPr/>
      </xdr:nvSpPr>
      <xdr:spPr>
        <a:xfrm>
          <a:off x="18859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342900</xdr:colOff>
      <xdr:row>12</xdr:row>
      <xdr:rowOff>0</xdr:rowOff>
    </xdr:from>
    <xdr:to>
      <xdr:col>2</xdr:col>
      <xdr:colOff>342900</xdr:colOff>
      <xdr:row>14</xdr:row>
      <xdr:rowOff>0</xdr:rowOff>
    </xdr:to>
    <xdr:cxnSp macro="">
      <xdr:nvCxnSpPr>
        <xdr:cNvPr id="20" name="直線コネクタ 19">
          <a:extLst>
            <a:ext uri="{FF2B5EF4-FFF2-40B4-BE49-F238E27FC236}">
              <a16:creationId xmlns:a16="http://schemas.microsoft.com/office/drawing/2014/main" id="{00000000-0008-0000-0100-000014000000}"/>
            </a:ext>
          </a:extLst>
        </xdr:cNvPr>
        <xdr:cNvCxnSpPr>
          <a:stCxn id="16" idx="2"/>
          <a:endCxn id="15" idx="0"/>
        </xdr:cNvCxnSpPr>
      </xdr:nvCxnSpPr>
      <xdr:spPr>
        <a:xfrm>
          <a:off x="16002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309563</xdr:colOff>
      <xdr:row>20</xdr:row>
      <xdr:rowOff>0</xdr:rowOff>
    </xdr:from>
    <xdr:to>
      <xdr:col>5</xdr:col>
      <xdr:colOff>0</xdr:colOff>
      <xdr:row>33</xdr:row>
      <xdr:rowOff>0</xdr:rowOff>
    </xdr:to>
    <xdr:cxnSp macro="">
      <xdr:nvCxnSpPr>
        <xdr:cNvPr id="21" name="カギ線コネクタ 20">
          <a:extLst>
            <a:ext uri="{FF2B5EF4-FFF2-40B4-BE49-F238E27FC236}">
              <a16:creationId xmlns:a16="http://schemas.microsoft.com/office/drawing/2014/main" id="{00000000-0008-0000-0100-000015000000}"/>
            </a:ext>
          </a:extLst>
        </xdr:cNvPr>
        <xdr:cNvCxnSpPr>
          <a:stCxn id="15" idx="2"/>
          <a:endCxn id="10" idx="1"/>
        </xdr:cNvCxnSpPr>
      </xdr:nvCxnSpPr>
      <xdr:spPr>
        <a:xfrm rot="16200000" flipH="1">
          <a:off x="1281907" y="3256756"/>
          <a:ext cx="2146300" cy="15763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12</xdr:row>
      <xdr:rowOff>0</xdr:rowOff>
    </xdr:from>
    <xdr:to>
      <xdr:col>6</xdr:col>
      <xdr:colOff>342900</xdr:colOff>
      <xdr:row>14</xdr:row>
      <xdr:rowOff>0</xdr:rowOff>
    </xdr:to>
    <xdr:cxnSp macro="">
      <xdr:nvCxnSpPr>
        <xdr:cNvPr id="22" name="直線コネクタ 21">
          <a:extLst>
            <a:ext uri="{FF2B5EF4-FFF2-40B4-BE49-F238E27FC236}">
              <a16:creationId xmlns:a16="http://schemas.microsoft.com/office/drawing/2014/main" id="{00000000-0008-0000-0100-000016000000}"/>
            </a:ext>
          </a:extLst>
        </xdr:cNvPr>
        <xdr:cNvCxnSpPr>
          <a:stCxn id="8" idx="2"/>
          <a:endCxn id="9"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309563</xdr:colOff>
      <xdr:row>20</xdr:row>
      <xdr:rowOff>0</xdr:rowOff>
    </xdr:from>
    <xdr:to>
      <xdr:col>6</xdr:col>
      <xdr:colOff>309563</xdr:colOff>
      <xdr:row>30</xdr:row>
      <xdr:rowOff>0</xdr:rowOff>
    </xdr:to>
    <xdr:cxnSp macro="">
      <xdr:nvCxnSpPr>
        <xdr:cNvPr id="23" name="直線コネクタ 22">
          <a:extLst>
            <a:ext uri="{FF2B5EF4-FFF2-40B4-BE49-F238E27FC236}">
              <a16:creationId xmlns:a16="http://schemas.microsoft.com/office/drawing/2014/main" id="{00000000-0008-0000-0100-000017000000}"/>
            </a:ext>
          </a:extLst>
        </xdr:cNvPr>
        <xdr:cNvCxnSpPr>
          <a:stCxn id="9" idx="2"/>
          <a:endCxn id="10" idx="0"/>
        </xdr:cNvCxnSpPr>
      </xdr:nvCxnSpPr>
      <xdr:spPr>
        <a:xfrm>
          <a:off x="4081463"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333375</xdr:colOff>
      <xdr:row>19</xdr:row>
      <xdr:rowOff>47624</xdr:rowOff>
    </xdr:from>
    <xdr:to>
      <xdr:col>10</xdr:col>
      <xdr:colOff>345282</xdr:colOff>
      <xdr:row>30</xdr:row>
      <xdr:rowOff>0</xdr:rowOff>
    </xdr:to>
    <xdr:cxnSp macro="">
      <xdr:nvCxnSpPr>
        <xdr:cNvPr id="24" name="カギ線コネクタ 23">
          <a:extLst>
            <a:ext uri="{FF2B5EF4-FFF2-40B4-BE49-F238E27FC236}">
              <a16:creationId xmlns:a16="http://schemas.microsoft.com/office/drawing/2014/main" id="{00000000-0008-0000-0100-000018000000}"/>
            </a:ext>
          </a:extLst>
        </xdr:cNvPr>
        <xdr:cNvCxnSpPr>
          <a:endCxn id="11" idx="0"/>
        </xdr:cNvCxnSpPr>
      </xdr:nvCxnSpPr>
      <xdr:spPr>
        <a:xfrm rot="16200000" flipH="1">
          <a:off x="5112941" y="3103958"/>
          <a:ext cx="1768476" cy="1269207"/>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36</xdr:row>
      <xdr:rowOff>0</xdr:rowOff>
    </xdr:from>
    <xdr:to>
      <xdr:col>10</xdr:col>
      <xdr:colOff>342900</xdr:colOff>
      <xdr:row>38</xdr:row>
      <xdr:rowOff>0</xdr:rowOff>
    </xdr:to>
    <xdr:cxnSp macro="">
      <xdr:nvCxnSpPr>
        <xdr:cNvPr id="25" name="カギ線コネクタ 24">
          <a:extLst>
            <a:ext uri="{FF2B5EF4-FFF2-40B4-BE49-F238E27FC236}">
              <a16:creationId xmlns:a16="http://schemas.microsoft.com/office/drawing/2014/main" id="{00000000-0008-0000-0100-000019000000}"/>
            </a:ext>
          </a:extLst>
        </xdr:cNvPr>
        <xdr:cNvCxnSpPr>
          <a:stCxn id="11" idx="2"/>
          <a:endCxn id="12" idx="0"/>
        </xdr:cNvCxnSpPr>
      </xdr:nvCxnSpPr>
      <xdr:spPr>
        <a:xfrm rot="5400000">
          <a:off x="5835650" y="5149850"/>
          <a:ext cx="330200" cy="12573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36</xdr:row>
      <xdr:rowOff>0</xdr:rowOff>
    </xdr:from>
    <xdr:to>
      <xdr:col>7</xdr:col>
      <xdr:colOff>0</xdr:colOff>
      <xdr:row>41</xdr:row>
      <xdr:rowOff>0</xdr:rowOff>
    </xdr:to>
    <xdr:cxnSp macro="">
      <xdr:nvCxnSpPr>
        <xdr:cNvPr id="26" name="カギ線コネクタ 25">
          <a:extLst>
            <a:ext uri="{FF2B5EF4-FFF2-40B4-BE49-F238E27FC236}">
              <a16:creationId xmlns:a16="http://schemas.microsoft.com/office/drawing/2014/main" id="{00000000-0008-0000-0100-00001A000000}"/>
            </a:ext>
          </a:extLst>
        </xdr:cNvPr>
        <xdr:cNvCxnSpPr>
          <a:stCxn id="10" idx="2"/>
          <a:endCxn id="12" idx="1"/>
        </xdr:cNvCxnSpPr>
      </xdr:nvCxnSpPr>
      <xdr:spPr>
        <a:xfrm rot="16200000" flipH="1">
          <a:off x="3844925" y="5883275"/>
          <a:ext cx="825500" cy="285750"/>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342900</xdr:colOff>
      <xdr:row>44</xdr:row>
      <xdr:rowOff>0</xdr:rowOff>
    </xdr:from>
    <xdr:to>
      <xdr:col>8</xdr:col>
      <xdr:colOff>342900</xdr:colOff>
      <xdr:row>46</xdr:row>
      <xdr:rowOff>0</xdr:rowOff>
    </xdr:to>
    <xdr:cxnSp macro="">
      <xdr:nvCxnSpPr>
        <xdr:cNvPr id="27" name="カギ線コネクタ 26">
          <a:extLst>
            <a:ext uri="{FF2B5EF4-FFF2-40B4-BE49-F238E27FC236}">
              <a16:creationId xmlns:a16="http://schemas.microsoft.com/office/drawing/2014/main" id="{00000000-0008-0000-0100-00001B000000}"/>
            </a:ext>
          </a:extLst>
        </xdr:cNvPr>
        <xdr:cNvCxnSpPr>
          <a:stCxn id="12" idx="2"/>
          <a:endCxn id="19" idx="0"/>
        </xdr:cNvCxnSpPr>
      </xdr:nvCxnSpPr>
      <xdr:spPr>
        <a:xfrm rot="5400000">
          <a:off x="39497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12</xdr:col>
      <xdr:colOff>342900</xdr:colOff>
      <xdr:row>46</xdr:row>
      <xdr:rowOff>0</xdr:rowOff>
    </xdr:to>
    <xdr:cxnSp macro="">
      <xdr:nvCxnSpPr>
        <xdr:cNvPr id="28" name="カギ線コネクタ 27">
          <a:extLst>
            <a:ext uri="{FF2B5EF4-FFF2-40B4-BE49-F238E27FC236}">
              <a16:creationId xmlns:a16="http://schemas.microsoft.com/office/drawing/2014/main" id="{00000000-0008-0000-0100-00001C000000}"/>
            </a:ext>
          </a:extLst>
        </xdr:cNvPr>
        <xdr:cNvCxnSpPr>
          <a:stCxn id="12" idx="2"/>
          <a:endCxn id="18" idx="0"/>
        </xdr:cNvCxnSpPr>
      </xdr:nvCxnSpPr>
      <xdr:spPr>
        <a:xfrm rot="16200000" flipH="1">
          <a:off x="64643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8</xdr:col>
      <xdr:colOff>342900</xdr:colOff>
      <xdr:row>46</xdr:row>
      <xdr:rowOff>0</xdr:rowOff>
    </xdr:to>
    <xdr:cxnSp macro="">
      <xdr:nvCxnSpPr>
        <xdr:cNvPr id="29" name="直線コネクタ 28">
          <a:extLst>
            <a:ext uri="{FF2B5EF4-FFF2-40B4-BE49-F238E27FC236}">
              <a16:creationId xmlns:a16="http://schemas.microsoft.com/office/drawing/2014/main" id="{00000000-0008-0000-0100-00001D000000}"/>
            </a:ext>
          </a:extLst>
        </xdr:cNvPr>
        <xdr:cNvCxnSpPr>
          <a:stCxn id="12" idx="2"/>
          <a:endCxn id="17" idx="0"/>
        </xdr:cNvCxnSpPr>
      </xdr:nvCxnSpPr>
      <xdr:spPr>
        <a:xfrm>
          <a:off x="5372100" y="69342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15</xdr:row>
      <xdr:rowOff>9525</xdr:rowOff>
    </xdr:from>
    <xdr:to>
      <xdr:col>10</xdr:col>
      <xdr:colOff>19050</xdr:colOff>
      <xdr:row>15</xdr:row>
      <xdr:rowOff>9525</xdr:rowOff>
    </xdr:to>
    <xdr:cxnSp macro="">
      <xdr:nvCxnSpPr>
        <xdr:cNvPr id="30" name="直線コネクタ 29">
          <a:extLst>
            <a:ext uri="{FF2B5EF4-FFF2-40B4-BE49-F238E27FC236}">
              <a16:creationId xmlns:a16="http://schemas.microsoft.com/office/drawing/2014/main" id="{00000000-0008-0000-0100-00001E000000}"/>
            </a:ext>
          </a:extLst>
        </xdr:cNvPr>
        <xdr:cNvCxnSpPr/>
      </xdr:nvCxnSpPr>
      <xdr:spPr>
        <a:xfrm>
          <a:off x="5029200" y="215582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23814</xdr:colOff>
      <xdr:row>38</xdr:row>
      <xdr:rowOff>0</xdr:rowOff>
    </xdr:from>
    <xdr:to>
      <xdr:col>17</xdr:col>
      <xdr:colOff>23813</xdr:colOff>
      <xdr:row>44</xdr:row>
      <xdr:rowOff>0</xdr:rowOff>
    </xdr:to>
    <xdr:sp macro="" textlink="">
      <xdr:nvSpPr>
        <xdr:cNvPr id="31" name="正方形/長方形 30">
          <a:extLst>
            <a:ext uri="{FF2B5EF4-FFF2-40B4-BE49-F238E27FC236}">
              <a16:creationId xmlns:a16="http://schemas.microsoft.com/office/drawing/2014/main" id="{00000000-0008-0000-0100-00001F000000}"/>
            </a:ext>
          </a:extLst>
        </xdr:cNvPr>
        <xdr:cNvSpPr/>
      </xdr:nvSpPr>
      <xdr:spPr>
        <a:xfrm>
          <a:off x="8824914" y="5943600"/>
          <a:ext cx="1885949"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323417</xdr:colOff>
      <xdr:row>35</xdr:row>
      <xdr:rowOff>146971</xdr:rowOff>
    </xdr:from>
    <xdr:to>
      <xdr:col>15</xdr:col>
      <xdr:colOff>365847</xdr:colOff>
      <xdr:row>38</xdr:row>
      <xdr:rowOff>0</xdr:rowOff>
    </xdr:to>
    <xdr:cxnSp macro="">
      <xdr:nvCxnSpPr>
        <xdr:cNvPr id="32" name="カギ線コネクタ 31">
          <a:extLst>
            <a:ext uri="{FF2B5EF4-FFF2-40B4-BE49-F238E27FC236}">
              <a16:creationId xmlns:a16="http://schemas.microsoft.com/office/drawing/2014/main" id="{00000000-0008-0000-0100-000020000000}"/>
            </a:ext>
          </a:extLst>
        </xdr:cNvPr>
        <xdr:cNvCxnSpPr>
          <a:endCxn id="31" idx="0"/>
        </xdr:cNvCxnSpPr>
      </xdr:nvCxnSpPr>
      <xdr:spPr>
        <a:xfrm rot="16200000" flipH="1">
          <a:off x="8342917" y="4490921"/>
          <a:ext cx="348329" cy="255703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345280</xdr:colOff>
      <xdr:row>10</xdr:row>
      <xdr:rowOff>0</xdr:rowOff>
    </xdr:from>
    <xdr:to>
      <xdr:col>17</xdr:col>
      <xdr:colOff>23812</xdr:colOff>
      <xdr:row>41</xdr:row>
      <xdr:rowOff>0</xdr:rowOff>
    </xdr:to>
    <xdr:cxnSp macro="">
      <xdr:nvCxnSpPr>
        <xdr:cNvPr id="33" name="カギ線コネクタ 32">
          <a:extLst>
            <a:ext uri="{FF2B5EF4-FFF2-40B4-BE49-F238E27FC236}">
              <a16:creationId xmlns:a16="http://schemas.microsoft.com/office/drawing/2014/main" id="{00000000-0008-0000-0100-000021000000}"/>
            </a:ext>
          </a:extLst>
        </xdr:cNvPr>
        <xdr:cNvCxnSpPr>
          <a:stCxn id="35" idx="0"/>
          <a:endCxn id="31" idx="3"/>
        </xdr:cNvCxnSpPr>
      </xdr:nvCxnSpPr>
      <xdr:spPr>
        <a:xfrm rot="16200000" flipH="1">
          <a:off x="6426596" y="2154634"/>
          <a:ext cx="5118100" cy="34504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428624</xdr:colOff>
      <xdr:row>41</xdr:row>
      <xdr:rowOff>-1</xdr:rowOff>
    </xdr:from>
    <xdr:to>
      <xdr:col>15</xdr:col>
      <xdr:colOff>369095</xdr:colOff>
      <xdr:row>44</xdr:row>
      <xdr:rowOff>0</xdr:rowOff>
    </xdr:to>
    <xdr:cxnSp macro="">
      <xdr:nvCxnSpPr>
        <xdr:cNvPr id="34" name="カギ線コネクタ 33">
          <a:extLst>
            <a:ext uri="{FF2B5EF4-FFF2-40B4-BE49-F238E27FC236}">
              <a16:creationId xmlns:a16="http://schemas.microsoft.com/office/drawing/2014/main" id="{00000000-0008-0000-0100-000022000000}"/>
            </a:ext>
          </a:extLst>
        </xdr:cNvPr>
        <xdr:cNvCxnSpPr>
          <a:endCxn id="31" idx="2"/>
        </xdr:cNvCxnSpPr>
      </xdr:nvCxnSpPr>
      <xdr:spPr>
        <a:xfrm>
          <a:off x="3571874" y="6438899"/>
          <a:ext cx="6226971" cy="49530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10</xdr:row>
      <xdr:rowOff>0</xdr:rowOff>
    </xdr:from>
    <xdr:to>
      <xdr:col>13</xdr:col>
      <xdr:colOff>0</xdr:colOff>
      <xdr:row>16</xdr:row>
      <xdr:rowOff>0</xdr:rowOff>
    </xdr:to>
    <xdr:sp macro="" textlink="">
      <xdr:nvSpPr>
        <xdr:cNvPr id="35" name="正方形/長方形 34">
          <a:extLst>
            <a:ext uri="{FF2B5EF4-FFF2-40B4-BE49-F238E27FC236}">
              <a16:creationId xmlns:a16="http://schemas.microsoft.com/office/drawing/2014/main" id="{00000000-0008-0000-0100-000023000000}"/>
            </a:ext>
          </a:extLst>
        </xdr:cNvPr>
        <xdr:cNvSpPr/>
      </xdr:nvSpPr>
      <xdr:spPr>
        <a:xfrm>
          <a:off x="628650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0</xdr:colOff>
      <xdr:row>10</xdr:row>
      <xdr:rowOff>0</xdr:rowOff>
    </xdr:from>
    <xdr:to>
      <xdr:col>16</xdr:col>
      <xdr:colOff>0</xdr:colOff>
      <xdr:row>16</xdr:row>
      <xdr:rowOff>0</xdr:rowOff>
    </xdr:to>
    <xdr:sp macro="" textlink="">
      <xdr:nvSpPr>
        <xdr:cNvPr id="36" name="正方形/長方形 35">
          <a:extLst>
            <a:ext uri="{FF2B5EF4-FFF2-40B4-BE49-F238E27FC236}">
              <a16:creationId xmlns:a16="http://schemas.microsoft.com/office/drawing/2014/main" id="{00000000-0008-0000-0100-000024000000}"/>
            </a:ext>
          </a:extLst>
        </xdr:cNvPr>
        <xdr:cNvSpPr/>
      </xdr:nvSpPr>
      <xdr:spPr>
        <a:xfrm>
          <a:off x="817245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ja-JP" altLang="en-US" sz="800">
            <a:solidFill>
              <a:sysClr val="windowText" lastClr="000000"/>
            </a:solidFill>
          </a:endParaRPr>
        </a:p>
      </xdr:txBody>
    </xdr:sp>
    <xdr:clientData/>
  </xdr:twoCellAnchor>
  <xdr:twoCellAnchor>
    <xdr:from>
      <xdr:col>11</xdr:col>
      <xdr:colOff>119066</xdr:colOff>
      <xdr:row>22</xdr:row>
      <xdr:rowOff>35719</xdr:rowOff>
    </xdr:from>
    <xdr:to>
      <xdr:col>12</xdr:col>
      <xdr:colOff>4</xdr:colOff>
      <xdr:row>25</xdr:row>
      <xdr:rowOff>137585</xdr:rowOff>
    </xdr:to>
    <xdr:cxnSp macro="">
      <xdr:nvCxnSpPr>
        <xdr:cNvPr id="37" name="カギ線コネクタ 36">
          <a:extLst>
            <a:ext uri="{FF2B5EF4-FFF2-40B4-BE49-F238E27FC236}">
              <a16:creationId xmlns:a16="http://schemas.microsoft.com/office/drawing/2014/main" id="{00000000-0008-0000-0100-000025000000}"/>
            </a:ext>
          </a:extLst>
        </xdr:cNvPr>
        <xdr:cNvCxnSpPr>
          <a:stCxn id="38" idx="1"/>
        </xdr:cNvCxnSpPr>
      </xdr:nvCxnSpPr>
      <xdr:spPr>
        <a:xfrm rot="10800000">
          <a:off x="6987649" y="3761052"/>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xdr:colOff>
      <xdr:row>25</xdr:row>
      <xdr:rowOff>2</xdr:rowOff>
    </xdr:from>
    <xdr:to>
      <xdr:col>15</xdr:col>
      <xdr:colOff>116417</xdr:colOff>
      <xdr:row>26</xdr:row>
      <xdr:rowOff>105833</xdr:rowOff>
    </xdr:to>
    <xdr:sp macro="" textlink="">
      <xdr:nvSpPr>
        <xdr:cNvPr id="38" name="正方形/長方形 37">
          <a:extLst>
            <a:ext uri="{FF2B5EF4-FFF2-40B4-BE49-F238E27FC236}">
              <a16:creationId xmlns:a16="http://schemas.microsoft.com/office/drawing/2014/main" id="{00000000-0008-0000-0100-000026000000}"/>
            </a:ext>
          </a:extLst>
        </xdr:cNvPr>
        <xdr:cNvSpPr/>
      </xdr:nvSpPr>
      <xdr:spPr>
        <a:xfrm>
          <a:off x="7493003" y="4233335"/>
          <a:ext cx="1989664"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1</xdr:col>
      <xdr:colOff>9525</xdr:colOff>
      <xdr:row>0</xdr:row>
      <xdr:rowOff>92869</xdr:rowOff>
    </xdr:from>
    <xdr:to>
      <xdr:col>2</xdr:col>
      <xdr:colOff>9525</xdr:colOff>
      <xdr:row>0</xdr:row>
      <xdr:rowOff>92869</xdr:rowOff>
    </xdr:to>
    <xdr:cxnSp macro="">
      <xdr:nvCxnSpPr>
        <xdr:cNvPr id="39" name="直線コネクタ 38">
          <a:extLst>
            <a:ext uri="{FF2B5EF4-FFF2-40B4-BE49-F238E27FC236}">
              <a16:creationId xmlns:a16="http://schemas.microsoft.com/office/drawing/2014/main" id="{00000000-0008-0000-0100-000027000000}"/>
            </a:ext>
          </a:extLst>
        </xdr:cNvPr>
        <xdr:cNvCxnSpPr/>
      </xdr:nvCxnSpPr>
      <xdr:spPr>
        <a:xfrm>
          <a:off x="638175" y="92869"/>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92869</xdr:rowOff>
    </xdr:from>
    <xdr:to>
      <xdr:col>2</xdr:col>
      <xdr:colOff>9525</xdr:colOff>
      <xdr:row>1</xdr:row>
      <xdr:rowOff>92869</xdr:rowOff>
    </xdr:to>
    <xdr:cxnSp macro="">
      <xdr:nvCxnSpPr>
        <xdr:cNvPr id="40" name="直線コネクタ 39">
          <a:extLst>
            <a:ext uri="{FF2B5EF4-FFF2-40B4-BE49-F238E27FC236}">
              <a16:creationId xmlns:a16="http://schemas.microsoft.com/office/drawing/2014/main" id="{00000000-0008-0000-0100-000028000000}"/>
            </a:ext>
          </a:extLst>
        </xdr:cNvPr>
        <xdr:cNvCxnSpPr/>
      </xdr:nvCxnSpPr>
      <xdr:spPr>
        <a:xfrm>
          <a:off x="638175" y="257969"/>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24</xdr:row>
      <xdr:rowOff>19050</xdr:rowOff>
    </xdr:from>
    <xdr:to>
      <xdr:col>2</xdr:col>
      <xdr:colOff>171450</xdr:colOff>
      <xdr:row>25</xdr:row>
      <xdr:rowOff>133351</xdr:rowOff>
    </xdr:to>
    <xdr:cxnSp macro="">
      <xdr:nvCxnSpPr>
        <xdr:cNvPr id="41" name="直線矢印コネクタ 40">
          <a:extLst>
            <a:ext uri="{FF2B5EF4-FFF2-40B4-BE49-F238E27FC236}">
              <a16:creationId xmlns:a16="http://schemas.microsoft.com/office/drawing/2014/main" id="{00000000-0008-0000-0100-000029000000}"/>
            </a:ext>
          </a:extLst>
        </xdr:cNvPr>
        <xdr:cNvCxnSpPr/>
      </xdr:nvCxnSpPr>
      <xdr:spPr>
        <a:xfrm flipV="1">
          <a:off x="142875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497681</xdr:colOff>
      <xdr:row>25</xdr:row>
      <xdr:rowOff>90488</xdr:rowOff>
    </xdr:from>
    <xdr:to>
      <xdr:col>9</xdr:col>
      <xdr:colOff>173831</xdr:colOff>
      <xdr:row>25</xdr:row>
      <xdr:rowOff>90489</xdr:rowOff>
    </xdr:to>
    <xdr:cxnSp macro="">
      <xdr:nvCxnSpPr>
        <xdr:cNvPr id="42" name="直線矢印コネクタ 41">
          <a:extLst>
            <a:ext uri="{FF2B5EF4-FFF2-40B4-BE49-F238E27FC236}">
              <a16:creationId xmlns:a16="http://schemas.microsoft.com/office/drawing/2014/main" id="{00000000-0008-0000-0100-00002A000000}"/>
            </a:ext>
          </a:extLst>
        </xdr:cNvPr>
        <xdr:cNvCxnSpPr/>
      </xdr:nvCxnSpPr>
      <xdr:spPr>
        <a:xfrm flipH="1">
          <a:off x="5526881" y="3887788"/>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200025</xdr:colOff>
      <xdr:row>37</xdr:row>
      <xdr:rowOff>28575</xdr:rowOff>
    </xdr:from>
    <xdr:to>
      <xdr:col>6</xdr:col>
      <xdr:colOff>200025</xdr:colOff>
      <xdr:row>38</xdr:row>
      <xdr:rowOff>142876</xdr:rowOff>
    </xdr:to>
    <xdr:cxnSp macro="">
      <xdr:nvCxnSpPr>
        <xdr:cNvPr id="43" name="直線矢印コネクタ 42">
          <a:extLst>
            <a:ext uri="{FF2B5EF4-FFF2-40B4-BE49-F238E27FC236}">
              <a16:creationId xmlns:a16="http://schemas.microsoft.com/office/drawing/2014/main" id="{00000000-0008-0000-0100-00002B000000}"/>
            </a:ext>
          </a:extLst>
        </xdr:cNvPr>
        <xdr:cNvCxnSpPr/>
      </xdr:nvCxnSpPr>
      <xdr:spPr>
        <a:xfrm flipV="1">
          <a:off x="3971925" y="58070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9524</xdr:colOff>
      <xdr:row>24</xdr:row>
      <xdr:rowOff>14287</xdr:rowOff>
    </xdr:from>
    <xdr:to>
      <xdr:col>11</xdr:col>
      <xdr:colOff>9524</xdr:colOff>
      <xdr:row>25</xdr:row>
      <xdr:rowOff>133351</xdr:rowOff>
    </xdr:to>
    <xdr:cxnSp macro="">
      <xdr:nvCxnSpPr>
        <xdr:cNvPr id="44" name="直線矢印コネクタ 43">
          <a:extLst>
            <a:ext uri="{FF2B5EF4-FFF2-40B4-BE49-F238E27FC236}">
              <a16:creationId xmlns:a16="http://schemas.microsoft.com/office/drawing/2014/main" id="{00000000-0008-0000-0100-00002C000000}"/>
            </a:ext>
          </a:extLst>
        </xdr:cNvPr>
        <xdr:cNvCxnSpPr/>
      </xdr:nvCxnSpPr>
      <xdr:spPr>
        <a:xfrm flipV="1">
          <a:off x="6924674" y="3646487"/>
          <a:ext cx="0" cy="28416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497682</xdr:colOff>
      <xdr:row>36</xdr:row>
      <xdr:rowOff>76200</xdr:rowOff>
    </xdr:from>
    <xdr:to>
      <xdr:col>9</xdr:col>
      <xdr:colOff>173832</xdr:colOff>
      <xdr:row>36</xdr:row>
      <xdr:rowOff>76201</xdr:rowOff>
    </xdr:to>
    <xdr:cxnSp macro="">
      <xdr:nvCxnSpPr>
        <xdr:cNvPr id="45" name="直線矢印コネクタ 44">
          <a:extLst>
            <a:ext uri="{FF2B5EF4-FFF2-40B4-BE49-F238E27FC236}">
              <a16:creationId xmlns:a16="http://schemas.microsoft.com/office/drawing/2014/main" id="{00000000-0008-0000-0100-00002D000000}"/>
            </a:ext>
          </a:extLst>
        </xdr:cNvPr>
        <xdr:cNvCxnSpPr/>
      </xdr:nvCxnSpPr>
      <xdr:spPr>
        <a:xfrm flipH="1">
          <a:off x="5526882" y="5689600"/>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100012</xdr:colOff>
      <xdr:row>36</xdr:row>
      <xdr:rowOff>76200</xdr:rowOff>
    </xdr:from>
    <xdr:to>
      <xdr:col>12</xdr:col>
      <xdr:colOff>461962</xdr:colOff>
      <xdr:row>36</xdr:row>
      <xdr:rowOff>76201</xdr:rowOff>
    </xdr:to>
    <xdr:cxnSp macro="">
      <xdr:nvCxnSpPr>
        <xdr:cNvPr id="46" name="直線矢印コネクタ 45">
          <a:extLst>
            <a:ext uri="{FF2B5EF4-FFF2-40B4-BE49-F238E27FC236}">
              <a16:creationId xmlns:a16="http://schemas.microsoft.com/office/drawing/2014/main" id="{00000000-0008-0000-0100-00002E000000}"/>
            </a:ext>
          </a:extLst>
        </xdr:cNvPr>
        <xdr:cNvCxnSpPr/>
      </xdr:nvCxnSpPr>
      <xdr:spPr>
        <a:xfrm flipH="1">
          <a:off x="7643812"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176646</xdr:colOff>
      <xdr:row>44</xdr:row>
      <xdr:rowOff>162792</xdr:rowOff>
    </xdr:from>
    <xdr:to>
      <xdr:col>15</xdr:col>
      <xdr:colOff>181841</xdr:colOff>
      <xdr:row>47</xdr:row>
      <xdr:rowOff>8659</xdr:rowOff>
    </xdr:to>
    <xdr:cxnSp macro="">
      <xdr:nvCxnSpPr>
        <xdr:cNvPr id="47" name="直線矢印コネクタ 46">
          <a:extLst>
            <a:ext uri="{FF2B5EF4-FFF2-40B4-BE49-F238E27FC236}">
              <a16:creationId xmlns:a16="http://schemas.microsoft.com/office/drawing/2014/main" id="{00000000-0008-0000-0100-00002F000000}"/>
            </a:ext>
          </a:extLst>
        </xdr:cNvPr>
        <xdr:cNvCxnSpPr/>
      </xdr:nvCxnSpPr>
      <xdr:spPr>
        <a:xfrm flipH="1" flipV="1">
          <a:off x="9606396" y="7096992"/>
          <a:ext cx="5195" cy="3411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24</xdr:row>
      <xdr:rowOff>19050</xdr:rowOff>
    </xdr:from>
    <xdr:to>
      <xdr:col>6</xdr:col>
      <xdr:colOff>190500</xdr:colOff>
      <xdr:row>25</xdr:row>
      <xdr:rowOff>133351</xdr:rowOff>
    </xdr:to>
    <xdr:cxnSp macro="">
      <xdr:nvCxnSpPr>
        <xdr:cNvPr id="48" name="直線矢印コネクタ 47">
          <a:extLst>
            <a:ext uri="{FF2B5EF4-FFF2-40B4-BE49-F238E27FC236}">
              <a16:creationId xmlns:a16="http://schemas.microsoft.com/office/drawing/2014/main" id="{00000000-0008-0000-0100-000030000000}"/>
            </a:ext>
          </a:extLst>
        </xdr:cNvPr>
        <xdr:cNvCxnSpPr/>
      </xdr:nvCxnSpPr>
      <xdr:spPr>
        <a:xfrm flipV="1">
          <a:off x="396240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333375</xdr:colOff>
      <xdr:row>8</xdr:row>
      <xdr:rowOff>76200</xdr:rowOff>
    </xdr:from>
    <xdr:to>
      <xdr:col>12</xdr:col>
      <xdr:colOff>9525</xdr:colOff>
      <xdr:row>8</xdr:row>
      <xdr:rowOff>76201</xdr:rowOff>
    </xdr:to>
    <xdr:cxnSp macro="">
      <xdr:nvCxnSpPr>
        <xdr:cNvPr id="49" name="直線矢印コネクタ 48">
          <a:extLst>
            <a:ext uri="{FF2B5EF4-FFF2-40B4-BE49-F238E27FC236}">
              <a16:creationId xmlns:a16="http://schemas.microsoft.com/office/drawing/2014/main" id="{00000000-0008-0000-0100-000031000000}"/>
            </a:ext>
          </a:extLst>
        </xdr:cNvPr>
        <xdr:cNvCxnSpPr/>
      </xdr:nvCxnSpPr>
      <xdr:spPr>
        <a:xfrm flipH="1">
          <a:off x="7248525" y="1066800"/>
          <a:ext cx="30480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18</xdr:row>
      <xdr:rowOff>0</xdr:rowOff>
    </xdr:from>
    <xdr:to>
      <xdr:col>10</xdr:col>
      <xdr:colOff>19050</xdr:colOff>
      <xdr:row>18</xdr:row>
      <xdr:rowOff>0</xdr:rowOff>
    </xdr:to>
    <xdr:cxnSp macro="">
      <xdr:nvCxnSpPr>
        <xdr:cNvPr id="50" name="直線コネクタ 49">
          <a:extLst>
            <a:ext uri="{FF2B5EF4-FFF2-40B4-BE49-F238E27FC236}">
              <a16:creationId xmlns:a16="http://schemas.microsoft.com/office/drawing/2014/main" id="{00000000-0008-0000-0100-000032000000}"/>
            </a:ext>
          </a:extLst>
        </xdr:cNvPr>
        <xdr:cNvCxnSpPr/>
      </xdr:nvCxnSpPr>
      <xdr:spPr>
        <a:xfrm>
          <a:off x="5029200" y="264160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14</xdr:row>
      <xdr:rowOff>76200</xdr:rowOff>
    </xdr:from>
    <xdr:to>
      <xdr:col>9</xdr:col>
      <xdr:colOff>171450</xdr:colOff>
      <xdr:row>14</xdr:row>
      <xdr:rowOff>76201</xdr:rowOff>
    </xdr:to>
    <xdr:cxnSp macro="">
      <xdr:nvCxnSpPr>
        <xdr:cNvPr id="51" name="直線矢印コネクタ 50">
          <a:extLst>
            <a:ext uri="{FF2B5EF4-FFF2-40B4-BE49-F238E27FC236}">
              <a16:creationId xmlns:a16="http://schemas.microsoft.com/office/drawing/2014/main" id="{00000000-0008-0000-0100-000033000000}"/>
            </a:ext>
          </a:extLst>
        </xdr:cNvPr>
        <xdr:cNvCxnSpPr/>
      </xdr:nvCxnSpPr>
      <xdr:spPr>
        <a:xfrm flipH="1">
          <a:off x="5524500" y="205740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18</xdr:row>
      <xdr:rowOff>95250</xdr:rowOff>
    </xdr:from>
    <xdr:to>
      <xdr:col>9</xdr:col>
      <xdr:colOff>171450</xdr:colOff>
      <xdr:row>18</xdr:row>
      <xdr:rowOff>95251</xdr:rowOff>
    </xdr:to>
    <xdr:cxnSp macro="">
      <xdr:nvCxnSpPr>
        <xdr:cNvPr id="52" name="直線矢印コネクタ 51">
          <a:extLst>
            <a:ext uri="{FF2B5EF4-FFF2-40B4-BE49-F238E27FC236}">
              <a16:creationId xmlns:a16="http://schemas.microsoft.com/office/drawing/2014/main" id="{00000000-0008-0000-0100-000034000000}"/>
            </a:ext>
          </a:extLst>
        </xdr:cNvPr>
        <xdr:cNvCxnSpPr/>
      </xdr:nvCxnSpPr>
      <xdr:spPr>
        <a:xfrm flipH="1">
          <a:off x="5524500" y="273685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12</xdr:row>
      <xdr:rowOff>28575</xdr:rowOff>
    </xdr:from>
    <xdr:to>
      <xdr:col>6</xdr:col>
      <xdr:colOff>190500</xdr:colOff>
      <xdr:row>13</xdr:row>
      <xdr:rowOff>142876</xdr:rowOff>
    </xdr:to>
    <xdr:cxnSp macro="">
      <xdr:nvCxnSpPr>
        <xdr:cNvPr id="53" name="直線矢印コネクタ 52">
          <a:extLst>
            <a:ext uri="{FF2B5EF4-FFF2-40B4-BE49-F238E27FC236}">
              <a16:creationId xmlns:a16="http://schemas.microsoft.com/office/drawing/2014/main" id="{00000000-0008-0000-0100-000035000000}"/>
            </a:ext>
          </a:extLst>
        </xdr:cNvPr>
        <xdr:cNvCxnSpPr/>
      </xdr:nvCxnSpPr>
      <xdr:spPr>
        <a:xfrm flipV="1">
          <a:off x="3962400" y="16795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12</xdr:row>
      <xdr:rowOff>19050</xdr:rowOff>
    </xdr:from>
    <xdr:to>
      <xdr:col>2</xdr:col>
      <xdr:colOff>171450</xdr:colOff>
      <xdr:row>13</xdr:row>
      <xdr:rowOff>133351</xdr:rowOff>
    </xdr:to>
    <xdr:cxnSp macro="">
      <xdr:nvCxnSpPr>
        <xdr:cNvPr id="54" name="直線矢印コネクタ 53">
          <a:extLst>
            <a:ext uri="{FF2B5EF4-FFF2-40B4-BE49-F238E27FC236}">
              <a16:creationId xmlns:a16="http://schemas.microsoft.com/office/drawing/2014/main" id="{00000000-0008-0000-0100-000036000000}"/>
            </a:ext>
          </a:extLst>
        </xdr:cNvPr>
        <xdr:cNvCxnSpPr/>
      </xdr:nvCxnSpPr>
      <xdr:spPr>
        <a:xfrm flipV="1">
          <a:off x="1428750"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190500</xdr:colOff>
      <xdr:row>44</xdr:row>
      <xdr:rowOff>28575</xdr:rowOff>
    </xdr:from>
    <xdr:to>
      <xdr:col>8</xdr:col>
      <xdr:colOff>190500</xdr:colOff>
      <xdr:row>45</xdr:row>
      <xdr:rowOff>142876</xdr:rowOff>
    </xdr:to>
    <xdr:cxnSp macro="">
      <xdr:nvCxnSpPr>
        <xdr:cNvPr id="55" name="直線矢印コネクタ 54">
          <a:extLst>
            <a:ext uri="{FF2B5EF4-FFF2-40B4-BE49-F238E27FC236}">
              <a16:creationId xmlns:a16="http://schemas.microsoft.com/office/drawing/2014/main" id="{00000000-0008-0000-0100-000037000000}"/>
            </a:ext>
          </a:extLst>
        </xdr:cNvPr>
        <xdr:cNvCxnSpPr/>
      </xdr:nvCxnSpPr>
      <xdr:spPr>
        <a:xfrm flipV="1">
          <a:off x="5219700"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171450</xdr:colOff>
      <xdr:row>44</xdr:row>
      <xdr:rowOff>76200</xdr:rowOff>
    </xdr:from>
    <xdr:to>
      <xdr:col>6</xdr:col>
      <xdr:colOff>533400</xdr:colOff>
      <xdr:row>44</xdr:row>
      <xdr:rowOff>76201</xdr:rowOff>
    </xdr:to>
    <xdr:cxnSp macro="">
      <xdr:nvCxnSpPr>
        <xdr:cNvPr id="56" name="直線矢印コネクタ 55">
          <a:extLst>
            <a:ext uri="{FF2B5EF4-FFF2-40B4-BE49-F238E27FC236}">
              <a16:creationId xmlns:a16="http://schemas.microsoft.com/office/drawing/2014/main" id="{00000000-0008-0000-0100-000038000000}"/>
            </a:ext>
          </a:extLst>
        </xdr:cNvPr>
        <xdr:cNvCxnSpPr/>
      </xdr:nvCxnSpPr>
      <xdr:spPr>
        <a:xfrm flipH="1">
          <a:off x="3943350"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161925</xdr:colOff>
      <xdr:row>44</xdr:row>
      <xdr:rowOff>76200</xdr:rowOff>
    </xdr:from>
    <xdr:to>
      <xdr:col>10</xdr:col>
      <xdr:colOff>523875</xdr:colOff>
      <xdr:row>44</xdr:row>
      <xdr:rowOff>76201</xdr:rowOff>
    </xdr:to>
    <xdr:cxnSp macro="">
      <xdr:nvCxnSpPr>
        <xdr:cNvPr id="57" name="直線矢印コネクタ 56">
          <a:extLst>
            <a:ext uri="{FF2B5EF4-FFF2-40B4-BE49-F238E27FC236}">
              <a16:creationId xmlns:a16="http://schemas.microsoft.com/office/drawing/2014/main" id="{00000000-0008-0000-0100-000039000000}"/>
            </a:ext>
          </a:extLst>
        </xdr:cNvPr>
        <xdr:cNvCxnSpPr/>
      </xdr:nvCxnSpPr>
      <xdr:spPr>
        <a:xfrm flipH="1">
          <a:off x="6448425"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280987</xdr:colOff>
      <xdr:row>33</xdr:row>
      <xdr:rowOff>130969</xdr:rowOff>
    </xdr:from>
    <xdr:to>
      <xdr:col>7</xdr:col>
      <xdr:colOff>652462</xdr:colOff>
      <xdr:row>35</xdr:row>
      <xdr:rowOff>146971</xdr:rowOff>
    </xdr:to>
    <xdr:sp macro="" textlink="">
      <xdr:nvSpPr>
        <xdr:cNvPr id="58" name="円柱 57">
          <a:extLst>
            <a:ext uri="{FF2B5EF4-FFF2-40B4-BE49-F238E27FC236}">
              <a16:creationId xmlns:a16="http://schemas.microsoft.com/office/drawing/2014/main" id="{00000000-0008-0000-0100-00003A000000}"/>
            </a:ext>
          </a:extLst>
        </xdr:cNvPr>
        <xdr:cNvSpPr/>
      </xdr:nvSpPr>
      <xdr:spPr>
        <a:xfrm>
          <a:off x="4681537" y="5249069"/>
          <a:ext cx="34607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276225</xdr:colOff>
      <xdr:row>13</xdr:row>
      <xdr:rowOff>123825</xdr:rowOff>
    </xdr:from>
    <xdr:to>
      <xdr:col>15</xdr:col>
      <xdr:colOff>647700</xdr:colOff>
      <xdr:row>15</xdr:row>
      <xdr:rowOff>139827</xdr:rowOff>
    </xdr:to>
    <xdr:sp macro="" textlink="">
      <xdr:nvSpPr>
        <xdr:cNvPr id="59" name="円柱 58">
          <a:extLst>
            <a:ext uri="{FF2B5EF4-FFF2-40B4-BE49-F238E27FC236}">
              <a16:creationId xmlns:a16="http://schemas.microsoft.com/office/drawing/2014/main" id="{00000000-0008-0000-0100-00003B000000}"/>
            </a:ext>
          </a:extLst>
        </xdr:cNvPr>
        <xdr:cNvSpPr/>
      </xdr:nvSpPr>
      <xdr:spPr>
        <a:xfrm>
          <a:off x="9705975" y="1939925"/>
          <a:ext cx="3524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323850</xdr:colOff>
      <xdr:row>12</xdr:row>
      <xdr:rowOff>150813</xdr:rowOff>
    </xdr:from>
    <xdr:to>
      <xdr:col>16</xdr:col>
      <xdr:colOff>314325</xdr:colOff>
      <xdr:row>30</xdr:row>
      <xdr:rowOff>8659</xdr:rowOff>
    </xdr:to>
    <xdr:grpSp>
      <xdr:nvGrpSpPr>
        <xdr:cNvPr id="60" name="グループ化 59">
          <a:extLst>
            <a:ext uri="{FF2B5EF4-FFF2-40B4-BE49-F238E27FC236}">
              <a16:creationId xmlns:a16="http://schemas.microsoft.com/office/drawing/2014/main" id="{00000000-0008-0000-0100-00003C000000}"/>
            </a:ext>
          </a:extLst>
        </xdr:cNvPr>
        <xdr:cNvGrpSpPr/>
      </xdr:nvGrpSpPr>
      <xdr:grpSpPr>
        <a:xfrm>
          <a:off x="7209064" y="2110242"/>
          <a:ext cx="3116943" cy="2800163"/>
          <a:chOff x="7867650" y="1350963"/>
          <a:chExt cx="3419475" cy="2945528"/>
        </a:xfrm>
      </xdr:grpSpPr>
      <xdr:cxnSp macro="">
        <xdr:nvCxnSpPr>
          <xdr:cNvPr id="61" name="直線コネクタ 60">
            <a:extLst>
              <a:ext uri="{FF2B5EF4-FFF2-40B4-BE49-F238E27FC236}">
                <a16:creationId xmlns:a16="http://schemas.microsoft.com/office/drawing/2014/main" id="{00000000-0008-0000-0100-00003D000000}"/>
              </a:ext>
            </a:extLst>
          </xdr:cNvPr>
          <xdr:cNvCxnSpPr>
            <a:stCxn id="36" idx="3"/>
          </xdr:cNvCxnSpPr>
        </xdr:nvCxnSpPr>
        <xdr:spPr>
          <a:xfrm>
            <a:off x="1097280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2" name="直線コネクタ 61">
            <a:extLst>
              <a:ext uri="{FF2B5EF4-FFF2-40B4-BE49-F238E27FC236}">
                <a16:creationId xmlns:a16="http://schemas.microsoft.com/office/drawing/2014/main" id="{00000000-0008-0000-0100-00003E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3" name="直線コネクタ 62">
            <a:extLst>
              <a:ext uri="{FF2B5EF4-FFF2-40B4-BE49-F238E27FC236}">
                <a16:creationId xmlns:a16="http://schemas.microsoft.com/office/drawing/2014/main" id="{00000000-0008-0000-0100-00003F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4" name="直線コネクタ 63">
            <a:extLst>
              <a:ext uri="{FF2B5EF4-FFF2-40B4-BE49-F238E27FC236}">
                <a16:creationId xmlns:a16="http://schemas.microsoft.com/office/drawing/2014/main" id="{00000000-0008-0000-0100-000040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161925</xdr:colOff>
      <xdr:row>28</xdr:row>
      <xdr:rowOff>66675</xdr:rowOff>
    </xdr:from>
    <xdr:to>
      <xdr:col>14</xdr:col>
      <xdr:colOff>523875</xdr:colOff>
      <xdr:row>28</xdr:row>
      <xdr:rowOff>66676</xdr:rowOff>
    </xdr:to>
    <xdr:cxnSp macro="">
      <xdr:nvCxnSpPr>
        <xdr:cNvPr id="65" name="直線矢印コネクタ 64">
          <a:extLst>
            <a:ext uri="{FF2B5EF4-FFF2-40B4-BE49-F238E27FC236}">
              <a16:creationId xmlns:a16="http://schemas.microsoft.com/office/drawing/2014/main" id="{00000000-0008-0000-0100-000041000000}"/>
            </a:ext>
          </a:extLst>
        </xdr:cNvPr>
        <xdr:cNvCxnSpPr/>
      </xdr:nvCxnSpPr>
      <xdr:spPr>
        <a:xfrm flipH="1">
          <a:off x="8963025" y="43592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319090</xdr:colOff>
      <xdr:row>38</xdr:row>
      <xdr:rowOff>0</xdr:rowOff>
    </xdr:from>
    <xdr:to>
      <xdr:col>13</xdr:col>
      <xdr:colOff>321468</xdr:colOff>
      <xdr:row>43</xdr:row>
      <xdr:rowOff>154781</xdr:rowOff>
    </xdr:to>
    <xdr:sp macro="" textlink="">
      <xdr:nvSpPr>
        <xdr:cNvPr id="66" name="正方形/長方形 65">
          <a:extLst>
            <a:ext uri="{FF2B5EF4-FFF2-40B4-BE49-F238E27FC236}">
              <a16:creationId xmlns:a16="http://schemas.microsoft.com/office/drawing/2014/main" id="{00000000-0008-0000-0100-000042000000}"/>
            </a:ext>
          </a:extLst>
        </xdr:cNvPr>
        <xdr:cNvSpPr/>
      </xdr:nvSpPr>
      <xdr:spPr>
        <a:xfrm>
          <a:off x="6605590" y="5943600"/>
          <a:ext cx="1888328" cy="98028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277091</xdr:colOff>
      <xdr:row>33</xdr:row>
      <xdr:rowOff>129887</xdr:rowOff>
    </xdr:from>
    <xdr:to>
      <xdr:col>11</xdr:col>
      <xdr:colOff>648566</xdr:colOff>
      <xdr:row>35</xdr:row>
      <xdr:rowOff>145889</xdr:rowOff>
    </xdr:to>
    <xdr:sp macro="" textlink="">
      <xdr:nvSpPr>
        <xdr:cNvPr id="67" name="円柱 66">
          <a:extLst>
            <a:ext uri="{FF2B5EF4-FFF2-40B4-BE49-F238E27FC236}">
              <a16:creationId xmlns:a16="http://schemas.microsoft.com/office/drawing/2014/main" id="{00000000-0008-0000-0100-000043000000}"/>
            </a:ext>
          </a:extLst>
        </xdr:cNvPr>
        <xdr:cNvSpPr/>
      </xdr:nvSpPr>
      <xdr:spPr>
        <a:xfrm>
          <a:off x="7192241" y="5247987"/>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35718</xdr:colOff>
      <xdr:row>36</xdr:row>
      <xdr:rowOff>0</xdr:rowOff>
    </xdr:from>
    <xdr:to>
      <xdr:col>11</xdr:col>
      <xdr:colOff>35718</xdr:colOff>
      <xdr:row>37</xdr:row>
      <xdr:rowOff>154781</xdr:rowOff>
    </xdr:to>
    <xdr:cxnSp macro="">
      <xdr:nvCxnSpPr>
        <xdr:cNvPr id="68" name="直線コネクタ 67">
          <a:extLst>
            <a:ext uri="{FF2B5EF4-FFF2-40B4-BE49-F238E27FC236}">
              <a16:creationId xmlns:a16="http://schemas.microsoft.com/office/drawing/2014/main" id="{00000000-0008-0000-0100-000044000000}"/>
            </a:ext>
          </a:extLst>
        </xdr:cNvPr>
        <xdr:cNvCxnSpPr/>
      </xdr:nvCxnSpPr>
      <xdr:spPr>
        <a:xfrm>
          <a:off x="6950868" y="5613400"/>
          <a:ext cx="0" cy="31988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581025</xdr:colOff>
      <xdr:row>36</xdr:row>
      <xdr:rowOff>16671</xdr:rowOff>
    </xdr:from>
    <xdr:to>
      <xdr:col>10</xdr:col>
      <xdr:colOff>581025</xdr:colOff>
      <xdr:row>37</xdr:row>
      <xdr:rowOff>130972</xdr:rowOff>
    </xdr:to>
    <xdr:cxnSp macro="">
      <xdr:nvCxnSpPr>
        <xdr:cNvPr id="69" name="直線矢印コネクタ 68">
          <a:extLst>
            <a:ext uri="{FF2B5EF4-FFF2-40B4-BE49-F238E27FC236}">
              <a16:creationId xmlns:a16="http://schemas.microsoft.com/office/drawing/2014/main" id="{00000000-0008-0000-0100-000045000000}"/>
            </a:ext>
          </a:extLst>
        </xdr:cNvPr>
        <xdr:cNvCxnSpPr/>
      </xdr:nvCxnSpPr>
      <xdr:spPr>
        <a:xfrm flipV="1">
          <a:off x="6867525" y="5630071"/>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416719</xdr:colOff>
      <xdr:row>35</xdr:row>
      <xdr:rowOff>154781</xdr:rowOff>
    </xdr:from>
    <xdr:to>
      <xdr:col>5</xdr:col>
      <xdr:colOff>416719</xdr:colOff>
      <xdr:row>41</xdr:row>
      <xdr:rowOff>0</xdr:rowOff>
    </xdr:to>
    <xdr:cxnSp macro="">
      <xdr:nvCxnSpPr>
        <xdr:cNvPr id="70" name="直線コネクタ 69">
          <a:extLst>
            <a:ext uri="{FF2B5EF4-FFF2-40B4-BE49-F238E27FC236}">
              <a16:creationId xmlns:a16="http://schemas.microsoft.com/office/drawing/2014/main" id="{00000000-0008-0000-0100-000046000000}"/>
            </a:ext>
          </a:extLst>
        </xdr:cNvPr>
        <xdr:cNvCxnSpPr/>
      </xdr:nvCxnSpPr>
      <xdr:spPr>
        <a:xfrm>
          <a:off x="3559969" y="5603081"/>
          <a:ext cx="0" cy="8358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652462</xdr:colOff>
      <xdr:row>19</xdr:row>
      <xdr:rowOff>64293</xdr:rowOff>
    </xdr:from>
    <xdr:to>
      <xdr:col>8</xdr:col>
      <xdr:colOff>345281</xdr:colOff>
      <xdr:row>19</xdr:row>
      <xdr:rowOff>64293</xdr:rowOff>
    </xdr:to>
    <xdr:cxnSp macro="">
      <xdr:nvCxnSpPr>
        <xdr:cNvPr id="71" name="直線コネクタ 70">
          <a:extLst>
            <a:ext uri="{FF2B5EF4-FFF2-40B4-BE49-F238E27FC236}">
              <a16:creationId xmlns:a16="http://schemas.microsoft.com/office/drawing/2014/main" id="{00000000-0008-0000-0100-000047000000}"/>
            </a:ext>
          </a:extLst>
        </xdr:cNvPr>
        <xdr:cNvCxnSpPr/>
      </xdr:nvCxnSpPr>
      <xdr:spPr>
        <a:xfrm>
          <a:off x="5027612" y="2870993"/>
          <a:ext cx="346869"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559592</xdr:colOff>
      <xdr:row>21</xdr:row>
      <xdr:rowOff>83344</xdr:rowOff>
    </xdr:from>
    <xdr:to>
      <xdr:col>5</xdr:col>
      <xdr:colOff>10583</xdr:colOff>
      <xdr:row>23</xdr:row>
      <xdr:rowOff>1</xdr:rowOff>
    </xdr:to>
    <xdr:sp macro="" textlink="">
      <xdr:nvSpPr>
        <xdr:cNvPr id="72" name="正方形/長方形 71">
          <a:extLst>
            <a:ext uri="{FF2B5EF4-FFF2-40B4-BE49-F238E27FC236}">
              <a16:creationId xmlns:a16="http://schemas.microsoft.com/office/drawing/2014/main" id="{00000000-0008-0000-0100-000048000000}"/>
            </a:ext>
          </a:extLst>
        </xdr:cNvPr>
        <xdr:cNvSpPr/>
      </xdr:nvSpPr>
      <xdr:spPr>
        <a:xfrm>
          <a:off x="1808425" y="3639344"/>
          <a:ext cx="1324241" cy="25532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321470</xdr:colOff>
      <xdr:row>17</xdr:row>
      <xdr:rowOff>0</xdr:rowOff>
    </xdr:from>
    <xdr:to>
      <xdr:col>5</xdr:col>
      <xdr:colOff>1</xdr:colOff>
      <xdr:row>21</xdr:row>
      <xdr:rowOff>83343</xdr:rowOff>
    </xdr:to>
    <xdr:cxnSp macro="">
      <xdr:nvCxnSpPr>
        <xdr:cNvPr id="73" name="カギ線コネクタ 72">
          <a:extLst>
            <a:ext uri="{FF2B5EF4-FFF2-40B4-BE49-F238E27FC236}">
              <a16:creationId xmlns:a16="http://schemas.microsoft.com/office/drawing/2014/main" id="{00000000-0008-0000-0100-000049000000}"/>
            </a:ext>
          </a:extLst>
        </xdr:cNvPr>
        <xdr:cNvCxnSpPr>
          <a:endCxn id="9" idx="1"/>
        </xdr:cNvCxnSpPr>
      </xdr:nvCxnSpPr>
      <xdr:spPr>
        <a:xfrm rot="5400000" flipH="1" flipV="1">
          <a:off x="2617789" y="2694781"/>
          <a:ext cx="743743" cy="307181"/>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438150</xdr:colOff>
      <xdr:row>18</xdr:row>
      <xdr:rowOff>40482</xdr:rowOff>
    </xdr:from>
    <xdr:to>
      <xdr:col>4</xdr:col>
      <xdr:colOff>438150</xdr:colOff>
      <xdr:row>19</xdr:row>
      <xdr:rowOff>154783</xdr:rowOff>
    </xdr:to>
    <xdr:cxnSp macro="">
      <xdr:nvCxnSpPr>
        <xdr:cNvPr id="74" name="直線矢印コネクタ 73">
          <a:extLst>
            <a:ext uri="{FF2B5EF4-FFF2-40B4-BE49-F238E27FC236}">
              <a16:creationId xmlns:a16="http://schemas.microsoft.com/office/drawing/2014/main" id="{00000000-0008-0000-0100-00004A000000}"/>
            </a:ext>
          </a:extLst>
        </xdr:cNvPr>
        <xdr:cNvCxnSpPr/>
      </xdr:nvCxnSpPr>
      <xdr:spPr>
        <a:xfrm flipV="1">
          <a:off x="2952750" y="2682082"/>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16</xdr:row>
      <xdr:rowOff>1</xdr:rowOff>
    </xdr:from>
    <xdr:to>
      <xdr:col>21</xdr:col>
      <xdr:colOff>0</xdr:colOff>
      <xdr:row>22</xdr:row>
      <xdr:rowOff>1</xdr:rowOff>
    </xdr:to>
    <xdr:sp macro="" textlink="">
      <xdr:nvSpPr>
        <xdr:cNvPr id="226" name="正方形/長方形 225">
          <a:extLst>
            <a:ext uri="{FF2B5EF4-FFF2-40B4-BE49-F238E27FC236}">
              <a16:creationId xmlns:a16="http://schemas.microsoft.com/office/drawing/2014/main" id="{00000000-0008-0000-0100-0000E2000000}"/>
            </a:ext>
          </a:extLst>
        </xdr:cNvPr>
        <xdr:cNvSpPr/>
      </xdr:nvSpPr>
      <xdr:spPr>
        <a:xfrm>
          <a:off x="11049000" y="2709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10.240.2.92</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20</xdr:col>
      <xdr:colOff>247650</xdr:colOff>
      <xdr:row>19</xdr:row>
      <xdr:rowOff>123825</xdr:rowOff>
    </xdr:from>
    <xdr:to>
      <xdr:col>20</xdr:col>
      <xdr:colOff>590550</xdr:colOff>
      <xdr:row>21</xdr:row>
      <xdr:rowOff>139827</xdr:rowOff>
    </xdr:to>
    <xdr:sp macro="" textlink="">
      <xdr:nvSpPr>
        <xdr:cNvPr id="82" name="Can 81">
          <a:extLst>
            <a:ext uri="{FF2B5EF4-FFF2-40B4-BE49-F238E27FC236}">
              <a16:creationId xmlns:a16="http://schemas.microsoft.com/office/drawing/2014/main" id="{00000000-0008-0000-0100-000052000000}"/>
            </a:ext>
            <a:ext uri="{147F2762-F138-4A5C-976F-8EAC2B608ADB}">
              <a16:predDERef xmlns:a16="http://schemas.microsoft.com/office/drawing/2014/main" pred="{00000000-0008-0000-0200-0000E5000000}"/>
            </a:ext>
          </a:extLst>
        </xdr:cNvPr>
        <xdr:cNvSpPr/>
      </xdr:nvSpPr>
      <xdr:spPr>
        <a:xfrm>
          <a:off x="12630150" y="32004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345282</xdr:colOff>
      <xdr:row>27</xdr:row>
      <xdr:rowOff>11907</xdr:rowOff>
    </xdr:from>
    <xdr:to>
      <xdr:col>8</xdr:col>
      <xdr:colOff>333376</xdr:colOff>
      <xdr:row>42</xdr:row>
      <xdr:rowOff>23813</xdr:rowOff>
    </xdr:to>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2859882" y="4469607"/>
          <a:ext cx="2502694" cy="24884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xdr:colOff>
      <xdr:row>35</xdr:row>
      <xdr:rowOff>11904</xdr:rowOff>
    </xdr:from>
    <xdr:to>
      <xdr:col>8</xdr:col>
      <xdr:colOff>333375</xdr:colOff>
      <xdr:row>51</xdr:row>
      <xdr:rowOff>11905</xdr:rowOff>
    </xdr:to>
    <xdr:sp macro="" textlink="">
      <xdr:nvSpPr>
        <xdr:cNvPr id="3" name="正方形/長方形 2">
          <a:extLst>
            <a:ext uri="{FF2B5EF4-FFF2-40B4-BE49-F238E27FC236}">
              <a16:creationId xmlns:a16="http://schemas.microsoft.com/office/drawing/2014/main" id="{00000000-0008-0000-0200-000003000000}"/>
            </a:ext>
          </a:extLst>
        </xdr:cNvPr>
        <xdr:cNvSpPr/>
      </xdr:nvSpPr>
      <xdr:spPr>
        <a:xfrm>
          <a:off x="628649" y="5790404"/>
          <a:ext cx="4733926" cy="2641601"/>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345281</xdr:colOff>
      <xdr:row>2</xdr:row>
      <xdr:rowOff>166686</xdr:rowOff>
    </xdr:from>
    <xdr:to>
      <xdr:col>22</xdr:col>
      <xdr:colOff>21167</xdr:colOff>
      <xdr:row>26</xdr:row>
      <xdr:rowOff>162982</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2800614" y="505353"/>
          <a:ext cx="10724886" cy="4060296"/>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0</xdr:colOff>
      <xdr:row>4</xdr:row>
      <xdr:rowOff>0</xdr:rowOff>
    </xdr:from>
    <xdr:to>
      <xdr:col>8</xdr:col>
      <xdr:colOff>0</xdr:colOff>
      <xdr:row>10</xdr:row>
      <xdr:rowOff>0</xdr:rowOff>
    </xdr:to>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12</xdr:row>
      <xdr:rowOff>0</xdr:rowOff>
    </xdr:from>
    <xdr:to>
      <xdr:col>8</xdr:col>
      <xdr:colOff>0</xdr:colOff>
      <xdr:row>18</xdr:row>
      <xdr:rowOff>0</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28</xdr:row>
      <xdr:rowOff>0</xdr:rowOff>
    </xdr:from>
    <xdr:to>
      <xdr:col>8</xdr:col>
      <xdr:colOff>0</xdr:colOff>
      <xdr:row>34</xdr:row>
      <xdr:rowOff>0</xdr:rowOff>
    </xdr:to>
    <xdr:sp macro="" textlink="">
      <xdr:nvSpPr>
        <xdr:cNvPr id="7" name="正方形/長方形 6">
          <a:extLst>
            <a:ext uri="{FF2B5EF4-FFF2-40B4-BE49-F238E27FC236}">
              <a16:creationId xmlns:a16="http://schemas.microsoft.com/office/drawing/2014/main" id="{00000000-0008-0000-0200-000007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0</xdr:colOff>
      <xdr:row>36</xdr:row>
      <xdr:rowOff>0</xdr:rowOff>
    </xdr:from>
    <xdr:to>
      <xdr:col>8</xdr:col>
      <xdr:colOff>0</xdr:colOff>
      <xdr:row>42</xdr:row>
      <xdr:rowOff>0</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31432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0</xdr:colOff>
      <xdr:row>36</xdr:row>
      <xdr:rowOff>0</xdr:rowOff>
    </xdr:from>
    <xdr:to>
      <xdr:col>12</xdr:col>
      <xdr:colOff>0</xdr:colOff>
      <xdr:row>42</xdr:row>
      <xdr:rowOff>0</xdr:rowOff>
    </xdr:to>
    <xdr:sp macro="" textlink="">
      <xdr:nvSpPr>
        <xdr:cNvPr id="9" name="正方形/長方形 8">
          <a:extLst>
            <a:ext uri="{FF2B5EF4-FFF2-40B4-BE49-F238E27FC236}">
              <a16:creationId xmlns:a16="http://schemas.microsoft.com/office/drawing/2014/main" id="{00000000-0008-0000-0200-000009000000}"/>
            </a:ext>
          </a:extLst>
        </xdr:cNvPr>
        <xdr:cNvSpPr/>
      </xdr:nvSpPr>
      <xdr:spPr>
        <a:xfrm>
          <a:off x="5657850" y="59436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345282</xdr:colOff>
      <xdr:row>18</xdr:row>
      <xdr:rowOff>0</xdr:rowOff>
    </xdr:from>
    <xdr:to>
      <xdr:col>6</xdr:col>
      <xdr:colOff>345282</xdr:colOff>
      <xdr:row>28</xdr:row>
      <xdr:rowOff>0</xdr:rowOff>
    </xdr:to>
    <xdr:cxnSp macro="">
      <xdr:nvCxnSpPr>
        <xdr:cNvPr id="10" name="直線コネクタ 9">
          <a:extLst>
            <a:ext uri="{FF2B5EF4-FFF2-40B4-BE49-F238E27FC236}">
              <a16:creationId xmlns:a16="http://schemas.microsoft.com/office/drawing/2014/main" id="{00000000-0008-0000-0200-00000A000000}"/>
            </a:ext>
          </a:extLst>
        </xdr:cNvPr>
        <xdr:cNvCxnSpPr>
          <a:stCxn id="6" idx="2"/>
          <a:endCxn id="7" idx="0"/>
        </xdr:cNvCxnSpPr>
      </xdr:nvCxnSpPr>
      <xdr:spPr>
        <a:xfrm>
          <a:off x="4117182"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34</xdr:row>
      <xdr:rowOff>0</xdr:rowOff>
    </xdr:from>
    <xdr:to>
      <xdr:col>10</xdr:col>
      <xdr:colOff>342900</xdr:colOff>
      <xdr:row>36</xdr:row>
      <xdr:rowOff>0</xdr:rowOff>
    </xdr:to>
    <xdr:cxnSp macro="">
      <xdr:nvCxnSpPr>
        <xdr:cNvPr id="11" name="カギ線コネクタ 10">
          <a:extLst>
            <a:ext uri="{FF2B5EF4-FFF2-40B4-BE49-F238E27FC236}">
              <a16:creationId xmlns:a16="http://schemas.microsoft.com/office/drawing/2014/main" id="{00000000-0008-0000-0200-00000B000000}"/>
            </a:ext>
          </a:extLst>
        </xdr:cNvPr>
        <xdr:cNvCxnSpPr>
          <a:stCxn id="7" idx="2"/>
          <a:endCxn id="9" idx="0"/>
        </xdr:cNvCxnSpPr>
      </xdr:nvCxnSpPr>
      <xdr:spPr>
        <a:xfrm rot="16200000" flipH="1">
          <a:off x="5207000" y="4521200"/>
          <a:ext cx="330200" cy="251460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10</xdr:row>
      <xdr:rowOff>0</xdr:rowOff>
    </xdr:from>
    <xdr:to>
      <xdr:col>6</xdr:col>
      <xdr:colOff>342900</xdr:colOff>
      <xdr:row>12</xdr:row>
      <xdr:rowOff>0</xdr:rowOff>
    </xdr:to>
    <xdr:cxnSp macro="">
      <xdr:nvCxnSpPr>
        <xdr:cNvPr id="12" name="直線コネクタ 11">
          <a:extLst>
            <a:ext uri="{FF2B5EF4-FFF2-40B4-BE49-F238E27FC236}">
              <a16:creationId xmlns:a16="http://schemas.microsoft.com/office/drawing/2014/main" id="{00000000-0008-0000-0200-00000C000000}"/>
            </a:ext>
          </a:extLst>
        </xdr:cNvPr>
        <xdr:cNvCxnSpPr>
          <a:stCxn id="5" idx="2"/>
          <a:endCxn id="6"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228600</xdr:colOff>
      <xdr:row>34</xdr:row>
      <xdr:rowOff>0</xdr:rowOff>
    </xdr:from>
    <xdr:to>
      <xdr:col>6</xdr:col>
      <xdr:colOff>228600</xdr:colOff>
      <xdr:row>36</xdr:row>
      <xdr:rowOff>0</xdr:rowOff>
    </xdr:to>
    <xdr:cxnSp macro="">
      <xdr:nvCxnSpPr>
        <xdr:cNvPr id="13" name="直線コネクタ 12">
          <a:extLst>
            <a:ext uri="{FF2B5EF4-FFF2-40B4-BE49-F238E27FC236}">
              <a16:creationId xmlns:a16="http://schemas.microsoft.com/office/drawing/2014/main" id="{00000000-0008-0000-0200-00000D000000}"/>
            </a:ext>
          </a:extLst>
        </xdr:cNvPr>
        <xdr:cNvCxnSpPr/>
      </xdr:nvCxnSpPr>
      <xdr:spPr>
        <a:xfrm>
          <a:off x="4000500" y="56134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0</xdr:row>
      <xdr:rowOff>95250</xdr:rowOff>
    </xdr:from>
    <xdr:to>
      <xdr:col>2</xdr:col>
      <xdr:colOff>9525</xdr:colOff>
      <xdr:row>0</xdr:row>
      <xdr:rowOff>95250</xdr:rowOff>
    </xdr:to>
    <xdr:cxnSp macro="">
      <xdr:nvCxnSpPr>
        <xdr:cNvPr id="14" name="直線コネクタ 13">
          <a:extLst>
            <a:ext uri="{FF2B5EF4-FFF2-40B4-BE49-F238E27FC236}">
              <a16:creationId xmlns:a16="http://schemas.microsoft.com/office/drawing/2014/main" id="{00000000-0008-0000-0200-00000E000000}"/>
            </a:ext>
          </a:extLst>
        </xdr:cNvPr>
        <xdr:cNvCxnSpPr/>
      </xdr:nvCxnSpPr>
      <xdr:spPr>
        <a:xfrm>
          <a:off x="638175" y="95250"/>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95250</xdr:rowOff>
    </xdr:from>
    <xdr:to>
      <xdr:col>2</xdr:col>
      <xdr:colOff>9525</xdr:colOff>
      <xdr:row>1</xdr:row>
      <xdr:rowOff>95250</xdr:rowOff>
    </xdr:to>
    <xdr:cxnSp macro="">
      <xdr:nvCxnSpPr>
        <xdr:cNvPr id="15" name="直線コネクタ 14">
          <a:extLst>
            <a:ext uri="{FF2B5EF4-FFF2-40B4-BE49-F238E27FC236}">
              <a16:creationId xmlns:a16="http://schemas.microsoft.com/office/drawing/2014/main" id="{00000000-0008-0000-0200-00000F000000}"/>
            </a:ext>
          </a:extLst>
        </xdr:cNvPr>
        <xdr:cNvCxnSpPr/>
      </xdr:nvCxnSpPr>
      <xdr:spPr>
        <a:xfrm>
          <a:off x="638175" y="260350"/>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44</xdr:row>
      <xdr:rowOff>0</xdr:rowOff>
    </xdr:from>
    <xdr:to>
      <xdr:col>8</xdr:col>
      <xdr:colOff>0</xdr:colOff>
      <xdr:row>50</xdr:row>
      <xdr:rowOff>0</xdr:rowOff>
    </xdr:to>
    <xdr:sp macro="" textlink="">
      <xdr:nvSpPr>
        <xdr:cNvPr id="16" name="正方形/長方形 15">
          <a:extLst>
            <a:ext uri="{FF2B5EF4-FFF2-40B4-BE49-F238E27FC236}">
              <a16:creationId xmlns:a16="http://schemas.microsoft.com/office/drawing/2014/main" id="{00000000-0008-0000-0200-000010000000}"/>
            </a:ext>
          </a:extLst>
        </xdr:cNvPr>
        <xdr:cNvSpPr/>
      </xdr:nvSpPr>
      <xdr:spPr>
        <a:xfrm>
          <a:off x="31432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342900</xdr:colOff>
      <xdr:row>42</xdr:row>
      <xdr:rowOff>0</xdr:rowOff>
    </xdr:from>
    <xdr:to>
      <xdr:col>6</xdr:col>
      <xdr:colOff>342900</xdr:colOff>
      <xdr:row>44</xdr:row>
      <xdr:rowOff>0</xdr:rowOff>
    </xdr:to>
    <xdr:cxnSp macro="">
      <xdr:nvCxnSpPr>
        <xdr:cNvPr id="17" name="直線コネクタ 16">
          <a:extLst>
            <a:ext uri="{FF2B5EF4-FFF2-40B4-BE49-F238E27FC236}">
              <a16:creationId xmlns:a16="http://schemas.microsoft.com/office/drawing/2014/main" id="{00000000-0008-0000-0200-000011000000}"/>
            </a:ext>
          </a:extLst>
        </xdr:cNvPr>
        <xdr:cNvCxnSpPr>
          <a:stCxn id="8" idx="2"/>
          <a:endCxn id="16" idx="0"/>
        </xdr:cNvCxnSpPr>
      </xdr:nvCxnSpPr>
      <xdr:spPr>
        <a:xfrm>
          <a:off x="4114800" y="69342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95250</xdr:colOff>
      <xdr:row>34</xdr:row>
      <xdr:rowOff>28575</xdr:rowOff>
    </xdr:from>
    <xdr:to>
      <xdr:col>6</xdr:col>
      <xdr:colOff>95250</xdr:colOff>
      <xdr:row>35</xdr:row>
      <xdr:rowOff>142876</xdr:rowOff>
    </xdr:to>
    <xdr:cxnSp macro="">
      <xdr:nvCxnSpPr>
        <xdr:cNvPr id="18" name="直線矢印コネクタ 17">
          <a:extLst>
            <a:ext uri="{FF2B5EF4-FFF2-40B4-BE49-F238E27FC236}">
              <a16:creationId xmlns:a16="http://schemas.microsoft.com/office/drawing/2014/main" id="{00000000-0008-0000-0200-000012000000}"/>
            </a:ext>
          </a:extLst>
        </xdr:cNvPr>
        <xdr:cNvCxnSpPr/>
      </xdr:nvCxnSpPr>
      <xdr:spPr>
        <a:xfrm flipV="1">
          <a:off x="3867150" y="56419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473866</xdr:colOff>
      <xdr:row>42</xdr:row>
      <xdr:rowOff>28575</xdr:rowOff>
    </xdr:from>
    <xdr:to>
      <xdr:col>6</xdr:col>
      <xdr:colOff>473866</xdr:colOff>
      <xdr:row>43</xdr:row>
      <xdr:rowOff>142876</xdr:rowOff>
    </xdr:to>
    <xdr:cxnSp macro="">
      <xdr:nvCxnSpPr>
        <xdr:cNvPr id="19" name="直線矢印コネクタ 18">
          <a:extLst>
            <a:ext uri="{FF2B5EF4-FFF2-40B4-BE49-F238E27FC236}">
              <a16:creationId xmlns:a16="http://schemas.microsoft.com/office/drawing/2014/main" id="{00000000-0008-0000-0200-000013000000}"/>
            </a:ext>
          </a:extLst>
        </xdr:cNvPr>
        <xdr:cNvCxnSpPr/>
      </xdr:nvCxnSpPr>
      <xdr:spPr>
        <a:xfrm flipV="1">
          <a:off x="4245766"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22</xdr:row>
      <xdr:rowOff>76200</xdr:rowOff>
    </xdr:from>
    <xdr:to>
      <xdr:col>6</xdr:col>
      <xdr:colOff>188119</xdr:colOff>
      <xdr:row>24</xdr:row>
      <xdr:rowOff>23814</xdr:rowOff>
    </xdr:to>
    <xdr:cxnSp macro="">
      <xdr:nvCxnSpPr>
        <xdr:cNvPr id="20" name="直線矢印コネクタ 19">
          <a:extLst>
            <a:ext uri="{FF2B5EF4-FFF2-40B4-BE49-F238E27FC236}">
              <a16:creationId xmlns:a16="http://schemas.microsoft.com/office/drawing/2014/main" id="{00000000-0008-0000-0200-000014000000}"/>
            </a:ext>
          </a:extLst>
        </xdr:cNvPr>
        <xdr:cNvCxnSpPr/>
      </xdr:nvCxnSpPr>
      <xdr:spPr>
        <a:xfrm flipV="1">
          <a:off x="3960019" y="3708400"/>
          <a:ext cx="0" cy="27781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133350</xdr:colOff>
      <xdr:row>34</xdr:row>
      <xdr:rowOff>76200</xdr:rowOff>
    </xdr:from>
    <xdr:to>
      <xdr:col>8</xdr:col>
      <xdr:colOff>495300</xdr:colOff>
      <xdr:row>34</xdr:row>
      <xdr:rowOff>76201</xdr:rowOff>
    </xdr:to>
    <xdr:cxnSp macro="">
      <xdr:nvCxnSpPr>
        <xdr:cNvPr id="21" name="直線矢印コネクタ 20">
          <a:extLst>
            <a:ext uri="{FF2B5EF4-FFF2-40B4-BE49-F238E27FC236}">
              <a16:creationId xmlns:a16="http://schemas.microsoft.com/office/drawing/2014/main" id="{00000000-0008-0000-0200-000015000000}"/>
            </a:ext>
          </a:extLst>
        </xdr:cNvPr>
        <xdr:cNvCxnSpPr/>
      </xdr:nvCxnSpPr>
      <xdr:spPr>
        <a:xfrm flipH="1">
          <a:off x="5162550"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10</xdr:row>
      <xdr:rowOff>19050</xdr:rowOff>
    </xdr:from>
    <xdr:to>
      <xdr:col>6</xdr:col>
      <xdr:colOff>188119</xdr:colOff>
      <xdr:row>11</xdr:row>
      <xdr:rowOff>133351</xdr:rowOff>
    </xdr:to>
    <xdr:cxnSp macro="">
      <xdr:nvCxnSpPr>
        <xdr:cNvPr id="22" name="直線矢印コネクタ 21">
          <a:extLst>
            <a:ext uri="{FF2B5EF4-FFF2-40B4-BE49-F238E27FC236}">
              <a16:creationId xmlns:a16="http://schemas.microsoft.com/office/drawing/2014/main" id="{00000000-0008-0000-0200-000016000000}"/>
            </a:ext>
          </a:extLst>
        </xdr:cNvPr>
        <xdr:cNvCxnSpPr/>
      </xdr:nvCxnSpPr>
      <xdr:spPr>
        <a:xfrm flipV="1">
          <a:off x="3960019"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30</xdr:row>
      <xdr:rowOff>50007</xdr:rowOff>
    </xdr:from>
    <xdr:to>
      <xdr:col>10</xdr:col>
      <xdr:colOff>64294</xdr:colOff>
      <xdr:row>30</xdr:row>
      <xdr:rowOff>50008</xdr:rowOff>
    </xdr:to>
    <xdr:cxnSp macro="">
      <xdr:nvCxnSpPr>
        <xdr:cNvPr id="23" name="直線矢印コネクタ 22">
          <a:extLst>
            <a:ext uri="{FF2B5EF4-FFF2-40B4-BE49-F238E27FC236}">
              <a16:creationId xmlns:a16="http://schemas.microsoft.com/office/drawing/2014/main" id="{00000000-0008-0000-0200-000017000000}"/>
            </a:ext>
          </a:extLst>
        </xdr:cNvPr>
        <xdr:cNvCxnSpPr/>
      </xdr:nvCxnSpPr>
      <xdr:spPr>
        <a:xfrm flipH="1">
          <a:off x="6050756" y="5003007"/>
          <a:ext cx="300038"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277091</xdr:colOff>
      <xdr:row>31</xdr:row>
      <xdr:rowOff>133350</xdr:rowOff>
    </xdr:from>
    <xdr:to>
      <xdr:col>7</xdr:col>
      <xdr:colOff>648566</xdr:colOff>
      <xdr:row>33</xdr:row>
      <xdr:rowOff>149352</xdr:rowOff>
    </xdr:to>
    <xdr:sp macro="" textlink="">
      <xdr:nvSpPr>
        <xdr:cNvPr id="24" name="円柱 23">
          <a:extLst>
            <a:ext uri="{FF2B5EF4-FFF2-40B4-BE49-F238E27FC236}">
              <a16:creationId xmlns:a16="http://schemas.microsoft.com/office/drawing/2014/main" id="{00000000-0008-0000-0200-000018000000}"/>
            </a:ext>
          </a:extLst>
        </xdr:cNvPr>
        <xdr:cNvSpPr/>
      </xdr:nvSpPr>
      <xdr:spPr>
        <a:xfrm>
          <a:off x="4677641" y="5251450"/>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380999</xdr:colOff>
      <xdr:row>5</xdr:row>
      <xdr:rowOff>95250</xdr:rowOff>
    </xdr:from>
    <xdr:to>
      <xdr:col>16</xdr:col>
      <xdr:colOff>371474</xdr:colOff>
      <xdr:row>21</xdr:row>
      <xdr:rowOff>80961</xdr:rowOff>
    </xdr:to>
    <xdr:sp macro="" textlink="">
      <xdr:nvSpPr>
        <xdr:cNvPr id="25" name="正方形/長方形 24">
          <a:extLst>
            <a:ext uri="{FF2B5EF4-FFF2-40B4-BE49-F238E27FC236}">
              <a16:creationId xmlns:a16="http://schemas.microsoft.com/office/drawing/2014/main" id="{00000000-0008-0000-0200-000019000000}"/>
            </a:ext>
          </a:extLst>
        </xdr:cNvPr>
        <xdr:cNvSpPr/>
      </xdr:nvSpPr>
      <xdr:spPr>
        <a:xfrm>
          <a:off x="6038849" y="920750"/>
          <a:ext cx="4391025" cy="262731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10</xdr:col>
      <xdr:colOff>9525</xdr:colOff>
      <xdr:row>14</xdr:row>
      <xdr:rowOff>85725</xdr:rowOff>
    </xdr:from>
    <xdr:to>
      <xdr:col>13</xdr:col>
      <xdr:colOff>9525</xdr:colOff>
      <xdr:row>20</xdr:row>
      <xdr:rowOff>85725</xdr:rowOff>
    </xdr:to>
    <xdr:sp macro="" textlink="">
      <xdr:nvSpPr>
        <xdr:cNvPr id="26" name="正方形/長方形 25">
          <a:extLst>
            <a:ext uri="{FF2B5EF4-FFF2-40B4-BE49-F238E27FC236}">
              <a16:creationId xmlns:a16="http://schemas.microsoft.com/office/drawing/2014/main" id="{00000000-0008-0000-0200-00001A000000}"/>
            </a:ext>
          </a:extLst>
        </xdr:cNvPr>
        <xdr:cNvSpPr/>
      </xdr:nvSpPr>
      <xdr:spPr>
        <a:xfrm>
          <a:off x="629602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9525</xdr:colOff>
      <xdr:row>14</xdr:row>
      <xdr:rowOff>85725</xdr:rowOff>
    </xdr:from>
    <xdr:to>
      <xdr:col>16</xdr:col>
      <xdr:colOff>9525</xdr:colOff>
      <xdr:row>20</xdr:row>
      <xdr:rowOff>85725</xdr:rowOff>
    </xdr:to>
    <xdr:sp macro="" textlink="">
      <xdr:nvSpPr>
        <xdr:cNvPr id="27" name="正方形/長方形 26">
          <a:extLst>
            <a:ext uri="{FF2B5EF4-FFF2-40B4-BE49-F238E27FC236}">
              <a16:creationId xmlns:a16="http://schemas.microsoft.com/office/drawing/2014/main" id="{00000000-0008-0000-0200-00001B000000}"/>
            </a:ext>
          </a:extLst>
        </xdr:cNvPr>
        <xdr:cNvSpPr/>
      </xdr:nvSpPr>
      <xdr:spPr>
        <a:xfrm>
          <a:off x="818197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9525</xdr:colOff>
      <xdr:row>8</xdr:row>
      <xdr:rowOff>85725</xdr:rowOff>
    </xdr:from>
    <xdr:to>
      <xdr:col>13</xdr:col>
      <xdr:colOff>9525</xdr:colOff>
      <xdr:row>14</xdr:row>
      <xdr:rowOff>85725</xdr:rowOff>
    </xdr:to>
    <xdr:sp macro="" textlink="">
      <xdr:nvSpPr>
        <xdr:cNvPr id="28" name="正方形/長方形 27">
          <a:extLst>
            <a:ext uri="{FF2B5EF4-FFF2-40B4-BE49-F238E27FC236}">
              <a16:creationId xmlns:a16="http://schemas.microsoft.com/office/drawing/2014/main" id="{00000000-0008-0000-0200-00001C000000}"/>
            </a:ext>
          </a:extLst>
        </xdr:cNvPr>
        <xdr:cNvSpPr/>
      </xdr:nvSpPr>
      <xdr:spPr>
        <a:xfrm>
          <a:off x="629602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9525</xdr:colOff>
      <xdr:row>8</xdr:row>
      <xdr:rowOff>85725</xdr:rowOff>
    </xdr:from>
    <xdr:to>
      <xdr:col>16</xdr:col>
      <xdr:colOff>9525</xdr:colOff>
      <xdr:row>14</xdr:row>
      <xdr:rowOff>85725</xdr:rowOff>
    </xdr:to>
    <xdr:sp macro="" textlink="">
      <xdr:nvSpPr>
        <xdr:cNvPr id="29" name="正方形/長方形 28">
          <a:extLst>
            <a:ext uri="{FF2B5EF4-FFF2-40B4-BE49-F238E27FC236}">
              <a16:creationId xmlns:a16="http://schemas.microsoft.com/office/drawing/2014/main" id="{00000000-0008-0000-0200-00001D000000}"/>
            </a:ext>
          </a:extLst>
        </xdr:cNvPr>
        <xdr:cNvSpPr/>
      </xdr:nvSpPr>
      <xdr:spPr>
        <a:xfrm>
          <a:off x="818197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285750</xdr:colOff>
      <xdr:row>12</xdr:row>
      <xdr:rowOff>42863</xdr:rowOff>
    </xdr:from>
    <xdr:to>
      <xdr:col>15</xdr:col>
      <xdr:colOff>657225</xdr:colOff>
      <xdr:row>14</xdr:row>
      <xdr:rowOff>58865</xdr:rowOff>
    </xdr:to>
    <xdr:sp macro="" textlink="">
      <xdr:nvSpPr>
        <xdr:cNvPr id="30" name="円柱 29">
          <a:extLst>
            <a:ext uri="{FF2B5EF4-FFF2-40B4-BE49-F238E27FC236}">
              <a16:creationId xmlns:a16="http://schemas.microsoft.com/office/drawing/2014/main" id="{00000000-0008-0000-0200-00001E000000}"/>
            </a:ext>
          </a:extLst>
        </xdr:cNvPr>
        <xdr:cNvSpPr/>
      </xdr:nvSpPr>
      <xdr:spPr>
        <a:xfrm>
          <a:off x="9715500" y="2024063"/>
          <a:ext cx="3397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0</xdr:colOff>
      <xdr:row>13</xdr:row>
      <xdr:rowOff>64295</xdr:rowOff>
    </xdr:from>
    <xdr:to>
      <xdr:col>10</xdr:col>
      <xdr:colOff>19050</xdr:colOff>
      <xdr:row>13</xdr:row>
      <xdr:rowOff>64295</xdr:rowOff>
    </xdr:to>
    <xdr:cxnSp macro="">
      <xdr:nvCxnSpPr>
        <xdr:cNvPr id="31" name="直線コネクタ 30">
          <a:extLst>
            <a:ext uri="{FF2B5EF4-FFF2-40B4-BE49-F238E27FC236}">
              <a16:creationId xmlns:a16="http://schemas.microsoft.com/office/drawing/2014/main" id="{00000000-0008-0000-0200-00001F000000}"/>
            </a:ext>
          </a:extLst>
        </xdr:cNvPr>
        <xdr:cNvCxnSpPr/>
      </xdr:nvCxnSpPr>
      <xdr:spPr>
        <a:xfrm>
          <a:off x="5029200" y="221059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16</xdr:row>
      <xdr:rowOff>54770</xdr:rowOff>
    </xdr:from>
    <xdr:to>
      <xdr:col>10</xdr:col>
      <xdr:colOff>19050</xdr:colOff>
      <xdr:row>16</xdr:row>
      <xdr:rowOff>54770</xdr:rowOff>
    </xdr:to>
    <xdr:cxnSp macro="">
      <xdr:nvCxnSpPr>
        <xdr:cNvPr id="32" name="直線コネクタ 31">
          <a:extLst>
            <a:ext uri="{FF2B5EF4-FFF2-40B4-BE49-F238E27FC236}">
              <a16:creationId xmlns:a16="http://schemas.microsoft.com/office/drawing/2014/main" id="{00000000-0008-0000-0200-000020000000}"/>
            </a:ext>
          </a:extLst>
        </xdr:cNvPr>
        <xdr:cNvCxnSpPr/>
      </xdr:nvCxnSpPr>
      <xdr:spPr>
        <a:xfrm>
          <a:off x="5029200" y="269637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12</xdr:row>
      <xdr:rowOff>130970</xdr:rowOff>
    </xdr:from>
    <xdr:to>
      <xdr:col>9</xdr:col>
      <xdr:colOff>171450</xdr:colOff>
      <xdr:row>12</xdr:row>
      <xdr:rowOff>130971</xdr:rowOff>
    </xdr:to>
    <xdr:cxnSp macro="">
      <xdr:nvCxnSpPr>
        <xdr:cNvPr id="33" name="直線矢印コネクタ 32">
          <a:extLst>
            <a:ext uri="{FF2B5EF4-FFF2-40B4-BE49-F238E27FC236}">
              <a16:creationId xmlns:a16="http://schemas.microsoft.com/office/drawing/2014/main" id="{00000000-0008-0000-0200-000021000000}"/>
            </a:ext>
          </a:extLst>
        </xdr:cNvPr>
        <xdr:cNvCxnSpPr/>
      </xdr:nvCxnSpPr>
      <xdr:spPr>
        <a:xfrm flipH="1">
          <a:off x="5524500" y="211217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16</xdr:row>
      <xdr:rowOff>150020</xdr:rowOff>
    </xdr:from>
    <xdr:to>
      <xdr:col>9</xdr:col>
      <xdr:colOff>171450</xdr:colOff>
      <xdr:row>16</xdr:row>
      <xdr:rowOff>150021</xdr:rowOff>
    </xdr:to>
    <xdr:cxnSp macro="">
      <xdr:nvCxnSpPr>
        <xdr:cNvPr id="34" name="直線矢印コネクタ 33">
          <a:extLst>
            <a:ext uri="{FF2B5EF4-FFF2-40B4-BE49-F238E27FC236}">
              <a16:creationId xmlns:a16="http://schemas.microsoft.com/office/drawing/2014/main" id="{00000000-0008-0000-0200-000022000000}"/>
            </a:ext>
          </a:extLst>
        </xdr:cNvPr>
        <xdr:cNvCxnSpPr/>
      </xdr:nvCxnSpPr>
      <xdr:spPr>
        <a:xfrm flipH="1">
          <a:off x="5524500" y="279162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11906</xdr:colOff>
      <xdr:row>28</xdr:row>
      <xdr:rowOff>11907</xdr:rowOff>
    </xdr:from>
    <xdr:to>
      <xdr:col>4</xdr:col>
      <xdr:colOff>14285</xdr:colOff>
      <xdr:row>34</xdr:row>
      <xdr:rowOff>1</xdr:rowOff>
    </xdr:to>
    <xdr:sp macro="" textlink="">
      <xdr:nvSpPr>
        <xdr:cNvPr id="35" name="正方形/長方形 34">
          <a:extLst>
            <a:ext uri="{FF2B5EF4-FFF2-40B4-BE49-F238E27FC236}">
              <a16:creationId xmlns:a16="http://schemas.microsoft.com/office/drawing/2014/main" id="{00000000-0008-0000-0200-000023000000}"/>
            </a:ext>
          </a:extLst>
        </xdr:cNvPr>
        <xdr:cNvSpPr/>
      </xdr:nvSpPr>
      <xdr:spPr>
        <a:xfrm>
          <a:off x="640556" y="4634707"/>
          <a:ext cx="1888329" cy="9786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14285</xdr:colOff>
      <xdr:row>31</xdr:row>
      <xdr:rowOff>0</xdr:rowOff>
    </xdr:from>
    <xdr:to>
      <xdr:col>5</xdr:col>
      <xdr:colOff>0</xdr:colOff>
      <xdr:row>31</xdr:row>
      <xdr:rowOff>5954</xdr:rowOff>
    </xdr:to>
    <xdr:cxnSp macro="">
      <xdr:nvCxnSpPr>
        <xdr:cNvPr id="36" name="直線コネクタ 35">
          <a:extLst>
            <a:ext uri="{FF2B5EF4-FFF2-40B4-BE49-F238E27FC236}">
              <a16:creationId xmlns:a16="http://schemas.microsoft.com/office/drawing/2014/main" id="{00000000-0008-0000-0200-000024000000}"/>
            </a:ext>
          </a:extLst>
        </xdr:cNvPr>
        <xdr:cNvCxnSpPr>
          <a:stCxn id="7" idx="1"/>
          <a:endCxn id="35" idx="3"/>
        </xdr:cNvCxnSpPr>
      </xdr:nvCxnSpPr>
      <xdr:spPr>
        <a:xfrm flipH="1">
          <a:off x="2528885" y="5118100"/>
          <a:ext cx="614365"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21</xdr:row>
      <xdr:rowOff>80961</xdr:rowOff>
    </xdr:from>
    <xdr:to>
      <xdr:col>13</xdr:col>
      <xdr:colOff>30955</xdr:colOff>
      <xdr:row>31</xdr:row>
      <xdr:rowOff>0</xdr:rowOff>
    </xdr:to>
    <xdr:cxnSp macro="">
      <xdr:nvCxnSpPr>
        <xdr:cNvPr id="37" name="カギ線コネクタ 36">
          <a:extLst>
            <a:ext uri="{FF2B5EF4-FFF2-40B4-BE49-F238E27FC236}">
              <a16:creationId xmlns:a16="http://schemas.microsoft.com/office/drawing/2014/main" id="{00000000-0008-0000-0200-000025000000}"/>
            </a:ext>
          </a:extLst>
        </xdr:cNvPr>
        <xdr:cNvCxnSpPr>
          <a:stCxn id="25" idx="2"/>
          <a:endCxn id="7" idx="3"/>
        </xdr:cNvCxnSpPr>
      </xdr:nvCxnSpPr>
      <xdr:spPr>
        <a:xfrm rot="5400000">
          <a:off x="5831283" y="2745978"/>
          <a:ext cx="1570039" cy="3174205"/>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440531</xdr:colOff>
      <xdr:row>44</xdr:row>
      <xdr:rowOff>0</xdr:rowOff>
    </xdr:from>
    <xdr:to>
      <xdr:col>4</xdr:col>
      <xdr:colOff>440531</xdr:colOff>
      <xdr:row>50</xdr:row>
      <xdr:rowOff>0</xdr:rowOff>
    </xdr:to>
    <xdr:sp macro="" textlink="">
      <xdr:nvSpPr>
        <xdr:cNvPr id="38" name="正方形/長方形 37">
          <a:extLst>
            <a:ext uri="{FF2B5EF4-FFF2-40B4-BE49-F238E27FC236}">
              <a16:creationId xmlns:a16="http://schemas.microsoft.com/office/drawing/2014/main" id="{00000000-0008-0000-0200-000026000000}"/>
            </a:ext>
          </a:extLst>
        </xdr:cNvPr>
        <xdr:cNvSpPr/>
      </xdr:nvSpPr>
      <xdr:spPr>
        <a:xfrm>
          <a:off x="1069181"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95251</xdr:colOff>
      <xdr:row>42</xdr:row>
      <xdr:rowOff>0</xdr:rowOff>
    </xdr:from>
    <xdr:to>
      <xdr:col>6</xdr:col>
      <xdr:colOff>345283</xdr:colOff>
      <xdr:row>44</xdr:row>
      <xdr:rowOff>0</xdr:rowOff>
    </xdr:to>
    <xdr:cxnSp macro="">
      <xdr:nvCxnSpPr>
        <xdr:cNvPr id="39" name="カギ線コネクタ 38">
          <a:extLst>
            <a:ext uri="{FF2B5EF4-FFF2-40B4-BE49-F238E27FC236}">
              <a16:creationId xmlns:a16="http://schemas.microsoft.com/office/drawing/2014/main" id="{00000000-0008-0000-0200-000027000000}"/>
            </a:ext>
          </a:extLst>
        </xdr:cNvPr>
        <xdr:cNvCxnSpPr>
          <a:stCxn id="8" idx="2"/>
          <a:endCxn id="38" idx="0"/>
        </xdr:cNvCxnSpPr>
      </xdr:nvCxnSpPr>
      <xdr:spPr>
        <a:xfrm rot="5400000">
          <a:off x="2884092" y="6031309"/>
          <a:ext cx="330200" cy="21359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130969</xdr:colOff>
      <xdr:row>42</xdr:row>
      <xdr:rowOff>71438</xdr:rowOff>
    </xdr:from>
    <xdr:to>
      <xdr:col>4</xdr:col>
      <xdr:colOff>492919</xdr:colOff>
      <xdr:row>42</xdr:row>
      <xdr:rowOff>71439</xdr:rowOff>
    </xdr:to>
    <xdr:cxnSp macro="">
      <xdr:nvCxnSpPr>
        <xdr:cNvPr id="40" name="直線矢印コネクタ 39">
          <a:extLst>
            <a:ext uri="{FF2B5EF4-FFF2-40B4-BE49-F238E27FC236}">
              <a16:creationId xmlns:a16="http://schemas.microsoft.com/office/drawing/2014/main" id="{00000000-0008-0000-0200-000028000000}"/>
            </a:ext>
          </a:extLst>
        </xdr:cNvPr>
        <xdr:cNvCxnSpPr/>
      </xdr:nvCxnSpPr>
      <xdr:spPr>
        <a:xfrm flipH="1">
          <a:off x="2645569" y="7005638"/>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178594</xdr:colOff>
      <xdr:row>30</xdr:row>
      <xdr:rowOff>47626</xdr:rowOff>
    </xdr:from>
    <xdr:to>
      <xdr:col>4</xdr:col>
      <xdr:colOff>540544</xdr:colOff>
      <xdr:row>30</xdr:row>
      <xdr:rowOff>47627</xdr:rowOff>
    </xdr:to>
    <xdr:cxnSp macro="">
      <xdr:nvCxnSpPr>
        <xdr:cNvPr id="41" name="直線矢印コネクタ 40">
          <a:extLst>
            <a:ext uri="{FF2B5EF4-FFF2-40B4-BE49-F238E27FC236}">
              <a16:creationId xmlns:a16="http://schemas.microsoft.com/office/drawing/2014/main" id="{00000000-0008-0000-0200-000029000000}"/>
            </a:ext>
          </a:extLst>
        </xdr:cNvPr>
        <xdr:cNvCxnSpPr/>
      </xdr:nvCxnSpPr>
      <xdr:spPr>
        <a:xfrm flipH="1">
          <a:off x="2693194" y="5000626"/>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14</xdr:row>
      <xdr:rowOff>0</xdr:rowOff>
    </xdr:from>
    <xdr:to>
      <xdr:col>21</xdr:col>
      <xdr:colOff>0</xdr:colOff>
      <xdr:row>20</xdr:row>
      <xdr:rowOff>0</xdr:rowOff>
    </xdr:to>
    <xdr:sp macro="" textlink="">
      <xdr:nvSpPr>
        <xdr:cNvPr id="126" name="正方形/長方形 125">
          <a:extLst>
            <a:ext uri="{FF2B5EF4-FFF2-40B4-BE49-F238E27FC236}">
              <a16:creationId xmlns:a16="http://schemas.microsoft.com/office/drawing/2014/main" id="{00000000-0008-0000-0200-00007E000000}"/>
            </a:ext>
          </a:extLst>
        </xdr:cNvPr>
        <xdr:cNvSpPr/>
      </xdr:nvSpPr>
      <xdr:spPr>
        <a:xfrm>
          <a:off x="11049000" y="2370667"/>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10.240.2.87</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20</xdr:col>
      <xdr:colOff>257175</xdr:colOff>
      <xdr:row>17</xdr:row>
      <xdr:rowOff>123825</xdr:rowOff>
    </xdr:from>
    <xdr:to>
      <xdr:col>20</xdr:col>
      <xdr:colOff>600075</xdr:colOff>
      <xdr:row>19</xdr:row>
      <xdr:rowOff>139827</xdr:rowOff>
    </xdr:to>
    <xdr:sp macro="" textlink="">
      <xdr:nvSpPr>
        <xdr:cNvPr id="82" name="Can 81">
          <a:extLst>
            <a:ext uri="{FF2B5EF4-FFF2-40B4-BE49-F238E27FC236}">
              <a16:creationId xmlns:a16="http://schemas.microsoft.com/office/drawing/2014/main" id="{00000000-0008-0000-0200-000052000000}"/>
            </a:ext>
            <a:ext uri="{147F2762-F138-4A5C-976F-8EAC2B608ADB}">
              <a16:predDERef xmlns:a16="http://schemas.microsoft.com/office/drawing/2014/main" pred="{00000000-0008-0000-0300-000082000000}"/>
            </a:ext>
          </a:extLst>
        </xdr:cNvPr>
        <xdr:cNvSpPr/>
      </xdr:nvSpPr>
      <xdr:spPr>
        <a:xfrm>
          <a:off x="12639675" y="287655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6350</xdr:colOff>
      <xdr:row>4</xdr:row>
      <xdr:rowOff>0</xdr:rowOff>
    </xdr:from>
    <xdr:to>
      <xdr:col>9</xdr:col>
      <xdr:colOff>101600</xdr:colOff>
      <xdr:row>5</xdr:row>
      <xdr:rowOff>209550</xdr:rowOff>
    </xdr:to>
    <xdr:sp macro="" textlink="">
      <xdr:nvSpPr>
        <xdr:cNvPr id="22" name="五角形 21">
          <a:extLst>
            <a:ext uri="{FF2B5EF4-FFF2-40B4-BE49-F238E27FC236}">
              <a16:creationId xmlns:a16="http://schemas.microsoft.com/office/drawing/2014/main" id="{00000000-0008-0000-0400-000016000000}"/>
            </a:ext>
            <a:ext uri="{147F2762-F138-4A5C-976F-8EAC2B608ADB}">
              <a16:predDERef xmlns:a16="http://schemas.microsoft.com/office/drawing/2014/main" pred="{2ED0E677-487D-4105-B3A7-71E0F4B8D0B2}"/>
            </a:ext>
          </a:extLst>
        </xdr:cNvPr>
        <xdr:cNvSpPr/>
      </xdr:nvSpPr>
      <xdr:spPr>
        <a:xfrm>
          <a:off x="7899400" y="914400"/>
          <a:ext cx="95250" cy="4381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調査</a:t>
          </a:r>
        </a:p>
      </xdr:txBody>
    </xdr:sp>
    <xdr:clientData/>
  </xdr:twoCellAnchor>
  <xdr:twoCellAnchor>
    <xdr:from>
      <xdr:col>9</xdr:col>
      <xdr:colOff>120650</xdr:colOff>
      <xdr:row>4</xdr:row>
      <xdr:rowOff>0</xdr:rowOff>
    </xdr:from>
    <xdr:to>
      <xdr:col>9</xdr:col>
      <xdr:colOff>228600</xdr:colOff>
      <xdr:row>6</xdr:row>
      <xdr:rowOff>0</xdr:rowOff>
    </xdr:to>
    <xdr:sp macro="" textlink="">
      <xdr:nvSpPr>
        <xdr:cNvPr id="24" name="五角形 23">
          <a:extLst>
            <a:ext uri="{FF2B5EF4-FFF2-40B4-BE49-F238E27FC236}">
              <a16:creationId xmlns:a16="http://schemas.microsoft.com/office/drawing/2014/main" id="{00000000-0008-0000-0400-000018000000}"/>
            </a:ext>
            <a:ext uri="{147F2762-F138-4A5C-976F-8EAC2B608ADB}">
              <a16:predDERef xmlns:a16="http://schemas.microsoft.com/office/drawing/2014/main" pred="{DCD0FA00-438B-4F3B-B60D-568F39371084}"/>
            </a:ext>
          </a:extLst>
        </xdr:cNvPr>
        <xdr:cNvSpPr/>
      </xdr:nvSpPr>
      <xdr:spPr>
        <a:xfrm>
          <a:off x="8013700" y="914400"/>
          <a:ext cx="107950" cy="45720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9</xdr:col>
      <xdr:colOff>241300</xdr:colOff>
      <xdr:row>4</xdr:row>
      <xdr:rowOff>0</xdr:rowOff>
    </xdr:from>
    <xdr:to>
      <xdr:col>9</xdr:col>
      <xdr:colOff>342900</xdr:colOff>
      <xdr:row>5</xdr:row>
      <xdr:rowOff>215900</xdr:rowOff>
    </xdr:to>
    <xdr:sp macro="" textlink="">
      <xdr:nvSpPr>
        <xdr:cNvPr id="25" name="五角形 24">
          <a:extLst>
            <a:ext uri="{FF2B5EF4-FFF2-40B4-BE49-F238E27FC236}">
              <a16:creationId xmlns:a16="http://schemas.microsoft.com/office/drawing/2014/main" id="{00000000-0008-0000-0400-000019000000}"/>
            </a:ext>
            <a:ext uri="{147F2762-F138-4A5C-976F-8EAC2B608ADB}">
              <a16:predDERef xmlns:a16="http://schemas.microsoft.com/office/drawing/2014/main" pred="{85C0FA77-C317-4B4B-ADAC-2906025B8A19}"/>
            </a:ext>
          </a:extLst>
        </xdr:cNvPr>
        <xdr:cNvSpPr/>
      </xdr:nvSpPr>
      <xdr:spPr>
        <a:xfrm>
          <a:off x="8134350" y="914400"/>
          <a:ext cx="101600" cy="444500"/>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11</xdr:col>
      <xdr:colOff>158751</xdr:colOff>
      <xdr:row>3</xdr:row>
      <xdr:rowOff>215900</xdr:rowOff>
    </xdr:from>
    <xdr:to>
      <xdr:col>11</xdr:col>
      <xdr:colOff>254000</xdr:colOff>
      <xdr:row>5</xdr:row>
      <xdr:rowOff>12700</xdr:rowOff>
    </xdr:to>
    <xdr:sp macro="" textlink="">
      <xdr:nvSpPr>
        <xdr:cNvPr id="32" name="五角形 31">
          <a:extLst>
            <a:ext uri="{FF2B5EF4-FFF2-40B4-BE49-F238E27FC236}">
              <a16:creationId xmlns:a16="http://schemas.microsoft.com/office/drawing/2014/main" id="{00000000-0008-0000-0400-000020000000}"/>
            </a:ext>
            <a:ext uri="{147F2762-F138-4A5C-976F-8EAC2B608ADB}">
              <a16:predDERef xmlns:a16="http://schemas.microsoft.com/office/drawing/2014/main" pred="{0FA1BF52-BF95-4C03-B9E3-F17E7F190481}"/>
            </a:ext>
          </a:extLst>
        </xdr:cNvPr>
        <xdr:cNvSpPr/>
      </xdr:nvSpPr>
      <xdr:spPr>
        <a:xfrm>
          <a:off x="9055101" y="901700"/>
          <a:ext cx="95249" cy="25400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xdr:from>
      <xdr:col>12</xdr:col>
      <xdr:colOff>158751</xdr:colOff>
      <xdr:row>4</xdr:row>
      <xdr:rowOff>209550</xdr:rowOff>
    </xdr:from>
    <xdr:to>
      <xdr:col>12</xdr:col>
      <xdr:colOff>254000</xdr:colOff>
      <xdr:row>6</xdr:row>
      <xdr:rowOff>6350</xdr:rowOff>
    </xdr:to>
    <xdr:sp macro="" textlink="">
      <xdr:nvSpPr>
        <xdr:cNvPr id="33" name="五角形 31">
          <a:extLst>
            <a:ext uri="{FF2B5EF4-FFF2-40B4-BE49-F238E27FC236}">
              <a16:creationId xmlns:a16="http://schemas.microsoft.com/office/drawing/2014/main" id="{00000000-0008-0000-0400-000021000000}"/>
            </a:ext>
            <a:ext uri="{147F2762-F138-4A5C-976F-8EAC2B608ADB}">
              <a16:predDERef xmlns:a16="http://schemas.microsoft.com/office/drawing/2014/main" pred="{0FA1BF52-BF95-4C03-B9E3-F17E7F190481}"/>
            </a:ext>
          </a:extLst>
        </xdr:cNvPr>
        <xdr:cNvSpPr/>
      </xdr:nvSpPr>
      <xdr:spPr>
        <a:xfrm>
          <a:off x="9556751" y="1123950"/>
          <a:ext cx="95249" cy="25400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xdr:from>
      <xdr:col>9</xdr:col>
      <xdr:colOff>387350</xdr:colOff>
      <xdr:row>4</xdr:row>
      <xdr:rowOff>0</xdr:rowOff>
    </xdr:from>
    <xdr:to>
      <xdr:col>9</xdr:col>
      <xdr:colOff>488950</xdr:colOff>
      <xdr:row>5</xdr:row>
      <xdr:rowOff>215900</xdr:rowOff>
    </xdr:to>
    <xdr:sp macro="" textlink="">
      <xdr:nvSpPr>
        <xdr:cNvPr id="13" name="五角形 24">
          <a:extLst>
            <a:ext uri="{FF2B5EF4-FFF2-40B4-BE49-F238E27FC236}">
              <a16:creationId xmlns:a16="http://schemas.microsoft.com/office/drawing/2014/main" id="{00000000-0008-0000-0400-00000D000000}"/>
            </a:ext>
            <a:ext uri="{147F2762-F138-4A5C-976F-8EAC2B608ADB}">
              <a16:predDERef xmlns:a16="http://schemas.microsoft.com/office/drawing/2014/main" pred="{85C0FA77-C317-4B4B-ADAC-2906025B8A19}"/>
            </a:ext>
          </a:extLst>
        </xdr:cNvPr>
        <xdr:cNvSpPr/>
      </xdr:nvSpPr>
      <xdr:spPr>
        <a:xfrm>
          <a:off x="8280400" y="914400"/>
          <a:ext cx="101600" cy="444500"/>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テスト</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19050</xdr:colOff>
      <xdr:row>17</xdr:row>
      <xdr:rowOff>28575</xdr:rowOff>
    </xdr:from>
    <xdr:to>
      <xdr:col>5</xdr:col>
      <xdr:colOff>0</xdr:colOff>
      <xdr:row>17</xdr:row>
      <xdr:rowOff>209550</xdr:rowOff>
    </xdr:to>
    <xdr:sp macro="" textlink="">
      <xdr:nvSpPr>
        <xdr:cNvPr id="2" name="ホームベース 1">
          <a:extLst>
            <a:ext uri="{FF2B5EF4-FFF2-40B4-BE49-F238E27FC236}">
              <a16:creationId xmlns:a16="http://schemas.microsoft.com/office/drawing/2014/main" id="{C2FBABA5-0E6E-4E95-9CC3-613CF19E2801}"/>
            </a:ext>
          </a:extLst>
        </xdr:cNvPr>
        <xdr:cNvSpPr/>
      </xdr:nvSpPr>
      <xdr:spPr>
        <a:xfrm>
          <a:off x="4263390" y="2541270"/>
          <a:ext cx="832485" cy="17907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19050</xdr:colOff>
      <xdr:row>18</xdr:row>
      <xdr:rowOff>28576</xdr:rowOff>
    </xdr:from>
    <xdr:to>
      <xdr:col>5</xdr:col>
      <xdr:colOff>333375</xdr:colOff>
      <xdr:row>18</xdr:row>
      <xdr:rowOff>209550</xdr:rowOff>
    </xdr:to>
    <xdr:sp macro="" textlink="">
      <xdr:nvSpPr>
        <xdr:cNvPr id="3" name="ホームベース 2">
          <a:extLst>
            <a:ext uri="{FF2B5EF4-FFF2-40B4-BE49-F238E27FC236}">
              <a16:creationId xmlns:a16="http://schemas.microsoft.com/office/drawing/2014/main" id="{0E8FDF09-EA61-4D82-A22E-E279D970BE8B}"/>
            </a:ext>
          </a:extLst>
        </xdr:cNvPr>
        <xdr:cNvSpPr/>
      </xdr:nvSpPr>
      <xdr:spPr>
        <a:xfrm>
          <a:off x="5111115" y="2769871"/>
          <a:ext cx="316230" cy="179069"/>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314325</xdr:colOff>
      <xdr:row>21</xdr:row>
      <xdr:rowOff>19051</xdr:rowOff>
    </xdr:from>
    <xdr:to>
      <xdr:col>6</xdr:col>
      <xdr:colOff>657224</xdr:colOff>
      <xdr:row>21</xdr:row>
      <xdr:rowOff>200025</xdr:rowOff>
    </xdr:to>
    <xdr:sp macro="" textlink="">
      <xdr:nvSpPr>
        <xdr:cNvPr id="4" name="ホームベース 6">
          <a:extLst>
            <a:ext uri="{FF2B5EF4-FFF2-40B4-BE49-F238E27FC236}">
              <a16:creationId xmlns:a16="http://schemas.microsoft.com/office/drawing/2014/main" id="{D38FB7E8-87C1-4974-8325-0B283BF31114}"/>
            </a:ext>
          </a:extLst>
        </xdr:cNvPr>
        <xdr:cNvSpPr/>
      </xdr:nvSpPr>
      <xdr:spPr>
        <a:xfrm>
          <a:off x="6259830" y="3444241"/>
          <a:ext cx="342899" cy="186689"/>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371475</xdr:colOff>
      <xdr:row>19</xdr:row>
      <xdr:rowOff>38099</xdr:rowOff>
    </xdr:from>
    <xdr:to>
      <xdr:col>5</xdr:col>
      <xdr:colOff>666750</xdr:colOff>
      <xdr:row>19</xdr:row>
      <xdr:rowOff>200024</xdr:rowOff>
    </xdr:to>
    <xdr:sp macro="" textlink="">
      <xdr:nvSpPr>
        <xdr:cNvPr id="5" name="ホームベース 11">
          <a:extLst>
            <a:ext uri="{FF2B5EF4-FFF2-40B4-BE49-F238E27FC236}">
              <a16:creationId xmlns:a16="http://schemas.microsoft.com/office/drawing/2014/main" id="{DE1C164C-1CB6-400F-8D7C-26C58DC9E1F1}"/>
            </a:ext>
          </a:extLst>
        </xdr:cNvPr>
        <xdr:cNvSpPr/>
      </xdr:nvSpPr>
      <xdr:spPr>
        <a:xfrm>
          <a:off x="5465445" y="3009899"/>
          <a:ext cx="293370" cy="16383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28575</xdr:colOff>
      <xdr:row>20</xdr:row>
      <xdr:rowOff>47625</xdr:rowOff>
    </xdr:from>
    <xdr:to>
      <xdr:col>6</xdr:col>
      <xdr:colOff>266701</xdr:colOff>
      <xdr:row>20</xdr:row>
      <xdr:rowOff>200025</xdr:rowOff>
    </xdr:to>
    <xdr:sp macro="" textlink="">
      <xdr:nvSpPr>
        <xdr:cNvPr id="6" name="ホームベース 12">
          <a:extLst>
            <a:ext uri="{FF2B5EF4-FFF2-40B4-BE49-F238E27FC236}">
              <a16:creationId xmlns:a16="http://schemas.microsoft.com/office/drawing/2014/main" id="{FE725B0A-0486-4BF1-93ED-DCACAE9CF5DA}"/>
            </a:ext>
          </a:extLst>
        </xdr:cNvPr>
        <xdr:cNvSpPr/>
      </xdr:nvSpPr>
      <xdr:spPr>
        <a:xfrm>
          <a:off x="5970270" y="3249930"/>
          <a:ext cx="240031" cy="1524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238125</xdr:colOff>
      <xdr:row>23</xdr:row>
      <xdr:rowOff>47625</xdr:rowOff>
    </xdr:from>
    <xdr:to>
      <xdr:col>7</xdr:col>
      <xdr:colOff>447675</xdr:colOff>
      <xdr:row>23</xdr:row>
      <xdr:rowOff>190500</xdr:rowOff>
    </xdr:to>
    <xdr:sp macro="" textlink="">
      <xdr:nvSpPr>
        <xdr:cNvPr id="7" name="ホームベース 14">
          <a:extLst>
            <a:ext uri="{FF2B5EF4-FFF2-40B4-BE49-F238E27FC236}">
              <a16:creationId xmlns:a16="http://schemas.microsoft.com/office/drawing/2014/main" id="{B7B2709A-33C5-49AB-8F95-7E2B7323C0DD}"/>
            </a:ext>
          </a:extLst>
        </xdr:cNvPr>
        <xdr:cNvSpPr/>
      </xdr:nvSpPr>
      <xdr:spPr>
        <a:xfrm>
          <a:off x="7031355" y="3935730"/>
          <a:ext cx="205740" cy="14097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285750</xdr:colOff>
      <xdr:row>28</xdr:row>
      <xdr:rowOff>57150</xdr:rowOff>
    </xdr:from>
    <xdr:to>
      <xdr:col>8</xdr:col>
      <xdr:colOff>495300</xdr:colOff>
      <xdr:row>28</xdr:row>
      <xdr:rowOff>200025</xdr:rowOff>
    </xdr:to>
    <xdr:sp macro="" textlink="">
      <xdr:nvSpPr>
        <xdr:cNvPr id="8" name="ホームベース 15">
          <a:extLst>
            <a:ext uri="{FF2B5EF4-FFF2-40B4-BE49-F238E27FC236}">
              <a16:creationId xmlns:a16="http://schemas.microsoft.com/office/drawing/2014/main" id="{EF82A866-8C20-4085-863E-B8A7C76B9792}"/>
            </a:ext>
          </a:extLst>
        </xdr:cNvPr>
        <xdr:cNvSpPr/>
      </xdr:nvSpPr>
      <xdr:spPr>
        <a:xfrm>
          <a:off x="7920990" y="5082540"/>
          <a:ext cx="213360" cy="14859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228600</xdr:colOff>
      <xdr:row>33</xdr:row>
      <xdr:rowOff>57150</xdr:rowOff>
    </xdr:from>
    <xdr:to>
      <xdr:col>9</xdr:col>
      <xdr:colOff>438150</xdr:colOff>
      <xdr:row>33</xdr:row>
      <xdr:rowOff>200025</xdr:rowOff>
    </xdr:to>
    <xdr:sp macro="" textlink="">
      <xdr:nvSpPr>
        <xdr:cNvPr id="9" name="ホームベース 16">
          <a:extLst>
            <a:ext uri="{FF2B5EF4-FFF2-40B4-BE49-F238E27FC236}">
              <a16:creationId xmlns:a16="http://schemas.microsoft.com/office/drawing/2014/main" id="{6215E46F-B34D-4A1D-819D-818714FB92BC}"/>
            </a:ext>
          </a:extLst>
        </xdr:cNvPr>
        <xdr:cNvSpPr/>
      </xdr:nvSpPr>
      <xdr:spPr>
        <a:xfrm>
          <a:off x="8715375" y="6225540"/>
          <a:ext cx="205740" cy="14859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285750</xdr:colOff>
      <xdr:row>38</xdr:row>
      <xdr:rowOff>66675</xdr:rowOff>
    </xdr:from>
    <xdr:to>
      <xdr:col>10</xdr:col>
      <xdr:colOff>495300</xdr:colOff>
      <xdr:row>38</xdr:row>
      <xdr:rowOff>209550</xdr:rowOff>
    </xdr:to>
    <xdr:sp macro="" textlink="">
      <xdr:nvSpPr>
        <xdr:cNvPr id="10" name="ホームベース 17">
          <a:extLst>
            <a:ext uri="{FF2B5EF4-FFF2-40B4-BE49-F238E27FC236}">
              <a16:creationId xmlns:a16="http://schemas.microsoft.com/office/drawing/2014/main" id="{DB031815-4F2D-42D6-9639-05A5AC29D18A}"/>
            </a:ext>
          </a:extLst>
        </xdr:cNvPr>
        <xdr:cNvSpPr/>
      </xdr:nvSpPr>
      <xdr:spPr>
        <a:xfrm>
          <a:off x="9616440" y="7379970"/>
          <a:ext cx="213360" cy="14097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285750</xdr:colOff>
      <xdr:row>43</xdr:row>
      <xdr:rowOff>47625</xdr:rowOff>
    </xdr:from>
    <xdr:to>
      <xdr:col>12</xdr:col>
      <xdr:colOff>495300</xdr:colOff>
      <xdr:row>43</xdr:row>
      <xdr:rowOff>190500</xdr:rowOff>
    </xdr:to>
    <xdr:sp macro="" textlink="">
      <xdr:nvSpPr>
        <xdr:cNvPr id="11" name="ホームベース 18">
          <a:extLst>
            <a:ext uri="{FF2B5EF4-FFF2-40B4-BE49-F238E27FC236}">
              <a16:creationId xmlns:a16="http://schemas.microsoft.com/office/drawing/2014/main" id="{1C64C81D-E2F6-462A-80B2-BB8515DCEE99}"/>
            </a:ext>
          </a:extLst>
        </xdr:cNvPr>
        <xdr:cNvSpPr/>
      </xdr:nvSpPr>
      <xdr:spPr>
        <a:xfrm>
          <a:off x="11311890" y="8507730"/>
          <a:ext cx="213360" cy="14097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380999</xdr:colOff>
      <xdr:row>29</xdr:row>
      <xdr:rowOff>47625</xdr:rowOff>
    </xdr:from>
    <xdr:to>
      <xdr:col>7</xdr:col>
      <xdr:colOff>314324</xdr:colOff>
      <xdr:row>29</xdr:row>
      <xdr:rowOff>200025</xdr:rowOff>
    </xdr:to>
    <xdr:sp macro="" textlink="">
      <xdr:nvSpPr>
        <xdr:cNvPr id="12" name="ホームベース 19">
          <a:extLst>
            <a:ext uri="{FF2B5EF4-FFF2-40B4-BE49-F238E27FC236}">
              <a16:creationId xmlns:a16="http://schemas.microsoft.com/office/drawing/2014/main" id="{81D2DBCC-4294-4658-A830-E37248507742}"/>
            </a:ext>
          </a:extLst>
        </xdr:cNvPr>
        <xdr:cNvSpPr/>
      </xdr:nvSpPr>
      <xdr:spPr>
        <a:xfrm>
          <a:off x="5476874" y="5307330"/>
          <a:ext cx="1630680" cy="1524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19050</xdr:colOff>
      <xdr:row>24</xdr:row>
      <xdr:rowOff>28575</xdr:rowOff>
    </xdr:from>
    <xdr:to>
      <xdr:col>6</xdr:col>
      <xdr:colOff>276225</xdr:colOff>
      <xdr:row>24</xdr:row>
      <xdr:rowOff>200025</xdr:rowOff>
    </xdr:to>
    <xdr:sp macro="" textlink="">
      <xdr:nvSpPr>
        <xdr:cNvPr id="13" name="ホームベース 20">
          <a:extLst>
            <a:ext uri="{FF2B5EF4-FFF2-40B4-BE49-F238E27FC236}">
              <a16:creationId xmlns:a16="http://schemas.microsoft.com/office/drawing/2014/main" id="{E2380BB4-1A1E-441D-8C6D-24815350D648}"/>
            </a:ext>
          </a:extLst>
        </xdr:cNvPr>
        <xdr:cNvSpPr/>
      </xdr:nvSpPr>
      <xdr:spPr>
        <a:xfrm>
          <a:off x="5958840" y="4141470"/>
          <a:ext cx="262890" cy="17526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466724</xdr:colOff>
      <xdr:row>34</xdr:row>
      <xdr:rowOff>38100</xdr:rowOff>
    </xdr:from>
    <xdr:to>
      <xdr:col>8</xdr:col>
      <xdr:colOff>161925</xdr:colOff>
      <xdr:row>34</xdr:row>
      <xdr:rowOff>200025</xdr:rowOff>
    </xdr:to>
    <xdr:sp macro="" textlink="">
      <xdr:nvSpPr>
        <xdr:cNvPr id="14" name="ホームベース 21">
          <a:extLst>
            <a:ext uri="{FF2B5EF4-FFF2-40B4-BE49-F238E27FC236}">
              <a16:creationId xmlns:a16="http://schemas.microsoft.com/office/drawing/2014/main" id="{D2B30D0B-0724-4ADD-BD0D-156B3071D36B}"/>
            </a:ext>
          </a:extLst>
        </xdr:cNvPr>
        <xdr:cNvSpPr/>
      </xdr:nvSpPr>
      <xdr:spPr>
        <a:xfrm>
          <a:off x="7259954" y="6438900"/>
          <a:ext cx="542926" cy="16383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485775</xdr:colOff>
      <xdr:row>39</xdr:row>
      <xdr:rowOff>28575</xdr:rowOff>
    </xdr:from>
    <xdr:to>
      <xdr:col>10</xdr:col>
      <xdr:colOff>104775</xdr:colOff>
      <xdr:row>39</xdr:row>
      <xdr:rowOff>190500</xdr:rowOff>
    </xdr:to>
    <xdr:sp macro="" textlink="">
      <xdr:nvSpPr>
        <xdr:cNvPr id="15" name="ホームベース 22">
          <a:extLst>
            <a:ext uri="{FF2B5EF4-FFF2-40B4-BE49-F238E27FC236}">
              <a16:creationId xmlns:a16="http://schemas.microsoft.com/office/drawing/2014/main" id="{98EAA3A9-5E43-4FE9-8124-5687FE286D56}"/>
            </a:ext>
          </a:extLst>
        </xdr:cNvPr>
        <xdr:cNvSpPr/>
      </xdr:nvSpPr>
      <xdr:spPr>
        <a:xfrm>
          <a:off x="7275195" y="7570470"/>
          <a:ext cx="2162175" cy="16383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285750</xdr:colOff>
      <xdr:row>25</xdr:row>
      <xdr:rowOff>38100</xdr:rowOff>
    </xdr:from>
    <xdr:to>
      <xdr:col>6</xdr:col>
      <xdr:colOff>533400</xdr:colOff>
      <xdr:row>25</xdr:row>
      <xdr:rowOff>190499</xdr:rowOff>
    </xdr:to>
    <xdr:sp macro="" textlink="">
      <xdr:nvSpPr>
        <xdr:cNvPr id="16" name="ホームベース 24">
          <a:extLst>
            <a:ext uri="{FF2B5EF4-FFF2-40B4-BE49-F238E27FC236}">
              <a16:creationId xmlns:a16="http://schemas.microsoft.com/office/drawing/2014/main" id="{AF607D10-2775-4024-8A63-9D3F74386B4A}"/>
            </a:ext>
          </a:extLst>
        </xdr:cNvPr>
        <xdr:cNvSpPr/>
      </xdr:nvSpPr>
      <xdr:spPr>
        <a:xfrm>
          <a:off x="6225540" y="4381500"/>
          <a:ext cx="251460" cy="152399"/>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333375</xdr:colOff>
      <xdr:row>30</xdr:row>
      <xdr:rowOff>57151</xdr:rowOff>
    </xdr:from>
    <xdr:to>
      <xdr:col>7</xdr:col>
      <xdr:colOff>590550</xdr:colOff>
      <xdr:row>30</xdr:row>
      <xdr:rowOff>180975</xdr:rowOff>
    </xdr:to>
    <xdr:sp macro="" textlink="">
      <xdr:nvSpPr>
        <xdr:cNvPr id="17" name="ホームベース 25">
          <a:extLst>
            <a:ext uri="{FF2B5EF4-FFF2-40B4-BE49-F238E27FC236}">
              <a16:creationId xmlns:a16="http://schemas.microsoft.com/office/drawing/2014/main" id="{3E831D2A-7E6E-4D37-AB11-A59FD32B5CF8}"/>
            </a:ext>
          </a:extLst>
        </xdr:cNvPr>
        <xdr:cNvSpPr/>
      </xdr:nvSpPr>
      <xdr:spPr>
        <a:xfrm>
          <a:off x="7122795" y="5539741"/>
          <a:ext cx="255270" cy="125729"/>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152400</xdr:colOff>
      <xdr:row>35</xdr:row>
      <xdr:rowOff>28575</xdr:rowOff>
    </xdr:from>
    <xdr:to>
      <xdr:col>8</xdr:col>
      <xdr:colOff>400050</xdr:colOff>
      <xdr:row>35</xdr:row>
      <xdr:rowOff>200024</xdr:rowOff>
    </xdr:to>
    <xdr:sp macro="" textlink="">
      <xdr:nvSpPr>
        <xdr:cNvPr id="18" name="ホームベース 26">
          <a:extLst>
            <a:ext uri="{FF2B5EF4-FFF2-40B4-BE49-F238E27FC236}">
              <a16:creationId xmlns:a16="http://schemas.microsoft.com/office/drawing/2014/main" id="{E654AC33-EEA1-4707-B262-AA340EA2ABCD}"/>
            </a:ext>
          </a:extLst>
        </xdr:cNvPr>
        <xdr:cNvSpPr/>
      </xdr:nvSpPr>
      <xdr:spPr>
        <a:xfrm>
          <a:off x="7791450" y="6656070"/>
          <a:ext cx="243840" cy="175259"/>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171450</xdr:colOff>
      <xdr:row>40</xdr:row>
      <xdr:rowOff>38101</xdr:rowOff>
    </xdr:from>
    <xdr:to>
      <xdr:col>10</xdr:col>
      <xdr:colOff>647700</xdr:colOff>
      <xdr:row>40</xdr:row>
      <xdr:rowOff>219075</xdr:rowOff>
    </xdr:to>
    <xdr:sp macro="" textlink="">
      <xdr:nvSpPr>
        <xdr:cNvPr id="19" name="ホームベース 27">
          <a:extLst>
            <a:ext uri="{FF2B5EF4-FFF2-40B4-BE49-F238E27FC236}">
              <a16:creationId xmlns:a16="http://schemas.microsoft.com/office/drawing/2014/main" id="{7A3F1E2C-5E51-4C38-8381-73C46CE16306}"/>
            </a:ext>
          </a:extLst>
        </xdr:cNvPr>
        <xdr:cNvSpPr/>
      </xdr:nvSpPr>
      <xdr:spPr>
        <a:xfrm>
          <a:off x="9502140" y="7810501"/>
          <a:ext cx="480060" cy="179069"/>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142875</xdr:colOff>
      <xdr:row>26</xdr:row>
      <xdr:rowOff>28575</xdr:rowOff>
    </xdr:from>
    <xdr:to>
      <xdr:col>7</xdr:col>
      <xdr:colOff>485775</xdr:colOff>
      <xdr:row>26</xdr:row>
      <xdr:rowOff>200025</xdr:rowOff>
    </xdr:to>
    <xdr:sp macro="" textlink="">
      <xdr:nvSpPr>
        <xdr:cNvPr id="20" name="ホームベース 28">
          <a:extLst>
            <a:ext uri="{FF2B5EF4-FFF2-40B4-BE49-F238E27FC236}">
              <a16:creationId xmlns:a16="http://schemas.microsoft.com/office/drawing/2014/main" id="{2AC4F407-0681-4A9B-9584-9EB6A12ABD38}"/>
            </a:ext>
          </a:extLst>
        </xdr:cNvPr>
        <xdr:cNvSpPr/>
      </xdr:nvSpPr>
      <xdr:spPr>
        <a:xfrm>
          <a:off x="6932295" y="4598670"/>
          <a:ext cx="342900" cy="17526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66675</xdr:colOff>
      <xdr:row>31</xdr:row>
      <xdr:rowOff>57150</xdr:rowOff>
    </xdr:from>
    <xdr:to>
      <xdr:col>8</xdr:col>
      <xdr:colOff>561975</xdr:colOff>
      <xdr:row>31</xdr:row>
      <xdr:rowOff>200025</xdr:rowOff>
    </xdr:to>
    <xdr:sp macro="" textlink="">
      <xdr:nvSpPr>
        <xdr:cNvPr id="21" name="ホームベース 29">
          <a:extLst>
            <a:ext uri="{FF2B5EF4-FFF2-40B4-BE49-F238E27FC236}">
              <a16:creationId xmlns:a16="http://schemas.microsoft.com/office/drawing/2014/main" id="{49B995C6-9F36-4074-B61F-1EBDEF7C6B26}"/>
            </a:ext>
          </a:extLst>
        </xdr:cNvPr>
        <xdr:cNvSpPr/>
      </xdr:nvSpPr>
      <xdr:spPr>
        <a:xfrm>
          <a:off x="7703820" y="5768340"/>
          <a:ext cx="495300" cy="14859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447675</xdr:colOff>
      <xdr:row>36</xdr:row>
      <xdr:rowOff>28575</xdr:rowOff>
    </xdr:from>
    <xdr:to>
      <xdr:col>9</xdr:col>
      <xdr:colOff>666751</xdr:colOff>
      <xdr:row>36</xdr:row>
      <xdr:rowOff>200025</xdr:rowOff>
    </xdr:to>
    <xdr:sp macro="" textlink="">
      <xdr:nvSpPr>
        <xdr:cNvPr id="22" name="ホームベース 30">
          <a:extLst>
            <a:ext uri="{FF2B5EF4-FFF2-40B4-BE49-F238E27FC236}">
              <a16:creationId xmlns:a16="http://schemas.microsoft.com/office/drawing/2014/main" id="{00BA9F95-477C-42AA-B12A-B0DA40EDA147}"/>
            </a:ext>
          </a:extLst>
        </xdr:cNvPr>
        <xdr:cNvSpPr/>
      </xdr:nvSpPr>
      <xdr:spPr>
        <a:xfrm>
          <a:off x="8084820" y="6884670"/>
          <a:ext cx="1064896" cy="17526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19049</xdr:colOff>
      <xdr:row>41</xdr:row>
      <xdr:rowOff>28575</xdr:rowOff>
    </xdr:from>
    <xdr:to>
      <xdr:col>11</xdr:col>
      <xdr:colOff>676274</xdr:colOff>
      <xdr:row>41</xdr:row>
      <xdr:rowOff>200025</xdr:rowOff>
    </xdr:to>
    <xdr:sp macro="" textlink="">
      <xdr:nvSpPr>
        <xdr:cNvPr id="23" name="ホームベース 31">
          <a:extLst>
            <a:ext uri="{FF2B5EF4-FFF2-40B4-BE49-F238E27FC236}">
              <a16:creationId xmlns:a16="http://schemas.microsoft.com/office/drawing/2014/main" id="{5899AE3D-A954-4368-B282-4583544EFD58}"/>
            </a:ext>
          </a:extLst>
        </xdr:cNvPr>
        <xdr:cNvSpPr/>
      </xdr:nvSpPr>
      <xdr:spPr>
        <a:xfrm>
          <a:off x="10205084" y="8027670"/>
          <a:ext cx="651510" cy="17526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19050</xdr:colOff>
      <xdr:row>22</xdr:row>
      <xdr:rowOff>38100</xdr:rowOff>
    </xdr:from>
    <xdr:to>
      <xdr:col>7</xdr:col>
      <xdr:colOff>190500</xdr:colOff>
      <xdr:row>22</xdr:row>
      <xdr:rowOff>219075</xdr:rowOff>
    </xdr:to>
    <xdr:sp macro="" textlink="">
      <xdr:nvSpPr>
        <xdr:cNvPr id="24" name="フローチャート: 結合子 23">
          <a:extLst>
            <a:ext uri="{FF2B5EF4-FFF2-40B4-BE49-F238E27FC236}">
              <a16:creationId xmlns:a16="http://schemas.microsoft.com/office/drawing/2014/main" id="{B78C5DA0-CA8C-4645-841A-968758568C31}"/>
            </a:ext>
          </a:extLst>
        </xdr:cNvPr>
        <xdr:cNvSpPr/>
      </xdr:nvSpPr>
      <xdr:spPr>
        <a:xfrm>
          <a:off x="6806565" y="3695700"/>
          <a:ext cx="175260" cy="179070"/>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47625</xdr:colOff>
      <xdr:row>27</xdr:row>
      <xdr:rowOff>28575</xdr:rowOff>
    </xdr:from>
    <xdr:to>
      <xdr:col>8</xdr:col>
      <xdr:colOff>219075</xdr:colOff>
      <xdr:row>27</xdr:row>
      <xdr:rowOff>209550</xdr:rowOff>
    </xdr:to>
    <xdr:sp macro="" textlink="">
      <xdr:nvSpPr>
        <xdr:cNvPr id="25" name="フローチャート: 結合子 24">
          <a:extLst>
            <a:ext uri="{FF2B5EF4-FFF2-40B4-BE49-F238E27FC236}">
              <a16:creationId xmlns:a16="http://schemas.microsoft.com/office/drawing/2014/main" id="{44D55780-4896-4216-8922-D654247A3102}"/>
            </a:ext>
          </a:extLst>
        </xdr:cNvPr>
        <xdr:cNvSpPr/>
      </xdr:nvSpPr>
      <xdr:spPr>
        <a:xfrm>
          <a:off x="7688580" y="4827270"/>
          <a:ext cx="167640" cy="179070"/>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28575</xdr:colOff>
      <xdr:row>32</xdr:row>
      <xdr:rowOff>38100</xdr:rowOff>
    </xdr:from>
    <xdr:to>
      <xdr:col>9</xdr:col>
      <xdr:colOff>200025</xdr:colOff>
      <xdr:row>32</xdr:row>
      <xdr:rowOff>219075</xdr:rowOff>
    </xdr:to>
    <xdr:sp macro="" textlink="">
      <xdr:nvSpPr>
        <xdr:cNvPr id="26" name="フローチャート: 結合子 25">
          <a:extLst>
            <a:ext uri="{FF2B5EF4-FFF2-40B4-BE49-F238E27FC236}">
              <a16:creationId xmlns:a16="http://schemas.microsoft.com/office/drawing/2014/main" id="{222FF040-0D7F-4061-818A-4A567BDFD1E5}"/>
            </a:ext>
          </a:extLst>
        </xdr:cNvPr>
        <xdr:cNvSpPr/>
      </xdr:nvSpPr>
      <xdr:spPr>
        <a:xfrm>
          <a:off x="8513445" y="5981700"/>
          <a:ext cx="175260" cy="179070"/>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76200</xdr:colOff>
      <xdr:row>37</xdr:row>
      <xdr:rowOff>28575</xdr:rowOff>
    </xdr:from>
    <xdr:to>
      <xdr:col>10</xdr:col>
      <xdr:colOff>247650</xdr:colOff>
      <xdr:row>37</xdr:row>
      <xdr:rowOff>209550</xdr:rowOff>
    </xdr:to>
    <xdr:sp macro="" textlink="">
      <xdr:nvSpPr>
        <xdr:cNvPr id="27" name="フローチャート: 結合子 26">
          <a:extLst>
            <a:ext uri="{FF2B5EF4-FFF2-40B4-BE49-F238E27FC236}">
              <a16:creationId xmlns:a16="http://schemas.microsoft.com/office/drawing/2014/main" id="{B52104BA-BAB7-491D-9EF8-B0F8294A1AAE}"/>
            </a:ext>
          </a:extLst>
        </xdr:cNvPr>
        <xdr:cNvSpPr/>
      </xdr:nvSpPr>
      <xdr:spPr>
        <a:xfrm>
          <a:off x="9410700" y="7113270"/>
          <a:ext cx="167640" cy="179070"/>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47625</xdr:colOff>
      <xdr:row>42</xdr:row>
      <xdr:rowOff>28575</xdr:rowOff>
    </xdr:from>
    <xdr:to>
      <xdr:col>12</xdr:col>
      <xdr:colOff>219075</xdr:colOff>
      <xdr:row>42</xdr:row>
      <xdr:rowOff>209550</xdr:rowOff>
    </xdr:to>
    <xdr:sp macro="" textlink="">
      <xdr:nvSpPr>
        <xdr:cNvPr id="28" name="フローチャート: 結合子 27">
          <a:extLst>
            <a:ext uri="{FF2B5EF4-FFF2-40B4-BE49-F238E27FC236}">
              <a16:creationId xmlns:a16="http://schemas.microsoft.com/office/drawing/2014/main" id="{4E0E0551-BFAC-4D5D-8A26-DD2CB5E0836B}"/>
            </a:ext>
          </a:extLst>
        </xdr:cNvPr>
        <xdr:cNvSpPr/>
      </xdr:nvSpPr>
      <xdr:spPr>
        <a:xfrm>
          <a:off x="11079480" y="8256270"/>
          <a:ext cx="167640" cy="179070"/>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app.box.com/folder/160850577328"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app.box.com/folder/160850577328"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app.box.com/folder/160850577328"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app.box.com/folder/160850577328"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app.box.com/folder/160850577328"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app.box.com/folder/160850577328"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app.box.com/folder/1608505773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workbookViewId="0">
      <selection activeCell="B3" sqref="B3"/>
    </sheetView>
  </sheetViews>
  <sheetFormatPr defaultRowHeight="18" x14ac:dyDescent="0.55000000000000004"/>
  <cols>
    <col min="1" max="1" width="3" customWidth="1"/>
  </cols>
  <sheetData>
    <row r="1" spans="1:2" x14ac:dyDescent="0.55000000000000004">
      <c r="A1" t="s">
        <v>0</v>
      </c>
    </row>
    <row r="2" spans="1:2" x14ac:dyDescent="0.55000000000000004">
      <c r="B2" t="s">
        <v>1</v>
      </c>
    </row>
    <row r="3" spans="1:2" x14ac:dyDescent="0.55000000000000004">
      <c r="B3" t="s">
        <v>2</v>
      </c>
    </row>
    <row r="4" spans="1:2" x14ac:dyDescent="0.55000000000000004">
      <c r="B4" t="s">
        <v>3</v>
      </c>
    </row>
    <row r="5" spans="1:2" x14ac:dyDescent="0.55000000000000004">
      <c r="B5" t="s">
        <v>4</v>
      </c>
    </row>
    <row r="6" spans="1:2" x14ac:dyDescent="0.55000000000000004">
      <c r="B6" t="s">
        <v>5</v>
      </c>
    </row>
    <row r="7" spans="1:2" x14ac:dyDescent="0.55000000000000004">
      <c r="B7" t="s">
        <v>6</v>
      </c>
    </row>
    <row r="10" spans="1:2" x14ac:dyDescent="0.55000000000000004">
      <c r="A10" t="s">
        <v>7</v>
      </c>
    </row>
    <row r="11" spans="1:2" x14ac:dyDescent="0.55000000000000004">
      <c r="A11" t="s">
        <v>8</v>
      </c>
    </row>
    <row r="12" spans="1:2" x14ac:dyDescent="0.55000000000000004">
      <c r="B12" t="s">
        <v>9</v>
      </c>
    </row>
    <row r="13" spans="1:2" x14ac:dyDescent="0.55000000000000004">
      <c r="B13" t="s">
        <v>10</v>
      </c>
    </row>
    <row r="14" spans="1:2" x14ac:dyDescent="0.55000000000000004">
      <c r="B14" t="s">
        <v>11</v>
      </c>
    </row>
    <row r="15" spans="1:2" x14ac:dyDescent="0.55000000000000004">
      <c r="B15" t="s">
        <v>12</v>
      </c>
    </row>
    <row r="16" spans="1:2" x14ac:dyDescent="0.55000000000000004">
      <c r="B16" t="s">
        <v>13</v>
      </c>
    </row>
    <row r="18" spans="1:5" x14ac:dyDescent="0.55000000000000004">
      <c r="A18" s="21" t="s">
        <v>14</v>
      </c>
      <c r="B18" s="21"/>
    </row>
    <row r="19" spans="1:5" x14ac:dyDescent="0.55000000000000004">
      <c r="B19" t="s">
        <v>15</v>
      </c>
      <c r="E19" t="s">
        <v>16</v>
      </c>
    </row>
    <row r="20" spans="1:5" x14ac:dyDescent="0.55000000000000004">
      <c r="B20" s="83" t="s">
        <v>17</v>
      </c>
    </row>
    <row r="21" spans="1:5" x14ac:dyDescent="0.55000000000000004">
      <c r="B21" t="s">
        <v>18</v>
      </c>
    </row>
    <row r="22" spans="1:5" x14ac:dyDescent="0.55000000000000004">
      <c r="B22" t="s">
        <v>19</v>
      </c>
    </row>
    <row r="23" spans="1:5" x14ac:dyDescent="0.55000000000000004">
      <c r="B23" t="s">
        <v>20</v>
      </c>
    </row>
    <row r="25" spans="1:5" x14ac:dyDescent="0.55000000000000004">
      <c r="A25" s="21" t="s">
        <v>21</v>
      </c>
      <c r="B25" s="21"/>
    </row>
    <row r="26" spans="1:5" x14ac:dyDescent="0.55000000000000004">
      <c r="A26" s="21"/>
      <c r="B26" t="s">
        <v>22</v>
      </c>
    </row>
    <row r="27" spans="1:5" x14ac:dyDescent="0.55000000000000004">
      <c r="A27" s="21"/>
      <c r="B27" t="s">
        <v>23</v>
      </c>
    </row>
    <row r="28" spans="1:5" x14ac:dyDescent="0.55000000000000004">
      <c r="A28" s="21"/>
      <c r="B28" t="s">
        <v>24</v>
      </c>
    </row>
    <row r="29" spans="1:5" x14ac:dyDescent="0.55000000000000004">
      <c r="A29" s="21"/>
      <c r="B29" t="s">
        <v>15</v>
      </c>
    </row>
    <row r="30" spans="1:5" x14ac:dyDescent="0.55000000000000004">
      <c r="A30" s="21"/>
      <c r="B30" t="s">
        <v>18</v>
      </c>
    </row>
    <row r="32" spans="1:5" x14ac:dyDescent="0.55000000000000004">
      <c r="A32" s="21" t="s">
        <v>25</v>
      </c>
      <c r="B32" s="21"/>
    </row>
    <row r="33" spans="2:2" x14ac:dyDescent="0.55000000000000004">
      <c r="B33" t="s">
        <v>26</v>
      </c>
    </row>
    <row r="34" spans="2:2" x14ac:dyDescent="0.55000000000000004">
      <c r="B34" t="s">
        <v>27</v>
      </c>
    </row>
    <row r="35" spans="2:2" x14ac:dyDescent="0.55000000000000004">
      <c r="B35" t="s">
        <v>28</v>
      </c>
    </row>
    <row r="36" spans="2:2" x14ac:dyDescent="0.55000000000000004">
      <c r="B36" t="s">
        <v>29</v>
      </c>
    </row>
    <row r="37" spans="2:2" x14ac:dyDescent="0.55000000000000004">
      <c r="B37" t="s">
        <v>30</v>
      </c>
    </row>
    <row r="38" spans="2:2" x14ac:dyDescent="0.55000000000000004">
      <c r="B38" t="s">
        <v>31</v>
      </c>
    </row>
  </sheetData>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CF419-3D41-467B-AF0E-96D8CA204C64}">
  <dimension ref="C5:E114"/>
  <sheetViews>
    <sheetView showGridLines="0" zoomScale="120" zoomScaleNormal="120" workbookViewId="0"/>
  </sheetViews>
  <sheetFormatPr defaultColWidth="8.75" defaultRowHeight="18" x14ac:dyDescent="0.55000000000000004"/>
  <cols>
    <col min="1" max="1" width="9.25" style="21" customWidth="1"/>
    <col min="2" max="2" width="4.33203125" style="21" customWidth="1"/>
    <col min="3" max="3" width="4" style="21" customWidth="1"/>
    <col min="4" max="4" width="9.25" style="21" bestFit="1" customWidth="1"/>
    <col min="5" max="5" width="13.08203125" style="21" customWidth="1"/>
    <col min="6" max="10" width="8.75" style="21"/>
    <col min="11" max="11" width="10.25" style="21" bestFit="1" customWidth="1"/>
    <col min="12" max="16384" width="8.75" style="21"/>
  </cols>
  <sheetData>
    <row r="5" spans="3:4" x14ac:dyDescent="0.55000000000000004">
      <c r="C5" s="21" t="s">
        <v>32</v>
      </c>
    </row>
    <row r="6" spans="3:4" x14ac:dyDescent="0.55000000000000004">
      <c r="D6" s="21" t="s">
        <v>33</v>
      </c>
    </row>
    <row r="8" spans="3:4" x14ac:dyDescent="0.55000000000000004">
      <c r="D8" s="21" t="s">
        <v>34</v>
      </c>
    </row>
    <row r="10" spans="3:4" x14ac:dyDescent="0.55000000000000004">
      <c r="D10" s="21" t="s">
        <v>35</v>
      </c>
    </row>
    <row r="12" spans="3:4" x14ac:dyDescent="0.55000000000000004">
      <c r="D12" s="21" t="s">
        <v>36</v>
      </c>
    </row>
    <row r="14" spans="3:4" x14ac:dyDescent="0.55000000000000004">
      <c r="D14" s="21" t="s">
        <v>37</v>
      </c>
    </row>
    <row r="16" spans="3:4" x14ac:dyDescent="0.55000000000000004">
      <c r="D16" s="21" t="s">
        <v>38</v>
      </c>
    </row>
    <row r="18" spans="3:5" x14ac:dyDescent="0.55000000000000004">
      <c r="D18" s="21" t="s">
        <v>39</v>
      </c>
    </row>
    <row r="19" spans="3:5" x14ac:dyDescent="0.55000000000000004">
      <c r="E19" s="21" t="s">
        <v>40</v>
      </c>
    </row>
    <row r="21" spans="3:5" x14ac:dyDescent="0.55000000000000004">
      <c r="C21" s="21" t="s">
        <v>41</v>
      </c>
    </row>
    <row r="22" spans="3:5" x14ac:dyDescent="0.55000000000000004">
      <c r="D22" s="21" t="s">
        <v>42</v>
      </c>
    </row>
    <row r="23" spans="3:5" x14ac:dyDescent="0.55000000000000004">
      <c r="D23" s="21" t="s">
        <v>43</v>
      </c>
    </row>
    <row r="31" spans="3:5" x14ac:dyDescent="0.55000000000000004">
      <c r="D31" s="137"/>
    </row>
    <row r="53" spans="4:4" x14ac:dyDescent="0.55000000000000004">
      <c r="D53" s="137"/>
    </row>
    <row r="81" spans="4:4" x14ac:dyDescent="0.55000000000000004">
      <c r="D81" s="137"/>
    </row>
    <row r="82" spans="4:4" x14ac:dyDescent="0.55000000000000004">
      <c r="D82" s="137"/>
    </row>
    <row r="83" spans="4:4" x14ac:dyDescent="0.55000000000000004">
      <c r="D83" s="137"/>
    </row>
    <row r="84" spans="4:4" x14ac:dyDescent="0.55000000000000004">
      <c r="D84" s="137"/>
    </row>
    <row r="85" spans="4:4" x14ac:dyDescent="0.55000000000000004">
      <c r="D85" s="137"/>
    </row>
    <row r="86" spans="4:4" x14ac:dyDescent="0.55000000000000004">
      <c r="D86" s="137"/>
    </row>
    <row r="87" spans="4:4" x14ac:dyDescent="0.55000000000000004">
      <c r="D87" s="137"/>
    </row>
    <row r="112" spans="4:4" x14ac:dyDescent="0.55000000000000004">
      <c r="D112" s="137"/>
    </row>
    <row r="114" spans="4:4" x14ac:dyDescent="0.55000000000000004">
      <c r="D114" s="137"/>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O18"/>
  <sheetViews>
    <sheetView zoomScale="70" zoomScaleNormal="70" workbookViewId="0">
      <selection activeCell="G56" sqref="G56"/>
    </sheetView>
  </sheetViews>
  <sheetFormatPr defaultColWidth="8.08203125" defaultRowHeight="13" x14ac:dyDescent="0.55000000000000004"/>
  <cols>
    <col min="1" max="16384" width="8.08203125" style="32"/>
  </cols>
  <sheetData>
    <row r="1" spans="3:9" x14ac:dyDescent="0.55000000000000004">
      <c r="C1" s="32" t="s">
        <v>44</v>
      </c>
      <c r="E1" s="33"/>
      <c r="F1" s="32" t="s">
        <v>45</v>
      </c>
      <c r="H1" s="34"/>
      <c r="I1" s="32" t="s">
        <v>46</v>
      </c>
    </row>
    <row r="2" spans="3:9" x14ac:dyDescent="0.55000000000000004">
      <c r="C2" s="32" t="s">
        <v>47</v>
      </c>
      <c r="E2" s="35"/>
      <c r="F2" s="32" t="s">
        <v>48</v>
      </c>
      <c r="H2" s="36"/>
      <c r="I2" s="32" t="s">
        <v>49</v>
      </c>
    </row>
    <row r="17" spans="15:15" x14ac:dyDescent="0.55000000000000004">
      <c r="O17" s="37"/>
    </row>
    <row r="18" spans="15:15" x14ac:dyDescent="0.55000000000000004">
      <c r="O18" s="37"/>
    </row>
  </sheetData>
  <phoneticPr fontId="2"/>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I2"/>
  <sheetViews>
    <sheetView zoomScale="60" zoomScaleNormal="60" workbookViewId="0"/>
  </sheetViews>
  <sheetFormatPr defaultColWidth="8.08203125" defaultRowHeight="13" x14ac:dyDescent="0.55000000000000004"/>
  <cols>
    <col min="1" max="16384" width="8.08203125" style="32"/>
  </cols>
  <sheetData>
    <row r="1" spans="3:9" x14ac:dyDescent="0.55000000000000004">
      <c r="C1" s="32" t="s">
        <v>44</v>
      </c>
      <c r="E1" s="33"/>
      <c r="F1" s="32" t="s">
        <v>45</v>
      </c>
      <c r="H1" s="34"/>
      <c r="I1" s="32" t="s">
        <v>46</v>
      </c>
    </row>
    <row r="2" spans="3:9" x14ac:dyDescent="0.55000000000000004">
      <c r="C2" s="32" t="s">
        <v>47</v>
      </c>
      <c r="E2" s="35"/>
      <c r="F2" s="32" t="s">
        <v>48</v>
      </c>
      <c r="H2" s="36"/>
      <c r="I2" s="32" t="s">
        <v>49</v>
      </c>
    </row>
  </sheetData>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6"/>
  <sheetViews>
    <sheetView zoomScale="80" zoomScaleNormal="80" workbookViewId="0">
      <pane xSplit="2" ySplit="2" topLeftCell="N3" activePane="bottomRight" state="frozen"/>
      <selection pane="topRight" activeCell="C1" sqref="C1"/>
      <selection pane="bottomLeft" activeCell="A3" sqref="A3"/>
      <selection pane="bottomRight" activeCell="Q17" sqref="Q17"/>
    </sheetView>
  </sheetViews>
  <sheetFormatPr defaultRowHeight="18.75" customHeight="1" outlineLevelCol="1" x14ac:dyDescent="0.55000000000000004"/>
  <cols>
    <col min="1" max="1" width="15.58203125" style="12" bestFit="1" customWidth="1"/>
    <col min="2" max="2" width="35" style="12" customWidth="1"/>
    <col min="3" max="3" width="8.58203125" style="12" customWidth="1"/>
    <col min="4" max="5" width="20.58203125" style="12" customWidth="1"/>
    <col min="6" max="6" width="35.08203125" style="12" customWidth="1"/>
    <col min="7" max="7" width="20.58203125" style="12" customWidth="1" outlineLevel="1"/>
    <col min="8" max="12" width="17.58203125" style="12" customWidth="1" outlineLevel="1"/>
    <col min="13" max="13" width="29.83203125" style="12" customWidth="1" outlineLevel="1"/>
    <col min="14" max="19" width="8.58203125" style="12" customWidth="1"/>
    <col min="20" max="25" width="9" style="13"/>
  </cols>
  <sheetData>
    <row r="1" spans="1:26" ht="18" x14ac:dyDescent="0.55000000000000004">
      <c r="A1"/>
      <c r="B1"/>
      <c r="C1"/>
      <c r="D1"/>
      <c r="E1"/>
      <c r="F1" s="276" t="s">
        <v>50</v>
      </c>
      <c r="G1" s="277"/>
      <c r="H1" s="277"/>
      <c r="I1" s="277"/>
      <c r="J1" s="277"/>
      <c r="K1" s="277"/>
      <c r="L1" s="277"/>
      <c r="M1" s="53"/>
      <c r="N1" s="276" t="s">
        <v>51</v>
      </c>
      <c r="O1" s="277"/>
      <c r="P1" s="277"/>
      <c r="Q1" s="277"/>
      <c r="R1" s="277"/>
      <c r="S1" s="277"/>
      <c r="T1" s="276" t="s">
        <v>52</v>
      </c>
      <c r="U1" s="277"/>
      <c r="V1" s="277"/>
      <c r="W1" s="277"/>
      <c r="X1" s="277"/>
      <c r="Y1" s="277"/>
    </row>
    <row r="2" spans="1:26" ht="36" x14ac:dyDescent="0.55000000000000004">
      <c r="A2" s="7" t="s">
        <v>53</v>
      </c>
      <c r="B2" s="7" t="s">
        <v>54</v>
      </c>
      <c r="C2" s="7" t="s">
        <v>55</v>
      </c>
      <c r="D2" s="7" t="s">
        <v>56</v>
      </c>
      <c r="E2" s="7" t="s">
        <v>57</v>
      </c>
      <c r="F2" s="7" t="s">
        <v>58</v>
      </c>
      <c r="G2" s="7" t="s">
        <v>59</v>
      </c>
      <c r="H2" s="7" t="s">
        <v>60</v>
      </c>
      <c r="I2" s="7" t="s">
        <v>61</v>
      </c>
      <c r="J2" s="7" t="s">
        <v>62</v>
      </c>
      <c r="K2" s="7" t="s">
        <v>63</v>
      </c>
      <c r="L2" s="7" t="s">
        <v>64</v>
      </c>
      <c r="M2" s="7" t="s">
        <v>65</v>
      </c>
      <c r="N2" s="7" t="s">
        <v>66</v>
      </c>
      <c r="O2" s="7" t="s">
        <v>67</v>
      </c>
      <c r="P2" s="7" t="s">
        <v>68</v>
      </c>
      <c r="Q2" s="7" t="s">
        <v>69</v>
      </c>
      <c r="R2" s="7" t="s">
        <v>70</v>
      </c>
      <c r="S2" s="7" t="s">
        <v>64</v>
      </c>
      <c r="T2" s="7" t="s">
        <v>71</v>
      </c>
      <c r="U2" s="7" t="s">
        <v>72</v>
      </c>
      <c r="V2" s="7" t="s">
        <v>73</v>
      </c>
      <c r="W2" s="7" t="s">
        <v>74</v>
      </c>
      <c r="X2" s="7" t="s">
        <v>75</v>
      </c>
      <c r="Y2" s="7" t="s">
        <v>76</v>
      </c>
    </row>
    <row r="3" spans="1:26" ht="36" customHeight="1" x14ac:dyDescent="0.55000000000000004">
      <c r="A3" s="8" t="s">
        <v>77</v>
      </c>
      <c r="B3" s="8" t="s">
        <v>78</v>
      </c>
      <c r="C3" s="266" t="s">
        <v>79</v>
      </c>
      <c r="D3" s="266" t="s">
        <v>80</v>
      </c>
      <c r="E3" s="266" t="s">
        <v>81</v>
      </c>
      <c r="F3" s="266" t="s">
        <v>82</v>
      </c>
      <c r="G3" s="266" t="s">
        <v>83</v>
      </c>
      <c r="H3" s="266" t="s">
        <v>84</v>
      </c>
      <c r="I3" s="266" t="s">
        <v>85</v>
      </c>
      <c r="J3" s="266" t="s">
        <v>86</v>
      </c>
      <c r="K3" s="266" t="s">
        <v>87</v>
      </c>
      <c r="L3" s="266"/>
      <c r="M3" s="266" t="s">
        <v>88</v>
      </c>
      <c r="N3" s="268" t="s">
        <v>89</v>
      </c>
      <c r="O3" s="268" t="s">
        <v>90</v>
      </c>
      <c r="P3" s="266" t="s">
        <v>91</v>
      </c>
      <c r="Q3" s="268" t="s">
        <v>92</v>
      </c>
      <c r="R3" s="266" t="s">
        <v>93</v>
      </c>
      <c r="S3" s="266"/>
      <c r="T3" s="262" t="s">
        <v>94</v>
      </c>
      <c r="U3" s="262" t="s">
        <v>94</v>
      </c>
      <c r="V3" s="262" t="s">
        <v>94</v>
      </c>
      <c r="W3" s="262" t="s">
        <v>95</v>
      </c>
      <c r="X3" s="262" t="s">
        <v>94</v>
      </c>
      <c r="Y3" s="262" t="s">
        <v>94</v>
      </c>
      <c r="Z3" t="s">
        <v>96</v>
      </c>
    </row>
    <row r="4" spans="1:26" ht="36" customHeight="1" x14ac:dyDescent="0.55000000000000004">
      <c r="A4" s="8" t="s">
        <v>97</v>
      </c>
      <c r="B4" s="8" t="s">
        <v>98</v>
      </c>
      <c r="C4" s="267"/>
      <c r="D4" s="267"/>
      <c r="E4" s="267"/>
      <c r="F4" s="267"/>
      <c r="G4" s="267"/>
      <c r="H4" s="267"/>
      <c r="I4" s="267"/>
      <c r="J4" s="267"/>
      <c r="K4" s="267"/>
      <c r="L4" s="267"/>
      <c r="M4" s="267"/>
      <c r="N4" s="269"/>
      <c r="O4" s="269"/>
      <c r="P4" s="267"/>
      <c r="Q4" s="269"/>
      <c r="R4" s="267"/>
      <c r="S4" s="267"/>
      <c r="T4" s="263"/>
      <c r="U4" s="263"/>
      <c r="V4" s="263"/>
      <c r="W4" s="263"/>
      <c r="X4" s="263"/>
      <c r="Y4" s="263"/>
      <c r="Z4" t="s">
        <v>96</v>
      </c>
    </row>
    <row r="5" spans="1:26" ht="36" customHeight="1" x14ac:dyDescent="0.55000000000000004">
      <c r="A5" s="10" t="s">
        <v>99</v>
      </c>
      <c r="B5" s="10" t="s">
        <v>100</v>
      </c>
      <c r="C5" s="266" t="s">
        <v>79</v>
      </c>
      <c r="D5" s="266" t="s">
        <v>80</v>
      </c>
      <c r="E5" s="266" t="s">
        <v>81</v>
      </c>
      <c r="F5" s="266" t="s">
        <v>101</v>
      </c>
      <c r="G5" s="266" t="s">
        <v>83</v>
      </c>
      <c r="H5" s="266" t="s">
        <v>84</v>
      </c>
      <c r="I5" s="266" t="s">
        <v>85</v>
      </c>
      <c r="J5" s="266" t="s">
        <v>86</v>
      </c>
      <c r="K5" s="266" t="s">
        <v>102</v>
      </c>
      <c r="L5" s="266"/>
      <c r="M5" s="266" t="s">
        <v>88</v>
      </c>
      <c r="N5" s="268" t="s">
        <v>103</v>
      </c>
      <c r="O5" s="268" t="s">
        <v>104</v>
      </c>
      <c r="P5" s="266" t="s">
        <v>105</v>
      </c>
      <c r="Q5" s="268" t="s">
        <v>106</v>
      </c>
      <c r="R5" s="266" t="s">
        <v>107</v>
      </c>
      <c r="S5" s="266"/>
      <c r="T5" s="262" t="s">
        <v>94</v>
      </c>
      <c r="U5" s="262" t="s">
        <v>94</v>
      </c>
      <c r="V5" s="262" t="s">
        <v>94</v>
      </c>
      <c r="W5" s="262" t="s">
        <v>95</v>
      </c>
      <c r="X5" s="262" t="s">
        <v>94</v>
      </c>
      <c r="Y5" s="262" t="s">
        <v>94</v>
      </c>
      <c r="Z5" t="s">
        <v>96</v>
      </c>
    </row>
    <row r="6" spans="1:26" ht="36" customHeight="1" x14ac:dyDescent="0.55000000000000004">
      <c r="A6" s="8" t="s">
        <v>108</v>
      </c>
      <c r="B6" s="8" t="s">
        <v>109</v>
      </c>
      <c r="C6" s="267"/>
      <c r="D6" s="267"/>
      <c r="E6" s="267"/>
      <c r="F6" s="267"/>
      <c r="G6" s="267"/>
      <c r="H6" s="267"/>
      <c r="I6" s="267"/>
      <c r="J6" s="267"/>
      <c r="K6" s="267"/>
      <c r="L6" s="267"/>
      <c r="M6" s="267"/>
      <c r="N6" s="269"/>
      <c r="O6" s="269"/>
      <c r="P6" s="267"/>
      <c r="Q6" s="269"/>
      <c r="R6" s="267"/>
      <c r="S6" s="267"/>
      <c r="T6" s="263"/>
      <c r="U6" s="263"/>
      <c r="V6" s="263"/>
      <c r="W6" s="263"/>
      <c r="X6" s="263"/>
      <c r="Y6" s="263"/>
      <c r="Z6" t="s">
        <v>96</v>
      </c>
    </row>
    <row r="7" spans="1:26" ht="72" x14ac:dyDescent="0.55000000000000004">
      <c r="A7" s="10" t="s">
        <v>110</v>
      </c>
      <c r="B7" s="10" t="s">
        <v>111</v>
      </c>
      <c r="C7" s="10" t="s">
        <v>79</v>
      </c>
      <c r="D7" s="8" t="s">
        <v>80</v>
      </c>
      <c r="E7" s="8" t="s">
        <v>81</v>
      </c>
      <c r="F7" s="54" t="s">
        <v>112</v>
      </c>
      <c r="G7" s="8" t="s">
        <v>83</v>
      </c>
      <c r="H7" s="8" t="s">
        <v>113</v>
      </c>
      <c r="I7" s="8" t="s">
        <v>85</v>
      </c>
      <c r="J7" s="10" t="s">
        <v>86</v>
      </c>
      <c r="K7" s="10" t="s">
        <v>102</v>
      </c>
      <c r="L7" s="54" t="s">
        <v>114</v>
      </c>
      <c r="M7" s="54" t="s">
        <v>88</v>
      </c>
      <c r="N7" s="10">
        <v>83</v>
      </c>
      <c r="O7" s="10">
        <v>25</v>
      </c>
      <c r="P7" s="10">
        <v>5</v>
      </c>
      <c r="Q7" s="10">
        <v>4</v>
      </c>
      <c r="R7" s="10">
        <v>67</v>
      </c>
      <c r="S7" s="10"/>
      <c r="T7" s="11" t="s">
        <v>94</v>
      </c>
      <c r="U7" s="11" t="s">
        <v>94</v>
      </c>
      <c r="V7" s="11" t="s">
        <v>94</v>
      </c>
      <c r="W7" s="11" t="s">
        <v>94</v>
      </c>
      <c r="X7" s="11" t="s">
        <v>94</v>
      </c>
      <c r="Y7" s="11" t="s">
        <v>94</v>
      </c>
      <c r="Z7" t="s">
        <v>96</v>
      </c>
    </row>
    <row r="8" spans="1:26" ht="72" x14ac:dyDescent="0.55000000000000004">
      <c r="A8" s="8" t="s">
        <v>115</v>
      </c>
      <c r="B8" s="8" t="s">
        <v>116</v>
      </c>
      <c r="C8" s="8" t="s">
        <v>79</v>
      </c>
      <c r="D8" s="8" t="s">
        <v>80</v>
      </c>
      <c r="E8" s="8" t="s">
        <v>81</v>
      </c>
      <c r="F8" s="8" t="s">
        <v>117</v>
      </c>
      <c r="G8" s="8" t="s">
        <v>83</v>
      </c>
      <c r="H8" s="8" t="s">
        <v>113</v>
      </c>
      <c r="I8" s="8" t="s">
        <v>85</v>
      </c>
      <c r="J8" s="10" t="s">
        <v>86</v>
      </c>
      <c r="K8" s="10" t="s">
        <v>102</v>
      </c>
      <c r="L8" s="54" t="s">
        <v>114</v>
      </c>
      <c r="M8" s="8" t="s">
        <v>118</v>
      </c>
      <c r="N8" s="10">
        <v>17</v>
      </c>
      <c r="O8" s="10">
        <v>3</v>
      </c>
      <c r="P8" s="54">
        <v>1</v>
      </c>
      <c r="Q8" s="10">
        <v>3</v>
      </c>
      <c r="R8" s="54">
        <v>12</v>
      </c>
      <c r="S8" s="8"/>
      <c r="T8" s="9" t="s">
        <v>94</v>
      </c>
      <c r="U8" s="9" t="s">
        <v>94</v>
      </c>
      <c r="V8" s="9" t="s">
        <v>94</v>
      </c>
      <c r="W8" s="9" t="s">
        <v>94</v>
      </c>
      <c r="X8" s="9" t="s">
        <v>94</v>
      </c>
      <c r="Y8" s="9" t="s">
        <v>94</v>
      </c>
      <c r="Z8" t="s">
        <v>96</v>
      </c>
    </row>
    <row r="9" spans="1:26" ht="72" x14ac:dyDescent="0.55000000000000004">
      <c r="A9" s="8" t="s">
        <v>119</v>
      </c>
      <c r="B9" s="8" t="s">
        <v>120</v>
      </c>
      <c r="C9" s="8" t="s">
        <v>79</v>
      </c>
      <c r="D9" s="8" t="s">
        <v>121</v>
      </c>
      <c r="E9" s="8" t="s">
        <v>81</v>
      </c>
      <c r="F9" s="8" t="s">
        <v>122</v>
      </c>
      <c r="G9" s="8" t="s">
        <v>99</v>
      </c>
      <c r="H9" s="31" t="s">
        <v>123</v>
      </c>
      <c r="I9" s="8" t="s">
        <v>85</v>
      </c>
      <c r="J9" s="8" t="s">
        <v>99</v>
      </c>
      <c r="K9" s="8" t="s">
        <v>99</v>
      </c>
      <c r="L9" s="8"/>
      <c r="M9" s="8" t="s">
        <v>118</v>
      </c>
      <c r="N9" s="10">
        <v>0</v>
      </c>
      <c r="O9" s="10">
        <v>0</v>
      </c>
      <c r="P9" s="54">
        <v>0</v>
      </c>
      <c r="Q9" s="10">
        <v>0</v>
      </c>
      <c r="R9" s="54">
        <v>211</v>
      </c>
      <c r="S9" s="8"/>
      <c r="T9" s="9" t="s">
        <v>95</v>
      </c>
      <c r="U9" s="9" t="s">
        <v>94</v>
      </c>
      <c r="V9" s="9" t="s">
        <v>95</v>
      </c>
      <c r="W9" s="9" t="s">
        <v>95</v>
      </c>
      <c r="X9" s="9" t="s">
        <v>95</v>
      </c>
      <c r="Y9" s="9" t="s">
        <v>95</v>
      </c>
      <c r="Z9" t="s">
        <v>96</v>
      </c>
    </row>
    <row r="10" spans="1:26" ht="49.5" customHeight="1" x14ac:dyDescent="0.55000000000000004">
      <c r="A10" s="8" t="s">
        <v>124</v>
      </c>
      <c r="B10" s="8" t="s">
        <v>125</v>
      </c>
      <c r="C10" s="266" t="s">
        <v>79</v>
      </c>
      <c r="D10" s="266" t="s">
        <v>126</v>
      </c>
      <c r="E10" s="266" t="s">
        <v>127</v>
      </c>
      <c r="F10" s="266" t="s">
        <v>128</v>
      </c>
      <c r="G10" s="266" t="s">
        <v>129</v>
      </c>
      <c r="H10" s="266" t="s">
        <v>84</v>
      </c>
      <c r="I10" s="266" t="s">
        <v>130</v>
      </c>
      <c r="J10" s="268" t="s">
        <v>131</v>
      </c>
      <c r="K10" s="272" t="s">
        <v>102</v>
      </c>
      <c r="L10" s="272"/>
      <c r="M10" s="270" t="s">
        <v>132</v>
      </c>
      <c r="N10" s="272">
        <v>80</v>
      </c>
      <c r="O10" s="272">
        <v>20</v>
      </c>
      <c r="P10" s="268" t="s">
        <v>133</v>
      </c>
      <c r="Q10" s="268" t="s">
        <v>134</v>
      </c>
      <c r="R10" s="272">
        <v>75</v>
      </c>
      <c r="S10" s="272"/>
      <c r="T10" s="9" t="s">
        <v>95</v>
      </c>
      <c r="U10" s="9" t="s">
        <v>94</v>
      </c>
      <c r="V10" s="9" t="s">
        <v>94</v>
      </c>
      <c r="W10" s="9" t="s">
        <v>95</v>
      </c>
      <c r="X10" s="9" t="s">
        <v>95</v>
      </c>
      <c r="Y10" s="9" t="s">
        <v>95</v>
      </c>
      <c r="Z10" t="s">
        <v>96</v>
      </c>
    </row>
    <row r="11" spans="1:26" ht="49.5" customHeight="1" x14ac:dyDescent="0.55000000000000004">
      <c r="A11" s="8" t="s">
        <v>135</v>
      </c>
      <c r="B11" s="8" t="s">
        <v>136</v>
      </c>
      <c r="C11" s="267"/>
      <c r="D11" s="267"/>
      <c r="E11" s="267"/>
      <c r="F11" s="267"/>
      <c r="G11" s="267"/>
      <c r="H11" s="267"/>
      <c r="I11" s="267"/>
      <c r="J11" s="274"/>
      <c r="K11" s="269"/>
      <c r="L11" s="269"/>
      <c r="M11" s="271"/>
      <c r="N11" s="269"/>
      <c r="O11" s="269"/>
      <c r="P11" s="269"/>
      <c r="Q11" s="269"/>
      <c r="R11" s="269"/>
      <c r="S11" s="269"/>
      <c r="T11" s="9" t="s">
        <v>95</v>
      </c>
      <c r="U11" s="9" t="s">
        <v>94</v>
      </c>
      <c r="V11" s="9" t="s">
        <v>94</v>
      </c>
      <c r="W11" s="9" t="s">
        <v>95</v>
      </c>
      <c r="X11" s="9" t="s">
        <v>95</v>
      </c>
      <c r="Y11" s="9" t="s">
        <v>95</v>
      </c>
      <c r="Z11" t="s">
        <v>96</v>
      </c>
    </row>
    <row r="12" spans="1:26" ht="74.5" customHeight="1" x14ac:dyDescent="0.55000000000000004">
      <c r="A12" s="8" t="s">
        <v>137</v>
      </c>
      <c r="B12" s="8" t="s">
        <v>138</v>
      </c>
      <c r="C12" s="8" t="s">
        <v>79</v>
      </c>
      <c r="D12" s="8" t="s">
        <v>139</v>
      </c>
      <c r="E12" s="8" t="s">
        <v>127</v>
      </c>
      <c r="F12" s="8" t="s">
        <v>140</v>
      </c>
      <c r="G12" s="8" t="s">
        <v>129</v>
      </c>
      <c r="H12" s="8" t="s">
        <v>141</v>
      </c>
      <c r="I12" s="8" t="s">
        <v>142</v>
      </c>
      <c r="J12" s="54" t="s">
        <v>131</v>
      </c>
      <c r="K12" s="10"/>
      <c r="L12" s="8"/>
      <c r="M12" s="266" t="s">
        <v>143</v>
      </c>
      <c r="N12" s="10">
        <v>68</v>
      </c>
      <c r="O12" s="10">
        <v>43</v>
      </c>
      <c r="P12" s="54">
        <v>9</v>
      </c>
      <c r="Q12" s="10">
        <v>45</v>
      </c>
      <c r="R12" s="54">
        <v>205</v>
      </c>
      <c r="S12" s="8"/>
      <c r="T12" s="9" t="s">
        <v>95</v>
      </c>
      <c r="U12" s="9" t="s">
        <v>95</v>
      </c>
      <c r="V12" s="9" t="s">
        <v>94</v>
      </c>
      <c r="W12" s="9" t="s">
        <v>95</v>
      </c>
      <c r="X12" s="9" t="s">
        <v>95</v>
      </c>
      <c r="Y12" s="9" t="s">
        <v>95</v>
      </c>
      <c r="Z12" t="s">
        <v>96</v>
      </c>
    </row>
    <row r="13" spans="1:26" ht="74.5" customHeight="1" x14ac:dyDescent="0.55000000000000004">
      <c r="A13" s="8" t="s">
        <v>144</v>
      </c>
      <c r="B13" s="8" t="s">
        <v>145</v>
      </c>
      <c r="C13" s="8" t="s">
        <v>79</v>
      </c>
      <c r="D13" s="8" t="s">
        <v>146</v>
      </c>
      <c r="E13" s="8" t="s">
        <v>127</v>
      </c>
      <c r="F13" s="8" t="s">
        <v>147</v>
      </c>
      <c r="G13" s="8" t="s">
        <v>129</v>
      </c>
      <c r="H13" s="8" t="s">
        <v>148</v>
      </c>
      <c r="I13" s="8" t="s">
        <v>142</v>
      </c>
      <c r="J13" s="54" t="s">
        <v>131</v>
      </c>
      <c r="K13" s="10"/>
      <c r="L13" s="8"/>
      <c r="M13" s="278"/>
      <c r="N13" s="10">
        <v>20</v>
      </c>
      <c r="O13" s="10">
        <v>4</v>
      </c>
      <c r="P13" s="54">
        <v>2</v>
      </c>
      <c r="Q13" s="10">
        <v>2</v>
      </c>
      <c r="R13" s="54">
        <v>30</v>
      </c>
      <c r="S13" s="8"/>
      <c r="T13" s="9" t="s">
        <v>95</v>
      </c>
      <c r="U13" s="9" t="s">
        <v>95</v>
      </c>
      <c r="V13" s="9" t="s">
        <v>95</v>
      </c>
      <c r="W13" s="9" t="s">
        <v>95</v>
      </c>
      <c r="X13" s="9" t="s">
        <v>95</v>
      </c>
      <c r="Y13" s="9" t="s">
        <v>95</v>
      </c>
      <c r="Z13" t="s">
        <v>96</v>
      </c>
    </row>
    <row r="14" spans="1:26" ht="74.5" customHeight="1" x14ac:dyDescent="0.55000000000000004">
      <c r="A14" s="8" t="s">
        <v>149</v>
      </c>
      <c r="B14" s="8" t="s">
        <v>150</v>
      </c>
      <c r="C14" s="8" t="s">
        <v>79</v>
      </c>
      <c r="D14" s="8" t="s">
        <v>139</v>
      </c>
      <c r="E14" s="8" t="s">
        <v>127</v>
      </c>
      <c r="F14" s="8" t="s">
        <v>151</v>
      </c>
      <c r="G14" s="8" t="s">
        <v>129</v>
      </c>
      <c r="H14" s="8" t="s">
        <v>152</v>
      </c>
      <c r="I14" s="8" t="s">
        <v>142</v>
      </c>
      <c r="J14" s="54" t="s">
        <v>131</v>
      </c>
      <c r="K14" s="10"/>
      <c r="L14" s="8"/>
      <c r="M14" s="267"/>
      <c r="N14" s="10">
        <v>15</v>
      </c>
      <c r="O14" s="10">
        <v>0</v>
      </c>
      <c r="P14" s="54">
        <v>12</v>
      </c>
      <c r="Q14" s="10">
        <v>5</v>
      </c>
      <c r="R14" s="54">
        <v>24</v>
      </c>
      <c r="S14" s="8"/>
      <c r="T14" s="30" t="s">
        <v>95</v>
      </c>
      <c r="U14" s="9" t="s">
        <v>95</v>
      </c>
      <c r="V14" s="9" t="s">
        <v>95</v>
      </c>
      <c r="W14" s="9" t="s">
        <v>95</v>
      </c>
      <c r="X14" s="9" t="s">
        <v>95</v>
      </c>
      <c r="Y14" s="9" t="s">
        <v>95</v>
      </c>
      <c r="Z14" t="s">
        <v>96</v>
      </c>
    </row>
    <row r="15" spans="1:26" ht="39" customHeight="1" x14ac:dyDescent="0.55000000000000004">
      <c r="A15" s="10" t="s">
        <v>99</v>
      </c>
      <c r="B15" s="10" t="s">
        <v>153</v>
      </c>
      <c r="C15" s="275" t="s">
        <v>79</v>
      </c>
      <c r="D15" s="275" t="s">
        <v>139</v>
      </c>
      <c r="E15" s="275" t="s">
        <v>127</v>
      </c>
      <c r="F15" s="275" t="s">
        <v>154</v>
      </c>
      <c r="G15" s="275" t="s">
        <v>129</v>
      </c>
      <c r="H15" s="273" t="s">
        <v>99</v>
      </c>
      <c r="I15" s="273" t="s">
        <v>99</v>
      </c>
      <c r="J15" s="264" t="s">
        <v>131</v>
      </c>
      <c r="K15" s="273" t="s">
        <v>99</v>
      </c>
      <c r="L15" s="265"/>
      <c r="M15" s="264" t="s">
        <v>155</v>
      </c>
      <c r="N15" s="265">
        <v>0</v>
      </c>
      <c r="O15" s="265">
        <v>0</v>
      </c>
      <c r="P15" s="265">
        <v>2</v>
      </c>
      <c r="Q15" s="264" t="s">
        <v>156</v>
      </c>
      <c r="R15" s="265">
        <v>0</v>
      </c>
      <c r="S15" s="265"/>
      <c r="T15" s="30" t="s">
        <v>95</v>
      </c>
      <c r="U15" s="9" t="s">
        <v>95</v>
      </c>
      <c r="V15" s="9" t="s">
        <v>95</v>
      </c>
      <c r="W15" s="9" t="s">
        <v>95</v>
      </c>
      <c r="X15" s="9" t="s">
        <v>95</v>
      </c>
      <c r="Y15" s="9" t="s">
        <v>95</v>
      </c>
    </row>
    <row r="16" spans="1:26" ht="39" customHeight="1" x14ac:dyDescent="0.55000000000000004">
      <c r="A16" s="10" t="s">
        <v>99</v>
      </c>
      <c r="B16" s="10" t="s">
        <v>157</v>
      </c>
      <c r="C16" s="275"/>
      <c r="D16" s="275"/>
      <c r="E16" s="275"/>
      <c r="F16" s="275"/>
      <c r="G16" s="275"/>
      <c r="H16" s="265"/>
      <c r="I16" s="265"/>
      <c r="J16" s="264"/>
      <c r="K16" s="265"/>
      <c r="L16" s="265"/>
      <c r="M16" s="265"/>
      <c r="N16" s="265"/>
      <c r="O16" s="265"/>
      <c r="P16" s="265"/>
      <c r="Q16" s="265"/>
      <c r="R16" s="265"/>
      <c r="S16" s="265"/>
      <c r="T16" s="30" t="s">
        <v>95</v>
      </c>
      <c r="U16" s="9" t="s">
        <v>95</v>
      </c>
      <c r="V16" s="9" t="s">
        <v>95</v>
      </c>
      <c r="W16" s="9" t="s">
        <v>95</v>
      </c>
      <c r="X16" s="9" t="s">
        <v>95</v>
      </c>
      <c r="Y16" s="9" t="s">
        <v>95</v>
      </c>
    </row>
  </sheetData>
  <mergeCells count="84">
    <mergeCell ref="Q3:Q4"/>
    <mergeCell ref="M12:M14"/>
    <mergeCell ref="V3:V4"/>
    <mergeCell ref="N1:S1"/>
    <mergeCell ref="T1:Y1"/>
    <mergeCell ref="N3:N4"/>
    <mergeCell ref="O3:O4"/>
    <mergeCell ref="P3:P4"/>
    <mergeCell ref="T5:T6"/>
    <mergeCell ref="R3:R4"/>
    <mergeCell ref="S3:S4"/>
    <mergeCell ref="T3:T4"/>
    <mergeCell ref="U3:U4"/>
    <mergeCell ref="Y5:Y6"/>
    <mergeCell ref="W3:W4"/>
    <mergeCell ref="X3:X4"/>
    <mergeCell ref="F1:L1"/>
    <mergeCell ref="D3:D4"/>
    <mergeCell ref="E3:E4"/>
    <mergeCell ref="F3:F4"/>
    <mergeCell ref="G3:G4"/>
    <mergeCell ref="H3:H4"/>
    <mergeCell ref="I3:I4"/>
    <mergeCell ref="J3:J4"/>
    <mergeCell ref="K3:K4"/>
    <mergeCell ref="L3:L4"/>
    <mergeCell ref="Y3:Y4"/>
    <mergeCell ref="C3:C4"/>
    <mergeCell ref="C5:C6"/>
    <mergeCell ref="D5:D6"/>
    <mergeCell ref="E5:E6"/>
    <mergeCell ref="F5:F6"/>
    <mergeCell ref="G5:G6"/>
    <mergeCell ref="H5:H6"/>
    <mergeCell ref="I5:I6"/>
    <mergeCell ref="J5:J6"/>
    <mergeCell ref="K5:K6"/>
    <mergeCell ref="L5:L6"/>
    <mergeCell ref="S5:S6"/>
    <mergeCell ref="M3:M4"/>
    <mergeCell ref="M5:M6"/>
    <mergeCell ref="Q5:Q6"/>
    <mergeCell ref="C10:C11"/>
    <mergeCell ref="D10:D11"/>
    <mergeCell ref="E10:E11"/>
    <mergeCell ref="C15:C16"/>
    <mergeCell ref="D15:D16"/>
    <mergeCell ref="E15:E16"/>
    <mergeCell ref="I10:I11"/>
    <mergeCell ref="J10:J11"/>
    <mergeCell ref="K10:K11"/>
    <mergeCell ref="K15:K16"/>
    <mergeCell ref="F10:F11"/>
    <mergeCell ref="F15:F16"/>
    <mergeCell ref="G10:G11"/>
    <mergeCell ref="G15:G16"/>
    <mergeCell ref="H10:H11"/>
    <mergeCell ref="H15:H16"/>
    <mergeCell ref="L15:L16"/>
    <mergeCell ref="N15:N16"/>
    <mergeCell ref="O15:O16"/>
    <mergeCell ref="I15:I16"/>
    <mergeCell ref="J15:J16"/>
    <mergeCell ref="L10:L11"/>
    <mergeCell ref="N10:N11"/>
    <mergeCell ref="O10:O11"/>
    <mergeCell ref="P10:P11"/>
    <mergeCell ref="Q10:Q11"/>
    <mergeCell ref="V5:V6"/>
    <mergeCell ref="W5:W6"/>
    <mergeCell ref="X5:X6"/>
    <mergeCell ref="M15:M16"/>
    <mergeCell ref="P5:P6"/>
    <mergeCell ref="O5:O6"/>
    <mergeCell ref="N5:N6"/>
    <mergeCell ref="R5:R6"/>
    <mergeCell ref="U5:U6"/>
    <mergeCell ref="M10:M11"/>
    <mergeCell ref="P15:P16"/>
    <mergeCell ref="Q15:Q16"/>
    <mergeCell ref="R10:R11"/>
    <mergeCell ref="S10:S11"/>
    <mergeCell ref="R15:R16"/>
    <mergeCell ref="S15:S16"/>
  </mergeCells>
  <phoneticPr fontId="2"/>
  <dataValidations count="1">
    <dataValidation type="list" allowBlank="1" showInputMessage="1" showErrorMessage="1" sqref="T3:Y3 T7:Y16 T5:Y5" xr:uid="{00000000-0002-0000-0300-000000000000}">
      <formula1>"〇,×,不明,-"</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2"/>
  <sheetViews>
    <sheetView workbookViewId="0">
      <selection activeCell="T22" sqref="T22"/>
    </sheetView>
  </sheetViews>
  <sheetFormatPr defaultRowHeight="18.75" customHeight="1" x14ac:dyDescent="0.55000000000000004"/>
  <cols>
    <col min="1" max="1" width="30.75" customWidth="1"/>
    <col min="2" max="2" width="21" customWidth="1"/>
    <col min="3" max="5" width="4.33203125" bestFit="1" customWidth="1"/>
    <col min="6" max="11" width="8.5" bestFit="1" customWidth="1"/>
    <col min="12" max="13" width="11" bestFit="1" customWidth="1"/>
    <col min="14" max="14" width="8.5" bestFit="1" customWidth="1"/>
    <col min="15" max="19" width="6.58203125" customWidth="1"/>
    <col min="20" max="20" width="17.08203125" customWidth="1"/>
  </cols>
  <sheetData>
    <row r="1" spans="1:20" ht="18" x14ac:dyDescent="0.55000000000000004"/>
    <row r="2" spans="1:20" ht="18" x14ac:dyDescent="0.55000000000000004">
      <c r="A2" s="282" t="s">
        <v>158</v>
      </c>
      <c r="B2" s="282" t="s">
        <v>159</v>
      </c>
      <c r="C2" s="285" t="s">
        <v>160</v>
      </c>
      <c r="D2" s="285"/>
      <c r="E2" s="285"/>
      <c r="F2" s="285"/>
      <c r="G2" s="285"/>
      <c r="H2" s="285"/>
      <c r="I2" s="285"/>
      <c r="J2" s="285"/>
      <c r="K2" s="285"/>
      <c r="L2" s="285"/>
      <c r="M2" s="285"/>
      <c r="N2" s="285"/>
      <c r="O2" s="279" t="s">
        <v>161</v>
      </c>
      <c r="P2" s="279"/>
      <c r="Q2" s="279"/>
      <c r="R2" s="279"/>
      <c r="S2" s="279"/>
    </row>
    <row r="3" spans="1:20" ht="18" x14ac:dyDescent="0.55000000000000004">
      <c r="A3" s="283"/>
      <c r="B3" s="283"/>
      <c r="C3" s="80" t="s">
        <v>162</v>
      </c>
      <c r="D3" s="80" t="s">
        <v>163</v>
      </c>
      <c r="E3" s="80" t="s">
        <v>164</v>
      </c>
      <c r="F3" s="80" t="s">
        <v>165</v>
      </c>
      <c r="G3" s="80" t="s">
        <v>166</v>
      </c>
      <c r="H3" s="80" t="s">
        <v>167</v>
      </c>
      <c r="I3" s="80" t="s">
        <v>168</v>
      </c>
      <c r="J3" s="80" t="s">
        <v>169</v>
      </c>
      <c r="K3" s="80" t="s">
        <v>170</v>
      </c>
      <c r="L3" s="80" t="s">
        <v>171</v>
      </c>
      <c r="M3" s="80" t="s">
        <v>172</v>
      </c>
      <c r="N3" s="80" t="s">
        <v>173</v>
      </c>
      <c r="O3" s="86" t="s">
        <v>162</v>
      </c>
      <c r="P3" s="86" t="s">
        <v>163</v>
      </c>
      <c r="Q3" s="86" t="s">
        <v>164</v>
      </c>
      <c r="R3" s="86" t="s">
        <v>165</v>
      </c>
      <c r="S3" s="87" t="s">
        <v>166</v>
      </c>
    </row>
    <row r="4" spans="1:20" ht="18" x14ac:dyDescent="0.55000000000000004">
      <c r="A4" s="280" t="s">
        <v>174</v>
      </c>
      <c r="B4" s="281"/>
      <c r="C4" s="79"/>
      <c r="D4" s="79"/>
      <c r="E4" s="79"/>
      <c r="F4" s="79"/>
      <c r="G4" s="79"/>
      <c r="H4" s="79"/>
      <c r="I4" s="79"/>
      <c r="J4" s="79"/>
      <c r="K4" s="79"/>
      <c r="L4" s="79" t="s">
        <v>175</v>
      </c>
      <c r="M4" s="79" t="s">
        <v>176</v>
      </c>
      <c r="N4" s="79"/>
      <c r="O4" s="14"/>
      <c r="P4" s="14"/>
      <c r="Q4" s="14"/>
      <c r="R4" s="14"/>
      <c r="S4" s="14"/>
    </row>
    <row r="5" spans="1:20" ht="18" x14ac:dyDescent="0.55000000000000004">
      <c r="A5" s="81" t="s">
        <v>177</v>
      </c>
      <c r="B5" s="81"/>
      <c r="C5" s="79"/>
      <c r="D5" s="79"/>
      <c r="E5" s="79"/>
      <c r="F5" s="79"/>
      <c r="G5" s="79"/>
      <c r="H5" s="79"/>
      <c r="I5" s="79"/>
      <c r="J5" s="79"/>
      <c r="K5" s="79"/>
      <c r="L5" s="79"/>
      <c r="M5" s="79"/>
      <c r="N5" s="79"/>
      <c r="O5" s="14"/>
      <c r="P5" s="14"/>
      <c r="Q5" s="14"/>
      <c r="R5" s="14"/>
      <c r="S5" s="14"/>
    </row>
    <row r="6" spans="1:20" ht="18" x14ac:dyDescent="0.55000000000000004">
      <c r="A6" s="82" t="s">
        <v>178</v>
      </c>
      <c r="B6" s="82"/>
      <c r="C6" s="79"/>
      <c r="D6" s="79"/>
      <c r="E6" s="79"/>
      <c r="F6" s="79"/>
      <c r="G6" s="79"/>
      <c r="H6" s="79"/>
      <c r="I6" s="79"/>
      <c r="J6" s="79"/>
      <c r="K6" s="79"/>
      <c r="L6" s="79"/>
      <c r="M6" s="79"/>
      <c r="N6" s="79"/>
      <c r="O6" s="79"/>
      <c r="P6" s="84"/>
      <c r="Q6" s="14"/>
      <c r="R6" s="14"/>
      <c r="S6" s="14"/>
    </row>
    <row r="7" spans="1:20" ht="18" x14ac:dyDescent="0.55000000000000004"/>
    <row r="8" spans="1:20" ht="18" x14ac:dyDescent="0.55000000000000004">
      <c r="A8" s="92" t="s">
        <v>179</v>
      </c>
      <c r="B8" s="92"/>
    </row>
    <row r="9" spans="1:20" ht="18" x14ac:dyDescent="0.55000000000000004">
      <c r="A9" s="80"/>
      <c r="B9" s="80"/>
      <c r="C9" s="79"/>
      <c r="D9" s="79"/>
      <c r="E9" s="79"/>
      <c r="F9" s="79"/>
      <c r="G9" s="79"/>
      <c r="H9" s="79"/>
      <c r="I9" s="79"/>
      <c r="J9" s="79">
        <v>1</v>
      </c>
      <c r="K9" s="79"/>
      <c r="L9" s="79">
        <v>0.3</v>
      </c>
      <c r="M9" s="79">
        <v>0.3</v>
      </c>
      <c r="N9" s="79"/>
      <c r="O9" s="79"/>
      <c r="P9" s="79"/>
      <c r="Q9" s="79"/>
      <c r="R9" s="79"/>
      <c r="S9" s="79"/>
    </row>
    <row r="10" spans="1:20" ht="18.75" customHeight="1" x14ac:dyDescent="0.55000000000000004">
      <c r="A10" s="91"/>
      <c r="B10" s="91"/>
      <c r="C10" s="90"/>
      <c r="D10" s="90"/>
      <c r="E10" s="90"/>
      <c r="F10" s="90"/>
      <c r="G10" s="90"/>
      <c r="H10" s="90"/>
      <c r="I10" s="90"/>
      <c r="J10" s="90"/>
      <c r="K10" s="90"/>
      <c r="L10" s="90"/>
      <c r="M10" s="90"/>
      <c r="N10" s="90"/>
      <c r="O10" s="90"/>
      <c r="P10" s="90"/>
      <c r="Q10" s="90"/>
      <c r="R10" s="90"/>
      <c r="S10" s="90"/>
    </row>
    <row r="11" spans="1:20" ht="18.75" customHeight="1" x14ac:dyDescent="0.55000000000000004">
      <c r="A11" s="93"/>
      <c r="B11" s="93"/>
      <c r="C11" s="89"/>
      <c r="D11" s="89"/>
      <c r="E11" s="89"/>
      <c r="F11" s="89"/>
      <c r="G11" s="89"/>
      <c r="H11" s="89"/>
      <c r="I11" s="89"/>
      <c r="J11" s="89"/>
      <c r="K11" s="89"/>
      <c r="L11" s="89"/>
      <c r="M11" s="89"/>
      <c r="N11" s="89"/>
      <c r="O11" s="89"/>
      <c r="P11" s="89"/>
      <c r="Q11" s="89"/>
      <c r="R11" s="89"/>
      <c r="S11" s="89"/>
    </row>
    <row r="12" spans="1:20" ht="18.75" customHeight="1" x14ac:dyDescent="0.55000000000000004">
      <c r="A12" s="93"/>
      <c r="B12" s="93"/>
      <c r="C12" s="79"/>
      <c r="D12" s="79"/>
      <c r="E12" s="79"/>
      <c r="F12" s="79"/>
      <c r="G12" s="79"/>
      <c r="H12" s="79"/>
      <c r="I12" s="79"/>
      <c r="J12" s="79"/>
      <c r="K12" s="79"/>
      <c r="L12" s="79"/>
      <c r="M12" s="79"/>
      <c r="N12" s="79"/>
      <c r="O12" s="79"/>
      <c r="P12" s="79"/>
      <c r="Q12" s="79"/>
      <c r="R12" s="79"/>
      <c r="S12" s="79"/>
    </row>
    <row r="13" spans="1:20" ht="18.75" customHeight="1" x14ac:dyDescent="0.55000000000000004">
      <c r="A13" s="93"/>
      <c r="B13" s="93"/>
      <c r="C13" s="89"/>
      <c r="D13" s="89"/>
      <c r="E13" s="89"/>
      <c r="F13" s="89"/>
      <c r="G13" s="89"/>
      <c r="H13" s="89"/>
      <c r="I13" s="89"/>
      <c r="J13" s="89"/>
      <c r="K13" s="89"/>
      <c r="L13" s="89"/>
      <c r="M13" s="89"/>
      <c r="N13" s="89"/>
      <c r="O13" s="89"/>
      <c r="P13" s="89"/>
      <c r="Q13" s="89"/>
      <c r="R13" s="89"/>
      <c r="S13" s="89"/>
    </row>
    <row r="14" spans="1:20" ht="18.75" customHeight="1" x14ac:dyDescent="0.55000000000000004">
      <c r="A14" s="284" t="s">
        <v>180</v>
      </c>
      <c r="B14" s="284"/>
      <c r="C14" s="94">
        <f>SUM(C9:C13)</f>
        <v>0</v>
      </c>
      <c r="D14" s="88">
        <f t="shared" ref="D14:S14" si="0">SUM(D9:D13)</f>
        <v>0</v>
      </c>
      <c r="E14" s="88">
        <f t="shared" si="0"/>
        <v>0</v>
      </c>
      <c r="F14" s="88">
        <f t="shared" si="0"/>
        <v>0</v>
      </c>
      <c r="G14" s="88">
        <f t="shared" si="0"/>
        <v>0</v>
      </c>
      <c r="H14" s="88">
        <f t="shared" si="0"/>
        <v>0</v>
      </c>
      <c r="I14" s="88">
        <f t="shared" si="0"/>
        <v>0</v>
      </c>
      <c r="J14" s="88">
        <f t="shared" si="0"/>
        <v>1</v>
      </c>
      <c r="K14" s="88">
        <f t="shared" si="0"/>
        <v>0</v>
      </c>
      <c r="L14" s="88">
        <f t="shared" si="0"/>
        <v>0.3</v>
      </c>
      <c r="M14" s="88">
        <f t="shared" si="0"/>
        <v>0.3</v>
      </c>
      <c r="N14" s="88">
        <f t="shared" si="0"/>
        <v>0</v>
      </c>
      <c r="O14" s="88">
        <f t="shared" si="0"/>
        <v>0</v>
      </c>
      <c r="P14" s="88">
        <f t="shared" si="0"/>
        <v>0</v>
      </c>
      <c r="Q14" s="88">
        <f t="shared" si="0"/>
        <v>0</v>
      </c>
      <c r="R14" s="88">
        <f t="shared" si="0"/>
        <v>0</v>
      </c>
      <c r="S14" s="88">
        <f t="shared" si="0"/>
        <v>0</v>
      </c>
    </row>
    <row r="15" spans="1:20" ht="18.75" customHeight="1" x14ac:dyDescent="0.55000000000000004">
      <c r="A15" s="287" t="s">
        <v>181</v>
      </c>
      <c r="B15" t="s">
        <v>182</v>
      </c>
      <c r="C15">
        <f>C14*1000000</f>
        <v>0</v>
      </c>
      <c r="D15">
        <f t="shared" ref="D15:S15" si="1">D14*1000000</f>
        <v>0</v>
      </c>
      <c r="E15">
        <f t="shared" si="1"/>
        <v>0</v>
      </c>
      <c r="F15">
        <f t="shared" si="1"/>
        <v>0</v>
      </c>
      <c r="G15">
        <f t="shared" si="1"/>
        <v>0</v>
      </c>
      <c r="H15">
        <f t="shared" si="1"/>
        <v>0</v>
      </c>
      <c r="I15">
        <f t="shared" si="1"/>
        <v>0</v>
      </c>
      <c r="J15">
        <f t="shared" si="1"/>
        <v>1000000</v>
      </c>
      <c r="K15">
        <f t="shared" si="1"/>
        <v>0</v>
      </c>
      <c r="L15">
        <f t="shared" si="1"/>
        <v>300000</v>
      </c>
      <c r="M15">
        <f t="shared" si="1"/>
        <v>300000</v>
      </c>
      <c r="N15">
        <f t="shared" si="1"/>
        <v>0</v>
      </c>
      <c r="O15">
        <f t="shared" si="1"/>
        <v>0</v>
      </c>
      <c r="P15">
        <f t="shared" si="1"/>
        <v>0</v>
      </c>
      <c r="Q15">
        <f t="shared" si="1"/>
        <v>0</v>
      </c>
      <c r="R15">
        <f t="shared" si="1"/>
        <v>0</v>
      </c>
      <c r="S15">
        <f t="shared" si="1"/>
        <v>0</v>
      </c>
      <c r="T15" s="95">
        <f>SUM(C15:S15)</f>
        <v>1600000</v>
      </c>
    </row>
    <row r="16" spans="1:20" ht="18.75" customHeight="1" x14ac:dyDescent="0.55000000000000004">
      <c r="A16" s="288"/>
      <c r="B16" t="s">
        <v>183</v>
      </c>
      <c r="C16">
        <f>C14*800000</f>
        <v>0</v>
      </c>
      <c r="D16">
        <f t="shared" ref="D16:S16" si="2">D14*800000</f>
        <v>0</v>
      </c>
      <c r="E16">
        <f t="shared" si="2"/>
        <v>0</v>
      </c>
      <c r="F16">
        <f t="shared" si="2"/>
        <v>0</v>
      </c>
      <c r="G16">
        <f t="shared" si="2"/>
        <v>0</v>
      </c>
      <c r="H16">
        <f t="shared" si="2"/>
        <v>0</v>
      </c>
      <c r="I16">
        <f t="shared" si="2"/>
        <v>0</v>
      </c>
      <c r="J16">
        <f t="shared" si="2"/>
        <v>800000</v>
      </c>
      <c r="K16">
        <f t="shared" si="2"/>
        <v>0</v>
      </c>
      <c r="L16">
        <f t="shared" si="2"/>
        <v>240000</v>
      </c>
      <c r="M16">
        <f t="shared" si="2"/>
        <v>240000</v>
      </c>
      <c r="N16">
        <f t="shared" si="2"/>
        <v>0</v>
      </c>
      <c r="O16">
        <f t="shared" si="2"/>
        <v>0</v>
      </c>
      <c r="P16">
        <f t="shared" si="2"/>
        <v>0</v>
      </c>
      <c r="Q16">
        <f t="shared" si="2"/>
        <v>0</v>
      </c>
      <c r="R16">
        <f t="shared" si="2"/>
        <v>0</v>
      </c>
      <c r="S16">
        <f t="shared" si="2"/>
        <v>0</v>
      </c>
      <c r="T16" s="95">
        <f>SUM(C16:S16)</f>
        <v>1280000</v>
      </c>
    </row>
    <row r="17" spans="1:20" ht="18.75" customHeight="1" x14ac:dyDescent="0.55000000000000004">
      <c r="A17" s="288" t="s">
        <v>184</v>
      </c>
      <c r="B17" t="s">
        <v>185</v>
      </c>
      <c r="J17">
        <v>140000</v>
      </c>
      <c r="L17">
        <v>140000</v>
      </c>
      <c r="M17">
        <v>140000</v>
      </c>
      <c r="T17" s="95">
        <f>SUM(C17:S17)</f>
        <v>420000</v>
      </c>
    </row>
    <row r="18" spans="1:20" ht="18.75" customHeight="1" x14ac:dyDescent="0.55000000000000004">
      <c r="A18" s="288"/>
      <c r="B18" t="s">
        <v>186</v>
      </c>
      <c r="J18">
        <v>100000</v>
      </c>
      <c r="L18">
        <v>100000</v>
      </c>
      <c r="M18">
        <v>100000</v>
      </c>
      <c r="T18" s="95">
        <f>SUM(C18:S18)</f>
        <v>300000</v>
      </c>
    </row>
    <row r="19" spans="1:20" ht="18.75" customHeight="1" x14ac:dyDescent="0.55000000000000004">
      <c r="R19" s="286" t="s">
        <v>187</v>
      </c>
      <c r="S19" s="286"/>
      <c r="T19" s="96">
        <f>T15+T17</f>
        <v>2020000</v>
      </c>
    </row>
    <row r="20" spans="1:20" ht="18.75" customHeight="1" x14ac:dyDescent="0.55000000000000004">
      <c r="R20" s="286" t="s">
        <v>188</v>
      </c>
      <c r="S20" s="286"/>
      <c r="T20" s="96">
        <f>T16+T18</f>
        <v>1580000</v>
      </c>
    </row>
    <row r="21" spans="1:20" ht="18.75" customHeight="1" x14ac:dyDescent="0.55000000000000004">
      <c r="R21" s="286" t="s">
        <v>189</v>
      </c>
      <c r="S21" s="286"/>
      <c r="T21" s="96">
        <f>T19-T20</f>
        <v>440000</v>
      </c>
    </row>
    <row r="22" spans="1:20" ht="18.75" customHeight="1" x14ac:dyDescent="0.55000000000000004">
      <c r="R22" s="286" t="s">
        <v>190</v>
      </c>
      <c r="S22" s="286"/>
      <c r="T22" s="97">
        <f>T21/T19</f>
        <v>0.21782178217821782</v>
      </c>
    </row>
  </sheetData>
  <mergeCells count="12">
    <mergeCell ref="R22:S22"/>
    <mergeCell ref="A15:A16"/>
    <mergeCell ref="A17:A18"/>
    <mergeCell ref="R19:S19"/>
    <mergeCell ref="R20:S20"/>
    <mergeCell ref="R21:S21"/>
    <mergeCell ref="O2:S2"/>
    <mergeCell ref="A4:B4"/>
    <mergeCell ref="B2:B3"/>
    <mergeCell ref="A2:A3"/>
    <mergeCell ref="A14:B14"/>
    <mergeCell ref="C2:N2"/>
  </mergeCells>
  <phoneticPr fontId="2"/>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T19"/>
  <sheetViews>
    <sheetView topLeftCell="A4" zoomScale="80" zoomScaleNormal="80" workbookViewId="0">
      <selection activeCell="D8" sqref="D8"/>
    </sheetView>
  </sheetViews>
  <sheetFormatPr defaultColWidth="8.58203125" defaultRowHeight="18" x14ac:dyDescent="0.55000000000000004"/>
  <cols>
    <col min="1" max="1" width="2.58203125" style="21" customWidth="1"/>
    <col min="2" max="2" width="4.08203125" style="21" bestFit="1" customWidth="1"/>
    <col min="3" max="3" width="37.58203125" style="21" customWidth="1"/>
    <col min="4" max="4" width="44.58203125" style="21" customWidth="1"/>
    <col min="5" max="19" width="9.83203125" style="21" customWidth="1"/>
    <col min="20" max="20" width="53.08203125" style="21" customWidth="1"/>
    <col min="21" max="16384" width="8.58203125" style="21"/>
  </cols>
  <sheetData>
    <row r="1" spans="2:20" ht="18.5" thickBot="1" x14ac:dyDescent="0.6">
      <c r="C1" s="21" t="s">
        <v>191</v>
      </c>
    </row>
    <row r="2" spans="2:20" x14ac:dyDescent="0.55000000000000004">
      <c r="D2" s="50" t="s">
        <v>192</v>
      </c>
      <c r="E2" s="292" t="s">
        <v>193</v>
      </c>
      <c r="F2" s="293"/>
      <c r="G2" s="293"/>
      <c r="H2" s="293"/>
      <c r="I2" s="294"/>
      <c r="J2" s="295" t="s">
        <v>21</v>
      </c>
      <c r="K2" s="293"/>
      <c r="L2" s="293"/>
      <c r="M2" s="293"/>
      <c r="N2" s="294"/>
      <c r="O2" s="295" t="s">
        <v>194</v>
      </c>
      <c r="P2" s="293"/>
      <c r="Q2" s="293"/>
      <c r="R2" s="293"/>
      <c r="S2" s="294"/>
    </row>
    <row r="3" spans="2:20" x14ac:dyDescent="0.55000000000000004">
      <c r="B3" s="19"/>
      <c r="C3" s="19"/>
      <c r="D3" s="20"/>
      <c r="E3" s="289" t="s">
        <v>195</v>
      </c>
      <c r="F3" s="290"/>
      <c r="G3" s="290"/>
      <c r="H3" s="291"/>
      <c r="I3" s="38"/>
      <c r="J3" s="289" t="s">
        <v>195</v>
      </c>
      <c r="K3" s="290"/>
      <c r="L3" s="290"/>
      <c r="M3" s="291"/>
      <c r="N3" s="38"/>
      <c r="O3" s="289" t="s">
        <v>195</v>
      </c>
      <c r="P3" s="290"/>
      <c r="Q3" s="290"/>
      <c r="R3" s="291"/>
      <c r="S3" s="38"/>
      <c r="T3" s="19"/>
    </row>
    <row r="4" spans="2:20" ht="39.75" customHeight="1" x14ac:dyDescent="0.55000000000000004">
      <c r="B4" s="22" t="s">
        <v>196</v>
      </c>
      <c r="C4" s="22" t="s">
        <v>197</v>
      </c>
      <c r="D4" s="22" t="s">
        <v>198</v>
      </c>
      <c r="E4" s="39" t="s">
        <v>199</v>
      </c>
      <c r="F4" s="23" t="s">
        <v>200</v>
      </c>
      <c r="G4" s="23" t="s">
        <v>201</v>
      </c>
      <c r="H4" s="23" t="s">
        <v>202</v>
      </c>
      <c r="I4" s="40" t="s">
        <v>203</v>
      </c>
      <c r="J4" s="39" t="s">
        <v>199</v>
      </c>
      <c r="K4" s="23" t="s">
        <v>200</v>
      </c>
      <c r="L4" s="23" t="s">
        <v>201</v>
      </c>
      <c r="M4" s="23" t="s">
        <v>202</v>
      </c>
      <c r="N4" s="40" t="s">
        <v>203</v>
      </c>
      <c r="O4" s="39" t="s">
        <v>199</v>
      </c>
      <c r="P4" s="23" t="s">
        <v>200</v>
      </c>
      <c r="Q4" s="23" t="s">
        <v>201</v>
      </c>
      <c r="R4" s="23" t="s">
        <v>202</v>
      </c>
      <c r="S4" s="40" t="s">
        <v>203</v>
      </c>
      <c r="T4" s="22" t="s">
        <v>204</v>
      </c>
    </row>
    <row r="5" spans="2:20" ht="36" x14ac:dyDescent="0.55000000000000004">
      <c r="B5" s="24">
        <v>1</v>
      </c>
      <c r="C5" s="24" t="s">
        <v>205</v>
      </c>
      <c r="D5" s="25" t="s">
        <v>206</v>
      </c>
      <c r="E5" s="41">
        <v>1</v>
      </c>
      <c r="F5" s="26">
        <v>0.5</v>
      </c>
      <c r="G5" s="26">
        <v>1</v>
      </c>
      <c r="H5" s="26">
        <f>SUM(E5:G5)*0.15</f>
        <v>0.375</v>
      </c>
      <c r="I5" s="42">
        <f>SUM(E5:H5)</f>
        <v>2.875</v>
      </c>
      <c r="J5" s="41">
        <v>1</v>
      </c>
      <c r="K5" s="26">
        <v>0.5</v>
      </c>
      <c r="L5" s="26">
        <v>1</v>
      </c>
      <c r="M5" s="26">
        <f>SUM(J5:L5)*0.15</f>
        <v>0.375</v>
      </c>
      <c r="N5" s="42">
        <f>SUM(J5:M5)</f>
        <v>2.875</v>
      </c>
      <c r="O5" s="41"/>
      <c r="P5" s="26"/>
      <c r="Q5" s="26"/>
      <c r="R5" s="26">
        <f>SUM(O5:Q5)*0.15</f>
        <v>0</v>
      </c>
      <c r="S5" s="42">
        <f>SUM(O5:R5)</f>
        <v>0</v>
      </c>
      <c r="T5" s="24"/>
    </row>
    <row r="6" spans="2:20" x14ac:dyDescent="0.55000000000000004">
      <c r="B6" s="24">
        <v>2</v>
      </c>
      <c r="C6" s="24" t="s">
        <v>205</v>
      </c>
      <c r="D6" s="25" t="s">
        <v>207</v>
      </c>
      <c r="E6" s="41">
        <v>1.25</v>
      </c>
      <c r="F6" s="26">
        <v>0.5</v>
      </c>
      <c r="G6" s="26">
        <v>1</v>
      </c>
      <c r="H6" s="26">
        <f t="shared" ref="H6:H14" si="0">SUM(E6:G6)*0.15</f>
        <v>0.41249999999999998</v>
      </c>
      <c r="I6" s="42">
        <f t="shared" ref="I6:I14" si="1">SUM(E6:H6)</f>
        <v>3.1625000000000001</v>
      </c>
      <c r="J6" s="41">
        <v>0.25</v>
      </c>
      <c r="K6" s="26">
        <v>0.25</v>
      </c>
      <c r="L6" s="26">
        <v>0.5</v>
      </c>
      <c r="M6" s="26">
        <f t="shared" ref="M6:M14" si="2">SUM(J6:L6)*0.15</f>
        <v>0.15</v>
      </c>
      <c r="N6" s="42">
        <f t="shared" ref="N6:N13" si="3">SUM(J6:M6)</f>
        <v>1.1499999999999999</v>
      </c>
      <c r="O6" s="41"/>
      <c r="P6" s="26"/>
      <c r="Q6" s="26"/>
      <c r="R6" s="26"/>
      <c r="S6" s="42"/>
      <c r="T6" s="24"/>
    </row>
    <row r="7" spans="2:20" x14ac:dyDescent="0.55000000000000004">
      <c r="B7" s="24">
        <v>3</v>
      </c>
      <c r="C7" s="24" t="s">
        <v>208</v>
      </c>
      <c r="D7" s="24" t="s">
        <v>209</v>
      </c>
      <c r="E7" s="41">
        <v>1</v>
      </c>
      <c r="F7" s="26">
        <v>1</v>
      </c>
      <c r="G7" s="26">
        <v>0.5</v>
      </c>
      <c r="H7" s="26">
        <f t="shared" si="0"/>
        <v>0.375</v>
      </c>
      <c r="I7" s="42">
        <f t="shared" si="1"/>
        <v>2.875</v>
      </c>
      <c r="J7" s="41">
        <v>0.5</v>
      </c>
      <c r="K7" s="26">
        <v>0.5</v>
      </c>
      <c r="L7" s="26">
        <v>0.5</v>
      </c>
      <c r="M7" s="26">
        <f t="shared" si="2"/>
        <v>0.22499999999999998</v>
      </c>
      <c r="N7" s="42">
        <f t="shared" si="3"/>
        <v>1.7250000000000001</v>
      </c>
      <c r="O7" s="41"/>
      <c r="P7" s="26"/>
      <c r="Q7" s="26"/>
      <c r="R7" s="26">
        <f t="shared" ref="R7" si="4">SUM(O7:Q7)*0.15</f>
        <v>0</v>
      </c>
      <c r="S7" s="42">
        <f t="shared" ref="S7" si="5">SUM(O7:R7)</f>
        <v>0</v>
      </c>
      <c r="T7" s="27"/>
    </row>
    <row r="8" spans="2:20" x14ac:dyDescent="0.55000000000000004">
      <c r="B8" s="24">
        <v>4</v>
      </c>
      <c r="C8" s="24" t="s">
        <v>210</v>
      </c>
      <c r="D8" s="25" t="s">
        <v>211</v>
      </c>
      <c r="E8" s="41">
        <v>0.25</v>
      </c>
      <c r="F8" s="26">
        <v>0.1</v>
      </c>
      <c r="G8" s="26">
        <v>0.1</v>
      </c>
      <c r="H8" s="26">
        <f t="shared" si="0"/>
        <v>6.7499999999999991E-2</v>
      </c>
      <c r="I8" s="42">
        <f t="shared" si="1"/>
        <v>0.51749999999999996</v>
      </c>
      <c r="J8" s="41">
        <v>0.1</v>
      </c>
      <c r="K8" s="51">
        <v>0.1</v>
      </c>
      <c r="L8" s="51">
        <v>0.25</v>
      </c>
      <c r="M8" s="26">
        <f t="shared" si="2"/>
        <v>6.7500000000000004E-2</v>
      </c>
      <c r="N8" s="42">
        <f t="shared" si="3"/>
        <v>0.51750000000000007</v>
      </c>
      <c r="O8" s="41"/>
      <c r="P8" s="26"/>
      <c r="Q8" s="26"/>
      <c r="R8" s="26">
        <f t="shared" ref="R8:R14" si="6">SUM(O8:Q8)*0.15</f>
        <v>0</v>
      </c>
      <c r="S8" s="42">
        <f t="shared" ref="S8:S14" si="7">SUM(O8:R8)</f>
        <v>0</v>
      </c>
      <c r="T8" s="27"/>
    </row>
    <row r="9" spans="2:20" x14ac:dyDescent="0.55000000000000004">
      <c r="B9" s="24">
        <v>5</v>
      </c>
      <c r="C9" s="24" t="s">
        <v>210</v>
      </c>
      <c r="D9" s="25" t="s">
        <v>212</v>
      </c>
      <c r="E9" s="41">
        <v>1.5</v>
      </c>
      <c r="F9" s="26">
        <v>1</v>
      </c>
      <c r="G9" s="26">
        <v>0.5</v>
      </c>
      <c r="H9" s="26">
        <f t="shared" si="0"/>
        <v>0.44999999999999996</v>
      </c>
      <c r="I9" s="42">
        <f t="shared" si="1"/>
        <v>3.45</v>
      </c>
      <c r="J9" s="41"/>
      <c r="K9" s="26"/>
      <c r="L9" s="26"/>
      <c r="M9" s="26">
        <f t="shared" si="2"/>
        <v>0</v>
      </c>
      <c r="N9" s="42">
        <f t="shared" si="3"/>
        <v>0</v>
      </c>
      <c r="O9" s="41"/>
      <c r="P9" s="26"/>
      <c r="Q9" s="26"/>
      <c r="R9" s="26"/>
      <c r="S9" s="42"/>
      <c r="T9" s="27"/>
    </row>
    <row r="10" spans="2:20" ht="36" x14ac:dyDescent="0.55000000000000004">
      <c r="B10" s="24">
        <v>6</v>
      </c>
      <c r="C10" s="24" t="s">
        <v>210</v>
      </c>
      <c r="D10" s="25" t="s">
        <v>213</v>
      </c>
      <c r="E10" s="41">
        <v>1</v>
      </c>
      <c r="F10" s="26">
        <v>1</v>
      </c>
      <c r="G10" s="26">
        <v>0.5</v>
      </c>
      <c r="H10" s="26">
        <f t="shared" si="0"/>
        <v>0.375</v>
      </c>
      <c r="I10" s="42">
        <f t="shared" si="1"/>
        <v>2.875</v>
      </c>
      <c r="J10" s="41"/>
      <c r="K10" s="26"/>
      <c r="L10" s="26"/>
      <c r="M10" s="26">
        <f t="shared" si="2"/>
        <v>0</v>
      </c>
      <c r="N10" s="42">
        <f t="shared" si="3"/>
        <v>0</v>
      </c>
      <c r="O10" s="41"/>
      <c r="P10" s="26"/>
      <c r="Q10" s="26"/>
      <c r="R10" s="26"/>
      <c r="S10" s="42"/>
      <c r="T10" s="27"/>
    </row>
    <row r="11" spans="2:20" x14ac:dyDescent="0.55000000000000004">
      <c r="B11" s="24">
        <v>7</v>
      </c>
      <c r="C11" s="24" t="s">
        <v>214</v>
      </c>
      <c r="D11" s="24" t="s">
        <v>215</v>
      </c>
      <c r="E11" s="41">
        <v>0.1</v>
      </c>
      <c r="F11" s="26">
        <v>0.1</v>
      </c>
      <c r="G11" s="26">
        <v>0.1</v>
      </c>
      <c r="H11" s="26">
        <f t="shared" si="0"/>
        <v>4.5000000000000005E-2</v>
      </c>
      <c r="I11" s="42">
        <f t="shared" si="1"/>
        <v>0.34500000000000003</v>
      </c>
      <c r="J11" s="41"/>
      <c r="K11" s="26"/>
      <c r="L11" s="26"/>
      <c r="M11" s="26">
        <f>SUM(J11:L11)*0.15</f>
        <v>0</v>
      </c>
      <c r="N11" s="42">
        <f>SUM(J11:M11)</f>
        <v>0</v>
      </c>
      <c r="O11" s="41"/>
      <c r="P11" s="26"/>
      <c r="Q11" s="26"/>
      <c r="R11" s="26">
        <f>SUM(O11:Q11)*0.15</f>
        <v>0</v>
      </c>
      <c r="S11" s="42">
        <f>SUM(O11:R11)</f>
        <v>0</v>
      </c>
      <c r="T11" s="27"/>
    </row>
    <row r="12" spans="2:20" x14ac:dyDescent="0.55000000000000004">
      <c r="B12" s="24">
        <v>8</v>
      </c>
      <c r="C12" s="24" t="s">
        <v>216</v>
      </c>
      <c r="D12" s="24" t="s">
        <v>217</v>
      </c>
      <c r="E12" s="41">
        <v>0.1</v>
      </c>
      <c r="F12" s="26">
        <v>0.1</v>
      </c>
      <c r="G12" s="26">
        <v>0.1</v>
      </c>
      <c r="H12" s="26">
        <f t="shared" si="0"/>
        <v>4.5000000000000005E-2</v>
      </c>
      <c r="I12" s="42">
        <f t="shared" si="1"/>
        <v>0.34500000000000003</v>
      </c>
      <c r="J12" s="41"/>
      <c r="K12" s="26"/>
      <c r="L12" s="26"/>
      <c r="M12" s="26">
        <f t="shared" si="2"/>
        <v>0</v>
      </c>
      <c r="N12" s="42">
        <f t="shared" si="3"/>
        <v>0</v>
      </c>
      <c r="O12" s="41"/>
      <c r="P12" s="26"/>
      <c r="Q12" s="26"/>
      <c r="R12" s="26">
        <f t="shared" si="6"/>
        <v>0</v>
      </c>
      <c r="S12" s="42">
        <f t="shared" si="7"/>
        <v>0</v>
      </c>
      <c r="T12" s="27"/>
    </row>
    <row r="13" spans="2:20" x14ac:dyDescent="0.55000000000000004">
      <c r="B13" s="24">
        <v>9</v>
      </c>
      <c r="C13" s="24" t="s">
        <v>218</v>
      </c>
      <c r="D13" s="25" t="s">
        <v>219</v>
      </c>
      <c r="E13" s="41">
        <v>0.1</v>
      </c>
      <c r="F13" s="26">
        <v>0.1</v>
      </c>
      <c r="G13" s="26">
        <v>0.1</v>
      </c>
      <c r="H13" s="26">
        <f t="shared" si="0"/>
        <v>4.5000000000000005E-2</v>
      </c>
      <c r="I13" s="42">
        <f t="shared" si="1"/>
        <v>0.34500000000000003</v>
      </c>
      <c r="J13" s="41"/>
      <c r="K13" s="26"/>
      <c r="L13" s="26"/>
      <c r="M13" s="26">
        <f t="shared" si="2"/>
        <v>0</v>
      </c>
      <c r="N13" s="42">
        <f t="shared" si="3"/>
        <v>0</v>
      </c>
      <c r="O13" s="41"/>
      <c r="P13" s="26"/>
      <c r="Q13" s="26"/>
      <c r="R13" s="26">
        <f t="shared" si="6"/>
        <v>0</v>
      </c>
      <c r="S13" s="42">
        <f t="shared" si="7"/>
        <v>0</v>
      </c>
      <c r="T13" s="27" t="s">
        <v>220</v>
      </c>
    </row>
    <row r="14" spans="2:20" x14ac:dyDescent="0.55000000000000004">
      <c r="B14" s="24">
        <v>10</v>
      </c>
      <c r="C14" s="24" t="s">
        <v>218</v>
      </c>
      <c r="D14" s="24" t="s">
        <v>221</v>
      </c>
      <c r="E14" s="26">
        <v>0.5</v>
      </c>
      <c r="F14" s="26">
        <v>0.25</v>
      </c>
      <c r="G14" s="26">
        <v>0.25</v>
      </c>
      <c r="H14" s="26">
        <f t="shared" si="0"/>
        <v>0.15</v>
      </c>
      <c r="I14" s="42">
        <f t="shared" si="1"/>
        <v>1.1499999999999999</v>
      </c>
      <c r="J14" s="41"/>
      <c r="K14" s="26"/>
      <c r="L14" s="26"/>
      <c r="M14" s="26">
        <f t="shared" si="2"/>
        <v>0</v>
      </c>
      <c r="N14" s="42">
        <f>SUM(J14:M14)</f>
        <v>0</v>
      </c>
      <c r="O14" s="41"/>
      <c r="P14" s="26"/>
      <c r="Q14" s="26"/>
      <c r="R14" s="26">
        <f t="shared" si="6"/>
        <v>0</v>
      </c>
      <c r="S14" s="42">
        <f t="shared" si="7"/>
        <v>0</v>
      </c>
      <c r="T14" s="27" t="s">
        <v>222</v>
      </c>
    </row>
    <row r="15" spans="2:20" x14ac:dyDescent="0.55000000000000004">
      <c r="E15" s="43"/>
      <c r="I15" s="44"/>
      <c r="J15" s="43"/>
      <c r="N15" s="44"/>
      <c r="O15" s="43"/>
      <c r="S15" s="44"/>
    </row>
    <row r="16" spans="2:20" x14ac:dyDescent="0.55000000000000004">
      <c r="D16" s="24" t="s">
        <v>223</v>
      </c>
      <c r="E16" s="41">
        <f t="shared" ref="E16:S16" si="8">SUM(E5:E14)</f>
        <v>6.7999999999999989</v>
      </c>
      <c r="F16" s="26">
        <f t="shared" si="8"/>
        <v>4.6499999999999986</v>
      </c>
      <c r="G16" s="26">
        <f t="shared" si="8"/>
        <v>4.1500000000000004</v>
      </c>
      <c r="H16" s="26">
        <f t="shared" si="8"/>
        <v>2.3399999999999994</v>
      </c>
      <c r="I16" s="42">
        <f t="shared" si="8"/>
        <v>17.939999999999994</v>
      </c>
      <c r="J16" s="41">
        <f t="shared" si="8"/>
        <v>1.85</v>
      </c>
      <c r="K16" s="26">
        <f t="shared" si="8"/>
        <v>1.35</v>
      </c>
      <c r="L16" s="26">
        <f t="shared" si="8"/>
        <v>2.25</v>
      </c>
      <c r="M16" s="26">
        <f t="shared" si="8"/>
        <v>0.8175</v>
      </c>
      <c r="N16" s="42">
        <f t="shared" si="8"/>
        <v>6.2675000000000001</v>
      </c>
      <c r="O16" s="41">
        <f t="shared" si="8"/>
        <v>0</v>
      </c>
      <c r="P16" s="26">
        <f t="shared" si="8"/>
        <v>0</v>
      </c>
      <c r="Q16" s="26">
        <f t="shared" si="8"/>
        <v>0</v>
      </c>
      <c r="R16" s="26">
        <f t="shared" si="8"/>
        <v>0</v>
      </c>
      <c r="S16" s="42">
        <f t="shared" si="8"/>
        <v>0</v>
      </c>
      <c r="T16" s="28"/>
    </row>
    <row r="17" spans="4:19" x14ac:dyDescent="0.55000000000000004">
      <c r="E17" s="43"/>
      <c r="I17" s="44"/>
      <c r="J17" s="43"/>
      <c r="N17" s="44"/>
      <c r="O17" s="43"/>
      <c r="S17" s="44"/>
    </row>
    <row r="18" spans="4:19" x14ac:dyDescent="0.55000000000000004">
      <c r="D18" s="24" t="s">
        <v>224</v>
      </c>
      <c r="E18" s="45">
        <v>1000</v>
      </c>
      <c r="F18" s="29">
        <v>1000</v>
      </c>
      <c r="G18" s="29">
        <v>1000</v>
      </c>
      <c r="H18" s="29">
        <v>1200</v>
      </c>
      <c r="I18" s="46">
        <f>AVERAGE(E18:H18)</f>
        <v>1050</v>
      </c>
      <c r="J18" s="45">
        <v>1000</v>
      </c>
      <c r="K18" s="29">
        <v>1000</v>
      </c>
      <c r="L18" s="29">
        <v>1000</v>
      </c>
      <c r="M18" s="29">
        <v>1200</v>
      </c>
      <c r="N18" s="46">
        <f>AVERAGE(J18:M18)</f>
        <v>1050</v>
      </c>
      <c r="O18" s="45">
        <v>1000</v>
      </c>
      <c r="P18" s="29">
        <v>1000</v>
      </c>
      <c r="Q18" s="29">
        <v>1000</v>
      </c>
      <c r="R18" s="29">
        <v>1200</v>
      </c>
      <c r="S18" s="46">
        <f>AVERAGE(O18:R18)</f>
        <v>1050</v>
      </c>
    </row>
    <row r="19" spans="4:19" ht="18.5" thickBot="1" x14ac:dyDescent="0.6">
      <c r="D19" s="24" t="s">
        <v>225</v>
      </c>
      <c r="E19" s="47">
        <f>E16*E18</f>
        <v>6799.9999999999991</v>
      </c>
      <c r="F19" s="48">
        <f t="shared" ref="F19:G19" si="9">F16*F18</f>
        <v>4649.9999999999982</v>
      </c>
      <c r="G19" s="48">
        <f t="shared" si="9"/>
        <v>4150</v>
      </c>
      <c r="H19" s="48">
        <f>H16*H18</f>
        <v>2807.9999999999991</v>
      </c>
      <c r="I19" s="49">
        <f>SUM(E19:H19)</f>
        <v>18407.999999999996</v>
      </c>
      <c r="J19" s="47">
        <f>J16*J18</f>
        <v>1850</v>
      </c>
      <c r="K19" s="48">
        <f t="shared" ref="K19:L19" si="10">K16*K18</f>
        <v>1350</v>
      </c>
      <c r="L19" s="48">
        <f t="shared" si="10"/>
        <v>2250</v>
      </c>
      <c r="M19" s="48">
        <f>M16*M18</f>
        <v>981</v>
      </c>
      <c r="N19" s="49">
        <f>SUM(J19:M19)</f>
        <v>6431</v>
      </c>
      <c r="O19" s="47">
        <f>O16*O18</f>
        <v>0</v>
      </c>
      <c r="P19" s="48">
        <f t="shared" ref="P19:Q19" si="11">P16*P18</f>
        <v>0</v>
      </c>
      <c r="Q19" s="48">
        <f t="shared" si="11"/>
        <v>0</v>
      </c>
      <c r="R19" s="48">
        <f>R16*R18</f>
        <v>0</v>
      </c>
      <c r="S19" s="49">
        <f>SUM(O19:R19)</f>
        <v>0</v>
      </c>
    </row>
  </sheetData>
  <autoFilter ref="B4:Y14" xr:uid="{00000000-0009-0000-0000-000005000000}"/>
  <mergeCells count="6">
    <mergeCell ref="E3:H3"/>
    <mergeCell ref="E2:I2"/>
    <mergeCell ref="J2:N2"/>
    <mergeCell ref="O2:S2"/>
    <mergeCell ref="J3:M3"/>
    <mergeCell ref="O3:R3"/>
  </mergeCells>
  <phoneticPr fontId="2"/>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T36"/>
  <sheetViews>
    <sheetView zoomScale="80" zoomScaleNormal="80" workbookViewId="0">
      <selection activeCell="C1" sqref="C1"/>
    </sheetView>
  </sheetViews>
  <sheetFormatPr defaultColWidth="8.58203125" defaultRowHeight="18" x14ac:dyDescent="0.55000000000000004"/>
  <cols>
    <col min="1" max="1" width="2.58203125" style="21" customWidth="1"/>
    <col min="2" max="2" width="4.08203125" style="21" bestFit="1" customWidth="1"/>
    <col min="3" max="3" width="37.58203125" style="21" customWidth="1"/>
    <col min="4" max="4" width="44.58203125" style="21" customWidth="1"/>
    <col min="5" max="19" width="9.83203125" style="21" customWidth="1"/>
    <col min="20" max="20" width="53.08203125" style="21" customWidth="1"/>
    <col min="21" max="16384" width="8.58203125" style="21"/>
  </cols>
  <sheetData>
    <row r="1" spans="2:20" ht="18.5" thickBot="1" x14ac:dyDescent="0.6">
      <c r="C1" s="21" t="s">
        <v>226</v>
      </c>
    </row>
    <row r="2" spans="2:20" x14ac:dyDescent="0.55000000000000004">
      <c r="D2" s="50" t="s">
        <v>192</v>
      </c>
      <c r="E2" s="292" t="s">
        <v>193</v>
      </c>
      <c r="F2" s="293"/>
      <c r="G2" s="293"/>
      <c r="H2" s="293"/>
      <c r="I2" s="294"/>
      <c r="J2" s="295" t="s">
        <v>21</v>
      </c>
      <c r="K2" s="293"/>
      <c r="L2" s="293"/>
      <c r="M2" s="293"/>
      <c r="N2" s="294"/>
      <c r="O2" s="295" t="s">
        <v>194</v>
      </c>
      <c r="P2" s="293"/>
      <c r="Q2" s="293"/>
      <c r="R2" s="293"/>
      <c r="S2" s="294"/>
    </row>
    <row r="3" spans="2:20" x14ac:dyDescent="0.55000000000000004">
      <c r="B3" s="19"/>
      <c r="C3" s="19"/>
      <c r="D3" s="20"/>
      <c r="E3" s="289" t="s">
        <v>195</v>
      </c>
      <c r="F3" s="290"/>
      <c r="G3" s="290"/>
      <c r="H3" s="291"/>
      <c r="I3" s="38"/>
      <c r="J3" s="289" t="s">
        <v>195</v>
      </c>
      <c r="K3" s="290"/>
      <c r="L3" s="290"/>
      <c r="M3" s="291"/>
      <c r="N3" s="38"/>
      <c r="O3" s="289" t="s">
        <v>195</v>
      </c>
      <c r="P3" s="290"/>
      <c r="Q3" s="290"/>
      <c r="R3" s="291"/>
      <c r="S3" s="38"/>
      <c r="T3" s="19"/>
    </row>
    <row r="4" spans="2:20" ht="39.75" customHeight="1" x14ac:dyDescent="0.55000000000000004">
      <c r="B4" s="22" t="s">
        <v>196</v>
      </c>
      <c r="C4" s="22" t="s">
        <v>197</v>
      </c>
      <c r="D4" s="22" t="s">
        <v>198</v>
      </c>
      <c r="E4" s="39" t="s">
        <v>199</v>
      </c>
      <c r="F4" s="23" t="s">
        <v>200</v>
      </c>
      <c r="G4" s="23" t="s">
        <v>201</v>
      </c>
      <c r="H4" s="23" t="s">
        <v>202</v>
      </c>
      <c r="I4" s="40" t="s">
        <v>203</v>
      </c>
      <c r="J4" s="39" t="s">
        <v>199</v>
      </c>
      <c r="K4" s="23" t="s">
        <v>200</v>
      </c>
      <c r="L4" s="23" t="s">
        <v>201</v>
      </c>
      <c r="M4" s="23" t="s">
        <v>202</v>
      </c>
      <c r="N4" s="40" t="s">
        <v>203</v>
      </c>
      <c r="O4" s="39" t="s">
        <v>199</v>
      </c>
      <c r="P4" s="23" t="s">
        <v>200</v>
      </c>
      <c r="Q4" s="23" t="s">
        <v>201</v>
      </c>
      <c r="R4" s="23" t="s">
        <v>202</v>
      </c>
      <c r="S4" s="40" t="s">
        <v>203</v>
      </c>
      <c r="T4" s="22" t="s">
        <v>204</v>
      </c>
    </row>
    <row r="5" spans="2:20" ht="36" x14ac:dyDescent="0.55000000000000004">
      <c r="B5" s="24">
        <v>1</v>
      </c>
      <c r="C5" s="24" t="s">
        <v>205</v>
      </c>
      <c r="D5" s="25" t="s">
        <v>227</v>
      </c>
      <c r="E5" s="41">
        <v>1</v>
      </c>
      <c r="F5" s="26">
        <v>0.5</v>
      </c>
      <c r="G5" s="26">
        <v>1</v>
      </c>
      <c r="H5" s="26">
        <f>SUM(E5:G5)*0.15</f>
        <v>0.375</v>
      </c>
      <c r="I5" s="42">
        <f>SUM(E5:H5)</f>
        <v>2.875</v>
      </c>
      <c r="J5" s="41">
        <v>1</v>
      </c>
      <c r="K5" s="26">
        <v>0.5</v>
      </c>
      <c r="L5" s="26">
        <v>1</v>
      </c>
      <c r="M5" s="26">
        <f>SUM(J5:L5)*0.15</f>
        <v>0.375</v>
      </c>
      <c r="N5" s="42">
        <f>SUM(J5:M5)</f>
        <v>2.875</v>
      </c>
      <c r="O5" s="41">
        <v>1</v>
      </c>
      <c r="P5" s="26">
        <v>0.5</v>
      </c>
      <c r="Q5" s="26">
        <v>1</v>
      </c>
      <c r="R5" s="26">
        <f>SUM(O5:Q5)*0.15</f>
        <v>0.375</v>
      </c>
      <c r="S5" s="42">
        <f>SUM(O5:R5)</f>
        <v>2.875</v>
      </c>
      <c r="T5" s="24" t="s">
        <v>228</v>
      </c>
    </row>
    <row r="6" spans="2:20" ht="36" x14ac:dyDescent="0.55000000000000004">
      <c r="B6" s="24">
        <v>2</v>
      </c>
      <c r="C6" s="24" t="s">
        <v>205</v>
      </c>
      <c r="D6" s="25" t="s">
        <v>229</v>
      </c>
      <c r="E6" s="41">
        <v>0.25</v>
      </c>
      <c r="F6" s="26">
        <v>0.5</v>
      </c>
      <c r="G6" s="26">
        <v>1</v>
      </c>
      <c r="H6" s="26">
        <f>SUM(E6:G6)*0.15</f>
        <v>0.26250000000000001</v>
      </c>
      <c r="I6" s="42">
        <f t="shared" ref="I6:I31" si="0">SUM(E6:H6)</f>
        <v>2.0125000000000002</v>
      </c>
      <c r="J6" s="41">
        <v>0.25</v>
      </c>
      <c r="K6" s="26">
        <v>0.5</v>
      </c>
      <c r="L6" s="26">
        <v>1</v>
      </c>
      <c r="M6" s="26">
        <f>SUM(J6:L6)*0.15</f>
        <v>0.26250000000000001</v>
      </c>
      <c r="N6" s="42">
        <f t="shared" ref="N6:N31" si="1">SUM(J6:M6)</f>
        <v>2.0125000000000002</v>
      </c>
      <c r="O6" s="41">
        <v>0.25</v>
      </c>
      <c r="P6" s="26">
        <v>0.5</v>
      </c>
      <c r="Q6" s="26">
        <v>1</v>
      </c>
      <c r="R6" s="26">
        <f>SUM(O6:Q6)*0.15</f>
        <v>0.26250000000000001</v>
      </c>
      <c r="S6" s="42">
        <f t="shared" ref="S6:S31" si="2">SUM(O6:R6)</f>
        <v>2.0125000000000002</v>
      </c>
      <c r="T6" s="24" t="s">
        <v>228</v>
      </c>
    </row>
    <row r="7" spans="2:20" ht="36" x14ac:dyDescent="0.55000000000000004">
      <c r="B7" s="24">
        <v>3</v>
      </c>
      <c r="C7" s="24" t="s">
        <v>205</v>
      </c>
      <c r="D7" s="25" t="s">
        <v>229</v>
      </c>
      <c r="E7" s="41">
        <v>1</v>
      </c>
      <c r="F7" s="26">
        <v>0.5</v>
      </c>
      <c r="G7" s="26">
        <v>1</v>
      </c>
      <c r="H7" s="26">
        <f>SUM(E7:G7)*0.15</f>
        <v>0.375</v>
      </c>
      <c r="I7" s="42">
        <f t="shared" si="0"/>
        <v>2.875</v>
      </c>
      <c r="J7" s="41">
        <v>1</v>
      </c>
      <c r="K7" s="26">
        <v>0.5</v>
      </c>
      <c r="L7" s="26">
        <v>1</v>
      </c>
      <c r="M7" s="26">
        <f>SUM(J7:L7)*0.15</f>
        <v>0.375</v>
      </c>
      <c r="N7" s="42">
        <f t="shared" si="1"/>
        <v>2.875</v>
      </c>
      <c r="O7" s="41">
        <v>1</v>
      </c>
      <c r="P7" s="26">
        <v>0.5</v>
      </c>
      <c r="Q7" s="26">
        <v>1</v>
      </c>
      <c r="R7" s="26">
        <f>SUM(O7:Q7)*0.15</f>
        <v>0.375</v>
      </c>
      <c r="S7" s="42">
        <f t="shared" si="2"/>
        <v>2.875</v>
      </c>
      <c r="T7" s="24" t="s">
        <v>228</v>
      </c>
    </row>
    <row r="8" spans="2:20" ht="36" x14ac:dyDescent="0.55000000000000004">
      <c r="B8" s="24">
        <v>4</v>
      </c>
      <c r="C8" s="24" t="s">
        <v>205</v>
      </c>
      <c r="D8" s="25" t="s">
        <v>229</v>
      </c>
      <c r="E8" s="41">
        <v>1</v>
      </c>
      <c r="F8" s="26">
        <v>0.5</v>
      </c>
      <c r="G8" s="26">
        <v>1</v>
      </c>
      <c r="H8" s="26">
        <f t="shared" ref="H8:H31" si="3">SUM(E8:G8)*0.15</f>
        <v>0.375</v>
      </c>
      <c r="I8" s="42">
        <f t="shared" si="0"/>
        <v>2.875</v>
      </c>
      <c r="J8" s="41">
        <v>1</v>
      </c>
      <c r="K8" s="26">
        <v>0.5</v>
      </c>
      <c r="L8" s="26">
        <v>1</v>
      </c>
      <c r="M8" s="26">
        <f t="shared" ref="M8:M31" si="4">SUM(J8:L8)*0.15</f>
        <v>0.375</v>
      </c>
      <c r="N8" s="42">
        <f t="shared" si="1"/>
        <v>2.875</v>
      </c>
      <c r="O8" s="41">
        <v>1</v>
      </c>
      <c r="P8" s="26">
        <v>0.5</v>
      </c>
      <c r="Q8" s="26">
        <v>1</v>
      </c>
      <c r="R8" s="26">
        <f t="shared" ref="R8:R31" si="5">SUM(O8:Q8)*0.15</f>
        <v>0.375</v>
      </c>
      <c r="S8" s="42">
        <f t="shared" si="2"/>
        <v>2.875</v>
      </c>
      <c r="T8" s="24" t="s">
        <v>228</v>
      </c>
    </row>
    <row r="9" spans="2:20" ht="36" x14ac:dyDescent="0.55000000000000004">
      <c r="B9" s="24">
        <v>5</v>
      </c>
      <c r="C9" s="24" t="s">
        <v>205</v>
      </c>
      <c r="D9" s="25" t="s">
        <v>227</v>
      </c>
      <c r="E9" s="41">
        <v>1</v>
      </c>
      <c r="F9" s="26">
        <v>0.5</v>
      </c>
      <c r="G9" s="26">
        <v>1</v>
      </c>
      <c r="H9" s="26">
        <f t="shared" si="3"/>
        <v>0.375</v>
      </c>
      <c r="I9" s="42">
        <f t="shared" si="0"/>
        <v>2.875</v>
      </c>
      <c r="J9" s="41">
        <v>1</v>
      </c>
      <c r="K9" s="26">
        <v>0.5</v>
      </c>
      <c r="L9" s="26">
        <v>1</v>
      </c>
      <c r="M9" s="26">
        <f t="shared" si="4"/>
        <v>0.375</v>
      </c>
      <c r="N9" s="42">
        <f t="shared" si="1"/>
        <v>2.875</v>
      </c>
      <c r="O9" s="41">
        <v>1</v>
      </c>
      <c r="P9" s="26">
        <v>0.5</v>
      </c>
      <c r="Q9" s="26">
        <v>1</v>
      </c>
      <c r="R9" s="26">
        <f t="shared" si="5"/>
        <v>0.375</v>
      </c>
      <c r="S9" s="42">
        <f t="shared" si="2"/>
        <v>2.875</v>
      </c>
      <c r="T9" s="24" t="s">
        <v>228</v>
      </c>
    </row>
    <row r="10" spans="2:20" x14ac:dyDescent="0.55000000000000004">
      <c r="B10" s="24">
        <v>6</v>
      </c>
      <c r="C10" s="24" t="s">
        <v>208</v>
      </c>
      <c r="D10" s="24" t="s">
        <v>230</v>
      </c>
      <c r="E10" s="41">
        <v>1</v>
      </c>
      <c r="F10" s="26">
        <v>0.25</v>
      </c>
      <c r="G10" s="26">
        <v>0.5</v>
      </c>
      <c r="H10" s="26">
        <f t="shared" si="3"/>
        <v>0.26250000000000001</v>
      </c>
      <c r="I10" s="42">
        <f t="shared" si="0"/>
        <v>2.0125000000000002</v>
      </c>
      <c r="J10" s="41">
        <v>1</v>
      </c>
      <c r="K10" s="26">
        <v>0.25</v>
      </c>
      <c r="L10" s="26">
        <v>0.5</v>
      </c>
      <c r="M10" s="26">
        <f t="shared" si="4"/>
        <v>0.26250000000000001</v>
      </c>
      <c r="N10" s="42">
        <f t="shared" si="1"/>
        <v>2.0125000000000002</v>
      </c>
      <c r="O10" s="41">
        <v>1</v>
      </c>
      <c r="P10" s="26">
        <v>0.25</v>
      </c>
      <c r="Q10" s="26">
        <v>0.5</v>
      </c>
      <c r="R10" s="26">
        <f t="shared" si="5"/>
        <v>0.26250000000000001</v>
      </c>
      <c r="S10" s="42">
        <f t="shared" si="2"/>
        <v>2.0125000000000002</v>
      </c>
      <c r="T10" s="27"/>
    </row>
    <row r="11" spans="2:20" x14ac:dyDescent="0.55000000000000004">
      <c r="B11" s="24">
        <v>7</v>
      </c>
      <c r="C11" s="24" t="s">
        <v>208</v>
      </c>
      <c r="D11" s="24" t="s">
        <v>230</v>
      </c>
      <c r="E11" s="41">
        <v>0.25</v>
      </c>
      <c r="F11" s="26">
        <v>0.25</v>
      </c>
      <c r="G11" s="26">
        <v>0.5</v>
      </c>
      <c r="H11" s="26">
        <f t="shared" si="3"/>
        <v>0.15</v>
      </c>
      <c r="I11" s="42">
        <f t="shared" si="0"/>
        <v>1.1499999999999999</v>
      </c>
      <c r="J11" s="41">
        <v>0.25</v>
      </c>
      <c r="K11" s="26">
        <v>0.25</v>
      </c>
      <c r="L11" s="26">
        <v>0.5</v>
      </c>
      <c r="M11" s="26">
        <f t="shared" si="4"/>
        <v>0.15</v>
      </c>
      <c r="N11" s="42">
        <f t="shared" si="1"/>
        <v>1.1499999999999999</v>
      </c>
      <c r="O11" s="41">
        <v>0.25</v>
      </c>
      <c r="P11" s="26">
        <v>0.25</v>
      </c>
      <c r="Q11" s="26">
        <v>0.5</v>
      </c>
      <c r="R11" s="26">
        <f t="shared" si="5"/>
        <v>0.15</v>
      </c>
      <c r="S11" s="42">
        <f t="shared" si="2"/>
        <v>1.1499999999999999</v>
      </c>
      <c r="T11" s="27"/>
    </row>
    <row r="12" spans="2:20" x14ac:dyDescent="0.55000000000000004">
      <c r="B12" s="24">
        <v>8</v>
      </c>
      <c r="C12" s="24" t="s">
        <v>231</v>
      </c>
      <c r="D12" s="24" t="s">
        <v>232</v>
      </c>
      <c r="E12" s="41">
        <v>0.5</v>
      </c>
      <c r="F12" s="26">
        <v>0.5</v>
      </c>
      <c r="G12" s="26">
        <v>1</v>
      </c>
      <c r="H12" s="26">
        <f t="shared" si="3"/>
        <v>0.3</v>
      </c>
      <c r="I12" s="42">
        <f t="shared" si="0"/>
        <v>2.2999999999999998</v>
      </c>
      <c r="J12" s="41">
        <v>0.5</v>
      </c>
      <c r="K12" s="26">
        <v>0.5</v>
      </c>
      <c r="L12" s="26">
        <v>1</v>
      </c>
      <c r="M12" s="26">
        <f t="shared" si="4"/>
        <v>0.3</v>
      </c>
      <c r="N12" s="42">
        <f t="shared" si="1"/>
        <v>2.2999999999999998</v>
      </c>
      <c r="O12" s="41">
        <v>0.5</v>
      </c>
      <c r="P12" s="26">
        <v>0.5</v>
      </c>
      <c r="Q12" s="26">
        <v>1</v>
      </c>
      <c r="R12" s="26">
        <f t="shared" si="5"/>
        <v>0.3</v>
      </c>
      <c r="S12" s="42">
        <f t="shared" si="2"/>
        <v>2.2999999999999998</v>
      </c>
      <c r="T12" s="27"/>
    </row>
    <row r="13" spans="2:20" x14ac:dyDescent="0.55000000000000004">
      <c r="B13" s="24">
        <v>9</v>
      </c>
      <c r="C13" s="24" t="s">
        <v>231</v>
      </c>
      <c r="D13" s="24" t="s">
        <v>232</v>
      </c>
      <c r="E13" s="41">
        <v>0.5</v>
      </c>
      <c r="F13" s="26">
        <v>0.25</v>
      </c>
      <c r="G13" s="26">
        <v>1</v>
      </c>
      <c r="H13" s="26">
        <f t="shared" si="3"/>
        <v>0.26250000000000001</v>
      </c>
      <c r="I13" s="42">
        <f t="shared" si="0"/>
        <v>2.0125000000000002</v>
      </c>
      <c r="J13" s="41">
        <v>0.5</v>
      </c>
      <c r="K13" s="26">
        <v>0.25</v>
      </c>
      <c r="L13" s="26">
        <v>1</v>
      </c>
      <c r="M13" s="26">
        <f t="shared" si="4"/>
        <v>0.26250000000000001</v>
      </c>
      <c r="N13" s="42">
        <f t="shared" si="1"/>
        <v>2.0125000000000002</v>
      </c>
      <c r="O13" s="41">
        <v>0.5</v>
      </c>
      <c r="P13" s="26">
        <v>0.25</v>
      </c>
      <c r="Q13" s="26">
        <v>1</v>
      </c>
      <c r="R13" s="26">
        <f t="shared" si="5"/>
        <v>0.26250000000000001</v>
      </c>
      <c r="S13" s="42">
        <f t="shared" si="2"/>
        <v>2.0125000000000002</v>
      </c>
      <c r="T13" s="27"/>
    </row>
    <row r="14" spans="2:20" x14ac:dyDescent="0.55000000000000004">
      <c r="B14" s="24">
        <v>10</v>
      </c>
      <c r="C14" s="24" t="s">
        <v>231</v>
      </c>
      <c r="D14" s="24" t="s">
        <v>232</v>
      </c>
      <c r="E14" s="41">
        <v>0.5</v>
      </c>
      <c r="F14" s="26">
        <v>0.25</v>
      </c>
      <c r="G14" s="26">
        <v>0.5</v>
      </c>
      <c r="H14" s="26">
        <f t="shared" si="3"/>
        <v>0.1875</v>
      </c>
      <c r="I14" s="42">
        <f t="shared" si="0"/>
        <v>1.4375</v>
      </c>
      <c r="J14" s="41">
        <v>0.5</v>
      </c>
      <c r="K14" s="26">
        <v>0.25</v>
      </c>
      <c r="L14" s="26">
        <v>0.5</v>
      </c>
      <c r="M14" s="26">
        <f t="shared" si="4"/>
        <v>0.1875</v>
      </c>
      <c r="N14" s="42">
        <f t="shared" si="1"/>
        <v>1.4375</v>
      </c>
      <c r="O14" s="41">
        <v>0.5</v>
      </c>
      <c r="P14" s="26">
        <v>0.25</v>
      </c>
      <c r="Q14" s="26">
        <v>0.5</v>
      </c>
      <c r="R14" s="26">
        <f t="shared" si="5"/>
        <v>0.1875</v>
      </c>
      <c r="S14" s="42">
        <f t="shared" si="2"/>
        <v>1.4375</v>
      </c>
      <c r="T14" s="27"/>
    </row>
    <row r="15" spans="2:20" x14ac:dyDescent="0.55000000000000004">
      <c r="B15" s="24">
        <v>11</v>
      </c>
      <c r="C15" s="24" t="s">
        <v>231</v>
      </c>
      <c r="D15" s="24" t="s">
        <v>232</v>
      </c>
      <c r="E15" s="41">
        <v>1</v>
      </c>
      <c r="F15" s="26">
        <v>1</v>
      </c>
      <c r="G15" s="26">
        <v>1</v>
      </c>
      <c r="H15" s="26">
        <f t="shared" si="3"/>
        <v>0.44999999999999996</v>
      </c>
      <c r="I15" s="42">
        <f t="shared" si="0"/>
        <v>3.45</v>
      </c>
      <c r="J15" s="41">
        <v>1</v>
      </c>
      <c r="K15" s="26">
        <v>1</v>
      </c>
      <c r="L15" s="26">
        <v>1</v>
      </c>
      <c r="M15" s="26">
        <f t="shared" si="4"/>
        <v>0.44999999999999996</v>
      </c>
      <c r="N15" s="42">
        <f t="shared" si="1"/>
        <v>3.45</v>
      </c>
      <c r="O15" s="41">
        <v>1</v>
      </c>
      <c r="P15" s="26">
        <v>1</v>
      </c>
      <c r="Q15" s="26">
        <v>1</v>
      </c>
      <c r="R15" s="26">
        <f t="shared" si="5"/>
        <v>0.44999999999999996</v>
      </c>
      <c r="S15" s="42">
        <f t="shared" si="2"/>
        <v>3.45</v>
      </c>
      <c r="T15" s="27"/>
    </row>
    <row r="16" spans="2:20" x14ac:dyDescent="0.55000000000000004">
      <c r="B16" s="24">
        <v>12</v>
      </c>
      <c r="C16" s="24" t="s">
        <v>231</v>
      </c>
      <c r="D16" s="24" t="s">
        <v>232</v>
      </c>
      <c r="E16" s="41" t="s">
        <v>99</v>
      </c>
      <c r="F16" s="26">
        <v>0.25</v>
      </c>
      <c r="G16" s="26">
        <v>0.5</v>
      </c>
      <c r="H16" s="26">
        <f t="shared" si="3"/>
        <v>0.11249999999999999</v>
      </c>
      <c r="I16" s="42">
        <f t="shared" si="0"/>
        <v>0.86250000000000004</v>
      </c>
      <c r="J16" s="41" t="s">
        <v>99</v>
      </c>
      <c r="K16" s="26">
        <v>0.25</v>
      </c>
      <c r="L16" s="26">
        <v>0.5</v>
      </c>
      <c r="M16" s="26">
        <f t="shared" si="4"/>
        <v>0.11249999999999999</v>
      </c>
      <c r="N16" s="42">
        <f t="shared" si="1"/>
        <v>0.86250000000000004</v>
      </c>
      <c r="O16" s="41" t="s">
        <v>99</v>
      </c>
      <c r="P16" s="26">
        <v>0.25</v>
      </c>
      <c r="Q16" s="26">
        <v>0.5</v>
      </c>
      <c r="R16" s="26">
        <f t="shared" si="5"/>
        <v>0.11249999999999999</v>
      </c>
      <c r="S16" s="42">
        <f t="shared" si="2"/>
        <v>0.86250000000000004</v>
      </c>
      <c r="T16" s="27"/>
    </row>
    <row r="17" spans="2:20" x14ac:dyDescent="0.55000000000000004">
      <c r="B17" s="24">
        <v>13</v>
      </c>
      <c r="C17" s="24" t="s">
        <v>214</v>
      </c>
      <c r="D17" s="24" t="s">
        <v>215</v>
      </c>
      <c r="E17" s="41">
        <v>0.1</v>
      </c>
      <c r="F17" s="26">
        <v>0.1</v>
      </c>
      <c r="G17" s="26">
        <v>0.1</v>
      </c>
      <c r="H17" s="26">
        <f t="shared" si="3"/>
        <v>4.5000000000000005E-2</v>
      </c>
      <c r="I17" s="42">
        <f t="shared" si="0"/>
        <v>0.34500000000000003</v>
      </c>
      <c r="J17" s="41">
        <v>0.1</v>
      </c>
      <c r="K17" s="26">
        <v>0.1</v>
      </c>
      <c r="L17" s="26">
        <v>0.1</v>
      </c>
      <c r="M17" s="26">
        <f t="shared" si="4"/>
        <v>4.5000000000000005E-2</v>
      </c>
      <c r="N17" s="42">
        <f t="shared" si="1"/>
        <v>0.34500000000000003</v>
      </c>
      <c r="O17" s="41">
        <v>0.1</v>
      </c>
      <c r="P17" s="26">
        <v>0.1</v>
      </c>
      <c r="Q17" s="26">
        <v>0.1</v>
      </c>
      <c r="R17" s="26">
        <f t="shared" si="5"/>
        <v>4.5000000000000005E-2</v>
      </c>
      <c r="S17" s="42">
        <f t="shared" si="2"/>
        <v>0.34500000000000003</v>
      </c>
      <c r="T17" s="27"/>
    </row>
    <row r="18" spans="2:20" x14ac:dyDescent="0.55000000000000004">
      <c r="B18" s="24">
        <v>14</v>
      </c>
      <c r="C18" s="24" t="s">
        <v>214</v>
      </c>
      <c r="D18" s="24" t="s">
        <v>215</v>
      </c>
      <c r="E18" s="41">
        <v>0.1</v>
      </c>
      <c r="F18" s="26">
        <v>0.1</v>
      </c>
      <c r="G18" s="26">
        <v>0.1</v>
      </c>
      <c r="H18" s="26">
        <f t="shared" si="3"/>
        <v>4.5000000000000005E-2</v>
      </c>
      <c r="I18" s="42">
        <f t="shared" si="0"/>
        <v>0.34500000000000003</v>
      </c>
      <c r="J18" s="41">
        <v>0.1</v>
      </c>
      <c r="K18" s="26">
        <v>0.1</v>
      </c>
      <c r="L18" s="26">
        <v>0.1</v>
      </c>
      <c r="M18" s="26">
        <f t="shared" si="4"/>
        <v>4.5000000000000005E-2</v>
      </c>
      <c r="N18" s="42">
        <f t="shared" si="1"/>
        <v>0.34500000000000003</v>
      </c>
      <c r="O18" s="41">
        <v>0.1</v>
      </c>
      <c r="P18" s="26">
        <v>0.1</v>
      </c>
      <c r="Q18" s="26">
        <v>0.1</v>
      </c>
      <c r="R18" s="26">
        <f t="shared" si="5"/>
        <v>4.5000000000000005E-2</v>
      </c>
      <c r="S18" s="42">
        <f t="shared" si="2"/>
        <v>0.34500000000000003</v>
      </c>
      <c r="T18" s="27"/>
    </row>
    <row r="19" spans="2:20" x14ac:dyDescent="0.55000000000000004">
      <c r="B19" s="24">
        <v>15</v>
      </c>
      <c r="C19" s="24" t="s">
        <v>214</v>
      </c>
      <c r="D19" s="24" t="s">
        <v>215</v>
      </c>
      <c r="E19" s="41">
        <v>0.1</v>
      </c>
      <c r="F19" s="26">
        <v>0.1</v>
      </c>
      <c r="G19" s="26">
        <v>0.1</v>
      </c>
      <c r="H19" s="26">
        <f t="shared" si="3"/>
        <v>4.5000000000000005E-2</v>
      </c>
      <c r="I19" s="42">
        <f t="shared" si="0"/>
        <v>0.34500000000000003</v>
      </c>
      <c r="J19" s="41">
        <v>0.1</v>
      </c>
      <c r="K19" s="26">
        <v>0.1</v>
      </c>
      <c r="L19" s="26">
        <v>0.1</v>
      </c>
      <c r="M19" s="26">
        <f t="shared" si="4"/>
        <v>4.5000000000000005E-2</v>
      </c>
      <c r="N19" s="42">
        <f t="shared" si="1"/>
        <v>0.34500000000000003</v>
      </c>
      <c r="O19" s="41">
        <v>0.1</v>
      </c>
      <c r="P19" s="26">
        <v>0.1</v>
      </c>
      <c r="Q19" s="26">
        <v>0.1</v>
      </c>
      <c r="R19" s="26">
        <f t="shared" si="5"/>
        <v>4.5000000000000005E-2</v>
      </c>
      <c r="S19" s="42">
        <f t="shared" si="2"/>
        <v>0.34500000000000003</v>
      </c>
      <c r="T19" s="27"/>
    </row>
    <row r="20" spans="2:20" x14ac:dyDescent="0.55000000000000004">
      <c r="B20" s="24">
        <v>16</v>
      </c>
      <c r="C20" s="24" t="s">
        <v>210</v>
      </c>
      <c r="D20" s="25" t="s">
        <v>233</v>
      </c>
      <c r="E20" s="41">
        <v>0.1</v>
      </c>
      <c r="F20" s="26">
        <v>0.1</v>
      </c>
      <c r="G20" s="26">
        <v>0.1</v>
      </c>
      <c r="H20" s="26">
        <f t="shared" si="3"/>
        <v>4.5000000000000005E-2</v>
      </c>
      <c r="I20" s="42">
        <f t="shared" si="0"/>
        <v>0.34500000000000003</v>
      </c>
      <c r="J20" s="41">
        <v>0.1</v>
      </c>
      <c r="K20" s="26">
        <v>0.1</v>
      </c>
      <c r="L20" s="26">
        <v>0.1</v>
      </c>
      <c r="M20" s="26">
        <f t="shared" si="4"/>
        <v>4.5000000000000005E-2</v>
      </c>
      <c r="N20" s="42">
        <f t="shared" si="1"/>
        <v>0.34500000000000003</v>
      </c>
      <c r="O20" s="41">
        <v>0.1</v>
      </c>
      <c r="P20" s="26">
        <v>0.1</v>
      </c>
      <c r="Q20" s="26">
        <v>0.1</v>
      </c>
      <c r="R20" s="26">
        <f t="shared" si="5"/>
        <v>4.5000000000000005E-2</v>
      </c>
      <c r="S20" s="42">
        <f t="shared" si="2"/>
        <v>0.34500000000000003</v>
      </c>
      <c r="T20" s="27"/>
    </row>
    <row r="21" spans="2:20" x14ac:dyDescent="0.55000000000000004">
      <c r="B21" s="24">
        <v>17</v>
      </c>
      <c r="C21" s="24" t="s">
        <v>210</v>
      </c>
      <c r="D21" s="25" t="s">
        <v>233</v>
      </c>
      <c r="E21" s="41">
        <v>0.1</v>
      </c>
      <c r="F21" s="26">
        <v>0.1</v>
      </c>
      <c r="G21" s="26">
        <v>0.1</v>
      </c>
      <c r="H21" s="26">
        <f t="shared" si="3"/>
        <v>4.5000000000000005E-2</v>
      </c>
      <c r="I21" s="42">
        <f t="shared" si="0"/>
        <v>0.34500000000000003</v>
      </c>
      <c r="J21" s="41">
        <v>0.1</v>
      </c>
      <c r="K21" s="26">
        <v>0.1</v>
      </c>
      <c r="L21" s="26">
        <v>0.1</v>
      </c>
      <c r="M21" s="26">
        <f t="shared" si="4"/>
        <v>4.5000000000000005E-2</v>
      </c>
      <c r="N21" s="42">
        <f t="shared" si="1"/>
        <v>0.34500000000000003</v>
      </c>
      <c r="O21" s="41">
        <v>0.1</v>
      </c>
      <c r="P21" s="26">
        <v>0.1</v>
      </c>
      <c r="Q21" s="26">
        <v>0.1</v>
      </c>
      <c r="R21" s="26">
        <f t="shared" si="5"/>
        <v>4.5000000000000005E-2</v>
      </c>
      <c r="S21" s="42">
        <f t="shared" si="2"/>
        <v>0.34500000000000003</v>
      </c>
      <c r="T21" s="27"/>
    </row>
    <row r="22" spans="2:20" x14ac:dyDescent="0.55000000000000004">
      <c r="B22" s="24">
        <v>18</v>
      </c>
      <c r="C22" s="24" t="s">
        <v>210</v>
      </c>
      <c r="D22" s="25" t="s">
        <v>233</v>
      </c>
      <c r="E22" s="41">
        <v>0.1</v>
      </c>
      <c r="F22" s="26">
        <v>0.1</v>
      </c>
      <c r="G22" s="26">
        <v>0.1</v>
      </c>
      <c r="H22" s="26">
        <f t="shared" si="3"/>
        <v>4.5000000000000005E-2</v>
      </c>
      <c r="I22" s="42">
        <f t="shared" si="0"/>
        <v>0.34500000000000003</v>
      </c>
      <c r="J22" s="41">
        <v>0.1</v>
      </c>
      <c r="K22" s="26">
        <v>0.1</v>
      </c>
      <c r="L22" s="26">
        <v>0.1</v>
      </c>
      <c r="M22" s="26">
        <f t="shared" si="4"/>
        <v>4.5000000000000005E-2</v>
      </c>
      <c r="N22" s="42">
        <f t="shared" si="1"/>
        <v>0.34500000000000003</v>
      </c>
      <c r="O22" s="41">
        <v>0.1</v>
      </c>
      <c r="P22" s="26">
        <v>0.1</v>
      </c>
      <c r="Q22" s="26">
        <v>0.1</v>
      </c>
      <c r="R22" s="26">
        <f t="shared" si="5"/>
        <v>4.5000000000000005E-2</v>
      </c>
      <c r="S22" s="42">
        <f t="shared" si="2"/>
        <v>0.34500000000000003</v>
      </c>
      <c r="T22" s="27"/>
    </row>
    <row r="23" spans="2:20" x14ac:dyDescent="0.55000000000000004">
      <c r="B23" s="24">
        <v>19</v>
      </c>
      <c r="C23" s="24" t="s">
        <v>210</v>
      </c>
      <c r="D23" s="25" t="s">
        <v>233</v>
      </c>
      <c r="E23" s="41">
        <v>0.1</v>
      </c>
      <c r="F23" s="26">
        <v>0.1</v>
      </c>
      <c r="G23" s="26">
        <v>0.1</v>
      </c>
      <c r="H23" s="26">
        <f t="shared" si="3"/>
        <v>4.5000000000000005E-2</v>
      </c>
      <c r="I23" s="42">
        <f t="shared" si="0"/>
        <v>0.34500000000000003</v>
      </c>
      <c r="J23" s="41">
        <v>0.1</v>
      </c>
      <c r="K23" s="26">
        <v>0.1</v>
      </c>
      <c r="L23" s="26">
        <v>0.1</v>
      </c>
      <c r="M23" s="26">
        <f t="shared" si="4"/>
        <v>4.5000000000000005E-2</v>
      </c>
      <c r="N23" s="42">
        <f t="shared" si="1"/>
        <v>0.34500000000000003</v>
      </c>
      <c r="O23" s="41">
        <v>0.1</v>
      </c>
      <c r="P23" s="26">
        <v>0.1</v>
      </c>
      <c r="Q23" s="26">
        <v>0.1</v>
      </c>
      <c r="R23" s="26">
        <f t="shared" si="5"/>
        <v>4.5000000000000005E-2</v>
      </c>
      <c r="S23" s="42">
        <f t="shared" si="2"/>
        <v>0.34500000000000003</v>
      </c>
      <c r="T23" s="27"/>
    </row>
    <row r="24" spans="2:20" x14ac:dyDescent="0.55000000000000004">
      <c r="B24" s="24">
        <v>20</v>
      </c>
      <c r="C24" s="24" t="s">
        <v>210</v>
      </c>
      <c r="D24" s="25" t="s">
        <v>233</v>
      </c>
      <c r="E24" s="41">
        <v>0.1</v>
      </c>
      <c r="F24" s="26">
        <v>0.1</v>
      </c>
      <c r="G24" s="26">
        <v>0.1</v>
      </c>
      <c r="H24" s="26">
        <f t="shared" si="3"/>
        <v>4.5000000000000005E-2</v>
      </c>
      <c r="I24" s="42">
        <f t="shared" si="0"/>
        <v>0.34500000000000003</v>
      </c>
      <c r="J24" s="41">
        <v>0.1</v>
      </c>
      <c r="K24" s="26">
        <v>0.1</v>
      </c>
      <c r="L24" s="26">
        <v>0.1</v>
      </c>
      <c r="M24" s="26">
        <f t="shared" si="4"/>
        <v>4.5000000000000005E-2</v>
      </c>
      <c r="N24" s="42">
        <f t="shared" si="1"/>
        <v>0.34500000000000003</v>
      </c>
      <c r="O24" s="41">
        <v>0.1</v>
      </c>
      <c r="P24" s="26">
        <v>0.1</v>
      </c>
      <c r="Q24" s="26">
        <v>0.1</v>
      </c>
      <c r="R24" s="26">
        <f t="shared" si="5"/>
        <v>4.5000000000000005E-2</v>
      </c>
      <c r="S24" s="42">
        <f t="shared" si="2"/>
        <v>0.34500000000000003</v>
      </c>
      <c r="T24" s="27"/>
    </row>
    <row r="25" spans="2:20" x14ac:dyDescent="0.55000000000000004">
      <c r="B25" s="24">
        <v>21</v>
      </c>
      <c r="C25" s="24" t="s">
        <v>216</v>
      </c>
      <c r="D25" s="24" t="s">
        <v>217</v>
      </c>
      <c r="E25" s="41">
        <v>0.1</v>
      </c>
      <c r="F25" s="26">
        <v>0.1</v>
      </c>
      <c r="G25" s="26">
        <v>0.1</v>
      </c>
      <c r="H25" s="26">
        <f t="shared" si="3"/>
        <v>4.5000000000000005E-2</v>
      </c>
      <c r="I25" s="42">
        <f t="shared" si="0"/>
        <v>0.34500000000000003</v>
      </c>
      <c r="J25" s="41">
        <v>0.1</v>
      </c>
      <c r="K25" s="26">
        <v>0.1</v>
      </c>
      <c r="L25" s="26">
        <v>0.1</v>
      </c>
      <c r="M25" s="26">
        <f t="shared" si="4"/>
        <v>4.5000000000000005E-2</v>
      </c>
      <c r="N25" s="42">
        <f t="shared" si="1"/>
        <v>0.34500000000000003</v>
      </c>
      <c r="O25" s="41">
        <v>0.1</v>
      </c>
      <c r="P25" s="26">
        <v>0.1</v>
      </c>
      <c r="Q25" s="26">
        <v>0.1</v>
      </c>
      <c r="R25" s="26">
        <f t="shared" si="5"/>
        <v>4.5000000000000005E-2</v>
      </c>
      <c r="S25" s="42">
        <f t="shared" si="2"/>
        <v>0.34500000000000003</v>
      </c>
      <c r="T25" s="27"/>
    </row>
    <row r="26" spans="2:20" x14ac:dyDescent="0.55000000000000004">
      <c r="B26" s="24">
        <v>22</v>
      </c>
      <c r="C26" s="24" t="s">
        <v>216</v>
      </c>
      <c r="D26" s="24" t="s">
        <v>217</v>
      </c>
      <c r="E26" s="41">
        <v>0.1</v>
      </c>
      <c r="F26" s="26">
        <v>0.1</v>
      </c>
      <c r="G26" s="26">
        <v>0.1</v>
      </c>
      <c r="H26" s="26">
        <f t="shared" si="3"/>
        <v>4.5000000000000005E-2</v>
      </c>
      <c r="I26" s="42">
        <f t="shared" si="0"/>
        <v>0.34500000000000003</v>
      </c>
      <c r="J26" s="41">
        <v>0.1</v>
      </c>
      <c r="K26" s="26">
        <v>0.1</v>
      </c>
      <c r="L26" s="26">
        <v>0.1</v>
      </c>
      <c r="M26" s="26">
        <f t="shared" si="4"/>
        <v>4.5000000000000005E-2</v>
      </c>
      <c r="N26" s="42">
        <f t="shared" si="1"/>
        <v>0.34500000000000003</v>
      </c>
      <c r="O26" s="41">
        <v>0.1</v>
      </c>
      <c r="P26" s="26">
        <v>0.1</v>
      </c>
      <c r="Q26" s="26">
        <v>0.1</v>
      </c>
      <c r="R26" s="26">
        <f t="shared" si="5"/>
        <v>4.5000000000000005E-2</v>
      </c>
      <c r="S26" s="42">
        <f t="shared" si="2"/>
        <v>0.34500000000000003</v>
      </c>
      <c r="T26" s="27"/>
    </row>
    <row r="27" spans="2:20" x14ac:dyDescent="0.55000000000000004">
      <c r="B27" s="24">
        <v>23</v>
      </c>
      <c r="C27" s="24" t="s">
        <v>216</v>
      </c>
      <c r="D27" s="24" t="s">
        <v>217</v>
      </c>
      <c r="E27" s="41">
        <v>0.1</v>
      </c>
      <c r="F27" s="26">
        <v>0.1</v>
      </c>
      <c r="G27" s="26">
        <v>0.1</v>
      </c>
      <c r="H27" s="26">
        <f t="shared" si="3"/>
        <v>4.5000000000000005E-2</v>
      </c>
      <c r="I27" s="42">
        <f t="shared" si="0"/>
        <v>0.34500000000000003</v>
      </c>
      <c r="J27" s="41">
        <v>0.1</v>
      </c>
      <c r="K27" s="26">
        <v>0.1</v>
      </c>
      <c r="L27" s="26">
        <v>0.1</v>
      </c>
      <c r="M27" s="26">
        <f t="shared" si="4"/>
        <v>4.5000000000000005E-2</v>
      </c>
      <c r="N27" s="42">
        <f t="shared" si="1"/>
        <v>0.34500000000000003</v>
      </c>
      <c r="O27" s="41">
        <v>0.1</v>
      </c>
      <c r="P27" s="26">
        <v>0.1</v>
      </c>
      <c r="Q27" s="26">
        <v>0.1</v>
      </c>
      <c r="R27" s="26">
        <f t="shared" si="5"/>
        <v>4.5000000000000005E-2</v>
      </c>
      <c r="S27" s="42">
        <f t="shared" si="2"/>
        <v>0.34500000000000003</v>
      </c>
      <c r="T27" s="27"/>
    </row>
    <row r="28" spans="2:20" x14ac:dyDescent="0.55000000000000004">
      <c r="B28" s="24">
        <v>24</v>
      </c>
      <c r="C28" s="24" t="s">
        <v>216</v>
      </c>
      <c r="D28" s="24" t="s">
        <v>217</v>
      </c>
      <c r="E28" s="41">
        <v>0.1</v>
      </c>
      <c r="F28" s="26">
        <v>0.1</v>
      </c>
      <c r="G28" s="26">
        <v>0.1</v>
      </c>
      <c r="H28" s="26">
        <f t="shared" si="3"/>
        <v>4.5000000000000005E-2</v>
      </c>
      <c r="I28" s="42">
        <f t="shared" si="0"/>
        <v>0.34500000000000003</v>
      </c>
      <c r="J28" s="41">
        <v>0.1</v>
      </c>
      <c r="K28" s="26">
        <v>0.1</v>
      </c>
      <c r="L28" s="26">
        <v>0.1</v>
      </c>
      <c r="M28" s="26">
        <f t="shared" si="4"/>
        <v>4.5000000000000005E-2</v>
      </c>
      <c r="N28" s="42">
        <f t="shared" si="1"/>
        <v>0.34500000000000003</v>
      </c>
      <c r="O28" s="41">
        <v>0.1</v>
      </c>
      <c r="P28" s="26">
        <v>0.1</v>
      </c>
      <c r="Q28" s="26">
        <v>0.1</v>
      </c>
      <c r="R28" s="26">
        <f t="shared" si="5"/>
        <v>4.5000000000000005E-2</v>
      </c>
      <c r="S28" s="42">
        <f t="shared" si="2"/>
        <v>0.34500000000000003</v>
      </c>
      <c r="T28" s="27"/>
    </row>
    <row r="29" spans="2:20" x14ac:dyDescent="0.55000000000000004">
      <c r="B29" s="24">
        <v>25</v>
      </c>
      <c r="C29" s="24" t="s">
        <v>218</v>
      </c>
      <c r="D29" s="25" t="s">
        <v>219</v>
      </c>
      <c r="E29" s="41">
        <v>0.1</v>
      </c>
      <c r="F29" s="26">
        <v>0.1</v>
      </c>
      <c r="G29" s="26">
        <v>0.1</v>
      </c>
      <c r="H29" s="26">
        <f t="shared" si="3"/>
        <v>4.5000000000000005E-2</v>
      </c>
      <c r="I29" s="42">
        <f t="shared" si="0"/>
        <v>0.34500000000000003</v>
      </c>
      <c r="J29" s="41">
        <v>0.1</v>
      </c>
      <c r="K29" s="26">
        <v>0.1</v>
      </c>
      <c r="L29" s="26">
        <v>0.1</v>
      </c>
      <c r="M29" s="26">
        <f t="shared" si="4"/>
        <v>4.5000000000000005E-2</v>
      </c>
      <c r="N29" s="42">
        <f t="shared" si="1"/>
        <v>0.34500000000000003</v>
      </c>
      <c r="O29" s="41">
        <v>0.1</v>
      </c>
      <c r="P29" s="26">
        <v>0.1</v>
      </c>
      <c r="Q29" s="26">
        <v>0.1</v>
      </c>
      <c r="R29" s="26">
        <f t="shared" si="5"/>
        <v>4.5000000000000005E-2</v>
      </c>
      <c r="S29" s="42">
        <f t="shared" si="2"/>
        <v>0.34500000000000003</v>
      </c>
      <c r="T29" s="27" t="s">
        <v>220</v>
      </c>
    </row>
    <row r="30" spans="2:20" x14ac:dyDescent="0.55000000000000004">
      <c r="B30" s="24">
        <v>26</v>
      </c>
      <c r="C30" s="24" t="s">
        <v>218</v>
      </c>
      <c r="D30" s="24" t="s">
        <v>221</v>
      </c>
      <c r="E30" s="41">
        <v>0.1</v>
      </c>
      <c r="F30" s="26">
        <v>0.1</v>
      </c>
      <c r="G30" s="26">
        <v>0.1</v>
      </c>
      <c r="H30" s="26">
        <f t="shared" si="3"/>
        <v>4.5000000000000005E-2</v>
      </c>
      <c r="I30" s="42">
        <f t="shared" si="0"/>
        <v>0.34500000000000003</v>
      </c>
      <c r="J30" s="41">
        <v>0.1</v>
      </c>
      <c r="K30" s="26">
        <v>0.1</v>
      </c>
      <c r="L30" s="26">
        <v>0.1</v>
      </c>
      <c r="M30" s="26">
        <f t="shared" si="4"/>
        <v>4.5000000000000005E-2</v>
      </c>
      <c r="N30" s="42">
        <f t="shared" si="1"/>
        <v>0.34500000000000003</v>
      </c>
      <c r="O30" s="41">
        <v>0.1</v>
      </c>
      <c r="P30" s="26">
        <v>0.1</v>
      </c>
      <c r="Q30" s="26">
        <v>0.1</v>
      </c>
      <c r="R30" s="26">
        <f t="shared" si="5"/>
        <v>4.5000000000000005E-2</v>
      </c>
      <c r="S30" s="42">
        <f t="shared" si="2"/>
        <v>0.34500000000000003</v>
      </c>
      <c r="T30" s="27" t="s">
        <v>222</v>
      </c>
    </row>
    <row r="31" spans="2:20" x14ac:dyDescent="0.55000000000000004">
      <c r="B31" s="24">
        <v>27</v>
      </c>
      <c r="C31" s="24" t="s">
        <v>218</v>
      </c>
      <c r="D31" s="24" t="s">
        <v>221</v>
      </c>
      <c r="E31" s="41">
        <v>0.1</v>
      </c>
      <c r="F31" s="26">
        <v>0.1</v>
      </c>
      <c r="G31" s="26">
        <v>0.1</v>
      </c>
      <c r="H31" s="26">
        <f t="shared" si="3"/>
        <v>4.5000000000000005E-2</v>
      </c>
      <c r="I31" s="42">
        <f t="shared" si="0"/>
        <v>0.34500000000000003</v>
      </c>
      <c r="J31" s="41">
        <v>0.1</v>
      </c>
      <c r="K31" s="26">
        <v>0.1</v>
      </c>
      <c r="L31" s="26">
        <v>0.1</v>
      </c>
      <c r="M31" s="26">
        <f t="shared" si="4"/>
        <v>4.5000000000000005E-2</v>
      </c>
      <c r="N31" s="42">
        <f t="shared" si="1"/>
        <v>0.34500000000000003</v>
      </c>
      <c r="O31" s="41">
        <v>0.1</v>
      </c>
      <c r="P31" s="26">
        <v>0.1</v>
      </c>
      <c r="Q31" s="26">
        <v>0.1</v>
      </c>
      <c r="R31" s="26">
        <f t="shared" si="5"/>
        <v>4.5000000000000005E-2</v>
      </c>
      <c r="S31" s="42">
        <f t="shared" si="2"/>
        <v>0.34500000000000003</v>
      </c>
      <c r="T31" s="27" t="s">
        <v>234</v>
      </c>
    </row>
    <row r="32" spans="2:20" x14ac:dyDescent="0.55000000000000004">
      <c r="E32" s="43"/>
      <c r="I32" s="44"/>
      <c r="J32" s="43"/>
      <c r="N32" s="44"/>
      <c r="O32" s="43"/>
      <c r="S32" s="44"/>
    </row>
    <row r="33" spans="4:20" x14ac:dyDescent="0.55000000000000004">
      <c r="D33" s="24" t="s">
        <v>223</v>
      </c>
      <c r="E33" s="41">
        <f t="shared" ref="E33:S33" si="6">SUM(E17:E31)</f>
        <v>1.5000000000000002</v>
      </c>
      <c r="F33" s="26">
        <f t="shared" si="6"/>
        <v>1.5000000000000002</v>
      </c>
      <c r="G33" s="26">
        <f t="shared" si="6"/>
        <v>1.5000000000000002</v>
      </c>
      <c r="H33" s="26">
        <f t="shared" si="6"/>
        <v>0.67500000000000004</v>
      </c>
      <c r="I33" s="42">
        <f t="shared" si="6"/>
        <v>5.1750000000000007</v>
      </c>
      <c r="J33" s="41">
        <f t="shared" si="6"/>
        <v>1.5000000000000002</v>
      </c>
      <c r="K33" s="26">
        <f t="shared" si="6"/>
        <v>1.5000000000000002</v>
      </c>
      <c r="L33" s="26">
        <f t="shared" si="6"/>
        <v>1.5000000000000002</v>
      </c>
      <c r="M33" s="26">
        <f t="shared" si="6"/>
        <v>0.67500000000000004</v>
      </c>
      <c r="N33" s="42">
        <f t="shared" si="6"/>
        <v>5.1750000000000007</v>
      </c>
      <c r="O33" s="41">
        <f t="shared" si="6"/>
        <v>1.5000000000000002</v>
      </c>
      <c r="P33" s="26">
        <f t="shared" si="6"/>
        <v>1.5000000000000002</v>
      </c>
      <c r="Q33" s="26">
        <f t="shared" si="6"/>
        <v>1.5000000000000002</v>
      </c>
      <c r="R33" s="26">
        <f t="shared" si="6"/>
        <v>0.67500000000000004</v>
      </c>
      <c r="S33" s="42">
        <f t="shared" si="6"/>
        <v>5.1750000000000007</v>
      </c>
      <c r="T33" s="28"/>
    </row>
    <row r="34" spans="4:20" x14ac:dyDescent="0.55000000000000004">
      <c r="E34" s="43"/>
      <c r="I34" s="44"/>
      <c r="J34" s="43"/>
      <c r="N34" s="44"/>
      <c r="O34" s="43"/>
      <c r="S34" s="44"/>
    </row>
    <row r="35" spans="4:20" x14ac:dyDescent="0.55000000000000004">
      <c r="D35" s="24" t="s">
        <v>224</v>
      </c>
      <c r="E35" s="45">
        <v>1000</v>
      </c>
      <c r="F35" s="29">
        <v>1000</v>
      </c>
      <c r="G35" s="29">
        <v>1000</v>
      </c>
      <c r="H35" s="29">
        <v>1200</v>
      </c>
      <c r="I35" s="46">
        <f>AVERAGE(E35:H35)</f>
        <v>1050</v>
      </c>
      <c r="J35" s="45">
        <v>1000</v>
      </c>
      <c r="K35" s="29">
        <v>1000</v>
      </c>
      <c r="L35" s="29">
        <v>1000</v>
      </c>
      <c r="M35" s="29">
        <v>1200</v>
      </c>
      <c r="N35" s="46">
        <f>AVERAGE(J35:M35)</f>
        <v>1050</v>
      </c>
      <c r="O35" s="45">
        <v>1000</v>
      </c>
      <c r="P35" s="29">
        <v>1000</v>
      </c>
      <c r="Q35" s="29">
        <v>1000</v>
      </c>
      <c r="R35" s="29">
        <v>1200</v>
      </c>
      <c r="S35" s="46">
        <f>AVERAGE(O35:R35)</f>
        <v>1050</v>
      </c>
    </row>
    <row r="36" spans="4:20" ht="18.5" thickBot="1" x14ac:dyDescent="0.6">
      <c r="D36" s="24" t="s">
        <v>225</v>
      </c>
      <c r="E36" s="47">
        <f>E33*E35</f>
        <v>1500.0000000000002</v>
      </c>
      <c r="F36" s="48">
        <f t="shared" ref="F36:G36" si="7">F33*F35</f>
        <v>1500.0000000000002</v>
      </c>
      <c r="G36" s="48">
        <f t="shared" si="7"/>
        <v>1500.0000000000002</v>
      </c>
      <c r="H36" s="48">
        <f>H33*H35</f>
        <v>810</v>
      </c>
      <c r="I36" s="49">
        <f>SUM(E36:H36)</f>
        <v>5310.0000000000009</v>
      </c>
      <c r="J36" s="47">
        <f>J33*J35</f>
        <v>1500.0000000000002</v>
      </c>
      <c r="K36" s="48">
        <f t="shared" ref="K36:L36" si="8">K33*K35</f>
        <v>1500.0000000000002</v>
      </c>
      <c r="L36" s="48">
        <f t="shared" si="8"/>
        <v>1500.0000000000002</v>
      </c>
      <c r="M36" s="48">
        <f>M33*M35</f>
        <v>810</v>
      </c>
      <c r="N36" s="49">
        <f>SUM(J36:M36)</f>
        <v>5310.0000000000009</v>
      </c>
      <c r="O36" s="47">
        <f>O33*O35</f>
        <v>1500.0000000000002</v>
      </c>
      <c r="P36" s="48">
        <f t="shared" ref="P36:Q36" si="9">P33*P35</f>
        <v>1500.0000000000002</v>
      </c>
      <c r="Q36" s="48">
        <f t="shared" si="9"/>
        <v>1500.0000000000002</v>
      </c>
      <c r="R36" s="48">
        <f>R33*R35</f>
        <v>810</v>
      </c>
      <c r="S36" s="49">
        <f>SUM(O36:R36)</f>
        <v>5310.0000000000009</v>
      </c>
    </row>
  </sheetData>
  <autoFilter ref="B4:Y31" xr:uid="{00000000-0009-0000-0000-000006000000}"/>
  <mergeCells count="6">
    <mergeCell ref="E2:I2"/>
    <mergeCell ref="J2:N2"/>
    <mergeCell ref="O2:S2"/>
    <mergeCell ref="E3:H3"/>
    <mergeCell ref="J3:M3"/>
    <mergeCell ref="O3:R3"/>
  </mergeCells>
  <phoneticPr fontId="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45873-3C0E-4C53-948C-68EDC812BE71}">
  <dimension ref="B3:P53"/>
  <sheetViews>
    <sheetView topLeftCell="A24" workbookViewId="0">
      <selection activeCell="O53" sqref="O53"/>
    </sheetView>
  </sheetViews>
  <sheetFormatPr defaultColWidth="8.75" defaultRowHeight="18" x14ac:dyDescent="0.55000000000000004"/>
  <cols>
    <col min="1" max="1" width="8.75" style="21"/>
    <col min="2" max="2" width="24.5" style="21" customWidth="1"/>
    <col min="3" max="3" width="13.75" style="21" customWidth="1"/>
    <col min="4" max="4" width="8.75" style="21"/>
    <col min="5" max="13" width="12.58203125" style="21" bestFit="1" customWidth="1"/>
    <col min="14" max="14" width="13.75" style="21" bestFit="1" customWidth="1"/>
    <col min="15" max="15" width="12.58203125" style="21" bestFit="1" customWidth="1"/>
    <col min="16" max="16384" width="8.75" style="21"/>
  </cols>
  <sheetData>
    <row r="3" spans="2:15" x14ac:dyDescent="0.55000000000000004">
      <c r="B3" s="151" t="s">
        <v>235</v>
      </c>
      <c r="C3" s="152"/>
      <c r="D3" s="138" t="s">
        <v>236</v>
      </c>
      <c r="E3" s="139"/>
      <c r="F3" s="139"/>
      <c r="G3" s="139"/>
      <c r="H3" s="139"/>
      <c r="I3" s="139"/>
      <c r="J3" s="139"/>
      <c r="K3" s="139"/>
      <c r="L3" s="139"/>
      <c r="M3" s="139">
        <v>2026</v>
      </c>
      <c r="N3" s="139"/>
      <c r="O3" s="140"/>
    </row>
    <row r="4" spans="2:15" x14ac:dyDescent="0.55000000000000004">
      <c r="B4" s="141" t="s">
        <v>237</v>
      </c>
      <c r="D4" s="153" t="s">
        <v>238</v>
      </c>
      <c r="E4" s="153" t="s">
        <v>239</v>
      </c>
      <c r="F4" s="153" t="s">
        <v>240</v>
      </c>
      <c r="G4" s="153" t="s">
        <v>241</v>
      </c>
      <c r="H4" s="153" t="s">
        <v>242</v>
      </c>
      <c r="I4" s="153" t="s">
        <v>243</v>
      </c>
      <c r="J4" s="153" t="s">
        <v>244</v>
      </c>
      <c r="K4" s="153" t="s">
        <v>245</v>
      </c>
      <c r="L4" s="153" t="s">
        <v>246</v>
      </c>
      <c r="M4" s="153" t="s">
        <v>247</v>
      </c>
      <c r="N4" s="153" t="s">
        <v>248</v>
      </c>
      <c r="O4" s="153" t="s">
        <v>249</v>
      </c>
    </row>
    <row r="5" spans="2:15" x14ac:dyDescent="0.55000000000000004">
      <c r="B5" s="141" t="s">
        <v>250</v>
      </c>
      <c r="D5" s="154"/>
      <c r="E5" s="154"/>
      <c r="F5" s="154"/>
      <c r="G5" s="154"/>
      <c r="H5" s="154"/>
      <c r="I5" s="154" t="s">
        <v>251</v>
      </c>
      <c r="J5" s="154"/>
      <c r="K5" s="154"/>
      <c r="L5" s="154"/>
      <c r="M5" s="154"/>
      <c r="N5" s="154"/>
      <c r="O5" s="154"/>
    </row>
    <row r="6" spans="2:15" x14ac:dyDescent="0.55000000000000004">
      <c r="B6" s="141" t="s">
        <v>252</v>
      </c>
      <c r="D6" s="154"/>
      <c r="E6" s="154"/>
      <c r="F6" s="154"/>
      <c r="G6" s="154"/>
      <c r="H6" s="154"/>
      <c r="I6" s="154"/>
      <c r="J6" s="154" t="s">
        <v>251</v>
      </c>
      <c r="K6" s="154"/>
      <c r="L6" s="154"/>
      <c r="M6" s="154"/>
      <c r="N6" s="154"/>
      <c r="O6" s="154"/>
    </row>
    <row r="7" spans="2:15" x14ac:dyDescent="0.55000000000000004">
      <c r="B7" s="141" t="s">
        <v>253</v>
      </c>
      <c r="D7" s="154"/>
      <c r="E7" s="154"/>
      <c r="F7" s="154"/>
      <c r="G7" s="154"/>
      <c r="H7" s="154" t="s">
        <v>251</v>
      </c>
      <c r="I7" s="154"/>
      <c r="J7" s="154"/>
      <c r="K7" s="154"/>
      <c r="L7" s="154"/>
      <c r="M7" s="154"/>
      <c r="N7" s="154"/>
      <c r="O7" s="154"/>
    </row>
    <row r="8" spans="2:15" x14ac:dyDescent="0.55000000000000004">
      <c r="B8" s="141" t="s">
        <v>254</v>
      </c>
      <c r="D8" s="154"/>
      <c r="E8" s="154"/>
      <c r="F8" s="154"/>
      <c r="G8" s="154"/>
      <c r="H8" s="154"/>
      <c r="I8" s="154"/>
      <c r="J8" s="154"/>
      <c r="K8" s="154" t="s">
        <v>251</v>
      </c>
      <c r="L8" s="154"/>
      <c r="M8" s="154"/>
      <c r="N8" s="154"/>
      <c r="O8" s="154"/>
    </row>
    <row r="9" spans="2:15" x14ac:dyDescent="0.55000000000000004">
      <c r="B9" s="141" t="s">
        <v>255</v>
      </c>
      <c r="D9" s="154"/>
      <c r="E9" s="154"/>
      <c r="F9" s="154"/>
      <c r="G9" s="154"/>
      <c r="H9" s="154"/>
      <c r="I9" s="154"/>
      <c r="J9" s="154"/>
      <c r="K9" s="154"/>
      <c r="L9" s="154"/>
      <c r="M9" s="154" t="s">
        <v>251</v>
      </c>
      <c r="N9" s="154"/>
      <c r="O9" s="154"/>
    </row>
    <row r="10" spans="2:15" x14ac:dyDescent="0.55000000000000004">
      <c r="B10" s="143"/>
      <c r="C10" s="145"/>
      <c r="D10" s="154"/>
      <c r="E10" s="154"/>
      <c r="F10" s="154"/>
      <c r="G10" s="154"/>
      <c r="H10" s="154"/>
      <c r="I10" s="154"/>
      <c r="J10" s="154"/>
      <c r="K10" s="154"/>
      <c r="L10" s="154"/>
      <c r="M10" s="154"/>
      <c r="N10" s="154"/>
      <c r="O10" s="154"/>
    </row>
    <row r="11" spans="2:15" x14ac:dyDescent="0.55000000000000004">
      <c r="B11" s="141" t="s">
        <v>256</v>
      </c>
      <c r="D11" s="153" t="s">
        <v>238</v>
      </c>
      <c r="E11" s="153" t="s">
        <v>239</v>
      </c>
      <c r="F11" s="153" t="s">
        <v>240</v>
      </c>
      <c r="G11" s="153" t="s">
        <v>241</v>
      </c>
      <c r="H11" s="153" t="s">
        <v>242</v>
      </c>
      <c r="I11" s="153" t="s">
        <v>243</v>
      </c>
      <c r="J11" s="153" t="s">
        <v>244</v>
      </c>
      <c r="K11" s="153" t="s">
        <v>245</v>
      </c>
      <c r="L11" s="153" t="s">
        <v>246</v>
      </c>
      <c r="M11" s="153" t="s">
        <v>247</v>
      </c>
      <c r="N11" s="153" t="s">
        <v>248</v>
      </c>
      <c r="O11" s="153" t="s">
        <v>249</v>
      </c>
    </row>
    <row r="12" spans="2:15" hidden="1" x14ac:dyDescent="0.55000000000000004">
      <c r="B12" s="141" t="s">
        <v>250</v>
      </c>
      <c r="D12" s="154"/>
      <c r="E12" s="154"/>
      <c r="F12" s="154"/>
      <c r="G12" s="154"/>
      <c r="H12" s="154"/>
      <c r="I12" s="154"/>
      <c r="J12" s="154"/>
      <c r="K12" s="154"/>
      <c r="L12" s="154"/>
      <c r="M12" s="154"/>
      <c r="N12" s="154"/>
      <c r="O12" s="154"/>
    </row>
    <row r="13" spans="2:15" hidden="1" x14ac:dyDescent="0.55000000000000004">
      <c r="B13" s="141" t="s">
        <v>252</v>
      </c>
      <c r="D13" s="154"/>
      <c r="E13" s="154"/>
      <c r="F13" s="154"/>
      <c r="G13" s="154"/>
      <c r="H13" s="154"/>
      <c r="I13" s="154"/>
      <c r="J13" s="154"/>
      <c r="K13" s="154"/>
      <c r="L13" s="154"/>
      <c r="M13" s="154"/>
      <c r="N13" s="154"/>
      <c r="O13" s="154"/>
    </row>
    <row r="14" spans="2:15" hidden="1" x14ac:dyDescent="0.55000000000000004">
      <c r="B14" s="141" t="s">
        <v>253</v>
      </c>
      <c r="D14" s="154"/>
      <c r="E14" s="154"/>
      <c r="F14" s="154"/>
      <c r="G14" s="154"/>
      <c r="H14" s="154"/>
      <c r="I14" s="154"/>
      <c r="J14" s="154"/>
      <c r="K14" s="154"/>
      <c r="L14" s="154"/>
      <c r="M14" s="154"/>
      <c r="N14" s="154"/>
      <c r="O14" s="154"/>
    </row>
    <row r="15" spans="2:15" hidden="1" x14ac:dyDescent="0.55000000000000004">
      <c r="B15" s="141" t="s">
        <v>254</v>
      </c>
      <c r="D15" s="154"/>
      <c r="E15" s="154"/>
      <c r="F15" s="154"/>
      <c r="G15" s="154"/>
      <c r="H15" s="154"/>
      <c r="I15" s="154"/>
      <c r="J15" s="154"/>
      <c r="K15" s="154"/>
      <c r="L15" s="154"/>
      <c r="M15" s="154"/>
      <c r="N15" s="154"/>
      <c r="O15" s="154"/>
    </row>
    <row r="16" spans="2:15" hidden="1" x14ac:dyDescent="0.55000000000000004">
      <c r="B16" s="141" t="s">
        <v>255</v>
      </c>
      <c r="D16" s="154"/>
      <c r="E16" s="154"/>
      <c r="F16" s="154"/>
      <c r="G16" s="154"/>
      <c r="H16" s="154"/>
      <c r="I16" s="154"/>
      <c r="J16" s="154"/>
      <c r="K16" s="154"/>
      <c r="L16" s="154"/>
      <c r="M16" s="154"/>
      <c r="N16" s="154"/>
      <c r="O16" s="154"/>
    </row>
    <row r="17" spans="2:15" hidden="1" x14ac:dyDescent="0.55000000000000004">
      <c r="B17" s="141"/>
      <c r="D17" s="154"/>
      <c r="E17" s="154"/>
      <c r="F17" s="154"/>
      <c r="G17" s="154"/>
      <c r="H17" s="154"/>
      <c r="I17" s="154"/>
      <c r="J17" s="154"/>
      <c r="K17" s="154"/>
      <c r="L17" s="154"/>
      <c r="M17" s="154"/>
      <c r="N17" s="154"/>
      <c r="O17" s="154"/>
    </row>
    <row r="18" spans="2:15" x14ac:dyDescent="0.55000000000000004">
      <c r="B18" s="141" t="s">
        <v>257</v>
      </c>
      <c r="D18" s="154"/>
      <c r="E18" s="154"/>
      <c r="F18" s="154"/>
      <c r="G18" s="154"/>
      <c r="H18" s="154"/>
      <c r="I18" s="154"/>
      <c r="J18" s="154"/>
      <c r="K18" s="154"/>
      <c r="L18" s="154"/>
      <c r="M18" s="154"/>
      <c r="N18" s="154"/>
      <c r="O18" s="154"/>
    </row>
    <row r="19" spans="2:15" x14ac:dyDescent="0.55000000000000004">
      <c r="B19" s="141" t="s">
        <v>258</v>
      </c>
      <c r="D19" s="154"/>
      <c r="E19" s="154"/>
      <c r="F19" s="154"/>
      <c r="G19" s="154"/>
      <c r="H19" s="154"/>
      <c r="I19" s="154"/>
      <c r="J19" s="154"/>
      <c r="K19" s="154"/>
      <c r="L19" s="154"/>
      <c r="M19" s="154"/>
      <c r="N19" s="154"/>
      <c r="O19" s="154"/>
    </row>
    <row r="20" spans="2:15" x14ac:dyDescent="0.55000000000000004">
      <c r="B20" s="141" t="s">
        <v>259</v>
      </c>
      <c r="C20" s="21" t="s">
        <v>260</v>
      </c>
      <c r="D20" s="154"/>
      <c r="E20" s="154"/>
      <c r="F20" s="154"/>
      <c r="G20" s="154"/>
      <c r="H20" s="154"/>
      <c r="I20" s="154"/>
      <c r="J20" s="154"/>
      <c r="K20" s="154"/>
      <c r="L20" s="154"/>
      <c r="M20" s="154"/>
      <c r="N20" s="154"/>
      <c r="O20" s="154"/>
    </row>
    <row r="21" spans="2:15" x14ac:dyDescent="0.55000000000000004">
      <c r="B21" s="141" t="s">
        <v>259</v>
      </c>
      <c r="C21" s="21" t="s">
        <v>261</v>
      </c>
      <c r="D21" s="154"/>
      <c r="E21" s="154"/>
      <c r="F21" s="154"/>
      <c r="G21" s="154"/>
      <c r="H21" s="154"/>
      <c r="I21" s="154"/>
      <c r="J21" s="154"/>
      <c r="K21" s="154"/>
      <c r="L21" s="154"/>
      <c r="M21" s="154"/>
      <c r="N21" s="154"/>
      <c r="O21" s="154"/>
    </row>
    <row r="22" spans="2:15" x14ac:dyDescent="0.55000000000000004">
      <c r="B22" s="141" t="s">
        <v>259</v>
      </c>
      <c r="C22" s="21" t="s">
        <v>262</v>
      </c>
      <c r="D22" s="154"/>
      <c r="E22" s="154"/>
      <c r="F22" s="154"/>
      <c r="G22" s="154"/>
      <c r="H22" s="154"/>
      <c r="I22" s="154"/>
      <c r="J22" s="154"/>
      <c r="K22" s="154"/>
      <c r="L22" s="154"/>
      <c r="M22" s="154"/>
      <c r="N22" s="154"/>
      <c r="O22" s="154"/>
    </row>
    <row r="23" spans="2:15" x14ac:dyDescent="0.55000000000000004">
      <c r="B23" s="141" t="s">
        <v>259</v>
      </c>
      <c r="C23" s="21" t="s">
        <v>263</v>
      </c>
      <c r="D23" s="154"/>
      <c r="E23" s="154"/>
      <c r="F23" s="154"/>
      <c r="G23" s="154"/>
      <c r="H23" s="154"/>
      <c r="I23" s="154"/>
      <c r="J23" s="154"/>
      <c r="K23" s="154"/>
      <c r="L23" s="154"/>
      <c r="M23" s="154"/>
      <c r="N23" s="154"/>
      <c r="O23" s="154"/>
    </row>
    <row r="24" spans="2:15" x14ac:dyDescent="0.55000000000000004">
      <c r="B24" s="141" t="s">
        <v>259</v>
      </c>
      <c r="C24" s="21" t="s">
        <v>264</v>
      </c>
      <c r="D24" s="154"/>
      <c r="E24" s="154"/>
      <c r="F24" s="154"/>
      <c r="G24" s="154"/>
      <c r="H24" s="154"/>
      <c r="I24" s="154"/>
      <c r="J24" s="154"/>
      <c r="K24" s="154"/>
      <c r="L24" s="154"/>
      <c r="M24" s="154"/>
      <c r="N24" s="154"/>
      <c r="O24" s="154"/>
    </row>
    <row r="25" spans="2:15" x14ac:dyDescent="0.55000000000000004">
      <c r="B25" s="141" t="s">
        <v>265</v>
      </c>
      <c r="C25" s="21" t="s">
        <v>260</v>
      </c>
      <c r="D25" s="154"/>
      <c r="E25" s="154"/>
      <c r="F25" s="154"/>
      <c r="G25" s="154"/>
      <c r="H25" s="154"/>
      <c r="I25" s="154"/>
      <c r="J25" s="154"/>
      <c r="K25" s="154"/>
      <c r="L25" s="154"/>
      <c r="M25" s="154"/>
      <c r="N25" s="154"/>
      <c r="O25" s="154"/>
    </row>
    <row r="26" spans="2:15" x14ac:dyDescent="0.55000000000000004">
      <c r="B26" s="141" t="s">
        <v>265</v>
      </c>
      <c r="C26" s="21" t="s">
        <v>261</v>
      </c>
      <c r="D26" s="154"/>
      <c r="E26" s="154"/>
      <c r="F26" s="154"/>
      <c r="G26" s="154"/>
      <c r="H26" s="154"/>
      <c r="I26" s="154"/>
      <c r="J26" s="154"/>
      <c r="K26" s="154"/>
      <c r="L26" s="154"/>
      <c r="M26" s="154"/>
      <c r="N26" s="154"/>
      <c r="O26" s="154"/>
    </row>
    <row r="27" spans="2:15" x14ac:dyDescent="0.55000000000000004">
      <c r="B27" s="141" t="s">
        <v>265</v>
      </c>
      <c r="C27" s="21" t="s">
        <v>262</v>
      </c>
      <c r="D27" s="154"/>
      <c r="E27" s="154"/>
      <c r="F27" s="154"/>
      <c r="G27" s="154"/>
      <c r="H27" s="154"/>
      <c r="I27" s="154"/>
      <c r="J27" s="154"/>
      <c r="K27" s="154"/>
      <c r="L27" s="154"/>
      <c r="M27" s="154"/>
      <c r="N27" s="154"/>
      <c r="O27" s="154"/>
    </row>
    <row r="28" spans="2:15" x14ac:dyDescent="0.55000000000000004">
      <c r="B28" s="141" t="s">
        <v>265</v>
      </c>
      <c r="C28" s="21" t="s">
        <v>263</v>
      </c>
      <c r="D28" s="154"/>
      <c r="E28" s="154"/>
      <c r="F28" s="154"/>
      <c r="G28" s="154"/>
      <c r="H28" s="154"/>
      <c r="I28" s="154"/>
      <c r="J28" s="154"/>
      <c r="K28" s="154"/>
      <c r="L28" s="154"/>
      <c r="M28" s="154"/>
      <c r="N28" s="154"/>
      <c r="O28" s="154"/>
    </row>
    <row r="29" spans="2:15" x14ac:dyDescent="0.55000000000000004">
      <c r="B29" s="141" t="s">
        <v>265</v>
      </c>
      <c r="C29" s="21" t="s">
        <v>264</v>
      </c>
      <c r="D29" s="154"/>
      <c r="E29" s="154"/>
      <c r="F29" s="154"/>
      <c r="G29" s="154"/>
      <c r="H29" s="154"/>
      <c r="I29" s="154"/>
      <c r="J29" s="154"/>
      <c r="K29" s="154"/>
      <c r="L29" s="154"/>
      <c r="M29" s="154"/>
      <c r="N29" s="154"/>
      <c r="O29" s="154"/>
    </row>
    <row r="30" spans="2:15" x14ac:dyDescent="0.55000000000000004">
      <c r="B30" s="141" t="s">
        <v>266</v>
      </c>
      <c r="C30" s="21" t="s">
        <v>260</v>
      </c>
      <c r="D30" s="154"/>
      <c r="E30" s="154"/>
      <c r="F30" s="154"/>
      <c r="G30" s="154"/>
      <c r="H30" s="154"/>
      <c r="I30" s="154"/>
      <c r="J30" s="154"/>
      <c r="K30" s="154"/>
      <c r="L30" s="154"/>
      <c r="M30" s="154"/>
      <c r="N30" s="154"/>
      <c r="O30" s="154"/>
    </row>
    <row r="31" spans="2:15" x14ac:dyDescent="0.55000000000000004">
      <c r="B31" s="141" t="s">
        <v>266</v>
      </c>
      <c r="C31" s="21" t="s">
        <v>261</v>
      </c>
      <c r="D31" s="154"/>
      <c r="E31" s="154"/>
      <c r="F31" s="154"/>
      <c r="G31" s="154"/>
      <c r="H31" s="154"/>
      <c r="I31" s="154"/>
      <c r="J31" s="154"/>
      <c r="K31" s="154"/>
      <c r="L31" s="154"/>
      <c r="M31" s="154"/>
      <c r="N31" s="154"/>
      <c r="O31" s="154"/>
    </row>
    <row r="32" spans="2:15" x14ac:dyDescent="0.55000000000000004">
      <c r="B32" s="141" t="s">
        <v>266</v>
      </c>
      <c r="C32" s="21" t="s">
        <v>262</v>
      </c>
      <c r="D32" s="154"/>
      <c r="E32" s="154"/>
      <c r="F32" s="154"/>
      <c r="G32" s="154"/>
      <c r="H32" s="154"/>
      <c r="I32" s="154"/>
      <c r="J32" s="154"/>
      <c r="K32" s="154"/>
      <c r="L32" s="154"/>
      <c r="M32" s="154"/>
      <c r="N32" s="154"/>
      <c r="O32" s="154"/>
    </row>
    <row r="33" spans="2:15" x14ac:dyDescent="0.55000000000000004">
      <c r="B33" s="141" t="s">
        <v>266</v>
      </c>
      <c r="C33" s="21" t="s">
        <v>263</v>
      </c>
      <c r="D33" s="154"/>
      <c r="E33" s="154"/>
      <c r="F33" s="154"/>
      <c r="G33" s="154"/>
      <c r="H33" s="154"/>
      <c r="I33" s="154"/>
      <c r="J33" s="154"/>
      <c r="K33" s="154"/>
      <c r="L33" s="154"/>
      <c r="M33" s="154"/>
      <c r="N33" s="154"/>
      <c r="O33" s="154"/>
    </row>
    <row r="34" spans="2:15" x14ac:dyDescent="0.55000000000000004">
      <c r="B34" s="141" t="s">
        <v>266</v>
      </c>
      <c r="C34" s="21" t="s">
        <v>264</v>
      </c>
      <c r="D34" s="154"/>
      <c r="E34" s="154"/>
      <c r="F34" s="154"/>
      <c r="G34" s="154"/>
      <c r="H34" s="154"/>
      <c r="I34" s="154"/>
      <c r="J34" s="154"/>
      <c r="K34" s="154"/>
      <c r="L34" s="154"/>
      <c r="M34" s="154"/>
      <c r="N34" s="154"/>
      <c r="O34" s="154"/>
    </row>
    <row r="35" spans="2:15" x14ac:dyDescent="0.55000000000000004">
      <c r="B35" s="141" t="s">
        <v>267</v>
      </c>
      <c r="C35" s="21" t="s">
        <v>260</v>
      </c>
      <c r="D35" s="154"/>
      <c r="E35" s="154"/>
      <c r="F35" s="154"/>
      <c r="G35" s="154"/>
      <c r="H35" s="154"/>
      <c r="I35" s="154"/>
      <c r="J35" s="154"/>
      <c r="K35" s="154"/>
      <c r="L35" s="154"/>
      <c r="M35" s="154"/>
      <c r="N35" s="154"/>
      <c r="O35" s="154"/>
    </row>
    <row r="36" spans="2:15" x14ac:dyDescent="0.55000000000000004">
      <c r="B36" s="141" t="s">
        <v>267</v>
      </c>
      <c r="C36" s="21" t="s">
        <v>261</v>
      </c>
      <c r="D36" s="154"/>
      <c r="E36" s="154"/>
      <c r="F36" s="154"/>
      <c r="G36" s="154"/>
      <c r="H36" s="154"/>
      <c r="I36" s="154"/>
      <c r="J36" s="154"/>
      <c r="K36" s="154"/>
      <c r="L36" s="154"/>
      <c r="M36" s="154"/>
      <c r="N36" s="154"/>
      <c r="O36" s="154"/>
    </row>
    <row r="37" spans="2:15" x14ac:dyDescent="0.55000000000000004">
      <c r="B37" s="141" t="s">
        <v>267</v>
      </c>
      <c r="C37" s="21" t="s">
        <v>262</v>
      </c>
      <c r="D37" s="154"/>
      <c r="E37" s="154"/>
      <c r="F37" s="154"/>
      <c r="G37" s="154"/>
      <c r="H37" s="154"/>
      <c r="I37" s="154"/>
      <c r="J37" s="154"/>
      <c r="K37" s="154"/>
      <c r="L37" s="154"/>
      <c r="M37" s="154"/>
      <c r="N37" s="154"/>
      <c r="O37" s="154"/>
    </row>
    <row r="38" spans="2:15" x14ac:dyDescent="0.55000000000000004">
      <c r="B38" s="141" t="s">
        <v>267</v>
      </c>
      <c r="C38" s="21" t="s">
        <v>263</v>
      </c>
      <c r="D38" s="154"/>
      <c r="E38" s="154"/>
      <c r="F38" s="154"/>
      <c r="G38" s="154"/>
      <c r="H38" s="154"/>
      <c r="I38" s="154"/>
      <c r="J38" s="154"/>
      <c r="K38" s="154"/>
      <c r="L38" s="154"/>
      <c r="M38" s="154"/>
      <c r="N38" s="154"/>
      <c r="O38" s="154"/>
    </row>
    <row r="39" spans="2:15" x14ac:dyDescent="0.55000000000000004">
      <c r="B39" s="141" t="s">
        <v>267</v>
      </c>
      <c r="C39" s="21" t="s">
        <v>264</v>
      </c>
      <c r="D39" s="154"/>
      <c r="E39" s="154"/>
      <c r="F39" s="154"/>
      <c r="G39" s="154"/>
      <c r="H39" s="154"/>
      <c r="I39" s="154"/>
      <c r="J39" s="154"/>
      <c r="K39" s="154"/>
      <c r="L39" s="154"/>
      <c r="M39" s="154"/>
      <c r="N39" s="154"/>
      <c r="O39" s="154"/>
    </row>
    <row r="40" spans="2:15" x14ac:dyDescent="0.55000000000000004">
      <c r="B40" s="141" t="s">
        <v>268</v>
      </c>
      <c r="C40" s="21" t="s">
        <v>260</v>
      </c>
      <c r="D40" s="154"/>
      <c r="E40" s="154"/>
      <c r="F40" s="154"/>
      <c r="G40" s="154"/>
      <c r="H40" s="154"/>
      <c r="I40" s="154"/>
      <c r="J40" s="154"/>
      <c r="K40" s="154"/>
      <c r="L40" s="154"/>
      <c r="M40" s="154"/>
      <c r="N40" s="154"/>
      <c r="O40" s="154"/>
    </row>
    <row r="41" spans="2:15" x14ac:dyDescent="0.55000000000000004">
      <c r="B41" s="141" t="s">
        <v>268</v>
      </c>
      <c r="C41" s="21" t="s">
        <v>261</v>
      </c>
      <c r="D41" s="154"/>
      <c r="E41" s="154"/>
      <c r="F41" s="154"/>
      <c r="G41" s="154"/>
      <c r="H41" s="154"/>
      <c r="I41" s="154"/>
      <c r="J41" s="154"/>
      <c r="K41" s="154"/>
      <c r="L41" s="154"/>
      <c r="M41" s="154"/>
      <c r="N41" s="154"/>
      <c r="O41" s="154"/>
    </row>
    <row r="42" spans="2:15" x14ac:dyDescent="0.55000000000000004">
      <c r="B42" s="141" t="s">
        <v>268</v>
      </c>
      <c r="C42" s="21" t="s">
        <v>262</v>
      </c>
      <c r="D42" s="154"/>
      <c r="E42" s="154"/>
      <c r="F42" s="154"/>
      <c r="G42" s="154"/>
      <c r="H42" s="154"/>
      <c r="I42" s="154"/>
      <c r="J42" s="154"/>
      <c r="K42" s="154"/>
      <c r="L42" s="154"/>
      <c r="M42" s="154"/>
      <c r="N42" s="154"/>
      <c r="O42" s="154"/>
    </row>
    <row r="43" spans="2:15" x14ac:dyDescent="0.55000000000000004">
      <c r="B43" s="141" t="s">
        <v>268</v>
      </c>
      <c r="C43" s="21" t="s">
        <v>263</v>
      </c>
      <c r="D43" s="154"/>
      <c r="E43" s="154"/>
      <c r="F43" s="154"/>
      <c r="G43" s="154"/>
      <c r="H43" s="154"/>
      <c r="I43" s="154"/>
      <c r="J43" s="154"/>
      <c r="K43" s="154"/>
      <c r="L43" s="154"/>
      <c r="M43" s="154"/>
      <c r="N43" s="154"/>
      <c r="O43" s="154"/>
    </row>
    <row r="44" spans="2:15" x14ac:dyDescent="0.55000000000000004">
      <c r="B44" s="143" t="s">
        <v>268</v>
      </c>
      <c r="C44" s="145" t="s">
        <v>264</v>
      </c>
      <c r="D44" s="155"/>
      <c r="E44" s="155"/>
      <c r="F44" s="155"/>
      <c r="G44" s="155"/>
      <c r="H44" s="155"/>
      <c r="I44" s="155"/>
      <c r="J44" s="155"/>
      <c r="K44" s="155"/>
      <c r="L44" s="155"/>
      <c r="M44" s="155"/>
      <c r="N44" s="155"/>
      <c r="O44" s="155"/>
    </row>
    <row r="45" spans="2:15" x14ac:dyDescent="0.55000000000000004">
      <c r="C45" s="21" t="s">
        <v>269</v>
      </c>
    </row>
    <row r="46" spans="2:15" x14ac:dyDescent="0.55000000000000004">
      <c r="B46" s="21" t="s">
        <v>270</v>
      </c>
      <c r="C46" s="156">
        <v>1400000</v>
      </c>
      <c r="D46" s="157"/>
      <c r="E46" s="158">
        <v>0.25</v>
      </c>
      <c r="F46" s="158">
        <v>0.25</v>
      </c>
      <c r="G46" s="158">
        <v>0.25</v>
      </c>
      <c r="H46" s="158">
        <v>0.25</v>
      </c>
      <c r="I46" s="158">
        <v>0.25</v>
      </c>
      <c r="J46" s="158">
        <v>0.25</v>
      </c>
      <c r="K46" s="158">
        <v>0.25</v>
      </c>
      <c r="L46" s="158">
        <v>0.25</v>
      </c>
      <c r="M46" s="158">
        <v>0.25</v>
      </c>
      <c r="N46" s="157"/>
      <c r="O46" s="157"/>
    </row>
    <row r="47" spans="2:15" x14ac:dyDescent="0.55000000000000004">
      <c r="B47" s="21" t="s">
        <v>181</v>
      </c>
      <c r="C47" s="156">
        <v>1000000</v>
      </c>
      <c r="D47" s="157"/>
      <c r="E47" s="158">
        <v>1</v>
      </c>
      <c r="F47" s="158">
        <v>1.5</v>
      </c>
      <c r="G47" s="158">
        <v>1.5</v>
      </c>
      <c r="H47" s="158">
        <v>1.5</v>
      </c>
      <c r="I47" s="158">
        <v>1.5</v>
      </c>
      <c r="J47" s="158">
        <v>1.5</v>
      </c>
      <c r="K47" s="158">
        <v>1.5</v>
      </c>
      <c r="L47" s="158">
        <v>1</v>
      </c>
      <c r="M47" s="158">
        <v>1</v>
      </c>
      <c r="N47" s="157"/>
      <c r="O47" s="157"/>
    </row>
    <row r="48" spans="2:15" x14ac:dyDescent="0.55000000000000004">
      <c r="E48" s="159">
        <f>($C46*E46)+($C47*E47)</f>
        <v>1350000</v>
      </c>
      <c r="F48" s="159">
        <f t="shared" ref="F48:M48" si="0">($C46*F46)+($C47*F47)</f>
        <v>1850000</v>
      </c>
      <c r="G48" s="159">
        <f t="shared" si="0"/>
        <v>1850000</v>
      </c>
      <c r="H48" s="159">
        <f t="shared" si="0"/>
        <v>1850000</v>
      </c>
      <c r="I48" s="159">
        <f t="shared" si="0"/>
        <v>1850000</v>
      </c>
      <c r="J48" s="159">
        <f t="shared" si="0"/>
        <v>1850000</v>
      </c>
      <c r="K48" s="159">
        <f t="shared" si="0"/>
        <v>1850000</v>
      </c>
      <c r="L48" s="159">
        <f t="shared" si="0"/>
        <v>1350000</v>
      </c>
      <c r="M48" s="159">
        <f t="shared" si="0"/>
        <v>1350000</v>
      </c>
      <c r="N48" s="159">
        <f>SUM(E48:M48)</f>
        <v>15150000</v>
      </c>
    </row>
    <row r="49" spans="2:16" x14ac:dyDescent="0.55000000000000004">
      <c r="E49" s="159"/>
      <c r="F49" s="159"/>
      <c r="G49" s="159"/>
      <c r="H49" s="159"/>
      <c r="I49" s="159"/>
      <c r="J49" s="159"/>
      <c r="K49" s="159"/>
      <c r="L49" s="159"/>
      <c r="M49" s="159"/>
    </row>
    <row r="50" spans="2:16" x14ac:dyDescent="0.55000000000000004">
      <c r="C50" s="21" t="s">
        <v>271</v>
      </c>
    </row>
    <row r="51" spans="2:16" x14ac:dyDescent="0.55000000000000004">
      <c r="B51" s="21" t="s">
        <v>270</v>
      </c>
      <c r="C51" s="156">
        <v>1000000</v>
      </c>
    </row>
    <row r="52" spans="2:16" x14ac:dyDescent="0.55000000000000004">
      <c r="B52" s="21" t="s">
        <v>181</v>
      </c>
      <c r="C52" s="156">
        <v>800000</v>
      </c>
      <c r="O52" s="21" t="s">
        <v>272</v>
      </c>
      <c r="P52" s="21" t="s">
        <v>273</v>
      </c>
    </row>
    <row r="53" spans="2:16" x14ac:dyDescent="0.55000000000000004">
      <c r="E53" s="159">
        <f>($C51*E46)+($C52*E47)</f>
        <v>1050000</v>
      </c>
      <c r="F53" s="159">
        <f t="shared" ref="F53:M53" si="1">($C51*F46)+($C52*F47)</f>
        <v>1450000</v>
      </c>
      <c r="G53" s="159">
        <f t="shared" si="1"/>
        <v>1450000</v>
      </c>
      <c r="H53" s="159">
        <f t="shared" si="1"/>
        <v>1450000</v>
      </c>
      <c r="I53" s="159">
        <f t="shared" si="1"/>
        <v>1450000</v>
      </c>
      <c r="J53" s="159">
        <f t="shared" si="1"/>
        <v>1450000</v>
      </c>
      <c r="K53" s="159">
        <f t="shared" si="1"/>
        <v>1450000</v>
      </c>
      <c r="L53" s="159">
        <f t="shared" si="1"/>
        <v>1050000</v>
      </c>
      <c r="M53" s="159">
        <f t="shared" si="1"/>
        <v>1050000</v>
      </c>
      <c r="N53" s="159">
        <f>SUM(E53:M53)</f>
        <v>11850000</v>
      </c>
      <c r="O53" s="159">
        <f>N48-N53</f>
        <v>3300000</v>
      </c>
      <c r="P53" s="136">
        <f>O53/N48</f>
        <v>0.21782178217821782</v>
      </c>
    </row>
  </sheetData>
  <phoneticPr fontId="2"/>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L10"/>
  <sheetViews>
    <sheetView zoomScale="80" zoomScaleNormal="80" workbookViewId="0">
      <pane xSplit="3" ySplit="4" topLeftCell="D5" activePane="bottomRight" state="frozen"/>
      <selection pane="topRight"/>
      <selection pane="bottomLeft"/>
      <selection pane="bottomRight" activeCell="K5" sqref="K5:K6"/>
    </sheetView>
  </sheetViews>
  <sheetFormatPr defaultColWidth="8.58203125" defaultRowHeight="18.75" customHeight="1" outlineLevelCol="1" x14ac:dyDescent="0.55000000000000004"/>
  <cols>
    <col min="1" max="1" width="2.58203125" style="56" customWidth="1"/>
    <col min="2" max="2" width="4.08203125" style="56" bestFit="1" customWidth="1"/>
    <col min="3" max="3" width="31.33203125" style="56" customWidth="1"/>
    <col min="4" max="4" width="15.5" style="56" customWidth="1" outlineLevel="1"/>
    <col min="5" max="9" width="14" style="56" customWidth="1" outlineLevel="1"/>
    <col min="10" max="10" width="11.33203125" style="56" bestFit="1" customWidth="1"/>
    <col min="11" max="11" width="14.5" style="56" customWidth="1"/>
    <col min="12" max="12" width="53.08203125" style="56" customWidth="1"/>
    <col min="13" max="16384" width="8.58203125" style="56"/>
  </cols>
  <sheetData>
    <row r="1" spans="2:12" ht="18.5" thickBot="1" x14ac:dyDescent="0.6"/>
    <row r="2" spans="2:12" ht="18" x14ac:dyDescent="0.55000000000000004">
      <c r="B2" s="57"/>
      <c r="C2" s="58" t="s">
        <v>192</v>
      </c>
      <c r="D2" s="305" t="s">
        <v>274</v>
      </c>
      <c r="E2" s="305"/>
      <c r="F2" s="305"/>
      <c r="G2" s="305"/>
      <c r="H2" s="305"/>
      <c r="I2" s="305"/>
      <c r="J2" s="305"/>
      <c r="K2" s="305"/>
      <c r="L2" s="302" t="s">
        <v>204</v>
      </c>
    </row>
    <row r="3" spans="2:12" ht="22.5" customHeight="1" x14ac:dyDescent="0.55000000000000004">
      <c r="B3" s="72"/>
      <c r="C3" s="73"/>
      <c r="D3" s="306" t="s">
        <v>275</v>
      </c>
      <c r="E3" s="306"/>
      <c r="F3" s="306"/>
      <c r="G3" s="306"/>
      <c r="H3" s="306"/>
      <c r="I3" s="306"/>
      <c r="J3" s="306"/>
      <c r="K3" s="306"/>
      <c r="L3" s="303"/>
    </row>
    <row r="4" spans="2:12" ht="18" x14ac:dyDescent="0.55000000000000004">
      <c r="B4" s="60" t="s">
        <v>196</v>
      </c>
      <c r="C4" s="61" t="s">
        <v>276</v>
      </c>
      <c r="D4" s="77" t="s">
        <v>277</v>
      </c>
      <c r="E4" s="59" t="s">
        <v>278</v>
      </c>
      <c r="F4" s="59" t="s">
        <v>200</v>
      </c>
      <c r="G4" s="59" t="s">
        <v>279</v>
      </c>
      <c r="H4" s="59" t="s">
        <v>280</v>
      </c>
      <c r="I4" s="59" t="s">
        <v>202</v>
      </c>
      <c r="J4" s="59" t="s">
        <v>281</v>
      </c>
      <c r="K4" s="76" t="s">
        <v>282</v>
      </c>
      <c r="L4" s="304"/>
    </row>
    <row r="5" spans="2:12" ht="18" x14ac:dyDescent="0.55000000000000004">
      <c r="B5" s="62">
        <v>1</v>
      </c>
      <c r="C5" s="63" t="s">
        <v>283</v>
      </c>
      <c r="D5" s="120">
        <f>'見積（工場千葉）'!E4</f>
        <v>0.05</v>
      </c>
      <c r="E5" s="121">
        <f>'見積（工場千葉）'!E5</f>
        <v>0.05</v>
      </c>
      <c r="F5" s="121">
        <f>'見積（工場千葉）'!E6</f>
        <v>0.3</v>
      </c>
      <c r="G5" s="121">
        <f>'見積（工場千葉）'!E8</f>
        <v>0.1</v>
      </c>
      <c r="H5" s="121">
        <f>'見積（工場千葉）'!E9</f>
        <v>0.35</v>
      </c>
      <c r="I5" s="121">
        <f>'見積（工場千葉）'!E11</f>
        <v>0.2</v>
      </c>
      <c r="J5" s="122">
        <f t="shared" ref="J5:J6" si="0">SUM(D5:I5)</f>
        <v>1.05</v>
      </c>
      <c r="K5" s="55">
        <f t="shared" ref="K5:K6" si="1">SUM(D5:H5)*1000000+I5*1400000</f>
        <v>1130000</v>
      </c>
      <c r="L5" s="64"/>
    </row>
    <row r="6" spans="2:12" ht="18" x14ac:dyDescent="0.55000000000000004">
      <c r="B6" s="127">
        <v>2</v>
      </c>
      <c r="C6" s="128" t="s">
        <v>284</v>
      </c>
      <c r="D6" s="120">
        <f>'見積（工場徳山）'!E4</f>
        <v>0.05</v>
      </c>
      <c r="E6" s="121">
        <f>'見積（工場徳山）'!E5</f>
        <v>0.05</v>
      </c>
      <c r="F6" s="121">
        <f>'見積（工場徳山）'!E6</f>
        <v>0.18</v>
      </c>
      <c r="G6" s="121">
        <f>'見積（工場徳山）'!E8</f>
        <v>0.05</v>
      </c>
      <c r="H6" s="121">
        <f>'見積（工場徳山）'!E9</f>
        <v>0.3</v>
      </c>
      <c r="I6" s="121">
        <f>'見積（工場徳山）'!E11</f>
        <v>0.15</v>
      </c>
      <c r="J6" s="122">
        <f t="shared" si="0"/>
        <v>0.78</v>
      </c>
      <c r="K6" s="55">
        <f t="shared" si="1"/>
        <v>840000</v>
      </c>
      <c r="L6" s="112"/>
    </row>
    <row r="7" spans="2:12" ht="18" x14ac:dyDescent="0.55000000000000004">
      <c r="B7" s="129">
        <v>3</v>
      </c>
      <c r="C7" s="130" t="s">
        <v>285</v>
      </c>
      <c r="D7" s="131">
        <f>'見積（XenApp）'!E4</f>
        <v>1</v>
      </c>
      <c r="E7" s="132">
        <f>'見積（XenApp）'!E5</f>
        <v>0.55000000000000004</v>
      </c>
      <c r="F7" s="132">
        <f>'見積（XenApp）'!E6</f>
        <v>5.41</v>
      </c>
      <c r="G7" s="132">
        <f>'見積（XenApp）'!E8</f>
        <v>1.28</v>
      </c>
      <c r="H7" s="132">
        <f>'見積（XenApp）'!E9</f>
        <v>3.63</v>
      </c>
      <c r="I7" s="132">
        <f>'見積（XenApp）'!E11</f>
        <v>2.4500000000000002</v>
      </c>
      <c r="J7" s="133">
        <f t="shared" ref="J7" si="2">SUM(D7:I7)</f>
        <v>14.32</v>
      </c>
      <c r="K7" s="134">
        <f t="shared" ref="K7" si="3">SUM(D7:H7)*1000000+I7*1400000</f>
        <v>15300000.000000002</v>
      </c>
      <c r="L7" s="112"/>
    </row>
    <row r="8" spans="2:12" ht="18" x14ac:dyDescent="0.55000000000000004">
      <c r="B8" s="296" t="s">
        <v>286</v>
      </c>
      <c r="C8" s="297"/>
      <c r="D8" s="123">
        <f t="shared" ref="D8:I8" si="4">SUM(D5:D7)</f>
        <v>1.1000000000000001</v>
      </c>
      <c r="E8" s="124">
        <f t="shared" si="4"/>
        <v>0.65</v>
      </c>
      <c r="F8" s="124">
        <f t="shared" si="4"/>
        <v>5.8900000000000006</v>
      </c>
      <c r="G8" s="124">
        <f t="shared" si="4"/>
        <v>1.4300000000000002</v>
      </c>
      <c r="H8" s="124">
        <f t="shared" si="4"/>
        <v>4.2799999999999994</v>
      </c>
      <c r="I8" s="124">
        <f t="shared" si="4"/>
        <v>2.8000000000000003</v>
      </c>
      <c r="J8" s="124">
        <f>SUM(D8:I8)</f>
        <v>16.149999999999999</v>
      </c>
      <c r="K8" s="78">
        <f>SUM(K5:K7)</f>
        <v>17270000</v>
      </c>
      <c r="L8" s="65"/>
    </row>
    <row r="9" spans="2:12" ht="18" x14ac:dyDescent="0.55000000000000004">
      <c r="B9" s="298" t="s">
        <v>287</v>
      </c>
      <c r="C9" s="299"/>
      <c r="D9" s="74">
        <v>1000000</v>
      </c>
      <c r="E9" s="66">
        <v>1000000</v>
      </c>
      <c r="F9" s="66">
        <v>1000000</v>
      </c>
      <c r="G9" s="66">
        <v>1000000</v>
      </c>
      <c r="H9" s="66">
        <v>1000000</v>
      </c>
      <c r="I9" s="66">
        <v>1400000</v>
      </c>
      <c r="J9" s="66"/>
      <c r="K9" s="67"/>
      <c r="L9" s="68"/>
    </row>
    <row r="10" spans="2:12" ht="18.5" thickBot="1" x14ac:dyDescent="0.6">
      <c r="B10" s="300" t="s">
        <v>282</v>
      </c>
      <c r="C10" s="301"/>
      <c r="D10" s="75">
        <f t="shared" ref="D10:I10" si="5">D8*D9</f>
        <v>1100000</v>
      </c>
      <c r="E10" s="69">
        <f t="shared" si="5"/>
        <v>650000</v>
      </c>
      <c r="F10" s="69">
        <f t="shared" si="5"/>
        <v>5890000.0000000009</v>
      </c>
      <c r="G10" s="69">
        <f t="shared" si="5"/>
        <v>1430000.0000000002</v>
      </c>
      <c r="H10" s="69">
        <f t="shared" si="5"/>
        <v>4279999.9999999991</v>
      </c>
      <c r="I10" s="69">
        <f t="shared" si="5"/>
        <v>3920000.0000000005</v>
      </c>
      <c r="J10" s="69"/>
      <c r="K10" s="70"/>
      <c r="L10" s="71"/>
    </row>
  </sheetData>
  <autoFilter ref="B4:Q5" xr:uid="{00000000-0009-0000-0000-000007000000}"/>
  <mergeCells count="6">
    <mergeCell ref="B8:C8"/>
    <mergeCell ref="B9:C9"/>
    <mergeCell ref="B10:C10"/>
    <mergeCell ref="L2:L4"/>
    <mergeCell ref="D2:K2"/>
    <mergeCell ref="D3:K3"/>
  </mergeCells>
  <phoneticPr fontId="2"/>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I12"/>
  <sheetViews>
    <sheetView zoomScale="80" zoomScaleNormal="80" workbookViewId="0">
      <selection activeCell="D9" sqref="D9"/>
    </sheetView>
  </sheetViews>
  <sheetFormatPr defaultColWidth="8.58203125" defaultRowHeight="18.75" customHeight="1" x14ac:dyDescent="0.55000000000000004"/>
  <cols>
    <col min="1" max="1" width="2.58203125" style="52" customWidth="1"/>
    <col min="2" max="2" width="13.83203125" style="52" customWidth="1"/>
    <col min="3" max="3" width="37.58203125" style="52" customWidth="1"/>
    <col min="4" max="4" width="14" style="52" customWidth="1"/>
    <col min="5" max="5" width="9.83203125" style="52" customWidth="1"/>
    <col min="6" max="7" width="53.08203125" style="52" customWidth="1"/>
    <col min="8" max="16384" width="8.58203125" style="52"/>
  </cols>
  <sheetData>
    <row r="1" spans="2:9" ht="18" x14ac:dyDescent="0.55000000000000004">
      <c r="B1" s="52" t="s">
        <v>226</v>
      </c>
      <c r="C1" s="52" t="s">
        <v>288</v>
      </c>
    </row>
    <row r="2" spans="2:9" ht="18" x14ac:dyDescent="0.55000000000000004"/>
    <row r="3" spans="2:9" ht="39.75" customHeight="1" x14ac:dyDescent="0.55000000000000004">
      <c r="B3" s="98" t="s">
        <v>289</v>
      </c>
      <c r="C3" s="98" t="s">
        <v>290</v>
      </c>
      <c r="D3" s="98" t="s">
        <v>291</v>
      </c>
      <c r="E3" s="99" t="s">
        <v>281</v>
      </c>
      <c r="F3" s="98" t="s">
        <v>292</v>
      </c>
      <c r="G3" s="98" t="s">
        <v>204</v>
      </c>
      <c r="H3" s="52" t="s">
        <v>293</v>
      </c>
    </row>
    <row r="4" spans="2:9" ht="39" customHeight="1" x14ac:dyDescent="0.55000000000000004">
      <c r="B4" s="113" t="s">
        <v>294</v>
      </c>
      <c r="C4" s="100" t="s">
        <v>295</v>
      </c>
      <c r="D4" s="126">
        <f>ROUND(H4/20,2)</f>
        <v>0.05</v>
      </c>
      <c r="E4" s="117">
        <v>0.05</v>
      </c>
      <c r="F4" s="111" t="s">
        <v>296</v>
      </c>
      <c r="G4" s="101" t="s">
        <v>297</v>
      </c>
      <c r="H4" s="52">
        <v>1</v>
      </c>
    </row>
    <row r="5" spans="2:9" ht="56.5" customHeight="1" x14ac:dyDescent="0.55000000000000004">
      <c r="B5" s="109" t="s">
        <v>278</v>
      </c>
      <c r="C5" s="100" t="s">
        <v>298</v>
      </c>
      <c r="D5" s="126">
        <f t="shared" ref="D5:D10" si="0">ROUND(H5/20,2)</f>
        <v>0.05</v>
      </c>
      <c r="E5" s="118">
        <v>0.05</v>
      </c>
      <c r="F5" s="105" t="s">
        <v>299</v>
      </c>
      <c r="G5" s="101" t="s">
        <v>300</v>
      </c>
      <c r="H5" s="52">
        <v>1</v>
      </c>
    </row>
    <row r="6" spans="2:9" ht="71.25" customHeight="1" x14ac:dyDescent="0.55000000000000004">
      <c r="B6" s="308" t="s">
        <v>200</v>
      </c>
      <c r="C6" s="100" t="s">
        <v>301</v>
      </c>
      <c r="D6" s="126">
        <f t="shared" si="0"/>
        <v>0.25</v>
      </c>
      <c r="E6" s="310">
        <v>0.3</v>
      </c>
      <c r="F6" s="101" t="s">
        <v>302</v>
      </c>
      <c r="G6" s="101" t="s">
        <v>303</v>
      </c>
      <c r="H6" s="52">
        <v>5</v>
      </c>
    </row>
    <row r="7" spans="2:9" ht="55.5" customHeight="1" x14ac:dyDescent="0.55000000000000004">
      <c r="B7" s="309"/>
      <c r="C7" s="100" t="s">
        <v>304</v>
      </c>
      <c r="D7" s="126">
        <f t="shared" si="0"/>
        <v>0.05</v>
      </c>
      <c r="E7" s="311"/>
      <c r="F7" s="105" t="s">
        <v>305</v>
      </c>
      <c r="G7" s="101" t="s">
        <v>306</v>
      </c>
      <c r="H7" s="52">
        <v>1</v>
      </c>
    </row>
    <row r="8" spans="2:9" ht="82.5" customHeight="1" x14ac:dyDescent="0.55000000000000004">
      <c r="B8" s="109" t="s">
        <v>279</v>
      </c>
      <c r="C8" s="100" t="s">
        <v>307</v>
      </c>
      <c r="D8" s="126">
        <f t="shared" si="0"/>
        <v>0.1</v>
      </c>
      <c r="E8" s="118">
        <v>0.1</v>
      </c>
      <c r="F8" s="110" t="s">
        <v>308</v>
      </c>
      <c r="G8" s="101" t="s">
        <v>309</v>
      </c>
      <c r="H8" s="52">
        <v>2</v>
      </c>
    </row>
    <row r="9" spans="2:9" ht="54" x14ac:dyDescent="0.55000000000000004">
      <c r="B9" s="308" t="s">
        <v>280</v>
      </c>
      <c r="C9" s="100" t="s">
        <v>310</v>
      </c>
      <c r="D9" s="126">
        <f t="shared" si="0"/>
        <v>0.1</v>
      </c>
      <c r="E9" s="310">
        <v>0.35</v>
      </c>
      <c r="F9" s="106" t="s">
        <v>311</v>
      </c>
      <c r="G9" s="101" t="s">
        <v>312</v>
      </c>
      <c r="H9" s="52">
        <v>2</v>
      </c>
    </row>
    <row r="10" spans="2:9" ht="39.75" customHeight="1" x14ac:dyDescent="0.55000000000000004">
      <c r="B10" s="309"/>
      <c r="C10" s="100" t="s">
        <v>313</v>
      </c>
      <c r="D10" s="126">
        <f t="shared" si="0"/>
        <v>0.25</v>
      </c>
      <c r="E10" s="311"/>
      <c r="F10" s="107" t="s">
        <v>314</v>
      </c>
      <c r="G10" s="102" t="s">
        <v>315</v>
      </c>
      <c r="H10" s="52">
        <v>5</v>
      </c>
    </row>
    <row r="11" spans="2:9" ht="110.15" customHeight="1" x14ac:dyDescent="0.55000000000000004">
      <c r="B11" s="108" t="s">
        <v>202</v>
      </c>
      <c r="C11" s="103" t="s">
        <v>316</v>
      </c>
      <c r="D11" s="126">
        <f>ROUND(H11/20,2)</f>
        <v>0.2</v>
      </c>
      <c r="E11" s="118">
        <v>0.2</v>
      </c>
      <c r="F11" s="104" t="s">
        <v>317</v>
      </c>
      <c r="G11" s="104" t="s">
        <v>318</v>
      </c>
      <c r="H11" s="52">
        <f>SUM(H4:H10)*0.15+I11</f>
        <v>4.05</v>
      </c>
      <c r="I11" s="52">
        <f>12/8</f>
        <v>1.5</v>
      </c>
    </row>
    <row r="12" spans="2:9" ht="18" x14ac:dyDescent="0.55000000000000004">
      <c r="B12" s="307" t="s">
        <v>180</v>
      </c>
      <c r="C12" s="307"/>
      <c r="D12" s="307"/>
      <c r="E12" s="119">
        <f>SUM(E4:E11)</f>
        <v>1.05</v>
      </c>
      <c r="F12" s="85"/>
      <c r="G12" s="85"/>
      <c r="H12" s="119">
        <f>SUM(H4:H11)</f>
        <v>21.05</v>
      </c>
    </row>
  </sheetData>
  <autoFilter ref="B3:G12" xr:uid="{00000000-0009-0000-0000-000008000000}"/>
  <mergeCells count="5">
    <mergeCell ref="B12:D12"/>
    <mergeCell ref="B6:B7"/>
    <mergeCell ref="E6:E7"/>
    <mergeCell ref="B9:B10"/>
    <mergeCell ref="E9:E10"/>
  </mergeCells>
  <phoneticPr fontId="2"/>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J33"/>
  <sheetViews>
    <sheetView zoomScale="90" zoomScaleNormal="90" workbookViewId="0">
      <selection activeCell="F13" sqref="F13"/>
    </sheetView>
  </sheetViews>
  <sheetFormatPr defaultRowHeight="18" x14ac:dyDescent="0.55000000000000004"/>
  <cols>
    <col min="1" max="1" width="3.08203125" customWidth="1"/>
    <col min="2" max="2" width="3.58203125" bestFit="1" customWidth="1"/>
    <col min="3" max="4" width="13.58203125" customWidth="1"/>
    <col min="5" max="5" width="27.08203125" customWidth="1"/>
    <col min="6" max="6" width="11.58203125" customWidth="1"/>
    <col min="7" max="7" width="26.58203125" customWidth="1"/>
    <col min="8" max="8" width="25.58203125" customWidth="1"/>
    <col min="9" max="9" width="26.5" customWidth="1"/>
  </cols>
  <sheetData>
    <row r="2" spans="2:10" x14ac:dyDescent="0.55000000000000004">
      <c r="B2" s="1" t="s">
        <v>319</v>
      </c>
    </row>
    <row r="3" spans="2:10" x14ac:dyDescent="0.55000000000000004">
      <c r="C3" t="s">
        <v>320</v>
      </c>
    </row>
    <row r="4" spans="2:10" x14ac:dyDescent="0.55000000000000004">
      <c r="C4" t="s">
        <v>321</v>
      </c>
    </row>
    <row r="5" spans="2:10" x14ac:dyDescent="0.55000000000000004">
      <c r="C5" t="s">
        <v>322</v>
      </c>
    </row>
    <row r="8" spans="2:10" x14ac:dyDescent="0.55000000000000004">
      <c r="B8" s="1" t="s">
        <v>323</v>
      </c>
      <c r="C8" s="1"/>
      <c r="D8" s="1"/>
      <c r="E8" s="1"/>
    </row>
    <row r="9" spans="2:10" x14ac:dyDescent="0.55000000000000004">
      <c r="B9" s="2" t="s">
        <v>324</v>
      </c>
      <c r="C9" s="315" t="s">
        <v>325</v>
      </c>
      <c r="D9" s="315"/>
      <c r="E9" s="3" t="s">
        <v>326</v>
      </c>
      <c r="F9" s="3" t="s">
        <v>327</v>
      </c>
      <c r="G9" s="3" t="s">
        <v>328</v>
      </c>
      <c r="H9" s="3" t="s">
        <v>329</v>
      </c>
      <c r="I9" s="3" t="s">
        <v>330</v>
      </c>
    </row>
    <row r="10" spans="2:10" ht="89.5" customHeight="1" x14ac:dyDescent="0.55000000000000004">
      <c r="B10" s="4">
        <v>1</v>
      </c>
      <c r="C10" s="314" t="s">
        <v>331</v>
      </c>
      <c r="D10" s="314"/>
      <c r="E10" s="5" t="s">
        <v>332</v>
      </c>
      <c r="F10" s="17">
        <v>5.75</v>
      </c>
      <c r="G10" s="15" t="s">
        <v>333</v>
      </c>
      <c r="H10" s="15" t="s">
        <v>334</v>
      </c>
      <c r="I10" s="5" t="s">
        <v>335</v>
      </c>
      <c r="J10">
        <f>4
+0.5
+0.25
+0.5
+0.5</f>
        <v>5.75</v>
      </c>
    </row>
    <row r="11" spans="2:10" ht="89.5" customHeight="1" x14ac:dyDescent="0.55000000000000004">
      <c r="B11" s="4">
        <v>2</v>
      </c>
      <c r="C11" s="314" t="s">
        <v>336</v>
      </c>
      <c r="D11" s="314"/>
      <c r="E11" s="5" t="s">
        <v>332</v>
      </c>
      <c r="F11" s="17">
        <v>5.75</v>
      </c>
      <c r="G11" s="15" t="s">
        <v>333</v>
      </c>
      <c r="H11" s="15" t="s">
        <v>334</v>
      </c>
      <c r="I11" s="5" t="s">
        <v>335</v>
      </c>
      <c r="J11">
        <f>4
+0.5
+0.25
+0.5
+0.5</f>
        <v>5.75</v>
      </c>
    </row>
    <row r="12" spans="2:10" ht="87.5" x14ac:dyDescent="0.55000000000000004">
      <c r="B12" s="4">
        <v>3</v>
      </c>
      <c r="C12" s="314" t="s">
        <v>337</v>
      </c>
      <c r="D12" s="314"/>
      <c r="E12" s="6" t="s">
        <v>338</v>
      </c>
      <c r="F12" s="17">
        <v>8.5</v>
      </c>
      <c r="G12" s="15" t="s">
        <v>339</v>
      </c>
      <c r="H12" s="15" t="s">
        <v>340</v>
      </c>
      <c r="I12" s="5" t="s">
        <v>341</v>
      </c>
      <c r="J12" s="18">
        <f>4
+0.5*4
+0.25*4
+0.5*2
+0.5</f>
        <v>8.5</v>
      </c>
    </row>
    <row r="13" spans="2:10" ht="87.5" x14ac:dyDescent="0.55000000000000004">
      <c r="B13" s="4">
        <v>4</v>
      </c>
      <c r="C13" s="314" t="s">
        <v>342</v>
      </c>
      <c r="D13" s="314"/>
      <c r="E13" s="6" t="s">
        <v>343</v>
      </c>
      <c r="F13" s="17">
        <v>6.75</v>
      </c>
      <c r="G13" s="15" t="s">
        <v>344</v>
      </c>
      <c r="H13" s="15" t="s">
        <v>345</v>
      </c>
      <c r="I13" s="5" t="s">
        <v>341</v>
      </c>
      <c r="J13">
        <f>4
+0.5*2
+0.25*2
+0.5*2
+0.25</f>
        <v>6.75</v>
      </c>
    </row>
    <row r="14" spans="2:10" ht="35" x14ac:dyDescent="0.55000000000000004">
      <c r="B14" s="4">
        <v>5</v>
      </c>
      <c r="C14" s="312" t="s">
        <v>346</v>
      </c>
      <c r="D14" s="313"/>
      <c r="E14" s="6"/>
      <c r="F14" s="17">
        <v>0.5</v>
      </c>
      <c r="G14" s="15" t="s">
        <v>347</v>
      </c>
      <c r="H14" s="16">
        <v>0.5</v>
      </c>
      <c r="I14" s="5" t="s">
        <v>348</v>
      </c>
    </row>
    <row r="15" spans="2:10" ht="70" x14ac:dyDescent="0.55000000000000004">
      <c r="B15" s="4">
        <v>6</v>
      </c>
      <c r="C15" s="314" t="s">
        <v>349</v>
      </c>
      <c r="D15" s="314"/>
      <c r="E15" s="5" t="s">
        <v>350</v>
      </c>
      <c r="F15" s="17">
        <v>6.75</v>
      </c>
      <c r="G15" s="15" t="s">
        <v>351</v>
      </c>
      <c r="H15" s="15" t="s">
        <v>352</v>
      </c>
      <c r="I15" s="5" t="s">
        <v>353</v>
      </c>
      <c r="J15">
        <f>4
+0.5*3
+0.25*3
+0.5</f>
        <v>6.75</v>
      </c>
    </row>
    <row r="16" spans="2:10" ht="35" x14ac:dyDescent="0.55000000000000004">
      <c r="B16" s="4">
        <v>7</v>
      </c>
      <c r="C16" s="314" t="s">
        <v>354</v>
      </c>
      <c r="D16" s="314"/>
      <c r="E16" s="6" t="s">
        <v>355</v>
      </c>
      <c r="F16" s="15">
        <v>4</v>
      </c>
      <c r="G16" s="15" t="s">
        <v>356</v>
      </c>
      <c r="H16" s="15">
        <v>4</v>
      </c>
      <c r="I16" s="5" t="s">
        <v>357</v>
      </c>
    </row>
    <row r="17" spans="2:9" ht="35" x14ac:dyDescent="0.55000000000000004">
      <c r="B17" s="4">
        <v>8</v>
      </c>
      <c r="C17" s="314" t="s">
        <v>358</v>
      </c>
      <c r="D17" s="314"/>
      <c r="E17" s="6" t="s">
        <v>355</v>
      </c>
      <c r="F17" s="15">
        <v>4</v>
      </c>
      <c r="G17" s="15" t="s">
        <v>359</v>
      </c>
      <c r="H17" s="15">
        <v>4</v>
      </c>
      <c r="I17" s="5" t="s">
        <v>360</v>
      </c>
    </row>
    <row r="18" spans="2:9" x14ac:dyDescent="0.55000000000000004">
      <c r="B18" s="4">
        <v>9</v>
      </c>
      <c r="C18" s="314" t="s">
        <v>361</v>
      </c>
      <c r="D18" s="314"/>
      <c r="E18" s="6" t="s">
        <v>362</v>
      </c>
      <c r="F18" s="15"/>
      <c r="G18" s="15"/>
      <c r="H18" s="15"/>
      <c r="I18" s="6" t="s">
        <v>363</v>
      </c>
    </row>
    <row r="19" spans="2:9" x14ac:dyDescent="0.55000000000000004">
      <c r="B19" s="14"/>
      <c r="C19" s="314" t="s">
        <v>364</v>
      </c>
      <c r="D19" s="314"/>
      <c r="E19" s="14"/>
      <c r="F19" s="17">
        <v>3.35</v>
      </c>
      <c r="G19" s="15"/>
      <c r="H19" s="15"/>
      <c r="I19" s="5" t="s">
        <v>341</v>
      </c>
    </row>
    <row r="21" spans="2:9" x14ac:dyDescent="0.55000000000000004">
      <c r="F21" t="s">
        <v>365</v>
      </c>
    </row>
    <row r="22" spans="2:9" x14ac:dyDescent="0.55000000000000004">
      <c r="F22" t="s">
        <v>366</v>
      </c>
    </row>
    <row r="23" spans="2:9" x14ac:dyDescent="0.55000000000000004">
      <c r="F23" t="s">
        <v>367</v>
      </c>
    </row>
    <row r="24" spans="2:9" x14ac:dyDescent="0.55000000000000004">
      <c r="F24" t="s">
        <v>368</v>
      </c>
    </row>
    <row r="25" spans="2:9" x14ac:dyDescent="0.55000000000000004">
      <c r="F25" t="s">
        <v>369</v>
      </c>
    </row>
    <row r="26" spans="2:9" x14ac:dyDescent="0.55000000000000004">
      <c r="F26" t="s">
        <v>370</v>
      </c>
    </row>
    <row r="27" spans="2:9" x14ac:dyDescent="0.55000000000000004">
      <c r="H27">
        <f>350+50*4+20*4+50*2+50</f>
        <v>780</v>
      </c>
    </row>
    <row r="28" spans="2:9" x14ac:dyDescent="0.55000000000000004">
      <c r="F28">
        <f>14*5/8*(100/20)</f>
        <v>43.75</v>
      </c>
      <c r="H28">
        <f>350+50*3+20*3+80</f>
        <v>640</v>
      </c>
    </row>
    <row r="29" spans="2:9" x14ac:dyDescent="0.55000000000000004">
      <c r="F29">
        <f>12*5/8*(100/20)</f>
        <v>37.5</v>
      </c>
    </row>
    <row r="30" spans="2:9" x14ac:dyDescent="0.55000000000000004">
      <c r="F30">
        <f>19*5/8*(100/20)</f>
        <v>59.375</v>
      </c>
    </row>
    <row r="31" spans="2:9" x14ac:dyDescent="0.55000000000000004">
      <c r="F31">
        <f>6*5/8*(100/20)</f>
        <v>18.75</v>
      </c>
    </row>
    <row r="32" spans="2:9" x14ac:dyDescent="0.55000000000000004">
      <c r="F32">
        <f>24*5/8*(100/20)</f>
        <v>75</v>
      </c>
    </row>
    <row r="33" spans="6:6" x14ac:dyDescent="0.55000000000000004">
      <c r="F33">
        <f>3*5/8*(100/20)</f>
        <v>9.375</v>
      </c>
    </row>
  </sheetData>
  <mergeCells count="11">
    <mergeCell ref="C9:D9"/>
    <mergeCell ref="C10:D10"/>
    <mergeCell ref="C11:D11"/>
    <mergeCell ref="C12:D12"/>
    <mergeCell ref="C13:D13"/>
    <mergeCell ref="C14:D14"/>
    <mergeCell ref="C16:D16"/>
    <mergeCell ref="C17:D17"/>
    <mergeCell ref="C19:D19"/>
    <mergeCell ref="C18:D18"/>
    <mergeCell ref="C15:D15"/>
  </mergeCells>
  <phoneticPr fontId="2"/>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I12"/>
  <sheetViews>
    <sheetView topLeftCell="A7" zoomScale="80" zoomScaleNormal="80" workbookViewId="0">
      <selection activeCell="G27" sqref="G27"/>
    </sheetView>
  </sheetViews>
  <sheetFormatPr defaultColWidth="8.58203125" defaultRowHeight="18.75" customHeight="1" x14ac:dyDescent="0.55000000000000004"/>
  <cols>
    <col min="1" max="1" width="2.58203125" style="52" customWidth="1"/>
    <col min="2" max="2" width="13.83203125" style="52" customWidth="1"/>
    <col min="3" max="3" width="37.58203125" style="52" customWidth="1"/>
    <col min="4" max="4" width="14" style="52" customWidth="1"/>
    <col min="5" max="5" width="9.83203125" style="52" customWidth="1"/>
    <col min="6" max="7" width="53.08203125" style="52" customWidth="1"/>
    <col min="8" max="16384" width="8.58203125" style="52"/>
  </cols>
  <sheetData>
    <row r="1" spans="2:9" ht="18" x14ac:dyDescent="0.55000000000000004">
      <c r="B1" s="52" t="s">
        <v>226</v>
      </c>
      <c r="C1" s="52" t="s">
        <v>371</v>
      </c>
    </row>
    <row r="2" spans="2:9" ht="18" x14ac:dyDescent="0.55000000000000004"/>
    <row r="3" spans="2:9" ht="39.75" customHeight="1" x14ac:dyDescent="0.55000000000000004">
      <c r="B3" s="98" t="s">
        <v>289</v>
      </c>
      <c r="C3" s="98" t="s">
        <v>290</v>
      </c>
      <c r="D3" s="98" t="s">
        <v>291</v>
      </c>
      <c r="E3" s="99" t="s">
        <v>281</v>
      </c>
      <c r="F3" s="98" t="s">
        <v>292</v>
      </c>
      <c r="G3" s="98" t="s">
        <v>204</v>
      </c>
      <c r="H3" s="52" t="s">
        <v>293</v>
      </c>
    </row>
    <row r="4" spans="2:9" ht="39" customHeight="1" x14ac:dyDescent="0.55000000000000004">
      <c r="B4" s="113" t="s">
        <v>294</v>
      </c>
      <c r="C4" s="100" t="s">
        <v>295</v>
      </c>
      <c r="D4" s="125">
        <f>ROUND(H4/20,2)</f>
        <v>0.05</v>
      </c>
      <c r="E4" s="114">
        <v>0.05</v>
      </c>
      <c r="F4" s="111" t="s">
        <v>372</v>
      </c>
      <c r="G4" s="101" t="s">
        <v>297</v>
      </c>
      <c r="H4" s="52">
        <v>1</v>
      </c>
    </row>
    <row r="5" spans="2:9" ht="56.15" customHeight="1" x14ac:dyDescent="0.55000000000000004">
      <c r="B5" s="109" t="s">
        <v>278</v>
      </c>
      <c r="C5" s="100" t="s">
        <v>298</v>
      </c>
      <c r="D5" s="125">
        <f t="shared" ref="D5:D11" si="0">ROUND(H5/20,2)</f>
        <v>0.05</v>
      </c>
      <c r="E5" s="115">
        <v>0.05</v>
      </c>
      <c r="F5" s="105" t="s">
        <v>299</v>
      </c>
      <c r="G5" s="101" t="s">
        <v>373</v>
      </c>
      <c r="H5" s="52">
        <v>1</v>
      </c>
    </row>
    <row r="6" spans="2:9" ht="71.25" customHeight="1" x14ac:dyDescent="0.55000000000000004">
      <c r="B6" s="308" t="s">
        <v>200</v>
      </c>
      <c r="C6" s="100" t="s">
        <v>301</v>
      </c>
      <c r="D6" s="125">
        <f t="shared" si="0"/>
        <v>0.13</v>
      </c>
      <c r="E6" s="316">
        <v>0.18</v>
      </c>
      <c r="F6" s="101" t="s">
        <v>374</v>
      </c>
      <c r="G6" s="101" t="s">
        <v>375</v>
      </c>
      <c r="H6" s="52">
        <v>2.5</v>
      </c>
    </row>
    <row r="7" spans="2:9" ht="55.5" customHeight="1" x14ac:dyDescent="0.55000000000000004">
      <c r="B7" s="309"/>
      <c r="C7" s="100" t="s">
        <v>304</v>
      </c>
      <c r="D7" s="125">
        <f t="shared" si="0"/>
        <v>0.05</v>
      </c>
      <c r="E7" s="317"/>
      <c r="F7" s="105" t="s">
        <v>305</v>
      </c>
      <c r="G7" s="101" t="s">
        <v>376</v>
      </c>
      <c r="H7" s="52">
        <v>1</v>
      </c>
    </row>
    <row r="8" spans="2:9" ht="82.5" customHeight="1" x14ac:dyDescent="0.55000000000000004">
      <c r="B8" s="109" t="s">
        <v>279</v>
      </c>
      <c r="C8" s="100" t="s">
        <v>307</v>
      </c>
      <c r="D8" s="125">
        <f>ROUND(H8/20,2)</f>
        <v>0.05</v>
      </c>
      <c r="E8" s="115">
        <v>0.05</v>
      </c>
      <c r="F8" s="110" t="s">
        <v>308</v>
      </c>
      <c r="G8" s="101" t="s">
        <v>377</v>
      </c>
      <c r="H8" s="52">
        <v>1</v>
      </c>
    </row>
    <row r="9" spans="2:9" ht="54" x14ac:dyDescent="0.55000000000000004">
      <c r="B9" s="308" t="s">
        <v>280</v>
      </c>
      <c r="C9" s="100" t="s">
        <v>310</v>
      </c>
      <c r="D9" s="125">
        <f t="shared" si="0"/>
        <v>0.05</v>
      </c>
      <c r="E9" s="316">
        <v>0.3</v>
      </c>
      <c r="F9" s="106" t="s">
        <v>311</v>
      </c>
      <c r="G9" s="101" t="s">
        <v>378</v>
      </c>
      <c r="H9" s="52">
        <v>1</v>
      </c>
    </row>
    <row r="10" spans="2:9" ht="39.75" customHeight="1" x14ac:dyDescent="0.55000000000000004">
      <c r="B10" s="309"/>
      <c r="C10" s="100" t="s">
        <v>313</v>
      </c>
      <c r="D10" s="125">
        <f t="shared" si="0"/>
        <v>0.25</v>
      </c>
      <c r="E10" s="317"/>
      <c r="F10" s="107" t="s">
        <v>314</v>
      </c>
      <c r="G10" s="102" t="s">
        <v>315</v>
      </c>
      <c r="H10" s="52">
        <v>5</v>
      </c>
    </row>
    <row r="11" spans="2:9" ht="111" customHeight="1" x14ac:dyDescent="0.55000000000000004">
      <c r="B11" s="108" t="s">
        <v>202</v>
      </c>
      <c r="C11" s="103" t="s">
        <v>316</v>
      </c>
      <c r="D11" s="125">
        <f t="shared" si="0"/>
        <v>0.15</v>
      </c>
      <c r="E11" s="115">
        <v>0.15</v>
      </c>
      <c r="F11" s="104" t="s">
        <v>379</v>
      </c>
      <c r="G11" s="104" t="s">
        <v>318</v>
      </c>
      <c r="H11" s="52">
        <f>SUM(H4:H10)*0.15+I11</f>
        <v>3</v>
      </c>
      <c r="I11" s="52">
        <f>9/8</f>
        <v>1.125</v>
      </c>
    </row>
    <row r="12" spans="2:9" ht="18" x14ac:dyDescent="0.55000000000000004">
      <c r="B12" s="307" t="s">
        <v>180</v>
      </c>
      <c r="C12" s="307"/>
      <c r="D12" s="307"/>
      <c r="E12" s="116">
        <f>SUM(E4:E11)</f>
        <v>0.78</v>
      </c>
      <c r="F12" s="85"/>
      <c r="G12" s="85"/>
      <c r="H12" s="119">
        <f>SUM(H4:H11)</f>
        <v>15.5</v>
      </c>
    </row>
  </sheetData>
  <autoFilter ref="B3:G12" xr:uid="{00000000-0009-0000-0000-00000A000000}"/>
  <mergeCells count="5">
    <mergeCell ref="B12:D12"/>
    <mergeCell ref="B9:B10"/>
    <mergeCell ref="E9:E10"/>
    <mergeCell ref="B6:B7"/>
    <mergeCell ref="E6:E7"/>
  </mergeCells>
  <phoneticPr fontId="2"/>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O12"/>
  <sheetViews>
    <sheetView zoomScale="80" zoomScaleNormal="80" workbookViewId="0">
      <selection activeCell="E11" sqref="E11"/>
    </sheetView>
  </sheetViews>
  <sheetFormatPr defaultColWidth="8.58203125" defaultRowHeight="18.75" customHeight="1" x14ac:dyDescent="0.55000000000000004"/>
  <cols>
    <col min="1" max="1" width="2.58203125" style="52" customWidth="1"/>
    <col min="2" max="2" width="13.83203125" style="52" customWidth="1"/>
    <col min="3" max="3" width="37.58203125" style="52" customWidth="1"/>
    <col min="4" max="4" width="14" style="52" customWidth="1"/>
    <col min="5" max="5" width="9.83203125" style="52" customWidth="1"/>
    <col min="6" max="7" width="53.08203125" style="52" customWidth="1"/>
    <col min="8" max="8" width="8.58203125" style="52"/>
    <col min="9" max="9" width="9.83203125" style="52" customWidth="1"/>
    <col min="10" max="10" width="12.08203125" style="52" customWidth="1"/>
    <col min="11" max="11" width="9.75" style="52" customWidth="1"/>
    <col min="12" max="12" width="8.58203125" style="52"/>
    <col min="13" max="13" width="12" style="52" bestFit="1" customWidth="1"/>
    <col min="14" max="16384" width="8.58203125" style="52"/>
  </cols>
  <sheetData>
    <row r="1" spans="2:15" ht="18" x14ac:dyDescent="0.55000000000000004">
      <c r="B1" s="52" t="s">
        <v>226</v>
      </c>
      <c r="C1" s="52" t="s">
        <v>285</v>
      </c>
    </row>
    <row r="2" spans="2:15" ht="18" x14ac:dyDescent="0.55000000000000004"/>
    <row r="3" spans="2:15" ht="39.75" customHeight="1" x14ac:dyDescent="0.55000000000000004">
      <c r="B3" s="98" t="s">
        <v>289</v>
      </c>
      <c r="C3" s="98" t="s">
        <v>290</v>
      </c>
      <c r="D3" s="98" t="s">
        <v>291</v>
      </c>
      <c r="E3" s="99" t="s">
        <v>281</v>
      </c>
      <c r="F3" s="98" t="s">
        <v>292</v>
      </c>
      <c r="G3" s="98" t="s">
        <v>204</v>
      </c>
      <c r="H3" s="52" t="s">
        <v>293</v>
      </c>
    </row>
    <row r="4" spans="2:15" ht="39" customHeight="1" x14ac:dyDescent="0.55000000000000004">
      <c r="B4" s="113" t="s">
        <v>294</v>
      </c>
      <c r="C4" s="100" t="s">
        <v>295</v>
      </c>
      <c r="D4" s="125">
        <f>ROUND(H4/20,2)</f>
        <v>1</v>
      </c>
      <c r="E4" s="114">
        <v>1</v>
      </c>
      <c r="F4" s="111" t="s">
        <v>372</v>
      </c>
      <c r="G4" s="101" t="s">
        <v>297</v>
      </c>
      <c r="H4" s="52">
        <v>20</v>
      </c>
    </row>
    <row r="5" spans="2:15" ht="56.15" customHeight="1" x14ac:dyDescent="0.55000000000000004">
      <c r="B5" s="109" t="s">
        <v>278</v>
      </c>
      <c r="C5" s="100" t="s">
        <v>298</v>
      </c>
      <c r="D5" s="125">
        <f t="shared" ref="D5:D10" si="0">ROUND(H5/20,2)</f>
        <v>0.55000000000000004</v>
      </c>
      <c r="E5" s="115">
        <v>0.55000000000000004</v>
      </c>
      <c r="F5" s="105" t="s">
        <v>299</v>
      </c>
      <c r="G5" s="101" t="s">
        <v>373</v>
      </c>
      <c r="H5" s="52">
        <v>11</v>
      </c>
    </row>
    <row r="6" spans="2:15" ht="71.25" customHeight="1" x14ac:dyDescent="0.55000000000000004">
      <c r="B6" s="308" t="s">
        <v>200</v>
      </c>
      <c r="C6" s="100" t="s">
        <v>301</v>
      </c>
      <c r="D6" s="125">
        <f t="shared" si="0"/>
        <v>0</v>
      </c>
      <c r="E6" s="316">
        <v>5.41</v>
      </c>
      <c r="F6" s="101" t="s">
        <v>374</v>
      </c>
      <c r="G6" s="101" t="s">
        <v>375</v>
      </c>
      <c r="H6" s="52">
        <v>0</v>
      </c>
    </row>
    <row r="7" spans="2:15" ht="55.5" customHeight="1" x14ac:dyDescent="0.55000000000000004">
      <c r="B7" s="309"/>
      <c r="C7" s="100" t="s">
        <v>304</v>
      </c>
      <c r="D7" s="125">
        <f t="shared" si="0"/>
        <v>5.41</v>
      </c>
      <c r="E7" s="317"/>
      <c r="F7" s="105" t="s">
        <v>305</v>
      </c>
      <c r="G7" s="101" t="s">
        <v>376</v>
      </c>
      <c r="H7" s="52">
        <v>108.25</v>
      </c>
    </row>
    <row r="8" spans="2:15" ht="82.5" customHeight="1" x14ac:dyDescent="0.55000000000000004">
      <c r="B8" s="109" t="s">
        <v>279</v>
      </c>
      <c r="C8" s="100" t="s">
        <v>307</v>
      </c>
      <c r="D8" s="125">
        <f>ROUND(H8/20,2)</f>
        <v>1.28</v>
      </c>
      <c r="E8" s="115">
        <v>1.28</v>
      </c>
      <c r="F8" s="110" t="s">
        <v>308</v>
      </c>
      <c r="G8" s="101" t="s">
        <v>377</v>
      </c>
      <c r="H8" s="52">
        <v>25.5</v>
      </c>
    </row>
    <row r="9" spans="2:15" ht="54" x14ac:dyDescent="0.55000000000000004">
      <c r="B9" s="308" t="s">
        <v>280</v>
      </c>
      <c r="C9" s="100" t="s">
        <v>310</v>
      </c>
      <c r="D9" s="125">
        <f t="shared" si="0"/>
        <v>1.1299999999999999</v>
      </c>
      <c r="E9" s="316">
        <v>3.63</v>
      </c>
      <c r="F9" s="106" t="s">
        <v>311</v>
      </c>
      <c r="G9" s="101" t="s">
        <v>378</v>
      </c>
      <c r="H9" s="52">
        <v>22.5</v>
      </c>
    </row>
    <row r="10" spans="2:15" ht="39.75" customHeight="1" x14ac:dyDescent="0.55000000000000004">
      <c r="B10" s="309"/>
      <c r="C10" s="100" t="s">
        <v>313</v>
      </c>
      <c r="D10" s="125">
        <f t="shared" si="0"/>
        <v>2.5</v>
      </c>
      <c r="E10" s="317"/>
      <c r="F10" s="107" t="s">
        <v>314</v>
      </c>
      <c r="G10" s="102" t="s">
        <v>315</v>
      </c>
      <c r="H10" s="52">
        <v>50</v>
      </c>
      <c r="I10" s="135" t="s">
        <v>380</v>
      </c>
      <c r="J10" s="135" t="s">
        <v>381</v>
      </c>
      <c r="K10" s="135" t="s">
        <v>382</v>
      </c>
      <c r="L10" s="135" t="s">
        <v>383</v>
      </c>
      <c r="M10" s="135" t="s">
        <v>384</v>
      </c>
      <c r="N10" s="52" t="s">
        <v>385</v>
      </c>
      <c r="O10" s="52" t="s">
        <v>386</v>
      </c>
    </row>
    <row r="11" spans="2:15" ht="111" customHeight="1" x14ac:dyDescent="0.55000000000000004">
      <c r="B11" s="108" t="s">
        <v>202</v>
      </c>
      <c r="C11" s="103" t="s">
        <v>316</v>
      </c>
      <c r="D11" s="125">
        <f>ROUND(H11/20,2)</f>
        <v>2.4500000000000002</v>
      </c>
      <c r="E11" s="115">
        <v>2.4500000000000002</v>
      </c>
      <c r="F11" s="104" t="s">
        <v>379</v>
      </c>
      <c r="G11" s="104" t="s">
        <v>318</v>
      </c>
      <c r="H11" s="52">
        <f>SUM(H4:H10)*0.15+I11</f>
        <v>49.087499999999999</v>
      </c>
      <c r="I11" s="52">
        <f>J11/K11</f>
        <v>13.5</v>
      </c>
      <c r="J11" s="52">
        <f>L11*M11</f>
        <v>108</v>
      </c>
      <c r="K11" s="52">
        <v>8</v>
      </c>
      <c r="L11" s="52">
        <f>N11*O11</f>
        <v>36</v>
      </c>
      <c r="M11" s="52">
        <v>3</v>
      </c>
      <c r="N11" s="52">
        <v>9</v>
      </c>
      <c r="O11" s="52">
        <v>4</v>
      </c>
    </row>
    <row r="12" spans="2:15" ht="18" x14ac:dyDescent="0.55000000000000004">
      <c r="B12" s="307" t="s">
        <v>180</v>
      </c>
      <c r="C12" s="307"/>
      <c r="D12" s="307"/>
      <c r="E12" s="116">
        <f>SUM(E4:E11)</f>
        <v>14.32</v>
      </c>
      <c r="F12" s="85"/>
      <c r="G12" s="85"/>
      <c r="H12" s="119">
        <f>SUM(H4:H11)</f>
        <v>286.33749999999998</v>
      </c>
    </row>
  </sheetData>
  <autoFilter ref="B3:G12" xr:uid="{00000000-0009-0000-0000-00000B000000}"/>
  <mergeCells count="5">
    <mergeCell ref="B6:B7"/>
    <mergeCell ref="E6:E7"/>
    <mergeCell ref="B9:B10"/>
    <mergeCell ref="E9:E10"/>
    <mergeCell ref="B12:D12"/>
  </mergeCells>
  <phoneticPr fontId="2"/>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581E5-417B-4C03-954A-34E72E3314D2}">
  <dimension ref="A1:L63"/>
  <sheetViews>
    <sheetView topLeftCell="D1" zoomScale="115" zoomScaleNormal="115" workbookViewId="0">
      <selection activeCell="I5" sqref="I5"/>
    </sheetView>
  </sheetViews>
  <sheetFormatPr defaultColWidth="8.75" defaultRowHeight="18" x14ac:dyDescent="0.55000000000000004"/>
  <cols>
    <col min="1" max="1" width="8.75" style="21"/>
    <col min="2" max="2" width="3.33203125" style="21" bestFit="1" customWidth="1"/>
    <col min="3" max="3" width="8.75" style="21"/>
    <col min="4" max="4" width="24.58203125" style="21" customWidth="1"/>
    <col min="5" max="5" width="29.58203125" style="21" bestFit="1" customWidth="1"/>
    <col min="6" max="6" width="23.5" style="21" bestFit="1" customWidth="1"/>
    <col min="7" max="7" width="9.33203125" style="21" bestFit="1" customWidth="1"/>
    <col min="8" max="8" width="27.58203125" style="21" bestFit="1" customWidth="1"/>
    <col min="9" max="9" width="8.75" style="21"/>
    <col min="10" max="10" width="46" style="21" bestFit="1" customWidth="1"/>
    <col min="11" max="16384" width="8.75" style="21"/>
  </cols>
  <sheetData>
    <row r="1" spans="1:12" x14ac:dyDescent="0.55000000000000004">
      <c r="A1" s="21" t="s">
        <v>387</v>
      </c>
    </row>
    <row r="3" spans="1:12" x14ac:dyDescent="0.55000000000000004">
      <c r="C3" s="21" t="s">
        <v>388</v>
      </c>
      <c r="D3" s="21" t="s">
        <v>257</v>
      </c>
      <c r="G3" s="21">
        <f>SUM(I22:I25)</f>
        <v>20</v>
      </c>
      <c r="H3" s="21" t="s">
        <v>389</v>
      </c>
      <c r="I3" s="21">
        <f>G3/20</f>
        <v>1</v>
      </c>
      <c r="J3" s="21" t="s">
        <v>390</v>
      </c>
      <c r="K3" s="21" t="s">
        <v>391</v>
      </c>
    </row>
    <row r="4" spans="1:12" x14ac:dyDescent="0.55000000000000004">
      <c r="D4" s="21" t="s">
        <v>258</v>
      </c>
      <c r="G4" s="21">
        <f>SUM(I26:I28)</f>
        <v>11</v>
      </c>
      <c r="H4" s="21" t="s">
        <v>389</v>
      </c>
      <c r="I4" s="21">
        <f t="shared" ref="I4:I8" si="0">G4/20</f>
        <v>0.55000000000000004</v>
      </c>
      <c r="J4" s="21" t="s">
        <v>390</v>
      </c>
      <c r="K4" s="21" t="s">
        <v>392</v>
      </c>
    </row>
    <row r="5" spans="1:12" x14ac:dyDescent="0.55000000000000004">
      <c r="D5" s="21" t="s">
        <v>260</v>
      </c>
      <c r="G5" s="21">
        <f>SUM(I29:I41)</f>
        <v>108.25</v>
      </c>
      <c r="H5" s="21" t="s">
        <v>389</v>
      </c>
      <c r="I5" s="21">
        <f t="shared" si="0"/>
        <v>5.4124999999999996</v>
      </c>
      <c r="J5" s="21" t="s">
        <v>390</v>
      </c>
      <c r="K5" s="21" t="s">
        <v>392</v>
      </c>
    </row>
    <row r="6" spans="1:12" x14ac:dyDescent="0.55000000000000004">
      <c r="D6" s="21" t="s">
        <v>261</v>
      </c>
      <c r="G6" s="21">
        <f>SUM(I42:I51)</f>
        <v>17.5</v>
      </c>
      <c r="H6" s="21" t="s">
        <v>389</v>
      </c>
      <c r="I6" s="21">
        <f t="shared" si="0"/>
        <v>0.875</v>
      </c>
      <c r="J6" s="21" t="s">
        <v>390</v>
      </c>
      <c r="K6" s="21" t="s">
        <v>392</v>
      </c>
    </row>
    <row r="7" spans="1:12" x14ac:dyDescent="0.55000000000000004">
      <c r="D7" s="21" t="s">
        <v>262</v>
      </c>
      <c r="G7" s="21">
        <f>SUM(I52:I58)</f>
        <v>20</v>
      </c>
      <c r="H7" s="21" t="s">
        <v>389</v>
      </c>
      <c r="I7" s="21">
        <f t="shared" si="0"/>
        <v>1</v>
      </c>
      <c r="J7" s="21" t="s">
        <v>390</v>
      </c>
      <c r="K7" s="21" t="s">
        <v>392</v>
      </c>
    </row>
    <row r="8" spans="1:12" x14ac:dyDescent="0.55000000000000004">
      <c r="D8" s="21" t="s">
        <v>263</v>
      </c>
      <c r="G8" s="21">
        <f>SUM(I59:I61)</f>
        <v>72.5</v>
      </c>
      <c r="H8" s="21" t="s">
        <v>389</v>
      </c>
      <c r="I8" s="21">
        <f t="shared" si="0"/>
        <v>3.625</v>
      </c>
      <c r="J8" s="21" t="s">
        <v>390</v>
      </c>
      <c r="K8" s="21" t="s">
        <v>393</v>
      </c>
      <c r="L8" s="21" t="s">
        <v>394</v>
      </c>
    </row>
    <row r="9" spans="1:12" x14ac:dyDescent="0.55000000000000004">
      <c r="D9" s="21" t="s">
        <v>395</v>
      </c>
      <c r="E9" s="136" t="s">
        <v>396</v>
      </c>
      <c r="F9" s="21">
        <f>36*3</f>
        <v>108</v>
      </c>
      <c r="G9" s="21">
        <f>F9/8+ROUND(SUM(G3:G8)*0.15,0)</f>
        <v>50.5</v>
      </c>
      <c r="H9" s="28" t="s">
        <v>397</v>
      </c>
      <c r="I9" s="28">
        <f>SUM(I3:I8)*0.2</f>
        <v>2.4924999999999997</v>
      </c>
      <c r="J9" s="21" t="s">
        <v>390</v>
      </c>
      <c r="K9" s="21" t="s">
        <v>398</v>
      </c>
    </row>
    <row r="10" spans="1:12" x14ac:dyDescent="0.55000000000000004">
      <c r="D10" s="21" t="s">
        <v>399</v>
      </c>
      <c r="G10" s="21">
        <f>SUM(G3:G9)</f>
        <v>299.75</v>
      </c>
      <c r="H10" s="21" t="s">
        <v>389</v>
      </c>
      <c r="I10" s="21">
        <f>SUM(I3:I9)</f>
        <v>14.954999999999998</v>
      </c>
      <c r="J10" s="21" t="s">
        <v>390</v>
      </c>
      <c r="K10" s="21" t="s">
        <v>398</v>
      </c>
    </row>
    <row r="13" spans="1:12" x14ac:dyDescent="0.55000000000000004">
      <c r="C13" s="21" t="s">
        <v>400</v>
      </c>
    </row>
    <row r="14" spans="1:12" x14ac:dyDescent="0.55000000000000004">
      <c r="C14" s="21">
        <v>5</v>
      </c>
      <c r="D14" s="21" t="s">
        <v>401</v>
      </c>
    </row>
    <row r="15" spans="1:12" x14ac:dyDescent="0.55000000000000004">
      <c r="C15" s="21">
        <v>6</v>
      </c>
      <c r="D15" s="21" t="s">
        <v>402</v>
      </c>
    </row>
    <row r="16" spans="1:12" x14ac:dyDescent="0.55000000000000004">
      <c r="C16" s="21">
        <v>7</v>
      </c>
      <c r="D16" s="21" t="s">
        <v>403</v>
      </c>
    </row>
    <row r="17" spans="2:12" x14ac:dyDescent="0.55000000000000004">
      <c r="C17" s="21">
        <v>8</v>
      </c>
      <c r="D17" s="21" t="s">
        <v>404</v>
      </c>
    </row>
    <row r="18" spans="2:12" x14ac:dyDescent="0.55000000000000004">
      <c r="C18" s="21">
        <v>9</v>
      </c>
      <c r="D18" s="21" t="s">
        <v>405</v>
      </c>
    </row>
    <row r="19" spans="2:12" x14ac:dyDescent="0.55000000000000004">
      <c r="C19" s="21">
        <v>10</v>
      </c>
      <c r="D19" s="21" t="s">
        <v>406</v>
      </c>
    </row>
    <row r="21" spans="2:12" x14ac:dyDescent="0.55000000000000004">
      <c r="B21" s="137" t="s">
        <v>407</v>
      </c>
      <c r="C21" s="138" t="s">
        <v>408</v>
      </c>
      <c r="D21" s="139"/>
      <c r="E21" s="139"/>
      <c r="F21" s="139"/>
      <c r="G21" s="139"/>
      <c r="H21" s="139"/>
      <c r="I21" s="139" t="s">
        <v>389</v>
      </c>
      <c r="J21" s="140" t="s">
        <v>204</v>
      </c>
    </row>
    <row r="22" spans="2:12" x14ac:dyDescent="0.55000000000000004">
      <c r="B22" s="137"/>
      <c r="C22" s="141"/>
      <c r="D22" s="138" t="s">
        <v>257</v>
      </c>
      <c r="E22" s="138" t="s">
        <v>409</v>
      </c>
      <c r="F22" s="139" t="s">
        <v>410</v>
      </c>
      <c r="G22" s="139"/>
      <c r="H22" s="139"/>
      <c r="I22" s="139">
        <v>2</v>
      </c>
      <c r="J22" s="140"/>
    </row>
    <row r="23" spans="2:12" x14ac:dyDescent="0.55000000000000004">
      <c r="B23" s="137"/>
      <c r="C23" s="141"/>
      <c r="D23" s="141"/>
      <c r="E23" s="141" t="s">
        <v>411</v>
      </c>
      <c r="F23" s="21" t="s">
        <v>412</v>
      </c>
      <c r="I23" s="21">
        <v>10</v>
      </c>
      <c r="J23" s="142"/>
    </row>
    <row r="24" spans="2:12" x14ac:dyDescent="0.55000000000000004">
      <c r="B24" s="137"/>
      <c r="C24" s="141"/>
      <c r="D24" s="141"/>
      <c r="E24" s="141" t="s">
        <v>413</v>
      </c>
      <c r="I24" s="21">
        <v>3</v>
      </c>
      <c r="J24" s="142"/>
    </row>
    <row r="25" spans="2:12" x14ac:dyDescent="0.55000000000000004">
      <c r="B25" s="137"/>
      <c r="C25" s="141"/>
      <c r="D25" s="143"/>
      <c r="E25" s="143" t="s">
        <v>414</v>
      </c>
      <c r="F25" s="144"/>
      <c r="G25" s="144"/>
      <c r="H25" s="144"/>
      <c r="I25" s="144">
        <v>5</v>
      </c>
      <c r="J25" s="145"/>
    </row>
    <row r="26" spans="2:12" x14ac:dyDescent="0.55000000000000004">
      <c r="B26" s="137"/>
      <c r="C26" s="141"/>
      <c r="D26" s="138" t="s">
        <v>258</v>
      </c>
      <c r="E26" s="138" t="s">
        <v>415</v>
      </c>
      <c r="F26" s="139" t="s">
        <v>416</v>
      </c>
      <c r="G26" s="139"/>
      <c r="H26" s="139"/>
      <c r="I26" s="146">
        <v>3</v>
      </c>
      <c r="J26" s="140"/>
    </row>
    <row r="27" spans="2:12" x14ac:dyDescent="0.55000000000000004">
      <c r="B27" s="137"/>
      <c r="C27" s="141"/>
      <c r="D27" s="141"/>
      <c r="E27" s="141" t="s">
        <v>417</v>
      </c>
      <c r="F27" s="21" t="s">
        <v>418</v>
      </c>
      <c r="I27" s="147">
        <v>3</v>
      </c>
      <c r="J27" s="142"/>
    </row>
    <row r="28" spans="2:12" x14ac:dyDescent="0.55000000000000004">
      <c r="B28" s="137"/>
      <c r="C28" s="141"/>
      <c r="D28" s="143"/>
      <c r="E28" s="143" t="s">
        <v>419</v>
      </c>
      <c r="F28" s="144" t="s">
        <v>420</v>
      </c>
      <c r="G28" s="144"/>
      <c r="H28" s="144"/>
      <c r="I28" s="148">
        <v>5</v>
      </c>
      <c r="J28" s="145"/>
    </row>
    <row r="29" spans="2:12" x14ac:dyDescent="0.55000000000000004">
      <c r="C29" s="141"/>
      <c r="D29" s="138" t="s">
        <v>260</v>
      </c>
      <c r="E29" s="138" t="s">
        <v>421</v>
      </c>
      <c r="F29" s="139" t="s">
        <v>422</v>
      </c>
      <c r="G29" s="139"/>
      <c r="H29" s="139"/>
      <c r="I29" s="146">
        <v>5</v>
      </c>
      <c r="J29" s="140"/>
      <c r="K29" s="21" t="s">
        <v>423</v>
      </c>
      <c r="L29" s="149" t="s">
        <v>424</v>
      </c>
    </row>
    <row r="30" spans="2:12" x14ac:dyDescent="0.55000000000000004">
      <c r="C30" s="141"/>
      <c r="D30" s="141"/>
      <c r="E30" s="141" t="s">
        <v>425</v>
      </c>
      <c r="F30" s="21" t="s">
        <v>426</v>
      </c>
      <c r="J30" s="142"/>
    </row>
    <row r="31" spans="2:12" x14ac:dyDescent="0.55000000000000004">
      <c r="C31" s="141"/>
      <c r="D31" s="141"/>
      <c r="E31" s="141"/>
      <c r="F31" s="21" t="s">
        <v>427</v>
      </c>
      <c r="G31" s="21" t="s">
        <v>428</v>
      </c>
      <c r="H31" s="21" t="s">
        <v>429</v>
      </c>
      <c r="J31" s="142"/>
    </row>
    <row r="32" spans="2:12" x14ac:dyDescent="0.55000000000000004">
      <c r="C32" s="141"/>
      <c r="D32" s="141"/>
      <c r="E32" s="141"/>
      <c r="H32" s="21">
        <v>48</v>
      </c>
      <c r="J32" s="142"/>
    </row>
    <row r="33" spans="3:11" x14ac:dyDescent="0.55000000000000004">
      <c r="C33" s="141"/>
      <c r="D33" s="141"/>
      <c r="E33" s="141"/>
      <c r="G33" s="21" t="s">
        <v>430</v>
      </c>
      <c r="J33" s="142" t="s">
        <v>431</v>
      </c>
      <c r="K33" s="21" t="s">
        <v>432</v>
      </c>
    </row>
    <row r="34" spans="3:11" x14ac:dyDescent="0.55000000000000004">
      <c r="C34" s="141"/>
      <c r="D34" s="141"/>
      <c r="E34" s="141"/>
      <c r="F34" s="21" t="s">
        <v>433</v>
      </c>
      <c r="G34" s="21">
        <v>355</v>
      </c>
      <c r="H34" s="21">
        <f>G34/$H$32</f>
        <v>7.395833333333333</v>
      </c>
      <c r="I34" s="21">
        <v>7.4</v>
      </c>
      <c r="J34" s="142"/>
      <c r="K34" s="21" t="s">
        <v>434</v>
      </c>
    </row>
    <row r="35" spans="3:11" x14ac:dyDescent="0.55000000000000004">
      <c r="C35" s="141"/>
      <c r="D35" s="141"/>
      <c r="E35" s="141"/>
      <c r="F35" s="21" t="s">
        <v>435</v>
      </c>
      <c r="G35" s="21">
        <v>1499</v>
      </c>
      <c r="H35" s="21">
        <f t="shared" ref="H35:H40" si="1">G35/$H$32</f>
        <v>31.229166666666668</v>
      </c>
      <c r="I35" s="21">
        <v>31.3</v>
      </c>
      <c r="J35" s="142"/>
    </row>
    <row r="36" spans="3:11" x14ac:dyDescent="0.55000000000000004">
      <c r="C36" s="141"/>
      <c r="D36" s="141"/>
      <c r="E36" s="141"/>
      <c r="F36" s="21" t="s">
        <v>436</v>
      </c>
      <c r="G36" s="21">
        <v>348</v>
      </c>
      <c r="H36" s="21">
        <f t="shared" si="1"/>
        <v>7.25</v>
      </c>
      <c r="I36" s="21">
        <v>7.25</v>
      </c>
      <c r="J36" s="142"/>
    </row>
    <row r="37" spans="3:11" x14ac:dyDescent="0.55000000000000004">
      <c r="C37" s="141"/>
      <c r="D37" s="141"/>
      <c r="E37" s="141"/>
      <c r="F37" s="21" t="s">
        <v>437</v>
      </c>
      <c r="G37" s="21">
        <v>589</v>
      </c>
      <c r="H37" s="21">
        <f t="shared" si="1"/>
        <v>12.270833333333334</v>
      </c>
      <c r="I37" s="21">
        <v>12.3</v>
      </c>
      <c r="J37" s="142"/>
    </row>
    <row r="38" spans="3:11" x14ac:dyDescent="0.55000000000000004">
      <c r="C38" s="141"/>
      <c r="D38" s="141"/>
      <c r="E38" s="141"/>
      <c r="G38" s="21" t="s">
        <v>438</v>
      </c>
      <c r="J38" s="142"/>
    </row>
    <row r="39" spans="3:11" x14ac:dyDescent="0.55000000000000004">
      <c r="C39" s="141"/>
      <c r="D39" s="141"/>
      <c r="E39" s="141"/>
      <c r="F39" s="21" t="s">
        <v>439</v>
      </c>
      <c r="G39" s="21">
        <v>4668</v>
      </c>
      <c r="H39" s="21">
        <f t="shared" si="1"/>
        <v>97.25</v>
      </c>
      <c r="J39" s="142" t="s">
        <v>440</v>
      </c>
    </row>
    <row r="40" spans="3:11" x14ac:dyDescent="0.55000000000000004">
      <c r="C40" s="141"/>
      <c r="D40" s="141"/>
      <c r="E40" s="141"/>
      <c r="G40" s="21">
        <v>2166</v>
      </c>
      <c r="H40" s="21">
        <f t="shared" si="1"/>
        <v>45.125</v>
      </c>
      <c r="I40" s="21">
        <v>45</v>
      </c>
      <c r="J40" s="142" t="s">
        <v>441</v>
      </c>
    </row>
    <row r="41" spans="3:11" x14ac:dyDescent="0.55000000000000004">
      <c r="C41" s="141"/>
      <c r="D41" s="143"/>
      <c r="E41" s="143"/>
      <c r="F41" s="144"/>
      <c r="G41" s="144"/>
      <c r="H41" s="144"/>
      <c r="I41" s="144"/>
      <c r="J41" s="145"/>
    </row>
    <row r="42" spans="3:11" x14ac:dyDescent="0.55000000000000004">
      <c r="C42" s="141"/>
      <c r="D42" s="138" t="s">
        <v>261</v>
      </c>
      <c r="E42" s="138" t="s">
        <v>442</v>
      </c>
      <c r="F42" s="139"/>
      <c r="G42" s="139"/>
      <c r="H42" s="139"/>
      <c r="I42" s="139">
        <v>2</v>
      </c>
      <c r="J42" s="140"/>
    </row>
    <row r="43" spans="3:11" x14ac:dyDescent="0.55000000000000004">
      <c r="C43" s="141"/>
      <c r="D43" s="141"/>
      <c r="E43" s="141" t="s">
        <v>443</v>
      </c>
      <c r="J43" s="142"/>
      <c r="K43" s="21" t="s">
        <v>444</v>
      </c>
    </row>
    <row r="44" spans="3:11" x14ac:dyDescent="0.55000000000000004">
      <c r="C44" s="141"/>
      <c r="D44" s="141"/>
      <c r="E44" s="141"/>
      <c r="F44" s="21" t="s">
        <v>427</v>
      </c>
      <c r="G44" s="136" t="s">
        <v>445</v>
      </c>
      <c r="H44" s="21" t="s">
        <v>446</v>
      </c>
      <c r="J44" s="142"/>
      <c r="K44" s="21" t="s">
        <v>447</v>
      </c>
    </row>
    <row r="45" spans="3:11" x14ac:dyDescent="0.55000000000000004">
      <c r="C45" s="141"/>
      <c r="D45" s="141"/>
      <c r="E45" s="141"/>
      <c r="F45" s="21" t="s">
        <v>448</v>
      </c>
      <c r="G45" s="136" t="s">
        <v>449</v>
      </c>
      <c r="J45" s="150"/>
      <c r="K45" s="21" t="s">
        <v>450</v>
      </c>
    </row>
    <row r="46" spans="3:11" x14ac:dyDescent="0.55000000000000004">
      <c r="C46" s="141"/>
      <c r="D46" s="141"/>
      <c r="E46" s="141"/>
      <c r="F46" s="21" t="s">
        <v>433</v>
      </c>
      <c r="G46" s="21">
        <f>G34</f>
        <v>355</v>
      </c>
      <c r="H46" s="21">
        <f>G46*0.1</f>
        <v>35.5</v>
      </c>
      <c r="I46" s="21">
        <f>ROUND(H46/32,1)</f>
        <v>1.1000000000000001</v>
      </c>
      <c r="J46" s="142"/>
    </row>
    <row r="47" spans="3:11" x14ac:dyDescent="0.55000000000000004">
      <c r="C47" s="141"/>
      <c r="D47" s="141"/>
      <c r="E47" s="141"/>
      <c r="F47" s="21" t="s">
        <v>435</v>
      </c>
      <c r="G47" s="21">
        <f t="shared" ref="G47:G49" si="2">G35</f>
        <v>1499</v>
      </c>
      <c r="H47" s="21">
        <f t="shared" ref="H47:H50" si="3">G47*0.1</f>
        <v>149.9</v>
      </c>
      <c r="I47" s="21">
        <f t="shared" ref="I47:I50" si="4">ROUND(H47/32,1)</f>
        <v>4.7</v>
      </c>
      <c r="J47" s="142"/>
    </row>
    <row r="48" spans="3:11" x14ac:dyDescent="0.55000000000000004">
      <c r="C48" s="141"/>
      <c r="D48" s="141"/>
      <c r="E48" s="141"/>
      <c r="F48" s="21" t="s">
        <v>436</v>
      </c>
      <c r="G48" s="21">
        <f t="shared" si="2"/>
        <v>348</v>
      </c>
      <c r="H48" s="21">
        <f t="shared" si="3"/>
        <v>34.800000000000004</v>
      </c>
      <c r="I48" s="21">
        <f t="shared" si="4"/>
        <v>1.1000000000000001</v>
      </c>
      <c r="J48" s="142"/>
    </row>
    <row r="49" spans="3:11" x14ac:dyDescent="0.55000000000000004">
      <c r="C49" s="141"/>
      <c r="D49" s="141"/>
      <c r="E49" s="141"/>
      <c r="F49" s="21" t="s">
        <v>437</v>
      </c>
      <c r="G49" s="21">
        <f t="shared" si="2"/>
        <v>589</v>
      </c>
      <c r="H49" s="21">
        <f t="shared" si="3"/>
        <v>58.900000000000006</v>
      </c>
      <c r="I49" s="21">
        <f t="shared" si="4"/>
        <v>1.8</v>
      </c>
      <c r="J49" s="142"/>
    </row>
    <row r="50" spans="3:11" x14ac:dyDescent="0.55000000000000004">
      <c r="C50" s="141"/>
      <c r="D50" s="141"/>
      <c r="E50" s="141"/>
      <c r="F50" s="21" t="s">
        <v>439</v>
      </c>
      <c r="G50" s="21">
        <f>G40</f>
        <v>2166</v>
      </c>
      <c r="H50" s="21">
        <f t="shared" si="3"/>
        <v>216.60000000000002</v>
      </c>
      <c r="I50" s="21">
        <f t="shared" si="4"/>
        <v>6.8</v>
      </c>
      <c r="J50" s="142"/>
    </row>
    <row r="51" spans="3:11" x14ac:dyDescent="0.55000000000000004">
      <c r="C51" s="141"/>
      <c r="D51" s="143"/>
      <c r="E51" s="143"/>
      <c r="F51" s="144"/>
      <c r="G51" s="144"/>
      <c r="H51" s="144"/>
      <c r="I51" s="144"/>
      <c r="J51" s="145"/>
    </row>
    <row r="52" spans="3:11" x14ac:dyDescent="0.55000000000000004">
      <c r="C52" s="141"/>
      <c r="D52" s="138" t="s">
        <v>262</v>
      </c>
      <c r="E52" s="138" t="s">
        <v>451</v>
      </c>
      <c r="F52" s="139" t="s">
        <v>452</v>
      </c>
      <c r="G52" s="139"/>
      <c r="H52" s="180" t="s">
        <v>453</v>
      </c>
      <c r="I52" s="181">
        <v>5</v>
      </c>
      <c r="J52" s="140"/>
    </row>
    <row r="53" spans="3:11" x14ac:dyDescent="0.55000000000000004">
      <c r="C53" s="141"/>
      <c r="D53" s="141"/>
      <c r="E53" s="141" t="s">
        <v>454</v>
      </c>
      <c r="F53" s="21" t="s">
        <v>455</v>
      </c>
      <c r="I53" s="28">
        <v>2</v>
      </c>
      <c r="J53" s="142"/>
      <c r="K53" s="21" t="s">
        <v>456</v>
      </c>
    </row>
    <row r="54" spans="3:11" x14ac:dyDescent="0.55000000000000004">
      <c r="C54" s="141"/>
      <c r="D54" s="141"/>
      <c r="E54" s="141"/>
      <c r="F54" s="21" t="s">
        <v>457</v>
      </c>
      <c r="I54" s="28">
        <v>2</v>
      </c>
      <c r="J54" s="142"/>
    </row>
    <row r="55" spans="3:11" x14ac:dyDescent="0.55000000000000004">
      <c r="C55" s="141"/>
      <c r="D55" s="141"/>
      <c r="E55" s="141"/>
      <c r="F55" s="21" t="s">
        <v>283</v>
      </c>
      <c r="I55" s="28">
        <v>4</v>
      </c>
      <c r="J55" s="142"/>
    </row>
    <row r="56" spans="3:11" x14ac:dyDescent="0.55000000000000004">
      <c r="C56" s="141"/>
      <c r="D56" s="141"/>
      <c r="E56" s="141"/>
      <c r="F56" s="21" t="s">
        <v>284</v>
      </c>
      <c r="I56" s="28">
        <v>3</v>
      </c>
      <c r="J56" s="142"/>
    </row>
    <row r="57" spans="3:11" x14ac:dyDescent="0.55000000000000004">
      <c r="C57" s="141"/>
      <c r="D57" s="141"/>
      <c r="E57" s="141"/>
      <c r="F57" s="21" t="s">
        <v>458</v>
      </c>
      <c r="I57" s="28">
        <v>4</v>
      </c>
      <c r="J57" s="142"/>
    </row>
    <row r="58" spans="3:11" x14ac:dyDescent="0.55000000000000004">
      <c r="C58" s="141"/>
      <c r="D58" s="143"/>
      <c r="E58" s="143"/>
      <c r="F58" s="144"/>
      <c r="G58" s="144"/>
      <c r="H58" s="144"/>
      <c r="I58" s="144"/>
      <c r="J58" s="145"/>
    </row>
    <row r="59" spans="3:11" x14ac:dyDescent="0.55000000000000004">
      <c r="C59" s="141"/>
      <c r="D59" s="138" t="s">
        <v>459</v>
      </c>
      <c r="E59" s="138" t="s">
        <v>460</v>
      </c>
      <c r="F59" s="139" t="s">
        <v>461</v>
      </c>
      <c r="G59" s="139"/>
      <c r="H59" s="139"/>
      <c r="I59" s="139">
        <v>7.5</v>
      </c>
      <c r="J59" s="140"/>
    </row>
    <row r="60" spans="3:11" x14ac:dyDescent="0.55000000000000004">
      <c r="C60" s="141"/>
      <c r="D60" s="141"/>
      <c r="E60" s="141" t="s">
        <v>462</v>
      </c>
      <c r="F60" s="21" t="s">
        <v>463</v>
      </c>
      <c r="I60" s="21">
        <v>15</v>
      </c>
      <c r="J60" s="142"/>
    </row>
    <row r="61" spans="3:11" x14ac:dyDescent="0.55000000000000004">
      <c r="C61" s="141"/>
      <c r="D61" s="143"/>
      <c r="E61" s="143" t="s">
        <v>464</v>
      </c>
      <c r="F61" s="144" t="s">
        <v>465</v>
      </c>
      <c r="G61" s="144"/>
      <c r="H61" s="144" t="s">
        <v>466</v>
      </c>
      <c r="I61" s="144">
        <v>50</v>
      </c>
      <c r="J61" s="145" t="s">
        <v>467</v>
      </c>
    </row>
    <row r="62" spans="3:11" x14ac:dyDescent="0.55000000000000004">
      <c r="C62" s="143"/>
      <c r="D62" s="143" t="s">
        <v>399</v>
      </c>
      <c r="E62" s="143"/>
      <c r="F62" s="144"/>
      <c r="G62" s="144"/>
      <c r="H62" s="144"/>
      <c r="I62" s="144">
        <f>SUM(I22:I61)</f>
        <v>249.25</v>
      </c>
      <c r="J62" s="145" t="s">
        <v>389</v>
      </c>
    </row>
    <row r="63" spans="3:11" x14ac:dyDescent="0.55000000000000004">
      <c r="I63" s="21">
        <f>I62/20</f>
        <v>12.4625</v>
      </c>
      <c r="J63" s="21" t="s">
        <v>390</v>
      </c>
    </row>
  </sheetData>
  <phoneticPr fontId="2"/>
  <hyperlinks>
    <hyperlink ref="L29" r:id="rId1" xr:uid="{1B051792-5F85-407D-B884-7FCFE9EB966E}"/>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8478F-DBDF-45DF-9843-321810566062}">
  <dimension ref="B2:N33"/>
  <sheetViews>
    <sheetView topLeftCell="A13" zoomScale="130" zoomScaleNormal="130" workbookViewId="0">
      <selection activeCell="I25" sqref="I25"/>
    </sheetView>
  </sheetViews>
  <sheetFormatPr defaultRowHeight="18" x14ac:dyDescent="0.55000000000000004"/>
  <cols>
    <col min="1" max="1" width="2" customWidth="1"/>
    <col min="3" max="3" width="15.08203125" customWidth="1"/>
    <col min="5" max="5" width="14.25" style="226" bestFit="1" customWidth="1"/>
    <col min="6" max="6" width="2.75" customWidth="1"/>
    <col min="7" max="7" width="12.75" customWidth="1"/>
    <col min="8" max="10" width="12.83203125" style="226" customWidth="1"/>
    <col min="13" max="14" width="10.4140625" customWidth="1"/>
  </cols>
  <sheetData>
    <row r="2" spans="2:14" x14ac:dyDescent="0.55000000000000004">
      <c r="B2" t="s">
        <v>527</v>
      </c>
      <c r="L2" t="s">
        <v>533</v>
      </c>
    </row>
    <row r="3" spans="2:14" x14ac:dyDescent="0.55000000000000004">
      <c r="B3" s="222" t="s">
        <v>511</v>
      </c>
      <c r="C3" s="218" t="s">
        <v>289</v>
      </c>
      <c r="D3" s="218" t="s">
        <v>512</v>
      </c>
      <c r="E3" s="227" t="s">
        <v>282</v>
      </c>
      <c r="G3" s="241" t="s">
        <v>511</v>
      </c>
      <c r="H3" s="242" t="s">
        <v>526</v>
      </c>
      <c r="I3" s="243" t="s">
        <v>513</v>
      </c>
      <c r="J3" s="243" t="s">
        <v>514</v>
      </c>
      <c r="L3" s="244" t="s">
        <v>511</v>
      </c>
      <c r="M3" s="244" t="s">
        <v>532</v>
      </c>
      <c r="N3" s="244" t="s">
        <v>478</v>
      </c>
    </row>
    <row r="4" spans="2:14" x14ac:dyDescent="0.55000000000000004">
      <c r="B4" s="223" t="s">
        <v>524</v>
      </c>
      <c r="C4" s="220" t="s">
        <v>516</v>
      </c>
      <c r="D4" s="217">
        <f>'XenAPP算出根拠 (愛知)'!I5</f>
        <v>0.8</v>
      </c>
      <c r="E4" s="228">
        <f>'XenAPP算出根拠 (愛知)'!K5</f>
        <v>800000</v>
      </c>
      <c r="G4" s="79" t="s">
        <v>524</v>
      </c>
      <c r="H4" s="239">
        <f>'XenAPP算出根拠 (愛知)'!K10</f>
        <v>3072000</v>
      </c>
      <c r="I4" s="228">
        <f>'XenAPP算出根拠 (愛知)'!Q10</f>
        <v>1380000</v>
      </c>
      <c r="J4" s="228">
        <f t="shared" ref="J4:J9" si="0">H4-I4</f>
        <v>1692000</v>
      </c>
      <c r="L4" s="14" t="s">
        <v>524</v>
      </c>
      <c r="M4" s="14">
        <v>0.38</v>
      </c>
      <c r="N4" s="245">
        <f>M4*1400000</f>
        <v>532000</v>
      </c>
    </row>
    <row r="5" spans="2:14" x14ac:dyDescent="0.55000000000000004">
      <c r="B5" s="224" t="s">
        <v>515</v>
      </c>
      <c r="C5" s="220" t="s">
        <v>517</v>
      </c>
      <c r="D5" s="217">
        <f>'XenAPP算出根拠 (愛知)'!I6</f>
        <v>0.22</v>
      </c>
      <c r="E5" s="228">
        <f>'XenAPP算出根拠 (愛知)'!K6</f>
        <v>220000</v>
      </c>
      <c r="G5" s="79" t="s">
        <v>522</v>
      </c>
      <c r="H5" s="239">
        <f>'XenAPP算出根拠 (北海道)'!K10</f>
        <v>2520000</v>
      </c>
      <c r="I5" s="228">
        <f>'XenAPP算出根拠 (北海道)'!Q10</f>
        <v>1782000</v>
      </c>
      <c r="J5" s="228">
        <f t="shared" si="0"/>
        <v>738000</v>
      </c>
      <c r="L5" s="14" t="s">
        <v>522</v>
      </c>
      <c r="M5" s="14">
        <v>0.59</v>
      </c>
      <c r="N5" s="245">
        <f t="shared" ref="N5:N8" si="1">M5*1400000</f>
        <v>826000</v>
      </c>
    </row>
    <row r="6" spans="2:14" x14ac:dyDescent="0.55000000000000004">
      <c r="B6" s="224" t="s">
        <v>515</v>
      </c>
      <c r="C6" s="220" t="s">
        <v>518</v>
      </c>
      <c r="D6" s="217">
        <f>'XenAPP算出根拠 (愛知)'!I7</f>
        <v>0.15</v>
      </c>
      <c r="E6" s="228">
        <f>'XenAPP算出根拠 (愛知)'!K7</f>
        <v>150000</v>
      </c>
      <c r="G6" s="79" t="s">
        <v>521</v>
      </c>
      <c r="H6" s="239">
        <f>'XenAPP算出根拠 (千葉)'!K10</f>
        <v>6262000</v>
      </c>
      <c r="I6" s="228">
        <f>'XenAPP算出根拠 (千葉)'!Q10</f>
        <v>3682000</v>
      </c>
      <c r="J6" s="228">
        <f t="shared" si="0"/>
        <v>2580000</v>
      </c>
      <c r="L6" s="14" t="s">
        <v>521</v>
      </c>
      <c r="M6" s="14">
        <v>0.38</v>
      </c>
      <c r="N6" s="245">
        <f t="shared" si="1"/>
        <v>532000</v>
      </c>
    </row>
    <row r="7" spans="2:14" x14ac:dyDescent="0.55000000000000004">
      <c r="B7" s="224" t="s">
        <v>515</v>
      </c>
      <c r="C7" s="220" t="s">
        <v>519</v>
      </c>
      <c r="D7" s="217">
        <f>'XenAPP算出根拠 (愛知)'!I8</f>
        <v>1.23</v>
      </c>
      <c r="E7" s="228">
        <f>'XenAPP算出根拠 (愛知)'!K8</f>
        <v>1230000</v>
      </c>
      <c r="G7" s="79" t="s">
        <v>515</v>
      </c>
      <c r="H7" s="239">
        <f>'XenAPP算出根拠 (徳山) '!K10</f>
        <v>4726000</v>
      </c>
      <c r="I7" s="239">
        <f>'XenAPP算出根拠 (徳山) '!Q10</f>
        <v>2210000</v>
      </c>
      <c r="J7" s="228">
        <f t="shared" si="0"/>
        <v>2516000</v>
      </c>
      <c r="L7" s="14" t="s">
        <v>515</v>
      </c>
      <c r="M7" s="14">
        <v>0.48</v>
      </c>
      <c r="N7" s="245">
        <f t="shared" si="1"/>
        <v>672000</v>
      </c>
    </row>
    <row r="8" spans="2:14" x14ac:dyDescent="0.55000000000000004">
      <c r="B8" s="224" t="s">
        <v>515</v>
      </c>
      <c r="C8" s="220" t="s">
        <v>520</v>
      </c>
      <c r="D8" s="217">
        <f>'XenAPP算出根拠 (愛知)'!I9</f>
        <v>0.48</v>
      </c>
      <c r="E8" s="228">
        <f>'XenAPP算出根拠 (愛知)'!K9</f>
        <v>672000</v>
      </c>
      <c r="G8" s="79" t="s">
        <v>525</v>
      </c>
      <c r="H8" s="240">
        <v>0</v>
      </c>
      <c r="I8" s="239">
        <f>'XenAPP算出根拠 (四日市) '!Q10</f>
        <v>4636000</v>
      </c>
      <c r="J8" s="228">
        <f t="shared" si="0"/>
        <v>-4636000</v>
      </c>
      <c r="L8" s="14" t="s">
        <v>531</v>
      </c>
      <c r="M8" s="14">
        <v>0.35</v>
      </c>
      <c r="N8" s="245">
        <f t="shared" si="1"/>
        <v>489999.99999999994</v>
      </c>
    </row>
    <row r="9" spans="2:14" x14ac:dyDescent="0.55000000000000004">
      <c r="B9" s="224" t="s">
        <v>515</v>
      </c>
      <c r="C9" s="221" t="s">
        <v>523</v>
      </c>
      <c r="D9" s="219">
        <f>'XenAPP算出根拠 (愛知)'!I10</f>
        <v>2.88</v>
      </c>
      <c r="E9" s="229">
        <f>'XenAPP算出根拠 (愛知)'!K10</f>
        <v>3072000</v>
      </c>
      <c r="G9" s="79" t="s">
        <v>528</v>
      </c>
      <c r="H9" s="239">
        <v>1970000</v>
      </c>
      <c r="I9" s="239">
        <v>1970000</v>
      </c>
      <c r="J9" s="228">
        <f t="shared" si="0"/>
        <v>0</v>
      </c>
      <c r="L9" s="14" t="s">
        <v>480</v>
      </c>
      <c r="M9" s="14">
        <f>SUM(M4:M8)</f>
        <v>2.1800000000000002</v>
      </c>
      <c r="N9" s="245">
        <f>SUM(N4:N8)</f>
        <v>3052000</v>
      </c>
    </row>
    <row r="10" spans="2:14" x14ac:dyDescent="0.55000000000000004">
      <c r="B10" s="223" t="s">
        <v>522</v>
      </c>
      <c r="C10" s="220" t="s">
        <v>516</v>
      </c>
      <c r="D10" s="217">
        <f>'XenAPP算出根拠 (北海道)'!I5</f>
        <v>0.3</v>
      </c>
      <c r="E10" s="228" cm="1">
        <f t="array" ref="E10:E15">'XenAPP算出根拠 (北海道)'!K5:K10</f>
        <v>300000</v>
      </c>
      <c r="G10" s="79" t="s">
        <v>180</v>
      </c>
      <c r="H10" s="239">
        <f>SUM(H4:H9)</f>
        <v>18550000</v>
      </c>
      <c r="I10" s="239">
        <f>SUM(I4:I9)</f>
        <v>15660000</v>
      </c>
      <c r="J10" s="239">
        <f>SUM(J4:J9)</f>
        <v>2890000</v>
      </c>
    </row>
    <row r="11" spans="2:14" x14ac:dyDescent="0.55000000000000004">
      <c r="B11" s="224" t="s">
        <v>522</v>
      </c>
      <c r="C11" s="220" t="s">
        <v>517</v>
      </c>
      <c r="D11" s="217">
        <f>'XenAPP算出根拠 (北海道)'!I6</f>
        <v>0.13</v>
      </c>
      <c r="E11" s="228">
        <v>130000</v>
      </c>
    </row>
    <row r="12" spans="2:14" x14ac:dyDescent="0.55000000000000004">
      <c r="B12" s="224" t="s">
        <v>522</v>
      </c>
      <c r="C12" s="220" t="s">
        <v>518</v>
      </c>
      <c r="D12" s="217">
        <f>'XenAPP算出根拠 (北海道)'!I7</f>
        <v>0.3</v>
      </c>
      <c r="E12" s="228">
        <v>300000</v>
      </c>
    </row>
    <row r="13" spans="2:14" x14ac:dyDescent="0.55000000000000004">
      <c r="B13" s="224" t="s">
        <v>522</v>
      </c>
      <c r="C13" s="220" t="s">
        <v>519</v>
      </c>
      <c r="D13" s="217">
        <f>'XenAPP算出根拠 (北海道)'!I8</f>
        <v>1.23</v>
      </c>
      <c r="E13" s="228">
        <v>1230000</v>
      </c>
    </row>
    <row r="14" spans="2:14" x14ac:dyDescent="0.55000000000000004">
      <c r="B14" s="224" t="s">
        <v>522</v>
      </c>
      <c r="C14" s="220" t="s">
        <v>520</v>
      </c>
      <c r="D14" s="217">
        <f>'XenAPP算出根拠 (北海道)'!I9</f>
        <v>0.4</v>
      </c>
      <c r="E14" s="228">
        <v>560000</v>
      </c>
    </row>
    <row r="15" spans="2:14" x14ac:dyDescent="0.55000000000000004">
      <c r="B15" s="225" t="s">
        <v>522</v>
      </c>
      <c r="C15" s="221" t="s">
        <v>523</v>
      </c>
      <c r="D15" s="219">
        <f>'XenAPP算出根拠 (北海道)'!I10</f>
        <v>2.36</v>
      </c>
      <c r="E15" s="229">
        <v>2520000</v>
      </c>
    </row>
    <row r="16" spans="2:14" x14ac:dyDescent="0.55000000000000004">
      <c r="B16" s="223" t="s">
        <v>521</v>
      </c>
      <c r="C16" s="220" t="s">
        <v>516</v>
      </c>
      <c r="D16" s="217" cm="1">
        <f t="array" ref="D16:D21">'XenAPP算出根拠 (千葉)'!I5:I10</f>
        <v>1.93</v>
      </c>
      <c r="E16" s="228" cm="1">
        <f t="array" ref="E16:E21">'XenAPP算出根拠 (千葉)'!K5:K10</f>
        <v>1930000</v>
      </c>
    </row>
    <row r="17" spans="2:5" x14ac:dyDescent="0.55000000000000004">
      <c r="B17" s="224" t="s">
        <v>521</v>
      </c>
      <c r="C17" s="220" t="s">
        <v>517</v>
      </c>
      <c r="D17" s="217">
        <v>0.68</v>
      </c>
      <c r="E17" s="228">
        <v>680000</v>
      </c>
    </row>
    <row r="18" spans="2:5" x14ac:dyDescent="0.55000000000000004">
      <c r="B18" s="224" t="s">
        <v>521</v>
      </c>
      <c r="C18" s="220" t="s">
        <v>518</v>
      </c>
      <c r="D18" s="217">
        <v>0.8</v>
      </c>
      <c r="E18" s="228">
        <v>800000</v>
      </c>
    </row>
    <row r="19" spans="2:5" x14ac:dyDescent="0.55000000000000004">
      <c r="B19" s="224" t="s">
        <v>521</v>
      </c>
      <c r="C19" s="220" t="s">
        <v>519</v>
      </c>
      <c r="D19" s="217">
        <v>1.48</v>
      </c>
      <c r="E19" s="228">
        <v>1480000</v>
      </c>
    </row>
    <row r="20" spans="2:5" x14ac:dyDescent="0.55000000000000004">
      <c r="B20" s="224" t="s">
        <v>521</v>
      </c>
      <c r="C20" s="220" t="s">
        <v>520</v>
      </c>
      <c r="D20" s="217">
        <v>0.98</v>
      </c>
      <c r="E20" s="228">
        <v>1372000</v>
      </c>
    </row>
    <row r="21" spans="2:5" x14ac:dyDescent="0.55000000000000004">
      <c r="B21" s="224" t="s">
        <v>521</v>
      </c>
      <c r="C21" s="221" t="s">
        <v>523</v>
      </c>
      <c r="D21" s="219">
        <v>5.870000000000001</v>
      </c>
      <c r="E21" s="229">
        <v>6262000</v>
      </c>
    </row>
    <row r="22" spans="2:5" x14ac:dyDescent="0.55000000000000004">
      <c r="B22" s="223" t="s">
        <v>515</v>
      </c>
      <c r="C22" s="220" t="s">
        <v>516</v>
      </c>
      <c r="D22" s="217" cm="1">
        <f t="array" ref="D22:D27">'XenAPP算出根拠 (徳山) '!I5:I10</f>
        <v>1.25</v>
      </c>
      <c r="E22" s="228" cm="1">
        <f t="array" ref="E22:E27">'XenAPP算出根拠 (徳山) '!K5:K10</f>
        <v>1250000</v>
      </c>
    </row>
    <row r="23" spans="2:5" x14ac:dyDescent="0.55000000000000004">
      <c r="B23" s="224" t="s">
        <v>515</v>
      </c>
      <c r="C23" s="220" t="s">
        <v>517</v>
      </c>
      <c r="D23" s="217">
        <v>0.41</v>
      </c>
      <c r="E23" s="228">
        <v>410000</v>
      </c>
    </row>
    <row r="24" spans="2:5" x14ac:dyDescent="0.55000000000000004">
      <c r="B24" s="224" t="s">
        <v>515</v>
      </c>
      <c r="C24" s="220" t="s">
        <v>518</v>
      </c>
      <c r="D24" s="217">
        <v>0.55000000000000004</v>
      </c>
      <c r="E24" s="228">
        <v>550000</v>
      </c>
    </row>
    <row r="25" spans="2:5" x14ac:dyDescent="0.55000000000000004">
      <c r="B25" s="224" t="s">
        <v>515</v>
      </c>
      <c r="C25" s="220" t="s">
        <v>519</v>
      </c>
      <c r="D25" s="217">
        <v>1.48</v>
      </c>
      <c r="E25" s="228">
        <v>1480000</v>
      </c>
    </row>
    <row r="26" spans="2:5" x14ac:dyDescent="0.55000000000000004">
      <c r="B26" s="224" t="s">
        <v>515</v>
      </c>
      <c r="C26" s="220" t="s">
        <v>520</v>
      </c>
      <c r="D26" s="217">
        <v>0.74</v>
      </c>
      <c r="E26" s="228">
        <v>1036000</v>
      </c>
    </row>
    <row r="27" spans="2:5" x14ac:dyDescent="0.55000000000000004">
      <c r="B27" s="224" t="s">
        <v>515</v>
      </c>
      <c r="C27" s="230" t="s">
        <v>523</v>
      </c>
      <c r="D27" s="231">
        <v>4.43</v>
      </c>
      <c r="E27" s="232">
        <v>4726000</v>
      </c>
    </row>
    <row r="28" spans="2:5" x14ac:dyDescent="0.55000000000000004">
      <c r="B28" s="233" t="s">
        <v>525</v>
      </c>
      <c r="C28" s="234" t="s">
        <v>516</v>
      </c>
      <c r="D28" s="235" cm="1">
        <f t="array" ref="D28:D33">'XenAPP算出根拠 (四日市) '!I5:I10</f>
        <v>1.55</v>
      </c>
      <c r="E28" s="236" cm="1">
        <f t="array" ref="E28:E33">'XenAPP算出根拠 (四日市) '!K5:K10</f>
        <v>1550000</v>
      </c>
    </row>
    <row r="29" spans="2:5" x14ac:dyDescent="0.55000000000000004">
      <c r="B29" s="237" t="s">
        <v>525</v>
      </c>
      <c r="C29" s="234" t="s">
        <v>517</v>
      </c>
      <c r="D29" s="235">
        <v>0.57999999999999996</v>
      </c>
      <c r="E29" s="236">
        <v>580000</v>
      </c>
    </row>
    <row r="30" spans="2:5" x14ac:dyDescent="0.55000000000000004">
      <c r="B30" s="237" t="s">
        <v>525</v>
      </c>
      <c r="C30" s="234" t="s">
        <v>518</v>
      </c>
      <c r="D30" s="235">
        <v>0.15</v>
      </c>
      <c r="E30" s="236">
        <v>150000</v>
      </c>
    </row>
    <row r="31" spans="2:5" x14ac:dyDescent="0.55000000000000004">
      <c r="B31" s="237" t="s">
        <v>525</v>
      </c>
      <c r="C31" s="234" t="s">
        <v>519</v>
      </c>
      <c r="D31" s="235">
        <v>1.23</v>
      </c>
      <c r="E31" s="236">
        <v>1230000</v>
      </c>
    </row>
    <row r="32" spans="2:5" x14ac:dyDescent="0.55000000000000004">
      <c r="B32" s="237" t="s">
        <v>525</v>
      </c>
      <c r="C32" s="234" t="s">
        <v>520</v>
      </c>
      <c r="D32" s="235">
        <v>0.71</v>
      </c>
      <c r="E32" s="236">
        <v>994000</v>
      </c>
    </row>
    <row r="33" spans="2:5" x14ac:dyDescent="0.55000000000000004">
      <c r="B33" s="238" t="s">
        <v>525</v>
      </c>
      <c r="C33" s="234" t="s">
        <v>523</v>
      </c>
      <c r="D33" s="235">
        <v>4.22</v>
      </c>
      <c r="E33" s="236">
        <v>4504000</v>
      </c>
    </row>
  </sheetData>
  <phoneticPr fontId="2"/>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D9744-52FB-46E3-8F34-6F3131324496}">
  <dimension ref="A1:R61"/>
  <sheetViews>
    <sheetView topLeftCell="E53" zoomScaleNormal="100" workbookViewId="0">
      <selection activeCell="J60" sqref="J60"/>
    </sheetView>
  </sheetViews>
  <sheetFormatPr defaultColWidth="8.75" defaultRowHeight="18" x14ac:dyDescent="0.55000000000000004"/>
  <cols>
    <col min="1" max="1" width="8.75" style="21"/>
    <col min="2" max="2" width="3.33203125" style="21" bestFit="1" customWidth="1"/>
    <col min="3" max="3" width="8.75" style="21"/>
    <col min="4" max="4" width="24.58203125" style="21" customWidth="1"/>
    <col min="5" max="5" width="29.58203125" style="21" customWidth="1"/>
    <col min="6" max="6" width="23.5" style="21" customWidth="1"/>
    <col min="7" max="7" width="9.33203125" style="21" customWidth="1"/>
    <col min="8" max="8" width="27.58203125" style="21" customWidth="1"/>
    <col min="9" max="9" width="8.75" style="21" customWidth="1"/>
    <col min="10" max="10" width="46" style="21" customWidth="1"/>
    <col min="11" max="11" width="16.58203125" style="21" customWidth="1"/>
    <col min="12" max="16" width="8.75" style="21"/>
    <col min="17" max="17" width="11.25" style="21" bestFit="1" customWidth="1"/>
    <col min="18" max="16384" width="8.75" style="21"/>
  </cols>
  <sheetData>
    <row r="1" spans="1:18" x14ac:dyDescent="0.55000000000000004">
      <c r="A1" s="21" t="s">
        <v>387</v>
      </c>
    </row>
    <row r="2" spans="1:18" x14ac:dyDescent="0.55000000000000004">
      <c r="K2" s="184" t="s">
        <v>493</v>
      </c>
      <c r="L2" s="184"/>
      <c r="M2" s="184"/>
      <c r="N2" s="184"/>
      <c r="O2" s="184"/>
      <c r="P2" s="184"/>
      <c r="Q2" s="185" t="s">
        <v>492</v>
      </c>
      <c r="R2" s="184"/>
    </row>
    <row r="3" spans="1:18" x14ac:dyDescent="0.55000000000000004">
      <c r="C3" s="21" t="s">
        <v>388</v>
      </c>
      <c r="D3" s="21" t="s">
        <v>257</v>
      </c>
      <c r="G3" s="21">
        <f>SUM(I22:I25)</f>
        <v>0</v>
      </c>
      <c r="H3" s="21" t="s">
        <v>389</v>
      </c>
      <c r="I3" s="21">
        <f>G3/20</f>
        <v>0</v>
      </c>
      <c r="J3" s="21" t="s">
        <v>390</v>
      </c>
      <c r="K3" s="184"/>
      <c r="L3" s="184" t="s">
        <v>391</v>
      </c>
      <c r="M3" s="184"/>
      <c r="N3" s="184"/>
      <c r="O3" s="184"/>
      <c r="P3" s="184"/>
      <c r="Q3" s="186"/>
      <c r="R3" s="184"/>
    </row>
    <row r="4" spans="1:18" x14ac:dyDescent="0.55000000000000004">
      <c r="D4" s="21" t="s">
        <v>258</v>
      </c>
      <c r="G4" s="21">
        <f>SUM(I26:I28)</f>
        <v>0</v>
      </c>
      <c r="H4" s="21" t="s">
        <v>389</v>
      </c>
      <c r="I4" s="21">
        <f t="shared" ref="I4" si="0">G4/20</f>
        <v>0</v>
      </c>
      <c r="J4" s="21" t="s">
        <v>390</v>
      </c>
      <c r="K4" s="184"/>
      <c r="L4" s="184" t="s">
        <v>392</v>
      </c>
      <c r="M4" s="184"/>
      <c r="N4" s="184"/>
      <c r="O4" s="184"/>
      <c r="P4" s="184"/>
      <c r="Q4" s="186"/>
      <c r="R4" s="184"/>
    </row>
    <row r="5" spans="1:18" x14ac:dyDescent="0.55000000000000004">
      <c r="D5" s="21" t="s">
        <v>260</v>
      </c>
      <c r="G5" s="28">
        <f>SUM(I29:I41)</f>
        <v>16</v>
      </c>
      <c r="H5" s="28" t="s">
        <v>389</v>
      </c>
      <c r="I5" s="182">
        <f>ROUNDUP(G5/20,2)</f>
        <v>0.8</v>
      </c>
      <c r="J5" s="182" t="s">
        <v>390</v>
      </c>
      <c r="K5" s="185">
        <f>I5*1000000</f>
        <v>800000</v>
      </c>
      <c r="L5" s="184" t="s">
        <v>392</v>
      </c>
      <c r="M5" s="184"/>
      <c r="N5" s="184"/>
      <c r="O5" s="184"/>
      <c r="P5" s="184"/>
      <c r="Q5" s="193">
        <v>410000</v>
      </c>
      <c r="R5" s="184"/>
    </row>
    <row r="6" spans="1:18" x14ac:dyDescent="0.55000000000000004">
      <c r="D6" s="21" t="s">
        <v>261</v>
      </c>
      <c r="G6" s="182">
        <f>SUM(I42:I49)</f>
        <v>4.3</v>
      </c>
      <c r="H6" s="182" t="s">
        <v>389</v>
      </c>
      <c r="I6" s="182">
        <f t="shared" ref="I6:I8" si="1">ROUNDUP(G6/20,2)</f>
        <v>0.22</v>
      </c>
      <c r="J6" s="182" t="s">
        <v>390</v>
      </c>
      <c r="K6" s="185">
        <f t="shared" ref="K6:K7" si="2">I6*1000000</f>
        <v>220000</v>
      </c>
      <c r="L6" s="184" t="s">
        <v>392</v>
      </c>
      <c r="M6" s="184"/>
      <c r="N6" s="184"/>
      <c r="O6" s="184"/>
      <c r="P6" s="184"/>
      <c r="Q6" s="193">
        <v>90000</v>
      </c>
      <c r="R6" s="184"/>
    </row>
    <row r="7" spans="1:18" x14ac:dyDescent="0.55000000000000004">
      <c r="D7" s="21" t="s">
        <v>262</v>
      </c>
      <c r="G7" s="21">
        <f>SUM(I50:I56)</f>
        <v>3</v>
      </c>
      <c r="H7" s="21" t="s">
        <v>389</v>
      </c>
      <c r="I7" s="182">
        <f t="shared" si="1"/>
        <v>0.15</v>
      </c>
      <c r="J7" s="21" t="s">
        <v>390</v>
      </c>
      <c r="K7" s="185">
        <f t="shared" si="2"/>
        <v>150000</v>
      </c>
      <c r="L7" s="184" t="s">
        <v>392</v>
      </c>
      <c r="M7" s="184"/>
      <c r="N7" s="184"/>
      <c r="O7" s="184"/>
      <c r="P7" s="184"/>
      <c r="Q7" s="193">
        <v>150000</v>
      </c>
      <c r="R7" s="184"/>
    </row>
    <row r="8" spans="1:18" x14ac:dyDescent="0.55000000000000004">
      <c r="D8" s="21" t="s">
        <v>263</v>
      </c>
      <c r="G8" s="21">
        <f>SUM(I57:I59)</f>
        <v>24.5</v>
      </c>
      <c r="H8" s="21" t="s">
        <v>389</v>
      </c>
      <c r="I8" s="182">
        <f t="shared" si="1"/>
        <v>1.23</v>
      </c>
      <c r="J8" s="21" t="s">
        <v>390</v>
      </c>
      <c r="K8" s="185">
        <f>I8*1000000</f>
        <v>1230000</v>
      </c>
      <c r="L8" s="184" t="s">
        <v>393</v>
      </c>
      <c r="M8" s="184" t="s">
        <v>394</v>
      </c>
      <c r="N8" s="184"/>
      <c r="O8" s="184"/>
      <c r="P8" s="184"/>
      <c r="Q8" s="193">
        <v>230000</v>
      </c>
      <c r="R8" s="184"/>
    </row>
    <row r="9" spans="1:18" x14ac:dyDescent="0.55000000000000004">
      <c r="D9" s="21" t="s">
        <v>395</v>
      </c>
      <c r="E9" s="136" t="s">
        <v>396</v>
      </c>
      <c r="F9" s="21">
        <f>36*3</f>
        <v>108</v>
      </c>
      <c r="G9" s="21">
        <f>F9/8+ROUND(SUM(G3:G8)*0.15,0)</f>
        <v>20.5</v>
      </c>
      <c r="H9" s="147" t="s">
        <v>397</v>
      </c>
      <c r="I9" s="187">
        <f>ROUNDUP(SUM(I3:I8)*0.2,2)</f>
        <v>0.48</v>
      </c>
      <c r="J9" s="21" t="s">
        <v>390</v>
      </c>
      <c r="K9" s="185">
        <f>I9*1400000</f>
        <v>672000</v>
      </c>
      <c r="L9" s="184" t="s">
        <v>398</v>
      </c>
      <c r="M9" s="184"/>
      <c r="N9" s="184"/>
      <c r="O9" s="184"/>
      <c r="P9" s="184"/>
      <c r="Q9" s="193">
        <v>500000</v>
      </c>
      <c r="R9" s="184"/>
    </row>
    <row r="10" spans="1:18" x14ac:dyDescent="0.55000000000000004">
      <c r="D10" s="21" t="s">
        <v>399</v>
      </c>
      <c r="G10" s="21">
        <f>SUM(G3:G9)</f>
        <v>68.3</v>
      </c>
      <c r="H10" s="21" t="s">
        <v>389</v>
      </c>
      <c r="I10" s="21">
        <f>SUM(I3:I9)</f>
        <v>2.88</v>
      </c>
      <c r="J10" s="21" t="s">
        <v>390</v>
      </c>
      <c r="K10" s="185">
        <f>SUM(K3:K9)</f>
        <v>3072000</v>
      </c>
      <c r="L10" s="184" t="s">
        <v>398</v>
      </c>
      <c r="M10" s="184"/>
      <c r="N10" s="184"/>
      <c r="O10" s="184"/>
      <c r="P10" s="184"/>
      <c r="Q10" s="193">
        <f>SUM(Q5:Q9)</f>
        <v>1380000</v>
      </c>
      <c r="R10" s="184"/>
    </row>
    <row r="11" spans="1:18" x14ac:dyDescent="0.55000000000000004">
      <c r="O11" s="28"/>
      <c r="P11" s="28" t="s">
        <v>499</v>
      </c>
      <c r="Q11" s="186">
        <f>K10-+Q10</f>
        <v>1692000</v>
      </c>
    </row>
    <row r="13" spans="1:18" x14ac:dyDescent="0.55000000000000004">
      <c r="C13" s="21" t="s">
        <v>400</v>
      </c>
    </row>
    <row r="14" spans="1:18" x14ac:dyDescent="0.55000000000000004">
      <c r="C14" s="199">
        <v>5</v>
      </c>
      <c r="D14" s="199" t="s">
        <v>401</v>
      </c>
    </row>
    <row r="15" spans="1:18" x14ac:dyDescent="0.55000000000000004">
      <c r="C15" s="200">
        <v>6</v>
      </c>
      <c r="D15" s="200" t="s">
        <v>402</v>
      </c>
    </row>
    <row r="16" spans="1:18" x14ac:dyDescent="0.55000000000000004">
      <c r="C16" s="21">
        <v>7</v>
      </c>
      <c r="D16" s="21" t="s">
        <v>403</v>
      </c>
    </row>
    <row r="17" spans="2:13" x14ac:dyDescent="0.55000000000000004">
      <c r="C17" s="21">
        <v>8</v>
      </c>
      <c r="D17" s="21" t="s">
        <v>404</v>
      </c>
    </row>
    <row r="18" spans="2:13" x14ac:dyDescent="0.55000000000000004">
      <c r="C18" s="21">
        <v>9</v>
      </c>
      <c r="D18" s="21" t="s">
        <v>501</v>
      </c>
    </row>
    <row r="19" spans="2:13" x14ac:dyDescent="0.55000000000000004">
      <c r="C19" s="21">
        <v>10</v>
      </c>
      <c r="D19" s="21" t="s">
        <v>406</v>
      </c>
    </row>
    <row r="21" spans="2:13" x14ac:dyDescent="0.55000000000000004">
      <c r="B21" s="137" t="s">
        <v>407</v>
      </c>
      <c r="C21" s="138" t="s">
        <v>408</v>
      </c>
      <c r="D21" s="139"/>
      <c r="E21" s="139"/>
      <c r="F21" s="139"/>
      <c r="G21" s="139"/>
      <c r="H21" s="139"/>
      <c r="I21" s="139" t="s">
        <v>389</v>
      </c>
      <c r="J21" s="140" t="s">
        <v>204</v>
      </c>
    </row>
    <row r="22" spans="2:13" x14ac:dyDescent="0.55000000000000004">
      <c r="B22" s="137"/>
      <c r="C22" s="141"/>
      <c r="D22" s="138" t="s">
        <v>257</v>
      </c>
      <c r="E22" s="138" t="s">
        <v>409</v>
      </c>
      <c r="F22" s="139" t="s">
        <v>410</v>
      </c>
      <c r="G22" s="139"/>
      <c r="H22" s="139"/>
      <c r="I22" s="139"/>
      <c r="J22" s="140"/>
    </row>
    <row r="23" spans="2:13" x14ac:dyDescent="0.55000000000000004">
      <c r="B23" s="137"/>
      <c r="C23" s="141"/>
      <c r="D23" s="141"/>
      <c r="E23" s="141" t="s">
        <v>411</v>
      </c>
      <c r="F23" s="21" t="s">
        <v>412</v>
      </c>
      <c r="J23" s="142"/>
    </row>
    <row r="24" spans="2:13" x14ac:dyDescent="0.55000000000000004">
      <c r="B24" s="137"/>
      <c r="C24" s="141"/>
      <c r="D24" s="141"/>
      <c r="E24" s="141" t="s">
        <v>413</v>
      </c>
      <c r="J24" s="142"/>
    </row>
    <row r="25" spans="2:13" x14ac:dyDescent="0.55000000000000004">
      <c r="B25" s="137"/>
      <c r="C25" s="141"/>
      <c r="D25" s="143"/>
      <c r="E25" s="143" t="s">
        <v>414</v>
      </c>
      <c r="F25" s="144"/>
      <c r="G25" s="144"/>
      <c r="H25" s="144"/>
      <c r="I25" s="144"/>
      <c r="J25" s="145"/>
    </row>
    <row r="26" spans="2:13" x14ac:dyDescent="0.55000000000000004">
      <c r="B26" s="137"/>
      <c r="C26" s="141"/>
      <c r="D26" s="138" t="s">
        <v>258</v>
      </c>
      <c r="E26" s="138" t="s">
        <v>415</v>
      </c>
      <c r="F26" s="139" t="s">
        <v>416</v>
      </c>
      <c r="G26" s="139"/>
      <c r="H26" s="139"/>
      <c r="I26" s="146"/>
      <c r="J26" s="140"/>
    </row>
    <row r="27" spans="2:13" x14ac:dyDescent="0.55000000000000004">
      <c r="B27" s="137"/>
      <c r="C27" s="141"/>
      <c r="D27" s="141"/>
      <c r="E27" s="141" t="s">
        <v>417</v>
      </c>
      <c r="F27" s="21" t="s">
        <v>418</v>
      </c>
      <c r="I27" s="147"/>
      <c r="J27" s="142"/>
    </row>
    <row r="28" spans="2:13" x14ac:dyDescent="0.55000000000000004">
      <c r="B28" s="137"/>
      <c r="C28" s="141"/>
      <c r="D28" s="143"/>
      <c r="E28" s="143" t="s">
        <v>419</v>
      </c>
      <c r="F28" s="144" t="s">
        <v>420</v>
      </c>
      <c r="G28" s="144"/>
      <c r="H28" s="144"/>
      <c r="I28" s="148"/>
      <c r="J28" s="145"/>
    </row>
    <row r="29" spans="2:13" x14ac:dyDescent="0.55000000000000004">
      <c r="C29" s="141"/>
      <c r="D29" s="138" t="s">
        <v>260</v>
      </c>
      <c r="E29" s="138" t="s">
        <v>421</v>
      </c>
      <c r="F29" s="139" t="s">
        <v>422</v>
      </c>
      <c r="G29" s="139"/>
      <c r="H29" s="139"/>
      <c r="I29" s="146">
        <v>5</v>
      </c>
      <c r="J29" s="140"/>
      <c r="L29" s="21" t="s">
        <v>423</v>
      </c>
      <c r="M29" s="149" t="s">
        <v>424</v>
      </c>
    </row>
    <row r="30" spans="2:13" x14ac:dyDescent="0.55000000000000004">
      <c r="C30" s="141"/>
      <c r="D30" s="141"/>
      <c r="E30" s="194" t="s">
        <v>486</v>
      </c>
      <c r="F30" s="182" t="s">
        <v>487</v>
      </c>
      <c r="G30" s="182" t="s">
        <v>428</v>
      </c>
      <c r="H30" s="182" t="s">
        <v>488</v>
      </c>
      <c r="I30" s="182"/>
      <c r="J30" s="142" t="s">
        <v>494</v>
      </c>
    </row>
    <row r="31" spans="2:13" x14ac:dyDescent="0.55000000000000004">
      <c r="C31" s="141"/>
      <c r="D31" s="141"/>
      <c r="E31" s="183"/>
      <c r="F31" s="182"/>
      <c r="G31" s="182">
        <v>53</v>
      </c>
      <c r="H31" s="182"/>
      <c r="I31" s="182">
        <f>G31/10</f>
        <v>5.3</v>
      </c>
      <c r="J31" s="142"/>
    </row>
    <row r="32" spans="2:13" x14ac:dyDescent="0.55000000000000004">
      <c r="C32" s="141"/>
      <c r="D32" s="141"/>
      <c r="E32" s="141" t="s">
        <v>425</v>
      </c>
      <c r="F32" s="21" t="s">
        <v>426</v>
      </c>
      <c r="J32" s="142"/>
    </row>
    <row r="33" spans="3:12" x14ac:dyDescent="0.55000000000000004">
      <c r="C33" s="141"/>
      <c r="D33" s="141"/>
      <c r="E33" s="141"/>
      <c r="F33" s="21" t="s">
        <v>427</v>
      </c>
      <c r="G33" s="21" t="s">
        <v>428</v>
      </c>
      <c r="H33" s="21" t="s">
        <v>429</v>
      </c>
      <c r="J33" s="142"/>
    </row>
    <row r="34" spans="3:12" x14ac:dyDescent="0.55000000000000004">
      <c r="C34" s="141"/>
      <c r="D34" s="141"/>
      <c r="E34" s="141"/>
      <c r="H34" s="21">
        <v>48</v>
      </c>
      <c r="J34" s="142"/>
    </row>
    <row r="35" spans="3:12" x14ac:dyDescent="0.55000000000000004">
      <c r="C35" s="141"/>
      <c r="D35" s="141"/>
      <c r="E35" s="141"/>
      <c r="G35" s="21" t="s">
        <v>490</v>
      </c>
      <c r="J35" s="142" t="s">
        <v>431</v>
      </c>
      <c r="L35" s="21" t="s">
        <v>432</v>
      </c>
    </row>
    <row r="36" spans="3:12" x14ac:dyDescent="0.55000000000000004">
      <c r="C36" s="141"/>
      <c r="D36" s="141"/>
      <c r="E36" s="141"/>
      <c r="F36" s="21" t="s">
        <v>436</v>
      </c>
      <c r="G36" s="21">
        <v>233</v>
      </c>
      <c r="H36" s="21">
        <f>G36/$H$34</f>
        <v>4.854166666666667</v>
      </c>
      <c r="I36" s="21">
        <v>5.0999999999999996</v>
      </c>
      <c r="J36" s="142"/>
    </row>
    <row r="37" spans="3:12" x14ac:dyDescent="0.55000000000000004">
      <c r="C37" s="141"/>
      <c r="D37" s="141"/>
      <c r="E37" s="141"/>
      <c r="J37" s="142"/>
    </row>
    <row r="38" spans="3:12" x14ac:dyDescent="0.55000000000000004">
      <c r="C38" s="141"/>
      <c r="D38" s="141"/>
      <c r="E38" s="183" t="s">
        <v>491</v>
      </c>
      <c r="F38" s="182"/>
      <c r="G38" s="182"/>
      <c r="H38" s="182"/>
      <c r="I38" s="187"/>
      <c r="J38" s="142"/>
    </row>
    <row r="39" spans="3:12" x14ac:dyDescent="0.55000000000000004">
      <c r="C39" s="141"/>
      <c r="D39" s="141"/>
      <c r="E39" s="183"/>
      <c r="F39" s="182" t="s">
        <v>500</v>
      </c>
      <c r="G39" s="182"/>
      <c r="H39" s="182"/>
      <c r="I39" s="187"/>
      <c r="J39" s="142"/>
    </row>
    <row r="40" spans="3:12" x14ac:dyDescent="0.55000000000000004">
      <c r="C40" s="141"/>
      <c r="D40" s="141"/>
      <c r="E40" s="183"/>
      <c r="F40" s="182" t="s">
        <v>436</v>
      </c>
      <c r="G40" s="182">
        <f>ROUNDUP($G36*0.2,0)</f>
        <v>47</v>
      </c>
      <c r="H40" s="28">
        <f>G40/$H$34</f>
        <v>0.97916666666666663</v>
      </c>
      <c r="I40" s="28">
        <v>0.6</v>
      </c>
      <c r="J40" s="142"/>
    </row>
    <row r="41" spans="3:12" x14ac:dyDescent="0.55000000000000004">
      <c r="C41" s="141"/>
      <c r="D41" s="143"/>
      <c r="E41" s="143"/>
      <c r="F41" s="144"/>
      <c r="G41" s="144"/>
      <c r="H41" s="144"/>
      <c r="I41" s="144"/>
      <c r="J41" s="145"/>
    </row>
    <row r="42" spans="3:12" x14ac:dyDescent="0.55000000000000004">
      <c r="C42" s="141"/>
      <c r="D42" s="138" t="s">
        <v>261</v>
      </c>
      <c r="E42" s="138" t="s">
        <v>442</v>
      </c>
      <c r="F42" s="139"/>
      <c r="G42" s="139"/>
      <c r="H42" s="139"/>
      <c r="I42" s="139">
        <v>2</v>
      </c>
      <c r="J42" s="140"/>
    </row>
    <row r="43" spans="3:12" x14ac:dyDescent="0.55000000000000004">
      <c r="C43" s="141"/>
      <c r="D43" s="141"/>
      <c r="E43" s="141" t="s">
        <v>443</v>
      </c>
      <c r="J43" s="142"/>
      <c r="L43" s="21" t="s">
        <v>444</v>
      </c>
    </row>
    <row r="44" spans="3:12" x14ac:dyDescent="0.55000000000000004">
      <c r="C44" s="141"/>
      <c r="D44" s="141"/>
      <c r="E44" s="141"/>
      <c r="F44" s="21" t="s">
        <v>427</v>
      </c>
      <c r="G44" s="190" t="s">
        <v>498</v>
      </c>
      <c r="H44" s="21" t="s">
        <v>495</v>
      </c>
      <c r="J44" s="142"/>
      <c r="L44" s="21" t="s">
        <v>447</v>
      </c>
    </row>
    <row r="45" spans="3:12" x14ac:dyDescent="0.55000000000000004">
      <c r="C45" s="141"/>
      <c r="D45" s="141"/>
      <c r="E45" s="141"/>
      <c r="F45" s="21" t="s">
        <v>448</v>
      </c>
      <c r="G45" s="136" t="s">
        <v>449</v>
      </c>
      <c r="J45" s="150"/>
      <c r="K45" s="136"/>
      <c r="L45" s="21" t="s">
        <v>450</v>
      </c>
    </row>
    <row r="46" spans="3:12" x14ac:dyDescent="0.55000000000000004">
      <c r="C46" s="141"/>
      <c r="D46" s="141"/>
      <c r="E46" s="141"/>
      <c r="J46" s="142"/>
    </row>
    <row r="47" spans="3:12" x14ac:dyDescent="0.55000000000000004">
      <c r="C47" s="141"/>
      <c r="D47" s="141"/>
      <c r="E47" s="141"/>
      <c r="J47" s="142"/>
    </row>
    <row r="48" spans="3:12" ht="36" x14ac:dyDescent="0.55000000000000004">
      <c r="C48" s="141"/>
      <c r="D48" s="141"/>
      <c r="E48" s="141"/>
      <c r="F48" s="187" t="s">
        <v>436</v>
      </c>
      <c r="G48" s="187">
        <f>G36+G40</f>
        <v>280</v>
      </c>
      <c r="H48" s="182">
        <f>54</f>
        <v>54</v>
      </c>
      <c r="I48" s="182">
        <f>ROUND(H48/24,1)</f>
        <v>2.2999999999999998</v>
      </c>
      <c r="J48" s="191" t="s">
        <v>496</v>
      </c>
    </row>
    <row r="49" spans="3:12" x14ac:dyDescent="0.55000000000000004">
      <c r="C49" s="141"/>
      <c r="D49" s="143"/>
      <c r="E49" s="143"/>
      <c r="F49" s="188"/>
      <c r="G49" s="188"/>
      <c r="H49" s="188"/>
      <c r="I49" s="188"/>
      <c r="J49" s="189"/>
    </row>
    <row r="50" spans="3:12" x14ac:dyDescent="0.55000000000000004">
      <c r="C50" s="141"/>
      <c r="D50" s="138" t="s">
        <v>262</v>
      </c>
      <c r="E50" s="138" t="s">
        <v>451</v>
      </c>
      <c r="F50" s="139" t="s">
        <v>452</v>
      </c>
      <c r="G50" s="139"/>
      <c r="H50" s="192" t="s">
        <v>453</v>
      </c>
      <c r="I50" s="192">
        <v>1</v>
      </c>
      <c r="J50" s="140"/>
    </row>
    <row r="51" spans="3:12" x14ac:dyDescent="0.55000000000000004">
      <c r="C51" s="141"/>
      <c r="D51" s="141"/>
      <c r="E51" s="141" t="s">
        <v>454</v>
      </c>
      <c r="F51" s="21" t="s">
        <v>455</v>
      </c>
      <c r="H51" s="187"/>
      <c r="I51" s="187">
        <v>2</v>
      </c>
      <c r="J51" s="142"/>
      <c r="L51" s="21" t="s">
        <v>456</v>
      </c>
    </row>
    <row r="52" spans="3:12" x14ac:dyDescent="0.55000000000000004">
      <c r="C52" s="141"/>
      <c r="D52" s="141"/>
      <c r="E52" s="141"/>
      <c r="F52" s="21" t="s">
        <v>457</v>
      </c>
      <c r="I52" s="28"/>
      <c r="J52" s="142"/>
    </row>
    <row r="53" spans="3:12" x14ac:dyDescent="0.55000000000000004">
      <c r="C53" s="141"/>
      <c r="D53" s="141"/>
      <c r="E53" s="141"/>
      <c r="F53" s="21" t="s">
        <v>283</v>
      </c>
      <c r="I53" s="28"/>
      <c r="J53" s="142"/>
    </row>
    <row r="54" spans="3:12" x14ac:dyDescent="0.55000000000000004">
      <c r="C54" s="141"/>
      <c r="D54" s="141"/>
      <c r="E54" s="141"/>
      <c r="F54" s="21" t="s">
        <v>284</v>
      </c>
      <c r="I54" s="28"/>
      <c r="J54" s="142"/>
    </row>
    <row r="55" spans="3:12" x14ac:dyDescent="0.55000000000000004">
      <c r="C55" s="141"/>
      <c r="D55" s="141"/>
      <c r="E55" s="141"/>
      <c r="F55" s="21" t="s">
        <v>458</v>
      </c>
      <c r="I55" s="28"/>
      <c r="J55" s="142"/>
    </row>
    <row r="56" spans="3:12" x14ac:dyDescent="0.55000000000000004">
      <c r="C56" s="141"/>
      <c r="D56" s="143"/>
      <c r="E56" s="143"/>
      <c r="F56" s="144"/>
      <c r="G56" s="144"/>
      <c r="H56" s="144"/>
      <c r="I56" s="144"/>
      <c r="J56" s="145"/>
    </row>
    <row r="57" spans="3:12" x14ac:dyDescent="0.55000000000000004">
      <c r="C57" s="141"/>
      <c r="D57" s="138" t="s">
        <v>459</v>
      </c>
      <c r="E57" s="138" t="s">
        <v>460</v>
      </c>
      <c r="F57" s="139" t="s">
        <v>461</v>
      </c>
      <c r="G57" s="139"/>
      <c r="H57" s="139"/>
      <c r="I57" s="139">
        <v>1.5</v>
      </c>
      <c r="J57" s="140"/>
    </row>
    <row r="58" spans="3:12" x14ac:dyDescent="0.55000000000000004">
      <c r="C58" s="141"/>
      <c r="D58" s="141"/>
      <c r="E58" s="141" t="s">
        <v>462</v>
      </c>
      <c r="F58" s="21" t="s">
        <v>463</v>
      </c>
      <c r="I58" s="21">
        <v>3</v>
      </c>
      <c r="J58" s="142"/>
    </row>
    <row r="59" spans="3:12" ht="54" x14ac:dyDescent="0.55000000000000004">
      <c r="C59" s="141"/>
      <c r="D59" s="143"/>
      <c r="E59" s="195" t="s">
        <v>464</v>
      </c>
      <c r="F59" s="196" t="s">
        <v>489</v>
      </c>
      <c r="G59" s="197"/>
      <c r="H59" s="197" t="s">
        <v>466</v>
      </c>
      <c r="I59" s="197">
        <v>20</v>
      </c>
      <c r="J59" s="198" t="s">
        <v>497</v>
      </c>
    </row>
    <row r="60" spans="3:12" x14ac:dyDescent="0.55000000000000004">
      <c r="C60" s="143"/>
      <c r="D60" s="143" t="s">
        <v>399</v>
      </c>
      <c r="E60" s="143"/>
      <c r="F60" s="144"/>
      <c r="G60" s="144"/>
      <c r="H60" s="144"/>
      <c r="I60" s="144">
        <f>SUM(I22:I59)</f>
        <v>47.8</v>
      </c>
      <c r="J60" s="145" t="s">
        <v>389</v>
      </c>
    </row>
    <row r="61" spans="3:12" x14ac:dyDescent="0.55000000000000004">
      <c r="I61" s="21">
        <f>I60/20</f>
        <v>2.3899999999999997</v>
      </c>
      <c r="J61" s="21" t="s">
        <v>390</v>
      </c>
    </row>
  </sheetData>
  <phoneticPr fontId="2"/>
  <hyperlinks>
    <hyperlink ref="M29" r:id="rId1" xr:uid="{E15D59A3-0C72-485F-8677-CE4DD6847E79}"/>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1A25A-083E-4B30-8896-088C748F4CBB}">
  <dimension ref="A1:R61"/>
  <sheetViews>
    <sheetView topLeftCell="H1" zoomScaleNormal="100" workbookViewId="0">
      <selection activeCell="J9" sqref="J9"/>
    </sheetView>
  </sheetViews>
  <sheetFormatPr defaultColWidth="8.75" defaultRowHeight="18" x14ac:dyDescent="0.55000000000000004"/>
  <cols>
    <col min="1" max="1" width="8.75" style="187"/>
    <col min="2" max="2" width="3.33203125" style="187" bestFit="1" customWidth="1"/>
    <col min="3" max="3" width="8.75" style="187"/>
    <col min="4" max="4" width="24.58203125" style="187" customWidth="1"/>
    <col min="5" max="5" width="29.58203125" style="187" customWidth="1"/>
    <col min="6" max="6" width="23.5" style="187" customWidth="1"/>
    <col min="7" max="7" width="9.33203125" style="187" customWidth="1"/>
    <col min="8" max="8" width="27.58203125" style="187" customWidth="1"/>
    <col min="9" max="9" width="8.75" style="187" customWidth="1"/>
    <col min="10" max="10" width="46" style="187" customWidth="1"/>
    <col min="11" max="11" width="16.58203125" style="187" customWidth="1"/>
    <col min="12" max="16" width="8.75" style="187"/>
    <col min="17" max="17" width="11.25" style="187" bestFit="1" customWidth="1"/>
    <col min="18" max="16384" width="8.75" style="187"/>
  </cols>
  <sheetData>
    <row r="1" spans="1:18" x14ac:dyDescent="0.55000000000000004">
      <c r="A1" s="187" t="s">
        <v>387</v>
      </c>
    </row>
    <row r="2" spans="1:18" x14ac:dyDescent="0.55000000000000004">
      <c r="K2" s="201" t="s">
        <v>493</v>
      </c>
      <c r="L2" s="201"/>
      <c r="M2" s="201"/>
      <c r="N2" s="201"/>
      <c r="O2" s="201"/>
      <c r="P2" s="201"/>
      <c r="Q2" s="201" t="s">
        <v>492</v>
      </c>
      <c r="R2" s="201"/>
    </row>
    <row r="3" spans="1:18" x14ac:dyDescent="0.55000000000000004">
      <c r="C3" s="187" t="s">
        <v>388</v>
      </c>
      <c r="D3" s="187" t="s">
        <v>257</v>
      </c>
      <c r="G3" s="187">
        <f>SUM(I22:I25)</f>
        <v>0</v>
      </c>
      <c r="H3" s="187" t="s">
        <v>389</v>
      </c>
      <c r="I3" s="187">
        <f>G3/20</f>
        <v>0</v>
      </c>
      <c r="J3" s="187" t="s">
        <v>390</v>
      </c>
      <c r="K3" s="201"/>
      <c r="L3" s="201" t="s">
        <v>391</v>
      </c>
      <c r="M3" s="201"/>
      <c r="N3" s="201"/>
      <c r="O3" s="21"/>
      <c r="P3" s="201"/>
      <c r="Q3" s="201"/>
      <c r="R3" s="201"/>
    </row>
    <row r="4" spans="1:18" x14ac:dyDescent="0.55000000000000004">
      <c r="D4" s="187" t="s">
        <v>258</v>
      </c>
      <c r="G4" s="187">
        <f>SUM(I26:I28)</f>
        <v>0</v>
      </c>
      <c r="H4" s="187" t="s">
        <v>389</v>
      </c>
      <c r="I4" s="187">
        <f t="shared" ref="I4" si="0">G4/20</f>
        <v>0</v>
      </c>
      <c r="J4" s="187" t="s">
        <v>390</v>
      </c>
      <c r="K4" s="201"/>
      <c r="L4" s="201" t="s">
        <v>392</v>
      </c>
      <c r="M4" s="201"/>
      <c r="N4" s="201"/>
      <c r="O4" s="21"/>
      <c r="P4" s="201"/>
      <c r="Q4" s="201"/>
      <c r="R4" s="201"/>
    </row>
    <row r="5" spans="1:18" x14ac:dyDescent="0.55000000000000004">
      <c r="D5" s="187" t="s">
        <v>260</v>
      </c>
      <c r="G5" s="187">
        <f>SUM(I29:I41)</f>
        <v>6</v>
      </c>
      <c r="H5" s="187" t="s">
        <v>389</v>
      </c>
      <c r="I5" s="187">
        <f>ROUNDUP(G5/20,2)</f>
        <v>0.3</v>
      </c>
      <c r="J5" s="187" t="s">
        <v>390</v>
      </c>
      <c r="K5" s="201">
        <f>I5*1000000</f>
        <v>300000</v>
      </c>
      <c r="L5" s="201" t="s">
        <v>392</v>
      </c>
      <c r="M5" s="201"/>
      <c r="N5" s="201"/>
      <c r="O5" s="21"/>
      <c r="P5" s="201"/>
      <c r="Q5" s="201">
        <v>420000</v>
      </c>
      <c r="R5" s="201"/>
    </row>
    <row r="6" spans="1:18" x14ac:dyDescent="0.55000000000000004">
      <c r="D6" s="187" t="s">
        <v>261</v>
      </c>
      <c r="G6" s="187">
        <f>SUM(I42:I49)</f>
        <v>2.5</v>
      </c>
      <c r="H6" s="187" t="s">
        <v>389</v>
      </c>
      <c r="I6" s="187">
        <f t="shared" ref="I6:I8" si="1">ROUNDUP(G6/20,2)</f>
        <v>0.13</v>
      </c>
      <c r="J6" s="187" t="s">
        <v>390</v>
      </c>
      <c r="K6" s="201">
        <f t="shared" ref="K6:K7" si="2">I6*1000000</f>
        <v>130000</v>
      </c>
      <c r="L6" s="201" t="s">
        <v>392</v>
      </c>
      <c r="M6" s="201"/>
      <c r="N6" s="201"/>
      <c r="O6" s="21"/>
      <c r="P6" s="201"/>
      <c r="Q6" s="201">
        <v>90000</v>
      </c>
      <c r="R6" s="201"/>
    </row>
    <row r="7" spans="1:18" x14ac:dyDescent="0.55000000000000004">
      <c r="D7" s="187" t="s">
        <v>262</v>
      </c>
      <c r="G7" s="187">
        <f>SUM(I50:I56)</f>
        <v>6</v>
      </c>
      <c r="H7" s="187" t="s">
        <v>389</v>
      </c>
      <c r="I7" s="187">
        <f t="shared" si="1"/>
        <v>0.3</v>
      </c>
      <c r="J7" s="187" t="s">
        <v>390</v>
      </c>
      <c r="K7" s="201">
        <f t="shared" si="2"/>
        <v>300000</v>
      </c>
      <c r="L7" s="201" t="s">
        <v>392</v>
      </c>
      <c r="M7" s="201"/>
      <c r="N7" s="201"/>
      <c r="O7" s="21"/>
      <c r="P7" s="201"/>
      <c r="Q7" s="201">
        <v>150000</v>
      </c>
      <c r="R7" s="201"/>
    </row>
    <row r="8" spans="1:18" x14ac:dyDescent="0.55000000000000004">
      <c r="D8" s="187" t="s">
        <v>263</v>
      </c>
      <c r="G8" s="187">
        <f>SUM(I57:I59)</f>
        <v>24.5</v>
      </c>
      <c r="H8" s="187" t="s">
        <v>389</v>
      </c>
      <c r="I8" s="187">
        <f t="shared" si="1"/>
        <v>1.23</v>
      </c>
      <c r="J8" s="187" t="s">
        <v>390</v>
      </c>
      <c r="K8" s="201">
        <f>I8*1000000</f>
        <v>1230000</v>
      </c>
      <c r="L8" s="201" t="s">
        <v>393</v>
      </c>
      <c r="M8" s="201" t="s">
        <v>394</v>
      </c>
      <c r="N8" s="201"/>
      <c r="O8" s="21"/>
      <c r="P8" s="201"/>
      <c r="Q8" s="193">
        <v>730000</v>
      </c>
      <c r="R8" s="201"/>
    </row>
    <row r="9" spans="1:18" x14ac:dyDescent="0.55000000000000004">
      <c r="D9" s="187" t="s">
        <v>395</v>
      </c>
      <c r="E9" s="202" t="s">
        <v>396</v>
      </c>
      <c r="F9" s="187">
        <f>36*3</f>
        <v>108</v>
      </c>
      <c r="G9" s="187">
        <f>F9/8+ROUND(SUM(G3:G8)*0.15,0)</f>
        <v>19.5</v>
      </c>
      <c r="H9" s="187" t="s">
        <v>397</v>
      </c>
      <c r="I9" s="187">
        <f>ROUNDUP(SUM(I3:I8)*0.2,2)</f>
        <v>0.4</v>
      </c>
      <c r="J9" s="187" t="s">
        <v>390</v>
      </c>
      <c r="K9" s="201">
        <f>I9*1400000</f>
        <v>560000</v>
      </c>
      <c r="L9" s="201" t="s">
        <v>398</v>
      </c>
      <c r="M9" s="201"/>
      <c r="N9" s="201"/>
      <c r="O9" s="21"/>
      <c r="P9" s="201"/>
      <c r="Q9" s="193">
        <v>392000</v>
      </c>
      <c r="R9" s="201"/>
    </row>
    <row r="10" spans="1:18" x14ac:dyDescent="0.55000000000000004">
      <c r="D10" s="187" t="s">
        <v>399</v>
      </c>
      <c r="G10" s="187">
        <f>SUM(G3:G9)</f>
        <v>58.5</v>
      </c>
      <c r="H10" s="187" t="s">
        <v>389</v>
      </c>
      <c r="I10" s="187">
        <f>SUM(I3:I9)</f>
        <v>2.36</v>
      </c>
      <c r="J10" s="187" t="s">
        <v>390</v>
      </c>
      <c r="K10" s="201">
        <f>SUM(K3:K9)</f>
        <v>2520000</v>
      </c>
      <c r="L10" s="201" t="s">
        <v>398</v>
      </c>
      <c r="M10" s="201"/>
      <c r="N10" s="201"/>
      <c r="O10" s="21"/>
      <c r="P10" s="201"/>
      <c r="Q10" s="201">
        <f>SUM(Q5:Q9)</f>
        <v>1782000</v>
      </c>
      <c r="R10" s="201"/>
    </row>
    <row r="11" spans="1:18" x14ac:dyDescent="0.55000000000000004">
      <c r="P11" s="187" t="s">
        <v>499</v>
      </c>
      <c r="Q11" s="201">
        <f>K10-+Q10</f>
        <v>738000</v>
      </c>
    </row>
    <row r="13" spans="1:18" x14ac:dyDescent="0.55000000000000004">
      <c r="C13" s="187" t="s">
        <v>400</v>
      </c>
    </row>
    <row r="14" spans="1:18" x14ac:dyDescent="0.55000000000000004">
      <c r="C14" s="203">
        <v>5</v>
      </c>
      <c r="D14" s="203" t="s">
        <v>401</v>
      </c>
    </row>
    <row r="15" spans="1:18" x14ac:dyDescent="0.55000000000000004">
      <c r="C15" s="203">
        <v>6</v>
      </c>
      <c r="D15" s="203" t="s">
        <v>402</v>
      </c>
    </row>
    <row r="16" spans="1:18" x14ac:dyDescent="0.55000000000000004">
      <c r="C16" s="187">
        <v>7</v>
      </c>
      <c r="D16" s="187" t="s">
        <v>403</v>
      </c>
    </row>
    <row r="17" spans="2:13" x14ac:dyDescent="0.55000000000000004">
      <c r="C17" s="187">
        <v>8</v>
      </c>
      <c r="D17" s="187" t="s">
        <v>404</v>
      </c>
    </row>
    <row r="18" spans="2:13" x14ac:dyDescent="0.55000000000000004">
      <c r="C18" s="187">
        <v>9</v>
      </c>
      <c r="D18" s="187" t="s">
        <v>501</v>
      </c>
    </row>
    <row r="19" spans="2:13" x14ac:dyDescent="0.55000000000000004">
      <c r="C19" s="187">
        <v>10</v>
      </c>
      <c r="D19" s="187" t="s">
        <v>406</v>
      </c>
    </row>
    <row r="21" spans="2:13" x14ac:dyDescent="0.55000000000000004">
      <c r="B21" s="204" t="s">
        <v>407</v>
      </c>
      <c r="C21" s="205" t="s">
        <v>408</v>
      </c>
      <c r="D21" s="192"/>
      <c r="E21" s="192"/>
      <c r="F21" s="192"/>
      <c r="G21" s="192"/>
      <c r="H21" s="192"/>
      <c r="I21" s="192" t="s">
        <v>389</v>
      </c>
      <c r="J21" s="206" t="s">
        <v>204</v>
      </c>
    </row>
    <row r="22" spans="2:13" x14ac:dyDescent="0.55000000000000004">
      <c r="B22" s="204"/>
      <c r="C22" s="207"/>
      <c r="D22" s="205" t="s">
        <v>257</v>
      </c>
      <c r="E22" s="205" t="s">
        <v>409</v>
      </c>
      <c r="F22" s="192" t="s">
        <v>410</v>
      </c>
      <c r="G22" s="192"/>
      <c r="H22" s="192"/>
      <c r="I22" s="192"/>
      <c r="J22" s="206"/>
    </row>
    <row r="23" spans="2:13" x14ac:dyDescent="0.55000000000000004">
      <c r="B23" s="204"/>
      <c r="C23" s="207"/>
      <c r="D23" s="207"/>
      <c r="E23" s="207" t="s">
        <v>411</v>
      </c>
      <c r="F23" s="187" t="s">
        <v>412</v>
      </c>
      <c r="J23" s="208"/>
    </row>
    <row r="24" spans="2:13" x14ac:dyDescent="0.55000000000000004">
      <c r="B24" s="204"/>
      <c r="C24" s="207"/>
      <c r="D24" s="207"/>
      <c r="E24" s="207" t="s">
        <v>413</v>
      </c>
      <c r="J24" s="208"/>
    </row>
    <row r="25" spans="2:13" x14ac:dyDescent="0.55000000000000004">
      <c r="B25" s="204"/>
      <c r="C25" s="207"/>
      <c r="D25" s="209"/>
      <c r="E25" s="209" t="s">
        <v>414</v>
      </c>
      <c r="F25" s="188"/>
      <c r="G25" s="188"/>
      <c r="H25" s="188"/>
      <c r="I25" s="188"/>
      <c r="J25" s="189"/>
    </row>
    <row r="26" spans="2:13" x14ac:dyDescent="0.55000000000000004">
      <c r="B26" s="204"/>
      <c r="C26" s="207"/>
      <c r="D26" s="205" t="s">
        <v>258</v>
      </c>
      <c r="E26" s="205" t="s">
        <v>415</v>
      </c>
      <c r="F26" s="192" t="s">
        <v>416</v>
      </c>
      <c r="G26" s="192"/>
      <c r="H26" s="192"/>
      <c r="I26" s="192"/>
      <c r="J26" s="206"/>
    </row>
    <row r="27" spans="2:13" x14ac:dyDescent="0.55000000000000004">
      <c r="B27" s="204"/>
      <c r="C27" s="207"/>
      <c r="D27" s="207"/>
      <c r="E27" s="207" t="s">
        <v>417</v>
      </c>
      <c r="F27" s="187" t="s">
        <v>418</v>
      </c>
      <c r="J27" s="208"/>
    </row>
    <row r="28" spans="2:13" x14ac:dyDescent="0.55000000000000004">
      <c r="B28" s="204"/>
      <c r="C28" s="207"/>
      <c r="D28" s="209"/>
      <c r="E28" s="209" t="s">
        <v>419</v>
      </c>
      <c r="F28" s="188" t="s">
        <v>420</v>
      </c>
      <c r="G28" s="188"/>
      <c r="H28" s="188"/>
      <c r="I28" s="188"/>
      <c r="J28" s="189"/>
    </row>
    <row r="29" spans="2:13" x14ac:dyDescent="0.55000000000000004">
      <c r="C29" s="207"/>
      <c r="D29" s="205" t="s">
        <v>260</v>
      </c>
      <c r="E29" s="205" t="s">
        <v>421</v>
      </c>
      <c r="F29" s="192" t="s">
        <v>422</v>
      </c>
      <c r="G29" s="192"/>
      <c r="H29" s="192"/>
      <c r="I29" s="192">
        <v>1</v>
      </c>
      <c r="J29" s="206"/>
      <c r="L29" s="187" t="s">
        <v>423</v>
      </c>
      <c r="M29" s="210" t="s">
        <v>424</v>
      </c>
    </row>
    <row r="30" spans="2:13" ht="36" x14ac:dyDescent="0.55000000000000004">
      <c r="C30" s="207"/>
      <c r="D30" s="207"/>
      <c r="E30" s="207" t="s">
        <v>486</v>
      </c>
      <c r="F30" s="187" t="s">
        <v>487</v>
      </c>
      <c r="H30" s="187" t="s">
        <v>538</v>
      </c>
      <c r="J30" s="191" t="s">
        <v>536</v>
      </c>
    </row>
    <row r="31" spans="2:13" x14ac:dyDescent="0.55000000000000004">
      <c r="C31" s="207"/>
      <c r="D31" s="207"/>
      <c r="E31" s="207"/>
      <c r="G31" s="187">
        <v>12</v>
      </c>
      <c r="I31" s="187">
        <f>ROUNDUP(G31/7,1)</f>
        <v>1.8</v>
      </c>
      <c r="J31" s="208" t="s">
        <v>539</v>
      </c>
    </row>
    <row r="32" spans="2:13" x14ac:dyDescent="0.55000000000000004">
      <c r="C32" s="207"/>
      <c r="D32" s="207"/>
      <c r="E32" s="207" t="s">
        <v>425</v>
      </c>
      <c r="F32" s="187" t="s">
        <v>426</v>
      </c>
      <c r="J32" s="208"/>
    </row>
    <row r="33" spans="3:12" x14ac:dyDescent="0.55000000000000004">
      <c r="C33" s="207"/>
      <c r="D33" s="207"/>
      <c r="E33" s="207"/>
      <c r="F33" s="187" t="s">
        <v>427</v>
      </c>
      <c r="G33" s="187" t="s">
        <v>428</v>
      </c>
      <c r="H33" s="187" t="s">
        <v>429</v>
      </c>
      <c r="J33" s="208"/>
    </row>
    <row r="34" spans="3:12" x14ac:dyDescent="0.55000000000000004">
      <c r="C34" s="207"/>
      <c r="D34" s="207"/>
      <c r="E34" s="207"/>
      <c r="H34" s="187">
        <v>48</v>
      </c>
      <c r="J34" s="208"/>
    </row>
    <row r="35" spans="3:12" x14ac:dyDescent="0.55000000000000004">
      <c r="C35" s="207"/>
      <c r="D35" s="207"/>
      <c r="E35" s="207"/>
      <c r="G35" s="187" t="s">
        <v>490</v>
      </c>
      <c r="J35" s="208" t="s">
        <v>431</v>
      </c>
      <c r="L35" s="187" t="s">
        <v>432</v>
      </c>
    </row>
    <row r="36" spans="3:12" x14ac:dyDescent="0.55000000000000004">
      <c r="C36" s="207"/>
      <c r="D36" s="207"/>
      <c r="E36" s="207"/>
      <c r="F36" s="187" t="s">
        <v>505</v>
      </c>
      <c r="G36" s="187">
        <v>124</v>
      </c>
      <c r="H36" s="187">
        <f>G36/$H$34</f>
        <v>2.5833333333333335</v>
      </c>
      <c r="I36" s="187">
        <f>ROUNDUP(H36,1)</f>
        <v>2.6</v>
      </c>
      <c r="J36" s="208"/>
    </row>
    <row r="37" spans="3:12" x14ac:dyDescent="0.55000000000000004">
      <c r="C37" s="207"/>
      <c r="D37" s="207"/>
      <c r="E37" s="207"/>
      <c r="J37" s="208"/>
    </row>
    <row r="38" spans="3:12" x14ac:dyDescent="0.55000000000000004">
      <c r="C38" s="207"/>
      <c r="D38" s="207"/>
      <c r="E38" s="207" t="s">
        <v>491</v>
      </c>
      <c r="J38" s="208"/>
    </row>
    <row r="39" spans="3:12" x14ac:dyDescent="0.55000000000000004">
      <c r="C39" s="207"/>
      <c r="D39" s="207"/>
      <c r="E39" s="207"/>
      <c r="F39" s="187" t="s">
        <v>500</v>
      </c>
      <c r="J39" s="208"/>
    </row>
    <row r="40" spans="3:12" x14ac:dyDescent="0.55000000000000004">
      <c r="C40" s="207"/>
      <c r="D40" s="207"/>
      <c r="E40" s="207"/>
      <c r="F40" s="187" t="s">
        <v>433</v>
      </c>
      <c r="G40" s="187">
        <f>ROUNDUP($G36*0.2,0)</f>
        <v>25</v>
      </c>
      <c r="H40" s="187">
        <f>G40/$H$34</f>
        <v>0.52083333333333337</v>
      </c>
      <c r="I40" s="187">
        <f>ROUNDUP(H40,1)</f>
        <v>0.6</v>
      </c>
      <c r="J40" s="208"/>
    </row>
    <row r="41" spans="3:12" x14ac:dyDescent="0.55000000000000004">
      <c r="C41" s="207"/>
      <c r="D41" s="209"/>
      <c r="E41" s="209"/>
      <c r="F41" s="188"/>
      <c r="G41" s="188"/>
      <c r="H41" s="188"/>
      <c r="I41" s="188"/>
      <c r="J41" s="189"/>
    </row>
    <row r="42" spans="3:12" x14ac:dyDescent="0.55000000000000004">
      <c r="C42" s="207"/>
      <c r="D42" s="205" t="s">
        <v>261</v>
      </c>
      <c r="E42" s="205" t="s">
        <v>442</v>
      </c>
      <c r="F42" s="192"/>
      <c r="G42" s="192"/>
      <c r="H42" s="192"/>
      <c r="I42" s="192">
        <v>2</v>
      </c>
      <c r="J42" s="206"/>
    </row>
    <row r="43" spans="3:12" x14ac:dyDescent="0.55000000000000004">
      <c r="C43" s="207"/>
      <c r="D43" s="207"/>
      <c r="E43" s="207" t="s">
        <v>443</v>
      </c>
      <c r="J43" s="208"/>
      <c r="L43" s="187" t="s">
        <v>444</v>
      </c>
    </row>
    <row r="44" spans="3:12" x14ac:dyDescent="0.55000000000000004">
      <c r="C44" s="207"/>
      <c r="D44" s="207"/>
      <c r="E44" s="207"/>
      <c r="F44" s="187" t="s">
        <v>427</v>
      </c>
      <c r="G44" s="202" t="s">
        <v>498</v>
      </c>
      <c r="H44" s="187" t="s">
        <v>506</v>
      </c>
      <c r="J44" s="208"/>
      <c r="L44" s="187" t="s">
        <v>447</v>
      </c>
    </row>
    <row r="45" spans="3:12" x14ac:dyDescent="0.55000000000000004">
      <c r="C45" s="207"/>
      <c r="D45" s="207"/>
      <c r="E45" s="207"/>
      <c r="F45" s="187" t="s">
        <v>448</v>
      </c>
      <c r="G45" s="202" t="s">
        <v>534</v>
      </c>
      <c r="J45" s="211"/>
      <c r="K45" s="202"/>
      <c r="L45" s="187" t="s">
        <v>450</v>
      </c>
    </row>
    <row r="46" spans="3:12" x14ac:dyDescent="0.55000000000000004">
      <c r="C46" s="207"/>
      <c r="D46" s="207"/>
      <c r="E46" s="207"/>
      <c r="J46" s="208"/>
    </row>
    <row r="47" spans="3:12" x14ac:dyDescent="0.55000000000000004">
      <c r="C47" s="207"/>
      <c r="D47" s="207"/>
      <c r="E47" s="207"/>
      <c r="J47" s="208"/>
    </row>
    <row r="48" spans="3:12" ht="54" x14ac:dyDescent="0.55000000000000004">
      <c r="C48" s="207"/>
      <c r="D48" s="207"/>
      <c r="E48" s="207"/>
      <c r="F48" s="187" t="s">
        <v>250</v>
      </c>
      <c r="G48" s="187">
        <f>G36+G40</f>
        <v>149</v>
      </c>
      <c r="H48" s="187">
        <v>12</v>
      </c>
      <c r="I48" s="187">
        <f>ROUND(H48/24,1)</f>
        <v>0.5</v>
      </c>
      <c r="J48" s="191" t="s">
        <v>543</v>
      </c>
    </row>
    <row r="49" spans="3:12" x14ac:dyDescent="0.55000000000000004">
      <c r="C49" s="207"/>
      <c r="D49" s="209"/>
      <c r="E49" s="209"/>
      <c r="F49" s="188"/>
      <c r="G49" s="188"/>
      <c r="H49" s="188"/>
      <c r="I49" s="188"/>
      <c r="J49" s="189"/>
    </row>
    <row r="50" spans="3:12" x14ac:dyDescent="0.55000000000000004">
      <c r="C50" s="207"/>
      <c r="D50" s="205" t="s">
        <v>262</v>
      </c>
      <c r="E50" s="205" t="s">
        <v>451</v>
      </c>
      <c r="F50" s="192" t="s">
        <v>452</v>
      </c>
      <c r="G50" s="192"/>
      <c r="H50" s="192" t="s">
        <v>453</v>
      </c>
      <c r="I50" s="192">
        <v>1</v>
      </c>
      <c r="J50" s="206"/>
    </row>
    <row r="51" spans="3:12" x14ac:dyDescent="0.55000000000000004">
      <c r="C51" s="207"/>
      <c r="D51" s="207"/>
      <c r="E51" s="207" t="s">
        <v>454</v>
      </c>
      <c r="F51" s="187" t="s">
        <v>455</v>
      </c>
      <c r="J51" s="208"/>
      <c r="L51" s="187" t="s">
        <v>456</v>
      </c>
    </row>
    <row r="52" spans="3:12" x14ac:dyDescent="0.55000000000000004">
      <c r="C52" s="207"/>
      <c r="D52" s="207"/>
      <c r="E52" s="207"/>
      <c r="F52" s="187" t="s">
        <v>457</v>
      </c>
      <c r="I52" s="187">
        <v>5</v>
      </c>
      <c r="J52" s="208" t="s">
        <v>542</v>
      </c>
    </row>
    <row r="53" spans="3:12" x14ac:dyDescent="0.55000000000000004">
      <c r="C53" s="207"/>
      <c r="D53" s="207"/>
      <c r="E53" s="207"/>
      <c r="F53" s="187" t="s">
        <v>283</v>
      </c>
      <c r="J53" s="208"/>
    </row>
    <row r="54" spans="3:12" x14ac:dyDescent="0.55000000000000004">
      <c r="C54" s="207"/>
      <c r="D54" s="207"/>
      <c r="E54" s="207"/>
      <c r="F54" s="187" t="s">
        <v>284</v>
      </c>
      <c r="J54" s="208"/>
    </row>
    <row r="55" spans="3:12" x14ac:dyDescent="0.55000000000000004">
      <c r="C55" s="207"/>
      <c r="D55" s="207"/>
      <c r="E55" s="207"/>
      <c r="F55" s="187" t="s">
        <v>458</v>
      </c>
      <c r="J55" s="208"/>
    </row>
    <row r="56" spans="3:12" x14ac:dyDescent="0.55000000000000004">
      <c r="C56" s="207"/>
      <c r="D56" s="209"/>
      <c r="E56" s="209"/>
      <c r="F56" s="188"/>
      <c r="G56" s="188"/>
      <c r="H56" s="188"/>
      <c r="I56" s="188"/>
      <c r="J56" s="189"/>
    </row>
    <row r="57" spans="3:12" x14ac:dyDescent="0.55000000000000004">
      <c r="C57" s="207"/>
      <c r="D57" s="205" t="s">
        <v>459</v>
      </c>
      <c r="E57" s="205" t="s">
        <v>460</v>
      </c>
      <c r="F57" s="192" t="s">
        <v>502</v>
      </c>
      <c r="G57" s="192"/>
      <c r="H57" s="192"/>
      <c r="I57" s="192">
        <v>1.5</v>
      </c>
      <c r="J57" s="206"/>
    </row>
    <row r="58" spans="3:12" x14ac:dyDescent="0.55000000000000004">
      <c r="C58" s="207"/>
      <c r="D58" s="207"/>
      <c r="E58" s="207" t="s">
        <v>462</v>
      </c>
      <c r="F58" s="187" t="s">
        <v>503</v>
      </c>
      <c r="I58" s="187">
        <v>3</v>
      </c>
      <c r="J58" s="208"/>
    </row>
    <row r="59" spans="3:12" ht="54" x14ac:dyDescent="0.55000000000000004">
      <c r="C59" s="207"/>
      <c r="D59" s="209"/>
      <c r="E59" s="209" t="s">
        <v>464</v>
      </c>
      <c r="F59" s="212" t="s">
        <v>489</v>
      </c>
      <c r="G59" s="188"/>
      <c r="H59" s="188" t="s">
        <v>466</v>
      </c>
      <c r="I59" s="188">
        <v>20</v>
      </c>
      <c r="J59" s="213" t="s">
        <v>535</v>
      </c>
    </row>
    <row r="60" spans="3:12" x14ac:dyDescent="0.55000000000000004">
      <c r="C60" s="209"/>
      <c r="D60" s="209" t="s">
        <v>399</v>
      </c>
      <c r="E60" s="209"/>
      <c r="F60" s="188"/>
      <c r="G60" s="188"/>
      <c r="H60" s="188"/>
      <c r="I60" s="188">
        <f>SUM(I22:I59)</f>
        <v>39</v>
      </c>
      <c r="J60" s="189" t="s">
        <v>389</v>
      </c>
    </row>
    <row r="61" spans="3:12" x14ac:dyDescent="0.55000000000000004">
      <c r="I61" s="187">
        <f>I60/20</f>
        <v>1.95</v>
      </c>
      <c r="J61" s="187" t="s">
        <v>390</v>
      </c>
    </row>
  </sheetData>
  <phoneticPr fontId="2"/>
  <hyperlinks>
    <hyperlink ref="M29" r:id="rId1" xr:uid="{CF908AE4-5B8E-44E6-A8BD-78FC20CFC1B4}"/>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3DCCD-32B6-4452-95C7-D7393EB8F82E}">
  <dimension ref="A1:R61"/>
  <sheetViews>
    <sheetView zoomScaleNormal="100" workbookViewId="0">
      <selection activeCell="F6" sqref="F6"/>
    </sheetView>
  </sheetViews>
  <sheetFormatPr defaultColWidth="8.75" defaultRowHeight="18" x14ac:dyDescent="0.55000000000000004"/>
  <cols>
    <col min="1" max="1" width="8.75" style="187"/>
    <col min="2" max="2" width="3.33203125" style="187" bestFit="1" customWidth="1"/>
    <col min="3" max="3" width="8.75" style="187"/>
    <col min="4" max="4" width="24.58203125" style="187" customWidth="1"/>
    <col min="5" max="5" width="29.58203125" style="187" customWidth="1"/>
    <col min="6" max="6" width="23.5" style="187" customWidth="1"/>
    <col min="7" max="7" width="9.33203125" style="187" customWidth="1"/>
    <col min="8" max="8" width="27.58203125" style="187" customWidth="1"/>
    <col min="9" max="9" width="8.75" style="187" customWidth="1"/>
    <col min="10" max="10" width="46" style="187" customWidth="1"/>
    <col min="11" max="11" width="16.58203125" style="187" customWidth="1"/>
    <col min="12" max="16" width="8.75" style="187"/>
    <col min="17" max="17" width="11.25" style="187" bestFit="1" customWidth="1"/>
    <col min="18" max="16384" width="8.75" style="187"/>
  </cols>
  <sheetData>
    <row r="1" spans="1:18" x14ac:dyDescent="0.55000000000000004">
      <c r="A1" s="187" t="s">
        <v>387</v>
      </c>
    </row>
    <row r="2" spans="1:18" x14ac:dyDescent="0.55000000000000004">
      <c r="K2" s="201" t="s">
        <v>493</v>
      </c>
      <c r="L2" s="201"/>
      <c r="M2" s="201"/>
      <c r="N2" s="201"/>
      <c r="O2" s="201"/>
      <c r="P2" s="201"/>
      <c r="Q2" s="201" t="s">
        <v>492</v>
      </c>
      <c r="R2" s="201"/>
    </row>
    <row r="3" spans="1:18" x14ac:dyDescent="0.55000000000000004">
      <c r="C3" s="187" t="s">
        <v>388</v>
      </c>
      <c r="D3" s="187" t="s">
        <v>257</v>
      </c>
      <c r="G3" s="187">
        <f>SUM(I22:I25)</f>
        <v>0</v>
      </c>
      <c r="H3" s="187" t="s">
        <v>389</v>
      </c>
      <c r="I3" s="187">
        <f>G3/20</f>
        <v>0</v>
      </c>
      <c r="J3" s="187" t="s">
        <v>390</v>
      </c>
      <c r="K3" s="201"/>
      <c r="L3" s="201" t="s">
        <v>391</v>
      </c>
      <c r="M3" s="201"/>
      <c r="N3" s="201"/>
      <c r="O3" s="201"/>
      <c r="P3" s="201"/>
      <c r="Q3" s="201"/>
      <c r="R3" s="201"/>
    </row>
    <row r="4" spans="1:18" x14ac:dyDescent="0.55000000000000004">
      <c r="D4" s="187" t="s">
        <v>258</v>
      </c>
      <c r="G4" s="187">
        <f>SUM(I26:I28)</f>
        <v>0</v>
      </c>
      <c r="H4" s="187" t="s">
        <v>389</v>
      </c>
      <c r="I4" s="187">
        <f t="shared" ref="I4" si="0">G4/20</f>
        <v>0</v>
      </c>
      <c r="J4" s="187" t="s">
        <v>390</v>
      </c>
      <c r="K4" s="201"/>
      <c r="L4" s="201" t="s">
        <v>392</v>
      </c>
      <c r="M4" s="201"/>
      <c r="N4" s="201"/>
      <c r="O4" s="201"/>
      <c r="P4" s="201"/>
      <c r="Q4" s="201"/>
      <c r="R4" s="201"/>
    </row>
    <row r="5" spans="1:18" x14ac:dyDescent="0.55000000000000004">
      <c r="D5" s="187" t="s">
        <v>260</v>
      </c>
      <c r="G5" s="187">
        <f>SUM(I29:I41)</f>
        <v>38.5</v>
      </c>
      <c r="H5" s="187" t="s">
        <v>389</v>
      </c>
      <c r="I5" s="187">
        <f>ROUNDUP(G5/20,2)</f>
        <v>1.93</v>
      </c>
      <c r="J5" s="187" t="s">
        <v>390</v>
      </c>
      <c r="K5" s="201">
        <f>I5*1000000</f>
        <v>1930000</v>
      </c>
      <c r="L5" s="201" t="s">
        <v>392</v>
      </c>
      <c r="M5" s="201"/>
      <c r="N5" s="201"/>
      <c r="O5" s="201"/>
      <c r="P5" s="201"/>
      <c r="Q5" s="201">
        <v>1620000</v>
      </c>
      <c r="R5" s="201"/>
    </row>
    <row r="6" spans="1:18" x14ac:dyDescent="0.55000000000000004">
      <c r="D6" s="187" t="s">
        <v>261</v>
      </c>
      <c r="G6" s="187">
        <f>SUM(I42:I49)</f>
        <v>13.5</v>
      </c>
      <c r="H6" s="187" t="s">
        <v>389</v>
      </c>
      <c r="I6" s="187">
        <f t="shared" ref="I6:I8" si="1">ROUNDUP(G6/20,2)</f>
        <v>0.68</v>
      </c>
      <c r="J6" s="187" t="s">
        <v>390</v>
      </c>
      <c r="K6" s="201">
        <f t="shared" ref="K6:K7" si="2">I6*1000000</f>
        <v>680000</v>
      </c>
      <c r="L6" s="201" t="s">
        <v>392</v>
      </c>
      <c r="M6" s="201"/>
      <c r="N6" s="201"/>
      <c r="O6" s="201"/>
      <c r="P6" s="201"/>
      <c r="Q6" s="201">
        <v>270000</v>
      </c>
      <c r="R6" s="201"/>
    </row>
    <row r="7" spans="1:18" x14ac:dyDescent="0.55000000000000004">
      <c r="D7" s="187" t="s">
        <v>262</v>
      </c>
      <c r="G7" s="187">
        <f>SUM(I50:I56)</f>
        <v>16</v>
      </c>
      <c r="H7" s="187" t="s">
        <v>389</v>
      </c>
      <c r="I7" s="187">
        <f t="shared" si="1"/>
        <v>0.8</v>
      </c>
      <c r="J7" s="187" t="s">
        <v>390</v>
      </c>
      <c r="K7" s="201">
        <f t="shared" si="2"/>
        <v>800000</v>
      </c>
      <c r="L7" s="201" t="s">
        <v>392</v>
      </c>
      <c r="M7" s="201"/>
      <c r="N7" s="201"/>
      <c r="O7" s="201"/>
      <c r="P7" s="201"/>
      <c r="Q7" s="201">
        <v>250000</v>
      </c>
      <c r="R7" s="201"/>
    </row>
    <row r="8" spans="1:18" x14ac:dyDescent="0.55000000000000004">
      <c r="D8" s="187" t="s">
        <v>263</v>
      </c>
      <c r="G8" s="187">
        <f>SUM(I57:I59)</f>
        <v>29.5</v>
      </c>
      <c r="H8" s="187" t="s">
        <v>389</v>
      </c>
      <c r="I8" s="187">
        <f t="shared" si="1"/>
        <v>1.48</v>
      </c>
      <c r="J8" s="187" t="s">
        <v>390</v>
      </c>
      <c r="K8" s="201">
        <f>I8*1000000</f>
        <v>1480000</v>
      </c>
      <c r="L8" s="201" t="s">
        <v>393</v>
      </c>
      <c r="M8" s="201" t="s">
        <v>394</v>
      </c>
      <c r="N8" s="201"/>
      <c r="O8" s="201"/>
      <c r="P8" s="201"/>
      <c r="Q8" s="201">
        <v>730000</v>
      </c>
      <c r="R8" s="201"/>
    </row>
    <row r="9" spans="1:18" x14ac:dyDescent="0.55000000000000004">
      <c r="D9" s="187" t="s">
        <v>395</v>
      </c>
      <c r="E9" s="202" t="s">
        <v>396</v>
      </c>
      <c r="F9" s="187">
        <f>36*3</f>
        <v>108</v>
      </c>
      <c r="G9" s="187">
        <f>F9/8+ROUND(SUM(G3:G8)*0.15,0)</f>
        <v>28.5</v>
      </c>
      <c r="H9" s="187" t="s">
        <v>397</v>
      </c>
      <c r="I9" s="187">
        <f>ROUNDUP(SUM(I3:I8)*0.2,2)</f>
        <v>0.98</v>
      </c>
      <c r="J9" s="187" t="s">
        <v>390</v>
      </c>
      <c r="K9" s="201">
        <f>I9*1400000</f>
        <v>1372000</v>
      </c>
      <c r="L9" s="201" t="s">
        <v>398</v>
      </c>
      <c r="M9" s="201"/>
      <c r="N9" s="201"/>
      <c r="O9" s="201"/>
      <c r="P9" s="201"/>
      <c r="Q9" s="201">
        <v>812000</v>
      </c>
      <c r="R9" s="201"/>
    </row>
    <row r="10" spans="1:18" x14ac:dyDescent="0.55000000000000004">
      <c r="D10" s="187" t="s">
        <v>399</v>
      </c>
      <c r="G10" s="187">
        <f>SUM(G3:G9)</f>
        <v>126</v>
      </c>
      <c r="H10" s="187" t="s">
        <v>389</v>
      </c>
      <c r="I10" s="187">
        <f>SUM(I3:I9)</f>
        <v>5.870000000000001</v>
      </c>
      <c r="J10" s="187" t="s">
        <v>390</v>
      </c>
      <c r="K10" s="201">
        <f>SUM(K3:K9)</f>
        <v>6262000</v>
      </c>
      <c r="L10" s="201" t="s">
        <v>398</v>
      </c>
      <c r="M10" s="201"/>
      <c r="N10" s="201"/>
      <c r="O10" s="201"/>
      <c r="P10" s="201"/>
      <c r="Q10" s="201">
        <f>SUM(Q5:Q9)</f>
        <v>3682000</v>
      </c>
      <c r="R10" s="201"/>
    </row>
    <row r="11" spans="1:18" x14ac:dyDescent="0.55000000000000004">
      <c r="P11" s="187" t="s">
        <v>499</v>
      </c>
      <c r="Q11" s="201">
        <f>K10-+Q10</f>
        <v>2580000</v>
      </c>
    </row>
    <row r="13" spans="1:18" x14ac:dyDescent="0.55000000000000004">
      <c r="C13" s="187" t="s">
        <v>400</v>
      </c>
    </row>
    <row r="14" spans="1:18" x14ac:dyDescent="0.55000000000000004">
      <c r="C14" s="203">
        <v>5</v>
      </c>
      <c r="D14" s="203" t="s">
        <v>401</v>
      </c>
    </row>
    <row r="15" spans="1:18" x14ac:dyDescent="0.55000000000000004">
      <c r="C15" s="203">
        <v>6</v>
      </c>
      <c r="D15" s="203" t="s">
        <v>402</v>
      </c>
    </row>
    <row r="16" spans="1:18" x14ac:dyDescent="0.55000000000000004">
      <c r="C16" s="187">
        <v>7</v>
      </c>
      <c r="D16" s="187" t="s">
        <v>403</v>
      </c>
    </row>
    <row r="17" spans="2:13" x14ac:dyDescent="0.55000000000000004">
      <c r="C17" s="187">
        <v>8</v>
      </c>
      <c r="D17" s="187" t="s">
        <v>404</v>
      </c>
    </row>
    <row r="18" spans="2:13" x14ac:dyDescent="0.55000000000000004">
      <c r="C18" s="187">
        <v>9</v>
      </c>
      <c r="D18" s="187" t="s">
        <v>501</v>
      </c>
    </row>
    <row r="19" spans="2:13" x14ac:dyDescent="0.55000000000000004">
      <c r="C19" s="187">
        <v>10</v>
      </c>
      <c r="D19" s="187" t="s">
        <v>406</v>
      </c>
    </row>
    <row r="21" spans="2:13" x14ac:dyDescent="0.55000000000000004">
      <c r="B21" s="204" t="s">
        <v>407</v>
      </c>
      <c r="C21" s="205" t="s">
        <v>408</v>
      </c>
      <c r="D21" s="192"/>
      <c r="E21" s="192"/>
      <c r="F21" s="192"/>
      <c r="G21" s="192"/>
      <c r="H21" s="192"/>
      <c r="I21" s="192" t="s">
        <v>389</v>
      </c>
      <c r="J21" s="206" t="s">
        <v>204</v>
      </c>
    </row>
    <row r="22" spans="2:13" x14ac:dyDescent="0.55000000000000004">
      <c r="B22" s="204"/>
      <c r="C22" s="207"/>
      <c r="D22" s="205" t="s">
        <v>257</v>
      </c>
      <c r="E22" s="205" t="s">
        <v>409</v>
      </c>
      <c r="F22" s="192" t="s">
        <v>410</v>
      </c>
      <c r="G22" s="192"/>
      <c r="H22" s="192"/>
      <c r="I22" s="192"/>
      <c r="J22" s="206"/>
    </row>
    <row r="23" spans="2:13" x14ac:dyDescent="0.55000000000000004">
      <c r="B23" s="204"/>
      <c r="C23" s="207"/>
      <c r="D23" s="207"/>
      <c r="E23" s="207" t="s">
        <v>411</v>
      </c>
      <c r="F23" s="187" t="s">
        <v>412</v>
      </c>
      <c r="J23" s="208"/>
    </row>
    <row r="24" spans="2:13" x14ac:dyDescent="0.55000000000000004">
      <c r="B24" s="204"/>
      <c r="C24" s="207"/>
      <c r="D24" s="207"/>
      <c r="E24" s="207" t="s">
        <v>413</v>
      </c>
      <c r="J24" s="208"/>
    </row>
    <row r="25" spans="2:13" x14ac:dyDescent="0.55000000000000004">
      <c r="B25" s="204"/>
      <c r="C25" s="207"/>
      <c r="D25" s="209"/>
      <c r="E25" s="209" t="s">
        <v>414</v>
      </c>
      <c r="F25" s="188"/>
      <c r="G25" s="188"/>
      <c r="H25" s="188"/>
      <c r="I25" s="188"/>
      <c r="J25" s="189"/>
    </row>
    <row r="26" spans="2:13" x14ac:dyDescent="0.55000000000000004">
      <c r="B26" s="204"/>
      <c r="C26" s="207"/>
      <c r="D26" s="205" t="s">
        <v>258</v>
      </c>
      <c r="E26" s="205" t="s">
        <v>415</v>
      </c>
      <c r="F26" s="192" t="s">
        <v>416</v>
      </c>
      <c r="G26" s="192"/>
      <c r="H26" s="192"/>
      <c r="I26" s="192"/>
      <c r="J26" s="206"/>
    </row>
    <row r="27" spans="2:13" x14ac:dyDescent="0.55000000000000004">
      <c r="B27" s="204"/>
      <c r="C27" s="207"/>
      <c r="D27" s="207"/>
      <c r="E27" s="207" t="s">
        <v>417</v>
      </c>
      <c r="F27" s="187" t="s">
        <v>418</v>
      </c>
      <c r="J27" s="208"/>
    </row>
    <row r="28" spans="2:13" x14ac:dyDescent="0.55000000000000004">
      <c r="B28" s="204"/>
      <c r="C28" s="207"/>
      <c r="D28" s="209"/>
      <c r="E28" s="209" t="s">
        <v>419</v>
      </c>
      <c r="F28" s="188" t="s">
        <v>420</v>
      </c>
      <c r="G28" s="188"/>
      <c r="H28" s="188"/>
      <c r="I28" s="188"/>
      <c r="J28" s="189"/>
    </row>
    <row r="29" spans="2:13" x14ac:dyDescent="0.55000000000000004">
      <c r="C29" s="207"/>
      <c r="D29" s="205" t="s">
        <v>260</v>
      </c>
      <c r="E29" s="205" t="s">
        <v>421</v>
      </c>
      <c r="F29" s="192" t="s">
        <v>422</v>
      </c>
      <c r="G29" s="192"/>
      <c r="H29" s="192"/>
      <c r="I29" s="192">
        <v>1</v>
      </c>
      <c r="J29" s="206"/>
      <c r="L29" s="187" t="s">
        <v>423</v>
      </c>
      <c r="M29" s="210" t="s">
        <v>424</v>
      </c>
    </row>
    <row r="30" spans="2:13" x14ac:dyDescent="0.55000000000000004">
      <c r="C30" s="207"/>
      <c r="D30" s="207"/>
      <c r="E30" s="207" t="s">
        <v>486</v>
      </c>
      <c r="F30" s="187" t="s">
        <v>487</v>
      </c>
      <c r="H30" s="187" t="s">
        <v>538</v>
      </c>
      <c r="J30" s="208" t="s">
        <v>494</v>
      </c>
    </row>
    <row r="31" spans="2:13" x14ac:dyDescent="0.55000000000000004">
      <c r="C31" s="207"/>
      <c r="D31" s="207"/>
      <c r="E31" s="207"/>
      <c r="G31" s="214">
        <v>60</v>
      </c>
      <c r="I31" s="187">
        <f>ROUNDUP(G31/7,1)</f>
        <v>8.6</v>
      </c>
      <c r="J31" s="208" t="s">
        <v>530</v>
      </c>
    </row>
    <row r="32" spans="2:13" x14ac:dyDescent="0.55000000000000004">
      <c r="C32" s="207"/>
      <c r="D32" s="207"/>
      <c r="E32" s="207" t="s">
        <v>425</v>
      </c>
      <c r="F32" s="187" t="s">
        <v>426</v>
      </c>
      <c r="J32" s="208"/>
    </row>
    <row r="33" spans="3:12" x14ac:dyDescent="0.55000000000000004">
      <c r="C33" s="207"/>
      <c r="D33" s="207"/>
      <c r="E33" s="207"/>
      <c r="F33" s="187" t="s">
        <v>427</v>
      </c>
      <c r="G33" s="187" t="s">
        <v>428</v>
      </c>
      <c r="H33" s="187" t="s">
        <v>429</v>
      </c>
      <c r="J33" s="208"/>
    </row>
    <row r="34" spans="3:12" x14ac:dyDescent="0.55000000000000004">
      <c r="C34" s="207"/>
      <c r="D34" s="207"/>
      <c r="E34" s="207"/>
      <c r="H34" s="187">
        <v>48</v>
      </c>
      <c r="J34" s="208"/>
    </row>
    <row r="35" spans="3:12" x14ac:dyDescent="0.55000000000000004">
      <c r="C35" s="207"/>
      <c r="D35" s="207"/>
      <c r="E35" s="207"/>
      <c r="G35" s="187" t="s">
        <v>490</v>
      </c>
      <c r="J35" s="208" t="s">
        <v>431</v>
      </c>
      <c r="L35" s="187" t="s">
        <v>432</v>
      </c>
    </row>
    <row r="36" spans="3:12" ht="36" x14ac:dyDescent="0.55000000000000004">
      <c r="C36" s="207"/>
      <c r="D36" s="207"/>
      <c r="E36" s="207"/>
      <c r="F36" s="187" t="s">
        <v>509</v>
      </c>
      <c r="G36" s="187">
        <v>1151</v>
      </c>
      <c r="H36" s="187">
        <f>G36/$H$34</f>
        <v>23.979166666666668</v>
      </c>
      <c r="I36" s="246">
        <f>ROUNDUP(H36,1)</f>
        <v>24</v>
      </c>
      <c r="J36" s="191" t="s">
        <v>544</v>
      </c>
    </row>
    <row r="37" spans="3:12" x14ac:dyDescent="0.55000000000000004">
      <c r="C37" s="207"/>
      <c r="D37" s="207"/>
      <c r="E37" s="207"/>
      <c r="J37" s="208"/>
    </row>
    <row r="38" spans="3:12" x14ac:dyDescent="0.55000000000000004">
      <c r="C38" s="207"/>
      <c r="D38" s="207"/>
      <c r="E38" s="207" t="s">
        <v>491</v>
      </c>
      <c r="J38" s="208"/>
    </row>
    <row r="39" spans="3:12" x14ac:dyDescent="0.55000000000000004">
      <c r="C39" s="207"/>
      <c r="D39" s="207"/>
      <c r="E39" s="207"/>
      <c r="F39" s="187" t="s">
        <v>500</v>
      </c>
      <c r="J39" s="208"/>
    </row>
    <row r="40" spans="3:12" x14ac:dyDescent="0.55000000000000004">
      <c r="C40" s="207"/>
      <c r="D40" s="207"/>
      <c r="E40" s="207"/>
      <c r="F40" s="187" t="s">
        <v>509</v>
      </c>
      <c r="G40" s="187">
        <f>ROUNDUP($G36*0.2,0)</f>
        <v>231</v>
      </c>
      <c r="H40" s="187">
        <f>G40/$H$34</f>
        <v>4.8125</v>
      </c>
      <c r="I40" s="246">
        <f>ROUNDUP(H40,1)</f>
        <v>4.8999999999999995</v>
      </c>
      <c r="J40" s="208"/>
    </row>
    <row r="41" spans="3:12" x14ac:dyDescent="0.55000000000000004">
      <c r="C41" s="207"/>
      <c r="D41" s="209"/>
      <c r="E41" s="209"/>
      <c r="F41" s="188"/>
      <c r="G41" s="188"/>
      <c r="H41" s="188"/>
      <c r="I41" s="188"/>
      <c r="J41" s="189"/>
    </row>
    <row r="42" spans="3:12" x14ac:dyDescent="0.55000000000000004">
      <c r="C42" s="207"/>
      <c r="D42" s="205" t="s">
        <v>261</v>
      </c>
      <c r="E42" s="205" t="s">
        <v>442</v>
      </c>
      <c r="F42" s="192"/>
      <c r="G42" s="192"/>
      <c r="H42" s="192"/>
      <c r="I42" s="192">
        <v>2</v>
      </c>
      <c r="J42" s="206"/>
    </row>
    <row r="43" spans="3:12" x14ac:dyDescent="0.55000000000000004">
      <c r="C43" s="207"/>
      <c r="D43" s="207"/>
      <c r="E43" s="207" t="s">
        <v>443</v>
      </c>
      <c r="J43" s="208"/>
      <c r="L43" s="187" t="s">
        <v>444</v>
      </c>
    </row>
    <row r="44" spans="3:12" x14ac:dyDescent="0.55000000000000004">
      <c r="C44" s="207"/>
      <c r="D44" s="207"/>
      <c r="E44" s="207"/>
      <c r="F44" s="187" t="s">
        <v>427</v>
      </c>
      <c r="G44" s="202" t="s">
        <v>498</v>
      </c>
      <c r="H44" s="187" t="s">
        <v>506</v>
      </c>
      <c r="J44" s="208"/>
      <c r="L44" s="187" t="s">
        <v>447</v>
      </c>
    </row>
    <row r="45" spans="3:12" x14ac:dyDescent="0.55000000000000004">
      <c r="C45" s="207"/>
      <c r="D45" s="207"/>
      <c r="E45" s="207"/>
      <c r="F45" s="187" t="s">
        <v>448</v>
      </c>
      <c r="G45" s="202" t="s">
        <v>529</v>
      </c>
      <c r="J45" s="211"/>
      <c r="K45" s="202"/>
      <c r="L45" s="187" t="s">
        <v>450</v>
      </c>
    </row>
    <row r="46" spans="3:12" x14ac:dyDescent="0.55000000000000004">
      <c r="C46" s="207"/>
      <c r="D46" s="207"/>
      <c r="E46" s="207"/>
      <c r="J46" s="208"/>
    </row>
    <row r="47" spans="3:12" x14ac:dyDescent="0.55000000000000004">
      <c r="C47" s="207"/>
      <c r="D47" s="207"/>
      <c r="E47" s="207"/>
      <c r="J47" s="208"/>
    </row>
    <row r="48" spans="3:12" x14ac:dyDescent="0.55000000000000004">
      <c r="C48" s="207"/>
      <c r="D48" s="207"/>
      <c r="E48" s="207"/>
      <c r="F48" s="187" t="s">
        <v>252</v>
      </c>
      <c r="G48" s="187">
        <f>G36+G40</f>
        <v>1382</v>
      </c>
      <c r="H48" s="187">
        <f>ROUNDUP(G48*0.2,0)</f>
        <v>277</v>
      </c>
      <c r="I48" s="187">
        <f>ROUND(H48/24,1)</f>
        <v>11.5</v>
      </c>
      <c r="J48" s="216"/>
    </row>
    <row r="49" spans="3:12" x14ac:dyDescent="0.55000000000000004">
      <c r="C49" s="207"/>
      <c r="D49" s="209"/>
      <c r="E49" s="209"/>
      <c r="F49" s="188"/>
      <c r="G49" s="188"/>
      <c r="H49" s="188"/>
      <c r="I49" s="188"/>
      <c r="J49" s="189"/>
    </row>
    <row r="50" spans="3:12" x14ac:dyDescent="0.55000000000000004">
      <c r="C50" s="207"/>
      <c r="D50" s="205" t="s">
        <v>262</v>
      </c>
      <c r="E50" s="205" t="s">
        <v>451</v>
      </c>
      <c r="F50" s="192" t="s">
        <v>452</v>
      </c>
      <c r="G50" s="192"/>
      <c r="H50" s="192" t="s">
        <v>453</v>
      </c>
      <c r="I50" s="192">
        <v>1</v>
      </c>
      <c r="J50" s="206"/>
    </row>
    <row r="51" spans="3:12" x14ac:dyDescent="0.55000000000000004">
      <c r="C51" s="207"/>
      <c r="D51" s="207"/>
      <c r="E51" s="207" t="s">
        <v>454</v>
      </c>
      <c r="F51" s="187" t="s">
        <v>455</v>
      </c>
      <c r="J51" s="208"/>
      <c r="L51" s="187" t="s">
        <v>456</v>
      </c>
    </row>
    <row r="52" spans="3:12" x14ac:dyDescent="0.55000000000000004">
      <c r="C52" s="207"/>
      <c r="D52" s="207"/>
      <c r="E52" s="207"/>
      <c r="F52" s="187" t="s">
        <v>457</v>
      </c>
      <c r="J52" s="208"/>
    </row>
    <row r="53" spans="3:12" x14ac:dyDescent="0.55000000000000004">
      <c r="C53" s="207"/>
      <c r="D53" s="207"/>
      <c r="E53" s="207"/>
      <c r="F53" s="187" t="s">
        <v>283</v>
      </c>
      <c r="I53" s="187">
        <v>15</v>
      </c>
      <c r="J53" s="208" t="s">
        <v>541</v>
      </c>
    </row>
    <row r="54" spans="3:12" x14ac:dyDescent="0.55000000000000004">
      <c r="C54" s="207"/>
      <c r="D54" s="207"/>
      <c r="E54" s="207"/>
      <c r="F54" s="187" t="s">
        <v>284</v>
      </c>
      <c r="J54" s="208"/>
    </row>
    <row r="55" spans="3:12" x14ac:dyDescent="0.55000000000000004">
      <c r="C55" s="207"/>
      <c r="D55" s="207"/>
      <c r="E55" s="207"/>
      <c r="F55" s="187" t="s">
        <v>458</v>
      </c>
      <c r="J55" s="208"/>
    </row>
    <row r="56" spans="3:12" x14ac:dyDescent="0.55000000000000004">
      <c r="C56" s="207"/>
      <c r="D56" s="209"/>
      <c r="E56" s="209"/>
      <c r="F56" s="188"/>
      <c r="G56" s="188"/>
      <c r="H56" s="188"/>
      <c r="I56" s="188"/>
      <c r="J56" s="189"/>
    </row>
    <row r="57" spans="3:12" x14ac:dyDescent="0.55000000000000004">
      <c r="C57" s="207"/>
      <c r="D57" s="205" t="s">
        <v>459</v>
      </c>
      <c r="E57" s="205" t="s">
        <v>460</v>
      </c>
      <c r="F57" s="192" t="s">
        <v>502</v>
      </c>
      <c r="G57" s="192"/>
      <c r="H57" s="192"/>
      <c r="I57" s="192">
        <v>1.5</v>
      </c>
      <c r="J57" s="206"/>
    </row>
    <row r="58" spans="3:12" x14ac:dyDescent="0.55000000000000004">
      <c r="C58" s="207"/>
      <c r="D58" s="207"/>
      <c r="E58" s="207" t="s">
        <v>462</v>
      </c>
      <c r="F58" s="187" t="s">
        <v>503</v>
      </c>
      <c r="I58" s="187">
        <v>3</v>
      </c>
      <c r="J58" s="208"/>
    </row>
    <row r="59" spans="3:12" ht="54" x14ac:dyDescent="0.55000000000000004">
      <c r="C59" s="207"/>
      <c r="D59" s="209"/>
      <c r="E59" s="209" t="s">
        <v>464</v>
      </c>
      <c r="F59" s="212" t="s">
        <v>537</v>
      </c>
      <c r="G59" s="188"/>
      <c r="H59" s="188" t="s">
        <v>466</v>
      </c>
      <c r="I59" s="188">
        <v>25</v>
      </c>
      <c r="J59" s="213" t="s">
        <v>497</v>
      </c>
    </row>
    <row r="60" spans="3:12" x14ac:dyDescent="0.55000000000000004">
      <c r="C60" s="209"/>
      <c r="D60" s="209" t="s">
        <v>399</v>
      </c>
      <c r="E60" s="209"/>
      <c r="F60" s="188"/>
      <c r="G60" s="188"/>
      <c r="H60" s="188"/>
      <c r="I60" s="188">
        <f>SUM(I22:I59)</f>
        <v>97.5</v>
      </c>
      <c r="J60" s="189" t="s">
        <v>389</v>
      </c>
    </row>
    <row r="61" spans="3:12" x14ac:dyDescent="0.55000000000000004">
      <c r="I61" s="187">
        <f>I60/20</f>
        <v>4.875</v>
      </c>
      <c r="J61" s="187" t="s">
        <v>390</v>
      </c>
    </row>
  </sheetData>
  <phoneticPr fontId="2"/>
  <hyperlinks>
    <hyperlink ref="M29" r:id="rId1" xr:uid="{E4C15BEA-1CFB-4422-B51A-1DE1D5EBCE99}"/>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A0280-829B-48C9-8AA6-72D9F966DA89}">
  <dimension ref="A1:R61"/>
  <sheetViews>
    <sheetView tabSelected="1" zoomScaleNormal="100" workbookViewId="0"/>
  </sheetViews>
  <sheetFormatPr defaultColWidth="8.75" defaultRowHeight="18" x14ac:dyDescent="0.55000000000000004"/>
  <cols>
    <col min="1" max="1" width="8.75" style="187"/>
    <col min="2" max="2" width="3.33203125" style="187" bestFit="1" customWidth="1"/>
    <col min="3" max="3" width="8.75" style="187"/>
    <col min="4" max="4" width="24.58203125" style="187" customWidth="1"/>
    <col min="5" max="5" width="29.58203125" style="187" customWidth="1"/>
    <col min="6" max="6" width="23.5" style="187" customWidth="1"/>
    <col min="7" max="7" width="9.33203125" style="187" customWidth="1"/>
    <col min="8" max="8" width="27.58203125" style="187" customWidth="1"/>
    <col min="9" max="9" width="8.75" style="187" customWidth="1"/>
    <col min="10" max="10" width="46" style="187" customWidth="1"/>
    <col min="11" max="11" width="16.58203125" style="187" customWidth="1"/>
    <col min="12" max="16" width="8.75" style="187"/>
    <col min="17" max="17" width="11.25" style="187" bestFit="1" customWidth="1"/>
    <col min="18" max="16384" width="8.75" style="187"/>
  </cols>
  <sheetData>
    <row r="1" spans="1:18" x14ac:dyDescent="0.55000000000000004">
      <c r="A1" s="187" t="s">
        <v>387</v>
      </c>
    </row>
    <row r="2" spans="1:18" x14ac:dyDescent="0.55000000000000004">
      <c r="K2" s="201" t="s">
        <v>493</v>
      </c>
      <c r="L2" s="201"/>
      <c r="M2" s="201"/>
      <c r="N2" s="201"/>
      <c r="O2" s="201"/>
      <c r="P2" s="201"/>
      <c r="Q2" s="201" t="s">
        <v>492</v>
      </c>
      <c r="R2" s="201"/>
    </row>
    <row r="3" spans="1:18" x14ac:dyDescent="0.55000000000000004">
      <c r="C3" s="187" t="s">
        <v>388</v>
      </c>
      <c r="D3" s="187" t="s">
        <v>257</v>
      </c>
      <c r="G3" s="187">
        <f>SUM(I20:I23)</f>
        <v>0</v>
      </c>
      <c r="H3" s="187" t="s">
        <v>389</v>
      </c>
      <c r="I3" s="187">
        <f>G3/20</f>
        <v>0</v>
      </c>
      <c r="J3" s="187" t="s">
        <v>390</v>
      </c>
      <c r="K3" s="201"/>
      <c r="L3" s="201" t="s">
        <v>391</v>
      </c>
      <c r="M3" s="201"/>
      <c r="N3" s="201"/>
      <c r="O3" s="201"/>
      <c r="P3" s="201"/>
      <c r="Q3" s="201"/>
      <c r="R3" s="201"/>
    </row>
    <row r="4" spans="1:18" x14ac:dyDescent="0.55000000000000004">
      <c r="D4" s="187" t="s">
        <v>258</v>
      </c>
      <c r="G4" s="187">
        <f>SUM(I24:I26)</f>
        <v>0</v>
      </c>
      <c r="H4" s="187" t="s">
        <v>389</v>
      </c>
      <c r="I4" s="187">
        <f t="shared" ref="I4" si="0">G4/20</f>
        <v>0</v>
      </c>
      <c r="J4" s="187" t="s">
        <v>390</v>
      </c>
      <c r="K4" s="201"/>
      <c r="L4" s="201" t="s">
        <v>392</v>
      </c>
      <c r="M4" s="201"/>
      <c r="N4" s="201"/>
      <c r="O4" s="201"/>
      <c r="P4" s="201"/>
      <c r="Q4" s="201"/>
      <c r="R4" s="201"/>
    </row>
    <row r="5" spans="1:18" x14ac:dyDescent="0.55000000000000004">
      <c r="D5" s="187" t="s">
        <v>260</v>
      </c>
      <c r="G5" s="187">
        <f>SUM(I27:I41)</f>
        <v>35.799999999999997</v>
      </c>
      <c r="H5" s="187" t="s">
        <v>389</v>
      </c>
      <c r="I5" s="187">
        <f>ROUNDUP(G5/20,2)</f>
        <v>1.79</v>
      </c>
      <c r="J5" s="187" t="s">
        <v>390</v>
      </c>
      <c r="K5" s="201">
        <f>I5*1000000</f>
        <v>1790000</v>
      </c>
      <c r="L5" s="201" t="s">
        <v>392</v>
      </c>
      <c r="M5" s="201"/>
      <c r="N5" s="201"/>
      <c r="O5" s="201"/>
      <c r="P5" s="201"/>
      <c r="Q5" s="201">
        <v>1620000</v>
      </c>
      <c r="R5" s="201"/>
    </row>
    <row r="6" spans="1:18" x14ac:dyDescent="0.55000000000000004">
      <c r="D6" s="187" t="s">
        <v>261</v>
      </c>
      <c r="G6" s="187">
        <f>SUM(I42:I49)</f>
        <v>0</v>
      </c>
      <c r="H6" s="187" t="s">
        <v>389</v>
      </c>
      <c r="I6" s="187">
        <f t="shared" ref="I6:I8" si="1">ROUNDUP(G6/20,2)</f>
        <v>0</v>
      </c>
      <c r="J6" s="187" t="s">
        <v>390</v>
      </c>
      <c r="K6" s="201">
        <f>I6*1000000</f>
        <v>0</v>
      </c>
      <c r="L6" s="201" t="s">
        <v>392</v>
      </c>
      <c r="M6" s="201"/>
      <c r="N6" s="201"/>
      <c r="O6" s="201"/>
      <c r="P6" s="201"/>
      <c r="Q6" s="201">
        <v>270000</v>
      </c>
      <c r="R6" s="201"/>
    </row>
    <row r="7" spans="1:18" x14ac:dyDescent="0.55000000000000004">
      <c r="D7" s="187" t="s">
        <v>262</v>
      </c>
      <c r="G7" s="187">
        <f>SUM(I50:I56)</f>
        <v>5</v>
      </c>
      <c r="H7" s="187" t="s">
        <v>389</v>
      </c>
      <c r="I7" s="187">
        <f t="shared" si="1"/>
        <v>0.25</v>
      </c>
      <c r="J7" s="187" t="s">
        <v>390</v>
      </c>
      <c r="K7" s="201">
        <f>I7*1000000</f>
        <v>250000</v>
      </c>
      <c r="L7" s="201" t="s">
        <v>392</v>
      </c>
      <c r="M7" s="201"/>
      <c r="N7" s="201"/>
      <c r="O7" s="201"/>
      <c r="P7" s="201"/>
      <c r="Q7" s="201">
        <v>250000</v>
      </c>
      <c r="R7" s="201"/>
    </row>
    <row r="8" spans="1:18" x14ac:dyDescent="0.55000000000000004">
      <c r="D8" s="187" t="s">
        <v>263</v>
      </c>
      <c r="G8" s="187">
        <f>SUM(I57:I59)</f>
        <v>0</v>
      </c>
      <c r="H8" s="187" t="s">
        <v>389</v>
      </c>
      <c r="I8" s="187">
        <f t="shared" si="1"/>
        <v>0</v>
      </c>
      <c r="J8" s="187" t="s">
        <v>390</v>
      </c>
      <c r="K8" s="201">
        <f>I8*1000000</f>
        <v>0</v>
      </c>
      <c r="L8" s="201" t="s">
        <v>393</v>
      </c>
      <c r="M8" s="201" t="s">
        <v>394</v>
      </c>
      <c r="N8" s="201"/>
      <c r="O8" s="201"/>
      <c r="P8" s="201"/>
      <c r="Q8" s="201">
        <v>730000</v>
      </c>
      <c r="R8" s="201"/>
    </row>
    <row r="9" spans="1:18" x14ac:dyDescent="0.55000000000000004">
      <c r="D9" s="187" t="s">
        <v>395</v>
      </c>
      <c r="E9" s="202" t="s">
        <v>396</v>
      </c>
      <c r="G9" s="187">
        <f>F9/8+ROUND(SUM(G3:G8)*0.15,0)</f>
        <v>6</v>
      </c>
      <c r="H9" s="187" t="s">
        <v>552</v>
      </c>
      <c r="I9" s="187">
        <f>ROUNDUP(SUM(I3:I8)*0.2,2)</f>
        <v>0.41000000000000003</v>
      </c>
      <c r="J9" s="187" t="s">
        <v>390</v>
      </c>
      <c r="K9" s="201">
        <f>I9*1400000</f>
        <v>574000</v>
      </c>
      <c r="L9" s="201" t="s">
        <v>398</v>
      </c>
      <c r="M9" s="201"/>
      <c r="N9" s="201"/>
      <c r="O9" s="201"/>
      <c r="P9" s="201"/>
      <c r="Q9" s="201">
        <v>812000</v>
      </c>
      <c r="R9" s="201"/>
    </row>
    <row r="10" spans="1:18" x14ac:dyDescent="0.55000000000000004">
      <c r="D10" s="187" t="s">
        <v>399</v>
      </c>
      <c r="G10" s="187">
        <f>SUM(G3:G9)</f>
        <v>46.8</v>
      </c>
      <c r="H10" s="187" t="s">
        <v>389</v>
      </c>
      <c r="I10" s="187">
        <f>SUM(I3:I9)</f>
        <v>2.4500000000000002</v>
      </c>
      <c r="J10" s="187" t="s">
        <v>390</v>
      </c>
      <c r="K10" s="201">
        <f>SUM(K3:K9)</f>
        <v>2614000</v>
      </c>
      <c r="L10" s="201" t="s">
        <v>398</v>
      </c>
      <c r="M10" s="201"/>
      <c r="N10" s="201"/>
      <c r="O10" s="201"/>
      <c r="P10" s="201"/>
      <c r="Q10" s="201">
        <f>SUM(Q5:Q9)</f>
        <v>3682000</v>
      </c>
      <c r="R10" s="201"/>
    </row>
    <row r="11" spans="1:18" x14ac:dyDescent="0.55000000000000004">
      <c r="P11" s="187" t="s">
        <v>499</v>
      </c>
      <c r="Q11" s="201">
        <f>K10-+Q10</f>
        <v>-1068000</v>
      </c>
    </row>
    <row r="13" spans="1:18" x14ac:dyDescent="0.55000000000000004">
      <c r="C13" s="187" t="s">
        <v>400</v>
      </c>
    </row>
    <row r="14" spans="1:18" x14ac:dyDescent="0.55000000000000004">
      <c r="C14" s="182">
        <v>1</v>
      </c>
      <c r="D14" s="187" t="s">
        <v>403</v>
      </c>
    </row>
    <row r="15" spans="1:18" x14ac:dyDescent="0.55000000000000004">
      <c r="C15" s="182">
        <v>2</v>
      </c>
      <c r="D15" s="187" t="s">
        <v>404</v>
      </c>
    </row>
    <row r="16" spans="1:18" x14ac:dyDescent="0.55000000000000004">
      <c r="C16" s="182">
        <v>3</v>
      </c>
      <c r="D16" s="182" t="s">
        <v>554</v>
      </c>
    </row>
    <row r="17" spans="2:13" x14ac:dyDescent="0.55000000000000004">
      <c r="C17" s="182">
        <v>4</v>
      </c>
      <c r="D17" s="182" t="s">
        <v>555</v>
      </c>
    </row>
    <row r="19" spans="2:13" x14ac:dyDescent="0.55000000000000004">
      <c r="B19" s="204" t="s">
        <v>407</v>
      </c>
      <c r="C19" s="205" t="s">
        <v>408</v>
      </c>
      <c r="D19" s="192"/>
      <c r="E19" s="192"/>
      <c r="F19" s="192"/>
      <c r="G19" s="192"/>
      <c r="H19" s="192"/>
      <c r="I19" s="192" t="s">
        <v>389</v>
      </c>
      <c r="J19" s="206" t="s">
        <v>204</v>
      </c>
    </row>
    <row r="20" spans="2:13" x14ac:dyDescent="0.55000000000000004">
      <c r="B20" s="204"/>
      <c r="C20" s="207"/>
      <c r="D20" s="247" t="s">
        <v>257</v>
      </c>
      <c r="E20" s="247" t="s">
        <v>409</v>
      </c>
      <c r="F20" s="248" t="s">
        <v>410</v>
      </c>
      <c r="G20" s="248"/>
      <c r="H20" s="248"/>
      <c r="I20" s="248"/>
      <c r="J20" s="249"/>
    </row>
    <row r="21" spans="2:13" x14ac:dyDescent="0.55000000000000004">
      <c r="B21" s="204"/>
      <c r="C21" s="207"/>
      <c r="D21" s="250"/>
      <c r="E21" s="250" t="s">
        <v>411</v>
      </c>
      <c r="F21" s="251" t="s">
        <v>412</v>
      </c>
      <c r="G21" s="251"/>
      <c r="H21" s="251"/>
      <c r="I21" s="251"/>
      <c r="J21" s="252"/>
    </row>
    <row r="22" spans="2:13" x14ac:dyDescent="0.55000000000000004">
      <c r="B22" s="204"/>
      <c r="C22" s="207"/>
      <c r="D22" s="250"/>
      <c r="E22" s="250" t="s">
        <v>413</v>
      </c>
      <c r="F22" s="251"/>
      <c r="G22" s="251"/>
      <c r="H22" s="251"/>
      <c r="I22" s="251"/>
      <c r="J22" s="252"/>
    </row>
    <row r="23" spans="2:13" x14ac:dyDescent="0.55000000000000004">
      <c r="B23" s="204"/>
      <c r="C23" s="207"/>
      <c r="D23" s="253"/>
      <c r="E23" s="253" t="s">
        <v>414</v>
      </c>
      <c r="F23" s="254"/>
      <c r="G23" s="254"/>
      <c r="H23" s="254"/>
      <c r="I23" s="254"/>
      <c r="J23" s="255"/>
    </row>
    <row r="24" spans="2:13" x14ac:dyDescent="0.55000000000000004">
      <c r="B24" s="204"/>
      <c r="C24" s="207"/>
      <c r="D24" s="247" t="s">
        <v>258</v>
      </c>
      <c r="E24" s="247" t="s">
        <v>415</v>
      </c>
      <c r="F24" s="248" t="s">
        <v>416</v>
      </c>
      <c r="G24" s="248"/>
      <c r="H24" s="248"/>
      <c r="I24" s="248"/>
      <c r="J24" s="249"/>
    </row>
    <row r="25" spans="2:13" x14ac:dyDescent="0.55000000000000004">
      <c r="B25" s="204"/>
      <c r="C25" s="207"/>
      <c r="D25" s="250"/>
      <c r="E25" s="250" t="s">
        <v>417</v>
      </c>
      <c r="F25" s="251" t="s">
        <v>418</v>
      </c>
      <c r="G25" s="251"/>
      <c r="H25" s="251"/>
      <c r="I25" s="251"/>
      <c r="J25" s="252"/>
    </row>
    <row r="26" spans="2:13" x14ac:dyDescent="0.55000000000000004">
      <c r="B26" s="204"/>
      <c r="C26" s="207"/>
      <c r="D26" s="253"/>
      <c r="E26" s="253" t="s">
        <v>419</v>
      </c>
      <c r="F26" s="254" t="s">
        <v>420</v>
      </c>
      <c r="G26" s="254"/>
      <c r="H26" s="254"/>
      <c r="I26" s="254"/>
      <c r="J26" s="255"/>
    </row>
    <row r="27" spans="2:13" x14ac:dyDescent="0.55000000000000004">
      <c r="C27" s="207"/>
      <c r="D27" s="205" t="s">
        <v>260</v>
      </c>
      <c r="E27" s="247" t="s">
        <v>421</v>
      </c>
      <c r="F27" s="248" t="s">
        <v>422</v>
      </c>
      <c r="G27" s="248"/>
      <c r="H27" s="248"/>
      <c r="I27" s="248"/>
      <c r="J27" s="249"/>
      <c r="L27" s="187" t="s">
        <v>423</v>
      </c>
      <c r="M27" s="210" t="s">
        <v>424</v>
      </c>
    </row>
    <row r="28" spans="2:13" x14ac:dyDescent="0.55000000000000004">
      <c r="C28" s="207"/>
      <c r="D28" s="207"/>
      <c r="E28" s="250" t="s">
        <v>486</v>
      </c>
      <c r="F28" s="251" t="s">
        <v>487</v>
      </c>
      <c r="G28" s="251"/>
      <c r="H28" s="251" t="s">
        <v>550</v>
      </c>
      <c r="I28" s="251"/>
      <c r="J28" s="252"/>
    </row>
    <row r="29" spans="2:13" x14ac:dyDescent="0.55000000000000004">
      <c r="C29" s="207"/>
      <c r="D29" s="207"/>
      <c r="E29" s="207"/>
      <c r="I29" s="182">
        <f>ROUNDUP(G29/7,1)</f>
        <v>0</v>
      </c>
      <c r="J29" s="215" t="s">
        <v>546</v>
      </c>
    </row>
    <row r="30" spans="2:13" x14ac:dyDescent="0.55000000000000004">
      <c r="C30" s="207"/>
      <c r="D30" s="207"/>
      <c r="E30" s="183" t="s">
        <v>425</v>
      </c>
      <c r="F30" s="182" t="s">
        <v>426</v>
      </c>
      <c r="G30" s="182"/>
      <c r="H30" s="182"/>
      <c r="I30" s="182">
        <v>5</v>
      </c>
      <c r="J30" s="215" t="s">
        <v>547</v>
      </c>
    </row>
    <row r="31" spans="2:13" x14ac:dyDescent="0.55000000000000004">
      <c r="C31" s="207"/>
      <c r="D31" s="207"/>
      <c r="E31" s="183"/>
      <c r="F31" s="182"/>
      <c r="G31" s="182"/>
      <c r="H31" s="182"/>
      <c r="I31" s="182">
        <v>3</v>
      </c>
      <c r="J31" s="215" t="s">
        <v>548</v>
      </c>
    </row>
    <row r="32" spans="2:13" x14ac:dyDescent="0.55000000000000004">
      <c r="C32" s="207"/>
      <c r="D32" s="207"/>
      <c r="E32" s="183"/>
      <c r="F32" s="182" t="s">
        <v>427</v>
      </c>
      <c r="G32" s="182"/>
      <c r="H32" s="182" t="s">
        <v>553</v>
      </c>
      <c r="I32" s="182"/>
      <c r="J32" s="215"/>
    </row>
    <row r="33" spans="3:12" ht="19" customHeight="1" x14ac:dyDescent="0.55000000000000004">
      <c r="C33" s="207"/>
      <c r="D33" s="207"/>
      <c r="E33" s="183"/>
      <c r="F33" s="182"/>
      <c r="G33" s="182"/>
      <c r="H33" s="182">
        <v>130</v>
      </c>
      <c r="I33" s="182"/>
      <c r="J33" s="215"/>
    </row>
    <row r="34" spans="3:12" x14ac:dyDescent="0.55000000000000004">
      <c r="C34" s="207"/>
      <c r="D34" s="207"/>
      <c r="E34" s="183"/>
      <c r="F34" s="182"/>
      <c r="G34" s="182" t="s">
        <v>490</v>
      </c>
      <c r="H34" s="182"/>
      <c r="I34" s="182"/>
      <c r="J34" s="215" t="s">
        <v>431</v>
      </c>
      <c r="L34" s="187" t="s">
        <v>432</v>
      </c>
    </row>
    <row r="35" spans="3:12" x14ac:dyDescent="0.55000000000000004">
      <c r="C35" s="207"/>
      <c r="D35" s="207"/>
      <c r="E35" s="183"/>
      <c r="F35" s="182" t="s">
        <v>509</v>
      </c>
      <c r="G35" s="182">
        <v>3540</v>
      </c>
      <c r="H35" s="182">
        <f>G35/$H$33</f>
        <v>27.23076923076923</v>
      </c>
      <c r="I35" s="182">
        <f>ROUNDUP(H35,1)</f>
        <v>27.3</v>
      </c>
      <c r="J35" s="216" t="s">
        <v>551</v>
      </c>
      <c r="K35" s="182" t="s">
        <v>557</v>
      </c>
    </row>
    <row r="36" spans="3:12" ht="19" customHeight="1" x14ac:dyDescent="0.55000000000000004">
      <c r="C36" s="207"/>
      <c r="D36" s="207"/>
      <c r="E36" s="183"/>
      <c r="F36" s="182"/>
      <c r="G36" s="182"/>
      <c r="H36" s="182"/>
      <c r="I36" s="182">
        <v>0.5</v>
      </c>
      <c r="J36" s="215" t="s">
        <v>549</v>
      </c>
      <c r="K36" s="182" t="s">
        <v>556</v>
      </c>
    </row>
    <row r="37" spans="3:12" x14ac:dyDescent="0.55000000000000004">
      <c r="C37" s="207"/>
      <c r="D37" s="207"/>
      <c r="E37" s="207"/>
      <c r="J37" s="208"/>
    </row>
    <row r="38" spans="3:12" x14ac:dyDescent="0.55000000000000004">
      <c r="C38" s="207"/>
      <c r="D38" s="250"/>
      <c r="E38" s="250" t="s">
        <v>491</v>
      </c>
      <c r="F38" s="251"/>
      <c r="G38" s="251"/>
      <c r="H38" s="251"/>
      <c r="I38" s="251"/>
      <c r="J38" s="252"/>
    </row>
    <row r="39" spans="3:12" x14ac:dyDescent="0.55000000000000004">
      <c r="C39" s="207"/>
      <c r="D39" s="250"/>
      <c r="E39" s="250"/>
      <c r="F39" s="251" t="s">
        <v>500</v>
      </c>
      <c r="G39" s="251"/>
      <c r="H39" s="251"/>
      <c r="I39" s="251"/>
      <c r="J39" s="252"/>
    </row>
    <row r="40" spans="3:12" x14ac:dyDescent="0.55000000000000004">
      <c r="C40" s="207"/>
      <c r="D40" s="250"/>
      <c r="E40" s="250"/>
      <c r="F40" s="251" t="s">
        <v>509</v>
      </c>
      <c r="G40" s="251"/>
      <c r="H40" s="251">
        <f>G40/$H$33</f>
        <v>0</v>
      </c>
      <c r="I40" s="261">
        <f>ROUNDUP(H40,1)</f>
        <v>0</v>
      </c>
      <c r="J40" s="252"/>
    </row>
    <row r="41" spans="3:12" x14ac:dyDescent="0.55000000000000004">
      <c r="C41" s="207"/>
      <c r="D41" s="253"/>
      <c r="E41" s="253"/>
      <c r="F41" s="254"/>
      <c r="G41" s="254"/>
      <c r="H41" s="254"/>
      <c r="I41" s="254"/>
      <c r="J41" s="255"/>
    </row>
    <row r="42" spans="3:12" x14ac:dyDescent="0.55000000000000004">
      <c r="C42" s="207"/>
      <c r="D42" s="247" t="s">
        <v>261</v>
      </c>
      <c r="E42" s="247" t="s">
        <v>442</v>
      </c>
      <c r="F42" s="248"/>
      <c r="G42" s="248"/>
      <c r="H42" s="248"/>
      <c r="I42" s="248"/>
      <c r="J42" s="249"/>
    </row>
    <row r="43" spans="3:12" x14ac:dyDescent="0.55000000000000004">
      <c r="C43" s="207"/>
      <c r="D43" s="250"/>
      <c r="E43" s="250" t="s">
        <v>443</v>
      </c>
      <c r="F43" s="251"/>
      <c r="G43" s="251"/>
      <c r="H43" s="251"/>
      <c r="I43" s="251"/>
      <c r="J43" s="252"/>
      <c r="L43" s="187" t="s">
        <v>444</v>
      </c>
    </row>
    <row r="44" spans="3:12" x14ac:dyDescent="0.55000000000000004">
      <c r="C44" s="207"/>
      <c r="D44" s="250"/>
      <c r="E44" s="250"/>
      <c r="F44" s="251" t="s">
        <v>427</v>
      </c>
      <c r="G44" s="256" t="s">
        <v>498</v>
      </c>
      <c r="H44" s="251" t="s">
        <v>506</v>
      </c>
      <c r="I44" s="251"/>
      <c r="J44" s="252"/>
      <c r="L44" s="187" t="s">
        <v>447</v>
      </c>
    </row>
    <row r="45" spans="3:12" x14ac:dyDescent="0.55000000000000004">
      <c r="C45" s="207"/>
      <c r="D45" s="250"/>
      <c r="E45" s="250"/>
      <c r="F45" s="251" t="s">
        <v>448</v>
      </c>
      <c r="G45" s="256" t="s">
        <v>529</v>
      </c>
      <c r="H45" s="251"/>
      <c r="I45" s="251"/>
      <c r="J45" s="257"/>
      <c r="K45" s="202"/>
      <c r="L45" s="187" t="s">
        <v>450</v>
      </c>
    </row>
    <row r="46" spans="3:12" x14ac:dyDescent="0.55000000000000004">
      <c r="C46" s="207"/>
      <c r="D46" s="250"/>
      <c r="E46" s="250"/>
      <c r="F46" s="251"/>
      <c r="G46" s="251"/>
      <c r="H46" s="251"/>
      <c r="I46" s="251"/>
      <c r="J46" s="252"/>
    </row>
    <row r="47" spans="3:12" x14ac:dyDescent="0.55000000000000004">
      <c r="C47" s="207"/>
      <c r="D47" s="250"/>
      <c r="E47" s="250"/>
      <c r="F47" s="251"/>
      <c r="G47" s="251"/>
      <c r="H47" s="251"/>
      <c r="I47" s="251"/>
      <c r="J47" s="252"/>
    </row>
    <row r="48" spans="3:12" x14ac:dyDescent="0.55000000000000004">
      <c r="C48" s="207"/>
      <c r="D48" s="250"/>
      <c r="E48" s="250"/>
      <c r="F48" s="251" t="s">
        <v>252</v>
      </c>
      <c r="G48" s="251"/>
      <c r="H48" s="251">
        <f>ROUNDUP(G48*0.2,0)</f>
        <v>0</v>
      </c>
      <c r="I48" s="251">
        <f>ROUND(H48/24,1)</f>
        <v>0</v>
      </c>
      <c r="J48" s="258"/>
    </row>
    <row r="49" spans="3:12" x14ac:dyDescent="0.55000000000000004">
      <c r="C49" s="207"/>
      <c r="D49" s="253"/>
      <c r="E49" s="253"/>
      <c r="F49" s="254"/>
      <c r="G49" s="254"/>
      <c r="H49" s="254"/>
      <c r="I49" s="254"/>
      <c r="J49" s="255"/>
    </row>
    <row r="50" spans="3:12" x14ac:dyDescent="0.55000000000000004">
      <c r="C50" s="207"/>
      <c r="D50" s="205" t="s">
        <v>262</v>
      </c>
      <c r="E50" s="205" t="s">
        <v>451</v>
      </c>
      <c r="F50" s="192" t="s">
        <v>452</v>
      </c>
      <c r="G50" s="192"/>
      <c r="H50" s="192" t="s">
        <v>453</v>
      </c>
      <c r="I50" s="192"/>
      <c r="J50" s="206"/>
    </row>
    <row r="51" spans="3:12" x14ac:dyDescent="0.55000000000000004">
      <c r="C51" s="207"/>
      <c r="D51" s="207"/>
      <c r="E51" s="207" t="s">
        <v>454</v>
      </c>
      <c r="F51" s="187" t="s">
        <v>455</v>
      </c>
      <c r="J51" s="208"/>
      <c r="L51" s="187" t="s">
        <v>456</v>
      </c>
    </row>
    <row r="52" spans="3:12" x14ac:dyDescent="0.55000000000000004">
      <c r="C52" s="207"/>
      <c r="D52" s="207"/>
      <c r="E52" s="207"/>
      <c r="F52" s="187" t="s">
        <v>457</v>
      </c>
      <c r="J52" s="208"/>
    </row>
    <row r="53" spans="3:12" x14ac:dyDescent="0.55000000000000004">
      <c r="C53" s="207"/>
      <c r="D53" s="207"/>
      <c r="E53" s="207"/>
      <c r="F53" s="187" t="s">
        <v>283</v>
      </c>
      <c r="I53" s="182">
        <v>5</v>
      </c>
      <c r="J53" s="215" t="s">
        <v>542</v>
      </c>
    </row>
    <row r="54" spans="3:12" x14ac:dyDescent="0.55000000000000004">
      <c r="C54" s="207"/>
      <c r="D54" s="207"/>
      <c r="E54" s="207"/>
      <c r="F54" s="187" t="s">
        <v>284</v>
      </c>
      <c r="J54" s="208"/>
    </row>
    <row r="55" spans="3:12" x14ac:dyDescent="0.55000000000000004">
      <c r="C55" s="207"/>
      <c r="D55" s="207"/>
      <c r="E55" s="207"/>
      <c r="F55" s="187" t="s">
        <v>458</v>
      </c>
      <c r="J55" s="208"/>
    </row>
    <row r="56" spans="3:12" x14ac:dyDescent="0.55000000000000004">
      <c r="C56" s="207"/>
      <c r="D56" s="209"/>
      <c r="E56" s="209"/>
      <c r="F56" s="188"/>
      <c r="G56" s="188"/>
      <c r="H56" s="188"/>
      <c r="I56" s="188"/>
      <c r="J56" s="189"/>
    </row>
    <row r="57" spans="3:12" x14ac:dyDescent="0.55000000000000004">
      <c r="C57" s="207"/>
      <c r="D57" s="247" t="s">
        <v>459</v>
      </c>
      <c r="E57" s="247" t="s">
        <v>460</v>
      </c>
      <c r="F57" s="248" t="s">
        <v>502</v>
      </c>
      <c r="G57" s="248"/>
      <c r="H57" s="248"/>
      <c r="I57" s="248"/>
      <c r="J57" s="249"/>
    </row>
    <row r="58" spans="3:12" x14ac:dyDescent="0.55000000000000004">
      <c r="C58" s="207"/>
      <c r="D58" s="250"/>
      <c r="E58" s="250" t="s">
        <v>462</v>
      </c>
      <c r="F58" s="251" t="s">
        <v>503</v>
      </c>
      <c r="G58" s="251"/>
      <c r="H58" s="251"/>
      <c r="I58" s="251"/>
      <c r="J58" s="252"/>
    </row>
    <row r="59" spans="3:12" ht="54" x14ac:dyDescent="0.55000000000000004">
      <c r="C59" s="207"/>
      <c r="D59" s="253"/>
      <c r="E59" s="253" t="s">
        <v>464</v>
      </c>
      <c r="F59" s="259" t="s">
        <v>537</v>
      </c>
      <c r="G59" s="254"/>
      <c r="H59" s="254" t="s">
        <v>466</v>
      </c>
      <c r="I59" s="254"/>
      <c r="J59" s="260" t="s">
        <v>497</v>
      </c>
    </row>
    <row r="60" spans="3:12" x14ac:dyDescent="0.55000000000000004">
      <c r="C60" s="209"/>
      <c r="D60" s="209" t="s">
        <v>399</v>
      </c>
      <c r="E60" s="209"/>
      <c r="F60" s="188"/>
      <c r="G60" s="188"/>
      <c r="H60" s="188"/>
      <c r="I60" s="188">
        <f>SUM(I20:I59)</f>
        <v>40.799999999999997</v>
      </c>
      <c r="J60" s="189" t="s">
        <v>389</v>
      </c>
    </row>
    <row r="61" spans="3:12" x14ac:dyDescent="0.55000000000000004">
      <c r="I61" s="187">
        <f>I60/20</f>
        <v>2.04</v>
      </c>
      <c r="J61" s="187" t="s">
        <v>390</v>
      </c>
    </row>
  </sheetData>
  <phoneticPr fontId="2"/>
  <hyperlinks>
    <hyperlink ref="M27" r:id="rId1" xr:uid="{0904E64F-68B5-40B9-889D-8958BC59704F}"/>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2ABEC-5B42-4C51-9B9F-8C06260223D3}">
  <dimension ref="A1:R61"/>
  <sheetViews>
    <sheetView topLeftCell="F1" zoomScale="130" zoomScaleNormal="130" workbookViewId="0">
      <selection activeCell="H58" sqref="H58"/>
    </sheetView>
  </sheetViews>
  <sheetFormatPr defaultColWidth="8.75" defaultRowHeight="18" x14ac:dyDescent="0.55000000000000004"/>
  <cols>
    <col min="1" max="1" width="8.75" style="187"/>
    <col min="2" max="2" width="3.33203125" style="187" bestFit="1" customWidth="1"/>
    <col min="3" max="3" width="8.75" style="187"/>
    <col min="4" max="4" width="24.58203125" style="187" customWidth="1"/>
    <col min="5" max="5" width="29.58203125" style="187" customWidth="1"/>
    <col min="6" max="6" width="23.5" style="187" customWidth="1"/>
    <col min="7" max="7" width="9.33203125" style="187" customWidth="1"/>
    <col min="8" max="8" width="27.58203125" style="187" customWidth="1"/>
    <col min="9" max="9" width="8.75" style="187" customWidth="1"/>
    <col min="10" max="10" width="46" style="187" customWidth="1"/>
    <col min="11" max="11" width="16.58203125" style="187" customWidth="1"/>
    <col min="12" max="16" width="8.75" style="187"/>
    <col min="17" max="17" width="11.25" style="187" bestFit="1" customWidth="1"/>
    <col min="18" max="16384" width="8.75" style="187"/>
  </cols>
  <sheetData>
    <row r="1" spans="1:18" x14ac:dyDescent="0.55000000000000004">
      <c r="A1" s="187" t="s">
        <v>387</v>
      </c>
    </row>
    <row r="2" spans="1:18" x14ac:dyDescent="0.55000000000000004">
      <c r="K2" s="201" t="s">
        <v>493</v>
      </c>
      <c r="L2" s="201"/>
      <c r="M2" s="201"/>
      <c r="N2" s="201"/>
      <c r="O2" s="201"/>
      <c r="P2" s="201"/>
      <c r="Q2" s="201" t="s">
        <v>492</v>
      </c>
      <c r="R2" s="201"/>
    </row>
    <row r="3" spans="1:18" x14ac:dyDescent="0.55000000000000004">
      <c r="C3" s="187" t="s">
        <v>388</v>
      </c>
      <c r="D3" s="187" t="s">
        <v>257</v>
      </c>
      <c r="G3" s="187">
        <f>SUM(I22:I25)</f>
        <v>0</v>
      </c>
      <c r="H3" s="187" t="s">
        <v>389</v>
      </c>
      <c r="I3" s="187">
        <f>G3/20</f>
        <v>0</v>
      </c>
      <c r="J3" s="187" t="s">
        <v>390</v>
      </c>
      <c r="K3" s="201"/>
      <c r="L3" s="201" t="s">
        <v>391</v>
      </c>
      <c r="M3" s="201"/>
      <c r="N3" s="201"/>
      <c r="O3" s="201"/>
      <c r="P3" s="201"/>
      <c r="Q3" s="201"/>
      <c r="R3" s="201"/>
    </row>
    <row r="4" spans="1:18" x14ac:dyDescent="0.55000000000000004">
      <c r="D4" s="187" t="s">
        <v>258</v>
      </c>
      <c r="G4" s="187">
        <f>SUM(I26:I28)</f>
        <v>0</v>
      </c>
      <c r="H4" s="187" t="s">
        <v>389</v>
      </c>
      <c r="I4" s="187">
        <f t="shared" ref="I4" si="0">G4/20</f>
        <v>0</v>
      </c>
      <c r="J4" s="187" t="s">
        <v>390</v>
      </c>
      <c r="K4" s="201"/>
      <c r="L4" s="201" t="s">
        <v>392</v>
      </c>
      <c r="M4" s="201"/>
      <c r="N4" s="201"/>
      <c r="O4" s="201"/>
      <c r="P4" s="201"/>
      <c r="Q4" s="201"/>
      <c r="R4" s="201"/>
    </row>
    <row r="5" spans="1:18" x14ac:dyDescent="0.55000000000000004">
      <c r="D5" s="187" t="s">
        <v>260</v>
      </c>
      <c r="G5" s="187">
        <f>SUM(I29:I41)</f>
        <v>25</v>
      </c>
      <c r="H5" s="187" t="s">
        <v>389</v>
      </c>
      <c r="I5" s="187">
        <f>ROUNDUP(G5/20,2)</f>
        <v>1.25</v>
      </c>
      <c r="J5" s="187" t="s">
        <v>390</v>
      </c>
      <c r="K5" s="201">
        <f>I5*1000000</f>
        <v>1250000</v>
      </c>
      <c r="L5" s="201" t="s">
        <v>392</v>
      </c>
      <c r="M5" s="201"/>
      <c r="N5" s="201"/>
      <c r="O5" s="201"/>
      <c r="P5" s="201"/>
      <c r="Q5" s="201">
        <v>670000</v>
      </c>
      <c r="R5" s="201"/>
    </row>
    <row r="6" spans="1:18" x14ac:dyDescent="0.55000000000000004">
      <c r="D6" s="187" t="s">
        <v>261</v>
      </c>
      <c r="G6" s="187">
        <f>SUM(I42:I49)</f>
        <v>8.1999999999999993</v>
      </c>
      <c r="H6" s="187" t="s">
        <v>389</v>
      </c>
      <c r="I6" s="187">
        <f t="shared" ref="I6:I8" si="1">ROUNDUP(G6/20,2)</f>
        <v>0.41</v>
      </c>
      <c r="J6" s="187" t="s">
        <v>390</v>
      </c>
      <c r="K6" s="201">
        <f t="shared" ref="K6:K7" si="2">I6*1000000</f>
        <v>410000</v>
      </c>
      <c r="L6" s="201" t="s">
        <v>392</v>
      </c>
      <c r="M6" s="201"/>
      <c r="N6" s="201"/>
      <c r="O6" s="201"/>
      <c r="P6" s="201"/>
      <c r="Q6" s="201">
        <v>120000</v>
      </c>
      <c r="R6" s="201"/>
    </row>
    <row r="7" spans="1:18" x14ac:dyDescent="0.55000000000000004">
      <c r="D7" s="187" t="s">
        <v>262</v>
      </c>
      <c r="G7" s="187">
        <f>SUM(I50:I56)</f>
        <v>11</v>
      </c>
      <c r="H7" s="187" t="s">
        <v>389</v>
      </c>
      <c r="I7" s="187">
        <f t="shared" si="1"/>
        <v>0.55000000000000004</v>
      </c>
      <c r="J7" s="187" t="s">
        <v>390</v>
      </c>
      <c r="K7" s="201">
        <f t="shared" si="2"/>
        <v>550000</v>
      </c>
      <c r="L7" s="201" t="s">
        <v>392</v>
      </c>
      <c r="M7" s="201"/>
      <c r="N7" s="201"/>
      <c r="O7" s="201"/>
      <c r="P7" s="201"/>
      <c r="Q7" s="201">
        <v>200000</v>
      </c>
      <c r="R7" s="201"/>
    </row>
    <row r="8" spans="1:18" x14ac:dyDescent="0.55000000000000004">
      <c r="D8" s="187" t="s">
        <v>263</v>
      </c>
      <c r="G8" s="187">
        <f>SUM(I57:I59)</f>
        <v>29.5</v>
      </c>
      <c r="H8" s="187" t="s">
        <v>389</v>
      </c>
      <c r="I8" s="187">
        <f t="shared" si="1"/>
        <v>1.48</v>
      </c>
      <c r="J8" s="187" t="s">
        <v>390</v>
      </c>
      <c r="K8" s="201">
        <f>I8*1000000</f>
        <v>1480000</v>
      </c>
      <c r="L8" s="201" t="s">
        <v>393</v>
      </c>
      <c r="M8" s="201" t="s">
        <v>394</v>
      </c>
      <c r="N8" s="201"/>
      <c r="O8" s="201"/>
      <c r="P8" s="201"/>
      <c r="Q8" s="201">
        <v>730000</v>
      </c>
      <c r="R8" s="201"/>
    </row>
    <row r="9" spans="1:18" x14ac:dyDescent="0.55000000000000004">
      <c r="D9" s="187" t="s">
        <v>395</v>
      </c>
      <c r="E9" s="202" t="s">
        <v>396</v>
      </c>
      <c r="F9" s="187">
        <f>36*3</f>
        <v>108</v>
      </c>
      <c r="G9" s="187">
        <f>F9/8+ROUND(SUM(G3:G8)*0.15,0)</f>
        <v>24.5</v>
      </c>
      <c r="H9" s="187" t="s">
        <v>397</v>
      </c>
      <c r="I9" s="187">
        <f>ROUNDUP(SUM(I3:I8)*0.2,2)</f>
        <v>0.74</v>
      </c>
      <c r="J9" s="187" t="s">
        <v>390</v>
      </c>
      <c r="K9" s="201">
        <f>I9*1400000</f>
        <v>1036000</v>
      </c>
      <c r="L9" s="201" t="s">
        <v>398</v>
      </c>
      <c r="M9" s="201"/>
      <c r="N9" s="201"/>
      <c r="O9" s="201"/>
      <c r="P9" s="201"/>
      <c r="Q9" s="201">
        <v>490000</v>
      </c>
      <c r="R9" s="201"/>
    </row>
    <row r="10" spans="1:18" x14ac:dyDescent="0.55000000000000004">
      <c r="D10" s="187" t="s">
        <v>399</v>
      </c>
      <c r="G10" s="187">
        <f>SUM(G3:G9)</f>
        <v>98.2</v>
      </c>
      <c r="H10" s="187" t="s">
        <v>389</v>
      </c>
      <c r="I10" s="187">
        <f>SUM(I3:I9)</f>
        <v>4.43</v>
      </c>
      <c r="J10" s="187" t="s">
        <v>390</v>
      </c>
      <c r="K10" s="201">
        <f>SUM(K3:K9)</f>
        <v>4726000</v>
      </c>
      <c r="L10" s="201" t="s">
        <v>398</v>
      </c>
      <c r="M10" s="201"/>
      <c r="N10" s="201"/>
      <c r="O10" s="201"/>
      <c r="P10" s="201"/>
      <c r="Q10" s="201">
        <f>SUM(Q5:Q9)</f>
        <v>2210000</v>
      </c>
      <c r="R10" s="201"/>
    </row>
    <row r="11" spans="1:18" x14ac:dyDescent="0.55000000000000004">
      <c r="P11" s="187" t="s">
        <v>499</v>
      </c>
      <c r="Q11" s="201">
        <f>K10-Q10</f>
        <v>2516000</v>
      </c>
    </row>
    <row r="13" spans="1:18" x14ac:dyDescent="0.55000000000000004">
      <c r="C13" s="187" t="s">
        <v>400</v>
      </c>
    </row>
    <row r="14" spans="1:18" x14ac:dyDescent="0.55000000000000004">
      <c r="C14" s="203">
        <v>5</v>
      </c>
      <c r="D14" s="203" t="s">
        <v>401</v>
      </c>
    </row>
    <row r="15" spans="1:18" x14ac:dyDescent="0.55000000000000004">
      <c r="C15" s="203">
        <v>6</v>
      </c>
      <c r="D15" s="203" t="s">
        <v>402</v>
      </c>
    </row>
    <row r="16" spans="1:18" x14ac:dyDescent="0.55000000000000004">
      <c r="C16" s="187">
        <v>7</v>
      </c>
      <c r="D16" s="187" t="s">
        <v>403</v>
      </c>
    </row>
    <row r="17" spans="2:13" x14ac:dyDescent="0.55000000000000004">
      <c r="C17" s="187">
        <v>8</v>
      </c>
      <c r="D17" s="187" t="s">
        <v>404</v>
      </c>
    </row>
    <row r="18" spans="2:13" x14ac:dyDescent="0.55000000000000004">
      <c r="C18" s="187">
        <v>9</v>
      </c>
      <c r="D18" s="187" t="s">
        <v>501</v>
      </c>
    </row>
    <row r="19" spans="2:13" x14ac:dyDescent="0.55000000000000004">
      <c r="C19" s="187">
        <v>10</v>
      </c>
      <c r="D19" s="187" t="s">
        <v>406</v>
      </c>
    </row>
    <row r="21" spans="2:13" x14ac:dyDescent="0.55000000000000004">
      <c r="B21" s="204" t="s">
        <v>407</v>
      </c>
      <c r="C21" s="205" t="s">
        <v>408</v>
      </c>
      <c r="D21" s="192"/>
      <c r="E21" s="192"/>
      <c r="F21" s="192"/>
      <c r="G21" s="192"/>
      <c r="H21" s="192"/>
      <c r="I21" s="192" t="s">
        <v>389</v>
      </c>
      <c r="J21" s="206" t="s">
        <v>204</v>
      </c>
    </row>
    <row r="22" spans="2:13" x14ac:dyDescent="0.55000000000000004">
      <c r="B22" s="204"/>
      <c r="C22" s="207"/>
      <c r="D22" s="205" t="s">
        <v>257</v>
      </c>
      <c r="E22" s="205" t="s">
        <v>409</v>
      </c>
      <c r="F22" s="192" t="s">
        <v>410</v>
      </c>
      <c r="G22" s="192"/>
      <c r="H22" s="192"/>
      <c r="I22" s="192"/>
      <c r="J22" s="206"/>
    </row>
    <row r="23" spans="2:13" x14ac:dyDescent="0.55000000000000004">
      <c r="B23" s="204"/>
      <c r="C23" s="207"/>
      <c r="D23" s="207"/>
      <c r="E23" s="207" t="s">
        <v>411</v>
      </c>
      <c r="F23" s="187" t="s">
        <v>412</v>
      </c>
      <c r="J23" s="208"/>
    </row>
    <row r="24" spans="2:13" x14ac:dyDescent="0.55000000000000004">
      <c r="B24" s="204"/>
      <c r="C24" s="207"/>
      <c r="D24" s="207"/>
      <c r="E24" s="207" t="s">
        <v>413</v>
      </c>
      <c r="J24" s="208"/>
    </row>
    <row r="25" spans="2:13" x14ac:dyDescent="0.55000000000000004">
      <c r="B25" s="204"/>
      <c r="C25" s="207"/>
      <c r="D25" s="209"/>
      <c r="E25" s="209" t="s">
        <v>414</v>
      </c>
      <c r="F25" s="188"/>
      <c r="G25" s="188"/>
      <c r="H25" s="188"/>
      <c r="I25" s="188"/>
      <c r="J25" s="189"/>
    </row>
    <row r="26" spans="2:13" x14ac:dyDescent="0.55000000000000004">
      <c r="B26" s="204"/>
      <c r="C26" s="207"/>
      <c r="D26" s="205" t="s">
        <v>258</v>
      </c>
      <c r="E26" s="205" t="s">
        <v>415</v>
      </c>
      <c r="F26" s="192" t="s">
        <v>416</v>
      </c>
      <c r="G26" s="192"/>
      <c r="H26" s="192"/>
      <c r="I26" s="192"/>
      <c r="J26" s="206"/>
    </row>
    <row r="27" spans="2:13" x14ac:dyDescent="0.55000000000000004">
      <c r="B27" s="204"/>
      <c r="C27" s="207"/>
      <c r="D27" s="207"/>
      <c r="E27" s="207" t="s">
        <v>417</v>
      </c>
      <c r="F27" s="187" t="s">
        <v>418</v>
      </c>
      <c r="J27" s="208"/>
    </row>
    <row r="28" spans="2:13" x14ac:dyDescent="0.55000000000000004">
      <c r="B28" s="204"/>
      <c r="C28" s="207"/>
      <c r="D28" s="209"/>
      <c r="E28" s="209" t="s">
        <v>419</v>
      </c>
      <c r="F28" s="188" t="s">
        <v>420</v>
      </c>
      <c r="G28" s="188"/>
      <c r="H28" s="188"/>
      <c r="I28" s="188"/>
      <c r="J28" s="189"/>
    </row>
    <row r="29" spans="2:13" x14ac:dyDescent="0.55000000000000004">
      <c r="C29" s="207"/>
      <c r="D29" s="205" t="s">
        <v>260</v>
      </c>
      <c r="E29" s="205" t="s">
        <v>421</v>
      </c>
      <c r="F29" s="192" t="s">
        <v>422</v>
      </c>
      <c r="G29" s="192"/>
      <c r="H29" s="192"/>
      <c r="I29" s="192">
        <v>1</v>
      </c>
      <c r="J29" s="206"/>
      <c r="L29" s="187" t="s">
        <v>423</v>
      </c>
      <c r="M29" s="210" t="s">
        <v>424</v>
      </c>
    </row>
    <row r="30" spans="2:13" x14ac:dyDescent="0.55000000000000004">
      <c r="C30" s="207"/>
      <c r="D30" s="207"/>
      <c r="E30" s="207" t="s">
        <v>486</v>
      </c>
      <c r="F30" s="187" t="s">
        <v>487</v>
      </c>
      <c r="H30" s="187" t="s">
        <v>538</v>
      </c>
      <c r="J30" s="208" t="s">
        <v>494</v>
      </c>
    </row>
    <row r="31" spans="2:13" x14ac:dyDescent="0.55000000000000004">
      <c r="C31" s="207"/>
      <c r="D31" s="207"/>
      <c r="E31" s="207"/>
      <c r="G31" s="214">
        <v>60</v>
      </c>
      <c r="I31" s="182">
        <f>ROUNDUP(G31/7,1)</f>
        <v>8.6</v>
      </c>
      <c r="J31" s="215" t="s">
        <v>530</v>
      </c>
    </row>
    <row r="32" spans="2:13" x14ac:dyDescent="0.55000000000000004">
      <c r="C32" s="207"/>
      <c r="D32" s="207"/>
      <c r="E32" s="207" t="s">
        <v>425</v>
      </c>
      <c r="F32" s="187" t="s">
        <v>426</v>
      </c>
      <c r="J32" s="208"/>
    </row>
    <row r="33" spans="3:12" x14ac:dyDescent="0.55000000000000004">
      <c r="C33" s="207"/>
      <c r="D33" s="207"/>
      <c r="E33" s="207"/>
      <c r="F33" s="187" t="s">
        <v>427</v>
      </c>
      <c r="G33" s="187" t="s">
        <v>428</v>
      </c>
      <c r="H33" s="187" t="s">
        <v>429</v>
      </c>
      <c r="J33" s="208"/>
    </row>
    <row r="34" spans="3:12" x14ac:dyDescent="0.55000000000000004">
      <c r="C34" s="207"/>
      <c r="D34" s="207"/>
      <c r="E34" s="207"/>
      <c r="H34" s="187">
        <v>48</v>
      </c>
      <c r="J34" s="208"/>
    </row>
    <row r="35" spans="3:12" x14ac:dyDescent="0.55000000000000004">
      <c r="C35" s="207"/>
      <c r="D35" s="207"/>
      <c r="E35" s="207"/>
      <c r="G35" s="187" t="s">
        <v>490</v>
      </c>
      <c r="J35" s="208" t="s">
        <v>431</v>
      </c>
      <c r="L35" s="187" t="s">
        <v>432</v>
      </c>
    </row>
    <row r="36" spans="3:12" x14ac:dyDescent="0.55000000000000004">
      <c r="C36" s="207"/>
      <c r="D36" s="207"/>
      <c r="E36" s="207"/>
      <c r="F36" s="187" t="s">
        <v>507</v>
      </c>
      <c r="G36" s="187">
        <v>614</v>
      </c>
      <c r="H36" s="187">
        <f>G36/$H$34</f>
        <v>12.791666666666666</v>
      </c>
      <c r="I36" s="246">
        <f>ROUNDUP(H36,1)</f>
        <v>12.799999999999999</v>
      </c>
      <c r="J36" s="208"/>
    </row>
    <row r="37" spans="3:12" x14ac:dyDescent="0.55000000000000004">
      <c r="C37" s="207"/>
      <c r="D37" s="207"/>
      <c r="E37" s="207"/>
      <c r="J37" s="208"/>
    </row>
    <row r="38" spans="3:12" x14ac:dyDescent="0.55000000000000004">
      <c r="C38" s="207"/>
      <c r="D38" s="207"/>
      <c r="E38" s="207" t="s">
        <v>491</v>
      </c>
      <c r="J38" s="208"/>
    </row>
    <row r="39" spans="3:12" x14ac:dyDescent="0.55000000000000004">
      <c r="C39" s="207"/>
      <c r="D39" s="207"/>
      <c r="E39" s="207"/>
      <c r="F39" s="187" t="s">
        <v>500</v>
      </c>
      <c r="J39" s="208"/>
    </row>
    <row r="40" spans="3:12" x14ac:dyDescent="0.55000000000000004">
      <c r="C40" s="207"/>
      <c r="D40" s="207"/>
      <c r="E40" s="207"/>
      <c r="F40" s="187" t="s">
        <v>508</v>
      </c>
      <c r="G40" s="187">
        <f>ROUNDUP($G36*0.2,0)</f>
        <v>123</v>
      </c>
      <c r="H40" s="187">
        <f>G40/$H$34</f>
        <v>2.5625</v>
      </c>
      <c r="I40" s="246">
        <f>ROUNDUP(H40,1)</f>
        <v>2.6</v>
      </c>
      <c r="J40" s="208"/>
    </row>
    <row r="41" spans="3:12" x14ac:dyDescent="0.55000000000000004">
      <c r="C41" s="207"/>
      <c r="D41" s="209"/>
      <c r="E41" s="209"/>
      <c r="F41" s="188"/>
      <c r="G41" s="188"/>
      <c r="H41" s="188"/>
      <c r="I41" s="188"/>
      <c r="J41" s="189"/>
    </row>
    <row r="42" spans="3:12" x14ac:dyDescent="0.55000000000000004">
      <c r="C42" s="207"/>
      <c r="D42" s="205" t="s">
        <v>261</v>
      </c>
      <c r="E42" s="205" t="s">
        <v>442</v>
      </c>
      <c r="F42" s="192"/>
      <c r="G42" s="192"/>
      <c r="H42" s="192"/>
      <c r="I42" s="192">
        <v>2</v>
      </c>
      <c r="J42" s="206"/>
    </row>
    <row r="43" spans="3:12" x14ac:dyDescent="0.55000000000000004">
      <c r="C43" s="207"/>
      <c r="D43" s="207"/>
      <c r="E43" s="207" t="s">
        <v>443</v>
      </c>
      <c r="J43" s="208"/>
      <c r="L43" s="187" t="s">
        <v>444</v>
      </c>
    </row>
    <row r="44" spans="3:12" x14ac:dyDescent="0.55000000000000004">
      <c r="C44" s="207"/>
      <c r="D44" s="207"/>
      <c r="E44" s="207"/>
      <c r="F44" s="187" t="s">
        <v>427</v>
      </c>
      <c r="G44" s="202" t="s">
        <v>498</v>
      </c>
      <c r="H44" s="187" t="s">
        <v>506</v>
      </c>
      <c r="J44" s="208"/>
      <c r="L44" s="187" t="s">
        <v>447</v>
      </c>
    </row>
    <row r="45" spans="3:12" x14ac:dyDescent="0.55000000000000004">
      <c r="C45" s="207"/>
      <c r="D45" s="207"/>
      <c r="E45" s="207"/>
      <c r="F45" s="187" t="s">
        <v>448</v>
      </c>
      <c r="G45" s="202" t="s">
        <v>529</v>
      </c>
      <c r="J45" s="211"/>
      <c r="K45" s="202"/>
      <c r="L45" s="187" t="s">
        <v>450</v>
      </c>
    </row>
    <row r="46" spans="3:12" x14ac:dyDescent="0.55000000000000004">
      <c r="C46" s="207"/>
      <c r="D46" s="207"/>
      <c r="E46" s="207"/>
      <c r="J46" s="208"/>
    </row>
    <row r="47" spans="3:12" x14ac:dyDescent="0.55000000000000004">
      <c r="C47" s="207"/>
      <c r="D47" s="207"/>
      <c r="E47" s="207"/>
      <c r="J47" s="208"/>
    </row>
    <row r="48" spans="3:12" x14ac:dyDescent="0.55000000000000004">
      <c r="C48" s="207"/>
      <c r="D48" s="207"/>
      <c r="E48" s="207"/>
      <c r="F48" s="187" t="s">
        <v>254</v>
      </c>
      <c r="G48" s="187">
        <f>G36+G40</f>
        <v>737</v>
      </c>
      <c r="H48" s="187">
        <f>ROUNDUP(G48*0.2,0)</f>
        <v>148</v>
      </c>
      <c r="I48" s="187">
        <f>ROUND(H48/24,1)</f>
        <v>6.2</v>
      </c>
      <c r="J48" s="216"/>
    </row>
    <row r="49" spans="3:12" x14ac:dyDescent="0.55000000000000004">
      <c r="C49" s="207"/>
      <c r="D49" s="209"/>
      <c r="E49" s="209"/>
      <c r="F49" s="188"/>
      <c r="G49" s="188"/>
      <c r="H49" s="188"/>
      <c r="I49" s="188"/>
      <c r="J49" s="189"/>
    </row>
    <row r="50" spans="3:12" x14ac:dyDescent="0.55000000000000004">
      <c r="C50" s="207"/>
      <c r="D50" s="205" t="s">
        <v>262</v>
      </c>
      <c r="E50" s="205" t="s">
        <v>451</v>
      </c>
      <c r="F50" s="192" t="s">
        <v>452</v>
      </c>
      <c r="G50" s="192"/>
      <c r="H50" s="192" t="s">
        <v>453</v>
      </c>
      <c r="I50" s="192">
        <v>1</v>
      </c>
      <c r="J50" s="206"/>
    </row>
    <row r="51" spans="3:12" x14ac:dyDescent="0.55000000000000004">
      <c r="C51" s="207"/>
      <c r="D51" s="207"/>
      <c r="E51" s="207" t="s">
        <v>454</v>
      </c>
      <c r="F51" s="187" t="s">
        <v>455</v>
      </c>
      <c r="J51" s="208"/>
      <c r="L51" s="187" t="s">
        <v>456</v>
      </c>
    </row>
    <row r="52" spans="3:12" x14ac:dyDescent="0.55000000000000004">
      <c r="C52" s="207"/>
      <c r="D52" s="207"/>
      <c r="E52" s="207"/>
      <c r="F52" s="187" t="s">
        <v>457</v>
      </c>
      <c r="J52" s="208"/>
    </row>
    <row r="53" spans="3:12" x14ac:dyDescent="0.55000000000000004">
      <c r="C53" s="207"/>
      <c r="D53" s="207"/>
      <c r="E53" s="207"/>
      <c r="F53" s="187" t="s">
        <v>283</v>
      </c>
      <c r="J53" s="208"/>
    </row>
    <row r="54" spans="3:12" x14ac:dyDescent="0.55000000000000004">
      <c r="C54" s="207"/>
      <c r="D54" s="207"/>
      <c r="E54" s="207"/>
      <c r="F54" s="187" t="s">
        <v>284</v>
      </c>
      <c r="I54" s="187">
        <v>10</v>
      </c>
      <c r="J54" s="208" t="s">
        <v>540</v>
      </c>
    </row>
    <row r="55" spans="3:12" x14ac:dyDescent="0.55000000000000004">
      <c r="C55" s="207"/>
      <c r="D55" s="207"/>
      <c r="E55" s="207"/>
      <c r="F55" s="187" t="s">
        <v>458</v>
      </c>
      <c r="J55" s="208"/>
    </row>
    <row r="56" spans="3:12" x14ac:dyDescent="0.55000000000000004">
      <c r="C56" s="207"/>
      <c r="D56" s="209"/>
      <c r="E56" s="209"/>
      <c r="F56" s="188"/>
      <c r="G56" s="188"/>
      <c r="H56" s="188"/>
      <c r="I56" s="188"/>
      <c r="J56" s="189"/>
    </row>
    <row r="57" spans="3:12" x14ac:dyDescent="0.55000000000000004">
      <c r="C57" s="207"/>
      <c r="D57" s="205" t="s">
        <v>459</v>
      </c>
      <c r="E57" s="205" t="s">
        <v>460</v>
      </c>
      <c r="F57" s="192" t="s">
        <v>502</v>
      </c>
      <c r="G57" s="192"/>
      <c r="H57" s="192"/>
      <c r="I57" s="192">
        <v>1.5</v>
      </c>
      <c r="J57" s="206"/>
    </row>
    <row r="58" spans="3:12" x14ac:dyDescent="0.55000000000000004">
      <c r="C58" s="207"/>
      <c r="D58" s="207"/>
      <c r="E58" s="207" t="s">
        <v>462</v>
      </c>
      <c r="F58" s="187" t="s">
        <v>503</v>
      </c>
      <c r="I58" s="187">
        <v>3</v>
      </c>
      <c r="J58" s="208"/>
    </row>
    <row r="59" spans="3:12" ht="72" x14ac:dyDescent="0.55000000000000004">
      <c r="C59" s="207"/>
      <c r="D59" s="209"/>
      <c r="E59" s="209" t="s">
        <v>464</v>
      </c>
      <c r="F59" s="212" t="s">
        <v>537</v>
      </c>
      <c r="G59" s="188"/>
      <c r="H59" s="188" t="s">
        <v>466</v>
      </c>
      <c r="I59" s="188">
        <v>25</v>
      </c>
      <c r="J59" s="213" t="s">
        <v>545</v>
      </c>
    </row>
    <row r="60" spans="3:12" x14ac:dyDescent="0.55000000000000004">
      <c r="C60" s="209"/>
      <c r="D60" s="209" t="s">
        <v>399</v>
      </c>
      <c r="E60" s="209"/>
      <c r="F60" s="188"/>
      <c r="G60" s="188"/>
      <c r="H60" s="188"/>
      <c r="I60" s="188">
        <f>SUM(I22:I59)</f>
        <v>73.7</v>
      </c>
      <c r="J60" s="189" t="s">
        <v>389</v>
      </c>
    </row>
    <row r="61" spans="3:12" x14ac:dyDescent="0.55000000000000004">
      <c r="I61" s="187">
        <f>I60/20</f>
        <v>3.6850000000000001</v>
      </c>
      <c r="J61" s="187" t="s">
        <v>390</v>
      </c>
    </row>
  </sheetData>
  <phoneticPr fontId="2"/>
  <hyperlinks>
    <hyperlink ref="M29" r:id="rId1" xr:uid="{D7F4AEE6-ACFC-49E5-B60E-012D71E0E9B7}"/>
  </hyperlinks>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22239-14B1-44CE-8035-E6EA36D3369C}">
  <sheetPr>
    <tabColor theme="0" tint="-0.34998626667073579"/>
  </sheetPr>
  <dimension ref="A1:R61"/>
  <sheetViews>
    <sheetView topLeftCell="F34" zoomScale="115" zoomScaleNormal="115" workbookViewId="0">
      <selection activeCell="G40" sqref="G40"/>
    </sheetView>
  </sheetViews>
  <sheetFormatPr defaultColWidth="8.75" defaultRowHeight="18" x14ac:dyDescent="0.55000000000000004"/>
  <cols>
    <col min="1" max="1" width="8.75" style="21"/>
    <col min="2" max="2" width="3.33203125" style="21" bestFit="1" customWidth="1"/>
    <col min="3" max="3" width="8.75" style="21"/>
    <col min="4" max="4" width="24.58203125" style="21" customWidth="1"/>
    <col min="5" max="5" width="29.58203125" style="21" customWidth="1"/>
    <col min="6" max="6" width="23.5" style="21" customWidth="1"/>
    <col min="7" max="7" width="9.33203125" style="21" customWidth="1"/>
    <col min="8" max="8" width="27.58203125" style="21" customWidth="1"/>
    <col min="9" max="9" width="8.75" style="21" customWidth="1"/>
    <col min="10" max="10" width="46" style="21" customWidth="1"/>
    <col min="11" max="11" width="16.58203125" style="21" customWidth="1"/>
    <col min="12" max="16" width="8.75" style="21"/>
    <col min="17" max="17" width="12.4140625" style="21" customWidth="1"/>
    <col min="18" max="16384" width="8.75" style="21"/>
  </cols>
  <sheetData>
    <row r="1" spans="1:18" x14ac:dyDescent="0.55000000000000004">
      <c r="A1" s="21" t="s">
        <v>387</v>
      </c>
    </row>
    <row r="2" spans="1:18" x14ac:dyDescent="0.55000000000000004">
      <c r="K2" s="184" t="s">
        <v>493</v>
      </c>
      <c r="L2" s="184"/>
      <c r="M2" s="184"/>
      <c r="N2" s="184"/>
      <c r="O2" s="184"/>
      <c r="P2" s="184"/>
      <c r="Q2" s="185" t="s">
        <v>492</v>
      </c>
      <c r="R2" s="184"/>
    </row>
    <row r="3" spans="1:18" x14ac:dyDescent="0.55000000000000004">
      <c r="C3" s="21" t="s">
        <v>388</v>
      </c>
      <c r="D3" s="21" t="s">
        <v>257</v>
      </c>
      <c r="G3" s="21">
        <f>SUM(I22:I25)</f>
        <v>0</v>
      </c>
      <c r="H3" s="21" t="s">
        <v>389</v>
      </c>
      <c r="I3" s="21">
        <f>G3/20</f>
        <v>0</v>
      </c>
      <c r="J3" s="21" t="s">
        <v>390</v>
      </c>
      <c r="K3" s="184"/>
      <c r="L3" s="184" t="s">
        <v>391</v>
      </c>
      <c r="M3" s="184"/>
      <c r="N3" s="184"/>
      <c r="O3" s="184"/>
      <c r="P3" s="184"/>
      <c r="Q3" s="186"/>
      <c r="R3" s="184"/>
    </row>
    <row r="4" spans="1:18" x14ac:dyDescent="0.55000000000000004">
      <c r="D4" s="21" t="s">
        <v>258</v>
      </c>
      <c r="G4" s="21">
        <f>SUM(I26:I28)</f>
        <v>0</v>
      </c>
      <c r="H4" s="21" t="s">
        <v>389</v>
      </c>
      <c r="I4" s="21">
        <f t="shared" ref="I4" si="0">G4/20</f>
        <v>0</v>
      </c>
      <c r="J4" s="21" t="s">
        <v>390</v>
      </c>
      <c r="K4" s="184"/>
      <c r="L4" s="184" t="s">
        <v>392</v>
      </c>
      <c r="M4" s="184"/>
      <c r="N4" s="184"/>
      <c r="O4" s="184"/>
      <c r="P4" s="184"/>
      <c r="Q4" s="186"/>
      <c r="R4" s="184"/>
    </row>
    <row r="5" spans="1:18" x14ac:dyDescent="0.55000000000000004">
      <c r="D5" s="21" t="s">
        <v>260</v>
      </c>
      <c r="G5" s="28">
        <f>SUM(I29:I41)</f>
        <v>31</v>
      </c>
      <c r="H5" s="28" t="s">
        <v>389</v>
      </c>
      <c r="I5" s="182">
        <f>ROUNDUP(G5/20,2)</f>
        <v>1.55</v>
      </c>
      <c r="J5" s="182" t="s">
        <v>390</v>
      </c>
      <c r="K5" s="185">
        <f>I5*1000000</f>
        <v>1550000</v>
      </c>
      <c r="L5" s="184" t="s">
        <v>392</v>
      </c>
      <c r="M5" s="184"/>
      <c r="N5" s="184"/>
      <c r="O5" s="184"/>
      <c r="P5" s="21">
        <v>2.2999999999999998</v>
      </c>
      <c r="Q5" s="193">
        <v>2300000</v>
      </c>
      <c r="R5" s="184"/>
    </row>
    <row r="6" spans="1:18" x14ac:dyDescent="0.55000000000000004">
      <c r="D6" s="21" t="s">
        <v>261</v>
      </c>
      <c r="G6" s="182">
        <f>SUM(I42:I49)</f>
        <v>11.6</v>
      </c>
      <c r="H6" s="182" t="s">
        <v>389</v>
      </c>
      <c r="I6" s="182">
        <f t="shared" ref="I6:I8" si="1">ROUNDUP(G6/20,2)</f>
        <v>0.57999999999999996</v>
      </c>
      <c r="J6" s="182" t="s">
        <v>390</v>
      </c>
      <c r="K6" s="185">
        <f t="shared" ref="K6:K7" si="2">I6*1000000</f>
        <v>580000</v>
      </c>
      <c r="L6" s="184" t="s">
        <v>392</v>
      </c>
      <c r="M6" s="184"/>
      <c r="N6" s="184"/>
      <c r="O6" s="184"/>
      <c r="P6" s="21">
        <v>0.33</v>
      </c>
      <c r="Q6" s="193">
        <v>334000</v>
      </c>
      <c r="R6" s="184"/>
    </row>
    <row r="7" spans="1:18" x14ac:dyDescent="0.55000000000000004">
      <c r="D7" s="21" t="s">
        <v>262</v>
      </c>
      <c r="G7" s="21">
        <f>SUM(I50:I56)</f>
        <v>3</v>
      </c>
      <c r="H7" s="21" t="s">
        <v>389</v>
      </c>
      <c r="I7" s="182">
        <f t="shared" si="1"/>
        <v>0.15</v>
      </c>
      <c r="J7" s="21" t="s">
        <v>390</v>
      </c>
      <c r="K7" s="185">
        <f t="shared" si="2"/>
        <v>150000</v>
      </c>
      <c r="L7" s="184" t="s">
        <v>392</v>
      </c>
      <c r="M7" s="184"/>
      <c r="N7" s="184"/>
      <c r="O7" s="184"/>
      <c r="P7" s="21">
        <v>0.25</v>
      </c>
      <c r="Q7" s="193">
        <v>250000</v>
      </c>
      <c r="R7" s="184"/>
    </row>
    <row r="8" spans="1:18" x14ac:dyDescent="0.55000000000000004">
      <c r="D8" s="21" t="s">
        <v>263</v>
      </c>
      <c r="G8" s="21">
        <f>SUM(I57:I59)</f>
        <v>24.5</v>
      </c>
      <c r="H8" s="21" t="s">
        <v>389</v>
      </c>
      <c r="I8" s="182">
        <f t="shared" si="1"/>
        <v>1.23</v>
      </c>
      <c r="J8" s="21" t="s">
        <v>390</v>
      </c>
      <c r="K8" s="185">
        <f>I8*1000000</f>
        <v>1230000</v>
      </c>
      <c r="L8" s="184" t="s">
        <v>393</v>
      </c>
      <c r="M8" s="184" t="s">
        <v>394</v>
      </c>
      <c r="N8" s="184"/>
      <c r="O8" s="184"/>
      <c r="P8" s="21">
        <v>0.23</v>
      </c>
      <c r="Q8" s="193">
        <v>730000</v>
      </c>
      <c r="R8" s="184"/>
    </row>
    <row r="9" spans="1:18" x14ac:dyDescent="0.55000000000000004">
      <c r="D9" s="21" t="s">
        <v>395</v>
      </c>
      <c r="E9" s="136" t="s">
        <v>396</v>
      </c>
      <c r="F9" s="21">
        <f>36*3</f>
        <v>108</v>
      </c>
      <c r="G9" s="21">
        <f>F9/8+ROUND(SUM(G3:G8)*0.15,0)</f>
        <v>24.5</v>
      </c>
      <c r="H9" s="147" t="s">
        <v>397</v>
      </c>
      <c r="I9" s="187">
        <f>ROUNDUP(SUM(I3:I8)*0.2,2)</f>
        <v>0.71</v>
      </c>
      <c r="J9" s="21" t="s">
        <v>390</v>
      </c>
      <c r="K9" s="185">
        <f>I9*1400000</f>
        <v>994000</v>
      </c>
      <c r="L9" s="184" t="s">
        <v>398</v>
      </c>
      <c r="M9" s="184"/>
      <c r="N9" s="184"/>
      <c r="O9" s="184"/>
      <c r="P9" s="21">
        <v>0.73</v>
      </c>
      <c r="Q9" s="193">
        <v>1022000</v>
      </c>
      <c r="R9" s="184"/>
    </row>
    <row r="10" spans="1:18" x14ac:dyDescent="0.55000000000000004">
      <c r="D10" s="21" t="s">
        <v>399</v>
      </c>
      <c r="G10" s="21">
        <f>SUM(G3:G9)</f>
        <v>94.6</v>
      </c>
      <c r="H10" s="21" t="s">
        <v>389</v>
      </c>
      <c r="I10" s="21">
        <f>SUM(I3:I9)</f>
        <v>4.22</v>
      </c>
      <c r="J10" s="21" t="s">
        <v>390</v>
      </c>
      <c r="K10" s="185">
        <f>SUM(K3:K9)</f>
        <v>4504000</v>
      </c>
      <c r="L10" s="184" t="s">
        <v>398</v>
      </c>
      <c r="M10" s="184"/>
      <c r="N10" s="184"/>
      <c r="O10" s="184"/>
      <c r="Q10" s="193">
        <f>SUM(Q5:Q9)</f>
        <v>4636000</v>
      </c>
      <c r="R10" s="184"/>
    </row>
    <row r="11" spans="1:18" x14ac:dyDescent="0.55000000000000004">
      <c r="O11" s="28"/>
      <c r="P11" s="28" t="s">
        <v>499</v>
      </c>
      <c r="Q11" s="186">
        <f>K10-+Q10</f>
        <v>-132000</v>
      </c>
    </row>
    <row r="13" spans="1:18" x14ac:dyDescent="0.55000000000000004">
      <c r="C13" s="21" t="s">
        <v>400</v>
      </c>
    </row>
    <row r="14" spans="1:18" x14ac:dyDescent="0.55000000000000004">
      <c r="C14" s="199">
        <v>5</v>
      </c>
      <c r="D14" s="199" t="s">
        <v>401</v>
      </c>
    </row>
    <row r="15" spans="1:18" x14ac:dyDescent="0.55000000000000004">
      <c r="C15" s="200">
        <v>6</v>
      </c>
      <c r="D15" s="200" t="s">
        <v>402</v>
      </c>
    </row>
    <row r="16" spans="1:18" x14ac:dyDescent="0.55000000000000004">
      <c r="C16" s="21">
        <v>7</v>
      </c>
      <c r="D16" s="21" t="s">
        <v>403</v>
      </c>
    </row>
    <row r="17" spans="2:13" x14ac:dyDescent="0.55000000000000004">
      <c r="C17" s="21">
        <v>8</v>
      </c>
      <c r="D17" s="21" t="s">
        <v>404</v>
      </c>
    </row>
    <row r="18" spans="2:13" x14ac:dyDescent="0.55000000000000004">
      <c r="C18" s="21">
        <v>9</v>
      </c>
      <c r="D18" s="21" t="s">
        <v>501</v>
      </c>
    </row>
    <row r="19" spans="2:13" x14ac:dyDescent="0.55000000000000004">
      <c r="C19" s="21">
        <v>10</v>
      </c>
      <c r="D19" s="21" t="s">
        <v>406</v>
      </c>
    </row>
    <row r="21" spans="2:13" x14ac:dyDescent="0.55000000000000004">
      <c r="B21" s="137" t="s">
        <v>407</v>
      </c>
      <c r="C21" s="138" t="s">
        <v>408</v>
      </c>
      <c r="D21" s="139"/>
      <c r="E21" s="139"/>
      <c r="F21" s="139"/>
      <c r="G21" s="139"/>
      <c r="H21" s="139"/>
      <c r="I21" s="139" t="s">
        <v>389</v>
      </c>
      <c r="J21" s="140" t="s">
        <v>204</v>
      </c>
    </row>
    <row r="22" spans="2:13" x14ac:dyDescent="0.55000000000000004">
      <c r="B22" s="137"/>
      <c r="C22" s="141"/>
      <c r="D22" s="138" t="s">
        <v>257</v>
      </c>
      <c r="E22" s="138" t="s">
        <v>409</v>
      </c>
      <c r="F22" s="139" t="s">
        <v>410</v>
      </c>
      <c r="G22" s="139"/>
      <c r="H22" s="139"/>
      <c r="I22" s="139"/>
      <c r="J22" s="140"/>
    </row>
    <row r="23" spans="2:13" x14ac:dyDescent="0.55000000000000004">
      <c r="B23" s="137"/>
      <c r="C23" s="141"/>
      <c r="D23" s="141"/>
      <c r="E23" s="141" t="s">
        <v>411</v>
      </c>
      <c r="F23" s="21" t="s">
        <v>412</v>
      </c>
      <c r="J23" s="142"/>
    </row>
    <row r="24" spans="2:13" x14ac:dyDescent="0.55000000000000004">
      <c r="B24" s="137"/>
      <c r="C24" s="141"/>
      <c r="D24" s="141"/>
      <c r="E24" s="141" t="s">
        <v>413</v>
      </c>
      <c r="J24" s="142"/>
    </row>
    <row r="25" spans="2:13" x14ac:dyDescent="0.55000000000000004">
      <c r="B25" s="137"/>
      <c r="C25" s="141"/>
      <c r="D25" s="143"/>
      <c r="E25" s="143" t="s">
        <v>414</v>
      </c>
      <c r="F25" s="144"/>
      <c r="G25" s="144"/>
      <c r="H25" s="144"/>
      <c r="I25" s="144"/>
      <c r="J25" s="145"/>
    </row>
    <row r="26" spans="2:13" x14ac:dyDescent="0.55000000000000004">
      <c r="B26" s="137"/>
      <c r="C26" s="141"/>
      <c r="D26" s="138" t="s">
        <v>258</v>
      </c>
      <c r="E26" s="138" t="s">
        <v>415</v>
      </c>
      <c r="F26" s="139" t="s">
        <v>416</v>
      </c>
      <c r="G26" s="139"/>
      <c r="H26" s="139"/>
      <c r="I26" s="146"/>
      <c r="J26" s="140"/>
    </row>
    <row r="27" spans="2:13" x14ac:dyDescent="0.55000000000000004">
      <c r="B27" s="137"/>
      <c r="C27" s="141"/>
      <c r="D27" s="141"/>
      <c r="E27" s="141" t="s">
        <v>417</v>
      </c>
      <c r="F27" s="21" t="s">
        <v>418</v>
      </c>
      <c r="I27" s="147"/>
      <c r="J27" s="142"/>
    </row>
    <row r="28" spans="2:13" x14ac:dyDescent="0.55000000000000004">
      <c r="B28" s="137"/>
      <c r="C28" s="141"/>
      <c r="D28" s="143"/>
      <c r="E28" s="143" t="s">
        <v>419</v>
      </c>
      <c r="F28" s="144" t="s">
        <v>420</v>
      </c>
      <c r="G28" s="144"/>
      <c r="H28" s="144"/>
      <c r="I28" s="148"/>
      <c r="J28" s="145"/>
    </row>
    <row r="29" spans="2:13" x14ac:dyDescent="0.55000000000000004">
      <c r="C29" s="141"/>
      <c r="D29" s="138" t="s">
        <v>260</v>
      </c>
      <c r="E29" s="138" t="s">
        <v>421</v>
      </c>
      <c r="F29" s="139" t="s">
        <v>422</v>
      </c>
      <c r="G29" s="139"/>
      <c r="H29" s="139"/>
      <c r="I29" s="146">
        <v>1</v>
      </c>
      <c r="J29" s="140"/>
      <c r="L29" s="21" t="s">
        <v>423</v>
      </c>
      <c r="M29" s="149" t="s">
        <v>424</v>
      </c>
    </row>
    <row r="30" spans="2:13" x14ac:dyDescent="0.55000000000000004">
      <c r="C30" s="141"/>
      <c r="D30" s="141"/>
      <c r="E30" s="194" t="s">
        <v>486</v>
      </c>
      <c r="F30" s="182" t="s">
        <v>487</v>
      </c>
      <c r="G30" s="182" t="s">
        <v>428</v>
      </c>
      <c r="H30" s="182" t="s">
        <v>488</v>
      </c>
      <c r="I30" s="182"/>
      <c r="J30" s="142"/>
    </row>
    <row r="31" spans="2:13" x14ac:dyDescent="0.55000000000000004">
      <c r="C31" s="141"/>
      <c r="D31" s="141"/>
      <c r="E31" s="183"/>
      <c r="F31" s="182"/>
      <c r="G31" s="182">
        <v>60</v>
      </c>
      <c r="H31" s="182" t="s">
        <v>504</v>
      </c>
      <c r="I31" s="182">
        <f>G31/10</f>
        <v>6</v>
      </c>
      <c r="J31" s="142"/>
    </row>
    <row r="32" spans="2:13" x14ac:dyDescent="0.55000000000000004">
      <c r="C32" s="141"/>
      <c r="D32" s="141"/>
      <c r="E32" s="141" t="s">
        <v>425</v>
      </c>
      <c r="F32" s="21" t="s">
        <v>426</v>
      </c>
      <c r="J32" s="142"/>
    </row>
    <row r="33" spans="3:12" x14ac:dyDescent="0.55000000000000004">
      <c r="C33" s="141"/>
      <c r="D33" s="141"/>
      <c r="E33" s="141"/>
      <c r="F33" s="21" t="s">
        <v>427</v>
      </c>
      <c r="G33" s="21" t="s">
        <v>428</v>
      </c>
      <c r="H33" s="21" t="s">
        <v>429</v>
      </c>
      <c r="J33" s="142"/>
    </row>
    <row r="34" spans="3:12" x14ac:dyDescent="0.55000000000000004">
      <c r="C34" s="141"/>
      <c r="D34" s="141"/>
      <c r="E34" s="141"/>
      <c r="H34" s="21">
        <v>48</v>
      </c>
      <c r="J34" s="142"/>
    </row>
    <row r="35" spans="3:12" x14ac:dyDescent="0.55000000000000004">
      <c r="C35" s="141"/>
      <c r="D35" s="141"/>
      <c r="E35" s="141"/>
      <c r="G35" s="21" t="s">
        <v>490</v>
      </c>
      <c r="J35" s="142" t="s">
        <v>431</v>
      </c>
      <c r="L35" s="21" t="s">
        <v>432</v>
      </c>
    </row>
    <row r="36" spans="3:12" x14ac:dyDescent="0.55000000000000004">
      <c r="C36" s="141"/>
      <c r="D36" s="141"/>
      <c r="E36" s="141"/>
      <c r="F36" s="21" t="s">
        <v>255</v>
      </c>
      <c r="G36" s="182">
        <v>956</v>
      </c>
      <c r="H36" s="21">
        <f>G36/$H$34</f>
        <v>19.916666666666668</v>
      </c>
      <c r="I36" s="21">
        <v>20</v>
      </c>
      <c r="J36" s="142"/>
    </row>
    <row r="37" spans="3:12" x14ac:dyDescent="0.55000000000000004">
      <c r="C37" s="141"/>
      <c r="D37" s="141"/>
      <c r="E37" s="141"/>
      <c r="J37" s="142"/>
    </row>
    <row r="38" spans="3:12" x14ac:dyDescent="0.55000000000000004">
      <c r="C38" s="141"/>
      <c r="D38" s="141"/>
      <c r="E38" s="183" t="s">
        <v>491</v>
      </c>
      <c r="F38" s="182"/>
      <c r="G38" s="182"/>
      <c r="H38" s="182"/>
      <c r="I38" s="187"/>
      <c r="J38" s="142"/>
    </row>
    <row r="39" spans="3:12" x14ac:dyDescent="0.55000000000000004">
      <c r="C39" s="141"/>
      <c r="D39" s="141"/>
      <c r="E39" s="183"/>
      <c r="F39" s="182" t="s">
        <v>500</v>
      </c>
      <c r="G39" s="182"/>
      <c r="H39" s="182"/>
      <c r="I39" s="187"/>
      <c r="J39" s="142"/>
    </row>
    <row r="40" spans="3:12" x14ac:dyDescent="0.55000000000000004">
      <c r="C40" s="141"/>
      <c r="D40" s="141"/>
      <c r="E40" s="183"/>
      <c r="F40" s="182" t="s">
        <v>436</v>
      </c>
      <c r="G40" s="182">
        <f>ROUNDUP($G36*0.2,0)</f>
        <v>192</v>
      </c>
      <c r="H40" s="28">
        <f>G40/$H$34</f>
        <v>4</v>
      </c>
      <c r="I40" s="28">
        <v>4</v>
      </c>
      <c r="J40" s="142"/>
    </row>
    <row r="41" spans="3:12" x14ac:dyDescent="0.55000000000000004">
      <c r="C41" s="141"/>
      <c r="D41" s="143"/>
      <c r="E41" s="143"/>
      <c r="F41" s="144"/>
      <c r="G41" s="144"/>
      <c r="H41" s="144"/>
      <c r="I41" s="144"/>
      <c r="J41" s="145"/>
    </row>
    <row r="42" spans="3:12" x14ac:dyDescent="0.55000000000000004">
      <c r="C42" s="141"/>
      <c r="D42" s="138" t="s">
        <v>261</v>
      </c>
      <c r="E42" s="138" t="s">
        <v>442</v>
      </c>
      <c r="F42" s="139"/>
      <c r="G42" s="139"/>
      <c r="H42" s="139"/>
      <c r="I42" s="139">
        <v>2</v>
      </c>
      <c r="J42" s="140"/>
    </row>
    <row r="43" spans="3:12" x14ac:dyDescent="0.55000000000000004">
      <c r="C43" s="141"/>
      <c r="D43" s="141"/>
      <c r="E43" s="141" t="s">
        <v>443</v>
      </c>
      <c r="J43" s="142"/>
      <c r="L43" s="21" t="s">
        <v>444</v>
      </c>
    </row>
    <row r="44" spans="3:12" x14ac:dyDescent="0.55000000000000004">
      <c r="C44" s="141"/>
      <c r="D44" s="141"/>
      <c r="E44" s="141"/>
      <c r="F44" s="21" t="s">
        <v>427</v>
      </c>
      <c r="G44" s="190" t="s">
        <v>498</v>
      </c>
      <c r="H44" s="21" t="s">
        <v>495</v>
      </c>
      <c r="J44" s="142"/>
      <c r="L44" s="21" t="s">
        <v>447</v>
      </c>
    </row>
    <row r="45" spans="3:12" x14ac:dyDescent="0.55000000000000004">
      <c r="C45" s="141"/>
      <c r="D45" s="141"/>
      <c r="E45" s="141"/>
      <c r="F45" s="21" t="s">
        <v>448</v>
      </c>
      <c r="G45" s="136" t="s">
        <v>529</v>
      </c>
      <c r="J45" s="150"/>
      <c r="K45" s="136"/>
      <c r="L45" s="21" t="s">
        <v>450</v>
      </c>
    </row>
    <row r="46" spans="3:12" x14ac:dyDescent="0.55000000000000004">
      <c r="C46" s="141"/>
      <c r="D46" s="141"/>
      <c r="E46" s="141"/>
      <c r="J46" s="142"/>
    </row>
    <row r="47" spans="3:12" x14ac:dyDescent="0.55000000000000004">
      <c r="C47" s="141"/>
      <c r="D47" s="141"/>
      <c r="E47" s="141"/>
      <c r="J47" s="142"/>
    </row>
    <row r="48" spans="3:12" x14ac:dyDescent="0.55000000000000004">
      <c r="C48" s="141"/>
      <c r="D48" s="141"/>
      <c r="E48" s="141"/>
      <c r="F48" s="187" t="s">
        <v>255</v>
      </c>
      <c r="G48" s="187">
        <f>G36+G40</f>
        <v>1148</v>
      </c>
      <c r="H48" s="182">
        <f>ROUNDUP(G48*0.2,0)</f>
        <v>230</v>
      </c>
      <c r="I48" s="182">
        <f>ROUND(H48/24,1)</f>
        <v>9.6</v>
      </c>
      <c r="J48" s="216" t="s">
        <v>510</v>
      </c>
    </row>
    <row r="49" spans="3:12" x14ac:dyDescent="0.55000000000000004">
      <c r="C49" s="141"/>
      <c r="D49" s="143"/>
      <c r="E49" s="143"/>
      <c r="F49" s="188"/>
      <c r="G49" s="188"/>
      <c r="H49" s="188"/>
      <c r="I49" s="188"/>
      <c r="J49" s="189"/>
    </row>
    <row r="50" spans="3:12" x14ac:dyDescent="0.55000000000000004">
      <c r="C50" s="141"/>
      <c r="D50" s="138" t="s">
        <v>262</v>
      </c>
      <c r="E50" s="138" t="s">
        <v>451</v>
      </c>
      <c r="F50" s="139" t="s">
        <v>452</v>
      </c>
      <c r="G50" s="139"/>
      <c r="H50" s="192" t="s">
        <v>453</v>
      </c>
      <c r="I50" s="192">
        <v>1</v>
      </c>
      <c r="J50" s="140"/>
    </row>
    <row r="51" spans="3:12" x14ac:dyDescent="0.55000000000000004">
      <c r="C51" s="141"/>
      <c r="D51" s="141"/>
      <c r="E51" s="141" t="s">
        <v>454</v>
      </c>
      <c r="F51" s="21" t="s">
        <v>455</v>
      </c>
      <c r="H51" s="187"/>
      <c r="I51" s="187"/>
      <c r="J51" s="142"/>
      <c r="L51" s="21" t="s">
        <v>456</v>
      </c>
    </row>
    <row r="52" spans="3:12" x14ac:dyDescent="0.55000000000000004">
      <c r="C52" s="141"/>
      <c r="D52" s="141"/>
      <c r="E52" s="141"/>
      <c r="F52" s="21" t="s">
        <v>457</v>
      </c>
      <c r="I52" s="28"/>
      <c r="J52" s="142"/>
    </row>
    <row r="53" spans="3:12" x14ac:dyDescent="0.55000000000000004">
      <c r="C53" s="141"/>
      <c r="D53" s="141"/>
      <c r="E53" s="141"/>
      <c r="F53" s="21" t="s">
        <v>283</v>
      </c>
      <c r="I53" s="28"/>
      <c r="J53" s="142"/>
    </row>
    <row r="54" spans="3:12" x14ac:dyDescent="0.55000000000000004">
      <c r="C54" s="141"/>
      <c r="D54" s="141"/>
      <c r="E54" s="141"/>
      <c r="F54" s="21" t="s">
        <v>284</v>
      </c>
      <c r="I54" s="28"/>
      <c r="J54" s="142"/>
    </row>
    <row r="55" spans="3:12" x14ac:dyDescent="0.55000000000000004">
      <c r="C55" s="141"/>
      <c r="D55" s="141"/>
      <c r="E55" s="141"/>
      <c r="F55" s="21" t="s">
        <v>458</v>
      </c>
      <c r="I55" s="28">
        <v>2</v>
      </c>
      <c r="J55" s="142"/>
    </row>
    <row r="56" spans="3:12" x14ac:dyDescent="0.55000000000000004">
      <c r="C56" s="141"/>
      <c r="D56" s="143"/>
      <c r="E56" s="143"/>
      <c r="F56" s="144"/>
      <c r="G56" s="144"/>
      <c r="H56" s="144"/>
      <c r="I56" s="144"/>
      <c r="J56" s="145"/>
    </row>
    <row r="57" spans="3:12" x14ac:dyDescent="0.55000000000000004">
      <c r="C57" s="141"/>
      <c r="D57" s="138" t="s">
        <v>459</v>
      </c>
      <c r="E57" s="138" t="s">
        <v>460</v>
      </c>
      <c r="F57" s="139" t="s">
        <v>502</v>
      </c>
      <c r="G57" s="139"/>
      <c r="H57" s="139"/>
      <c r="I57" s="139">
        <v>1.5</v>
      </c>
      <c r="J57" s="140"/>
    </row>
    <row r="58" spans="3:12" x14ac:dyDescent="0.55000000000000004">
      <c r="C58" s="141"/>
      <c r="D58" s="141"/>
      <c r="E58" s="141" t="s">
        <v>462</v>
      </c>
      <c r="F58" s="21" t="s">
        <v>503</v>
      </c>
      <c r="I58" s="21">
        <v>3</v>
      </c>
      <c r="J58" s="142"/>
    </row>
    <row r="59" spans="3:12" ht="54" x14ac:dyDescent="0.55000000000000004">
      <c r="C59" s="141"/>
      <c r="D59" s="143"/>
      <c r="E59" s="195" t="s">
        <v>464</v>
      </c>
      <c r="F59" s="196" t="s">
        <v>489</v>
      </c>
      <c r="G59" s="197"/>
      <c r="H59" s="197" t="s">
        <v>466</v>
      </c>
      <c r="I59" s="197">
        <v>20</v>
      </c>
      <c r="J59" s="198" t="s">
        <v>497</v>
      </c>
    </row>
    <row r="60" spans="3:12" x14ac:dyDescent="0.55000000000000004">
      <c r="C60" s="143"/>
      <c r="D60" s="143" t="s">
        <v>399</v>
      </c>
      <c r="E60" s="143"/>
      <c r="F60" s="144"/>
      <c r="G60" s="144"/>
      <c r="H60" s="144"/>
      <c r="I60" s="144">
        <f>SUM(I22:I59)</f>
        <v>70.099999999999994</v>
      </c>
      <c r="J60" s="145" t="s">
        <v>389</v>
      </c>
    </row>
    <row r="61" spans="3:12" x14ac:dyDescent="0.55000000000000004">
      <c r="I61" s="21">
        <f>I60/20</f>
        <v>3.5049999999999999</v>
      </c>
      <c r="J61" s="21" t="s">
        <v>390</v>
      </c>
    </row>
  </sheetData>
  <phoneticPr fontId="2"/>
  <hyperlinks>
    <hyperlink ref="M29" r:id="rId1" xr:uid="{195F28B4-EA5B-46FB-B907-D63C5EF3EFEC}"/>
  </hyperlinks>
  <pageMargins left="0.7" right="0.7" top="0.75" bottom="0.75" header="0.3" footer="0.3"/>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A66E3-945D-4454-847E-5603E86A6D6F}">
  <dimension ref="A1:S19"/>
  <sheetViews>
    <sheetView topLeftCell="F3" workbookViewId="0">
      <selection activeCell="R13" sqref="R13"/>
    </sheetView>
  </sheetViews>
  <sheetFormatPr defaultRowHeight="18" x14ac:dyDescent="0.55000000000000004"/>
  <cols>
    <col min="1" max="1" width="17.08203125" customWidth="1"/>
    <col min="2" max="2" width="8.08203125" customWidth="1"/>
    <col min="3" max="3" width="13.33203125" customWidth="1"/>
    <col min="4" max="4" width="7.83203125" customWidth="1"/>
    <col min="5" max="5" width="13.5" customWidth="1"/>
    <col min="6" max="6" width="8" customWidth="1"/>
    <col min="7" max="7" width="13.25" customWidth="1"/>
    <col min="8" max="8" width="7.83203125" customWidth="1"/>
    <col min="9" max="9" width="13.5" customWidth="1"/>
    <col min="10" max="10" width="8.25" customWidth="1"/>
    <col min="11" max="11" width="13.25" customWidth="1"/>
    <col min="12" max="12" width="7.83203125" customWidth="1"/>
    <col min="13" max="13" width="13.5" customWidth="1"/>
    <col min="14" max="14" width="7.83203125" customWidth="1"/>
    <col min="15" max="15" width="13.5" customWidth="1"/>
    <col min="16" max="16" width="8" customWidth="1"/>
    <col min="17" max="18" width="13.58203125" customWidth="1"/>
    <col min="19" max="19" width="24.08203125" customWidth="1"/>
  </cols>
  <sheetData>
    <row r="1" spans="1:19" ht="18.5" thickBot="1" x14ac:dyDescent="0.6"/>
    <row r="2" spans="1:19" ht="27" thickBot="1" x14ac:dyDescent="0.6">
      <c r="A2" s="318" t="s">
        <v>468</v>
      </c>
      <c r="B2" s="321" t="s">
        <v>289</v>
      </c>
      <c r="C2" s="322"/>
      <c r="D2" s="322"/>
      <c r="E2" s="322"/>
      <c r="F2" s="322"/>
      <c r="G2" s="322"/>
      <c r="H2" s="322"/>
      <c r="I2" s="322"/>
      <c r="J2" s="322"/>
      <c r="K2" s="322"/>
      <c r="L2" s="322"/>
      <c r="M2" s="322"/>
      <c r="N2" s="322"/>
      <c r="O2" s="322"/>
      <c r="P2" s="322"/>
      <c r="Q2" s="322"/>
      <c r="R2" s="160"/>
    </row>
    <row r="3" spans="1:19" ht="27" customHeight="1" thickBot="1" x14ac:dyDescent="0.6">
      <c r="A3" s="319"/>
      <c r="B3" s="323" t="s">
        <v>469</v>
      </c>
      <c r="C3" s="324"/>
      <c r="D3" s="323" t="s">
        <v>470</v>
      </c>
      <c r="E3" s="324"/>
      <c r="F3" s="323" t="s">
        <v>471</v>
      </c>
      <c r="G3" s="324"/>
      <c r="H3" s="323" t="s">
        <v>472</v>
      </c>
      <c r="I3" s="324"/>
      <c r="J3" s="323" t="s">
        <v>473</v>
      </c>
      <c r="K3" s="324"/>
      <c r="L3" s="323" t="s">
        <v>474</v>
      </c>
      <c r="M3" s="324"/>
      <c r="N3" s="323" t="s">
        <v>475</v>
      </c>
      <c r="O3" s="324"/>
      <c r="P3" s="323" t="s">
        <v>476</v>
      </c>
      <c r="Q3" s="324"/>
      <c r="R3" s="160"/>
    </row>
    <row r="4" spans="1:19" ht="27" thickBot="1" x14ac:dyDescent="0.6">
      <c r="A4" s="320"/>
      <c r="B4" s="161" t="s">
        <v>477</v>
      </c>
      <c r="C4" s="161" t="s">
        <v>478</v>
      </c>
      <c r="D4" s="161" t="s">
        <v>477</v>
      </c>
      <c r="E4" s="161" t="s">
        <v>478</v>
      </c>
      <c r="F4" s="161" t="s">
        <v>477</v>
      </c>
      <c r="G4" s="161" t="s">
        <v>478</v>
      </c>
      <c r="H4" s="161" t="s">
        <v>477</v>
      </c>
      <c r="I4" s="161" t="s">
        <v>478</v>
      </c>
      <c r="J4" s="161" t="s">
        <v>477</v>
      </c>
      <c r="K4" s="161" t="s">
        <v>478</v>
      </c>
      <c r="L4" s="161" t="s">
        <v>477</v>
      </c>
      <c r="M4" s="161" t="s">
        <v>478</v>
      </c>
      <c r="N4" s="161" t="s">
        <v>477</v>
      </c>
      <c r="O4" s="161" t="s">
        <v>478</v>
      </c>
      <c r="P4" s="161" t="s">
        <v>477</v>
      </c>
      <c r="Q4" s="161" t="s">
        <v>478</v>
      </c>
      <c r="R4" s="160"/>
    </row>
    <row r="5" spans="1:19" ht="27" thickBot="1" x14ac:dyDescent="0.6">
      <c r="A5" s="162" t="s">
        <v>479</v>
      </c>
      <c r="B5" s="163">
        <v>1</v>
      </c>
      <c r="C5" s="164">
        <f>B5*C$14</f>
        <v>1000000</v>
      </c>
      <c r="D5" s="163">
        <v>0.55000000000000004</v>
      </c>
      <c r="E5" s="164">
        <f>D5*E$14</f>
        <v>550000</v>
      </c>
      <c r="F5" s="165" t="s">
        <v>99</v>
      </c>
      <c r="G5" s="166" t="s">
        <v>99</v>
      </c>
      <c r="H5" s="165" t="s">
        <v>99</v>
      </c>
      <c r="I5" s="166" t="s">
        <v>99</v>
      </c>
      <c r="J5" s="165" t="s">
        <v>99</v>
      </c>
      <c r="K5" s="166" t="s">
        <v>99</v>
      </c>
      <c r="L5" s="165" t="s">
        <v>99</v>
      </c>
      <c r="M5" s="166" t="s">
        <v>99</v>
      </c>
      <c r="N5" s="165" t="s">
        <v>99</v>
      </c>
      <c r="O5" s="166" t="s">
        <v>99</v>
      </c>
      <c r="P5" s="163">
        <f>ROUNDUP(SUM(B5,D5,F5,H5,J5,L5,N5)*0.2,2)</f>
        <v>0.31</v>
      </c>
      <c r="Q5" s="164">
        <f t="shared" ref="Q5:Q10" si="0">P5*Q$14</f>
        <v>434000</v>
      </c>
      <c r="R5" s="167">
        <f>SUM(B5,D5,F5,H5,J5,L5,N5,P5)</f>
        <v>1.86</v>
      </c>
      <c r="S5" s="168">
        <f>SUM(C5,E5,G5,I5,K5,M5,O5,Q5)</f>
        <v>1984000</v>
      </c>
    </row>
    <row r="6" spans="1:19" ht="27" thickBot="1" x14ac:dyDescent="0.6">
      <c r="A6" s="162" t="s">
        <v>455</v>
      </c>
      <c r="B6" s="165" t="s">
        <v>99</v>
      </c>
      <c r="C6" s="166" t="s">
        <v>99</v>
      </c>
      <c r="D6" s="165" t="s">
        <v>99</v>
      </c>
      <c r="E6" s="166" t="s">
        <v>99</v>
      </c>
      <c r="F6" s="163">
        <f>0.36+0.05</f>
        <v>0.41</v>
      </c>
      <c r="G6" s="164">
        <f t="shared" ref="G6:G10" si="1">F6*G$14</f>
        <v>410000</v>
      </c>
      <c r="H6" s="163">
        <f>0.06+0.03</f>
        <v>0.09</v>
      </c>
      <c r="I6" s="164">
        <f t="shared" ref="I6:I10" si="2">H6*I$14</f>
        <v>90000</v>
      </c>
      <c r="J6" s="163">
        <v>0.15</v>
      </c>
      <c r="K6" s="164">
        <f t="shared" ref="K6:K10" si="3">J6*K$14</f>
        <v>150000</v>
      </c>
      <c r="L6" s="163">
        <v>0.23</v>
      </c>
      <c r="M6" s="164">
        <f t="shared" ref="M6:M10" si="4">L6*M$14</f>
        <v>230000</v>
      </c>
      <c r="N6" s="163">
        <v>0.5</v>
      </c>
      <c r="O6" s="164">
        <f t="shared" ref="O6:O10" si="5">N6*O$14</f>
        <v>500000</v>
      </c>
      <c r="P6" s="163">
        <f t="shared" ref="P6:P10" si="6">ROUNDUP(SUM(B6,D6,F6,H6,J6,L6,N6)*0.2,2)</f>
        <v>0.28000000000000003</v>
      </c>
      <c r="Q6" s="164">
        <f t="shared" si="0"/>
        <v>392000.00000000006</v>
      </c>
      <c r="R6" s="167">
        <f t="shared" ref="R6:S10" si="7">SUM(B6,D6,F6,H6,J6,L6,N6,P6)</f>
        <v>1.66</v>
      </c>
      <c r="S6" s="168">
        <f t="shared" si="7"/>
        <v>1772000</v>
      </c>
    </row>
    <row r="7" spans="1:19" ht="27" thickBot="1" x14ac:dyDescent="0.6">
      <c r="A7" s="162" t="s">
        <v>457</v>
      </c>
      <c r="B7" s="165" t="s">
        <v>99</v>
      </c>
      <c r="C7" s="166" t="s">
        <v>99</v>
      </c>
      <c r="D7" s="165" t="s">
        <v>99</v>
      </c>
      <c r="E7" s="166" t="s">
        <v>99</v>
      </c>
      <c r="F7" s="163">
        <f>0.37+0.05</f>
        <v>0.42</v>
      </c>
      <c r="G7" s="164">
        <f t="shared" si="1"/>
        <v>420000</v>
      </c>
      <c r="H7" s="163">
        <f>0.06+0.03</f>
        <v>0.09</v>
      </c>
      <c r="I7" s="164">
        <f t="shared" si="2"/>
        <v>90000</v>
      </c>
      <c r="J7" s="163">
        <v>0.15</v>
      </c>
      <c r="K7" s="164">
        <f t="shared" si="3"/>
        <v>150000</v>
      </c>
      <c r="L7" s="163">
        <v>0.23</v>
      </c>
      <c r="M7" s="164">
        <f t="shared" si="4"/>
        <v>230000</v>
      </c>
      <c r="N7" s="163">
        <v>0.5</v>
      </c>
      <c r="O7" s="164">
        <f t="shared" si="5"/>
        <v>500000</v>
      </c>
      <c r="P7" s="163">
        <f t="shared" si="6"/>
        <v>0.28000000000000003</v>
      </c>
      <c r="Q7" s="164">
        <f t="shared" si="0"/>
        <v>392000.00000000006</v>
      </c>
      <c r="R7" s="167">
        <f t="shared" si="7"/>
        <v>1.6700000000000002</v>
      </c>
      <c r="S7" s="168">
        <f t="shared" si="7"/>
        <v>1782000</v>
      </c>
    </row>
    <row r="8" spans="1:19" ht="27" thickBot="1" x14ac:dyDescent="0.6">
      <c r="A8" s="162" t="s">
        <v>283</v>
      </c>
      <c r="B8" s="165" t="s">
        <v>99</v>
      </c>
      <c r="C8" s="166" t="s">
        <v>99</v>
      </c>
      <c r="D8" s="165" t="s">
        <v>99</v>
      </c>
      <c r="E8" s="166" t="s">
        <v>99</v>
      </c>
      <c r="F8" s="163">
        <f>1.57+0.05</f>
        <v>1.62</v>
      </c>
      <c r="G8" s="164">
        <f t="shared" si="1"/>
        <v>1620000</v>
      </c>
      <c r="H8" s="163">
        <f>0.24+0.03</f>
        <v>0.27</v>
      </c>
      <c r="I8" s="164">
        <f t="shared" si="2"/>
        <v>270000</v>
      </c>
      <c r="J8" s="163">
        <v>0.25</v>
      </c>
      <c r="K8" s="164">
        <f t="shared" si="3"/>
        <v>250000</v>
      </c>
      <c r="L8" s="163">
        <v>0.23</v>
      </c>
      <c r="M8" s="164">
        <f t="shared" si="4"/>
        <v>230000</v>
      </c>
      <c r="N8" s="163">
        <v>0.5</v>
      </c>
      <c r="O8" s="164">
        <f t="shared" si="5"/>
        <v>500000</v>
      </c>
      <c r="P8" s="163">
        <f t="shared" si="6"/>
        <v>0.57999999999999996</v>
      </c>
      <c r="Q8" s="164">
        <f t="shared" si="0"/>
        <v>812000</v>
      </c>
      <c r="R8" s="167">
        <f t="shared" si="7"/>
        <v>3.45</v>
      </c>
      <c r="S8" s="168">
        <f t="shared" si="7"/>
        <v>3682000</v>
      </c>
    </row>
    <row r="9" spans="1:19" ht="27" thickBot="1" x14ac:dyDescent="0.6">
      <c r="A9" s="162" t="s">
        <v>284</v>
      </c>
      <c r="B9" s="165" t="s">
        <v>99</v>
      </c>
      <c r="C9" s="166" t="s">
        <v>99</v>
      </c>
      <c r="D9" s="165" t="s">
        <v>99</v>
      </c>
      <c r="E9" s="166" t="s">
        <v>99</v>
      </c>
      <c r="F9" s="163">
        <f>0.62+0.05</f>
        <v>0.67</v>
      </c>
      <c r="G9" s="164">
        <f t="shared" si="1"/>
        <v>670000</v>
      </c>
      <c r="H9" s="163">
        <f>0.09+0.03</f>
        <v>0.12</v>
      </c>
      <c r="I9" s="164">
        <f t="shared" si="2"/>
        <v>120000</v>
      </c>
      <c r="J9" s="163">
        <v>0.2</v>
      </c>
      <c r="K9" s="164">
        <f t="shared" si="3"/>
        <v>200000</v>
      </c>
      <c r="L9" s="163">
        <v>0.23</v>
      </c>
      <c r="M9" s="164">
        <f t="shared" si="4"/>
        <v>230000</v>
      </c>
      <c r="N9" s="163">
        <v>0.5</v>
      </c>
      <c r="O9" s="164">
        <f t="shared" si="5"/>
        <v>500000</v>
      </c>
      <c r="P9" s="163">
        <f t="shared" si="6"/>
        <v>0.35000000000000003</v>
      </c>
      <c r="Q9" s="164">
        <f t="shared" si="0"/>
        <v>490000.00000000006</v>
      </c>
      <c r="R9" s="167">
        <f t="shared" si="7"/>
        <v>2.0699999999999998</v>
      </c>
      <c r="S9" s="168">
        <f t="shared" si="7"/>
        <v>2210000</v>
      </c>
    </row>
    <row r="10" spans="1:19" ht="27" thickBot="1" x14ac:dyDescent="0.6">
      <c r="A10" s="162" t="s">
        <v>458</v>
      </c>
      <c r="B10" s="165" t="s">
        <v>99</v>
      </c>
      <c r="C10" s="166" t="s">
        <v>99</v>
      </c>
      <c r="D10" s="165" t="s">
        <v>99</v>
      </c>
      <c r="E10" s="166" t="s">
        <v>99</v>
      </c>
      <c r="F10" s="163">
        <f>2.25+0.05</f>
        <v>2.2999999999999998</v>
      </c>
      <c r="G10" s="164">
        <f t="shared" si="1"/>
        <v>2300000</v>
      </c>
      <c r="H10" s="163">
        <v>0.33400000000000002</v>
      </c>
      <c r="I10" s="164">
        <f t="shared" si="2"/>
        <v>334000</v>
      </c>
      <c r="J10" s="163">
        <v>0.25</v>
      </c>
      <c r="K10" s="164">
        <f t="shared" si="3"/>
        <v>250000</v>
      </c>
      <c r="L10" s="163">
        <v>0.23</v>
      </c>
      <c r="M10" s="164">
        <f t="shared" si="4"/>
        <v>230000</v>
      </c>
      <c r="N10" s="163">
        <v>0.5</v>
      </c>
      <c r="O10" s="164">
        <f t="shared" si="5"/>
        <v>500000</v>
      </c>
      <c r="P10" s="163">
        <f t="shared" si="6"/>
        <v>0.73</v>
      </c>
      <c r="Q10" s="164">
        <f t="shared" si="0"/>
        <v>1022000</v>
      </c>
      <c r="R10" s="167">
        <f t="shared" si="7"/>
        <v>4.3439999999999994</v>
      </c>
      <c r="S10" s="168">
        <f t="shared" si="7"/>
        <v>4636000</v>
      </c>
    </row>
    <row r="11" spans="1:19" ht="27" thickBot="1" x14ac:dyDescent="0.6">
      <c r="A11" s="169" t="s">
        <v>480</v>
      </c>
      <c r="B11" s="170">
        <f>SUM(B5:B10)</f>
        <v>1</v>
      </c>
      <c r="C11" s="168">
        <f>SUM(C5:C10)</f>
        <v>1000000</v>
      </c>
      <c r="D11" s="170">
        <f t="shared" ref="D11:Q11" si="8">SUM(D5:D10)</f>
        <v>0.55000000000000004</v>
      </c>
      <c r="E11" s="168">
        <f t="shared" si="8"/>
        <v>550000</v>
      </c>
      <c r="F11" s="170">
        <f t="shared" si="8"/>
        <v>5.42</v>
      </c>
      <c r="G11" s="168">
        <f t="shared" si="8"/>
        <v>5420000</v>
      </c>
      <c r="H11" s="170">
        <f t="shared" si="8"/>
        <v>0.90400000000000014</v>
      </c>
      <c r="I11" s="168">
        <f t="shared" si="8"/>
        <v>904000</v>
      </c>
      <c r="J11" s="170">
        <f t="shared" si="8"/>
        <v>1</v>
      </c>
      <c r="K11" s="168">
        <f t="shared" si="8"/>
        <v>1000000</v>
      </c>
      <c r="L11" s="170">
        <f t="shared" si="8"/>
        <v>1.1500000000000001</v>
      </c>
      <c r="M11" s="168">
        <f t="shared" si="8"/>
        <v>1150000</v>
      </c>
      <c r="N11" s="170">
        <f t="shared" si="8"/>
        <v>2.5</v>
      </c>
      <c r="O11" s="168">
        <f t="shared" si="8"/>
        <v>2500000</v>
      </c>
      <c r="P11" s="170">
        <f t="shared" si="8"/>
        <v>2.5300000000000002</v>
      </c>
      <c r="Q11" s="168">
        <f t="shared" si="8"/>
        <v>3542000</v>
      </c>
      <c r="R11" s="171"/>
    </row>
    <row r="12" spans="1:19" ht="23" thickBot="1" x14ac:dyDescent="0.6">
      <c r="P12" s="172">
        <f>SUM(B11,D11,F11,H11,J11,L11,N11,P11)</f>
        <v>15.053999999999998</v>
      </c>
      <c r="Q12" s="173">
        <f>SUM(C11,E11,G11,I11,K11,M11,O11,Q11)</f>
        <v>16066000</v>
      </c>
      <c r="R12" s="174"/>
    </row>
    <row r="14" spans="1:19" x14ac:dyDescent="0.55000000000000004">
      <c r="A14" t="s">
        <v>481</v>
      </c>
      <c r="C14" s="175">
        <v>1000000</v>
      </c>
      <c r="E14" s="175">
        <v>1000000</v>
      </c>
      <c r="G14" s="175">
        <v>1000000</v>
      </c>
      <c r="I14" s="175">
        <v>1000000</v>
      </c>
      <c r="K14" s="175">
        <v>1000000</v>
      </c>
      <c r="M14" s="175">
        <v>1000000</v>
      </c>
      <c r="O14" s="175">
        <v>1000000</v>
      </c>
      <c r="Q14" s="175">
        <v>1400000</v>
      </c>
      <c r="R14" s="175"/>
    </row>
    <row r="15" spans="1:19" x14ac:dyDescent="0.55000000000000004">
      <c r="O15" t="s">
        <v>482</v>
      </c>
    </row>
    <row r="16" spans="1:19" x14ac:dyDescent="0.55000000000000004">
      <c r="O16" t="s">
        <v>483</v>
      </c>
      <c r="P16" s="176">
        <f>P5</f>
        <v>0.31</v>
      </c>
      <c r="Q16" s="177">
        <f>Q5</f>
        <v>434000</v>
      </c>
    </row>
    <row r="17" spans="15:17" x14ac:dyDescent="0.55000000000000004">
      <c r="O17" t="s">
        <v>484</v>
      </c>
      <c r="P17">
        <f>ROUNDUP(SUM(F11,H11,J11)*0.2,2)+0.02</f>
        <v>1.49</v>
      </c>
      <c r="Q17" s="178">
        <f>P17*Q14</f>
        <v>2086000</v>
      </c>
    </row>
    <row r="18" spans="15:17" x14ac:dyDescent="0.55000000000000004">
      <c r="O18" t="s">
        <v>485</v>
      </c>
      <c r="P18">
        <f>ROUNDUP(SUM(L11,N11)*0.2,2)</f>
        <v>0.73</v>
      </c>
      <c r="Q18" s="178">
        <f>P18*Q14</f>
        <v>1022000</v>
      </c>
    </row>
    <row r="19" spans="15:17" x14ac:dyDescent="0.55000000000000004">
      <c r="P19" s="179">
        <f>SUM(P16:P18)</f>
        <v>2.5300000000000002</v>
      </c>
      <c r="Q19" s="177">
        <f>SUM(Q16:Q18)</f>
        <v>3542000</v>
      </c>
    </row>
  </sheetData>
  <mergeCells count="10">
    <mergeCell ref="A2:A4"/>
    <mergeCell ref="B2:Q2"/>
    <mergeCell ref="B3:C3"/>
    <mergeCell ref="D3:E3"/>
    <mergeCell ref="F3:G3"/>
    <mergeCell ref="H3:I3"/>
    <mergeCell ref="J3:K3"/>
    <mergeCell ref="L3:M3"/>
    <mergeCell ref="N3:O3"/>
    <mergeCell ref="P3:Q3"/>
  </mergeCells>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69aef985f427d6df22868eedf41448bf">
  <xsd:schema xmlns:xsd="http://www.w3.org/2001/XMLSchema" xmlns:xs="http://www.w3.org/2001/XMLSchema" xmlns:p="http://schemas.microsoft.com/office/2006/metadata/properties" xmlns:ns2="2fd442da-66a9-4fa6-ba31-eb0d54ad1381" targetNamespace="http://schemas.microsoft.com/office/2006/metadata/properties" ma:root="true" ma:fieldsID="5ea8d7fed5e91ecceba9cbd3c6ab47c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D6512D-A18B-4320-B63D-7ECD6E39B95B}">
  <ds:schemaRefs>
    <ds:schemaRef ds:uri="http://schemas.microsoft.com/sharepoint/v3/contenttype/forms"/>
  </ds:schemaRefs>
</ds:datastoreItem>
</file>

<file path=customXml/itemProps2.xml><?xml version="1.0" encoding="utf-8"?>
<ds:datastoreItem xmlns:ds="http://schemas.openxmlformats.org/officeDocument/2006/customXml" ds:itemID="{4A864CA5-6A36-4D32-A246-460A558B2DC7}">
  <ds:schemaRefs>
    <ds:schemaRef ds:uri="http://schemas.openxmlformats.org/package/2006/metadata/core-properties"/>
    <ds:schemaRef ds:uri="http://schemas.microsoft.com/office/2006/documentManagement/types"/>
    <ds:schemaRef ds:uri="http://purl.org/dc/terms/"/>
    <ds:schemaRef ds:uri="2fd442da-66a9-4fa6-ba31-eb0d54ad1381"/>
    <ds:schemaRef ds:uri="http://purl.org/dc/dcmitype/"/>
    <ds:schemaRef ds:uri="http://www.w3.org/XML/1998/namespace"/>
    <ds:schemaRef ds:uri="http://schemas.microsoft.com/office/infopath/2007/PartnerControl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8F41DD93-F4BA-477C-9C85-2E520C95E3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42da-66a9-4fa6-ba31-eb0d54ad13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23</vt:i4>
      </vt:variant>
    </vt:vector>
  </HeadingPairs>
  <TitlesOfParts>
    <vt:vector size="23" baseType="lpstr">
      <vt:lpstr>想定作業</vt:lpstr>
      <vt:lpstr>背景・作業内容</vt:lpstr>
      <vt:lpstr>概要図(千葉)</vt:lpstr>
      <vt:lpstr>概要図(徳山)</vt:lpstr>
      <vt:lpstr>システム概要</vt:lpstr>
      <vt:lpstr>スケジュール（工場）</vt:lpstr>
      <vt:lpstr>見積（数量確定システム）_bk</vt:lpstr>
      <vt:lpstr>見積（〇〇システム）</vt:lpstr>
      <vt:lpstr>スケジュール（XenAPP）</vt:lpstr>
      <vt:lpstr>見積 (サマリ)</vt:lpstr>
      <vt:lpstr>見積（工場千葉）</vt:lpstr>
      <vt:lpstr>Sheet1</vt:lpstr>
      <vt:lpstr>見積（工場徳山）</vt:lpstr>
      <vt:lpstr>見積（XenApp）</vt:lpstr>
      <vt:lpstr>XenAPP算出根拠</vt:lpstr>
      <vt:lpstr>再見積もり_XenAPPサマリー(開発フェーズ以降)</vt:lpstr>
      <vt:lpstr>XenAPP算出根拠 (愛知)</vt:lpstr>
      <vt:lpstr>XenAPP算出根拠 (北海道)</vt:lpstr>
      <vt:lpstr>XenAPP算出根拠 (千葉)</vt:lpstr>
      <vt:lpstr>XenAPP算出根拠 (千葉) (追加)</vt:lpstr>
      <vt:lpstr>XenAPP算出根拠 (徳山) </vt:lpstr>
      <vt:lpstr>XenAPP算出根拠 (四日市) </vt:lpstr>
      <vt:lpstr>XenAPP事業所別見積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伊達 翔互</dc:creator>
  <cp:keywords/>
  <dc:description/>
  <cp:lastModifiedBy>石井徹</cp:lastModifiedBy>
  <cp:revision/>
  <dcterms:created xsi:type="dcterms:W3CDTF">2023-12-19T04:33:48Z</dcterms:created>
  <dcterms:modified xsi:type="dcterms:W3CDTF">2025-08-12T03:38:51Z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