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3"/>
  <workbookPr/>
  <mc:AlternateContent xmlns:mc="http://schemas.openxmlformats.org/markup-compatibility/2006">
    <mc:Choice Requires="x15">
      <x15ac:absPath xmlns:x15ac="http://schemas.microsoft.com/office/spreadsheetml/2010/11/ac" url="C:\work\01.業務\01_出光関連\23.四課保守開発\新IRIS操業品質 再構築\"/>
    </mc:Choice>
  </mc:AlternateContent>
  <xr:revisionPtr revIDLastSave="0" documentId="11_4B2B8D5C43A937A4CC85554C9C2264627F9EDB29" xr6:coauthVersionLast="47" xr6:coauthVersionMax="47" xr10:uidLastSave="{00000000-0000-0000-0000-000000000000}"/>
  <bookViews>
    <workbookView xWindow="0" yWindow="0" windowWidth="28800" windowHeight="12288" tabRatio="727" xr2:uid="{00000000-000D-0000-FFFF-FFFF00000000}"/>
  </bookViews>
  <sheets>
    <sheet name="サマリ" sheetId="19" r:id="rId1"/>
    <sheet name="積算基準" sheetId="17" r:id="rId2"/>
    <sheet name="機能一覧" sheetId="41" r:id="rId3"/>
    <sheet name="工数算出" sheetId="18" r:id="rId4"/>
    <sheet name="要員計画(オフショア利用)" sheetId="34" r:id="rId5"/>
    <sheet name="要員計画(オフショア利用)　原価" sheetId="40" r:id="rId6"/>
  </sheets>
  <externalReferences>
    <externalReference r:id="rId7"/>
  </externalReferences>
  <definedNames>
    <definedName name="_xlnm._FilterDatabase" localSheetId="2" hidden="1">機能一覧!$A$2:$I$655</definedName>
    <definedName name="_xlnm._FilterDatabase" localSheetId="3" hidden="1">工数算出!$A$7:$X$519</definedName>
    <definedName name="_xlnm._FilterDatabase" localSheetId="4" hidden="1">'要員計画(オフショア利用)'!$A$1:$AZ$56</definedName>
    <definedName name="その他係数" localSheetId="5">[1]積算基準!$L$35</definedName>
    <definedName name="その他係数">積算基準!$L$35</definedName>
    <definedName name="バッチ係数" localSheetId="5">[1]積算基準!$F$29</definedName>
    <definedName name="バッチ係数">積算基準!$F$29</definedName>
    <definedName name="移行切替係数" localSheetId="5">[1]積算基準!$K$35</definedName>
    <definedName name="移行切替係数">積算基準!$K$35</definedName>
    <definedName name="画面係数" localSheetId="5">[1]積算基準!$D$29</definedName>
    <definedName name="画面係数">積算基準!$D$29</definedName>
    <definedName name="基本設計係数" localSheetId="5">[1]積算基準!$E$35</definedName>
    <definedName name="基本設計係数">積算基準!$E$35</definedName>
    <definedName name="結合テスト係数" localSheetId="5">[1]積算基準!$H$35</definedName>
    <definedName name="結合テスト係数">積算基準!$H$35</definedName>
    <definedName name="高係数" localSheetId="5">[1]積算基準!$E$41</definedName>
    <definedName name="高係数">積算基準!$E$41</definedName>
    <definedName name="参照上限高" localSheetId="5">[1]積算基準!$E$17</definedName>
    <definedName name="参照上限高">積算基準!$E$17</definedName>
    <definedName name="参照上限中" localSheetId="5">[1]積算基準!$F$17</definedName>
    <definedName name="参照上限中">積算基準!$F$17</definedName>
    <definedName name="参照上限低" localSheetId="5">[1]積算基準!$G$17</definedName>
    <definedName name="参照上限低">積算基準!$G$17</definedName>
    <definedName name="参照上限特高">積算基準!$D$17</definedName>
    <definedName name="参照上限特低" localSheetId="5">[1]積算基準!$H$17</definedName>
    <definedName name="参照上限特低">積算基準!$H$17</definedName>
    <definedName name="受入支援係数" localSheetId="5">[1]積算基準!$J$35</definedName>
    <definedName name="受入支援係数">積算基準!$J$35</definedName>
    <definedName name="詳細設計係数" localSheetId="5">[1]積算基準!$F$35</definedName>
    <definedName name="詳細設計係数">積算基準!$F$35</definedName>
    <definedName name="製作係数" localSheetId="5">[1]積算基準!$G$35</definedName>
    <definedName name="製作係数">積算基準!$G$35</definedName>
    <definedName name="総合テスト係数" localSheetId="5">[1]積算基準!$I$35</definedName>
    <definedName name="総合テスト係数">積算基準!$I$35</definedName>
    <definedName name="中係数" localSheetId="5">[1]積算基準!$F$41</definedName>
    <definedName name="中係数">積算基準!$F$41</definedName>
    <definedName name="帳票係数" localSheetId="5">[1]積算基準!$E$29</definedName>
    <definedName name="帳票係数">積算基準!$E$29</definedName>
    <definedName name="低係数" localSheetId="5">[1]積算基準!$G$41</definedName>
    <definedName name="低係数">積算基準!$G$41</definedName>
    <definedName name="登録上限高" localSheetId="5">[1]積算基準!$E$16</definedName>
    <definedName name="登録上限高">積算基準!$E$16</definedName>
    <definedName name="登録上限中" localSheetId="5">[1]積算基準!$F$16</definedName>
    <definedName name="登録上限中">積算基準!$F$16</definedName>
    <definedName name="登録上限低" localSheetId="5">[1]積算基準!$G$16</definedName>
    <definedName name="登録上限低">積算基準!$G$16</definedName>
    <definedName name="登録上限特高">積算基準!$D$16</definedName>
    <definedName name="登録上限特低" localSheetId="5">[1]積算基準!$H$16</definedName>
    <definedName name="登録上限特低">積算基準!$H$16</definedName>
    <definedName name="特高係数" localSheetId="5">[1]積算基準!$D$41</definedName>
    <definedName name="特高係数">積算基準!$D$41</definedName>
    <definedName name="特低係数" localSheetId="5">[1]積算基準!$H$41</definedName>
    <definedName name="特低係数">積算基準!$H$41</definedName>
    <definedName name="要件定義係数" localSheetId="5">[1]積算基準!$D$35</definedName>
    <definedName name="要件定義係数">積算基準!$D$35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6" i="19" l="1"/>
  <c r="V13" i="19"/>
  <c r="V10" i="19"/>
  <c r="T16" i="19"/>
  <c r="T13" i="19"/>
  <c r="T10" i="19"/>
  <c r="S17" i="19"/>
  <c r="S10" i="19"/>
  <c r="S11" i="19"/>
  <c r="S12" i="19"/>
  <c r="S13" i="19"/>
  <c r="S14" i="19"/>
  <c r="S15" i="19"/>
  <c r="S16" i="19"/>
  <c r="S9" i="19"/>
  <c r="R16" i="19"/>
  <c r="R15" i="19"/>
  <c r="R14" i="19"/>
  <c r="R13" i="19"/>
  <c r="R12" i="19"/>
  <c r="R11" i="19"/>
  <c r="R10" i="19"/>
  <c r="R9" i="19"/>
  <c r="N16" i="19"/>
  <c r="N12" i="19"/>
  <c r="N13" i="19"/>
  <c r="N15" i="19"/>
  <c r="N19" i="19"/>
  <c r="N14" i="19"/>
  <c r="N11" i="19"/>
  <c r="N10" i="19"/>
  <c r="N9" i="19"/>
  <c r="R17" i="19" l="1"/>
  <c r="A76" i="18"/>
  <c r="A77" i="18"/>
  <c r="A75" i="18"/>
  <c r="N17" i="19" l="1"/>
  <c r="P17" i="19" s="1"/>
  <c r="P18" i="19"/>
  <c r="A33" i="18" l="1"/>
  <c r="A34" i="18"/>
  <c r="A35" i="18"/>
  <c r="A9" i="41" l="1"/>
  <c r="A8" i="41"/>
  <c r="A7" i="41"/>
  <c r="A6" i="41"/>
  <c r="A5" i="41"/>
  <c r="A4" i="41"/>
  <c r="A3" i="41"/>
  <c r="A10" i="41"/>
  <c r="A14" i="41"/>
  <c r="A15" i="41"/>
  <c r="A242" i="41"/>
  <c r="A243" i="41"/>
  <c r="A244" i="41"/>
  <c r="A16" i="41"/>
  <c r="A397" i="41"/>
  <c r="A398" i="41"/>
  <c r="A399" i="41"/>
  <c r="A17" i="41"/>
  <c r="A185" i="41"/>
  <c r="A186" i="41"/>
  <c r="A187" i="41"/>
  <c r="A18" i="41"/>
  <c r="A19" i="41"/>
  <c r="A20" i="41"/>
  <c r="A21" i="41"/>
  <c r="A22" i="41"/>
  <c r="A23" i="41"/>
  <c r="A24" i="41"/>
  <c r="A25" i="41"/>
  <c r="A26" i="41"/>
  <c r="A27" i="41"/>
  <c r="A28" i="41"/>
  <c r="A11" i="41"/>
  <c r="A12" i="41"/>
  <c r="A13" i="41"/>
  <c r="A203" i="41"/>
  <c r="A204" i="41"/>
  <c r="A205" i="41"/>
  <c r="A206" i="41"/>
  <c r="A207" i="41"/>
  <c r="A208" i="41"/>
  <c r="A209" i="41"/>
  <c r="A210" i="41"/>
  <c r="A211" i="41"/>
  <c r="A212" i="41"/>
  <c r="A213" i="41"/>
  <c r="A214" i="41"/>
  <c r="A215" i="41"/>
  <c r="A216" i="41"/>
  <c r="A217" i="41"/>
  <c r="A218" i="41"/>
  <c r="A29" i="41"/>
  <c r="A30" i="41"/>
  <c r="A31" i="41"/>
  <c r="A32" i="41"/>
  <c r="A297" i="41"/>
  <c r="A51" i="41"/>
  <c r="A52" i="41"/>
  <c r="A53" i="41"/>
  <c r="A298" i="41"/>
  <c r="A55" i="41"/>
  <c r="A56" i="41"/>
  <c r="A57" i="41"/>
  <c r="A299" i="41"/>
  <c r="A59" i="41"/>
  <c r="A60" i="41"/>
  <c r="A61" i="41"/>
  <c r="A33" i="41"/>
  <c r="A63" i="41"/>
  <c r="A64" i="41"/>
  <c r="A65" i="41"/>
  <c r="A34" i="41"/>
  <c r="A35" i="41"/>
  <c r="A36" i="41"/>
  <c r="A37" i="41"/>
  <c r="A38" i="41"/>
  <c r="A39" i="41"/>
  <c r="A40" i="41"/>
  <c r="A41" i="41"/>
  <c r="A42" i="41"/>
  <c r="A43" i="41"/>
  <c r="A44" i="41"/>
  <c r="A45" i="41"/>
  <c r="A46" i="41"/>
  <c r="A47" i="41"/>
  <c r="A48" i="41"/>
  <c r="A49" i="41"/>
  <c r="A50" i="41"/>
  <c r="A54" i="41"/>
  <c r="A58" i="41"/>
  <c r="A62" i="41"/>
  <c r="A66" i="41"/>
  <c r="A67" i="41"/>
  <c r="A68" i="41"/>
  <c r="A69" i="41"/>
  <c r="A70" i="41"/>
  <c r="A71" i="41"/>
  <c r="A72" i="41"/>
  <c r="A73" i="41"/>
  <c r="A74" i="41"/>
  <c r="A75" i="41"/>
  <c r="A76" i="41"/>
  <c r="A77" i="41"/>
  <c r="A78" i="41"/>
  <c r="A79" i="41"/>
  <c r="A80" i="41"/>
  <c r="A81" i="41"/>
  <c r="A82" i="41"/>
  <c r="A83" i="41"/>
  <c r="A84" i="41"/>
  <c r="A85" i="41"/>
  <c r="A86" i="41"/>
  <c r="A87" i="41"/>
  <c r="A88" i="41"/>
  <c r="A89" i="41"/>
  <c r="A90" i="41"/>
  <c r="A91" i="41"/>
  <c r="A92" i="41"/>
  <c r="A93" i="41"/>
  <c r="A94" i="41"/>
  <c r="A95" i="41"/>
  <c r="A96" i="41"/>
  <c r="A97" i="41"/>
  <c r="A98" i="41"/>
  <c r="A99" i="41"/>
  <c r="A100" i="41"/>
  <c r="A101" i="41"/>
  <c r="A102" i="41"/>
  <c r="A103" i="41"/>
  <c r="A104" i="41"/>
  <c r="A105" i="41"/>
  <c r="A106" i="41"/>
  <c r="A107" i="41"/>
  <c r="A108" i="41"/>
  <c r="A109" i="41"/>
  <c r="A110" i="41"/>
  <c r="A111" i="41"/>
  <c r="A112" i="41"/>
  <c r="A113" i="41"/>
  <c r="A302" i="41"/>
  <c r="A303" i="41"/>
  <c r="A304" i="41"/>
  <c r="A305" i="41"/>
  <c r="A308" i="41"/>
  <c r="A309" i="41"/>
  <c r="A310" i="41"/>
  <c r="A311" i="41"/>
  <c r="A312" i="41"/>
  <c r="A313" i="41"/>
  <c r="A315" i="41"/>
  <c r="A321" i="41"/>
  <c r="A114" i="41"/>
  <c r="A115" i="41"/>
  <c r="A116" i="41"/>
  <c r="A117" i="41"/>
  <c r="A327" i="41"/>
  <c r="A333" i="41"/>
  <c r="A335" i="41"/>
  <c r="A336" i="41"/>
  <c r="A118" i="41"/>
  <c r="A119" i="41"/>
  <c r="A120" i="41"/>
  <c r="A121" i="41"/>
  <c r="A337" i="41"/>
  <c r="A343" i="41"/>
  <c r="A354" i="41"/>
  <c r="A356" i="41"/>
  <c r="A122" i="41"/>
  <c r="A123" i="41"/>
  <c r="A124" i="41"/>
  <c r="A125" i="41"/>
  <c r="A126" i="41"/>
  <c r="A127" i="41"/>
  <c r="A128" i="41"/>
  <c r="A129" i="41"/>
  <c r="A130" i="41"/>
  <c r="A131" i="41"/>
  <c r="A132" i="41"/>
  <c r="A133" i="41"/>
  <c r="A134" i="41"/>
  <c r="A135" i="41"/>
  <c r="A136" i="41"/>
  <c r="A137" i="41"/>
  <c r="A138" i="41"/>
  <c r="A139" i="41"/>
  <c r="A140" i="41"/>
  <c r="A141" i="41"/>
  <c r="A142" i="41"/>
  <c r="A143" i="41"/>
  <c r="A144" i="41"/>
  <c r="A145" i="41"/>
  <c r="A146" i="41"/>
  <c r="A147" i="41"/>
  <c r="A148" i="41"/>
  <c r="A149" i="41"/>
  <c r="A150" i="41"/>
  <c r="A151" i="41"/>
  <c r="A152" i="41"/>
  <c r="A153" i="41"/>
  <c r="A154" i="41"/>
  <c r="A155" i="41"/>
  <c r="A156" i="41"/>
  <c r="A157" i="41"/>
  <c r="A158" i="41"/>
  <c r="A159" i="41"/>
  <c r="A160" i="41"/>
  <c r="A161" i="41"/>
  <c r="A362" i="41"/>
  <c r="A389" i="41"/>
  <c r="A390" i="41"/>
  <c r="A391" i="41"/>
  <c r="A162" i="41"/>
  <c r="A219" i="41"/>
  <c r="A163" i="41"/>
  <c r="A220" i="41"/>
  <c r="A221" i="41"/>
  <c r="A222" i="41"/>
  <c r="A223" i="41"/>
  <c r="A224" i="41"/>
  <c r="A225" i="41"/>
  <c r="A226" i="41"/>
  <c r="A227" i="41"/>
  <c r="A228" i="41"/>
  <c r="A229" i="41"/>
  <c r="A230" i="41"/>
  <c r="A231" i="41"/>
  <c r="A232" i="41"/>
  <c r="A233" i="41"/>
  <c r="A234" i="41"/>
  <c r="A235" i="41"/>
  <c r="A236" i="41"/>
  <c r="A164" i="41"/>
  <c r="A165" i="41"/>
  <c r="A166" i="41"/>
  <c r="A167" i="41"/>
  <c r="A168" i="41"/>
  <c r="A169" i="41"/>
  <c r="A170" i="41"/>
  <c r="A171" i="41"/>
  <c r="A172" i="41"/>
  <c r="A173" i="41"/>
  <c r="A174" i="41"/>
  <c r="A175" i="41"/>
  <c r="A300" i="41"/>
  <c r="A248" i="41"/>
  <c r="A249" i="41"/>
  <c r="A250" i="41"/>
  <c r="A251" i="41"/>
  <c r="A252" i="41"/>
  <c r="A253" i="41"/>
  <c r="A254" i="41"/>
  <c r="A255" i="41"/>
  <c r="A256" i="41"/>
  <c r="A257" i="41"/>
  <c r="A258" i="41"/>
  <c r="A259" i="41"/>
  <c r="A260" i="41"/>
  <c r="A261" i="41"/>
  <c r="A262" i="41"/>
  <c r="A263" i="41"/>
  <c r="A264" i="41"/>
  <c r="A265" i="41"/>
  <c r="A266" i="41"/>
  <c r="A267" i="41"/>
  <c r="A268" i="41"/>
  <c r="A269" i="41"/>
  <c r="A270" i="41"/>
  <c r="A271" i="41"/>
  <c r="A272" i="41"/>
  <c r="A273" i="41"/>
  <c r="A274" i="41"/>
  <c r="A275" i="41"/>
  <c r="A276" i="41"/>
  <c r="A277" i="41"/>
  <c r="A278" i="41"/>
  <c r="A279" i="41"/>
  <c r="A280" i="41"/>
  <c r="A281" i="41"/>
  <c r="A282" i="41"/>
  <c r="A283" i="41"/>
  <c r="A284" i="41"/>
  <c r="A285" i="41"/>
  <c r="A286" i="41"/>
  <c r="A287" i="41"/>
  <c r="A288" i="41"/>
  <c r="A289" i="41"/>
  <c r="A290" i="41"/>
  <c r="A291" i="41"/>
  <c r="A292" i="41"/>
  <c r="A293" i="41"/>
  <c r="A294" i="41"/>
  <c r="A176" i="41"/>
  <c r="A177" i="41"/>
  <c r="A178" i="41"/>
  <c r="A179" i="41"/>
  <c r="A237" i="41"/>
  <c r="A238" i="41"/>
  <c r="A239" i="41"/>
  <c r="A240" i="41"/>
  <c r="A180" i="41"/>
  <c r="A181" i="41"/>
  <c r="A182" i="41"/>
  <c r="A183" i="41"/>
  <c r="A241" i="41"/>
  <c r="A396" i="41"/>
  <c r="A184" i="41"/>
  <c r="A245" i="41"/>
  <c r="A188" i="41"/>
  <c r="A189" i="41"/>
  <c r="A190" i="41"/>
  <c r="A191" i="41"/>
  <c r="A306" i="41"/>
  <c r="A307" i="41"/>
  <c r="A13" i="18"/>
  <c r="A12" i="18"/>
  <c r="A11" i="18"/>
  <c r="A401" i="41" l="1"/>
  <c r="A400" i="41"/>
  <c r="A192" i="41" l="1"/>
  <c r="A314" i="41"/>
  <c r="A193" i="41"/>
  <c r="A316" i="41"/>
  <c r="A317" i="41"/>
  <c r="A318" i="41"/>
  <c r="A319" i="41"/>
  <c r="A320" i="41"/>
  <c r="A194" i="41"/>
  <c r="A322" i="41"/>
  <c r="A323" i="41"/>
  <c r="A324" i="41"/>
  <c r="A325" i="41"/>
  <c r="A326" i="41"/>
  <c r="A195" i="41"/>
  <c r="A328" i="41"/>
  <c r="A329" i="41"/>
  <c r="A330" i="41"/>
  <c r="A331" i="41"/>
  <c r="A332" i="41"/>
  <c r="A196" i="41"/>
  <c r="A334" i="41"/>
  <c r="A197" i="41"/>
  <c r="A246" i="41"/>
  <c r="A247" i="41"/>
  <c r="A338" i="41"/>
  <c r="A339" i="41"/>
  <c r="A340" i="41"/>
  <c r="A341" i="41"/>
  <c r="A342" i="41"/>
  <c r="A198" i="41"/>
  <c r="A344" i="41"/>
  <c r="A345" i="41"/>
  <c r="A346" i="41"/>
  <c r="A347" i="41"/>
  <c r="A348" i="41"/>
  <c r="A349" i="41"/>
  <c r="A350" i="41"/>
  <c r="A351" i="41"/>
  <c r="A352" i="41"/>
  <c r="A353" i="41"/>
  <c r="A199" i="41"/>
  <c r="A355" i="41"/>
  <c r="A200" i="41"/>
  <c r="A357" i="41"/>
  <c r="A358" i="41"/>
  <c r="A359" i="41"/>
  <c r="A360" i="41"/>
  <c r="A361" i="41"/>
  <c r="A201" i="41"/>
  <c r="A363" i="41"/>
  <c r="A364" i="41"/>
  <c r="A365" i="41"/>
  <c r="A366" i="41"/>
  <c r="A367" i="41"/>
  <c r="A368" i="41"/>
  <c r="A369" i="41"/>
  <c r="A370" i="41"/>
  <c r="A371" i="41"/>
  <c r="A372" i="41"/>
  <c r="A373" i="41"/>
  <c r="A374" i="41"/>
  <c r="A375" i="41"/>
  <c r="A376" i="41"/>
  <c r="A377" i="41"/>
  <c r="A378" i="41"/>
  <c r="A379" i="41"/>
  <c r="A380" i="41"/>
  <c r="A381" i="41"/>
  <c r="A382" i="41"/>
  <c r="A383" i="41"/>
  <c r="A384" i="41"/>
  <c r="A385" i="41"/>
  <c r="A386" i="41"/>
  <c r="A387" i="41"/>
  <c r="A388" i="41"/>
  <c r="A392" i="41"/>
  <c r="A393" i="41"/>
  <c r="A394" i="41"/>
  <c r="A395" i="41"/>
  <c r="A295" i="41"/>
  <c r="A296" i="41"/>
  <c r="A202" i="41"/>
  <c r="A301" i="41"/>
  <c r="A402" i="41"/>
  <c r="A403" i="41"/>
  <c r="A404" i="41"/>
  <c r="A405" i="41"/>
  <c r="A406" i="41"/>
  <c r="A407" i="41"/>
  <c r="A408" i="41"/>
  <c r="A409" i="41"/>
  <c r="A410" i="41"/>
  <c r="A411" i="41"/>
  <c r="A412" i="41"/>
  <c r="A413" i="41"/>
  <c r="A414" i="41"/>
  <c r="A415" i="41"/>
  <c r="A416" i="41"/>
  <c r="A417" i="41"/>
  <c r="A418" i="41"/>
  <c r="A419" i="41"/>
  <c r="A420" i="41"/>
  <c r="A421" i="41"/>
  <c r="A422" i="41"/>
  <c r="A423" i="41"/>
  <c r="A424" i="41"/>
  <c r="A425" i="41"/>
  <c r="A426" i="41"/>
  <c r="A427" i="41"/>
  <c r="A428" i="41"/>
  <c r="A429" i="41"/>
  <c r="A430" i="41"/>
  <c r="A431" i="41"/>
  <c r="A432" i="41"/>
  <c r="A433" i="41"/>
  <c r="A434" i="41"/>
  <c r="A435" i="41"/>
  <c r="A436" i="41"/>
  <c r="A437" i="41"/>
  <c r="A438" i="41"/>
  <c r="A439" i="41"/>
  <c r="A440" i="41"/>
  <c r="A441" i="41"/>
  <c r="A442" i="41"/>
  <c r="A443" i="41"/>
  <c r="A444" i="41"/>
  <c r="A445" i="41"/>
  <c r="A446" i="41"/>
  <c r="A447" i="41"/>
  <c r="A448" i="41"/>
  <c r="A449" i="41"/>
  <c r="A450" i="41"/>
  <c r="A451" i="41"/>
  <c r="A452" i="41"/>
  <c r="A453" i="41"/>
  <c r="A454" i="41"/>
  <c r="A455" i="41"/>
  <c r="A456" i="41"/>
  <c r="A457" i="41"/>
  <c r="A458" i="41"/>
  <c r="A459" i="41"/>
  <c r="A460" i="41"/>
  <c r="A461" i="41"/>
  <c r="A462" i="41"/>
  <c r="A463" i="41"/>
  <c r="A464" i="41"/>
  <c r="A465" i="41"/>
  <c r="A466" i="41"/>
  <c r="A467" i="41"/>
  <c r="A468" i="41"/>
  <c r="A469" i="41"/>
  <c r="A470" i="41"/>
  <c r="A471" i="41"/>
  <c r="A472" i="41"/>
  <c r="A473" i="41"/>
  <c r="A474" i="41"/>
  <c r="A475" i="41"/>
  <c r="A476" i="41"/>
  <c r="A477" i="41"/>
  <c r="A478" i="41"/>
  <c r="A479" i="41"/>
  <c r="A480" i="41"/>
  <c r="A481" i="41"/>
  <c r="A482" i="41"/>
  <c r="A483" i="41"/>
  <c r="A484" i="41"/>
  <c r="A485" i="41"/>
  <c r="A486" i="41"/>
  <c r="A487" i="41"/>
  <c r="A488" i="41"/>
  <c r="A489" i="41"/>
  <c r="A490" i="41"/>
  <c r="A491" i="41"/>
  <c r="A492" i="41"/>
  <c r="A493" i="41"/>
  <c r="A494" i="41"/>
  <c r="A495" i="41"/>
  <c r="A496" i="41"/>
  <c r="A497" i="41"/>
  <c r="A498" i="41"/>
  <c r="A499" i="41"/>
  <c r="A500" i="41"/>
  <c r="A501" i="41"/>
  <c r="A502" i="41"/>
  <c r="A503" i="41"/>
  <c r="A504" i="41"/>
  <c r="A505" i="41"/>
  <c r="A506" i="41"/>
  <c r="A507" i="41"/>
  <c r="A508" i="41"/>
  <c r="A509" i="41"/>
  <c r="A510" i="41"/>
  <c r="A511" i="41"/>
  <c r="A512" i="41"/>
  <c r="A513" i="41"/>
  <c r="A514" i="41"/>
  <c r="A515" i="41"/>
  <c r="A516" i="41"/>
  <c r="A517" i="41"/>
  <c r="A518" i="41"/>
  <c r="A519" i="41"/>
  <c r="A520" i="41"/>
  <c r="A521" i="41"/>
  <c r="A522" i="41"/>
  <c r="A523" i="41"/>
  <c r="A524" i="41"/>
  <c r="A525" i="41"/>
  <c r="A526" i="41"/>
  <c r="A527" i="41"/>
  <c r="A528" i="41"/>
  <c r="A529" i="41"/>
  <c r="A530" i="41"/>
  <c r="A531" i="41"/>
  <c r="A532" i="41"/>
  <c r="A533" i="41"/>
  <c r="A534" i="41"/>
  <c r="A535" i="41"/>
  <c r="A536" i="41"/>
  <c r="A537" i="41"/>
  <c r="A538" i="41"/>
  <c r="A539" i="41"/>
  <c r="A540" i="41"/>
  <c r="A541" i="41"/>
  <c r="A542" i="41"/>
  <c r="A543" i="41"/>
  <c r="A544" i="41"/>
  <c r="A545" i="41"/>
  <c r="A546" i="41"/>
  <c r="A547" i="41"/>
  <c r="A548" i="41"/>
  <c r="A549" i="41"/>
  <c r="A550" i="41"/>
  <c r="A551" i="41"/>
  <c r="A552" i="41"/>
  <c r="A553" i="41"/>
  <c r="A554" i="41"/>
  <c r="A555" i="41"/>
  <c r="A556" i="41"/>
  <c r="A557" i="41"/>
  <c r="A558" i="41"/>
  <c r="A559" i="41"/>
  <c r="A560" i="41"/>
  <c r="A561" i="41"/>
  <c r="A562" i="41"/>
  <c r="A563" i="41"/>
  <c r="A564" i="41"/>
  <c r="A565" i="41"/>
  <c r="A566" i="41"/>
  <c r="A567" i="41"/>
  <c r="A568" i="41"/>
  <c r="A569" i="41"/>
  <c r="A570" i="41"/>
  <c r="A571" i="41"/>
  <c r="A572" i="41"/>
  <c r="A573" i="41"/>
  <c r="A574" i="41"/>
  <c r="A575" i="41"/>
  <c r="A576" i="41"/>
  <c r="A577" i="41"/>
  <c r="A578" i="41"/>
  <c r="A579" i="41"/>
  <c r="A580" i="41"/>
  <c r="A581" i="41"/>
  <c r="A582" i="41"/>
  <c r="A583" i="41"/>
  <c r="A584" i="41"/>
  <c r="A585" i="41"/>
  <c r="A586" i="41"/>
  <c r="A587" i="41"/>
  <c r="A588" i="41"/>
  <c r="A589" i="41"/>
  <c r="A590" i="41"/>
  <c r="A591" i="41"/>
  <c r="A592" i="41"/>
  <c r="A593" i="41"/>
  <c r="A594" i="41"/>
  <c r="A595" i="41"/>
  <c r="A596" i="41"/>
  <c r="A597" i="41"/>
  <c r="A598" i="41"/>
  <c r="A599" i="41"/>
  <c r="A600" i="41"/>
  <c r="A601" i="41"/>
  <c r="A602" i="41"/>
  <c r="A603" i="41"/>
  <c r="A604" i="41"/>
  <c r="A605" i="41"/>
  <c r="A606" i="41"/>
  <c r="A607" i="41"/>
  <c r="A608" i="41"/>
  <c r="A609" i="41"/>
  <c r="A610" i="41"/>
  <c r="A611" i="41"/>
  <c r="A612" i="41"/>
  <c r="A613" i="41"/>
  <c r="A614" i="41"/>
  <c r="A615" i="41"/>
  <c r="A616" i="41"/>
  <c r="A617" i="41"/>
  <c r="A618" i="41"/>
  <c r="A619" i="41"/>
  <c r="A620" i="41"/>
  <c r="A621" i="41"/>
  <c r="A622" i="41"/>
  <c r="A623" i="41"/>
  <c r="A624" i="41"/>
  <c r="A625" i="41"/>
  <c r="A626" i="41"/>
  <c r="A627" i="41"/>
  <c r="A628" i="41"/>
  <c r="A629" i="41"/>
  <c r="A630" i="41"/>
  <c r="A631" i="41"/>
  <c r="A632" i="41"/>
  <c r="A633" i="41"/>
  <c r="A634" i="41"/>
  <c r="A635" i="41"/>
  <c r="A636" i="41"/>
  <c r="A637" i="41"/>
  <c r="A638" i="41"/>
  <c r="A639" i="41"/>
  <c r="A640" i="41"/>
  <c r="A641" i="41"/>
  <c r="A642" i="41"/>
  <c r="A643" i="41"/>
  <c r="A644" i="41"/>
  <c r="A645" i="41"/>
  <c r="A646" i="41"/>
  <c r="A647" i="41"/>
  <c r="A648" i="41"/>
  <c r="A649" i="41"/>
  <c r="A650" i="41"/>
  <c r="A651" i="41"/>
  <c r="A652" i="41"/>
  <c r="A653" i="41"/>
  <c r="A654" i="41"/>
  <c r="A655" i="41"/>
  <c r="A1" i="41"/>
  <c r="I18" i="19" l="1"/>
  <c r="A493" i="18" l="1"/>
  <c r="A492" i="18"/>
  <c r="A491" i="18"/>
  <c r="A490" i="18"/>
  <c r="A489" i="18"/>
  <c r="A488" i="18"/>
  <c r="A487" i="18"/>
  <c r="A486" i="18"/>
  <c r="I498" i="18"/>
  <c r="A498" i="18"/>
  <c r="A497" i="18"/>
  <c r="A496" i="18"/>
  <c r="A495" i="18"/>
  <c r="A494" i="18"/>
  <c r="A213" i="18" l="1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0" i="18"/>
  <c r="A266" i="18"/>
  <c r="A65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152" i="18"/>
  <c r="A245" i="18"/>
  <c r="A244" i="18"/>
  <c r="A243" i="18"/>
  <c r="A242" i="18"/>
  <c r="A78" i="18"/>
  <c r="A74" i="18"/>
  <c r="A73" i="18"/>
  <c r="A72" i="18"/>
  <c r="A71" i="18"/>
  <c r="A70" i="18"/>
  <c r="A69" i="18"/>
  <c r="A68" i="18"/>
  <c r="A67" i="18"/>
  <c r="A66" i="18"/>
  <c r="A64" i="18"/>
  <c r="A63" i="18"/>
  <c r="A62" i="18"/>
  <c r="A61" i="18"/>
  <c r="A60" i="18"/>
  <c r="A59" i="18"/>
  <c r="A58" i="18"/>
  <c r="A57" i="18"/>
  <c r="A56" i="18"/>
  <c r="A55" i="18"/>
  <c r="A246" i="18"/>
  <c r="A155" i="18"/>
  <c r="A154" i="18"/>
  <c r="A153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388" i="18" l="1"/>
  <c r="A411" i="18" l="1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459" i="18"/>
  <c r="A458" i="18"/>
  <c r="A457" i="18"/>
  <c r="A456" i="18"/>
  <c r="A455" i="18"/>
  <c r="A454" i="18"/>
  <c r="A453" i="18"/>
  <c r="A452" i="18"/>
  <c r="A451" i="18"/>
  <c r="A450" i="18"/>
  <c r="A449" i="18"/>
  <c r="A448" i="18"/>
  <c r="A447" i="18"/>
  <c r="A446" i="18"/>
  <c r="A445" i="18"/>
  <c r="A444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A415" i="18"/>
  <c r="A414" i="18"/>
  <c r="A413" i="18"/>
  <c r="A412" i="18"/>
  <c r="A477" i="18"/>
  <c r="A476" i="18"/>
  <c r="A475" i="18"/>
  <c r="A474" i="18"/>
  <c r="A473" i="18"/>
  <c r="A472" i="18"/>
  <c r="A471" i="18"/>
  <c r="A470" i="18"/>
  <c r="A469" i="18"/>
  <c r="A468" i="18"/>
  <c r="I499" i="18"/>
  <c r="A499" i="18"/>
  <c r="I485" i="18"/>
  <c r="A485" i="18"/>
  <c r="A484" i="18"/>
  <c r="A483" i="18"/>
  <c r="A482" i="18"/>
  <c r="A481" i="18"/>
  <c r="A480" i="18"/>
  <c r="A479" i="18"/>
  <c r="I509" i="18"/>
  <c r="A509" i="18"/>
  <c r="I508" i="18"/>
  <c r="A508" i="18"/>
  <c r="I507" i="18"/>
  <c r="A507" i="18"/>
  <c r="I506" i="18"/>
  <c r="A506" i="18"/>
  <c r="A505" i="18"/>
  <c r="A504" i="18"/>
  <c r="A503" i="18"/>
  <c r="A502" i="18"/>
  <c r="A501" i="18"/>
  <c r="A500" i="18"/>
  <c r="K8" i="18" l="1"/>
  <c r="J8" i="18"/>
  <c r="K77" i="18" l="1"/>
  <c r="J77" i="18"/>
  <c r="J75" i="18"/>
  <c r="J153" i="18"/>
  <c r="J155" i="18"/>
  <c r="J154" i="18"/>
  <c r="J152" i="18"/>
  <c r="K75" i="18"/>
  <c r="K155" i="18"/>
  <c r="K154" i="18"/>
  <c r="K153" i="18"/>
  <c r="K152" i="18"/>
  <c r="J486" i="18"/>
  <c r="J490" i="18"/>
  <c r="J492" i="18"/>
  <c r="J491" i="18"/>
  <c r="J489" i="18"/>
  <c r="J488" i="18"/>
  <c r="J487" i="18"/>
  <c r="K492" i="18"/>
  <c r="K487" i="18"/>
  <c r="K491" i="18"/>
  <c r="K488" i="18"/>
  <c r="K490" i="18"/>
  <c r="K489" i="18"/>
  <c r="K486" i="18"/>
  <c r="J493" i="18"/>
  <c r="K493" i="18"/>
  <c r="J497" i="18"/>
  <c r="J494" i="18"/>
  <c r="J495" i="18"/>
  <c r="J496" i="18"/>
  <c r="J498" i="18"/>
  <c r="K494" i="18"/>
  <c r="K497" i="18"/>
  <c r="K498" i="18"/>
  <c r="K496" i="18"/>
  <c r="K495" i="18"/>
  <c r="J211" i="18"/>
  <c r="J207" i="18"/>
  <c r="J201" i="18"/>
  <c r="J197" i="18"/>
  <c r="J212" i="18"/>
  <c r="J208" i="18"/>
  <c r="J202" i="18"/>
  <c r="J198" i="18"/>
  <c r="J192" i="18"/>
  <c r="J188" i="18"/>
  <c r="J178" i="18"/>
  <c r="J174" i="18"/>
  <c r="J170" i="18"/>
  <c r="J213" i="18"/>
  <c r="J203" i="18"/>
  <c r="J193" i="18"/>
  <c r="J209" i="18"/>
  <c r="J204" i="18"/>
  <c r="J199" i="18"/>
  <c r="J194" i="18"/>
  <c r="J189" i="18"/>
  <c r="J185" i="18"/>
  <c r="J179" i="18"/>
  <c r="J175" i="18"/>
  <c r="J171" i="18"/>
  <c r="J200" i="18"/>
  <c r="J169" i="18"/>
  <c r="J161" i="18"/>
  <c r="J156" i="18"/>
  <c r="J147" i="18"/>
  <c r="J142" i="18"/>
  <c r="J182" i="18"/>
  <c r="J210" i="18"/>
  <c r="J168" i="18"/>
  <c r="J162" i="18"/>
  <c r="J148" i="18"/>
  <c r="J138" i="18"/>
  <c r="J196" i="18"/>
  <c r="J191" i="18"/>
  <c r="J190" i="18"/>
  <c r="J184" i="18"/>
  <c r="J181" i="18"/>
  <c r="J180" i="18"/>
  <c r="J173" i="18"/>
  <c r="J172" i="18"/>
  <c r="J206" i="18"/>
  <c r="J167" i="18"/>
  <c r="J164" i="18"/>
  <c r="J160" i="18"/>
  <c r="J150" i="18"/>
  <c r="J146" i="18"/>
  <c r="J140" i="18"/>
  <c r="J187" i="18"/>
  <c r="J186" i="18"/>
  <c r="J177" i="18"/>
  <c r="J176" i="18"/>
  <c r="J165" i="18"/>
  <c r="J141" i="18"/>
  <c r="J109" i="18"/>
  <c r="J99" i="18"/>
  <c r="J151" i="18"/>
  <c r="J137" i="18"/>
  <c r="J134" i="18"/>
  <c r="J127" i="18"/>
  <c r="J123" i="18"/>
  <c r="J119" i="18"/>
  <c r="J159" i="18"/>
  <c r="J149" i="18"/>
  <c r="J110" i="18"/>
  <c r="J106" i="18"/>
  <c r="J100" i="18"/>
  <c r="J145" i="18"/>
  <c r="J139" i="18"/>
  <c r="J136" i="18"/>
  <c r="J128" i="18"/>
  <c r="J124" i="18"/>
  <c r="J120" i="18"/>
  <c r="J116" i="18"/>
  <c r="J133" i="18"/>
  <c r="J111" i="18"/>
  <c r="J107" i="18"/>
  <c r="J101" i="18"/>
  <c r="J97" i="18"/>
  <c r="J129" i="18"/>
  <c r="J125" i="18"/>
  <c r="J121" i="18"/>
  <c r="J117" i="18"/>
  <c r="J96" i="18"/>
  <c r="J91" i="18"/>
  <c r="J87" i="18"/>
  <c r="J30" i="18"/>
  <c r="J20" i="18"/>
  <c r="J163" i="18"/>
  <c r="J108" i="18"/>
  <c r="J98" i="18"/>
  <c r="J92" i="18"/>
  <c r="J88" i="18"/>
  <c r="J84" i="18"/>
  <c r="J31" i="18"/>
  <c r="J27" i="18"/>
  <c r="J21" i="18"/>
  <c r="J131" i="18"/>
  <c r="J126" i="18"/>
  <c r="J122" i="18"/>
  <c r="J118" i="18"/>
  <c r="J112" i="18"/>
  <c r="J102" i="18"/>
  <c r="J93" i="18"/>
  <c r="J113" i="18"/>
  <c r="J103" i="18"/>
  <c r="J89" i="18"/>
  <c r="J85" i="18"/>
  <c r="J79" i="18"/>
  <c r="J28" i="18"/>
  <c r="J22" i="18"/>
  <c r="J135" i="18"/>
  <c r="J90" i="18"/>
  <c r="J12" i="18"/>
  <c r="J23" i="18"/>
  <c r="J18" i="18"/>
  <c r="J24" i="18"/>
  <c r="J29" i="18"/>
  <c r="J16" i="18"/>
  <c r="J10" i="18"/>
  <c r="J81" i="18"/>
  <c r="J86" i="18"/>
  <c r="J19" i="18"/>
  <c r="J17" i="18"/>
  <c r="J11" i="18"/>
  <c r="J95" i="18"/>
  <c r="J104" i="18"/>
  <c r="J157" i="18"/>
  <c r="J114" i="18"/>
  <c r="J14" i="18"/>
  <c r="J13" i="18"/>
  <c r="J115" i="18"/>
  <c r="J195" i="18"/>
  <c r="J205" i="18"/>
  <c r="J130" i="18"/>
  <c r="J25" i="18"/>
  <c r="J144" i="18"/>
  <c r="J166" i="18"/>
  <c r="J94" i="18"/>
  <c r="J82" i="18"/>
  <c r="J132" i="18"/>
  <c r="J80" i="18"/>
  <c r="J15" i="18"/>
  <c r="J26" i="18"/>
  <c r="J83" i="18"/>
  <c r="J105" i="18"/>
  <c r="J183" i="18"/>
  <c r="J143" i="18"/>
  <c r="J158" i="18"/>
  <c r="K211" i="18"/>
  <c r="K207" i="18"/>
  <c r="K201" i="18"/>
  <c r="K197" i="18"/>
  <c r="K212" i="18"/>
  <c r="K208" i="18"/>
  <c r="K202" i="18"/>
  <c r="K198" i="18"/>
  <c r="K209" i="18"/>
  <c r="K204" i="18"/>
  <c r="K199" i="18"/>
  <c r="K194" i="18"/>
  <c r="K210" i="18"/>
  <c r="K200" i="18"/>
  <c r="K190" i="18"/>
  <c r="K186" i="18"/>
  <c r="K180" i="18"/>
  <c r="K176" i="18"/>
  <c r="K172" i="18"/>
  <c r="K168" i="18"/>
  <c r="K185" i="18"/>
  <c r="K182" i="18"/>
  <c r="K175" i="18"/>
  <c r="K143" i="18"/>
  <c r="K162" i="18"/>
  <c r="K148" i="18"/>
  <c r="K138" i="18"/>
  <c r="K134" i="18"/>
  <c r="K192" i="18"/>
  <c r="K191" i="18"/>
  <c r="K181" i="18"/>
  <c r="K174" i="18"/>
  <c r="K173" i="18"/>
  <c r="K163" i="18"/>
  <c r="K159" i="18"/>
  <c r="K149" i="18"/>
  <c r="K145" i="18"/>
  <c r="K139" i="18"/>
  <c r="K164" i="18"/>
  <c r="K160" i="18"/>
  <c r="K150" i="18"/>
  <c r="K146" i="18"/>
  <c r="K140" i="18"/>
  <c r="K136" i="18"/>
  <c r="K188" i="18"/>
  <c r="K187" i="18"/>
  <c r="K178" i="18"/>
  <c r="K177" i="18"/>
  <c r="K170" i="18"/>
  <c r="K165" i="18"/>
  <c r="K169" i="18"/>
  <c r="K161" i="18"/>
  <c r="K156" i="18"/>
  <c r="K171" i="18"/>
  <c r="K137" i="18"/>
  <c r="K127" i="18"/>
  <c r="K123" i="18"/>
  <c r="K119" i="18"/>
  <c r="K179" i="18"/>
  <c r="K167" i="18"/>
  <c r="K110" i="18"/>
  <c r="K100" i="18"/>
  <c r="K189" i="18"/>
  <c r="K142" i="18"/>
  <c r="K128" i="18"/>
  <c r="K124" i="18"/>
  <c r="K120" i="18"/>
  <c r="K116" i="18"/>
  <c r="K147" i="18"/>
  <c r="K133" i="18"/>
  <c r="K111" i="18"/>
  <c r="K107" i="18"/>
  <c r="K101" i="18"/>
  <c r="K97" i="18"/>
  <c r="K129" i="18"/>
  <c r="K125" i="18"/>
  <c r="K121" i="18"/>
  <c r="K117" i="18"/>
  <c r="K91" i="18"/>
  <c r="K87" i="18"/>
  <c r="K30" i="18"/>
  <c r="K20" i="18"/>
  <c r="K131" i="18"/>
  <c r="K126" i="18"/>
  <c r="K122" i="18"/>
  <c r="K118" i="18"/>
  <c r="K112" i="18"/>
  <c r="K102" i="18"/>
  <c r="K93" i="18"/>
  <c r="K113" i="18"/>
  <c r="K103" i="18"/>
  <c r="K89" i="18"/>
  <c r="K85" i="18"/>
  <c r="K79" i="18"/>
  <c r="K28" i="18"/>
  <c r="K22" i="18"/>
  <c r="K135" i="18"/>
  <c r="K114" i="18"/>
  <c r="K109" i="18"/>
  <c r="K104" i="18"/>
  <c r="K99" i="18"/>
  <c r="K31" i="18"/>
  <c r="K13" i="18"/>
  <c r="K108" i="18"/>
  <c r="K84" i="18"/>
  <c r="K18" i="18"/>
  <c r="K130" i="18"/>
  <c r="K88" i="18"/>
  <c r="K24" i="18"/>
  <c r="K92" i="18"/>
  <c r="K29" i="18"/>
  <c r="K16" i="18"/>
  <c r="K10" i="18"/>
  <c r="K81" i="18"/>
  <c r="K25" i="18"/>
  <c r="K98" i="18"/>
  <c r="K86" i="18"/>
  <c r="K19" i="18"/>
  <c r="K17" i="18"/>
  <c r="K11" i="18"/>
  <c r="K94" i="18"/>
  <c r="K90" i="18"/>
  <c r="K82" i="18"/>
  <c r="K21" i="18"/>
  <c r="K12" i="18"/>
  <c r="K27" i="18"/>
  <c r="K23" i="18"/>
  <c r="K105" i="18"/>
  <c r="K106" i="18"/>
  <c r="K195" i="18"/>
  <c r="K205" i="18"/>
  <c r="K14" i="18"/>
  <c r="K184" i="18"/>
  <c r="K166" i="18"/>
  <c r="K80" i="18"/>
  <c r="K132" i="18"/>
  <c r="K203" i="18"/>
  <c r="K158" i="18"/>
  <c r="K206" i="18"/>
  <c r="K115" i="18"/>
  <c r="K96" i="18"/>
  <c r="K144" i="18"/>
  <c r="K141" i="18"/>
  <c r="K183" i="18"/>
  <c r="K213" i="18"/>
  <c r="K26" i="18"/>
  <c r="K15" i="18"/>
  <c r="K83" i="18"/>
  <c r="K157" i="18"/>
  <c r="K196" i="18"/>
  <c r="K193" i="18"/>
  <c r="K95" i="18"/>
  <c r="K151" i="18"/>
  <c r="J65" i="18"/>
  <c r="J74" i="18"/>
  <c r="J69" i="18"/>
  <c r="J66" i="18"/>
  <c r="J71" i="18"/>
  <c r="J266" i="18"/>
  <c r="J72" i="18"/>
  <c r="J62" i="18"/>
  <c r="J73" i="18"/>
  <c r="J43" i="18"/>
  <c r="J63" i="18"/>
  <c r="J70" i="18"/>
  <c r="J64" i="18"/>
  <c r="J48" i="18"/>
  <c r="J44" i="18"/>
  <c r="J241" i="18"/>
  <c r="J58" i="18"/>
  <c r="J78" i="18"/>
  <c r="J53" i="18"/>
  <c r="J36" i="18"/>
  <c r="J233" i="18"/>
  <c r="J228" i="18"/>
  <c r="J223" i="18"/>
  <c r="J219" i="18"/>
  <c r="J32" i="18"/>
  <c r="J234" i="18"/>
  <c r="J224" i="18"/>
  <c r="J220" i="18"/>
  <c r="J214" i="18"/>
  <c r="J235" i="18"/>
  <c r="J231" i="18"/>
  <c r="J221" i="18"/>
  <c r="J225" i="18"/>
  <c r="J215" i="18"/>
  <c r="J226" i="18"/>
  <c r="J217" i="18"/>
  <c r="J236" i="18"/>
  <c r="J232" i="18"/>
  <c r="J222" i="18"/>
  <c r="J49" i="18"/>
  <c r="J216" i="18"/>
  <c r="J40" i="18"/>
  <c r="J57" i="18"/>
  <c r="J67" i="18"/>
  <c r="J218" i="18"/>
  <c r="J238" i="18"/>
  <c r="J240" i="18"/>
  <c r="J239" i="18"/>
  <c r="J230" i="18"/>
  <c r="J227" i="18"/>
  <c r="J68" i="18"/>
  <c r="J229" i="18"/>
  <c r="J237" i="18"/>
  <c r="K65" i="18"/>
  <c r="K266" i="18"/>
  <c r="K74" i="18"/>
  <c r="K70" i="18"/>
  <c r="K78" i="18"/>
  <c r="K71" i="18"/>
  <c r="K73" i="18"/>
  <c r="K43" i="18"/>
  <c r="K66" i="18"/>
  <c r="K63" i="18"/>
  <c r="K69" i="18"/>
  <c r="K64" i="18"/>
  <c r="K48" i="18"/>
  <c r="K44" i="18"/>
  <c r="K241" i="18"/>
  <c r="K58" i="18"/>
  <c r="K53" i="18"/>
  <c r="K32" i="18"/>
  <c r="K36" i="18"/>
  <c r="K62" i="18"/>
  <c r="K238" i="18"/>
  <c r="K233" i="18"/>
  <c r="K228" i="18"/>
  <c r="K223" i="18"/>
  <c r="K225" i="18"/>
  <c r="K229" i="18"/>
  <c r="K234" i="18"/>
  <c r="K224" i="18"/>
  <c r="K220" i="18"/>
  <c r="K214" i="18"/>
  <c r="K235" i="18"/>
  <c r="K221" i="18"/>
  <c r="K215" i="18"/>
  <c r="K72" i="18"/>
  <c r="K231" i="18"/>
  <c r="K236" i="18"/>
  <c r="K232" i="18"/>
  <c r="K227" i="18"/>
  <c r="K218" i="18"/>
  <c r="K226" i="18"/>
  <c r="K222" i="18"/>
  <c r="K217" i="18"/>
  <c r="K237" i="18"/>
  <c r="K40" i="18"/>
  <c r="K230" i="18"/>
  <c r="K57" i="18"/>
  <c r="K239" i="18"/>
  <c r="K216" i="18"/>
  <c r="K68" i="18"/>
  <c r="K240" i="18"/>
  <c r="K219" i="18"/>
  <c r="K49" i="18"/>
  <c r="K67" i="18"/>
  <c r="J388" i="18"/>
  <c r="K388" i="18"/>
  <c r="J405" i="18"/>
  <c r="J395" i="18"/>
  <c r="J411" i="18"/>
  <c r="J401" i="18"/>
  <c r="J391" i="18"/>
  <c r="J406" i="18"/>
  <c r="J402" i="18"/>
  <c r="J396" i="18"/>
  <c r="J392" i="18"/>
  <c r="J407" i="18"/>
  <c r="J403" i="18"/>
  <c r="J397" i="18"/>
  <c r="J393" i="18"/>
  <c r="J398" i="18"/>
  <c r="J408" i="18"/>
  <c r="J404" i="18"/>
  <c r="J394" i="18"/>
  <c r="J389" i="18"/>
  <c r="J400" i="18"/>
  <c r="J399" i="18"/>
  <c r="J409" i="18"/>
  <c r="J410" i="18"/>
  <c r="J390" i="18"/>
  <c r="K405" i="18"/>
  <c r="K395" i="18"/>
  <c r="K406" i="18"/>
  <c r="K402" i="18"/>
  <c r="K396" i="18"/>
  <c r="K392" i="18"/>
  <c r="K407" i="18"/>
  <c r="K403" i="18"/>
  <c r="K397" i="18"/>
  <c r="K393" i="18"/>
  <c r="K404" i="18"/>
  <c r="K394" i="18"/>
  <c r="K389" i="18"/>
  <c r="K408" i="18"/>
  <c r="K398" i="18"/>
  <c r="K390" i="18"/>
  <c r="K409" i="18"/>
  <c r="K399" i="18"/>
  <c r="K411" i="18"/>
  <c r="K391" i="18"/>
  <c r="K400" i="18"/>
  <c r="K401" i="18"/>
  <c r="K410" i="18"/>
  <c r="J456" i="18"/>
  <c r="J452" i="18"/>
  <c r="J446" i="18"/>
  <c r="J442" i="18"/>
  <c r="J436" i="18"/>
  <c r="J432" i="18"/>
  <c r="J453" i="18"/>
  <c r="J443" i="18"/>
  <c r="J433" i="18"/>
  <c r="J423" i="18"/>
  <c r="J419" i="18"/>
  <c r="J415" i="18"/>
  <c r="J454" i="18"/>
  <c r="J450" i="18"/>
  <c r="J444" i="18"/>
  <c r="J440" i="18"/>
  <c r="J427" i="18"/>
  <c r="J455" i="18"/>
  <c r="J451" i="18"/>
  <c r="J445" i="18"/>
  <c r="J441" i="18"/>
  <c r="J435" i="18"/>
  <c r="J431" i="18"/>
  <c r="J425" i="18"/>
  <c r="J421" i="18"/>
  <c r="J417" i="18"/>
  <c r="J413" i="18"/>
  <c r="J422" i="18"/>
  <c r="J416" i="18"/>
  <c r="J414" i="18"/>
  <c r="J434" i="18"/>
  <c r="J424" i="18"/>
  <c r="J412" i="18"/>
  <c r="J420" i="18"/>
  <c r="J430" i="18"/>
  <c r="J418" i="18"/>
  <c r="J439" i="18"/>
  <c r="J426" i="18"/>
  <c r="J429" i="18"/>
  <c r="J448" i="18"/>
  <c r="J437" i="18"/>
  <c r="J447" i="18"/>
  <c r="J428" i="18"/>
  <c r="J449" i="18"/>
  <c r="J458" i="18"/>
  <c r="J457" i="18"/>
  <c r="J438" i="18"/>
  <c r="J459" i="18"/>
  <c r="K456" i="18"/>
  <c r="K452" i="18"/>
  <c r="K446" i="18"/>
  <c r="K442" i="18"/>
  <c r="K436" i="18"/>
  <c r="K432" i="18"/>
  <c r="K422" i="18"/>
  <c r="K418" i="18"/>
  <c r="K414" i="18"/>
  <c r="K457" i="18"/>
  <c r="K447" i="18"/>
  <c r="K437" i="18"/>
  <c r="K428" i="18"/>
  <c r="K453" i="18"/>
  <c r="K443" i="18"/>
  <c r="K433" i="18"/>
  <c r="K423" i="18"/>
  <c r="K419" i="18"/>
  <c r="K415" i="18"/>
  <c r="K412" i="18"/>
  <c r="K454" i="18"/>
  <c r="K450" i="18"/>
  <c r="K444" i="18"/>
  <c r="K440" i="18"/>
  <c r="K434" i="18"/>
  <c r="K430" i="18"/>
  <c r="K424" i="18"/>
  <c r="K420" i="18"/>
  <c r="K416" i="18"/>
  <c r="K455" i="18"/>
  <c r="K451" i="18"/>
  <c r="K445" i="18"/>
  <c r="K441" i="18"/>
  <c r="K435" i="18"/>
  <c r="K431" i="18"/>
  <c r="K425" i="18"/>
  <c r="K421" i="18"/>
  <c r="K417" i="18"/>
  <c r="K413" i="18"/>
  <c r="K448" i="18"/>
  <c r="K449" i="18"/>
  <c r="K429" i="18"/>
  <c r="K438" i="18"/>
  <c r="K459" i="18"/>
  <c r="K458" i="18"/>
  <c r="K426" i="18"/>
  <c r="K439" i="18"/>
  <c r="K427" i="18"/>
  <c r="J475" i="18"/>
  <c r="J471" i="18"/>
  <c r="J473" i="18"/>
  <c r="J469" i="18"/>
  <c r="J470" i="18"/>
  <c r="J472" i="18"/>
  <c r="J468" i="18"/>
  <c r="J477" i="18"/>
  <c r="J474" i="18"/>
  <c r="J476" i="18"/>
  <c r="K471" i="18"/>
  <c r="K472" i="18"/>
  <c r="K468" i="18"/>
  <c r="K475" i="18"/>
  <c r="K476" i="18"/>
  <c r="K473" i="18"/>
  <c r="K469" i="18"/>
  <c r="K470" i="18"/>
  <c r="K477" i="18"/>
  <c r="K474" i="18"/>
  <c r="J481" i="18"/>
  <c r="J482" i="18"/>
  <c r="J484" i="18"/>
  <c r="J480" i="18"/>
  <c r="J499" i="18"/>
  <c r="J483" i="18"/>
  <c r="J479" i="18"/>
  <c r="J485" i="18"/>
  <c r="K481" i="18"/>
  <c r="K482" i="18"/>
  <c r="K483" i="18"/>
  <c r="K479" i="18"/>
  <c r="K480" i="18"/>
  <c r="K485" i="18"/>
  <c r="K484" i="18"/>
  <c r="K499" i="18"/>
  <c r="J505" i="18"/>
  <c r="J502" i="18"/>
  <c r="J503" i="18"/>
  <c r="J504" i="18"/>
  <c r="J509" i="18"/>
  <c r="J508" i="18"/>
  <c r="J507" i="18"/>
  <c r="J506" i="18"/>
  <c r="K502" i="18"/>
  <c r="K503" i="18"/>
  <c r="K504" i="18"/>
  <c r="K505" i="18"/>
  <c r="K506" i="18"/>
  <c r="K509" i="18"/>
  <c r="K507" i="18"/>
  <c r="K508" i="18"/>
  <c r="A309" i="18"/>
  <c r="A308" i="18"/>
  <c r="A307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304" i="18"/>
  <c r="A286" i="18"/>
  <c r="A285" i="18"/>
  <c r="A284" i="18"/>
  <c r="A283" i="18"/>
  <c r="A282" i="18"/>
  <c r="A315" i="18"/>
  <c r="A314" i="18"/>
  <c r="A313" i="18"/>
  <c r="A312" i="18"/>
  <c r="A311" i="18"/>
  <c r="A310" i="18"/>
  <c r="A306" i="18"/>
  <c r="A305" i="18"/>
  <c r="A364" i="18"/>
  <c r="A363" i="18"/>
  <c r="A362" i="18"/>
  <c r="A361" i="18"/>
  <c r="A360" i="18"/>
  <c r="A359" i="18"/>
  <c r="A358" i="18"/>
  <c r="G5" i="34" l="1"/>
  <c r="Y5" i="34" l="1"/>
  <c r="G7" i="34"/>
  <c r="E7" i="34"/>
  <c r="F32" i="34"/>
  <c r="E32" i="34"/>
  <c r="G32" i="34" s="1"/>
  <c r="S2" i="18" l="1"/>
  <c r="AR5" i="34"/>
  <c r="AL5" i="34"/>
  <c r="AF5" i="34"/>
  <c r="AU5" i="34"/>
  <c r="R5" i="34"/>
  <c r="F49" i="34" l="1"/>
  <c r="E49" i="34"/>
  <c r="G49" i="34" s="1"/>
  <c r="K9" i="18" l="1"/>
  <c r="A328" i="18" l="1"/>
  <c r="A320" i="18"/>
  <c r="A277" i="18"/>
  <c r="A276" i="18"/>
  <c r="AR65" i="34" l="1"/>
  <c r="AL67" i="34"/>
  <c r="AF67" i="34"/>
  <c r="X67" i="34"/>
  <c r="R67" i="34"/>
  <c r="L67" i="34"/>
  <c r="AU65" i="34"/>
  <c r="AL61" i="34"/>
  <c r="AL62" i="34"/>
  <c r="AL63" i="34"/>
  <c r="AR61" i="34"/>
  <c r="AF66" i="34" l="1"/>
  <c r="AF65" i="34"/>
  <c r="AF62" i="34"/>
  <c r="AF61" i="34"/>
  <c r="X66" i="34"/>
  <c r="R65" i="34"/>
  <c r="X65" i="34"/>
  <c r="R66" i="34"/>
  <c r="L66" i="34"/>
  <c r="L62" i="34"/>
  <c r="L61" i="34"/>
  <c r="L65" i="34"/>
  <c r="AR62" i="34"/>
  <c r="AX65" i="34"/>
  <c r="AU62" i="34"/>
  <c r="AX61" i="34"/>
  <c r="AU61" i="34"/>
  <c r="X61" i="34"/>
  <c r="R61" i="34"/>
  <c r="L63" i="34" l="1"/>
  <c r="L5" i="34"/>
  <c r="AX5" i="34" s="1"/>
  <c r="R6" i="34"/>
  <c r="R62" i="34"/>
  <c r="R63" i="34"/>
  <c r="R68" i="34"/>
  <c r="AL65" i="34"/>
  <c r="R64" i="34" l="1"/>
  <c r="R70" i="34" s="1"/>
  <c r="F56" i="34" l="1"/>
  <c r="F55" i="34"/>
  <c r="F54" i="34"/>
  <c r="F53" i="34"/>
  <c r="F52" i="34"/>
  <c r="F51" i="34"/>
  <c r="F50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1" i="34"/>
  <c r="F30" i="34"/>
  <c r="F29" i="34"/>
  <c r="E56" i="40"/>
  <c r="G56" i="40" s="1"/>
  <c r="D56" i="40"/>
  <c r="C56" i="40"/>
  <c r="B56" i="40"/>
  <c r="E55" i="40"/>
  <c r="G55" i="40" s="1"/>
  <c r="D55" i="40"/>
  <c r="C55" i="40"/>
  <c r="B55" i="40"/>
  <c r="E54" i="40"/>
  <c r="G54" i="40" s="1"/>
  <c r="D54" i="40"/>
  <c r="C54" i="40"/>
  <c r="B54" i="40"/>
  <c r="G53" i="40"/>
  <c r="E53" i="40"/>
  <c r="D53" i="40"/>
  <c r="C53" i="40"/>
  <c r="B53" i="40"/>
  <c r="E52" i="40"/>
  <c r="G52" i="40" s="1"/>
  <c r="D52" i="40"/>
  <c r="C52" i="40"/>
  <c r="B52" i="40"/>
  <c r="E51" i="40"/>
  <c r="G51" i="40" s="1"/>
  <c r="D51" i="40"/>
  <c r="C51" i="40"/>
  <c r="B51" i="40"/>
  <c r="E50" i="40"/>
  <c r="G50" i="40" s="1"/>
  <c r="D50" i="40"/>
  <c r="C50" i="40"/>
  <c r="B50" i="40"/>
  <c r="G49" i="40"/>
  <c r="E49" i="40"/>
  <c r="D49" i="40"/>
  <c r="C49" i="40"/>
  <c r="B49" i="40"/>
  <c r="E48" i="40"/>
  <c r="G48" i="40" s="1"/>
  <c r="D48" i="40"/>
  <c r="C48" i="40"/>
  <c r="B48" i="40"/>
  <c r="E47" i="40"/>
  <c r="G47" i="40" s="1"/>
  <c r="D47" i="40"/>
  <c r="C47" i="40"/>
  <c r="B47" i="40"/>
  <c r="E46" i="40"/>
  <c r="G46" i="40" s="1"/>
  <c r="D46" i="40"/>
  <c r="C46" i="40"/>
  <c r="B46" i="40"/>
  <c r="E45" i="40"/>
  <c r="G45" i="40" s="1"/>
  <c r="D45" i="40"/>
  <c r="C45" i="40"/>
  <c r="B45" i="40"/>
  <c r="E44" i="40"/>
  <c r="G44" i="40" s="1"/>
  <c r="D44" i="40"/>
  <c r="C44" i="40"/>
  <c r="B44" i="40"/>
  <c r="E43" i="40"/>
  <c r="G43" i="40" s="1"/>
  <c r="D43" i="40"/>
  <c r="C43" i="40"/>
  <c r="B43" i="40"/>
  <c r="E42" i="40"/>
  <c r="G42" i="40" s="1"/>
  <c r="D42" i="40"/>
  <c r="C42" i="40"/>
  <c r="B42" i="40"/>
  <c r="E41" i="40"/>
  <c r="G41" i="40" s="1"/>
  <c r="D41" i="40"/>
  <c r="C41" i="40"/>
  <c r="B41" i="40"/>
  <c r="E40" i="40"/>
  <c r="G40" i="40" s="1"/>
  <c r="D40" i="40"/>
  <c r="C40" i="40"/>
  <c r="B40" i="40"/>
  <c r="E39" i="40"/>
  <c r="G39" i="40" s="1"/>
  <c r="D39" i="40"/>
  <c r="C39" i="40"/>
  <c r="B39" i="40"/>
  <c r="E38" i="40"/>
  <c r="G38" i="40" s="1"/>
  <c r="D38" i="40"/>
  <c r="C38" i="40"/>
  <c r="B38" i="40"/>
  <c r="G37" i="40"/>
  <c r="E37" i="40"/>
  <c r="D37" i="40"/>
  <c r="C37" i="40"/>
  <c r="B37" i="40"/>
  <c r="E36" i="40"/>
  <c r="G36" i="40" s="1"/>
  <c r="D36" i="40"/>
  <c r="C36" i="40"/>
  <c r="B36" i="40"/>
  <c r="E35" i="40"/>
  <c r="G35" i="40" s="1"/>
  <c r="D35" i="40"/>
  <c r="C35" i="40"/>
  <c r="B35" i="40"/>
  <c r="E34" i="40"/>
  <c r="G34" i="40" s="1"/>
  <c r="D34" i="40"/>
  <c r="C34" i="40"/>
  <c r="B34" i="40"/>
  <c r="G33" i="40"/>
  <c r="E33" i="40"/>
  <c r="D33" i="40"/>
  <c r="C33" i="40"/>
  <c r="B33" i="40"/>
  <c r="E32" i="40"/>
  <c r="G32" i="40" s="1"/>
  <c r="D32" i="40"/>
  <c r="C32" i="40"/>
  <c r="B32" i="40"/>
  <c r="E31" i="40"/>
  <c r="G31" i="40" s="1"/>
  <c r="D31" i="40"/>
  <c r="C31" i="40"/>
  <c r="B31" i="40"/>
  <c r="E30" i="40"/>
  <c r="G30" i="40" s="1"/>
  <c r="D30" i="40"/>
  <c r="C30" i="40"/>
  <c r="B30" i="40"/>
  <c r="E29" i="40"/>
  <c r="G29" i="40" s="1"/>
  <c r="D29" i="40"/>
  <c r="C29" i="40"/>
  <c r="B29" i="40"/>
  <c r="E28" i="40"/>
  <c r="G28" i="40" s="1"/>
  <c r="D28" i="40"/>
  <c r="C28" i="40"/>
  <c r="B28" i="40"/>
  <c r="E27" i="40"/>
  <c r="G27" i="40" s="1"/>
  <c r="D27" i="40"/>
  <c r="C27" i="40"/>
  <c r="B27" i="40"/>
  <c r="E26" i="40"/>
  <c r="G26" i="40" s="1"/>
  <c r="D26" i="40"/>
  <c r="C26" i="40"/>
  <c r="B26" i="40"/>
  <c r="E25" i="40"/>
  <c r="G25" i="40" s="1"/>
  <c r="D25" i="40"/>
  <c r="C25" i="40"/>
  <c r="B25" i="40"/>
  <c r="E24" i="40"/>
  <c r="G24" i="40" s="1"/>
  <c r="D24" i="40"/>
  <c r="C24" i="40"/>
  <c r="B24" i="40"/>
  <c r="E23" i="40"/>
  <c r="G23" i="40" s="1"/>
  <c r="D23" i="40"/>
  <c r="C23" i="40"/>
  <c r="B23" i="40"/>
  <c r="E22" i="40"/>
  <c r="G22" i="40" s="1"/>
  <c r="D22" i="40"/>
  <c r="C22" i="40"/>
  <c r="B22" i="40"/>
  <c r="G21" i="40"/>
  <c r="E21" i="40"/>
  <c r="D21" i="40"/>
  <c r="C21" i="40"/>
  <c r="B21" i="40"/>
  <c r="E20" i="40"/>
  <c r="G20" i="40" s="1"/>
  <c r="D20" i="40"/>
  <c r="C20" i="40"/>
  <c r="B20" i="40"/>
  <c r="E19" i="40"/>
  <c r="G19" i="40" s="1"/>
  <c r="D19" i="40"/>
  <c r="C19" i="40"/>
  <c r="B19" i="40"/>
  <c r="E18" i="40"/>
  <c r="G18" i="40" s="1"/>
  <c r="D18" i="40"/>
  <c r="C18" i="40"/>
  <c r="B18" i="40"/>
  <c r="G17" i="40"/>
  <c r="E17" i="40"/>
  <c r="D17" i="40"/>
  <c r="C17" i="40"/>
  <c r="B17" i="40"/>
  <c r="E16" i="40"/>
  <c r="G16" i="40" s="1"/>
  <c r="D16" i="40"/>
  <c r="C16" i="40"/>
  <c r="B16" i="40"/>
  <c r="E15" i="40"/>
  <c r="G15" i="40" s="1"/>
  <c r="D15" i="40"/>
  <c r="C15" i="40"/>
  <c r="B15" i="40"/>
  <c r="E14" i="40"/>
  <c r="G14" i="40" s="1"/>
  <c r="D14" i="40"/>
  <c r="C14" i="40"/>
  <c r="B14" i="40"/>
  <c r="E13" i="40"/>
  <c r="G13" i="40" s="1"/>
  <c r="D13" i="40"/>
  <c r="C13" i="40"/>
  <c r="B13" i="40"/>
  <c r="E12" i="40"/>
  <c r="G12" i="40" s="1"/>
  <c r="D12" i="40"/>
  <c r="C12" i="40"/>
  <c r="B12" i="40"/>
  <c r="E11" i="40"/>
  <c r="G11" i="40" s="1"/>
  <c r="D11" i="40"/>
  <c r="C11" i="40"/>
  <c r="B11" i="40"/>
  <c r="E10" i="40"/>
  <c r="G10" i="40" s="1"/>
  <c r="D10" i="40"/>
  <c r="C10" i="40"/>
  <c r="B10" i="40"/>
  <c r="G9" i="40"/>
  <c r="E9" i="40"/>
  <c r="D9" i="40"/>
  <c r="C9" i="40"/>
  <c r="B9" i="40"/>
  <c r="E8" i="40"/>
  <c r="G8" i="40" s="1"/>
  <c r="D8" i="40"/>
  <c r="C8" i="40"/>
  <c r="B8" i="40"/>
  <c r="E7" i="40"/>
  <c r="G7" i="40" s="1"/>
  <c r="D7" i="40"/>
  <c r="C7" i="40"/>
  <c r="B7" i="40"/>
  <c r="AV6" i="40"/>
  <c r="AT6" i="40"/>
  <c r="AR6" i="40"/>
  <c r="AP6" i="40"/>
  <c r="AN6" i="40"/>
  <c r="AL6" i="40"/>
  <c r="AJ6" i="40"/>
  <c r="AH6" i="40"/>
  <c r="AF6" i="40"/>
  <c r="AD6" i="40"/>
  <c r="AB6" i="40"/>
  <c r="Z6" i="40"/>
  <c r="X6" i="40"/>
  <c r="V6" i="40"/>
  <c r="T6" i="40"/>
  <c r="R6" i="40"/>
  <c r="P6" i="40"/>
  <c r="N6" i="40"/>
  <c r="L6" i="40"/>
  <c r="J6" i="40"/>
  <c r="H6" i="40"/>
  <c r="AU5" i="40"/>
  <c r="AR5" i="40"/>
  <c r="AL5" i="40"/>
  <c r="AF5" i="40"/>
  <c r="X5" i="40"/>
  <c r="R5" i="40"/>
  <c r="L5" i="40"/>
  <c r="H5" i="40"/>
  <c r="AU4" i="40"/>
  <c r="AR4" i="40"/>
  <c r="AL4" i="40"/>
  <c r="AF4" i="40"/>
  <c r="X4" i="40"/>
  <c r="R4" i="40"/>
  <c r="L4" i="40"/>
  <c r="H4" i="40"/>
  <c r="G4" i="40"/>
  <c r="E4" i="40"/>
  <c r="E5" i="40" l="1"/>
  <c r="AX5" i="40"/>
  <c r="AX4" i="40"/>
  <c r="G5" i="40"/>
  <c r="G2" i="40" l="1"/>
  <c r="F5" i="40"/>
  <c r="F4" i="40"/>
  <c r="X63" i="34" l="1"/>
  <c r="AU64" i="34"/>
  <c r="AX62" i="34"/>
  <c r="H65" i="34"/>
  <c r="H63" i="34"/>
  <c r="O8" i="18"/>
  <c r="N8" i="18"/>
  <c r="N77" i="18" l="1"/>
  <c r="O77" i="18"/>
  <c r="N243" i="18"/>
  <c r="N75" i="18"/>
  <c r="O243" i="18"/>
  <c r="O75" i="18"/>
  <c r="N490" i="18"/>
  <c r="N486" i="18"/>
  <c r="N488" i="18"/>
  <c r="N492" i="18"/>
  <c r="N491" i="18"/>
  <c r="N487" i="18"/>
  <c r="N489" i="18"/>
  <c r="O492" i="18"/>
  <c r="O491" i="18"/>
  <c r="O488" i="18"/>
  <c r="O490" i="18"/>
  <c r="O487" i="18"/>
  <c r="O486" i="18"/>
  <c r="O489" i="18"/>
  <c r="N493" i="18"/>
  <c r="O493" i="18"/>
  <c r="N497" i="18"/>
  <c r="N498" i="18"/>
  <c r="N495" i="18"/>
  <c r="N496" i="18"/>
  <c r="N494" i="18"/>
  <c r="O494" i="18"/>
  <c r="O497" i="18"/>
  <c r="O498" i="18"/>
  <c r="O496" i="18"/>
  <c r="O495" i="18"/>
  <c r="N213" i="18"/>
  <c r="N203" i="18"/>
  <c r="N209" i="18"/>
  <c r="N204" i="18"/>
  <c r="N199" i="18"/>
  <c r="N194" i="18"/>
  <c r="N210" i="18"/>
  <c r="N200" i="18"/>
  <c r="N190" i="18"/>
  <c r="N186" i="18"/>
  <c r="N180" i="18"/>
  <c r="N176" i="18"/>
  <c r="N172" i="18"/>
  <c r="N168" i="18"/>
  <c r="N211" i="18"/>
  <c r="N207" i="18"/>
  <c r="N201" i="18"/>
  <c r="N197" i="18"/>
  <c r="N191" i="18"/>
  <c r="N187" i="18"/>
  <c r="N181" i="18"/>
  <c r="N177" i="18"/>
  <c r="N173" i="18"/>
  <c r="N184" i="18"/>
  <c r="N163" i="18"/>
  <c r="N159" i="18"/>
  <c r="N149" i="18"/>
  <c r="N145" i="18"/>
  <c r="N202" i="18"/>
  <c r="N189" i="18"/>
  <c r="N179" i="18"/>
  <c r="N171" i="18"/>
  <c r="N167" i="18"/>
  <c r="N164" i="18"/>
  <c r="N160" i="18"/>
  <c r="N150" i="18"/>
  <c r="N146" i="18"/>
  <c r="N140" i="18"/>
  <c r="N188" i="18"/>
  <c r="N178" i="18"/>
  <c r="N170" i="18"/>
  <c r="N198" i="18"/>
  <c r="N193" i="18"/>
  <c r="N169" i="18"/>
  <c r="N185" i="18"/>
  <c r="N175" i="18"/>
  <c r="N162" i="18"/>
  <c r="N148" i="18"/>
  <c r="N138" i="18"/>
  <c r="N208" i="18"/>
  <c r="N192" i="18"/>
  <c r="N174" i="18"/>
  <c r="N136" i="18"/>
  <c r="N111" i="18"/>
  <c r="N107" i="18"/>
  <c r="N101" i="18"/>
  <c r="N97" i="18"/>
  <c r="N142" i="18"/>
  <c r="N133" i="18"/>
  <c r="N129" i="18"/>
  <c r="N125" i="18"/>
  <c r="N121" i="18"/>
  <c r="N117" i="18"/>
  <c r="N212" i="18"/>
  <c r="N147" i="18"/>
  <c r="N139" i="18"/>
  <c r="N112" i="18"/>
  <c r="N108" i="18"/>
  <c r="N102" i="18"/>
  <c r="N98" i="18"/>
  <c r="N156" i="18"/>
  <c r="N135" i="18"/>
  <c r="N131" i="18"/>
  <c r="N126" i="18"/>
  <c r="N122" i="18"/>
  <c r="N118" i="18"/>
  <c r="N113" i="18"/>
  <c r="N103" i="18"/>
  <c r="N161" i="18"/>
  <c r="N114" i="18"/>
  <c r="N109" i="18"/>
  <c r="N104" i="18"/>
  <c r="N99" i="18"/>
  <c r="N134" i="18"/>
  <c r="N89" i="18"/>
  <c r="N85" i="18"/>
  <c r="N79" i="18"/>
  <c r="N28" i="18"/>
  <c r="N22" i="18"/>
  <c r="N132" i="18"/>
  <c r="N127" i="18"/>
  <c r="N123" i="18"/>
  <c r="N119" i="18"/>
  <c r="N115" i="18"/>
  <c r="N105" i="18"/>
  <c r="N94" i="18"/>
  <c r="N90" i="18"/>
  <c r="N86" i="18"/>
  <c r="N81" i="18"/>
  <c r="N29" i="18"/>
  <c r="N24" i="18"/>
  <c r="N137" i="18"/>
  <c r="N106" i="18"/>
  <c r="N82" i="18"/>
  <c r="N25" i="18"/>
  <c r="N110" i="18"/>
  <c r="N100" i="18"/>
  <c r="N91" i="18"/>
  <c r="N87" i="18"/>
  <c r="N30" i="18"/>
  <c r="N20" i="18"/>
  <c r="N84" i="18"/>
  <c r="N16" i="18"/>
  <c r="N10" i="18"/>
  <c r="N120" i="18"/>
  <c r="N88" i="18"/>
  <c r="N124" i="18"/>
  <c r="N92" i="18"/>
  <c r="N11" i="18"/>
  <c r="N116" i="18"/>
  <c r="N96" i="18"/>
  <c r="N19" i="18"/>
  <c r="N17" i="18"/>
  <c r="N12" i="18"/>
  <c r="N13" i="18"/>
  <c r="N31" i="18"/>
  <c r="N128" i="18"/>
  <c r="N21" i="18"/>
  <c r="N14" i="18"/>
  <c r="N27" i="18"/>
  <c r="N18" i="18"/>
  <c r="N15" i="18"/>
  <c r="N158" i="18"/>
  <c r="N143" i="18"/>
  <c r="N183" i="18"/>
  <c r="N195" i="18"/>
  <c r="N165" i="18"/>
  <c r="N26" i="18"/>
  <c r="N83" i="18"/>
  <c r="N166" i="18"/>
  <c r="N141" i="18"/>
  <c r="N80" i="18"/>
  <c r="N130" i="18"/>
  <c r="N182" i="18"/>
  <c r="N157" i="18"/>
  <c r="N151" i="18"/>
  <c r="N196" i="18"/>
  <c r="N23" i="18"/>
  <c r="N93" i="18"/>
  <c r="N144" i="18"/>
  <c r="N205" i="18"/>
  <c r="N206" i="18"/>
  <c r="N95" i="18"/>
  <c r="O209" i="18"/>
  <c r="O204" i="18"/>
  <c r="O199" i="18"/>
  <c r="O210" i="18"/>
  <c r="O200" i="18"/>
  <c r="O211" i="18"/>
  <c r="O207" i="18"/>
  <c r="O201" i="18"/>
  <c r="O197" i="18"/>
  <c r="O182" i="18"/>
  <c r="O212" i="18"/>
  <c r="O208" i="18"/>
  <c r="O202" i="18"/>
  <c r="O198" i="18"/>
  <c r="O192" i="18"/>
  <c r="O188" i="18"/>
  <c r="O178" i="18"/>
  <c r="O174" i="18"/>
  <c r="O170" i="18"/>
  <c r="O213" i="18"/>
  <c r="O191" i="18"/>
  <c r="O181" i="18"/>
  <c r="O173" i="18"/>
  <c r="O190" i="18"/>
  <c r="O189" i="18"/>
  <c r="O180" i="18"/>
  <c r="O179" i="18"/>
  <c r="O172" i="18"/>
  <c r="O171" i="18"/>
  <c r="O167" i="18"/>
  <c r="O164" i="18"/>
  <c r="O160" i="18"/>
  <c r="O150" i="18"/>
  <c r="O146" i="18"/>
  <c r="O140" i="18"/>
  <c r="O136" i="18"/>
  <c r="O161" i="18"/>
  <c r="O156" i="18"/>
  <c r="O147" i="18"/>
  <c r="O142" i="18"/>
  <c r="O137" i="18"/>
  <c r="O194" i="18"/>
  <c r="O186" i="18"/>
  <c r="O185" i="18"/>
  <c r="O176" i="18"/>
  <c r="O175" i="18"/>
  <c r="O162" i="18"/>
  <c r="O148" i="18"/>
  <c r="O138" i="18"/>
  <c r="O134" i="18"/>
  <c r="O203" i="18"/>
  <c r="O184" i="18"/>
  <c r="O168" i="18"/>
  <c r="O163" i="18"/>
  <c r="O159" i="18"/>
  <c r="O133" i="18"/>
  <c r="O129" i="18"/>
  <c r="O125" i="18"/>
  <c r="O121" i="18"/>
  <c r="O117" i="18"/>
  <c r="O149" i="18"/>
  <c r="O139" i="18"/>
  <c r="O112" i="18"/>
  <c r="O108" i="18"/>
  <c r="O102" i="18"/>
  <c r="O98" i="18"/>
  <c r="O193" i="18"/>
  <c r="O145" i="18"/>
  <c r="O135" i="18"/>
  <c r="O131" i="18"/>
  <c r="O126" i="18"/>
  <c r="O122" i="18"/>
  <c r="O118" i="18"/>
  <c r="O113" i="18"/>
  <c r="O103" i="18"/>
  <c r="O143" i="18"/>
  <c r="O109" i="18"/>
  <c r="O104" i="18"/>
  <c r="O99" i="18"/>
  <c r="O169" i="18"/>
  <c r="O127" i="18"/>
  <c r="O123" i="18"/>
  <c r="O119" i="18"/>
  <c r="O187" i="18"/>
  <c r="O111" i="18"/>
  <c r="O101" i="18"/>
  <c r="O97" i="18"/>
  <c r="O89" i="18"/>
  <c r="O85" i="18"/>
  <c r="O79" i="18"/>
  <c r="O28" i="18"/>
  <c r="O22" i="18"/>
  <c r="O18" i="18"/>
  <c r="O106" i="18"/>
  <c r="O82" i="18"/>
  <c r="O25" i="18"/>
  <c r="O177" i="18"/>
  <c r="O110" i="18"/>
  <c r="O100" i="18"/>
  <c r="O91" i="18"/>
  <c r="O87" i="18"/>
  <c r="O30" i="18"/>
  <c r="O157" i="18"/>
  <c r="O128" i="18"/>
  <c r="O124" i="18"/>
  <c r="O120" i="18"/>
  <c r="O116" i="18"/>
  <c r="O88" i="18"/>
  <c r="O92" i="18"/>
  <c r="O24" i="18"/>
  <c r="O11" i="18"/>
  <c r="O96" i="18"/>
  <c r="O29" i="18"/>
  <c r="O19" i="18"/>
  <c r="O17" i="18"/>
  <c r="O12" i="18"/>
  <c r="O84" i="18"/>
  <c r="O93" i="18"/>
  <c r="O81" i="18"/>
  <c r="O20" i="18"/>
  <c r="O13" i="18"/>
  <c r="O16" i="18"/>
  <c r="O107" i="18"/>
  <c r="O86" i="18"/>
  <c r="O21" i="18"/>
  <c r="O14" i="18"/>
  <c r="O94" i="18"/>
  <c r="O90" i="18"/>
  <c r="O27" i="18"/>
  <c r="O15" i="18"/>
  <c r="O31" i="18"/>
  <c r="O132" i="18"/>
  <c r="O10" i="18"/>
  <c r="O26" i="18"/>
  <c r="O83" i="18"/>
  <c r="O183" i="18"/>
  <c r="O130" i="18"/>
  <c r="O114" i="18"/>
  <c r="O144" i="18"/>
  <c r="O141" i="18"/>
  <c r="O95" i="18"/>
  <c r="O166" i="18"/>
  <c r="O105" i="18"/>
  <c r="O206" i="18"/>
  <c r="O115" i="18"/>
  <c r="O205" i="18"/>
  <c r="O165" i="18"/>
  <c r="O23" i="18"/>
  <c r="O158" i="18"/>
  <c r="O151" i="18"/>
  <c r="O195" i="18"/>
  <c r="O80" i="18"/>
  <c r="O196" i="18"/>
  <c r="N260" i="18"/>
  <c r="N266" i="18"/>
  <c r="N262" i="18"/>
  <c r="N259" i="18"/>
  <c r="N65" i="18"/>
  <c r="N152" i="18"/>
  <c r="N242" i="18"/>
  <c r="N73" i="18"/>
  <c r="N154" i="18"/>
  <c r="N251" i="18"/>
  <c r="N70" i="18"/>
  <c r="N63" i="18"/>
  <c r="N62" i="18"/>
  <c r="N58" i="18"/>
  <c r="N264" i="18"/>
  <c r="N250" i="18"/>
  <c r="N155" i="18"/>
  <c r="N53" i="18"/>
  <c r="N249" i="18"/>
  <c r="N78" i="18"/>
  <c r="N64" i="18"/>
  <c r="N67" i="18"/>
  <c r="N244" i="18"/>
  <c r="N74" i="18"/>
  <c r="N32" i="18"/>
  <c r="N258" i="18"/>
  <c r="N256" i="18"/>
  <c r="N246" i="18"/>
  <c r="N36" i="18"/>
  <c r="N252" i="18"/>
  <c r="N72" i="18"/>
  <c r="N71" i="18"/>
  <c r="N43" i="18"/>
  <c r="N248" i="18"/>
  <c r="N48" i="18"/>
  <c r="N240" i="18"/>
  <c r="N254" i="18"/>
  <c r="N44" i="18"/>
  <c r="N66" i="18"/>
  <c r="N247" i="18"/>
  <c r="N69" i="18"/>
  <c r="N235" i="18"/>
  <c r="N231" i="18"/>
  <c r="N225" i="18"/>
  <c r="N221" i="18"/>
  <c r="N215" i="18"/>
  <c r="N218" i="18"/>
  <c r="N265" i="18"/>
  <c r="N257" i="18"/>
  <c r="N241" i="18"/>
  <c r="N261" i="18"/>
  <c r="N237" i="18"/>
  <c r="N227" i="18"/>
  <c r="N238" i="18"/>
  <c r="N153" i="18"/>
  <c r="N236" i="18"/>
  <c r="N232" i="18"/>
  <c r="N226" i="18"/>
  <c r="N222" i="18"/>
  <c r="N214" i="18"/>
  <c r="N228" i="18"/>
  <c r="N230" i="18"/>
  <c r="N224" i="18"/>
  <c r="N220" i="18"/>
  <c r="N233" i="18"/>
  <c r="N234" i="18"/>
  <c r="N229" i="18"/>
  <c r="N223" i="18"/>
  <c r="N219" i="18"/>
  <c r="N217" i="18"/>
  <c r="N255" i="18"/>
  <c r="N263" i="18"/>
  <c r="N253" i="18"/>
  <c r="N216" i="18"/>
  <c r="N245" i="18"/>
  <c r="N49" i="18"/>
  <c r="N68" i="18"/>
  <c r="N57" i="18"/>
  <c r="N239" i="18"/>
  <c r="N40" i="18"/>
  <c r="O65" i="18"/>
  <c r="O266" i="18"/>
  <c r="O256" i="18"/>
  <c r="O265" i="18"/>
  <c r="O257" i="18"/>
  <c r="O251" i="18"/>
  <c r="O247" i="18"/>
  <c r="O264" i="18"/>
  <c r="O262" i="18"/>
  <c r="O258" i="18"/>
  <c r="O252" i="18"/>
  <c r="O248" i="18"/>
  <c r="O242" i="18"/>
  <c r="O72" i="18"/>
  <c r="O261" i="18"/>
  <c r="O249" i="18"/>
  <c r="O73" i="18"/>
  <c r="O70" i="18"/>
  <c r="O63" i="18"/>
  <c r="O62" i="18"/>
  <c r="O58" i="18"/>
  <c r="O250" i="18"/>
  <c r="O155" i="18"/>
  <c r="O53" i="18"/>
  <c r="O78" i="18"/>
  <c r="O64" i="18"/>
  <c r="O66" i="18"/>
  <c r="O74" i="18"/>
  <c r="O32" i="18"/>
  <c r="O246" i="18"/>
  <c r="O36" i="18"/>
  <c r="O260" i="18"/>
  <c r="O152" i="18"/>
  <c r="O253" i="18"/>
  <c r="O71" i="18"/>
  <c r="O43" i="18"/>
  <c r="O48" i="18"/>
  <c r="O259" i="18"/>
  <c r="O154" i="18"/>
  <c r="O44" i="18"/>
  <c r="O235" i="18"/>
  <c r="O231" i="18"/>
  <c r="O225" i="18"/>
  <c r="O221" i="18"/>
  <c r="O215" i="18"/>
  <c r="O233" i="18"/>
  <c r="O67" i="18"/>
  <c r="O241" i="18"/>
  <c r="O238" i="18"/>
  <c r="O223" i="18"/>
  <c r="O153" i="18"/>
  <c r="O49" i="18"/>
  <c r="O236" i="18"/>
  <c r="O232" i="18"/>
  <c r="O226" i="18"/>
  <c r="O222" i="18"/>
  <c r="O228" i="18"/>
  <c r="O219" i="18"/>
  <c r="O220" i="18"/>
  <c r="O224" i="18"/>
  <c r="O214" i="18"/>
  <c r="O229" i="18"/>
  <c r="O234" i="18"/>
  <c r="O230" i="18"/>
  <c r="O237" i="18"/>
  <c r="O239" i="18"/>
  <c r="O245" i="18"/>
  <c r="O218" i="18"/>
  <c r="O255" i="18"/>
  <c r="O254" i="18"/>
  <c r="O57" i="18"/>
  <c r="O227" i="18"/>
  <c r="O217" i="18"/>
  <c r="O68" i="18"/>
  <c r="O40" i="18"/>
  <c r="O240" i="18"/>
  <c r="O69" i="18"/>
  <c r="O216" i="18"/>
  <c r="O263" i="18"/>
  <c r="O244" i="18"/>
  <c r="N388" i="18"/>
  <c r="O388" i="18"/>
  <c r="N407" i="18"/>
  <c r="N403" i="18"/>
  <c r="N397" i="18"/>
  <c r="N393" i="18"/>
  <c r="N408" i="18"/>
  <c r="N404" i="18"/>
  <c r="N398" i="18"/>
  <c r="N394" i="18"/>
  <c r="N410" i="18"/>
  <c r="N405" i="18"/>
  <c r="N400" i="18"/>
  <c r="N395" i="18"/>
  <c r="N390" i="18"/>
  <c r="N411" i="18"/>
  <c r="N401" i="18"/>
  <c r="N402" i="18"/>
  <c r="N392" i="18"/>
  <c r="N406" i="18"/>
  <c r="N396" i="18"/>
  <c r="N391" i="18"/>
  <c r="N389" i="18"/>
  <c r="N409" i="18"/>
  <c r="N399" i="18"/>
  <c r="O407" i="18"/>
  <c r="O403" i="18"/>
  <c r="O397" i="18"/>
  <c r="O393" i="18"/>
  <c r="O408" i="18"/>
  <c r="O404" i="18"/>
  <c r="O398" i="18"/>
  <c r="O394" i="18"/>
  <c r="O409" i="18"/>
  <c r="O399" i="18"/>
  <c r="O389" i="18"/>
  <c r="O405" i="18"/>
  <c r="O395" i="18"/>
  <c r="O411" i="18"/>
  <c r="O401" i="18"/>
  <c r="O391" i="18"/>
  <c r="O406" i="18"/>
  <c r="O396" i="18"/>
  <c r="O402" i="18"/>
  <c r="O392" i="18"/>
  <c r="O390" i="18"/>
  <c r="O410" i="18"/>
  <c r="O400" i="18"/>
  <c r="N430" i="18"/>
  <c r="N454" i="18"/>
  <c r="N450" i="18"/>
  <c r="N444" i="18"/>
  <c r="N440" i="18"/>
  <c r="N413" i="18"/>
  <c r="N455" i="18"/>
  <c r="N451" i="18"/>
  <c r="N445" i="18"/>
  <c r="N441" i="18"/>
  <c r="N435" i="18"/>
  <c r="N431" i="18"/>
  <c r="N425" i="18"/>
  <c r="N421" i="18"/>
  <c r="N417" i="18"/>
  <c r="N456" i="18"/>
  <c r="N452" i="18"/>
  <c r="N446" i="18"/>
  <c r="N442" i="18"/>
  <c r="N434" i="18"/>
  <c r="N453" i="18"/>
  <c r="N443" i="18"/>
  <c r="N433" i="18"/>
  <c r="N423" i="18"/>
  <c r="N419" i="18"/>
  <c r="N415" i="18"/>
  <c r="N427" i="18"/>
  <c r="N420" i="18"/>
  <c r="N432" i="18"/>
  <c r="N418" i="18"/>
  <c r="N414" i="18"/>
  <c r="N412" i="18"/>
  <c r="N416" i="18"/>
  <c r="N422" i="18"/>
  <c r="N436" i="18"/>
  <c r="N424" i="18"/>
  <c r="N438" i="18"/>
  <c r="N428" i="18"/>
  <c r="N449" i="18"/>
  <c r="N458" i="18"/>
  <c r="N439" i="18"/>
  <c r="N459" i="18"/>
  <c r="N448" i="18"/>
  <c r="N457" i="18"/>
  <c r="N429" i="18"/>
  <c r="N426" i="18"/>
  <c r="N437" i="18"/>
  <c r="N447" i="18"/>
  <c r="O454" i="18"/>
  <c r="O444" i="18"/>
  <c r="O434" i="18"/>
  <c r="O430" i="18"/>
  <c r="O424" i="18"/>
  <c r="O420" i="18"/>
  <c r="O416" i="18"/>
  <c r="O412" i="18"/>
  <c r="O455" i="18"/>
  <c r="O451" i="18"/>
  <c r="O445" i="18"/>
  <c r="O441" i="18"/>
  <c r="O435" i="18"/>
  <c r="O431" i="18"/>
  <c r="O425" i="18"/>
  <c r="O421" i="18"/>
  <c r="O417" i="18"/>
  <c r="O413" i="18"/>
  <c r="O456" i="18"/>
  <c r="O452" i="18"/>
  <c r="O446" i="18"/>
  <c r="O442" i="18"/>
  <c r="O436" i="18"/>
  <c r="O432" i="18"/>
  <c r="O427" i="18"/>
  <c r="O422" i="18"/>
  <c r="O418" i="18"/>
  <c r="O414" i="18"/>
  <c r="O457" i="18"/>
  <c r="O447" i="18"/>
  <c r="O453" i="18"/>
  <c r="O443" i="18"/>
  <c r="O433" i="18"/>
  <c r="O423" i="18"/>
  <c r="O419" i="18"/>
  <c r="O415" i="18"/>
  <c r="O428" i="18"/>
  <c r="O437" i="18"/>
  <c r="O440" i="18"/>
  <c r="O459" i="18"/>
  <c r="O448" i="18"/>
  <c r="O439" i="18"/>
  <c r="O426" i="18"/>
  <c r="O429" i="18"/>
  <c r="O450" i="18"/>
  <c r="O449" i="18"/>
  <c r="O458" i="18"/>
  <c r="O438" i="18"/>
  <c r="N469" i="18"/>
  <c r="N477" i="18"/>
  <c r="N468" i="18"/>
  <c r="N473" i="18"/>
  <c r="N471" i="18"/>
  <c r="N472" i="18"/>
  <c r="N470" i="18"/>
  <c r="N476" i="18"/>
  <c r="N474" i="18"/>
  <c r="N475" i="18"/>
  <c r="O473" i="18"/>
  <c r="O469" i="18"/>
  <c r="O475" i="18"/>
  <c r="O470" i="18"/>
  <c r="O472" i="18"/>
  <c r="O471" i="18"/>
  <c r="O468" i="18"/>
  <c r="O474" i="18"/>
  <c r="O477" i="18"/>
  <c r="O476" i="18"/>
  <c r="O483" i="18"/>
  <c r="O479" i="18"/>
  <c r="O485" i="18"/>
  <c r="O484" i="18"/>
  <c r="O480" i="18"/>
  <c r="O481" i="18"/>
  <c r="O482" i="18"/>
  <c r="O499" i="18"/>
  <c r="N484" i="18"/>
  <c r="N483" i="18"/>
  <c r="N479" i="18"/>
  <c r="N480" i="18"/>
  <c r="N485" i="18"/>
  <c r="N499" i="18"/>
  <c r="N481" i="18"/>
  <c r="N482" i="18"/>
  <c r="N503" i="18"/>
  <c r="N504" i="18"/>
  <c r="N506" i="18"/>
  <c r="N505" i="18"/>
  <c r="N501" i="18"/>
  <c r="N507" i="18"/>
  <c r="N502" i="18"/>
  <c r="N508" i="18"/>
  <c r="N509" i="18"/>
  <c r="O504" i="18"/>
  <c r="O501" i="18"/>
  <c r="O505" i="18"/>
  <c r="O502" i="18"/>
  <c r="O508" i="18"/>
  <c r="O507" i="18"/>
  <c r="O506" i="18"/>
  <c r="O503" i="18"/>
  <c r="O509" i="18"/>
  <c r="O308" i="18"/>
  <c r="O309" i="18"/>
  <c r="O307" i="18"/>
  <c r="O297" i="18"/>
  <c r="O298" i="18"/>
  <c r="O299" i="18"/>
  <c r="O302" i="18"/>
  <c r="O296" i="18"/>
  <c r="O303" i="18"/>
  <c r="O301" i="18"/>
  <c r="O300" i="18"/>
  <c r="O290" i="18"/>
  <c r="O291" i="18"/>
  <c r="O293" i="18"/>
  <c r="O294" i="18"/>
  <c r="O295" i="18"/>
  <c r="O292" i="18"/>
  <c r="O287" i="18"/>
  <c r="O289" i="18"/>
  <c r="O288" i="18"/>
  <c r="O285" i="18"/>
  <c r="O282" i="18"/>
  <c r="O283" i="18"/>
  <c r="O284" i="18"/>
  <c r="O304" i="18"/>
  <c r="O286" i="18"/>
  <c r="O310" i="18"/>
  <c r="O313" i="18"/>
  <c r="O306" i="18"/>
  <c r="O305" i="18"/>
  <c r="O315" i="18"/>
  <c r="O314" i="18"/>
  <c r="O312" i="18"/>
  <c r="O311" i="18"/>
  <c r="O361" i="18"/>
  <c r="O358" i="18"/>
  <c r="O359" i="18"/>
  <c r="O360" i="18"/>
  <c r="O362" i="18"/>
  <c r="O364" i="18"/>
  <c r="O363" i="18"/>
  <c r="BA11" i="34"/>
  <c r="AL66" i="34" l="1"/>
  <c r="AF63" i="34"/>
  <c r="AF6" i="34" l="1"/>
  <c r="AX68" i="34" l="1"/>
  <c r="AU68" i="34"/>
  <c r="AU70" i="34" s="1"/>
  <c r="AR68" i="34"/>
  <c r="X62" i="34"/>
  <c r="H68" i="34"/>
  <c r="H62" i="34"/>
  <c r="H61" i="34"/>
  <c r="H5" i="34"/>
  <c r="H6" i="34"/>
  <c r="H64" i="34" l="1"/>
  <c r="H70" i="34" s="1"/>
  <c r="X64" i="34"/>
  <c r="L64" i="34"/>
  <c r="AL64" i="34"/>
  <c r="AR64" i="34"/>
  <c r="AR70" i="34" s="1"/>
  <c r="AF64" i="34"/>
  <c r="AX64" i="34"/>
  <c r="AX70" i="34" s="1"/>
  <c r="AL68" i="34"/>
  <c r="AF68" i="34"/>
  <c r="X68" i="34"/>
  <c r="L68" i="34"/>
  <c r="AX71" i="34" l="1"/>
  <c r="L70" i="34"/>
  <c r="X70" i="34"/>
  <c r="BA64" i="34"/>
  <c r="AF70" i="34"/>
  <c r="AL70" i="34"/>
  <c r="BA68" i="34"/>
  <c r="AL71" i="34" l="1"/>
  <c r="BA71" i="34"/>
  <c r="BA73" i="34" s="1"/>
  <c r="E56" i="34"/>
  <c r="G56" i="34" s="1"/>
  <c r="E55" i="34"/>
  <c r="G55" i="34" s="1"/>
  <c r="E54" i="34"/>
  <c r="G54" i="34" s="1"/>
  <c r="E53" i="34"/>
  <c r="G53" i="34" s="1"/>
  <c r="E52" i="34"/>
  <c r="G52" i="34" s="1"/>
  <c r="E51" i="34"/>
  <c r="G51" i="34" s="1"/>
  <c r="E50" i="34"/>
  <c r="G50" i="34" s="1"/>
  <c r="E48" i="34"/>
  <c r="G48" i="34" s="1"/>
  <c r="E47" i="34"/>
  <c r="G47" i="34" s="1"/>
  <c r="E46" i="34"/>
  <c r="G46" i="34" s="1"/>
  <c r="E45" i="34"/>
  <c r="G45" i="34" s="1"/>
  <c r="E44" i="34"/>
  <c r="G44" i="34" s="1"/>
  <c r="E43" i="34"/>
  <c r="G43" i="34" s="1"/>
  <c r="E42" i="34"/>
  <c r="G42" i="34" s="1"/>
  <c r="E41" i="34"/>
  <c r="G41" i="34" s="1"/>
  <c r="E40" i="34"/>
  <c r="G40" i="34" s="1"/>
  <c r="E39" i="34"/>
  <c r="G39" i="34" s="1"/>
  <c r="E38" i="34"/>
  <c r="G38" i="34" s="1"/>
  <c r="E37" i="34"/>
  <c r="G37" i="34" s="1"/>
  <c r="E36" i="34"/>
  <c r="G36" i="34" s="1"/>
  <c r="E35" i="34"/>
  <c r="G35" i="34" s="1"/>
  <c r="E34" i="34"/>
  <c r="G34" i="34" s="1"/>
  <c r="E33" i="34"/>
  <c r="G33" i="34" s="1"/>
  <c r="E31" i="34"/>
  <c r="G31" i="34" s="1"/>
  <c r="E30" i="34"/>
  <c r="G30" i="34" s="1"/>
  <c r="E29" i="34"/>
  <c r="G29" i="34" s="1"/>
  <c r="E28" i="34"/>
  <c r="G28" i="34" s="1"/>
  <c r="E27" i="34"/>
  <c r="G27" i="34" s="1"/>
  <c r="E26" i="34"/>
  <c r="G26" i="34" s="1"/>
  <c r="E25" i="34"/>
  <c r="G25" i="34" s="1"/>
  <c r="E24" i="34"/>
  <c r="G24" i="34" s="1"/>
  <c r="E23" i="34"/>
  <c r="G23" i="34" s="1"/>
  <c r="E22" i="34"/>
  <c r="G22" i="34" s="1"/>
  <c r="E21" i="34"/>
  <c r="G21" i="34" s="1"/>
  <c r="E20" i="34"/>
  <c r="G20" i="34" s="1"/>
  <c r="E19" i="34"/>
  <c r="G19" i="34" s="1"/>
  <c r="E18" i="34"/>
  <c r="G18" i="34" s="1"/>
  <c r="E17" i="34"/>
  <c r="G17" i="34" s="1"/>
  <c r="E16" i="34"/>
  <c r="G16" i="34" s="1"/>
  <c r="E15" i="34"/>
  <c r="G15" i="34" s="1"/>
  <c r="E14" i="34"/>
  <c r="G14" i="34" s="1"/>
  <c r="E13" i="34"/>
  <c r="G13" i="34" s="1"/>
  <c r="E12" i="34"/>
  <c r="G12" i="34" s="1"/>
  <c r="E11" i="34"/>
  <c r="G11" i="34" s="1"/>
  <c r="E10" i="34"/>
  <c r="G10" i="34" s="1"/>
  <c r="E9" i="34"/>
  <c r="G9" i="34" s="1"/>
  <c r="E8" i="34"/>
  <c r="G8" i="34" s="1"/>
  <c r="AV6" i="34"/>
  <c r="AT6" i="34"/>
  <c r="AR6" i="34"/>
  <c r="AP6" i="34"/>
  <c r="AN6" i="34"/>
  <c r="AL6" i="34"/>
  <c r="AJ6" i="34"/>
  <c r="AH6" i="34"/>
  <c r="AD6" i="34"/>
  <c r="AB6" i="34"/>
  <c r="Z6" i="34"/>
  <c r="X6" i="34"/>
  <c r="V6" i="34"/>
  <c r="T6" i="34"/>
  <c r="P6" i="34"/>
  <c r="N6" i="34"/>
  <c r="L6" i="34"/>
  <c r="J6" i="34"/>
  <c r="BA10" i="34" l="1"/>
  <c r="BA12" i="34" s="1"/>
  <c r="E5" i="34"/>
  <c r="G2" i="34" l="1"/>
  <c r="C28" i="19" l="1"/>
  <c r="A519" i="18" l="1"/>
  <c r="A518" i="18"/>
  <c r="A517" i="18"/>
  <c r="A516" i="18"/>
  <c r="A515" i="18"/>
  <c r="A514" i="18"/>
  <c r="A513" i="18"/>
  <c r="A512" i="18"/>
  <c r="A511" i="18"/>
  <c r="A510" i="18"/>
  <c r="A478" i="18"/>
  <c r="A467" i="18"/>
  <c r="A466" i="18"/>
  <c r="A465" i="18"/>
  <c r="A464" i="18"/>
  <c r="A463" i="18"/>
  <c r="A462" i="18"/>
  <c r="A461" i="18"/>
  <c r="A460" i="18"/>
  <c r="A387" i="18"/>
  <c r="A386" i="18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7" i="18"/>
  <c r="A326" i="18"/>
  <c r="A325" i="18"/>
  <c r="A324" i="18"/>
  <c r="A323" i="18"/>
  <c r="A322" i="18"/>
  <c r="A321" i="18"/>
  <c r="A319" i="18"/>
  <c r="A318" i="18"/>
  <c r="A317" i="18"/>
  <c r="A316" i="18"/>
  <c r="A281" i="18"/>
  <c r="A280" i="18"/>
  <c r="A279" i="18"/>
  <c r="A278" i="18"/>
  <c r="A275" i="18"/>
  <c r="A274" i="18"/>
  <c r="A273" i="18"/>
  <c r="A272" i="18"/>
  <c r="A271" i="18"/>
  <c r="A270" i="18"/>
  <c r="A269" i="18"/>
  <c r="A268" i="18"/>
  <c r="A267" i="18"/>
  <c r="I519" i="18"/>
  <c r="I518" i="18"/>
  <c r="I517" i="18"/>
  <c r="I516" i="18"/>
  <c r="T9" i="18" l="1"/>
  <c r="S9" i="18"/>
  <c r="R9" i="18"/>
  <c r="Q9" i="18"/>
  <c r="P9" i="18"/>
  <c r="O9" i="18"/>
  <c r="N9" i="18"/>
  <c r="M9" i="18"/>
  <c r="L9" i="18"/>
  <c r="J9" i="18"/>
  <c r="T8" i="18"/>
  <c r="T76" i="18" s="1"/>
  <c r="S8" i="18"/>
  <c r="R8" i="18"/>
  <c r="Q8" i="18"/>
  <c r="P8" i="18"/>
  <c r="M8" i="18"/>
  <c r="L8" i="18"/>
  <c r="U76" i="18" l="1"/>
  <c r="V76" i="18" s="1"/>
  <c r="W76" i="18"/>
  <c r="M77" i="18"/>
  <c r="Q77" i="18"/>
  <c r="R77" i="18"/>
  <c r="L77" i="18"/>
  <c r="P77" i="18"/>
  <c r="M75" i="18"/>
  <c r="P243" i="18"/>
  <c r="P75" i="18"/>
  <c r="Q243" i="18"/>
  <c r="Q75" i="18"/>
  <c r="R243" i="18"/>
  <c r="R75" i="18"/>
  <c r="L75" i="18"/>
  <c r="R490" i="18"/>
  <c r="T490" i="18" s="1"/>
  <c r="U490" i="18" s="1"/>
  <c r="V490" i="18" s="1"/>
  <c r="R492" i="18"/>
  <c r="T492" i="18" s="1"/>
  <c r="U492" i="18" s="1"/>
  <c r="V492" i="18" s="1"/>
  <c r="R491" i="18"/>
  <c r="R488" i="18"/>
  <c r="T488" i="18" s="1"/>
  <c r="U488" i="18" s="1"/>
  <c r="V488" i="18" s="1"/>
  <c r="R489" i="18"/>
  <c r="T489" i="18" s="1"/>
  <c r="U489" i="18" s="1"/>
  <c r="V489" i="18" s="1"/>
  <c r="R486" i="18"/>
  <c r="T486" i="18" s="1"/>
  <c r="U486" i="18" s="1"/>
  <c r="V486" i="18" s="1"/>
  <c r="R487" i="18"/>
  <c r="T487" i="18" s="1"/>
  <c r="U487" i="18" s="1"/>
  <c r="V487" i="18" s="1"/>
  <c r="R493" i="18"/>
  <c r="M498" i="18"/>
  <c r="P498" i="18"/>
  <c r="Q498" i="18"/>
  <c r="R494" i="18"/>
  <c r="R497" i="18"/>
  <c r="R495" i="18"/>
  <c r="R496" i="18"/>
  <c r="T496" i="18" s="1"/>
  <c r="R498" i="18"/>
  <c r="L498" i="18"/>
  <c r="M31" i="18"/>
  <c r="M27" i="18"/>
  <c r="M21" i="18"/>
  <c r="M17" i="18"/>
  <c r="M29" i="18"/>
  <c r="M24" i="18"/>
  <c r="M22" i="18"/>
  <c r="M28" i="18"/>
  <c r="M16" i="18"/>
  <c r="M10" i="18"/>
  <c r="M11" i="18"/>
  <c r="M20" i="18"/>
  <c r="M19" i="18"/>
  <c r="M12" i="18"/>
  <c r="M15" i="18"/>
  <c r="M30" i="18"/>
  <c r="M13" i="18"/>
  <c r="M18" i="18"/>
  <c r="M14" i="18"/>
  <c r="M25" i="18"/>
  <c r="M26" i="18"/>
  <c r="M23" i="18"/>
  <c r="P210" i="18"/>
  <c r="P200" i="18"/>
  <c r="P211" i="18"/>
  <c r="P207" i="18"/>
  <c r="P201" i="18"/>
  <c r="P197" i="18"/>
  <c r="P191" i="18"/>
  <c r="P187" i="18"/>
  <c r="P181" i="18"/>
  <c r="P177" i="18"/>
  <c r="P173" i="18"/>
  <c r="P169" i="18"/>
  <c r="P212" i="18"/>
  <c r="P208" i="18"/>
  <c r="P202" i="18"/>
  <c r="P198" i="18"/>
  <c r="P192" i="18"/>
  <c r="P188" i="18"/>
  <c r="P178" i="18"/>
  <c r="P174" i="18"/>
  <c r="P170" i="18"/>
  <c r="P190" i="18"/>
  <c r="P189" i="18"/>
  <c r="P180" i="18"/>
  <c r="P179" i="18"/>
  <c r="P172" i="18"/>
  <c r="P171" i="18"/>
  <c r="P167" i="18"/>
  <c r="P164" i="18"/>
  <c r="P160" i="18"/>
  <c r="P150" i="18"/>
  <c r="P146" i="18"/>
  <c r="P140" i="18"/>
  <c r="P199" i="18"/>
  <c r="P165" i="18"/>
  <c r="P161" i="18"/>
  <c r="P156" i="18"/>
  <c r="P147" i="18"/>
  <c r="P142" i="18"/>
  <c r="P204" i="18"/>
  <c r="P182" i="18"/>
  <c r="P168" i="18"/>
  <c r="P163" i="18"/>
  <c r="P159" i="18"/>
  <c r="P149" i="18"/>
  <c r="P145" i="18"/>
  <c r="P139" i="18"/>
  <c r="P195" i="18"/>
  <c r="P186" i="18"/>
  <c r="P112" i="18"/>
  <c r="P108" i="18"/>
  <c r="P102" i="18"/>
  <c r="P98" i="18"/>
  <c r="P175" i="18"/>
  <c r="P162" i="18"/>
  <c r="P135" i="18"/>
  <c r="P131" i="18"/>
  <c r="P126" i="18"/>
  <c r="P122" i="18"/>
  <c r="P118" i="18"/>
  <c r="P113" i="18"/>
  <c r="P185" i="18"/>
  <c r="P114" i="18"/>
  <c r="P109" i="18"/>
  <c r="P104" i="18"/>
  <c r="P99" i="18"/>
  <c r="P127" i="18"/>
  <c r="P123" i="18"/>
  <c r="P119" i="18"/>
  <c r="P158" i="18"/>
  <c r="P132" i="18"/>
  <c r="P110" i="18"/>
  <c r="P106" i="18"/>
  <c r="P100" i="18"/>
  <c r="P209" i="18"/>
  <c r="P138" i="18"/>
  <c r="P136" i="18"/>
  <c r="P134" i="18"/>
  <c r="P129" i="18"/>
  <c r="P125" i="18"/>
  <c r="P121" i="18"/>
  <c r="P117" i="18"/>
  <c r="P194" i="18"/>
  <c r="P94" i="18"/>
  <c r="P90" i="18"/>
  <c r="P86" i="18"/>
  <c r="P81" i="18"/>
  <c r="P29" i="18"/>
  <c r="P24" i="18"/>
  <c r="P19" i="18"/>
  <c r="P137" i="18"/>
  <c r="P91" i="18"/>
  <c r="P87" i="18"/>
  <c r="P30" i="18"/>
  <c r="P20" i="18"/>
  <c r="P144" i="18"/>
  <c r="P128" i="18"/>
  <c r="P124" i="18"/>
  <c r="P120" i="18"/>
  <c r="P116" i="18"/>
  <c r="P92" i="18"/>
  <c r="P88" i="18"/>
  <c r="P84" i="18"/>
  <c r="P31" i="18"/>
  <c r="P27" i="18"/>
  <c r="P21" i="18"/>
  <c r="P97" i="18"/>
  <c r="P28" i="18"/>
  <c r="P11" i="18"/>
  <c r="P111" i="18"/>
  <c r="P79" i="18"/>
  <c r="P17" i="18"/>
  <c r="P12" i="18"/>
  <c r="P148" i="18"/>
  <c r="P93" i="18"/>
  <c r="P85" i="18"/>
  <c r="P25" i="18"/>
  <c r="P13" i="18"/>
  <c r="P176" i="18"/>
  <c r="P107" i="18"/>
  <c r="P89" i="18"/>
  <c r="P22" i="18"/>
  <c r="P133" i="18"/>
  <c r="P82" i="18"/>
  <c r="P15" i="18"/>
  <c r="P101" i="18"/>
  <c r="P18" i="18"/>
  <c r="P16" i="18"/>
  <c r="P10" i="18"/>
  <c r="P130" i="18"/>
  <c r="P203" i="18"/>
  <c r="P196" i="18"/>
  <c r="P95" i="18"/>
  <c r="P206" i="18"/>
  <c r="P14" i="18"/>
  <c r="P96" i="18"/>
  <c r="P115" i="18"/>
  <c r="P143" i="18"/>
  <c r="P166" i="18"/>
  <c r="P205" i="18"/>
  <c r="P184" i="18"/>
  <c r="P213" i="18"/>
  <c r="P23" i="18"/>
  <c r="P103" i="18"/>
  <c r="P105" i="18"/>
  <c r="P183" i="18"/>
  <c r="P151" i="18"/>
  <c r="P157" i="18"/>
  <c r="P141" i="18"/>
  <c r="P193" i="18"/>
  <c r="P83" i="18"/>
  <c r="P80" i="18"/>
  <c r="P26" i="18"/>
  <c r="Q210" i="18"/>
  <c r="Q200" i="18"/>
  <c r="Q211" i="18"/>
  <c r="Q207" i="18"/>
  <c r="Q201" i="18"/>
  <c r="Q197" i="18"/>
  <c r="Q212" i="18"/>
  <c r="Q208" i="18"/>
  <c r="Q202" i="18"/>
  <c r="Q198" i="18"/>
  <c r="Q209" i="18"/>
  <c r="Q199" i="18"/>
  <c r="Q189" i="18"/>
  <c r="Q179" i="18"/>
  <c r="Q175" i="18"/>
  <c r="Q171" i="18"/>
  <c r="Q161" i="18"/>
  <c r="Q147" i="18"/>
  <c r="Q137" i="18"/>
  <c r="Q188" i="18"/>
  <c r="Q178" i="18"/>
  <c r="Q170" i="18"/>
  <c r="Q187" i="18"/>
  <c r="Q186" i="18"/>
  <c r="Q177" i="18"/>
  <c r="Q176" i="18"/>
  <c r="Q169" i="18"/>
  <c r="Q162" i="18"/>
  <c r="Q148" i="18"/>
  <c r="Q138" i="18"/>
  <c r="Q168" i="18"/>
  <c r="Q163" i="18"/>
  <c r="Q159" i="18"/>
  <c r="Q149" i="18"/>
  <c r="Q145" i="18"/>
  <c r="Q139" i="18"/>
  <c r="Q135" i="18"/>
  <c r="Q195" i="18"/>
  <c r="Q192" i="18"/>
  <c r="Q174" i="18"/>
  <c r="Q191" i="18"/>
  <c r="Q190" i="18"/>
  <c r="Q181" i="18"/>
  <c r="Q180" i="18"/>
  <c r="Q173" i="18"/>
  <c r="Q172" i="18"/>
  <c r="Q164" i="18"/>
  <c r="Q160" i="18"/>
  <c r="Q126" i="18"/>
  <c r="Q122" i="18"/>
  <c r="Q118" i="18"/>
  <c r="Q109" i="18"/>
  <c r="Q99" i="18"/>
  <c r="Q127" i="18"/>
  <c r="Q123" i="18"/>
  <c r="Q119" i="18"/>
  <c r="Q110" i="18"/>
  <c r="Q100" i="18"/>
  <c r="Q166" i="18"/>
  <c r="Q140" i="18"/>
  <c r="Q134" i="18"/>
  <c r="Q128" i="18"/>
  <c r="Q124" i="18"/>
  <c r="Q120" i="18"/>
  <c r="Q116" i="18"/>
  <c r="Q90" i="18"/>
  <c r="Q86" i="18"/>
  <c r="Q29" i="18"/>
  <c r="Q19" i="18"/>
  <c r="Q108" i="18"/>
  <c r="Q98" i="18"/>
  <c r="Q92" i="18"/>
  <c r="Q88" i="18"/>
  <c r="Q84" i="18"/>
  <c r="Q31" i="18"/>
  <c r="Q27" i="18"/>
  <c r="Q21" i="18"/>
  <c r="Q107" i="18"/>
  <c r="Q111" i="18"/>
  <c r="Q79" i="18"/>
  <c r="Q17" i="18"/>
  <c r="Q117" i="18"/>
  <c r="Q85" i="18"/>
  <c r="Q102" i="18"/>
  <c r="Q89" i="18"/>
  <c r="Q20" i="18"/>
  <c r="Q129" i="18"/>
  <c r="Q101" i="18"/>
  <c r="Q30" i="18"/>
  <c r="Q18" i="18"/>
  <c r="Q97" i="18"/>
  <c r="Q11" i="18"/>
  <c r="Q136" i="18"/>
  <c r="Q125" i="18"/>
  <c r="Q83" i="18"/>
  <c r="Q16" i="18"/>
  <c r="Q10" i="18"/>
  <c r="Q95" i="18"/>
  <c r="Q28" i="18"/>
  <c r="Q150" i="18"/>
  <c r="Q146" i="18"/>
  <c r="Q112" i="18"/>
  <c r="Q87" i="18"/>
  <c r="Q22" i="18"/>
  <c r="Q121" i="18"/>
  <c r="Q91" i="18"/>
  <c r="Q106" i="18"/>
  <c r="Q113" i="18"/>
  <c r="Q26" i="18"/>
  <c r="Q13" i="18"/>
  <c r="Q151" i="18"/>
  <c r="Q114" i="18"/>
  <c r="Q205" i="18"/>
  <c r="Q204" i="18"/>
  <c r="Q213" i="18"/>
  <c r="Q81" i="18"/>
  <c r="Q103" i="18"/>
  <c r="Q130" i="18"/>
  <c r="Q94" i="18"/>
  <c r="Q167" i="18"/>
  <c r="Q143" i="18"/>
  <c r="Q12" i="18"/>
  <c r="Q15" i="18"/>
  <c r="Q23" i="18"/>
  <c r="Q142" i="18"/>
  <c r="Q144" i="18"/>
  <c r="Q182" i="18"/>
  <c r="Q133" i="18"/>
  <c r="Q14" i="18"/>
  <c r="Q93" i="18"/>
  <c r="Q196" i="18"/>
  <c r="Q206" i="18"/>
  <c r="Q183" i="18"/>
  <c r="Q185" i="18"/>
  <c r="Q184" i="18"/>
  <c r="Q80" i="18"/>
  <c r="Q132" i="18"/>
  <c r="Q24" i="18"/>
  <c r="Q156" i="18"/>
  <c r="Q105" i="18"/>
  <c r="Q104" i="18"/>
  <c r="Q141" i="18"/>
  <c r="Q193" i="18"/>
  <c r="Q82" i="18"/>
  <c r="Q131" i="18"/>
  <c r="Q25" i="18"/>
  <c r="Q96" i="18"/>
  <c r="Q115" i="18"/>
  <c r="Q165" i="18"/>
  <c r="Q158" i="18"/>
  <c r="Q157" i="18"/>
  <c r="Q194" i="18"/>
  <c r="Q203" i="18"/>
  <c r="R211" i="18"/>
  <c r="R207" i="18"/>
  <c r="R201" i="18"/>
  <c r="R197" i="18"/>
  <c r="R212" i="18"/>
  <c r="R208" i="18"/>
  <c r="R202" i="18"/>
  <c r="R198" i="18"/>
  <c r="R192" i="18"/>
  <c r="R188" i="18"/>
  <c r="R178" i="18"/>
  <c r="R174" i="18"/>
  <c r="R170" i="18"/>
  <c r="R213" i="18"/>
  <c r="R203" i="18"/>
  <c r="R193" i="18"/>
  <c r="R209" i="18"/>
  <c r="R204" i="18"/>
  <c r="R199" i="18"/>
  <c r="R194" i="18"/>
  <c r="R189" i="18"/>
  <c r="R185" i="18"/>
  <c r="R179" i="18"/>
  <c r="R175" i="18"/>
  <c r="R171" i="18"/>
  <c r="R161" i="18"/>
  <c r="R156" i="18"/>
  <c r="R147" i="18"/>
  <c r="R142" i="18"/>
  <c r="R210" i="18"/>
  <c r="R196" i="18"/>
  <c r="R187" i="18"/>
  <c r="R186" i="18"/>
  <c r="R177" i="18"/>
  <c r="R176" i="18"/>
  <c r="R169" i="18"/>
  <c r="R162" i="18"/>
  <c r="R148" i="18"/>
  <c r="R138" i="18"/>
  <c r="R191" i="18"/>
  <c r="R190" i="18"/>
  <c r="R184" i="18"/>
  <c r="R181" i="18"/>
  <c r="R180" i="18"/>
  <c r="R173" i="18"/>
  <c r="R172" i="18"/>
  <c r="R164" i="18"/>
  <c r="R160" i="18"/>
  <c r="R150" i="18"/>
  <c r="R146" i="18"/>
  <c r="R140" i="18"/>
  <c r="R136" i="18"/>
  <c r="R200" i="18"/>
  <c r="R167" i="18"/>
  <c r="R149" i="18"/>
  <c r="R139" i="18"/>
  <c r="R135" i="18"/>
  <c r="R109" i="18"/>
  <c r="R99" i="18"/>
  <c r="R159" i="18"/>
  <c r="R145" i="18"/>
  <c r="R127" i="18"/>
  <c r="R123" i="18"/>
  <c r="R119" i="18"/>
  <c r="R206" i="18"/>
  <c r="R110" i="18"/>
  <c r="R106" i="18"/>
  <c r="R100" i="18"/>
  <c r="R182" i="18"/>
  <c r="R134" i="18"/>
  <c r="R128" i="18"/>
  <c r="R124" i="18"/>
  <c r="R120" i="18"/>
  <c r="R116" i="18"/>
  <c r="R111" i="18"/>
  <c r="R107" i="18"/>
  <c r="R101" i="18"/>
  <c r="R97" i="18"/>
  <c r="R168" i="18"/>
  <c r="R108" i="18"/>
  <c r="R98" i="18"/>
  <c r="R131" i="18"/>
  <c r="R126" i="18"/>
  <c r="R122" i="18"/>
  <c r="R118" i="18"/>
  <c r="R112" i="18"/>
  <c r="R102" i="18"/>
  <c r="R91" i="18"/>
  <c r="R87" i="18"/>
  <c r="R30" i="18"/>
  <c r="R20" i="18"/>
  <c r="R151" i="18"/>
  <c r="R92" i="18"/>
  <c r="R88" i="18"/>
  <c r="R84" i="18"/>
  <c r="R31" i="18"/>
  <c r="R27" i="18"/>
  <c r="R21" i="18"/>
  <c r="R133" i="18"/>
  <c r="R96" i="18"/>
  <c r="R89" i="18"/>
  <c r="R85" i="18"/>
  <c r="R79" i="18"/>
  <c r="R28" i="18"/>
  <c r="R22" i="18"/>
  <c r="R141" i="18"/>
  <c r="R117" i="18"/>
  <c r="R24" i="18"/>
  <c r="R17" i="18"/>
  <c r="R29" i="18"/>
  <c r="R19" i="18"/>
  <c r="R103" i="18"/>
  <c r="R137" i="18"/>
  <c r="R129" i="18"/>
  <c r="R81" i="18"/>
  <c r="R23" i="18"/>
  <c r="R113" i="18"/>
  <c r="R86" i="18"/>
  <c r="R18" i="18"/>
  <c r="R12" i="18"/>
  <c r="R125" i="18"/>
  <c r="R90" i="18"/>
  <c r="R16" i="18"/>
  <c r="R10" i="18"/>
  <c r="R163" i="18"/>
  <c r="R121" i="18"/>
  <c r="R11" i="18"/>
  <c r="R13" i="18"/>
  <c r="R82" i="18"/>
  <c r="R143" i="18"/>
  <c r="R132" i="18"/>
  <c r="R158" i="18"/>
  <c r="R94" i="18"/>
  <c r="R157" i="18"/>
  <c r="R195" i="18"/>
  <c r="R205" i="18"/>
  <c r="R104" i="18"/>
  <c r="R14" i="18"/>
  <c r="R115" i="18"/>
  <c r="R130" i="18"/>
  <c r="R25" i="18"/>
  <c r="R144" i="18"/>
  <c r="R26" i="18"/>
  <c r="R83" i="18"/>
  <c r="R93" i="18"/>
  <c r="R166" i="18"/>
  <c r="R183" i="18"/>
  <c r="R165" i="18"/>
  <c r="R105" i="18"/>
  <c r="R15" i="18"/>
  <c r="R80" i="18"/>
  <c r="R114" i="18"/>
  <c r="R95" i="18"/>
  <c r="L31" i="18"/>
  <c r="L27" i="18"/>
  <c r="L21" i="18"/>
  <c r="L28" i="18"/>
  <c r="L22" i="18"/>
  <c r="L29" i="18"/>
  <c r="L24" i="18"/>
  <c r="L19" i="18"/>
  <c r="L18" i="18"/>
  <c r="L16" i="18"/>
  <c r="L10" i="18"/>
  <c r="L25" i="18"/>
  <c r="L17" i="18"/>
  <c r="L11" i="18"/>
  <c r="L20" i="18"/>
  <c r="L12" i="18"/>
  <c r="L30" i="18"/>
  <c r="L13" i="18"/>
  <c r="L14" i="18"/>
  <c r="L15" i="18"/>
  <c r="L23" i="18"/>
  <c r="L26" i="18"/>
  <c r="M266" i="18"/>
  <c r="M78" i="18"/>
  <c r="M71" i="18"/>
  <c r="M72" i="18"/>
  <c r="M65" i="18"/>
  <c r="M73" i="18"/>
  <c r="M70" i="18"/>
  <c r="M63" i="18"/>
  <c r="M62" i="18"/>
  <c r="M58" i="18"/>
  <c r="M69" i="18"/>
  <c r="M64" i="18"/>
  <c r="M48" i="18"/>
  <c r="M44" i="18"/>
  <c r="M241" i="18"/>
  <c r="M74" i="18"/>
  <c r="M53" i="18"/>
  <c r="M32" i="18"/>
  <c r="M36" i="18"/>
  <c r="M66" i="18"/>
  <c r="M43" i="18"/>
  <c r="M67" i="18"/>
  <c r="M40" i="18"/>
  <c r="M57" i="18"/>
  <c r="M68" i="18"/>
  <c r="M49" i="18"/>
  <c r="P261" i="18"/>
  <c r="P260" i="18"/>
  <c r="P259" i="18"/>
  <c r="P251" i="18"/>
  <c r="P250" i="18"/>
  <c r="P155" i="18"/>
  <c r="P266" i="18"/>
  <c r="P78" i="18"/>
  <c r="P64" i="18"/>
  <c r="P249" i="18"/>
  <c r="P246" i="18"/>
  <c r="P265" i="18"/>
  <c r="P258" i="18"/>
  <c r="P257" i="18"/>
  <c r="P256" i="18"/>
  <c r="P74" i="18"/>
  <c r="P72" i="18"/>
  <c r="P69" i="18"/>
  <c r="P244" i="18"/>
  <c r="P73" i="18"/>
  <c r="P63" i="18"/>
  <c r="P53" i="18"/>
  <c r="P36" i="18"/>
  <c r="P152" i="18"/>
  <c r="P70" i="18"/>
  <c r="P58" i="18"/>
  <c r="P262" i="18"/>
  <c r="P252" i="18"/>
  <c r="P71" i="18"/>
  <c r="P43" i="18"/>
  <c r="P65" i="18"/>
  <c r="P254" i="18"/>
  <c r="P247" i="18"/>
  <c r="P154" i="18"/>
  <c r="P153" i="18"/>
  <c r="P48" i="18"/>
  <c r="P44" i="18"/>
  <c r="P248" i="18"/>
  <c r="P62" i="18"/>
  <c r="P239" i="18"/>
  <c r="P67" i="18"/>
  <c r="P241" i="18"/>
  <c r="P32" i="18"/>
  <c r="P49" i="18"/>
  <c r="P236" i="18"/>
  <c r="P232" i="18"/>
  <c r="P226" i="18"/>
  <c r="P222" i="18"/>
  <c r="P217" i="18"/>
  <c r="P229" i="18"/>
  <c r="P242" i="18"/>
  <c r="P233" i="18"/>
  <c r="P223" i="18"/>
  <c r="P235" i="18"/>
  <c r="P231" i="18"/>
  <c r="P215" i="18"/>
  <c r="P225" i="18"/>
  <c r="P221" i="18"/>
  <c r="P220" i="18"/>
  <c r="P234" i="18"/>
  <c r="P230" i="18"/>
  <c r="P224" i="18"/>
  <c r="P214" i="18"/>
  <c r="P263" i="18"/>
  <c r="P253" i="18"/>
  <c r="P238" i="18"/>
  <c r="P237" i="18"/>
  <c r="P66" i="18"/>
  <c r="P219" i="18"/>
  <c r="P240" i="18"/>
  <c r="P228" i="18"/>
  <c r="P218" i="18"/>
  <c r="P255" i="18"/>
  <c r="P68" i="18"/>
  <c r="P40" i="18"/>
  <c r="P216" i="18"/>
  <c r="P227" i="18"/>
  <c r="P245" i="18"/>
  <c r="P264" i="18"/>
  <c r="P57" i="18"/>
  <c r="Q266" i="18"/>
  <c r="Q65" i="18"/>
  <c r="Q257" i="18"/>
  <c r="Q262" i="18"/>
  <c r="Q258" i="18"/>
  <c r="Q252" i="18"/>
  <c r="Q248" i="18"/>
  <c r="Q249" i="18"/>
  <c r="Q73" i="18"/>
  <c r="Q250" i="18"/>
  <c r="Q74" i="18"/>
  <c r="Q70" i="18"/>
  <c r="Q78" i="18"/>
  <c r="Q64" i="18"/>
  <c r="Q246" i="18"/>
  <c r="Q72" i="18"/>
  <c r="Q259" i="18"/>
  <c r="Q53" i="18"/>
  <c r="Q36" i="18"/>
  <c r="Q251" i="18"/>
  <c r="Q58" i="18"/>
  <c r="Q260" i="18"/>
  <c r="Q71" i="18"/>
  <c r="Q43" i="18"/>
  <c r="Q253" i="18"/>
  <c r="Q247" i="18"/>
  <c r="Q155" i="18"/>
  <c r="Q154" i="18"/>
  <c r="Q153" i="18"/>
  <c r="Q48" i="18"/>
  <c r="Q44" i="18"/>
  <c r="Q241" i="18"/>
  <c r="Q67" i="18"/>
  <c r="Q62" i="18"/>
  <c r="Q236" i="18"/>
  <c r="Q232" i="18"/>
  <c r="Q226" i="18"/>
  <c r="Q222" i="18"/>
  <c r="Q220" i="18"/>
  <c r="Q242" i="18"/>
  <c r="Q233" i="18"/>
  <c r="Q223" i="18"/>
  <c r="Q63" i="18"/>
  <c r="Q224" i="18"/>
  <c r="Q261" i="18"/>
  <c r="Q32" i="18"/>
  <c r="Q234" i="18"/>
  <c r="Q214" i="18"/>
  <c r="Q57" i="18"/>
  <c r="Q225" i="18"/>
  <c r="Q221" i="18"/>
  <c r="Q215" i="18"/>
  <c r="Q231" i="18"/>
  <c r="Q235" i="18"/>
  <c r="Q227" i="18"/>
  <c r="Q240" i="18"/>
  <c r="Q244" i="18"/>
  <c r="Q68" i="18"/>
  <c r="Q69" i="18"/>
  <c r="Q152" i="18"/>
  <c r="Q229" i="18"/>
  <c r="Q217" i="18"/>
  <c r="Q66" i="18"/>
  <c r="Q238" i="18"/>
  <c r="Q237" i="18"/>
  <c r="Q254" i="18"/>
  <c r="Q256" i="18"/>
  <c r="Q264" i="18"/>
  <c r="Q40" i="18"/>
  <c r="Q228" i="18"/>
  <c r="Q216" i="18"/>
  <c r="Q230" i="18"/>
  <c r="Q263" i="18"/>
  <c r="Q49" i="18"/>
  <c r="Q219" i="18"/>
  <c r="Q239" i="18"/>
  <c r="Q218" i="18"/>
  <c r="Q245" i="18"/>
  <c r="Q265" i="18"/>
  <c r="Q255" i="18"/>
  <c r="R262" i="18"/>
  <c r="R265" i="18"/>
  <c r="R260" i="18"/>
  <c r="R261" i="18"/>
  <c r="R259" i="18"/>
  <c r="R266" i="18"/>
  <c r="R66" i="18"/>
  <c r="R246" i="18"/>
  <c r="R264" i="18"/>
  <c r="R249" i="18"/>
  <c r="R72" i="18"/>
  <c r="R258" i="18"/>
  <c r="R257" i="18"/>
  <c r="R256" i="18"/>
  <c r="R74" i="18"/>
  <c r="R69" i="18"/>
  <c r="R153" i="18"/>
  <c r="R254" i="18"/>
  <c r="R248" i="18"/>
  <c r="R71" i="18"/>
  <c r="R251" i="18"/>
  <c r="R58" i="18"/>
  <c r="R152" i="18"/>
  <c r="R70" i="18"/>
  <c r="R43" i="18"/>
  <c r="R252" i="18"/>
  <c r="R247" i="18"/>
  <c r="R78" i="18"/>
  <c r="R155" i="18"/>
  <c r="R154" i="18"/>
  <c r="R48" i="18"/>
  <c r="R44" i="18"/>
  <c r="R241" i="18"/>
  <c r="R65" i="18"/>
  <c r="R62" i="18"/>
  <c r="R250" i="18"/>
  <c r="R242" i="18"/>
  <c r="R73" i="18"/>
  <c r="R36" i="18"/>
  <c r="R64" i="18"/>
  <c r="R53" i="18"/>
  <c r="R233" i="18"/>
  <c r="R228" i="18"/>
  <c r="R223" i="18"/>
  <c r="R219" i="18"/>
  <c r="R244" i="18"/>
  <c r="R32" i="18"/>
  <c r="R63" i="18"/>
  <c r="R234" i="18"/>
  <c r="R224" i="18"/>
  <c r="R220" i="18"/>
  <c r="R214" i="18"/>
  <c r="R68" i="18"/>
  <c r="R215" i="18"/>
  <c r="R217" i="18"/>
  <c r="R235" i="18"/>
  <c r="R225" i="18"/>
  <c r="R236" i="18"/>
  <c r="R232" i="18"/>
  <c r="R226" i="18"/>
  <c r="R222" i="18"/>
  <c r="R231" i="18"/>
  <c r="R221" i="18"/>
  <c r="R216" i="18"/>
  <c r="R238" i="18"/>
  <c r="R229" i="18"/>
  <c r="R40" i="18"/>
  <c r="R57" i="18"/>
  <c r="R49" i="18"/>
  <c r="R255" i="18"/>
  <c r="R245" i="18"/>
  <c r="R240" i="18"/>
  <c r="R67" i="18"/>
  <c r="R237" i="18"/>
  <c r="R239" i="18"/>
  <c r="R263" i="18"/>
  <c r="R218" i="18"/>
  <c r="R253" i="18"/>
  <c r="R227" i="18"/>
  <c r="R230" i="18"/>
  <c r="L65" i="18"/>
  <c r="L71" i="18"/>
  <c r="L266" i="18"/>
  <c r="L73" i="18"/>
  <c r="L70" i="18"/>
  <c r="L63" i="18"/>
  <c r="L62" i="18"/>
  <c r="L58" i="18"/>
  <c r="L66" i="18"/>
  <c r="L69" i="18"/>
  <c r="L64" i="18"/>
  <c r="L48" i="18"/>
  <c r="L44" i="18"/>
  <c r="L241" i="18"/>
  <c r="L74" i="18"/>
  <c r="L53" i="18"/>
  <c r="L32" i="18"/>
  <c r="L78" i="18"/>
  <c r="L36" i="18"/>
  <c r="L43" i="18"/>
  <c r="L72" i="18"/>
  <c r="L67" i="18"/>
  <c r="L49" i="18"/>
  <c r="L40" i="18"/>
  <c r="L57" i="18"/>
  <c r="L68" i="18"/>
  <c r="R388" i="18"/>
  <c r="R405" i="18"/>
  <c r="R395" i="18"/>
  <c r="R411" i="18"/>
  <c r="R401" i="18"/>
  <c r="R391" i="18"/>
  <c r="R406" i="18"/>
  <c r="R402" i="18"/>
  <c r="R396" i="18"/>
  <c r="R392" i="18"/>
  <c r="R407" i="18"/>
  <c r="R403" i="18"/>
  <c r="R397" i="18"/>
  <c r="R393" i="18"/>
  <c r="R408" i="18"/>
  <c r="R398" i="18"/>
  <c r="R389" i="18"/>
  <c r="R404" i="18"/>
  <c r="R394" i="18"/>
  <c r="R409" i="18"/>
  <c r="R390" i="18"/>
  <c r="R400" i="18"/>
  <c r="R399" i="18"/>
  <c r="R410" i="18"/>
  <c r="R427" i="18"/>
  <c r="R456" i="18"/>
  <c r="R452" i="18"/>
  <c r="R446" i="18"/>
  <c r="R442" i="18"/>
  <c r="R436" i="18"/>
  <c r="R432" i="18"/>
  <c r="R453" i="18"/>
  <c r="R443" i="18"/>
  <c r="R433" i="18"/>
  <c r="R423" i="18"/>
  <c r="R419" i="18"/>
  <c r="R415" i="18"/>
  <c r="R454" i="18"/>
  <c r="R450" i="18"/>
  <c r="R444" i="18"/>
  <c r="R440" i="18"/>
  <c r="R455" i="18"/>
  <c r="R451" i="18"/>
  <c r="R445" i="18"/>
  <c r="R441" i="18"/>
  <c r="R435" i="18"/>
  <c r="R431" i="18"/>
  <c r="R425" i="18"/>
  <c r="R421" i="18"/>
  <c r="R417" i="18"/>
  <c r="R413" i="18"/>
  <c r="R418" i="18"/>
  <c r="R414" i="18"/>
  <c r="R434" i="18"/>
  <c r="R412" i="18"/>
  <c r="R420" i="18"/>
  <c r="R416" i="18"/>
  <c r="R424" i="18"/>
  <c r="R430" i="18"/>
  <c r="R422" i="18"/>
  <c r="R426" i="18"/>
  <c r="R448" i="18"/>
  <c r="R428" i="18"/>
  <c r="R429" i="18"/>
  <c r="R437" i="18"/>
  <c r="R439" i="18"/>
  <c r="R459" i="18"/>
  <c r="R447" i="18"/>
  <c r="R449" i="18"/>
  <c r="R458" i="18"/>
  <c r="R457" i="18"/>
  <c r="R438" i="18"/>
  <c r="R470" i="18"/>
  <c r="R471" i="18"/>
  <c r="R472" i="18"/>
  <c r="R468" i="18"/>
  <c r="R473" i="18"/>
  <c r="R469" i="18"/>
  <c r="R475" i="18"/>
  <c r="R477" i="18"/>
  <c r="R476" i="18"/>
  <c r="R474" i="18"/>
  <c r="Q499" i="18"/>
  <c r="L499" i="18"/>
  <c r="M499" i="18"/>
  <c r="P499" i="18"/>
  <c r="R499" i="18"/>
  <c r="R482" i="18"/>
  <c r="R480" i="18"/>
  <c r="R481" i="18"/>
  <c r="R483" i="18"/>
  <c r="R479" i="18"/>
  <c r="R484" i="18"/>
  <c r="R485" i="18"/>
  <c r="L502" i="18"/>
  <c r="L503" i="18"/>
  <c r="L505" i="18"/>
  <c r="L504" i="18"/>
  <c r="L500" i="18"/>
  <c r="L501" i="18"/>
  <c r="L506" i="18"/>
  <c r="L507" i="18"/>
  <c r="L508" i="18"/>
  <c r="L509" i="18"/>
  <c r="Q505" i="18"/>
  <c r="Q502" i="18"/>
  <c r="Q503" i="18"/>
  <c r="Q504" i="18"/>
  <c r="Q506" i="18"/>
  <c r="Q507" i="18"/>
  <c r="Q509" i="18"/>
  <c r="Q508" i="18"/>
  <c r="M503" i="18"/>
  <c r="M504" i="18"/>
  <c r="M505" i="18"/>
  <c r="M500" i="18"/>
  <c r="M501" i="18"/>
  <c r="M506" i="18"/>
  <c r="M507" i="18"/>
  <c r="M502" i="18"/>
  <c r="M508" i="18"/>
  <c r="M509" i="18"/>
  <c r="P504" i="18"/>
  <c r="P500" i="18"/>
  <c r="P505" i="18"/>
  <c r="P501" i="18"/>
  <c r="P506" i="18"/>
  <c r="P502" i="18"/>
  <c r="P507" i="18"/>
  <c r="P503" i="18"/>
  <c r="P508" i="18"/>
  <c r="P509" i="18"/>
  <c r="R505" i="18"/>
  <c r="R501" i="18"/>
  <c r="R502" i="18"/>
  <c r="R503" i="18"/>
  <c r="R504" i="18"/>
  <c r="R500" i="18"/>
  <c r="R509" i="18"/>
  <c r="R508" i="18"/>
  <c r="R507" i="18"/>
  <c r="R506" i="18"/>
  <c r="R308" i="18"/>
  <c r="R307" i="18"/>
  <c r="R309" i="18"/>
  <c r="R302" i="18"/>
  <c r="R296" i="18"/>
  <c r="R297" i="18"/>
  <c r="R299" i="18"/>
  <c r="R301" i="18"/>
  <c r="R300" i="18"/>
  <c r="R298" i="18"/>
  <c r="R303" i="18"/>
  <c r="R293" i="18"/>
  <c r="R291" i="18"/>
  <c r="R290" i="18"/>
  <c r="R295" i="18"/>
  <c r="R292" i="18"/>
  <c r="R294" i="18"/>
  <c r="R287" i="18"/>
  <c r="R289" i="18"/>
  <c r="R288" i="18"/>
  <c r="R304" i="18"/>
  <c r="R282" i="18"/>
  <c r="R284" i="18"/>
  <c r="R286" i="18"/>
  <c r="R283" i="18"/>
  <c r="R285" i="18"/>
  <c r="R305" i="18"/>
  <c r="R313" i="18"/>
  <c r="R306" i="18"/>
  <c r="R310" i="18"/>
  <c r="R315" i="18"/>
  <c r="R312" i="18"/>
  <c r="R311" i="18"/>
  <c r="R314" i="18"/>
  <c r="R364" i="18"/>
  <c r="R358" i="18"/>
  <c r="R363" i="18"/>
  <c r="R361" i="18"/>
  <c r="R360" i="18"/>
  <c r="R362" i="18"/>
  <c r="R359" i="18"/>
  <c r="T77" i="18" l="1"/>
  <c r="T243" i="18"/>
  <c r="U243" i="18" s="1"/>
  <c r="V243" i="18" s="1"/>
  <c r="U77" i="18"/>
  <c r="V77" i="18" s="1"/>
  <c r="W77" i="18"/>
  <c r="T75" i="18"/>
  <c r="U75" i="18" s="1"/>
  <c r="V75" i="18" s="1"/>
  <c r="W488" i="18"/>
  <c r="T210" i="18"/>
  <c r="W210" i="18" s="1"/>
  <c r="T491" i="18"/>
  <c r="U491" i="18" s="1"/>
  <c r="V491" i="18" s="1"/>
  <c r="T172" i="18"/>
  <c r="W172" i="18" s="1"/>
  <c r="T493" i="18"/>
  <c r="W493" i="18" s="1"/>
  <c r="T495" i="18"/>
  <c r="U495" i="18" s="1"/>
  <c r="V495" i="18" s="1"/>
  <c r="W487" i="18"/>
  <c r="W486" i="18"/>
  <c r="W489" i="18"/>
  <c r="T498" i="18"/>
  <c r="U498" i="18" s="1"/>
  <c r="V498" i="18" s="1"/>
  <c r="W492" i="18"/>
  <c r="W490" i="18"/>
  <c r="U496" i="18"/>
  <c r="V496" i="18" s="1"/>
  <c r="T497" i="18"/>
  <c r="U497" i="18" s="1"/>
  <c r="V497" i="18" s="1"/>
  <c r="W496" i="18"/>
  <c r="T494" i="18"/>
  <c r="U494" i="18" s="1"/>
  <c r="V494" i="18" s="1"/>
  <c r="T174" i="18"/>
  <c r="U174" i="18" s="1"/>
  <c r="V174" i="18" s="1"/>
  <c r="T161" i="18"/>
  <c r="U161" i="18" s="1"/>
  <c r="V161" i="18" s="1"/>
  <c r="T204" i="18"/>
  <c r="U204" i="18" s="1"/>
  <c r="V204" i="18" s="1"/>
  <c r="T120" i="18"/>
  <c r="W120" i="18" s="1"/>
  <c r="T78" i="18"/>
  <c r="W78" i="18" s="1"/>
  <c r="T22" i="18"/>
  <c r="W22" i="18" s="1"/>
  <c r="T151" i="18"/>
  <c r="W151" i="18" s="1"/>
  <c r="T24" i="18"/>
  <c r="W24" i="18" s="1"/>
  <c r="T21" i="18"/>
  <c r="W21" i="18" s="1"/>
  <c r="T134" i="18"/>
  <c r="U134" i="18" s="1"/>
  <c r="V134" i="18" s="1"/>
  <c r="T213" i="18"/>
  <c r="W213" i="18" s="1"/>
  <c r="T72" i="18"/>
  <c r="W72" i="18" s="1"/>
  <c r="T17" i="18"/>
  <c r="U17" i="18" s="1"/>
  <c r="V17" i="18" s="1"/>
  <c r="T102" i="18"/>
  <c r="U102" i="18" s="1"/>
  <c r="V102" i="18" s="1"/>
  <c r="T54" i="18"/>
  <c r="U54" i="18" s="1"/>
  <c r="V54" i="18" s="1"/>
  <c r="T111" i="18"/>
  <c r="W111" i="18" s="1"/>
  <c r="T184" i="18"/>
  <c r="U184" i="18" s="1"/>
  <c r="V184" i="18" s="1"/>
  <c r="T225" i="18"/>
  <c r="U225" i="18" s="1"/>
  <c r="V225" i="18" s="1"/>
  <c r="T214" i="18"/>
  <c r="W214" i="18" s="1"/>
  <c r="T246" i="18"/>
  <c r="U246" i="18" s="1"/>
  <c r="V246" i="18" s="1"/>
  <c r="T87" i="18"/>
  <c r="U87" i="18" s="1"/>
  <c r="V87" i="18" s="1"/>
  <c r="T133" i="18"/>
  <c r="U133" i="18" s="1"/>
  <c r="V133" i="18" s="1"/>
  <c r="T110" i="18"/>
  <c r="U110" i="18" s="1"/>
  <c r="V110" i="18" s="1"/>
  <c r="T207" i="18"/>
  <c r="U207" i="18" s="1"/>
  <c r="V207" i="18" s="1"/>
  <c r="T183" i="18"/>
  <c r="W183" i="18" s="1"/>
  <c r="T117" i="18"/>
  <c r="W117" i="18" s="1"/>
  <c r="T201" i="18"/>
  <c r="U201" i="18" s="1"/>
  <c r="V201" i="18" s="1"/>
  <c r="T27" i="18"/>
  <c r="U27" i="18" s="1"/>
  <c r="V27" i="18" s="1"/>
  <c r="T98" i="18"/>
  <c r="U98" i="18" s="1"/>
  <c r="V98" i="18" s="1"/>
  <c r="T217" i="18"/>
  <c r="W217" i="18" s="1"/>
  <c r="T37" i="18"/>
  <c r="U37" i="18" s="1"/>
  <c r="V37" i="18" s="1"/>
  <c r="T266" i="18"/>
  <c r="W266" i="18" s="1"/>
  <c r="T423" i="18"/>
  <c r="U423" i="18" s="1"/>
  <c r="V423" i="18" s="1"/>
  <c r="T254" i="18"/>
  <c r="W254" i="18" s="1"/>
  <c r="T263" i="18"/>
  <c r="U263" i="18" s="1"/>
  <c r="V263" i="18" s="1"/>
  <c r="T28" i="18"/>
  <c r="W28" i="18" s="1"/>
  <c r="T31" i="18"/>
  <c r="U31" i="18" s="1"/>
  <c r="V31" i="18" s="1"/>
  <c r="T198" i="18"/>
  <c r="W198" i="18" s="1"/>
  <c r="T124" i="18"/>
  <c r="W124" i="18" s="1"/>
  <c r="T175" i="18"/>
  <c r="W175" i="18" s="1"/>
  <c r="T203" i="18"/>
  <c r="W203" i="18" s="1"/>
  <c r="T228" i="18"/>
  <c r="U228" i="18" s="1"/>
  <c r="V228" i="18" s="1"/>
  <c r="T394" i="18"/>
  <c r="W394" i="18" s="1"/>
  <c r="T219" i="18"/>
  <c r="W219" i="18" s="1"/>
  <c r="T232" i="18"/>
  <c r="W232" i="18" s="1"/>
  <c r="T58" i="18"/>
  <c r="U58" i="18" s="1"/>
  <c r="V58" i="18" s="1"/>
  <c r="T26" i="18"/>
  <c r="W26" i="18" s="1"/>
  <c r="T79" i="18"/>
  <c r="W79" i="18" s="1"/>
  <c r="T84" i="18"/>
  <c r="W84" i="18" s="1"/>
  <c r="T193" i="18"/>
  <c r="W193" i="18" s="1"/>
  <c r="T149" i="18"/>
  <c r="W149" i="18" s="1"/>
  <c r="T202" i="18"/>
  <c r="U202" i="18" s="1"/>
  <c r="V202" i="18" s="1"/>
  <c r="T422" i="18"/>
  <c r="U422" i="18" s="1"/>
  <c r="V422" i="18" s="1"/>
  <c r="T239" i="18"/>
  <c r="W239" i="18" s="1"/>
  <c r="T236" i="18"/>
  <c r="W236" i="18" s="1"/>
  <c r="T237" i="18"/>
  <c r="W237" i="18" s="1"/>
  <c r="T34" i="18"/>
  <c r="W34" i="18" s="1"/>
  <c r="T73" i="18"/>
  <c r="U73" i="18" s="1"/>
  <c r="V73" i="18" s="1"/>
  <c r="T38" i="18"/>
  <c r="U38" i="18" s="1"/>
  <c r="V38" i="18" s="1"/>
  <c r="T107" i="18"/>
  <c r="U107" i="18" s="1"/>
  <c r="V107" i="18" s="1"/>
  <c r="T189" i="18"/>
  <c r="W189" i="18" s="1"/>
  <c r="T240" i="18"/>
  <c r="U240" i="18" s="1"/>
  <c r="V240" i="18" s="1"/>
  <c r="T36" i="18"/>
  <c r="W36" i="18" s="1"/>
  <c r="T44" i="18"/>
  <c r="W44" i="18" s="1"/>
  <c r="T153" i="18"/>
  <c r="W153" i="18" s="1"/>
  <c r="T25" i="18"/>
  <c r="W25" i="18" s="1"/>
  <c r="T39" i="18"/>
  <c r="W39" i="18" s="1"/>
  <c r="T33" i="18"/>
  <c r="W33" i="18" s="1"/>
  <c r="T205" i="18"/>
  <c r="W205" i="18" s="1"/>
  <c r="T164" i="18"/>
  <c r="U164" i="18" s="1"/>
  <c r="V164" i="18" s="1"/>
  <c r="T50" i="18"/>
  <c r="W50" i="18" s="1"/>
  <c r="T218" i="18"/>
  <c r="U218" i="18" s="1"/>
  <c r="V218" i="18" s="1"/>
  <c r="T258" i="18"/>
  <c r="U258" i="18" s="1"/>
  <c r="V258" i="18" s="1"/>
  <c r="T257" i="18"/>
  <c r="U257" i="18" s="1"/>
  <c r="V257" i="18" s="1"/>
  <c r="T259" i="18"/>
  <c r="W259" i="18" s="1"/>
  <c r="T156" i="18"/>
  <c r="W156" i="18" s="1"/>
  <c r="T162" i="18"/>
  <c r="W162" i="18" s="1"/>
  <c r="T222" i="18"/>
  <c r="U222" i="18" s="1"/>
  <c r="V222" i="18" s="1"/>
  <c r="T52" i="18"/>
  <c r="U52" i="18" s="1"/>
  <c r="V52" i="18" s="1"/>
  <c r="T46" i="18"/>
  <c r="U46" i="18" s="1"/>
  <c r="V46" i="18" s="1"/>
  <c r="T64" i="18"/>
  <c r="W64" i="18" s="1"/>
  <c r="T265" i="18"/>
  <c r="U265" i="18" s="1"/>
  <c r="V265" i="18" s="1"/>
  <c r="T16" i="18"/>
  <c r="U16" i="18" s="1"/>
  <c r="V16" i="18" s="1"/>
  <c r="T19" i="18"/>
  <c r="W19" i="18" s="1"/>
  <c r="T116" i="18"/>
  <c r="U116" i="18" s="1"/>
  <c r="V116" i="18" s="1"/>
  <c r="T173" i="18"/>
  <c r="W173" i="18" s="1"/>
  <c r="T197" i="18"/>
  <c r="W197" i="18" s="1"/>
  <c r="T167" i="18"/>
  <c r="U167" i="18" s="1"/>
  <c r="V167" i="18" s="1"/>
  <c r="T231" i="18"/>
  <c r="U231" i="18" s="1"/>
  <c r="V231" i="18" s="1"/>
  <c r="T472" i="18"/>
  <c r="W472" i="18" s="1"/>
  <c r="T430" i="18"/>
  <c r="W430" i="18" s="1"/>
  <c r="T125" i="18"/>
  <c r="W125" i="18" s="1"/>
  <c r="T176" i="18"/>
  <c r="W176" i="18" s="1"/>
  <c r="T396" i="18"/>
  <c r="W396" i="18" s="1"/>
  <c r="T181" i="18"/>
  <c r="W181" i="18" s="1"/>
  <c r="T242" i="18"/>
  <c r="W242" i="18" s="1"/>
  <c r="T114" i="18"/>
  <c r="U114" i="18" s="1"/>
  <c r="V114" i="18" s="1"/>
  <c r="T145" i="18"/>
  <c r="U145" i="18" s="1"/>
  <c r="V145" i="18" s="1"/>
  <c r="T13" i="18"/>
  <c r="W13" i="18" s="1"/>
  <c r="T93" i="18"/>
  <c r="W93" i="18" s="1"/>
  <c r="T83" i="18"/>
  <c r="W83" i="18" s="1"/>
  <c r="T126" i="18"/>
  <c r="W126" i="18" s="1"/>
  <c r="T106" i="18"/>
  <c r="W106" i="18" s="1"/>
  <c r="T123" i="18"/>
  <c r="W123" i="18" s="1"/>
  <c r="T150" i="18"/>
  <c r="U150" i="18" s="1"/>
  <c r="V150" i="18" s="1"/>
  <c r="T139" i="18"/>
  <c r="W139" i="18" s="1"/>
  <c r="T177" i="18"/>
  <c r="U177" i="18" s="1"/>
  <c r="V177" i="18" s="1"/>
  <c r="T233" i="18"/>
  <c r="U233" i="18" s="1"/>
  <c r="V233" i="18" s="1"/>
  <c r="T11" i="18"/>
  <c r="W11" i="18" s="1"/>
  <c r="T81" i="18"/>
  <c r="W81" i="18" s="1"/>
  <c r="T23" i="18"/>
  <c r="W23" i="18" s="1"/>
  <c r="T127" i="18"/>
  <c r="U127" i="18" s="1"/>
  <c r="V127" i="18" s="1"/>
  <c r="T141" i="18"/>
  <c r="W141" i="18" s="1"/>
  <c r="T160" i="18"/>
  <c r="W160" i="18" s="1"/>
  <c r="T138" i="18"/>
  <c r="U138" i="18" s="1"/>
  <c r="V138" i="18" s="1"/>
  <c r="T178" i="18"/>
  <c r="U178" i="18" s="1"/>
  <c r="V178" i="18" s="1"/>
  <c r="T195" i="18"/>
  <c r="U195" i="18" s="1"/>
  <c r="V195" i="18" s="1"/>
  <c r="T82" i="18"/>
  <c r="W82" i="18" s="1"/>
  <c r="T80" i="18"/>
  <c r="W80" i="18" s="1"/>
  <c r="T135" i="18"/>
  <c r="U135" i="18" s="1"/>
  <c r="V135" i="18" s="1"/>
  <c r="T91" i="18"/>
  <c r="U91" i="18" s="1"/>
  <c r="V91" i="18" s="1"/>
  <c r="T121" i="18"/>
  <c r="W121" i="18" s="1"/>
  <c r="T132" i="18"/>
  <c r="W132" i="18" s="1"/>
  <c r="T142" i="18"/>
  <c r="U142" i="18" s="1"/>
  <c r="V142" i="18" s="1"/>
  <c r="T144" i="18"/>
  <c r="U144" i="18" s="1"/>
  <c r="V144" i="18" s="1"/>
  <c r="T180" i="18"/>
  <c r="U180" i="18" s="1"/>
  <c r="V180" i="18" s="1"/>
  <c r="T405" i="18"/>
  <c r="U405" i="18" s="1"/>
  <c r="V405" i="18" s="1"/>
  <c r="T251" i="18"/>
  <c r="W251" i="18" s="1"/>
  <c r="T12" i="18"/>
  <c r="U12" i="18" s="1"/>
  <c r="V12" i="18" s="1"/>
  <c r="T90" i="18"/>
  <c r="W90" i="18" s="1"/>
  <c r="T14" i="18"/>
  <c r="W14" i="18" s="1"/>
  <c r="T103" i="18"/>
  <c r="W103" i="18" s="1"/>
  <c r="T94" i="18"/>
  <c r="U94" i="18" s="1"/>
  <c r="V94" i="18" s="1"/>
  <c r="T147" i="18"/>
  <c r="W147" i="18" s="1"/>
  <c r="T159" i="18"/>
  <c r="U159" i="18" s="1"/>
  <c r="V159" i="18" s="1"/>
  <c r="T148" i="18"/>
  <c r="U148" i="18" s="1"/>
  <c r="V148" i="18" s="1"/>
  <c r="T187" i="18"/>
  <c r="U187" i="18" s="1"/>
  <c r="V187" i="18" s="1"/>
  <c r="T186" i="18"/>
  <c r="W186" i="18" s="1"/>
  <c r="T194" i="18"/>
  <c r="U194" i="18" s="1"/>
  <c r="V194" i="18" s="1"/>
  <c r="T211" i="18"/>
  <c r="W211" i="18" s="1"/>
  <c r="T155" i="18"/>
  <c r="W155" i="18" s="1"/>
  <c r="T18" i="18"/>
  <c r="W18" i="18" s="1"/>
  <c r="T113" i="18"/>
  <c r="U113" i="18" s="1"/>
  <c r="V113" i="18" s="1"/>
  <c r="T129" i="18"/>
  <c r="W129" i="18" s="1"/>
  <c r="T95" i="18"/>
  <c r="U95" i="18" s="1"/>
  <c r="V95" i="18" s="1"/>
  <c r="T131" i="18"/>
  <c r="U131" i="18" s="1"/>
  <c r="V131" i="18" s="1"/>
  <c r="T163" i="18"/>
  <c r="U163" i="18" s="1"/>
  <c r="V163" i="18" s="1"/>
  <c r="T158" i="18"/>
  <c r="W158" i="18" s="1"/>
  <c r="T188" i="18"/>
  <c r="W188" i="18" s="1"/>
  <c r="T190" i="18"/>
  <c r="U190" i="18" s="1"/>
  <c r="V190" i="18" s="1"/>
  <c r="T199" i="18"/>
  <c r="U199" i="18" s="1"/>
  <c r="V199" i="18" s="1"/>
  <c r="T104" i="18"/>
  <c r="W104" i="18" s="1"/>
  <c r="T86" i="18"/>
  <c r="U86" i="18" s="1"/>
  <c r="V86" i="18" s="1"/>
  <c r="T29" i="18"/>
  <c r="W29" i="18" s="1"/>
  <c r="T20" i="18"/>
  <c r="U20" i="18" s="1"/>
  <c r="V20" i="18" s="1"/>
  <c r="T112" i="18"/>
  <c r="U112" i="18" s="1"/>
  <c r="V112" i="18" s="1"/>
  <c r="T137" i="18"/>
  <c r="U137" i="18" s="1"/>
  <c r="V137" i="18" s="1"/>
  <c r="T128" i="18"/>
  <c r="U128" i="18" s="1"/>
  <c r="V128" i="18" s="1"/>
  <c r="T105" i="18"/>
  <c r="U105" i="18" s="1"/>
  <c r="V105" i="18" s="1"/>
  <c r="T165" i="18"/>
  <c r="U165" i="18" s="1"/>
  <c r="V165" i="18" s="1"/>
  <c r="T136" i="18"/>
  <c r="W136" i="18" s="1"/>
  <c r="T143" i="18"/>
  <c r="U143" i="18" s="1"/>
  <c r="V143" i="18" s="1"/>
  <c r="T196" i="18"/>
  <c r="W196" i="18" s="1"/>
  <c r="T226" i="18"/>
  <c r="W226" i="18" s="1"/>
  <c r="T109" i="18"/>
  <c r="U109" i="18" s="1"/>
  <c r="V109" i="18" s="1"/>
  <c r="T88" i="18"/>
  <c r="U88" i="18" s="1"/>
  <c r="V88" i="18" s="1"/>
  <c r="T99" i="18"/>
  <c r="W99" i="18" s="1"/>
  <c r="T92" i="18"/>
  <c r="W92" i="18" s="1"/>
  <c r="T85" i="18"/>
  <c r="W85" i="18" s="1"/>
  <c r="T118" i="18"/>
  <c r="U118" i="18" s="1"/>
  <c r="V118" i="18" s="1"/>
  <c r="T97" i="18"/>
  <c r="U97" i="18" s="1"/>
  <c r="V97" i="18" s="1"/>
  <c r="T96" i="18"/>
  <c r="U96" i="18" s="1"/>
  <c r="V96" i="18" s="1"/>
  <c r="T115" i="18"/>
  <c r="W115" i="18" s="1"/>
  <c r="T171" i="18"/>
  <c r="U171" i="18" s="1"/>
  <c r="V171" i="18" s="1"/>
  <c r="T140" i="18"/>
  <c r="U140" i="18" s="1"/>
  <c r="V140" i="18" s="1"/>
  <c r="T191" i="18"/>
  <c r="W191" i="18" s="1"/>
  <c r="T182" i="18"/>
  <c r="W182" i="18" s="1"/>
  <c r="T169" i="18"/>
  <c r="W169" i="18" s="1"/>
  <c r="T157" i="18"/>
  <c r="W157" i="18" s="1"/>
  <c r="T200" i="18"/>
  <c r="U200" i="18" s="1"/>
  <c r="V200" i="18" s="1"/>
  <c r="T209" i="18"/>
  <c r="U209" i="18" s="1"/>
  <c r="V209" i="18" s="1"/>
  <c r="T208" i="18"/>
  <c r="W208" i="18" s="1"/>
  <c r="T130" i="18"/>
  <c r="U130" i="18" s="1"/>
  <c r="V130" i="18" s="1"/>
  <c r="T10" i="18"/>
  <c r="U10" i="18" s="1"/>
  <c r="V10" i="18" s="1"/>
  <c r="T15" i="18"/>
  <c r="U15" i="18" s="1"/>
  <c r="V15" i="18" s="1"/>
  <c r="T108" i="18"/>
  <c r="W108" i="18" s="1"/>
  <c r="T89" i="18"/>
  <c r="W89" i="18" s="1"/>
  <c r="T30" i="18"/>
  <c r="U30" i="18" s="1"/>
  <c r="V30" i="18" s="1"/>
  <c r="T122" i="18"/>
  <c r="W122" i="18" s="1"/>
  <c r="T101" i="18"/>
  <c r="U101" i="18" s="1"/>
  <c r="V101" i="18" s="1"/>
  <c r="T100" i="18"/>
  <c r="U100" i="18" s="1"/>
  <c r="V100" i="18" s="1"/>
  <c r="T119" i="18"/>
  <c r="W119" i="18" s="1"/>
  <c r="T179" i="18"/>
  <c r="U179" i="18" s="1"/>
  <c r="V179" i="18" s="1"/>
  <c r="T146" i="18"/>
  <c r="U146" i="18" s="1"/>
  <c r="V146" i="18" s="1"/>
  <c r="T192" i="18"/>
  <c r="W192" i="18" s="1"/>
  <c r="T185" i="18"/>
  <c r="U185" i="18" s="1"/>
  <c r="V185" i="18" s="1"/>
  <c r="T170" i="18"/>
  <c r="W170" i="18" s="1"/>
  <c r="T168" i="18"/>
  <c r="W168" i="18" s="1"/>
  <c r="T206" i="18"/>
  <c r="W206" i="18" s="1"/>
  <c r="T166" i="18"/>
  <c r="U166" i="18" s="1"/>
  <c r="V166" i="18" s="1"/>
  <c r="T212" i="18"/>
  <c r="U212" i="18" s="1"/>
  <c r="V212" i="18" s="1"/>
  <c r="T436" i="18"/>
  <c r="U436" i="18" s="1"/>
  <c r="V436" i="18" s="1"/>
  <c r="T230" i="18"/>
  <c r="W230" i="18" s="1"/>
  <c r="T74" i="18"/>
  <c r="W74" i="18" s="1"/>
  <c r="T442" i="18"/>
  <c r="U442" i="18" s="1"/>
  <c r="V442" i="18" s="1"/>
  <c r="T458" i="18"/>
  <c r="W458" i="18" s="1"/>
  <c r="T411" i="18"/>
  <c r="U411" i="18" s="1"/>
  <c r="V411" i="18" s="1"/>
  <c r="T234" i="18"/>
  <c r="W234" i="18" s="1"/>
  <c r="T235" i="18"/>
  <c r="W235" i="18" s="1"/>
  <c r="T42" i="18"/>
  <c r="U42" i="18" s="1"/>
  <c r="V42" i="18" s="1"/>
  <c r="T63" i="18"/>
  <c r="W63" i="18" s="1"/>
  <c r="T67" i="18"/>
  <c r="U67" i="18" s="1"/>
  <c r="V67" i="18" s="1"/>
  <c r="T55" i="18"/>
  <c r="U55" i="18" s="1"/>
  <c r="V55" i="18" s="1"/>
  <c r="T71" i="18"/>
  <c r="U71" i="18" s="1"/>
  <c r="V71" i="18" s="1"/>
  <c r="T152" i="18"/>
  <c r="W152" i="18" s="1"/>
  <c r="T264" i="18"/>
  <c r="W264" i="18" s="1"/>
  <c r="T66" i="18"/>
  <c r="W66" i="18" s="1"/>
  <c r="T252" i="18"/>
  <c r="W252" i="18" s="1"/>
  <c r="T253" i="18"/>
  <c r="U253" i="18" s="1"/>
  <c r="V253" i="18" s="1"/>
  <c r="T248" i="18"/>
  <c r="U248" i="18" s="1"/>
  <c r="V248" i="18" s="1"/>
  <c r="T250" i="18"/>
  <c r="U250" i="18" s="1"/>
  <c r="V250" i="18" s="1"/>
  <c r="T406" i="18"/>
  <c r="U406" i="18" s="1"/>
  <c r="V406" i="18" s="1"/>
  <c r="T227" i="18"/>
  <c r="U227" i="18" s="1"/>
  <c r="V227" i="18" s="1"/>
  <c r="T221" i="18"/>
  <c r="U221" i="18" s="1"/>
  <c r="V221" i="18" s="1"/>
  <c r="T223" i="18"/>
  <c r="W223" i="18" s="1"/>
  <c r="T261" i="18"/>
  <c r="U261" i="18" s="1"/>
  <c r="V261" i="18" s="1"/>
  <c r="T48" i="18"/>
  <c r="W48" i="18" s="1"/>
  <c r="T260" i="18"/>
  <c r="U260" i="18" s="1"/>
  <c r="V260" i="18" s="1"/>
  <c r="T255" i="18"/>
  <c r="U255" i="18" s="1"/>
  <c r="V255" i="18" s="1"/>
  <c r="T60" i="18"/>
  <c r="U60" i="18" s="1"/>
  <c r="V60" i="18" s="1"/>
  <c r="T247" i="18"/>
  <c r="W247" i="18" s="1"/>
  <c r="T256" i="18"/>
  <c r="W256" i="18" s="1"/>
  <c r="T68" i="18"/>
  <c r="U68" i="18" s="1"/>
  <c r="V68" i="18" s="1"/>
  <c r="T32" i="18"/>
  <c r="W32" i="18" s="1"/>
  <c r="T154" i="18"/>
  <c r="W154" i="18" s="1"/>
  <c r="T229" i="18"/>
  <c r="U229" i="18" s="1"/>
  <c r="V229" i="18" s="1"/>
  <c r="T35" i="18"/>
  <c r="U35" i="18" s="1"/>
  <c r="V35" i="18" s="1"/>
  <c r="T49" i="18"/>
  <c r="U49" i="18" s="1"/>
  <c r="V49" i="18" s="1"/>
  <c r="T57" i="18"/>
  <c r="U57" i="18" s="1"/>
  <c r="V57" i="18" s="1"/>
  <c r="T441" i="18"/>
  <c r="W441" i="18" s="1"/>
  <c r="T220" i="18"/>
  <c r="U220" i="18" s="1"/>
  <c r="V220" i="18" s="1"/>
  <c r="T244" i="18"/>
  <c r="U244" i="18" s="1"/>
  <c r="V244" i="18" s="1"/>
  <c r="T238" i="18"/>
  <c r="W238" i="18" s="1"/>
  <c r="T41" i="18"/>
  <c r="U41" i="18" s="1"/>
  <c r="V41" i="18" s="1"/>
  <c r="T40" i="18"/>
  <c r="U40" i="18" s="1"/>
  <c r="V40" i="18" s="1"/>
  <c r="T62" i="18"/>
  <c r="W62" i="18" s="1"/>
  <c r="T59" i="18"/>
  <c r="W59" i="18" s="1"/>
  <c r="T43" i="18"/>
  <c r="U43" i="18" s="1"/>
  <c r="V43" i="18" s="1"/>
  <c r="T56" i="18"/>
  <c r="W56" i="18" s="1"/>
  <c r="T216" i="18"/>
  <c r="U216" i="18" s="1"/>
  <c r="V216" i="18" s="1"/>
  <c r="T224" i="18"/>
  <c r="W224" i="18" s="1"/>
  <c r="T215" i="18"/>
  <c r="U215" i="18" s="1"/>
  <c r="V215" i="18" s="1"/>
  <c r="T53" i="18"/>
  <c r="W53" i="18" s="1"/>
  <c r="T51" i="18"/>
  <c r="U51" i="18" s="1"/>
  <c r="V51" i="18" s="1"/>
  <c r="T45" i="18"/>
  <c r="W45" i="18" s="1"/>
  <c r="T241" i="18"/>
  <c r="W241" i="18" s="1"/>
  <c r="T262" i="18"/>
  <c r="U262" i="18" s="1"/>
  <c r="V262" i="18" s="1"/>
  <c r="T47" i="18"/>
  <c r="U47" i="18" s="1"/>
  <c r="V47" i="18" s="1"/>
  <c r="T61" i="18"/>
  <c r="W61" i="18" s="1"/>
  <c r="T69" i="18"/>
  <c r="U69" i="18" s="1"/>
  <c r="V69" i="18" s="1"/>
  <c r="T245" i="18"/>
  <c r="U245" i="18" s="1"/>
  <c r="V245" i="18" s="1"/>
  <c r="T70" i="18"/>
  <c r="W70" i="18" s="1"/>
  <c r="T249" i="18"/>
  <c r="W249" i="18" s="1"/>
  <c r="T65" i="18"/>
  <c r="U65" i="18" s="1"/>
  <c r="V65" i="18" s="1"/>
  <c r="T469" i="18"/>
  <c r="W469" i="18" s="1"/>
  <c r="T477" i="18"/>
  <c r="W477" i="18" s="1"/>
  <c r="T409" i="18"/>
  <c r="U409" i="18" s="1"/>
  <c r="V409" i="18" s="1"/>
  <c r="T407" i="18"/>
  <c r="W407" i="18" s="1"/>
  <c r="T390" i="18"/>
  <c r="W390" i="18" s="1"/>
  <c r="T404" i="18"/>
  <c r="W404" i="18" s="1"/>
  <c r="T448" i="18"/>
  <c r="U448" i="18" s="1"/>
  <c r="V448" i="18" s="1"/>
  <c r="T459" i="18"/>
  <c r="W459" i="18" s="1"/>
  <c r="T482" i="18"/>
  <c r="W482" i="18" s="1"/>
  <c r="T415" i="18"/>
  <c r="W415" i="18" s="1"/>
  <c r="T398" i="18"/>
  <c r="U398" i="18" s="1"/>
  <c r="V398" i="18" s="1"/>
  <c r="T468" i="18"/>
  <c r="W468" i="18" s="1"/>
  <c r="T427" i="18"/>
  <c r="W427" i="18" s="1"/>
  <c r="T445" i="18"/>
  <c r="W445" i="18" s="1"/>
  <c r="T401" i="18"/>
  <c r="U401" i="18" s="1"/>
  <c r="V401" i="18" s="1"/>
  <c r="T402" i="18"/>
  <c r="W402" i="18" s="1"/>
  <c r="T410" i="18"/>
  <c r="W410" i="18" s="1"/>
  <c r="T428" i="18"/>
  <c r="U428" i="18" s="1"/>
  <c r="V428" i="18" s="1"/>
  <c r="T403" i="18"/>
  <c r="W403" i="18" s="1"/>
  <c r="T388" i="18"/>
  <c r="U388" i="18" s="1"/>
  <c r="V388" i="18" s="1"/>
  <c r="T455" i="18"/>
  <c r="U455" i="18" s="1"/>
  <c r="V455" i="18" s="1"/>
  <c r="T473" i="18"/>
  <c r="U473" i="18" s="1"/>
  <c r="V473" i="18" s="1"/>
  <c r="T446" i="18"/>
  <c r="W446" i="18" s="1"/>
  <c r="T391" i="18"/>
  <c r="W391" i="18" s="1"/>
  <c r="T397" i="18"/>
  <c r="W397" i="18" s="1"/>
  <c r="T400" i="18"/>
  <c r="W400" i="18" s="1"/>
  <c r="T392" i="18"/>
  <c r="W392" i="18" s="1"/>
  <c r="T476" i="18"/>
  <c r="W476" i="18" s="1"/>
  <c r="T426" i="18"/>
  <c r="U426" i="18" s="1"/>
  <c r="V426" i="18" s="1"/>
  <c r="T434" i="18"/>
  <c r="W434" i="18" s="1"/>
  <c r="T389" i="18"/>
  <c r="U389" i="18" s="1"/>
  <c r="V389" i="18" s="1"/>
  <c r="T395" i="18"/>
  <c r="U395" i="18" s="1"/>
  <c r="V395" i="18" s="1"/>
  <c r="T440" i="18"/>
  <c r="U440" i="18" s="1"/>
  <c r="V440" i="18" s="1"/>
  <c r="T393" i="18"/>
  <c r="U393" i="18" s="1"/>
  <c r="V393" i="18" s="1"/>
  <c r="T474" i="18"/>
  <c r="U474" i="18" s="1"/>
  <c r="V474" i="18" s="1"/>
  <c r="T425" i="18"/>
  <c r="U425" i="18" s="1"/>
  <c r="V425" i="18" s="1"/>
  <c r="T451" i="18"/>
  <c r="U451" i="18" s="1"/>
  <c r="V451" i="18" s="1"/>
  <c r="T444" i="18"/>
  <c r="U444" i="18" s="1"/>
  <c r="V444" i="18" s="1"/>
  <c r="T453" i="18"/>
  <c r="U453" i="18" s="1"/>
  <c r="V453" i="18" s="1"/>
  <c r="T408" i="18"/>
  <c r="W408" i="18" s="1"/>
  <c r="U396" i="18"/>
  <c r="V396" i="18" s="1"/>
  <c r="T399" i="18"/>
  <c r="U399" i="18" s="1"/>
  <c r="V399" i="18" s="1"/>
  <c r="T413" i="18"/>
  <c r="U413" i="18" s="1"/>
  <c r="V413" i="18" s="1"/>
  <c r="T419" i="18"/>
  <c r="U419" i="18" s="1"/>
  <c r="V419" i="18" s="1"/>
  <c r="T432" i="18"/>
  <c r="U432" i="18" s="1"/>
  <c r="V432" i="18" s="1"/>
  <c r="T471" i="18"/>
  <c r="W471" i="18" s="1"/>
  <c r="T417" i="18"/>
  <c r="U417" i="18" s="1"/>
  <c r="V417" i="18" s="1"/>
  <c r="T437" i="18"/>
  <c r="W437" i="18" s="1"/>
  <c r="T421" i="18"/>
  <c r="U421" i="18" s="1"/>
  <c r="V421" i="18" s="1"/>
  <c r="T412" i="18"/>
  <c r="W412" i="18" s="1"/>
  <c r="T450" i="18"/>
  <c r="W450" i="18" s="1"/>
  <c r="T429" i="18"/>
  <c r="W429" i="18" s="1"/>
  <c r="T447" i="18"/>
  <c r="U447" i="18" s="1"/>
  <c r="V447" i="18" s="1"/>
  <c r="T416" i="18"/>
  <c r="U416" i="18" s="1"/>
  <c r="V416" i="18" s="1"/>
  <c r="T454" i="18"/>
  <c r="W454" i="18" s="1"/>
  <c r="T433" i="18"/>
  <c r="W433" i="18" s="1"/>
  <c r="T457" i="18"/>
  <c r="U457" i="18" s="1"/>
  <c r="V457" i="18" s="1"/>
  <c r="T480" i="18"/>
  <c r="W480" i="18" s="1"/>
  <c r="T431" i="18"/>
  <c r="U431" i="18" s="1"/>
  <c r="V431" i="18" s="1"/>
  <c r="T420" i="18"/>
  <c r="W420" i="18" s="1"/>
  <c r="T439" i="18"/>
  <c r="U439" i="18" s="1"/>
  <c r="V439" i="18" s="1"/>
  <c r="T438" i="18"/>
  <c r="W438" i="18" s="1"/>
  <c r="T414" i="18"/>
  <c r="U414" i="18" s="1"/>
  <c r="V414" i="18" s="1"/>
  <c r="T452" i="18"/>
  <c r="W452" i="18" s="1"/>
  <c r="T435" i="18"/>
  <c r="W435" i="18" s="1"/>
  <c r="T424" i="18"/>
  <c r="W424" i="18" s="1"/>
  <c r="T449" i="18"/>
  <c r="W449" i="18" s="1"/>
  <c r="T443" i="18"/>
  <c r="W443" i="18" s="1"/>
  <c r="T418" i="18"/>
  <c r="W418" i="18" s="1"/>
  <c r="T456" i="18"/>
  <c r="U456" i="18" s="1"/>
  <c r="V456" i="18" s="1"/>
  <c r="T470" i="18"/>
  <c r="W470" i="18" s="1"/>
  <c r="T479" i="18"/>
  <c r="U479" i="18" s="1"/>
  <c r="V479" i="18" s="1"/>
  <c r="T483" i="18"/>
  <c r="U483" i="18" s="1"/>
  <c r="V483" i="18" s="1"/>
  <c r="T485" i="18"/>
  <c r="W485" i="18" s="1"/>
  <c r="U472" i="18"/>
  <c r="V472" i="18" s="1"/>
  <c r="T503" i="18"/>
  <c r="W503" i="18" s="1"/>
  <c r="T475" i="18"/>
  <c r="W475" i="18" s="1"/>
  <c r="T502" i="18"/>
  <c r="W502" i="18" s="1"/>
  <c r="T509" i="18"/>
  <c r="U509" i="18" s="1"/>
  <c r="V509" i="18" s="1"/>
  <c r="T500" i="18"/>
  <c r="W500" i="18" s="1"/>
  <c r="T499" i="18"/>
  <c r="W499" i="18" s="1"/>
  <c r="T504" i="18"/>
  <c r="W504" i="18" s="1"/>
  <c r="T484" i="18"/>
  <c r="U484" i="18" s="1"/>
  <c r="V484" i="18" s="1"/>
  <c r="T481" i="18"/>
  <c r="W481" i="18" s="1"/>
  <c r="T506" i="18"/>
  <c r="U506" i="18" s="1"/>
  <c r="V506" i="18" s="1"/>
  <c r="T508" i="18"/>
  <c r="W508" i="18" s="1"/>
  <c r="T501" i="18"/>
  <c r="W501" i="18" s="1"/>
  <c r="T507" i="18"/>
  <c r="U507" i="18" s="1"/>
  <c r="V507" i="18" s="1"/>
  <c r="T505" i="18"/>
  <c r="U505" i="18" s="1"/>
  <c r="V505" i="18" s="1"/>
  <c r="T308" i="18"/>
  <c r="U308" i="18" s="1"/>
  <c r="V308" i="18" s="1"/>
  <c r="T301" i="18"/>
  <c r="U301" i="18" s="1"/>
  <c r="V301" i="18" s="1"/>
  <c r="T307" i="18"/>
  <c r="U307" i="18" s="1"/>
  <c r="V307" i="18" s="1"/>
  <c r="T290" i="18"/>
  <c r="U290" i="18" s="1"/>
  <c r="V290" i="18" s="1"/>
  <c r="T309" i="18"/>
  <c r="U309" i="18" s="1"/>
  <c r="V309" i="18" s="1"/>
  <c r="T294" i="18"/>
  <c r="U294" i="18" s="1"/>
  <c r="V294" i="18" s="1"/>
  <c r="T295" i="18"/>
  <c r="U295" i="18" s="1"/>
  <c r="V295" i="18" s="1"/>
  <c r="T292" i="18"/>
  <c r="W292" i="18" s="1"/>
  <c r="T302" i="18"/>
  <c r="U302" i="18" s="1"/>
  <c r="V302" i="18" s="1"/>
  <c r="T300" i="18"/>
  <c r="W300" i="18" s="1"/>
  <c r="T299" i="18"/>
  <c r="W299" i="18" s="1"/>
  <c r="T298" i="18"/>
  <c r="U298" i="18" s="1"/>
  <c r="V298" i="18" s="1"/>
  <c r="T297" i="18"/>
  <c r="W297" i="18" s="1"/>
  <c r="T303" i="18"/>
  <c r="U303" i="18" s="1"/>
  <c r="V303" i="18" s="1"/>
  <c r="T296" i="18"/>
  <c r="W296" i="18" s="1"/>
  <c r="T287" i="18"/>
  <c r="U287" i="18" s="1"/>
  <c r="V287" i="18" s="1"/>
  <c r="T289" i="18"/>
  <c r="W289" i="18" s="1"/>
  <c r="T293" i="18"/>
  <c r="W293" i="18" s="1"/>
  <c r="T288" i="18"/>
  <c r="U288" i="18" s="1"/>
  <c r="V288" i="18" s="1"/>
  <c r="T306" i="18"/>
  <c r="W306" i="18" s="1"/>
  <c r="T291" i="18"/>
  <c r="U291" i="18" s="1"/>
  <c r="V291" i="18" s="1"/>
  <c r="T284" i="18"/>
  <c r="W284" i="18" s="1"/>
  <c r="T285" i="18"/>
  <c r="U285" i="18" s="1"/>
  <c r="V285" i="18" s="1"/>
  <c r="T311" i="18"/>
  <c r="W311" i="18" s="1"/>
  <c r="T283" i="18"/>
  <c r="U283" i="18" s="1"/>
  <c r="V283" i="18" s="1"/>
  <c r="T282" i="18"/>
  <c r="U282" i="18" s="1"/>
  <c r="V282" i="18" s="1"/>
  <c r="T304" i="18"/>
  <c r="W304" i="18" s="1"/>
  <c r="T360" i="18"/>
  <c r="U360" i="18" s="1"/>
  <c r="V360" i="18" s="1"/>
  <c r="T310" i="18"/>
  <c r="U310" i="18" s="1"/>
  <c r="V310" i="18" s="1"/>
  <c r="T286" i="18"/>
  <c r="U286" i="18" s="1"/>
  <c r="V286" i="18" s="1"/>
  <c r="T305" i="18"/>
  <c r="W305" i="18" s="1"/>
  <c r="T314" i="18"/>
  <c r="W314" i="18" s="1"/>
  <c r="T359" i="18"/>
  <c r="U359" i="18" s="1"/>
  <c r="V359" i="18" s="1"/>
  <c r="T312" i="18"/>
  <c r="W312" i="18" s="1"/>
  <c r="T364" i="18"/>
  <c r="U364" i="18" s="1"/>
  <c r="V364" i="18" s="1"/>
  <c r="T361" i="18"/>
  <c r="U361" i="18" s="1"/>
  <c r="V361" i="18" s="1"/>
  <c r="T315" i="18"/>
  <c r="W315" i="18" s="1"/>
  <c r="T313" i="18"/>
  <c r="U313" i="18" s="1"/>
  <c r="V313" i="18" s="1"/>
  <c r="T358" i="18"/>
  <c r="W358" i="18" s="1"/>
  <c r="T363" i="18"/>
  <c r="U363" i="18" s="1"/>
  <c r="V363" i="18" s="1"/>
  <c r="T362" i="18"/>
  <c r="W362" i="18" s="1"/>
  <c r="W204" i="18" l="1"/>
  <c r="W243" i="18"/>
  <c r="W75" i="18"/>
  <c r="W491" i="18"/>
  <c r="W246" i="18"/>
  <c r="U78" i="18"/>
  <c r="V78" i="18" s="1"/>
  <c r="U210" i="18"/>
  <c r="V210" i="18" s="1"/>
  <c r="U172" i="18"/>
  <c r="V172" i="18" s="1"/>
  <c r="W174" i="18"/>
  <c r="W411" i="18"/>
  <c r="W423" i="18"/>
  <c r="U151" i="18"/>
  <c r="V151" i="18" s="1"/>
  <c r="U120" i="18"/>
  <c r="V120" i="18" s="1"/>
  <c r="W258" i="18"/>
  <c r="U24" i="18"/>
  <c r="V24" i="18" s="1"/>
  <c r="U232" i="18"/>
  <c r="V232" i="18" s="1"/>
  <c r="U153" i="18"/>
  <c r="V153" i="18" s="1"/>
  <c r="W38" i="18"/>
  <c r="W161" i="18"/>
  <c r="U493" i="18"/>
  <c r="V493" i="18" s="1"/>
  <c r="W495" i="18"/>
  <c r="W498" i="18"/>
  <c r="W497" i="18"/>
  <c r="W494" i="18"/>
  <c r="W37" i="18"/>
  <c r="W228" i="18"/>
  <c r="W263" i="18"/>
  <c r="W222" i="18"/>
  <c r="U394" i="18"/>
  <c r="V394" i="18" s="1"/>
  <c r="W225" i="18"/>
  <c r="U22" i="18"/>
  <c r="V22" i="18" s="1"/>
  <c r="W422" i="18"/>
  <c r="W253" i="18"/>
  <c r="W134" i="18"/>
  <c r="W58" i="18"/>
  <c r="W110" i="18"/>
  <c r="U21" i="18"/>
  <c r="V21" i="18" s="1"/>
  <c r="U124" i="18"/>
  <c r="V124" i="18" s="1"/>
  <c r="W133" i="18"/>
  <c r="W428" i="18"/>
  <c r="W73" i="18"/>
  <c r="U477" i="18"/>
  <c r="V477" i="18" s="1"/>
  <c r="W54" i="18"/>
  <c r="U50" i="18"/>
  <c r="V50" i="18" s="1"/>
  <c r="U149" i="18"/>
  <c r="V149" i="18" s="1"/>
  <c r="W401" i="18"/>
  <c r="U72" i="18"/>
  <c r="V72" i="18" s="1"/>
  <c r="U213" i="18"/>
  <c r="V213" i="18" s="1"/>
  <c r="U183" i="18"/>
  <c r="V183" i="18" s="1"/>
  <c r="W52" i="18"/>
  <c r="U23" i="18"/>
  <c r="V23" i="18" s="1"/>
  <c r="U236" i="18"/>
  <c r="V236" i="18" s="1"/>
  <c r="U430" i="18"/>
  <c r="V430" i="18" s="1"/>
  <c r="U34" i="18"/>
  <c r="V34" i="18" s="1"/>
  <c r="U205" i="18"/>
  <c r="V205" i="18" s="1"/>
  <c r="W102" i="18"/>
  <c r="U125" i="18"/>
  <c r="V125" i="18" s="1"/>
  <c r="U26" i="18"/>
  <c r="V26" i="18" s="1"/>
  <c r="U189" i="18"/>
  <c r="V189" i="18" s="1"/>
  <c r="W201" i="18"/>
  <c r="W46" i="18"/>
  <c r="W17" i="18"/>
  <c r="U64" i="18"/>
  <c r="V64" i="18" s="1"/>
  <c r="W240" i="18"/>
  <c r="U254" i="18"/>
  <c r="V254" i="18" s="1"/>
  <c r="U36" i="18"/>
  <c r="V36" i="18" s="1"/>
  <c r="U39" i="18"/>
  <c r="V39" i="18" s="1"/>
  <c r="U217" i="18"/>
  <c r="V217" i="18" s="1"/>
  <c r="U173" i="18"/>
  <c r="V173" i="18" s="1"/>
  <c r="W27" i="18"/>
  <c r="U111" i="18"/>
  <c r="V111" i="18" s="1"/>
  <c r="U214" i="18"/>
  <c r="V214" i="18" s="1"/>
  <c r="U175" i="18"/>
  <c r="V175" i="18" s="1"/>
  <c r="U25" i="18"/>
  <c r="V25" i="18" s="1"/>
  <c r="U239" i="18"/>
  <c r="V239" i="18" s="1"/>
  <c r="U441" i="18"/>
  <c r="V441" i="18" s="1"/>
  <c r="U193" i="18"/>
  <c r="V193" i="18" s="1"/>
  <c r="W98" i="18"/>
  <c r="W31" i="18"/>
  <c r="W167" i="18"/>
  <c r="U415" i="18"/>
  <c r="V415" i="18" s="1"/>
  <c r="W95" i="18"/>
  <c r="W409" i="18"/>
  <c r="W184" i="18"/>
  <c r="W87" i="18"/>
  <c r="U117" i="18"/>
  <c r="V117" i="18" s="1"/>
  <c r="U266" i="18"/>
  <c r="V266" i="18" s="1"/>
  <c r="U237" i="18"/>
  <c r="V237" i="18" s="1"/>
  <c r="U259" i="18"/>
  <c r="V259" i="18" s="1"/>
  <c r="W436" i="18"/>
  <c r="U44" i="18"/>
  <c r="V44" i="18" s="1"/>
  <c r="U28" i="18"/>
  <c r="V28" i="18" s="1"/>
  <c r="W406" i="18"/>
  <c r="U219" i="18"/>
  <c r="V219" i="18" s="1"/>
  <c r="W207" i="18"/>
  <c r="U93" i="18"/>
  <c r="V93" i="18" s="1"/>
  <c r="W55" i="18"/>
  <c r="U459" i="18"/>
  <c r="V459" i="18" s="1"/>
  <c r="U141" i="18"/>
  <c r="V141" i="18" s="1"/>
  <c r="U251" i="18"/>
  <c r="V251" i="18" s="1"/>
  <c r="W202" i="18"/>
  <c r="U468" i="18"/>
  <c r="V468" i="18" s="1"/>
  <c r="U123" i="18"/>
  <c r="V123" i="18" s="1"/>
  <c r="W114" i="18"/>
  <c r="W96" i="18"/>
  <c r="U160" i="18"/>
  <c r="V160" i="18" s="1"/>
  <c r="W35" i="18"/>
  <c r="W227" i="18"/>
  <c r="U84" i="18"/>
  <c r="V84" i="18" s="1"/>
  <c r="U203" i="18"/>
  <c r="V203" i="18" s="1"/>
  <c r="W164" i="18"/>
  <c r="W231" i="18"/>
  <c r="U197" i="18"/>
  <c r="V197" i="18" s="1"/>
  <c r="W265" i="18"/>
  <c r="W405" i="18"/>
  <c r="U33" i="18"/>
  <c r="V33" i="18" s="1"/>
  <c r="U79" i="18"/>
  <c r="V79" i="18" s="1"/>
  <c r="U155" i="18"/>
  <c r="V155" i="18" s="1"/>
  <c r="U402" i="18"/>
  <c r="V402" i="18" s="1"/>
  <c r="W257" i="18"/>
  <c r="W127" i="18"/>
  <c r="U403" i="18"/>
  <c r="V403" i="18" s="1"/>
  <c r="U63" i="18"/>
  <c r="V63" i="18" s="1"/>
  <c r="U198" i="18"/>
  <c r="V198" i="18" s="1"/>
  <c r="U66" i="18"/>
  <c r="V66" i="18" s="1"/>
  <c r="W221" i="18"/>
  <c r="U226" i="18"/>
  <c r="V226" i="18" s="1"/>
  <c r="U121" i="18"/>
  <c r="V121" i="18" s="1"/>
  <c r="W177" i="18"/>
  <c r="W398" i="18"/>
  <c r="U404" i="18"/>
  <c r="V404" i="18" s="1"/>
  <c r="U106" i="18"/>
  <c r="V106" i="18" s="1"/>
  <c r="W116" i="18"/>
  <c r="U482" i="18"/>
  <c r="V482" i="18" s="1"/>
  <c r="U471" i="18"/>
  <c r="V471" i="18" s="1"/>
  <c r="W215" i="18"/>
  <c r="W138" i="18"/>
  <c r="W145" i="18"/>
  <c r="W57" i="18"/>
  <c r="U445" i="18"/>
  <c r="V445" i="18" s="1"/>
  <c r="U53" i="18"/>
  <c r="V53" i="18" s="1"/>
  <c r="U62" i="18"/>
  <c r="V62" i="18" s="1"/>
  <c r="W218" i="18"/>
  <c r="U162" i="18"/>
  <c r="V162" i="18" s="1"/>
  <c r="U446" i="18"/>
  <c r="V446" i="18" s="1"/>
  <c r="W178" i="18"/>
  <c r="W16" i="18"/>
  <c r="U19" i="18"/>
  <c r="V19" i="18" s="1"/>
  <c r="U156" i="18"/>
  <c r="V156" i="18" s="1"/>
  <c r="U242" i="18"/>
  <c r="V242" i="18" s="1"/>
  <c r="W94" i="18"/>
  <c r="U176" i="18"/>
  <c r="V176" i="18" s="1"/>
  <c r="U13" i="18"/>
  <c r="V13" i="18" s="1"/>
  <c r="U14" i="18"/>
  <c r="V14" i="18" s="1"/>
  <c r="U139" i="18"/>
  <c r="V139" i="18" s="1"/>
  <c r="W107" i="18"/>
  <c r="U391" i="18"/>
  <c r="V391" i="18" s="1"/>
  <c r="W49" i="18"/>
  <c r="W68" i="18"/>
  <c r="W67" i="18"/>
  <c r="W128" i="18"/>
  <c r="W199" i="18"/>
  <c r="U82" i="18"/>
  <c r="V82" i="18" s="1"/>
  <c r="W105" i="18"/>
  <c r="W229" i="18"/>
  <c r="W47" i="18"/>
  <c r="W146" i="18"/>
  <c r="W442" i="18"/>
  <c r="U390" i="18"/>
  <c r="V390" i="18" s="1"/>
  <c r="U264" i="18"/>
  <c r="V264" i="18" s="1"/>
  <c r="U152" i="18"/>
  <c r="V152" i="18" s="1"/>
  <c r="W165" i="18"/>
  <c r="U129" i="18"/>
  <c r="V129" i="18" s="1"/>
  <c r="W137" i="18"/>
  <c r="U11" i="18"/>
  <c r="V11" i="18" s="1"/>
  <c r="U235" i="18"/>
  <c r="V235" i="18" s="1"/>
  <c r="W187" i="18"/>
  <c r="W233" i="18"/>
  <c r="W473" i="18"/>
  <c r="U458" i="18"/>
  <c r="V458" i="18" s="1"/>
  <c r="W426" i="18"/>
  <c r="W255" i="18"/>
  <c r="W248" i="18"/>
  <c r="U74" i="18"/>
  <c r="V74" i="18" s="1"/>
  <c r="U400" i="18"/>
  <c r="V400" i="18" s="1"/>
  <c r="U230" i="18"/>
  <c r="V230" i="18" s="1"/>
  <c r="U410" i="18"/>
  <c r="V410" i="18" s="1"/>
  <c r="W43" i="18"/>
  <c r="W250" i="18"/>
  <c r="W71" i="18"/>
  <c r="W150" i="18"/>
  <c r="U126" i="18"/>
  <c r="V126" i="18" s="1"/>
  <c r="U427" i="18"/>
  <c r="V427" i="18" s="1"/>
  <c r="U223" i="18"/>
  <c r="V223" i="18" s="1"/>
  <c r="U234" i="18"/>
  <c r="V234" i="18" s="1"/>
  <c r="U181" i="18"/>
  <c r="V181" i="18" s="1"/>
  <c r="U29" i="18"/>
  <c r="V29" i="18" s="1"/>
  <c r="W144" i="18"/>
  <c r="U169" i="18"/>
  <c r="V169" i="18" s="1"/>
  <c r="U469" i="18"/>
  <c r="V469" i="18" s="1"/>
  <c r="U83" i="18"/>
  <c r="V83" i="18" s="1"/>
  <c r="W12" i="18"/>
  <c r="U119" i="18"/>
  <c r="V119" i="18" s="1"/>
  <c r="U115" i="18"/>
  <c r="V115" i="18" s="1"/>
  <c r="W30" i="18"/>
  <c r="W131" i="18"/>
  <c r="U188" i="18"/>
  <c r="V188" i="18" s="1"/>
  <c r="U103" i="18"/>
  <c r="V103" i="18" s="1"/>
  <c r="U196" i="18"/>
  <c r="V196" i="18" s="1"/>
  <c r="W91" i="18"/>
  <c r="U186" i="18"/>
  <c r="V186" i="18" s="1"/>
  <c r="U92" i="18"/>
  <c r="V92" i="18" s="1"/>
  <c r="U158" i="18"/>
  <c r="V158" i="18" s="1"/>
  <c r="U191" i="18"/>
  <c r="V191" i="18" s="1"/>
  <c r="U85" i="18"/>
  <c r="V85" i="18" s="1"/>
  <c r="W142" i="18"/>
  <c r="W163" i="18"/>
  <c r="U168" i="18"/>
  <c r="V168" i="18" s="1"/>
  <c r="W194" i="18"/>
  <c r="U147" i="18"/>
  <c r="V147" i="18" s="1"/>
  <c r="U104" i="18"/>
  <c r="V104" i="18" s="1"/>
  <c r="U192" i="18"/>
  <c r="V192" i="18" s="1"/>
  <c r="U89" i="18"/>
  <c r="V89" i="18" s="1"/>
  <c r="U132" i="18"/>
  <c r="V132" i="18" s="1"/>
  <c r="W159" i="18"/>
  <c r="W209" i="18"/>
  <c r="W100" i="18"/>
  <c r="W135" i="18"/>
  <c r="U170" i="18"/>
  <c r="V170" i="18" s="1"/>
  <c r="W171" i="18"/>
  <c r="U182" i="18"/>
  <c r="V182" i="18" s="1"/>
  <c r="U157" i="18"/>
  <c r="V157" i="18" s="1"/>
  <c r="W140" i="18"/>
  <c r="W86" i="18"/>
  <c r="W20" i="18"/>
  <c r="U90" i="18"/>
  <c r="V90" i="18" s="1"/>
  <c r="U99" i="18"/>
  <c r="V99" i="18" s="1"/>
  <c r="U81" i="18"/>
  <c r="V81" i="18" s="1"/>
  <c r="W148" i="18"/>
  <c r="W97" i="18"/>
  <c r="W118" i="18"/>
  <c r="W212" i="18"/>
  <c r="W10" i="18"/>
  <c r="W143" i="18"/>
  <c r="W190" i="18"/>
  <c r="U18" i="18"/>
  <c r="V18" i="18" s="1"/>
  <c r="W101" i="18"/>
  <c r="U211" i="18"/>
  <c r="V211" i="18" s="1"/>
  <c r="W113" i="18"/>
  <c r="W69" i="18"/>
  <c r="W88" i="18"/>
  <c r="W112" i="18"/>
  <c r="W200" i="18"/>
  <c r="U206" i="18"/>
  <c r="V206" i="18" s="1"/>
  <c r="W195" i="18"/>
  <c r="U122" i="18"/>
  <c r="V122" i="18" s="1"/>
  <c r="U136" i="18"/>
  <c r="V136" i="18" s="1"/>
  <c r="W130" i="18"/>
  <c r="W179" i="18"/>
  <c r="U208" i="18"/>
  <c r="V208" i="18" s="1"/>
  <c r="W166" i="18"/>
  <c r="W15" i="18"/>
  <c r="W40" i="18"/>
  <c r="U252" i="18"/>
  <c r="V252" i="18" s="1"/>
  <c r="U108" i="18"/>
  <c r="V108" i="18" s="1"/>
  <c r="U80" i="18"/>
  <c r="V80" i="18" s="1"/>
  <c r="W180" i="18"/>
  <c r="W60" i="18"/>
  <c r="W185" i="18"/>
  <c r="W109" i="18"/>
  <c r="W425" i="18"/>
  <c r="U56" i="18"/>
  <c r="V56" i="18" s="1"/>
  <c r="U224" i="18"/>
  <c r="V224" i="18" s="1"/>
  <c r="U154" i="18"/>
  <c r="V154" i="18" s="1"/>
  <c r="U249" i="18"/>
  <c r="V249" i="18" s="1"/>
  <c r="U61" i="18"/>
  <c r="V61" i="18" s="1"/>
  <c r="U48" i="18"/>
  <c r="V48" i="18" s="1"/>
  <c r="U45" i="18"/>
  <c r="V45" i="18" s="1"/>
  <c r="W41" i="18"/>
  <c r="W51" i="18"/>
  <c r="W42" i="18"/>
  <c r="W65" i="18"/>
  <c r="W245" i="18"/>
  <c r="W261" i="18"/>
  <c r="U256" i="18"/>
  <c r="V256" i="18" s="1"/>
  <c r="W262" i="18"/>
  <c r="W244" i="18"/>
  <c r="W220" i="18"/>
  <c r="U241" i="18"/>
  <c r="V241" i="18" s="1"/>
  <c r="W393" i="18"/>
  <c r="U32" i="18"/>
  <c r="V32" i="18" s="1"/>
  <c r="U59" i="18"/>
  <c r="V59" i="18" s="1"/>
  <c r="W260" i="18"/>
  <c r="U238" i="18"/>
  <c r="V238" i="18" s="1"/>
  <c r="U70" i="18"/>
  <c r="V70" i="18" s="1"/>
  <c r="U450" i="18"/>
  <c r="V450" i="18" s="1"/>
  <c r="W216" i="18"/>
  <c r="U247" i="18"/>
  <c r="V247" i="18" s="1"/>
  <c r="W451" i="18"/>
  <c r="U407" i="18"/>
  <c r="V407" i="18" s="1"/>
  <c r="W388" i="18"/>
  <c r="U408" i="18"/>
  <c r="V408" i="18" s="1"/>
  <c r="W440" i="18"/>
  <c r="U392" i="18"/>
  <c r="V392" i="18" s="1"/>
  <c r="W419" i="18"/>
  <c r="W479" i="18"/>
  <c r="U434" i="18"/>
  <c r="V434" i="18" s="1"/>
  <c r="W399" i="18"/>
  <c r="U470" i="18"/>
  <c r="V470" i="18" s="1"/>
  <c r="W448" i="18"/>
  <c r="U454" i="18"/>
  <c r="V454" i="18" s="1"/>
  <c r="W444" i="18"/>
  <c r="U397" i="18"/>
  <c r="V397" i="18" s="1"/>
  <c r="W389" i="18"/>
  <c r="W455" i="18"/>
  <c r="U500" i="18"/>
  <c r="V500" i="18" s="1"/>
  <c r="W483" i="18"/>
  <c r="U503" i="18"/>
  <c r="V503" i="18" s="1"/>
  <c r="W474" i="18"/>
  <c r="W509" i="18"/>
  <c r="W416" i="18"/>
  <c r="W432" i="18"/>
  <c r="W395" i="18"/>
  <c r="U429" i="18"/>
  <c r="V429" i="18" s="1"/>
  <c r="U420" i="18"/>
  <c r="V420" i="18" s="1"/>
  <c r="U485" i="18"/>
  <c r="V485" i="18" s="1"/>
  <c r="U476" i="18"/>
  <c r="V476" i="18" s="1"/>
  <c r="W414" i="18"/>
  <c r="W453" i="18"/>
  <c r="U501" i="18"/>
  <c r="V501" i="18" s="1"/>
  <c r="U502" i="18"/>
  <c r="V502" i="18" s="1"/>
  <c r="W439" i="18"/>
  <c r="U443" i="18"/>
  <c r="V443" i="18" s="1"/>
  <c r="U418" i="18"/>
  <c r="V418" i="18" s="1"/>
  <c r="U452" i="18"/>
  <c r="V452" i="18" s="1"/>
  <c r="W421" i="18"/>
  <c r="W431" i="18"/>
  <c r="W413" i="18"/>
  <c r="U437" i="18"/>
  <c r="V437" i="18" s="1"/>
  <c r="W417" i="18"/>
  <c r="U435" i="18"/>
  <c r="V435" i="18" s="1"/>
  <c r="U480" i="18"/>
  <c r="V480" i="18" s="1"/>
  <c r="U449" i="18"/>
  <c r="V449" i="18" s="1"/>
  <c r="W457" i="18"/>
  <c r="U433" i="18"/>
  <c r="V433" i="18" s="1"/>
  <c r="U475" i="18"/>
  <c r="V475" i="18" s="1"/>
  <c r="U438" i="18"/>
  <c r="V438" i="18" s="1"/>
  <c r="U424" i="18"/>
  <c r="V424" i="18" s="1"/>
  <c r="W456" i="18"/>
  <c r="W447" i="18"/>
  <c r="U412" i="18"/>
  <c r="V412" i="18" s="1"/>
  <c r="U499" i="18"/>
  <c r="V499" i="18" s="1"/>
  <c r="W506" i="18"/>
  <c r="W507" i="18"/>
  <c r="U504" i="18"/>
  <c r="V504" i="18" s="1"/>
  <c r="W484" i="18"/>
  <c r="U481" i="18"/>
  <c r="V481" i="18" s="1"/>
  <c r="U508" i="18"/>
  <c r="V508" i="18" s="1"/>
  <c r="W505" i="18"/>
  <c r="W301" i="18"/>
  <c r="W359" i="18"/>
  <c r="W308" i="18"/>
  <c r="U293" i="18"/>
  <c r="V293" i="18" s="1"/>
  <c r="W360" i="18"/>
  <c r="U292" i="18"/>
  <c r="V292" i="18" s="1"/>
  <c r="W287" i="18"/>
  <c r="W294" i="18"/>
  <c r="W295" i="18"/>
  <c r="W309" i="18"/>
  <c r="W302" i="18"/>
  <c r="W307" i="18"/>
  <c r="W303" i="18"/>
  <c r="W290" i="18"/>
  <c r="U306" i="18"/>
  <c r="V306" i="18" s="1"/>
  <c r="W298" i="18"/>
  <c r="W291" i="18"/>
  <c r="U284" i="18"/>
  <c r="V284" i="18" s="1"/>
  <c r="U289" i="18"/>
  <c r="V289" i="18" s="1"/>
  <c r="W285" i="18"/>
  <c r="U300" i="18"/>
  <c r="V300" i="18" s="1"/>
  <c r="W361" i="18"/>
  <c r="W286" i="18"/>
  <c r="U296" i="18"/>
  <c r="V296" i="18" s="1"/>
  <c r="U299" i="18"/>
  <c r="V299" i="18" s="1"/>
  <c r="U311" i="18"/>
  <c r="V311" i="18" s="1"/>
  <c r="W288" i="18"/>
  <c r="U297" i="18"/>
  <c r="V297" i="18" s="1"/>
  <c r="W282" i="18"/>
  <c r="U314" i="18"/>
  <c r="V314" i="18" s="1"/>
  <c r="U304" i="18"/>
  <c r="V304" i="18" s="1"/>
  <c r="W364" i="18"/>
  <c r="W310" i="18"/>
  <c r="W283" i="18"/>
  <c r="W313" i="18"/>
  <c r="U305" i="18"/>
  <c r="V305" i="18" s="1"/>
  <c r="U315" i="18"/>
  <c r="V315" i="18" s="1"/>
  <c r="U312" i="18"/>
  <c r="V312" i="18" s="1"/>
  <c r="U362" i="18"/>
  <c r="V362" i="18" s="1"/>
  <c r="W363" i="18"/>
  <c r="U358" i="18"/>
  <c r="V358" i="18" s="1"/>
  <c r="Q34" i="17"/>
  <c r="U34" i="17"/>
  <c r="T34" i="17"/>
  <c r="S34" i="17"/>
  <c r="R34" i="17"/>
  <c r="U23" i="17"/>
  <c r="P34" i="17" l="1"/>
  <c r="V34" i="17"/>
  <c r="Y34" i="17" l="1"/>
  <c r="U35" i="17" s="1"/>
  <c r="T35" i="17" l="1"/>
  <c r="Q35" i="17"/>
  <c r="W35" i="17"/>
  <c r="R35" i="17"/>
  <c r="S35" i="17"/>
  <c r="V35" i="17"/>
  <c r="X35" i="17"/>
  <c r="P35" i="17"/>
  <c r="A1" i="18"/>
  <c r="Y35" i="17" l="1"/>
  <c r="F29" i="17" l="1"/>
  <c r="E29" i="17"/>
  <c r="D29" i="17"/>
  <c r="S3" i="18"/>
  <c r="S4" i="18" s="1"/>
  <c r="S5" i="18" s="1"/>
  <c r="I23" i="17"/>
  <c r="E34" i="17"/>
  <c r="F34" i="17"/>
  <c r="G34" i="17"/>
  <c r="H34" i="17"/>
  <c r="I34" i="17"/>
  <c r="H29" i="17" l="1"/>
  <c r="D34" i="17"/>
  <c r="J34" i="17"/>
  <c r="M34" i="17" l="1"/>
  <c r="E35" i="17" s="1"/>
  <c r="K517" i="18" l="1"/>
  <c r="K478" i="18"/>
  <c r="K466" i="18"/>
  <c r="K462" i="18"/>
  <c r="K464" i="18"/>
  <c r="K519" i="18"/>
  <c r="K387" i="18"/>
  <c r="K510" i="18"/>
  <c r="K461" i="18"/>
  <c r="K515" i="18"/>
  <c r="K467" i="18"/>
  <c r="K514" i="18"/>
  <c r="K460" i="18"/>
  <c r="K513" i="18"/>
  <c r="K516" i="18"/>
  <c r="K511" i="18"/>
  <c r="K463" i="18"/>
  <c r="K518" i="18"/>
  <c r="K465" i="18"/>
  <c r="K512" i="18"/>
  <c r="K35" i="17"/>
  <c r="J35" i="17"/>
  <c r="D35" i="17"/>
  <c r="K385" i="18"/>
  <c r="K386" i="18"/>
  <c r="F35" i="17"/>
  <c r="G35" i="17"/>
  <c r="H35" i="17"/>
  <c r="I35" i="17"/>
  <c r="L35" i="17"/>
  <c r="K2" i="18" l="1"/>
  <c r="R328" i="18"/>
  <c r="R320" i="18"/>
  <c r="R276" i="18"/>
  <c r="R277" i="18"/>
  <c r="O320" i="18"/>
  <c r="O276" i="18"/>
  <c r="O277" i="18"/>
  <c r="O328" i="18"/>
  <c r="P386" i="18"/>
  <c r="P385" i="18"/>
  <c r="Q385" i="18"/>
  <c r="Q518" i="18"/>
  <c r="Q511" i="18"/>
  <c r="Q516" i="18"/>
  <c r="Q519" i="18"/>
  <c r="Q512" i="18"/>
  <c r="Q513" i="18"/>
  <c r="Q510" i="18"/>
  <c r="Q514" i="18"/>
  <c r="Q515" i="18"/>
  <c r="Q517" i="18"/>
  <c r="M514" i="18"/>
  <c r="M513" i="18"/>
  <c r="M518" i="18"/>
  <c r="M516" i="18"/>
  <c r="M519" i="18"/>
  <c r="M511" i="18"/>
  <c r="M510" i="18"/>
  <c r="M512" i="18"/>
  <c r="M517" i="18"/>
  <c r="M515" i="18"/>
  <c r="N465" i="18"/>
  <c r="N516" i="18"/>
  <c r="N511" i="18"/>
  <c r="N514" i="18"/>
  <c r="N467" i="18"/>
  <c r="N387" i="18"/>
  <c r="N515" i="18"/>
  <c r="N478" i="18"/>
  <c r="N461" i="18"/>
  <c r="N512" i="18"/>
  <c r="N462" i="18"/>
  <c r="N517" i="18"/>
  <c r="N464" i="18"/>
  <c r="N463" i="18"/>
  <c r="N466" i="18"/>
  <c r="N510" i="18"/>
  <c r="N519" i="18"/>
  <c r="N513" i="18"/>
  <c r="N518" i="18"/>
  <c r="N460" i="18"/>
  <c r="R463" i="18"/>
  <c r="R512" i="18"/>
  <c r="R461" i="18"/>
  <c r="R515" i="18"/>
  <c r="R387" i="18"/>
  <c r="R478" i="18"/>
  <c r="R464" i="18"/>
  <c r="R516" i="18"/>
  <c r="R465" i="18"/>
  <c r="R514" i="18"/>
  <c r="R518" i="18"/>
  <c r="R462" i="18"/>
  <c r="R517" i="18"/>
  <c r="R510" i="18"/>
  <c r="R519" i="18"/>
  <c r="R511" i="18"/>
  <c r="R466" i="18"/>
  <c r="R513" i="18"/>
  <c r="R460" i="18"/>
  <c r="R467" i="18"/>
  <c r="L517" i="18"/>
  <c r="L513" i="18"/>
  <c r="L512" i="18"/>
  <c r="L515" i="18"/>
  <c r="L519" i="18"/>
  <c r="L511" i="18"/>
  <c r="L514" i="18"/>
  <c r="L516" i="18"/>
  <c r="L518" i="18"/>
  <c r="L510" i="18"/>
  <c r="Q386" i="18"/>
  <c r="O460" i="18"/>
  <c r="O462" i="18"/>
  <c r="O512" i="18"/>
  <c r="O461" i="18"/>
  <c r="O478" i="18"/>
  <c r="O466" i="18"/>
  <c r="O465" i="18"/>
  <c r="O518" i="18"/>
  <c r="O513" i="18"/>
  <c r="O519" i="18"/>
  <c r="O463" i="18"/>
  <c r="O514" i="18"/>
  <c r="O511" i="18"/>
  <c r="O387" i="18"/>
  <c r="O516" i="18"/>
  <c r="O515" i="18"/>
  <c r="O510" i="18"/>
  <c r="O464" i="18"/>
  <c r="O517" i="18"/>
  <c r="O467" i="18"/>
  <c r="J512" i="18"/>
  <c r="J465" i="18"/>
  <c r="J518" i="18"/>
  <c r="J387" i="18"/>
  <c r="J515" i="18"/>
  <c r="J516" i="18"/>
  <c r="J513" i="18"/>
  <c r="J462" i="18"/>
  <c r="J460" i="18"/>
  <c r="J519" i="18"/>
  <c r="J463" i="18"/>
  <c r="J466" i="18"/>
  <c r="J478" i="18"/>
  <c r="J461" i="18"/>
  <c r="J517" i="18"/>
  <c r="J511" i="18"/>
  <c r="J464" i="18"/>
  <c r="J514" i="18"/>
  <c r="J467" i="18"/>
  <c r="J510" i="18"/>
  <c r="P511" i="18"/>
  <c r="P517" i="18"/>
  <c r="P519" i="18"/>
  <c r="P510" i="18"/>
  <c r="P518" i="18"/>
  <c r="P513" i="18"/>
  <c r="P515" i="18"/>
  <c r="P514" i="18"/>
  <c r="P512" i="18"/>
  <c r="P516" i="18"/>
  <c r="O269" i="18"/>
  <c r="O271" i="18"/>
  <c r="O324" i="18"/>
  <c r="O273" i="18"/>
  <c r="O280" i="18"/>
  <c r="O332" i="18"/>
  <c r="O317" i="18"/>
  <c r="O272" i="18"/>
  <c r="O329" i="18"/>
  <c r="O327" i="18"/>
  <c r="O319" i="18"/>
  <c r="O330" i="18"/>
  <c r="O323" i="18"/>
  <c r="O281" i="18"/>
  <c r="O268" i="18"/>
  <c r="O316" i="18"/>
  <c r="O331" i="18"/>
  <c r="O326" i="18"/>
  <c r="O274" i="18"/>
  <c r="O275" i="18"/>
  <c r="O270" i="18"/>
  <c r="O325" i="18"/>
  <c r="O318" i="18"/>
  <c r="O321" i="18"/>
  <c r="O279" i="18"/>
  <c r="O278" i="18"/>
  <c r="O322" i="18"/>
  <c r="R280" i="18"/>
  <c r="R326" i="18"/>
  <c r="R331" i="18"/>
  <c r="R319" i="18"/>
  <c r="R268" i="18"/>
  <c r="R332" i="18"/>
  <c r="R269" i="18"/>
  <c r="R324" i="18"/>
  <c r="R316" i="18"/>
  <c r="R329" i="18"/>
  <c r="R271" i="18"/>
  <c r="R275" i="18"/>
  <c r="R272" i="18"/>
  <c r="R321" i="18"/>
  <c r="R318" i="18"/>
  <c r="R317" i="18"/>
  <c r="R323" i="18"/>
  <c r="R322" i="18"/>
  <c r="R270" i="18"/>
  <c r="R327" i="18"/>
  <c r="R278" i="18"/>
  <c r="R273" i="18"/>
  <c r="R279" i="18"/>
  <c r="R325" i="18"/>
  <c r="R274" i="18"/>
  <c r="R281" i="18"/>
  <c r="R330" i="18"/>
  <c r="M385" i="18"/>
  <c r="M386" i="18"/>
  <c r="R343" i="18"/>
  <c r="R355" i="18"/>
  <c r="R344" i="18"/>
  <c r="R366" i="18"/>
  <c r="R382" i="18"/>
  <c r="R381" i="18"/>
  <c r="R353" i="18"/>
  <c r="R375" i="18"/>
  <c r="R346" i="18"/>
  <c r="R357" i="18"/>
  <c r="R380" i="18"/>
  <c r="R370" i="18"/>
  <c r="R386" i="18"/>
  <c r="R379" i="18"/>
  <c r="R368" i="18"/>
  <c r="R384" i="18"/>
  <c r="R373" i="18"/>
  <c r="R385" i="18"/>
  <c r="R348" i="18"/>
  <c r="R352" i="18"/>
  <c r="R374" i="18"/>
  <c r="R365" i="18"/>
  <c r="R345" i="18"/>
  <c r="R349" i="18"/>
  <c r="R367" i="18"/>
  <c r="R383" i="18"/>
  <c r="R350" i="18"/>
  <c r="R356" i="18"/>
  <c r="R371" i="18"/>
  <c r="R338" i="18"/>
  <c r="R342" i="18"/>
  <c r="R336" i="18"/>
  <c r="R333" i="18"/>
  <c r="R351" i="18"/>
  <c r="R378" i="18"/>
  <c r="R347" i="18"/>
  <c r="R369" i="18"/>
  <c r="R372" i="18"/>
  <c r="R339" i="18"/>
  <c r="R335" i="18"/>
  <c r="R337" i="18"/>
  <c r="R377" i="18"/>
  <c r="R341" i="18"/>
  <c r="R354" i="18"/>
  <c r="R376" i="18"/>
  <c r="R340" i="18"/>
  <c r="R334" i="18"/>
  <c r="R267" i="18"/>
  <c r="L385" i="18"/>
  <c r="L386" i="18"/>
  <c r="N385" i="18"/>
  <c r="N386" i="18"/>
  <c r="O352" i="18"/>
  <c r="O374" i="18"/>
  <c r="O365" i="18"/>
  <c r="O367" i="18"/>
  <c r="O383" i="18"/>
  <c r="O369" i="18"/>
  <c r="O357" i="18"/>
  <c r="O368" i="18"/>
  <c r="O380" i="18"/>
  <c r="O355" i="18"/>
  <c r="O356" i="18"/>
  <c r="O378" i="18"/>
  <c r="O347" i="18"/>
  <c r="O377" i="18"/>
  <c r="O349" i="18"/>
  <c r="O371" i="18"/>
  <c r="O346" i="18"/>
  <c r="O350" i="18"/>
  <c r="O372" i="18"/>
  <c r="O373" i="18"/>
  <c r="O344" i="18"/>
  <c r="O366" i="18"/>
  <c r="O382" i="18"/>
  <c r="O381" i="18"/>
  <c r="O353" i="18"/>
  <c r="O375" i="18"/>
  <c r="O354" i="18"/>
  <c r="O343" i="18"/>
  <c r="O348" i="18"/>
  <c r="O370" i="18"/>
  <c r="O379" i="18"/>
  <c r="O339" i="18"/>
  <c r="O335" i="18"/>
  <c r="O337" i="18"/>
  <c r="O342" i="18"/>
  <c r="O386" i="18"/>
  <c r="O345" i="18"/>
  <c r="O376" i="18"/>
  <c r="O384" i="18"/>
  <c r="O340" i="18"/>
  <c r="O334" i="18"/>
  <c r="O336" i="18"/>
  <c r="O351" i="18"/>
  <c r="O341" i="18"/>
  <c r="O385" i="18"/>
  <c r="O338" i="18"/>
  <c r="O333" i="18"/>
  <c r="O267" i="18"/>
  <c r="J385" i="18"/>
  <c r="J386" i="18"/>
  <c r="M35" i="17"/>
  <c r="T328" i="18" l="1"/>
  <c r="U328" i="18" s="1"/>
  <c r="V328" i="18" s="1"/>
  <c r="T319" i="18"/>
  <c r="U319" i="18" s="1"/>
  <c r="V319" i="18" s="1"/>
  <c r="J2" i="18"/>
  <c r="J3" i="18" s="1"/>
  <c r="O2" i="18"/>
  <c r="O3" i="18" s="1"/>
  <c r="N2" i="18"/>
  <c r="N3" i="18" s="1"/>
  <c r="Q2" i="18"/>
  <c r="Q3" i="18" s="1"/>
  <c r="P2" i="18"/>
  <c r="P3" i="18" s="1"/>
  <c r="R2" i="18"/>
  <c r="R3" i="18" s="1"/>
  <c r="R4" i="18" s="1"/>
  <c r="G17" i="19" s="1"/>
  <c r="L2" i="18"/>
  <c r="L3" i="18" s="1"/>
  <c r="R4" i="34" s="1"/>
  <c r="M2" i="18"/>
  <c r="M3" i="18" s="1"/>
  <c r="T276" i="18"/>
  <c r="U276" i="18" s="1"/>
  <c r="V276" i="18" s="1"/>
  <c r="T320" i="18"/>
  <c r="W320" i="18" s="1"/>
  <c r="T277" i="18"/>
  <c r="W277" i="18" s="1"/>
  <c r="T466" i="18"/>
  <c r="W466" i="18" s="1"/>
  <c r="T516" i="18"/>
  <c r="U516" i="18" s="1"/>
  <c r="V516" i="18" s="1"/>
  <c r="T467" i="18"/>
  <c r="U467" i="18" s="1"/>
  <c r="V467" i="18" s="1"/>
  <c r="T478" i="18"/>
  <c r="U478" i="18" s="1"/>
  <c r="V478" i="18" s="1"/>
  <c r="T513" i="18"/>
  <c r="W513" i="18" s="1"/>
  <c r="T510" i="18"/>
  <c r="U510" i="18" s="1"/>
  <c r="V510" i="18" s="1"/>
  <c r="T514" i="18"/>
  <c r="U514" i="18" s="1"/>
  <c r="V514" i="18" s="1"/>
  <c r="T519" i="18"/>
  <c r="U519" i="18" s="1"/>
  <c r="V519" i="18" s="1"/>
  <c r="T518" i="18"/>
  <c r="U518" i="18" s="1"/>
  <c r="V518" i="18" s="1"/>
  <c r="T511" i="18"/>
  <c r="U511" i="18" s="1"/>
  <c r="V511" i="18" s="1"/>
  <c r="T461" i="18"/>
  <c r="U461" i="18" s="1"/>
  <c r="V461" i="18" s="1"/>
  <c r="T462" i="18"/>
  <c r="W462" i="18" s="1"/>
  <c r="T515" i="18"/>
  <c r="U515" i="18" s="1"/>
  <c r="V515" i="18" s="1"/>
  <c r="T465" i="18"/>
  <c r="U465" i="18" s="1"/>
  <c r="V465" i="18" s="1"/>
  <c r="T512" i="18"/>
  <c r="T464" i="18"/>
  <c r="W464" i="18" s="1"/>
  <c r="T517" i="18"/>
  <c r="U517" i="18" s="1"/>
  <c r="V517" i="18" s="1"/>
  <c r="T463" i="18"/>
  <c r="W463" i="18" s="1"/>
  <c r="T460" i="18"/>
  <c r="U460" i="18" s="1"/>
  <c r="V460" i="18" s="1"/>
  <c r="T387" i="18"/>
  <c r="T332" i="18"/>
  <c r="W332" i="18" s="1"/>
  <c r="T272" i="18"/>
  <c r="U272" i="18" s="1"/>
  <c r="V272" i="18" s="1"/>
  <c r="T322" i="18"/>
  <c r="U322" i="18" s="1"/>
  <c r="V322" i="18" s="1"/>
  <c r="T329" i="18"/>
  <c r="U329" i="18" s="1"/>
  <c r="V329" i="18" s="1"/>
  <c r="T323" i="18"/>
  <c r="U323" i="18" s="1"/>
  <c r="V323" i="18" s="1"/>
  <c r="T324" i="18"/>
  <c r="U324" i="18" s="1"/>
  <c r="V324" i="18" s="1"/>
  <c r="T331" i="18"/>
  <c r="U331" i="18" s="1"/>
  <c r="V331" i="18" s="1"/>
  <c r="T325" i="18"/>
  <c r="U325" i="18" s="1"/>
  <c r="V325" i="18" s="1"/>
  <c r="T326" i="18"/>
  <c r="U326" i="18" s="1"/>
  <c r="V326" i="18" s="1"/>
  <c r="T268" i="18"/>
  <c r="W268" i="18" s="1"/>
  <c r="T274" i="18"/>
  <c r="U274" i="18" s="1"/>
  <c r="V274" i="18" s="1"/>
  <c r="T318" i="18"/>
  <c r="U318" i="18" s="1"/>
  <c r="V318" i="18" s="1"/>
  <c r="T330" i="18"/>
  <c r="W330" i="18" s="1"/>
  <c r="T279" i="18"/>
  <c r="U279" i="18" s="1"/>
  <c r="V279" i="18" s="1"/>
  <c r="T317" i="18"/>
  <c r="W317" i="18" s="1"/>
  <c r="T327" i="18"/>
  <c r="U327" i="18" s="1"/>
  <c r="V327" i="18" s="1"/>
  <c r="T271" i="18"/>
  <c r="W271" i="18" s="1"/>
  <c r="T316" i="18"/>
  <c r="U316" i="18" s="1"/>
  <c r="V316" i="18" s="1"/>
  <c r="T270" i="18"/>
  <c r="U270" i="18" s="1"/>
  <c r="V270" i="18" s="1"/>
  <c r="T269" i="18"/>
  <c r="W269" i="18" s="1"/>
  <c r="T281" i="18"/>
  <c r="U281" i="18" s="1"/>
  <c r="V281" i="18" s="1"/>
  <c r="T321" i="18"/>
  <c r="U321" i="18" s="1"/>
  <c r="V321" i="18" s="1"/>
  <c r="T278" i="18"/>
  <c r="W278" i="18" s="1"/>
  <c r="T273" i="18"/>
  <c r="U273" i="18" s="1"/>
  <c r="V273" i="18" s="1"/>
  <c r="T280" i="18"/>
  <c r="U280" i="18" s="1"/>
  <c r="V280" i="18" s="1"/>
  <c r="T275" i="18"/>
  <c r="U275" i="18" s="1"/>
  <c r="V275" i="18" s="1"/>
  <c r="T355" i="18"/>
  <c r="W355" i="18" s="1"/>
  <c r="T336" i="18"/>
  <c r="W336" i="18" s="1"/>
  <c r="T343" i="18"/>
  <c r="W343" i="18" s="1"/>
  <c r="T267" i="18"/>
  <c r="T340" i="18"/>
  <c r="W340" i="18" s="1"/>
  <c r="T342" i="18"/>
  <c r="W342" i="18" s="1"/>
  <c r="T382" i="18"/>
  <c r="W382" i="18" s="1"/>
  <c r="T376" i="18"/>
  <c r="W376" i="18" s="1"/>
  <c r="T371" i="18"/>
  <c r="W371" i="18" s="1"/>
  <c r="T378" i="18"/>
  <c r="W378" i="18" s="1"/>
  <c r="T350" i="18"/>
  <c r="W350" i="18" s="1"/>
  <c r="T349" i="18"/>
  <c r="W349" i="18" s="1"/>
  <c r="T374" i="18"/>
  <c r="W374" i="18" s="1"/>
  <c r="T333" i="18"/>
  <c r="W333" i="18" s="1"/>
  <c r="T346" i="18"/>
  <c r="W346" i="18" s="1"/>
  <c r="T372" i="18"/>
  <c r="W372" i="18" s="1"/>
  <c r="T386" i="18"/>
  <c r="W386" i="18" s="1"/>
  <c r="T337" i="18"/>
  <c r="W337" i="18" s="1"/>
  <c r="T379" i="18"/>
  <c r="W379" i="18" s="1"/>
  <c r="T341" i="18"/>
  <c r="W341" i="18" s="1"/>
  <c r="T338" i="18"/>
  <c r="W338" i="18" s="1"/>
  <c r="T385" i="18"/>
  <c r="W385" i="18" s="1"/>
  <c r="T375" i="18"/>
  <c r="W375" i="18" s="1"/>
  <c r="T366" i="18"/>
  <c r="W366" i="18" s="1"/>
  <c r="T354" i="18"/>
  <c r="W354" i="18" s="1"/>
  <c r="T356" i="18"/>
  <c r="W356" i="18" s="1"/>
  <c r="T369" i="18"/>
  <c r="W369" i="18" s="1"/>
  <c r="T345" i="18"/>
  <c r="W345" i="18" s="1"/>
  <c r="T352" i="18"/>
  <c r="W352" i="18" s="1"/>
  <c r="T339" i="18"/>
  <c r="W339" i="18" s="1"/>
  <c r="T368" i="18"/>
  <c r="W368" i="18" s="1"/>
  <c r="T384" i="18"/>
  <c r="W384" i="18" s="1"/>
  <c r="T381" i="18"/>
  <c r="W381" i="18" s="1"/>
  <c r="T347" i="18"/>
  <c r="W347" i="18" s="1"/>
  <c r="T367" i="18"/>
  <c r="W367" i="18" s="1"/>
  <c r="T334" i="18"/>
  <c r="W334" i="18" s="1"/>
  <c r="T335" i="18"/>
  <c r="W335" i="18" s="1"/>
  <c r="T370" i="18"/>
  <c r="W370" i="18" s="1"/>
  <c r="T380" i="18"/>
  <c r="W380" i="18" s="1"/>
  <c r="T357" i="18"/>
  <c r="W357" i="18" s="1"/>
  <c r="T353" i="18"/>
  <c r="W353" i="18" s="1"/>
  <c r="T344" i="18"/>
  <c r="W344" i="18" s="1"/>
  <c r="T351" i="18"/>
  <c r="W351" i="18" s="1"/>
  <c r="T377" i="18"/>
  <c r="W377" i="18" s="1"/>
  <c r="T348" i="18"/>
  <c r="W348" i="18" s="1"/>
  <c r="T383" i="18"/>
  <c r="W383" i="18" s="1"/>
  <c r="T365" i="18"/>
  <c r="W365" i="18" s="1"/>
  <c r="T373" i="18"/>
  <c r="W373" i="18" s="1"/>
  <c r="K3" i="18"/>
  <c r="L4" i="34" s="1"/>
  <c r="T2" i="18" l="1"/>
  <c r="W328" i="18"/>
  <c r="U320" i="18"/>
  <c r="V320" i="18" s="1"/>
  <c r="U277" i="18"/>
  <c r="V277" i="18" s="1"/>
  <c r="W276" i="18"/>
  <c r="P4" i="18"/>
  <c r="Q4" i="18"/>
  <c r="AL4" i="34"/>
  <c r="AF4" i="34"/>
  <c r="Y4" i="34"/>
  <c r="H4" i="34"/>
  <c r="AR4" i="34"/>
  <c r="AU4" i="34"/>
  <c r="W516" i="18"/>
  <c r="W478" i="18"/>
  <c r="W460" i="18"/>
  <c r="W465" i="18"/>
  <c r="W511" i="18"/>
  <c r="U466" i="18"/>
  <c r="V466" i="18" s="1"/>
  <c r="W517" i="18"/>
  <c r="W515" i="18"/>
  <c r="W518" i="18"/>
  <c r="W467" i="18"/>
  <c r="U463" i="18"/>
  <c r="V463" i="18" s="1"/>
  <c r="U464" i="18"/>
  <c r="V464" i="18" s="1"/>
  <c r="U513" i="18"/>
  <c r="V513" i="18" s="1"/>
  <c r="U512" i="18"/>
  <c r="V512" i="18" s="1"/>
  <c r="W512" i="18"/>
  <c r="W387" i="18"/>
  <c r="U387" i="18"/>
  <c r="V387" i="18" s="1"/>
  <c r="R5" i="18"/>
  <c r="W519" i="18"/>
  <c r="W510" i="18"/>
  <c r="U462" i="18"/>
  <c r="V462" i="18" s="1"/>
  <c r="W461" i="18"/>
  <c r="W514" i="18"/>
  <c r="L4" i="18"/>
  <c r="K4" i="18"/>
  <c r="O4" i="18"/>
  <c r="N4" i="18"/>
  <c r="M4" i="18"/>
  <c r="U267" i="18"/>
  <c r="V267" i="18" s="1"/>
  <c r="U269" i="18"/>
  <c r="V269" i="18" s="1"/>
  <c r="W324" i="18"/>
  <c r="W323" i="18"/>
  <c r="W329" i="18"/>
  <c r="W272" i="18"/>
  <c r="W322" i="18"/>
  <c r="U268" i="18"/>
  <c r="V268" i="18" s="1"/>
  <c r="W275" i="18"/>
  <c r="W280" i="18"/>
  <c r="W321" i="18"/>
  <c r="W281" i="18"/>
  <c r="W316" i="18"/>
  <c r="W327" i="18"/>
  <c r="W279" i="18"/>
  <c r="W319" i="18"/>
  <c r="W273" i="18"/>
  <c r="U278" i="18"/>
  <c r="V278" i="18" s="1"/>
  <c r="W270" i="18"/>
  <c r="U271" i="18"/>
  <c r="V271" i="18" s="1"/>
  <c r="U317" i="18"/>
  <c r="V317" i="18" s="1"/>
  <c r="U330" i="18"/>
  <c r="V330" i="18" s="1"/>
  <c r="W318" i="18"/>
  <c r="W274" i="18"/>
  <c r="W326" i="18"/>
  <c r="W325" i="18"/>
  <c r="W331" i="18"/>
  <c r="U332" i="18"/>
  <c r="V332" i="18" s="1"/>
  <c r="U349" i="18"/>
  <c r="V349" i="18" s="1"/>
  <c r="U346" i="18"/>
  <c r="V346" i="18" s="1"/>
  <c r="U367" i="18"/>
  <c r="V367" i="18" s="1"/>
  <c r="U368" i="18"/>
  <c r="V368" i="18" s="1"/>
  <c r="U372" i="18"/>
  <c r="V372" i="18" s="1"/>
  <c r="U365" i="18"/>
  <c r="V365" i="18" s="1"/>
  <c r="U353" i="18"/>
  <c r="V353" i="18" s="1"/>
  <c r="U370" i="18"/>
  <c r="V370" i="18" s="1"/>
  <c r="U334" i="18"/>
  <c r="V334" i="18" s="1"/>
  <c r="U385" i="18"/>
  <c r="V385" i="18" s="1"/>
  <c r="U337" i="18"/>
  <c r="V337" i="18" s="1"/>
  <c r="U351" i="18"/>
  <c r="V351" i="18" s="1"/>
  <c r="U352" i="18"/>
  <c r="V352" i="18" s="1"/>
  <c r="U366" i="18"/>
  <c r="V366" i="18" s="1"/>
  <c r="U341" i="18"/>
  <c r="V341" i="18" s="1"/>
  <c r="U378" i="18"/>
  <c r="V378" i="18" s="1"/>
  <c r="U342" i="18"/>
  <c r="V342" i="18" s="1"/>
  <c r="U340" i="18"/>
  <c r="V340" i="18" s="1"/>
  <c r="U348" i="18"/>
  <c r="V348" i="18" s="1"/>
  <c r="U381" i="18"/>
  <c r="V381" i="18" s="1"/>
  <c r="U369" i="18"/>
  <c r="V369" i="18" s="1"/>
  <c r="U376" i="18"/>
  <c r="V376" i="18" s="1"/>
  <c r="W267" i="18"/>
  <c r="U343" i="18"/>
  <c r="V343" i="18" s="1"/>
  <c r="U373" i="18"/>
  <c r="V373" i="18" s="1"/>
  <c r="U383" i="18"/>
  <c r="V383" i="18" s="1"/>
  <c r="U377" i="18"/>
  <c r="V377" i="18" s="1"/>
  <c r="U344" i="18"/>
  <c r="V344" i="18" s="1"/>
  <c r="U357" i="18"/>
  <c r="V357" i="18" s="1"/>
  <c r="U380" i="18"/>
  <c r="V380" i="18" s="1"/>
  <c r="U335" i="18"/>
  <c r="V335" i="18" s="1"/>
  <c r="U333" i="18"/>
  <c r="V333" i="18" s="1"/>
  <c r="U374" i="18"/>
  <c r="V374" i="18" s="1"/>
  <c r="U350" i="18"/>
  <c r="V350" i="18" s="1"/>
  <c r="U371" i="18"/>
  <c r="V371" i="18" s="1"/>
  <c r="U382" i="18"/>
  <c r="V382" i="18" s="1"/>
  <c r="U347" i="18"/>
  <c r="V347" i="18" s="1"/>
  <c r="U384" i="18"/>
  <c r="V384" i="18" s="1"/>
  <c r="U339" i="18"/>
  <c r="V339" i="18" s="1"/>
  <c r="U345" i="18"/>
  <c r="V345" i="18" s="1"/>
  <c r="U356" i="18"/>
  <c r="V356" i="18" s="1"/>
  <c r="U354" i="18"/>
  <c r="V354" i="18" s="1"/>
  <c r="U375" i="18"/>
  <c r="V375" i="18" s="1"/>
  <c r="U338" i="18"/>
  <c r="V338" i="18" s="1"/>
  <c r="U379" i="18"/>
  <c r="V379" i="18" s="1"/>
  <c r="U386" i="18"/>
  <c r="V386" i="18" s="1"/>
  <c r="U336" i="18"/>
  <c r="V336" i="18" s="1"/>
  <c r="U355" i="18"/>
  <c r="V355" i="18" s="1"/>
  <c r="J4" i="18"/>
  <c r="G13" i="19" l="1"/>
  <c r="I13" i="19" s="1"/>
  <c r="P13" i="19"/>
  <c r="P16" i="19"/>
  <c r="G16" i="19"/>
  <c r="G10" i="19"/>
  <c r="I10" i="19" s="1"/>
  <c r="P10" i="19"/>
  <c r="P9" i="19"/>
  <c r="G9" i="19"/>
  <c r="I9" i="19" s="1"/>
  <c r="G11" i="19"/>
  <c r="I11" i="19" s="1"/>
  <c r="P11" i="19"/>
  <c r="P15" i="19"/>
  <c r="G15" i="19"/>
  <c r="P12" i="19"/>
  <c r="G12" i="19"/>
  <c r="G14" i="19"/>
  <c r="P14" i="19"/>
  <c r="I17" i="19"/>
  <c r="P5" i="18"/>
  <c r="Q5" i="18"/>
  <c r="AX4" i="34"/>
  <c r="M5" i="18"/>
  <c r="L5" i="18"/>
  <c r="O5" i="18"/>
  <c r="N5" i="18"/>
  <c r="K5" i="18"/>
  <c r="T4" i="18"/>
  <c r="G19" i="19" s="1"/>
  <c r="U2" i="18"/>
  <c r="T3" i="18"/>
  <c r="U3" i="18" s="1"/>
  <c r="J5" i="18"/>
  <c r="I16" i="19" l="1"/>
  <c r="I12" i="19"/>
  <c r="P19" i="19"/>
  <c r="M5" i="19" s="1"/>
  <c r="I15" i="19"/>
  <c r="I19" i="19"/>
  <c r="I14" i="19"/>
  <c r="E4" i="34"/>
  <c r="T5" i="18"/>
  <c r="U4" i="18"/>
  <c r="F5" i="19" l="1"/>
  <c r="C5" i="19"/>
  <c r="C16" i="19" s="1"/>
  <c r="U5" i="18"/>
  <c r="D4" i="18" l="1"/>
  <c r="G4" i="34" s="1"/>
  <c r="C12" i="19"/>
  <c r="C15" i="19"/>
  <c r="C14" i="19"/>
  <c r="C10" i="19"/>
  <c r="C13" i="19"/>
  <c r="C11" i="19"/>
  <c r="C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福田 一希</author>
  </authors>
  <commentList>
    <comment ref="N19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周辺システムとのやり取りも含めて多めに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福田 一希</author>
  </authors>
  <commentList>
    <comment ref="A11" authorId="0" shapeId="0" xr:uid="{00000000-0006-0000-0200-000001000000}">
      <text>
        <r>
          <rPr>
            <b/>
            <sz val="9"/>
            <color indexed="81"/>
            <rFont val="MS P ゴシック"/>
            <family val="3"/>
            <charset val="128"/>
          </rPr>
          <t>セル塗りつぶしは
同名PGのため省略もしくは、廃止予定。それ以外のBatやIniについては、同名異義ファイルとなる。</t>
        </r>
      </text>
    </comment>
    <comment ref="A296" authorId="0" shapeId="0" xr:uid="{00000000-0006-0000-0200-000002000000}">
      <text>
        <r>
          <rPr>
            <b/>
            <sz val="9"/>
            <color indexed="81"/>
            <rFont val="MS P ゴシック"/>
            <family val="3"/>
            <charset val="128"/>
          </rPr>
          <t>要件定義工程移行は未定
この見積もりは.Net/FTPとなる。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福田 一希</author>
  </authors>
  <commentList>
    <comment ref="C18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YJPプログラムツールのため対応不可</t>
        </r>
      </text>
    </comment>
    <comment ref="C22" authorId="0" shapeId="0" xr:uid="{00000000-0006-0000-0300-000002000000}">
      <text>
        <r>
          <rPr>
            <b/>
            <sz val="9"/>
            <color indexed="81"/>
            <rFont val="MS P ゴシック"/>
            <family val="3"/>
            <charset val="128"/>
          </rPr>
          <t>OneSAP連携の自家燃使用量はXenapp廃止対応側で吸収
クライアントPCからNAS（OneSAP）へ書き込み</t>
        </r>
      </text>
    </comment>
    <comment ref="A33" authorId="0" shapeId="0" xr:uid="{00000000-0006-0000-0300-000003000000}">
      <text>
        <r>
          <rPr>
            <b/>
            <sz val="9"/>
            <color indexed="81"/>
            <rFont val="MS P ゴシック"/>
            <family val="3"/>
            <charset val="128"/>
          </rPr>
          <t>緑セルは機能統合</t>
        </r>
      </text>
    </comment>
    <comment ref="B70" authorId="0" shapeId="0" xr:uid="{00000000-0006-0000-0300-000004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共通機能
</t>
        </r>
      </text>
    </comment>
    <comment ref="B71" authorId="0" shapeId="0" xr:uid="{00000000-0006-0000-0300-000005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共通機能
</t>
        </r>
      </text>
    </comment>
    <comment ref="L79" authorId="0" shapeId="0" xr:uid="{00000000-0006-0000-0300-000006000000}">
      <text>
        <r>
          <rPr>
            <b/>
            <sz val="9"/>
            <color indexed="81"/>
            <rFont val="MS P ゴシック"/>
            <family val="3"/>
            <charset val="128"/>
          </rPr>
          <t>業務変更なし。
継続前提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J242" authorId="0" shapeId="0" xr:uid="{00000000-0006-0000-0300-000007000000}">
      <text>
        <r>
          <rPr>
            <b/>
            <sz val="9"/>
            <color indexed="81"/>
            <rFont val="MS P ゴシック"/>
            <family val="3"/>
            <charset val="128"/>
          </rPr>
          <t>SQL仕様は変更なし。
継続前提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福田慎</author>
  </authors>
  <commentList>
    <comment ref="F4" authorId="0" shapeId="0" xr:uid="{00000000-0006-0000-0500-000001000000}">
      <text>
        <r>
          <rPr>
            <b/>
            <sz val="9"/>
            <color indexed="81"/>
            <rFont val="MS P ゴシック"/>
            <family val="3"/>
            <charset val="128"/>
          </rPr>
          <t>粗利
※ 平均人件費55万</t>
        </r>
      </text>
    </comment>
  </commentList>
</comments>
</file>

<file path=xl/sharedStrings.xml><?xml version="1.0" encoding="utf-8"?>
<sst xmlns="http://schemas.openxmlformats.org/spreadsheetml/2006/main" count="5665" uniqueCount="847">
  <si>
    <t>新IRIS操業品質Azure移行</t>
    <rPh sb="0" eb="1">
      <t>シン</t>
    </rPh>
    <rPh sb="5" eb="7">
      <t>ソウギョウ</t>
    </rPh>
    <rPh sb="7" eb="9">
      <t>ヒンシツ</t>
    </rPh>
    <rPh sb="14" eb="16">
      <t>イコウ</t>
    </rPh>
    <phoneticPr fontId="1"/>
  </si>
  <si>
    <t>■最適工期</t>
    <rPh sb="1" eb="3">
      <t>サイテキ</t>
    </rPh>
    <rPh sb="3" eb="5">
      <t>コウキ</t>
    </rPh>
    <phoneticPr fontId="1"/>
  </si>
  <si>
    <t>■御見積金額(全工程の場合)</t>
    <rPh sb="1" eb="4">
      <t>オミツモリ</t>
    </rPh>
    <rPh sb="4" eb="6">
      <t>キンガク</t>
    </rPh>
    <rPh sb="7" eb="10">
      <t>ゼンコウテイ</t>
    </rPh>
    <rPh sb="11" eb="13">
      <t>バアイ</t>
    </rPh>
    <phoneticPr fontId="1"/>
  </si>
  <si>
    <t>■御見積金額(全工程の場合)　：工数丸め</t>
    <rPh sb="1" eb="4">
      <t>オミツモリ</t>
    </rPh>
    <rPh sb="4" eb="6">
      <t>キンガク</t>
    </rPh>
    <rPh sb="7" eb="10">
      <t>ゼンコウテイ</t>
    </rPh>
    <rPh sb="11" eb="13">
      <t>バアイ</t>
    </rPh>
    <rPh sb="16" eb="18">
      <t>コウスウ</t>
    </rPh>
    <rPh sb="18" eb="19">
      <t>マル</t>
    </rPh>
    <phoneticPr fontId="1"/>
  </si>
  <si>
    <t>全体工期</t>
    <rPh sb="0" eb="2">
      <t>ゼンタイ</t>
    </rPh>
    <rPh sb="2" eb="4">
      <t>コウキ</t>
    </rPh>
    <phoneticPr fontId="1"/>
  </si>
  <si>
    <t>見積金額合計</t>
    <rPh sb="0" eb="2">
      <t>ミツモリ</t>
    </rPh>
    <rPh sb="2" eb="4">
      <t>キンガク</t>
    </rPh>
    <rPh sb="4" eb="6">
      <t>ゴウケイ</t>
    </rPh>
    <phoneticPr fontId="1"/>
  </si>
  <si>
    <t>工程</t>
    <rPh sb="0" eb="2">
      <t>コウテイ</t>
    </rPh>
    <phoneticPr fontId="1"/>
  </si>
  <si>
    <t>工期</t>
    <rPh sb="0" eb="2">
      <t>コウキ</t>
    </rPh>
    <phoneticPr fontId="1"/>
  </si>
  <si>
    <t>工数</t>
    <rPh sb="0" eb="2">
      <t>コウスウ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</si>
  <si>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</si>
  <si>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</si>
  <si>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契約ごとのPJ工数</t>
    <rPh sb="0" eb="2">
      <t>ケイヤク</t>
    </rPh>
    <rPh sb="7" eb="9">
      <t>コウスウ</t>
    </rPh>
    <phoneticPr fontId="1"/>
  </si>
  <si>
    <t>要件定義（SA）</t>
    <rPh sb="0" eb="2">
      <t>ヨウケン</t>
    </rPh>
    <rPh sb="2" eb="4">
      <t>テイギ</t>
    </rPh>
    <phoneticPr fontId="1"/>
  </si>
  <si>
    <t>基本設計（UI）</t>
    <rPh sb="0" eb="2">
      <t>キホン</t>
    </rPh>
    <rPh sb="2" eb="4">
      <t>セッケイ</t>
    </rPh>
    <phoneticPr fontId="1"/>
  </si>
  <si>
    <t>詳細設計（SS）</t>
    <rPh sb="0" eb="2">
      <t>ショウサイ</t>
    </rPh>
    <rPh sb="2" eb="4">
      <t>セッケイ</t>
    </rPh>
    <phoneticPr fontId="1"/>
  </si>
  <si>
    <t>開発（PS/PG/PT）</t>
    <rPh sb="0" eb="2">
      <t>カイハツ</t>
    </rPh>
    <phoneticPr fontId="1"/>
  </si>
  <si>
    <t>結合テスト（IT）</t>
    <rPh sb="0" eb="2">
      <t>ケツゴウ</t>
    </rPh>
    <phoneticPr fontId="1"/>
  </si>
  <si>
    <t>システムテスト（ST）</t>
    <phoneticPr fontId="1"/>
  </si>
  <si>
    <t>運用テスト（OT）</t>
    <rPh sb="0" eb="2">
      <t>ウンヨウ</t>
    </rPh>
    <phoneticPr fontId="1"/>
  </si>
  <si>
    <t>本番移行・初期流動（RL）</t>
    <rPh sb="0" eb="2">
      <t>ホンバン</t>
    </rPh>
    <rPh sb="2" eb="4">
      <t>イコウ</t>
    </rPh>
    <rPh sb="5" eb="7">
      <t>ショキ</t>
    </rPh>
    <rPh sb="7" eb="9">
      <t>リュウドウ</t>
    </rPh>
    <phoneticPr fontId="1"/>
  </si>
  <si>
    <t>その他</t>
    <rPh sb="2" eb="3">
      <t>タ</t>
    </rPh>
    <phoneticPr fontId="1"/>
  </si>
  <si>
    <t>-</t>
    <phoneticPr fontId="1"/>
  </si>
  <si>
    <t>調整</t>
    <rPh sb="0" eb="2">
      <t>チョウセイ</t>
    </rPh>
    <phoneticPr fontId="1"/>
  </si>
  <si>
    <t>プロジェクト管理（PM）</t>
    <rPh sb="6" eb="8">
      <t>カンリ</t>
    </rPh>
    <phoneticPr fontId="1"/>
  </si>
  <si>
    <t>参考：STEP数からの見積工数</t>
    <rPh sb="0" eb="2">
      <t>サンコウ</t>
    </rPh>
    <rPh sb="7" eb="8">
      <t>スウ</t>
    </rPh>
    <rPh sb="11" eb="13">
      <t>ミツモリ</t>
    </rPh>
    <rPh sb="13" eb="15">
      <t>コウスウ</t>
    </rPh>
    <phoneticPr fontId="1"/>
  </si>
  <si>
    <t>工数＝ステップ数÷開発生産性</t>
    <phoneticPr fontId="1"/>
  </si>
  <si>
    <t>STEP数</t>
    <rPh sb="4" eb="5">
      <t>スウ</t>
    </rPh>
    <phoneticPr fontId="1"/>
  </si>
  <si>
    <t>開発生産性（STEP数/月）</t>
    <rPh sb="0" eb="2">
      <t>カイハツ</t>
    </rPh>
    <rPh sb="2" eb="5">
      <t>セイサンセイ</t>
    </rPh>
    <rPh sb="10" eb="11">
      <t>スウ</t>
    </rPh>
    <rPh sb="12" eb="13">
      <t>ツキ</t>
    </rPh>
    <phoneticPr fontId="1"/>
  </si>
  <si>
    <t>工数</t>
    <phoneticPr fontId="1"/>
  </si>
  <si>
    <t>積算基準</t>
    <rPh sb="0" eb="2">
      <t>セキサン</t>
    </rPh>
    <rPh sb="2" eb="4">
      <t>キジュン</t>
    </rPh>
    <phoneticPr fontId="1"/>
  </si>
  <si>
    <t>１．難易度を「特高」～「特低」までの５段階に分類する。</t>
    <rPh sb="2" eb="5">
      <t>ナンイド</t>
    </rPh>
    <rPh sb="7" eb="8">
      <t>トク</t>
    </rPh>
    <rPh sb="8" eb="9">
      <t>コウ</t>
    </rPh>
    <rPh sb="12" eb="13">
      <t>トク</t>
    </rPh>
    <rPh sb="13" eb="14">
      <t>テイ</t>
    </rPh>
    <rPh sb="19" eb="21">
      <t>ダンカイ</t>
    </rPh>
    <rPh sb="22" eb="24">
      <t>ブンルイ</t>
    </rPh>
    <phoneticPr fontId="1"/>
  </si>
  <si>
    <t>難易度</t>
    <rPh sb="0" eb="3">
      <t>ナンイド</t>
    </rPh>
    <phoneticPr fontId="1"/>
  </si>
  <si>
    <t>特高</t>
    <rPh sb="0" eb="1">
      <t>トク</t>
    </rPh>
    <rPh sb="1" eb="2">
      <t>コウ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</si>
  <si>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</si>
  <si>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</si>
  <si>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</si>
  <si>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特低</t>
    <rPh sb="0" eb="1">
      <t>トク</t>
    </rPh>
    <rPh sb="1" eb="2">
      <t>テイ</t>
    </rPh>
    <phoneticPr fontId="1"/>
  </si>
  <si>
    <t>２．難易度の判断基準は、項目数により、区別する。</t>
    <rPh sb="2" eb="5">
      <t>ナンイド</t>
    </rPh>
    <rPh sb="6" eb="8">
      <t>ハンダン</t>
    </rPh>
    <rPh sb="8" eb="10">
      <t>キジュン</t>
    </rPh>
    <rPh sb="12" eb="14">
      <t>コウモク</t>
    </rPh>
    <rPh sb="14" eb="15">
      <t>スウ</t>
    </rPh>
    <rPh sb="19" eb="21">
      <t>クベツ</t>
    </rPh>
    <phoneticPr fontId="1"/>
  </si>
  <si>
    <t>難易度判定：基準項目数</t>
    <rPh sb="0" eb="3">
      <t>ナンイド</t>
    </rPh>
    <rPh sb="3" eb="5">
      <t>ハンテイ</t>
    </rPh>
    <rPh sb="6" eb="8">
      <t>キジュン</t>
    </rPh>
    <rPh sb="8" eb="11">
      <t>コウモクスウ</t>
    </rPh>
    <phoneticPr fontId="1"/>
  </si>
  <si>
    <t>登録</t>
    <rPh sb="0" eb="2">
      <t>トウロク</t>
    </rPh>
    <phoneticPr fontId="1"/>
  </si>
  <si>
    <t>参照</t>
    <rPh sb="0" eb="2">
      <t>サンショウ</t>
    </rPh>
    <phoneticPr fontId="1"/>
  </si>
  <si>
    <t>３．IPA発行「ソフトウェア開発データ白書」に基づく、各工程の工数比率を使用する。</t>
    <rPh sb="5" eb="7">
      <t>ハッコウ</t>
    </rPh>
    <rPh sb="14" eb="16">
      <t>カイハツ</t>
    </rPh>
    <rPh sb="19" eb="21">
      <t>ハクショ</t>
    </rPh>
    <rPh sb="23" eb="24">
      <t>モト</t>
    </rPh>
    <rPh sb="27" eb="28">
      <t>カク</t>
    </rPh>
    <rPh sb="28" eb="30">
      <t>コウテイ</t>
    </rPh>
    <rPh sb="31" eb="33">
      <t>コウスウ</t>
    </rPh>
    <rPh sb="33" eb="35">
      <t>ヒリツ</t>
    </rPh>
    <rPh sb="36" eb="38">
      <t>シヨウ</t>
    </rPh>
    <phoneticPr fontId="1"/>
  </si>
  <si>
    <t>工数比率（IPA　ソフトウェア開発データ白書 2018-2019より）</t>
    <rPh sb="0" eb="2">
      <t>コウスウ</t>
    </rPh>
    <rPh sb="2" eb="4">
      <t>ヒリツ</t>
    </rPh>
    <phoneticPr fontId="1"/>
  </si>
  <si>
    <t>工期比率（IPA　ソフトウェア開発データ白書 2018-2019より）</t>
    <rPh sb="0" eb="2">
      <t>コウキ</t>
    </rPh>
    <rPh sb="2" eb="4">
      <t>ヒリツ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</si>
  <si>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</si>
  <si>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</si>
  <si>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製作</t>
    <rPh sb="0" eb="2">
      <t>セイサク</t>
    </rPh>
    <phoneticPr fontId="1"/>
  </si>
  <si>
    <t>結合テスト</t>
    <rPh sb="0" eb="2">
      <t>ケツゴウ</t>
    </rPh>
    <phoneticPr fontId="1"/>
  </si>
  <si>
    <t>総合テスト</t>
    <rPh sb="0" eb="2">
      <t>ソウゴウ</t>
    </rPh>
    <phoneticPr fontId="1"/>
  </si>
  <si>
    <t>計</t>
    <rPh sb="0" eb="1">
      <t>ケイ</t>
    </rPh>
    <phoneticPr fontId="1"/>
  </si>
  <si>
    <t>工数比率</t>
    <rPh sb="0" eb="2">
      <t>コウスウ</t>
    </rPh>
    <rPh sb="2" eb="4">
      <t>ヒリツ</t>
    </rPh>
    <phoneticPr fontId="1"/>
  </si>
  <si>
    <t>工期比率</t>
    <rPh sb="0" eb="2">
      <t>コウキ</t>
    </rPh>
    <rPh sb="2" eb="4">
      <t>ヒリツ</t>
    </rPh>
    <phoneticPr fontId="1"/>
  </si>
  <si>
    <t>４．難易度「中」の基本設計～システムテストまでの標準工数を以下とする。</t>
    <rPh sb="2" eb="5">
      <t>ナンイド</t>
    </rPh>
    <rPh sb="6" eb="7">
      <t>チュウ</t>
    </rPh>
    <rPh sb="9" eb="11">
      <t>キホン</t>
    </rPh>
    <rPh sb="11" eb="13">
      <t>セッケイ</t>
    </rPh>
    <rPh sb="29" eb="31">
      <t>イカ</t>
    </rPh>
    <phoneticPr fontId="1"/>
  </si>
  <si>
    <t>標準工数（JUASソフトウェアメトリックス調査より）</t>
    <rPh sb="0" eb="2">
      <t>ヒョウジュン</t>
    </rPh>
    <rPh sb="2" eb="4">
      <t>コウスウ</t>
    </rPh>
    <rPh sb="21" eb="23">
      <t>チョウサ</t>
    </rPh>
    <phoneticPr fontId="1"/>
  </si>
  <si>
    <t>種別</t>
    <rPh sb="0" eb="2">
      <t>シュベツ</t>
    </rPh>
    <phoneticPr fontId="1"/>
  </si>
  <si>
    <t>画面</t>
    <rPh sb="0" eb="2">
      <t>ガメン</t>
    </rPh>
    <phoneticPr fontId="1"/>
  </si>
  <si>
    <t>帳票</t>
    <rPh sb="0" eb="2">
      <t>チョウヒョウ</t>
    </rPh>
    <phoneticPr fontId="1"/>
  </si>
  <si>
    <t>バッチ</t>
    <phoneticPr fontId="1"/>
  </si>
  <si>
    <t>５．他の工程の工数を下記の基準により算出する。</t>
    <rPh sb="2" eb="3">
      <t>タ</t>
    </rPh>
    <rPh sb="4" eb="6">
      <t>コウテイ</t>
    </rPh>
    <rPh sb="7" eb="9">
      <t>コウスウ</t>
    </rPh>
    <rPh sb="10" eb="12">
      <t>カキ</t>
    </rPh>
    <rPh sb="13" eb="15">
      <t>キジュン</t>
    </rPh>
    <rPh sb="18" eb="20">
      <t>サンシュツ</t>
    </rPh>
    <phoneticPr fontId="1"/>
  </si>
  <si>
    <t>要件定義</t>
    <rPh sb="0" eb="2">
      <t>ヨウケン</t>
    </rPh>
    <rPh sb="2" eb="4">
      <t>テイギ</t>
    </rPh>
    <phoneticPr fontId="1"/>
  </si>
  <si>
    <t>運用テスト</t>
    <rPh sb="0" eb="2">
      <t>ウンヨウ</t>
    </rPh>
    <phoneticPr fontId="1"/>
  </si>
  <si>
    <t>移行切替</t>
    <rPh sb="0" eb="2">
      <t>イコウ</t>
    </rPh>
    <rPh sb="2" eb="4">
      <t>キリカエ</t>
    </rPh>
    <phoneticPr fontId="1"/>
  </si>
  <si>
    <t>5工程基準</t>
    <rPh sb="1" eb="3">
      <t>コウテイ</t>
    </rPh>
    <rPh sb="3" eb="5">
      <t>キジュン</t>
    </rPh>
    <phoneticPr fontId="1"/>
  </si>
  <si>
    <t>全体比率</t>
    <rPh sb="0" eb="2">
      <t>ゼンタイ</t>
    </rPh>
    <rPh sb="2" eb="4">
      <t>ヒリツ</t>
    </rPh>
    <phoneticPr fontId="1"/>
  </si>
  <si>
    <t>６．他の難易度の工数は、下記の係数に基づき、積算する。</t>
    <rPh sb="2" eb="3">
      <t>タ</t>
    </rPh>
    <rPh sb="4" eb="7">
      <t>ナンイド</t>
    </rPh>
    <rPh sb="8" eb="10">
      <t>コウスウ</t>
    </rPh>
    <rPh sb="12" eb="14">
      <t>カキ</t>
    </rPh>
    <rPh sb="15" eb="17">
      <t>ケイスウ</t>
    </rPh>
    <rPh sb="18" eb="19">
      <t>モト</t>
    </rPh>
    <rPh sb="22" eb="24">
      <t>セキサン</t>
    </rPh>
    <phoneticPr fontId="1"/>
  </si>
  <si>
    <t>難易度別の工数係数</t>
    <rPh sb="0" eb="3">
      <t>ナンイド</t>
    </rPh>
    <rPh sb="3" eb="4">
      <t>ベツ</t>
    </rPh>
    <rPh sb="5" eb="7">
      <t>コウスウ</t>
    </rPh>
    <rPh sb="7" eb="9">
      <t>ケイスウ</t>
    </rPh>
    <phoneticPr fontId="1"/>
  </si>
  <si>
    <t>No</t>
    <phoneticPr fontId="1"/>
  </si>
  <si>
    <t>分類</t>
    <rPh sb="0" eb="2">
      <t>ブンルイ</t>
    </rPh>
    <phoneticPr fontId="1"/>
  </si>
  <si>
    <t>名称</t>
    <rPh sb="0" eb="2">
      <t>メイショウ</t>
    </rPh>
    <phoneticPr fontId="1"/>
  </si>
  <si>
    <t>プログラム</t>
    <phoneticPr fontId="1"/>
  </si>
  <si>
    <t>形式
As-Is</t>
    <rPh sb="0" eb="2">
      <t>ケイシキ</t>
    </rPh>
    <phoneticPr fontId="1"/>
  </si>
  <si>
    <t>形式
To-Be</t>
    <rPh sb="0" eb="2">
      <t>ケイシキ</t>
    </rPh>
    <phoneticPr fontId="1"/>
  </si>
  <si>
    <t>対応方針</t>
    <rPh sb="0" eb="2">
      <t>タイオウ</t>
    </rPh>
    <rPh sb="2" eb="4">
      <t>ホウシン</t>
    </rPh>
    <phoneticPr fontId="1"/>
  </si>
  <si>
    <t>備考</t>
    <rPh sb="0" eb="2">
      <t>ビコウ</t>
    </rPh>
    <phoneticPr fontId="1"/>
  </si>
  <si>
    <t>PG</t>
    <phoneticPr fontId="1"/>
  </si>
  <si>
    <t>メインメニュー</t>
    <phoneticPr fontId="1"/>
  </si>
  <si>
    <t>新規</t>
    <rPh sb="0" eb="2">
      <t>シンキ</t>
    </rPh>
    <phoneticPr fontId="1"/>
  </si>
  <si>
    <t>AD認証</t>
    <rPh sb="2" eb="4">
      <t>ニンショウ</t>
    </rPh>
    <phoneticPr fontId="1"/>
  </si>
  <si>
    <t>サブメニュー</t>
    <phoneticPr fontId="1"/>
  </si>
  <si>
    <t>各拠点メニュー（北海道）</t>
    <rPh sb="0" eb="1">
      <t>カク</t>
    </rPh>
    <rPh sb="1" eb="3">
      <t>キョテン</t>
    </rPh>
    <rPh sb="8" eb="11">
      <t>ホッカイ</t>
    </rPh>
    <phoneticPr fontId="1"/>
  </si>
  <si>
    <t>各拠点メニュー（千葉）</t>
    <rPh sb="0" eb="1">
      <t>カク</t>
    </rPh>
    <rPh sb="1" eb="3">
      <t>キョテン</t>
    </rPh>
    <rPh sb="8" eb="10">
      <t>チバ</t>
    </rPh>
    <phoneticPr fontId="1"/>
  </si>
  <si>
    <t>各拠点メニュー（愛知）</t>
    <rPh sb="0" eb="1">
      <t>カク</t>
    </rPh>
    <rPh sb="1" eb="3">
      <t>キョテン</t>
    </rPh>
    <rPh sb="8" eb="10">
      <t>アイチ</t>
    </rPh>
    <phoneticPr fontId="1"/>
  </si>
  <si>
    <t>各拠点メニュー（徳山）</t>
    <rPh sb="0" eb="1">
      <t>カク</t>
    </rPh>
    <rPh sb="1" eb="3">
      <t>キョテン</t>
    </rPh>
    <rPh sb="8" eb="10">
      <t>トクヤマ</t>
    </rPh>
    <phoneticPr fontId="1"/>
  </si>
  <si>
    <t>装置稼動実績データ作成</t>
    <rPh sb="9" eb="11">
      <t>サクセイ</t>
    </rPh>
    <phoneticPr fontId="2"/>
  </si>
  <si>
    <t>D:\skhoksei\App\Sougyou\bin\BINAS_SOUTI.exe</t>
  </si>
  <si>
    <t>再構築</t>
    <rPh sb="0" eb="3">
      <t>サイコ</t>
    </rPh>
    <phoneticPr fontId="1"/>
  </si>
  <si>
    <t>D:\skchisei\App\Sougyou\bin\BINAS_SOUTI.exe</t>
  </si>
  <si>
    <t>D:\skaicsei\App\Sougyou\bin\BINAS_SOUTI.exe</t>
  </si>
  <si>
    <t>D:\sktoksei\App\Sougyou\bin\BINAS_SOUTI.exe</t>
  </si>
  <si>
    <t>二次加工DB</t>
    <rPh sb="0" eb="4">
      <t>ニジカコウ</t>
    </rPh>
    <phoneticPr fontId="2"/>
  </si>
  <si>
    <t>D:\skaicsei\App\Common\DBCOLECT\COL_SERVER.exe</t>
  </si>
  <si>
    <t>廃止</t>
    <rPh sb="0" eb="2">
      <t>ハイシ</t>
    </rPh>
    <phoneticPr fontId="1"/>
  </si>
  <si>
    <t>※YJPのPGのため、対応不可</t>
    <rPh sb="11" eb="13">
      <t>タイオウ</t>
    </rPh>
    <rPh sb="13" eb="15">
      <t>フカ</t>
    </rPh>
    <phoneticPr fontId="1"/>
  </si>
  <si>
    <t>製油所データ作成</t>
    <rPh sb="0" eb="3">
      <t>セイユジョ</t>
    </rPh>
    <rPh sb="6" eb="8">
      <t>サクセイ</t>
    </rPh>
    <phoneticPr fontId="2"/>
  </si>
  <si>
    <t>D:\skaicsei\App\Sougyou\bin\BINAS_SEIYU.exe</t>
  </si>
  <si>
    <t>DB削除</t>
    <rPh sb="2" eb="4">
      <t>サクジョ</t>
    </rPh>
    <phoneticPr fontId="2"/>
  </si>
  <si>
    <t>D:\skaicsei\App\Sougyou\bin\DELETE_DB.exe</t>
  </si>
  <si>
    <t>潤滑油タンク在庫編集</t>
    <rPh sb="0" eb="3">
      <t>ジュンカツユ</t>
    </rPh>
    <rPh sb="6" eb="8">
      <t>ザイコ</t>
    </rPh>
    <rPh sb="8" eb="10">
      <t>ヘンシュウ</t>
    </rPh>
    <phoneticPr fontId="2"/>
  </si>
  <si>
    <t>D:\skaicsei\App\Sougyou\bin\EDT_JNKTZAIK.exe</t>
  </si>
  <si>
    <t>自家燃使用量作成</t>
    <rPh sb="0" eb="6">
      <t>ジカネンシヨウリョウ</t>
    </rPh>
    <rPh sb="6" eb="8">
      <t>サクセイ</t>
    </rPh>
    <phoneticPr fontId="2"/>
  </si>
  <si>
    <t>D:\skaicsei\App\Sougyou\bin\JIKANEN.exe</t>
  </si>
  <si>
    <t>※廃止。Xenapp側で吸収</t>
    <rPh sb="1" eb="3">
      <t>ハイシ</t>
    </rPh>
    <rPh sb="10" eb="11">
      <t>ガワ</t>
    </rPh>
    <rPh sb="12" eb="14">
      <t>キュウシュウ</t>
    </rPh>
    <phoneticPr fontId="1"/>
  </si>
  <si>
    <t>自家燃使用量履歴DB格納処理</t>
  </si>
  <si>
    <t>D:\skaicsei\App\Sougyou\bin\JIKANEN_HIST.exe</t>
  </si>
  <si>
    <t>廃止</t>
    <rPh sb="0" eb="2">
      <t>ハイ</t>
    </rPh>
    <phoneticPr fontId="1"/>
  </si>
  <si>
    <t>PGキック用</t>
    <rPh sb="5" eb="6">
      <t>ヨウ</t>
    </rPh>
    <phoneticPr fontId="2"/>
  </si>
  <si>
    <t>D:\Common\Kick\Kick.exe</t>
  </si>
  <si>
    <t>共通</t>
    <rPh sb="0" eb="2">
      <t>キョウ</t>
    </rPh>
    <phoneticPr fontId="1"/>
  </si>
  <si>
    <t>潤滑油ファイルからテーブル書込み</t>
    <rPh sb="13" eb="14">
      <t>カ</t>
    </rPh>
    <rPh sb="14" eb="15">
      <t>コ</t>
    </rPh>
    <phoneticPr fontId="8"/>
  </si>
  <si>
    <t>D:\skaicsei\App\Sougyou\bin\JUNKATUY_RCV.exe</t>
  </si>
  <si>
    <t>「潤滑油タンク在庫データ」の作成</t>
  </si>
  <si>
    <t>D:\skaicsei\App\Sougyou\bin\JYUNKATU_TRANS.exe</t>
  </si>
  <si>
    <t>基材加工DB</t>
    <rPh sb="0" eb="2">
      <t>キザイ</t>
    </rPh>
    <rPh sb="2" eb="4">
      <t>カコウ</t>
    </rPh>
    <phoneticPr fontId="2"/>
  </si>
  <si>
    <t>D:\skaicsei\App\Sougyou\bin\kakouDB.exe</t>
  </si>
  <si>
    <t>自家燃タンク在庫作成</t>
    <rPh sb="0" eb="2">
      <t>ジカ</t>
    </rPh>
    <rPh sb="2" eb="3">
      <t>ネン</t>
    </rPh>
    <rPh sb="6" eb="8">
      <t>ザイコ</t>
    </rPh>
    <rPh sb="8" eb="10">
      <t>サクセイ</t>
    </rPh>
    <phoneticPr fontId="2"/>
  </si>
  <si>
    <t>D:\skaicsei\App\Sougyou\bin\TANKZAIKO.exe</t>
  </si>
  <si>
    <t>画面</t>
    <rPh sb="0" eb="2">
      <t>ガ</t>
    </rPh>
    <phoneticPr fontId="1"/>
  </si>
  <si>
    <t>タンク受払実績月報</t>
    <rPh sb="3" eb="5">
      <t>ウケハライ</t>
    </rPh>
    <rPh sb="5" eb="7">
      <t>ジッセキ</t>
    </rPh>
    <rPh sb="7" eb="9">
      <t>ゲッポウ</t>
    </rPh>
    <phoneticPr fontId="2"/>
  </si>
  <si>
    <t>D:\skaicsei\App\Sougyou\bin\UKEHARAI.exe</t>
  </si>
  <si>
    <t>装置運転状況加工DB</t>
  </si>
  <si>
    <t>D:\skaicsei\App\Sougyou\bin\UNTEN_JYOKYO.exe</t>
  </si>
  <si>
    <t>用役省エネ単価比較加工ＤＢ</t>
  </si>
  <si>
    <t>D:\skaicsei\App\Sougyou\bin\YSYOUENE_YOKO.exe</t>
  </si>
  <si>
    <t>タンク増減日報通油量算出</t>
  </si>
  <si>
    <t>D:\skaicsei\App\Sougyou\bin\zogen.exe</t>
  </si>
  <si>
    <t>オフサイト実績受信</t>
    <rPh sb="5" eb="7">
      <t>ジッセキ</t>
    </rPh>
    <rPh sb="7" eb="9">
      <t>ジュシン</t>
    </rPh>
    <phoneticPr fontId="2"/>
  </si>
  <si>
    <t>G:\EAI\skhoksei\INI\IRIS_OFFSITE.ini</t>
  </si>
  <si>
    <t>ファイル</t>
    <phoneticPr fontId="1"/>
  </si>
  <si>
    <t>継続利用可能</t>
    <rPh sb="0" eb="2">
      <t>ケイゾク</t>
    </rPh>
    <rPh sb="2" eb="6">
      <t>リヨウカノウ</t>
    </rPh>
    <phoneticPr fontId="1"/>
  </si>
  <si>
    <t>G:\EAI\skchisei\INI\IRIS_OFFSITE.ini</t>
  </si>
  <si>
    <t>G:\EAI\skaicsei\INI\IRIS_OFFSITE.ini</t>
  </si>
  <si>
    <t>G:\EAI\sktoksei\INI\IRIS_OFFSITE.ini</t>
  </si>
  <si>
    <t>オフサイト実績文字コード変換</t>
    <rPh sb="7" eb="9">
      <t>モジ</t>
    </rPh>
    <rPh sb="12" eb="14">
      <t>ヘンカン</t>
    </rPh>
    <phoneticPr fontId="2"/>
  </si>
  <si>
    <t>G:\EAI\skhoksei\DEF\EUC_SJS.cnv</t>
  </si>
  <si>
    <t>新IRIS連携　変換処理定義</t>
    <rPh sb="0" eb="1">
      <t>シン</t>
    </rPh>
    <rPh sb="5" eb="7">
      <t>レンケイ</t>
    </rPh>
    <rPh sb="8" eb="10">
      <t>ヘンカン</t>
    </rPh>
    <rPh sb="10" eb="12">
      <t>ショリ</t>
    </rPh>
    <rPh sb="12" eb="14">
      <t>テイギ</t>
    </rPh>
    <phoneticPr fontId="2"/>
  </si>
  <si>
    <t>G:\EAI\skhoksei\DEF\convert.ini</t>
  </si>
  <si>
    <t>G:\EAI\skchisei\DEF\convert.ini</t>
  </si>
  <si>
    <t>G:\EAI\skaicsei\DEF\convert.ini</t>
  </si>
  <si>
    <t>G:\EAI\sktoksei\DEF\convert.ini</t>
  </si>
  <si>
    <t>海上入荷予定実績DB設定</t>
    <rPh sb="10" eb="12">
      <t>セッテイ</t>
    </rPh>
    <phoneticPr fontId="2"/>
  </si>
  <si>
    <t>G:\EAI\skhoksei\DEF\P501.csv</t>
  </si>
  <si>
    <t>G:\EAI\skchisei\DEF\P501.csv</t>
  </si>
  <si>
    <t>G:\EAI\skaicsei\DEF\P501.csv</t>
  </si>
  <si>
    <t>G:\EAI\sktoksei\DEF\P501.csv</t>
  </si>
  <si>
    <t>海上入荷予定実績（子JOB）DB設定</t>
    <rPh sb="16" eb="18">
      <t>セッテイ</t>
    </rPh>
    <phoneticPr fontId="2"/>
  </si>
  <si>
    <t>G:\EAI\skhoksei\DEF\P502.csv</t>
  </si>
  <si>
    <t>G:\EAI\skchisei\DEF\P502.csv</t>
  </si>
  <si>
    <t>G:\EAI\skaicsei\DEF\P502.csv</t>
  </si>
  <si>
    <t>G:\EAI\sktoksei\DEF\P502.csv</t>
  </si>
  <si>
    <t>海上・パイプライン出荷予定実績DB設定</t>
  </si>
  <si>
    <t>G:\EAI\skhoksei\DEF\P503.csv</t>
  </si>
  <si>
    <t>G:\EAI\skchisei\DEF\P503.csv</t>
  </si>
  <si>
    <t>G:\EAI\skaicsei\DEF\P503.csv</t>
  </si>
  <si>
    <t>G:\EAI\sktoksei\DEF\P503.csv</t>
  </si>
  <si>
    <t>海上・パイプライン出荷予定実績（子JOB）DB設定</t>
  </si>
  <si>
    <t>G:\EAI\skhoksei\DEF\P504.csv</t>
  </si>
  <si>
    <t>オフサイト実績DB取り込み</t>
    <rPh sb="5" eb="7">
      <t>ジッセキ</t>
    </rPh>
    <rPh sb="9" eb="10">
      <t>ト</t>
    </rPh>
    <rPh sb="11" eb="12">
      <t>コ</t>
    </rPh>
    <phoneticPr fontId="2"/>
  </si>
  <si>
    <t>G:\EAI\skchisei\EXE\File2Db.exe</t>
  </si>
  <si>
    <t>G:\EAI\skaicsei\EXE\File2Db.exe</t>
  </si>
  <si>
    <t>G:\EAI\sktoksei\EXE\File2Db.exe</t>
  </si>
  <si>
    <t>G:\EAI\skchisei\DEF\P504.csv</t>
  </si>
  <si>
    <t>新IRIS連携　変換処理</t>
    <rPh sb="0" eb="1">
      <t>シン</t>
    </rPh>
    <rPh sb="5" eb="7">
      <t>レンケイ</t>
    </rPh>
    <rPh sb="8" eb="10">
      <t>ヘンカン</t>
    </rPh>
    <rPh sb="10" eb="12">
      <t>ショリ</t>
    </rPh>
    <phoneticPr fontId="2"/>
  </si>
  <si>
    <t>G:\EAI\skchisei\EXE\IRIS_convert.exe</t>
  </si>
  <si>
    <t>G:\EAI\skaicsei\EXE\IRIS_convert.exe</t>
  </si>
  <si>
    <t>G:\EAI\sktoksei\EXE\IRIS_convert.exe</t>
  </si>
  <si>
    <t>G:\EAI\skaicsei\DEF\P504.csv</t>
  </si>
  <si>
    <t>XMLファイル読み込み</t>
    <rPh sb="7" eb="8">
      <t>ヨ</t>
    </rPh>
    <rPh sb="9" eb="10">
      <t>コ</t>
    </rPh>
    <phoneticPr fontId="2"/>
  </si>
  <si>
    <t>G:\EAI\skchisei\EXE\ReadXml.dll</t>
  </si>
  <si>
    <t>G:\EAI\skaicsei\EXE\ReadXml.dll</t>
  </si>
  <si>
    <t>G:\EAI\sktoksei\EXE\ReadXml.dll</t>
  </si>
  <si>
    <t>G:\EAI\sktoksei\DEF\P504.csv</t>
  </si>
  <si>
    <t>G:\EAI\skchisei\DEF\EUC_SJS.cnv</t>
  </si>
  <si>
    <t>G:\EAI\skaicsei\DEF\EUC_SJS.cnv</t>
  </si>
  <si>
    <t>G:\EAI\sktoksei\DEF\EUC_SJS.cnv</t>
  </si>
  <si>
    <t>海上・パイプライン出荷予定実績（子JOB）変換処理</t>
    <rPh sb="21" eb="23">
      <t>ヘンカン</t>
    </rPh>
    <rPh sb="23" eb="25">
      <t>ショリ</t>
    </rPh>
    <phoneticPr fontId="2"/>
  </si>
  <si>
    <t>G:\EAI\skhoksei\DEF\P504_convert.csv</t>
  </si>
  <si>
    <t>G:\EAI\skchisei\DEF\P504_convert.csv</t>
  </si>
  <si>
    <t>G:\EAI\skaicsei\DEF\P504_convert.csv</t>
  </si>
  <si>
    <t>G:\EAI\sktoksei\DEF\P504_convert.csv</t>
  </si>
  <si>
    <t>陸上出荷予定実績（油種別）DB設定</t>
    <rPh sb="15" eb="17">
      <t>セッテイ</t>
    </rPh>
    <phoneticPr fontId="2"/>
  </si>
  <si>
    <t>G:\EAI\skhoksei\DEF\P506.csv</t>
  </si>
  <si>
    <t>G:\EAI\skchisei\DEF\P506.csv</t>
  </si>
  <si>
    <t>G:\EAI\skaicsei\DEF\P506.csv</t>
  </si>
  <si>
    <t>G:\EAI\sktoksei\DEF\P506.csv</t>
  </si>
  <si>
    <t>陸上出荷予定実績（車番別）DB設定</t>
    <rPh sb="15" eb="17">
      <t>セッテイ</t>
    </rPh>
    <phoneticPr fontId="2"/>
  </si>
  <si>
    <t>G:\EAI\skhoksei\DEF\P507.csv</t>
  </si>
  <si>
    <t>G:\EAI\skchisei\DEF\P507.csv</t>
  </si>
  <si>
    <t>G:\EAI\skaicsei\DEF\P507.csv</t>
  </si>
  <si>
    <t>G:\EAI\sktoksei\DEF\P507.csv</t>
  </si>
  <si>
    <t>シフト生産予定実績DB設定</t>
    <rPh sb="11" eb="13">
      <t>セッテイ</t>
    </rPh>
    <phoneticPr fontId="2"/>
  </si>
  <si>
    <t>G:\EAI\skhoksei\DEF\P508.csv</t>
  </si>
  <si>
    <t>G:\EAI\skchisei\DEF\P508.csv</t>
  </si>
  <si>
    <t>G:\EAI\skaicsei\DEF\P508.csv</t>
  </si>
  <si>
    <t>G:\EAI\sktoksei\DEF\P508.csv</t>
  </si>
  <si>
    <t>シフト生産予定実績（子JOB）DB設定</t>
    <rPh sb="17" eb="19">
      <t>セッテイ</t>
    </rPh>
    <phoneticPr fontId="2"/>
  </si>
  <si>
    <t>G:\EAI\skhoksei\DEF\P509.csv</t>
  </si>
  <si>
    <t>G:\EAI\skchisei\DEF\P509.csv</t>
  </si>
  <si>
    <t>G:\EAI\skaicsei\DEF\P509.csv</t>
  </si>
  <si>
    <t>G:\EAI\sktoksei\DEF\P509.csv</t>
  </si>
  <si>
    <t>装置受払予定実績DB設定</t>
    <rPh sb="10" eb="12">
      <t>セッテイ</t>
    </rPh>
    <phoneticPr fontId="2"/>
  </si>
  <si>
    <t>G:\EAI\skhoksei\DEF\P512.csv</t>
  </si>
  <si>
    <t>G:\EAI\skchisei\DEF\P512.csv</t>
  </si>
  <si>
    <t>G:\EAI\skaicsei\DEF\P512.csv</t>
  </si>
  <si>
    <t>G:\EAI\sktoksei\DEF\P512.csv</t>
  </si>
  <si>
    <t>原油タンク水切り実績DB設定</t>
    <rPh sb="12" eb="14">
      <t>セッテイ</t>
    </rPh>
    <phoneticPr fontId="2"/>
  </si>
  <si>
    <t>G:\EAI\skhoksei\DEF\P513.csv</t>
  </si>
  <si>
    <t>G:\EAI\skchisei\DEF\P513.csv</t>
  </si>
  <si>
    <t>G:\EAI\skaicsei\DEF\P513.csv</t>
  </si>
  <si>
    <t>G:\EAI\sktoksei\DEF\P513.csv</t>
  </si>
  <si>
    <t>添加剤受入予定実績DB設定</t>
    <rPh sb="11" eb="13">
      <t>セッテイ</t>
    </rPh>
    <phoneticPr fontId="2"/>
  </si>
  <si>
    <t>G:\EAI\skhoksei\DEF\P514.csv</t>
  </si>
  <si>
    <t>G:\EAI\skchisei\DEF\P514.csv</t>
  </si>
  <si>
    <t>G:\EAI\skaicsei\DEF\P514.csv</t>
  </si>
  <si>
    <t>G:\EAI\sktoksei\DEF\P514.csv</t>
  </si>
  <si>
    <t>オフサイト入出荷伝票DB設定</t>
    <rPh sb="12" eb="14">
      <t>セッテイ</t>
    </rPh>
    <phoneticPr fontId="2"/>
  </si>
  <si>
    <t>G:\EAI\skhoksei\DEF\P515.csv</t>
  </si>
  <si>
    <t>G:\EAI\skchisei\DEF\P515.csv</t>
  </si>
  <si>
    <t>G:\EAI\skaicsei\DEF\P515.csv</t>
  </si>
  <si>
    <t>G:\EAI\sktoksei\DEF\P515.csv</t>
  </si>
  <si>
    <t>納税伝票DB設定</t>
  </si>
  <si>
    <t>G:\EAI\skhoksei\DEF\P516.csv</t>
  </si>
  <si>
    <t>G:\EAI\skchisei\DEF\P516.csv</t>
  </si>
  <si>
    <t>G:\EAI\skaicsei\DEF\P516.csv</t>
  </si>
  <si>
    <t>G:\EAI\sktoksei\DEF\P516.csv</t>
  </si>
  <si>
    <t>海上入出荷オーダーDB設定</t>
    <rPh sb="11" eb="13">
      <t>セッテイ</t>
    </rPh>
    <phoneticPr fontId="2"/>
  </si>
  <si>
    <t>G:\EAI\skhoksei\DEF\P517.csv</t>
  </si>
  <si>
    <t>G:\EAI\skchisei\DEF\P517.csv</t>
  </si>
  <si>
    <t>G:\EAI\skaicsei\DEF\P517.csv</t>
  </si>
  <si>
    <t>G:\EAI\sktoksei\DEF\P517.csv</t>
  </si>
  <si>
    <t>海上入出荷オーダー変換処理</t>
  </si>
  <si>
    <t>G:\EAI\skhoksei\DEF\P517_convert.csv</t>
  </si>
  <si>
    <t>G:\EAI\skchisei\DEF\P517_convert.csv</t>
  </si>
  <si>
    <t>G:\EAI\skaicsei\DEF\P517_convert.csv</t>
  </si>
  <si>
    <t>G:\EAI\sktoksei\DEF\P517_convert.csv</t>
  </si>
  <si>
    <t>外航船入荷オーダDB設定</t>
    <rPh sb="10" eb="12">
      <t>セッテイ</t>
    </rPh>
    <phoneticPr fontId="2"/>
  </si>
  <si>
    <t>G:\EAI\skhoksei\DEF\P519.csv</t>
  </si>
  <si>
    <t>G:\EAI\skchisei\DEF\P519.csv</t>
  </si>
  <si>
    <t>G:\EAI\skaicsei\DEF\P519.csv</t>
  </si>
  <si>
    <t>G:\EAI\sktoksei\DEF\P519.csv</t>
  </si>
  <si>
    <t>外航船入荷オーダ（タンク情報）DB設定</t>
    <rPh sb="17" eb="19">
      <t>セッテイ</t>
    </rPh>
    <phoneticPr fontId="2"/>
  </si>
  <si>
    <t>G:\EAI\skhoksei\DEF\P520.csv</t>
  </si>
  <si>
    <t>G:\EAI\skchisei\DEF\P520.csv</t>
  </si>
  <si>
    <t>G:\EAI\skaicsei\DEF\P520.csv</t>
  </si>
  <si>
    <t>G:\EAI\sktoksei\DEF\P520.csv</t>
  </si>
  <si>
    <t>出荷オーダ集計DB設定</t>
    <rPh sb="9" eb="11">
      <t>セッテイ</t>
    </rPh>
    <phoneticPr fontId="2"/>
  </si>
  <si>
    <t>G:\EAI\skhoksei\DEF\P521.csv</t>
  </si>
  <si>
    <t>G:\EAI\skchisei\DEF\P521.csv</t>
  </si>
  <si>
    <t>G:\EAI\skaicsei\DEF\P521.csv</t>
  </si>
  <si>
    <t>G:\EAI\sktoksei\DEF\P521.csv</t>
  </si>
  <si>
    <t>出荷オーダ集計 変換処理</t>
    <rPh sb="8" eb="10">
      <t>ヘンカン</t>
    </rPh>
    <rPh sb="10" eb="12">
      <t>ショリ</t>
    </rPh>
    <phoneticPr fontId="2"/>
  </si>
  <si>
    <t>G:\EAI\skhoksei\DEF\P521_convert.csv</t>
  </si>
  <si>
    <t>G:\EAI\skchisei\DEF\P521_convert.csv</t>
  </si>
  <si>
    <t>G:\EAI\skaicsei\DEF\P521_convert.csv</t>
  </si>
  <si>
    <t>G:\EAI\sktoksei\DEF\P521_convert.csv</t>
  </si>
  <si>
    <t>タンク在庫日報DB設定</t>
    <rPh sb="9" eb="11">
      <t>セッテイ</t>
    </rPh>
    <phoneticPr fontId="2"/>
  </si>
  <si>
    <t>G:\EAI\skhoksei\DEF\P522.csv</t>
  </si>
  <si>
    <t>G:\EAI\skchisei\DEF\P522.csv</t>
  </si>
  <si>
    <t>G:\EAI\skaicsei\DEF\P522.csv</t>
  </si>
  <si>
    <t>G:\EAI\sktoksei\DEF\P522.csv</t>
  </si>
  <si>
    <t>タンク在庫日報 変換処理</t>
    <rPh sb="8" eb="10">
      <t>ヘンカン</t>
    </rPh>
    <rPh sb="10" eb="12">
      <t>ショリ</t>
    </rPh>
    <phoneticPr fontId="2"/>
  </si>
  <si>
    <t>G:\EAI\skhoksei\DEF\P522_convert.csv</t>
  </si>
  <si>
    <t>G:\EAI\skchisei\DEF\P522_convert.csv</t>
  </si>
  <si>
    <t>G:\EAI\skaicsei\DEF\P522_convert.csv</t>
  </si>
  <si>
    <t>G:\EAI\sktoksei\DEF\P522_convert.csv</t>
  </si>
  <si>
    <t>タンク増減日報DB設定</t>
    <rPh sb="9" eb="11">
      <t>セッテイ</t>
    </rPh>
    <phoneticPr fontId="2"/>
  </si>
  <si>
    <t>G:\EAI\skhoksei\DEF\P523.csv</t>
  </si>
  <si>
    <t>G:\EAI\skchisei\DEF\P523.csv</t>
  </si>
  <si>
    <t>G:\EAI\skaicsei\DEF\P523.csv</t>
  </si>
  <si>
    <t>G:\EAI\sktoksei\DEF\P523.csv</t>
  </si>
  <si>
    <t>タンク増減日報 変換処理</t>
    <rPh sb="8" eb="10">
      <t>ヘンカン</t>
    </rPh>
    <rPh sb="10" eb="12">
      <t>ショリ</t>
    </rPh>
    <phoneticPr fontId="2"/>
  </si>
  <si>
    <t>G:\EAI\skhoksei\DEF\P523_convert.csv</t>
  </si>
  <si>
    <t>G:\EAI\skchisei\DEF\P523_convert.csv</t>
  </si>
  <si>
    <t>G:\EAI\skaicsei\DEF\P523_convert.csv</t>
  </si>
  <si>
    <t>G:\EAI\sktoksei\DEF\P523_convert.csv</t>
  </si>
  <si>
    <t>作業形態別中間実績DB設定</t>
    <rPh sb="11" eb="13">
      <t>セッテイ</t>
    </rPh>
    <phoneticPr fontId="2"/>
  </si>
  <si>
    <t>G:\EAI\skhoksei\DEF\P524.csv</t>
  </si>
  <si>
    <t>G:\EAI\skchisei\DEF\P524.csv</t>
  </si>
  <si>
    <t>G:\EAI\skaicsei\DEF\P524.csv</t>
  </si>
  <si>
    <t>G:\EAI\sktoksei\DEF\P524.csv</t>
  </si>
  <si>
    <t>JOB別中間実績DB設定</t>
    <rPh sb="10" eb="12">
      <t>セッテイ</t>
    </rPh>
    <phoneticPr fontId="2"/>
  </si>
  <si>
    <t>G:\EAI\skhoksei\DEF\P525.csv</t>
  </si>
  <si>
    <t>G:\EAI\skchisei\DEF\P525.csv</t>
  </si>
  <si>
    <t>G:\EAI\skaicsei\DEF\P525.csv</t>
  </si>
  <si>
    <t>G:\EAI\sktoksei\DEF\P525.csv</t>
  </si>
  <si>
    <t>タンク別中間実績DB設定</t>
    <rPh sb="3" eb="4">
      <t>ベツ</t>
    </rPh>
    <rPh sb="4" eb="6">
      <t>チュウカン</t>
    </rPh>
    <rPh sb="6" eb="8">
      <t>ジッセキ</t>
    </rPh>
    <rPh sb="10" eb="12">
      <t>セッテイ</t>
    </rPh>
    <phoneticPr fontId="1"/>
  </si>
  <si>
    <t>G:\EAI\skhoksei\DEF\P526.csv</t>
  </si>
  <si>
    <t>G:\EAI\skchisei\DEF\P526.csv</t>
  </si>
  <si>
    <t>G:\EAI\skaicsei\DEF\P526.csv</t>
  </si>
  <si>
    <t>G:\EAI\sktoksei\DEF\P526.csv</t>
  </si>
  <si>
    <t>タンクマスタDB設定</t>
    <rPh sb="8" eb="10">
      <t>セッテイ</t>
    </rPh>
    <phoneticPr fontId="2"/>
  </si>
  <si>
    <t>G:\EAI\skhoksei\DEF\P527.csv</t>
  </si>
  <si>
    <t>G:\EAI\skchisei\DEF\P527.csv</t>
  </si>
  <si>
    <t>G:\EAI\skaicsei\DEF\P527.csv</t>
  </si>
  <si>
    <t>G:\EAI\sktoksei\DEF\P527.csv</t>
  </si>
  <si>
    <t>潤滑油二課タンク在庫DB設定</t>
    <rPh sb="12" eb="14">
      <t>セッテイ</t>
    </rPh>
    <phoneticPr fontId="2"/>
  </si>
  <si>
    <t>G:\EAI\skchisei\DEF\PLUB2IRIS.csv</t>
  </si>
  <si>
    <t>化成品課タンク在庫DB設定</t>
    <rPh sb="11" eb="13">
      <t>セッテイ</t>
    </rPh>
    <phoneticPr fontId="2"/>
  </si>
  <si>
    <t>G:\EAI\skaicsei\DEF\P532.csv</t>
  </si>
  <si>
    <t>メール送信設定ファイル</t>
    <rPh sb="3" eb="5">
      <t>ソウシン</t>
    </rPh>
    <rPh sb="5" eb="7">
      <t>セッテイ</t>
    </rPh>
    <phoneticPr fontId="2"/>
  </si>
  <si>
    <t>D:\skhoksei\App\Sougyou\conf\binas\MAIL_INFO.INI</t>
  </si>
  <si>
    <t>D:\skchisei\App\Sougyou\conf\binas\MAIL_INFO.INI</t>
  </si>
  <si>
    <t>D:\skaicsei\App\Sougyou\conf\binas\MAIL_INFO.INI</t>
  </si>
  <si>
    <t>D:\sktoksei\App\Sougyou\conf\binas\MAIL_INFO.INI</t>
  </si>
  <si>
    <t>EAI共通XMLファイル</t>
    <phoneticPr fontId="1"/>
  </si>
  <si>
    <t>D:\skhoksei\App\Sougyou\bin\EAIINFO.xml</t>
    <phoneticPr fontId="1"/>
  </si>
  <si>
    <t>EAI共通XMLファイル</t>
  </si>
  <si>
    <t>D:\skchisei\App\Sougyou\bin\EAIINFO.xml</t>
  </si>
  <si>
    <t>D:\skaicsei\App\Sougyou\bin\EAIINFO.xml</t>
  </si>
  <si>
    <t>D:\sktoksei\App\Sougyou\bin\EAIINFO.xml</t>
  </si>
  <si>
    <t>石油MES共通INIファイル</t>
  </si>
  <si>
    <t>D:\skhoksei\App\Sougyou\bin\MES.INI</t>
  </si>
  <si>
    <t>D:\skchisei\App\Sougyou\bin\MES.INI</t>
  </si>
  <si>
    <t>D:\skaicsei\App\Sougyou\bin\MES.INI</t>
  </si>
  <si>
    <t>D:\sktoksei\App\Sougyou\bin\MES.INI</t>
  </si>
  <si>
    <t>装置稼動実績マスタファイル</t>
  </si>
  <si>
    <t>D:\skhoksei\App\Sougyou\bin\SOUTI_KADOU.ini</t>
  </si>
  <si>
    <t>D:\skchisei\App\Sougyou\bin\SOUTI_KADOU.ini</t>
  </si>
  <si>
    <t>D:\skaicsei\App\Sougyou\bin\SOUTI_KADOU.ini</t>
  </si>
  <si>
    <t>D:\sktoksei\App\Sougyou\bin\SOUTI_KADOU.ini</t>
  </si>
  <si>
    <t>不要ファイル削除リスト</t>
    <rPh sb="0" eb="2">
      <t>フヨウ</t>
    </rPh>
    <rPh sb="6" eb="8">
      <t>サクジョ</t>
    </rPh>
    <phoneticPr fontId="2"/>
  </si>
  <si>
    <t>D:\skhoksei\App\Common\DeleteFile\DeleteFileList.csv</t>
  </si>
  <si>
    <t>D:\skchisei\App\Common\DeleteFile\DeleteFileList.csv</t>
  </si>
  <si>
    <t>D:\skaicsei\App\Common\DeleteFile\DeleteFileList.csv</t>
  </si>
  <si>
    <t>D:\sktoksei\App\Common\DeleteFile\DeleteFileList.csv</t>
  </si>
  <si>
    <t>EAIリモートログ監視メッセージ設定</t>
    <rPh sb="9" eb="11">
      <t>カンシ</t>
    </rPh>
    <rPh sb="16" eb="18">
      <t>セッテイ</t>
    </rPh>
    <phoneticPr fontId="2"/>
  </si>
  <si>
    <t>D:\skhoksei\App\Sougyou\bin\EAI_LOG_WATCH.INI</t>
    <phoneticPr fontId="1"/>
  </si>
  <si>
    <t>D:\skchisei\App\Sougyou\bin\EAI_LOG_WATCH.INI</t>
  </si>
  <si>
    <t>D:\skaicsei\App\Sougyou\bin\EAI_LOG_WATCH.INI</t>
  </si>
  <si>
    <t>D:\sktoksei\App\Sougyou\bin\EAI_LOG_WATCH.INI</t>
  </si>
  <si>
    <t>ディス容量チェック(設定ファイル)</t>
    <rPh sb="3" eb="5">
      <t>ヨウリョウ</t>
    </rPh>
    <rPh sb="10" eb="12">
      <t>セッテイ</t>
    </rPh>
    <phoneticPr fontId="2"/>
  </si>
  <si>
    <t>D:\Common\ChkDiskFree\ChkDiskFree.txt</t>
  </si>
  <si>
    <t>二次加工DB(設定ファイル)</t>
    <rPh sb="0" eb="4">
      <t>ニジカコウ</t>
    </rPh>
    <rPh sb="7" eb="9">
      <t>セッテイ</t>
    </rPh>
    <phoneticPr fontId="2"/>
  </si>
  <si>
    <t>D:\skaicsei\App\Common\DBCOLECT\coleng.ini</t>
  </si>
  <si>
    <t>D:\skaicsei\App\Common\DBCOLECT\tool.ini</t>
  </si>
  <si>
    <t>潤滑油設定ファイル</t>
    <rPh sb="0" eb="3">
      <t>ジュンカツユ</t>
    </rPh>
    <rPh sb="3" eb="5">
      <t>セッテイ</t>
    </rPh>
    <phoneticPr fontId="2"/>
  </si>
  <si>
    <t>D:\skaicsei\App\Sougyou\bin\junkatuyu.ini</t>
  </si>
  <si>
    <t>D:\skchisei\App\Common\DBCOLECT\coleng.ini</t>
  </si>
  <si>
    <t>D:\skchisei\App\Common\DBCOLECT\tool.ini</t>
  </si>
  <si>
    <t>D:\skchisei\App\Sougyou\bin\junkatuyu.ini</t>
  </si>
  <si>
    <t>オペマネ開始ジョブ</t>
    <rPh sb="4" eb="6">
      <t>カイシ</t>
    </rPh>
    <phoneticPr fontId="2"/>
  </si>
  <si>
    <t>D:\skchisei\App\Sougyou\bin\Run.bat</t>
  </si>
  <si>
    <t>D:\skhoksei\App\Common\DBCOLECT\coleng.ini</t>
  </si>
  <si>
    <t>D:\skhoksei\App\Common\DBCOLECT\tool.ini</t>
  </si>
  <si>
    <t>D:\skhoksei\App\Sougyou\bin\junkatuyu.ini</t>
  </si>
  <si>
    <t>D:\sktoksei\App\Common\DBCOLECT\coleng.ini</t>
  </si>
  <si>
    <t>D:\sktoksei\App\Common\DBCOLECT\tool.ini</t>
  </si>
  <si>
    <t>D:\sktoksei\App\Sougyou\bin\junkatuyu.ini</t>
  </si>
  <si>
    <t>OWFT廃止対応（FTP送信用設定ファイル）</t>
    <rPh sb="4" eb="6">
      <t>ハイシ</t>
    </rPh>
    <rPh sb="6" eb="8">
      <t>タイオウ</t>
    </rPh>
    <rPh sb="12" eb="14">
      <t>ソウシン</t>
    </rPh>
    <rPh sb="14" eb="15">
      <t>ヨウ</t>
    </rPh>
    <rPh sb="15" eb="17">
      <t>セッテイ</t>
    </rPh>
    <phoneticPr fontId="1"/>
  </si>
  <si>
    <t>バッチ</t>
  </si>
  <si>
    <t>装置稼動実績</t>
    <phoneticPr fontId="2"/>
  </si>
  <si>
    <t>D:\skhoksei\App\Sougyou\conf\binas\D204.bat</t>
  </si>
  <si>
    <t>再構築</t>
    <rPh sb="0" eb="3">
      <t>サ</t>
    </rPh>
    <phoneticPr fontId="1"/>
  </si>
  <si>
    <t>機能統合も検討余地あり</t>
    <rPh sb="0" eb="2">
      <t>キノウ</t>
    </rPh>
    <rPh sb="2" eb="4">
      <t>トウゴウ</t>
    </rPh>
    <rPh sb="5" eb="7">
      <t>ケントウ</t>
    </rPh>
    <rPh sb="7" eb="9">
      <t>ヨチ</t>
    </rPh>
    <phoneticPr fontId="1"/>
  </si>
  <si>
    <t>D:\skchisei\App\Sougyou\conf\binas\D204.bat</t>
  </si>
  <si>
    <t>D:\skaicsei\App\Sougyou\conf\binas\D204.bat</t>
  </si>
  <si>
    <t>D:\sktoksei\App\Sougyou\conf\binas\D204.bat</t>
    <phoneticPr fontId="1"/>
  </si>
  <si>
    <t>日別装置稼動実績処理</t>
    <rPh sb="0" eb="1">
      <t>ヒ</t>
    </rPh>
    <rPh sb="1" eb="2">
      <t>ベツ</t>
    </rPh>
    <rPh sb="8" eb="10">
      <t>ショリ</t>
    </rPh>
    <phoneticPr fontId="2"/>
  </si>
  <si>
    <t>D:\skhoksei\App\Sougyou\conf\binas\BINAS_S99.bat</t>
  </si>
  <si>
    <t>D:\skchisei\App\Sougyou\conf\binas\BINAS_S99.bat</t>
  </si>
  <si>
    <t>D:\skaicsei\App\Sougyou\conf\binas\BINAS_S99.bat</t>
  </si>
  <si>
    <t>D:\sktoksei\App\Sougyou\conf\binas\BINAS_S99.bat</t>
  </si>
  <si>
    <t>自家燃タンク在庫</t>
    <rPh sb="0" eb="2">
      <t>ジカ</t>
    </rPh>
    <rPh sb="2" eb="3">
      <t>ネン</t>
    </rPh>
    <rPh sb="6" eb="8">
      <t>ザイコ</t>
    </rPh>
    <phoneticPr fontId="2"/>
  </si>
  <si>
    <t>D:\skhoksei\App\Sougyou\conf\binas\D201.bat</t>
  </si>
  <si>
    <t>D:\skchisei\App\Sougyou\conf\binas\D201.bat</t>
  </si>
  <si>
    <t>D:\skaicsei\App\Sougyou\conf\binas\D201.bat</t>
  </si>
  <si>
    <t>潤滑油一課タンク在庫</t>
    <rPh sb="0" eb="3">
      <t>ジュンカツユ</t>
    </rPh>
    <rPh sb="3" eb="5">
      <t>イッカ</t>
    </rPh>
    <rPh sb="8" eb="10">
      <t>ザイコ</t>
    </rPh>
    <phoneticPr fontId="2"/>
  </si>
  <si>
    <t>D:\skchisei\App\Sougyou\conf\binas\D206.bat</t>
  </si>
  <si>
    <t>G:\EAI\skhoksei\BAT\IRIS_OFFSITE.bat</t>
  </si>
  <si>
    <t>G:\EAI\skchisei\BAT\IRIS_OFFSITE.bat</t>
  </si>
  <si>
    <t>G:\EAI\skaicsei\BAT\IRIS_OFFSITE.bat</t>
  </si>
  <si>
    <t>G:\EAI\sktoksei\BAT\IRIS_OFFSITE.bat</t>
  </si>
  <si>
    <t>化成品課タンク在庫更新起動</t>
    <rPh sb="9" eb="11">
      <t>コウシン</t>
    </rPh>
    <rPh sb="11" eb="13">
      <t>キドウ</t>
    </rPh>
    <phoneticPr fontId="2"/>
  </si>
  <si>
    <t>G:\EAI\skaicsei\BAT\D532.BAT</t>
  </si>
  <si>
    <t>燃料油試験結果起動</t>
    <rPh sb="7" eb="9">
      <t>キドウ</t>
    </rPh>
    <phoneticPr fontId="2"/>
  </si>
  <si>
    <t>G:\EAI\skhoksei\BAT\D101.bat</t>
  </si>
  <si>
    <t>G:\EAI\skchisei\BAT\D101.bat</t>
  </si>
  <si>
    <t>G:\EAI\skaicsei\BAT\D101.bat</t>
  </si>
  <si>
    <t>G:\EAI\sktoksei\BAT\D101.bat</t>
  </si>
  <si>
    <t>工程試験結果起動</t>
    <rPh sb="0" eb="2">
      <t>コウテイ</t>
    </rPh>
    <rPh sb="2" eb="4">
      <t>シケン</t>
    </rPh>
    <rPh sb="4" eb="6">
      <t>ケッカ</t>
    </rPh>
    <rPh sb="6" eb="8">
      <t>キドウ</t>
    </rPh>
    <phoneticPr fontId="2"/>
  </si>
  <si>
    <t>G:\EAI\skhoksei\BAT\D102.bat</t>
  </si>
  <si>
    <t>G:\EAI\skchisei\BAT\D102.bat</t>
  </si>
  <si>
    <t>G:\EAI\skaicsei\BAT\D102.bat</t>
  </si>
  <si>
    <t>G:\EAI\sktoksei\BAT\D102.bat</t>
  </si>
  <si>
    <t>潤滑油試験結果起動</t>
    <rPh sb="0" eb="3">
      <t>ジュンカツユ</t>
    </rPh>
    <rPh sb="3" eb="5">
      <t>シケン</t>
    </rPh>
    <rPh sb="5" eb="7">
      <t>ケッカ</t>
    </rPh>
    <rPh sb="7" eb="9">
      <t>キドウ</t>
    </rPh>
    <phoneticPr fontId="2"/>
  </si>
  <si>
    <t>G:\EAI\skchisei\BAT\D103.bat</t>
  </si>
  <si>
    <t>自家燃使用量OWFT起動</t>
    <rPh sb="0" eb="2">
      <t>ジカ</t>
    </rPh>
    <rPh sb="2" eb="3">
      <t>ネン</t>
    </rPh>
    <rPh sb="3" eb="5">
      <t>シヨウ</t>
    </rPh>
    <rPh sb="5" eb="6">
      <t>リョウ</t>
    </rPh>
    <rPh sb="10" eb="12">
      <t>キドウ</t>
    </rPh>
    <phoneticPr fontId="2"/>
  </si>
  <si>
    <t>D:\skhoksei\App\Sougyou\conf\binas\D202.bat</t>
  </si>
  <si>
    <t>D:\skchisei\App\Sougyou\conf\binas\D202.bat</t>
  </si>
  <si>
    <t>D:\skaicsei\App\Sougyou\conf\binas\D202.bat</t>
  </si>
  <si>
    <t>D:\sktoksei\App\Sougyou\conf\binas\D202.bat</t>
  </si>
  <si>
    <t>メール送信</t>
    <rPh sb="3" eb="5">
      <t>ソウシン</t>
    </rPh>
    <phoneticPr fontId="2"/>
  </si>
  <si>
    <t>D:\skhoksei\App\Sougyou\conf\binas\MAIL0301.wsf</t>
  </si>
  <si>
    <t>再構築</t>
    <rPh sb="0" eb="3">
      <t>サイコウチ</t>
    </rPh>
    <phoneticPr fontId="1"/>
  </si>
  <si>
    <t>D:\skchisei\App\Sougyou\conf\binas\MAIL0301.wsf</t>
  </si>
  <si>
    <t>D:\skaicsei\App\Sougyou\conf\binas\MAIL0301.wsf</t>
  </si>
  <si>
    <t>D:\sktoksei\App\Sougyou\conf\binas\MAIL0301.wsf</t>
  </si>
  <si>
    <t>不要ファイル削除</t>
    <rPh sb="0" eb="2">
      <t>フヨウ</t>
    </rPh>
    <rPh sb="6" eb="8">
      <t>サクジョ</t>
    </rPh>
    <phoneticPr fontId="2"/>
  </si>
  <si>
    <t>D:\skhoksei\App\Common\DeleteFile\DeleteFile.bat</t>
  </si>
  <si>
    <t>D:\skchisei\App\Common\DeleteFile\DeleteFile.bat</t>
  </si>
  <si>
    <t>D:\skaicsei\App\Common\DeleteFile\DeleteFile.bat</t>
  </si>
  <si>
    <t>D:\sktoksei\App\Common\DeleteFile\DeleteFile.bat</t>
  </si>
  <si>
    <t>EAIリモートログ監視起動</t>
    <rPh sb="9" eb="11">
      <t>カンシ</t>
    </rPh>
    <rPh sb="11" eb="13">
      <t>キドウ</t>
    </rPh>
    <phoneticPr fontId="2"/>
  </si>
  <si>
    <t>D:\skhoksei\App\Sougyou\bin\EAI_LOG_WATCH.bat</t>
  </si>
  <si>
    <t>D:\skchisei\App\Sougyou\bin\EAI_LOG_WATCH.bat</t>
  </si>
  <si>
    <t>D:\skaicsei\App\Sougyou\bin\EAI_LOG_WATCH.bat</t>
  </si>
  <si>
    <t>D:\sktoksei\App\Sougyou\bin\EAI_LOG_WATCH.bat</t>
  </si>
  <si>
    <t>ディス容量チェック</t>
    <rPh sb="3" eb="5">
      <t>ヨウリョウ</t>
    </rPh>
    <phoneticPr fontId="2"/>
  </si>
  <si>
    <t>D:\Common\ChkDiskFree\ChkDiskFree.exe</t>
  </si>
  <si>
    <t>TAGデータ取込み</t>
    <rPh sb="6" eb="8">
      <t>トリコ</t>
    </rPh>
    <phoneticPr fontId="2"/>
  </si>
  <si>
    <t>D:\skhoksei\App\Common\user\tjy_tag_dat.bat</t>
  </si>
  <si>
    <t>油種集計</t>
    <rPh sb="0" eb="2">
      <t>ユシュ</t>
    </rPh>
    <rPh sb="2" eb="4">
      <t>シュウケイ</t>
    </rPh>
    <phoneticPr fontId="2"/>
  </si>
  <si>
    <t>D:\skhoksei\App\Common\user\YUSYU_SYUUKEI.cmd</t>
  </si>
  <si>
    <t>共通ログ出力</t>
    <rPh sb="0" eb="2">
      <t>キョウツウ</t>
    </rPh>
    <rPh sb="4" eb="6">
      <t>シュツリョク</t>
    </rPh>
    <phoneticPr fontId="2"/>
  </si>
  <si>
    <t>D:\skchisei\App\Sougyou\bin\LogOutput.EXE</t>
  </si>
  <si>
    <t>D:\skaicsei\App\Sougyou\bin\LogOutput.EXE</t>
  </si>
  <si>
    <t>D:\sktoksei\App\Sougyou\bin\LogOutput.EXE</t>
  </si>
  <si>
    <t>共通ログ出力コンフィグ</t>
    <rPh sb="0" eb="2">
      <t>キョウツウ</t>
    </rPh>
    <rPh sb="4" eb="6">
      <t>シュツリョク</t>
    </rPh>
    <phoneticPr fontId="2"/>
  </si>
  <si>
    <t>D:\skhoksei\App\Sougyou\bin\LogOutput.EXE.config</t>
  </si>
  <si>
    <t>D:\skchisei\App\Sougyou\bin\LogOutput.EXE.config</t>
  </si>
  <si>
    <t>D:\skaicsei\App\Sougyou\bin\LogOutput.EXE.config</t>
  </si>
  <si>
    <t>D:\sktoksei\App\Sougyou\bin\LogOutput.EXE.config</t>
  </si>
  <si>
    <t>EAI送信共通</t>
    <rPh sb="3" eb="5">
      <t>ソウシン</t>
    </rPh>
    <rPh sb="5" eb="7">
      <t>キョウツウ</t>
    </rPh>
    <phoneticPr fontId="2"/>
  </si>
  <si>
    <t>D:\skhoksei\App\Sougyou\bin\EAI_SEND.EXE</t>
  </si>
  <si>
    <t>共通</t>
    <rPh sb="0" eb="2">
      <t>キョウツウ</t>
    </rPh>
    <phoneticPr fontId="1"/>
  </si>
  <si>
    <t>D:\skchisei\App\Sougyou\bin\EAI_SEND.EXE</t>
  </si>
  <si>
    <t>D:\skaicsei\App\Sougyou\bin\EAI_SEND.EXE</t>
  </si>
  <si>
    <t>D:\sktoksei\App\Sougyou\bin\EAI_SEND.EXE</t>
  </si>
  <si>
    <t>EAI送信共通コンフィグ</t>
    <rPh sb="3" eb="5">
      <t>ソウシン</t>
    </rPh>
    <rPh sb="5" eb="7">
      <t>キョウツウ</t>
    </rPh>
    <phoneticPr fontId="2"/>
  </si>
  <si>
    <t>D:\skhoksei\App\Sougyou\bin\EAI_SEND.EXE.config</t>
    <phoneticPr fontId="1"/>
  </si>
  <si>
    <t>D:\skchisei\App\Sougyou\bin\EAI_SEND.EXE.config</t>
  </si>
  <si>
    <t>D:\skaicsei\App\Sougyou\bin\EAI_SEND.EXE.config</t>
  </si>
  <si>
    <t>D:\sktoksei\App\Sougyou\bin\EAI_SEND.EXE.config</t>
  </si>
  <si>
    <t>送信先設定ファイル</t>
    <rPh sb="0" eb="2">
      <t>ソウシン</t>
    </rPh>
    <rPh sb="2" eb="3">
      <t>サキ</t>
    </rPh>
    <rPh sb="3" eb="5">
      <t>セッテイ</t>
    </rPh>
    <phoneticPr fontId="2"/>
  </si>
  <si>
    <t>D:\skhoksei\App\Transmit_Control\Transmit_Control.ini</t>
  </si>
  <si>
    <t>できれば廃止</t>
    <rPh sb="4" eb="6">
      <t>ハイシ</t>
    </rPh>
    <phoneticPr fontId="1"/>
  </si>
  <si>
    <t>D:\skchisei\App\Transmit_Control\Transmit_Control.ini</t>
  </si>
  <si>
    <t>D:\skaicsei\App\Transmit_Control\Transmit_Control.ini</t>
  </si>
  <si>
    <t>D:\sktoksei\App\Transmit_Control\Transmit_Control.ini</t>
  </si>
  <si>
    <t>OWFT送信依頼ジョブ(千)</t>
    <rPh sb="4" eb="6">
      <t>ソウシン</t>
    </rPh>
    <rPh sb="6" eb="8">
      <t>イライ</t>
    </rPh>
    <rPh sb="12" eb="13">
      <t>セン</t>
    </rPh>
    <phoneticPr fontId="2"/>
  </si>
  <si>
    <t>G:\owft\tools\cmd\SS1_FSZO518.bat</t>
  </si>
  <si>
    <t>OWFTデータ作成ジョブ(千)</t>
  </si>
  <si>
    <t>G:\owft\tools\cmd\SS2_FSZO518.bat</t>
  </si>
  <si>
    <t>OWFT送信ジョブ(千)</t>
  </si>
  <si>
    <t>G:\owft\tools\cmd\SS3_FSZO518.bat</t>
  </si>
  <si>
    <t>OWFT送信終了ジョブ(千)</t>
  </si>
  <si>
    <t>G:\owft\tools\cmd\SS6_FSZO518.bat</t>
  </si>
  <si>
    <t>製油所受払月報受信</t>
    <rPh sb="0" eb="3">
      <t>セイユジョ</t>
    </rPh>
    <rPh sb="3" eb="5">
      <t>ウケハライ</t>
    </rPh>
    <rPh sb="5" eb="7">
      <t>ゲッポウ</t>
    </rPh>
    <rPh sb="7" eb="9">
      <t>ジュシン</t>
    </rPh>
    <phoneticPr fontId="2"/>
  </si>
  <si>
    <t>G:\owft\tools\cmd\RR4_FS1012.bat</t>
  </si>
  <si>
    <t>G:\owft\tools\cmd\RR4_FS2012.bat</t>
  </si>
  <si>
    <t>G:\owft\tools\cmd\RR4_FS3012.bat</t>
  </si>
  <si>
    <t>G:\owft\tools\cmd\RR4_FS5012.bat</t>
  </si>
  <si>
    <t>G:\owft\tools\cmd\RR5_FS1012.bat</t>
  </si>
  <si>
    <t>G:\owft\tools\cmd\RR5_FS2012.bat</t>
  </si>
  <si>
    <t>G:\owft\tools\cmd\RR5_FS3012.bat</t>
  </si>
  <si>
    <t>G:\owft\tools\cmd\RR5_FS5012.bat</t>
  </si>
  <si>
    <t>製油所受払月報FTPGET</t>
    <rPh sb="0" eb="3">
      <t>セイユジョ</t>
    </rPh>
    <rPh sb="3" eb="5">
      <t>ウケハライ</t>
    </rPh>
    <rPh sb="5" eb="7">
      <t>ゲッポウ</t>
    </rPh>
    <phoneticPr fontId="2"/>
  </si>
  <si>
    <t>G:\owft\tools\cmd\FS1012.ftp</t>
  </si>
  <si>
    <t>G:\owft\tools\cmd\FS2012.ftp</t>
  </si>
  <si>
    <t>G:\owft\tools\cmd\FS3012.ftp</t>
  </si>
  <si>
    <t>G:\owft\tools\cmd\FS5012.ftp</t>
  </si>
  <si>
    <t>原油品名別輸入実績価格受信</t>
    <rPh sb="0" eb="2">
      <t>ゲンユ</t>
    </rPh>
    <rPh sb="2" eb="4">
      <t>ヒンメイ</t>
    </rPh>
    <rPh sb="4" eb="5">
      <t>ベツ</t>
    </rPh>
    <rPh sb="5" eb="7">
      <t>ユニュウ</t>
    </rPh>
    <rPh sb="7" eb="9">
      <t>ジッセキ</t>
    </rPh>
    <rPh sb="9" eb="11">
      <t>カカク</t>
    </rPh>
    <rPh sb="11" eb="13">
      <t>ジュシン</t>
    </rPh>
    <phoneticPr fontId="2"/>
  </si>
  <si>
    <t>G:\owft\tools\cmd\RR4_FS1010.bat</t>
  </si>
  <si>
    <t>G:\owft\tools\cmd\RR4_FS2010.bat</t>
  </si>
  <si>
    <t>G:\owft\tools\cmd\RR4_FS3010.bat</t>
  </si>
  <si>
    <t>G:\owft\tools\cmd\RR4_FS5010.bat</t>
  </si>
  <si>
    <t>G:\owft\tools\cmd\RR5_FS1010.bat</t>
  </si>
  <si>
    <t>G:\owft\tools\cmd\RR5_FS2010.bat</t>
  </si>
  <si>
    <t>G:\owft\tools\cmd\RR5_FS3010.bat</t>
  </si>
  <si>
    <t>G:\owft\tools\cmd\RR5_FS5010.bat</t>
  </si>
  <si>
    <t>原油品名別輸入実績価格受信FTPGET</t>
  </si>
  <si>
    <t>G:\owft\tools\cmd\FS1010.ftp</t>
  </si>
  <si>
    <t>G:\owft\tools\cmd\FS2010.ftp</t>
  </si>
  <si>
    <t>G:\owft\tools\cmd\FS3010.ftp</t>
  </si>
  <si>
    <t>G:\owft\tools\cmd\FS5010.ftp</t>
  </si>
  <si>
    <t>マテリアライズドビューリフレッシュ</t>
  </si>
  <si>
    <t>snapshot.bat</t>
  </si>
  <si>
    <t>OWFT廃止対応（FTP送信機能）</t>
    <rPh sb="4" eb="6">
      <t>ハイシ</t>
    </rPh>
    <rPh sb="6" eb="8">
      <t>タイオウ</t>
    </rPh>
    <rPh sb="12" eb="14">
      <t>ソウシン</t>
    </rPh>
    <rPh sb="14" eb="16">
      <t>キノウ</t>
    </rPh>
    <phoneticPr fontId="1"/>
  </si>
  <si>
    <t>G:\EAI\skhoksei\EXE\File2Db.exe</t>
  </si>
  <si>
    <t>G:\EAI\skhoksei\EXE\IRIS_convert.exe</t>
  </si>
  <si>
    <t>G:\EAI\skhoksei\EXE\ReadXml.dll</t>
  </si>
  <si>
    <t>D:\skhoksei\App\Sougyou\bin\LogOutput.EXE</t>
  </si>
  <si>
    <t>文字コード変換</t>
    <rPh sb="0" eb="2">
      <t>モジ</t>
    </rPh>
    <rPh sb="5" eb="7">
      <t>ヘンカン</t>
    </rPh>
    <phoneticPr fontId="1"/>
  </si>
  <si>
    <t>海上入出荷オーダーDB初期化</t>
    <rPh sb="11" eb="14">
      <t>ショキカ</t>
    </rPh>
    <phoneticPr fontId="2"/>
  </si>
  <si>
    <t>G:\EAI\skhoksei\SQL\P517.sql</t>
  </si>
  <si>
    <t>SQL</t>
    <phoneticPr fontId="1"/>
  </si>
  <si>
    <t>G:\EAI\skchisei\SQL\P517.sql</t>
  </si>
  <si>
    <t>G:\EAI\skaicsei\SQL\P517.sql</t>
  </si>
  <si>
    <t>G:\EAI\sktoksei\SQL\P517.sql</t>
  </si>
  <si>
    <t>D:\skaicsei\App\Sougyou\bin\Kick.exe</t>
  </si>
  <si>
    <t>D:\skaicsei\App\Sougyou\bin\Run.bat</t>
  </si>
  <si>
    <t>陸上入出荷オーダー（品名別）DB設定</t>
    <rPh sb="16" eb="18">
      <t>セッテイ</t>
    </rPh>
    <phoneticPr fontId="2"/>
  </si>
  <si>
    <t>G:\EAI\skhoksei\DEF\P518.csv</t>
  </si>
  <si>
    <t>G:\EAI\skchisei\DEF\P518.csv</t>
  </si>
  <si>
    <t>G:\EAI\skaicsei\DEF\P518.csv</t>
  </si>
  <si>
    <t>G:\EAI\sktoksei\DEF\P518.csv</t>
  </si>
  <si>
    <t>陸上入出荷オーダー（品名別）DB初期化</t>
    <rPh sb="16" eb="19">
      <t>ショキカ</t>
    </rPh>
    <phoneticPr fontId="2"/>
  </si>
  <si>
    <t>G:\EAI\skhoksei\SQL\P518.sql</t>
  </si>
  <si>
    <t>G:\EAI\skchisei\SQL\P518.sql</t>
  </si>
  <si>
    <t>D:\skchisei\App\Common\DBCOLECT\COL_SERVER.exe</t>
  </si>
  <si>
    <t>G:\EAI\skaicsei\SQL\P518.sql</t>
  </si>
  <si>
    <t>D:\skchisei\App\Sougyou\bin\BINAS_SEIYU.exe</t>
  </si>
  <si>
    <t>D:\skchisei\App\Sougyou\bin\DELETE_DB.exe</t>
  </si>
  <si>
    <t>D:\skchisei\App\Sougyou\bin\EDT_JNKTZAIK.exe</t>
  </si>
  <si>
    <t>自家燃使用量作成</t>
    <rPh sb="6" eb="8">
      <t>サクセイ</t>
    </rPh>
    <phoneticPr fontId="2"/>
  </si>
  <si>
    <t>D:\skchisei\App\Sougyou\bin\JIKANEN.exe</t>
  </si>
  <si>
    <t>D:\skchisei\App\Sougyou\bin\JIKANEN_HIST.exe</t>
  </si>
  <si>
    <t>G:\EAI\sktoksei\SQL\P518.sql</t>
  </si>
  <si>
    <t>D:\skchisei\App\Sougyou\bin\JUNKATUY_RCV.exe</t>
  </si>
  <si>
    <t>D:\skchisei\App\Sougyou\bin\JYUNKATU_TRANS.exe</t>
  </si>
  <si>
    <t>D:\skchisei\App\Sougyou\bin\kakouDB.exe</t>
  </si>
  <si>
    <t>D:\skchisei\App\Sougyou\bin\Kick.exe</t>
  </si>
  <si>
    <t>XMLファイル読込み</t>
    <rPh sb="7" eb="9">
      <t>ヨミコミ</t>
    </rPh>
    <phoneticPr fontId="2"/>
  </si>
  <si>
    <t>D:\skchisei\App\Sougyou\bin\ReadXml.dll</t>
  </si>
  <si>
    <t>外航船入荷オーダDB初期化</t>
    <rPh sb="10" eb="13">
      <t>ショキカ</t>
    </rPh>
    <phoneticPr fontId="2"/>
  </si>
  <si>
    <t>G:\EAI\skhoksei\SQL\P519.sql</t>
  </si>
  <si>
    <t>D:\skchisei\App\Sougyou\bin\TANKZAIKO.exe</t>
  </si>
  <si>
    <t>D:\skchisei\App\Sougyou\bin\UKEHARAI.exe</t>
  </si>
  <si>
    <t>D:\skchisei\App\Sougyou\bin\UNTEN_JYOKYO.exe</t>
  </si>
  <si>
    <t>D:\skchisei\App\Sougyou\bin\YSYOUENE_YOKO.exe</t>
  </si>
  <si>
    <t>D:\skchisei\App\Sougyou\bin\zogen.exe</t>
  </si>
  <si>
    <t>G:\EAI\skchisei\SQL\P519.sql</t>
  </si>
  <si>
    <t>D:\skhoksei\App\Common\DBCOLECT\COL_SERVER.exe</t>
  </si>
  <si>
    <t>G:\EAI\skaicsei\SQL\P519.sql</t>
  </si>
  <si>
    <t>G:\EAI\sktoksei\SQL\P519.sql</t>
  </si>
  <si>
    <t>外航船入荷オーダ（タンク情報）DB初期化</t>
    <rPh sb="17" eb="20">
      <t>ショキカ</t>
    </rPh>
    <phoneticPr fontId="2"/>
  </si>
  <si>
    <t>G:\EAI\skhoksei\SQL\P520.sql</t>
  </si>
  <si>
    <t>D:\skhoksei\App\Sougyou\bin\BINAS_SEIYU.exe</t>
  </si>
  <si>
    <t>D:\skhoksei\App\Sougyou\bin\DELETE_DB.exe</t>
  </si>
  <si>
    <t>D:\skhoksei\App\Sougyou\bin\EDT_JNKTZAIK.exe</t>
  </si>
  <si>
    <t>D:\skhoksei\App\Sougyou\bin\JIKANEN.exe</t>
  </si>
  <si>
    <t>D:\skhoksei\App\Sougyou\bin\JIKANEN_HIST.exe</t>
  </si>
  <si>
    <t>G:\EAI\skchisei\SQL\P520.sql</t>
  </si>
  <si>
    <t>D:\skhoksei\App\Sougyou\bin\JUNKATUY_RCV.exe</t>
  </si>
  <si>
    <t>D:\skhoksei\App\Sougyou\bin\JYUNKATU_TRANS.exe</t>
  </si>
  <si>
    <t>D:\skhoksei\App\Sougyou\bin\kakouDB.exe</t>
  </si>
  <si>
    <t>D:\skhoksei\App\Sougyou\bin\Kick.exe</t>
  </si>
  <si>
    <t>D:\skhoksei\App\Sougyou\bin\Run.bat</t>
  </si>
  <si>
    <t>D:\skhoksei\App\Sougyou\bin\TANKZAIKO.exe</t>
  </si>
  <si>
    <t>D:\skhoksei\App\Sougyou\bin\UKEHARAI.exe</t>
  </si>
  <si>
    <t>D:\skhoksei\App\Sougyou\bin\UNTEN_JYOKYO.exe</t>
  </si>
  <si>
    <t>D:\skhoksei\App\Sougyou\bin\YSYOUENE_YOKO.exe</t>
  </si>
  <si>
    <t>D:\skhoksei\App\Sougyou\bin\zogen.exe</t>
  </si>
  <si>
    <t>G:\EAI\skaicsei\SQL\P520.sql</t>
  </si>
  <si>
    <t>D:\sktoksei\App\Common\DBCOLECT\COL_SERVER.exe</t>
  </si>
  <si>
    <t>G:\EAI\sktoksei\SQL\P520.sql</t>
  </si>
  <si>
    <t>D:\sktoksei\App\Sougyou\bin\BINAS_SEIYU.exe</t>
  </si>
  <si>
    <t>D:\sktoksei\App\Sougyou\bin\DELETE_DB.exe</t>
  </si>
  <si>
    <t>D:\sktoksei\App\Sougyou\bin\EDT_JNKTZAIK.exe</t>
  </si>
  <si>
    <t>D:\sktoksei\App\Sougyou\bin\JIKANEN.exe</t>
  </si>
  <si>
    <t>D:\sktoksei\App\Sougyou\bin\JIKANEN_HIST.exe</t>
  </si>
  <si>
    <t>タンクマスタログ設定DB初期化</t>
    <rPh sb="12" eb="15">
      <t>ショキカ</t>
    </rPh>
    <phoneticPr fontId="2"/>
  </si>
  <si>
    <t>G:\EAI\skhoksei\SQL\P527.sql</t>
  </si>
  <si>
    <t>D:\sktoksei\App\Sougyou\bin\JUNKATUY_RCV.exe</t>
  </si>
  <si>
    <t>D:\sktoksei\App\Sougyou\bin\JYUNKATU_TRANS.exe</t>
  </si>
  <si>
    <t>D:\sktoksei\App\Sougyou\bin\kakouDB.exe</t>
  </si>
  <si>
    <t>D:\sktoksei\App\Sougyou\bin\Kick.exe</t>
  </si>
  <si>
    <t>D:\sktoksei\App\Sougyou\bin\Run.bat</t>
  </si>
  <si>
    <t>D:\sktoksei\App\Sougyou\bin\TANKZAIKO.exe</t>
  </si>
  <si>
    <t>D:\sktoksei\App\Sougyou\bin\UKEHARAI.exe</t>
  </si>
  <si>
    <t>D:\sktoksei\App\Sougyou\bin\UNTEN_JYOKYO.exe</t>
  </si>
  <si>
    <t>D:\sktoksei\App\Sougyou\bin\YSYOUENE_YOKO.exe</t>
  </si>
  <si>
    <t>D:\sktoksei\App\Sougyou\bin\zogen.exe</t>
  </si>
  <si>
    <t>OWFT関連タスク</t>
    <rPh sb="4" eb="6">
      <t>カンレン</t>
    </rPh>
    <phoneticPr fontId="2"/>
  </si>
  <si>
    <t>pkg_qu_ftp.ini</t>
  </si>
  <si>
    <t>VB_COM_EXEC.dll</t>
  </si>
  <si>
    <t>VB_COM_EXEC.pdb</t>
  </si>
  <si>
    <t>VB_COM_FILEMGR.dll</t>
  </si>
  <si>
    <t>VB_COM_FILEMGR.pdb</t>
  </si>
  <si>
    <t>VB_DBCOM_MGR.dll</t>
  </si>
  <si>
    <t>VB_DBCOM_MGR.pdb</t>
  </si>
  <si>
    <t>VB_PCK_QU_FTP1.exe</t>
  </si>
  <si>
    <t>VB_PCK_QU_FTP1.exe.config</t>
  </si>
  <si>
    <t>VB_PCK_QU_FTP1.pdb</t>
  </si>
  <si>
    <t>VB_PCK_QU_FTP2.exe</t>
  </si>
  <si>
    <t>VB_PCK_QU_FTP2.exe.config</t>
  </si>
  <si>
    <t>VB_PCK_QU_FTP2.pdb</t>
  </si>
  <si>
    <t>VB_PCK_QU_FTP3.exe</t>
  </si>
  <si>
    <t>VB_PCK_QU_FTP3.exe.config</t>
  </si>
  <si>
    <t>VB_PCK_QU_FTP3.pdb</t>
  </si>
  <si>
    <t>G:\EAI\skchisei\SQL\P527.sql</t>
  </si>
  <si>
    <t>G:\EAI\skaicsei\SQL\P527.sql</t>
  </si>
  <si>
    <t>G:\EAI\sktoksei\SQL\P527.sql</t>
  </si>
  <si>
    <t>exe_snapshot_a1.sql</t>
  </si>
  <si>
    <t>exe_snapshot_a2.sql</t>
  </si>
  <si>
    <t>exe_snapshot_a4.sql</t>
  </si>
  <si>
    <t>exe_snapshot_a5.sql</t>
  </si>
  <si>
    <t>EAIリモートログ監視</t>
    <rPh sb="9" eb="11">
      <t>カンシ</t>
    </rPh>
    <phoneticPr fontId="2"/>
  </si>
  <si>
    <t>D:\skhoksei\App\Sougyou\bin\EAI_LOG_WATCH.exe</t>
    <phoneticPr fontId="1"/>
  </si>
  <si>
    <t>共通</t>
    <rPh sb="0" eb="2">
      <t>k</t>
    </rPh>
    <phoneticPr fontId="1"/>
  </si>
  <si>
    <t>D:\skchisei\App\Sougyou\bin\EAI_LOG_WATCH.exe</t>
  </si>
  <si>
    <t>D:\skaicsei\App\Sougyou\bin\EAI_LOG_WATCH.exe</t>
  </si>
  <si>
    <t>D:\sktoksei\App\Sougyou\bin\EAI_LOG_WATCH.exe</t>
  </si>
  <si>
    <t>I/F</t>
    <phoneticPr fontId="1"/>
  </si>
  <si>
    <t>自家燃タンク在庫</t>
    <rPh sb="6" eb="8">
      <t>ザイコ</t>
    </rPh>
    <phoneticPr fontId="20"/>
  </si>
  <si>
    <t>北海道</t>
  </si>
  <si>
    <t>千葉</t>
  </si>
  <si>
    <t>愛知</t>
  </si>
  <si>
    <t>自家燃使用量</t>
    <rPh sb="0" eb="2">
      <t>ジカ</t>
    </rPh>
    <rPh sb="2" eb="3">
      <t>ネン</t>
    </rPh>
    <rPh sb="3" eb="6">
      <t>シヨウリョウ</t>
    </rPh>
    <phoneticPr fontId="20"/>
  </si>
  <si>
    <t>徳山</t>
  </si>
  <si>
    <t>化成品課タンク在庫</t>
    <rPh sb="7" eb="9">
      <t>ザイコ</t>
    </rPh>
    <phoneticPr fontId="20"/>
  </si>
  <si>
    <t>日別装置稼動実績</t>
  </si>
  <si>
    <t>潤滑油一課タンク在庫</t>
    <rPh sb="8" eb="10">
      <t>ザイコ</t>
    </rPh>
    <phoneticPr fontId="20"/>
  </si>
  <si>
    <t>海上入荷予定実績</t>
  </si>
  <si>
    <t>海上入荷予定実績（子JOB）</t>
  </si>
  <si>
    <t>海上・パイプライン出荷予定実績</t>
  </si>
  <si>
    <t>海上・パイプライン出荷予定実績（子JOB）</t>
  </si>
  <si>
    <t>陸上出荷予定実績（油種別）</t>
  </si>
  <si>
    <t>陸上出荷予定実績（車番別）</t>
  </si>
  <si>
    <t>シフト生産予定実績</t>
  </si>
  <si>
    <t>シフト生産予定実績（子JOB）</t>
  </si>
  <si>
    <t>装置受払予定実績</t>
  </si>
  <si>
    <t>原油タンク水切り実績</t>
  </si>
  <si>
    <t>添加剤受入予定実績</t>
  </si>
  <si>
    <t>オフサイト入出荷伝票</t>
    <rPh sb="5" eb="6">
      <t>ニュウ</t>
    </rPh>
    <rPh sb="6" eb="8">
      <t>シュッカ</t>
    </rPh>
    <rPh sb="8" eb="10">
      <t>デンピョウ</t>
    </rPh>
    <phoneticPr fontId="20"/>
  </si>
  <si>
    <t>海上入出荷オーダー</t>
    <rPh sb="0" eb="2">
      <t>カイジョウ</t>
    </rPh>
    <rPh sb="2" eb="3">
      <t>ニュウ</t>
    </rPh>
    <rPh sb="3" eb="5">
      <t>シュッカ</t>
    </rPh>
    <phoneticPr fontId="20"/>
  </si>
  <si>
    <t>陸上入出荷オーダー（品名別）</t>
    <rPh sb="10" eb="12">
      <t>ヒンメイ</t>
    </rPh>
    <rPh sb="12" eb="13">
      <t>ベツ</t>
    </rPh>
    <phoneticPr fontId="20"/>
  </si>
  <si>
    <t>外航船入荷オーダ</t>
  </si>
  <si>
    <t>外航船入荷オーダ（タンク情報）</t>
  </si>
  <si>
    <t>出荷オーダ集計</t>
  </si>
  <si>
    <t>タンク在庫日報</t>
    <rPh sb="3" eb="5">
      <t>ザイコ</t>
    </rPh>
    <rPh sb="5" eb="7">
      <t>ニッポウ</t>
    </rPh>
    <phoneticPr fontId="20"/>
  </si>
  <si>
    <t>タンク増減日報</t>
  </si>
  <si>
    <t>作業形態別中間実績</t>
  </si>
  <si>
    <t>JOB別中間実績</t>
    <rPh sb="3" eb="4">
      <t>ベツ</t>
    </rPh>
    <rPh sb="4" eb="6">
      <t>チュウカン</t>
    </rPh>
    <rPh sb="6" eb="8">
      <t>ジッセキ</t>
    </rPh>
    <phoneticPr fontId="20"/>
  </si>
  <si>
    <t>タンク別中間実績</t>
    <rPh sb="3" eb="4">
      <t>ベツ</t>
    </rPh>
    <rPh sb="4" eb="6">
      <t>チュウカン</t>
    </rPh>
    <rPh sb="6" eb="8">
      <t>ジッセキ</t>
    </rPh>
    <phoneticPr fontId="20"/>
  </si>
  <si>
    <t>納税伝票</t>
  </si>
  <si>
    <t>潤滑油試験結果</t>
    <rPh sb="0" eb="3">
      <t>ジュンカツユ</t>
    </rPh>
    <rPh sb="3" eb="5">
      <t>シケン</t>
    </rPh>
    <rPh sb="5" eb="7">
      <t>ケッカ</t>
    </rPh>
    <phoneticPr fontId="20"/>
  </si>
  <si>
    <t>タンクマスタ</t>
  </si>
  <si>
    <t>燃料油試験結果</t>
    <rPh sb="0" eb="2">
      <t>ネンリョウ</t>
    </rPh>
    <rPh sb="2" eb="3">
      <t>ユ</t>
    </rPh>
    <rPh sb="3" eb="5">
      <t>シケン</t>
    </rPh>
    <rPh sb="5" eb="7">
      <t>ケッカ</t>
    </rPh>
    <phoneticPr fontId="20"/>
  </si>
  <si>
    <t>工程試験結果</t>
    <rPh sb="0" eb="2">
      <t>コウテイ</t>
    </rPh>
    <rPh sb="2" eb="4">
      <t>シケン</t>
    </rPh>
    <rPh sb="4" eb="6">
      <t>ケッカ</t>
    </rPh>
    <phoneticPr fontId="20"/>
  </si>
  <si>
    <t>JOB</t>
    <phoneticPr fontId="1"/>
  </si>
  <si>
    <t>ディスク空き容量チェック</t>
    <phoneticPr fontId="27"/>
  </si>
  <si>
    <t>SK00AP03</t>
  </si>
  <si>
    <t>品質管理データ管理スナップショット月次（愛知）</t>
    <phoneticPr fontId="27"/>
  </si>
  <si>
    <t>SK110000001000</t>
  </si>
  <si>
    <t>品質管理データ管理スナップショット月次（千葉）</t>
    <phoneticPr fontId="27"/>
  </si>
  <si>
    <t>SK110000002000</t>
  </si>
  <si>
    <t>品質管理データ管理スナップショット月次（徳山）</t>
    <phoneticPr fontId="27"/>
  </si>
  <si>
    <t>SK110000003000</t>
  </si>
  <si>
    <t>品質管理データ管理スナップショット月次（北海道）</t>
    <phoneticPr fontId="27"/>
  </si>
  <si>
    <t>SK110000004000</t>
  </si>
  <si>
    <t>品質管理データ管理スナップショット週次（愛知）</t>
    <phoneticPr fontId="27"/>
  </si>
  <si>
    <t>SK110000005000</t>
  </si>
  <si>
    <t>品質管理データ管理スナップショット週次（千葉）</t>
    <phoneticPr fontId="27"/>
  </si>
  <si>
    <t>SK110000006000</t>
  </si>
  <si>
    <t>品質管理データ管理スナップショット週次（徳山）</t>
    <phoneticPr fontId="27"/>
  </si>
  <si>
    <t>SK110000007000</t>
  </si>
  <si>
    <t>品質管理データ管理スナップショット週次（北海道）</t>
    <phoneticPr fontId="27"/>
  </si>
  <si>
    <t>SK110000008000</t>
  </si>
  <si>
    <t>加工DB作成－自家燃使用量作成</t>
    <phoneticPr fontId="27"/>
  </si>
  <si>
    <t>SK310000002000</t>
  </si>
  <si>
    <t>加工DB作成－自家燃タンク在庫作成</t>
    <phoneticPr fontId="27"/>
  </si>
  <si>
    <t>SK310000003000</t>
  </si>
  <si>
    <t>加工DB作成－装置運転状況加工DB作成</t>
    <phoneticPr fontId="27"/>
  </si>
  <si>
    <t>SK310000004000</t>
  </si>
  <si>
    <t>加工DB作成－装置受払数量（流量計）算出</t>
    <phoneticPr fontId="27"/>
  </si>
  <si>
    <t>SK310000005000</t>
  </si>
  <si>
    <t>加工DB作成－製品-基材</t>
    <phoneticPr fontId="27"/>
  </si>
  <si>
    <t>SK310000006000</t>
  </si>
  <si>
    <t>加工DB作成－タンク受払実績</t>
    <phoneticPr fontId="27"/>
  </si>
  <si>
    <t>SK310000007000</t>
  </si>
  <si>
    <t>DB削除</t>
    <phoneticPr fontId="27"/>
  </si>
  <si>
    <t>SK310000009000</t>
  </si>
  <si>
    <t>exe_dellog</t>
    <phoneticPr fontId="27"/>
  </si>
  <si>
    <t>SK310000010000</t>
  </si>
  <si>
    <t>exe_delterm</t>
    <phoneticPr fontId="27"/>
  </si>
  <si>
    <t>SK310000011000</t>
  </si>
  <si>
    <t>exe_fo_market.sql</t>
    <phoneticPr fontId="27"/>
  </si>
  <si>
    <t>SK310000012000</t>
  </si>
  <si>
    <t>exe_fo_sum.sql</t>
    <phoneticPr fontId="27"/>
  </si>
  <si>
    <t>SK310000013000</t>
  </si>
  <si>
    <t>exe_fo_sumupd.sql</t>
    <phoneticPr fontId="27"/>
  </si>
  <si>
    <t>SK310000014000</t>
  </si>
  <si>
    <t>exe_fo_testim.sql</t>
    <phoneticPr fontId="27"/>
  </si>
  <si>
    <t>SK310000015000</t>
  </si>
  <si>
    <t>exe_ko_sum.sql</t>
    <phoneticPr fontId="27"/>
  </si>
  <si>
    <t>SK310000016000</t>
  </si>
  <si>
    <t>exe_ko_sumupd.sql</t>
    <phoneticPr fontId="27"/>
  </si>
  <si>
    <t>SK310000017000</t>
  </si>
  <si>
    <t>exe_ko_testim.sql</t>
    <phoneticPr fontId="27"/>
  </si>
  <si>
    <t>SK310000018000</t>
  </si>
  <si>
    <t>exe_of_correct.sql</t>
    <phoneticPr fontId="27"/>
  </si>
  <si>
    <t>SK310000019000</t>
  </si>
  <si>
    <t>SK310000020000</t>
  </si>
  <si>
    <t>YUSYU_SYUUKEI.cmd 油種集計</t>
    <phoneticPr fontId="27"/>
  </si>
  <si>
    <t>SK310000023000</t>
  </si>
  <si>
    <t>加工DB作成－装置稼動実績（１日値）作成</t>
    <phoneticPr fontId="27"/>
  </si>
  <si>
    <t>SK310000025000</t>
  </si>
  <si>
    <t>自家燃使用量送信</t>
    <rPh sb="0" eb="2">
      <t>ジカ</t>
    </rPh>
    <rPh sb="2" eb="3">
      <t>ネン</t>
    </rPh>
    <rPh sb="3" eb="5">
      <t>シヨウ</t>
    </rPh>
    <rPh sb="5" eb="6">
      <t>リョウ</t>
    </rPh>
    <rPh sb="6" eb="8">
      <t>ソウシン</t>
    </rPh>
    <phoneticPr fontId="27"/>
  </si>
  <si>
    <t>SK310000026000</t>
  </si>
  <si>
    <t>EAIリモートログ監視</t>
    <rPh sb="9" eb="11">
      <t>カンシ</t>
    </rPh>
    <phoneticPr fontId="27"/>
  </si>
  <si>
    <t>SK310000027000</t>
  </si>
  <si>
    <t>加工DB作成-省エネ単価比較加工DB作成</t>
    <phoneticPr fontId="27"/>
  </si>
  <si>
    <t>SK410000001000</t>
  </si>
  <si>
    <t>SK410000002000</t>
  </si>
  <si>
    <t>SK410000003000</t>
  </si>
  <si>
    <t>加工DB作成－製油所データ作成</t>
    <phoneticPr fontId="27"/>
  </si>
  <si>
    <t>SK410000028000</t>
  </si>
  <si>
    <t>SK410000029000</t>
  </si>
  <si>
    <t>SK410000030000</t>
  </si>
  <si>
    <t>SK410000031000</t>
  </si>
  <si>
    <t>SK410000032000</t>
  </si>
  <si>
    <t>SK410000034000</t>
  </si>
  <si>
    <t>SK410000035000</t>
  </si>
  <si>
    <t>SK410000037000</t>
  </si>
  <si>
    <t>SK410000038000</t>
  </si>
  <si>
    <t>SK410000039000</t>
  </si>
  <si>
    <t>SK410000040000</t>
  </si>
  <si>
    <t>SK410000041000</t>
  </si>
  <si>
    <t>SK410000042000</t>
  </si>
  <si>
    <t>SK410000043000</t>
  </si>
  <si>
    <t>SK410000044000</t>
  </si>
  <si>
    <t>SK410000045000</t>
  </si>
  <si>
    <t>exe_lo_sum.sql</t>
    <phoneticPr fontId="27"/>
  </si>
  <si>
    <t>SK410000046000</t>
  </si>
  <si>
    <t>exe_lo_sumupd.sql</t>
    <phoneticPr fontId="27"/>
  </si>
  <si>
    <t>SK410000047000</t>
  </si>
  <si>
    <t>SK410000048000</t>
  </si>
  <si>
    <t>SK410000049000</t>
  </si>
  <si>
    <t>加工DB－潤滑油タンク在庫編集</t>
    <rPh sb="5" eb="8">
      <t>ジュンカツユ</t>
    </rPh>
    <rPh sb="11" eb="13">
      <t>ザイコ</t>
    </rPh>
    <rPh sb="13" eb="15">
      <t>ヘンシュウ</t>
    </rPh>
    <phoneticPr fontId="27"/>
  </si>
  <si>
    <t>SK410000053000</t>
  </si>
  <si>
    <t>SK410000055000</t>
  </si>
  <si>
    <t>SK410000056000</t>
  </si>
  <si>
    <t>SK510000002000</t>
  </si>
  <si>
    <t>SK510000003000</t>
  </si>
  <si>
    <t>SK510000004000</t>
  </si>
  <si>
    <t>SK510000005000</t>
  </si>
  <si>
    <t>SK510000006000</t>
  </si>
  <si>
    <t>SK510000007000</t>
  </si>
  <si>
    <t>SK510000009000</t>
  </si>
  <si>
    <t>exe_dellog.sql</t>
    <phoneticPr fontId="27"/>
  </si>
  <si>
    <t>SK510000010000</t>
  </si>
  <si>
    <t>SK510000011000</t>
  </si>
  <si>
    <t>SK510000012000</t>
  </si>
  <si>
    <t>SK510000013000</t>
  </si>
  <si>
    <t>SK510000014000</t>
  </si>
  <si>
    <t>SK510000015000</t>
  </si>
  <si>
    <t>SK510000016000</t>
  </si>
  <si>
    <t>SK510000017000</t>
  </si>
  <si>
    <t>SK510000018000</t>
  </si>
  <si>
    <t>SK510000019000</t>
  </si>
  <si>
    <t>SK510000020000</t>
  </si>
  <si>
    <t>SK510000022000</t>
  </si>
  <si>
    <t>SK510000025000</t>
  </si>
  <si>
    <t>SK510000026000</t>
  </si>
  <si>
    <t>SK710000002000</t>
  </si>
  <si>
    <t>SK710000003000</t>
  </si>
  <si>
    <t>SK710000004000</t>
  </si>
  <si>
    <t>SK710000005000</t>
  </si>
  <si>
    <t>SK710000006000</t>
  </si>
  <si>
    <t>SK710000008000</t>
  </si>
  <si>
    <t>SK710000010000</t>
  </si>
  <si>
    <t>SK710000011000</t>
  </si>
  <si>
    <t>SK710000012000</t>
  </si>
  <si>
    <t>SK710000013000</t>
  </si>
  <si>
    <t>SK710000014000</t>
  </si>
  <si>
    <t>SK710000015000</t>
  </si>
  <si>
    <t>SK710000016000</t>
  </si>
  <si>
    <t>SK710000017000</t>
  </si>
  <si>
    <t>SK710000018000</t>
  </si>
  <si>
    <t>SK710000019000</t>
  </si>
  <si>
    <t>SK710000020000</t>
  </si>
  <si>
    <t>SK710000023000</t>
  </si>
  <si>
    <t>SK710000026000</t>
  </si>
  <si>
    <t>SK710000027000</t>
  </si>
  <si>
    <t>OWFT連携ステータス検知</t>
    <phoneticPr fontId="27"/>
  </si>
  <si>
    <t>OWFT連携ステータス検知</t>
  </si>
  <si>
    <t>COL_SERVER（北海道）</t>
  </si>
  <si>
    <t>現)タスクスケジューラ</t>
    <rPh sb="0" eb="1">
      <t>ゲン</t>
    </rPh>
    <phoneticPr fontId="1"/>
  </si>
  <si>
    <t>COL_SERVER（千葉）</t>
  </si>
  <si>
    <t>COL_SERVER（徳山）</t>
  </si>
  <si>
    <t>COL_SERVER（愛知）</t>
  </si>
  <si>
    <t>DU00_ProcessMonitor</t>
  </si>
  <si>
    <t>現)タスクスケジューラ(DP課)</t>
    <rPh sb="0" eb="1">
      <t>ゲン</t>
    </rPh>
    <rPh sb="14" eb="15">
      <t>カ</t>
    </rPh>
    <phoneticPr fontId="1"/>
  </si>
  <si>
    <t>DU00_ServiceMonitor</t>
  </si>
  <si>
    <t>LANDESK Agent Health Bootstrap Task</t>
  </si>
  <si>
    <t>不要ファイル削除（千葉）</t>
    <rPh sb="0" eb="2">
      <t>フヨウ</t>
    </rPh>
    <rPh sb="6" eb="8">
      <t>サクジョ</t>
    </rPh>
    <rPh sb="9" eb="11">
      <t>チバ</t>
    </rPh>
    <phoneticPr fontId="20"/>
  </si>
  <si>
    <t>不要ファイル削除（北海道）</t>
    <rPh sb="0" eb="2">
      <t>フヨウ</t>
    </rPh>
    <rPh sb="6" eb="8">
      <t>サクジョ</t>
    </rPh>
    <rPh sb="9" eb="12">
      <t>ホッカイドウ</t>
    </rPh>
    <phoneticPr fontId="20"/>
  </si>
  <si>
    <t>不要ファイル削除（愛知）</t>
    <rPh sb="0" eb="2">
      <t>フヨウ</t>
    </rPh>
    <rPh sb="6" eb="8">
      <t>サクジョ</t>
    </rPh>
    <rPh sb="9" eb="11">
      <t>アイチ</t>
    </rPh>
    <phoneticPr fontId="20"/>
  </si>
  <si>
    <t>不要ファイル削除（徳山）</t>
    <rPh sb="0" eb="2">
      <t>フヨウ</t>
    </rPh>
    <rPh sb="6" eb="8">
      <t>サクジョ</t>
    </rPh>
    <rPh sb="9" eb="11">
      <t>トクヤマ</t>
    </rPh>
    <phoneticPr fontId="20"/>
  </si>
  <si>
    <t>ログローテーション</t>
  </si>
  <si>
    <t>環境構築</t>
    <rPh sb="0" eb="4">
      <t>カンキョウコウチク</t>
    </rPh>
    <phoneticPr fontId="1"/>
  </si>
  <si>
    <t>本番環境</t>
    <rPh sb="0" eb="2">
      <t>ホンバン</t>
    </rPh>
    <rPh sb="2" eb="4">
      <t>カンキョウ</t>
    </rPh>
    <phoneticPr fontId="1"/>
  </si>
  <si>
    <t>その他</t>
  </si>
  <si>
    <t>検証環境</t>
    <rPh sb="0" eb="4">
      <t>ケンショウ</t>
    </rPh>
    <phoneticPr fontId="1"/>
  </si>
  <si>
    <t>SA</t>
    <phoneticPr fontId="1"/>
  </si>
  <si>
    <t>UI</t>
    <phoneticPr fontId="1"/>
  </si>
  <si>
    <t>SS</t>
    <phoneticPr fontId="1"/>
  </si>
  <si>
    <t>PS/PG/PT</t>
    <phoneticPr fontId="1"/>
  </si>
  <si>
    <t>IT</t>
    <phoneticPr fontId="1"/>
  </si>
  <si>
    <t>ST</t>
    <phoneticPr fontId="1"/>
  </si>
  <si>
    <t>OT</t>
    <phoneticPr fontId="1"/>
  </si>
  <si>
    <t>RL</t>
    <phoneticPr fontId="1"/>
  </si>
  <si>
    <t>PM</t>
    <phoneticPr fontId="1"/>
  </si>
  <si>
    <t>合計</t>
    <rPh sb="0" eb="2">
      <t>ゴウケイ</t>
    </rPh>
    <phoneticPr fontId="1"/>
  </si>
  <si>
    <t>工数（人日）</t>
    <rPh sb="0" eb="2">
      <t>コウスウ</t>
    </rPh>
    <rPh sb="3" eb="4">
      <t>ニン</t>
    </rPh>
    <rPh sb="4" eb="5">
      <t>ニチ</t>
    </rPh>
    <phoneticPr fontId="1"/>
  </si>
  <si>
    <t>工数（人月）</t>
    <rPh sb="0" eb="2">
      <t>コウスウ</t>
    </rPh>
    <rPh sb="3" eb="4">
      <t>ニン</t>
    </rPh>
    <rPh sb="4" eb="5">
      <t>ゲツ</t>
    </rPh>
    <phoneticPr fontId="1"/>
  </si>
  <si>
    <t>見積金額</t>
    <rPh sb="0" eb="2">
      <t>ミツモリ</t>
    </rPh>
    <rPh sb="2" eb="4">
      <t>キンガク</t>
    </rPh>
    <phoneticPr fontId="1"/>
  </si>
  <si>
    <t>調整後工数（人月）</t>
    <rPh sb="0" eb="2">
      <t>チョウセイ</t>
    </rPh>
    <rPh sb="2" eb="3">
      <t>ゴ</t>
    </rPh>
    <rPh sb="3" eb="5">
      <t>コウスウ</t>
    </rPh>
    <rPh sb="6" eb="8">
      <t>ニンゲツ</t>
    </rPh>
    <phoneticPr fontId="1"/>
  </si>
  <si>
    <t>No,</t>
    <phoneticPr fontId="1"/>
  </si>
  <si>
    <t>項目</t>
    <rPh sb="0" eb="2">
      <t>コウモク</t>
    </rPh>
    <phoneticPr fontId="1"/>
  </si>
  <si>
    <t>項目数</t>
    <rPh sb="0" eb="3">
      <t>コウモクスウ</t>
    </rPh>
    <phoneticPr fontId="1"/>
  </si>
  <si>
    <t>合計（人日）</t>
    <rPh sb="0" eb="2">
      <t>ゴウケイ</t>
    </rPh>
    <rPh sb="3" eb="4">
      <t>ニン</t>
    </rPh>
    <rPh sb="4" eb="5">
      <t>ニチ</t>
    </rPh>
    <phoneticPr fontId="1"/>
  </si>
  <si>
    <t>合計（人月）</t>
    <rPh sb="0" eb="2">
      <t>ゴウケイ</t>
    </rPh>
    <rPh sb="3" eb="5">
      <t>ニンゲツ</t>
    </rPh>
    <phoneticPr fontId="1"/>
  </si>
  <si>
    <t>画面</t>
    <phoneticPr fontId="1"/>
  </si>
  <si>
    <t>プロセス監視起動</t>
    <rPh sb="4" eb="6">
      <t>カンシ</t>
    </rPh>
    <rPh sb="6" eb="8">
      <t>キドウ</t>
    </rPh>
    <phoneticPr fontId="2"/>
  </si>
  <si>
    <t>プロセス監視</t>
    <rPh sb="4" eb="6">
      <t>カンシ</t>
    </rPh>
    <phoneticPr fontId="2"/>
  </si>
  <si>
    <t>D:\skhoksei\App\Sougyou\bin\EAI_LOG_WATCH.exe</t>
  </si>
  <si>
    <t>EAI送信</t>
    <rPh sb="3" eb="5">
      <t>ソウシン</t>
    </rPh>
    <phoneticPr fontId="2"/>
  </si>
  <si>
    <t>D:\skhoksei\App\Sougyou\bin\EAI_SEND.exe</t>
    <phoneticPr fontId="1"/>
  </si>
  <si>
    <t>EAI送信コンフィグ</t>
    <rPh sb="3" eb="5">
      <t>ソウシン</t>
    </rPh>
    <phoneticPr fontId="2"/>
  </si>
  <si>
    <t>EAIリモートログ監視</t>
    <phoneticPr fontId="2"/>
  </si>
  <si>
    <t>特低</t>
    <phoneticPr fontId="1"/>
  </si>
  <si>
    <t>D:\skhoksei\App\Sougyou\bin\EAIINFO.xml</t>
  </si>
  <si>
    <t>ログ監視メッセージ設定</t>
    <rPh sb="2" eb="4">
      <t>カンシ</t>
    </rPh>
    <rPh sb="9" eb="11">
      <t>セッテイ</t>
    </rPh>
    <phoneticPr fontId="2"/>
  </si>
  <si>
    <t>D:\skhoksei\App\Sougyou\bin\EAI_LOG_WATCH.INI</t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</si>
  <si>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</si>
  <si>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</si>
  <si>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</si>
  <si>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No.</t>
    <phoneticPr fontId="1"/>
  </si>
  <si>
    <t>要員</t>
    <rPh sb="0" eb="2">
      <t>ヨウイン</t>
    </rPh>
    <phoneticPr fontId="1"/>
  </si>
  <si>
    <t>国</t>
    <rPh sb="0" eb="1">
      <t>クニ</t>
    </rPh>
    <phoneticPr fontId="1"/>
  </si>
  <si>
    <t>PT/PG/PS</t>
    <phoneticPr fontId="1"/>
  </si>
  <si>
    <t>初期流動</t>
    <rPh sb="0" eb="2">
      <t>ショキ</t>
    </rPh>
    <rPh sb="2" eb="4">
      <t>リュウドウ</t>
    </rPh>
    <phoneticPr fontId="1"/>
  </si>
  <si>
    <t>調整前見積工数</t>
    <rPh sb="0" eb="2">
      <t>チョウセイ</t>
    </rPh>
    <rPh sb="2" eb="3">
      <t>マエ</t>
    </rPh>
    <rPh sb="3" eb="5">
      <t>ミツモリ</t>
    </rPh>
    <rPh sb="5" eb="7">
      <t>コウスウ</t>
    </rPh>
    <phoneticPr fontId="1"/>
  </si>
  <si>
    <t>社）野村康二</t>
    <rPh sb="2" eb="4">
      <t>ノムラ</t>
    </rPh>
    <rPh sb="4" eb="6">
      <t>コウジ</t>
    </rPh>
    <phoneticPr fontId="1"/>
  </si>
  <si>
    <t>JP</t>
    <phoneticPr fontId="1"/>
  </si>
  <si>
    <t>PMO</t>
    <phoneticPr fontId="1"/>
  </si>
  <si>
    <t>社）福田一希</t>
    <rPh sb="2" eb="4">
      <t>フクダ</t>
    </rPh>
    <rPh sb="4" eb="6">
      <t>カズキ</t>
    </rPh>
    <phoneticPr fontId="1"/>
  </si>
  <si>
    <t>契）池上彩子</t>
    <rPh sb="0" eb="1">
      <t>チギリ</t>
    </rPh>
    <phoneticPr fontId="1"/>
  </si>
  <si>
    <t>BSE</t>
    <phoneticPr fontId="1"/>
  </si>
  <si>
    <t>社）グエンハイアイン</t>
    <phoneticPr fontId="1"/>
  </si>
  <si>
    <t>TL</t>
    <phoneticPr fontId="1"/>
  </si>
  <si>
    <t>契）朴邦彦</t>
    <rPh sb="0" eb="1">
      <t>チギリ</t>
    </rPh>
    <rPh sb="2" eb="3">
      <t>ボク</t>
    </rPh>
    <phoneticPr fontId="1"/>
  </si>
  <si>
    <t>BP）森田康博</t>
    <phoneticPr fontId="1"/>
  </si>
  <si>
    <t>BP）坂本昌彦</t>
    <phoneticPr fontId="1"/>
  </si>
  <si>
    <t>BP）橋本英紀</t>
    <phoneticPr fontId="1"/>
  </si>
  <si>
    <t>BP）五石真人</t>
    <phoneticPr fontId="1"/>
  </si>
  <si>
    <t>BP）</t>
  </si>
  <si>
    <t>BP）DBチーム</t>
    <phoneticPr fontId="1"/>
  </si>
  <si>
    <t>BP）Thien</t>
    <phoneticPr fontId="1"/>
  </si>
  <si>
    <t>VT</t>
    <phoneticPr fontId="1"/>
  </si>
  <si>
    <t>BP）Trinh</t>
    <phoneticPr fontId="1"/>
  </si>
  <si>
    <t>BP）Viet</t>
    <phoneticPr fontId="1"/>
  </si>
  <si>
    <t>VT</t>
  </si>
  <si>
    <t>BP）Vu</t>
    <phoneticPr fontId="1"/>
  </si>
  <si>
    <t>BP)ｺﾐｭﾆｹｰﾀ</t>
    <phoneticPr fontId="1"/>
  </si>
  <si>
    <t>本番移行</t>
    <rPh sb="0" eb="2">
      <t>ホンバン</t>
    </rPh>
    <rPh sb="2" eb="4">
      <t>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</si>
</sst>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_ "/>
    <numFmt numFmtId="177" formatCode="0.00_);[Red]\(0.00\)"/>
    <numFmt numFmtId="178" formatCode="0.00_ "/>
    <numFmt numFmtId="179" formatCode="&quot;¥&quot;#,##0_);[Red]\(&quot;¥&quot;#,##0\)"/>
    <numFmt numFmtId="180" formatCode="0_ "/>
    <numFmt numFmtId="181" formatCode="0.000_);[Red]\(0.000\)"/>
    <numFmt numFmtId="182" formatCode="0.0_);[Red]\(0.0\)"/>
    <numFmt numFmtId="183" formatCode="#,##0.0_);[Red]\(#,##0.0\)"/>
    <numFmt numFmtId="184" formatCode="0.000_ "/>
    <numFmt numFmtId="185" formatCode="#,##0.000_ "/>
    <numFmt numFmtId="186" formatCode="#,##0.0_ ;[Red]\-#,##0.0\ "/>
    <numFmt numFmtId="187" formatCode="0.00\ &quot;ヶ&quot;&quot;月&quot;"/>
    <numFmt numFmtId="188" formatCode="0_);[Red]\(0\)"/>
    <numFmt numFmtId="189" formatCode="m&quot;月&quot;"/>
    <numFmt numFmtId="190" formatCode="0.0"/>
    <numFmt numFmtId="191" formatCode="0.000"/>
    <numFmt numFmtId="192" formatCode="&quot;¥&quot;#,##0.00_);[Red]\(&quot;¥&quot;#,##0.00\)"/>
    <numFmt numFmtId="193" formatCode="&quot;¥&quot;#,##0.0;&quot;¥&quot;\-#,##0.0"/>
  </numFmts>
  <fonts count="3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0" tint="-0.499984740745262"/>
      <name val="ＭＳ 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0"/>
      <color theme="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10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0"/>
      <color rgb="FFFF0000"/>
      <name val="ＭＳ Ｐゴシック"/>
      <family val="2"/>
      <charset val="128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380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3" applyFont="1">
      <alignment vertical="center"/>
    </xf>
    <xf numFmtId="0" fontId="7" fillId="4" borderId="1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6" fillId="0" borderId="0" xfId="3" applyNumberFormat="1" applyFont="1">
      <alignment vertical="center"/>
    </xf>
    <xf numFmtId="0" fontId="6" fillId="4" borderId="1" xfId="0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184" fontId="6" fillId="0" borderId="1" xfId="0" applyNumberFormat="1" applyFont="1" applyBorder="1">
      <alignment vertical="center"/>
    </xf>
    <xf numFmtId="184" fontId="6" fillId="3" borderId="1" xfId="0" applyNumberFormat="1" applyFont="1" applyFill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184" fontId="8" fillId="3" borderId="5" xfId="0" applyNumberFormat="1" applyFont="1" applyFill="1" applyBorder="1">
      <alignment vertical="center"/>
    </xf>
    <xf numFmtId="184" fontId="8" fillId="3" borderId="2" xfId="0" applyNumberFormat="1" applyFont="1" applyFill="1" applyBorder="1">
      <alignment vertical="center"/>
    </xf>
    <xf numFmtId="184" fontId="8" fillId="3" borderId="3" xfId="0" applyNumberFormat="1" applyFont="1" applyFill="1" applyBorder="1">
      <alignment vertical="center"/>
    </xf>
    <xf numFmtId="184" fontId="8" fillId="3" borderId="9" xfId="0" applyNumberFormat="1" applyFont="1" applyFill="1" applyBorder="1">
      <alignment vertical="center"/>
    </xf>
    <xf numFmtId="184" fontId="8" fillId="3" borderId="4" xfId="0" applyNumberFormat="1" applyFont="1" applyFill="1" applyBorder="1">
      <alignment vertical="center"/>
    </xf>
    <xf numFmtId="184" fontId="8" fillId="3" borderId="1" xfId="0" applyNumberFormat="1" applyFont="1" applyFill="1" applyBorder="1">
      <alignment vertical="center"/>
    </xf>
    <xf numFmtId="185" fontId="6" fillId="3" borderId="1" xfId="0" applyNumberFormat="1" applyFont="1" applyFill="1" applyBorder="1">
      <alignment vertical="center"/>
    </xf>
    <xf numFmtId="185" fontId="6" fillId="3" borderId="6" xfId="0" applyNumberFormat="1" applyFont="1" applyFill="1" applyBorder="1">
      <alignment vertical="center"/>
    </xf>
    <xf numFmtId="184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left" vertical="center"/>
    </xf>
    <xf numFmtId="49" fontId="9" fillId="2" borderId="2" xfId="0" applyNumberFormat="1" applyFont="1" applyFill="1" applyBorder="1" applyAlignment="1">
      <alignment horizontal="left" vertical="center"/>
    </xf>
    <xf numFmtId="0" fontId="9" fillId="0" borderId="14" xfId="0" applyFont="1" applyBorder="1" applyAlignment="1">
      <alignment horizontal="left" vertical="top"/>
    </xf>
    <xf numFmtId="187" fontId="9" fillId="5" borderId="9" xfId="0" applyNumberFormat="1" applyFont="1" applyFill="1" applyBorder="1">
      <alignment vertical="center"/>
    </xf>
    <xf numFmtId="187" fontId="2" fillId="5" borderId="1" xfId="0" applyNumberFormat="1" applyFont="1" applyFill="1" applyBorder="1" applyAlignment="1">
      <alignment horizontal="right" vertical="center"/>
    </xf>
    <xf numFmtId="179" fontId="11" fillId="5" borderId="1" xfId="0" applyNumberFormat="1" applyFont="1" applyFill="1" applyBorder="1" applyAlignment="1">
      <alignment horizontal="right" vertical="center"/>
    </xf>
    <xf numFmtId="9" fontId="11" fillId="0" borderId="1" xfId="4" applyFont="1" applyFill="1" applyBorder="1" applyAlignment="1">
      <alignment horizontal="right" vertical="center"/>
    </xf>
    <xf numFmtId="9" fontId="11" fillId="5" borderId="1" xfId="4" applyFont="1" applyFill="1" applyBorder="1" applyAlignment="1">
      <alignment horizontal="right" vertical="center"/>
    </xf>
    <xf numFmtId="179" fontId="11" fillId="0" borderId="1" xfId="0" applyNumberFormat="1" applyFont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Border="1" applyAlignment="1">
      <alignment horizontal="right" vertical="center"/>
    </xf>
    <xf numFmtId="181" fontId="15" fillId="4" borderId="1" xfId="0" applyNumberFormat="1" applyFont="1" applyFill="1" applyBorder="1" applyAlignment="1">
      <alignment horizontal="right" vertical="center"/>
    </xf>
    <xf numFmtId="178" fontId="15" fillId="0" borderId="1" xfId="0" applyNumberFormat="1" applyFont="1" applyBorder="1" applyAlignment="1">
      <alignment horizontal="right" vertical="center"/>
    </xf>
    <xf numFmtId="179" fontId="15" fillId="4" borderId="1" xfId="0" applyNumberFormat="1" applyFont="1" applyFill="1" applyBorder="1" applyAlignment="1">
      <alignment horizontal="right" vertical="center"/>
    </xf>
    <xf numFmtId="179" fontId="15" fillId="0" borderId="1" xfId="0" applyNumberFormat="1" applyFont="1" applyBorder="1" applyAlignment="1">
      <alignment horizontal="right" vertical="center"/>
    </xf>
    <xf numFmtId="49" fontId="16" fillId="2" borderId="1" xfId="0" applyNumberFormat="1" applyFont="1" applyFill="1" applyBorder="1" applyAlignment="1">
      <alignment horizontal="center" vertical="center"/>
    </xf>
    <xf numFmtId="176" fontId="16" fillId="2" borderId="1" xfId="0" applyNumberFormat="1" applyFont="1" applyFill="1" applyBorder="1" applyAlignment="1">
      <alignment horizontal="center" vertical="center"/>
    </xf>
    <xf numFmtId="180" fontId="16" fillId="2" borderId="1" xfId="0" applyNumberFormat="1" applyFont="1" applyFill="1" applyBorder="1" applyAlignment="1">
      <alignment horizontal="center" vertical="center"/>
    </xf>
    <xf numFmtId="179" fontId="16" fillId="2" borderId="1" xfId="0" applyNumberFormat="1" applyFont="1" applyFill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176" fontId="16" fillId="5" borderId="1" xfId="0" applyNumberFormat="1" applyFont="1" applyFill="1" applyBorder="1" applyAlignment="1">
      <alignment horizontal="left" vertical="center"/>
    </xf>
    <xf numFmtId="176" fontId="16" fillId="5" borderId="1" xfId="0" applyNumberFormat="1" applyFont="1" applyFill="1" applyBorder="1" applyAlignment="1">
      <alignment horizontal="center" vertical="center"/>
    </xf>
    <xf numFmtId="180" fontId="16" fillId="5" borderId="1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9" fontId="13" fillId="0" borderId="1" xfId="0" applyNumberFormat="1" applyFont="1" applyBorder="1" applyAlignment="1">
      <alignment horizontal="right" vertical="center"/>
    </xf>
    <xf numFmtId="9" fontId="13" fillId="5" borderId="1" xfId="0" applyNumberFormat="1" applyFont="1" applyFill="1" applyBorder="1" applyAlignment="1">
      <alignment horizontal="right" vertical="center"/>
    </xf>
    <xf numFmtId="177" fontId="13" fillId="5" borderId="1" xfId="0" applyNumberFormat="1" applyFont="1" applyFill="1" applyBorder="1" applyAlignment="1">
      <alignment horizontal="right" vertical="center"/>
    </xf>
    <xf numFmtId="179" fontId="13" fillId="5" borderId="1" xfId="0" applyNumberFormat="1" applyFont="1" applyFill="1" applyBorder="1" applyAlignment="1">
      <alignment horizontal="right" vertical="center"/>
    </xf>
    <xf numFmtId="177" fontId="13" fillId="5" borderId="1" xfId="0" applyNumberFormat="1" applyFont="1" applyFill="1" applyBorder="1" applyAlignment="1">
      <alignment horizontal="left" vertical="center"/>
    </xf>
    <xf numFmtId="49" fontId="16" fillId="5" borderId="13" xfId="0" applyNumberFormat="1" applyFont="1" applyFill="1" applyBorder="1" applyAlignment="1">
      <alignment horizontal="center" vertical="center"/>
    </xf>
    <xf numFmtId="176" fontId="16" fillId="5" borderId="13" xfId="0" applyNumberFormat="1" applyFont="1" applyFill="1" applyBorder="1" applyAlignment="1">
      <alignment horizontal="left" vertical="center"/>
    </xf>
    <xf numFmtId="176" fontId="16" fillId="5" borderId="13" xfId="0" applyNumberFormat="1" applyFont="1" applyFill="1" applyBorder="1" applyAlignment="1">
      <alignment horizontal="center" vertical="center"/>
    </xf>
    <xf numFmtId="180" fontId="16" fillId="5" borderId="13" xfId="0" applyNumberFormat="1" applyFont="1" applyFill="1" applyBorder="1" applyAlignment="1">
      <alignment horizontal="center" vertical="center"/>
    </xf>
    <xf numFmtId="176" fontId="13" fillId="5" borderId="13" xfId="0" applyNumberFormat="1" applyFont="1" applyFill="1" applyBorder="1" applyAlignment="1">
      <alignment horizontal="center" vertical="center"/>
    </xf>
    <xf numFmtId="179" fontId="13" fillId="0" borderId="13" xfId="0" applyNumberFormat="1" applyFont="1" applyBorder="1" applyAlignment="1">
      <alignment horizontal="right" vertical="center"/>
    </xf>
    <xf numFmtId="177" fontId="13" fillId="5" borderId="13" xfId="0" applyNumberFormat="1" applyFont="1" applyFill="1" applyBorder="1" applyAlignment="1">
      <alignment horizontal="right" vertical="center"/>
    </xf>
    <xf numFmtId="179" fontId="13" fillId="5" borderId="13" xfId="0" applyNumberFormat="1" applyFont="1" applyFill="1" applyBorder="1" applyAlignment="1">
      <alignment horizontal="right" vertical="center"/>
    </xf>
    <xf numFmtId="177" fontId="13" fillId="5" borderId="13" xfId="0" applyNumberFormat="1" applyFont="1" applyFill="1" applyBorder="1" applyAlignment="1">
      <alignment horizontal="left" vertical="center"/>
    </xf>
    <xf numFmtId="188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Border="1">
      <alignment vertical="center"/>
    </xf>
    <xf numFmtId="176" fontId="13" fillId="0" borderId="6" xfId="0" applyNumberFormat="1" applyFont="1" applyBorder="1" applyAlignment="1">
      <alignment horizontal="center" vertical="center"/>
    </xf>
    <xf numFmtId="180" fontId="13" fillId="0" borderId="6" xfId="0" applyNumberFormat="1" applyFont="1" applyBorder="1" applyAlignment="1">
      <alignment horizontal="center" vertical="center"/>
    </xf>
    <xf numFmtId="176" fontId="13" fillId="5" borderId="6" xfId="0" applyNumberFormat="1" applyFont="1" applyFill="1" applyBorder="1" applyAlignment="1">
      <alignment horizontal="center" vertical="center"/>
    </xf>
    <xf numFmtId="183" fontId="13" fillId="5" borderId="6" xfId="0" applyNumberFormat="1" applyFont="1" applyFill="1" applyBorder="1" applyAlignment="1">
      <alignment horizontal="right" vertical="center"/>
    </xf>
    <xf numFmtId="186" fontId="13" fillId="0" borderId="6" xfId="0" applyNumberFormat="1" applyFont="1" applyBorder="1" applyAlignment="1">
      <alignment horizontal="right" vertical="center"/>
    </xf>
    <xf numFmtId="183" fontId="13" fillId="4" borderId="6" xfId="0" applyNumberFormat="1" applyFont="1" applyFill="1" applyBorder="1" applyAlignment="1">
      <alignment horizontal="right" vertical="center"/>
    </xf>
    <xf numFmtId="181" fontId="13" fillId="4" borderId="6" xfId="0" applyNumberFormat="1" applyFont="1" applyFill="1" applyBorder="1" applyAlignment="1">
      <alignment horizontal="right" vertical="center"/>
    </xf>
    <xf numFmtId="179" fontId="13" fillId="4" borderId="6" xfId="0" applyNumberFormat="1" applyFont="1" applyFill="1" applyBorder="1" applyAlignment="1">
      <alignment horizontal="right" vertical="center"/>
    </xf>
    <xf numFmtId="177" fontId="13" fillId="4" borderId="6" xfId="0" applyNumberFormat="1" applyFont="1" applyFill="1" applyBorder="1" applyAlignment="1">
      <alignment horizontal="left" vertical="center"/>
    </xf>
    <xf numFmtId="176" fontId="13" fillId="0" borderId="0" xfId="0" applyNumberFormat="1" applyFont="1">
      <alignment vertical="center"/>
    </xf>
    <xf numFmtId="176" fontId="13" fillId="0" borderId="1" xfId="0" applyNumberFormat="1" applyFont="1" applyBorder="1">
      <alignment vertical="center"/>
    </xf>
    <xf numFmtId="183" fontId="13" fillId="5" borderId="1" xfId="0" applyNumberFormat="1" applyFont="1" applyFill="1" applyBorder="1" applyAlignment="1">
      <alignment horizontal="right" vertical="center"/>
    </xf>
    <xf numFmtId="186" fontId="13" fillId="0" borderId="1" xfId="0" applyNumberFormat="1" applyFont="1" applyBorder="1" applyAlignment="1">
      <alignment horizontal="right" vertical="center"/>
    </xf>
    <xf numFmtId="183" fontId="13" fillId="4" borderId="1" xfId="0" applyNumberFormat="1" applyFont="1" applyFill="1" applyBorder="1" applyAlignment="1">
      <alignment horizontal="right" vertical="center"/>
    </xf>
    <xf numFmtId="181" fontId="13" fillId="4" borderId="1" xfId="0" applyNumberFormat="1" applyFont="1" applyFill="1" applyBorder="1" applyAlignment="1">
      <alignment horizontal="right" vertical="center"/>
    </xf>
    <xf numFmtId="179" fontId="13" fillId="4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Border="1" applyAlignment="1">
      <alignment horizontal="center" vertical="center"/>
    </xf>
    <xf numFmtId="180" fontId="13" fillId="0" borderId="1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right" vertical="center"/>
    </xf>
    <xf numFmtId="179" fontId="13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horizontal="left" vertical="center"/>
    </xf>
    <xf numFmtId="179" fontId="0" fillId="5" borderId="1" xfId="0" applyNumberFormat="1" applyFill="1" applyBorder="1">
      <alignment vertical="center"/>
    </xf>
    <xf numFmtId="0" fontId="17" fillId="6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top"/>
    </xf>
    <xf numFmtId="189" fontId="0" fillId="0" borderId="0" xfId="0" applyNumberFormat="1" applyAlignment="1">
      <alignment horizontal="center" vertical="center"/>
    </xf>
    <xf numFmtId="0" fontId="18" fillId="0" borderId="0" xfId="0" applyFont="1">
      <alignment vertical="center"/>
    </xf>
    <xf numFmtId="179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9" fontId="0" fillId="0" borderId="1" xfId="0" applyNumberFormat="1" applyBorder="1" applyAlignment="1">
      <alignment horizontal="right" vertical="center"/>
    </xf>
    <xf numFmtId="2" fontId="0" fillId="0" borderId="1" xfId="0" applyNumberFormat="1" applyBorder="1">
      <alignment vertical="center"/>
    </xf>
    <xf numFmtId="179" fontId="0" fillId="0" borderId="1" xfId="0" applyNumberFormat="1" applyBorder="1">
      <alignment vertical="center"/>
    </xf>
    <xf numFmtId="0" fontId="2" fillId="5" borderId="1" xfId="0" applyFont="1" applyFill="1" applyBorder="1">
      <alignment vertical="center"/>
    </xf>
    <xf numFmtId="179" fontId="2" fillId="5" borderId="1" xfId="0" applyNumberFormat="1" applyFont="1" applyFill="1" applyBorder="1" applyAlignment="1">
      <alignment horizontal="right" vertical="center"/>
    </xf>
    <xf numFmtId="190" fontId="0" fillId="0" borderId="23" xfId="0" applyNumberFormat="1" applyBorder="1">
      <alignment vertical="center"/>
    </xf>
    <xf numFmtId="190" fontId="0" fillId="0" borderId="24" xfId="0" applyNumberForma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190" fontId="0" fillId="15" borderId="24" xfId="0" applyNumberFormat="1" applyFill="1" applyBorder="1">
      <alignment vertical="center"/>
    </xf>
    <xf numFmtId="190" fontId="0" fillId="15" borderId="23" xfId="0" applyNumberFormat="1" applyFill="1" applyBorder="1">
      <alignment vertical="center"/>
    </xf>
    <xf numFmtId="190" fontId="0" fillId="14" borderId="23" xfId="0" applyNumberFormat="1" applyFill="1" applyBorder="1">
      <alignment vertical="center"/>
    </xf>
    <xf numFmtId="190" fontId="0" fillId="14" borderId="24" xfId="0" applyNumberFormat="1" applyFill="1" applyBorder="1">
      <alignment vertical="center"/>
    </xf>
    <xf numFmtId="190" fontId="0" fillId="17" borderId="24" xfId="0" applyNumberFormat="1" applyFill="1" applyBorder="1">
      <alignment vertical="center"/>
    </xf>
    <xf numFmtId="190" fontId="0" fillId="17" borderId="23" xfId="0" applyNumberFormat="1" applyFill="1" applyBorder="1">
      <alignment vertical="center"/>
    </xf>
    <xf numFmtId="190" fontId="0" fillId="18" borderId="24" xfId="0" applyNumberFormat="1" applyFill="1" applyBorder="1">
      <alignment vertical="center"/>
    </xf>
    <xf numFmtId="190" fontId="0" fillId="18" borderId="23" xfId="0" applyNumberFormat="1" applyFill="1" applyBorder="1">
      <alignment vertical="center"/>
    </xf>
    <xf numFmtId="190" fontId="0" fillId="4" borderId="23" xfId="0" applyNumberFormat="1" applyFill="1" applyBorder="1">
      <alignment vertical="center"/>
    </xf>
    <xf numFmtId="190" fontId="0" fillId="4" borderId="24" xfId="0" applyNumberFormat="1" applyFill="1" applyBorder="1">
      <alignment vertical="center"/>
    </xf>
    <xf numFmtId="190" fontId="0" fillId="16" borderId="23" xfId="0" applyNumberFormat="1" applyFill="1" applyBorder="1">
      <alignment vertical="center"/>
    </xf>
    <xf numFmtId="190" fontId="0" fillId="16" borderId="24" xfId="0" applyNumberForma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>
      <alignment vertical="center"/>
    </xf>
    <xf numFmtId="2" fontId="0" fillId="0" borderId="6" xfId="0" applyNumberFormat="1" applyBorder="1">
      <alignment vertical="center"/>
    </xf>
    <xf numFmtId="179" fontId="0" fillId="0" borderId="6" xfId="0" applyNumberFormat="1" applyBorder="1">
      <alignment vertical="center"/>
    </xf>
    <xf numFmtId="190" fontId="0" fillId="15" borderId="30" xfId="0" applyNumberFormat="1" applyFill="1" applyBorder="1">
      <alignment vertical="center"/>
    </xf>
    <xf numFmtId="190" fontId="0" fillId="15" borderId="29" xfId="0" applyNumberFormat="1" applyFill="1" applyBorder="1">
      <alignment vertical="center"/>
    </xf>
    <xf numFmtId="190" fontId="0" fillId="14" borderId="29" xfId="0" applyNumberFormat="1" applyFill="1" applyBorder="1">
      <alignment vertical="center"/>
    </xf>
    <xf numFmtId="190" fontId="0" fillId="14" borderId="30" xfId="0" applyNumberFormat="1" applyFill="1" applyBorder="1">
      <alignment vertical="center"/>
    </xf>
    <xf numFmtId="190" fontId="0" fillId="17" borderId="30" xfId="0" applyNumberFormat="1" applyFill="1" applyBorder="1">
      <alignment vertical="center"/>
    </xf>
    <xf numFmtId="190" fontId="0" fillId="17" borderId="29" xfId="0" applyNumberFormat="1" applyFill="1" applyBorder="1">
      <alignment vertical="center"/>
    </xf>
    <xf numFmtId="0" fontId="0" fillId="0" borderId="30" xfId="0" applyBorder="1">
      <alignment vertical="center"/>
    </xf>
    <xf numFmtId="0" fontId="0" fillId="0" borderId="29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2" fontId="0" fillId="0" borderId="13" xfId="0" applyNumberFormat="1" applyBorder="1">
      <alignment vertical="center"/>
    </xf>
    <xf numFmtId="179" fontId="0" fillId="0" borderId="13" xfId="0" applyNumberFormat="1" applyBorder="1">
      <alignment vertical="center"/>
    </xf>
    <xf numFmtId="190" fontId="0" fillId="0" borderId="31" xfId="0" applyNumberFormat="1" applyBorder="1">
      <alignment vertical="center"/>
    </xf>
    <xf numFmtId="190" fontId="0" fillId="0" borderId="32" xfId="0" applyNumberFormat="1" applyBorder="1">
      <alignment vertical="center"/>
    </xf>
    <xf numFmtId="0" fontId="0" fillId="0" borderId="32" xfId="0" applyBorder="1">
      <alignment vertical="center"/>
    </xf>
    <xf numFmtId="0" fontId="0" fillId="0" borderId="31" xfId="0" applyBorder="1">
      <alignment vertical="center"/>
    </xf>
    <xf numFmtId="190" fontId="0" fillId="0" borderId="29" xfId="0" applyNumberFormat="1" applyBorder="1">
      <alignment vertical="center"/>
    </xf>
    <xf numFmtId="190" fontId="0" fillId="0" borderId="30" xfId="0" applyNumberForma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7" fontId="0" fillId="0" borderId="0" xfId="4" applyNumberFormat="1" applyFont="1">
      <alignment vertical="center"/>
    </xf>
    <xf numFmtId="177" fontId="2" fillId="0" borderId="0" xfId="4" applyNumberFormat="1" applyFont="1">
      <alignment vertical="center"/>
    </xf>
    <xf numFmtId="177" fontId="11" fillId="0" borderId="1" xfId="4" applyNumberFormat="1" applyFont="1" applyFill="1" applyBorder="1" applyAlignment="1">
      <alignment horizontal="right" vertical="center"/>
    </xf>
    <xf numFmtId="177" fontId="11" fillId="5" borderId="1" xfId="4" applyNumberFormat="1" applyFont="1" applyFill="1" applyBorder="1" applyAlignment="1">
      <alignment horizontal="right" vertical="center"/>
    </xf>
    <xf numFmtId="0" fontId="19" fillId="8" borderId="1" xfId="0" applyFont="1" applyFill="1" applyBorder="1">
      <alignment vertical="center"/>
    </xf>
    <xf numFmtId="190" fontId="20" fillId="0" borderId="31" xfId="0" applyNumberFormat="1" applyFont="1" applyBorder="1">
      <alignment vertical="center"/>
    </xf>
    <xf numFmtId="190" fontId="0" fillId="15" borderId="37" xfId="0" applyNumberFormat="1" applyFill="1" applyBorder="1">
      <alignment vertical="center"/>
    </xf>
    <xf numFmtId="190" fontId="0" fillId="15" borderId="38" xfId="0" applyNumberFormat="1" applyFill="1" applyBorder="1">
      <alignment vertical="center"/>
    </xf>
    <xf numFmtId="190" fontId="0" fillId="14" borderId="38" xfId="0" applyNumberFormat="1" applyFill="1" applyBorder="1">
      <alignment vertical="center"/>
    </xf>
    <xf numFmtId="190" fontId="0" fillId="17" borderId="37" xfId="0" applyNumberFormat="1" applyFill="1" applyBorder="1">
      <alignment vertical="center"/>
    </xf>
    <xf numFmtId="190" fontId="0" fillId="17" borderId="38" xfId="0" applyNumberFormat="1" applyFill="1" applyBorder="1">
      <alignment vertical="center"/>
    </xf>
    <xf numFmtId="190" fontId="0" fillId="18" borderId="37" xfId="0" applyNumberFormat="1" applyFill="1" applyBorder="1">
      <alignment vertical="center"/>
    </xf>
    <xf numFmtId="190" fontId="0" fillId="18" borderId="38" xfId="0" applyNumberFormat="1" applyFill="1" applyBorder="1">
      <alignment vertical="center"/>
    </xf>
    <xf numFmtId="0" fontId="20" fillId="0" borderId="0" xfId="0" applyFont="1">
      <alignment vertical="center"/>
    </xf>
    <xf numFmtId="189" fontId="20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191" fontId="21" fillId="0" borderId="0" xfId="0" applyNumberFormat="1" applyFont="1">
      <alignment vertical="center"/>
    </xf>
    <xf numFmtId="190" fontId="20" fillId="0" borderId="32" xfId="0" applyNumberFormat="1" applyFont="1" applyBorder="1">
      <alignment vertical="center"/>
    </xf>
    <xf numFmtId="0" fontId="22" fillId="0" borderId="6" xfId="0" applyFont="1" applyBorder="1">
      <alignment vertical="center"/>
    </xf>
    <xf numFmtId="0" fontId="22" fillId="0" borderId="1" xfId="0" applyFont="1" applyBorder="1">
      <alignment vertical="center"/>
    </xf>
    <xf numFmtId="0" fontId="22" fillId="0" borderId="13" xfId="0" applyFont="1" applyBorder="1">
      <alignment vertical="center"/>
    </xf>
    <xf numFmtId="10" fontId="0" fillId="0" borderId="1" xfId="4" applyNumberFormat="1" applyFont="1" applyBorder="1" applyAlignment="1">
      <alignment horizontal="right" vertical="center"/>
    </xf>
    <xf numFmtId="192" fontId="0" fillId="0" borderId="0" xfId="0" applyNumberFormat="1">
      <alignment vertical="center"/>
    </xf>
    <xf numFmtId="190" fontId="0" fillId="0" borderId="37" xfId="0" applyNumberFormat="1" applyBorder="1">
      <alignment vertical="center"/>
    </xf>
    <xf numFmtId="190" fontId="0" fillId="0" borderId="38" xfId="0" applyNumberFormat="1" applyBorder="1">
      <alignment vertical="center"/>
    </xf>
    <xf numFmtId="190" fontId="0" fillId="15" borderId="31" xfId="0" applyNumberFormat="1" applyFill="1" applyBorder="1">
      <alignment vertical="center"/>
    </xf>
    <xf numFmtId="190" fontId="0" fillId="15" borderId="32" xfId="0" applyNumberFormat="1" applyFill="1" applyBorder="1">
      <alignment vertical="center"/>
    </xf>
    <xf numFmtId="190" fontId="0" fillId="14" borderId="31" xfId="0" applyNumberFormat="1" applyFill="1" applyBorder="1">
      <alignment vertical="center"/>
    </xf>
    <xf numFmtId="190" fontId="0" fillId="14" borderId="32" xfId="0" applyNumberFormat="1" applyFill="1" applyBorder="1">
      <alignment vertical="center"/>
    </xf>
    <xf numFmtId="190" fontId="0" fillId="17" borderId="31" xfId="0" applyNumberFormat="1" applyFill="1" applyBorder="1">
      <alignment vertical="center"/>
    </xf>
    <xf numFmtId="190" fontId="0" fillId="17" borderId="32" xfId="0" applyNumberFormat="1" applyFill="1" applyBorder="1">
      <alignment vertical="center"/>
    </xf>
    <xf numFmtId="3" fontId="0" fillId="0" borderId="0" xfId="0" applyNumberFormat="1">
      <alignment vertical="center"/>
    </xf>
    <xf numFmtId="184" fontId="6" fillId="0" borderId="0" xfId="0" applyNumberFormat="1" applyFont="1">
      <alignment vertical="center"/>
    </xf>
    <xf numFmtId="190" fontId="0" fillId="0" borderId="40" xfId="0" applyNumberFormat="1" applyBorder="1">
      <alignment vertical="center"/>
    </xf>
    <xf numFmtId="190" fontId="20" fillId="0" borderId="24" xfId="0" applyNumberFormat="1" applyFont="1" applyBorder="1">
      <alignment vertical="center"/>
    </xf>
    <xf numFmtId="190" fontId="20" fillId="0" borderId="23" xfId="0" applyNumberFormat="1" applyFont="1" applyBorder="1">
      <alignment vertical="center"/>
    </xf>
    <xf numFmtId="190" fontId="0" fillId="4" borderId="31" xfId="0" applyNumberFormat="1" applyFill="1" applyBorder="1">
      <alignment vertical="center"/>
    </xf>
    <xf numFmtId="190" fontId="0" fillId="4" borderId="32" xfId="0" applyNumberFormat="1" applyFill="1" applyBorder="1">
      <alignment vertical="center"/>
    </xf>
    <xf numFmtId="190" fontId="0" fillId="14" borderId="37" xfId="0" applyNumberFormat="1" applyFill="1" applyBorder="1">
      <alignment vertical="center"/>
    </xf>
    <xf numFmtId="190" fontId="0" fillId="4" borderId="37" xfId="0" applyNumberFormat="1" applyFill="1" applyBorder="1">
      <alignment vertical="center"/>
    </xf>
    <xf numFmtId="190" fontId="0" fillId="4" borderId="38" xfId="0" applyNumberFormat="1" applyFill="1" applyBorder="1">
      <alignment vertical="center"/>
    </xf>
    <xf numFmtId="190" fontId="0" fillId="16" borderId="38" xfId="0" applyNumberFormat="1" applyFill="1" applyBorder="1">
      <alignment vertical="center"/>
    </xf>
    <xf numFmtId="190" fontId="0" fillId="16" borderId="37" xfId="0" applyNumberFormat="1" applyFill="1" applyBorder="1">
      <alignment vertical="center"/>
    </xf>
    <xf numFmtId="190" fontId="0" fillId="16" borderId="32" xfId="0" applyNumberFormat="1" applyFill="1" applyBorder="1">
      <alignment vertical="center"/>
    </xf>
    <xf numFmtId="0" fontId="12" fillId="0" borderId="1" xfId="0" applyFont="1" applyBorder="1" applyAlignment="1"/>
    <xf numFmtId="0" fontId="13" fillId="0" borderId="1" xfId="0" applyFont="1" applyBorder="1" applyAlignment="1"/>
    <xf numFmtId="176" fontId="13" fillId="0" borderId="6" xfId="0" applyNumberFormat="1" applyFont="1" applyBorder="1" applyAlignment="1">
      <alignment vertical="center" wrapText="1"/>
    </xf>
    <xf numFmtId="193" fontId="13" fillId="0" borderId="6" xfId="0" applyNumberFormat="1" applyFont="1" applyBorder="1" applyAlignment="1">
      <alignment vertical="center" shrinkToFit="1"/>
    </xf>
    <xf numFmtId="193" fontId="13" fillId="0" borderId="1" xfId="0" applyNumberFormat="1" applyFont="1" applyBorder="1" applyAlignment="1">
      <alignment vertical="center" shrinkToFit="1"/>
    </xf>
    <xf numFmtId="176" fontId="13" fillId="0" borderId="1" xfId="0" applyNumberFormat="1" applyFont="1" applyBorder="1" applyAlignment="1">
      <alignment vertical="center" shrinkToFit="1"/>
    </xf>
    <xf numFmtId="188" fontId="13" fillId="19" borderId="6" xfId="0" applyNumberFormat="1" applyFont="1" applyFill="1" applyBorder="1" applyAlignment="1">
      <alignment horizontal="center" vertical="center"/>
    </xf>
    <xf numFmtId="176" fontId="13" fillId="19" borderId="1" xfId="0" applyNumberFormat="1" applyFont="1" applyFill="1" applyBorder="1">
      <alignment vertical="center"/>
    </xf>
    <xf numFmtId="193" fontId="13" fillId="19" borderId="1" xfId="0" applyNumberFormat="1" applyFont="1" applyFill="1" applyBorder="1" applyAlignment="1">
      <alignment vertical="center" shrinkToFit="1"/>
    </xf>
    <xf numFmtId="176" fontId="13" fillId="19" borderId="1" xfId="0" applyNumberFormat="1" applyFont="1" applyFill="1" applyBorder="1" applyAlignment="1">
      <alignment vertical="center" shrinkToFit="1"/>
    </xf>
    <xf numFmtId="176" fontId="13" fillId="19" borderId="1" xfId="0" applyNumberFormat="1" applyFont="1" applyFill="1" applyBorder="1" applyAlignment="1">
      <alignment horizontal="center" vertical="center"/>
    </xf>
    <xf numFmtId="180" fontId="13" fillId="19" borderId="1" xfId="0" applyNumberFormat="1" applyFont="1" applyFill="1" applyBorder="1" applyAlignment="1">
      <alignment horizontal="center" vertical="center"/>
    </xf>
    <xf numFmtId="183" fontId="13" fillId="19" borderId="1" xfId="0" applyNumberFormat="1" applyFont="1" applyFill="1" applyBorder="1" applyAlignment="1">
      <alignment horizontal="right" vertical="center"/>
    </xf>
    <xf numFmtId="186" fontId="13" fillId="19" borderId="1" xfId="0" applyNumberFormat="1" applyFont="1" applyFill="1" applyBorder="1" applyAlignment="1">
      <alignment horizontal="right" vertical="center"/>
    </xf>
    <xf numFmtId="181" fontId="13" fillId="19" borderId="1" xfId="0" applyNumberFormat="1" applyFont="1" applyFill="1" applyBorder="1" applyAlignment="1">
      <alignment horizontal="right" vertical="center"/>
    </xf>
    <xf numFmtId="179" fontId="13" fillId="19" borderId="1" xfId="0" applyNumberFormat="1" applyFont="1" applyFill="1" applyBorder="1" applyAlignment="1">
      <alignment horizontal="right" vertical="center"/>
    </xf>
    <xf numFmtId="177" fontId="13" fillId="19" borderId="6" xfId="0" applyNumberFormat="1" applyFont="1" applyFill="1" applyBorder="1" applyAlignment="1">
      <alignment horizontal="left" vertical="center"/>
    </xf>
    <xf numFmtId="176" fontId="13" fillId="19" borderId="0" xfId="0" applyNumberFormat="1" applyFont="1" applyFill="1">
      <alignment vertical="center"/>
    </xf>
    <xf numFmtId="0" fontId="0" fillId="0" borderId="1" xfId="0" applyBorder="1" applyAlignment="1">
      <alignment horizontal="left" vertical="center" shrinkToFit="1"/>
    </xf>
    <xf numFmtId="0" fontId="28" fillId="0" borderId="1" xfId="0" applyFont="1" applyBorder="1" applyAlignment="1">
      <alignment horizontal="left" vertical="center" shrinkToFit="1"/>
    </xf>
    <xf numFmtId="0" fontId="0" fillId="19" borderId="1" xfId="0" applyFill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176" fontId="13" fillId="0" borderId="6" xfId="0" applyNumberFormat="1" applyFont="1" applyBorder="1" applyAlignment="1">
      <alignment vertical="center" shrinkToFit="1"/>
    </xf>
    <xf numFmtId="0" fontId="2" fillId="17" borderId="1" xfId="0" applyFont="1" applyFill="1" applyBorder="1" applyAlignment="1">
      <alignment horizontal="left" vertical="top"/>
    </xf>
    <xf numFmtId="0" fontId="2" fillId="17" borderId="1" xfId="0" applyFont="1" applyFill="1" applyBorder="1" applyAlignment="1">
      <alignment horizontal="left" vertical="top" wrapText="1"/>
    </xf>
    <xf numFmtId="183" fontId="13" fillId="0" borderId="1" xfId="0" applyNumberFormat="1" applyFont="1" applyBorder="1" applyAlignment="1">
      <alignment horizontal="right" vertical="center"/>
    </xf>
    <xf numFmtId="181" fontId="13" fillId="0" borderId="1" xfId="0" applyNumberFormat="1" applyFont="1" applyBorder="1" applyAlignment="1">
      <alignment horizontal="right" vertical="center"/>
    </xf>
    <xf numFmtId="179" fontId="13" fillId="0" borderId="1" xfId="0" applyNumberFormat="1" applyFont="1" applyBorder="1" applyAlignment="1">
      <alignment horizontal="right" vertical="center"/>
    </xf>
    <xf numFmtId="177" fontId="13" fillId="0" borderId="6" xfId="0" applyNumberFormat="1" applyFont="1" applyBorder="1" applyAlignment="1">
      <alignment horizontal="left" vertical="center"/>
    </xf>
    <xf numFmtId="188" fontId="13" fillId="20" borderId="6" xfId="0" applyNumberFormat="1" applyFont="1" applyFill="1" applyBorder="1" applyAlignment="1">
      <alignment horizontal="center" vertical="center"/>
    </xf>
    <xf numFmtId="176" fontId="13" fillId="20" borderId="1" xfId="0" applyNumberFormat="1" applyFont="1" applyFill="1" applyBorder="1">
      <alignment vertical="center"/>
    </xf>
    <xf numFmtId="193" fontId="13" fillId="20" borderId="1" xfId="0" applyNumberFormat="1" applyFont="1" applyFill="1" applyBorder="1" applyAlignment="1">
      <alignment vertical="center" shrinkToFit="1"/>
    </xf>
    <xf numFmtId="176" fontId="13" fillId="20" borderId="1" xfId="0" applyNumberFormat="1" applyFont="1" applyFill="1" applyBorder="1" applyAlignment="1">
      <alignment vertical="center" shrinkToFit="1"/>
    </xf>
    <xf numFmtId="176" fontId="13" fillId="20" borderId="1" xfId="0" applyNumberFormat="1" applyFont="1" applyFill="1" applyBorder="1" applyAlignment="1">
      <alignment horizontal="center" vertical="center"/>
    </xf>
    <xf numFmtId="188" fontId="13" fillId="21" borderId="6" xfId="0" applyNumberFormat="1" applyFont="1" applyFill="1" applyBorder="1" applyAlignment="1">
      <alignment horizontal="center" vertical="center"/>
    </xf>
    <xf numFmtId="176" fontId="13" fillId="21" borderId="1" xfId="0" applyNumberFormat="1" applyFont="1" applyFill="1" applyBorder="1">
      <alignment vertical="center"/>
    </xf>
    <xf numFmtId="193" fontId="13" fillId="21" borderId="1" xfId="0" applyNumberFormat="1" applyFont="1" applyFill="1" applyBorder="1" applyAlignment="1">
      <alignment vertical="center" shrinkToFit="1"/>
    </xf>
    <xf numFmtId="176" fontId="13" fillId="21" borderId="1" xfId="0" applyNumberFormat="1" applyFont="1" applyFill="1" applyBorder="1" applyAlignment="1">
      <alignment vertical="center" shrinkToFit="1"/>
    </xf>
    <xf numFmtId="176" fontId="13" fillId="21" borderId="1" xfId="0" applyNumberFormat="1" applyFont="1" applyFill="1" applyBorder="1" applyAlignment="1">
      <alignment horizontal="center" vertical="center"/>
    </xf>
    <xf numFmtId="176" fontId="13" fillId="21" borderId="6" xfId="0" applyNumberFormat="1" applyFont="1" applyFill="1" applyBorder="1" applyAlignment="1">
      <alignment horizontal="center" vertical="center"/>
    </xf>
    <xf numFmtId="180" fontId="13" fillId="21" borderId="1" xfId="0" applyNumberFormat="1" applyFont="1" applyFill="1" applyBorder="1" applyAlignment="1">
      <alignment horizontal="center" vertical="center"/>
    </xf>
    <xf numFmtId="183" fontId="13" fillId="21" borderId="1" xfId="0" applyNumberFormat="1" applyFont="1" applyFill="1" applyBorder="1" applyAlignment="1">
      <alignment horizontal="right" vertical="center"/>
    </xf>
    <xf numFmtId="186" fontId="13" fillId="21" borderId="1" xfId="0" applyNumberFormat="1" applyFont="1" applyFill="1" applyBorder="1" applyAlignment="1">
      <alignment horizontal="right" vertical="center"/>
    </xf>
    <xf numFmtId="181" fontId="13" fillId="21" borderId="1" xfId="0" applyNumberFormat="1" applyFont="1" applyFill="1" applyBorder="1" applyAlignment="1">
      <alignment horizontal="right" vertical="center"/>
    </xf>
    <xf numFmtId="179" fontId="13" fillId="21" borderId="1" xfId="0" applyNumberFormat="1" applyFont="1" applyFill="1" applyBorder="1" applyAlignment="1">
      <alignment horizontal="right" vertical="center"/>
    </xf>
    <xf numFmtId="177" fontId="13" fillId="21" borderId="6" xfId="0" applyNumberFormat="1" applyFont="1" applyFill="1" applyBorder="1" applyAlignment="1">
      <alignment horizontal="left" vertical="center"/>
    </xf>
    <xf numFmtId="176" fontId="13" fillId="21" borderId="0" xfId="0" applyNumberFormat="1" applyFont="1" applyFill="1">
      <alignment vertical="center"/>
    </xf>
    <xf numFmtId="176" fontId="13" fillId="22" borderId="1" xfId="0" applyNumberFormat="1" applyFont="1" applyFill="1" applyBorder="1">
      <alignment vertical="center"/>
    </xf>
    <xf numFmtId="193" fontId="13" fillId="22" borderId="1" xfId="0" applyNumberFormat="1" applyFont="1" applyFill="1" applyBorder="1" applyAlignment="1">
      <alignment vertical="center" shrinkToFit="1"/>
    </xf>
    <xf numFmtId="176" fontId="13" fillId="22" borderId="1" xfId="0" applyNumberFormat="1" applyFont="1" applyFill="1" applyBorder="1" applyAlignment="1">
      <alignment vertical="center" shrinkToFit="1"/>
    </xf>
    <xf numFmtId="0" fontId="12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176" fontId="13" fillId="19" borderId="6" xfId="0" applyNumberFormat="1" applyFont="1" applyFill="1" applyBorder="1" applyAlignment="1">
      <alignment horizontal="center" vertical="center"/>
    </xf>
    <xf numFmtId="188" fontId="30" fillId="3" borderId="6" xfId="0" applyNumberFormat="1" applyFont="1" applyFill="1" applyBorder="1" applyAlignment="1">
      <alignment horizontal="center" vertical="center"/>
    </xf>
    <xf numFmtId="176" fontId="30" fillId="3" borderId="1" xfId="0" applyNumberFormat="1" applyFont="1" applyFill="1" applyBorder="1">
      <alignment vertical="center"/>
    </xf>
    <xf numFmtId="193" fontId="30" fillId="3" borderId="1" xfId="0" applyNumberFormat="1" applyFont="1" applyFill="1" applyBorder="1" applyAlignment="1">
      <alignment vertical="center" shrinkToFit="1"/>
    </xf>
    <xf numFmtId="176" fontId="30" fillId="3" borderId="1" xfId="0" applyNumberFormat="1" applyFont="1" applyFill="1" applyBorder="1" applyAlignment="1">
      <alignment horizontal="center" vertical="center"/>
    </xf>
    <xf numFmtId="176" fontId="30" fillId="3" borderId="1" xfId="0" applyNumberFormat="1" applyFont="1" applyFill="1" applyBorder="1" applyAlignment="1">
      <alignment vertical="center" shrinkToFit="1"/>
    </xf>
    <xf numFmtId="176" fontId="13" fillId="20" borderId="6" xfId="0" applyNumberFormat="1" applyFont="1" applyFill="1" applyBorder="1" applyAlignment="1">
      <alignment horizontal="center" vertical="center"/>
    </xf>
    <xf numFmtId="180" fontId="13" fillId="20" borderId="1" xfId="0" applyNumberFormat="1" applyFont="1" applyFill="1" applyBorder="1" applyAlignment="1">
      <alignment horizontal="center" vertical="center"/>
    </xf>
    <xf numFmtId="183" fontId="13" fillId="20" borderId="1" xfId="0" applyNumberFormat="1" applyFont="1" applyFill="1" applyBorder="1" applyAlignment="1">
      <alignment horizontal="right" vertical="center"/>
    </xf>
    <xf numFmtId="186" fontId="13" fillId="20" borderId="1" xfId="0" applyNumberFormat="1" applyFont="1" applyFill="1" applyBorder="1" applyAlignment="1">
      <alignment horizontal="right" vertical="center"/>
    </xf>
    <xf numFmtId="181" fontId="13" fillId="20" borderId="1" xfId="0" applyNumberFormat="1" applyFont="1" applyFill="1" applyBorder="1" applyAlignment="1">
      <alignment horizontal="right" vertical="center"/>
    </xf>
    <xf numFmtId="179" fontId="13" fillId="20" borderId="1" xfId="0" applyNumberFormat="1" applyFont="1" applyFill="1" applyBorder="1" applyAlignment="1">
      <alignment horizontal="right" vertical="center"/>
    </xf>
    <xf numFmtId="177" fontId="13" fillId="20" borderId="6" xfId="0" applyNumberFormat="1" applyFont="1" applyFill="1" applyBorder="1" applyAlignment="1">
      <alignment horizontal="left" vertical="center"/>
    </xf>
    <xf numFmtId="176" fontId="13" fillId="20" borderId="0" xfId="0" applyNumberFormat="1" applyFont="1" applyFill="1">
      <alignment vertical="center"/>
    </xf>
    <xf numFmtId="177" fontId="0" fillId="0" borderId="0" xfId="0" applyNumberFormat="1">
      <alignment vertical="center"/>
    </xf>
    <xf numFmtId="0" fontId="31" fillId="0" borderId="0" xfId="0" applyFont="1">
      <alignment vertical="center"/>
    </xf>
    <xf numFmtId="0" fontId="32" fillId="0" borderId="0" xfId="0" applyFont="1" applyAlignment="1">
      <alignment vertical="center" wrapText="1"/>
    </xf>
    <xf numFmtId="179" fontId="9" fillId="5" borderId="16" xfId="0" applyNumberFormat="1" applyFont="1" applyFill="1" applyBorder="1" applyAlignment="1">
      <alignment horizontal="right" vertical="center"/>
    </xf>
    <xf numFmtId="179" fontId="9" fillId="5" borderId="15" xfId="0" applyNumberFormat="1" applyFont="1" applyFill="1" applyBorder="1" applyAlignment="1">
      <alignment horizontal="right" vertical="center"/>
    </xf>
    <xf numFmtId="179" fontId="9" fillId="5" borderId="17" xfId="0" applyNumberFormat="1" applyFont="1" applyFill="1" applyBorder="1" applyAlignment="1">
      <alignment horizontal="right" vertical="center"/>
    </xf>
    <xf numFmtId="0" fontId="17" fillId="6" borderId="5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180" fontId="0" fillId="2" borderId="1" xfId="0" applyNumberFormat="1" applyFill="1" applyBorder="1" applyAlignment="1">
      <alignment horizontal="center" vertical="center"/>
    </xf>
    <xf numFmtId="180" fontId="14" fillId="5" borderId="1" xfId="0" applyNumberFormat="1" applyFont="1" applyFill="1" applyBorder="1" applyAlignment="1">
      <alignment horizontal="left" vertical="center"/>
    </xf>
    <xf numFmtId="49" fontId="9" fillId="2" borderId="18" xfId="0" applyNumberFormat="1" applyFont="1" applyFill="1" applyBorder="1" applyAlignment="1">
      <alignment horizontal="center" vertical="center"/>
    </xf>
    <xf numFmtId="49" fontId="9" fillId="2" borderId="19" xfId="0" applyNumberFormat="1" applyFont="1" applyFill="1" applyBorder="1" applyAlignment="1">
      <alignment horizontal="center" vertical="center"/>
    </xf>
    <xf numFmtId="49" fontId="9" fillId="2" borderId="20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49" fontId="9" fillId="2" borderId="14" xfId="0" applyNumberFormat="1" applyFont="1" applyFill="1" applyBorder="1" applyAlignment="1">
      <alignment horizontal="center" vertical="center"/>
    </xf>
    <xf numFmtId="49" fontId="9" fillId="2" borderId="22" xfId="0" applyNumberFormat="1" applyFont="1" applyFill="1" applyBorder="1" applyAlignment="1">
      <alignment horizontal="center" vertical="center"/>
    </xf>
    <xf numFmtId="179" fontId="25" fillId="0" borderId="5" xfId="0" applyNumberFormat="1" applyFont="1" applyBorder="1" applyAlignment="1">
      <alignment horizontal="center" vertical="center"/>
    </xf>
    <xf numFmtId="179" fontId="25" fillId="0" borderId="27" xfId="0" applyNumberFormat="1" applyFont="1" applyBorder="1" applyAlignment="1">
      <alignment horizontal="center" vertical="center"/>
    </xf>
    <xf numFmtId="179" fontId="25" fillId="0" borderId="4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182" fontId="24" fillId="0" borderId="5" xfId="0" applyNumberFormat="1" applyFont="1" applyBorder="1" applyAlignment="1">
      <alignment horizontal="center" vertical="center"/>
    </xf>
    <xf numFmtId="182" fontId="24" fillId="0" borderId="27" xfId="0" applyNumberFormat="1" applyFont="1" applyBorder="1" applyAlignment="1">
      <alignment horizontal="center" vertical="center"/>
    </xf>
    <xf numFmtId="179" fontId="26" fillId="0" borderId="5" xfId="0" applyNumberFormat="1" applyFont="1" applyBorder="1" applyAlignment="1">
      <alignment horizontal="center" vertical="center"/>
    </xf>
    <xf numFmtId="179" fontId="26" fillId="0" borderId="27" xfId="0" applyNumberFormat="1" applyFont="1" applyBorder="1" applyAlignment="1">
      <alignment horizontal="center" vertical="center"/>
    </xf>
    <xf numFmtId="179" fontId="26" fillId="0" borderId="4" xfId="0" applyNumberFormat="1" applyFont="1" applyBorder="1" applyAlignment="1">
      <alignment horizontal="center" vertical="center"/>
    </xf>
    <xf numFmtId="182" fontId="24" fillId="0" borderId="4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9" fontId="2" fillId="5" borderId="12" xfId="0" applyNumberFormat="1" applyFont="1" applyFill="1" applyBorder="1" applyAlignment="1">
      <alignment horizontal="center" vertical="center"/>
    </xf>
    <xf numFmtId="191" fontId="21" fillId="0" borderId="39" xfId="0" applyNumberFormat="1" applyFont="1" applyBorder="1" applyAlignment="1">
      <alignment horizontal="center" vertical="center"/>
    </xf>
    <xf numFmtId="191" fontId="21" fillId="0" borderId="0" xfId="0" applyNumberFormat="1" applyFont="1" applyAlignment="1">
      <alignment horizontal="center" vertical="center"/>
    </xf>
    <xf numFmtId="179" fontId="25" fillId="0" borderId="1" xfId="0" applyNumberFormat="1" applyFont="1" applyBorder="1" applyAlignment="1">
      <alignment horizontal="center" vertical="center"/>
    </xf>
    <xf numFmtId="179" fontId="25" fillId="0" borderId="53" xfId="0" applyNumberFormat="1" applyFont="1" applyBorder="1" applyAlignment="1">
      <alignment horizontal="center" vertical="center"/>
    </xf>
    <xf numFmtId="179" fontId="25" fillId="0" borderId="51" xfId="0" applyNumberFormat="1" applyFont="1" applyBorder="1" applyAlignment="1">
      <alignment horizontal="center" vertical="center"/>
    </xf>
    <xf numFmtId="179" fontId="25" fillId="0" borderId="54" xfId="0" applyNumberFormat="1" applyFont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0" fontId="18" fillId="13" borderId="27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179" fontId="25" fillId="0" borderId="50" xfId="0" applyNumberFormat="1" applyFont="1" applyBorder="1" applyAlignment="1">
      <alignment horizontal="center" vertical="center"/>
    </xf>
    <xf numFmtId="179" fontId="25" fillId="0" borderId="52" xfId="0" applyNumberFormat="1" applyFont="1" applyBorder="1" applyAlignment="1">
      <alignment horizontal="center" vertical="center"/>
    </xf>
    <xf numFmtId="182" fontId="24" fillId="0" borderId="49" xfId="0" applyNumberFormat="1" applyFont="1" applyBorder="1" applyAlignment="1">
      <alignment horizontal="center" vertical="center"/>
    </xf>
    <xf numFmtId="182" fontId="24" fillId="0" borderId="1" xfId="0" applyNumberFormat="1" applyFont="1" applyBorder="1" applyAlignment="1">
      <alignment horizontal="center" vertical="center"/>
    </xf>
    <xf numFmtId="182" fontId="24" fillId="0" borderId="48" xfId="0" applyNumberFormat="1" applyFont="1" applyBorder="1" applyAlignment="1">
      <alignment horizontal="center" vertical="center"/>
    </xf>
    <xf numFmtId="191" fontId="0" fillId="0" borderId="5" xfId="0" applyNumberFormat="1" applyBorder="1" applyAlignment="1">
      <alignment horizontal="center" vertical="center"/>
    </xf>
    <xf numFmtId="191" fontId="0" fillId="0" borderId="27" xfId="0" applyNumberFormat="1" applyBorder="1" applyAlignment="1">
      <alignment horizontal="center" vertical="center"/>
    </xf>
    <xf numFmtId="191" fontId="0" fillId="0" borderId="4" xfId="0" applyNumberFormat="1" applyBorder="1" applyAlignment="1">
      <alignment horizontal="center" vertical="center"/>
    </xf>
    <xf numFmtId="182" fontId="0" fillId="0" borderId="13" xfId="0" applyNumberFormat="1" applyBorder="1" applyAlignment="1">
      <alignment horizontal="center" vertical="center"/>
    </xf>
    <xf numFmtId="191" fontId="0" fillId="0" borderId="1" xfId="0" applyNumberFormat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27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0" fontId="18" fillId="12" borderId="27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179" fontId="25" fillId="0" borderId="48" xfId="0" applyNumberFormat="1" applyFont="1" applyBorder="1" applyAlignment="1">
      <alignment horizontal="center" vertical="center"/>
    </xf>
    <xf numFmtId="179" fontId="25" fillId="0" borderId="49" xfId="0" applyNumberFormat="1" applyFont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18" fillId="10" borderId="27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2" fontId="0" fillId="0" borderId="12" xfId="0" applyNumberFormat="1" applyBorder="1" applyAlignment="1">
      <alignment horizontal="right" vertical="center"/>
    </xf>
    <xf numFmtId="2" fontId="0" fillId="0" borderId="36" xfId="0" applyNumberFormat="1" applyBorder="1" applyAlignment="1">
      <alignment horizontal="right" vertical="center"/>
    </xf>
    <xf numFmtId="179" fontId="0" fillId="0" borderId="12" xfId="0" applyNumberFormat="1" applyBorder="1" applyAlignment="1">
      <alignment horizontal="right" vertical="center"/>
    </xf>
    <xf numFmtId="179" fontId="0" fillId="0" borderId="36" xfId="0" applyNumberFormat="1" applyBorder="1" applyAlignment="1">
      <alignment horizontal="right" vertical="center"/>
    </xf>
    <xf numFmtId="179" fontId="2" fillId="0" borderId="12" xfId="0" applyNumberFormat="1" applyFont="1" applyBorder="1" applyAlignment="1">
      <alignment horizontal="right" vertical="center"/>
    </xf>
    <xf numFmtId="179" fontId="2" fillId="0" borderId="36" xfId="0" applyNumberFormat="1" applyFont="1" applyBorder="1" applyAlignment="1">
      <alignment horizontal="right" vertical="center"/>
    </xf>
    <xf numFmtId="179" fontId="0" fillId="0" borderId="5" xfId="0" applyNumberFormat="1" applyBorder="1" applyAlignment="1">
      <alignment horizontal="left" vertical="center"/>
    </xf>
    <xf numFmtId="179" fontId="0" fillId="0" borderId="27" xfId="0" applyNumberFormat="1" applyBorder="1" applyAlignment="1">
      <alignment horizontal="left" vertical="center"/>
    </xf>
    <xf numFmtId="179" fontId="0" fillId="0" borderId="4" xfId="0" applyNumberFormat="1" applyBorder="1" applyAlignment="1">
      <alignment horizontal="left" vertical="center"/>
    </xf>
    <xf numFmtId="182" fontId="0" fillId="0" borderId="41" xfId="0" applyNumberFormat="1" applyBorder="1" applyAlignment="1">
      <alignment horizontal="center" vertical="center"/>
    </xf>
    <xf numFmtId="182" fontId="0" fillId="0" borderId="42" xfId="0" applyNumberFormat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0" borderId="46" xfId="0" applyFont="1" applyFill="1" applyBorder="1" applyAlignment="1">
      <alignment horizontal="center" vertical="center"/>
    </xf>
    <xf numFmtId="0" fontId="18" fillId="10" borderId="44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1" borderId="46" xfId="0" applyFont="1" applyFill="1" applyBorder="1" applyAlignment="1">
      <alignment horizontal="center" vertical="center"/>
    </xf>
    <xf numFmtId="0" fontId="18" fillId="11" borderId="44" xfId="0" applyFont="1" applyFill="1" applyBorder="1" applyAlignment="1">
      <alignment horizontal="center" vertical="center"/>
    </xf>
    <xf numFmtId="0" fontId="18" fillId="11" borderId="45" xfId="0" applyFont="1" applyFill="1" applyBorder="1" applyAlignment="1">
      <alignment horizontal="center" vertical="center"/>
    </xf>
    <xf numFmtId="0" fontId="18" fillId="9" borderId="43" xfId="0" applyFont="1" applyFill="1" applyBorder="1" applyAlignment="1">
      <alignment horizontal="center" vertical="center"/>
    </xf>
    <xf numFmtId="0" fontId="18" fillId="9" borderId="44" xfId="0" applyFont="1" applyFill="1" applyBorder="1" applyAlignment="1">
      <alignment horizontal="center" vertical="center"/>
    </xf>
    <xf numFmtId="0" fontId="18" fillId="9" borderId="45" xfId="0" applyFont="1" applyFill="1" applyBorder="1" applyAlignment="1">
      <alignment horizontal="center" vertical="center"/>
    </xf>
    <xf numFmtId="10" fontId="0" fillId="0" borderId="12" xfId="4" applyNumberFormat="1" applyFont="1" applyBorder="1" applyAlignment="1">
      <alignment horizontal="right" vertical="center"/>
    </xf>
    <xf numFmtId="10" fontId="0" fillId="0" borderId="36" xfId="4" applyNumberFormat="1" applyFont="1" applyBorder="1" applyAlignment="1">
      <alignment horizontal="right" vertical="center"/>
    </xf>
    <xf numFmtId="191" fontId="0" fillId="0" borderId="25" xfId="0" applyNumberFormat="1" applyBorder="1" applyAlignment="1">
      <alignment horizontal="center" vertical="center"/>
    </xf>
    <xf numFmtId="191" fontId="0" fillId="0" borderId="28" xfId="0" applyNumberFormat="1" applyBorder="1" applyAlignment="1">
      <alignment horizontal="center" vertical="center"/>
    </xf>
    <xf numFmtId="191" fontId="0" fillId="0" borderId="26" xfId="0" applyNumberFormat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79" fontId="9" fillId="0" borderId="7" xfId="0" applyNumberFormat="1" applyFont="1" applyBorder="1" applyAlignment="1">
      <alignment vertical="center"/>
    </xf>
    <xf numFmtId="179" fontId="9" fillId="0" borderId="8" xfId="0" applyNumberFormat="1" applyFont="1" applyBorder="1" applyAlignment="1">
      <alignment vertical="center"/>
    </xf>
    <xf numFmtId="179" fontId="9" fillId="0" borderId="10" xfId="0" applyNumberFormat="1" applyFont="1" applyBorder="1" applyAlignment="1">
      <alignment vertical="center"/>
    </xf>
    <xf numFmtId="179" fontId="9" fillId="0" borderId="11" xfId="0" applyNumberFormat="1" applyFont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27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</cellXfs>
  <cellStyles count="5">
    <cellStyle name="パーセント" xfId="4" builtinId="5"/>
    <cellStyle name="標準" xfId="0" builtinId="0"/>
    <cellStyle name="標準 2" xfId="1" xr:uid="{00000000-0005-0000-0000-000002000000}"/>
    <cellStyle name="標準 2 2" xfId="2" xr:uid="{00000000-0005-0000-0000-000003000000}"/>
    <cellStyle name="標準 6" xfId="3" xr:uid="{00000000-0005-0000-0000-000004000000}"/>
  </cellStyles>
  <dxfs count="0"/>
  <tableStyles count="0" defaultTableStyle="TableStyleMedium2" defaultPivotStyle="PivotStyleLight16"/>
  <colors>
    <mruColors>
      <color rgb="FFFF7D7D"/>
      <color rgb="FFFFC8C8"/>
      <color rgb="FFC8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510988</xdr:colOff>
      <xdr:row>1</xdr:row>
      <xdr:rowOff>170329</xdr:rowOff>
    </xdr:from>
    <xdr:to>
      <xdr:col>16</xdr:col>
      <xdr:colOff>26895</xdr:colOff>
      <xdr:row>19</xdr:row>
      <xdr:rowOff>17929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412941" y="448235"/>
          <a:ext cx="5109883" cy="5647765"/>
        </a:xfrm>
        <a:prstGeom prst="rect">
          <a:avLst/>
        </a:prstGeom>
        <a:noFill/>
        <a:ln w="38100">
          <a:solidFill>
            <a:srgbClr val="FF7D7D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657</xdr:row>
      <xdr:rowOff>0</xdr:rowOff>
    </xdr:from>
    <xdr:to>
      <xdr:col>1</xdr:col>
      <xdr:colOff>726142</xdr:colOff>
      <xdr:row>661</xdr:row>
      <xdr:rowOff>107575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102245160"/>
          <a:ext cx="1244302" cy="1052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</a:t>
          </a:r>
          <a:r>
            <a:rPr kumimoji="1" lang="ja-JP" altLang="en-US" sz="1100"/>
            <a:t>セル</a:t>
          </a:r>
          <a:endParaRPr kumimoji="1" lang="en-US" altLang="ja-JP" sz="1100"/>
        </a:p>
        <a:p>
          <a:r>
            <a:rPr kumimoji="1" lang="ja-JP" altLang="en-US" sz="1100"/>
            <a:t>　・黄色：確認済</a:t>
          </a:r>
          <a:endParaRPr kumimoji="1" lang="en-US" altLang="ja-JP" sz="1100"/>
        </a:p>
        <a:p>
          <a:r>
            <a:rPr kumimoji="1" lang="ja-JP" altLang="en-US" sz="1100"/>
            <a:t>　・赤色：追加</a:t>
          </a:r>
          <a:endParaRPr kumimoji="1" lang="en-US" altLang="ja-JP" sz="1100"/>
        </a:p>
        <a:p>
          <a:r>
            <a:rPr kumimoji="1" lang="ja-JP" altLang="en-US" sz="1100"/>
            <a:t>　・灰色：廃止</a:t>
          </a:r>
          <a:endParaRPr kumimoji="1" lang="en-US" altLang="ja-JP" sz="1100"/>
        </a:p>
        <a:p>
          <a:r>
            <a:rPr kumimoji="1" lang="ja-JP" altLang="en-US" sz="1100"/>
            <a:t>　・白色：不明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521</xdr:row>
      <xdr:rowOff>0</xdr:rowOff>
    </xdr:from>
    <xdr:to>
      <xdr:col>1</xdr:col>
      <xdr:colOff>726142</xdr:colOff>
      <xdr:row>525</xdr:row>
      <xdr:rowOff>107575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24715694"/>
          <a:ext cx="1246095" cy="1039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</a:t>
          </a:r>
          <a:r>
            <a:rPr kumimoji="1" lang="ja-JP" altLang="en-US" sz="1100"/>
            <a:t>セル</a:t>
          </a:r>
          <a:endParaRPr kumimoji="1" lang="en-US" altLang="ja-JP" sz="1100"/>
        </a:p>
        <a:p>
          <a:r>
            <a:rPr kumimoji="1" lang="ja-JP" altLang="en-US" sz="1100"/>
            <a:t>　・黄色：確認済</a:t>
          </a:r>
          <a:endParaRPr kumimoji="1" lang="en-US" altLang="ja-JP" sz="1100"/>
        </a:p>
        <a:p>
          <a:r>
            <a:rPr kumimoji="1" lang="ja-JP" altLang="en-US" sz="1100"/>
            <a:t>　・赤色：追加</a:t>
          </a:r>
          <a:endParaRPr kumimoji="1" lang="en-US" altLang="ja-JP" sz="1100"/>
        </a:p>
        <a:p>
          <a:r>
            <a:rPr kumimoji="1" lang="ja-JP" altLang="en-US" sz="1100"/>
            <a:t>　・灰色：廃止</a:t>
          </a:r>
          <a:endParaRPr kumimoji="1" lang="en-US" altLang="ja-JP" sz="1100"/>
        </a:p>
        <a:p>
          <a:r>
            <a:rPr kumimoji="1" lang="ja-JP" altLang="en-US" sz="1100"/>
            <a:t>　・白色：不明</a:t>
          </a:r>
        </a:p>
      </xdr:txBody>
    </xdr:sp>
    <xdr:clientData/>
  </xdr:twoCellAnchor>
  <xdr:twoCellAnchor>
    <xdr:from>
      <xdr:col>9</xdr:col>
      <xdr:colOff>426720</xdr:colOff>
      <xdr:row>270</xdr:row>
      <xdr:rowOff>15240</xdr:rowOff>
    </xdr:from>
    <xdr:to>
      <xdr:col>13</xdr:col>
      <xdr:colOff>609600</xdr:colOff>
      <xdr:row>286</xdr:row>
      <xdr:rowOff>91440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336280" y="64008000"/>
          <a:ext cx="3261360" cy="25146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 anchorCtr="0"/>
        <a:lstStyle/>
        <a:p>
          <a:pPr algn="l"/>
          <a:r>
            <a:rPr kumimoji="1" lang="en-US" altLang="ja-JP" sz="2800"/>
            <a:t>PG</a:t>
          </a:r>
          <a:r>
            <a:rPr kumimoji="1" lang="ja-JP" altLang="en-US" sz="2800"/>
            <a:t>とは別に外部とのシステムテスト用に上乗せ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xefile11\&#20840;&#31038;&#20849;&#26377;\Users\nori-kobayashi.SYSTEM-EXE\Documents\10_&#12503;&#12525;&#12472;&#12455;&#12463;&#12488;\01.&#20986;&#20809;&#33288;&#29987;\00.&#25552;&#26696;&#12539;&#35211;&#31309;&#12539;&#21463;&#27880;&#38306;&#36899;\202003_&#21315;&#33865;&#36939;&#36578;&#31649;&#29702;&#12471;&#12473;&#12486;&#12512;&#27083;&#31689;\01.&#25552;&#26696;&#12539;&#35211;&#31309;\&#27083;&#31689;&#12501;&#12455;&#12540;&#12474;\&#24037;&#25968;&#31309;&#31639;\SP-02-01%20&#24037;&#25968;&#35211;&#31309;&#65288;&#21315;&#33865;&#36939;&#36578;&#31649;&#29702;&#12471;&#12473;&#12486;&#12512;&#26356;&#26032;&#65289;Ver.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サマリ"/>
      <sheetName val="積算基準"/>
      <sheetName val="工数算出"/>
      <sheetName val="要員計画(オフショア利用)　調整前"/>
      <sheetName val="要員計画(オフショア利用)　調整後"/>
      <sheetName val="要員計画(オフショア利用)　原価"/>
      <sheetName val="分析"/>
      <sheetName val="前回提示との差異"/>
    </sheetNames>
    <sheetDataSet>
      <sheetData sheetId="0"/>
      <sheetData sheetId="1">
        <row r="16">
          <cell r="E16">
            <v>40</v>
          </cell>
          <cell r="F16">
            <v>30</v>
          </cell>
          <cell r="G16">
            <v>20</v>
          </cell>
          <cell r="H16">
            <v>0</v>
          </cell>
        </row>
        <row r="17">
          <cell r="E17">
            <v>48</v>
          </cell>
          <cell r="F17">
            <v>36</v>
          </cell>
          <cell r="G17">
            <v>24</v>
          </cell>
          <cell r="H17">
            <v>12</v>
          </cell>
        </row>
        <row r="29">
          <cell r="D29">
            <v>19.399999999999999</v>
          </cell>
          <cell r="E29">
            <v>13.579999999999998</v>
          </cell>
          <cell r="F29">
            <v>5.2</v>
          </cell>
        </row>
        <row r="35">
          <cell r="D35">
            <v>0.11111111111111109</v>
          </cell>
          <cell r="E35">
            <v>0.1251851851851852</v>
          </cell>
          <cell r="F35">
            <v>0.12962962962962962</v>
          </cell>
          <cell r="G35">
            <v>0.24148148148148152</v>
          </cell>
          <cell r="H35">
            <v>0.14814814814814817</v>
          </cell>
          <cell r="I35">
            <v>9.629629629629631E-2</v>
          </cell>
          <cell r="J35">
            <v>3.7037037037037035E-2</v>
          </cell>
          <cell r="K35">
            <v>0.11111111111111112</v>
          </cell>
          <cell r="L35">
            <v>0</v>
          </cell>
        </row>
        <row r="41">
          <cell r="D41">
            <v>3</v>
          </cell>
          <cell r="E41">
            <v>1.4</v>
          </cell>
          <cell r="F41">
            <v>1</v>
          </cell>
          <cell r="G41">
            <v>0.6</v>
          </cell>
          <cell r="H41">
            <v>0.2</v>
          </cell>
        </row>
      </sheetData>
      <sheetData sheetId="2">
        <row r="3">
          <cell r="J3">
            <v>16.69499999999999</v>
          </cell>
          <cell r="K3">
            <v>35.639999999999915</v>
          </cell>
          <cell r="L3">
            <v>37.650000000000134</v>
          </cell>
          <cell r="M3">
            <v>68.210000000000065</v>
          </cell>
          <cell r="N3">
            <v>42.379999999999939</v>
          </cell>
          <cell r="O3">
            <v>28.134999999999867</v>
          </cell>
          <cell r="P3">
            <v>11.819999999999972</v>
          </cell>
          <cell r="Q3">
            <v>31.620000000000015</v>
          </cell>
          <cell r="U3">
            <v>314.79499999999985</v>
          </cell>
        </row>
        <row r="4">
          <cell r="D4">
            <v>298968000</v>
          </cell>
        </row>
      </sheetData>
      <sheetData sheetId="3">
        <row r="5">
          <cell r="G5">
            <v>227150000</v>
          </cell>
        </row>
        <row r="7">
          <cell r="B7" t="str">
            <v>PM</v>
          </cell>
          <cell r="C7" t="str">
            <v>社）小林紀昭</v>
          </cell>
          <cell r="D7" t="str">
            <v>JP</v>
          </cell>
        </row>
        <row r="8">
          <cell r="B8" t="str">
            <v>PMO</v>
          </cell>
          <cell r="C8" t="str">
            <v>社）福田一希</v>
          </cell>
          <cell r="D8" t="str">
            <v>JP</v>
          </cell>
        </row>
        <row r="9">
          <cell r="B9" t="str">
            <v>PMO</v>
          </cell>
          <cell r="C9" t="str">
            <v>契）池上彩子</v>
          </cell>
          <cell r="D9" t="str">
            <v>JP</v>
          </cell>
        </row>
        <row r="10">
          <cell r="B10" t="str">
            <v>BSE</v>
          </cell>
          <cell r="C10" t="str">
            <v>社）グエンハイアイン</v>
          </cell>
          <cell r="D10" t="str">
            <v>JP</v>
          </cell>
        </row>
        <row r="11">
          <cell r="B11" t="str">
            <v>TL</v>
          </cell>
          <cell r="C11" t="str">
            <v>契）朴邦彦</v>
          </cell>
          <cell r="D11" t="str">
            <v>JP</v>
          </cell>
        </row>
        <row r="12">
          <cell r="B12" t="str">
            <v>TL</v>
          </cell>
          <cell r="C12" t="str">
            <v>BP）房谷俊彦</v>
          </cell>
          <cell r="D12" t="str">
            <v>JP</v>
          </cell>
        </row>
        <row r="13">
          <cell r="B13" t="str">
            <v>TL</v>
          </cell>
          <cell r="C13" t="str">
            <v>社）伊達翔互</v>
          </cell>
          <cell r="D13" t="str">
            <v>JP</v>
          </cell>
        </row>
        <row r="14">
          <cell r="B14"/>
          <cell r="C14" t="str">
            <v>BP）山田晃洋</v>
          </cell>
          <cell r="D14" t="str">
            <v>JP</v>
          </cell>
        </row>
        <row r="15">
          <cell r="B15"/>
          <cell r="C15" t="str">
            <v>BP）</v>
          </cell>
          <cell r="D15" t="str">
            <v>JP</v>
          </cell>
        </row>
        <row r="16">
          <cell r="B16"/>
          <cell r="C16" t="str">
            <v>BP）</v>
          </cell>
          <cell r="D16" t="str">
            <v>JP</v>
          </cell>
        </row>
        <row r="17">
          <cell r="B17"/>
          <cell r="C17" t="str">
            <v>BP）</v>
          </cell>
          <cell r="D17" t="str">
            <v>JP</v>
          </cell>
        </row>
        <row r="18">
          <cell r="B18"/>
          <cell r="C18" t="str">
            <v>BP）</v>
          </cell>
          <cell r="D18" t="str">
            <v>JP</v>
          </cell>
        </row>
        <row r="19">
          <cell r="B19"/>
          <cell r="C19" t="str">
            <v>社）鶴岡智幸</v>
          </cell>
          <cell r="D19" t="str">
            <v>JP</v>
          </cell>
        </row>
        <row r="20">
          <cell r="B20"/>
          <cell r="C20" t="str">
            <v>社）グエンハイアイン</v>
          </cell>
          <cell r="D20" t="str">
            <v>JP</v>
          </cell>
        </row>
        <row r="21">
          <cell r="B21"/>
          <cell r="C21" t="str">
            <v>BP）</v>
          </cell>
          <cell r="D21" t="str">
            <v>JP</v>
          </cell>
        </row>
        <row r="22">
          <cell r="B22"/>
          <cell r="C22" t="str">
            <v>BP）</v>
          </cell>
          <cell r="D22" t="str">
            <v>JP</v>
          </cell>
        </row>
        <row r="23">
          <cell r="B23"/>
          <cell r="C23" t="str">
            <v>BP）</v>
          </cell>
          <cell r="D23" t="str">
            <v>JP</v>
          </cell>
        </row>
        <row r="24">
          <cell r="B24"/>
          <cell r="C24" t="str">
            <v>BP）</v>
          </cell>
          <cell r="D24" t="str">
            <v>JP</v>
          </cell>
        </row>
        <row r="25">
          <cell r="B25"/>
          <cell r="C25" t="str">
            <v>BP）</v>
          </cell>
          <cell r="D25" t="str">
            <v>JP</v>
          </cell>
        </row>
        <row r="26">
          <cell r="B26"/>
          <cell r="C26" t="str">
            <v>BP）</v>
          </cell>
          <cell r="D26" t="str">
            <v>JP</v>
          </cell>
        </row>
        <row r="27">
          <cell r="B27"/>
          <cell r="C27" t="str">
            <v>BP）</v>
          </cell>
          <cell r="D27" t="str">
            <v>JP</v>
          </cell>
        </row>
        <row r="28">
          <cell r="B28"/>
          <cell r="C28" t="str">
            <v>BP）</v>
          </cell>
          <cell r="D28" t="str">
            <v>JP</v>
          </cell>
        </row>
        <row r="29">
          <cell r="B29"/>
          <cell r="C29" t="str">
            <v>BP）</v>
          </cell>
          <cell r="D29" t="str">
            <v>VT</v>
          </cell>
        </row>
        <row r="30">
          <cell r="B30"/>
          <cell r="C30" t="str">
            <v>BP）</v>
          </cell>
          <cell r="D30" t="str">
            <v>VT</v>
          </cell>
        </row>
        <row r="31">
          <cell r="B31"/>
          <cell r="C31" t="str">
            <v>BP）</v>
          </cell>
          <cell r="D31" t="str">
            <v>VT</v>
          </cell>
        </row>
        <row r="32">
          <cell r="B32"/>
          <cell r="C32" t="str">
            <v>BP）</v>
          </cell>
          <cell r="D32" t="str">
            <v>VT</v>
          </cell>
        </row>
        <row r="33">
          <cell r="B33"/>
          <cell r="C33" t="str">
            <v>BP）</v>
          </cell>
          <cell r="D33" t="str">
            <v>VT</v>
          </cell>
        </row>
        <row r="34">
          <cell r="B34"/>
          <cell r="C34" t="str">
            <v>BP）</v>
          </cell>
          <cell r="D34" t="str">
            <v>VT</v>
          </cell>
        </row>
        <row r="35">
          <cell r="B35"/>
          <cell r="C35" t="str">
            <v>BP）</v>
          </cell>
          <cell r="D35" t="str">
            <v>VT</v>
          </cell>
        </row>
        <row r="36">
          <cell r="B36"/>
          <cell r="C36" t="str">
            <v>BP）</v>
          </cell>
          <cell r="D36" t="str">
            <v>VT</v>
          </cell>
        </row>
        <row r="37">
          <cell r="B37"/>
          <cell r="C37" t="str">
            <v>BP）</v>
          </cell>
          <cell r="D37" t="str">
            <v>VT</v>
          </cell>
        </row>
        <row r="38">
          <cell r="B38"/>
          <cell r="C38" t="str">
            <v>BP）</v>
          </cell>
          <cell r="D38" t="str">
            <v>VT</v>
          </cell>
        </row>
        <row r="39">
          <cell r="B39"/>
          <cell r="C39" t="str">
            <v>BP）</v>
          </cell>
          <cell r="D39" t="str">
            <v>VT</v>
          </cell>
        </row>
        <row r="40">
          <cell r="B40"/>
          <cell r="C40" t="str">
            <v>BP）</v>
          </cell>
          <cell r="D40" t="str">
            <v>VT</v>
          </cell>
        </row>
        <row r="41">
          <cell r="B41"/>
          <cell r="C41" t="str">
            <v>BP）</v>
          </cell>
          <cell r="D41" t="str">
            <v>VT</v>
          </cell>
        </row>
        <row r="42">
          <cell r="B42"/>
          <cell r="C42" t="str">
            <v>BP）</v>
          </cell>
          <cell r="D42" t="str">
            <v>VT</v>
          </cell>
        </row>
        <row r="43">
          <cell r="B43"/>
          <cell r="C43" t="str">
            <v>BP）</v>
          </cell>
          <cell r="D43" t="str">
            <v>VT</v>
          </cell>
        </row>
        <row r="44">
          <cell r="B44"/>
          <cell r="C44" t="str">
            <v>BP）</v>
          </cell>
          <cell r="D44" t="str">
            <v>VT</v>
          </cell>
        </row>
        <row r="45">
          <cell r="B45"/>
          <cell r="C45" t="str">
            <v>BP）</v>
          </cell>
          <cell r="D45" t="str">
            <v>VT</v>
          </cell>
        </row>
        <row r="46">
          <cell r="B46"/>
          <cell r="C46" t="str">
            <v>BP）</v>
          </cell>
          <cell r="D46" t="str">
            <v>VT</v>
          </cell>
        </row>
        <row r="47">
          <cell r="B47"/>
          <cell r="C47" t="str">
            <v>BP）</v>
          </cell>
          <cell r="D47" t="str">
            <v>VT</v>
          </cell>
        </row>
        <row r="48">
          <cell r="B48"/>
          <cell r="C48" t="str">
            <v>BP）</v>
          </cell>
          <cell r="D48" t="str">
            <v>VT</v>
          </cell>
        </row>
        <row r="49">
          <cell r="B49"/>
          <cell r="C49"/>
          <cell r="D49" t="str">
            <v>VT</v>
          </cell>
        </row>
        <row r="50">
          <cell r="B50"/>
          <cell r="C50"/>
          <cell r="D50" t="str">
            <v>VT</v>
          </cell>
        </row>
        <row r="51">
          <cell r="B51"/>
          <cell r="C51"/>
          <cell r="D51" t="str">
            <v>VT</v>
          </cell>
        </row>
        <row r="52">
          <cell r="B52"/>
          <cell r="C52"/>
          <cell r="D52" t="str">
            <v>VT</v>
          </cell>
        </row>
        <row r="53">
          <cell r="B53"/>
          <cell r="C53"/>
          <cell r="D53" t="str">
            <v>VT</v>
          </cell>
        </row>
        <row r="54">
          <cell r="B54"/>
          <cell r="C54"/>
          <cell r="D54" t="str">
            <v>VT</v>
          </cell>
        </row>
        <row r="55">
          <cell r="B55"/>
          <cell r="C55"/>
          <cell r="D55" t="str">
            <v>VT</v>
          </cell>
        </row>
        <row r="56">
          <cell r="B56"/>
          <cell r="C56" t="str">
            <v>BP)ｺﾐｭﾆｹｰﾀ</v>
          </cell>
          <cell r="D56" t="str">
            <v>VT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 anchorCtr="0"/>
      <a:lstStyle>
        <a:defPPr algn="l">
          <a:defRPr kumimoji="1" sz="1100"/>
        </a:defPPr>
      </a:lstStyle>
      <a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28"/>
  <sheetViews>
    <sheetView tabSelected="1" topLeftCell="C4" zoomScale="85" zoomScaleNormal="85" workbookViewId="0">
      <selection activeCell="R21" sqref="R21"/>
    </sheetView>
  </sheetViews>
  <sheetFormatPr defaultRowHeight="15" customHeight="1"/>
  <cols>
    <col min="1" max="1" width="2.42578125" customWidth="1"/>
    <col min="2" max="2" width="25" bestFit="1" customWidth="1"/>
    <col min="3" max="3" width="25" customWidth="1"/>
    <col min="4" max="4" width="2.28515625" customWidth="1"/>
    <col min="5" max="5" width="25" bestFit="1" customWidth="1"/>
    <col min="6" max="6" width="6.7109375" customWidth="1"/>
    <col min="7" max="7" width="11" style="153" customWidth="1"/>
    <col min="8" max="8" width="12.28515625" customWidth="1"/>
    <col min="9" max="9" width="17.7109375" customWidth="1"/>
    <col min="10" max="10" width="2.42578125" customWidth="1"/>
    <col min="11" max="11" width="3.42578125" customWidth="1"/>
    <col min="12" max="12" width="25" bestFit="1" customWidth="1"/>
    <col min="13" max="13" width="6.7109375" customWidth="1"/>
    <col min="14" max="14" width="11" style="153" customWidth="1"/>
    <col min="15" max="15" width="12.28515625" customWidth="1"/>
    <col min="16" max="16" width="17.7109375" customWidth="1"/>
    <col min="20" max="20" width="6" customWidth="1"/>
    <col min="22" max="22" width="11.7109375" bestFit="1" customWidth="1"/>
  </cols>
  <sheetData>
    <row r="1" spans="2:22" ht="22.5" customHeight="1">
      <c r="B1" s="371" t="s">
        <v>0</v>
      </c>
      <c r="C1" s="371"/>
    </row>
    <row r="2" spans="2:22" ht="15" customHeight="1">
      <c r="E2" s="372"/>
      <c r="F2" s="372"/>
      <c r="G2" s="372"/>
      <c r="H2" s="372"/>
      <c r="I2" s="372"/>
      <c r="L2" s="372"/>
      <c r="M2" s="372"/>
      <c r="N2" s="372"/>
      <c r="O2" s="372"/>
      <c r="P2" s="372"/>
    </row>
    <row r="3" spans="2:22" ht="15" customHeight="1">
      <c r="B3" s="8" t="s">
        <v>1</v>
      </c>
      <c r="E3" s="8" t="s">
        <v>2</v>
      </c>
      <c r="F3" s="8"/>
      <c r="G3" s="154"/>
      <c r="H3" s="8"/>
      <c r="L3" s="8" t="s">
        <v>3</v>
      </c>
      <c r="M3" s="8"/>
      <c r="N3" s="154"/>
      <c r="O3" s="8"/>
    </row>
    <row r="4" spans="2:22" ht="15" customHeight="1" thickBot="1"/>
    <row r="5" spans="2:22" ht="30" customHeight="1" thickBot="1">
      <c r="B5" s="33" t="s">
        <v>4</v>
      </c>
      <c r="C5" s="35">
        <f>(工数算出!U4^(1/3))*2.69</f>
        <v>9.3527374571839488</v>
      </c>
      <c r="E5" s="33" t="s">
        <v>5</v>
      </c>
      <c r="F5" s="266">
        <f>SUM(I9:I19)</f>
        <v>44226000</v>
      </c>
      <c r="G5" s="267"/>
      <c r="H5" s="267"/>
      <c r="I5" s="268"/>
      <c r="L5" s="33" t="s">
        <v>5</v>
      </c>
      <c r="M5" s="266">
        <f>SUM(P9:P19)</f>
        <v>44800000</v>
      </c>
      <c r="N5" s="267"/>
      <c r="O5" s="267"/>
      <c r="P5" s="268"/>
    </row>
    <row r="7" spans="2:22" ht="15" customHeight="1">
      <c r="E7" s="8"/>
      <c r="F7" s="8"/>
      <c r="G7" s="154"/>
      <c r="H7" s="8"/>
      <c r="L7" s="8"/>
      <c r="M7" s="8"/>
      <c r="N7" s="154"/>
      <c r="O7" s="8"/>
    </row>
    <row r="8" spans="2:22" s="98" customFormat="1" ht="18" customHeight="1">
      <c r="B8" s="97" t="s">
        <v>6</v>
      </c>
      <c r="C8" s="97" t="s">
        <v>7</v>
      </c>
      <c r="E8" s="97" t="s">
        <v>6</v>
      </c>
      <c r="F8" s="269" t="s">
        <v>8</v>
      </c>
      <c r="G8" s="270"/>
      <c r="H8" s="97" t="s">
        <v>9</v>
      </c>
      <c r="I8" s="97" t="s">
        <v>10</v>
      </c>
      <c r="L8" s="97" t="s">
        <v>6</v>
      </c>
      <c r="M8" s="269" t="s">
        <v>8</v>
      </c>
      <c r="N8" s="270"/>
      <c r="O8" s="97" t="s">
        <v>9</v>
      </c>
      <c r="P8" s="97" t="s">
        <v>10</v>
      </c>
      <c r="U8" s="98" t="s">
        <v>11</v>
      </c>
    </row>
    <row r="9" spans="2:22" ht="30" customHeight="1">
      <c r="B9" s="32" t="s">
        <v>12</v>
      </c>
      <c r="C9" s="36">
        <f>C5*積算基準!P35</f>
        <v>1.0391930507982166</v>
      </c>
      <c r="E9" s="32" t="s">
        <v>12</v>
      </c>
      <c r="F9" s="38">
        <v>1</v>
      </c>
      <c r="G9" s="155">
        <f>工数算出!$J4</f>
        <v>4.72</v>
      </c>
      <c r="H9" s="40">
        <v>1000000</v>
      </c>
      <c r="I9" s="96">
        <f>G9*H9</f>
        <v>4720000</v>
      </c>
      <c r="L9" s="32" t="s">
        <v>12</v>
      </c>
      <c r="M9" s="38">
        <v>1</v>
      </c>
      <c r="N9" s="155">
        <f>ROUNDDOWN(G9,1)</f>
        <v>4.7</v>
      </c>
      <c r="O9" s="40">
        <v>1000000</v>
      </c>
      <c r="P9" s="96">
        <f>N9*O9</f>
        <v>4700000</v>
      </c>
      <c r="R9" s="263">
        <f>N9/SUM($N$9:$N$16)</f>
        <v>0.12912087912087911</v>
      </c>
      <c r="S9">
        <f>$N$19*R9</f>
        <v>0.77472527472527464</v>
      </c>
    </row>
    <row r="10" spans="2:22" ht="30" customHeight="1">
      <c r="B10" s="32" t="s">
        <v>13</v>
      </c>
      <c r="C10" s="36">
        <f>C5*積算基準!Q35</f>
        <v>1.4340864101015389</v>
      </c>
      <c r="E10" s="32" t="s">
        <v>13</v>
      </c>
      <c r="F10" s="38">
        <v>1</v>
      </c>
      <c r="G10" s="155">
        <f>工数算出!$K4</f>
        <v>5.05</v>
      </c>
      <c r="H10" s="40">
        <v>1000000</v>
      </c>
      <c r="I10" s="96">
        <f t="shared" ref="I10:I19" si="0">G10*H10</f>
        <v>5050000</v>
      </c>
      <c r="L10" s="32" t="s">
        <v>13</v>
      </c>
      <c r="M10" s="38">
        <v>1</v>
      </c>
      <c r="N10" s="155">
        <f>ROUNDDOWN(G10,1)</f>
        <v>5</v>
      </c>
      <c r="O10" s="40">
        <v>1000000</v>
      </c>
      <c r="P10" s="96">
        <f t="shared" ref="P10:P15" si="1">N10*O10</f>
        <v>5000000</v>
      </c>
      <c r="R10" s="263">
        <f>N10/SUM($N$9:$N$16)</f>
        <v>0.13736263736263735</v>
      </c>
      <c r="S10">
        <f t="shared" ref="S10:S16" si="2">$N$19*R10</f>
        <v>0.82417582417582413</v>
      </c>
      <c r="T10">
        <f>S9+S10</f>
        <v>1.5989010989010988</v>
      </c>
      <c r="U10" s="264">
        <v>1.5</v>
      </c>
      <c r="V10" s="102">
        <f>U10*O19</f>
        <v>2100000</v>
      </c>
    </row>
    <row r="11" spans="2:22" ht="30" customHeight="1">
      <c r="B11" s="32" t="s">
        <v>14</v>
      </c>
      <c r="C11" s="36">
        <f>C5*積算基準!R35</f>
        <v>1.2123918925979191</v>
      </c>
      <c r="E11" s="32" t="s">
        <v>14</v>
      </c>
      <c r="F11" s="38">
        <v>1</v>
      </c>
      <c r="G11" s="155">
        <f>工数算出!$L4</f>
        <v>3.4299999999999997</v>
      </c>
      <c r="H11" s="40">
        <v>1000000</v>
      </c>
      <c r="I11" s="96">
        <f t="shared" si="0"/>
        <v>3429999.9999999995</v>
      </c>
      <c r="L11" s="32" t="s">
        <v>14</v>
      </c>
      <c r="M11" s="38">
        <v>1</v>
      </c>
      <c r="N11" s="155">
        <f>ROUNDDOWN(G11,1)</f>
        <v>3.4</v>
      </c>
      <c r="O11" s="40">
        <v>1000000</v>
      </c>
      <c r="P11" s="96">
        <f t="shared" si="1"/>
        <v>3400000</v>
      </c>
      <c r="R11" s="263">
        <f>N11/SUM($N$9:$N$16)</f>
        <v>9.3406593406593394E-2</v>
      </c>
      <c r="S11">
        <f t="shared" si="2"/>
        <v>0.56043956043956034</v>
      </c>
      <c r="U11" s="264"/>
    </row>
    <row r="12" spans="2:22" ht="30" customHeight="1">
      <c r="B12" s="32" t="s">
        <v>15</v>
      </c>
      <c r="C12" s="36">
        <f>C5*積算基準!S35</f>
        <v>1.7250604643250396</v>
      </c>
      <c r="E12" s="32" t="s">
        <v>15</v>
      </c>
      <c r="F12" s="38">
        <v>1</v>
      </c>
      <c r="G12" s="155">
        <f>工数算出!$M4</f>
        <v>6.1499999999999995</v>
      </c>
      <c r="H12" s="40">
        <v>1000000</v>
      </c>
      <c r="I12" s="96">
        <f t="shared" si="0"/>
        <v>6149999.9999999991</v>
      </c>
      <c r="L12" s="32" t="s">
        <v>15</v>
      </c>
      <c r="M12" s="38">
        <v>1</v>
      </c>
      <c r="N12" s="155">
        <f>ROUNDDOWN(G12,0)</f>
        <v>6</v>
      </c>
      <c r="O12" s="40">
        <v>1000000</v>
      </c>
      <c r="P12" s="96">
        <f t="shared" si="1"/>
        <v>6000000</v>
      </c>
      <c r="R12" s="263">
        <f>N12/SUM($N$9:$N$16)</f>
        <v>0.1648351648351648</v>
      </c>
      <c r="S12">
        <f t="shared" si="2"/>
        <v>0.98901098901098883</v>
      </c>
      <c r="U12" s="264"/>
    </row>
    <row r="13" spans="2:22" ht="30" customHeight="1">
      <c r="B13" s="32" t="s">
        <v>16</v>
      </c>
      <c r="C13" s="36">
        <f>C5*積算基準!T35</f>
        <v>1.3370950586937056</v>
      </c>
      <c r="E13" s="32" t="s">
        <v>16</v>
      </c>
      <c r="F13" s="38">
        <v>1</v>
      </c>
      <c r="G13" s="155">
        <f>工数算出!$N4</f>
        <v>5.84</v>
      </c>
      <c r="H13" s="40">
        <v>1000000</v>
      </c>
      <c r="I13" s="96">
        <f t="shared" si="0"/>
        <v>5840000</v>
      </c>
      <c r="L13" s="32" t="s">
        <v>16</v>
      </c>
      <c r="M13" s="38">
        <v>1</v>
      </c>
      <c r="N13" s="155">
        <f>ROUNDUP(G13,0)</f>
        <v>6</v>
      </c>
      <c r="O13" s="40">
        <v>1000000</v>
      </c>
      <c r="P13" s="96">
        <f t="shared" si="1"/>
        <v>6000000</v>
      </c>
      <c r="R13" s="263">
        <f>N13/SUM($N$9:$N$16)</f>
        <v>0.1648351648351648</v>
      </c>
      <c r="S13">
        <f t="shared" si="2"/>
        <v>0.98901098901098883</v>
      </c>
      <c r="T13">
        <f>S11+S12+S13</f>
        <v>2.5384615384615383</v>
      </c>
      <c r="U13" s="264">
        <v>2.5</v>
      </c>
      <c r="V13" s="102">
        <f>U13*O19</f>
        <v>3500000</v>
      </c>
    </row>
    <row r="14" spans="2:22" ht="30" customHeight="1">
      <c r="B14" s="32" t="s">
        <v>17</v>
      </c>
      <c r="C14" s="36">
        <f>C5*積算基準!U35</f>
        <v>1.2193198462699075</v>
      </c>
      <c r="E14" s="32" t="s">
        <v>17</v>
      </c>
      <c r="F14" s="38">
        <v>1</v>
      </c>
      <c r="G14" s="155">
        <f>工数算出!$O4</f>
        <v>5.8</v>
      </c>
      <c r="H14" s="40">
        <v>1000000</v>
      </c>
      <c r="I14" s="96">
        <f t="shared" si="0"/>
        <v>5800000</v>
      </c>
      <c r="L14" s="32" t="s">
        <v>17</v>
      </c>
      <c r="M14" s="38">
        <v>1</v>
      </c>
      <c r="N14" s="155">
        <f>ROUNDDOWN(G14,1)</f>
        <v>5.8</v>
      </c>
      <c r="O14" s="40">
        <v>1000000</v>
      </c>
      <c r="P14" s="96">
        <f t="shared" si="1"/>
        <v>5800000</v>
      </c>
      <c r="R14" s="263">
        <f>N14/SUM($N$9:$N$16)</f>
        <v>0.1593406593406593</v>
      </c>
      <c r="S14">
        <f t="shared" si="2"/>
        <v>0.95604395604395576</v>
      </c>
      <c r="U14" s="264"/>
    </row>
    <row r="15" spans="2:22" ht="30" customHeight="1">
      <c r="B15" s="32" t="s">
        <v>18</v>
      </c>
      <c r="C15" s="36">
        <f>C5*積算基準!V35</f>
        <v>0.34639768359940554</v>
      </c>
      <c r="E15" s="32" t="s">
        <v>18</v>
      </c>
      <c r="F15" s="38">
        <v>1</v>
      </c>
      <c r="G15" s="155">
        <f>工数算出!$P4</f>
        <v>1.45</v>
      </c>
      <c r="H15" s="40">
        <v>1000000</v>
      </c>
      <c r="I15" s="96">
        <f t="shared" si="0"/>
        <v>1450000</v>
      </c>
      <c r="L15" s="32" t="s">
        <v>18</v>
      </c>
      <c r="M15" s="38">
        <v>1</v>
      </c>
      <c r="N15" s="155">
        <f>ROUNDUP(G15,1)</f>
        <v>1.5</v>
      </c>
      <c r="O15" s="40">
        <v>1000000</v>
      </c>
      <c r="P15" s="96">
        <f t="shared" si="1"/>
        <v>1500000</v>
      </c>
      <c r="R15" s="263">
        <f>N15/SUM($N$9:$N$16)</f>
        <v>4.1208791208791201E-2</v>
      </c>
      <c r="S15">
        <f t="shared" si="2"/>
        <v>0.24725274725274721</v>
      </c>
      <c r="U15" s="264"/>
    </row>
    <row r="16" spans="2:22" ht="30" customHeight="1">
      <c r="B16" s="32" t="s">
        <v>19</v>
      </c>
      <c r="C16" s="36">
        <f>サマリ!C5*積算基準!W35</f>
        <v>1.0391930507982166</v>
      </c>
      <c r="E16" s="32" t="s">
        <v>19</v>
      </c>
      <c r="F16" s="38">
        <v>1</v>
      </c>
      <c r="G16" s="155">
        <f>工数算出!$Q4</f>
        <v>4.0999999999999996</v>
      </c>
      <c r="H16" s="40">
        <v>1000000</v>
      </c>
      <c r="I16" s="96">
        <f t="shared" si="0"/>
        <v>4099999.9999999995</v>
      </c>
      <c r="K16" s="247"/>
      <c r="L16" s="32" t="s">
        <v>19</v>
      </c>
      <c r="M16" s="38">
        <v>1</v>
      </c>
      <c r="N16" s="155">
        <f>ROUNDDOWN(G16,0)</f>
        <v>4</v>
      </c>
      <c r="O16" s="40">
        <v>1000000</v>
      </c>
      <c r="P16" s="96">
        <f t="shared" ref="P16:P19" si="3">N16*O16</f>
        <v>4000000</v>
      </c>
      <c r="Q16" s="248"/>
      <c r="R16" s="263">
        <f>N16/SUM($N$9:$N$16)</f>
        <v>0.10989010989010987</v>
      </c>
      <c r="S16">
        <f t="shared" si="2"/>
        <v>0.65934065934065922</v>
      </c>
      <c r="T16" s="248">
        <f>S14+S15+S16</f>
        <v>1.8626373626373622</v>
      </c>
      <c r="U16" s="265">
        <v>2</v>
      </c>
      <c r="V16" s="102">
        <f>U16*O19</f>
        <v>2800000</v>
      </c>
    </row>
    <row r="17" spans="2:19" ht="30" customHeight="1">
      <c r="B17" s="32" t="s">
        <v>20</v>
      </c>
      <c r="C17" s="36" t="s">
        <v>21</v>
      </c>
      <c r="E17" s="32" t="s">
        <v>20</v>
      </c>
      <c r="F17" s="38">
        <v>1</v>
      </c>
      <c r="G17" s="155">
        <f>工数算出!R4</f>
        <v>0</v>
      </c>
      <c r="H17" s="40">
        <v>1000000</v>
      </c>
      <c r="I17" s="96">
        <f t="shared" si="0"/>
        <v>0</v>
      </c>
      <c r="L17" s="32" t="s">
        <v>20</v>
      </c>
      <c r="M17" s="38">
        <v>1</v>
      </c>
      <c r="N17" s="155">
        <f>工数算出!AD4</f>
        <v>0</v>
      </c>
      <c r="O17" s="40">
        <v>1000000</v>
      </c>
      <c r="P17" s="96">
        <f t="shared" si="3"/>
        <v>0</v>
      </c>
      <c r="R17" s="263">
        <f>SUM(R9:R16)</f>
        <v>0.99999999999999978</v>
      </c>
      <c r="S17" s="263">
        <f>SUM(S9:S16)</f>
        <v>6</v>
      </c>
    </row>
    <row r="18" spans="2:19" ht="30" customHeight="1">
      <c r="B18" s="32" t="s">
        <v>22</v>
      </c>
      <c r="C18" s="37" t="s">
        <v>21</v>
      </c>
      <c r="E18" s="32" t="s">
        <v>22</v>
      </c>
      <c r="F18" s="39" t="s">
        <v>21</v>
      </c>
      <c r="G18" s="156"/>
      <c r="H18" s="40">
        <v>1000000</v>
      </c>
      <c r="I18" s="96">
        <f t="shared" si="0"/>
        <v>0</v>
      </c>
      <c r="L18" s="32" t="s">
        <v>22</v>
      </c>
      <c r="M18" s="39" t="s">
        <v>21</v>
      </c>
      <c r="N18" s="156"/>
      <c r="O18" s="40">
        <v>1000000</v>
      </c>
      <c r="P18" s="96">
        <f t="shared" si="3"/>
        <v>0</v>
      </c>
    </row>
    <row r="19" spans="2:19" ht="30" customHeight="1">
      <c r="B19" s="32" t="s">
        <v>23</v>
      </c>
      <c r="C19" s="37" t="s">
        <v>21</v>
      </c>
      <c r="E19" s="32" t="s">
        <v>23</v>
      </c>
      <c r="F19" s="38">
        <v>0.15</v>
      </c>
      <c r="G19" s="155">
        <f>工数算出!T4</f>
        <v>5.49</v>
      </c>
      <c r="H19" s="40">
        <v>1400000</v>
      </c>
      <c r="I19" s="96">
        <f t="shared" si="0"/>
        <v>7686000</v>
      </c>
      <c r="L19" s="32" t="s">
        <v>23</v>
      </c>
      <c r="M19" s="38">
        <v>0.15</v>
      </c>
      <c r="N19" s="155">
        <f>ROUNDUP(SUM($G9:$G18)*0.15,0)</f>
        <v>6</v>
      </c>
      <c r="O19" s="40">
        <v>1400000</v>
      </c>
      <c r="P19" s="96">
        <f t="shared" si="3"/>
        <v>8400000</v>
      </c>
    </row>
    <row r="23" spans="2:19" ht="15" customHeight="1">
      <c r="B23" t="s">
        <v>24</v>
      </c>
    </row>
    <row r="25" spans="2:19" ht="15" customHeight="1">
      <c r="B25" t="s">
        <v>25</v>
      </c>
    </row>
    <row r="26" spans="2:19" ht="15" customHeight="1">
      <c r="B26" t="s">
        <v>26</v>
      </c>
      <c r="C26">
        <v>557000</v>
      </c>
    </row>
    <row r="27" spans="2:19" ht="15" customHeight="1">
      <c r="B27" t="s">
        <v>27</v>
      </c>
      <c r="C27">
        <v>1000</v>
      </c>
    </row>
    <row r="28" spans="2:19" ht="15" customHeight="1">
      <c r="B28" t="s">
        <v>28</v>
      </c>
      <c r="C28">
        <f>C26/C27</f>
        <v>557</v>
      </c>
    </row>
  </sheetData>
  <mergeCells count="7">
    <mergeCell ref="M5:P5"/>
    <mergeCell ref="M8:N8"/>
    <mergeCell ref="L2:P2"/>
    <mergeCell ref="E2:I2"/>
    <mergeCell ref="B1:C1"/>
    <mergeCell ref="F5:I5"/>
    <mergeCell ref="F8:G8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2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topLeftCell="D4" zoomScaleNormal="100" workbookViewId="0">
      <selection activeCell="S40" sqref="S40"/>
    </sheetView>
  </sheetViews>
  <sheetFormatPr defaultColWidth="9" defaultRowHeight="15" customHeight="1"/>
  <cols>
    <col min="1" max="2" width="3.7109375" style="9" customWidth="1"/>
    <col min="3" max="16384" width="9" style="9"/>
  </cols>
  <sheetData>
    <row r="1" spans="1:8" ht="15" customHeight="1">
      <c r="A1" s="30" t="s">
        <v>29</v>
      </c>
    </row>
    <row r="3" spans="1:8" ht="15" customHeight="1">
      <c r="B3" s="10" t="s">
        <v>30</v>
      </c>
      <c r="C3" s="10"/>
    </row>
    <row r="4" spans="1:8" ht="15" customHeight="1">
      <c r="B4" s="10"/>
      <c r="C4" s="10"/>
    </row>
    <row r="5" spans="1:8" ht="15" customHeight="1">
      <c r="B5" s="10"/>
      <c r="C5" s="11" t="s">
        <v>31</v>
      </c>
    </row>
    <row r="6" spans="1:8" ht="15" customHeight="1">
      <c r="B6" s="10"/>
      <c r="C6" s="12" t="s">
        <v>32</v>
      </c>
    </row>
    <row r="7" spans="1:8" ht="15" customHeight="1">
      <c r="B7" s="10"/>
      <c r="C7" s="12" t="s">
        <v>33</v>
      </c>
    </row>
    <row r="8" spans="1:8" ht="15" customHeight="1">
      <c r="B8" s="10"/>
      <c r="C8" s="12" t="s">
        <v>34</v>
      </c>
    </row>
    <row r="9" spans="1:8" ht="15" customHeight="1">
      <c r="B9" s="10"/>
      <c r="C9" s="12" t="s">
        <v>35</v>
      </c>
    </row>
    <row r="10" spans="1:8" ht="15" customHeight="1">
      <c r="B10" s="10"/>
      <c r="C10" s="12" t="s">
        <v>36</v>
      </c>
    </row>
    <row r="12" spans="1:8" ht="15" customHeight="1">
      <c r="B12" s="10" t="s">
        <v>37</v>
      </c>
    </row>
    <row r="14" spans="1:8" ht="15" customHeight="1">
      <c r="C14" s="13" t="s">
        <v>38</v>
      </c>
    </row>
    <row r="15" spans="1:8" ht="15" customHeight="1">
      <c r="C15" s="14" t="s">
        <v>31</v>
      </c>
      <c r="D15" s="15" t="s">
        <v>32</v>
      </c>
      <c r="E15" s="15" t="s">
        <v>33</v>
      </c>
      <c r="F15" s="15" t="s">
        <v>34</v>
      </c>
      <c r="G15" s="15" t="s">
        <v>35</v>
      </c>
      <c r="H15" s="15" t="s">
        <v>36</v>
      </c>
    </row>
    <row r="16" spans="1:8" ht="15" customHeight="1">
      <c r="C16" s="14" t="s">
        <v>39</v>
      </c>
      <c r="D16" s="16">
        <v>50</v>
      </c>
      <c r="E16" s="16">
        <v>40</v>
      </c>
      <c r="F16" s="16">
        <v>30</v>
      </c>
      <c r="G16" s="16">
        <v>20</v>
      </c>
      <c r="H16" s="16">
        <v>0</v>
      </c>
    </row>
    <row r="17" spans="2:21" ht="15" customHeight="1">
      <c r="C17" s="14" t="s">
        <v>40</v>
      </c>
      <c r="D17" s="16">
        <v>60</v>
      </c>
      <c r="E17" s="16">
        <v>48</v>
      </c>
      <c r="F17" s="16">
        <v>36</v>
      </c>
      <c r="G17" s="16">
        <v>24</v>
      </c>
      <c r="H17" s="16">
        <v>12</v>
      </c>
    </row>
    <row r="19" spans="2:21" ht="15" customHeight="1">
      <c r="B19" s="10" t="s">
        <v>41</v>
      </c>
    </row>
    <row r="21" spans="2:21" ht="15" customHeight="1">
      <c r="C21" s="10" t="s">
        <v>42</v>
      </c>
      <c r="O21" s="10" t="s">
        <v>43</v>
      </c>
    </row>
    <row r="22" spans="2:21" ht="15" customHeight="1">
      <c r="C22" s="14" t="s">
        <v>6</v>
      </c>
      <c r="D22" s="17" t="s">
        <v>44</v>
      </c>
      <c r="E22" s="17" t="s">
        <v>45</v>
      </c>
      <c r="F22" s="17" t="s">
        <v>46</v>
      </c>
      <c r="G22" s="17" t="s">
        <v>47</v>
      </c>
      <c r="H22" s="17" t="s">
        <v>48</v>
      </c>
      <c r="I22" s="17" t="s">
        <v>49</v>
      </c>
      <c r="O22" s="14" t="s">
        <v>6</v>
      </c>
      <c r="P22" s="17" t="s">
        <v>44</v>
      </c>
      <c r="Q22" s="17" t="s">
        <v>45</v>
      </c>
      <c r="R22" s="17" t="s">
        <v>46</v>
      </c>
      <c r="S22" s="17" t="s">
        <v>47</v>
      </c>
      <c r="T22" s="17" t="s">
        <v>48</v>
      </c>
      <c r="U22" s="17" t="s">
        <v>49</v>
      </c>
    </row>
    <row r="23" spans="2:21" ht="15" customHeight="1">
      <c r="C23" s="14" t="s">
        <v>50</v>
      </c>
      <c r="D23" s="18">
        <v>0.16900000000000001</v>
      </c>
      <c r="E23" s="18">
        <v>0.17499999999999999</v>
      </c>
      <c r="F23" s="18">
        <v>0.32600000000000001</v>
      </c>
      <c r="G23" s="18">
        <v>0.2</v>
      </c>
      <c r="H23" s="18">
        <v>0.13</v>
      </c>
      <c r="I23" s="19">
        <f>SUM(D23:H23)</f>
        <v>0.99999999999999989</v>
      </c>
      <c r="O23" s="14" t="s">
        <v>51</v>
      </c>
      <c r="P23" s="18">
        <v>0.20699999999999999</v>
      </c>
      <c r="Q23" s="18">
        <v>0.17499999999999999</v>
      </c>
      <c r="R23" s="18">
        <v>0.249</v>
      </c>
      <c r="S23" s="18">
        <v>0.193</v>
      </c>
      <c r="T23" s="18">
        <v>0.17599999999999999</v>
      </c>
      <c r="U23" s="19">
        <f>SUM(P23:T23)</f>
        <v>1</v>
      </c>
    </row>
    <row r="25" spans="2:21" ht="15" customHeight="1">
      <c r="B25" s="10" t="s">
        <v>52</v>
      </c>
      <c r="C25" s="10"/>
    </row>
    <row r="26" spans="2:21" ht="15" customHeight="1">
      <c r="B26" s="10"/>
      <c r="C26" s="10"/>
    </row>
    <row r="27" spans="2:21" ht="15" customHeight="1">
      <c r="B27" s="10"/>
      <c r="C27" s="10" t="s">
        <v>53</v>
      </c>
    </row>
    <row r="28" spans="2:21" ht="15" customHeight="1">
      <c r="C28" s="14" t="s">
        <v>54</v>
      </c>
      <c r="D28" s="17" t="s">
        <v>55</v>
      </c>
      <c r="E28" s="17" t="s">
        <v>56</v>
      </c>
      <c r="F28" s="17" t="s">
        <v>57</v>
      </c>
    </row>
    <row r="29" spans="2:21" ht="15" customHeight="1">
      <c r="C29" s="14" t="s">
        <v>39</v>
      </c>
      <c r="D29" s="18">
        <f>0.97*20</f>
        <v>19.399999999999999</v>
      </c>
      <c r="E29" s="18">
        <f>0.97*0.7*20</f>
        <v>13.579999999999998</v>
      </c>
      <c r="F29" s="18">
        <f>0.26*20</f>
        <v>5.2</v>
      </c>
      <c r="H29" s="185">
        <f>SUM(D29:E29)</f>
        <v>32.979999999999997</v>
      </c>
    </row>
    <row r="31" spans="2:21" ht="15" customHeight="1">
      <c r="B31" s="10" t="s">
        <v>58</v>
      </c>
      <c r="C31" s="10"/>
    </row>
    <row r="32" spans="2:21" ht="15" customHeight="1">
      <c r="B32" s="10"/>
      <c r="C32" s="10"/>
    </row>
    <row r="33" spans="2:25" ht="15" customHeight="1" thickBot="1">
      <c r="B33" s="10"/>
      <c r="C33" s="14" t="s">
        <v>6</v>
      </c>
      <c r="D33" s="17" t="s">
        <v>59</v>
      </c>
      <c r="E33" s="20" t="s">
        <v>44</v>
      </c>
      <c r="F33" s="20" t="s">
        <v>45</v>
      </c>
      <c r="G33" s="20" t="s">
        <v>46</v>
      </c>
      <c r="H33" s="20" t="s">
        <v>47</v>
      </c>
      <c r="I33" s="20" t="s">
        <v>48</v>
      </c>
      <c r="J33" s="17" t="s">
        <v>60</v>
      </c>
      <c r="K33" s="17" t="s">
        <v>61</v>
      </c>
      <c r="L33" s="17" t="s">
        <v>20</v>
      </c>
      <c r="M33" s="17" t="s">
        <v>49</v>
      </c>
      <c r="O33" s="14" t="s">
        <v>6</v>
      </c>
      <c r="P33" s="17" t="s">
        <v>59</v>
      </c>
      <c r="Q33" s="20" t="s">
        <v>44</v>
      </c>
      <c r="R33" s="20" t="s">
        <v>45</v>
      </c>
      <c r="S33" s="20" t="s">
        <v>46</v>
      </c>
      <c r="T33" s="20" t="s">
        <v>47</v>
      </c>
      <c r="U33" s="20" t="s">
        <v>48</v>
      </c>
      <c r="V33" s="17" t="s">
        <v>60</v>
      </c>
      <c r="W33" s="17" t="s">
        <v>61</v>
      </c>
      <c r="X33" s="17" t="s">
        <v>20</v>
      </c>
      <c r="Y33" s="17" t="s">
        <v>49</v>
      </c>
    </row>
    <row r="34" spans="2:25" ht="15" customHeight="1" thickBot="1">
      <c r="C34" s="14" t="s">
        <v>62</v>
      </c>
      <c r="D34" s="21">
        <f>SUM(E34:I34)*0.15</f>
        <v>0.14999999999999997</v>
      </c>
      <c r="E34" s="22">
        <f>D23</f>
        <v>0.16900000000000001</v>
      </c>
      <c r="F34" s="23">
        <f>E23</f>
        <v>0.17499999999999999</v>
      </c>
      <c r="G34" s="23">
        <f>F23</f>
        <v>0.32600000000000001</v>
      </c>
      <c r="H34" s="23">
        <f>G23</f>
        <v>0.2</v>
      </c>
      <c r="I34" s="24">
        <f>H23</f>
        <v>0.13</v>
      </c>
      <c r="J34" s="25">
        <f>SUM(E34:I34)*0.05</f>
        <v>4.9999999999999996E-2</v>
      </c>
      <c r="K34" s="26">
        <v>0.15</v>
      </c>
      <c r="L34" s="26">
        <v>0</v>
      </c>
      <c r="M34" s="26">
        <f>SUM(D34:L34)</f>
        <v>1.3499999999999999</v>
      </c>
      <c r="O34" s="14" t="s">
        <v>62</v>
      </c>
      <c r="P34" s="21">
        <f>SUM(Q34:U34)*0.15</f>
        <v>0.15</v>
      </c>
      <c r="Q34" s="22">
        <f>P23</f>
        <v>0.20699999999999999</v>
      </c>
      <c r="R34" s="23">
        <f>Q23</f>
        <v>0.17499999999999999</v>
      </c>
      <c r="S34" s="23">
        <f>R23</f>
        <v>0.249</v>
      </c>
      <c r="T34" s="23">
        <f>S23</f>
        <v>0.193</v>
      </c>
      <c r="U34" s="24">
        <f>T23</f>
        <v>0.17599999999999999</v>
      </c>
      <c r="V34" s="25">
        <f>SUM(Q34:U34)*0.05</f>
        <v>0.05</v>
      </c>
      <c r="W34" s="26">
        <v>0.15</v>
      </c>
      <c r="X34" s="26">
        <v>0</v>
      </c>
      <c r="Y34" s="26">
        <f>SUM(P34:X34)</f>
        <v>1.3499999999999999</v>
      </c>
    </row>
    <row r="35" spans="2:25" ht="15" customHeight="1">
      <c r="C35" s="14" t="s">
        <v>63</v>
      </c>
      <c r="D35" s="27">
        <f t="shared" ref="D35:L35" si="0">D34/$M34</f>
        <v>0.11111111111111109</v>
      </c>
      <c r="E35" s="28">
        <f t="shared" si="0"/>
        <v>0.1251851851851852</v>
      </c>
      <c r="F35" s="28">
        <f t="shared" si="0"/>
        <v>0.12962962962962962</v>
      </c>
      <c r="G35" s="28">
        <f t="shared" si="0"/>
        <v>0.24148148148148152</v>
      </c>
      <c r="H35" s="28">
        <f t="shared" si="0"/>
        <v>0.14814814814814817</v>
      </c>
      <c r="I35" s="28">
        <f t="shared" si="0"/>
        <v>9.629629629629631E-2</v>
      </c>
      <c r="J35" s="27">
        <f t="shared" si="0"/>
        <v>3.7037037037037035E-2</v>
      </c>
      <c r="K35" s="27">
        <f t="shared" si="0"/>
        <v>0.11111111111111112</v>
      </c>
      <c r="L35" s="27">
        <f t="shared" si="0"/>
        <v>0</v>
      </c>
      <c r="M35" s="19">
        <f>SUM(D35:L35)</f>
        <v>1</v>
      </c>
      <c r="O35" s="14" t="s">
        <v>63</v>
      </c>
      <c r="P35" s="27">
        <f>P34/$Y34</f>
        <v>0.11111111111111112</v>
      </c>
      <c r="Q35" s="27">
        <f t="shared" ref="Q35:X35" si="1">Q34/$Y34</f>
        <v>0.15333333333333335</v>
      </c>
      <c r="R35" s="27">
        <f t="shared" si="1"/>
        <v>0.12962962962962962</v>
      </c>
      <c r="S35" s="27">
        <f t="shared" si="1"/>
        <v>0.18444444444444447</v>
      </c>
      <c r="T35" s="27">
        <f t="shared" si="1"/>
        <v>0.14296296296296299</v>
      </c>
      <c r="U35" s="27">
        <f t="shared" si="1"/>
        <v>0.13037037037037039</v>
      </c>
      <c r="V35" s="27">
        <f t="shared" si="1"/>
        <v>3.7037037037037042E-2</v>
      </c>
      <c r="W35" s="27">
        <f t="shared" si="1"/>
        <v>0.11111111111111112</v>
      </c>
      <c r="X35" s="27">
        <f t="shared" si="1"/>
        <v>0</v>
      </c>
      <c r="Y35" s="19">
        <f>SUM(P35:X35)</f>
        <v>1.0000000000000002</v>
      </c>
    </row>
    <row r="37" spans="2:25" ht="15" customHeight="1">
      <c r="B37" s="10" t="s">
        <v>64</v>
      </c>
    </row>
    <row r="39" spans="2:25" ht="15" customHeight="1">
      <c r="C39" s="13" t="s">
        <v>65</v>
      </c>
    </row>
    <row r="40" spans="2:25" ht="15" customHeight="1">
      <c r="C40" s="14" t="s">
        <v>31</v>
      </c>
      <c r="D40" s="15" t="s">
        <v>32</v>
      </c>
      <c r="E40" s="15" t="s">
        <v>33</v>
      </c>
      <c r="F40" s="15" t="s">
        <v>34</v>
      </c>
      <c r="G40" s="15" t="s">
        <v>35</v>
      </c>
      <c r="H40" s="15" t="s">
        <v>36</v>
      </c>
    </row>
    <row r="41" spans="2:25" ht="15" customHeight="1">
      <c r="C41" s="14" t="s">
        <v>50</v>
      </c>
      <c r="D41" s="29">
        <v>3</v>
      </c>
      <c r="E41" s="29">
        <v>1.4</v>
      </c>
      <c r="F41" s="29">
        <v>1</v>
      </c>
      <c r="G41" s="29">
        <v>0.6</v>
      </c>
      <c r="H41" s="29">
        <v>0.2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I655"/>
  <sheetViews>
    <sheetView zoomScaleNormal="100" workbookViewId="0">
      <pane ySplit="1" topLeftCell="A2" activePane="bottomLeft" state="frozen"/>
      <selection pane="bottomLeft" activeCell="F659" sqref="F659"/>
    </sheetView>
  </sheetViews>
  <sheetFormatPr defaultColWidth="9" defaultRowHeight="18.75" customHeight="1"/>
  <cols>
    <col min="1" max="1" width="7.5703125" style="91" customWidth="1"/>
    <col min="2" max="2" width="12.7109375" style="82" customWidth="1"/>
    <col min="3" max="3" width="27.85546875" style="82" customWidth="1"/>
    <col min="4" max="4" width="27.7109375" style="82" customWidth="1"/>
    <col min="5" max="5" width="13.28515625" style="51" customWidth="1"/>
    <col min="6" max="6" width="13.28515625" style="82" customWidth="1"/>
    <col min="7" max="7" width="8.28515625" style="82" customWidth="1"/>
    <col min="8" max="8" width="13.28515625" style="82" customWidth="1"/>
    <col min="9" max="9" width="35" style="82" customWidth="1"/>
    <col min="10" max="12" width="8.7109375" style="82" customWidth="1"/>
    <col min="13" max="16384" width="9" style="82"/>
  </cols>
  <sheetData>
    <row r="1" spans="1:9" s="7" customFormat="1" ht="24" customHeight="1">
      <c r="A1" s="271" t="str">
        <f>サマリ!B1</f>
        <v>新IRIS操業品質Azure移行</v>
      </c>
      <c r="B1" s="271"/>
      <c r="C1" s="271"/>
      <c r="D1" s="271"/>
      <c r="E1" s="271"/>
    </row>
    <row r="2" spans="1:9" s="7" customFormat="1" ht="28.15" customHeight="1">
      <c r="A2" s="220" t="s">
        <v>66</v>
      </c>
      <c r="B2" s="220" t="s">
        <v>67</v>
      </c>
      <c r="C2" s="220" t="s">
        <v>68</v>
      </c>
      <c r="D2" s="220" t="s">
        <v>69</v>
      </c>
      <c r="E2" s="221" t="s">
        <v>70</v>
      </c>
      <c r="F2" s="221" t="s">
        <v>71</v>
      </c>
      <c r="G2" s="221" t="s">
        <v>54</v>
      </c>
      <c r="H2" s="221" t="s">
        <v>72</v>
      </c>
      <c r="I2" s="221" t="s">
        <v>73</v>
      </c>
    </row>
    <row r="3" spans="1:9" s="7" customFormat="1" ht="12.6" customHeight="1">
      <c r="A3" s="71">
        <f t="shared" ref="A3:A9" si="0">ROW()-2</f>
        <v>1</v>
      </c>
      <c r="B3" s="83" t="s">
        <v>74</v>
      </c>
      <c r="C3" s="201" t="s">
        <v>75</v>
      </c>
      <c r="D3" s="202"/>
      <c r="E3" s="89"/>
      <c r="F3" s="83"/>
      <c r="G3" s="83" t="s">
        <v>55</v>
      </c>
      <c r="H3" s="83" t="s">
        <v>76</v>
      </c>
      <c r="I3" s="83"/>
    </row>
    <row r="4" spans="1:9" s="7" customFormat="1" ht="12.6" customHeight="1">
      <c r="A4" s="71">
        <f t="shared" si="0"/>
        <v>2</v>
      </c>
      <c r="B4" s="83" t="s">
        <v>74</v>
      </c>
      <c r="C4" s="201" t="s">
        <v>77</v>
      </c>
      <c r="D4" s="202"/>
      <c r="E4" s="89"/>
      <c r="F4" s="83"/>
      <c r="G4" s="83" t="s">
        <v>55</v>
      </c>
      <c r="H4" s="83" t="s">
        <v>76</v>
      </c>
      <c r="I4" s="83"/>
    </row>
    <row r="5" spans="1:9" s="7" customFormat="1" ht="12.6" customHeight="1">
      <c r="A5" s="71">
        <f t="shared" si="0"/>
        <v>3</v>
      </c>
      <c r="B5" s="83" t="s">
        <v>74</v>
      </c>
      <c r="C5" s="201" t="s">
        <v>78</v>
      </c>
      <c r="D5" s="202"/>
      <c r="E5" s="89"/>
      <c r="F5" s="83"/>
      <c r="G5" s="83" t="s">
        <v>55</v>
      </c>
      <c r="H5" s="83" t="s">
        <v>76</v>
      </c>
      <c r="I5" s="83"/>
    </row>
    <row r="6" spans="1:9" s="7" customFormat="1" ht="12.6" customHeight="1">
      <c r="A6" s="71">
        <f t="shared" si="0"/>
        <v>4</v>
      </c>
      <c r="B6" s="83" t="s">
        <v>74</v>
      </c>
      <c r="C6" s="201" t="s">
        <v>79</v>
      </c>
      <c r="D6" s="202"/>
      <c r="E6" s="89"/>
      <c r="F6" s="83"/>
      <c r="G6" s="83" t="s">
        <v>55</v>
      </c>
      <c r="H6" s="83" t="s">
        <v>76</v>
      </c>
      <c r="I6" s="83"/>
    </row>
    <row r="7" spans="1:9" s="7" customFormat="1" ht="12.6" customHeight="1">
      <c r="A7" s="71">
        <f t="shared" si="0"/>
        <v>5</v>
      </c>
      <c r="B7" s="83" t="s">
        <v>74</v>
      </c>
      <c r="C7" s="201" t="s">
        <v>80</v>
      </c>
      <c r="D7" s="202"/>
      <c r="E7" s="89"/>
      <c r="F7" s="83"/>
      <c r="G7" s="83" t="s">
        <v>55</v>
      </c>
      <c r="H7" s="83" t="s">
        <v>76</v>
      </c>
      <c r="I7" s="83"/>
    </row>
    <row r="8" spans="1:9" s="7" customFormat="1" ht="12.6" customHeight="1">
      <c r="A8" s="71">
        <f t="shared" si="0"/>
        <v>6</v>
      </c>
      <c r="B8" s="83" t="s">
        <v>74</v>
      </c>
      <c r="C8" s="201" t="s">
        <v>81</v>
      </c>
      <c r="D8" s="202"/>
      <c r="E8" s="89"/>
      <c r="F8" s="83"/>
      <c r="G8" s="83" t="s">
        <v>55</v>
      </c>
      <c r="H8" s="83" t="s">
        <v>76</v>
      </c>
      <c r="I8" s="83"/>
    </row>
    <row r="9" spans="1:9" s="7" customFormat="1" ht="12.6" customHeight="1">
      <c r="A9" s="71">
        <f t="shared" si="0"/>
        <v>7</v>
      </c>
      <c r="B9" s="83" t="s">
        <v>74</v>
      </c>
      <c r="C9" s="201" t="s">
        <v>82</v>
      </c>
      <c r="D9" s="202"/>
      <c r="E9" s="89"/>
      <c r="F9" s="83"/>
      <c r="G9" s="83" t="s">
        <v>55</v>
      </c>
      <c r="H9" s="83" t="s">
        <v>76</v>
      </c>
      <c r="I9" s="83"/>
    </row>
    <row r="10" spans="1:9" ht="12">
      <c r="A10" s="71">
        <f>ROW()-2</f>
        <v>8</v>
      </c>
      <c r="B10" s="83" t="s">
        <v>74</v>
      </c>
      <c r="C10" s="201" t="s">
        <v>83</v>
      </c>
      <c r="D10" s="202" t="s">
        <v>84</v>
      </c>
      <c r="E10" s="89" t="s">
        <v>57</v>
      </c>
      <c r="F10" s="83"/>
      <c r="G10" s="83" t="s">
        <v>55</v>
      </c>
      <c r="H10" s="83" t="s">
        <v>85</v>
      </c>
      <c r="I10" s="83"/>
    </row>
    <row r="11" spans="1:9" s="214" customFormat="1" ht="12">
      <c r="A11" s="203">
        <f t="shared" ref="A11:A74" si="1">ROW()-1</f>
        <v>10</v>
      </c>
      <c r="B11" s="204" t="s">
        <v>74</v>
      </c>
      <c r="C11" s="205" t="s">
        <v>83</v>
      </c>
      <c r="D11" s="206" t="s">
        <v>86</v>
      </c>
      <c r="E11" s="207" t="s">
        <v>57</v>
      </c>
      <c r="F11" s="204"/>
      <c r="G11" s="204"/>
      <c r="H11" s="204"/>
      <c r="I11" s="204"/>
    </row>
    <row r="12" spans="1:9" s="214" customFormat="1" ht="12">
      <c r="A12" s="203">
        <f t="shared" si="1"/>
        <v>11</v>
      </c>
      <c r="B12" s="204" t="s">
        <v>74</v>
      </c>
      <c r="C12" s="205" t="s">
        <v>83</v>
      </c>
      <c r="D12" s="206" t="s">
        <v>87</v>
      </c>
      <c r="E12" s="207" t="s">
        <v>57</v>
      </c>
      <c r="F12" s="204"/>
      <c r="G12" s="204"/>
      <c r="H12" s="204"/>
      <c r="I12" s="204"/>
    </row>
    <row r="13" spans="1:9" s="214" customFormat="1" ht="12">
      <c r="A13" s="203">
        <f t="shared" si="1"/>
        <v>12</v>
      </c>
      <c r="B13" s="204" t="s">
        <v>74</v>
      </c>
      <c r="C13" s="205" t="s">
        <v>83</v>
      </c>
      <c r="D13" s="206" t="s">
        <v>88</v>
      </c>
      <c r="E13" s="207" t="s">
        <v>57</v>
      </c>
      <c r="F13" s="204"/>
      <c r="G13" s="204"/>
      <c r="H13" s="204"/>
      <c r="I13" s="204"/>
    </row>
    <row r="14" spans="1:9" ht="12">
      <c r="A14" s="250">
        <f t="shared" si="1"/>
        <v>13</v>
      </c>
      <c r="B14" s="251" t="s">
        <v>74</v>
      </c>
      <c r="C14" s="252" t="s">
        <v>89</v>
      </c>
      <c r="D14" s="254" t="s">
        <v>90</v>
      </c>
      <c r="E14" s="253" t="s">
        <v>57</v>
      </c>
      <c r="F14" s="251"/>
      <c r="G14" s="251" t="s">
        <v>55</v>
      </c>
      <c r="H14" s="251" t="s">
        <v>91</v>
      </c>
      <c r="I14" s="251" t="s">
        <v>92</v>
      </c>
    </row>
    <row r="15" spans="1:9" ht="12">
      <c r="A15" s="71">
        <f t="shared" si="1"/>
        <v>14</v>
      </c>
      <c r="B15" s="83" t="s">
        <v>74</v>
      </c>
      <c r="C15" s="201" t="s">
        <v>93</v>
      </c>
      <c r="D15" s="202" t="s">
        <v>94</v>
      </c>
      <c r="E15" s="89" t="s">
        <v>57</v>
      </c>
      <c r="F15" s="83"/>
      <c r="G15" s="83" t="s">
        <v>55</v>
      </c>
      <c r="H15" s="83" t="s">
        <v>85</v>
      </c>
      <c r="I15" s="83"/>
    </row>
    <row r="16" spans="1:9" ht="12">
      <c r="A16" s="71">
        <f t="shared" si="1"/>
        <v>15</v>
      </c>
      <c r="B16" s="83" t="s">
        <v>74</v>
      </c>
      <c r="C16" s="201" t="s">
        <v>95</v>
      </c>
      <c r="D16" s="202" t="s">
        <v>96</v>
      </c>
      <c r="E16" s="89" t="s">
        <v>57</v>
      </c>
      <c r="F16" s="83"/>
      <c r="G16" s="83" t="s">
        <v>55</v>
      </c>
      <c r="H16" s="83" t="s">
        <v>85</v>
      </c>
      <c r="I16" s="83"/>
    </row>
    <row r="17" spans="1:9" ht="12">
      <c r="A17" s="71">
        <f t="shared" si="1"/>
        <v>16</v>
      </c>
      <c r="B17" s="83" t="s">
        <v>74</v>
      </c>
      <c r="C17" s="201" t="s">
        <v>97</v>
      </c>
      <c r="D17" s="202" t="s">
        <v>98</v>
      </c>
      <c r="E17" s="89" t="s">
        <v>57</v>
      </c>
      <c r="F17" s="83"/>
      <c r="G17" s="83" t="s">
        <v>55</v>
      </c>
      <c r="H17" s="83" t="s">
        <v>85</v>
      </c>
      <c r="I17" s="83"/>
    </row>
    <row r="18" spans="1:9" ht="12">
      <c r="A18" s="250">
        <f t="shared" si="1"/>
        <v>17</v>
      </c>
      <c r="B18" s="251" t="s">
        <v>74</v>
      </c>
      <c r="C18" s="252" t="s">
        <v>99</v>
      </c>
      <c r="D18" s="254" t="s">
        <v>100</v>
      </c>
      <c r="E18" s="253" t="s">
        <v>57</v>
      </c>
      <c r="F18" s="251"/>
      <c r="G18" s="251" t="s">
        <v>55</v>
      </c>
      <c r="H18" s="251" t="s">
        <v>91</v>
      </c>
      <c r="I18" s="251" t="s">
        <v>101</v>
      </c>
    </row>
    <row r="19" spans="1:9" ht="12">
      <c r="A19" s="250">
        <f t="shared" si="1"/>
        <v>18</v>
      </c>
      <c r="B19" s="251" t="s">
        <v>74</v>
      </c>
      <c r="C19" s="252" t="s">
        <v>102</v>
      </c>
      <c r="D19" s="254" t="s">
        <v>103</v>
      </c>
      <c r="E19" s="253" t="s">
        <v>57</v>
      </c>
      <c r="F19" s="251"/>
      <c r="G19" s="251" t="s">
        <v>55</v>
      </c>
      <c r="H19" s="251" t="s">
        <v>104</v>
      </c>
      <c r="I19" s="251" t="s">
        <v>101</v>
      </c>
    </row>
    <row r="20" spans="1:9" ht="12">
      <c r="A20" s="71">
        <f t="shared" si="1"/>
        <v>19</v>
      </c>
      <c r="B20" s="83" t="s">
        <v>74</v>
      </c>
      <c r="C20" s="201" t="s">
        <v>105</v>
      </c>
      <c r="D20" s="202" t="s">
        <v>106</v>
      </c>
      <c r="E20" s="89" t="s">
        <v>57</v>
      </c>
      <c r="F20" s="83"/>
      <c r="G20" s="83" t="s">
        <v>107</v>
      </c>
      <c r="H20" s="83" t="s">
        <v>91</v>
      </c>
      <c r="I20" s="83"/>
    </row>
    <row r="21" spans="1:9" ht="12">
      <c r="A21" s="71">
        <f t="shared" si="1"/>
        <v>20</v>
      </c>
      <c r="B21" s="83" t="s">
        <v>74</v>
      </c>
      <c r="C21" s="201" t="s">
        <v>108</v>
      </c>
      <c r="D21" s="202" t="s">
        <v>109</v>
      </c>
      <c r="E21" s="89" t="s">
        <v>57</v>
      </c>
      <c r="F21" s="83"/>
      <c r="G21" s="83" t="s">
        <v>55</v>
      </c>
      <c r="H21" s="83" t="s">
        <v>85</v>
      </c>
      <c r="I21" s="83"/>
    </row>
    <row r="22" spans="1:9" ht="12">
      <c r="A22" s="71">
        <f t="shared" si="1"/>
        <v>21</v>
      </c>
      <c r="B22" s="83" t="s">
        <v>74</v>
      </c>
      <c r="C22" s="201" t="s">
        <v>110</v>
      </c>
      <c r="D22" s="202" t="s">
        <v>111</v>
      </c>
      <c r="E22" s="89" t="s">
        <v>57</v>
      </c>
      <c r="F22" s="83"/>
      <c r="G22" s="83" t="s">
        <v>55</v>
      </c>
      <c r="H22" s="83" t="s">
        <v>85</v>
      </c>
      <c r="I22" s="83"/>
    </row>
    <row r="23" spans="1:9" ht="12">
      <c r="A23" s="71">
        <f t="shared" si="1"/>
        <v>22</v>
      </c>
      <c r="B23" s="83" t="s">
        <v>74</v>
      </c>
      <c r="C23" s="201" t="s">
        <v>112</v>
      </c>
      <c r="D23" s="202" t="s">
        <v>113</v>
      </c>
      <c r="E23" s="89" t="s">
        <v>57</v>
      </c>
      <c r="F23" s="83"/>
      <c r="G23" s="83" t="s">
        <v>55</v>
      </c>
      <c r="H23" s="83" t="s">
        <v>85</v>
      </c>
      <c r="I23" s="83"/>
    </row>
    <row r="24" spans="1:9" ht="12">
      <c r="A24" s="71">
        <f t="shared" si="1"/>
        <v>23</v>
      </c>
      <c r="B24" s="83" t="s">
        <v>74</v>
      </c>
      <c r="C24" s="201" t="s">
        <v>114</v>
      </c>
      <c r="D24" s="202" t="s">
        <v>115</v>
      </c>
      <c r="E24" s="89" t="s">
        <v>57</v>
      </c>
      <c r="F24" s="83"/>
      <c r="G24" s="83" t="s">
        <v>116</v>
      </c>
      <c r="H24" s="83" t="s">
        <v>85</v>
      </c>
      <c r="I24" s="83"/>
    </row>
    <row r="25" spans="1:9" ht="12">
      <c r="A25" s="71">
        <f t="shared" si="1"/>
        <v>24</v>
      </c>
      <c r="B25" s="83" t="s">
        <v>74</v>
      </c>
      <c r="C25" s="201" t="s">
        <v>117</v>
      </c>
      <c r="D25" s="202" t="s">
        <v>118</v>
      </c>
      <c r="E25" s="89" t="s">
        <v>57</v>
      </c>
      <c r="F25" s="83"/>
      <c r="G25" s="83" t="s">
        <v>116</v>
      </c>
      <c r="H25" s="83" t="s">
        <v>85</v>
      </c>
      <c r="I25" s="83"/>
    </row>
    <row r="26" spans="1:9" ht="12">
      <c r="A26" s="71">
        <f t="shared" si="1"/>
        <v>25</v>
      </c>
      <c r="B26" s="83" t="s">
        <v>74</v>
      </c>
      <c r="C26" s="201" t="s">
        <v>119</v>
      </c>
      <c r="D26" s="202" t="s">
        <v>120</v>
      </c>
      <c r="E26" s="89" t="s">
        <v>57</v>
      </c>
      <c r="F26" s="83"/>
      <c r="G26" s="83" t="s">
        <v>116</v>
      </c>
      <c r="H26" s="83" t="s">
        <v>85</v>
      </c>
      <c r="I26" s="83"/>
    </row>
    <row r="27" spans="1:9" ht="12">
      <c r="A27" s="71">
        <f t="shared" si="1"/>
        <v>26</v>
      </c>
      <c r="B27" s="83" t="s">
        <v>74</v>
      </c>
      <c r="C27" s="201" t="s">
        <v>121</v>
      </c>
      <c r="D27" s="202" t="s">
        <v>122</v>
      </c>
      <c r="E27" s="89" t="s">
        <v>57</v>
      </c>
      <c r="F27" s="83"/>
      <c r="G27" s="83" t="s">
        <v>116</v>
      </c>
      <c r="H27" s="83" t="s">
        <v>85</v>
      </c>
      <c r="I27" s="83"/>
    </row>
    <row r="28" spans="1:9" ht="12">
      <c r="A28" s="71">
        <f t="shared" si="1"/>
        <v>27</v>
      </c>
      <c r="B28" s="83" t="s">
        <v>74</v>
      </c>
      <c r="C28" s="201" t="s">
        <v>123</v>
      </c>
      <c r="D28" s="202" t="s">
        <v>124</v>
      </c>
      <c r="E28" s="89" t="s">
        <v>57</v>
      </c>
      <c r="F28" s="83"/>
      <c r="G28" s="83" t="s">
        <v>116</v>
      </c>
      <c r="H28" s="83" t="s">
        <v>85</v>
      </c>
      <c r="I28" s="83"/>
    </row>
    <row r="29" spans="1:9" ht="12">
      <c r="A29" s="71">
        <f t="shared" si="1"/>
        <v>28</v>
      </c>
      <c r="B29" s="72" t="s">
        <v>74</v>
      </c>
      <c r="C29" s="200" t="s">
        <v>125</v>
      </c>
      <c r="D29" s="219" t="s">
        <v>126</v>
      </c>
      <c r="E29" s="73" t="s">
        <v>57</v>
      </c>
      <c r="F29" s="83"/>
      <c r="G29" s="83" t="s">
        <v>127</v>
      </c>
      <c r="H29" s="83" t="s">
        <v>128</v>
      </c>
      <c r="I29" s="83"/>
    </row>
    <row r="30" spans="1:9" ht="12">
      <c r="A30" s="71">
        <f t="shared" si="1"/>
        <v>29</v>
      </c>
      <c r="B30" s="83" t="s">
        <v>74</v>
      </c>
      <c r="C30" s="201" t="s">
        <v>125</v>
      </c>
      <c r="D30" s="202" t="s">
        <v>129</v>
      </c>
      <c r="E30" s="89" t="s">
        <v>57</v>
      </c>
      <c r="F30" s="83"/>
      <c r="G30" s="83" t="s">
        <v>127</v>
      </c>
      <c r="H30" s="83" t="s">
        <v>128</v>
      </c>
      <c r="I30" s="83"/>
    </row>
    <row r="31" spans="1:9" ht="12">
      <c r="A31" s="71">
        <f t="shared" si="1"/>
        <v>30</v>
      </c>
      <c r="B31" s="83" t="s">
        <v>74</v>
      </c>
      <c r="C31" s="201" t="s">
        <v>125</v>
      </c>
      <c r="D31" s="202" t="s">
        <v>130</v>
      </c>
      <c r="E31" s="89" t="s">
        <v>57</v>
      </c>
      <c r="F31" s="83"/>
      <c r="G31" s="83" t="s">
        <v>127</v>
      </c>
      <c r="H31" s="83" t="s">
        <v>128</v>
      </c>
      <c r="I31" s="83"/>
    </row>
    <row r="32" spans="1:9" ht="12">
      <c r="A32" s="71">
        <f t="shared" si="1"/>
        <v>31</v>
      </c>
      <c r="B32" s="83" t="s">
        <v>74</v>
      </c>
      <c r="C32" s="201" t="s">
        <v>125</v>
      </c>
      <c r="D32" s="202" t="s">
        <v>131</v>
      </c>
      <c r="E32" s="89" t="s">
        <v>57</v>
      </c>
      <c r="F32" s="83"/>
      <c r="G32" s="83" t="s">
        <v>127</v>
      </c>
      <c r="H32" s="83" t="s">
        <v>128</v>
      </c>
      <c r="I32" s="83"/>
    </row>
    <row r="33" spans="1:9" ht="12">
      <c r="A33" s="71">
        <f t="shared" si="1"/>
        <v>32</v>
      </c>
      <c r="B33" s="83" t="s">
        <v>74</v>
      </c>
      <c r="C33" s="201" t="s">
        <v>132</v>
      </c>
      <c r="D33" s="202" t="s">
        <v>133</v>
      </c>
      <c r="E33" s="89" t="s">
        <v>57</v>
      </c>
      <c r="F33" s="83"/>
      <c r="G33" s="83" t="s">
        <v>127</v>
      </c>
      <c r="H33" s="83" t="s">
        <v>128</v>
      </c>
      <c r="I33" s="83"/>
    </row>
    <row r="34" spans="1:9" ht="12">
      <c r="A34" s="71">
        <f t="shared" si="1"/>
        <v>33</v>
      </c>
      <c r="B34" s="83" t="s">
        <v>74</v>
      </c>
      <c r="C34" s="201" t="s">
        <v>134</v>
      </c>
      <c r="D34" s="202" t="s">
        <v>135</v>
      </c>
      <c r="E34" s="89" t="s">
        <v>57</v>
      </c>
      <c r="F34" s="83"/>
      <c r="G34" s="83" t="s">
        <v>127</v>
      </c>
      <c r="H34" s="83" t="s">
        <v>128</v>
      </c>
      <c r="I34" s="83"/>
    </row>
    <row r="35" spans="1:9" ht="12">
      <c r="A35" s="71">
        <f t="shared" si="1"/>
        <v>34</v>
      </c>
      <c r="B35" s="83" t="s">
        <v>74</v>
      </c>
      <c r="C35" s="201" t="s">
        <v>134</v>
      </c>
      <c r="D35" s="202" t="s">
        <v>136</v>
      </c>
      <c r="E35" s="89" t="s">
        <v>57</v>
      </c>
      <c r="F35" s="83"/>
      <c r="G35" s="83" t="s">
        <v>127</v>
      </c>
      <c r="H35" s="83" t="s">
        <v>128</v>
      </c>
      <c r="I35" s="83"/>
    </row>
    <row r="36" spans="1:9" ht="12">
      <c r="A36" s="71">
        <f t="shared" si="1"/>
        <v>35</v>
      </c>
      <c r="B36" s="83" t="s">
        <v>74</v>
      </c>
      <c r="C36" s="201" t="s">
        <v>134</v>
      </c>
      <c r="D36" s="202" t="s">
        <v>137</v>
      </c>
      <c r="E36" s="89" t="s">
        <v>57</v>
      </c>
      <c r="F36" s="83"/>
      <c r="G36" s="83" t="s">
        <v>127</v>
      </c>
      <c r="H36" s="83" t="s">
        <v>128</v>
      </c>
      <c r="I36" s="83"/>
    </row>
    <row r="37" spans="1:9" ht="12">
      <c r="A37" s="71">
        <f t="shared" si="1"/>
        <v>36</v>
      </c>
      <c r="B37" s="83" t="s">
        <v>74</v>
      </c>
      <c r="C37" s="201" t="s">
        <v>134</v>
      </c>
      <c r="D37" s="202" t="s">
        <v>138</v>
      </c>
      <c r="E37" s="89" t="s">
        <v>57</v>
      </c>
      <c r="F37" s="83"/>
      <c r="G37" s="83" t="s">
        <v>127</v>
      </c>
      <c r="H37" s="83" t="s">
        <v>128</v>
      </c>
      <c r="I37" s="83"/>
    </row>
    <row r="38" spans="1:9" ht="12">
      <c r="A38" s="71">
        <f t="shared" si="1"/>
        <v>37</v>
      </c>
      <c r="B38" s="83" t="s">
        <v>74</v>
      </c>
      <c r="C38" s="201" t="s">
        <v>139</v>
      </c>
      <c r="D38" s="202" t="s">
        <v>140</v>
      </c>
      <c r="E38" s="89" t="s">
        <v>57</v>
      </c>
      <c r="F38" s="83"/>
      <c r="G38" s="83" t="s">
        <v>127</v>
      </c>
      <c r="H38" s="83" t="s">
        <v>128</v>
      </c>
      <c r="I38" s="83"/>
    </row>
    <row r="39" spans="1:9" ht="12">
      <c r="A39" s="71">
        <f t="shared" si="1"/>
        <v>38</v>
      </c>
      <c r="B39" s="83" t="s">
        <v>74</v>
      </c>
      <c r="C39" s="201" t="s">
        <v>139</v>
      </c>
      <c r="D39" s="202" t="s">
        <v>141</v>
      </c>
      <c r="E39" s="89" t="s">
        <v>57</v>
      </c>
      <c r="F39" s="83"/>
      <c r="G39" s="83" t="s">
        <v>127</v>
      </c>
      <c r="H39" s="83" t="s">
        <v>128</v>
      </c>
      <c r="I39" s="83"/>
    </row>
    <row r="40" spans="1:9" ht="12">
      <c r="A40" s="71">
        <f t="shared" si="1"/>
        <v>39</v>
      </c>
      <c r="B40" s="83" t="s">
        <v>74</v>
      </c>
      <c r="C40" s="201" t="s">
        <v>139</v>
      </c>
      <c r="D40" s="202" t="s">
        <v>142</v>
      </c>
      <c r="E40" s="89" t="s">
        <v>57</v>
      </c>
      <c r="F40" s="83"/>
      <c r="G40" s="83" t="s">
        <v>127</v>
      </c>
      <c r="H40" s="83" t="s">
        <v>128</v>
      </c>
      <c r="I40" s="83"/>
    </row>
    <row r="41" spans="1:9" ht="12">
      <c r="A41" s="71">
        <f t="shared" si="1"/>
        <v>40</v>
      </c>
      <c r="B41" s="83" t="s">
        <v>74</v>
      </c>
      <c r="C41" s="201" t="s">
        <v>139</v>
      </c>
      <c r="D41" s="202" t="s">
        <v>143</v>
      </c>
      <c r="E41" s="89" t="s">
        <v>57</v>
      </c>
      <c r="F41" s="83"/>
      <c r="G41" s="83" t="s">
        <v>127</v>
      </c>
      <c r="H41" s="83" t="s">
        <v>128</v>
      </c>
      <c r="I41" s="83"/>
    </row>
    <row r="42" spans="1:9" ht="12">
      <c r="A42" s="71">
        <f t="shared" si="1"/>
        <v>41</v>
      </c>
      <c r="B42" s="83" t="s">
        <v>74</v>
      </c>
      <c r="C42" s="201" t="s">
        <v>144</v>
      </c>
      <c r="D42" s="202" t="s">
        <v>145</v>
      </c>
      <c r="E42" s="89" t="s">
        <v>57</v>
      </c>
      <c r="F42" s="83"/>
      <c r="G42" s="83" t="s">
        <v>127</v>
      </c>
      <c r="H42" s="83" t="s">
        <v>128</v>
      </c>
      <c r="I42" s="83"/>
    </row>
    <row r="43" spans="1:9" ht="12">
      <c r="A43" s="71">
        <f t="shared" si="1"/>
        <v>42</v>
      </c>
      <c r="B43" s="83" t="s">
        <v>74</v>
      </c>
      <c r="C43" s="201" t="s">
        <v>144</v>
      </c>
      <c r="D43" s="202" t="s">
        <v>146</v>
      </c>
      <c r="E43" s="89" t="s">
        <v>57</v>
      </c>
      <c r="F43" s="83"/>
      <c r="G43" s="83" t="s">
        <v>127</v>
      </c>
      <c r="H43" s="83" t="s">
        <v>128</v>
      </c>
      <c r="I43" s="83"/>
    </row>
    <row r="44" spans="1:9" ht="12">
      <c r="A44" s="71">
        <f t="shared" si="1"/>
        <v>43</v>
      </c>
      <c r="B44" s="83" t="s">
        <v>74</v>
      </c>
      <c r="C44" s="201" t="s">
        <v>144</v>
      </c>
      <c r="D44" s="202" t="s">
        <v>147</v>
      </c>
      <c r="E44" s="89" t="s">
        <v>57</v>
      </c>
      <c r="F44" s="83"/>
      <c r="G44" s="83" t="s">
        <v>127</v>
      </c>
      <c r="H44" s="83" t="s">
        <v>128</v>
      </c>
      <c r="I44" s="83"/>
    </row>
    <row r="45" spans="1:9" ht="12">
      <c r="A45" s="71">
        <f t="shared" si="1"/>
        <v>44</v>
      </c>
      <c r="B45" s="83" t="s">
        <v>74</v>
      </c>
      <c r="C45" s="201" t="s">
        <v>144</v>
      </c>
      <c r="D45" s="202" t="s">
        <v>148</v>
      </c>
      <c r="E45" s="89" t="s">
        <v>57</v>
      </c>
      <c r="F45" s="83"/>
      <c r="G45" s="83" t="s">
        <v>127</v>
      </c>
      <c r="H45" s="83" t="s">
        <v>128</v>
      </c>
      <c r="I45" s="83"/>
    </row>
    <row r="46" spans="1:9" ht="12">
      <c r="A46" s="71">
        <f t="shared" si="1"/>
        <v>45</v>
      </c>
      <c r="B46" s="83" t="s">
        <v>74</v>
      </c>
      <c r="C46" s="201" t="s">
        <v>149</v>
      </c>
      <c r="D46" s="202" t="s">
        <v>150</v>
      </c>
      <c r="E46" s="89" t="s">
        <v>57</v>
      </c>
      <c r="F46" s="83"/>
      <c r="G46" s="83" t="s">
        <v>127</v>
      </c>
      <c r="H46" s="83" t="s">
        <v>128</v>
      </c>
      <c r="I46" s="83"/>
    </row>
    <row r="47" spans="1:9" ht="12">
      <c r="A47" s="71">
        <f t="shared" si="1"/>
        <v>46</v>
      </c>
      <c r="B47" s="83" t="s">
        <v>74</v>
      </c>
      <c r="C47" s="201" t="s">
        <v>149</v>
      </c>
      <c r="D47" s="202" t="s">
        <v>151</v>
      </c>
      <c r="E47" s="89" t="s">
        <v>57</v>
      </c>
      <c r="F47" s="83"/>
      <c r="G47" s="83" t="s">
        <v>127</v>
      </c>
      <c r="H47" s="83" t="s">
        <v>128</v>
      </c>
      <c r="I47" s="83"/>
    </row>
    <row r="48" spans="1:9" ht="12">
      <c r="A48" s="71">
        <f t="shared" si="1"/>
        <v>47</v>
      </c>
      <c r="B48" s="83" t="s">
        <v>74</v>
      </c>
      <c r="C48" s="201" t="s">
        <v>149</v>
      </c>
      <c r="D48" s="202" t="s">
        <v>152</v>
      </c>
      <c r="E48" s="89" t="s">
        <v>57</v>
      </c>
      <c r="F48" s="83"/>
      <c r="G48" s="83" t="s">
        <v>127</v>
      </c>
      <c r="H48" s="83" t="s">
        <v>128</v>
      </c>
      <c r="I48" s="83"/>
    </row>
    <row r="49" spans="1:9" ht="12">
      <c r="A49" s="71">
        <f t="shared" si="1"/>
        <v>48</v>
      </c>
      <c r="B49" s="83" t="s">
        <v>74</v>
      </c>
      <c r="C49" s="201" t="s">
        <v>149</v>
      </c>
      <c r="D49" s="202" t="s">
        <v>153</v>
      </c>
      <c r="E49" s="89" t="s">
        <v>57</v>
      </c>
      <c r="F49" s="83"/>
      <c r="G49" s="83" t="s">
        <v>127</v>
      </c>
      <c r="H49" s="83" t="s">
        <v>128</v>
      </c>
      <c r="I49" s="83"/>
    </row>
    <row r="50" spans="1:9" ht="12">
      <c r="A50" s="71">
        <f t="shared" si="1"/>
        <v>49</v>
      </c>
      <c r="B50" s="83" t="s">
        <v>74</v>
      </c>
      <c r="C50" s="201" t="s">
        <v>154</v>
      </c>
      <c r="D50" s="202" t="s">
        <v>155</v>
      </c>
      <c r="E50" s="89" t="s">
        <v>57</v>
      </c>
      <c r="F50" s="83"/>
      <c r="G50" s="83" t="s">
        <v>127</v>
      </c>
      <c r="H50" s="83" t="s">
        <v>128</v>
      </c>
      <c r="I50" s="83"/>
    </row>
    <row r="51" spans="1:9" s="214" customFormat="1" ht="12">
      <c r="A51" s="203">
        <f t="shared" si="1"/>
        <v>50</v>
      </c>
      <c r="B51" s="204" t="s">
        <v>74</v>
      </c>
      <c r="C51" s="205" t="s">
        <v>156</v>
      </c>
      <c r="D51" s="206" t="s">
        <v>157</v>
      </c>
      <c r="E51" s="207" t="s">
        <v>57</v>
      </c>
      <c r="F51" s="204"/>
      <c r="G51" s="204"/>
      <c r="H51" s="204"/>
      <c r="I51" s="204"/>
    </row>
    <row r="52" spans="1:9" s="214" customFormat="1" ht="12">
      <c r="A52" s="203">
        <f t="shared" si="1"/>
        <v>51</v>
      </c>
      <c r="B52" s="204" t="s">
        <v>74</v>
      </c>
      <c r="C52" s="205" t="s">
        <v>156</v>
      </c>
      <c r="D52" s="206" t="s">
        <v>158</v>
      </c>
      <c r="E52" s="207" t="s">
        <v>57</v>
      </c>
      <c r="F52" s="204"/>
      <c r="G52" s="204"/>
      <c r="H52" s="204"/>
      <c r="I52" s="204"/>
    </row>
    <row r="53" spans="1:9" s="214" customFormat="1" ht="12">
      <c r="A53" s="203">
        <f t="shared" si="1"/>
        <v>52</v>
      </c>
      <c r="B53" s="204" t="s">
        <v>74</v>
      </c>
      <c r="C53" s="205" t="s">
        <v>156</v>
      </c>
      <c r="D53" s="206" t="s">
        <v>159</v>
      </c>
      <c r="E53" s="207" t="s">
        <v>57</v>
      </c>
      <c r="F53" s="204"/>
      <c r="G53" s="204"/>
      <c r="H53" s="204"/>
      <c r="I53" s="204"/>
    </row>
    <row r="54" spans="1:9" ht="12">
      <c r="A54" s="71">
        <f t="shared" si="1"/>
        <v>53</v>
      </c>
      <c r="B54" s="83" t="s">
        <v>74</v>
      </c>
      <c r="C54" s="201" t="s">
        <v>154</v>
      </c>
      <c r="D54" s="202" t="s">
        <v>160</v>
      </c>
      <c r="E54" s="89" t="s">
        <v>57</v>
      </c>
      <c r="F54" s="83"/>
      <c r="G54" s="83" t="s">
        <v>127</v>
      </c>
      <c r="H54" s="83" t="s">
        <v>128</v>
      </c>
      <c r="I54" s="83"/>
    </row>
    <row r="55" spans="1:9" s="214" customFormat="1" ht="12">
      <c r="A55" s="203">
        <f t="shared" si="1"/>
        <v>54</v>
      </c>
      <c r="B55" s="204" t="s">
        <v>74</v>
      </c>
      <c r="C55" s="205" t="s">
        <v>161</v>
      </c>
      <c r="D55" s="206" t="s">
        <v>162</v>
      </c>
      <c r="E55" s="207" t="s">
        <v>57</v>
      </c>
      <c r="F55" s="204"/>
      <c r="G55" s="204"/>
      <c r="H55" s="204"/>
      <c r="I55" s="204"/>
    </row>
    <row r="56" spans="1:9" s="214" customFormat="1" ht="12">
      <c r="A56" s="203">
        <f t="shared" si="1"/>
        <v>55</v>
      </c>
      <c r="B56" s="204" t="s">
        <v>74</v>
      </c>
      <c r="C56" s="205" t="s">
        <v>161</v>
      </c>
      <c r="D56" s="206" t="s">
        <v>163</v>
      </c>
      <c r="E56" s="207" t="s">
        <v>57</v>
      </c>
      <c r="F56" s="204"/>
      <c r="G56" s="204"/>
      <c r="H56" s="204"/>
      <c r="I56" s="204"/>
    </row>
    <row r="57" spans="1:9" s="214" customFormat="1" ht="12">
      <c r="A57" s="203">
        <f t="shared" si="1"/>
        <v>56</v>
      </c>
      <c r="B57" s="204" t="s">
        <v>74</v>
      </c>
      <c r="C57" s="205" t="s">
        <v>161</v>
      </c>
      <c r="D57" s="206" t="s">
        <v>164</v>
      </c>
      <c r="E57" s="207" t="s">
        <v>57</v>
      </c>
      <c r="F57" s="204"/>
      <c r="G57" s="204"/>
      <c r="H57" s="204"/>
      <c r="I57" s="204"/>
    </row>
    <row r="58" spans="1:9" ht="12">
      <c r="A58" s="71">
        <f t="shared" si="1"/>
        <v>57</v>
      </c>
      <c r="B58" s="83" t="s">
        <v>74</v>
      </c>
      <c r="C58" s="201" t="s">
        <v>154</v>
      </c>
      <c r="D58" s="202" t="s">
        <v>165</v>
      </c>
      <c r="E58" s="89" t="s">
        <v>57</v>
      </c>
      <c r="F58" s="83"/>
      <c r="G58" s="83" t="s">
        <v>127</v>
      </c>
      <c r="H58" s="83" t="s">
        <v>128</v>
      </c>
      <c r="I58" s="83"/>
    </row>
    <row r="59" spans="1:9" s="214" customFormat="1" ht="12">
      <c r="A59" s="203">
        <f t="shared" si="1"/>
        <v>58</v>
      </c>
      <c r="B59" s="204" t="s">
        <v>74</v>
      </c>
      <c r="C59" s="205" t="s">
        <v>166</v>
      </c>
      <c r="D59" s="206" t="s">
        <v>167</v>
      </c>
      <c r="E59" s="207" t="s">
        <v>57</v>
      </c>
      <c r="F59" s="204"/>
      <c r="G59" s="204"/>
      <c r="H59" s="204"/>
      <c r="I59" s="204"/>
    </row>
    <row r="60" spans="1:9" s="214" customFormat="1" ht="12">
      <c r="A60" s="203">
        <f t="shared" si="1"/>
        <v>59</v>
      </c>
      <c r="B60" s="204" t="s">
        <v>74</v>
      </c>
      <c r="C60" s="205" t="s">
        <v>166</v>
      </c>
      <c r="D60" s="206" t="s">
        <v>168</v>
      </c>
      <c r="E60" s="207" t="s">
        <v>57</v>
      </c>
      <c r="F60" s="204"/>
      <c r="G60" s="204"/>
      <c r="H60" s="204"/>
      <c r="I60" s="204"/>
    </row>
    <row r="61" spans="1:9" s="214" customFormat="1" ht="12">
      <c r="A61" s="203">
        <f t="shared" si="1"/>
        <v>60</v>
      </c>
      <c r="B61" s="204" t="s">
        <v>74</v>
      </c>
      <c r="C61" s="205" t="s">
        <v>166</v>
      </c>
      <c r="D61" s="206" t="s">
        <v>169</v>
      </c>
      <c r="E61" s="207" t="s">
        <v>57</v>
      </c>
      <c r="F61" s="204"/>
      <c r="G61" s="204"/>
      <c r="H61" s="204"/>
      <c r="I61" s="204"/>
    </row>
    <row r="62" spans="1:9" ht="12">
      <c r="A62" s="71">
        <f t="shared" si="1"/>
        <v>61</v>
      </c>
      <c r="B62" s="83" t="s">
        <v>74</v>
      </c>
      <c r="C62" s="201" t="s">
        <v>154</v>
      </c>
      <c r="D62" s="202" t="s">
        <v>170</v>
      </c>
      <c r="E62" s="89" t="s">
        <v>57</v>
      </c>
      <c r="F62" s="83"/>
      <c r="G62" s="83" t="s">
        <v>127</v>
      </c>
      <c r="H62" s="83" t="s">
        <v>128</v>
      </c>
      <c r="I62" s="83"/>
    </row>
    <row r="63" spans="1:9" s="214" customFormat="1" ht="12">
      <c r="A63" s="203">
        <f t="shared" si="1"/>
        <v>62</v>
      </c>
      <c r="B63" s="204" t="s">
        <v>74</v>
      </c>
      <c r="C63" s="205" t="s">
        <v>132</v>
      </c>
      <c r="D63" s="206" t="s">
        <v>171</v>
      </c>
      <c r="E63" s="207" t="s">
        <v>57</v>
      </c>
      <c r="F63" s="204"/>
      <c r="G63" s="204"/>
      <c r="H63" s="204"/>
      <c r="I63" s="204"/>
    </row>
    <row r="64" spans="1:9" s="214" customFormat="1" ht="12">
      <c r="A64" s="203">
        <f t="shared" si="1"/>
        <v>63</v>
      </c>
      <c r="B64" s="204" t="s">
        <v>74</v>
      </c>
      <c r="C64" s="205" t="s">
        <v>132</v>
      </c>
      <c r="D64" s="206" t="s">
        <v>172</v>
      </c>
      <c r="E64" s="207" t="s">
        <v>57</v>
      </c>
      <c r="F64" s="204"/>
      <c r="G64" s="204"/>
      <c r="H64" s="204"/>
      <c r="I64" s="204"/>
    </row>
    <row r="65" spans="1:9" s="214" customFormat="1" ht="12">
      <c r="A65" s="203">
        <f t="shared" si="1"/>
        <v>64</v>
      </c>
      <c r="B65" s="204" t="s">
        <v>74</v>
      </c>
      <c r="C65" s="205" t="s">
        <v>132</v>
      </c>
      <c r="D65" s="206" t="s">
        <v>173</v>
      </c>
      <c r="E65" s="207" t="s">
        <v>57</v>
      </c>
      <c r="F65" s="204"/>
      <c r="G65" s="204"/>
      <c r="H65" s="204"/>
      <c r="I65" s="204"/>
    </row>
    <row r="66" spans="1:9" ht="12">
      <c r="A66" s="71">
        <f t="shared" si="1"/>
        <v>65</v>
      </c>
      <c r="B66" s="83" t="s">
        <v>74</v>
      </c>
      <c r="C66" s="201" t="s">
        <v>174</v>
      </c>
      <c r="D66" s="202" t="s">
        <v>175</v>
      </c>
      <c r="E66" s="89" t="s">
        <v>57</v>
      </c>
      <c r="F66" s="83"/>
      <c r="G66" s="83" t="s">
        <v>127</v>
      </c>
      <c r="H66" s="83" t="s">
        <v>128</v>
      </c>
      <c r="I66" s="83"/>
    </row>
    <row r="67" spans="1:9" ht="12">
      <c r="A67" s="71">
        <f t="shared" si="1"/>
        <v>66</v>
      </c>
      <c r="B67" s="83" t="s">
        <v>74</v>
      </c>
      <c r="C67" s="201" t="s">
        <v>174</v>
      </c>
      <c r="D67" s="202" t="s">
        <v>176</v>
      </c>
      <c r="E67" s="89" t="s">
        <v>57</v>
      </c>
      <c r="F67" s="83"/>
      <c r="G67" s="83" t="s">
        <v>127</v>
      </c>
      <c r="H67" s="83" t="s">
        <v>128</v>
      </c>
      <c r="I67" s="83"/>
    </row>
    <row r="68" spans="1:9" ht="12">
      <c r="A68" s="71">
        <f t="shared" si="1"/>
        <v>67</v>
      </c>
      <c r="B68" s="83" t="s">
        <v>74</v>
      </c>
      <c r="C68" s="201" t="s">
        <v>174</v>
      </c>
      <c r="D68" s="202" t="s">
        <v>177</v>
      </c>
      <c r="E68" s="89" t="s">
        <v>57</v>
      </c>
      <c r="F68" s="83"/>
      <c r="G68" s="83" t="s">
        <v>127</v>
      </c>
      <c r="H68" s="83" t="s">
        <v>128</v>
      </c>
      <c r="I68" s="83"/>
    </row>
    <row r="69" spans="1:9" ht="12">
      <c r="A69" s="71">
        <f t="shared" si="1"/>
        <v>68</v>
      </c>
      <c r="B69" s="83" t="s">
        <v>74</v>
      </c>
      <c r="C69" s="201" t="s">
        <v>174</v>
      </c>
      <c r="D69" s="202" t="s">
        <v>178</v>
      </c>
      <c r="E69" s="89" t="s">
        <v>57</v>
      </c>
      <c r="F69" s="83"/>
      <c r="G69" s="83" t="s">
        <v>127</v>
      </c>
      <c r="H69" s="83" t="s">
        <v>128</v>
      </c>
      <c r="I69" s="83"/>
    </row>
    <row r="70" spans="1:9" ht="12">
      <c r="A70" s="71">
        <f t="shared" si="1"/>
        <v>69</v>
      </c>
      <c r="B70" s="83" t="s">
        <v>74</v>
      </c>
      <c r="C70" s="201" t="s">
        <v>179</v>
      </c>
      <c r="D70" s="202" t="s">
        <v>180</v>
      </c>
      <c r="E70" s="89" t="s">
        <v>57</v>
      </c>
      <c r="F70" s="83"/>
      <c r="G70" s="83" t="s">
        <v>127</v>
      </c>
      <c r="H70" s="83" t="s">
        <v>128</v>
      </c>
      <c r="I70" s="83"/>
    </row>
    <row r="71" spans="1:9" ht="12">
      <c r="A71" s="71">
        <f t="shared" si="1"/>
        <v>70</v>
      </c>
      <c r="B71" s="83" t="s">
        <v>74</v>
      </c>
      <c r="C71" s="201" t="s">
        <v>179</v>
      </c>
      <c r="D71" s="202" t="s">
        <v>181</v>
      </c>
      <c r="E71" s="89" t="s">
        <v>57</v>
      </c>
      <c r="F71" s="83"/>
      <c r="G71" s="83" t="s">
        <v>127</v>
      </c>
      <c r="H71" s="83" t="s">
        <v>128</v>
      </c>
      <c r="I71" s="83"/>
    </row>
    <row r="72" spans="1:9" ht="12">
      <c r="A72" s="71">
        <f t="shared" si="1"/>
        <v>71</v>
      </c>
      <c r="B72" s="83" t="s">
        <v>74</v>
      </c>
      <c r="C72" s="201" t="s">
        <v>179</v>
      </c>
      <c r="D72" s="202" t="s">
        <v>182</v>
      </c>
      <c r="E72" s="89" t="s">
        <v>57</v>
      </c>
      <c r="F72" s="83"/>
      <c r="G72" s="83" t="s">
        <v>127</v>
      </c>
      <c r="H72" s="83" t="s">
        <v>128</v>
      </c>
      <c r="I72" s="83"/>
    </row>
    <row r="73" spans="1:9" ht="12">
      <c r="A73" s="71">
        <f t="shared" si="1"/>
        <v>72</v>
      </c>
      <c r="B73" s="83" t="s">
        <v>74</v>
      </c>
      <c r="C73" s="201" t="s">
        <v>179</v>
      </c>
      <c r="D73" s="202" t="s">
        <v>183</v>
      </c>
      <c r="E73" s="89" t="s">
        <v>57</v>
      </c>
      <c r="F73" s="83"/>
      <c r="G73" s="83" t="s">
        <v>127</v>
      </c>
      <c r="H73" s="83" t="s">
        <v>128</v>
      </c>
      <c r="I73" s="83"/>
    </row>
    <row r="74" spans="1:9" ht="12">
      <c r="A74" s="71">
        <f t="shared" si="1"/>
        <v>73</v>
      </c>
      <c r="B74" s="83" t="s">
        <v>74</v>
      </c>
      <c r="C74" s="201" t="s">
        <v>184</v>
      </c>
      <c r="D74" s="202" t="s">
        <v>185</v>
      </c>
      <c r="E74" s="89" t="s">
        <v>57</v>
      </c>
      <c r="F74" s="83"/>
      <c r="G74" s="83" t="s">
        <v>127</v>
      </c>
      <c r="H74" s="83" t="s">
        <v>128</v>
      </c>
      <c r="I74" s="83"/>
    </row>
    <row r="75" spans="1:9" ht="12">
      <c r="A75" s="71">
        <f t="shared" ref="A75:A138" si="2">ROW()-1</f>
        <v>74</v>
      </c>
      <c r="B75" s="83" t="s">
        <v>74</v>
      </c>
      <c r="C75" s="201" t="s">
        <v>184</v>
      </c>
      <c r="D75" s="202" t="s">
        <v>186</v>
      </c>
      <c r="E75" s="89" t="s">
        <v>57</v>
      </c>
      <c r="F75" s="83"/>
      <c r="G75" s="83" t="s">
        <v>127</v>
      </c>
      <c r="H75" s="83" t="s">
        <v>128</v>
      </c>
      <c r="I75" s="83"/>
    </row>
    <row r="76" spans="1:9" ht="12">
      <c r="A76" s="71">
        <f t="shared" si="2"/>
        <v>75</v>
      </c>
      <c r="B76" s="83" t="s">
        <v>74</v>
      </c>
      <c r="C76" s="201" t="s">
        <v>184</v>
      </c>
      <c r="D76" s="202" t="s">
        <v>187</v>
      </c>
      <c r="E76" s="89" t="s">
        <v>57</v>
      </c>
      <c r="F76" s="83"/>
      <c r="G76" s="83" t="s">
        <v>127</v>
      </c>
      <c r="H76" s="83" t="s">
        <v>128</v>
      </c>
      <c r="I76" s="83"/>
    </row>
    <row r="77" spans="1:9" ht="12">
      <c r="A77" s="71">
        <f t="shared" si="2"/>
        <v>76</v>
      </c>
      <c r="B77" s="83" t="s">
        <v>74</v>
      </c>
      <c r="C77" s="201" t="s">
        <v>184</v>
      </c>
      <c r="D77" s="202" t="s">
        <v>188</v>
      </c>
      <c r="E77" s="89" t="s">
        <v>57</v>
      </c>
      <c r="F77" s="83"/>
      <c r="G77" s="83" t="s">
        <v>127</v>
      </c>
      <c r="H77" s="83" t="s">
        <v>128</v>
      </c>
      <c r="I77" s="83"/>
    </row>
    <row r="78" spans="1:9" ht="12">
      <c r="A78" s="71">
        <f t="shared" si="2"/>
        <v>77</v>
      </c>
      <c r="B78" s="83" t="s">
        <v>74</v>
      </c>
      <c r="C78" s="201" t="s">
        <v>189</v>
      </c>
      <c r="D78" s="202" t="s">
        <v>190</v>
      </c>
      <c r="E78" s="89" t="s">
        <v>57</v>
      </c>
      <c r="F78" s="83"/>
      <c r="G78" s="83" t="s">
        <v>127</v>
      </c>
      <c r="H78" s="83" t="s">
        <v>128</v>
      </c>
      <c r="I78" s="83"/>
    </row>
    <row r="79" spans="1:9" ht="12">
      <c r="A79" s="71">
        <f t="shared" si="2"/>
        <v>78</v>
      </c>
      <c r="B79" s="83" t="s">
        <v>74</v>
      </c>
      <c r="C79" s="201" t="s">
        <v>189</v>
      </c>
      <c r="D79" s="202" t="s">
        <v>191</v>
      </c>
      <c r="E79" s="89" t="s">
        <v>57</v>
      </c>
      <c r="F79" s="83"/>
      <c r="G79" s="83" t="s">
        <v>127</v>
      </c>
      <c r="H79" s="83" t="s">
        <v>128</v>
      </c>
      <c r="I79" s="83"/>
    </row>
    <row r="80" spans="1:9" ht="12">
      <c r="A80" s="71">
        <f t="shared" si="2"/>
        <v>79</v>
      </c>
      <c r="B80" s="83" t="s">
        <v>74</v>
      </c>
      <c r="C80" s="201" t="s">
        <v>189</v>
      </c>
      <c r="D80" s="202" t="s">
        <v>192</v>
      </c>
      <c r="E80" s="89" t="s">
        <v>57</v>
      </c>
      <c r="F80" s="83"/>
      <c r="G80" s="83" t="s">
        <v>127</v>
      </c>
      <c r="H80" s="83" t="s">
        <v>128</v>
      </c>
      <c r="I80" s="83"/>
    </row>
    <row r="81" spans="1:9" ht="12">
      <c r="A81" s="71">
        <f t="shared" si="2"/>
        <v>80</v>
      </c>
      <c r="B81" s="83" t="s">
        <v>74</v>
      </c>
      <c r="C81" s="201" t="s">
        <v>189</v>
      </c>
      <c r="D81" s="202" t="s">
        <v>193</v>
      </c>
      <c r="E81" s="89" t="s">
        <v>57</v>
      </c>
      <c r="F81" s="83"/>
      <c r="G81" s="83" t="s">
        <v>127</v>
      </c>
      <c r="H81" s="83" t="s">
        <v>128</v>
      </c>
      <c r="I81" s="83"/>
    </row>
    <row r="82" spans="1:9" ht="12">
      <c r="A82" s="71">
        <f t="shared" si="2"/>
        <v>81</v>
      </c>
      <c r="B82" s="83" t="s">
        <v>74</v>
      </c>
      <c r="C82" s="201" t="s">
        <v>194</v>
      </c>
      <c r="D82" s="202" t="s">
        <v>195</v>
      </c>
      <c r="E82" s="89" t="s">
        <v>57</v>
      </c>
      <c r="F82" s="83"/>
      <c r="G82" s="83" t="s">
        <v>127</v>
      </c>
      <c r="H82" s="83" t="s">
        <v>128</v>
      </c>
      <c r="I82" s="83"/>
    </row>
    <row r="83" spans="1:9" ht="12">
      <c r="A83" s="71">
        <f t="shared" si="2"/>
        <v>82</v>
      </c>
      <c r="B83" s="83" t="s">
        <v>74</v>
      </c>
      <c r="C83" s="201" t="s">
        <v>194</v>
      </c>
      <c r="D83" s="202" t="s">
        <v>196</v>
      </c>
      <c r="E83" s="89" t="s">
        <v>57</v>
      </c>
      <c r="F83" s="83"/>
      <c r="G83" s="83" t="s">
        <v>127</v>
      </c>
      <c r="H83" s="83" t="s">
        <v>128</v>
      </c>
      <c r="I83" s="83"/>
    </row>
    <row r="84" spans="1:9" ht="12">
      <c r="A84" s="71">
        <f t="shared" si="2"/>
        <v>83</v>
      </c>
      <c r="B84" s="83" t="s">
        <v>74</v>
      </c>
      <c r="C84" s="201" t="s">
        <v>194</v>
      </c>
      <c r="D84" s="202" t="s">
        <v>197</v>
      </c>
      <c r="E84" s="89" t="s">
        <v>57</v>
      </c>
      <c r="F84" s="83"/>
      <c r="G84" s="83" t="s">
        <v>127</v>
      </c>
      <c r="H84" s="83" t="s">
        <v>128</v>
      </c>
      <c r="I84" s="83"/>
    </row>
    <row r="85" spans="1:9" ht="12">
      <c r="A85" s="71">
        <f t="shared" si="2"/>
        <v>84</v>
      </c>
      <c r="B85" s="83" t="s">
        <v>74</v>
      </c>
      <c r="C85" s="201" t="s">
        <v>194</v>
      </c>
      <c r="D85" s="202" t="s">
        <v>198</v>
      </c>
      <c r="E85" s="89" t="s">
        <v>57</v>
      </c>
      <c r="F85" s="83"/>
      <c r="G85" s="83" t="s">
        <v>127</v>
      </c>
      <c r="H85" s="83" t="s">
        <v>128</v>
      </c>
      <c r="I85" s="83"/>
    </row>
    <row r="86" spans="1:9" ht="12">
      <c r="A86" s="71">
        <f t="shared" si="2"/>
        <v>85</v>
      </c>
      <c r="B86" s="83" t="s">
        <v>74</v>
      </c>
      <c r="C86" s="201" t="s">
        <v>199</v>
      </c>
      <c r="D86" s="202" t="s">
        <v>200</v>
      </c>
      <c r="E86" s="89" t="s">
        <v>57</v>
      </c>
      <c r="F86" s="83"/>
      <c r="G86" s="83" t="s">
        <v>127</v>
      </c>
      <c r="H86" s="83" t="s">
        <v>128</v>
      </c>
      <c r="I86" s="83"/>
    </row>
    <row r="87" spans="1:9" ht="12">
      <c r="A87" s="71">
        <f t="shared" si="2"/>
        <v>86</v>
      </c>
      <c r="B87" s="83" t="s">
        <v>74</v>
      </c>
      <c r="C87" s="201" t="s">
        <v>199</v>
      </c>
      <c r="D87" s="202" t="s">
        <v>201</v>
      </c>
      <c r="E87" s="89" t="s">
        <v>57</v>
      </c>
      <c r="F87" s="83"/>
      <c r="G87" s="83" t="s">
        <v>127</v>
      </c>
      <c r="H87" s="83" t="s">
        <v>128</v>
      </c>
      <c r="I87" s="83"/>
    </row>
    <row r="88" spans="1:9" ht="12">
      <c r="A88" s="71">
        <f t="shared" si="2"/>
        <v>87</v>
      </c>
      <c r="B88" s="83" t="s">
        <v>74</v>
      </c>
      <c r="C88" s="201" t="s">
        <v>199</v>
      </c>
      <c r="D88" s="202" t="s">
        <v>202</v>
      </c>
      <c r="E88" s="89" t="s">
        <v>57</v>
      </c>
      <c r="F88" s="83"/>
      <c r="G88" s="83" t="s">
        <v>127</v>
      </c>
      <c r="H88" s="83" t="s">
        <v>128</v>
      </c>
      <c r="I88" s="83"/>
    </row>
    <row r="89" spans="1:9" ht="12">
      <c r="A89" s="71">
        <f t="shared" si="2"/>
        <v>88</v>
      </c>
      <c r="B89" s="83" t="s">
        <v>74</v>
      </c>
      <c r="C89" s="201" t="s">
        <v>199</v>
      </c>
      <c r="D89" s="202" t="s">
        <v>203</v>
      </c>
      <c r="E89" s="89" t="s">
        <v>57</v>
      </c>
      <c r="F89" s="83"/>
      <c r="G89" s="83" t="s">
        <v>127</v>
      </c>
      <c r="H89" s="83" t="s">
        <v>128</v>
      </c>
      <c r="I89" s="83"/>
    </row>
    <row r="90" spans="1:9" ht="12">
      <c r="A90" s="71">
        <f t="shared" si="2"/>
        <v>89</v>
      </c>
      <c r="B90" s="83" t="s">
        <v>74</v>
      </c>
      <c r="C90" s="201" t="s">
        <v>204</v>
      </c>
      <c r="D90" s="202" t="s">
        <v>205</v>
      </c>
      <c r="E90" s="89" t="s">
        <v>57</v>
      </c>
      <c r="F90" s="83"/>
      <c r="G90" s="83" t="s">
        <v>127</v>
      </c>
      <c r="H90" s="83" t="s">
        <v>128</v>
      </c>
      <c r="I90" s="83"/>
    </row>
    <row r="91" spans="1:9" ht="12">
      <c r="A91" s="71">
        <f t="shared" si="2"/>
        <v>90</v>
      </c>
      <c r="B91" s="83" t="s">
        <v>74</v>
      </c>
      <c r="C91" s="201" t="s">
        <v>204</v>
      </c>
      <c r="D91" s="202" t="s">
        <v>206</v>
      </c>
      <c r="E91" s="89" t="s">
        <v>57</v>
      </c>
      <c r="F91" s="83"/>
      <c r="G91" s="83" t="s">
        <v>127</v>
      </c>
      <c r="H91" s="83" t="s">
        <v>128</v>
      </c>
      <c r="I91" s="83"/>
    </row>
    <row r="92" spans="1:9" ht="12">
      <c r="A92" s="71">
        <f t="shared" si="2"/>
        <v>91</v>
      </c>
      <c r="B92" s="83" t="s">
        <v>74</v>
      </c>
      <c r="C92" s="201" t="s">
        <v>204</v>
      </c>
      <c r="D92" s="202" t="s">
        <v>207</v>
      </c>
      <c r="E92" s="89" t="s">
        <v>57</v>
      </c>
      <c r="F92" s="83"/>
      <c r="G92" s="83" t="s">
        <v>127</v>
      </c>
      <c r="H92" s="83" t="s">
        <v>128</v>
      </c>
      <c r="I92" s="83"/>
    </row>
    <row r="93" spans="1:9" ht="12">
      <c r="A93" s="71">
        <f t="shared" si="2"/>
        <v>92</v>
      </c>
      <c r="B93" s="83" t="s">
        <v>74</v>
      </c>
      <c r="C93" s="201" t="s">
        <v>204</v>
      </c>
      <c r="D93" s="202" t="s">
        <v>208</v>
      </c>
      <c r="E93" s="89" t="s">
        <v>57</v>
      </c>
      <c r="F93" s="83"/>
      <c r="G93" s="83" t="s">
        <v>127</v>
      </c>
      <c r="H93" s="83" t="s">
        <v>128</v>
      </c>
      <c r="I93" s="83"/>
    </row>
    <row r="94" spans="1:9" ht="12">
      <c r="A94" s="71">
        <f t="shared" si="2"/>
        <v>93</v>
      </c>
      <c r="B94" s="83" t="s">
        <v>74</v>
      </c>
      <c r="C94" s="201" t="s">
        <v>209</v>
      </c>
      <c r="D94" s="202" t="s">
        <v>210</v>
      </c>
      <c r="E94" s="89" t="s">
        <v>57</v>
      </c>
      <c r="F94" s="83"/>
      <c r="G94" s="83" t="s">
        <v>127</v>
      </c>
      <c r="H94" s="83" t="s">
        <v>128</v>
      </c>
      <c r="I94" s="83"/>
    </row>
    <row r="95" spans="1:9" ht="12">
      <c r="A95" s="71">
        <f t="shared" si="2"/>
        <v>94</v>
      </c>
      <c r="B95" s="83" t="s">
        <v>74</v>
      </c>
      <c r="C95" s="201" t="s">
        <v>209</v>
      </c>
      <c r="D95" s="202" t="s">
        <v>211</v>
      </c>
      <c r="E95" s="89" t="s">
        <v>57</v>
      </c>
      <c r="F95" s="83"/>
      <c r="G95" s="83" t="s">
        <v>127</v>
      </c>
      <c r="H95" s="83" t="s">
        <v>128</v>
      </c>
      <c r="I95" s="83"/>
    </row>
    <row r="96" spans="1:9" ht="12">
      <c r="A96" s="71">
        <f t="shared" si="2"/>
        <v>95</v>
      </c>
      <c r="B96" s="83" t="s">
        <v>74</v>
      </c>
      <c r="C96" s="201" t="s">
        <v>209</v>
      </c>
      <c r="D96" s="202" t="s">
        <v>212</v>
      </c>
      <c r="E96" s="89" t="s">
        <v>57</v>
      </c>
      <c r="F96" s="83"/>
      <c r="G96" s="83" t="s">
        <v>127</v>
      </c>
      <c r="H96" s="83" t="s">
        <v>128</v>
      </c>
      <c r="I96" s="83"/>
    </row>
    <row r="97" spans="1:9" ht="12">
      <c r="A97" s="71">
        <f t="shared" si="2"/>
        <v>96</v>
      </c>
      <c r="B97" s="83" t="s">
        <v>74</v>
      </c>
      <c r="C97" s="201" t="s">
        <v>209</v>
      </c>
      <c r="D97" s="202" t="s">
        <v>213</v>
      </c>
      <c r="E97" s="89" t="s">
        <v>57</v>
      </c>
      <c r="F97" s="83"/>
      <c r="G97" s="83" t="s">
        <v>127</v>
      </c>
      <c r="H97" s="83" t="s">
        <v>128</v>
      </c>
      <c r="I97" s="83"/>
    </row>
    <row r="98" spans="1:9" ht="12">
      <c r="A98" s="71">
        <f t="shared" si="2"/>
        <v>97</v>
      </c>
      <c r="B98" s="83" t="s">
        <v>74</v>
      </c>
      <c r="C98" s="201" t="s">
        <v>214</v>
      </c>
      <c r="D98" s="202" t="s">
        <v>215</v>
      </c>
      <c r="E98" s="89" t="s">
        <v>57</v>
      </c>
      <c r="F98" s="83"/>
      <c r="G98" s="83" t="s">
        <v>127</v>
      </c>
      <c r="H98" s="83" t="s">
        <v>128</v>
      </c>
      <c r="I98" s="83"/>
    </row>
    <row r="99" spans="1:9" ht="12">
      <c r="A99" s="71">
        <f t="shared" si="2"/>
        <v>98</v>
      </c>
      <c r="B99" s="83" t="s">
        <v>74</v>
      </c>
      <c r="C99" s="201" t="s">
        <v>214</v>
      </c>
      <c r="D99" s="202" t="s">
        <v>216</v>
      </c>
      <c r="E99" s="89" t="s">
        <v>57</v>
      </c>
      <c r="F99" s="83"/>
      <c r="G99" s="83" t="s">
        <v>127</v>
      </c>
      <c r="H99" s="83" t="s">
        <v>128</v>
      </c>
      <c r="I99" s="83"/>
    </row>
    <row r="100" spans="1:9" ht="12">
      <c r="A100" s="71">
        <f t="shared" si="2"/>
        <v>99</v>
      </c>
      <c r="B100" s="83" t="s">
        <v>74</v>
      </c>
      <c r="C100" s="201" t="s">
        <v>214</v>
      </c>
      <c r="D100" s="202" t="s">
        <v>217</v>
      </c>
      <c r="E100" s="89" t="s">
        <v>57</v>
      </c>
      <c r="F100" s="83"/>
      <c r="G100" s="83" t="s">
        <v>127</v>
      </c>
      <c r="H100" s="83" t="s">
        <v>128</v>
      </c>
      <c r="I100" s="83"/>
    </row>
    <row r="101" spans="1:9" ht="12">
      <c r="A101" s="71">
        <f t="shared" si="2"/>
        <v>100</v>
      </c>
      <c r="B101" s="83" t="s">
        <v>74</v>
      </c>
      <c r="C101" s="201" t="s">
        <v>214</v>
      </c>
      <c r="D101" s="202" t="s">
        <v>218</v>
      </c>
      <c r="E101" s="89" t="s">
        <v>57</v>
      </c>
      <c r="F101" s="83"/>
      <c r="G101" s="83" t="s">
        <v>127</v>
      </c>
      <c r="H101" s="83" t="s">
        <v>128</v>
      </c>
      <c r="I101" s="83"/>
    </row>
    <row r="102" spans="1:9" ht="12">
      <c r="A102" s="71">
        <f t="shared" si="2"/>
        <v>101</v>
      </c>
      <c r="B102" s="83" t="s">
        <v>74</v>
      </c>
      <c r="C102" s="201" t="s">
        <v>219</v>
      </c>
      <c r="D102" s="202" t="s">
        <v>220</v>
      </c>
      <c r="E102" s="89" t="s">
        <v>57</v>
      </c>
      <c r="F102" s="83"/>
      <c r="G102" s="83" t="s">
        <v>127</v>
      </c>
      <c r="H102" s="83" t="s">
        <v>128</v>
      </c>
      <c r="I102" s="83"/>
    </row>
    <row r="103" spans="1:9" ht="12">
      <c r="A103" s="71">
        <f t="shared" si="2"/>
        <v>102</v>
      </c>
      <c r="B103" s="83" t="s">
        <v>74</v>
      </c>
      <c r="C103" s="201" t="s">
        <v>219</v>
      </c>
      <c r="D103" s="202" t="s">
        <v>221</v>
      </c>
      <c r="E103" s="89" t="s">
        <v>57</v>
      </c>
      <c r="F103" s="83"/>
      <c r="G103" s="83" t="s">
        <v>127</v>
      </c>
      <c r="H103" s="83" t="s">
        <v>128</v>
      </c>
      <c r="I103" s="83"/>
    </row>
    <row r="104" spans="1:9" ht="12">
      <c r="A104" s="71">
        <f t="shared" si="2"/>
        <v>103</v>
      </c>
      <c r="B104" s="83" t="s">
        <v>74</v>
      </c>
      <c r="C104" s="201" t="s">
        <v>219</v>
      </c>
      <c r="D104" s="202" t="s">
        <v>222</v>
      </c>
      <c r="E104" s="89" t="s">
        <v>57</v>
      </c>
      <c r="F104" s="83"/>
      <c r="G104" s="83" t="s">
        <v>127</v>
      </c>
      <c r="H104" s="83" t="s">
        <v>128</v>
      </c>
      <c r="I104" s="83"/>
    </row>
    <row r="105" spans="1:9" ht="12">
      <c r="A105" s="71">
        <f t="shared" si="2"/>
        <v>104</v>
      </c>
      <c r="B105" s="83" t="s">
        <v>74</v>
      </c>
      <c r="C105" s="201" t="s">
        <v>219</v>
      </c>
      <c r="D105" s="202" t="s">
        <v>223</v>
      </c>
      <c r="E105" s="89" t="s">
        <v>57</v>
      </c>
      <c r="F105" s="83"/>
      <c r="G105" s="83" t="s">
        <v>127</v>
      </c>
      <c r="H105" s="83" t="s">
        <v>128</v>
      </c>
      <c r="I105" s="83"/>
    </row>
    <row r="106" spans="1:9" ht="12">
      <c r="A106" s="71">
        <f t="shared" si="2"/>
        <v>105</v>
      </c>
      <c r="B106" s="83" t="s">
        <v>74</v>
      </c>
      <c r="C106" s="201" t="s">
        <v>224</v>
      </c>
      <c r="D106" s="202" t="s">
        <v>225</v>
      </c>
      <c r="E106" s="89" t="s">
        <v>57</v>
      </c>
      <c r="F106" s="83"/>
      <c r="G106" s="83" t="s">
        <v>127</v>
      </c>
      <c r="H106" s="83" t="s">
        <v>128</v>
      </c>
      <c r="I106" s="83"/>
    </row>
    <row r="107" spans="1:9" ht="12">
      <c r="A107" s="71">
        <f t="shared" si="2"/>
        <v>106</v>
      </c>
      <c r="B107" s="83" t="s">
        <v>74</v>
      </c>
      <c r="C107" s="201" t="s">
        <v>224</v>
      </c>
      <c r="D107" s="202" t="s">
        <v>226</v>
      </c>
      <c r="E107" s="89" t="s">
        <v>57</v>
      </c>
      <c r="F107" s="83"/>
      <c r="G107" s="83" t="s">
        <v>127</v>
      </c>
      <c r="H107" s="83" t="s">
        <v>128</v>
      </c>
      <c r="I107" s="83"/>
    </row>
    <row r="108" spans="1:9" ht="12">
      <c r="A108" s="71">
        <f t="shared" si="2"/>
        <v>107</v>
      </c>
      <c r="B108" s="83" t="s">
        <v>74</v>
      </c>
      <c r="C108" s="201" t="s">
        <v>224</v>
      </c>
      <c r="D108" s="202" t="s">
        <v>227</v>
      </c>
      <c r="E108" s="89" t="s">
        <v>57</v>
      </c>
      <c r="F108" s="83"/>
      <c r="G108" s="83" t="s">
        <v>127</v>
      </c>
      <c r="H108" s="83" t="s">
        <v>128</v>
      </c>
      <c r="I108" s="83"/>
    </row>
    <row r="109" spans="1:9" ht="12">
      <c r="A109" s="71">
        <f t="shared" si="2"/>
        <v>108</v>
      </c>
      <c r="B109" s="83" t="s">
        <v>74</v>
      </c>
      <c r="C109" s="201" t="s">
        <v>224</v>
      </c>
      <c r="D109" s="202" t="s">
        <v>228</v>
      </c>
      <c r="E109" s="89" t="s">
        <v>57</v>
      </c>
      <c r="F109" s="83"/>
      <c r="G109" s="83" t="s">
        <v>127</v>
      </c>
      <c r="H109" s="83" t="s">
        <v>128</v>
      </c>
      <c r="I109" s="83"/>
    </row>
    <row r="110" spans="1:9" ht="12">
      <c r="A110" s="71">
        <f t="shared" si="2"/>
        <v>109</v>
      </c>
      <c r="B110" s="83" t="s">
        <v>74</v>
      </c>
      <c r="C110" s="201" t="s">
        <v>229</v>
      </c>
      <c r="D110" s="202" t="s">
        <v>230</v>
      </c>
      <c r="E110" s="89" t="s">
        <v>57</v>
      </c>
      <c r="F110" s="83"/>
      <c r="G110" s="83" t="s">
        <v>127</v>
      </c>
      <c r="H110" s="83" t="s">
        <v>128</v>
      </c>
      <c r="I110" s="83"/>
    </row>
    <row r="111" spans="1:9" ht="12">
      <c r="A111" s="71">
        <f t="shared" si="2"/>
        <v>110</v>
      </c>
      <c r="B111" s="83" t="s">
        <v>74</v>
      </c>
      <c r="C111" s="201" t="s">
        <v>229</v>
      </c>
      <c r="D111" s="202" t="s">
        <v>231</v>
      </c>
      <c r="E111" s="89" t="s">
        <v>57</v>
      </c>
      <c r="F111" s="83"/>
      <c r="G111" s="83" t="s">
        <v>127</v>
      </c>
      <c r="H111" s="83" t="s">
        <v>128</v>
      </c>
      <c r="I111" s="83"/>
    </row>
    <row r="112" spans="1:9" ht="12">
      <c r="A112" s="71">
        <f t="shared" si="2"/>
        <v>111</v>
      </c>
      <c r="B112" s="83" t="s">
        <v>74</v>
      </c>
      <c r="C112" s="201" t="s">
        <v>229</v>
      </c>
      <c r="D112" s="202" t="s">
        <v>232</v>
      </c>
      <c r="E112" s="89" t="s">
        <v>57</v>
      </c>
      <c r="F112" s="83"/>
      <c r="G112" s="83" t="s">
        <v>127</v>
      </c>
      <c r="H112" s="83" t="s">
        <v>128</v>
      </c>
      <c r="I112" s="83"/>
    </row>
    <row r="113" spans="1:9" ht="12">
      <c r="A113" s="71">
        <f t="shared" si="2"/>
        <v>112</v>
      </c>
      <c r="B113" s="83" t="s">
        <v>74</v>
      </c>
      <c r="C113" s="201" t="s">
        <v>229</v>
      </c>
      <c r="D113" s="202" t="s">
        <v>233</v>
      </c>
      <c r="E113" s="89" t="s">
        <v>57</v>
      </c>
      <c r="F113" s="83"/>
      <c r="G113" s="83" t="s">
        <v>127</v>
      </c>
      <c r="H113" s="83" t="s">
        <v>128</v>
      </c>
      <c r="I113" s="83"/>
    </row>
    <row r="114" spans="1:9" ht="12">
      <c r="A114" s="71">
        <f t="shared" si="2"/>
        <v>113</v>
      </c>
      <c r="B114" s="83" t="s">
        <v>74</v>
      </c>
      <c r="C114" s="201" t="s">
        <v>234</v>
      </c>
      <c r="D114" s="202" t="s">
        <v>235</v>
      </c>
      <c r="E114" s="89" t="s">
        <v>57</v>
      </c>
      <c r="F114" s="83"/>
      <c r="G114" s="83" t="s">
        <v>127</v>
      </c>
      <c r="H114" s="83" t="s">
        <v>128</v>
      </c>
      <c r="I114" s="83"/>
    </row>
    <row r="115" spans="1:9" ht="12">
      <c r="A115" s="71">
        <f t="shared" si="2"/>
        <v>114</v>
      </c>
      <c r="B115" s="83" t="s">
        <v>74</v>
      </c>
      <c r="C115" s="201" t="s">
        <v>234</v>
      </c>
      <c r="D115" s="202" t="s">
        <v>236</v>
      </c>
      <c r="E115" s="89" t="s">
        <v>57</v>
      </c>
      <c r="F115" s="83"/>
      <c r="G115" s="83" t="s">
        <v>127</v>
      </c>
      <c r="H115" s="83" t="s">
        <v>128</v>
      </c>
      <c r="I115" s="83"/>
    </row>
    <row r="116" spans="1:9" ht="12">
      <c r="A116" s="71">
        <f t="shared" si="2"/>
        <v>115</v>
      </c>
      <c r="B116" s="83" t="s">
        <v>74</v>
      </c>
      <c r="C116" s="201" t="s">
        <v>234</v>
      </c>
      <c r="D116" s="202" t="s">
        <v>237</v>
      </c>
      <c r="E116" s="89" t="s">
        <v>57</v>
      </c>
      <c r="F116" s="83"/>
      <c r="G116" s="83" t="s">
        <v>127</v>
      </c>
      <c r="H116" s="83" t="s">
        <v>128</v>
      </c>
      <c r="I116" s="83"/>
    </row>
    <row r="117" spans="1:9" ht="12">
      <c r="A117" s="71">
        <f t="shared" si="2"/>
        <v>116</v>
      </c>
      <c r="B117" s="83" t="s">
        <v>74</v>
      </c>
      <c r="C117" s="201" t="s">
        <v>234</v>
      </c>
      <c r="D117" s="202" t="s">
        <v>238</v>
      </c>
      <c r="E117" s="89" t="s">
        <v>57</v>
      </c>
      <c r="F117" s="83"/>
      <c r="G117" s="83" t="s">
        <v>127</v>
      </c>
      <c r="H117" s="83" t="s">
        <v>128</v>
      </c>
      <c r="I117" s="83"/>
    </row>
    <row r="118" spans="1:9" ht="12">
      <c r="A118" s="71">
        <f t="shared" si="2"/>
        <v>117</v>
      </c>
      <c r="B118" s="83" t="s">
        <v>74</v>
      </c>
      <c r="C118" s="201" t="s">
        <v>239</v>
      </c>
      <c r="D118" s="202" t="s">
        <v>240</v>
      </c>
      <c r="E118" s="89" t="s">
        <v>57</v>
      </c>
      <c r="F118" s="83"/>
      <c r="G118" s="83" t="s">
        <v>127</v>
      </c>
      <c r="H118" s="83" t="s">
        <v>128</v>
      </c>
      <c r="I118" s="83"/>
    </row>
    <row r="119" spans="1:9" ht="12">
      <c r="A119" s="71">
        <f t="shared" si="2"/>
        <v>118</v>
      </c>
      <c r="B119" s="83" t="s">
        <v>74</v>
      </c>
      <c r="C119" s="201" t="s">
        <v>239</v>
      </c>
      <c r="D119" s="202" t="s">
        <v>241</v>
      </c>
      <c r="E119" s="89" t="s">
        <v>57</v>
      </c>
      <c r="F119" s="83"/>
      <c r="G119" s="83" t="s">
        <v>127</v>
      </c>
      <c r="H119" s="83" t="s">
        <v>128</v>
      </c>
      <c r="I119" s="83"/>
    </row>
    <row r="120" spans="1:9" ht="12">
      <c r="A120" s="71">
        <f t="shared" si="2"/>
        <v>119</v>
      </c>
      <c r="B120" s="83" t="s">
        <v>74</v>
      </c>
      <c r="C120" s="201" t="s">
        <v>239</v>
      </c>
      <c r="D120" s="202" t="s">
        <v>242</v>
      </c>
      <c r="E120" s="89" t="s">
        <v>57</v>
      </c>
      <c r="F120" s="83"/>
      <c r="G120" s="83" t="s">
        <v>127</v>
      </c>
      <c r="H120" s="83" t="s">
        <v>128</v>
      </c>
      <c r="I120" s="83"/>
    </row>
    <row r="121" spans="1:9" ht="12">
      <c r="A121" s="71">
        <f t="shared" si="2"/>
        <v>120</v>
      </c>
      <c r="B121" s="83" t="s">
        <v>74</v>
      </c>
      <c r="C121" s="201" t="s">
        <v>239</v>
      </c>
      <c r="D121" s="202" t="s">
        <v>243</v>
      </c>
      <c r="E121" s="89" t="s">
        <v>57</v>
      </c>
      <c r="F121" s="83"/>
      <c r="G121" s="83" t="s">
        <v>127</v>
      </c>
      <c r="H121" s="83" t="s">
        <v>128</v>
      </c>
      <c r="I121" s="83"/>
    </row>
    <row r="122" spans="1:9" ht="12">
      <c r="A122" s="71">
        <f t="shared" si="2"/>
        <v>121</v>
      </c>
      <c r="B122" s="83" t="s">
        <v>74</v>
      </c>
      <c r="C122" s="201" t="s">
        <v>244</v>
      </c>
      <c r="D122" s="202" t="s">
        <v>245</v>
      </c>
      <c r="E122" s="89" t="s">
        <v>57</v>
      </c>
      <c r="F122" s="83"/>
      <c r="G122" s="83" t="s">
        <v>127</v>
      </c>
      <c r="H122" s="83" t="s">
        <v>128</v>
      </c>
      <c r="I122" s="83"/>
    </row>
    <row r="123" spans="1:9" ht="12">
      <c r="A123" s="71">
        <f t="shared" si="2"/>
        <v>122</v>
      </c>
      <c r="B123" s="83" t="s">
        <v>74</v>
      </c>
      <c r="C123" s="201" t="s">
        <v>244</v>
      </c>
      <c r="D123" s="202" t="s">
        <v>246</v>
      </c>
      <c r="E123" s="89" t="s">
        <v>57</v>
      </c>
      <c r="F123" s="83"/>
      <c r="G123" s="83" t="s">
        <v>127</v>
      </c>
      <c r="H123" s="83" t="s">
        <v>128</v>
      </c>
      <c r="I123" s="83"/>
    </row>
    <row r="124" spans="1:9" ht="12">
      <c r="A124" s="71">
        <f t="shared" si="2"/>
        <v>123</v>
      </c>
      <c r="B124" s="83" t="s">
        <v>74</v>
      </c>
      <c r="C124" s="201" t="s">
        <v>244</v>
      </c>
      <c r="D124" s="202" t="s">
        <v>247</v>
      </c>
      <c r="E124" s="89" t="s">
        <v>57</v>
      </c>
      <c r="F124" s="83"/>
      <c r="G124" s="83" t="s">
        <v>127</v>
      </c>
      <c r="H124" s="83" t="s">
        <v>128</v>
      </c>
      <c r="I124" s="83"/>
    </row>
    <row r="125" spans="1:9" ht="12">
      <c r="A125" s="71">
        <f t="shared" si="2"/>
        <v>124</v>
      </c>
      <c r="B125" s="83" t="s">
        <v>74</v>
      </c>
      <c r="C125" s="201" t="s">
        <v>244</v>
      </c>
      <c r="D125" s="202" t="s">
        <v>248</v>
      </c>
      <c r="E125" s="89" t="s">
        <v>57</v>
      </c>
      <c r="F125" s="83"/>
      <c r="G125" s="83" t="s">
        <v>127</v>
      </c>
      <c r="H125" s="83" t="s">
        <v>128</v>
      </c>
      <c r="I125" s="83"/>
    </row>
    <row r="126" spans="1:9" ht="12">
      <c r="A126" s="71">
        <f t="shared" si="2"/>
        <v>125</v>
      </c>
      <c r="B126" s="83" t="s">
        <v>74</v>
      </c>
      <c r="C126" s="201" t="s">
        <v>249</v>
      </c>
      <c r="D126" s="202" t="s">
        <v>250</v>
      </c>
      <c r="E126" s="89" t="s">
        <v>57</v>
      </c>
      <c r="F126" s="83"/>
      <c r="G126" s="83" t="s">
        <v>127</v>
      </c>
      <c r="H126" s="83" t="s">
        <v>128</v>
      </c>
      <c r="I126" s="83"/>
    </row>
    <row r="127" spans="1:9" ht="12">
      <c r="A127" s="71">
        <f t="shared" si="2"/>
        <v>126</v>
      </c>
      <c r="B127" s="83" t="s">
        <v>74</v>
      </c>
      <c r="C127" s="201" t="s">
        <v>249</v>
      </c>
      <c r="D127" s="202" t="s">
        <v>251</v>
      </c>
      <c r="E127" s="89" t="s">
        <v>57</v>
      </c>
      <c r="F127" s="83"/>
      <c r="G127" s="83" t="s">
        <v>127</v>
      </c>
      <c r="H127" s="83" t="s">
        <v>128</v>
      </c>
      <c r="I127" s="83"/>
    </row>
    <row r="128" spans="1:9" ht="12">
      <c r="A128" s="71">
        <f t="shared" si="2"/>
        <v>127</v>
      </c>
      <c r="B128" s="83" t="s">
        <v>74</v>
      </c>
      <c r="C128" s="201" t="s">
        <v>249</v>
      </c>
      <c r="D128" s="202" t="s">
        <v>252</v>
      </c>
      <c r="E128" s="89" t="s">
        <v>57</v>
      </c>
      <c r="F128" s="83"/>
      <c r="G128" s="83" t="s">
        <v>127</v>
      </c>
      <c r="H128" s="83" t="s">
        <v>128</v>
      </c>
      <c r="I128" s="83"/>
    </row>
    <row r="129" spans="1:9" ht="12">
      <c r="A129" s="71">
        <f t="shared" si="2"/>
        <v>128</v>
      </c>
      <c r="B129" s="83" t="s">
        <v>74</v>
      </c>
      <c r="C129" s="201" t="s">
        <v>249</v>
      </c>
      <c r="D129" s="202" t="s">
        <v>253</v>
      </c>
      <c r="E129" s="89" t="s">
        <v>57</v>
      </c>
      <c r="F129" s="83"/>
      <c r="G129" s="83" t="s">
        <v>127</v>
      </c>
      <c r="H129" s="83" t="s">
        <v>128</v>
      </c>
      <c r="I129" s="83"/>
    </row>
    <row r="130" spans="1:9" ht="12">
      <c r="A130" s="71">
        <f t="shared" si="2"/>
        <v>129</v>
      </c>
      <c r="B130" s="83" t="s">
        <v>74</v>
      </c>
      <c r="C130" s="201" t="s">
        <v>254</v>
      </c>
      <c r="D130" s="202" t="s">
        <v>255</v>
      </c>
      <c r="E130" s="89" t="s">
        <v>57</v>
      </c>
      <c r="F130" s="83"/>
      <c r="G130" s="83" t="s">
        <v>127</v>
      </c>
      <c r="H130" s="83" t="s">
        <v>128</v>
      </c>
      <c r="I130" s="83"/>
    </row>
    <row r="131" spans="1:9" ht="12">
      <c r="A131" s="71">
        <f t="shared" si="2"/>
        <v>130</v>
      </c>
      <c r="B131" s="83" t="s">
        <v>74</v>
      </c>
      <c r="C131" s="201" t="s">
        <v>254</v>
      </c>
      <c r="D131" s="202" t="s">
        <v>256</v>
      </c>
      <c r="E131" s="89" t="s">
        <v>57</v>
      </c>
      <c r="F131" s="83"/>
      <c r="G131" s="83" t="s">
        <v>127</v>
      </c>
      <c r="H131" s="83" t="s">
        <v>128</v>
      </c>
      <c r="I131" s="83"/>
    </row>
    <row r="132" spans="1:9" ht="12">
      <c r="A132" s="71">
        <f t="shared" si="2"/>
        <v>131</v>
      </c>
      <c r="B132" s="83" t="s">
        <v>74</v>
      </c>
      <c r="C132" s="201" t="s">
        <v>254</v>
      </c>
      <c r="D132" s="202" t="s">
        <v>257</v>
      </c>
      <c r="E132" s="89" t="s">
        <v>57</v>
      </c>
      <c r="F132" s="83"/>
      <c r="G132" s="83" t="s">
        <v>127</v>
      </c>
      <c r="H132" s="83" t="s">
        <v>128</v>
      </c>
      <c r="I132" s="83"/>
    </row>
    <row r="133" spans="1:9" ht="12">
      <c r="A133" s="71">
        <f t="shared" si="2"/>
        <v>132</v>
      </c>
      <c r="B133" s="83" t="s">
        <v>74</v>
      </c>
      <c r="C133" s="201" t="s">
        <v>254</v>
      </c>
      <c r="D133" s="202" t="s">
        <v>258</v>
      </c>
      <c r="E133" s="89" t="s">
        <v>57</v>
      </c>
      <c r="F133" s="83"/>
      <c r="G133" s="83" t="s">
        <v>127</v>
      </c>
      <c r="H133" s="83" t="s">
        <v>128</v>
      </c>
      <c r="I133" s="83"/>
    </row>
    <row r="134" spans="1:9" ht="12">
      <c r="A134" s="71">
        <f t="shared" si="2"/>
        <v>133</v>
      </c>
      <c r="B134" s="83" t="s">
        <v>74</v>
      </c>
      <c r="C134" s="201" t="s">
        <v>259</v>
      </c>
      <c r="D134" s="202" t="s">
        <v>260</v>
      </c>
      <c r="E134" s="89" t="s">
        <v>57</v>
      </c>
      <c r="F134" s="83"/>
      <c r="G134" s="83" t="s">
        <v>127</v>
      </c>
      <c r="H134" s="83" t="s">
        <v>128</v>
      </c>
      <c r="I134" s="83"/>
    </row>
    <row r="135" spans="1:9" ht="12">
      <c r="A135" s="71">
        <f t="shared" si="2"/>
        <v>134</v>
      </c>
      <c r="B135" s="83" t="s">
        <v>74</v>
      </c>
      <c r="C135" s="201" t="s">
        <v>259</v>
      </c>
      <c r="D135" s="202" t="s">
        <v>261</v>
      </c>
      <c r="E135" s="89" t="s">
        <v>57</v>
      </c>
      <c r="F135" s="83"/>
      <c r="G135" s="83" t="s">
        <v>127</v>
      </c>
      <c r="H135" s="83" t="s">
        <v>128</v>
      </c>
      <c r="I135" s="83"/>
    </row>
    <row r="136" spans="1:9" ht="12">
      <c r="A136" s="71">
        <f t="shared" si="2"/>
        <v>135</v>
      </c>
      <c r="B136" s="83" t="s">
        <v>74</v>
      </c>
      <c r="C136" s="201" t="s">
        <v>259</v>
      </c>
      <c r="D136" s="202" t="s">
        <v>262</v>
      </c>
      <c r="E136" s="89" t="s">
        <v>57</v>
      </c>
      <c r="F136" s="83"/>
      <c r="G136" s="83" t="s">
        <v>127</v>
      </c>
      <c r="H136" s="83" t="s">
        <v>128</v>
      </c>
      <c r="I136" s="83"/>
    </row>
    <row r="137" spans="1:9" ht="12">
      <c r="A137" s="71">
        <f t="shared" si="2"/>
        <v>136</v>
      </c>
      <c r="B137" s="83" t="s">
        <v>74</v>
      </c>
      <c r="C137" s="201" t="s">
        <v>259</v>
      </c>
      <c r="D137" s="202" t="s">
        <v>263</v>
      </c>
      <c r="E137" s="89" t="s">
        <v>57</v>
      </c>
      <c r="F137" s="83"/>
      <c r="G137" s="83" t="s">
        <v>127</v>
      </c>
      <c r="H137" s="83" t="s">
        <v>128</v>
      </c>
      <c r="I137" s="83"/>
    </row>
    <row r="138" spans="1:9" ht="12">
      <c r="A138" s="71">
        <f t="shared" si="2"/>
        <v>137</v>
      </c>
      <c r="B138" s="83" t="s">
        <v>74</v>
      </c>
      <c r="C138" s="201" t="s">
        <v>264</v>
      </c>
      <c r="D138" s="202" t="s">
        <v>265</v>
      </c>
      <c r="E138" s="89" t="s">
        <v>57</v>
      </c>
      <c r="F138" s="83"/>
      <c r="G138" s="83" t="s">
        <v>127</v>
      </c>
      <c r="H138" s="83" t="s">
        <v>128</v>
      </c>
      <c r="I138" s="83"/>
    </row>
    <row r="139" spans="1:9" ht="12">
      <c r="A139" s="71">
        <f t="shared" ref="A139:A202" si="3">ROW()-1</f>
        <v>138</v>
      </c>
      <c r="B139" s="83" t="s">
        <v>74</v>
      </c>
      <c r="C139" s="201" t="s">
        <v>264</v>
      </c>
      <c r="D139" s="202" t="s">
        <v>266</v>
      </c>
      <c r="E139" s="89" t="s">
        <v>57</v>
      </c>
      <c r="F139" s="83"/>
      <c r="G139" s="83" t="s">
        <v>127</v>
      </c>
      <c r="H139" s="83" t="s">
        <v>128</v>
      </c>
      <c r="I139" s="83"/>
    </row>
    <row r="140" spans="1:9" ht="12">
      <c r="A140" s="71">
        <f t="shared" si="3"/>
        <v>139</v>
      </c>
      <c r="B140" s="83" t="s">
        <v>74</v>
      </c>
      <c r="C140" s="201" t="s">
        <v>264</v>
      </c>
      <c r="D140" s="202" t="s">
        <v>267</v>
      </c>
      <c r="E140" s="89" t="s">
        <v>57</v>
      </c>
      <c r="F140" s="83"/>
      <c r="G140" s="83" t="s">
        <v>127</v>
      </c>
      <c r="H140" s="83" t="s">
        <v>128</v>
      </c>
      <c r="I140" s="83"/>
    </row>
    <row r="141" spans="1:9" ht="12">
      <c r="A141" s="71">
        <f t="shared" si="3"/>
        <v>140</v>
      </c>
      <c r="B141" s="83" t="s">
        <v>74</v>
      </c>
      <c r="C141" s="201" t="s">
        <v>264</v>
      </c>
      <c r="D141" s="202" t="s">
        <v>268</v>
      </c>
      <c r="E141" s="89" t="s">
        <v>57</v>
      </c>
      <c r="F141" s="83"/>
      <c r="G141" s="83" t="s">
        <v>127</v>
      </c>
      <c r="H141" s="83" t="s">
        <v>128</v>
      </c>
      <c r="I141" s="83"/>
    </row>
    <row r="142" spans="1:9" ht="12">
      <c r="A142" s="71">
        <f t="shared" si="3"/>
        <v>141</v>
      </c>
      <c r="B142" s="83" t="s">
        <v>74</v>
      </c>
      <c r="C142" s="201" t="s">
        <v>269</v>
      </c>
      <c r="D142" s="202" t="s">
        <v>270</v>
      </c>
      <c r="E142" s="89" t="s">
        <v>57</v>
      </c>
      <c r="F142" s="83"/>
      <c r="G142" s="83" t="s">
        <v>127</v>
      </c>
      <c r="H142" s="83" t="s">
        <v>128</v>
      </c>
      <c r="I142" s="83"/>
    </row>
    <row r="143" spans="1:9" ht="12">
      <c r="A143" s="71">
        <f t="shared" si="3"/>
        <v>142</v>
      </c>
      <c r="B143" s="83" t="s">
        <v>74</v>
      </c>
      <c r="C143" s="201" t="s">
        <v>269</v>
      </c>
      <c r="D143" s="202" t="s">
        <v>271</v>
      </c>
      <c r="E143" s="89" t="s">
        <v>57</v>
      </c>
      <c r="F143" s="83"/>
      <c r="G143" s="83" t="s">
        <v>127</v>
      </c>
      <c r="H143" s="83" t="s">
        <v>128</v>
      </c>
      <c r="I143" s="83"/>
    </row>
    <row r="144" spans="1:9" ht="12">
      <c r="A144" s="71">
        <f t="shared" si="3"/>
        <v>143</v>
      </c>
      <c r="B144" s="83" t="s">
        <v>74</v>
      </c>
      <c r="C144" s="201" t="s">
        <v>269</v>
      </c>
      <c r="D144" s="202" t="s">
        <v>272</v>
      </c>
      <c r="E144" s="89" t="s">
        <v>57</v>
      </c>
      <c r="F144" s="83"/>
      <c r="G144" s="83" t="s">
        <v>127</v>
      </c>
      <c r="H144" s="83" t="s">
        <v>128</v>
      </c>
      <c r="I144" s="83"/>
    </row>
    <row r="145" spans="1:9" ht="12">
      <c r="A145" s="71">
        <f t="shared" si="3"/>
        <v>144</v>
      </c>
      <c r="B145" s="83" t="s">
        <v>74</v>
      </c>
      <c r="C145" s="201" t="s">
        <v>269</v>
      </c>
      <c r="D145" s="202" t="s">
        <v>273</v>
      </c>
      <c r="E145" s="89" t="s">
        <v>57</v>
      </c>
      <c r="F145" s="83"/>
      <c r="G145" s="83" t="s">
        <v>127</v>
      </c>
      <c r="H145" s="83" t="s">
        <v>128</v>
      </c>
      <c r="I145" s="83"/>
    </row>
    <row r="146" spans="1:9" ht="12">
      <c r="A146" s="71">
        <f t="shared" si="3"/>
        <v>145</v>
      </c>
      <c r="B146" s="83" t="s">
        <v>74</v>
      </c>
      <c r="C146" s="201" t="s">
        <v>274</v>
      </c>
      <c r="D146" s="202" t="s">
        <v>275</v>
      </c>
      <c r="E146" s="89" t="s">
        <v>57</v>
      </c>
      <c r="F146" s="83"/>
      <c r="G146" s="83" t="s">
        <v>127</v>
      </c>
      <c r="H146" s="83" t="s">
        <v>128</v>
      </c>
      <c r="I146" s="83"/>
    </row>
    <row r="147" spans="1:9" ht="12">
      <c r="A147" s="71">
        <f t="shared" si="3"/>
        <v>146</v>
      </c>
      <c r="B147" s="83" t="s">
        <v>74</v>
      </c>
      <c r="C147" s="201" t="s">
        <v>274</v>
      </c>
      <c r="D147" s="202" t="s">
        <v>276</v>
      </c>
      <c r="E147" s="89" t="s">
        <v>57</v>
      </c>
      <c r="F147" s="83"/>
      <c r="G147" s="83" t="s">
        <v>127</v>
      </c>
      <c r="H147" s="83" t="s">
        <v>128</v>
      </c>
      <c r="I147" s="83"/>
    </row>
    <row r="148" spans="1:9" ht="12">
      <c r="A148" s="71">
        <f t="shared" si="3"/>
        <v>147</v>
      </c>
      <c r="B148" s="83" t="s">
        <v>74</v>
      </c>
      <c r="C148" s="201" t="s">
        <v>274</v>
      </c>
      <c r="D148" s="202" t="s">
        <v>277</v>
      </c>
      <c r="E148" s="89" t="s">
        <v>57</v>
      </c>
      <c r="F148" s="83"/>
      <c r="G148" s="83" t="s">
        <v>127</v>
      </c>
      <c r="H148" s="83" t="s">
        <v>128</v>
      </c>
      <c r="I148" s="83"/>
    </row>
    <row r="149" spans="1:9" ht="12">
      <c r="A149" s="71">
        <f t="shared" si="3"/>
        <v>148</v>
      </c>
      <c r="B149" s="83" t="s">
        <v>74</v>
      </c>
      <c r="C149" s="201" t="s">
        <v>274</v>
      </c>
      <c r="D149" s="202" t="s">
        <v>278</v>
      </c>
      <c r="E149" s="89" t="s">
        <v>57</v>
      </c>
      <c r="F149" s="83"/>
      <c r="G149" s="83" t="s">
        <v>127</v>
      </c>
      <c r="H149" s="83" t="s">
        <v>128</v>
      </c>
      <c r="I149" s="83"/>
    </row>
    <row r="150" spans="1:9" ht="12">
      <c r="A150" s="71">
        <f t="shared" si="3"/>
        <v>149</v>
      </c>
      <c r="B150" s="83" t="s">
        <v>74</v>
      </c>
      <c r="C150" s="201" t="s">
        <v>279</v>
      </c>
      <c r="D150" s="202" t="s">
        <v>280</v>
      </c>
      <c r="E150" s="89" t="s">
        <v>57</v>
      </c>
      <c r="F150" s="83"/>
      <c r="G150" s="83" t="s">
        <v>127</v>
      </c>
      <c r="H150" s="83" t="s">
        <v>128</v>
      </c>
      <c r="I150" s="83"/>
    </row>
    <row r="151" spans="1:9" ht="12">
      <c r="A151" s="71">
        <f t="shared" si="3"/>
        <v>150</v>
      </c>
      <c r="B151" s="83" t="s">
        <v>74</v>
      </c>
      <c r="C151" s="201" t="s">
        <v>279</v>
      </c>
      <c r="D151" s="202" t="s">
        <v>281</v>
      </c>
      <c r="E151" s="89" t="s">
        <v>57</v>
      </c>
      <c r="F151" s="83"/>
      <c r="G151" s="83" t="s">
        <v>127</v>
      </c>
      <c r="H151" s="83" t="s">
        <v>128</v>
      </c>
      <c r="I151" s="83"/>
    </row>
    <row r="152" spans="1:9" ht="12">
      <c r="A152" s="71">
        <f t="shared" si="3"/>
        <v>151</v>
      </c>
      <c r="B152" s="83" t="s">
        <v>74</v>
      </c>
      <c r="C152" s="201" t="s">
        <v>279</v>
      </c>
      <c r="D152" s="202" t="s">
        <v>282</v>
      </c>
      <c r="E152" s="89" t="s">
        <v>57</v>
      </c>
      <c r="F152" s="83"/>
      <c r="G152" s="83" t="s">
        <v>127</v>
      </c>
      <c r="H152" s="83" t="s">
        <v>128</v>
      </c>
      <c r="I152" s="83"/>
    </row>
    <row r="153" spans="1:9" ht="12">
      <c r="A153" s="71">
        <f t="shared" si="3"/>
        <v>152</v>
      </c>
      <c r="B153" s="83" t="s">
        <v>74</v>
      </c>
      <c r="C153" s="201" t="s">
        <v>279</v>
      </c>
      <c r="D153" s="202" t="s">
        <v>283</v>
      </c>
      <c r="E153" s="89" t="s">
        <v>57</v>
      </c>
      <c r="F153" s="83"/>
      <c r="G153" s="83" t="s">
        <v>127</v>
      </c>
      <c r="H153" s="83" t="s">
        <v>128</v>
      </c>
      <c r="I153" s="83"/>
    </row>
    <row r="154" spans="1:9" ht="12">
      <c r="A154" s="71">
        <f t="shared" si="3"/>
        <v>153</v>
      </c>
      <c r="B154" s="83" t="s">
        <v>74</v>
      </c>
      <c r="C154" s="201" t="s">
        <v>284</v>
      </c>
      <c r="D154" s="202" t="s">
        <v>285</v>
      </c>
      <c r="E154" s="89" t="s">
        <v>57</v>
      </c>
      <c r="F154" s="83"/>
      <c r="G154" s="83" t="s">
        <v>127</v>
      </c>
      <c r="H154" s="83" t="s">
        <v>128</v>
      </c>
      <c r="I154" s="83"/>
    </row>
    <row r="155" spans="1:9" ht="12">
      <c r="A155" s="71">
        <f t="shared" si="3"/>
        <v>154</v>
      </c>
      <c r="B155" s="83" t="s">
        <v>74</v>
      </c>
      <c r="C155" s="201" t="s">
        <v>284</v>
      </c>
      <c r="D155" s="202" t="s">
        <v>286</v>
      </c>
      <c r="E155" s="89" t="s">
        <v>57</v>
      </c>
      <c r="F155" s="83"/>
      <c r="G155" s="83" t="s">
        <v>127</v>
      </c>
      <c r="H155" s="83" t="s">
        <v>128</v>
      </c>
      <c r="I155" s="83"/>
    </row>
    <row r="156" spans="1:9" ht="12">
      <c r="A156" s="71">
        <f t="shared" si="3"/>
        <v>155</v>
      </c>
      <c r="B156" s="83" t="s">
        <v>74</v>
      </c>
      <c r="C156" s="201" t="s">
        <v>284</v>
      </c>
      <c r="D156" s="202" t="s">
        <v>287</v>
      </c>
      <c r="E156" s="89" t="s">
        <v>57</v>
      </c>
      <c r="F156" s="83"/>
      <c r="G156" s="83" t="s">
        <v>127</v>
      </c>
      <c r="H156" s="83" t="s">
        <v>128</v>
      </c>
      <c r="I156" s="83"/>
    </row>
    <row r="157" spans="1:9" ht="12">
      <c r="A157" s="71">
        <f t="shared" si="3"/>
        <v>156</v>
      </c>
      <c r="B157" s="83" t="s">
        <v>74</v>
      </c>
      <c r="C157" s="201" t="s">
        <v>284</v>
      </c>
      <c r="D157" s="202" t="s">
        <v>288</v>
      </c>
      <c r="E157" s="89" t="s">
        <v>57</v>
      </c>
      <c r="F157" s="83"/>
      <c r="G157" s="83" t="s">
        <v>127</v>
      </c>
      <c r="H157" s="83" t="s">
        <v>128</v>
      </c>
      <c r="I157" s="83"/>
    </row>
    <row r="158" spans="1:9" ht="12">
      <c r="A158" s="71">
        <f t="shared" si="3"/>
        <v>157</v>
      </c>
      <c r="B158" s="83" t="s">
        <v>74</v>
      </c>
      <c r="C158" s="201" t="s">
        <v>289</v>
      </c>
      <c r="D158" s="202" t="s">
        <v>290</v>
      </c>
      <c r="E158" s="89" t="s">
        <v>57</v>
      </c>
      <c r="F158" s="83"/>
      <c r="G158" s="83" t="s">
        <v>127</v>
      </c>
      <c r="H158" s="83" t="s">
        <v>128</v>
      </c>
      <c r="I158" s="83"/>
    </row>
    <row r="159" spans="1:9" ht="12">
      <c r="A159" s="71">
        <f t="shared" si="3"/>
        <v>158</v>
      </c>
      <c r="B159" s="83" t="s">
        <v>74</v>
      </c>
      <c r="C159" s="201" t="s">
        <v>289</v>
      </c>
      <c r="D159" s="202" t="s">
        <v>291</v>
      </c>
      <c r="E159" s="89" t="s">
        <v>57</v>
      </c>
      <c r="F159" s="83"/>
      <c r="G159" s="83" t="s">
        <v>127</v>
      </c>
      <c r="H159" s="83" t="s">
        <v>128</v>
      </c>
      <c r="I159" s="83"/>
    </row>
    <row r="160" spans="1:9" ht="12">
      <c r="A160" s="71">
        <f t="shared" si="3"/>
        <v>159</v>
      </c>
      <c r="B160" s="83" t="s">
        <v>74</v>
      </c>
      <c r="C160" s="201" t="s">
        <v>289</v>
      </c>
      <c r="D160" s="202" t="s">
        <v>292</v>
      </c>
      <c r="E160" s="89" t="s">
        <v>57</v>
      </c>
      <c r="F160" s="83"/>
      <c r="G160" s="83" t="s">
        <v>127</v>
      </c>
      <c r="H160" s="83" t="s">
        <v>128</v>
      </c>
      <c r="I160" s="83"/>
    </row>
    <row r="161" spans="1:9" ht="12">
      <c r="A161" s="71">
        <f t="shared" si="3"/>
        <v>160</v>
      </c>
      <c r="B161" s="83" t="s">
        <v>74</v>
      </c>
      <c r="C161" s="201" t="s">
        <v>289</v>
      </c>
      <c r="D161" s="202" t="s">
        <v>293</v>
      </c>
      <c r="E161" s="89" t="s">
        <v>57</v>
      </c>
      <c r="F161" s="83"/>
      <c r="G161" s="83" t="s">
        <v>127</v>
      </c>
      <c r="H161" s="83" t="s">
        <v>128</v>
      </c>
      <c r="I161" s="83"/>
    </row>
    <row r="162" spans="1:9" ht="12">
      <c r="A162" s="71">
        <f t="shared" si="3"/>
        <v>161</v>
      </c>
      <c r="B162" s="83" t="s">
        <v>74</v>
      </c>
      <c r="C162" s="201" t="s">
        <v>294</v>
      </c>
      <c r="D162" s="202" t="s">
        <v>295</v>
      </c>
      <c r="E162" s="89" t="s">
        <v>57</v>
      </c>
      <c r="F162" s="83"/>
      <c r="G162" s="83" t="s">
        <v>127</v>
      </c>
      <c r="H162" s="83" t="s">
        <v>128</v>
      </c>
      <c r="I162" s="83"/>
    </row>
    <row r="163" spans="1:9" ht="12">
      <c r="A163" s="71">
        <f t="shared" si="3"/>
        <v>162</v>
      </c>
      <c r="B163" s="83" t="s">
        <v>74</v>
      </c>
      <c r="C163" s="201" t="s">
        <v>296</v>
      </c>
      <c r="D163" s="202" t="s">
        <v>297</v>
      </c>
      <c r="E163" s="89" t="s">
        <v>57</v>
      </c>
      <c r="F163" s="83"/>
      <c r="G163" s="83" t="s">
        <v>127</v>
      </c>
      <c r="H163" s="83" t="s">
        <v>128</v>
      </c>
      <c r="I163" s="83"/>
    </row>
    <row r="164" spans="1:9" ht="12">
      <c r="A164" s="71">
        <f t="shared" si="3"/>
        <v>163</v>
      </c>
      <c r="B164" s="83" t="s">
        <v>74</v>
      </c>
      <c r="C164" s="201" t="s">
        <v>298</v>
      </c>
      <c r="D164" s="202" t="s">
        <v>299</v>
      </c>
      <c r="E164" s="89" t="s">
        <v>57</v>
      </c>
      <c r="F164" s="83"/>
      <c r="G164" s="83" t="s">
        <v>127</v>
      </c>
      <c r="H164" s="83" t="s">
        <v>128</v>
      </c>
      <c r="I164" s="83"/>
    </row>
    <row r="165" spans="1:9" ht="12">
      <c r="A165" s="226">
        <f t="shared" si="3"/>
        <v>164</v>
      </c>
      <c r="B165" s="227" t="s">
        <v>74</v>
      </c>
      <c r="C165" s="228" t="s">
        <v>298</v>
      </c>
      <c r="D165" s="229" t="s">
        <v>300</v>
      </c>
      <c r="E165" s="230" t="s">
        <v>57</v>
      </c>
      <c r="F165" s="227"/>
      <c r="G165" s="227"/>
      <c r="H165" s="227"/>
      <c r="I165" s="227"/>
    </row>
    <row r="166" spans="1:9" ht="12">
      <c r="A166" s="226">
        <f t="shared" si="3"/>
        <v>165</v>
      </c>
      <c r="B166" s="227" t="s">
        <v>74</v>
      </c>
      <c r="C166" s="228" t="s">
        <v>298</v>
      </c>
      <c r="D166" s="229" t="s">
        <v>301</v>
      </c>
      <c r="E166" s="230" t="s">
        <v>57</v>
      </c>
      <c r="F166" s="227"/>
      <c r="G166" s="227"/>
      <c r="H166" s="227"/>
      <c r="I166" s="227"/>
    </row>
    <row r="167" spans="1:9" ht="12">
      <c r="A167" s="226">
        <f t="shared" si="3"/>
        <v>166</v>
      </c>
      <c r="B167" s="227" t="s">
        <v>74</v>
      </c>
      <c r="C167" s="228" t="s">
        <v>298</v>
      </c>
      <c r="D167" s="229" t="s">
        <v>302</v>
      </c>
      <c r="E167" s="230" t="s">
        <v>57</v>
      </c>
      <c r="F167" s="227"/>
      <c r="G167" s="227"/>
      <c r="H167" s="227"/>
      <c r="I167" s="227"/>
    </row>
    <row r="168" spans="1:9" ht="12">
      <c r="A168" s="71">
        <f t="shared" si="3"/>
        <v>167</v>
      </c>
      <c r="B168" s="83" t="s">
        <v>74</v>
      </c>
      <c r="C168" s="201" t="s">
        <v>303</v>
      </c>
      <c r="D168" s="202" t="s">
        <v>304</v>
      </c>
      <c r="E168" s="89" t="s">
        <v>57</v>
      </c>
      <c r="F168" s="83"/>
      <c r="G168" s="83" t="s">
        <v>127</v>
      </c>
      <c r="H168" s="83" t="s">
        <v>128</v>
      </c>
      <c r="I168" s="83"/>
    </row>
    <row r="169" spans="1:9" ht="12">
      <c r="A169" s="71">
        <f t="shared" si="3"/>
        <v>168</v>
      </c>
      <c r="B169" s="83" t="s">
        <v>74</v>
      </c>
      <c r="C169" s="201" t="s">
        <v>305</v>
      </c>
      <c r="D169" s="202" t="s">
        <v>306</v>
      </c>
      <c r="E169" s="89" t="s">
        <v>57</v>
      </c>
      <c r="F169" s="83"/>
      <c r="G169" s="83" t="s">
        <v>127</v>
      </c>
      <c r="H169" s="83" t="s">
        <v>128</v>
      </c>
      <c r="I169" s="83"/>
    </row>
    <row r="170" spans="1:9" ht="12">
      <c r="A170" s="71">
        <f t="shared" si="3"/>
        <v>169</v>
      </c>
      <c r="B170" s="83" t="s">
        <v>74</v>
      </c>
      <c r="C170" s="201" t="s">
        <v>305</v>
      </c>
      <c r="D170" s="202" t="s">
        <v>307</v>
      </c>
      <c r="E170" s="89" t="s">
        <v>57</v>
      </c>
      <c r="F170" s="83"/>
      <c r="G170" s="83" t="s">
        <v>127</v>
      </c>
      <c r="H170" s="83" t="s">
        <v>128</v>
      </c>
      <c r="I170" s="83"/>
    </row>
    <row r="171" spans="1:9" ht="12">
      <c r="A171" s="71">
        <f t="shared" si="3"/>
        <v>170</v>
      </c>
      <c r="B171" s="83" t="s">
        <v>74</v>
      </c>
      <c r="C171" s="201" t="s">
        <v>305</v>
      </c>
      <c r="D171" s="202" t="s">
        <v>308</v>
      </c>
      <c r="E171" s="89" t="s">
        <v>57</v>
      </c>
      <c r="F171" s="83"/>
      <c r="G171" s="83" t="s">
        <v>127</v>
      </c>
      <c r="H171" s="83" t="s">
        <v>128</v>
      </c>
      <c r="I171" s="83"/>
    </row>
    <row r="172" spans="1:9" ht="12">
      <c r="A172" s="71">
        <f t="shared" si="3"/>
        <v>171</v>
      </c>
      <c r="B172" s="83" t="s">
        <v>74</v>
      </c>
      <c r="C172" s="201" t="s">
        <v>309</v>
      </c>
      <c r="D172" s="202" t="s">
        <v>310</v>
      </c>
      <c r="E172" s="89" t="s">
        <v>57</v>
      </c>
      <c r="F172" s="83"/>
      <c r="G172" s="83" t="s">
        <v>127</v>
      </c>
      <c r="H172" s="83" t="s">
        <v>128</v>
      </c>
      <c r="I172" s="83"/>
    </row>
    <row r="173" spans="1:9" ht="12">
      <c r="A173" s="71">
        <f t="shared" si="3"/>
        <v>172</v>
      </c>
      <c r="B173" s="83" t="s">
        <v>74</v>
      </c>
      <c r="C173" s="201" t="s">
        <v>309</v>
      </c>
      <c r="D173" s="202" t="s">
        <v>311</v>
      </c>
      <c r="E173" s="89" t="s">
        <v>57</v>
      </c>
      <c r="F173" s="83"/>
      <c r="G173" s="83" t="s">
        <v>127</v>
      </c>
      <c r="H173" s="83" t="s">
        <v>128</v>
      </c>
      <c r="I173" s="83"/>
    </row>
    <row r="174" spans="1:9" ht="12">
      <c r="A174" s="71">
        <f t="shared" si="3"/>
        <v>173</v>
      </c>
      <c r="B174" s="83" t="s">
        <v>74</v>
      </c>
      <c r="C174" s="201" t="s">
        <v>309</v>
      </c>
      <c r="D174" s="202" t="s">
        <v>312</v>
      </c>
      <c r="E174" s="89" t="s">
        <v>57</v>
      </c>
      <c r="F174" s="83"/>
      <c r="G174" s="83" t="s">
        <v>127</v>
      </c>
      <c r="H174" s="83" t="s">
        <v>128</v>
      </c>
      <c r="I174" s="83"/>
    </row>
    <row r="175" spans="1:9" ht="12">
      <c r="A175" s="71">
        <f t="shared" si="3"/>
        <v>174</v>
      </c>
      <c r="B175" s="83" t="s">
        <v>74</v>
      </c>
      <c r="C175" s="201" t="s">
        <v>309</v>
      </c>
      <c r="D175" s="202" t="s">
        <v>313</v>
      </c>
      <c r="E175" s="89" t="s">
        <v>57</v>
      </c>
      <c r="F175" s="83"/>
      <c r="G175" s="83" t="s">
        <v>127</v>
      </c>
      <c r="H175" s="83" t="s">
        <v>128</v>
      </c>
      <c r="I175" s="83"/>
    </row>
    <row r="176" spans="1:9" ht="12">
      <c r="A176" s="71">
        <f t="shared" si="3"/>
        <v>175</v>
      </c>
      <c r="B176" s="83" t="s">
        <v>74</v>
      </c>
      <c r="C176" s="201" t="s">
        <v>314</v>
      </c>
      <c r="D176" s="202" t="s">
        <v>315</v>
      </c>
      <c r="E176" s="89" t="s">
        <v>57</v>
      </c>
      <c r="F176" s="83"/>
      <c r="G176" s="83" t="s">
        <v>127</v>
      </c>
      <c r="H176" s="83" t="s">
        <v>128</v>
      </c>
      <c r="I176" s="83"/>
    </row>
    <row r="177" spans="1:9" ht="12">
      <c r="A177" s="71">
        <f t="shared" si="3"/>
        <v>176</v>
      </c>
      <c r="B177" s="83" t="s">
        <v>74</v>
      </c>
      <c r="C177" s="201" t="s">
        <v>314</v>
      </c>
      <c r="D177" s="202" t="s">
        <v>316</v>
      </c>
      <c r="E177" s="89" t="s">
        <v>57</v>
      </c>
      <c r="F177" s="83"/>
      <c r="G177" s="83" t="s">
        <v>127</v>
      </c>
      <c r="H177" s="83" t="s">
        <v>128</v>
      </c>
      <c r="I177" s="83"/>
    </row>
    <row r="178" spans="1:9" ht="12">
      <c r="A178" s="71">
        <f t="shared" si="3"/>
        <v>177</v>
      </c>
      <c r="B178" s="83" t="s">
        <v>74</v>
      </c>
      <c r="C178" s="201" t="s">
        <v>314</v>
      </c>
      <c r="D178" s="202" t="s">
        <v>317</v>
      </c>
      <c r="E178" s="89" t="s">
        <v>57</v>
      </c>
      <c r="F178" s="83"/>
      <c r="G178" s="83" t="s">
        <v>127</v>
      </c>
      <c r="H178" s="83" t="s">
        <v>128</v>
      </c>
      <c r="I178" s="83"/>
    </row>
    <row r="179" spans="1:9" ht="12">
      <c r="A179" s="71">
        <f t="shared" si="3"/>
        <v>178</v>
      </c>
      <c r="B179" s="83" t="s">
        <v>74</v>
      </c>
      <c r="C179" s="201" t="s">
        <v>314</v>
      </c>
      <c r="D179" s="202" t="s">
        <v>318</v>
      </c>
      <c r="E179" s="89" t="s">
        <v>57</v>
      </c>
      <c r="F179" s="83"/>
      <c r="G179" s="83" t="s">
        <v>127</v>
      </c>
      <c r="H179" s="83" t="s">
        <v>128</v>
      </c>
      <c r="I179" s="83"/>
    </row>
    <row r="180" spans="1:9" ht="12">
      <c r="A180" s="71">
        <f t="shared" si="3"/>
        <v>179</v>
      </c>
      <c r="B180" s="83" t="s">
        <v>74</v>
      </c>
      <c r="C180" s="201" t="s">
        <v>319</v>
      </c>
      <c r="D180" s="202" t="s">
        <v>320</v>
      </c>
      <c r="E180" s="89" t="s">
        <v>57</v>
      </c>
      <c r="F180" s="83"/>
      <c r="G180" s="83" t="s">
        <v>127</v>
      </c>
      <c r="H180" s="83" t="s">
        <v>128</v>
      </c>
      <c r="I180" s="83"/>
    </row>
    <row r="181" spans="1:9" ht="12">
      <c r="A181" s="71">
        <f t="shared" si="3"/>
        <v>180</v>
      </c>
      <c r="B181" s="83" t="s">
        <v>74</v>
      </c>
      <c r="C181" s="201" t="s">
        <v>319</v>
      </c>
      <c r="D181" s="202" t="s">
        <v>321</v>
      </c>
      <c r="E181" s="89" t="s">
        <v>57</v>
      </c>
      <c r="F181" s="83"/>
      <c r="G181" s="83" t="s">
        <v>127</v>
      </c>
      <c r="H181" s="83" t="s">
        <v>128</v>
      </c>
      <c r="I181" s="83"/>
    </row>
    <row r="182" spans="1:9" ht="12">
      <c r="A182" s="71">
        <f t="shared" si="3"/>
        <v>181</v>
      </c>
      <c r="B182" s="83" t="s">
        <v>74</v>
      </c>
      <c r="C182" s="201" t="s">
        <v>319</v>
      </c>
      <c r="D182" s="202" t="s">
        <v>322</v>
      </c>
      <c r="E182" s="89" t="s">
        <v>57</v>
      </c>
      <c r="F182" s="83"/>
      <c r="G182" s="83" t="s">
        <v>127</v>
      </c>
      <c r="H182" s="83" t="s">
        <v>128</v>
      </c>
      <c r="I182" s="83"/>
    </row>
    <row r="183" spans="1:9" ht="12">
      <c r="A183" s="71">
        <f t="shared" si="3"/>
        <v>182</v>
      </c>
      <c r="B183" s="83" t="s">
        <v>74</v>
      </c>
      <c r="C183" s="201" t="s">
        <v>319</v>
      </c>
      <c r="D183" s="202" t="s">
        <v>323</v>
      </c>
      <c r="E183" s="89" t="s">
        <v>57</v>
      </c>
      <c r="F183" s="83"/>
      <c r="G183" s="83" t="s">
        <v>127</v>
      </c>
      <c r="H183" s="83" t="s">
        <v>128</v>
      </c>
      <c r="I183" s="83"/>
    </row>
    <row r="184" spans="1:9" ht="12">
      <c r="A184" s="71">
        <f t="shared" si="3"/>
        <v>183</v>
      </c>
      <c r="B184" s="83" t="s">
        <v>74</v>
      </c>
      <c r="C184" s="201" t="s">
        <v>324</v>
      </c>
      <c r="D184" s="202" t="s">
        <v>325</v>
      </c>
      <c r="E184" s="89" t="s">
        <v>57</v>
      </c>
      <c r="F184" s="83"/>
      <c r="G184" s="83" t="s">
        <v>127</v>
      </c>
      <c r="H184" s="83" t="s">
        <v>128</v>
      </c>
      <c r="I184" s="83"/>
    </row>
    <row r="185" spans="1:9" s="214" customFormat="1" ht="12">
      <c r="A185" s="203">
        <f t="shared" si="3"/>
        <v>184</v>
      </c>
      <c r="B185" s="204" t="s">
        <v>74</v>
      </c>
      <c r="C185" s="205" t="s">
        <v>324</v>
      </c>
      <c r="D185" s="206" t="s">
        <v>326</v>
      </c>
      <c r="E185" s="207" t="s">
        <v>57</v>
      </c>
      <c r="F185" s="204"/>
      <c r="G185" s="204"/>
      <c r="H185" s="204"/>
      <c r="I185" s="204"/>
    </row>
    <row r="186" spans="1:9" s="214" customFormat="1" ht="12">
      <c r="A186" s="203">
        <f t="shared" si="3"/>
        <v>185</v>
      </c>
      <c r="B186" s="204" t="s">
        <v>74</v>
      </c>
      <c r="C186" s="205" t="s">
        <v>324</v>
      </c>
      <c r="D186" s="206" t="s">
        <v>327</v>
      </c>
      <c r="E186" s="207" t="s">
        <v>57</v>
      </c>
      <c r="F186" s="204"/>
      <c r="G186" s="204"/>
      <c r="H186" s="204"/>
      <c r="I186" s="204"/>
    </row>
    <row r="187" spans="1:9" s="214" customFormat="1" ht="12">
      <c r="A187" s="203">
        <f t="shared" si="3"/>
        <v>186</v>
      </c>
      <c r="B187" s="204" t="s">
        <v>74</v>
      </c>
      <c r="C187" s="205" t="s">
        <v>324</v>
      </c>
      <c r="D187" s="206" t="s">
        <v>328</v>
      </c>
      <c r="E187" s="207" t="s">
        <v>57</v>
      </c>
      <c r="F187" s="204"/>
      <c r="G187" s="204"/>
      <c r="H187" s="204"/>
      <c r="I187" s="204"/>
    </row>
    <row r="188" spans="1:9" ht="12">
      <c r="A188" s="71">
        <f t="shared" si="3"/>
        <v>187</v>
      </c>
      <c r="B188" s="83" t="s">
        <v>74</v>
      </c>
      <c r="C188" s="201" t="s">
        <v>329</v>
      </c>
      <c r="D188" s="202" t="s">
        <v>330</v>
      </c>
      <c r="E188" s="89" t="s">
        <v>57</v>
      </c>
      <c r="F188" s="83"/>
      <c r="G188" s="83" t="s">
        <v>127</v>
      </c>
      <c r="H188" s="83" t="s">
        <v>128</v>
      </c>
      <c r="I188" s="83"/>
    </row>
    <row r="189" spans="1:9" ht="12">
      <c r="A189" s="71">
        <f t="shared" si="3"/>
        <v>188</v>
      </c>
      <c r="B189" s="83" t="s">
        <v>74</v>
      </c>
      <c r="C189" s="201" t="s">
        <v>331</v>
      </c>
      <c r="D189" s="202" t="s">
        <v>332</v>
      </c>
      <c r="E189" s="89" t="s">
        <v>57</v>
      </c>
      <c r="F189" s="83"/>
      <c r="G189" s="83" t="s">
        <v>127</v>
      </c>
      <c r="H189" s="83" t="s">
        <v>128</v>
      </c>
      <c r="I189" s="83"/>
    </row>
    <row r="190" spans="1:9" ht="12">
      <c r="A190" s="71">
        <f t="shared" si="3"/>
        <v>189</v>
      </c>
      <c r="B190" s="83" t="s">
        <v>74</v>
      </c>
      <c r="C190" s="201" t="s">
        <v>331</v>
      </c>
      <c r="D190" s="202" t="s">
        <v>333</v>
      </c>
      <c r="E190" s="89" t="s">
        <v>57</v>
      </c>
      <c r="F190" s="83"/>
      <c r="G190" s="83" t="s">
        <v>127</v>
      </c>
      <c r="H190" s="83" t="s">
        <v>128</v>
      </c>
      <c r="I190" s="83"/>
    </row>
    <row r="191" spans="1:9" ht="12">
      <c r="A191" s="71">
        <f t="shared" si="3"/>
        <v>190</v>
      </c>
      <c r="B191" s="83" t="s">
        <v>74</v>
      </c>
      <c r="C191" s="201" t="s">
        <v>334</v>
      </c>
      <c r="D191" s="202" t="s">
        <v>335</v>
      </c>
      <c r="E191" s="89" t="s">
        <v>57</v>
      </c>
      <c r="F191" s="83"/>
      <c r="G191" s="83" t="s">
        <v>127</v>
      </c>
      <c r="H191" s="83" t="s">
        <v>128</v>
      </c>
      <c r="I191" s="83"/>
    </row>
    <row r="192" spans="1:9" ht="12">
      <c r="A192" s="71">
        <f t="shared" si="3"/>
        <v>191</v>
      </c>
      <c r="B192" s="83" t="s">
        <v>74</v>
      </c>
      <c r="C192" s="201" t="s">
        <v>331</v>
      </c>
      <c r="D192" s="202" t="s">
        <v>336</v>
      </c>
      <c r="E192" s="89" t="s">
        <v>57</v>
      </c>
      <c r="F192" s="83"/>
      <c r="G192" s="83" t="s">
        <v>127</v>
      </c>
      <c r="H192" s="83" t="s">
        <v>128</v>
      </c>
      <c r="I192" s="83"/>
    </row>
    <row r="193" spans="1:9" ht="12">
      <c r="A193" s="71">
        <f t="shared" si="3"/>
        <v>192</v>
      </c>
      <c r="B193" s="83" t="s">
        <v>74</v>
      </c>
      <c r="C193" s="201" t="s">
        <v>331</v>
      </c>
      <c r="D193" s="202" t="s">
        <v>337</v>
      </c>
      <c r="E193" s="89" t="s">
        <v>57</v>
      </c>
      <c r="F193" s="83"/>
      <c r="G193" s="83" t="s">
        <v>127</v>
      </c>
      <c r="H193" s="83" t="s">
        <v>128</v>
      </c>
      <c r="I193" s="83"/>
    </row>
    <row r="194" spans="1:9" ht="12">
      <c r="A194" s="71">
        <f t="shared" si="3"/>
        <v>193</v>
      </c>
      <c r="B194" s="83" t="s">
        <v>74</v>
      </c>
      <c r="C194" s="201" t="s">
        <v>334</v>
      </c>
      <c r="D194" s="202" t="s">
        <v>338</v>
      </c>
      <c r="E194" s="89" t="s">
        <v>57</v>
      </c>
      <c r="F194" s="83"/>
      <c r="G194" s="83" t="s">
        <v>127</v>
      </c>
      <c r="H194" s="83" t="s">
        <v>128</v>
      </c>
      <c r="I194" s="83"/>
    </row>
    <row r="195" spans="1:9" ht="12">
      <c r="A195" s="71">
        <f t="shared" si="3"/>
        <v>194</v>
      </c>
      <c r="B195" s="83" t="s">
        <v>74</v>
      </c>
      <c r="C195" s="201" t="s">
        <v>339</v>
      </c>
      <c r="D195" s="202" t="s">
        <v>340</v>
      </c>
      <c r="E195" s="89" t="s">
        <v>57</v>
      </c>
      <c r="F195" s="83"/>
      <c r="G195" s="83" t="s">
        <v>127</v>
      </c>
      <c r="H195" s="83" t="s">
        <v>128</v>
      </c>
      <c r="I195" s="83"/>
    </row>
    <row r="196" spans="1:9" ht="12">
      <c r="A196" s="71">
        <f t="shared" si="3"/>
        <v>195</v>
      </c>
      <c r="B196" s="83" t="s">
        <v>74</v>
      </c>
      <c r="C196" s="201" t="s">
        <v>331</v>
      </c>
      <c r="D196" s="202" t="s">
        <v>341</v>
      </c>
      <c r="E196" s="89" t="s">
        <v>57</v>
      </c>
      <c r="F196" s="83"/>
      <c r="G196" s="83" t="s">
        <v>127</v>
      </c>
      <c r="H196" s="83" t="s">
        <v>128</v>
      </c>
      <c r="I196" s="83"/>
    </row>
    <row r="197" spans="1:9" ht="12">
      <c r="A197" s="71">
        <f t="shared" si="3"/>
        <v>196</v>
      </c>
      <c r="B197" s="83" t="s">
        <v>74</v>
      </c>
      <c r="C197" s="201" t="s">
        <v>331</v>
      </c>
      <c r="D197" s="202" t="s">
        <v>342</v>
      </c>
      <c r="E197" s="89" t="s">
        <v>57</v>
      </c>
      <c r="F197" s="83"/>
      <c r="G197" s="83" t="s">
        <v>127</v>
      </c>
      <c r="H197" s="83" t="s">
        <v>128</v>
      </c>
      <c r="I197" s="83"/>
    </row>
    <row r="198" spans="1:9" ht="12">
      <c r="A198" s="71">
        <f t="shared" si="3"/>
        <v>197</v>
      </c>
      <c r="B198" s="83" t="s">
        <v>74</v>
      </c>
      <c r="C198" s="201" t="s">
        <v>334</v>
      </c>
      <c r="D198" s="202" t="s">
        <v>343</v>
      </c>
      <c r="E198" s="89" t="s">
        <v>57</v>
      </c>
      <c r="F198" s="83"/>
      <c r="G198" s="83" t="s">
        <v>127</v>
      </c>
      <c r="H198" s="83" t="s">
        <v>128</v>
      </c>
      <c r="I198" s="83"/>
    </row>
    <row r="199" spans="1:9" ht="12">
      <c r="A199" s="71">
        <f t="shared" si="3"/>
        <v>198</v>
      </c>
      <c r="B199" s="83" t="s">
        <v>74</v>
      </c>
      <c r="C199" s="201" t="s">
        <v>331</v>
      </c>
      <c r="D199" s="202" t="s">
        <v>344</v>
      </c>
      <c r="E199" s="89" t="s">
        <v>57</v>
      </c>
      <c r="F199" s="83"/>
      <c r="G199" s="83" t="s">
        <v>127</v>
      </c>
      <c r="H199" s="83" t="s">
        <v>128</v>
      </c>
      <c r="I199" s="83"/>
    </row>
    <row r="200" spans="1:9" ht="12">
      <c r="A200" s="71">
        <f t="shared" si="3"/>
        <v>199</v>
      </c>
      <c r="B200" s="83" t="s">
        <v>74</v>
      </c>
      <c r="C200" s="201" t="s">
        <v>331</v>
      </c>
      <c r="D200" s="202" t="s">
        <v>345</v>
      </c>
      <c r="E200" s="89" t="s">
        <v>57</v>
      </c>
      <c r="F200" s="83"/>
      <c r="G200" s="83" t="s">
        <v>127</v>
      </c>
      <c r="H200" s="83" t="s">
        <v>128</v>
      </c>
      <c r="I200" s="83"/>
    </row>
    <row r="201" spans="1:9" ht="12">
      <c r="A201" s="71">
        <f t="shared" si="3"/>
        <v>200</v>
      </c>
      <c r="B201" s="83" t="s">
        <v>74</v>
      </c>
      <c r="C201" s="201" t="s">
        <v>334</v>
      </c>
      <c r="D201" s="202" t="s">
        <v>346</v>
      </c>
      <c r="E201" s="89" t="s">
        <v>57</v>
      </c>
      <c r="F201" s="83"/>
      <c r="G201" s="83" t="s">
        <v>127</v>
      </c>
      <c r="H201" s="83" t="s">
        <v>128</v>
      </c>
      <c r="I201" s="83"/>
    </row>
    <row r="202" spans="1:9" ht="12">
      <c r="A202" s="250">
        <f t="shared" si="3"/>
        <v>201</v>
      </c>
      <c r="B202" s="251" t="s">
        <v>74</v>
      </c>
      <c r="C202" s="252" t="s">
        <v>347</v>
      </c>
      <c r="D202" s="251"/>
      <c r="E202" s="253" t="s">
        <v>348</v>
      </c>
      <c r="F202" s="251"/>
      <c r="G202" s="251" t="s">
        <v>127</v>
      </c>
      <c r="H202" s="251" t="s">
        <v>76</v>
      </c>
      <c r="I202" s="251" t="s">
        <v>101</v>
      </c>
    </row>
    <row r="203" spans="1:9" ht="12">
      <c r="A203" s="71">
        <f t="shared" ref="A203:A266" si="4">ROW()-1</f>
        <v>202</v>
      </c>
      <c r="B203" s="83" t="s">
        <v>74</v>
      </c>
      <c r="C203" s="201" t="s">
        <v>349</v>
      </c>
      <c r="D203" s="202" t="s">
        <v>350</v>
      </c>
      <c r="E203" s="89" t="s">
        <v>57</v>
      </c>
      <c r="F203" s="83"/>
      <c r="G203" s="83" t="s">
        <v>57</v>
      </c>
      <c r="H203" s="83" t="s">
        <v>351</v>
      </c>
      <c r="I203" s="83" t="s">
        <v>352</v>
      </c>
    </row>
    <row r="204" spans="1:9" ht="12">
      <c r="A204" s="71">
        <f t="shared" si="4"/>
        <v>203</v>
      </c>
      <c r="B204" s="83" t="s">
        <v>74</v>
      </c>
      <c r="C204" s="201" t="s">
        <v>349</v>
      </c>
      <c r="D204" s="202" t="s">
        <v>353</v>
      </c>
      <c r="E204" s="89" t="s">
        <v>57</v>
      </c>
      <c r="F204" s="83"/>
      <c r="G204" s="83" t="s">
        <v>57</v>
      </c>
      <c r="H204" s="83" t="s">
        <v>91</v>
      </c>
      <c r="I204" s="83" t="s">
        <v>352</v>
      </c>
    </row>
    <row r="205" spans="1:9" ht="12">
      <c r="A205" s="71">
        <f t="shared" si="4"/>
        <v>204</v>
      </c>
      <c r="B205" s="83" t="s">
        <v>74</v>
      </c>
      <c r="C205" s="201" t="s">
        <v>349</v>
      </c>
      <c r="D205" s="202" t="s">
        <v>354</v>
      </c>
      <c r="E205" s="89" t="s">
        <v>57</v>
      </c>
      <c r="F205" s="83"/>
      <c r="G205" s="83" t="s">
        <v>57</v>
      </c>
      <c r="H205" s="83" t="s">
        <v>91</v>
      </c>
      <c r="I205" s="83" t="s">
        <v>352</v>
      </c>
    </row>
    <row r="206" spans="1:9" ht="12">
      <c r="A206" s="71">
        <f t="shared" si="4"/>
        <v>205</v>
      </c>
      <c r="B206" s="83" t="s">
        <v>74</v>
      </c>
      <c r="C206" s="201" t="s">
        <v>349</v>
      </c>
      <c r="D206" s="202" t="s">
        <v>355</v>
      </c>
      <c r="E206" s="89" t="s">
        <v>57</v>
      </c>
      <c r="F206" s="83"/>
      <c r="G206" s="83" t="s">
        <v>57</v>
      </c>
      <c r="H206" s="83" t="s">
        <v>91</v>
      </c>
      <c r="I206" s="83" t="s">
        <v>352</v>
      </c>
    </row>
    <row r="207" spans="1:9" ht="12">
      <c r="A207" s="71">
        <f t="shared" si="4"/>
        <v>206</v>
      </c>
      <c r="B207" s="83" t="s">
        <v>74</v>
      </c>
      <c r="C207" s="201" t="s">
        <v>356</v>
      </c>
      <c r="D207" s="202" t="s">
        <v>357</v>
      </c>
      <c r="E207" s="89" t="s">
        <v>57</v>
      </c>
      <c r="F207" s="83"/>
      <c r="G207" s="83" t="s">
        <v>57</v>
      </c>
      <c r="H207" s="83" t="s">
        <v>85</v>
      </c>
      <c r="I207" s="83" t="s">
        <v>352</v>
      </c>
    </row>
    <row r="208" spans="1:9" ht="12">
      <c r="A208" s="71">
        <f t="shared" si="4"/>
        <v>207</v>
      </c>
      <c r="B208" s="83" t="s">
        <v>74</v>
      </c>
      <c r="C208" s="201" t="s">
        <v>356</v>
      </c>
      <c r="D208" s="202" t="s">
        <v>358</v>
      </c>
      <c r="E208" s="89" t="s">
        <v>57</v>
      </c>
      <c r="F208" s="83"/>
      <c r="G208" s="83" t="s">
        <v>57</v>
      </c>
      <c r="H208" s="83" t="s">
        <v>91</v>
      </c>
      <c r="I208" s="83" t="s">
        <v>352</v>
      </c>
    </row>
    <row r="209" spans="1:9" ht="12">
      <c r="A209" s="71">
        <f t="shared" si="4"/>
        <v>208</v>
      </c>
      <c r="B209" s="83" t="s">
        <v>74</v>
      </c>
      <c r="C209" s="201" t="s">
        <v>356</v>
      </c>
      <c r="D209" s="202" t="s">
        <v>359</v>
      </c>
      <c r="E209" s="89" t="s">
        <v>57</v>
      </c>
      <c r="F209" s="83"/>
      <c r="G209" s="83" t="s">
        <v>57</v>
      </c>
      <c r="H209" s="83" t="s">
        <v>91</v>
      </c>
      <c r="I209" s="83" t="s">
        <v>352</v>
      </c>
    </row>
    <row r="210" spans="1:9" ht="12">
      <c r="A210" s="71">
        <f t="shared" si="4"/>
        <v>209</v>
      </c>
      <c r="B210" s="83" t="s">
        <v>74</v>
      </c>
      <c r="C210" s="201" t="s">
        <v>356</v>
      </c>
      <c r="D210" s="202" t="s">
        <v>360</v>
      </c>
      <c r="E210" s="89" t="s">
        <v>57</v>
      </c>
      <c r="F210" s="83"/>
      <c r="G210" s="83" t="s">
        <v>57</v>
      </c>
      <c r="H210" s="83" t="s">
        <v>91</v>
      </c>
      <c r="I210" s="83" t="s">
        <v>352</v>
      </c>
    </row>
    <row r="211" spans="1:9" ht="12">
      <c r="A211" s="71">
        <f t="shared" si="4"/>
        <v>210</v>
      </c>
      <c r="B211" s="83" t="s">
        <v>74</v>
      </c>
      <c r="C211" s="201" t="s">
        <v>361</v>
      </c>
      <c r="D211" s="202" t="s">
        <v>362</v>
      </c>
      <c r="E211" s="89" t="s">
        <v>57</v>
      </c>
      <c r="F211" s="83"/>
      <c r="G211" s="83" t="s">
        <v>57</v>
      </c>
      <c r="H211" s="83" t="s">
        <v>351</v>
      </c>
      <c r="I211" s="83" t="s">
        <v>352</v>
      </c>
    </row>
    <row r="212" spans="1:9" ht="12">
      <c r="A212" s="71">
        <f t="shared" si="4"/>
        <v>211</v>
      </c>
      <c r="B212" s="83" t="s">
        <v>74</v>
      </c>
      <c r="C212" s="201" t="s">
        <v>361</v>
      </c>
      <c r="D212" s="202" t="s">
        <v>363</v>
      </c>
      <c r="E212" s="89" t="s">
        <v>57</v>
      </c>
      <c r="F212" s="83"/>
      <c r="G212" s="83" t="s">
        <v>57</v>
      </c>
      <c r="H212" s="83" t="s">
        <v>91</v>
      </c>
      <c r="I212" s="83" t="s">
        <v>352</v>
      </c>
    </row>
    <row r="213" spans="1:9" ht="12">
      <c r="A213" s="71">
        <f t="shared" si="4"/>
        <v>212</v>
      </c>
      <c r="B213" s="83" t="s">
        <v>74</v>
      </c>
      <c r="C213" s="201" t="s">
        <v>361</v>
      </c>
      <c r="D213" s="202" t="s">
        <v>364</v>
      </c>
      <c r="E213" s="89" t="s">
        <v>57</v>
      </c>
      <c r="F213" s="83"/>
      <c r="G213" s="83" t="s">
        <v>57</v>
      </c>
      <c r="H213" s="83" t="s">
        <v>91</v>
      </c>
      <c r="I213" s="83" t="s">
        <v>352</v>
      </c>
    </row>
    <row r="214" spans="1:9" ht="12">
      <c r="A214" s="71">
        <f t="shared" si="4"/>
        <v>213</v>
      </c>
      <c r="B214" s="83" t="s">
        <v>74</v>
      </c>
      <c r="C214" s="201" t="s">
        <v>365</v>
      </c>
      <c r="D214" s="202" t="s">
        <v>366</v>
      </c>
      <c r="E214" s="89" t="s">
        <v>57</v>
      </c>
      <c r="F214" s="83"/>
      <c r="G214" s="83" t="s">
        <v>57</v>
      </c>
      <c r="H214" s="83" t="s">
        <v>351</v>
      </c>
      <c r="I214" s="83" t="s">
        <v>352</v>
      </c>
    </row>
    <row r="215" spans="1:9" ht="12">
      <c r="A215" s="71">
        <f t="shared" si="4"/>
        <v>214</v>
      </c>
      <c r="B215" s="83" t="s">
        <v>74</v>
      </c>
      <c r="C215" s="201" t="s">
        <v>125</v>
      </c>
      <c r="D215" s="202" t="s">
        <v>367</v>
      </c>
      <c r="E215" s="89" t="s">
        <v>57</v>
      </c>
      <c r="F215" s="83"/>
      <c r="G215" s="83" t="s">
        <v>57</v>
      </c>
      <c r="H215" s="83" t="s">
        <v>351</v>
      </c>
      <c r="I215" s="83" t="s">
        <v>352</v>
      </c>
    </row>
    <row r="216" spans="1:9" ht="12">
      <c r="A216" s="71">
        <f t="shared" si="4"/>
        <v>215</v>
      </c>
      <c r="B216" s="83" t="s">
        <v>74</v>
      </c>
      <c r="C216" s="201" t="s">
        <v>125</v>
      </c>
      <c r="D216" s="202" t="s">
        <v>368</v>
      </c>
      <c r="E216" s="89" t="s">
        <v>57</v>
      </c>
      <c r="F216" s="83"/>
      <c r="G216" s="83" t="s">
        <v>57</v>
      </c>
      <c r="H216" s="83" t="s">
        <v>91</v>
      </c>
      <c r="I216" s="83" t="s">
        <v>352</v>
      </c>
    </row>
    <row r="217" spans="1:9" ht="12">
      <c r="A217" s="71">
        <f t="shared" si="4"/>
        <v>216</v>
      </c>
      <c r="B217" s="83" t="s">
        <v>74</v>
      </c>
      <c r="C217" s="201" t="s">
        <v>125</v>
      </c>
      <c r="D217" s="202" t="s">
        <v>369</v>
      </c>
      <c r="E217" s="89" t="s">
        <v>57</v>
      </c>
      <c r="F217" s="83"/>
      <c r="G217" s="83" t="s">
        <v>57</v>
      </c>
      <c r="H217" s="83" t="s">
        <v>91</v>
      </c>
      <c r="I217" s="83" t="s">
        <v>352</v>
      </c>
    </row>
    <row r="218" spans="1:9" ht="12">
      <c r="A218" s="71">
        <f t="shared" si="4"/>
        <v>217</v>
      </c>
      <c r="B218" s="83" t="s">
        <v>74</v>
      </c>
      <c r="C218" s="201" t="s">
        <v>125</v>
      </c>
      <c r="D218" s="202" t="s">
        <v>370</v>
      </c>
      <c r="E218" s="89" t="s">
        <v>57</v>
      </c>
      <c r="F218" s="83"/>
      <c r="G218" s="83" t="s">
        <v>57</v>
      </c>
      <c r="H218" s="83" t="s">
        <v>91</v>
      </c>
      <c r="I218" s="83" t="s">
        <v>352</v>
      </c>
    </row>
    <row r="219" spans="1:9" ht="12">
      <c r="A219" s="71">
        <f t="shared" si="4"/>
        <v>218</v>
      </c>
      <c r="B219" s="83" t="s">
        <v>74</v>
      </c>
      <c r="C219" s="201" t="s">
        <v>371</v>
      </c>
      <c r="D219" s="202" t="s">
        <v>372</v>
      </c>
      <c r="E219" s="89" t="s">
        <v>57</v>
      </c>
      <c r="F219" s="83"/>
      <c r="G219" s="83" t="s">
        <v>57</v>
      </c>
      <c r="H219" s="83" t="s">
        <v>351</v>
      </c>
      <c r="I219" s="83" t="s">
        <v>352</v>
      </c>
    </row>
    <row r="220" spans="1:9" ht="12">
      <c r="A220" s="71">
        <f t="shared" si="4"/>
        <v>219</v>
      </c>
      <c r="B220" s="83" t="s">
        <v>74</v>
      </c>
      <c r="C220" s="201" t="s">
        <v>373</v>
      </c>
      <c r="D220" s="202" t="s">
        <v>374</v>
      </c>
      <c r="E220" s="89" t="s">
        <v>57</v>
      </c>
      <c r="F220" s="83"/>
      <c r="G220" s="83" t="s">
        <v>57</v>
      </c>
      <c r="H220" s="83" t="s">
        <v>351</v>
      </c>
      <c r="I220" s="83" t="s">
        <v>352</v>
      </c>
    </row>
    <row r="221" spans="1:9" ht="12">
      <c r="A221" s="71">
        <f t="shared" si="4"/>
        <v>220</v>
      </c>
      <c r="B221" s="83" t="s">
        <v>74</v>
      </c>
      <c r="C221" s="201" t="s">
        <v>373</v>
      </c>
      <c r="D221" s="202" t="s">
        <v>375</v>
      </c>
      <c r="E221" s="89" t="s">
        <v>57</v>
      </c>
      <c r="F221" s="83"/>
      <c r="G221" s="83" t="s">
        <v>57</v>
      </c>
      <c r="H221" s="83" t="s">
        <v>91</v>
      </c>
      <c r="I221" s="83" t="s">
        <v>352</v>
      </c>
    </row>
    <row r="222" spans="1:9" ht="12">
      <c r="A222" s="71">
        <f t="shared" si="4"/>
        <v>221</v>
      </c>
      <c r="B222" s="83" t="s">
        <v>74</v>
      </c>
      <c r="C222" s="201" t="s">
        <v>373</v>
      </c>
      <c r="D222" s="202" t="s">
        <v>376</v>
      </c>
      <c r="E222" s="89" t="s">
        <v>57</v>
      </c>
      <c r="F222" s="83"/>
      <c r="G222" s="83" t="s">
        <v>57</v>
      </c>
      <c r="H222" s="83" t="s">
        <v>91</v>
      </c>
      <c r="I222" s="83" t="s">
        <v>352</v>
      </c>
    </row>
    <row r="223" spans="1:9" ht="12">
      <c r="A223" s="71">
        <f t="shared" si="4"/>
        <v>222</v>
      </c>
      <c r="B223" s="83" t="s">
        <v>74</v>
      </c>
      <c r="C223" s="201" t="s">
        <v>373</v>
      </c>
      <c r="D223" s="202" t="s">
        <v>377</v>
      </c>
      <c r="E223" s="89" t="s">
        <v>57</v>
      </c>
      <c r="F223" s="83"/>
      <c r="G223" s="83" t="s">
        <v>57</v>
      </c>
      <c r="H223" s="83" t="s">
        <v>91</v>
      </c>
      <c r="I223" s="83" t="s">
        <v>352</v>
      </c>
    </row>
    <row r="224" spans="1:9" ht="12">
      <c r="A224" s="71">
        <f t="shared" si="4"/>
        <v>223</v>
      </c>
      <c r="B224" s="83" t="s">
        <v>74</v>
      </c>
      <c r="C224" s="201" t="s">
        <v>378</v>
      </c>
      <c r="D224" s="202" t="s">
        <v>379</v>
      </c>
      <c r="E224" s="89" t="s">
        <v>57</v>
      </c>
      <c r="F224" s="83"/>
      <c r="G224" s="83" t="s">
        <v>57</v>
      </c>
      <c r="H224" s="83" t="s">
        <v>351</v>
      </c>
      <c r="I224" s="83" t="s">
        <v>352</v>
      </c>
    </row>
    <row r="225" spans="1:9" ht="12">
      <c r="A225" s="71">
        <f t="shared" si="4"/>
        <v>224</v>
      </c>
      <c r="B225" s="83" t="s">
        <v>74</v>
      </c>
      <c r="C225" s="201" t="s">
        <v>378</v>
      </c>
      <c r="D225" s="202" t="s">
        <v>380</v>
      </c>
      <c r="E225" s="89" t="s">
        <v>57</v>
      </c>
      <c r="F225" s="83"/>
      <c r="G225" s="83" t="s">
        <v>57</v>
      </c>
      <c r="H225" s="83" t="s">
        <v>91</v>
      </c>
      <c r="I225" s="83" t="s">
        <v>352</v>
      </c>
    </row>
    <row r="226" spans="1:9" ht="12">
      <c r="A226" s="71">
        <f t="shared" si="4"/>
        <v>225</v>
      </c>
      <c r="B226" s="83" t="s">
        <v>74</v>
      </c>
      <c r="C226" s="201" t="s">
        <v>378</v>
      </c>
      <c r="D226" s="202" t="s">
        <v>381</v>
      </c>
      <c r="E226" s="89" t="s">
        <v>57</v>
      </c>
      <c r="F226" s="83"/>
      <c r="G226" s="83" t="s">
        <v>57</v>
      </c>
      <c r="H226" s="83" t="s">
        <v>91</v>
      </c>
      <c r="I226" s="83" t="s">
        <v>352</v>
      </c>
    </row>
    <row r="227" spans="1:9" ht="12">
      <c r="A227" s="71">
        <f t="shared" si="4"/>
        <v>226</v>
      </c>
      <c r="B227" s="83" t="s">
        <v>74</v>
      </c>
      <c r="C227" s="201" t="s">
        <v>378</v>
      </c>
      <c r="D227" s="202" t="s">
        <v>382</v>
      </c>
      <c r="E227" s="89" t="s">
        <v>57</v>
      </c>
      <c r="F227" s="83"/>
      <c r="G227" s="83" t="s">
        <v>57</v>
      </c>
      <c r="H227" s="83" t="s">
        <v>91</v>
      </c>
      <c r="I227" s="83" t="s">
        <v>352</v>
      </c>
    </row>
    <row r="228" spans="1:9" ht="12">
      <c r="A228" s="71">
        <f t="shared" si="4"/>
        <v>227</v>
      </c>
      <c r="B228" s="83" t="s">
        <v>74</v>
      </c>
      <c r="C228" s="201" t="s">
        <v>383</v>
      </c>
      <c r="D228" s="202" t="s">
        <v>384</v>
      </c>
      <c r="E228" s="89" t="s">
        <v>57</v>
      </c>
      <c r="F228" s="83"/>
      <c r="G228" s="83" t="s">
        <v>57</v>
      </c>
      <c r="H228" s="83" t="s">
        <v>351</v>
      </c>
      <c r="I228" s="83" t="s">
        <v>352</v>
      </c>
    </row>
    <row r="229" spans="1:9" ht="12">
      <c r="A229" s="71">
        <f t="shared" si="4"/>
        <v>228</v>
      </c>
      <c r="B229" s="83" t="s">
        <v>74</v>
      </c>
      <c r="C229" s="201" t="s">
        <v>385</v>
      </c>
      <c r="D229" s="202" t="s">
        <v>386</v>
      </c>
      <c r="E229" s="89" t="s">
        <v>57</v>
      </c>
      <c r="F229" s="83"/>
      <c r="G229" s="83" t="s">
        <v>57</v>
      </c>
      <c r="H229" s="83" t="s">
        <v>351</v>
      </c>
      <c r="I229" s="83" t="s">
        <v>352</v>
      </c>
    </row>
    <row r="230" spans="1:9" ht="12">
      <c r="A230" s="71">
        <f t="shared" si="4"/>
        <v>229</v>
      </c>
      <c r="B230" s="83" t="s">
        <v>74</v>
      </c>
      <c r="C230" s="201" t="s">
        <v>385</v>
      </c>
      <c r="D230" s="202" t="s">
        <v>387</v>
      </c>
      <c r="E230" s="89" t="s">
        <v>57</v>
      </c>
      <c r="F230" s="83"/>
      <c r="G230" s="83" t="s">
        <v>57</v>
      </c>
      <c r="H230" s="83" t="s">
        <v>91</v>
      </c>
      <c r="I230" s="83" t="s">
        <v>352</v>
      </c>
    </row>
    <row r="231" spans="1:9" ht="12">
      <c r="A231" s="71">
        <f t="shared" si="4"/>
        <v>230</v>
      </c>
      <c r="B231" s="83" t="s">
        <v>74</v>
      </c>
      <c r="C231" s="201" t="s">
        <v>385</v>
      </c>
      <c r="D231" s="202" t="s">
        <v>388</v>
      </c>
      <c r="E231" s="89" t="s">
        <v>57</v>
      </c>
      <c r="F231" s="83"/>
      <c r="G231" s="83" t="s">
        <v>57</v>
      </c>
      <c r="H231" s="83" t="s">
        <v>91</v>
      </c>
      <c r="I231" s="83" t="s">
        <v>352</v>
      </c>
    </row>
    <row r="232" spans="1:9" ht="12">
      <c r="A232" s="71">
        <f t="shared" si="4"/>
        <v>231</v>
      </c>
      <c r="B232" s="83" t="s">
        <v>74</v>
      </c>
      <c r="C232" s="201" t="s">
        <v>385</v>
      </c>
      <c r="D232" s="202" t="s">
        <v>389</v>
      </c>
      <c r="E232" s="89" t="s">
        <v>57</v>
      </c>
      <c r="F232" s="83"/>
      <c r="G232" s="83" t="s">
        <v>57</v>
      </c>
      <c r="H232" s="83" t="s">
        <v>91</v>
      </c>
      <c r="I232" s="83" t="s">
        <v>352</v>
      </c>
    </row>
    <row r="233" spans="1:9" ht="12">
      <c r="A233" s="71">
        <f t="shared" si="4"/>
        <v>232</v>
      </c>
      <c r="B233" s="83" t="s">
        <v>74</v>
      </c>
      <c r="C233" s="201" t="s">
        <v>390</v>
      </c>
      <c r="D233" s="202" t="s">
        <v>391</v>
      </c>
      <c r="E233" s="89" t="s">
        <v>57</v>
      </c>
      <c r="F233" s="83"/>
      <c r="G233" s="83" t="s">
        <v>57</v>
      </c>
      <c r="H233" s="83" t="s">
        <v>392</v>
      </c>
      <c r="I233" s="83" t="s">
        <v>352</v>
      </c>
    </row>
    <row r="234" spans="1:9" ht="12">
      <c r="A234" s="71">
        <f t="shared" si="4"/>
        <v>233</v>
      </c>
      <c r="B234" s="83" t="s">
        <v>74</v>
      </c>
      <c r="C234" s="201" t="s">
        <v>390</v>
      </c>
      <c r="D234" s="202" t="s">
        <v>393</v>
      </c>
      <c r="E234" s="89" t="s">
        <v>57</v>
      </c>
      <c r="F234" s="83"/>
      <c r="G234" s="83" t="s">
        <v>57</v>
      </c>
      <c r="H234" s="83" t="s">
        <v>91</v>
      </c>
      <c r="I234" s="83" t="s">
        <v>352</v>
      </c>
    </row>
    <row r="235" spans="1:9" ht="12">
      <c r="A235" s="71">
        <f t="shared" si="4"/>
        <v>234</v>
      </c>
      <c r="B235" s="83" t="s">
        <v>74</v>
      </c>
      <c r="C235" s="201" t="s">
        <v>390</v>
      </c>
      <c r="D235" s="202" t="s">
        <v>394</v>
      </c>
      <c r="E235" s="89" t="s">
        <v>57</v>
      </c>
      <c r="F235" s="83"/>
      <c r="G235" s="83" t="s">
        <v>57</v>
      </c>
      <c r="H235" s="83" t="s">
        <v>91</v>
      </c>
      <c r="I235" s="83" t="s">
        <v>352</v>
      </c>
    </row>
    <row r="236" spans="1:9" ht="12">
      <c r="A236" s="71">
        <f t="shared" si="4"/>
        <v>235</v>
      </c>
      <c r="B236" s="83" t="s">
        <v>74</v>
      </c>
      <c r="C236" s="201" t="s">
        <v>390</v>
      </c>
      <c r="D236" s="202" t="s">
        <v>395</v>
      </c>
      <c r="E236" s="89" t="s">
        <v>57</v>
      </c>
      <c r="F236" s="83"/>
      <c r="G236" s="83" t="s">
        <v>57</v>
      </c>
      <c r="H236" s="83" t="s">
        <v>91</v>
      </c>
      <c r="I236" s="83" t="s">
        <v>352</v>
      </c>
    </row>
    <row r="237" spans="1:9" ht="12">
      <c r="A237" s="71">
        <f t="shared" si="4"/>
        <v>236</v>
      </c>
      <c r="B237" s="83" t="s">
        <v>74</v>
      </c>
      <c r="C237" s="201" t="s">
        <v>396</v>
      </c>
      <c r="D237" s="202" t="s">
        <v>397</v>
      </c>
      <c r="E237" s="89" t="s">
        <v>57</v>
      </c>
      <c r="F237" s="83"/>
      <c r="G237" s="83" t="s">
        <v>57</v>
      </c>
      <c r="H237" s="83" t="s">
        <v>351</v>
      </c>
      <c r="I237" s="83" t="s">
        <v>352</v>
      </c>
    </row>
    <row r="238" spans="1:9" s="214" customFormat="1" ht="12">
      <c r="A238" s="203">
        <f t="shared" si="4"/>
        <v>237</v>
      </c>
      <c r="B238" s="204" t="s">
        <v>74</v>
      </c>
      <c r="C238" s="205" t="s">
        <v>396</v>
      </c>
      <c r="D238" s="206" t="s">
        <v>398</v>
      </c>
      <c r="E238" s="207" t="s">
        <v>57</v>
      </c>
      <c r="F238" s="204"/>
      <c r="G238" s="204"/>
      <c r="H238" s="204"/>
      <c r="I238" s="204"/>
    </row>
    <row r="239" spans="1:9" s="214" customFormat="1" ht="12">
      <c r="A239" s="203">
        <f t="shared" si="4"/>
        <v>238</v>
      </c>
      <c r="B239" s="204" t="s">
        <v>74</v>
      </c>
      <c r="C239" s="205" t="s">
        <v>396</v>
      </c>
      <c r="D239" s="206" t="s">
        <v>399</v>
      </c>
      <c r="E239" s="207" t="s">
        <v>57</v>
      </c>
      <c r="F239" s="204"/>
      <c r="G239" s="204"/>
      <c r="H239" s="204"/>
      <c r="I239" s="204"/>
    </row>
    <row r="240" spans="1:9" s="214" customFormat="1" ht="12">
      <c r="A240" s="203">
        <f t="shared" si="4"/>
        <v>239</v>
      </c>
      <c r="B240" s="204" t="s">
        <v>74</v>
      </c>
      <c r="C240" s="205" t="s">
        <v>396</v>
      </c>
      <c r="D240" s="206" t="s">
        <v>400</v>
      </c>
      <c r="E240" s="207" t="s">
        <v>57</v>
      </c>
      <c r="F240" s="204"/>
      <c r="G240" s="204"/>
      <c r="H240" s="204"/>
      <c r="I240" s="204"/>
    </row>
    <row r="241" spans="1:9" ht="12">
      <c r="A241" s="71">
        <f t="shared" si="4"/>
        <v>240</v>
      </c>
      <c r="B241" s="83" t="s">
        <v>74</v>
      </c>
      <c r="C241" s="201" t="s">
        <v>401</v>
      </c>
      <c r="D241" s="202" t="s">
        <v>402</v>
      </c>
      <c r="E241" s="89" t="s">
        <v>57</v>
      </c>
      <c r="F241" s="83"/>
      <c r="G241" s="83" t="s">
        <v>57</v>
      </c>
      <c r="H241" s="83" t="s">
        <v>351</v>
      </c>
      <c r="I241" s="83" t="s">
        <v>352</v>
      </c>
    </row>
    <row r="242" spans="1:9" s="214" customFormat="1" ht="12">
      <c r="A242" s="203">
        <f t="shared" si="4"/>
        <v>241</v>
      </c>
      <c r="B242" s="204" t="s">
        <v>74</v>
      </c>
      <c r="C242" s="205" t="s">
        <v>401</v>
      </c>
      <c r="D242" s="206" t="s">
        <v>403</v>
      </c>
      <c r="E242" s="207" t="s">
        <v>57</v>
      </c>
      <c r="F242" s="204"/>
      <c r="G242" s="204"/>
      <c r="H242" s="204"/>
      <c r="I242" s="204"/>
    </row>
    <row r="243" spans="1:9" s="214" customFormat="1" ht="12">
      <c r="A243" s="203">
        <f t="shared" si="4"/>
        <v>242</v>
      </c>
      <c r="B243" s="204" t="s">
        <v>74</v>
      </c>
      <c r="C243" s="205" t="s">
        <v>401</v>
      </c>
      <c r="D243" s="206" t="s">
        <v>404</v>
      </c>
      <c r="E243" s="207" t="s">
        <v>57</v>
      </c>
      <c r="F243" s="204"/>
      <c r="G243" s="204"/>
      <c r="H243" s="204"/>
      <c r="I243" s="204"/>
    </row>
    <row r="244" spans="1:9" s="214" customFormat="1" ht="12">
      <c r="A244" s="203">
        <f t="shared" si="4"/>
        <v>243</v>
      </c>
      <c r="B244" s="204" t="s">
        <v>74</v>
      </c>
      <c r="C244" s="205" t="s">
        <v>401</v>
      </c>
      <c r="D244" s="206" t="s">
        <v>405</v>
      </c>
      <c r="E244" s="207" t="s">
        <v>57</v>
      </c>
      <c r="F244" s="204"/>
      <c r="G244" s="204"/>
      <c r="H244" s="204"/>
      <c r="I244" s="204"/>
    </row>
    <row r="245" spans="1:9" ht="12">
      <c r="A245" s="71">
        <f t="shared" si="4"/>
        <v>244</v>
      </c>
      <c r="B245" s="83" t="s">
        <v>74</v>
      </c>
      <c r="C245" s="201" t="s">
        <v>406</v>
      </c>
      <c r="D245" s="202" t="s">
        <v>407</v>
      </c>
      <c r="E245" s="89" t="s">
        <v>57</v>
      </c>
      <c r="F245" s="83"/>
      <c r="G245" s="83" t="s">
        <v>57</v>
      </c>
      <c r="H245" s="83" t="s">
        <v>85</v>
      </c>
      <c r="I245" s="83"/>
    </row>
    <row r="246" spans="1:9" ht="12">
      <c r="A246" s="71">
        <f t="shared" si="4"/>
        <v>245</v>
      </c>
      <c r="B246" s="83" t="s">
        <v>74</v>
      </c>
      <c r="C246" s="201" t="s">
        <v>408</v>
      </c>
      <c r="D246" s="202" t="s">
        <v>409</v>
      </c>
      <c r="E246" s="89" t="s">
        <v>57</v>
      </c>
      <c r="F246" s="83"/>
      <c r="G246" s="83" t="s">
        <v>57</v>
      </c>
      <c r="H246" s="83" t="s">
        <v>351</v>
      </c>
      <c r="I246" s="83"/>
    </row>
    <row r="247" spans="1:9" ht="12">
      <c r="A247" s="71">
        <f t="shared" si="4"/>
        <v>246</v>
      </c>
      <c r="B247" s="83" t="s">
        <v>74</v>
      </c>
      <c r="C247" s="201" t="s">
        <v>410</v>
      </c>
      <c r="D247" s="202" t="s">
        <v>411</v>
      </c>
      <c r="E247" s="89" t="s">
        <v>57</v>
      </c>
      <c r="F247" s="83"/>
      <c r="G247" s="83" t="s">
        <v>57</v>
      </c>
      <c r="H247" s="83" t="s">
        <v>351</v>
      </c>
      <c r="I247" s="83"/>
    </row>
    <row r="248" spans="1:9" s="214" customFormat="1" ht="12">
      <c r="A248" s="203">
        <f t="shared" si="4"/>
        <v>247</v>
      </c>
      <c r="B248" s="204" t="s">
        <v>74</v>
      </c>
      <c r="C248" s="205" t="s">
        <v>412</v>
      </c>
      <c r="D248" s="206" t="s">
        <v>413</v>
      </c>
      <c r="E248" s="207" t="s">
        <v>57</v>
      </c>
      <c r="F248" s="204"/>
      <c r="G248" s="204"/>
      <c r="H248" s="204"/>
      <c r="I248" s="204"/>
    </row>
    <row r="249" spans="1:9" s="214" customFormat="1" ht="12">
      <c r="A249" s="203">
        <f t="shared" si="4"/>
        <v>248</v>
      </c>
      <c r="B249" s="204" t="s">
        <v>74</v>
      </c>
      <c r="C249" s="205" t="s">
        <v>412</v>
      </c>
      <c r="D249" s="206" t="s">
        <v>414</v>
      </c>
      <c r="E249" s="207" t="s">
        <v>57</v>
      </c>
      <c r="F249" s="204"/>
      <c r="G249" s="204"/>
      <c r="H249" s="204"/>
      <c r="I249" s="204"/>
    </row>
    <row r="250" spans="1:9" s="214" customFormat="1" ht="12">
      <c r="A250" s="203">
        <f t="shared" si="4"/>
        <v>249</v>
      </c>
      <c r="B250" s="204" t="s">
        <v>74</v>
      </c>
      <c r="C250" s="205" t="s">
        <v>412</v>
      </c>
      <c r="D250" s="206" t="s">
        <v>415</v>
      </c>
      <c r="E250" s="207" t="s">
        <v>57</v>
      </c>
      <c r="F250" s="204"/>
      <c r="G250" s="204"/>
      <c r="H250" s="204"/>
      <c r="I250" s="204"/>
    </row>
    <row r="251" spans="1:9" s="214" customFormat="1" ht="12">
      <c r="A251" s="203">
        <f t="shared" si="4"/>
        <v>250</v>
      </c>
      <c r="B251" s="204" t="s">
        <v>74</v>
      </c>
      <c r="C251" s="205" t="s">
        <v>416</v>
      </c>
      <c r="D251" s="206" t="s">
        <v>417</v>
      </c>
      <c r="E251" s="207" t="s">
        <v>57</v>
      </c>
      <c r="F251" s="204"/>
      <c r="G251" s="204"/>
      <c r="H251" s="204"/>
      <c r="I251" s="204"/>
    </row>
    <row r="252" spans="1:9" s="214" customFormat="1" ht="12">
      <c r="A252" s="203">
        <f t="shared" si="4"/>
        <v>251</v>
      </c>
      <c r="B252" s="204" t="s">
        <v>74</v>
      </c>
      <c r="C252" s="205" t="s">
        <v>416</v>
      </c>
      <c r="D252" s="206" t="s">
        <v>418</v>
      </c>
      <c r="E252" s="207" t="s">
        <v>57</v>
      </c>
      <c r="F252" s="204"/>
      <c r="G252" s="204"/>
      <c r="H252" s="204"/>
      <c r="I252" s="204"/>
    </row>
    <row r="253" spans="1:9" s="214" customFormat="1" ht="12">
      <c r="A253" s="203">
        <f t="shared" si="4"/>
        <v>252</v>
      </c>
      <c r="B253" s="204" t="s">
        <v>74</v>
      </c>
      <c r="C253" s="205" t="s">
        <v>416</v>
      </c>
      <c r="D253" s="206" t="s">
        <v>419</v>
      </c>
      <c r="E253" s="207" t="s">
        <v>57</v>
      </c>
      <c r="F253" s="204"/>
      <c r="G253" s="204"/>
      <c r="H253" s="204"/>
      <c r="I253" s="204"/>
    </row>
    <row r="254" spans="1:9" s="214" customFormat="1" ht="12">
      <c r="A254" s="203">
        <f t="shared" si="4"/>
        <v>253</v>
      </c>
      <c r="B254" s="204" t="s">
        <v>74</v>
      </c>
      <c r="C254" s="205" t="s">
        <v>416</v>
      </c>
      <c r="D254" s="206" t="s">
        <v>420</v>
      </c>
      <c r="E254" s="207" t="s">
        <v>57</v>
      </c>
      <c r="F254" s="204"/>
      <c r="G254" s="204"/>
      <c r="H254" s="204"/>
      <c r="I254" s="204"/>
    </row>
    <row r="255" spans="1:9" ht="12">
      <c r="A255" s="71">
        <f t="shared" si="4"/>
        <v>254</v>
      </c>
      <c r="B255" s="83" t="s">
        <v>74</v>
      </c>
      <c r="C255" s="201" t="s">
        <v>421</v>
      </c>
      <c r="D255" s="202" t="s">
        <v>422</v>
      </c>
      <c r="E255" s="89" t="s">
        <v>57</v>
      </c>
      <c r="F255" s="83"/>
      <c r="G255" s="83" t="s">
        <v>423</v>
      </c>
      <c r="H255" s="83" t="s">
        <v>128</v>
      </c>
      <c r="I255" s="83"/>
    </row>
    <row r="256" spans="1:9" ht="12">
      <c r="A256" s="71">
        <f t="shared" si="4"/>
        <v>255</v>
      </c>
      <c r="B256" s="83" t="s">
        <v>74</v>
      </c>
      <c r="C256" s="201" t="s">
        <v>421</v>
      </c>
      <c r="D256" s="202" t="s">
        <v>424</v>
      </c>
      <c r="E256" s="89" t="s">
        <v>57</v>
      </c>
      <c r="F256" s="83"/>
      <c r="G256" s="83"/>
      <c r="H256" s="83"/>
      <c r="I256" s="83"/>
    </row>
    <row r="257" spans="1:9" ht="12">
      <c r="A257" s="71">
        <f t="shared" si="4"/>
        <v>256</v>
      </c>
      <c r="B257" s="83" t="s">
        <v>74</v>
      </c>
      <c r="C257" s="201" t="s">
        <v>421</v>
      </c>
      <c r="D257" s="202" t="s">
        <v>425</v>
      </c>
      <c r="E257" s="89" t="s">
        <v>57</v>
      </c>
      <c r="F257" s="83"/>
      <c r="G257" s="83"/>
      <c r="H257" s="83"/>
      <c r="I257" s="83"/>
    </row>
    <row r="258" spans="1:9" ht="12">
      <c r="A258" s="71">
        <f t="shared" si="4"/>
        <v>257</v>
      </c>
      <c r="B258" s="83" t="s">
        <v>74</v>
      </c>
      <c r="C258" s="201" t="s">
        <v>421</v>
      </c>
      <c r="D258" s="202" t="s">
        <v>426</v>
      </c>
      <c r="E258" s="89" t="s">
        <v>57</v>
      </c>
      <c r="F258" s="83"/>
      <c r="G258" s="83"/>
      <c r="H258" s="83"/>
      <c r="I258" s="83"/>
    </row>
    <row r="259" spans="1:9" ht="12">
      <c r="A259" s="71">
        <f t="shared" si="4"/>
        <v>258</v>
      </c>
      <c r="B259" s="83" t="s">
        <v>74</v>
      </c>
      <c r="C259" s="201" t="s">
        <v>427</v>
      </c>
      <c r="D259" s="202" t="s">
        <v>428</v>
      </c>
      <c r="E259" s="89" t="s">
        <v>57</v>
      </c>
      <c r="F259" s="83"/>
      <c r="G259" s="83" t="s">
        <v>423</v>
      </c>
      <c r="H259" s="83" t="s">
        <v>128</v>
      </c>
      <c r="I259" s="83"/>
    </row>
    <row r="260" spans="1:9" ht="12">
      <c r="A260" s="71">
        <f t="shared" si="4"/>
        <v>259</v>
      </c>
      <c r="B260" s="83" t="s">
        <v>74</v>
      </c>
      <c r="C260" s="201" t="s">
        <v>427</v>
      </c>
      <c r="D260" s="202" t="s">
        <v>429</v>
      </c>
      <c r="E260" s="89" t="s">
        <v>57</v>
      </c>
      <c r="F260" s="83"/>
      <c r="G260" s="83"/>
      <c r="H260" s="83"/>
      <c r="I260" s="83"/>
    </row>
    <row r="261" spans="1:9" ht="12">
      <c r="A261" s="71">
        <f t="shared" si="4"/>
        <v>260</v>
      </c>
      <c r="B261" s="83" t="s">
        <v>74</v>
      </c>
      <c r="C261" s="201" t="s">
        <v>427</v>
      </c>
      <c r="D261" s="202" t="s">
        <v>430</v>
      </c>
      <c r="E261" s="89" t="s">
        <v>57</v>
      </c>
      <c r="F261" s="83"/>
      <c r="G261" s="83"/>
      <c r="H261" s="83"/>
      <c r="I261" s="83"/>
    </row>
    <row r="262" spans="1:9" ht="12">
      <c r="A262" s="71">
        <f t="shared" si="4"/>
        <v>261</v>
      </c>
      <c r="B262" s="83" t="s">
        <v>74</v>
      </c>
      <c r="C262" s="201" t="s">
        <v>427</v>
      </c>
      <c r="D262" s="202" t="s">
        <v>431</v>
      </c>
      <c r="E262" s="89" t="s">
        <v>57</v>
      </c>
      <c r="F262" s="83"/>
      <c r="G262" s="83"/>
      <c r="H262" s="83"/>
      <c r="I262" s="83"/>
    </row>
    <row r="263" spans="1:9" ht="12">
      <c r="A263" s="71">
        <f t="shared" si="4"/>
        <v>262</v>
      </c>
      <c r="B263" s="83" t="s">
        <v>74</v>
      </c>
      <c r="C263" s="201" t="s">
        <v>432</v>
      </c>
      <c r="D263" s="202" t="s">
        <v>433</v>
      </c>
      <c r="E263" s="89" t="s">
        <v>57</v>
      </c>
      <c r="F263" s="83"/>
      <c r="G263" s="83" t="s">
        <v>127</v>
      </c>
      <c r="H263" s="83" t="s">
        <v>91</v>
      </c>
      <c r="I263" s="83" t="s">
        <v>434</v>
      </c>
    </row>
    <row r="264" spans="1:9" s="214" customFormat="1" ht="12">
      <c r="A264" s="203">
        <f t="shared" si="4"/>
        <v>263</v>
      </c>
      <c r="B264" s="204" t="s">
        <v>74</v>
      </c>
      <c r="C264" s="205" t="s">
        <v>432</v>
      </c>
      <c r="D264" s="206" t="s">
        <v>435</v>
      </c>
      <c r="E264" s="207" t="s">
        <v>57</v>
      </c>
      <c r="F264" s="204"/>
      <c r="G264" s="204"/>
      <c r="H264" s="204"/>
      <c r="I264" s="204"/>
    </row>
    <row r="265" spans="1:9" s="214" customFormat="1" ht="12">
      <c r="A265" s="203">
        <f t="shared" si="4"/>
        <v>264</v>
      </c>
      <c r="B265" s="204" t="s">
        <v>74</v>
      </c>
      <c r="C265" s="205" t="s">
        <v>432</v>
      </c>
      <c r="D265" s="206" t="s">
        <v>436</v>
      </c>
      <c r="E265" s="207" t="s">
        <v>57</v>
      </c>
      <c r="F265" s="204"/>
      <c r="G265" s="204"/>
      <c r="H265" s="204"/>
      <c r="I265" s="204"/>
    </row>
    <row r="266" spans="1:9" s="214" customFormat="1" ht="12">
      <c r="A266" s="203">
        <f t="shared" si="4"/>
        <v>265</v>
      </c>
      <c r="B266" s="204" t="s">
        <v>74</v>
      </c>
      <c r="C266" s="205" t="s">
        <v>432</v>
      </c>
      <c r="D266" s="206" t="s">
        <v>437</v>
      </c>
      <c r="E266" s="207" t="s">
        <v>57</v>
      </c>
      <c r="F266" s="204"/>
      <c r="G266" s="204"/>
      <c r="H266" s="204"/>
      <c r="I266" s="204"/>
    </row>
    <row r="267" spans="1:9" s="214" customFormat="1" ht="12">
      <c r="A267" s="203">
        <f t="shared" ref="A267:A330" si="5">ROW()-1</f>
        <v>266</v>
      </c>
      <c r="B267" s="204" t="s">
        <v>74</v>
      </c>
      <c r="C267" s="205" t="s">
        <v>438</v>
      </c>
      <c r="D267" s="206" t="s">
        <v>439</v>
      </c>
      <c r="E267" s="207" t="s">
        <v>57</v>
      </c>
      <c r="F267" s="204"/>
      <c r="G267" s="204"/>
      <c r="H267" s="204"/>
      <c r="I267" s="204"/>
    </row>
    <row r="268" spans="1:9" s="214" customFormat="1" ht="12">
      <c r="A268" s="203">
        <f t="shared" si="5"/>
        <v>267</v>
      </c>
      <c r="B268" s="204" t="s">
        <v>74</v>
      </c>
      <c r="C268" s="205" t="s">
        <v>440</v>
      </c>
      <c r="D268" s="206" t="s">
        <v>441</v>
      </c>
      <c r="E268" s="207" t="s">
        <v>57</v>
      </c>
      <c r="F268" s="204"/>
      <c r="G268" s="204"/>
      <c r="H268" s="204"/>
      <c r="I268" s="204"/>
    </row>
    <row r="269" spans="1:9" s="214" customFormat="1" ht="12">
      <c r="A269" s="203">
        <f t="shared" si="5"/>
        <v>268</v>
      </c>
      <c r="B269" s="204" t="s">
        <v>74</v>
      </c>
      <c r="C269" s="205" t="s">
        <v>442</v>
      </c>
      <c r="D269" s="206" t="s">
        <v>443</v>
      </c>
      <c r="E269" s="207" t="s">
        <v>57</v>
      </c>
      <c r="F269" s="204"/>
      <c r="G269" s="204"/>
      <c r="H269" s="204"/>
      <c r="I269" s="204"/>
    </row>
    <row r="270" spans="1:9" s="214" customFormat="1" ht="12">
      <c r="A270" s="203">
        <f t="shared" si="5"/>
        <v>269</v>
      </c>
      <c r="B270" s="204" t="s">
        <v>74</v>
      </c>
      <c r="C270" s="205" t="s">
        <v>444</v>
      </c>
      <c r="D270" s="206" t="s">
        <v>445</v>
      </c>
      <c r="E270" s="207" t="s">
        <v>57</v>
      </c>
      <c r="F270" s="204"/>
      <c r="G270" s="204"/>
      <c r="H270" s="204"/>
      <c r="I270" s="204"/>
    </row>
    <row r="271" spans="1:9" s="214" customFormat="1" ht="12">
      <c r="A271" s="203">
        <f t="shared" si="5"/>
        <v>270</v>
      </c>
      <c r="B271" s="204" t="s">
        <v>74</v>
      </c>
      <c r="C271" s="205" t="s">
        <v>446</v>
      </c>
      <c r="D271" s="206" t="s">
        <v>447</v>
      </c>
      <c r="E271" s="207" t="s">
        <v>57</v>
      </c>
      <c r="F271" s="204"/>
      <c r="G271" s="204"/>
      <c r="H271" s="204"/>
      <c r="I271" s="204"/>
    </row>
    <row r="272" spans="1:9" s="214" customFormat="1" ht="12">
      <c r="A272" s="203">
        <f t="shared" si="5"/>
        <v>271</v>
      </c>
      <c r="B272" s="204" t="s">
        <v>74</v>
      </c>
      <c r="C272" s="205" t="s">
        <v>446</v>
      </c>
      <c r="D272" s="206" t="s">
        <v>448</v>
      </c>
      <c r="E272" s="207" t="s">
        <v>57</v>
      </c>
      <c r="F272" s="204"/>
      <c r="G272" s="204"/>
      <c r="H272" s="204"/>
      <c r="I272" s="204"/>
    </row>
    <row r="273" spans="1:9" s="214" customFormat="1" ht="12">
      <c r="A273" s="203">
        <f t="shared" si="5"/>
        <v>272</v>
      </c>
      <c r="B273" s="204" t="s">
        <v>74</v>
      </c>
      <c r="C273" s="205" t="s">
        <v>446</v>
      </c>
      <c r="D273" s="206" t="s">
        <v>449</v>
      </c>
      <c r="E273" s="207" t="s">
        <v>57</v>
      </c>
      <c r="F273" s="204"/>
      <c r="G273" s="204"/>
      <c r="H273" s="204"/>
      <c r="I273" s="204"/>
    </row>
    <row r="274" spans="1:9" s="214" customFormat="1" ht="12">
      <c r="A274" s="203">
        <f t="shared" si="5"/>
        <v>273</v>
      </c>
      <c r="B274" s="204" t="s">
        <v>74</v>
      </c>
      <c r="C274" s="205" t="s">
        <v>446</v>
      </c>
      <c r="D274" s="206" t="s">
        <v>450</v>
      </c>
      <c r="E274" s="207" t="s">
        <v>57</v>
      </c>
      <c r="F274" s="204"/>
      <c r="G274" s="204"/>
      <c r="H274" s="204"/>
      <c r="I274" s="204"/>
    </row>
    <row r="275" spans="1:9" s="214" customFormat="1" ht="12">
      <c r="A275" s="203">
        <f t="shared" si="5"/>
        <v>274</v>
      </c>
      <c r="B275" s="204" t="s">
        <v>74</v>
      </c>
      <c r="C275" s="205" t="s">
        <v>446</v>
      </c>
      <c r="D275" s="206" t="s">
        <v>451</v>
      </c>
      <c r="E275" s="207" t="s">
        <v>57</v>
      </c>
      <c r="F275" s="204"/>
      <c r="G275" s="204"/>
      <c r="H275" s="204"/>
      <c r="I275" s="204"/>
    </row>
    <row r="276" spans="1:9" s="214" customFormat="1" ht="12">
      <c r="A276" s="203">
        <f t="shared" si="5"/>
        <v>275</v>
      </c>
      <c r="B276" s="204" t="s">
        <v>74</v>
      </c>
      <c r="C276" s="205" t="s">
        <v>446</v>
      </c>
      <c r="D276" s="206" t="s">
        <v>452</v>
      </c>
      <c r="E276" s="207" t="s">
        <v>57</v>
      </c>
      <c r="F276" s="204"/>
      <c r="G276" s="204"/>
      <c r="H276" s="204"/>
      <c r="I276" s="204"/>
    </row>
    <row r="277" spans="1:9" s="214" customFormat="1" ht="12">
      <c r="A277" s="203">
        <f t="shared" si="5"/>
        <v>276</v>
      </c>
      <c r="B277" s="204" t="s">
        <v>74</v>
      </c>
      <c r="C277" s="205" t="s">
        <v>446</v>
      </c>
      <c r="D277" s="206" t="s">
        <v>453</v>
      </c>
      <c r="E277" s="207" t="s">
        <v>57</v>
      </c>
      <c r="F277" s="204"/>
      <c r="G277" s="204"/>
      <c r="H277" s="204"/>
      <c r="I277" s="204"/>
    </row>
    <row r="278" spans="1:9" s="214" customFormat="1" ht="12">
      <c r="A278" s="203">
        <f t="shared" si="5"/>
        <v>277</v>
      </c>
      <c r="B278" s="204" t="s">
        <v>74</v>
      </c>
      <c r="C278" s="205" t="s">
        <v>446</v>
      </c>
      <c r="D278" s="206" t="s">
        <v>454</v>
      </c>
      <c r="E278" s="207" t="s">
        <v>57</v>
      </c>
      <c r="F278" s="204"/>
      <c r="G278" s="204"/>
      <c r="H278" s="204"/>
      <c r="I278" s="204"/>
    </row>
    <row r="279" spans="1:9" s="214" customFormat="1" ht="12">
      <c r="A279" s="203">
        <f t="shared" si="5"/>
        <v>278</v>
      </c>
      <c r="B279" s="204" t="s">
        <v>74</v>
      </c>
      <c r="C279" s="205" t="s">
        <v>455</v>
      </c>
      <c r="D279" s="206" t="s">
        <v>456</v>
      </c>
      <c r="E279" s="207" t="s">
        <v>57</v>
      </c>
      <c r="F279" s="204"/>
      <c r="G279" s="204"/>
      <c r="H279" s="204"/>
      <c r="I279" s="204"/>
    </row>
    <row r="280" spans="1:9" s="214" customFormat="1" ht="12">
      <c r="A280" s="203">
        <f t="shared" si="5"/>
        <v>279</v>
      </c>
      <c r="B280" s="204" t="s">
        <v>74</v>
      </c>
      <c r="C280" s="205" t="s">
        <v>455</v>
      </c>
      <c r="D280" s="206" t="s">
        <v>457</v>
      </c>
      <c r="E280" s="207" t="s">
        <v>57</v>
      </c>
      <c r="F280" s="204"/>
      <c r="G280" s="204"/>
      <c r="H280" s="204"/>
      <c r="I280" s="204"/>
    </row>
    <row r="281" spans="1:9" s="214" customFormat="1" ht="12">
      <c r="A281" s="203">
        <f t="shared" si="5"/>
        <v>280</v>
      </c>
      <c r="B281" s="204" t="s">
        <v>74</v>
      </c>
      <c r="C281" s="205" t="s">
        <v>455</v>
      </c>
      <c r="D281" s="206" t="s">
        <v>458</v>
      </c>
      <c r="E281" s="207" t="s">
        <v>57</v>
      </c>
      <c r="F281" s="204"/>
      <c r="G281" s="204"/>
      <c r="H281" s="204"/>
      <c r="I281" s="204"/>
    </row>
    <row r="282" spans="1:9" s="214" customFormat="1" ht="12">
      <c r="A282" s="203">
        <f t="shared" si="5"/>
        <v>281</v>
      </c>
      <c r="B282" s="204" t="s">
        <v>74</v>
      </c>
      <c r="C282" s="205" t="s">
        <v>455</v>
      </c>
      <c r="D282" s="206" t="s">
        <v>459</v>
      </c>
      <c r="E282" s="207" t="s">
        <v>57</v>
      </c>
      <c r="F282" s="204"/>
      <c r="G282" s="204"/>
      <c r="H282" s="204"/>
      <c r="I282" s="204"/>
    </row>
    <row r="283" spans="1:9" s="214" customFormat="1" ht="12">
      <c r="A283" s="203">
        <f t="shared" si="5"/>
        <v>282</v>
      </c>
      <c r="B283" s="204" t="s">
        <v>74</v>
      </c>
      <c r="C283" s="205" t="s">
        <v>460</v>
      </c>
      <c r="D283" s="206" t="s">
        <v>461</v>
      </c>
      <c r="E283" s="207" t="s">
        <v>57</v>
      </c>
      <c r="F283" s="204"/>
      <c r="G283" s="204"/>
      <c r="H283" s="204"/>
      <c r="I283" s="204"/>
    </row>
    <row r="284" spans="1:9" s="214" customFormat="1" ht="12">
      <c r="A284" s="203">
        <f t="shared" si="5"/>
        <v>283</v>
      </c>
      <c r="B284" s="204" t="s">
        <v>74</v>
      </c>
      <c r="C284" s="205" t="s">
        <v>460</v>
      </c>
      <c r="D284" s="206" t="s">
        <v>462</v>
      </c>
      <c r="E284" s="207" t="s">
        <v>57</v>
      </c>
      <c r="F284" s="204"/>
      <c r="G284" s="204"/>
      <c r="H284" s="204"/>
      <c r="I284" s="204"/>
    </row>
    <row r="285" spans="1:9" s="214" customFormat="1" ht="12">
      <c r="A285" s="203">
        <f t="shared" si="5"/>
        <v>284</v>
      </c>
      <c r="B285" s="204" t="s">
        <v>74</v>
      </c>
      <c r="C285" s="205" t="s">
        <v>460</v>
      </c>
      <c r="D285" s="206" t="s">
        <v>463</v>
      </c>
      <c r="E285" s="207" t="s">
        <v>57</v>
      </c>
      <c r="F285" s="204"/>
      <c r="G285" s="204"/>
      <c r="H285" s="204"/>
      <c r="I285" s="204"/>
    </row>
    <row r="286" spans="1:9" s="214" customFormat="1" ht="12">
      <c r="A286" s="203">
        <f t="shared" si="5"/>
        <v>285</v>
      </c>
      <c r="B286" s="204" t="s">
        <v>74</v>
      </c>
      <c r="C286" s="205" t="s">
        <v>460</v>
      </c>
      <c r="D286" s="206" t="s">
        <v>464</v>
      </c>
      <c r="E286" s="207" t="s">
        <v>57</v>
      </c>
      <c r="F286" s="204"/>
      <c r="G286" s="204"/>
      <c r="H286" s="204"/>
      <c r="I286" s="204"/>
    </row>
    <row r="287" spans="1:9" s="214" customFormat="1" ht="12">
      <c r="A287" s="203">
        <f t="shared" si="5"/>
        <v>286</v>
      </c>
      <c r="B287" s="204" t="s">
        <v>74</v>
      </c>
      <c r="C287" s="205" t="s">
        <v>460</v>
      </c>
      <c r="D287" s="206" t="s">
        <v>465</v>
      </c>
      <c r="E287" s="207" t="s">
        <v>57</v>
      </c>
      <c r="F287" s="204"/>
      <c r="G287" s="204"/>
      <c r="H287" s="204"/>
      <c r="I287" s="204"/>
    </row>
    <row r="288" spans="1:9" s="214" customFormat="1" ht="12">
      <c r="A288" s="203">
        <f t="shared" si="5"/>
        <v>287</v>
      </c>
      <c r="B288" s="204" t="s">
        <v>74</v>
      </c>
      <c r="C288" s="205" t="s">
        <v>460</v>
      </c>
      <c r="D288" s="206" t="s">
        <v>466</v>
      </c>
      <c r="E288" s="207" t="s">
        <v>57</v>
      </c>
      <c r="F288" s="204"/>
      <c r="G288" s="204"/>
      <c r="H288" s="204"/>
      <c r="I288" s="204"/>
    </row>
    <row r="289" spans="1:9" s="214" customFormat="1" ht="12">
      <c r="A289" s="203">
        <f t="shared" si="5"/>
        <v>288</v>
      </c>
      <c r="B289" s="204" t="s">
        <v>74</v>
      </c>
      <c r="C289" s="205" t="s">
        <v>460</v>
      </c>
      <c r="D289" s="206" t="s">
        <v>467</v>
      </c>
      <c r="E289" s="207" t="s">
        <v>57</v>
      </c>
      <c r="F289" s="204"/>
      <c r="G289" s="204"/>
      <c r="H289" s="204"/>
      <c r="I289" s="204"/>
    </row>
    <row r="290" spans="1:9" s="214" customFormat="1" ht="12">
      <c r="A290" s="203">
        <f t="shared" si="5"/>
        <v>289</v>
      </c>
      <c r="B290" s="204" t="s">
        <v>74</v>
      </c>
      <c r="C290" s="205" t="s">
        <v>460</v>
      </c>
      <c r="D290" s="206" t="s">
        <v>468</v>
      </c>
      <c r="E290" s="207" t="s">
        <v>57</v>
      </c>
      <c r="F290" s="204"/>
      <c r="G290" s="204"/>
      <c r="H290" s="204"/>
      <c r="I290" s="204"/>
    </row>
    <row r="291" spans="1:9" s="214" customFormat="1" ht="12">
      <c r="A291" s="203">
        <f t="shared" si="5"/>
        <v>290</v>
      </c>
      <c r="B291" s="204" t="s">
        <v>74</v>
      </c>
      <c r="C291" s="205" t="s">
        <v>469</v>
      </c>
      <c r="D291" s="206" t="s">
        <v>470</v>
      </c>
      <c r="E291" s="207" t="s">
        <v>57</v>
      </c>
      <c r="F291" s="204"/>
      <c r="G291" s="204"/>
      <c r="H291" s="204"/>
      <c r="I291" s="204"/>
    </row>
    <row r="292" spans="1:9" s="214" customFormat="1" ht="12">
      <c r="A292" s="203">
        <f t="shared" si="5"/>
        <v>291</v>
      </c>
      <c r="B292" s="204" t="s">
        <v>74</v>
      </c>
      <c r="C292" s="205" t="s">
        <v>469</v>
      </c>
      <c r="D292" s="206" t="s">
        <v>471</v>
      </c>
      <c r="E292" s="207" t="s">
        <v>57</v>
      </c>
      <c r="F292" s="204"/>
      <c r="G292" s="204"/>
      <c r="H292" s="204"/>
      <c r="I292" s="204"/>
    </row>
    <row r="293" spans="1:9" s="214" customFormat="1" ht="12">
      <c r="A293" s="203">
        <f t="shared" si="5"/>
        <v>292</v>
      </c>
      <c r="B293" s="204" t="s">
        <v>74</v>
      </c>
      <c r="C293" s="205" t="s">
        <v>469</v>
      </c>
      <c r="D293" s="206" t="s">
        <v>472</v>
      </c>
      <c r="E293" s="207" t="s">
        <v>57</v>
      </c>
      <c r="F293" s="204"/>
      <c r="G293" s="204"/>
      <c r="H293" s="204"/>
      <c r="I293" s="204"/>
    </row>
    <row r="294" spans="1:9" s="214" customFormat="1" ht="12">
      <c r="A294" s="203">
        <f t="shared" si="5"/>
        <v>293</v>
      </c>
      <c r="B294" s="204" t="s">
        <v>74</v>
      </c>
      <c r="C294" s="205" t="s">
        <v>469</v>
      </c>
      <c r="D294" s="206" t="s">
        <v>473</v>
      </c>
      <c r="E294" s="207" t="s">
        <v>57</v>
      </c>
      <c r="F294" s="204"/>
      <c r="G294" s="204"/>
      <c r="H294" s="204"/>
      <c r="I294" s="204"/>
    </row>
    <row r="295" spans="1:9" ht="12">
      <c r="A295" s="71">
        <f t="shared" si="5"/>
        <v>294</v>
      </c>
      <c r="B295" s="83" t="s">
        <v>74</v>
      </c>
      <c r="C295" s="201" t="s">
        <v>474</v>
      </c>
      <c r="D295" s="202" t="s">
        <v>475</v>
      </c>
      <c r="E295" s="89" t="s">
        <v>57</v>
      </c>
      <c r="F295" s="83"/>
      <c r="G295" s="83" t="s">
        <v>57</v>
      </c>
      <c r="H295" s="83" t="s">
        <v>85</v>
      </c>
      <c r="I295" s="83"/>
    </row>
    <row r="296" spans="1:9" ht="12">
      <c r="A296" s="250">
        <f t="shared" si="5"/>
        <v>295</v>
      </c>
      <c r="B296" s="251" t="s">
        <v>74</v>
      </c>
      <c r="C296" s="252" t="s">
        <v>476</v>
      </c>
      <c r="D296" s="251"/>
      <c r="E296" s="253" t="s">
        <v>348</v>
      </c>
      <c r="F296" s="251"/>
      <c r="G296" s="251" t="s">
        <v>423</v>
      </c>
      <c r="H296" s="251" t="s">
        <v>76</v>
      </c>
      <c r="I296" s="251" t="s">
        <v>101</v>
      </c>
    </row>
    <row r="297" spans="1:9" ht="12">
      <c r="A297" s="71">
        <f t="shared" si="5"/>
        <v>296</v>
      </c>
      <c r="B297" s="83" t="s">
        <v>74</v>
      </c>
      <c r="C297" s="201" t="s">
        <v>156</v>
      </c>
      <c r="D297" s="202" t="s">
        <v>477</v>
      </c>
      <c r="E297" s="89" t="s">
        <v>57</v>
      </c>
      <c r="F297" s="83"/>
      <c r="G297" s="83" t="s">
        <v>423</v>
      </c>
      <c r="H297" s="83" t="s">
        <v>392</v>
      </c>
      <c r="I297" s="83"/>
    </row>
    <row r="298" spans="1:9" ht="12">
      <c r="A298" s="71">
        <f t="shared" si="5"/>
        <v>297</v>
      </c>
      <c r="B298" s="83" t="s">
        <v>74</v>
      </c>
      <c r="C298" s="201" t="s">
        <v>161</v>
      </c>
      <c r="D298" s="202" t="s">
        <v>478</v>
      </c>
      <c r="E298" s="89" t="s">
        <v>57</v>
      </c>
      <c r="F298" s="83"/>
      <c r="G298" s="83" t="s">
        <v>423</v>
      </c>
      <c r="H298" s="83" t="s">
        <v>392</v>
      </c>
      <c r="I298" s="83"/>
    </row>
    <row r="299" spans="1:9" ht="12">
      <c r="A299" s="71">
        <f t="shared" si="5"/>
        <v>298</v>
      </c>
      <c r="B299" s="83" t="s">
        <v>74</v>
      </c>
      <c r="C299" s="201" t="s">
        <v>166</v>
      </c>
      <c r="D299" s="202" t="s">
        <v>479</v>
      </c>
      <c r="E299" s="89" t="s">
        <v>57</v>
      </c>
      <c r="F299" s="83"/>
      <c r="G299" s="83" t="s">
        <v>423</v>
      </c>
      <c r="H299" s="83" t="s">
        <v>392</v>
      </c>
      <c r="I299" s="83"/>
    </row>
    <row r="300" spans="1:9" ht="12">
      <c r="A300" s="71">
        <f t="shared" si="5"/>
        <v>299</v>
      </c>
      <c r="B300" s="83" t="s">
        <v>74</v>
      </c>
      <c r="C300" s="201" t="s">
        <v>412</v>
      </c>
      <c r="D300" s="202" t="s">
        <v>480</v>
      </c>
      <c r="E300" s="89" t="s">
        <v>57</v>
      </c>
      <c r="F300" s="83"/>
      <c r="G300" s="83" t="s">
        <v>107</v>
      </c>
      <c r="H300" s="83" t="s">
        <v>392</v>
      </c>
      <c r="I300" s="83"/>
    </row>
    <row r="301" spans="1:9" ht="12">
      <c r="A301" s="250">
        <f t="shared" si="5"/>
        <v>300</v>
      </c>
      <c r="B301" s="251" t="s">
        <v>74</v>
      </c>
      <c r="C301" s="252" t="s">
        <v>481</v>
      </c>
      <c r="D301" s="251"/>
      <c r="E301" s="253" t="s">
        <v>348</v>
      </c>
      <c r="F301" s="251"/>
      <c r="G301" s="251" t="s">
        <v>107</v>
      </c>
      <c r="H301" s="251" t="s">
        <v>76</v>
      </c>
      <c r="I301" s="251" t="s">
        <v>101</v>
      </c>
    </row>
    <row r="302" spans="1:9" ht="12">
      <c r="A302" s="71">
        <f t="shared" si="5"/>
        <v>301</v>
      </c>
      <c r="B302" s="83" t="s">
        <v>74</v>
      </c>
      <c r="C302" s="201" t="s">
        <v>482</v>
      </c>
      <c r="D302" s="202" t="s">
        <v>483</v>
      </c>
      <c r="E302" s="89" t="s">
        <v>57</v>
      </c>
      <c r="F302" s="83"/>
      <c r="G302" s="83" t="s">
        <v>484</v>
      </c>
      <c r="H302" s="83" t="s">
        <v>128</v>
      </c>
      <c r="I302" s="83"/>
    </row>
    <row r="303" spans="1:9" ht="12">
      <c r="A303" s="71">
        <f t="shared" si="5"/>
        <v>302</v>
      </c>
      <c r="B303" s="83" t="s">
        <v>74</v>
      </c>
      <c r="C303" s="201" t="s">
        <v>482</v>
      </c>
      <c r="D303" s="202" t="s">
        <v>485</v>
      </c>
      <c r="E303" s="89" t="s">
        <v>57</v>
      </c>
      <c r="F303" s="83"/>
      <c r="G303" s="83" t="s">
        <v>484</v>
      </c>
      <c r="H303" s="83" t="s">
        <v>128</v>
      </c>
      <c r="I303" s="83"/>
    </row>
    <row r="304" spans="1:9" ht="12">
      <c r="A304" s="71">
        <f t="shared" si="5"/>
        <v>303</v>
      </c>
      <c r="B304" s="83" t="s">
        <v>74</v>
      </c>
      <c r="C304" s="201" t="s">
        <v>482</v>
      </c>
      <c r="D304" s="202" t="s">
        <v>486</v>
      </c>
      <c r="E304" s="89" t="s">
        <v>57</v>
      </c>
      <c r="F304" s="83"/>
      <c r="G304" s="83" t="s">
        <v>484</v>
      </c>
      <c r="H304" s="83" t="s">
        <v>128</v>
      </c>
      <c r="I304" s="83"/>
    </row>
    <row r="305" spans="1:9" ht="12">
      <c r="A305" s="71">
        <f t="shared" si="5"/>
        <v>304</v>
      </c>
      <c r="B305" s="83" t="s">
        <v>74</v>
      </c>
      <c r="C305" s="201" t="s">
        <v>482</v>
      </c>
      <c r="D305" s="202" t="s">
        <v>487</v>
      </c>
      <c r="E305" s="89" t="s">
        <v>57</v>
      </c>
      <c r="F305" s="83"/>
      <c r="G305" s="83" t="s">
        <v>484</v>
      </c>
      <c r="H305" s="83" t="s">
        <v>128</v>
      </c>
      <c r="I305" s="83"/>
    </row>
    <row r="306" spans="1:9" s="214" customFormat="1" ht="12">
      <c r="A306" s="203">
        <f t="shared" si="5"/>
        <v>305</v>
      </c>
      <c r="B306" s="204" t="s">
        <v>74</v>
      </c>
      <c r="C306" s="205" t="s">
        <v>105</v>
      </c>
      <c r="D306" s="206" t="s">
        <v>488</v>
      </c>
      <c r="E306" s="207" t="s">
        <v>57</v>
      </c>
      <c r="F306" s="204"/>
      <c r="G306" s="204"/>
      <c r="H306" s="204"/>
      <c r="I306" s="204"/>
    </row>
    <row r="307" spans="1:9" ht="12">
      <c r="A307" s="71">
        <f t="shared" si="5"/>
        <v>306</v>
      </c>
      <c r="B307" s="83" t="s">
        <v>74</v>
      </c>
      <c r="C307" s="201" t="s">
        <v>339</v>
      </c>
      <c r="D307" s="202" t="s">
        <v>489</v>
      </c>
      <c r="E307" s="89" t="s">
        <v>57</v>
      </c>
      <c r="F307" s="83"/>
      <c r="G307" s="83" t="s">
        <v>57</v>
      </c>
      <c r="H307" s="83" t="s">
        <v>104</v>
      </c>
      <c r="I307" s="83"/>
    </row>
    <row r="308" spans="1:9" ht="12">
      <c r="A308" s="71">
        <f t="shared" si="5"/>
        <v>307</v>
      </c>
      <c r="B308" s="83" t="s">
        <v>74</v>
      </c>
      <c r="C308" s="201" t="s">
        <v>490</v>
      </c>
      <c r="D308" s="202" t="s">
        <v>491</v>
      </c>
      <c r="E308" s="89" t="s">
        <v>57</v>
      </c>
      <c r="F308" s="83"/>
      <c r="G308" s="83" t="s">
        <v>484</v>
      </c>
      <c r="H308" s="83" t="s">
        <v>128</v>
      </c>
      <c r="I308" s="83"/>
    </row>
    <row r="309" spans="1:9" ht="12">
      <c r="A309" s="71">
        <f t="shared" si="5"/>
        <v>308</v>
      </c>
      <c r="B309" s="83" t="s">
        <v>74</v>
      </c>
      <c r="C309" s="201" t="s">
        <v>490</v>
      </c>
      <c r="D309" s="202" t="s">
        <v>492</v>
      </c>
      <c r="E309" s="89" t="s">
        <v>57</v>
      </c>
      <c r="F309" s="83"/>
      <c r="G309" s="83" t="s">
        <v>484</v>
      </c>
      <c r="H309" s="83" t="s">
        <v>128</v>
      </c>
      <c r="I309" s="83"/>
    </row>
    <row r="310" spans="1:9" ht="12">
      <c r="A310" s="71">
        <f t="shared" si="5"/>
        <v>309</v>
      </c>
      <c r="B310" s="83" t="s">
        <v>74</v>
      </c>
      <c r="C310" s="201" t="s">
        <v>490</v>
      </c>
      <c r="D310" s="202" t="s">
        <v>493</v>
      </c>
      <c r="E310" s="89" t="s">
        <v>57</v>
      </c>
      <c r="F310" s="83"/>
      <c r="G310" s="83" t="s">
        <v>484</v>
      </c>
      <c r="H310" s="83" t="s">
        <v>128</v>
      </c>
      <c r="I310" s="83"/>
    </row>
    <row r="311" spans="1:9" ht="12">
      <c r="A311" s="71">
        <f t="shared" si="5"/>
        <v>310</v>
      </c>
      <c r="B311" s="83" t="s">
        <v>74</v>
      </c>
      <c r="C311" s="201" t="s">
        <v>490</v>
      </c>
      <c r="D311" s="202" t="s">
        <v>494</v>
      </c>
      <c r="E311" s="89" t="s">
        <v>57</v>
      </c>
      <c r="F311" s="83"/>
      <c r="G311" s="83" t="s">
        <v>484</v>
      </c>
      <c r="H311" s="83" t="s">
        <v>128</v>
      </c>
      <c r="I311" s="83"/>
    </row>
    <row r="312" spans="1:9" ht="12">
      <c r="A312" s="71">
        <f t="shared" si="5"/>
        <v>311</v>
      </c>
      <c r="B312" s="83" t="s">
        <v>74</v>
      </c>
      <c r="C312" s="201" t="s">
        <v>495</v>
      </c>
      <c r="D312" s="202" t="s">
        <v>496</v>
      </c>
      <c r="E312" s="89" t="s">
        <v>57</v>
      </c>
      <c r="F312" s="83"/>
      <c r="G312" s="83" t="s">
        <v>484</v>
      </c>
      <c r="H312" s="83" t="s">
        <v>128</v>
      </c>
      <c r="I312" s="83"/>
    </row>
    <row r="313" spans="1:9" ht="12">
      <c r="A313" s="71">
        <f t="shared" si="5"/>
        <v>312</v>
      </c>
      <c r="B313" s="83" t="s">
        <v>74</v>
      </c>
      <c r="C313" s="201" t="s">
        <v>495</v>
      </c>
      <c r="D313" s="202" t="s">
        <v>497</v>
      </c>
      <c r="E313" s="89" t="s">
        <v>57</v>
      </c>
      <c r="F313" s="83"/>
      <c r="G313" s="83" t="s">
        <v>484</v>
      </c>
      <c r="H313" s="83" t="s">
        <v>128</v>
      </c>
      <c r="I313" s="83"/>
    </row>
    <row r="314" spans="1:9" s="214" customFormat="1" ht="12">
      <c r="A314" s="203">
        <f t="shared" si="5"/>
        <v>313</v>
      </c>
      <c r="B314" s="204" t="s">
        <v>74</v>
      </c>
      <c r="C314" s="205" t="s">
        <v>89</v>
      </c>
      <c r="D314" s="206" t="s">
        <v>498</v>
      </c>
      <c r="E314" s="207" t="s">
        <v>57</v>
      </c>
      <c r="F314" s="204"/>
      <c r="G314" s="204"/>
      <c r="H314" s="204"/>
      <c r="I314" s="204"/>
    </row>
    <row r="315" spans="1:9" ht="12">
      <c r="A315" s="71">
        <f t="shared" si="5"/>
        <v>314</v>
      </c>
      <c r="B315" s="83" t="s">
        <v>74</v>
      </c>
      <c r="C315" s="201" t="s">
        <v>495</v>
      </c>
      <c r="D315" s="202" t="s">
        <v>499</v>
      </c>
      <c r="E315" s="89" t="s">
        <v>57</v>
      </c>
      <c r="F315" s="83"/>
      <c r="G315" s="83" t="s">
        <v>484</v>
      </c>
      <c r="H315" s="83" t="s">
        <v>128</v>
      </c>
      <c r="I315" s="83"/>
    </row>
    <row r="316" spans="1:9" s="214" customFormat="1" ht="12">
      <c r="A316" s="203">
        <f t="shared" si="5"/>
        <v>315</v>
      </c>
      <c r="B316" s="204" t="s">
        <v>74</v>
      </c>
      <c r="C316" s="205" t="s">
        <v>93</v>
      </c>
      <c r="D316" s="206" t="s">
        <v>500</v>
      </c>
      <c r="E316" s="207" t="s">
        <v>57</v>
      </c>
      <c r="F316" s="204"/>
      <c r="G316" s="204"/>
      <c r="H316" s="204"/>
      <c r="I316" s="204"/>
    </row>
    <row r="317" spans="1:9" s="214" customFormat="1" ht="12">
      <c r="A317" s="203">
        <f t="shared" si="5"/>
        <v>316</v>
      </c>
      <c r="B317" s="204" t="s">
        <v>74</v>
      </c>
      <c r="C317" s="205" t="s">
        <v>95</v>
      </c>
      <c r="D317" s="206" t="s">
        <v>501</v>
      </c>
      <c r="E317" s="207" t="s">
        <v>57</v>
      </c>
      <c r="F317" s="204"/>
      <c r="G317" s="204"/>
      <c r="H317" s="204"/>
      <c r="I317" s="204"/>
    </row>
    <row r="318" spans="1:9" s="214" customFormat="1" ht="12">
      <c r="A318" s="203">
        <f t="shared" si="5"/>
        <v>317</v>
      </c>
      <c r="B318" s="204" t="s">
        <v>74</v>
      </c>
      <c r="C318" s="205" t="s">
        <v>97</v>
      </c>
      <c r="D318" s="206" t="s">
        <v>502</v>
      </c>
      <c r="E318" s="207" t="s">
        <v>57</v>
      </c>
      <c r="F318" s="204"/>
      <c r="G318" s="204"/>
      <c r="H318" s="204"/>
      <c r="I318" s="204"/>
    </row>
    <row r="319" spans="1:9" s="214" customFormat="1" ht="12">
      <c r="A319" s="203">
        <f t="shared" si="5"/>
        <v>318</v>
      </c>
      <c r="B319" s="204" t="s">
        <v>74</v>
      </c>
      <c r="C319" s="205" t="s">
        <v>503</v>
      </c>
      <c r="D319" s="206" t="s">
        <v>504</v>
      </c>
      <c r="E319" s="207" t="s">
        <v>57</v>
      </c>
      <c r="F319" s="204"/>
      <c r="G319" s="204"/>
      <c r="H319" s="204"/>
      <c r="I319" s="204"/>
    </row>
    <row r="320" spans="1:9" s="214" customFormat="1" ht="12">
      <c r="A320" s="203">
        <f t="shared" si="5"/>
        <v>319</v>
      </c>
      <c r="B320" s="204" t="s">
        <v>74</v>
      </c>
      <c r="C320" s="205" t="s">
        <v>102</v>
      </c>
      <c r="D320" s="206" t="s">
        <v>505</v>
      </c>
      <c r="E320" s="207" t="s">
        <v>57</v>
      </c>
      <c r="F320" s="204"/>
      <c r="G320" s="204"/>
      <c r="H320" s="204"/>
      <c r="I320" s="204"/>
    </row>
    <row r="321" spans="1:9" ht="12">
      <c r="A321" s="71">
        <f t="shared" si="5"/>
        <v>320</v>
      </c>
      <c r="B321" s="83" t="s">
        <v>74</v>
      </c>
      <c r="C321" s="201" t="s">
        <v>495</v>
      </c>
      <c r="D321" s="202" t="s">
        <v>506</v>
      </c>
      <c r="E321" s="89" t="s">
        <v>57</v>
      </c>
      <c r="F321" s="83"/>
      <c r="G321" s="83" t="s">
        <v>484</v>
      </c>
      <c r="H321" s="83" t="s">
        <v>128</v>
      </c>
      <c r="I321" s="83"/>
    </row>
    <row r="322" spans="1:9" s="214" customFormat="1" ht="12">
      <c r="A322" s="203">
        <f t="shared" si="5"/>
        <v>321</v>
      </c>
      <c r="B322" s="204" t="s">
        <v>74</v>
      </c>
      <c r="C322" s="205" t="s">
        <v>108</v>
      </c>
      <c r="D322" s="206" t="s">
        <v>507</v>
      </c>
      <c r="E322" s="207" t="s">
        <v>57</v>
      </c>
      <c r="F322" s="204"/>
      <c r="G322" s="204"/>
      <c r="H322" s="204"/>
      <c r="I322" s="204"/>
    </row>
    <row r="323" spans="1:9" s="214" customFormat="1" ht="12">
      <c r="A323" s="203">
        <f t="shared" si="5"/>
        <v>322</v>
      </c>
      <c r="B323" s="204" t="s">
        <v>74</v>
      </c>
      <c r="C323" s="205" t="s">
        <v>110</v>
      </c>
      <c r="D323" s="206" t="s">
        <v>508</v>
      </c>
      <c r="E323" s="207" t="s">
        <v>57</v>
      </c>
      <c r="F323" s="204"/>
      <c r="G323" s="204"/>
      <c r="H323" s="204"/>
      <c r="I323" s="204"/>
    </row>
    <row r="324" spans="1:9" s="214" customFormat="1" ht="12">
      <c r="A324" s="203">
        <f t="shared" si="5"/>
        <v>323</v>
      </c>
      <c r="B324" s="204" t="s">
        <v>74</v>
      </c>
      <c r="C324" s="205" t="s">
        <v>112</v>
      </c>
      <c r="D324" s="206" t="s">
        <v>509</v>
      </c>
      <c r="E324" s="207" t="s">
        <v>57</v>
      </c>
      <c r="F324" s="204"/>
      <c r="G324" s="204"/>
      <c r="H324" s="204"/>
      <c r="I324" s="204"/>
    </row>
    <row r="325" spans="1:9" s="214" customFormat="1" ht="12">
      <c r="A325" s="203">
        <f t="shared" si="5"/>
        <v>324</v>
      </c>
      <c r="B325" s="204" t="s">
        <v>74</v>
      </c>
      <c r="C325" s="205" t="s">
        <v>105</v>
      </c>
      <c r="D325" s="206" t="s">
        <v>510</v>
      </c>
      <c r="E325" s="207" t="s">
        <v>57</v>
      </c>
      <c r="F325" s="204"/>
      <c r="G325" s="204"/>
      <c r="H325" s="204"/>
      <c r="I325" s="204"/>
    </row>
    <row r="326" spans="1:9" s="214" customFormat="1" ht="12">
      <c r="A326" s="203">
        <f t="shared" si="5"/>
        <v>325</v>
      </c>
      <c r="B326" s="204" t="s">
        <v>74</v>
      </c>
      <c r="C326" s="205" t="s">
        <v>511</v>
      </c>
      <c r="D326" s="206" t="s">
        <v>512</v>
      </c>
      <c r="E326" s="207" t="s">
        <v>57</v>
      </c>
      <c r="F326" s="204"/>
      <c r="G326" s="204"/>
      <c r="H326" s="204"/>
      <c r="I326" s="204"/>
    </row>
    <row r="327" spans="1:9" ht="12">
      <c r="A327" s="71">
        <f t="shared" si="5"/>
        <v>326</v>
      </c>
      <c r="B327" s="83" t="s">
        <v>74</v>
      </c>
      <c r="C327" s="201" t="s">
        <v>513</v>
      </c>
      <c r="D327" s="202" t="s">
        <v>514</v>
      </c>
      <c r="E327" s="89" t="s">
        <v>57</v>
      </c>
      <c r="F327" s="83"/>
      <c r="G327" s="83" t="s">
        <v>484</v>
      </c>
      <c r="H327" s="83" t="s">
        <v>128</v>
      </c>
      <c r="I327" s="83"/>
    </row>
    <row r="328" spans="1:9" s="214" customFormat="1" ht="12">
      <c r="A328" s="203">
        <f t="shared" si="5"/>
        <v>327</v>
      </c>
      <c r="B328" s="204" t="s">
        <v>74</v>
      </c>
      <c r="C328" s="205" t="s">
        <v>114</v>
      </c>
      <c r="D328" s="206" t="s">
        <v>515</v>
      </c>
      <c r="E328" s="207" t="s">
        <v>57</v>
      </c>
      <c r="F328" s="204"/>
      <c r="G328" s="204"/>
      <c r="H328" s="204"/>
      <c r="I328" s="204"/>
    </row>
    <row r="329" spans="1:9" s="214" customFormat="1" ht="12">
      <c r="A329" s="203">
        <f t="shared" si="5"/>
        <v>328</v>
      </c>
      <c r="B329" s="204" t="s">
        <v>74</v>
      </c>
      <c r="C329" s="205" t="s">
        <v>117</v>
      </c>
      <c r="D329" s="206" t="s">
        <v>516</v>
      </c>
      <c r="E329" s="207" t="s">
        <v>57</v>
      </c>
      <c r="F329" s="204"/>
      <c r="G329" s="204"/>
      <c r="H329" s="204"/>
      <c r="I329" s="204"/>
    </row>
    <row r="330" spans="1:9" s="214" customFormat="1" ht="12">
      <c r="A330" s="203">
        <f t="shared" si="5"/>
        <v>329</v>
      </c>
      <c r="B330" s="204" t="s">
        <v>74</v>
      </c>
      <c r="C330" s="205" t="s">
        <v>119</v>
      </c>
      <c r="D330" s="206" t="s">
        <v>517</v>
      </c>
      <c r="E330" s="207" t="s">
        <v>57</v>
      </c>
      <c r="F330" s="204"/>
      <c r="G330" s="204"/>
      <c r="H330" s="204"/>
      <c r="I330" s="204"/>
    </row>
    <row r="331" spans="1:9" s="214" customFormat="1" ht="12">
      <c r="A331" s="203">
        <f t="shared" ref="A331:A394" si="6">ROW()-1</f>
        <v>330</v>
      </c>
      <c r="B331" s="204" t="s">
        <v>74</v>
      </c>
      <c r="C331" s="205" t="s">
        <v>121</v>
      </c>
      <c r="D331" s="206" t="s">
        <v>518</v>
      </c>
      <c r="E331" s="207" t="s">
        <v>57</v>
      </c>
      <c r="F331" s="204"/>
      <c r="G331" s="204"/>
      <c r="H331" s="204"/>
      <c r="I331" s="204"/>
    </row>
    <row r="332" spans="1:9" s="214" customFormat="1" ht="12">
      <c r="A332" s="203">
        <f t="shared" si="6"/>
        <v>331</v>
      </c>
      <c r="B332" s="204" t="s">
        <v>74</v>
      </c>
      <c r="C332" s="205" t="s">
        <v>123</v>
      </c>
      <c r="D332" s="206" t="s">
        <v>519</v>
      </c>
      <c r="E332" s="207" t="s">
        <v>57</v>
      </c>
      <c r="F332" s="204"/>
      <c r="G332" s="204"/>
      <c r="H332" s="204"/>
      <c r="I332" s="204"/>
    </row>
    <row r="333" spans="1:9" ht="12">
      <c r="A333" s="71">
        <f t="shared" si="6"/>
        <v>332</v>
      </c>
      <c r="B333" s="83" t="s">
        <v>74</v>
      </c>
      <c r="C333" s="201" t="s">
        <v>513</v>
      </c>
      <c r="D333" s="202" t="s">
        <v>520</v>
      </c>
      <c r="E333" s="89" t="s">
        <v>57</v>
      </c>
      <c r="F333" s="83"/>
      <c r="G333" s="83" t="s">
        <v>484</v>
      </c>
      <c r="H333" s="83" t="s">
        <v>128</v>
      </c>
      <c r="I333" s="83"/>
    </row>
    <row r="334" spans="1:9" s="214" customFormat="1" ht="12">
      <c r="A334" s="203">
        <f t="shared" si="6"/>
        <v>333</v>
      </c>
      <c r="B334" s="204" t="s">
        <v>74</v>
      </c>
      <c r="C334" s="205" t="s">
        <v>89</v>
      </c>
      <c r="D334" s="206" t="s">
        <v>521</v>
      </c>
      <c r="E334" s="207" t="s">
        <v>57</v>
      </c>
      <c r="F334" s="204"/>
      <c r="G334" s="204"/>
      <c r="H334" s="204"/>
      <c r="I334" s="204"/>
    </row>
    <row r="335" spans="1:9" ht="12">
      <c r="A335" s="71">
        <f t="shared" si="6"/>
        <v>334</v>
      </c>
      <c r="B335" s="83" t="s">
        <v>74</v>
      </c>
      <c r="C335" s="201" t="s">
        <v>513</v>
      </c>
      <c r="D335" s="202" t="s">
        <v>522</v>
      </c>
      <c r="E335" s="89" t="s">
        <v>57</v>
      </c>
      <c r="F335" s="83"/>
      <c r="G335" s="83" t="s">
        <v>484</v>
      </c>
      <c r="H335" s="83" t="s">
        <v>128</v>
      </c>
      <c r="I335" s="83"/>
    </row>
    <row r="336" spans="1:9" ht="12">
      <c r="A336" s="71">
        <f t="shared" si="6"/>
        <v>335</v>
      </c>
      <c r="B336" s="83" t="s">
        <v>74</v>
      </c>
      <c r="C336" s="201" t="s">
        <v>513</v>
      </c>
      <c r="D336" s="202" t="s">
        <v>523</v>
      </c>
      <c r="E336" s="89" t="s">
        <v>57</v>
      </c>
      <c r="F336" s="83"/>
      <c r="G336" s="83" t="s">
        <v>484</v>
      </c>
      <c r="H336" s="83" t="s">
        <v>128</v>
      </c>
      <c r="I336" s="83"/>
    </row>
    <row r="337" spans="1:9" ht="12">
      <c r="A337" s="71">
        <f t="shared" si="6"/>
        <v>336</v>
      </c>
      <c r="B337" s="83" t="s">
        <v>74</v>
      </c>
      <c r="C337" s="201" t="s">
        <v>524</v>
      </c>
      <c r="D337" s="202" t="s">
        <v>525</v>
      </c>
      <c r="E337" s="89" t="s">
        <v>57</v>
      </c>
      <c r="F337" s="83"/>
      <c r="G337" s="83" t="s">
        <v>484</v>
      </c>
      <c r="H337" s="83" t="s">
        <v>128</v>
      </c>
      <c r="I337" s="83"/>
    </row>
    <row r="338" spans="1:9" s="214" customFormat="1" ht="12">
      <c r="A338" s="203">
        <f t="shared" si="6"/>
        <v>337</v>
      </c>
      <c r="B338" s="204" t="s">
        <v>74</v>
      </c>
      <c r="C338" s="205" t="s">
        <v>93</v>
      </c>
      <c r="D338" s="206" t="s">
        <v>526</v>
      </c>
      <c r="E338" s="207" t="s">
        <v>57</v>
      </c>
      <c r="F338" s="204"/>
      <c r="G338" s="204"/>
      <c r="H338" s="204"/>
      <c r="I338" s="204"/>
    </row>
    <row r="339" spans="1:9" s="214" customFormat="1" ht="12">
      <c r="A339" s="203">
        <f t="shared" si="6"/>
        <v>338</v>
      </c>
      <c r="B339" s="204" t="s">
        <v>74</v>
      </c>
      <c r="C339" s="205" t="s">
        <v>95</v>
      </c>
      <c r="D339" s="206" t="s">
        <v>527</v>
      </c>
      <c r="E339" s="207" t="s">
        <v>57</v>
      </c>
      <c r="F339" s="204"/>
      <c r="G339" s="204"/>
      <c r="H339" s="204"/>
      <c r="I339" s="204"/>
    </row>
    <row r="340" spans="1:9" s="214" customFormat="1" ht="12">
      <c r="A340" s="203">
        <f t="shared" si="6"/>
        <v>339</v>
      </c>
      <c r="B340" s="204" t="s">
        <v>74</v>
      </c>
      <c r="C340" s="205" t="s">
        <v>97</v>
      </c>
      <c r="D340" s="206" t="s">
        <v>528</v>
      </c>
      <c r="E340" s="207" t="s">
        <v>57</v>
      </c>
      <c r="F340" s="204"/>
      <c r="G340" s="204"/>
      <c r="H340" s="204"/>
      <c r="I340" s="204"/>
    </row>
    <row r="341" spans="1:9" s="214" customFormat="1" ht="12">
      <c r="A341" s="203">
        <f t="shared" si="6"/>
        <v>340</v>
      </c>
      <c r="B341" s="204" t="s">
        <v>74</v>
      </c>
      <c r="C341" s="205" t="s">
        <v>503</v>
      </c>
      <c r="D341" s="206" t="s">
        <v>529</v>
      </c>
      <c r="E341" s="207" t="s">
        <v>57</v>
      </c>
      <c r="F341" s="204"/>
      <c r="G341" s="204"/>
      <c r="H341" s="204"/>
      <c r="I341" s="204"/>
    </row>
    <row r="342" spans="1:9" s="214" customFormat="1" ht="12">
      <c r="A342" s="203">
        <f t="shared" si="6"/>
        <v>341</v>
      </c>
      <c r="B342" s="204" t="s">
        <v>74</v>
      </c>
      <c r="C342" s="205" t="s">
        <v>102</v>
      </c>
      <c r="D342" s="206" t="s">
        <v>530</v>
      </c>
      <c r="E342" s="207" t="s">
        <v>57</v>
      </c>
      <c r="F342" s="204"/>
      <c r="G342" s="204"/>
      <c r="H342" s="204"/>
      <c r="I342" s="204"/>
    </row>
    <row r="343" spans="1:9" ht="12">
      <c r="A343" s="71">
        <f t="shared" si="6"/>
        <v>342</v>
      </c>
      <c r="B343" s="83" t="s">
        <v>74</v>
      </c>
      <c r="C343" s="201" t="s">
        <v>524</v>
      </c>
      <c r="D343" s="202" t="s">
        <v>531</v>
      </c>
      <c r="E343" s="89" t="s">
        <v>57</v>
      </c>
      <c r="F343" s="83"/>
      <c r="G343" s="83" t="s">
        <v>484</v>
      </c>
      <c r="H343" s="83" t="s">
        <v>128</v>
      </c>
      <c r="I343" s="83"/>
    </row>
    <row r="344" spans="1:9" s="214" customFormat="1" ht="12">
      <c r="A344" s="203">
        <f t="shared" si="6"/>
        <v>343</v>
      </c>
      <c r="B344" s="204" t="s">
        <v>74</v>
      </c>
      <c r="C344" s="205" t="s">
        <v>108</v>
      </c>
      <c r="D344" s="206" t="s">
        <v>532</v>
      </c>
      <c r="E344" s="207" t="s">
        <v>57</v>
      </c>
      <c r="F344" s="204"/>
      <c r="G344" s="204"/>
      <c r="H344" s="204"/>
      <c r="I344" s="204"/>
    </row>
    <row r="345" spans="1:9" s="214" customFormat="1" ht="12">
      <c r="A345" s="203">
        <f t="shared" si="6"/>
        <v>344</v>
      </c>
      <c r="B345" s="204" t="s">
        <v>74</v>
      </c>
      <c r="C345" s="205" t="s">
        <v>110</v>
      </c>
      <c r="D345" s="206" t="s">
        <v>533</v>
      </c>
      <c r="E345" s="207" t="s">
        <v>57</v>
      </c>
      <c r="F345" s="204"/>
      <c r="G345" s="204"/>
      <c r="H345" s="204"/>
      <c r="I345" s="204"/>
    </row>
    <row r="346" spans="1:9" s="214" customFormat="1" ht="12">
      <c r="A346" s="203">
        <f t="shared" si="6"/>
        <v>345</v>
      </c>
      <c r="B346" s="204" t="s">
        <v>74</v>
      </c>
      <c r="C346" s="205" t="s">
        <v>112</v>
      </c>
      <c r="D346" s="206" t="s">
        <v>534</v>
      </c>
      <c r="E346" s="207" t="s">
        <v>57</v>
      </c>
      <c r="F346" s="204"/>
      <c r="G346" s="204"/>
      <c r="H346" s="204"/>
      <c r="I346" s="204"/>
    </row>
    <row r="347" spans="1:9" s="214" customFormat="1" ht="12">
      <c r="A347" s="203">
        <f t="shared" si="6"/>
        <v>346</v>
      </c>
      <c r="B347" s="204" t="s">
        <v>74</v>
      </c>
      <c r="C347" s="205" t="s">
        <v>105</v>
      </c>
      <c r="D347" s="206" t="s">
        <v>535</v>
      </c>
      <c r="E347" s="207" t="s">
        <v>57</v>
      </c>
      <c r="F347" s="204"/>
      <c r="G347" s="204"/>
      <c r="H347" s="204"/>
      <c r="I347" s="204"/>
    </row>
    <row r="348" spans="1:9" ht="12">
      <c r="A348" s="71">
        <f t="shared" si="6"/>
        <v>347</v>
      </c>
      <c r="B348" s="83" t="s">
        <v>74</v>
      </c>
      <c r="C348" s="201" t="s">
        <v>339</v>
      </c>
      <c r="D348" s="202" t="s">
        <v>536</v>
      </c>
      <c r="E348" s="89" t="s">
        <v>57</v>
      </c>
      <c r="F348" s="83"/>
      <c r="G348" s="83" t="s">
        <v>57</v>
      </c>
      <c r="H348" s="83" t="s">
        <v>104</v>
      </c>
      <c r="I348" s="83"/>
    </row>
    <row r="349" spans="1:9" s="214" customFormat="1" ht="12">
      <c r="A349" s="203">
        <f t="shared" si="6"/>
        <v>348</v>
      </c>
      <c r="B349" s="204" t="s">
        <v>74</v>
      </c>
      <c r="C349" s="205" t="s">
        <v>114</v>
      </c>
      <c r="D349" s="206" t="s">
        <v>537</v>
      </c>
      <c r="E349" s="207" t="s">
        <v>57</v>
      </c>
      <c r="F349" s="204"/>
      <c r="G349" s="204"/>
      <c r="H349" s="204"/>
      <c r="I349" s="204"/>
    </row>
    <row r="350" spans="1:9" s="214" customFormat="1" ht="12">
      <c r="A350" s="203">
        <f t="shared" si="6"/>
        <v>349</v>
      </c>
      <c r="B350" s="204" t="s">
        <v>74</v>
      </c>
      <c r="C350" s="205" t="s">
        <v>117</v>
      </c>
      <c r="D350" s="206" t="s">
        <v>538</v>
      </c>
      <c r="E350" s="207" t="s">
        <v>57</v>
      </c>
      <c r="F350" s="204"/>
      <c r="G350" s="204"/>
      <c r="H350" s="204"/>
      <c r="I350" s="204"/>
    </row>
    <row r="351" spans="1:9" s="214" customFormat="1" ht="12">
      <c r="A351" s="203">
        <f t="shared" si="6"/>
        <v>350</v>
      </c>
      <c r="B351" s="204" t="s">
        <v>74</v>
      </c>
      <c r="C351" s="205" t="s">
        <v>119</v>
      </c>
      <c r="D351" s="206" t="s">
        <v>539</v>
      </c>
      <c r="E351" s="207" t="s">
        <v>57</v>
      </c>
      <c r="F351" s="204"/>
      <c r="G351" s="204"/>
      <c r="H351" s="204"/>
      <c r="I351" s="204"/>
    </row>
    <row r="352" spans="1:9" s="214" customFormat="1" ht="12">
      <c r="A352" s="203">
        <f t="shared" si="6"/>
        <v>351</v>
      </c>
      <c r="B352" s="204" t="s">
        <v>74</v>
      </c>
      <c r="C352" s="205" t="s">
        <v>121</v>
      </c>
      <c r="D352" s="206" t="s">
        <v>540</v>
      </c>
      <c r="E352" s="207" t="s">
        <v>57</v>
      </c>
      <c r="F352" s="204"/>
      <c r="G352" s="204"/>
      <c r="H352" s="204"/>
      <c r="I352" s="204"/>
    </row>
    <row r="353" spans="1:9" s="214" customFormat="1" ht="12">
      <c r="A353" s="203">
        <f t="shared" si="6"/>
        <v>352</v>
      </c>
      <c r="B353" s="204" t="s">
        <v>74</v>
      </c>
      <c r="C353" s="205" t="s">
        <v>123</v>
      </c>
      <c r="D353" s="206" t="s">
        <v>541</v>
      </c>
      <c r="E353" s="207" t="s">
        <v>57</v>
      </c>
      <c r="F353" s="204"/>
      <c r="G353" s="204"/>
      <c r="H353" s="204"/>
      <c r="I353" s="204"/>
    </row>
    <row r="354" spans="1:9" ht="12">
      <c r="A354" s="71">
        <f t="shared" si="6"/>
        <v>353</v>
      </c>
      <c r="B354" s="83" t="s">
        <v>74</v>
      </c>
      <c r="C354" s="201" t="s">
        <v>524</v>
      </c>
      <c r="D354" s="202" t="s">
        <v>542</v>
      </c>
      <c r="E354" s="89" t="s">
        <v>57</v>
      </c>
      <c r="F354" s="83"/>
      <c r="G354" s="83" t="s">
        <v>484</v>
      </c>
      <c r="H354" s="83" t="s">
        <v>128</v>
      </c>
      <c r="I354" s="83"/>
    </row>
    <row r="355" spans="1:9" s="214" customFormat="1" ht="12">
      <c r="A355" s="203">
        <f t="shared" si="6"/>
        <v>354</v>
      </c>
      <c r="B355" s="204" t="s">
        <v>74</v>
      </c>
      <c r="C355" s="205" t="s">
        <v>89</v>
      </c>
      <c r="D355" s="206" t="s">
        <v>543</v>
      </c>
      <c r="E355" s="207" t="s">
        <v>57</v>
      </c>
      <c r="F355" s="204"/>
      <c r="G355" s="204"/>
      <c r="H355" s="204"/>
      <c r="I355" s="204"/>
    </row>
    <row r="356" spans="1:9" ht="12">
      <c r="A356" s="71">
        <f t="shared" si="6"/>
        <v>355</v>
      </c>
      <c r="B356" s="83" t="s">
        <v>74</v>
      </c>
      <c r="C356" s="201" t="s">
        <v>524</v>
      </c>
      <c r="D356" s="202" t="s">
        <v>544</v>
      </c>
      <c r="E356" s="89" t="s">
        <v>57</v>
      </c>
      <c r="F356" s="83"/>
      <c r="G356" s="83" t="s">
        <v>484</v>
      </c>
      <c r="H356" s="83" t="s">
        <v>128</v>
      </c>
      <c r="I356" s="83"/>
    </row>
    <row r="357" spans="1:9" s="214" customFormat="1" ht="12">
      <c r="A357" s="203">
        <f t="shared" si="6"/>
        <v>356</v>
      </c>
      <c r="B357" s="204" t="s">
        <v>74</v>
      </c>
      <c r="C357" s="205" t="s">
        <v>93</v>
      </c>
      <c r="D357" s="206" t="s">
        <v>545</v>
      </c>
      <c r="E357" s="207" t="s">
        <v>57</v>
      </c>
      <c r="F357" s="204"/>
      <c r="G357" s="204"/>
      <c r="H357" s="204"/>
      <c r="I357" s="204"/>
    </row>
    <row r="358" spans="1:9" s="214" customFormat="1" ht="12">
      <c r="A358" s="203">
        <f t="shared" si="6"/>
        <v>357</v>
      </c>
      <c r="B358" s="204" t="s">
        <v>74</v>
      </c>
      <c r="C358" s="205" t="s">
        <v>95</v>
      </c>
      <c r="D358" s="206" t="s">
        <v>546</v>
      </c>
      <c r="E358" s="207" t="s">
        <v>57</v>
      </c>
      <c r="F358" s="204"/>
      <c r="G358" s="204"/>
      <c r="H358" s="204"/>
      <c r="I358" s="204"/>
    </row>
    <row r="359" spans="1:9" s="214" customFormat="1" ht="12">
      <c r="A359" s="203">
        <f t="shared" si="6"/>
        <v>358</v>
      </c>
      <c r="B359" s="204" t="s">
        <v>74</v>
      </c>
      <c r="C359" s="205" t="s">
        <v>97</v>
      </c>
      <c r="D359" s="206" t="s">
        <v>547</v>
      </c>
      <c r="E359" s="207" t="s">
        <v>57</v>
      </c>
      <c r="F359" s="204"/>
      <c r="G359" s="204"/>
      <c r="H359" s="204"/>
      <c r="I359" s="204"/>
    </row>
    <row r="360" spans="1:9" s="214" customFormat="1" ht="12">
      <c r="A360" s="203">
        <f t="shared" si="6"/>
        <v>359</v>
      </c>
      <c r="B360" s="204" t="s">
        <v>74</v>
      </c>
      <c r="C360" s="205" t="s">
        <v>503</v>
      </c>
      <c r="D360" s="206" t="s">
        <v>548</v>
      </c>
      <c r="E360" s="207" t="s">
        <v>57</v>
      </c>
      <c r="F360" s="204"/>
      <c r="G360" s="204"/>
      <c r="H360" s="204"/>
      <c r="I360" s="204"/>
    </row>
    <row r="361" spans="1:9" s="214" customFormat="1" ht="12">
      <c r="A361" s="203">
        <f t="shared" si="6"/>
        <v>360</v>
      </c>
      <c r="B361" s="204" t="s">
        <v>74</v>
      </c>
      <c r="C361" s="205" t="s">
        <v>102</v>
      </c>
      <c r="D361" s="206" t="s">
        <v>549</v>
      </c>
      <c r="E361" s="207" t="s">
        <v>57</v>
      </c>
      <c r="F361" s="204"/>
      <c r="G361" s="204"/>
      <c r="H361" s="204"/>
      <c r="I361" s="204"/>
    </row>
    <row r="362" spans="1:9" ht="12">
      <c r="A362" s="71">
        <f t="shared" si="6"/>
        <v>361</v>
      </c>
      <c r="B362" s="83" t="s">
        <v>74</v>
      </c>
      <c r="C362" s="201" t="s">
        <v>550</v>
      </c>
      <c r="D362" s="202" t="s">
        <v>551</v>
      </c>
      <c r="E362" s="89" t="s">
        <v>57</v>
      </c>
      <c r="F362" s="83"/>
      <c r="G362" s="83" t="s">
        <v>484</v>
      </c>
      <c r="H362" s="83" t="s">
        <v>128</v>
      </c>
      <c r="I362" s="83"/>
    </row>
    <row r="363" spans="1:9" s="214" customFormat="1" ht="12">
      <c r="A363" s="203">
        <f t="shared" si="6"/>
        <v>362</v>
      </c>
      <c r="B363" s="204" t="s">
        <v>74</v>
      </c>
      <c r="C363" s="205" t="s">
        <v>108</v>
      </c>
      <c r="D363" s="206" t="s">
        <v>552</v>
      </c>
      <c r="E363" s="207" t="s">
        <v>57</v>
      </c>
      <c r="F363" s="204"/>
      <c r="G363" s="204"/>
      <c r="H363" s="204"/>
      <c r="I363" s="204"/>
    </row>
    <row r="364" spans="1:9" s="214" customFormat="1" ht="12">
      <c r="A364" s="203">
        <f t="shared" si="6"/>
        <v>363</v>
      </c>
      <c r="B364" s="204" t="s">
        <v>74</v>
      </c>
      <c r="C364" s="205" t="s">
        <v>110</v>
      </c>
      <c r="D364" s="206" t="s">
        <v>553</v>
      </c>
      <c r="E364" s="207" t="s">
        <v>57</v>
      </c>
      <c r="F364" s="204"/>
      <c r="G364" s="204"/>
      <c r="H364" s="204"/>
      <c r="I364" s="204"/>
    </row>
    <row r="365" spans="1:9" s="214" customFormat="1" ht="12">
      <c r="A365" s="203">
        <f t="shared" si="6"/>
        <v>364</v>
      </c>
      <c r="B365" s="204" t="s">
        <v>74</v>
      </c>
      <c r="C365" s="205" t="s">
        <v>112</v>
      </c>
      <c r="D365" s="206" t="s">
        <v>554</v>
      </c>
      <c r="E365" s="207" t="s">
        <v>57</v>
      </c>
      <c r="F365" s="204"/>
      <c r="G365" s="204"/>
      <c r="H365" s="204"/>
      <c r="I365" s="204"/>
    </row>
    <row r="366" spans="1:9" s="214" customFormat="1" ht="12">
      <c r="A366" s="203">
        <f t="shared" si="6"/>
        <v>365</v>
      </c>
      <c r="B366" s="204" t="s">
        <v>74</v>
      </c>
      <c r="C366" s="205" t="s">
        <v>105</v>
      </c>
      <c r="D366" s="206" t="s">
        <v>555</v>
      </c>
      <c r="E366" s="207" t="s">
        <v>57</v>
      </c>
      <c r="F366" s="204"/>
      <c r="G366" s="204"/>
      <c r="H366" s="204"/>
      <c r="I366" s="204"/>
    </row>
    <row r="367" spans="1:9" ht="12">
      <c r="A367" s="71">
        <f t="shared" si="6"/>
        <v>366</v>
      </c>
      <c r="B367" s="83" t="s">
        <v>74</v>
      </c>
      <c r="C367" s="201" t="s">
        <v>339</v>
      </c>
      <c r="D367" s="202" t="s">
        <v>556</v>
      </c>
      <c r="E367" s="89" t="s">
        <v>57</v>
      </c>
      <c r="F367" s="83"/>
      <c r="G367" s="83" t="s">
        <v>57</v>
      </c>
      <c r="H367" s="83" t="s">
        <v>104</v>
      </c>
      <c r="I367" s="83"/>
    </row>
    <row r="368" spans="1:9" s="214" customFormat="1" ht="12">
      <c r="A368" s="203">
        <f t="shared" si="6"/>
        <v>367</v>
      </c>
      <c r="B368" s="204" t="s">
        <v>74</v>
      </c>
      <c r="C368" s="205" t="s">
        <v>114</v>
      </c>
      <c r="D368" s="206" t="s">
        <v>557</v>
      </c>
      <c r="E368" s="207" t="s">
        <v>57</v>
      </c>
      <c r="F368" s="204"/>
      <c r="G368" s="204"/>
      <c r="H368" s="204"/>
      <c r="I368" s="204"/>
    </row>
    <row r="369" spans="1:9" s="214" customFormat="1" ht="12">
      <c r="A369" s="203">
        <f t="shared" si="6"/>
        <v>368</v>
      </c>
      <c r="B369" s="204" t="s">
        <v>74</v>
      </c>
      <c r="C369" s="205" t="s">
        <v>117</v>
      </c>
      <c r="D369" s="206" t="s">
        <v>558</v>
      </c>
      <c r="E369" s="207" t="s">
        <v>57</v>
      </c>
      <c r="F369" s="204"/>
      <c r="G369" s="204"/>
      <c r="H369" s="204"/>
      <c r="I369" s="204"/>
    </row>
    <row r="370" spans="1:9" s="214" customFormat="1" ht="12">
      <c r="A370" s="203">
        <f t="shared" si="6"/>
        <v>369</v>
      </c>
      <c r="B370" s="204" t="s">
        <v>74</v>
      </c>
      <c r="C370" s="205" t="s">
        <v>119</v>
      </c>
      <c r="D370" s="206" t="s">
        <v>559</v>
      </c>
      <c r="E370" s="207" t="s">
        <v>57</v>
      </c>
      <c r="F370" s="204"/>
      <c r="G370" s="204"/>
      <c r="H370" s="204"/>
      <c r="I370" s="204"/>
    </row>
    <row r="371" spans="1:9" s="214" customFormat="1" ht="12">
      <c r="A371" s="203">
        <f t="shared" si="6"/>
        <v>370</v>
      </c>
      <c r="B371" s="204" t="s">
        <v>74</v>
      </c>
      <c r="C371" s="205" t="s">
        <v>121</v>
      </c>
      <c r="D371" s="206" t="s">
        <v>560</v>
      </c>
      <c r="E371" s="207" t="s">
        <v>57</v>
      </c>
      <c r="F371" s="204"/>
      <c r="G371" s="204"/>
      <c r="H371" s="204"/>
      <c r="I371" s="204"/>
    </row>
    <row r="372" spans="1:9" s="214" customFormat="1" ht="12">
      <c r="A372" s="203">
        <f t="shared" si="6"/>
        <v>371</v>
      </c>
      <c r="B372" s="204" t="s">
        <v>74</v>
      </c>
      <c r="C372" s="205" t="s">
        <v>123</v>
      </c>
      <c r="D372" s="206" t="s">
        <v>561</v>
      </c>
      <c r="E372" s="207" t="s">
        <v>57</v>
      </c>
      <c r="F372" s="204"/>
      <c r="G372" s="204"/>
      <c r="H372" s="204"/>
      <c r="I372" s="204"/>
    </row>
    <row r="373" spans="1:9" s="214" customFormat="1" ht="12">
      <c r="A373" s="203">
        <f t="shared" si="6"/>
        <v>372</v>
      </c>
      <c r="B373" s="204" t="s">
        <v>74</v>
      </c>
      <c r="C373" s="205" t="s">
        <v>562</v>
      </c>
      <c r="D373" s="206" t="s">
        <v>563</v>
      </c>
      <c r="E373" s="207" t="s">
        <v>57</v>
      </c>
      <c r="F373" s="204"/>
      <c r="G373" s="204"/>
      <c r="H373" s="204"/>
      <c r="I373" s="204"/>
    </row>
    <row r="374" spans="1:9" s="214" customFormat="1" ht="12">
      <c r="A374" s="203">
        <f t="shared" si="6"/>
        <v>373</v>
      </c>
      <c r="B374" s="204" t="s">
        <v>74</v>
      </c>
      <c r="C374" s="205" t="s">
        <v>562</v>
      </c>
      <c r="D374" s="206" t="s">
        <v>564</v>
      </c>
      <c r="E374" s="207" t="s">
        <v>57</v>
      </c>
      <c r="F374" s="204"/>
      <c r="G374" s="204"/>
      <c r="H374" s="204"/>
      <c r="I374" s="204"/>
    </row>
    <row r="375" spans="1:9" s="214" customFormat="1" ht="12">
      <c r="A375" s="203">
        <f t="shared" si="6"/>
        <v>374</v>
      </c>
      <c r="B375" s="204" t="s">
        <v>74</v>
      </c>
      <c r="C375" s="205" t="s">
        <v>562</v>
      </c>
      <c r="D375" s="206" t="s">
        <v>565</v>
      </c>
      <c r="E375" s="207" t="s">
        <v>57</v>
      </c>
      <c r="F375" s="204"/>
      <c r="G375" s="204"/>
      <c r="H375" s="204"/>
      <c r="I375" s="204"/>
    </row>
    <row r="376" spans="1:9" s="214" customFormat="1" ht="12">
      <c r="A376" s="203">
        <f t="shared" si="6"/>
        <v>375</v>
      </c>
      <c r="B376" s="204" t="s">
        <v>74</v>
      </c>
      <c r="C376" s="205" t="s">
        <v>562</v>
      </c>
      <c r="D376" s="206" t="s">
        <v>566</v>
      </c>
      <c r="E376" s="207" t="s">
        <v>57</v>
      </c>
      <c r="F376" s="204"/>
      <c r="G376" s="204"/>
      <c r="H376" s="204"/>
      <c r="I376" s="204"/>
    </row>
    <row r="377" spans="1:9" s="214" customFormat="1" ht="12">
      <c r="A377" s="203">
        <f t="shared" si="6"/>
        <v>376</v>
      </c>
      <c r="B377" s="204" t="s">
        <v>74</v>
      </c>
      <c r="C377" s="205" t="s">
        <v>562</v>
      </c>
      <c r="D377" s="206" t="s">
        <v>567</v>
      </c>
      <c r="E377" s="207" t="s">
        <v>57</v>
      </c>
      <c r="F377" s="204"/>
      <c r="G377" s="204"/>
      <c r="H377" s="204"/>
      <c r="I377" s="204"/>
    </row>
    <row r="378" spans="1:9" s="214" customFormat="1" ht="12">
      <c r="A378" s="203">
        <f t="shared" si="6"/>
        <v>377</v>
      </c>
      <c r="B378" s="204" t="s">
        <v>74</v>
      </c>
      <c r="C378" s="205" t="s">
        <v>562</v>
      </c>
      <c r="D378" s="206" t="s">
        <v>568</v>
      </c>
      <c r="E378" s="207" t="s">
        <v>57</v>
      </c>
      <c r="F378" s="204"/>
      <c r="G378" s="204"/>
      <c r="H378" s="204"/>
      <c r="I378" s="204"/>
    </row>
    <row r="379" spans="1:9" s="214" customFormat="1" ht="12">
      <c r="A379" s="203">
        <f t="shared" si="6"/>
        <v>378</v>
      </c>
      <c r="B379" s="204" t="s">
        <v>74</v>
      </c>
      <c r="C379" s="205" t="s">
        <v>562</v>
      </c>
      <c r="D379" s="206" t="s">
        <v>569</v>
      </c>
      <c r="E379" s="207" t="s">
        <v>57</v>
      </c>
      <c r="F379" s="204"/>
      <c r="G379" s="204"/>
      <c r="H379" s="204"/>
      <c r="I379" s="204"/>
    </row>
    <row r="380" spans="1:9" s="214" customFormat="1" ht="12">
      <c r="A380" s="203">
        <f t="shared" si="6"/>
        <v>379</v>
      </c>
      <c r="B380" s="204" t="s">
        <v>74</v>
      </c>
      <c r="C380" s="205" t="s">
        <v>562</v>
      </c>
      <c r="D380" s="206" t="s">
        <v>570</v>
      </c>
      <c r="E380" s="207" t="s">
        <v>57</v>
      </c>
      <c r="F380" s="204"/>
      <c r="G380" s="204"/>
      <c r="H380" s="204"/>
      <c r="I380" s="204"/>
    </row>
    <row r="381" spans="1:9" s="214" customFormat="1" ht="12">
      <c r="A381" s="203">
        <f t="shared" si="6"/>
        <v>380</v>
      </c>
      <c r="B381" s="204" t="s">
        <v>74</v>
      </c>
      <c r="C381" s="205" t="s">
        <v>562</v>
      </c>
      <c r="D381" s="206" t="s">
        <v>571</v>
      </c>
      <c r="E381" s="207" t="s">
        <v>57</v>
      </c>
      <c r="F381" s="204"/>
      <c r="G381" s="204"/>
      <c r="H381" s="204"/>
      <c r="I381" s="204"/>
    </row>
    <row r="382" spans="1:9" s="214" customFormat="1" ht="12">
      <c r="A382" s="203">
        <f t="shared" si="6"/>
        <v>381</v>
      </c>
      <c r="B382" s="204" t="s">
        <v>74</v>
      </c>
      <c r="C382" s="205" t="s">
        <v>562</v>
      </c>
      <c r="D382" s="206" t="s">
        <v>572</v>
      </c>
      <c r="E382" s="207" t="s">
        <v>57</v>
      </c>
      <c r="F382" s="204"/>
      <c r="G382" s="204"/>
      <c r="H382" s="204"/>
      <c r="I382" s="204"/>
    </row>
    <row r="383" spans="1:9" s="214" customFormat="1" ht="12">
      <c r="A383" s="203">
        <f t="shared" si="6"/>
        <v>382</v>
      </c>
      <c r="B383" s="204" t="s">
        <v>74</v>
      </c>
      <c r="C383" s="205" t="s">
        <v>562</v>
      </c>
      <c r="D383" s="206" t="s">
        <v>573</v>
      </c>
      <c r="E383" s="207" t="s">
        <v>57</v>
      </c>
      <c r="F383" s="204"/>
      <c r="G383" s="204"/>
      <c r="H383" s="204"/>
      <c r="I383" s="204"/>
    </row>
    <row r="384" spans="1:9" s="214" customFormat="1" ht="12">
      <c r="A384" s="203">
        <f t="shared" si="6"/>
        <v>383</v>
      </c>
      <c r="B384" s="204" t="s">
        <v>74</v>
      </c>
      <c r="C384" s="205" t="s">
        <v>562</v>
      </c>
      <c r="D384" s="206" t="s">
        <v>574</v>
      </c>
      <c r="E384" s="207" t="s">
        <v>57</v>
      </c>
      <c r="F384" s="204"/>
      <c r="G384" s="204"/>
      <c r="H384" s="204"/>
      <c r="I384" s="204"/>
    </row>
    <row r="385" spans="1:9" s="214" customFormat="1" ht="12">
      <c r="A385" s="203">
        <f t="shared" si="6"/>
        <v>384</v>
      </c>
      <c r="B385" s="204" t="s">
        <v>74</v>
      </c>
      <c r="C385" s="205" t="s">
        <v>562</v>
      </c>
      <c r="D385" s="206" t="s">
        <v>575</v>
      </c>
      <c r="E385" s="207" t="s">
        <v>57</v>
      </c>
      <c r="F385" s="204"/>
      <c r="G385" s="204"/>
      <c r="H385" s="204"/>
      <c r="I385" s="204"/>
    </row>
    <row r="386" spans="1:9" s="214" customFormat="1" ht="12">
      <c r="A386" s="203">
        <f t="shared" si="6"/>
        <v>385</v>
      </c>
      <c r="B386" s="204" t="s">
        <v>74</v>
      </c>
      <c r="C386" s="205" t="s">
        <v>562</v>
      </c>
      <c r="D386" s="206" t="s">
        <v>576</v>
      </c>
      <c r="E386" s="207" t="s">
        <v>57</v>
      </c>
      <c r="F386" s="204"/>
      <c r="G386" s="204"/>
      <c r="H386" s="204"/>
      <c r="I386" s="204"/>
    </row>
    <row r="387" spans="1:9" s="214" customFormat="1" ht="12">
      <c r="A387" s="203">
        <f t="shared" si="6"/>
        <v>386</v>
      </c>
      <c r="B387" s="204" t="s">
        <v>74</v>
      </c>
      <c r="C387" s="205" t="s">
        <v>562</v>
      </c>
      <c r="D387" s="206" t="s">
        <v>577</v>
      </c>
      <c r="E387" s="207" t="s">
        <v>57</v>
      </c>
      <c r="F387" s="204"/>
      <c r="G387" s="204"/>
      <c r="H387" s="204"/>
      <c r="I387" s="204"/>
    </row>
    <row r="388" spans="1:9" s="214" customFormat="1" ht="12">
      <c r="A388" s="203">
        <f t="shared" si="6"/>
        <v>387</v>
      </c>
      <c r="B388" s="204" t="s">
        <v>74</v>
      </c>
      <c r="C388" s="205" t="s">
        <v>562</v>
      </c>
      <c r="D388" s="206" t="s">
        <v>578</v>
      </c>
      <c r="E388" s="207" t="s">
        <v>57</v>
      </c>
      <c r="F388" s="204"/>
      <c r="G388" s="204"/>
      <c r="H388" s="204"/>
      <c r="I388" s="204"/>
    </row>
    <row r="389" spans="1:9" ht="12">
      <c r="A389" s="71">
        <f t="shared" si="6"/>
        <v>388</v>
      </c>
      <c r="B389" s="83" t="s">
        <v>74</v>
      </c>
      <c r="C389" s="201" t="s">
        <v>550</v>
      </c>
      <c r="D389" s="202" t="s">
        <v>579</v>
      </c>
      <c r="E389" s="89" t="s">
        <v>57</v>
      </c>
      <c r="F389" s="83"/>
      <c r="G389" s="83" t="s">
        <v>484</v>
      </c>
      <c r="H389" s="83" t="s">
        <v>128</v>
      </c>
      <c r="I389" s="83"/>
    </row>
    <row r="390" spans="1:9" ht="12">
      <c r="A390" s="71">
        <f t="shared" si="6"/>
        <v>389</v>
      </c>
      <c r="B390" s="83" t="s">
        <v>74</v>
      </c>
      <c r="C390" s="201" t="s">
        <v>550</v>
      </c>
      <c r="D390" s="202" t="s">
        <v>580</v>
      </c>
      <c r="E390" s="89" t="s">
        <v>57</v>
      </c>
      <c r="F390" s="83"/>
      <c r="G390" s="83" t="s">
        <v>484</v>
      </c>
      <c r="H390" s="83" t="s">
        <v>128</v>
      </c>
      <c r="I390" s="83"/>
    </row>
    <row r="391" spans="1:9" ht="12">
      <c r="A391" s="71">
        <f t="shared" si="6"/>
        <v>390</v>
      </c>
      <c r="B391" s="83" t="s">
        <v>74</v>
      </c>
      <c r="C391" s="201" t="s">
        <v>550</v>
      </c>
      <c r="D391" s="202" t="s">
        <v>581</v>
      </c>
      <c r="E391" s="89" t="s">
        <v>57</v>
      </c>
      <c r="F391" s="83"/>
      <c r="G391" s="83" t="s">
        <v>484</v>
      </c>
      <c r="H391" s="83" t="s">
        <v>128</v>
      </c>
      <c r="I391" s="83"/>
    </row>
    <row r="392" spans="1:9" ht="12">
      <c r="A392" s="71">
        <f t="shared" si="6"/>
        <v>391</v>
      </c>
      <c r="B392" s="83" t="s">
        <v>74</v>
      </c>
      <c r="C392" s="201" t="s">
        <v>474</v>
      </c>
      <c r="D392" s="202" t="s">
        <v>582</v>
      </c>
      <c r="E392" s="89" t="s">
        <v>57</v>
      </c>
      <c r="F392" s="83"/>
      <c r="G392" s="83" t="s">
        <v>484</v>
      </c>
      <c r="H392" s="83" t="s">
        <v>128</v>
      </c>
      <c r="I392" s="83"/>
    </row>
    <row r="393" spans="1:9" ht="12">
      <c r="A393" s="71">
        <f t="shared" si="6"/>
        <v>392</v>
      </c>
      <c r="B393" s="83" t="s">
        <v>74</v>
      </c>
      <c r="C393" s="201" t="s">
        <v>474</v>
      </c>
      <c r="D393" s="202" t="s">
        <v>583</v>
      </c>
      <c r="E393" s="89" t="s">
        <v>57</v>
      </c>
      <c r="F393" s="83"/>
      <c r="G393" s="83" t="s">
        <v>484</v>
      </c>
      <c r="H393" s="83" t="s">
        <v>128</v>
      </c>
      <c r="I393" s="83"/>
    </row>
    <row r="394" spans="1:9" ht="12">
      <c r="A394" s="71">
        <f t="shared" si="6"/>
        <v>393</v>
      </c>
      <c r="B394" s="83" t="s">
        <v>74</v>
      </c>
      <c r="C394" s="201" t="s">
        <v>474</v>
      </c>
      <c r="D394" s="202" t="s">
        <v>584</v>
      </c>
      <c r="E394" s="89" t="s">
        <v>57</v>
      </c>
      <c r="F394" s="83"/>
      <c r="G394" s="83" t="s">
        <v>484</v>
      </c>
      <c r="H394" s="83" t="s">
        <v>128</v>
      </c>
      <c r="I394" s="83"/>
    </row>
    <row r="395" spans="1:9" ht="12">
      <c r="A395" s="71">
        <f t="shared" ref="A395:A458" si="7">ROW()-1</f>
        <v>394</v>
      </c>
      <c r="B395" s="83" t="s">
        <v>74</v>
      </c>
      <c r="C395" s="201" t="s">
        <v>474</v>
      </c>
      <c r="D395" s="202" t="s">
        <v>585</v>
      </c>
      <c r="E395" s="89" t="s">
        <v>57</v>
      </c>
      <c r="F395" s="83"/>
      <c r="G395" s="83" t="s">
        <v>484</v>
      </c>
      <c r="H395" s="83" t="s">
        <v>128</v>
      </c>
      <c r="I395" s="83"/>
    </row>
    <row r="396" spans="1:9" ht="12">
      <c r="A396" s="71">
        <f t="shared" si="7"/>
        <v>395</v>
      </c>
      <c r="B396" s="83" t="s">
        <v>74</v>
      </c>
      <c r="C396" s="201" t="s">
        <v>586</v>
      </c>
      <c r="D396" s="202" t="s">
        <v>587</v>
      </c>
      <c r="E396" s="89" t="s">
        <v>57</v>
      </c>
      <c r="F396" s="83"/>
      <c r="G396" s="83" t="s">
        <v>588</v>
      </c>
      <c r="H396" s="83" t="s">
        <v>128</v>
      </c>
      <c r="I396" s="83"/>
    </row>
    <row r="397" spans="1:9" s="214" customFormat="1" ht="12">
      <c r="A397" s="203">
        <f t="shared" si="7"/>
        <v>396</v>
      </c>
      <c r="B397" s="204" t="s">
        <v>74</v>
      </c>
      <c r="C397" s="205" t="s">
        <v>586</v>
      </c>
      <c r="D397" s="206" t="s">
        <v>589</v>
      </c>
      <c r="E397" s="207" t="s">
        <v>57</v>
      </c>
      <c r="F397" s="204"/>
      <c r="G397" s="204"/>
      <c r="H397" s="204"/>
      <c r="I397" s="204"/>
    </row>
    <row r="398" spans="1:9" s="214" customFormat="1" ht="12">
      <c r="A398" s="203">
        <f t="shared" si="7"/>
        <v>397</v>
      </c>
      <c r="B398" s="204" t="s">
        <v>74</v>
      </c>
      <c r="C398" s="205" t="s">
        <v>586</v>
      </c>
      <c r="D398" s="206" t="s">
        <v>590</v>
      </c>
      <c r="E398" s="207" t="s">
        <v>57</v>
      </c>
      <c r="F398" s="204"/>
      <c r="G398" s="204"/>
      <c r="H398" s="204"/>
      <c r="I398" s="204"/>
    </row>
    <row r="399" spans="1:9" s="214" customFormat="1" ht="12">
      <c r="A399" s="203">
        <f t="shared" si="7"/>
        <v>398</v>
      </c>
      <c r="B399" s="204" t="s">
        <v>74</v>
      </c>
      <c r="C399" s="205" t="s">
        <v>586</v>
      </c>
      <c r="D399" s="206" t="s">
        <v>591</v>
      </c>
      <c r="E399" s="207" t="s">
        <v>57</v>
      </c>
      <c r="F399" s="204"/>
      <c r="G399" s="204"/>
      <c r="H399" s="204"/>
      <c r="I399" s="204"/>
    </row>
    <row r="400" spans="1:9" ht="12">
      <c r="A400" s="71">
        <f t="shared" si="7"/>
        <v>399</v>
      </c>
      <c r="B400" s="83"/>
      <c r="C400" s="201"/>
      <c r="D400" s="83"/>
      <c r="E400" s="89"/>
      <c r="F400" s="83"/>
      <c r="G400" s="83"/>
      <c r="H400" s="83"/>
      <c r="I400" s="83"/>
    </row>
    <row r="401" spans="1:9" ht="12">
      <c r="A401" s="71">
        <f t="shared" si="7"/>
        <v>400</v>
      </c>
      <c r="B401" s="72"/>
      <c r="C401" s="200"/>
      <c r="D401" s="72"/>
      <c r="E401" s="73"/>
      <c r="F401" s="83"/>
      <c r="G401" s="83"/>
      <c r="H401" s="83"/>
      <c r="I401" s="83"/>
    </row>
    <row r="402" spans="1:9" ht="12">
      <c r="A402" s="71">
        <f t="shared" si="7"/>
        <v>401</v>
      </c>
      <c r="B402" s="83"/>
      <c r="C402" s="201"/>
      <c r="D402" s="83"/>
      <c r="E402" s="89"/>
      <c r="F402" s="83"/>
      <c r="G402" s="83"/>
      <c r="H402" s="83"/>
      <c r="I402" s="83"/>
    </row>
    <row r="403" spans="1:9" ht="12">
      <c r="A403" s="71">
        <f t="shared" si="7"/>
        <v>402</v>
      </c>
      <c r="B403" s="72" t="s">
        <v>592</v>
      </c>
      <c r="C403" s="200" t="s">
        <v>593</v>
      </c>
      <c r="D403" s="72" t="s">
        <v>594</v>
      </c>
      <c r="E403" s="73" t="s">
        <v>348</v>
      </c>
      <c r="F403" s="83"/>
      <c r="G403" s="83"/>
      <c r="H403" s="83"/>
      <c r="I403" s="83"/>
    </row>
    <row r="404" spans="1:9" ht="12">
      <c r="A404" s="71">
        <f t="shared" si="7"/>
        <v>403</v>
      </c>
      <c r="B404" s="72" t="s">
        <v>592</v>
      </c>
      <c r="C404" s="200" t="s">
        <v>593</v>
      </c>
      <c r="D404" s="72" t="s">
        <v>595</v>
      </c>
      <c r="E404" s="73" t="s">
        <v>57</v>
      </c>
      <c r="F404" s="83"/>
      <c r="G404" s="83"/>
      <c r="H404" s="83"/>
      <c r="I404" s="83"/>
    </row>
    <row r="405" spans="1:9" ht="12">
      <c r="A405" s="71">
        <f t="shared" si="7"/>
        <v>404</v>
      </c>
      <c r="B405" s="72" t="s">
        <v>592</v>
      </c>
      <c r="C405" s="200" t="s">
        <v>593</v>
      </c>
      <c r="D405" s="72" t="s">
        <v>596</v>
      </c>
      <c r="E405" s="73" t="s">
        <v>57</v>
      </c>
      <c r="F405" s="83"/>
      <c r="G405" s="83"/>
      <c r="H405" s="83"/>
      <c r="I405" s="83"/>
    </row>
    <row r="406" spans="1:9" ht="12">
      <c r="A406" s="71">
        <f t="shared" si="7"/>
        <v>405</v>
      </c>
      <c r="B406" s="72" t="s">
        <v>592</v>
      </c>
      <c r="C406" s="200" t="s">
        <v>597</v>
      </c>
      <c r="D406" s="72" t="s">
        <v>594</v>
      </c>
      <c r="E406" s="73" t="s">
        <v>57</v>
      </c>
      <c r="F406" s="83"/>
      <c r="G406" s="83"/>
      <c r="H406" s="83"/>
      <c r="I406" s="83"/>
    </row>
    <row r="407" spans="1:9" ht="12">
      <c r="A407" s="71">
        <f t="shared" si="7"/>
        <v>406</v>
      </c>
      <c r="B407" s="72" t="s">
        <v>592</v>
      </c>
      <c r="C407" s="200" t="s">
        <v>597</v>
      </c>
      <c r="D407" s="72" t="s">
        <v>595</v>
      </c>
      <c r="E407" s="73" t="s">
        <v>57</v>
      </c>
      <c r="F407" s="83"/>
      <c r="G407" s="83"/>
      <c r="H407" s="83"/>
      <c r="I407" s="83"/>
    </row>
    <row r="408" spans="1:9" ht="12">
      <c r="A408" s="71">
        <f t="shared" si="7"/>
        <v>407</v>
      </c>
      <c r="B408" s="72" t="s">
        <v>592</v>
      </c>
      <c r="C408" s="200" t="s">
        <v>597</v>
      </c>
      <c r="D408" s="72" t="s">
        <v>596</v>
      </c>
      <c r="E408" s="73" t="s">
        <v>57</v>
      </c>
      <c r="F408" s="83"/>
      <c r="G408" s="83"/>
      <c r="H408" s="83"/>
      <c r="I408" s="83"/>
    </row>
    <row r="409" spans="1:9" ht="12">
      <c r="A409" s="71">
        <f t="shared" si="7"/>
        <v>408</v>
      </c>
      <c r="B409" s="72" t="s">
        <v>592</v>
      </c>
      <c r="C409" s="200" t="s">
        <v>597</v>
      </c>
      <c r="D409" s="72" t="s">
        <v>598</v>
      </c>
      <c r="E409" s="73" t="s">
        <v>57</v>
      </c>
      <c r="F409" s="83"/>
      <c r="G409" s="83"/>
      <c r="H409" s="83"/>
      <c r="I409" s="83"/>
    </row>
    <row r="410" spans="1:9" ht="12">
      <c r="A410" s="71">
        <f t="shared" si="7"/>
        <v>409</v>
      </c>
      <c r="B410" s="72" t="s">
        <v>592</v>
      </c>
      <c r="C410" s="200" t="s">
        <v>599</v>
      </c>
      <c r="D410" s="72" t="s">
        <v>596</v>
      </c>
      <c r="E410" s="73" t="s">
        <v>57</v>
      </c>
      <c r="F410" s="83"/>
      <c r="G410" s="83"/>
      <c r="H410" s="83"/>
      <c r="I410" s="83"/>
    </row>
    <row r="411" spans="1:9" ht="12">
      <c r="A411" s="71">
        <f t="shared" si="7"/>
        <v>410</v>
      </c>
      <c r="B411" s="72" t="s">
        <v>592</v>
      </c>
      <c r="C411" s="200" t="s">
        <v>600</v>
      </c>
      <c r="D411" s="72" t="s">
        <v>594</v>
      </c>
      <c r="E411" s="73" t="s">
        <v>57</v>
      </c>
      <c r="F411" s="83"/>
      <c r="G411" s="83"/>
      <c r="H411" s="83"/>
      <c r="I411" s="83"/>
    </row>
    <row r="412" spans="1:9" ht="12">
      <c r="A412" s="71">
        <f t="shared" si="7"/>
        <v>411</v>
      </c>
      <c r="B412" s="72" t="s">
        <v>592</v>
      </c>
      <c r="C412" s="200" t="s">
        <v>600</v>
      </c>
      <c r="D412" s="72" t="s">
        <v>595</v>
      </c>
      <c r="E412" s="73" t="s">
        <v>57</v>
      </c>
      <c r="F412" s="83"/>
      <c r="G412" s="83"/>
      <c r="H412" s="83"/>
      <c r="I412" s="83"/>
    </row>
    <row r="413" spans="1:9" ht="12">
      <c r="A413" s="71">
        <f t="shared" si="7"/>
        <v>412</v>
      </c>
      <c r="B413" s="72" t="s">
        <v>592</v>
      </c>
      <c r="C413" s="200" t="s">
        <v>600</v>
      </c>
      <c r="D413" s="72" t="s">
        <v>596</v>
      </c>
      <c r="E413" s="73" t="s">
        <v>57</v>
      </c>
      <c r="F413" s="83"/>
      <c r="G413" s="83"/>
      <c r="H413" s="83"/>
      <c r="I413" s="83"/>
    </row>
    <row r="414" spans="1:9" ht="12">
      <c r="A414" s="71">
        <f t="shared" si="7"/>
        <v>413</v>
      </c>
      <c r="B414" s="72" t="s">
        <v>592</v>
      </c>
      <c r="C414" s="200" t="s">
        <v>600</v>
      </c>
      <c r="D414" s="72" t="s">
        <v>598</v>
      </c>
      <c r="E414" s="73" t="s">
        <v>57</v>
      </c>
      <c r="F414" s="83"/>
      <c r="G414" s="83"/>
      <c r="H414" s="83"/>
      <c r="I414" s="83"/>
    </row>
    <row r="415" spans="1:9" ht="12">
      <c r="A415" s="71">
        <f t="shared" si="7"/>
        <v>414</v>
      </c>
      <c r="B415" s="72" t="s">
        <v>592</v>
      </c>
      <c r="C415" s="200" t="s">
        <v>601</v>
      </c>
      <c r="D415" s="72" t="s">
        <v>595</v>
      </c>
      <c r="E415" s="73" t="s">
        <v>57</v>
      </c>
      <c r="F415" s="83"/>
      <c r="G415" s="83"/>
      <c r="H415" s="83"/>
      <c r="I415" s="83"/>
    </row>
    <row r="416" spans="1:9" ht="12">
      <c r="A416" s="71">
        <f t="shared" si="7"/>
        <v>415</v>
      </c>
      <c r="B416" s="72" t="s">
        <v>592</v>
      </c>
      <c r="C416" s="200" t="s">
        <v>602</v>
      </c>
      <c r="D416" s="72" t="s">
        <v>594</v>
      </c>
      <c r="E416" s="73" t="s">
        <v>57</v>
      </c>
      <c r="F416" s="83"/>
      <c r="G416" s="83"/>
      <c r="H416" s="83"/>
      <c r="I416" s="83"/>
    </row>
    <row r="417" spans="1:9" ht="12">
      <c r="A417" s="71">
        <f t="shared" si="7"/>
        <v>416</v>
      </c>
      <c r="B417" s="72" t="s">
        <v>592</v>
      </c>
      <c r="C417" s="201" t="s">
        <v>602</v>
      </c>
      <c r="D417" s="83" t="s">
        <v>595</v>
      </c>
      <c r="E417" s="73" t="s">
        <v>57</v>
      </c>
      <c r="F417" s="83"/>
      <c r="G417" s="83"/>
      <c r="H417" s="83"/>
      <c r="I417" s="83"/>
    </row>
    <row r="418" spans="1:9" ht="12">
      <c r="A418" s="71">
        <f t="shared" si="7"/>
        <v>417</v>
      </c>
      <c r="B418" s="83" t="s">
        <v>592</v>
      </c>
      <c r="C418" s="201" t="s">
        <v>602</v>
      </c>
      <c r="D418" s="83" t="s">
        <v>596</v>
      </c>
      <c r="E418" s="89" t="s">
        <v>57</v>
      </c>
      <c r="F418" s="83"/>
      <c r="G418" s="83"/>
      <c r="H418" s="83"/>
      <c r="I418" s="83"/>
    </row>
    <row r="419" spans="1:9" ht="12">
      <c r="A419" s="71">
        <f t="shared" si="7"/>
        <v>418</v>
      </c>
      <c r="B419" s="83" t="s">
        <v>592</v>
      </c>
      <c r="C419" s="201" t="s">
        <v>602</v>
      </c>
      <c r="D419" s="83" t="s">
        <v>598</v>
      </c>
      <c r="E419" s="73" t="s">
        <v>57</v>
      </c>
      <c r="F419" s="83"/>
      <c r="G419" s="83"/>
      <c r="H419" s="83"/>
      <c r="I419" s="83"/>
    </row>
    <row r="420" spans="1:9" ht="12">
      <c r="A420" s="71">
        <f t="shared" si="7"/>
        <v>419</v>
      </c>
      <c r="B420" s="83" t="s">
        <v>592</v>
      </c>
      <c r="C420" s="201" t="s">
        <v>603</v>
      </c>
      <c r="D420" s="83" t="s">
        <v>594</v>
      </c>
      <c r="E420" s="73" t="s">
        <v>57</v>
      </c>
      <c r="F420" s="83"/>
      <c r="G420" s="83"/>
      <c r="H420" s="83"/>
      <c r="I420" s="83"/>
    </row>
    <row r="421" spans="1:9" ht="12">
      <c r="A421" s="71">
        <f t="shared" si="7"/>
        <v>420</v>
      </c>
      <c r="B421" s="83" t="s">
        <v>592</v>
      </c>
      <c r="C421" s="201" t="s">
        <v>603</v>
      </c>
      <c r="D421" s="83" t="s">
        <v>595</v>
      </c>
      <c r="E421" s="73" t="s">
        <v>57</v>
      </c>
      <c r="F421" s="83"/>
      <c r="G421" s="83"/>
      <c r="H421" s="83"/>
      <c r="I421" s="83"/>
    </row>
    <row r="422" spans="1:9" ht="12">
      <c r="A422" s="71">
        <f t="shared" si="7"/>
        <v>421</v>
      </c>
      <c r="B422" s="83" t="s">
        <v>592</v>
      </c>
      <c r="C422" s="201" t="s">
        <v>603</v>
      </c>
      <c r="D422" s="83" t="s">
        <v>596</v>
      </c>
      <c r="E422" s="73" t="s">
        <v>57</v>
      </c>
      <c r="F422" s="83"/>
      <c r="G422" s="83"/>
      <c r="H422" s="83"/>
      <c r="I422" s="83"/>
    </row>
    <row r="423" spans="1:9" ht="12">
      <c r="A423" s="71">
        <f t="shared" si="7"/>
        <v>422</v>
      </c>
      <c r="B423" s="83" t="s">
        <v>592</v>
      </c>
      <c r="C423" s="201" t="s">
        <v>603</v>
      </c>
      <c r="D423" s="83" t="s">
        <v>598</v>
      </c>
      <c r="E423" s="89" t="s">
        <v>57</v>
      </c>
      <c r="F423" s="83"/>
      <c r="G423" s="83"/>
      <c r="H423" s="83"/>
      <c r="I423" s="83"/>
    </row>
    <row r="424" spans="1:9" ht="12">
      <c r="A424" s="71">
        <f t="shared" si="7"/>
        <v>423</v>
      </c>
      <c r="B424" s="83" t="s">
        <v>592</v>
      </c>
      <c r="C424" s="201" t="s">
        <v>604</v>
      </c>
      <c r="D424" s="83" t="s">
        <v>594</v>
      </c>
      <c r="E424" s="73" t="s">
        <v>57</v>
      </c>
      <c r="F424" s="83"/>
      <c r="G424" s="83"/>
      <c r="H424" s="83"/>
      <c r="I424" s="83"/>
    </row>
    <row r="425" spans="1:9" ht="12">
      <c r="A425" s="71">
        <f t="shared" si="7"/>
        <v>424</v>
      </c>
      <c r="B425" s="83" t="s">
        <v>592</v>
      </c>
      <c r="C425" s="201" t="s">
        <v>604</v>
      </c>
      <c r="D425" s="83" t="s">
        <v>595</v>
      </c>
      <c r="E425" s="73" t="s">
        <v>57</v>
      </c>
      <c r="F425" s="83"/>
      <c r="G425" s="83"/>
      <c r="H425" s="83"/>
      <c r="I425" s="83"/>
    </row>
    <row r="426" spans="1:9" ht="12">
      <c r="A426" s="71">
        <f t="shared" si="7"/>
        <v>425</v>
      </c>
      <c r="B426" s="83" t="s">
        <v>592</v>
      </c>
      <c r="C426" s="201" t="s">
        <v>604</v>
      </c>
      <c r="D426" s="83" t="s">
        <v>596</v>
      </c>
      <c r="E426" s="73" t="s">
        <v>57</v>
      </c>
      <c r="F426" s="83"/>
      <c r="G426" s="83"/>
      <c r="H426" s="83"/>
      <c r="I426" s="83"/>
    </row>
    <row r="427" spans="1:9" ht="12">
      <c r="A427" s="71">
        <f t="shared" si="7"/>
        <v>426</v>
      </c>
      <c r="B427" s="83" t="s">
        <v>592</v>
      </c>
      <c r="C427" s="201" t="s">
        <v>604</v>
      </c>
      <c r="D427" s="83" t="s">
        <v>598</v>
      </c>
      <c r="E427" s="89" t="s">
        <v>57</v>
      </c>
      <c r="F427" s="83"/>
      <c r="G427" s="83"/>
      <c r="H427" s="83"/>
      <c r="I427" s="83"/>
    </row>
    <row r="428" spans="1:9" ht="12">
      <c r="A428" s="71">
        <f t="shared" si="7"/>
        <v>427</v>
      </c>
      <c r="B428" s="83" t="s">
        <v>592</v>
      </c>
      <c r="C428" s="201" t="s">
        <v>605</v>
      </c>
      <c r="D428" s="83" t="s">
        <v>594</v>
      </c>
      <c r="E428" s="73" t="s">
        <v>57</v>
      </c>
      <c r="F428" s="83"/>
      <c r="G428" s="83"/>
      <c r="H428" s="83"/>
      <c r="I428" s="83"/>
    </row>
    <row r="429" spans="1:9" ht="12">
      <c r="A429" s="71">
        <f t="shared" si="7"/>
        <v>428</v>
      </c>
      <c r="B429" s="83" t="s">
        <v>592</v>
      </c>
      <c r="C429" s="201" t="s">
        <v>605</v>
      </c>
      <c r="D429" s="83" t="s">
        <v>595</v>
      </c>
      <c r="E429" s="89" t="s">
        <v>57</v>
      </c>
      <c r="F429" s="83"/>
      <c r="G429" s="83"/>
      <c r="H429" s="83"/>
      <c r="I429" s="83"/>
    </row>
    <row r="430" spans="1:9" ht="12">
      <c r="A430" s="71">
        <f t="shared" si="7"/>
        <v>429</v>
      </c>
      <c r="B430" s="83" t="s">
        <v>592</v>
      </c>
      <c r="C430" s="201" t="s">
        <v>605</v>
      </c>
      <c r="D430" s="83" t="s">
        <v>596</v>
      </c>
      <c r="E430" s="73" t="s">
        <v>57</v>
      </c>
      <c r="F430" s="83"/>
      <c r="G430" s="83"/>
      <c r="H430" s="83"/>
      <c r="I430" s="83"/>
    </row>
    <row r="431" spans="1:9" ht="12">
      <c r="A431" s="71">
        <f t="shared" si="7"/>
        <v>430</v>
      </c>
      <c r="B431" s="83" t="s">
        <v>592</v>
      </c>
      <c r="C431" s="201" t="s">
        <v>605</v>
      </c>
      <c r="D431" s="83" t="s">
        <v>598</v>
      </c>
      <c r="E431" s="73" t="s">
        <v>57</v>
      </c>
      <c r="F431" s="83"/>
      <c r="G431" s="83"/>
      <c r="H431" s="83"/>
      <c r="I431" s="83"/>
    </row>
    <row r="432" spans="1:9" ht="12">
      <c r="A432" s="71">
        <f t="shared" si="7"/>
        <v>431</v>
      </c>
      <c r="B432" s="83" t="s">
        <v>592</v>
      </c>
      <c r="C432" s="201" t="s">
        <v>606</v>
      </c>
      <c r="D432" s="83" t="s">
        <v>594</v>
      </c>
      <c r="E432" s="73" t="s">
        <v>57</v>
      </c>
      <c r="F432" s="83"/>
      <c r="G432" s="83"/>
      <c r="H432" s="83"/>
      <c r="I432" s="83"/>
    </row>
    <row r="433" spans="1:9" ht="12">
      <c r="A433" s="71">
        <f t="shared" si="7"/>
        <v>432</v>
      </c>
      <c r="B433" s="83" t="s">
        <v>592</v>
      </c>
      <c r="C433" s="201" t="s">
        <v>606</v>
      </c>
      <c r="D433" s="83" t="s">
        <v>595</v>
      </c>
      <c r="E433" s="89" t="s">
        <v>57</v>
      </c>
      <c r="F433" s="83"/>
      <c r="G433" s="83"/>
      <c r="H433" s="83"/>
      <c r="I433" s="83"/>
    </row>
    <row r="434" spans="1:9" ht="12">
      <c r="A434" s="71">
        <f t="shared" si="7"/>
        <v>433</v>
      </c>
      <c r="B434" s="83" t="s">
        <v>592</v>
      </c>
      <c r="C434" s="201" t="s">
        <v>606</v>
      </c>
      <c r="D434" s="83" t="s">
        <v>596</v>
      </c>
      <c r="E434" s="73" t="s">
        <v>57</v>
      </c>
      <c r="F434" s="83"/>
      <c r="G434" s="83"/>
      <c r="H434" s="83"/>
      <c r="I434" s="83"/>
    </row>
    <row r="435" spans="1:9" ht="12">
      <c r="A435" s="71">
        <f t="shared" si="7"/>
        <v>434</v>
      </c>
      <c r="B435" s="83" t="s">
        <v>592</v>
      </c>
      <c r="C435" s="201" t="s">
        <v>606</v>
      </c>
      <c r="D435" s="83" t="s">
        <v>598</v>
      </c>
      <c r="E435" s="89" t="s">
        <v>57</v>
      </c>
      <c r="F435" s="83"/>
      <c r="G435" s="83"/>
      <c r="H435" s="83"/>
      <c r="I435" s="83"/>
    </row>
    <row r="436" spans="1:9" ht="12">
      <c r="A436" s="71">
        <f t="shared" si="7"/>
        <v>435</v>
      </c>
      <c r="B436" s="83" t="s">
        <v>592</v>
      </c>
      <c r="C436" s="201" t="s">
        <v>607</v>
      </c>
      <c r="D436" s="83" t="s">
        <v>594</v>
      </c>
      <c r="E436" s="73" t="s">
        <v>57</v>
      </c>
      <c r="F436" s="83"/>
      <c r="G436" s="83"/>
      <c r="H436" s="83"/>
      <c r="I436" s="83"/>
    </row>
    <row r="437" spans="1:9" ht="12">
      <c r="A437" s="71">
        <f t="shared" si="7"/>
        <v>436</v>
      </c>
      <c r="B437" s="83" t="s">
        <v>592</v>
      </c>
      <c r="C437" s="201" t="s">
        <v>607</v>
      </c>
      <c r="D437" s="83" t="s">
        <v>595</v>
      </c>
      <c r="E437" s="73" t="s">
        <v>57</v>
      </c>
      <c r="F437" s="83"/>
      <c r="G437" s="83"/>
      <c r="H437" s="83"/>
      <c r="I437" s="83"/>
    </row>
    <row r="438" spans="1:9" ht="12">
      <c r="A438" s="71">
        <f t="shared" si="7"/>
        <v>437</v>
      </c>
      <c r="B438" s="83" t="s">
        <v>592</v>
      </c>
      <c r="C438" s="201" t="s">
        <v>607</v>
      </c>
      <c r="D438" s="83" t="s">
        <v>596</v>
      </c>
      <c r="E438" s="73" t="s">
        <v>57</v>
      </c>
      <c r="F438" s="83"/>
      <c r="G438" s="83"/>
      <c r="H438" s="83"/>
      <c r="I438" s="83"/>
    </row>
    <row r="439" spans="1:9" ht="12">
      <c r="A439" s="71">
        <f t="shared" si="7"/>
        <v>438</v>
      </c>
      <c r="B439" s="83" t="s">
        <v>592</v>
      </c>
      <c r="C439" s="201" t="s">
        <v>607</v>
      </c>
      <c r="D439" s="83" t="s">
        <v>598</v>
      </c>
      <c r="E439" s="73" t="s">
        <v>57</v>
      </c>
      <c r="F439" s="83"/>
      <c r="G439" s="83"/>
      <c r="H439" s="83"/>
      <c r="I439" s="83"/>
    </row>
    <row r="440" spans="1:9" ht="12">
      <c r="A440" s="71">
        <f t="shared" si="7"/>
        <v>439</v>
      </c>
      <c r="B440" s="83" t="s">
        <v>592</v>
      </c>
      <c r="C440" s="201" t="s">
        <v>608</v>
      </c>
      <c r="D440" s="83" t="s">
        <v>594</v>
      </c>
      <c r="E440" s="73" t="s">
        <v>57</v>
      </c>
      <c r="F440" s="83"/>
      <c r="G440" s="83"/>
      <c r="H440" s="83"/>
      <c r="I440" s="83"/>
    </row>
    <row r="441" spans="1:9" ht="12">
      <c r="A441" s="71">
        <f t="shared" si="7"/>
        <v>440</v>
      </c>
      <c r="B441" s="72" t="s">
        <v>592</v>
      </c>
      <c r="C441" s="200" t="s">
        <v>608</v>
      </c>
      <c r="D441" s="72" t="s">
        <v>595</v>
      </c>
      <c r="E441" s="73" t="s">
        <v>57</v>
      </c>
      <c r="F441" s="83"/>
      <c r="G441" s="83"/>
      <c r="H441" s="83"/>
      <c r="I441" s="83"/>
    </row>
    <row r="442" spans="1:9" ht="12">
      <c r="A442" s="71">
        <f t="shared" si="7"/>
        <v>441</v>
      </c>
      <c r="B442" s="72" t="s">
        <v>592</v>
      </c>
      <c r="C442" s="200" t="s">
        <v>608</v>
      </c>
      <c r="D442" s="83" t="s">
        <v>596</v>
      </c>
      <c r="E442" s="73" t="s">
        <v>57</v>
      </c>
      <c r="F442" s="83"/>
      <c r="G442" s="83"/>
      <c r="H442" s="83"/>
      <c r="I442" s="83"/>
    </row>
    <row r="443" spans="1:9" ht="12">
      <c r="A443" s="71">
        <f t="shared" si="7"/>
        <v>442</v>
      </c>
      <c r="B443" s="72" t="s">
        <v>592</v>
      </c>
      <c r="C443" s="200" t="s">
        <v>608</v>
      </c>
      <c r="D443" s="72" t="s">
        <v>598</v>
      </c>
      <c r="E443" s="73" t="s">
        <v>57</v>
      </c>
      <c r="F443" s="83"/>
      <c r="G443" s="83"/>
      <c r="H443" s="83"/>
      <c r="I443" s="83"/>
    </row>
    <row r="444" spans="1:9" ht="12">
      <c r="A444" s="71">
        <f t="shared" si="7"/>
        <v>443</v>
      </c>
      <c r="B444" s="83" t="s">
        <v>592</v>
      </c>
      <c r="C444" s="200" t="s">
        <v>609</v>
      </c>
      <c r="D444" s="72" t="s">
        <v>594</v>
      </c>
      <c r="E444" s="73" t="s">
        <v>57</v>
      </c>
      <c r="F444" s="83"/>
      <c r="G444" s="83"/>
      <c r="H444" s="83"/>
      <c r="I444" s="83"/>
    </row>
    <row r="445" spans="1:9" ht="12">
      <c r="A445" s="71">
        <f t="shared" si="7"/>
        <v>444</v>
      </c>
      <c r="B445" s="83" t="s">
        <v>592</v>
      </c>
      <c r="C445" s="200" t="s">
        <v>609</v>
      </c>
      <c r="D445" s="72" t="s">
        <v>595</v>
      </c>
      <c r="E445" s="73" t="s">
        <v>57</v>
      </c>
      <c r="F445" s="83"/>
      <c r="G445" s="83"/>
      <c r="H445" s="83"/>
      <c r="I445" s="83"/>
    </row>
    <row r="446" spans="1:9" ht="12">
      <c r="A446" s="71">
        <f t="shared" si="7"/>
        <v>445</v>
      </c>
      <c r="B446" s="83" t="s">
        <v>592</v>
      </c>
      <c r="C446" s="200" t="s">
        <v>609</v>
      </c>
      <c r="D446" s="72" t="s">
        <v>596</v>
      </c>
      <c r="E446" s="73" t="s">
        <v>57</v>
      </c>
      <c r="F446" s="83"/>
      <c r="G446" s="83"/>
      <c r="H446" s="83"/>
      <c r="I446" s="83"/>
    </row>
    <row r="447" spans="1:9" ht="12">
      <c r="A447" s="71">
        <f t="shared" si="7"/>
        <v>446</v>
      </c>
      <c r="B447" s="72" t="s">
        <v>592</v>
      </c>
      <c r="C447" s="200" t="s">
        <v>609</v>
      </c>
      <c r="D447" s="199" t="s">
        <v>598</v>
      </c>
      <c r="E447" s="73" t="s">
        <v>57</v>
      </c>
      <c r="F447" s="83"/>
      <c r="G447" s="83"/>
      <c r="H447" s="83"/>
      <c r="I447" s="83"/>
    </row>
    <row r="448" spans="1:9" ht="12">
      <c r="A448" s="71">
        <f t="shared" si="7"/>
        <v>447</v>
      </c>
      <c r="B448" s="83" t="s">
        <v>592</v>
      </c>
      <c r="C448" s="200" t="s">
        <v>610</v>
      </c>
      <c r="D448" s="199" t="s">
        <v>594</v>
      </c>
      <c r="E448" s="73" t="s">
        <v>57</v>
      </c>
      <c r="F448" s="83"/>
      <c r="G448" s="83"/>
      <c r="H448" s="83"/>
      <c r="I448" s="83"/>
    </row>
    <row r="449" spans="1:9" ht="12">
      <c r="A449" s="71">
        <f t="shared" si="7"/>
        <v>448</v>
      </c>
      <c r="B449" s="83" t="s">
        <v>592</v>
      </c>
      <c r="C449" s="200" t="s">
        <v>610</v>
      </c>
      <c r="D449" s="72" t="s">
        <v>595</v>
      </c>
      <c r="E449" s="73" t="s">
        <v>57</v>
      </c>
      <c r="F449" s="83"/>
      <c r="G449" s="83"/>
      <c r="H449" s="83"/>
      <c r="I449" s="83"/>
    </row>
    <row r="450" spans="1:9" ht="12">
      <c r="A450" s="71">
        <f t="shared" si="7"/>
        <v>449</v>
      </c>
      <c r="B450" s="83" t="s">
        <v>592</v>
      </c>
      <c r="C450" s="200" t="s">
        <v>610</v>
      </c>
      <c r="D450" s="72" t="s">
        <v>596</v>
      </c>
      <c r="E450" s="73" t="s">
        <v>57</v>
      </c>
      <c r="F450" s="83"/>
      <c r="G450" s="83"/>
      <c r="H450" s="83"/>
      <c r="I450" s="83"/>
    </row>
    <row r="451" spans="1:9" ht="12">
      <c r="A451" s="71">
        <f t="shared" si="7"/>
        <v>450</v>
      </c>
      <c r="B451" s="72" t="s">
        <v>592</v>
      </c>
      <c r="C451" s="200" t="s">
        <v>610</v>
      </c>
      <c r="D451" s="72" t="s">
        <v>598</v>
      </c>
      <c r="E451" s="73" t="s">
        <v>57</v>
      </c>
      <c r="F451" s="83"/>
      <c r="G451" s="83"/>
      <c r="H451" s="83"/>
      <c r="I451" s="83"/>
    </row>
    <row r="452" spans="1:9" ht="12">
      <c r="A452" s="71">
        <f t="shared" si="7"/>
        <v>451</v>
      </c>
      <c r="B452" s="72" t="s">
        <v>592</v>
      </c>
      <c r="C452" s="200" t="s">
        <v>611</v>
      </c>
      <c r="D452" s="72" t="s">
        <v>594</v>
      </c>
      <c r="E452" s="73" t="s">
        <v>57</v>
      </c>
      <c r="F452" s="83"/>
      <c r="G452" s="83"/>
      <c r="H452" s="83"/>
      <c r="I452" s="83"/>
    </row>
    <row r="453" spans="1:9" ht="12">
      <c r="A453" s="71">
        <f t="shared" si="7"/>
        <v>452</v>
      </c>
      <c r="B453" s="72" t="s">
        <v>592</v>
      </c>
      <c r="C453" s="200" t="s">
        <v>611</v>
      </c>
      <c r="D453" s="72" t="s">
        <v>595</v>
      </c>
      <c r="E453" s="73" t="s">
        <v>57</v>
      </c>
      <c r="F453" s="83"/>
      <c r="G453" s="83"/>
      <c r="H453" s="83"/>
      <c r="I453" s="83"/>
    </row>
    <row r="454" spans="1:9" ht="12">
      <c r="A454" s="71">
        <f t="shared" si="7"/>
        <v>453</v>
      </c>
      <c r="B454" s="72" t="s">
        <v>592</v>
      </c>
      <c r="C454" s="200" t="s">
        <v>611</v>
      </c>
      <c r="D454" s="72" t="s">
        <v>596</v>
      </c>
      <c r="E454" s="73" t="s">
        <v>57</v>
      </c>
      <c r="F454" s="83"/>
      <c r="G454" s="83"/>
      <c r="H454" s="83"/>
      <c r="I454" s="83"/>
    </row>
    <row r="455" spans="1:9" ht="12">
      <c r="A455" s="71">
        <f t="shared" si="7"/>
        <v>454</v>
      </c>
      <c r="B455" s="72" t="s">
        <v>592</v>
      </c>
      <c r="C455" s="200" t="s">
        <v>611</v>
      </c>
      <c r="D455" s="72" t="s">
        <v>598</v>
      </c>
      <c r="E455" s="73" t="s">
        <v>57</v>
      </c>
      <c r="F455" s="83"/>
      <c r="G455" s="83"/>
      <c r="H455" s="83"/>
      <c r="I455" s="83"/>
    </row>
    <row r="456" spans="1:9" ht="12">
      <c r="A456" s="71">
        <f t="shared" si="7"/>
        <v>455</v>
      </c>
      <c r="B456" s="72" t="s">
        <v>592</v>
      </c>
      <c r="C456" s="200" t="s">
        <v>612</v>
      </c>
      <c r="D456" s="72" t="s">
        <v>594</v>
      </c>
      <c r="E456" s="73" t="s">
        <v>57</v>
      </c>
      <c r="F456" s="83"/>
      <c r="G456" s="83"/>
      <c r="H456" s="83"/>
      <c r="I456" s="83"/>
    </row>
    <row r="457" spans="1:9" ht="12">
      <c r="A457" s="71">
        <f t="shared" si="7"/>
        <v>456</v>
      </c>
      <c r="B457" s="72" t="s">
        <v>592</v>
      </c>
      <c r="C457" s="200" t="s">
        <v>612</v>
      </c>
      <c r="D457" s="72" t="s">
        <v>595</v>
      </c>
      <c r="E457" s="73" t="s">
        <v>57</v>
      </c>
      <c r="F457" s="83"/>
      <c r="G457" s="83"/>
      <c r="H457" s="83"/>
      <c r="I457" s="83"/>
    </row>
    <row r="458" spans="1:9" ht="12">
      <c r="A458" s="71">
        <f t="shared" si="7"/>
        <v>457</v>
      </c>
      <c r="B458" s="72" t="s">
        <v>592</v>
      </c>
      <c r="C458" s="200" t="s">
        <v>612</v>
      </c>
      <c r="D458" s="72" t="s">
        <v>596</v>
      </c>
      <c r="E458" s="73" t="s">
        <v>57</v>
      </c>
      <c r="F458" s="83"/>
      <c r="G458" s="83"/>
      <c r="H458" s="83"/>
      <c r="I458" s="83"/>
    </row>
    <row r="459" spans="1:9" ht="12">
      <c r="A459" s="71">
        <f t="shared" ref="A459:A522" si="8">ROW()-1</f>
        <v>458</v>
      </c>
      <c r="B459" s="72" t="s">
        <v>592</v>
      </c>
      <c r="C459" s="200" t="s">
        <v>612</v>
      </c>
      <c r="D459" s="72" t="s">
        <v>598</v>
      </c>
      <c r="E459" s="73" t="s">
        <v>57</v>
      </c>
      <c r="F459" s="83"/>
      <c r="G459" s="83"/>
      <c r="H459" s="83"/>
      <c r="I459" s="83"/>
    </row>
    <row r="460" spans="1:9" ht="12">
      <c r="A460" s="71">
        <f t="shared" si="8"/>
        <v>459</v>
      </c>
      <c r="B460" s="72" t="s">
        <v>592</v>
      </c>
      <c r="C460" s="200" t="s">
        <v>613</v>
      </c>
      <c r="D460" s="72" t="s">
        <v>594</v>
      </c>
      <c r="E460" s="73" t="s">
        <v>57</v>
      </c>
      <c r="F460" s="83"/>
      <c r="G460" s="83"/>
      <c r="H460" s="83"/>
      <c r="I460" s="83"/>
    </row>
    <row r="461" spans="1:9" ht="12">
      <c r="A461" s="71">
        <f t="shared" si="8"/>
        <v>460</v>
      </c>
      <c r="B461" s="72" t="s">
        <v>592</v>
      </c>
      <c r="C461" s="200" t="s">
        <v>613</v>
      </c>
      <c r="D461" s="72" t="s">
        <v>595</v>
      </c>
      <c r="E461" s="73" t="s">
        <v>57</v>
      </c>
      <c r="F461" s="83"/>
      <c r="G461" s="83"/>
      <c r="H461" s="83"/>
      <c r="I461" s="83"/>
    </row>
    <row r="462" spans="1:9" ht="12">
      <c r="A462" s="71">
        <f t="shared" si="8"/>
        <v>461</v>
      </c>
      <c r="B462" s="72" t="s">
        <v>592</v>
      </c>
      <c r="C462" s="200" t="s">
        <v>613</v>
      </c>
      <c r="D462" s="72" t="s">
        <v>596</v>
      </c>
      <c r="E462" s="73" t="s">
        <v>57</v>
      </c>
      <c r="F462" s="83"/>
      <c r="G462" s="83"/>
      <c r="H462" s="83"/>
      <c r="I462" s="83"/>
    </row>
    <row r="463" spans="1:9" ht="12">
      <c r="A463" s="71">
        <f t="shared" si="8"/>
        <v>462</v>
      </c>
      <c r="B463" s="72" t="s">
        <v>592</v>
      </c>
      <c r="C463" s="200" t="s">
        <v>613</v>
      </c>
      <c r="D463" s="72" t="s">
        <v>598</v>
      </c>
      <c r="E463" s="73" t="s">
        <v>57</v>
      </c>
      <c r="F463" s="83"/>
      <c r="G463" s="83"/>
      <c r="H463" s="83"/>
      <c r="I463" s="83"/>
    </row>
    <row r="464" spans="1:9" ht="12">
      <c r="A464" s="71">
        <f t="shared" si="8"/>
        <v>463</v>
      </c>
      <c r="B464" s="72" t="s">
        <v>592</v>
      </c>
      <c r="C464" s="200" t="s">
        <v>614</v>
      </c>
      <c r="D464" s="72" t="s">
        <v>594</v>
      </c>
      <c r="E464" s="73" t="s">
        <v>57</v>
      </c>
      <c r="F464" s="83"/>
      <c r="G464" s="83"/>
      <c r="H464" s="83"/>
      <c r="I464" s="83"/>
    </row>
    <row r="465" spans="1:9" ht="12">
      <c r="A465" s="71">
        <f t="shared" si="8"/>
        <v>464</v>
      </c>
      <c r="B465" s="72" t="s">
        <v>592</v>
      </c>
      <c r="C465" s="200" t="s">
        <v>614</v>
      </c>
      <c r="D465" s="72" t="s">
        <v>595</v>
      </c>
      <c r="E465" s="73" t="s">
        <v>57</v>
      </c>
      <c r="F465" s="83"/>
      <c r="G465" s="83"/>
      <c r="H465" s="83"/>
      <c r="I465" s="83"/>
    </row>
    <row r="466" spans="1:9" ht="12">
      <c r="A466" s="71">
        <f t="shared" si="8"/>
        <v>465</v>
      </c>
      <c r="B466" s="72" t="s">
        <v>592</v>
      </c>
      <c r="C466" s="200" t="s">
        <v>614</v>
      </c>
      <c r="D466" s="72" t="s">
        <v>596</v>
      </c>
      <c r="E466" s="73" t="s">
        <v>57</v>
      </c>
      <c r="F466" s="83"/>
      <c r="G466" s="83"/>
      <c r="H466" s="83"/>
      <c r="I466" s="83"/>
    </row>
    <row r="467" spans="1:9" ht="12">
      <c r="A467" s="71">
        <f t="shared" si="8"/>
        <v>466</v>
      </c>
      <c r="B467" s="72" t="s">
        <v>592</v>
      </c>
      <c r="C467" s="200" t="s">
        <v>614</v>
      </c>
      <c r="D467" s="72" t="s">
        <v>598</v>
      </c>
      <c r="E467" s="73" t="s">
        <v>57</v>
      </c>
      <c r="F467" s="83"/>
      <c r="G467" s="83"/>
      <c r="H467" s="83"/>
      <c r="I467" s="83"/>
    </row>
    <row r="468" spans="1:9" ht="12">
      <c r="A468" s="71">
        <f t="shared" si="8"/>
        <v>467</v>
      </c>
      <c r="B468" s="72" t="s">
        <v>592</v>
      </c>
      <c r="C468" s="200" t="s">
        <v>615</v>
      </c>
      <c r="D468" s="197" t="s">
        <v>594</v>
      </c>
      <c r="E468" s="73" t="s">
        <v>57</v>
      </c>
      <c r="F468" s="83"/>
      <c r="G468" s="83"/>
      <c r="H468" s="83"/>
      <c r="I468" s="83"/>
    </row>
    <row r="469" spans="1:9" ht="12">
      <c r="A469" s="71">
        <f t="shared" si="8"/>
        <v>468</v>
      </c>
      <c r="B469" s="72" t="s">
        <v>592</v>
      </c>
      <c r="C469" s="200" t="s">
        <v>615</v>
      </c>
      <c r="D469" s="198" t="s">
        <v>595</v>
      </c>
      <c r="E469" s="73" t="s">
        <v>57</v>
      </c>
      <c r="F469" s="83"/>
      <c r="G469" s="83"/>
      <c r="H469" s="83"/>
      <c r="I469" s="83"/>
    </row>
    <row r="470" spans="1:9" ht="12">
      <c r="A470" s="71">
        <f t="shared" si="8"/>
        <v>469</v>
      </c>
      <c r="B470" s="72" t="s">
        <v>592</v>
      </c>
      <c r="C470" s="200" t="s">
        <v>615</v>
      </c>
      <c r="D470" s="72" t="s">
        <v>596</v>
      </c>
      <c r="E470" s="73" t="s">
        <v>57</v>
      </c>
      <c r="F470" s="83"/>
      <c r="G470" s="83"/>
      <c r="H470" s="83"/>
      <c r="I470" s="83"/>
    </row>
    <row r="471" spans="1:9" ht="12">
      <c r="A471" s="71">
        <f t="shared" si="8"/>
        <v>470</v>
      </c>
      <c r="B471" s="72" t="s">
        <v>592</v>
      </c>
      <c r="C471" s="200" t="s">
        <v>615</v>
      </c>
      <c r="D471" s="197" t="s">
        <v>598</v>
      </c>
      <c r="E471" s="73" t="s">
        <v>57</v>
      </c>
      <c r="F471" s="83"/>
      <c r="G471" s="83"/>
      <c r="H471" s="83"/>
      <c r="I471" s="83"/>
    </row>
    <row r="472" spans="1:9" ht="12">
      <c r="A472" s="71">
        <f t="shared" si="8"/>
        <v>471</v>
      </c>
      <c r="B472" s="72" t="s">
        <v>592</v>
      </c>
      <c r="C472" s="201" t="s">
        <v>616</v>
      </c>
      <c r="D472" s="198" t="s">
        <v>594</v>
      </c>
      <c r="E472" s="73" t="s">
        <v>57</v>
      </c>
      <c r="F472" s="83"/>
      <c r="G472" s="83"/>
      <c r="H472" s="83"/>
      <c r="I472" s="83"/>
    </row>
    <row r="473" spans="1:9" ht="12">
      <c r="A473" s="71">
        <f t="shared" si="8"/>
        <v>472</v>
      </c>
      <c r="B473" s="72" t="s">
        <v>592</v>
      </c>
      <c r="C473" s="201" t="s">
        <v>616</v>
      </c>
      <c r="D473" s="72" t="s">
        <v>595</v>
      </c>
      <c r="E473" s="73" t="s">
        <v>57</v>
      </c>
      <c r="F473" s="83"/>
      <c r="G473" s="83"/>
      <c r="H473" s="83"/>
      <c r="I473" s="83"/>
    </row>
    <row r="474" spans="1:9" ht="12">
      <c r="A474" s="71">
        <f t="shared" si="8"/>
        <v>473</v>
      </c>
      <c r="B474" s="72" t="s">
        <v>592</v>
      </c>
      <c r="C474" s="201" t="s">
        <v>616</v>
      </c>
      <c r="D474" s="197" t="s">
        <v>596</v>
      </c>
      <c r="E474" s="73" t="s">
        <v>57</v>
      </c>
      <c r="F474" s="83"/>
      <c r="G474" s="83"/>
      <c r="H474" s="83"/>
      <c r="I474" s="83"/>
    </row>
    <row r="475" spans="1:9" ht="12">
      <c r="A475" s="71">
        <f t="shared" si="8"/>
        <v>474</v>
      </c>
      <c r="B475" s="72" t="s">
        <v>592</v>
      </c>
      <c r="C475" s="201" t="s">
        <v>616</v>
      </c>
      <c r="D475" s="198" t="s">
        <v>598</v>
      </c>
      <c r="E475" s="73" t="s">
        <v>57</v>
      </c>
      <c r="F475" s="83"/>
      <c r="G475" s="83"/>
      <c r="H475" s="83"/>
      <c r="I475" s="83"/>
    </row>
    <row r="476" spans="1:9" ht="12">
      <c r="A476" s="71">
        <f t="shared" si="8"/>
        <v>475</v>
      </c>
      <c r="B476" s="72" t="s">
        <v>592</v>
      </c>
      <c r="C476" s="201" t="s">
        <v>617</v>
      </c>
      <c r="D476" s="72" t="s">
        <v>594</v>
      </c>
      <c r="E476" s="73" t="s">
        <v>57</v>
      </c>
      <c r="F476" s="83"/>
      <c r="G476" s="83"/>
      <c r="H476" s="83"/>
      <c r="I476" s="83"/>
    </row>
    <row r="477" spans="1:9" ht="12">
      <c r="A477" s="71">
        <f t="shared" si="8"/>
        <v>476</v>
      </c>
      <c r="B477" s="72" t="s">
        <v>592</v>
      </c>
      <c r="C477" s="201" t="s">
        <v>617</v>
      </c>
      <c r="D477" s="197" t="s">
        <v>595</v>
      </c>
      <c r="E477" s="73" t="s">
        <v>57</v>
      </c>
      <c r="F477" s="83"/>
      <c r="G477" s="83"/>
      <c r="H477" s="83"/>
      <c r="I477" s="83"/>
    </row>
    <row r="478" spans="1:9" ht="12">
      <c r="A478" s="71">
        <f t="shared" si="8"/>
        <v>477</v>
      </c>
      <c r="B478" s="72" t="s">
        <v>592</v>
      </c>
      <c r="C478" s="201" t="s">
        <v>617</v>
      </c>
      <c r="D478" s="198" t="s">
        <v>596</v>
      </c>
      <c r="E478" s="73" t="s">
        <v>57</v>
      </c>
      <c r="F478" s="83"/>
      <c r="G478" s="83"/>
      <c r="H478" s="83"/>
      <c r="I478" s="83"/>
    </row>
    <row r="479" spans="1:9" ht="12">
      <c r="A479" s="71">
        <f t="shared" si="8"/>
        <v>478</v>
      </c>
      <c r="B479" s="72" t="s">
        <v>592</v>
      </c>
      <c r="C479" s="201" t="s">
        <v>617</v>
      </c>
      <c r="D479" s="72" t="s">
        <v>598</v>
      </c>
      <c r="E479" s="73" t="s">
        <v>57</v>
      </c>
      <c r="F479" s="83"/>
      <c r="G479" s="83"/>
      <c r="H479" s="83"/>
      <c r="I479" s="83"/>
    </row>
    <row r="480" spans="1:9" ht="12">
      <c r="A480" s="71">
        <f t="shared" si="8"/>
        <v>479</v>
      </c>
      <c r="B480" s="72" t="s">
        <v>592</v>
      </c>
      <c r="C480" s="201" t="s">
        <v>618</v>
      </c>
      <c r="D480" s="197" t="s">
        <v>594</v>
      </c>
      <c r="E480" s="73" t="s">
        <v>57</v>
      </c>
      <c r="F480" s="83"/>
      <c r="G480" s="83"/>
      <c r="H480" s="83"/>
      <c r="I480" s="83"/>
    </row>
    <row r="481" spans="1:9" ht="12">
      <c r="A481" s="71">
        <f t="shared" si="8"/>
        <v>480</v>
      </c>
      <c r="B481" s="72" t="s">
        <v>592</v>
      </c>
      <c r="C481" s="201" t="s">
        <v>618</v>
      </c>
      <c r="D481" s="198" t="s">
        <v>595</v>
      </c>
      <c r="E481" s="73" t="s">
        <v>57</v>
      </c>
      <c r="F481" s="83"/>
      <c r="G481" s="83"/>
      <c r="H481" s="83"/>
      <c r="I481" s="83"/>
    </row>
    <row r="482" spans="1:9" ht="12">
      <c r="A482" s="71">
        <f t="shared" si="8"/>
        <v>481</v>
      </c>
      <c r="B482" s="72" t="s">
        <v>592</v>
      </c>
      <c r="C482" s="201" t="s">
        <v>618</v>
      </c>
      <c r="D482" s="72" t="s">
        <v>596</v>
      </c>
      <c r="E482" s="73" t="s">
        <v>57</v>
      </c>
      <c r="F482" s="83"/>
      <c r="G482" s="83"/>
      <c r="H482" s="83"/>
      <c r="I482" s="83"/>
    </row>
    <row r="483" spans="1:9" ht="12">
      <c r="A483" s="71">
        <f t="shared" si="8"/>
        <v>482</v>
      </c>
      <c r="B483" s="72" t="s">
        <v>592</v>
      </c>
      <c r="C483" s="201" t="s">
        <v>618</v>
      </c>
      <c r="D483" s="197" t="s">
        <v>598</v>
      </c>
      <c r="E483" s="73" t="s">
        <v>57</v>
      </c>
      <c r="F483" s="83"/>
      <c r="G483" s="83"/>
      <c r="H483" s="83"/>
      <c r="I483" s="83"/>
    </row>
    <row r="484" spans="1:9" ht="12">
      <c r="A484" s="71">
        <f t="shared" si="8"/>
        <v>483</v>
      </c>
      <c r="B484" s="72" t="s">
        <v>592</v>
      </c>
      <c r="C484" s="201" t="s">
        <v>619</v>
      </c>
      <c r="D484" s="198" t="s">
        <v>594</v>
      </c>
      <c r="E484" s="73" t="s">
        <v>57</v>
      </c>
      <c r="F484" s="83"/>
      <c r="G484" s="83"/>
      <c r="H484" s="83"/>
      <c r="I484" s="83"/>
    </row>
    <row r="485" spans="1:9" ht="12">
      <c r="A485" s="71">
        <f t="shared" si="8"/>
        <v>484</v>
      </c>
      <c r="B485" s="72" t="s">
        <v>592</v>
      </c>
      <c r="C485" s="201" t="s">
        <v>619</v>
      </c>
      <c r="D485" s="72" t="s">
        <v>595</v>
      </c>
      <c r="E485" s="73" t="s">
        <v>57</v>
      </c>
      <c r="F485" s="83"/>
      <c r="G485" s="83"/>
      <c r="H485" s="83"/>
      <c r="I485" s="83"/>
    </row>
    <row r="486" spans="1:9" ht="12">
      <c r="A486" s="71">
        <f t="shared" si="8"/>
        <v>485</v>
      </c>
      <c r="B486" s="72" t="s">
        <v>592</v>
      </c>
      <c r="C486" s="201" t="s">
        <v>619</v>
      </c>
      <c r="D486" s="197" t="s">
        <v>596</v>
      </c>
      <c r="E486" s="73" t="s">
        <v>57</v>
      </c>
      <c r="F486" s="83"/>
      <c r="G486" s="83"/>
      <c r="H486" s="83"/>
      <c r="I486" s="83"/>
    </row>
    <row r="487" spans="1:9" ht="12">
      <c r="A487" s="71">
        <f t="shared" si="8"/>
        <v>486</v>
      </c>
      <c r="B487" s="72" t="s">
        <v>592</v>
      </c>
      <c r="C487" s="201" t="s">
        <v>619</v>
      </c>
      <c r="D487" s="198" t="s">
        <v>598</v>
      </c>
      <c r="E487" s="73" t="s">
        <v>57</v>
      </c>
      <c r="F487" s="83"/>
      <c r="G487" s="83"/>
      <c r="H487" s="83"/>
      <c r="I487" s="83"/>
    </row>
    <row r="488" spans="1:9" ht="12">
      <c r="A488" s="71">
        <f t="shared" si="8"/>
        <v>487</v>
      </c>
      <c r="B488" s="72" t="s">
        <v>592</v>
      </c>
      <c r="C488" s="201" t="s">
        <v>620</v>
      </c>
      <c r="D488" s="72" t="s">
        <v>594</v>
      </c>
      <c r="E488" s="73" t="s">
        <v>57</v>
      </c>
      <c r="F488" s="83"/>
      <c r="G488" s="83"/>
      <c r="H488" s="83"/>
      <c r="I488" s="83"/>
    </row>
    <row r="489" spans="1:9" ht="12">
      <c r="A489" s="71">
        <f t="shared" si="8"/>
        <v>488</v>
      </c>
      <c r="B489" s="72" t="s">
        <v>592</v>
      </c>
      <c r="C489" s="201" t="s">
        <v>620</v>
      </c>
      <c r="D489" s="197" t="s">
        <v>595</v>
      </c>
      <c r="E489" s="73" t="s">
        <v>57</v>
      </c>
      <c r="F489" s="83"/>
      <c r="G489" s="83"/>
      <c r="H489" s="83"/>
      <c r="I489" s="83"/>
    </row>
    <row r="490" spans="1:9" ht="12">
      <c r="A490" s="71">
        <f t="shared" si="8"/>
        <v>489</v>
      </c>
      <c r="B490" s="72" t="s">
        <v>592</v>
      </c>
      <c r="C490" s="201" t="s">
        <v>620</v>
      </c>
      <c r="D490" s="198" t="s">
        <v>596</v>
      </c>
      <c r="E490" s="73" t="s">
        <v>57</v>
      </c>
      <c r="F490" s="83"/>
      <c r="G490" s="83"/>
      <c r="H490" s="83"/>
      <c r="I490" s="83"/>
    </row>
    <row r="491" spans="1:9" ht="12">
      <c r="A491" s="71">
        <f t="shared" si="8"/>
        <v>490</v>
      </c>
      <c r="B491" s="72" t="s">
        <v>592</v>
      </c>
      <c r="C491" s="201" t="s">
        <v>620</v>
      </c>
      <c r="D491" s="72" t="s">
        <v>598</v>
      </c>
      <c r="E491" s="73" t="s">
        <v>57</v>
      </c>
      <c r="F491" s="83"/>
      <c r="G491" s="83"/>
      <c r="H491" s="83"/>
      <c r="I491" s="83"/>
    </row>
    <row r="492" spans="1:9" ht="12">
      <c r="A492" s="71">
        <f t="shared" si="8"/>
        <v>491</v>
      </c>
      <c r="B492" s="83" t="s">
        <v>592</v>
      </c>
      <c r="C492" s="201" t="s">
        <v>621</v>
      </c>
      <c r="D492" s="197" t="s">
        <v>594</v>
      </c>
      <c r="E492" s="73" t="s">
        <v>57</v>
      </c>
      <c r="F492" s="83"/>
      <c r="G492" s="83"/>
      <c r="H492" s="83"/>
      <c r="I492" s="83"/>
    </row>
    <row r="493" spans="1:9" ht="12">
      <c r="A493" s="71">
        <f t="shared" si="8"/>
        <v>492</v>
      </c>
      <c r="B493" s="83" t="s">
        <v>592</v>
      </c>
      <c r="C493" s="201" t="s">
        <v>621</v>
      </c>
      <c r="D493" s="198" t="s">
        <v>595</v>
      </c>
      <c r="E493" s="73" t="s">
        <v>57</v>
      </c>
      <c r="F493" s="83"/>
      <c r="G493" s="83"/>
      <c r="H493" s="83"/>
      <c r="I493" s="83"/>
    </row>
    <row r="494" spans="1:9" ht="12">
      <c r="A494" s="71">
        <f t="shared" si="8"/>
        <v>493</v>
      </c>
      <c r="B494" s="83" t="s">
        <v>592</v>
      </c>
      <c r="C494" s="201" t="s">
        <v>621</v>
      </c>
      <c r="D494" s="72" t="s">
        <v>596</v>
      </c>
      <c r="E494" s="73" t="s">
        <v>57</v>
      </c>
      <c r="F494" s="83"/>
      <c r="G494" s="83"/>
      <c r="H494" s="83"/>
      <c r="I494" s="83"/>
    </row>
    <row r="495" spans="1:9" ht="12">
      <c r="A495" s="71">
        <f t="shared" si="8"/>
        <v>494</v>
      </c>
      <c r="B495" s="83" t="s">
        <v>592</v>
      </c>
      <c r="C495" s="201" t="s">
        <v>621</v>
      </c>
      <c r="D495" s="197" t="s">
        <v>598</v>
      </c>
      <c r="E495" s="73" t="s">
        <v>57</v>
      </c>
      <c r="F495" s="83"/>
      <c r="G495" s="83"/>
      <c r="H495" s="83"/>
      <c r="I495" s="83"/>
    </row>
    <row r="496" spans="1:9" ht="12">
      <c r="A496" s="71">
        <f t="shared" si="8"/>
        <v>495</v>
      </c>
      <c r="B496" s="83" t="s">
        <v>592</v>
      </c>
      <c r="C496" s="201" t="s">
        <v>622</v>
      </c>
      <c r="D496" s="198" t="s">
        <v>594</v>
      </c>
      <c r="E496" s="73" t="s">
        <v>57</v>
      </c>
      <c r="F496" s="83"/>
      <c r="G496" s="83"/>
      <c r="H496" s="83"/>
      <c r="I496" s="83"/>
    </row>
    <row r="497" spans="1:9" ht="12">
      <c r="A497" s="71">
        <f t="shared" si="8"/>
        <v>496</v>
      </c>
      <c r="B497" s="83" t="s">
        <v>592</v>
      </c>
      <c r="C497" s="201" t="s">
        <v>622</v>
      </c>
      <c r="D497" s="72" t="s">
        <v>595</v>
      </c>
      <c r="E497" s="73" t="s">
        <v>57</v>
      </c>
      <c r="F497" s="83"/>
      <c r="G497" s="83"/>
      <c r="H497" s="83"/>
      <c r="I497" s="83"/>
    </row>
    <row r="498" spans="1:9" ht="12">
      <c r="A498" s="71">
        <f t="shared" si="8"/>
        <v>497</v>
      </c>
      <c r="B498" s="83" t="s">
        <v>592</v>
      </c>
      <c r="C498" s="201" t="s">
        <v>622</v>
      </c>
      <c r="D498" s="197" t="s">
        <v>596</v>
      </c>
      <c r="E498" s="73" t="s">
        <v>57</v>
      </c>
      <c r="F498" s="83"/>
      <c r="G498" s="83"/>
      <c r="H498" s="83"/>
      <c r="I498" s="83"/>
    </row>
    <row r="499" spans="1:9" ht="12">
      <c r="A499" s="71">
        <f t="shared" si="8"/>
        <v>498</v>
      </c>
      <c r="B499" s="83" t="s">
        <v>592</v>
      </c>
      <c r="C499" s="201" t="s">
        <v>622</v>
      </c>
      <c r="D499" s="198" t="s">
        <v>598</v>
      </c>
      <c r="E499" s="73" t="s">
        <v>57</v>
      </c>
      <c r="F499" s="83"/>
      <c r="G499" s="83"/>
      <c r="H499" s="83"/>
      <c r="I499" s="83"/>
    </row>
    <row r="500" spans="1:9" ht="12">
      <c r="A500" s="71">
        <f t="shared" si="8"/>
        <v>499</v>
      </c>
      <c r="B500" s="83" t="s">
        <v>592</v>
      </c>
      <c r="C500" s="201" t="s">
        <v>623</v>
      </c>
      <c r="D500" s="83" t="s">
        <v>594</v>
      </c>
      <c r="E500" s="73" t="s">
        <v>57</v>
      </c>
      <c r="F500" s="83"/>
      <c r="G500" s="83"/>
      <c r="H500" s="83"/>
      <c r="I500" s="83"/>
    </row>
    <row r="501" spans="1:9" ht="12">
      <c r="A501" s="71">
        <f t="shared" si="8"/>
        <v>500</v>
      </c>
      <c r="B501" s="83" t="s">
        <v>592</v>
      </c>
      <c r="C501" s="201" t="s">
        <v>623</v>
      </c>
      <c r="D501" s="197" t="s">
        <v>595</v>
      </c>
      <c r="E501" s="73" t="s">
        <v>57</v>
      </c>
      <c r="F501" s="83"/>
      <c r="G501" s="83"/>
      <c r="H501" s="83"/>
      <c r="I501" s="83"/>
    </row>
    <row r="502" spans="1:9" ht="12">
      <c r="A502" s="71">
        <f t="shared" si="8"/>
        <v>501</v>
      </c>
      <c r="B502" s="83" t="s">
        <v>592</v>
      </c>
      <c r="C502" s="201" t="s">
        <v>623</v>
      </c>
      <c r="D502" s="197" t="s">
        <v>596</v>
      </c>
      <c r="E502" s="89" t="s">
        <v>57</v>
      </c>
      <c r="F502" s="83"/>
      <c r="G502" s="83"/>
      <c r="H502" s="83"/>
      <c r="I502" s="83"/>
    </row>
    <row r="503" spans="1:9" ht="12">
      <c r="A503" s="71">
        <f t="shared" si="8"/>
        <v>502</v>
      </c>
      <c r="B503" s="83" t="s">
        <v>592</v>
      </c>
      <c r="C503" s="201" t="s">
        <v>623</v>
      </c>
      <c r="D503" s="197" t="s">
        <v>598</v>
      </c>
      <c r="E503" s="73" t="s">
        <v>57</v>
      </c>
      <c r="F503" s="83"/>
      <c r="G503" s="83"/>
      <c r="H503" s="83"/>
      <c r="I503" s="83"/>
    </row>
    <row r="504" spans="1:9" ht="12">
      <c r="A504" s="71">
        <f t="shared" si="8"/>
        <v>503</v>
      </c>
      <c r="B504" s="83" t="s">
        <v>592</v>
      </c>
      <c r="C504" s="201" t="s">
        <v>624</v>
      </c>
      <c r="D504" s="83" t="s">
        <v>594</v>
      </c>
      <c r="E504" s="89" t="s">
        <v>57</v>
      </c>
      <c r="F504" s="83"/>
      <c r="G504" s="83"/>
      <c r="H504" s="83"/>
      <c r="I504" s="83"/>
    </row>
    <row r="505" spans="1:9" ht="12">
      <c r="A505" s="71">
        <f t="shared" si="8"/>
        <v>504</v>
      </c>
      <c r="B505" s="83" t="s">
        <v>592</v>
      </c>
      <c r="C505" s="201" t="s">
        <v>624</v>
      </c>
      <c r="D505" s="197" t="s">
        <v>595</v>
      </c>
      <c r="E505" s="73" t="s">
        <v>57</v>
      </c>
      <c r="F505" s="83"/>
      <c r="G505" s="83"/>
      <c r="H505" s="83"/>
      <c r="I505" s="83"/>
    </row>
    <row r="506" spans="1:9" ht="12">
      <c r="A506" s="71">
        <f t="shared" si="8"/>
        <v>505</v>
      </c>
      <c r="B506" s="83" t="s">
        <v>592</v>
      </c>
      <c r="C506" s="201" t="s">
        <v>624</v>
      </c>
      <c r="D506" s="197" t="s">
        <v>596</v>
      </c>
      <c r="E506" s="73" t="s">
        <v>57</v>
      </c>
      <c r="F506" s="83"/>
      <c r="G506" s="83"/>
      <c r="H506" s="83"/>
      <c r="I506" s="83"/>
    </row>
    <row r="507" spans="1:9" ht="12">
      <c r="A507" s="71">
        <f t="shared" si="8"/>
        <v>506</v>
      </c>
      <c r="B507" s="83" t="s">
        <v>592</v>
      </c>
      <c r="C507" s="201" t="s">
        <v>624</v>
      </c>
      <c r="D507" s="197" t="s">
        <v>598</v>
      </c>
      <c r="E507" s="73" t="s">
        <v>57</v>
      </c>
      <c r="F507" s="83"/>
      <c r="G507" s="83"/>
      <c r="H507" s="83"/>
      <c r="I507" s="83"/>
    </row>
    <row r="508" spans="1:9" ht="12">
      <c r="A508" s="71">
        <f t="shared" si="8"/>
        <v>507</v>
      </c>
      <c r="B508" s="83" t="s">
        <v>592</v>
      </c>
      <c r="C508" s="201" t="s">
        <v>625</v>
      </c>
      <c r="D508" s="197" t="s">
        <v>595</v>
      </c>
      <c r="E508" s="89" t="s">
        <v>57</v>
      </c>
      <c r="F508" s="83"/>
      <c r="G508" s="83"/>
      <c r="H508" s="83"/>
      <c r="I508" s="83"/>
    </row>
    <row r="509" spans="1:9" ht="12">
      <c r="A509" s="71">
        <f t="shared" si="8"/>
        <v>508</v>
      </c>
      <c r="B509" s="83" t="s">
        <v>592</v>
      </c>
      <c r="C509" s="201" t="s">
        <v>626</v>
      </c>
      <c r="D509" s="83" t="s">
        <v>594</v>
      </c>
      <c r="E509" s="73" t="s">
        <v>57</v>
      </c>
      <c r="F509" s="83"/>
      <c r="G509" s="83"/>
      <c r="H509" s="83"/>
      <c r="I509" s="83"/>
    </row>
    <row r="510" spans="1:9" ht="12">
      <c r="A510" s="71">
        <f t="shared" si="8"/>
        <v>509</v>
      </c>
      <c r="B510" s="83" t="s">
        <v>592</v>
      </c>
      <c r="C510" s="201" t="s">
        <v>626</v>
      </c>
      <c r="D510" s="197" t="s">
        <v>595</v>
      </c>
      <c r="E510" s="73" t="s">
        <v>57</v>
      </c>
      <c r="F510" s="83"/>
      <c r="G510" s="83"/>
      <c r="H510" s="83"/>
      <c r="I510" s="83"/>
    </row>
    <row r="511" spans="1:9" ht="12">
      <c r="A511" s="71">
        <f t="shared" si="8"/>
        <v>510</v>
      </c>
      <c r="B511" s="83" t="s">
        <v>592</v>
      </c>
      <c r="C511" s="201" t="s">
        <v>626</v>
      </c>
      <c r="D511" s="83" t="s">
        <v>596</v>
      </c>
      <c r="E511" s="89" t="s">
        <v>57</v>
      </c>
      <c r="F511" s="83"/>
      <c r="G511" s="83"/>
      <c r="H511" s="83"/>
      <c r="I511" s="83"/>
    </row>
    <row r="512" spans="1:9" ht="12">
      <c r="A512" s="71">
        <f t="shared" si="8"/>
        <v>511</v>
      </c>
      <c r="B512" s="83" t="s">
        <v>592</v>
      </c>
      <c r="C512" s="201" t="s">
        <v>626</v>
      </c>
      <c r="D512" s="83" t="s">
        <v>598</v>
      </c>
      <c r="E512" s="73" t="s">
        <v>57</v>
      </c>
      <c r="F512" s="83"/>
      <c r="G512" s="83"/>
      <c r="H512" s="83"/>
      <c r="I512" s="83"/>
    </row>
    <row r="513" spans="1:9" ht="12">
      <c r="A513" s="71">
        <f t="shared" si="8"/>
        <v>512</v>
      </c>
      <c r="B513" s="83" t="s">
        <v>592</v>
      </c>
      <c r="C513" s="201" t="s">
        <v>627</v>
      </c>
      <c r="D513" s="197" t="s">
        <v>594</v>
      </c>
      <c r="E513" s="73" t="s">
        <v>57</v>
      </c>
      <c r="F513" s="83"/>
      <c r="G513" s="83"/>
      <c r="H513" s="83"/>
      <c r="I513" s="83"/>
    </row>
    <row r="514" spans="1:9" ht="12">
      <c r="A514" s="71">
        <f t="shared" si="8"/>
        <v>513</v>
      </c>
      <c r="B514" s="83" t="s">
        <v>592</v>
      </c>
      <c r="C514" s="201" t="s">
        <v>627</v>
      </c>
      <c r="D514" s="83" t="s">
        <v>595</v>
      </c>
      <c r="E514" s="89" t="s">
        <v>57</v>
      </c>
      <c r="F514" s="83"/>
      <c r="G514" s="83"/>
      <c r="H514" s="83"/>
      <c r="I514" s="83"/>
    </row>
    <row r="515" spans="1:9" ht="12">
      <c r="A515" s="71">
        <f t="shared" si="8"/>
        <v>514</v>
      </c>
      <c r="B515" s="83" t="s">
        <v>592</v>
      </c>
      <c r="C515" s="201" t="s">
        <v>627</v>
      </c>
      <c r="D515" s="83" t="s">
        <v>596</v>
      </c>
      <c r="E515" s="73" t="s">
        <v>57</v>
      </c>
      <c r="F515" s="83"/>
      <c r="G515" s="83"/>
      <c r="H515" s="83"/>
      <c r="I515" s="83"/>
    </row>
    <row r="516" spans="1:9" ht="12">
      <c r="A516" s="71">
        <f t="shared" si="8"/>
        <v>515</v>
      </c>
      <c r="B516" s="83" t="s">
        <v>592</v>
      </c>
      <c r="C516" s="201" t="s">
        <v>627</v>
      </c>
      <c r="D516" s="83" t="s">
        <v>598</v>
      </c>
      <c r="E516" s="89" t="s">
        <v>57</v>
      </c>
      <c r="F516" s="83"/>
      <c r="G516" s="83"/>
      <c r="H516" s="83"/>
      <c r="I516" s="83"/>
    </row>
    <row r="517" spans="1:9" ht="12">
      <c r="A517" s="71">
        <f t="shared" si="8"/>
        <v>516</v>
      </c>
      <c r="B517" s="83" t="s">
        <v>592</v>
      </c>
      <c r="C517" s="201" t="s">
        <v>628</v>
      </c>
      <c r="D517" s="83" t="s">
        <v>594</v>
      </c>
      <c r="E517" s="89" t="s">
        <v>57</v>
      </c>
      <c r="F517" s="83"/>
      <c r="G517" s="83"/>
      <c r="H517" s="83"/>
      <c r="I517" s="83"/>
    </row>
    <row r="518" spans="1:9" ht="12">
      <c r="A518" s="71">
        <f t="shared" si="8"/>
        <v>517</v>
      </c>
      <c r="B518" s="83" t="s">
        <v>592</v>
      </c>
      <c r="C518" s="201" t="s">
        <v>628</v>
      </c>
      <c r="D518" s="83" t="s">
        <v>595</v>
      </c>
      <c r="E518" s="89" t="s">
        <v>57</v>
      </c>
      <c r="F518" s="83"/>
      <c r="G518" s="83"/>
      <c r="H518" s="83"/>
      <c r="I518" s="83"/>
    </row>
    <row r="519" spans="1:9" ht="12">
      <c r="A519" s="71">
        <f t="shared" si="8"/>
        <v>518</v>
      </c>
      <c r="B519" s="83" t="s">
        <v>592</v>
      </c>
      <c r="C519" s="201" t="s">
        <v>628</v>
      </c>
      <c r="D519" s="83" t="s">
        <v>596</v>
      </c>
      <c r="E519" s="89" t="s">
        <v>57</v>
      </c>
      <c r="F519" s="83"/>
      <c r="G519" s="83"/>
      <c r="H519" s="83"/>
      <c r="I519" s="83"/>
    </row>
    <row r="520" spans="1:9" ht="12">
      <c r="A520" s="71">
        <f t="shared" si="8"/>
        <v>519</v>
      </c>
      <c r="B520" s="83" t="s">
        <v>592</v>
      </c>
      <c r="C520" s="201" t="s">
        <v>628</v>
      </c>
      <c r="D520" s="83" t="s">
        <v>598</v>
      </c>
      <c r="E520" s="89" t="s">
        <v>57</v>
      </c>
      <c r="F520" s="83"/>
      <c r="G520" s="83"/>
      <c r="H520" s="83"/>
      <c r="I520" s="83"/>
    </row>
    <row r="521" spans="1:9" ht="12">
      <c r="A521" s="71">
        <f t="shared" si="8"/>
        <v>520</v>
      </c>
      <c r="B521" s="83"/>
      <c r="C521" s="201"/>
      <c r="D521" s="83"/>
      <c r="E521" s="89"/>
      <c r="F521" s="83"/>
      <c r="G521" s="83"/>
      <c r="H521" s="83"/>
      <c r="I521" s="83"/>
    </row>
    <row r="522" spans="1:9" ht="12">
      <c r="A522" s="71">
        <f t="shared" si="8"/>
        <v>521</v>
      </c>
      <c r="B522" s="83"/>
      <c r="C522" s="201"/>
      <c r="D522" s="83"/>
      <c r="E522" s="89"/>
      <c r="F522" s="83"/>
      <c r="G522" s="83"/>
      <c r="H522" s="83"/>
      <c r="I522" s="83"/>
    </row>
    <row r="523" spans="1:9" ht="13.15">
      <c r="A523" s="71">
        <f t="shared" ref="A523:A586" si="9">ROW()-1</f>
        <v>522</v>
      </c>
      <c r="B523" s="83" t="s">
        <v>629</v>
      </c>
      <c r="C523" s="215" t="s">
        <v>630</v>
      </c>
      <c r="D523" s="83" t="s">
        <v>631</v>
      </c>
      <c r="E523" s="89" t="s">
        <v>57</v>
      </c>
      <c r="F523" s="83"/>
      <c r="G523" s="83"/>
      <c r="H523" s="83"/>
      <c r="I523" s="83"/>
    </row>
    <row r="524" spans="1:9" ht="13.15">
      <c r="A524" s="71">
        <f t="shared" si="9"/>
        <v>523</v>
      </c>
      <c r="B524" s="83" t="s">
        <v>629</v>
      </c>
      <c r="C524" s="215" t="s">
        <v>632</v>
      </c>
      <c r="D524" s="83" t="s">
        <v>633</v>
      </c>
      <c r="E524" s="89" t="s">
        <v>57</v>
      </c>
      <c r="F524" s="83"/>
      <c r="G524" s="83"/>
      <c r="H524" s="83"/>
      <c r="I524" s="83"/>
    </row>
    <row r="525" spans="1:9" ht="13.15">
      <c r="A525" s="71">
        <f t="shared" si="9"/>
        <v>524</v>
      </c>
      <c r="B525" s="83" t="s">
        <v>629</v>
      </c>
      <c r="C525" s="215" t="s">
        <v>634</v>
      </c>
      <c r="D525" s="83" t="s">
        <v>635</v>
      </c>
      <c r="E525" s="89" t="s">
        <v>57</v>
      </c>
      <c r="F525" s="83"/>
      <c r="G525" s="83"/>
      <c r="H525" s="83"/>
      <c r="I525" s="83"/>
    </row>
    <row r="526" spans="1:9" ht="13.15">
      <c r="A526" s="71">
        <f t="shared" si="9"/>
        <v>525</v>
      </c>
      <c r="B526" s="83" t="s">
        <v>629</v>
      </c>
      <c r="C526" s="215" t="s">
        <v>636</v>
      </c>
      <c r="D526" s="83" t="s">
        <v>637</v>
      </c>
      <c r="E526" s="89" t="s">
        <v>57</v>
      </c>
      <c r="F526" s="83"/>
      <c r="G526" s="83"/>
      <c r="H526" s="83"/>
      <c r="I526" s="83"/>
    </row>
    <row r="527" spans="1:9" ht="13.15">
      <c r="A527" s="71">
        <f t="shared" si="9"/>
        <v>526</v>
      </c>
      <c r="B527" s="83" t="s">
        <v>629</v>
      </c>
      <c r="C527" s="215" t="s">
        <v>638</v>
      </c>
      <c r="D527" s="83" t="s">
        <v>639</v>
      </c>
      <c r="E527" s="89" t="s">
        <v>57</v>
      </c>
      <c r="F527" s="83"/>
      <c r="G527" s="83"/>
      <c r="H527" s="83"/>
      <c r="I527" s="83"/>
    </row>
    <row r="528" spans="1:9" ht="13.15">
      <c r="A528" s="71">
        <f t="shared" si="9"/>
        <v>527</v>
      </c>
      <c r="B528" s="83" t="s">
        <v>629</v>
      </c>
      <c r="C528" s="215" t="s">
        <v>640</v>
      </c>
      <c r="D528" s="83" t="s">
        <v>641</v>
      </c>
      <c r="E528" s="89" t="s">
        <v>57</v>
      </c>
      <c r="F528" s="83"/>
      <c r="G528" s="83"/>
      <c r="H528" s="83"/>
      <c r="I528" s="83"/>
    </row>
    <row r="529" spans="1:9" ht="13.15">
      <c r="A529" s="71">
        <f t="shared" si="9"/>
        <v>528</v>
      </c>
      <c r="B529" s="83" t="s">
        <v>629</v>
      </c>
      <c r="C529" s="215" t="s">
        <v>642</v>
      </c>
      <c r="D529" s="83" t="s">
        <v>643</v>
      </c>
      <c r="E529" s="89" t="s">
        <v>57</v>
      </c>
      <c r="F529" s="83"/>
      <c r="G529" s="83"/>
      <c r="H529" s="83"/>
      <c r="I529" s="83"/>
    </row>
    <row r="530" spans="1:9" ht="13.15">
      <c r="A530" s="71">
        <f t="shared" si="9"/>
        <v>529</v>
      </c>
      <c r="B530" s="83" t="s">
        <v>629</v>
      </c>
      <c r="C530" s="215" t="s">
        <v>644</v>
      </c>
      <c r="D530" s="83" t="s">
        <v>645</v>
      </c>
      <c r="E530" s="89" t="s">
        <v>57</v>
      </c>
      <c r="F530" s="83"/>
      <c r="G530" s="83"/>
      <c r="H530" s="83"/>
      <c r="I530" s="83"/>
    </row>
    <row r="531" spans="1:9" ht="13.15">
      <c r="A531" s="71">
        <f t="shared" si="9"/>
        <v>530</v>
      </c>
      <c r="B531" s="83" t="s">
        <v>629</v>
      </c>
      <c r="C531" s="215" t="s">
        <v>646</v>
      </c>
      <c r="D531" s="83" t="s">
        <v>647</v>
      </c>
      <c r="E531" s="89" t="s">
        <v>57</v>
      </c>
      <c r="F531" s="83"/>
      <c r="G531" s="83"/>
      <c r="H531" s="83"/>
      <c r="I531" s="83"/>
    </row>
    <row r="532" spans="1:9" ht="13.15">
      <c r="A532" s="71">
        <f t="shared" si="9"/>
        <v>531</v>
      </c>
      <c r="B532" s="83" t="s">
        <v>629</v>
      </c>
      <c r="C532" s="215" t="s">
        <v>648</v>
      </c>
      <c r="D532" s="83" t="s">
        <v>649</v>
      </c>
      <c r="E532" s="89" t="s">
        <v>57</v>
      </c>
      <c r="F532" s="83"/>
      <c r="G532" s="83"/>
      <c r="H532" s="83"/>
      <c r="I532" s="83"/>
    </row>
    <row r="533" spans="1:9" ht="13.15">
      <c r="A533" s="71">
        <f t="shared" si="9"/>
        <v>532</v>
      </c>
      <c r="B533" s="83" t="s">
        <v>629</v>
      </c>
      <c r="C533" s="215" t="s">
        <v>650</v>
      </c>
      <c r="D533" s="83" t="s">
        <v>651</v>
      </c>
      <c r="E533" s="89" t="s">
        <v>57</v>
      </c>
      <c r="F533" s="83"/>
      <c r="G533" s="83"/>
      <c r="H533" s="83"/>
      <c r="I533" s="83"/>
    </row>
    <row r="534" spans="1:9" ht="13.15">
      <c r="A534" s="71">
        <f t="shared" si="9"/>
        <v>533</v>
      </c>
      <c r="B534" s="83" t="s">
        <v>629</v>
      </c>
      <c r="C534" s="215" t="s">
        <v>652</v>
      </c>
      <c r="D534" s="83" t="s">
        <v>653</v>
      </c>
      <c r="E534" s="89" t="s">
        <v>57</v>
      </c>
      <c r="F534" s="83"/>
      <c r="G534" s="83"/>
      <c r="H534" s="83"/>
      <c r="I534" s="83"/>
    </row>
    <row r="535" spans="1:9" ht="13.15">
      <c r="A535" s="71">
        <f t="shared" si="9"/>
        <v>534</v>
      </c>
      <c r="B535" s="83" t="s">
        <v>629</v>
      </c>
      <c r="C535" s="215" t="s">
        <v>654</v>
      </c>
      <c r="D535" s="83" t="s">
        <v>655</v>
      </c>
      <c r="E535" s="89" t="s">
        <v>57</v>
      </c>
      <c r="F535" s="83"/>
      <c r="G535" s="83"/>
      <c r="H535" s="83"/>
      <c r="I535" s="83"/>
    </row>
    <row r="536" spans="1:9" ht="13.15">
      <c r="A536" s="71">
        <f t="shared" si="9"/>
        <v>535</v>
      </c>
      <c r="B536" s="83" t="s">
        <v>629</v>
      </c>
      <c r="C536" s="215" t="s">
        <v>656</v>
      </c>
      <c r="D536" s="83" t="s">
        <v>657</v>
      </c>
      <c r="E536" s="89" t="s">
        <v>57</v>
      </c>
      <c r="F536" s="83"/>
      <c r="G536" s="83"/>
      <c r="H536" s="83"/>
      <c r="I536" s="83"/>
    </row>
    <row r="537" spans="1:9" ht="13.15">
      <c r="A537" s="71">
        <f t="shared" si="9"/>
        <v>536</v>
      </c>
      <c r="B537" s="83" t="s">
        <v>629</v>
      </c>
      <c r="C537" s="215" t="s">
        <v>658</v>
      </c>
      <c r="D537" s="83" t="s">
        <v>659</v>
      </c>
      <c r="E537" s="89" t="s">
        <v>57</v>
      </c>
      <c r="F537" s="83"/>
      <c r="G537" s="83"/>
      <c r="H537" s="83"/>
      <c r="I537" s="83"/>
    </row>
    <row r="538" spans="1:9" ht="13.15">
      <c r="A538" s="71">
        <f t="shared" si="9"/>
        <v>537</v>
      </c>
      <c r="B538" s="83" t="s">
        <v>629</v>
      </c>
      <c r="C538" s="215" t="s">
        <v>660</v>
      </c>
      <c r="D538" s="83" t="s">
        <v>661</v>
      </c>
      <c r="E538" s="89" t="s">
        <v>57</v>
      </c>
      <c r="F538" s="83"/>
      <c r="G538" s="83"/>
      <c r="H538" s="83"/>
      <c r="I538" s="83"/>
    </row>
    <row r="539" spans="1:9" ht="13.15">
      <c r="A539" s="71">
        <f t="shared" si="9"/>
        <v>538</v>
      </c>
      <c r="B539" s="83" t="s">
        <v>629</v>
      </c>
      <c r="C539" s="215" t="s">
        <v>662</v>
      </c>
      <c r="D539" s="83" t="s">
        <v>663</v>
      </c>
      <c r="E539" s="89" t="s">
        <v>57</v>
      </c>
      <c r="F539" s="83"/>
      <c r="G539" s="83"/>
      <c r="H539" s="83"/>
      <c r="I539" s="83"/>
    </row>
    <row r="540" spans="1:9" ht="13.15">
      <c r="A540" s="71">
        <f t="shared" si="9"/>
        <v>539</v>
      </c>
      <c r="B540" s="83" t="s">
        <v>629</v>
      </c>
      <c r="C540" s="215" t="s">
        <v>664</v>
      </c>
      <c r="D540" s="83" t="s">
        <v>665</v>
      </c>
      <c r="E540" s="89" t="s">
        <v>57</v>
      </c>
      <c r="F540" s="83"/>
      <c r="G540" s="83"/>
      <c r="H540" s="83"/>
      <c r="I540" s="83"/>
    </row>
    <row r="541" spans="1:9" ht="13.15">
      <c r="A541" s="71">
        <f t="shared" si="9"/>
        <v>540</v>
      </c>
      <c r="B541" s="83" t="s">
        <v>629</v>
      </c>
      <c r="C541" s="215" t="s">
        <v>666</v>
      </c>
      <c r="D541" s="83" t="s">
        <v>667</v>
      </c>
      <c r="E541" s="89" t="s">
        <v>57</v>
      </c>
      <c r="F541" s="83"/>
      <c r="G541" s="83"/>
      <c r="H541" s="83"/>
      <c r="I541" s="83"/>
    </row>
    <row r="542" spans="1:9" ht="13.15">
      <c r="A542" s="71">
        <f t="shared" si="9"/>
        <v>541</v>
      </c>
      <c r="B542" s="83" t="s">
        <v>629</v>
      </c>
      <c r="C542" s="215" t="s">
        <v>668</v>
      </c>
      <c r="D542" s="83" t="s">
        <v>669</v>
      </c>
      <c r="E542" s="89" t="s">
        <v>57</v>
      </c>
      <c r="F542" s="83"/>
      <c r="G542" s="83"/>
      <c r="H542" s="83"/>
      <c r="I542" s="83"/>
    </row>
    <row r="543" spans="1:9" ht="13.15">
      <c r="A543" s="71">
        <f t="shared" si="9"/>
        <v>542</v>
      </c>
      <c r="B543" s="83" t="s">
        <v>629</v>
      </c>
      <c r="C543" s="215" t="s">
        <v>670</v>
      </c>
      <c r="D543" s="83" t="s">
        <v>671</v>
      </c>
      <c r="E543" s="89" t="s">
        <v>57</v>
      </c>
      <c r="F543" s="83"/>
      <c r="G543" s="83"/>
      <c r="H543" s="83"/>
      <c r="I543" s="83"/>
    </row>
    <row r="544" spans="1:9" ht="13.15">
      <c r="A544" s="71">
        <f t="shared" si="9"/>
        <v>543</v>
      </c>
      <c r="B544" s="83" t="s">
        <v>629</v>
      </c>
      <c r="C544" s="215" t="s">
        <v>672</v>
      </c>
      <c r="D544" s="83" t="s">
        <v>673</v>
      </c>
      <c r="E544" s="89" t="s">
        <v>57</v>
      </c>
      <c r="F544" s="83"/>
      <c r="G544" s="83"/>
      <c r="H544" s="83"/>
      <c r="I544" s="83"/>
    </row>
    <row r="545" spans="1:9" ht="13.15">
      <c r="A545" s="71">
        <f t="shared" si="9"/>
        <v>544</v>
      </c>
      <c r="B545" s="83" t="s">
        <v>629</v>
      </c>
      <c r="C545" s="215" t="s">
        <v>674</v>
      </c>
      <c r="D545" s="83" t="s">
        <v>675</v>
      </c>
      <c r="E545" s="89" t="s">
        <v>57</v>
      </c>
      <c r="F545" s="83"/>
      <c r="G545" s="83"/>
      <c r="H545" s="83"/>
      <c r="I545" s="83"/>
    </row>
    <row r="546" spans="1:9" ht="13.15">
      <c r="A546" s="71">
        <f t="shared" si="9"/>
        <v>545</v>
      </c>
      <c r="B546" s="83" t="s">
        <v>629</v>
      </c>
      <c r="C546" s="215" t="s">
        <v>676</v>
      </c>
      <c r="D546" s="83" t="s">
        <v>677</v>
      </c>
      <c r="E546" s="89" t="s">
        <v>57</v>
      </c>
      <c r="F546" s="83"/>
      <c r="G546" s="83"/>
      <c r="H546" s="83"/>
      <c r="I546" s="83"/>
    </row>
    <row r="547" spans="1:9" ht="13.15">
      <c r="A547" s="71">
        <f t="shared" si="9"/>
        <v>546</v>
      </c>
      <c r="B547" s="83" t="s">
        <v>629</v>
      </c>
      <c r="C547" s="215" t="s">
        <v>678</v>
      </c>
      <c r="D547" s="83" t="s">
        <v>679</v>
      </c>
      <c r="E547" s="89" t="s">
        <v>57</v>
      </c>
      <c r="F547" s="83"/>
      <c r="G547" s="83"/>
      <c r="H547" s="83"/>
      <c r="I547" s="83"/>
    </row>
    <row r="548" spans="1:9" ht="13.15">
      <c r="A548" s="71">
        <f t="shared" si="9"/>
        <v>547</v>
      </c>
      <c r="B548" s="83" t="s">
        <v>629</v>
      </c>
      <c r="C548" s="215" t="s">
        <v>680</v>
      </c>
      <c r="D548" s="83" t="s">
        <v>681</v>
      </c>
      <c r="E548" s="89" t="s">
        <v>57</v>
      </c>
      <c r="F548" s="83"/>
      <c r="G548" s="83"/>
      <c r="H548" s="83"/>
      <c r="I548" s="83"/>
    </row>
    <row r="549" spans="1:9" ht="13.15">
      <c r="A549" s="71">
        <f t="shared" si="9"/>
        <v>548</v>
      </c>
      <c r="B549" s="83" t="s">
        <v>629</v>
      </c>
      <c r="C549" s="215" t="s">
        <v>680</v>
      </c>
      <c r="D549" s="83" t="s">
        <v>682</v>
      </c>
      <c r="E549" s="89" t="s">
        <v>57</v>
      </c>
      <c r="F549" s="83"/>
      <c r="G549" s="83"/>
      <c r="H549" s="83"/>
      <c r="I549" s="83"/>
    </row>
    <row r="550" spans="1:9" ht="13.15">
      <c r="A550" s="71">
        <f t="shared" si="9"/>
        <v>549</v>
      </c>
      <c r="B550" s="83" t="s">
        <v>629</v>
      </c>
      <c r="C550" s="215" t="s">
        <v>683</v>
      </c>
      <c r="D550" s="83" t="s">
        <v>684</v>
      </c>
      <c r="E550" s="89" t="s">
        <v>57</v>
      </c>
      <c r="F550" s="83"/>
      <c r="G550" s="83"/>
      <c r="H550" s="83"/>
      <c r="I550" s="83"/>
    </row>
    <row r="551" spans="1:9" ht="13.15">
      <c r="A551" s="71">
        <f t="shared" si="9"/>
        <v>550</v>
      </c>
      <c r="B551" s="83" t="s">
        <v>629</v>
      </c>
      <c r="C551" s="215" t="s">
        <v>685</v>
      </c>
      <c r="D551" s="83" t="s">
        <v>686</v>
      </c>
      <c r="E551" s="89" t="s">
        <v>57</v>
      </c>
      <c r="F551" s="83"/>
      <c r="G551" s="83"/>
      <c r="H551" s="83"/>
      <c r="I551" s="83"/>
    </row>
    <row r="552" spans="1:9" ht="13.15">
      <c r="A552" s="71">
        <f t="shared" si="9"/>
        <v>551</v>
      </c>
      <c r="B552" s="83" t="s">
        <v>629</v>
      </c>
      <c r="C552" s="215" t="s">
        <v>687</v>
      </c>
      <c r="D552" s="83" t="s">
        <v>688</v>
      </c>
      <c r="E552" s="89" t="s">
        <v>57</v>
      </c>
      <c r="F552" s="83"/>
      <c r="G552" s="83"/>
      <c r="H552" s="83"/>
      <c r="I552" s="83"/>
    </row>
    <row r="553" spans="1:9" ht="13.15">
      <c r="A553" s="71">
        <f t="shared" si="9"/>
        <v>552</v>
      </c>
      <c r="B553" s="83" t="s">
        <v>629</v>
      </c>
      <c r="C553" s="215" t="s">
        <v>689</v>
      </c>
      <c r="D553" s="83" t="s">
        <v>690</v>
      </c>
      <c r="E553" s="89" t="s">
        <v>57</v>
      </c>
      <c r="F553" s="83"/>
      <c r="G553" s="83"/>
      <c r="H553" s="83"/>
      <c r="I553" s="83"/>
    </row>
    <row r="554" spans="1:9" ht="13.15">
      <c r="A554" s="71">
        <f t="shared" si="9"/>
        <v>553</v>
      </c>
      <c r="B554" s="83" t="s">
        <v>629</v>
      </c>
      <c r="C554" s="215" t="s">
        <v>691</v>
      </c>
      <c r="D554" s="83" t="s">
        <v>692</v>
      </c>
      <c r="E554" s="89" t="s">
        <v>57</v>
      </c>
      <c r="F554" s="83"/>
      <c r="G554" s="83"/>
      <c r="H554" s="83"/>
      <c r="I554" s="83"/>
    </row>
    <row r="555" spans="1:9" ht="13.15">
      <c r="A555" s="71">
        <f t="shared" si="9"/>
        <v>554</v>
      </c>
      <c r="B555" s="83" t="s">
        <v>629</v>
      </c>
      <c r="C555" s="215" t="s">
        <v>648</v>
      </c>
      <c r="D555" s="83" t="s">
        <v>693</v>
      </c>
      <c r="E555" s="89" t="s">
        <v>57</v>
      </c>
      <c r="F555" s="83"/>
      <c r="G555" s="83"/>
      <c r="H555" s="83"/>
      <c r="I555" s="83"/>
    </row>
    <row r="556" spans="1:9" ht="13.15">
      <c r="A556" s="71">
        <f t="shared" si="9"/>
        <v>555</v>
      </c>
      <c r="B556" s="83" t="s">
        <v>629</v>
      </c>
      <c r="C556" s="215" t="s">
        <v>685</v>
      </c>
      <c r="D556" s="83" t="s">
        <v>694</v>
      </c>
      <c r="E556" s="89" t="s">
        <v>57</v>
      </c>
      <c r="F556" s="83"/>
      <c r="G556" s="83"/>
      <c r="H556" s="83"/>
      <c r="I556" s="83"/>
    </row>
    <row r="557" spans="1:9" ht="13.15">
      <c r="A557" s="71">
        <f t="shared" si="9"/>
        <v>556</v>
      </c>
      <c r="B557" s="83" t="s">
        <v>629</v>
      </c>
      <c r="C557" s="215" t="s">
        <v>695</v>
      </c>
      <c r="D557" s="83" t="s">
        <v>696</v>
      </c>
      <c r="E557" s="89" t="s">
        <v>57</v>
      </c>
      <c r="F557" s="83"/>
      <c r="G557" s="83"/>
      <c r="H557" s="83"/>
      <c r="I557" s="83"/>
    </row>
    <row r="558" spans="1:9" ht="13.15">
      <c r="A558" s="71">
        <f t="shared" si="9"/>
        <v>557</v>
      </c>
      <c r="B558" s="83" t="s">
        <v>629</v>
      </c>
      <c r="C558" s="215" t="s">
        <v>652</v>
      </c>
      <c r="D558" s="83" t="s">
        <v>697</v>
      </c>
      <c r="E558" s="89" t="s">
        <v>57</v>
      </c>
      <c r="F558" s="83"/>
      <c r="G558" s="83"/>
      <c r="H558" s="83"/>
      <c r="I558" s="83"/>
    </row>
    <row r="559" spans="1:9" ht="13.15">
      <c r="A559" s="71">
        <f t="shared" si="9"/>
        <v>558</v>
      </c>
      <c r="B559" s="83" t="s">
        <v>629</v>
      </c>
      <c r="C559" s="215" t="s">
        <v>654</v>
      </c>
      <c r="D559" s="83" t="s">
        <v>698</v>
      </c>
      <c r="E559" s="89" t="s">
        <v>57</v>
      </c>
      <c r="F559" s="83"/>
      <c r="G559" s="83"/>
      <c r="H559" s="83"/>
      <c r="I559" s="83"/>
    </row>
    <row r="560" spans="1:9" ht="13.15">
      <c r="A560" s="71">
        <f t="shared" si="9"/>
        <v>559</v>
      </c>
      <c r="B560" s="83" t="s">
        <v>629</v>
      </c>
      <c r="C560" s="215" t="s">
        <v>656</v>
      </c>
      <c r="D560" s="83" t="s">
        <v>699</v>
      </c>
      <c r="E560" s="89" t="s">
        <v>57</v>
      </c>
      <c r="F560" s="83"/>
      <c r="G560" s="83"/>
      <c r="H560" s="83"/>
      <c r="I560" s="83"/>
    </row>
    <row r="561" spans="1:9" ht="13.15">
      <c r="A561" s="71">
        <f t="shared" si="9"/>
        <v>560</v>
      </c>
      <c r="B561" s="83" t="s">
        <v>629</v>
      </c>
      <c r="C561" s="215" t="s">
        <v>658</v>
      </c>
      <c r="D561" s="83" t="s">
        <v>700</v>
      </c>
      <c r="E561" s="89" t="s">
        <v>57</v>
      </c>
      <c r="F561" s="83"/>
      <c r="G561" s="83"/>
      <c r="H561" s="83"/>
      <c r="I561" s="83"/>
    </row>
    <row r="562" spans="1:9" ht="13.15">
      <c r="A562" s="71">
        <f t="shared" si="9"/>
        <v>561</v>
      </c>
      <c r="B562" s="83" t="s">
        <v>629</v>
      </c>
      <c r="C562" s="215" t="s">
        <v>660</v>
      </c>
      <c r="D562" s="83" t="s">
        <v>701</v>
      </c>
      <c r="E562" s="89" t="s">
        <v>57</v>
      </c>
      <c r="F562" s="83"/>
      <c r="G562" s="83"/>
      <c r="H562" s="83"/>
      <c r="I562" s="83"/>
    </row>
    <row r="563" spans="1:9" ht="13.15">
      <c r="A563" s="71">
        <f t="shared" si="9"/>
        <v>562</v>
      </c>
      <c r="B563" s="83" t="s">
        <v>629</v>
      </c>
      <c r="C563" s="215" t="s">
        <v>650</v>
      </c>
      <c r="D563" s="83" t="s">
        <v>702</v>
      </c>
      <c r="E563" s="89" t="s">
        <v>57</v>
      </c>
      <c r="F563" s="83"/>
      <c r="G563" s="83"/>
      <c r="H563" s="83"/>
      <c r="I563" s="83"/>
    </row>
    <row r="564" spans="1:9" ht="13.15">
      <c r="A564" s="71">
        <f t="shared" si="9"/>
        <v>563</v>
      </c>
      <c r="B564" s="83" t="s">
        <v>629</v>
      </c>
      <c r="C564" s="215" t="s">
        <v>662</v>
      </c>
      <c r="D564" s="83" t="s">
        <v>703</v>
      </c>
      <c r="E564" s="89" t="s">
        <v>57</v>
      </c>
      <c r="F564" s="83"/>
      <c r="G564" s="83"/>
      <c r="H564" s="83"/>
      <c r="I564" s="83"/>
    </row>
    <row r="565" spans="1:9" ht="13.15">
      <c r="A565" s="71">
        <f t="shared" si="9"/>
        <v>564</v>
      </c>
      <c r="B565" s="83" t="s">
        <v>629</v>
      </c>
      <c r="C565" s="215" t="s">
        <v>664</v>
      </c>
      <c r="D565" s="83" t="s">
        <v>704</v>
      </c>
      <c r="E565" s="89" t="s">
        <v>57</v>
      </c>
      <c r="F565" s="83"/>
      <c r="G565" s="83"/>
      <c r="H565" s="83"/>
      <c r="I565" s="83"/>
    </row>
    <row r="566" spans="1:9" ht="13.15">
      <c r="A566" s="71">
        <f t="shared" si="9"/>
        <v>565</v>
      </c>
      <c r="B566" s="83" t="s">
        <v>629</v>
      </c>
      <c r="C566" s="215" t="s">
        <v>666</v>
      </c>
      <c r="D566" s="83" t="s">
        <v>705</v>
      </c>
      <c r="E566" s="89" t="s">
        <v>57</v>
      </c>
      <c r="F566" s="83"/>
      <c r="G566" s="83"/>
      <c r="H566" s="83"/>
      <c r="I566" s="83"/>
    </row>
    <row r="567" spans="1:9" ht="13.15">
      <c r="A567" s="71">
        <f t="shared" si="9"/>
        <v>566</v>
      </c>
      <c r="B567" s="83" t="s">
        <v>629</v>
      </c>
      <c r="C567" s="215" t="s">
        <v>668</v>
      </c>
      <c r="D567" s="83" t="s">
        <v>706</v>
      </c>
      <c r="E567" s="89" t="s">
        <v>57</v>
      </c>
      <c r="F567" s="83"/>
      <c r="G567" s="83"/>
      <c r="H567" s="83"/>
      <c r="I567" s="83"/>
    </row>
    <row r="568" spans="1:9" ht="13.15">
      <c r="A568" s="71">
        <f t="shared" si="9"/>
        <v>567</v>
      </c>
      <c r="B568" s="83" t="s">
        <v>629</v>
      </c>
      <c r="C568" s="215" t="s">
        <v>670</v>
      </c>
      <c r="D568" s="83" t="s">
        <v>707</v>
      </c>
      <c r="E568" s="89" t="s">
        <v>57</v>
      </c>
      <c r="F568" s="83"/>
      <c r="G568" s="83"/>
      <c r="H568" s="83"/>
      <c r="I568" s="83"/>
    </row>
    <row r="569" spans="1:9" ht="13.15">
      <c r="A569" s="71">
        <f t="shared" si="9"/>
        <v>568</v>
      </c>
      <c r="B569" s="83" t="s">
        <v>629</v>
      </c>
      <c r="C569" s="215" t="s">
        <v>672</v>
      </c>
      <c r="D569" s="83" t="s">
        <v>708</v>
      </c>
      <c r="E569" s="89" t="s">
        <v>57</v>
      </c>
      <c r="F569" s="83"/>
      <c r="G569" s="83"/>
      <c r="H569" s="83"/>
      <c r="I569" s="83"/>
    </row>
    <row r="570" spans="1:9" ht="13.15">
      <c r="A570" s="71">
        <f t="shared" si="9"/>
        <v>569</v>
      </c>
      <c r="B570" s="83" t="s">
        <v>629</v>
      </c>
      <c r="C570" s="215" t="s">
        <v>674</v>
      </c>
      <c r="D570" s="83" t="s">
        <v>709</v>
      </c>
      <c r="E570" s="89" t="s">
        <v>57</v>
      </c>
      <c r="F570" s="83"/>
      <c r="G570" s="83"/>
      <c r="H570" s="83"/>
      <c r="I570" s="83"/>
    </row>
    <row r="571" spans="1:9" ht="13.15">
      <c r="A571" s="71">
        <f t="shared" si="9"/>
        <v>570</v>
      </c>
      <c r="B571" s="83" t="s">
        <v>629</v>
      </c>
      <c r="C571" s="215" t="s">
        <v>676</v>
      </c>
      <c r="D571" s="83" t="s">
        <v>710</v>
      </c>
      <c r="E571" s="89" t="s">
        <v>57</v>
      </c>
      <c r="F571" s="83"/>
      <c r="G571" s="83"/>
      <c r="H571" s="83"/>
      <c r="I571" s="83"/>
    </row>
    <row r="572" spans="1:9" ht="13.15">
      <c r="A572" s="71">
        <f t="shared" si="9"/>
        <v>571</v>
      </c>
      <c r="B572" s="83" t="s">
        <v>629</v>
      </c>
      <c r="C572" s="215" t="s">
        <v>678</v>
      </c>
      <c r="D572" s="83" t="s">
        <v>711</v>
      </c>
      <c r="E572" s="89" t="s">
        <v>57</v>
      </c>
      <c r="F572" s="83"/>
      <c r="G572" s="83"/>
      <c r="H572" s="83"/>
      <c r="I572" s="83"/>
    </row>
    <row r="573" spans="1:9" ht="13.15">
      <c r="A573" s="71">
        <f t="shared" si="9"/>
        <v>572</v>
      </c>
      <c r="B573" s="83" t="s">
        <v>629</v>
      </c>
      <c r="C573" s="215" t="s">
        <v>712</v>
      </c>
      <c r="D573" s="83" t="s">
        <v>713</v>
      </c>
      <c r="E573" s="89" t="s">
        <v>57</v>
      </c>
      <c r="F573" s="83"/>
      <c r="G573" s="83"/>
      <c r="H573" s="83"/>
      <c r="I573" s="83"/>
    </row>
    <row r="574" spans="1:9" ht="13.15">
      <c r="A574" s="71">
        <f t="shared" si="9"/>
        <v>573</v>
      </c>
      <c r="B574" s="83" t="s">
        <v>629</v>
      </c>
      <c r="C574" s="215" t="s">
        <v>714</v>
      </c>
      <c r="D574" s="83" t="s">
        <v>715</v>
      </c>
      <c r="E574" s="89" t="s">
        <v>57</v>
      </c>
      <c r="F574" s="83"/>
      <c r="G574" s="83"/>
      <c r="H574" s="83"/>
      <c r="I574" s="83"/>
    </row>
    <row r="575" spans="1:9" ht="13.15">
      <c r="A575" s="71">
        <f t="shared" si="9"/>
        <v>574</v>
      </c>
      <c r="B575" s="83" t="s">
        <v>629</v>
      </c>
      <c r="C575" s="215" t="s">
        <v>680</v>
      </c>
      <c r="D575" s="83" t="s">
        <v>716</v>
      </c>
      <c r="E575" s="89" t="s">
        <v>57</v>
      </c>
      <c r="F575" s="83"/>
      <c r="G575" s="83"/>
      <c r="H575" s="83"/>
      <c r="I575" s="83"/>
    </row>
    <row r="576" spans="1:9" ht="13.15">
      <c r="A576" s="71">
        <f t="shared" si="9"/>
        <v>575</v>
      </c>
      <c r="B576" s="83" t="s">
        <v>629</v>
      </c>
      <c r="C576" s="215" t="s">
        <v>680</v>
      </c>
      <c r="D576" s="83" t="s">
        <v>717</v>
      </c>
      <c r="E576" s="89" t="s">
        <v>57</v>
      </c>
      <c r="F576" s="83"/>
      <c r="G576" s="83"/>
      <c r="H576" s="83"/>
      <c r="I576" s="83"/>
    </row>
    <row r="577" spans="1:9" ht="13.15">
      <c r="A577" s="71">
        <f t="shared" si="9"/>
        <v>576</v>
      </c>
      <c r="B577" s="83" t="s">
        <v>629</v>
      </c>
      <c r="C577" s="215" t="s">
        <v>718</v>
      </c>
      <c r="D577" s="83" t="s">
        <v>719</v>
      </c>
      <c r="E577" s="89" t="s">
        <v>57</v>
      </c>
      <c r="F577" s="83"/>
      <c r="G577" s="83"/>
      <c r="H577" s="83"/>
      <c r="I577" s="83"/>
    </row>
    <row r="578" spans="1:9" ht="13.15">
      <c r="A578" s="71">
        <f t="shared" si="9"/>
        <v>577</v>
      </c>
      <c r="B578" s="83" t="s">
        <v>629</v>
      </c>
      <c r="C578" s="215" t="s">
        <v>687</v>
      </c>
      <c r="D578" s="83" t="s">
        <v>720</v>
      </c>
      <c r="E578" s="89" t="s">
        <v>57</v>
      </c>
      <c r="F578" s="83"/>
      <c r="G578" s="83"/>
      <c r="H578" s="83"/>
      <c r="I578" s="83"/>
    </row>
    <row r="579" spans="1:9" ht="13.15">
      <c r="A579" s="71">
        <f t="shared" si="9"/>
        <v>578</v>
      </c>
      <c r="B579" s="83" t="s">
        <v>629</v>
      </c>
      <c r="C579" s="215" t="s">
        <v>689</v>
      </c>
      <c r="D579" s="83" t="s">
        <v>721</v>
      </c>
      <c r="E579" s="89" t="s">
        <v>57</v>
      </c>
      <c r="F579" s="83"/>
      <c r="G579" s="83"/>
      <c r="H579" s="83"/>
      <c r="I579" s="83"/>
    </row>
    <row r="580" spans="1:9" ht="13.15">
      <c r="A580" s="71">
        <f t="shared" si="9"/>
        <v>579</v>
      </c>
      <c r="B580" s="83" t="s">
        <v>629</v>
      </c>
      <c r="C580" s="215" t="s">
        <v>648</v>
      </c>
      <c r="D580" s="83" t="s">
        <v>722</v>
      </c>
      <c r="E580" s="89" t="s">
        <v>57</v>
      </c>
      <c r="F580" s="83"/>
      <c r="G580" s="83"/>
      <c r="H580" s="83"/>
      <c r="I580" s="83"/>
    </row>
    <row r="581" spans="1:9" ht="13.15">
      <c r="A581" s="71">
        <f t="shared" si="9"/>
        <v>580</v>
      </c>
      <c r="B581" s="83" t="s">
        <v>629</v>
      </c>
      <c r="C581" s="215" t="s">
        <v>650</v>
      </c>
      <c r="D581" s="83" t="s">
        <v>723</v>
      </c>
      <c r="E581" s="89" t="s">
        <v>57</v>
      </c>
      <c r="F581" s="83"/>
      <c r="G581" s="83"/>
      <c r="H581" s="83"/>
      <c r="I581" s="83"/>
    </row>
    <row r="582" spans="1:9" ht="13.15">
      <c r="A582" s="71">
        <f t="shared" si="9"/>
        <v>581</v>
      </c>
      <c r="B582" s="83" t="s">
        <v>629</v>
      </c>
      <c r="C582" s="215" t="s">
        <v>652</v>
      </c>
      <c r="D582" s="83" t="s">
        <v>724</v>
      </c>
      <c r="E582" s="89" t="s">
        <v>57</v>
      </c>
      <c r="F582" s="83"/>
      <c r="G582" s="83"/>
      <c r="H582" s="83"/>
      <c r="I582" s="83"/>
    </row>
    <row r="583" spans="1:9" ht="13.15">
      <c r="A583" s="71">
        <f t="shared" si="9"/>
        <v>582</v>
      </c>
      <c r="B583" s="83" t="s">
        <v>629</v>
      </c>
      <c r="C583" s="215" t="s">
        <v>654</v>
      </c>
      <c r="D583" s="83" t="s">
        <v>725</v>
      </c>
      <c r="E583" s="89" t="s">
        <v>57</v>
      </c>
      <c r="F583" s="83"/>
      <c r="G583" s="83"/>
      <c r="H583" s="83"/>
      <c r="I583" s="83"/>
    </row>
    <row r="584" spans="1:9" ht="13.15">
      <c r="A584" s="71">
        <f t="shared" si="9"/>
        <v>583</v>
      </c>
      <c r="B584" s="83" t="s">
        <v>629</v>
      </c>
      <c r="C584" s="215" t="s">
        <v>656</v>
      </c>
      <c r="D584" s="83" t="s">
        <v>726</v>
      </c>
      <c r="E584" s="89" t="s">
        <v>57</v>
      </c>
      <c r="F584" s="83"/>
      <c r="G584" s="83"/>
      <c r="H584" s="83"/>
      <c r="I584" s="83"/>
    </row>
    <row r="585" spans="1:9" ht="13.15">
      <c r="A585" s="71">
        <f t="shared" si="9"/>
        <v>584</v>
      </c>
      <c r="B585" s="83" t="s">
        <v>629</v>
      </c>
      <c r="C585" s="215" t="s">
        <v>658</v>
      </c>
      <c r="D585" s="83" t="s">
        <v>727</v>
      </c>
      <c r="E585" s="89" t="s">
        <v>57</v>
      </c>
      <c r="F585" s="83"/>
      <c r="G585" s="83"/>
      <c r="H585" s="83"/>
      <c r="I585" s="83"/>
    </row>
    <row r="586" spans="1:9" ht="13.15">
      <c r="A586" s="71">
        <f t="shared" si="9"/>
        <v>585</v>
      </c>
      <c r="B586" s="83" t="s">
        <v>629</v>
      </c>
      <c r="C586" s="215" t="s">
        <v>660</v>
      </c>
      <c r="D586" s="83" t="s">
        <v>728</v>
      </c>
      <c r="E586" s="89" t="s">
        <v>57</v>
      </c>
      <c r="F586" s="83"/>
      <c r="G586" s="83"/>
      <c r="H586" s="83"/>
      <c r="I586" s="83"/>
    </row>
    <row r="587" spans="1:9" ht="13.15">
      <c r="A587" s="71">
        <f t="shared" ref="A587:A655" si="10">ROW()-1</f>
        <v>586</v>
      </c>
      <c r="B587" s="83" t="s">
        <v>629</v>
      </c>
      <c r="C587" s="215" t="s">
        <v>729</v>
      </c>
      <c r="D587" s="83" t="s">
        <v>730</v>
      </c>
      <c r="E587" s="89" t="s">
        <v>57</v>
      </c>
      <c r="F587" s="83"/>
      <c r="G587" s="83"/>
      <c r="H587" s="83"/>
      <c r="I587" s="83"/>
    </row>
    <row r="588" spans="1:9" ht="13.15">
      <c r="A588" s="71">
        <f t="shared" si="10"/>
        <v>587</v>
      </c>
      <c r="B588" s="83" t="s">
        <v>629</v>
      </c>
      <c r="C588" s="215" t="s">
        <v>664</v>
      </c>
      <c r="D588" s="83" t="s">
        <v>731</v>
      </c>
      <c r="E588" s="89" t="s">
        <v>57</v>
      </c>
      <c r="F588" s="83"/>
      <c r="G588" s="83"/>
      <c r="H588" s="83"/>
      <c r="I588" s="83"/>
    </row>
    <row r="589" spans="1:9" ht="13.15">
      <c r="A589" s="71">
        <f t="shared" si="10"/>
        <v>588</v>
      </c>
      <c r="B589" s="83" t="s">
        <v>629</v>
      </c>
      <c r="C589" s="215" t="s">
        <v>666</v>
      </c>
      <c r="D589" s="83" t="s">
        <v>732</v>
      </c>
      <c r="E589" s="89" t="s">
        <v>57</v>
      </c>
      <c r="F589" s="83"/>
      <c r="G589" s="83"/>
      <c r="H589" s="83"/>
      <c r="I589" s="83"/>
    </row>
    <row r="590" spans="1:9" ht="13.15">
      <c r="A590" s="71">
        <f t="shared" si="10"/>
        <v>589</v>
      </c>
      <c r="B590" s="83" t="s">
        <v>629</v>
      </c>
      <c r="C590" s="215" t="s">
        <v>668</v>
      </c>
      <c r="D590" s="83" t="s">
        <v>733</v>
      </c>
      <c r="E590" s="89" t="s">
        <v>57</v>
      </c>
      <c r="F590" s="83"/>
      <c r="G590" s="83"/>
      <c r="H590" s="83"/>
      <c r="I590" s="83"/>
    </row>
    <row r="591" spans="1:9" ht="13.15">
      <c r="A591" s="71">
        <f t="shared" si="10"/>
        <v>590</v>
      </c>
      <c r="B591" s="83" t="s">
        <v>629</v>
      </c>
      <c r="C591" s="215" t="s">
        <v>670</v>
      </c>
      <c r="D591" s="83" t="s">
        <v>734</v>
      </c>
      <c r="E591" s="89" t="s">
        <v>57</v>
      </c>
      <c r="F591" s="83"/>
      <c r="G591" s="83"/>
      <c r="H591" s="83"/>
      <c r="I591" s="83"/>
    </row>
    <row r="592" spans="1:9" ht="13.15">
      <c r="A592" s="71">
        <f t="shared" si="10"/>
        <v>591</v>
      </c>
      <c r="B592" s="83" t="s">
        <v>629</v>
      </c>
      <c r="C592" s="215" t="s">
        <v>672</v>
      </c>
      <c r="D592" s="83" t="s">
        <v>735</v>
      </c>
      <c r="E592" s="89" t="s">
        <v>57</v>
      </c>
      <c r="F592" s="83"/>
      <c r="G592" s="83"/>
      <c r="H592" s="83"/>
      <c r="I592" s="83"/>
    </row>
    <row r="593" spans="1:9" ht="13.15">
      <c r="A593" s="71">
        <f t="shared" si="10"/>
        <v>592</v>
      </c>
      <c r="B593" s="83" t="s">
        <v>629</v>
      </c>
      <c r="C593" s="215" t="s">
        <v>674</v>
      </c>
      <c r="D593" s="83" t="s">
        <v>736</v>
      </c>
      <c r="E593" s="89" t="s">
        <v>57</v>
      </c>
      <c r="F593" s="83"/>
      <c r="G593" s="83"/>
      <c r="H593" s="83"/>
      <c r="I593" s="83"/>
    </row>
    <row r="594" spans="1:9" ht="13.15">
      <c r="A594" s="71">
        <f t="shared" si="10"/>
        <v>593</v>
      </c>
      <c r="B594" s="83" t="s">
        <v>629</v>
      </c>
      <c r="C594" s="215" t="s">
        <v>676</v>
      </c>
      <c r="D594" s="83" t="s">
        <v>737</v>
      </c>
      <c r="E594" s="89" t="s">
        <v>57</v>
      </c>
      <c r="F594" s="83"/>
      <c r="G594" s="83"/>
      <c r="H594" s="83"/>
      <c r="I594" s="83"/>
    </row>
    <row r="595" spans="1:9" ht="13.15">
      <c r="A595" s="71">
        <f t="shared" si="10"/>
        <v>594</v>
      </c>
      <c r="B595" s="83" t="s">
        <v>629</v>
      </c>
      <c r="C595" s="215" t="s">
        <v>678</v>
      </c>
      <c r="D595" s="83" t="s">
        <v>738</v>
      </c>
      <c r="E595" s="89" t="s">
        <v>57</v>
      </c>
      <c r="F595" s="83"/>
      <c r="G595" s="83"/>
      <c r="H595" s="83"/>
      <c r="I595" s="83"/>
    </row>
    <row r="596" spans="1:9" ht="13.15">
      <c r="A596" s="71">
        <f t="shared" si="10"/>
        <v>595</v>
      </c>
      <c r="B596" s="83" t="s">
        <v>629</v>
      </c>
      <c r="C596" s="215" t="s">
        <v>680</v>
      </c>
      <c r="D596" s="83" t="s">
        <v>739</v>
      </c>
      <c r="E596" s="89" t="s">
        <v>57</v>
      </c>
      <c r="F596" s="83"/>
      <c r="G596" s="83"/>
      <c r="H596" s="83"/>
      <c r="I596" s="83"/>
    </row>
    <row r="597" spans="1:9" ht="13.15">
      <c r="A597" s="71">
        <f t="shared" si="10"/>
        <v>596</v>
      </c>
      <c r="B597" s="83" t="s">
        <v>629</v>
      </c>
      <c r="C597" s="215" t="s">
        <v>680</v>
      </c>
      <c r="D597" s="83" t="s">
        <v>740</v>
      </c>
      <c r="E597" s="89" t="s">
        <v>57</v>
      </c>
      <c r="F597" s="83"/>
      <c r="G597" s="83"/>
      <c r="H597" s="83"/>
      <c r="I597" s="83"/>
    </row>
    <row r="598" spans="1:9" ht="13.15">
      <c r="A598" s="71">
        <f t="shared" si="10"/>
        <v>597</v>
      </c>
      <c r="B598" s="83" t="s">
        <v>629</v>
      </c>
      <c r="C598" s="216" t="s">
        <v>685</v>
      </c>
      <c r="D598" s="83" t="s">
        <v>741</v>
      </c>
      <c r="E598" s="89" t="s">
        <v>57</v>
      </c>
      <c r="F598" s="83"/>
      <c r="G598" s="83"/>
      <c r="H598" s="83"/>
      <c r="I598" s="83"/>
    </row>
    <row r="599" spans="1:9" ht="13.15">
      <c r="A599" s="71">
        <f t="shared" si="10"/>
        <v>598</v>
      </c>
      <c r="B599" s="83" t="s">
        <v>629</v>
      </c>
      <c r="C599" s="216" t="s">
        <v>687</v>
      </c>
      <c r="D599" s="83" t="s">
        <v>742</v>
      </c>
      <c r="E599" s="89" t="s">
        <v>57</v>
      </c>
      <c r="F599" s="83"/>
      <c r="G599" s="83"/>
      <c r="H599" s="83"/>
      <c r="I599" s="83"/>
    </row>
    <row r="600" spans="1:9" ht="13.15">
      <c r="A600" s="71">
        <f t="shared" si="10"/>
        <v>599</v>
      </c>
      <c r="B600" s="83" t="s">
        <v>629</v>
      </c>
      <c r="C600" s="216" t="s">
        <v>689</v>
      </c>
      <c r="D600" s="83" t="s">
        <v>743</v>
      </c>
      <c r="E600" s="89" t="s">
        <v>57</v>
      </c>
      <c r="F600" s="83"/>
      <c r="G600" s="83"/>
      <c r="H600" s="83"/>
      <c r="I600" s="83"/>
    </row>
    <row r="601" spans="1:9" ht="13.15">
      <c r="A601" s="71">
        <f t="shared" si="10"/>
        <v>600</v>
      </c>
      <c r="B601" s="83" t="s">
        <v>629</v>
      </c>
      <c r="C601" s="215" t="s">
        <v>648</v>
      </c>
      <c r="D601" s="83" t="s">
        <v>744</v>
      </c>
      <c r="E601" s="89" t="s">
        <v>57</v>
      </c>
      <c r="F601" s="83"/>
      <c r="G601" s="83"/>
      <c r="H601" s="83"/>
      <c r="I601" s="83"/>
    </row>
    <row r="602" spans="1:9" ht="13.15">
      <c r="A602" s="71">
        <f t="shared" si="10"/>
        <v>601</v>
      </c>
      <c r="B602" s="83" t="s">
        <v>629</v>
      </c>
      <c r="C602" s="215" t="s">
        <v>652</v>
      </c>
      <c r="D602" s="83" t="s">
        <v>745</v>
      </c>
      <c r="E602" s="89" t="s">
        <v>57</v>
      </c>
      <c r="F602" s="83"/>
      <c r="G602" s="83"/>
      <c r="H602" s="83"/>
      <c r="I602" s="83"/>
    </row>
    <row r="603" spans="1:9" ht="13.15">
      <c r="A603" s="71">
        <f t="shared" si="10"/>
        <v>602</v>
      </c>
      <c r="B603" s="83" t="s">
        <v>629</v>
      </c>
      <c r="C603" s="215" t="s">
        <v>654</v>
      </c>
      <c r="D603" s="83" t="s">
        <v>746</v>
      </c>
      <c r="E603" s="89" t="s">
        <v>57</v>
      </c>
      <c r="F603" s="83"/>
      <c r="G603" s="83"/>
      <c r="H603" s="83"/>
      <c r="I603" s="83"/>
    </row>
    <row r="604" spans="1:9" ht="13.15">
      <c r="A604" s="71">
        <f t="shared" si="10"/>
        <v>603</v>
      </c>
      <c r="B604" s="83" t="s">
        <v>629</v>
      </c>
      <c r="C604" s="215" t="s">
        <v>656</v>
      </c>
      <c r="D604" s="83" t="s">
        <v>747</v>
      </c>
      <c r="E604" s="89" t="s">
        <v>57</v>
      </c>
      <c r="F604" s="83"/>
      <c r="G604" s="83"/>
      <c r="H604" s="83"/>
      <c r="I604" s="83"/>
    </row>
    <row r="605" spans="1:9" ht="13.15">
      <c r="A605" s="71">
        <f t="shared" si="10"/>
        <v>604</v>
      </c>
      <c r="B605" s="83" t="s">
        <v>629</v>
      </c>
      <c r="C605" s="215" t="s">
        <v>658</v>
      </c>
      <c r="D605" s="83" t="s">
        <v>748</v>
      </c>
      <c r="E605" s="89" t="s">
        <v>57</v>
      </c>
      <c r="F605" s="83"/>
      <c r="G605" s="83"/>
      <c r="H605" s="83"/>
      <c r="I605" s="83"/>
    </row>
    <row r="606" spans="1:9" ht="13.15">
      <c r="A606" s="71">
        <f t="shared" si="10"/>
        <v>605</v>
      </c>
      <c r="B606" s="83" t="s">
        <v>629</v>
      </c>
      <c r="C606" s="215" t="s">
        <v>660</v>
      </c>
      <c r="D606" s="83" t="s">
        <v>749</v>
      </c>
      <c r="E606" s="89" t="s">
        <v>57</v>
      </c>
      <c r="F606" s="83"/>
      <c r="G606" s="83"/>
      <c r="H606" s="83"/>
      <c r="I606" s="83"/>
    </row>
    <row r="607" spans="1:9" ht="13.15">
      <c r="A607" s="71">
        <f t="shared" si="10"/>
        <v>606</v>
      </c>
      <c r="B607" s="83" t="s">
        <v>629</v>
      </c>
      <c r="C607" s="215" t="s">
        <v>729</v>
      </c>
      <c r="D607" s="83" t="s">
        <v>750</v>
      </c>
      <c r="E607" s="89" t="s">
        <v>57</v>
      </c>
      <c r="F607" s="83"/>
      <c r="G607" s="83"/>
      <c r="H607" s="83"/>
      <c r="I607" s="83"/>
    </row>
    <row r="608" spans="1:9" ht="13.15">
      <c r="A608" s="71">
        <f t="shared" si="10"/>
        <v>607</v>
      </c>
      <c r="B608" s="83" t="s">
        <v>629</v>
      </c>
      <c r="C608" s="215" t="s">
        <v>664</v>
      </c>
      <c r="D608" s="83" t="s">
        <v>751</v>
      </c>
      <c r="E608" s="89" t="s">
        <v>57</v>
      </c>
      <c r="F608" s="83"/>
      <c r="G608" s="83"/>
      <c r="H608" s="83"/>
      <c r="I608" s="83"/>
    </row>
    <row r="609" spans="1:9" ht="13.15">
      <c r="A609" s="71">
        <f t="shared" si="10"/>
        <v>608</v>
      </c>
      <c r="B609" s="83" t="s">
        <v>629</v>
      </c>
      <c r="C609" s="215" t="s">
        <v>666</v>
      </c>
      <c r="D609" s="83" t="s">
        <v>752</v>
      </c>
      <c r="E609" s="89" t="s">
        <v>57</v>
      </c>
      <c r="F609" s="83"/>
      <c r="G609" s="83"/>
      <c r="H609" s="83"/>
      <c r="I609" s="83"/>
    </row>
    <row r="610" spans="1:9" ht="13.15">
      <c r="A610" s="71">
        <f t="shared" si="10"/>
        <v>609</v>
      </c>
      <c r="B610" s="83" t="s">
        <v>629</v>
      </c>
      <c r="C610" s="215" t="s">
        <v>668</v>
      </c>
      <c r="D610" s="83" t="s">
        <v>753</v>
      </c>
      <c r="E610" s="89" t="s">
        <v>57</v>
      </c>
      <c r="F610" s="83"/>
      <c r="G610" s="83"/>
      <c r="H610" s="83"/>
      <c r="I610" s="83"/>
    </row>
    <row r="611" spans="1:9" ht="13.15">
      <c r="A611" s="71">
        <f t="shared" si="10"/>
        <v>610</v>
      </c>
      <c r="B611" s="83" t="s">
        <v>629</v>
      </c>
      <c r="C611" s="215" t="s">
        <v>670</v>
      </c>
      <c r="D611" s="83" t="s">
        <v>754</v>
      </c>
      <c r="E611" s="89" t="s">
        <v>57</v>
      </c>
      <c r="F611" s="83"/>
      <c r="G611" s="83"/>
      <c r="H611" s="83"/>
      <c r="I611" s="83"/>
    </row>
    <row r="612" spans="1:9" ht="13.15">
      <c r="A612" s="71">
        <f t="shared" si="10"/>
        <v>611</v>
      </c>
      <c r="B612" s="83" t="s">
        <v>629</v>
      </c>
      <c r="C612" s="215" t="s">
        <v>672</v>
      </c>
      <c r="D612" s="83" t="s">
        <v>755</v>
      </c>
      <c r="E612" s="89" t="s">
        <v>57</v>
      </c>
      <c r="F612" s="83"/>
      <c r="G612" s="83"/>
      <c r="H612" s="83"/>
      <c r="I612" s="83"/>
    </row>
    <row r="613" spans="1:9" ht="13.15">
      <c r="A613" s="71">
        <f t="shared" si="10"/>
        <v>612</v>
      </c>
      <c r="B613" s="83" t="s">
        <v>629</v>
      </c>
      <c r="C613" s="215" t="s">
        <v>674</v>
      </c>
      <c r="D613" s="83" t="s">
        <v>756</v>
      </c>
      <c r="E613" s="89" t="s">
        <v>57</v>
      </c>
      <c r="F613" s="83"/>
      <c r="G613" s="83"/>
      <c r="H613" s="83"/>
      <c r="I613" s="83"/>
    </row>
    <row r="614" spans="1:9" ht="13.15">
      <c r="A614" s="71">
        <f t="shared" si="10"/>
        <v>613</v>
      </c>
      <c r="B614" s="83" t="s">
        <v>629</v>
      </c>
      <c r="C614" s="215" t="s">
        <v>676</v>
      </c>
      <c r="D614" s="83" t="s">
        <v>757</v>
      </c>
      <c r="E614" s="89" t="s">
        <v>57</v>
      </c>
      <c r="F614" s="83"/>
      <c r="G614" s="83"/>
      <c r="H614" s="83"/>
      <c r="I614" s="83"/>
    </row>
    <row r="615" spans="1:9" ht="13.15">
      <c r="A615" s="71">
        <f t="shared" si="10"/>
        <v>614</v>
      </c>
      <c r="B615" s="83" t="s">
        <v>629</v>
      </c>
      <c r="C615" s="215" t="s">
        <v>678</v>
      </c>
      <c r="D615" s="83" t="s">
        <v>758</v>
      </c>
      <c r="E615" s="89" t="s">
        <v>57</v>
      </c>
      <c r="F615" s="83"/>
      <c r="G615" s="83"/>
      <c r="H615" s="83"/>
      <c r="I615" s="83"/>
    </row>
    <row r="616" spans="1:9" ht="13.15">
      <c r="A616" s="71">
        <f t="shared" si="10"/>
        <v>615</v>
      </c>
      <c r="B616" s="83" t="s">
        <v>629</v>
      </c>
      <c r="C616" s="215" t="s">
        <v>680</v>
      </c>
      <c r="D616" s="83" t="s">
        <v>759</v>
      </c>
      <c r="E616" s="89" t="s">
        <v>57</v>
      </c>
      <c r="F616" s="83"/>
      <c r="G616" s="83"/>
      <c r="H616" s="83"/>
      <c r="I616" s="83"/>
    </row>
    <row r="617" spans="1:9" ht="13.15">
      <c r="A617" s="71">
        <f t="shared" si="10"/>
        <v>616</v>
      </c>
      <c r="B617" s="83" t="s">
        <v>629</v>
      </c>
      <c r="C617" s="215" t="s">
        <v>680</v>
      </c>
      <c r="D617" s="83" t="s">
        <v>760</v>
      </c>
      <c r="E617" s="89" t="s">
        <v>57</v>
      </c>
      <c r="F617" s="83"/>
      <c r="G617" s="83"/>
      <c r="H617" s="83"/>
      <c r="I617" s="83"/>
    </row>
    <row r="618" spans="1:9" ht="13.15">
      <c r="A618" s="71">
        <f t="shared" si="10"/>
        <v>617</v>
      </c>
      <c r="B618" s="83" t="s">
        <v>629</v>
      </c>
      <c r="C618" s="215" t="s">
        <v>685</v>
      </c>
      <c r="D618" s="83" t="s">
        <v>761</v>
      </c>
      <c r="E618" s="89" t="s">
        <v>57</v>
      </c>
      <c r="F618" s="83"/>
      <c r="G618" s="83"/>
      <c r="H618" s="83"/>
      <c r="I618" s="83"/>
    </row>
    <row r="619" spans="1:9" ht="13.15">
      <c r="A619" s="71">
        <f t="shared" si="10"/>
        <v>618</v>
      </c>
      <c r="B619" s="83" t="s">
        <v>629</v>
      </c>
      <c r="C619" s="215" t="s">
        <v>687</v>
      </c>
      <c r="D619" s="83" t="s">
        <v>762</v>
      </c>
      <c r="E619" s="89" t="s">
        <v>57</v>
      </c>
      <c r="F619" s="83"/>
      <c r="G619" s="83"/>
      <c r="H619" s="83"/>
      <c r="I619" s="83"/>
    </row>
    <row r="620" spans="1:9" ht="13.15">
      <c r="A620" s="71">
        <f t="shared" si="10"/>
        <v>619</v>
      </c>
      <c r="B620" s="83" t="s">
        <v>629</v>
      </c>
      <c r="C620" s="218" t="s">
        <v>689</v>
      </c>
      <c r="D620" s="83" t="s">
        <v>763</v>
      </c>
      <c r="E620" s="89" t="s">
        <v>57</v>
      </c>
      <c r="F620" s="83"/>
      <c r="G620" s="83"/>
      <c r="H620" s="83"/>
      <c r="I620" s="83"/>
    </row>
    <row r="621" spans="1:9" s="214" customFormat="1" ht="13.15">
      <c r="A621" s="203">
        <f t="shared" si="10"/>
        <v>620</v>
      </c>
      <c r="B621" s="204" t="s">
        <v>629</v>
      </c>
      <c r="C621" s="217" t="s">
        <v>764</v>
      </c>
      <c r="D621" s="204" t="s">
        <v>765</v>
      </c>
      <c r="E621" s="207" t="s">
        <v>57</v>
      </c>
      <c r="F621" s="204"/>
      <c r="G621" s="204"/>
      <c r="H621" s="204"/>
      <c r="I621" s="204"/>
    </row>
    <row r="622" spans="1:9" ht="12">
      <c r="A622" s="71">
        <f t="shared" si="10"/>
        <v>621</v>
      </c>
      <c r="B622" s="83" t="s">
        <v>629</v>
      </c>
      <c r="C622" s="201" t="s">
        <v>766</v>
      </c>
      <c r="D622" s="83" t="s">
        <v>767</v>
      </c>
      <c r="E622" s="89" t="s">
        <v>57</v>
      </c>
      <c r="F622" s="83"/>
      <c r="G622" s="83"/>
      <c r="H622" s="83"/>
      <c r="I622" s="83"/>
    </row>
    <row r="623" spans="1:9" ht="12">
      <c r="A623" s="71">
        <f t="shared" si="10"/>
        <v>622</v>
      </c>
      <c r="B623" s="83" t="s">
        <v>629</v>
      </c>
      <c r="C623" s="201" t="s">
        <v>768</v>
      </c>
      <c r="D623" s="83" t="s">
        <v>767</v>
      </c>
      <c r="E623" s="89" t="s">
        <v>57</v>
      </c>
      <c r="F623" s="83"/>
      <c r="G623" s="83"/>
      <c r="H623" s="83"/>
      <c r="I623" s="83"/>
    </row>
    <row r="624" spans="1:9" ht="12">
      <c r="A624" s="71">
        <f t="shared" si="10"/>
        <v>623</v>
      </c>
      <c r="B624" s="83" t="s">
        <v>629</v>
      </c>
      <c r="C624" s="201" t="s">
        <v>769</v>
      </c>
      <c r="D624" s="83" t="s">
        <v>767</v>
      </c>
      <c r="E624" s="89" t="s">
        <v>57</v>
      </c>
      <c r="F624" s="83"/>
      <c r="G624" s="83"/>
      <c r="H624" s="83"/>
      <c r="I624" s="83"/>
    </row>
    <row r="625" spans="1:9" ht="12">
      <c r="A625" s="71">
        <f t="shared" si="10"/>
        <v>624</v>
      </c>
      <c r="B625" s="83" t="s">
        <v>629</v>
      </c>
      <c r="C625" s="201" t="s">
        <v>770</v>
      </c>
      <c r="D625" s="83" t="s">
        <v>767</v>
      </c>
      <c r="E625" s="89" t="s">
        <v>57</v>
      </c>
      <c r="F625" s="83"/>
      <c r="G625" s="83"/>
      <c r="H625" s="83"/>
      <c r="I625" s="83"/>
    </row>
    <row r="626" spans="1:9" s="214" customFormat="1" ht="12">
      <c r="A626" s="203">
        <f t="shared" si="10"/>
        <v>625</v>
      </c>
      <c r="B626" s="204" t="s">
        <v>629</v>
      </c>
      <c r="C626" s="205" t="s">
        <v>771</v>
      </c>
      <c r="D626" s="204" t="s">
        <v>772</v>
      </c>
      <c r="E626" s="207" t="s">
        <v>57</v>
      </c>
      <c r="F626" s="204"/>
      <c r="G626" s="204"/>
      <c r="H626" s="204"/>
      <c r="I626" s="204"/>
    </row>
    <row r="627" spans="1:9" s="214" customFormat="1" ht="12">
      <c r="A627" s="203">
        <f t="shared" si="10"/>
        <v>626</v>
      </c>
      <c r="B627" s="204" t="s">
        <v>629</v>
      </c>
      <c r="C627" s="205" t="s">
        <v>773</v>
      </c>
      <c r="D627" s="204" t="s">
        <v>772</v>
      </c>
      <c r="E627" s="207" t="s">
        <v>57</v>
      </c>
      <c r="F627" s="204"/>
      <c r="G627" s="204"/>
      <c r="H627" s="204"/>
      <c r="I627" s="204"/>
    </row>
    <row r="628" spans="1:9" ht="12">
      <c r="A628" s="71">
        <f t="shared" si="10"/>
        <v>627</v>
      </c>
      <c r="B628" s="83" t="s">
        <v>629</v>
      </c>
      <c r="C628" s="201" t="s">
        <v>774</v>
      </c>
      <c r="D628" s="83" t="s">
        <v>767</v>
      </c>
      <c r="E628" s="89" t="s">
        <v>57</v>
      </c>
      <c r="F628" s="83"/>
      <c r="G628" s="83"/>
      <c r="H628" s="83"/>
      <c r="I628" s="83"/>
    </row>
    <row r="629" spans="1:9" ht="12">
      <c r="A629" s="71">
        <f t="shared" si="10"/>
        <v>628</v>
      </c>
      <c r="B629" s="83" t="s">
        <v>629</v>
      </c>
      <c r="C629" s="201" t="s">
        <v>775</v>
      </c>
      <c r="D629" s="83" t="s">
        <v>767</v>
      </c>
      <c r="E629" s="89" t="s">
        <v>57</v>
      </c>
      <c r="F629" s="83"/>
      <c r="G629" s="83"/>
      <c r="H629" s="83"/>
      <c r="I629" s="83"/>
    </row>
    <row r="630" spans="1:9" ht="12">
      <c r="A630" s="71">
        <f t="shared" si="10"/>
        <v>629</v>
      </c>
      <c r="B630" s="83" t="s">
        <v>629</v>
      </c>
      <c r="C630" s="201" t="s">
        <v>776</v>
      </c>
      <c r="D630" s="83" t="s">
        <v>767</v>
      </c>
      <c r="E630" s="89" t="s">
        <v>57</v>
      </c>
      <c r="F630" s="83"/>
      <c r="G630" s="83"/>
      <c r="H630" s="83"/>
      <c r="I630" s="83"/>
    </row>
    <row r="631" spans="1:9" ht="12">
      <c r="A631" s="71">
        <f t="shared" si="10"/>
        <v>630</v>
      </c>
      <c r="B631" s="83" t="s">
        <v>629</v>
      </c>
      <c r="C631" s="201" t="s">
        <v>777</v>
      </c>
      <c r="D631" s="83" t="s">
        <v>767</v>
      </c>
      <c r="E631" s="89" t="s">
        <v>57</v>
      </c>
      <c r="F631" s="83"/>
      <c r="G631" s="83"/>
      <c r="H631" s="83"/>
      <c r="I631" s="83"/>
    </row>
    <row r="632" spans="1:9" ht="12">
      <c r="A632" s="71">
        <f t="shared" si="10"/>
        <v>631</v>
      </c>
      <c r="B632" s="83" t="s">
        <v>629</v>
      </c>
      <c r="C632" s="201" t="s">
        <v>778</v>
      </c>
      <c r="D632" s="83" t="s">
        <v>767</v>
      </c>
      <c r="E632" s="89" t="s">
        <v>57</v>
      </c>
      <c r="F632" s="83"/>
      <c r="G632" s="83"/>
      <c r="H632" s="83"/>
      <c r="I632" s="83"/>
    </row>
    <row r="633" spans="1:9" s="214" customFormat="1" ht="12">
      <c r="A633" s="203">
        <f t="shared" si="10"/>
        <v>632</v>
      </c>
      <c r="B633" s="204" t="s">
        <v>629</v>
      </c>
      <c r="C633" s="205" t="s">
        <v>779</v>
      </c>
      <c r="D633" s="204" t="s">
        <v>772</v>
      </c>
      <c r="E633" s="207" t="s">
        <v>57</v>
      </c>
      <c r="F633" s="204"/>
      <c r="G633" s="204"/>
      <c r="H633" s="204"/>
      <c r="I633" s="204"/>
    </row>
    <row r="634" spans="1:9" ht="12">
      <c r="A634" s="71">
        <f t="shared" si="10"/>
        <v>633</v>
      </c>
      <c r="B634" s="83"/>
      <c r="C634" s="201"/>
      <c r="D634" s="83"/>
      <c r="E634" s="89"/>
      <c r="F634" s="83"/>
      <c r="G634" s="83"/>
      <c r="H634" s="83"/>
      <c r="I634" s="83"/>
    </row>
    <row r="635" spans="1:9" ht="12">
      <c r="A635" s="71">
        <f t="shared" si="10"/>
        <v>634</v>
      </c>
      <c r="B635" s="83"/>
      <c r="C635" s="201"/>
      <c r="D635" s="83"/>
      <c r="E635" s="89"/>
      <c r="F635" s="83"/>
      <c r="G635" s="83"/>
      <c r="H635" s="83"/>
      <c r="I635" s="83"/>
    </row>
    <row r="636" spans="1:9" ht="12">
      <c r="A636" s="71">
        <f t="shared" si="10"/>
        <v>635</v>
      </c>
      <c r="B636" s="83" t="s">
        <v>780</v>
      </c>
      <c r="C636" s="201" t="s">
        <v>781</v>
      </c>
      <c r="D636" s="83"/>
      <c r="E636" s="89" t="s">
        <v>782</v>
      </c>
      <c r="F636" s="83"/>
      <c r="G636" s="83"/>
      <c r="H636" s="83"/>
      <c r="I636" s="83"/>
    </row>
    <row r="637" spans="1:9" ht="12">
      <c r="A637" s="71">
        <f t="shared" si="10"/>
        <v>636</v>
      </c>
      <c r="B637" s="83" t="s">
        <v>780</v>
      </c>
      <c r="C637" s="201" t="s">
        <v>783</v>
      </c>
      <c r="D637" s="83"/>
      <c r="E637" s="89" t="s">
        <v>782</v>
      </c>
      <c r="F637" s="83"/>
      <c r="G637" s="83"/>
      <c r="H637" s="83"/>
      <c r="I637" s="83"/>
    </row>
    <row r="638" spans="1:9" ht="12">
      <c r="A638" s="71">
        <f t="shared" si="10"/>
        <v>637</v>
      </c>
      <c r="B638" s="83"/>
      <c r="C638" s="201"/>
      <c r="D638" s="83"/>
      <c r="E638" s="89"/>
      <c r="F638" s="83"/>
      <c r="G638" s="83"/>
      <c r="H638" s="83"/>
      <c r="I638" s="83"/>
    </row>
    <row r="639" spans="1:9" ht="12">
      <c r="A639" s="71">
        <f t="shared" si="10"/>
        <v>638</v>
      </c>
      <c r="B639" s="83"/>
      <c r="C639" s="201"/>
      <c r="D639" s="83"/>
      <c r="E639" s="89"/>
      <c r="F639" s="83"/>
      <c r="G639" s="83"/>
      <c r="H639" s="83"/>
      <c r="I639" s="83"/>
    </row>
    <row r="640" spans="1:9" ht="12">
      <c r="A640" s="71">
        <f t="shared" si="10"/>
        <v>639</v>
      </c>
      <c r="B640" s="83"/>
      <c r="C640" s="201"/>
      <c r="D640" s="83"/>
      <c r="E640" s="89"/>
      <c r="F640" s="83"/>
      <c r="G640" s="83"/>
      <c r="H640" s="83"/>
      <c r="I640" s="83"/>
    </row>
    <row r="641" spans="1:9" ht="12">
      <c r="A641" s="71">
        <f t="shared" si="10"/>
        <v>640</v>
      </c>
      <c r="B641" s="83"/>
      <c r="C641" s="201"/>
      <c r="D641" s="83"/>
      <c r="E641" s="89"/>
      <c r="F641" s="83"/>
      <c r="G641" s="83"/>
      <c r="H641" s="83"/>
      <c r="I641" s="83"/>
    </row>
    <row r="642" spans="1:9" ht="12">
      <c r="A642" s="71">
        <f t="shared" si="10"/>
        <v>641</v>
      </c>
      <c r="B642" s="83"/>
      <c r="C642" s="201"/>
      <c r="D642" s="83"/>
      <c r="E642" s="89"/>
      <c r="F642" s="83"/>
      <c r="G642" s="83"/>
      <c r="H642" s="83"/>
      <c r="I642" s="83"/>
    </row>
    <row r="643" spans="1:9" ht="12">
      <c r="A643" s="71">
        <f t="shared" si="10"/>
        <v>642</v>
      </c>
      <c r="B643" s="83"/>
      <c r="C643" s="201"/>
      <c r="D643" s="83"/>
      <c r="E643" s="89"/>
      <c r="F643" s="83"/>
      <c r="G643" s="83"/>
      <c r="H643" s="83"/>
      <c r="I643" s="83"/>
    </row>
    <row r="644" spans="1:9" ht="12">
      <c r="A644" s="71">
        <f t="shared" si="10"/>
        <v>643</v>
      </c>
      <c r="B644" s="83"/>
      <c r="C644" s="201"/>
      <c r="D644" s="83"/>
      <c r="E644" s="89"/>
      <c r="F644" s="83"/>
      <c r="G644" s="83"/>
      <c r="H644" s="83"/>
      <c r="I644" s="83"/>
    </row>
    <row r="645" spans="1:9" ht="12">
      <c r="A645" s="71">
        <f t="shared" si="10"/>
        <v>644</v>
      </c>
      <c r="B645" s="83"/>
      <c r="C645" s="201"/>
      <c r="D645" s="83"/>
      <c r="E645" s="89"/>
      <c r="F645" s="83"/>
      <c r="G645" s="83"/>
      <c r="H645" s="83"/>
      <c r="I645" s="83"/>
    </row>
    <row r="646" spans="1:9" ht="12">
      <c r="A646" s="71">
        <f t="shared" si="10"/>
        <v>645</v>
      </c>
      <c r="B646" s="83"/>
      <c r="C646" s="201"/>
      <c r="D646" s="83"/>
      <c r="E646" s="89"/>
      <c r="F646" s="83"/>
      <c r="G646" s="83"/>
      <c r="H646" s="83"/>
      <c r="I646" s="83"/>
    </row>
    <row r="647" spans="1:9" ht="12">
      <c r="A647" s="71">
        <f t="shared" si="10"/>
        <v>646</v>
      </c>
      <c r="B647" s="83"/>
      <c r="C647" s="201"/>
      <c r="D647" s="83"/>
      <c r="E647" s="89"/>
      <c r="F647" s="83"/>
      <c r="G647" s="83"/>
      <c r="H647" s="83"/>
      <c r="I647" s="83"/>
    </row>
    <row r="648" spans="1:9" ht="12">
      <c r="A648" s="71">
        <f t="shared" si="10"/>
        <v>647</v>
      </c>
      <c r="B648" s="83"/>
      <c r="C648" s="201"/>
      <c r="D648" s="83"/>
      <c r="E648" s="89"/>
      <c r="F648" s="83"/>
      <c r="G648" s="83"/>
      <c r="H648" s="83"/>
      <c r="I648" s="83"/>
    </row>
    <row r="649" spans="1:9" ht="12">
      <c r="A649" s="71">
        <f t="shared" si="10"/>
        <v>648</v>
      </c>
      <c r="B649" s="83"/>
      <c r="C649" s="201"/>
      <c r="D649" s="83"/>
      <c r="E649" s="89"/>
      <c r="F649" s="83"/>
      <c r="G649" s="83"/>
      <c r="H649" s="83"/>
      <c r="I649" s="83"/>
    </row>
    <row r="650" spans="1:9" ht="12">
      <c r="A650" s="71">
        <f t="shared" si="10"/>
        <v>649</v>
      </c>
      <c r="B650" s="83"/>
      <c r="C650" s="201"/>
      <c r="D650" s="83"/>
      <c r="E650" s="89"/>
      <c r="F650" s="83"/>
      <c r="G650" s="83"/>
      <c r="H650" s="83"/>
      <c r="I650" s="83"/>
    </row>
    <row r="651" spans="1:9" ht="12">
      <c r="A651" s="71">
        <f t="shared" si="10"/>
        <v>650</v>
      </c>
      <c r="B651" s="83"/>
      <c r="C651" s="201"/>
      <c r="D651" s="83"/>
      <c r="E651" s="89"/>
      <c r="F651" s="83"/>
      <c r="G651" s="83"/>
      <c r="H651" s="83"/>
      <c r="I651" s="83"/>
    </row>
    <row r="652" spans="1:9" ht="12">
      <c r="A652" s="71">
        <f t="shared" si="10"/>
        <v>651</v>
      </c>
      <c r="B652" s="83"/>
      <c r="C652" s="201"/>
      <c r="D652" s="83"/>
      <c r="E652" s="89"/>
      <c r="F652" s="83"/>
      <c r="G652" s="83"/>
      <c r="H652" s="83"/>
      <c r="I652" s="83"/>
    </row>
    <row r="653" spans="1:9" ht="12">
      <c r="A653" s="71">
        <f t="shared" si="10"/>
        <v>652</v>
      </c>
      <c r="B653" s="83"/>
      <c r="C653" s="201"/>
      <c r="D653" s="83"/>
      <c r="E653" s="89"/>
      <c r="F653" s="83"/>
      <c r="G653" s="83"/>
      <c r="H653" s="83"/>
      <c r="I653" s="83"/>
    </row>
    <row r="654" spans="1:9" ht="12">
      <c r="A654" s="71">
        <f t="shared" si="10"/>
        <v>653</v>
      </c>
      <c r="B654" s="83"/>
      <c r="C654" s="201"/>
      <c r="D654" s="83"/>
      <c r="E654" s="89"/>
      <c r="F654" s="83"/>
      <c r="G654" s="83"/>
      <c r="H654" s="83"/>
      <c r="I654" s="83"/>
    </row>
    <row r="655" spans="1:9" ht="12">
      <c r="A655" s="71">
        <f t="shared" si="10"/>
        <v>654</v>
      </c>
      <c r="B655" s="83"/>
      <c r="C655" s="201"/>
      <c r="D655" s="83"/>
      <c r="E655" s="89"/>
      <c r="F655" s="83"/>
      <c r="G655" s="83"/>
      <c r="H655" s="83"/>
      <c r="I655" s="83"/>
    </row>
  </sheetData>
  <autoFilter ref="A2:I655" xr:uid="{00000000-0009-0000-0000-000002000000}">
    <sortState xmlns:xlrd2="http://schemas.microsoft.com/office/spreadsheetml/2017/richdata2" ref="A3:I392">
      <sortCondition descending="1" ref="G2:G648"/>
    </sortState>
  </autoFilter>
  <mergeCells count="1">
    <mergeCell ref="A1:E1"/>
  </mergeCells>
  <phoneticPr fontId="1"/>
  <dataValidations count="1">
    <dataValidation type="list" allowBlank="1" showInputMessage="1" showErrorMessage="1" sqref="E3:E655" xr:uid="{00000000-0002-0000-0200-000000000000}">
      <formula1>"画面,帳票,バッチ,その他"</formula1>
    </dataValidation>
  </dataValidations>
  <printOptions horizontalCentered="1"/>
  <pageMargins left="0.19685039370078741" right="0.19685039370078741" top="0.39370078740157483" bottom="0.19685039370078741" header="0.31496062992125984" footer="0.31496062992125984"/>
  <pageSetup paperSize="9" scale="54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X519"/>
  <sheetViews>
    <sheetView zoomScaleNormal="100" workbookViewId="0">
      <pane ySplit="9" topLeftCell="A34" activePane="bottomLeft" state="frozen"/>
      <selection pane="bottomLeft" activeCell="C66" sqref="C66"/>
    </sheetView>
  </sheetViews>
  <sheetFormatPr defaultColWidth="9" defaultRowHeight="18.75" customHeight="1"/>
  <cols>
    <col min="1" max="1" width="7.5703125" style="91" customWidth="1"/>
    <col min="2" max="2" width="12.7109375" style="82" customWidth="1"/>
    <col min="3" max="3" width="27.85546875" style="82" customWidth="1"/>
    <col min="4" max="4" width="27.7109375" style="82" customWidth="1"/>
    <col min="5" max="5" width="7.28515625" style="51" bestFit="1" customWidth="1"/>
    <col min="6" max="6" width="8.140625" style="51" customWidth="1"/>
    <col min="7" max="7" width="8" style="92" bestFit="1" customWidth="1"/>
    <col min="8" max="8" width="8" style="92" customWidth="1"/>
    <col min="9" max="9" width="8" style="51" bestFit="1" customWidth="1"/>
    <col min="10" max="20" width="11.28515625" style="93" customWidth="1"/>
    <col min="21" max="21" width="12" style="93" customWidth="1"/>
    <col min="22" max="22" width="11.140625" style="93" customWidth="1"/>
    <col min="23" max="23" width="11.140625" style="94" customWidth="1"/>
    <col min="24" max="24" width="31.28515625" style="95" customWidth="1"/>
    <col min="25" max="26" width="8.28515625" style="82" customWidth="1"/>
    <col min="27" max="31" width="8.7109375" style="82" customWidth="1"/>
    <col min="32" max="16384" width="9" style="82"/>
  </cols>
  <sheetData>
    <row r="1" spans="1:24" s="7" customFormat="1" ht="24" customHeight="1">
      <c r="A1" s="271" t="str">
        <f>サマリ!B1</f>
        <v>新IRIS操業品質Azure移行</v>
      </c>
      <c r="B1" s="271"/>
      <c r="C1" s="271"/>
      <c r="D1" s="271"/>
      <c r="E1" s="271"/>
      <c r="F1" s="2"/>
      <c r="G1" s="272"/>
      <c r="H1" s="272"/>
      <c r="I1" s="272"/>
      <c r="J1" s="31" t="s">
        <v>784</v>
      </c>
      <c r="K1" s="31" t="s">
        <v>785</v>
      </c>
      <c r="L1" s="31" t="s">
        <v>786</v>
      </c>
      <c r="M1" s="31" t="s">
        <v>787</v>
      </c>
      <c r="N1" s="31" t="s">
        <v>788</v>
      </c>
      <c r="O1" s="31" t="s">
        <v>789</v>
      </c>
      <c r="P1" s="31" t="s">
        <v>790</v>
      </c>
      <c r="Q1" s="31" t="s">
        <v>791</v>
      </c>
      <c r="R1" s="31" t="s">
        <v>20</v>
      </c>
      <c r="S1" s="31" t="s">
        <v>22</v>
      </c>
      <c r="T1" s="31" t="s">
        <v>792</v>
      </c>
      <c r="U1" s="31" t="s">
        <v>793</v>
      </c>
      <c r="V1" s="6"/>
      <c r="W1" s="6"/>
      <c r="X1" s="3"/>
    </row>
    <row r="2" spans="1:24" s="7" customFormat="1" ht="18.600000000000001" customHeight="1">
      <c r="A2" s="99"/>
      <c r="B2" s="99"/>
      <c r="C2" s="99"/>
      <c r="D2" s="99"/>
      <c r="E2" s="99"/>
      <c r="F2" s="2"/>
      <c r="G2" s="273" t="s">
        <v>794</v>
      </c>
      <c r="H2" s="273"/>
      <c r="I2" s="273"/>
      <c r="J2" s="41">
        <f t="shared" ref="J2:T2" si="0">SUM(J10:J519)</f>
        <v>94.300000000000423</v>
      </c>
      <c r="K2" s="41">
        <f t="shared" si="0"/>
        <v>100.90000000000042</v>
      </c>
      <c r="L2" s="41">
        <f t="shared" si="0"/>
        <v>68.500000000000028</v>
      </c>
      <c r="M2" s="41">
        <f t="shared" si="0"/>
        <v>122.89999999999991</v>
      </c>
      <c r="N2" s="41">
        <f t="shared" si="0"/>
        <v>116.60000000000051</v>
      </c>
      <c r="O2" s="41">
        <f t="shared" si="0"/>
        <v>115.90000000000082</v>
      </c>
      <c r="P2" s="41">
        <f t="shared" si="0"/>
        <v>29.000000000000082</v>
      </c>
      <c r="Q2" s="41">
        <f t="shared" si="0"/>
        <v>81.90000000000019</v>
      </c>
      <c r="R2" s="41">
        <f t="shared" si="0"/>
        <v>0</v>
      </c>
      <c r="S2" s="41">
        <f t="shared" si="0"/>
        <v>0</v>
      </c>
      <c r="T2" s="41">
        <f t="shared" si="0"/>
        <v>132.59999999999974</v>
      </c>
      <c r="U2" s="42">
        <f>SUM(J2:T2)</f>
        <v>862.60000000000218</v>
      </c>
      <c r="V2" s="1"/>
      <c r="W2" s="6"/>
      <c r="X2" s="3"/>
    </row>
    <row r="3" spans="1:24" s="7" customFormat="1" ht="18.75" customHeight="1" thickBot="1">
      <c r="A3" s="34"/>
      <c r="B3" s="34"/>
      <c r="C3" s="34"/>
      <c r="D3" s="34"/>
      <c r="E3" s="34"/>
      <c r="F3" s="2"/>
      <c r="G3" s="273" t="s">
        <v>795</v>
      </c>
      <c r="H3" s="273"/>
      <c r="I3" s="273"/>
      <c r="J3" s="43">
        <f>J2/20</f>
        <v>4.7150000000000212</v>
      </c>
      <c r="K3" s="43">
        <f t="shared" ref="K3:T3" si="1">K2/20</f>
        <v>5.0450000000000212</v>
      </c>
      <c r="L3" s="43">
        <f t="shared" si="1"/>
        <v>3.4250000000000016</v>
      </c>
      <c r="M3" s="43">
        <f t="shared" si="1"/>
        <v>6.1449999999999951</v>
      </c>
      <c r="N3" s="43">
        <f t="shared" si="1"/>
        <v>5.8300000000000249</v>
      </c>
      <c r="O3" s="43">
        <f t="shared" si="1"/>
        <v>5.7950000000000408</v>
      </c>
      <c r="P3" s="43">
        <f t="shared" si="1"/>
        <v>1.4500000000000042</v>
      </c>
      <c r="Q3" s="43">
        <f t="shared" si="1"/>
        <v>4.0950000000000095</v>
      </c>
      <c r="R3" s="43">
        <f t="shared" si="1"/>
        <v>0</v>
      </c>
      <c r="S3" s="43">
        <f t="shared" si="1"/>
        <v>0</v>
      </c>
      <c r="T3" s="43">
        <f t="shared" si="1"/>
        <v>6.6299999999999866</v>
      </c>
      <c r="U3" s="44">
        <f>SUM(J3:T3)</f>
        <v>43.130000000000116</v>
      </c>
      <c r="V3" s="1"/>
      <c r="W3" s="6"/>
      <c r="X3" s="3"/>
    </row>
    <row r="4" spans="1:24" s="7" customFormat="1" ht="18.75" customHeight="1">
      <c r="A4" s="274" t="s">
        <v>796</v>
      </c>
      <c r="B4" s="275"/>
      <c r="C4" s="276"/>
      <c r="D4" s="373">
        <f>U5</f>
        <v>44226000</v>
      </c>
      <c r="E4" s="374"/>
      <c r="F4" s="2"/>
      <c r="G4" s="273" t="s">
        <v>797</v>
      </c>
      <c r="H4" s="273"/>
      <c r="I4" s="273"/>
      <c r="J4" s="43">
        <f>ROUNDUP(J3,2)</f>
        <v>4.72</v>
      </c>
      <c r="K4" s="43">
        <f t="shared" ref="K4:S4" si="2">ROUNDUP(K3,2)</f>
        <v>5.05</v>
      </c>
      <c r="L4" s="43">
        <f t="shared" si="2"/>
        <v>3.4299999999999997</v>
      </c>
      <c r="M4" s="43">
        <f t="shared" si="2"/>
        <v>6.1499999999999995</v>
      </c>
      <c r="N4" s="43">
        <f t="shared" si="2"/>
        <v>5.84</v>
      </c>
      <c r="O4" s="43">
        <f t="shared" si="2"/>
        <v>5.8</v>
      </c>
      <c r="P4" s="43">
        <f t="shared" si="2"/>
        <v>1.45</v>
      </c>
      <c r="Q4" s="43">
        <f t="shared" si="2"/>
        <v>4.0999999999999996</v>
      </c>
      <c r="R4" s="43">
        <f t="shared" si="2"/>
        <v>0</v>
      </c>
      <c r="S4" s="43">
        <f t="shared" si="2"/>
        <v>0</v>
      </c>
      <c r="T4" s="43">
        <f>ROUNDUP(SUM(J4:S4)*T8,2)</f>
        <v>5.49</v>
      </c>
      <c r="U4" s="44">
        <f>SUM(J4:T4)</f>
        <v>42.03</v>
      </c>
      <c r="V4" s="1"/>
      <c r="W4" s="6"/>
      <c r="X4" s="3"/>
    </row>
    <row r="5" spans="1:24" s="7" customFormat="1" ht="18.75" customHeight="1" thickBot="1">
      <c r="A5" s="277"/>
      <c r="B5" s="278"/>
      <c r="C5" s="279"/>
      <c r="D5" s="375"/>
      <c r="E5" s="376"/>
      <c r="F5" s="2"/>
      <c r="G5" s="273" t="s">
        <v>10</v>
      </c>
      <c r="H5" s="273"/>
      <c r="I5" s="273"/>
      <c r="J5" s="45">
        <f>J4*J9</f>
        <v>4720000</v>
      </c>
      <c r="K5" s="45">
        <f t="shared" ref="K5:S5" si="3">K4*K9</f>
        <v>5050000</v>
      </c>
      <c r="L5" s="45">
        <f t="shared" si="3"/>
        <v>3429999.9999999995</v>
      </c>
      <c r="M5" s="45">
        <f t="shared" si="3"/>
        <v>6149999.9999999991</v>
      </c>
      <c r="N5" s="45">
        <f t="shared" si="3"/>
        <v>5840000</v>
      </c>
      <c r="O5" s="45">
        <f t="shared" si="3"/>
        <v>5800000</v>
      </c>
      <c r="P5" s="45">
        <f t="shared" si="3"/>
        <v>1450000</v>
      </c>
      <c r="Q5" s="45">
        <f t="shared" si="3"/>
        <v>4099999.9999999995</v>
      </c>
      <c r="R5" s="45">
        <f t="shared" si="3"/>
        <v>0</v>
      </c>
      <c r="S5" s="45">
        <f t="shared" si="3"/>
        <v>0</v>
      </c>
      <c r="T5" s="45">
        <f>T4*T9</f>
        <v>7686000</v>
      </c>
      <c r="U5" s="46">
        <f>SUM(J5:T5)</f>
        <v>44226000</v>
      </c>
      <c r="V5" s="1"/>
      <c r="W5" s="6"/>
      <c r="X5" s="3"/>
    </row>
    <row r="6" spans="1:24" s="7" customFormat="1" ht="12" customHeight="1">
      <c r="A6" s="4"/>
      <c r="E6" s="2"/>
      <c r="F6" s="2"/>
      <c r="G6" s="5"/>
      <c r="H6" s="5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6"/>
      <c r="X6" s="3"/>
    </row>
    <row r="7" spans="1:24" s="51" customFormat="1" ht="18.75" customHeight="1">
      <c r="A7" s="47" t="s">
        <v>798</v>
      </c>
      <c r="B7" s="48" t="s">
        <v>67</v>
      </c>
      <c r="C7" s="48"/>
      <c r="D7" s="48" t="s">
        <v>799</v>
      </c>
      <c r="E7" s="48" t="s">
        <v>54</v>
      </c>
      <c r="F7" s="48" t="s">
        <v>39</v>
      </c>
      <c r="G7" s="49" t="s">
        <v>800</v>
      </c>
      <c r="H7" s="49" t="s">
        <v>26</v>
      </c>
      <c r="I7" s="48" t="s">
        <v>31</v>
      </c>
      <c r="J7" s="48" t="s">
        <v>784</v>
      </c>
      <c r="K7" s="48" t="s">
        <v>785</v>
      </c>
      <c r="L7" s="48" t="s">
        <v>786</v>
      </c>
      <c r="M7" s="48" t="s">
        <v>787</v>
      </c>
      <c r="N7" s="48" t="s">
        <v>788</v>
      </c>
      <c r="O7" s="48" t="s">
        <v>789</v>
      </c>
      <c r="P7" s="48" t="s">
        <v>790</v>
      </c>
      <c r="Q7" s="48" t="s">
        <v>791</v>
      </c>
      <c r="R7" s="48" t="s">
        <v>20</v>
      </c>
      <c r="S7" s="48" t="s">
        <v>22</v>
      </c>
      <c r="T7" s="48" t="s">
        <v>792</v>
      </c>
      <c r="U7" s="48" t="s">
        <v>801</v>
      </c>
      <c r="V7" s="48" t="s">
        <v>802</v>
      </c>
      <c r="W7" s="50" t="s">
        <v>10</v>
      </c>
      <c r="X7" s="48" t="s">
        <v>73</v>
      </c>
    </row>
    <row r="8" spans="1:24" s="51" customFormat="1" ht="18.75" customHeight="1">
      <c r="A8" s="52"/>
      <c r="B8" s="53"/>
      <c r="C8" s="53"/>
      <c r="D8" s="53"/>
      <c r="E8" s="54"/>
      <c r="F8" s="54"/>
      <c r="G8" s="55"/>
      <c r="H8" s="55"/>
      <c r="I8" s="56"/>
      <c r="J8" s="57">
        <f>サマリ!F9</f>
        <v>1</v>
      </c>
      <c r="K8" s="57">
        <f>サマリ!F10</f>
        <v>1</v>
      </c>
      <c r="L8" s="57">
        <f>サマリ!F11</f>
        <v>1</v>
      </c>
      <c r="M8" s="57">
        <f>サマリ!F12</f>
        <v>1</v>
      </c>
      <c r="N8" s="57">
        <f>サマリ!F13</f>
        <v>1</v>
      </c>
      <c r="O8" s="57">
        <f>サマリ!F14</f>
        <v>1</v>
      </c>
      <c r="P8" s="57">
        <f>サマリ!F15</f>
        <v>1</v>
      </c>
      <c r="Q8" s="57">
        <f>サマリ!F16</f>
        <v>1</v>
      </c>
      <c r="R8" s="57">
        <f>サマリ!F17</f>
        <v>1</v>
      </c>
      <c r="S8" s="58" t="str">
        <f>サマリ!F18</f>
        <v>-</v>
      </c>
      <c r="T8" s="57">
        <f>サマリ!F19</f>
        <v>0.15</v>
      </c>
      <c r="U8" s="59"/>
      <c r="V8" s="59"/>
      <c r="W8" s="60"/>
      <c r="X8" s="61"/>
    </row>
    <row r="9" spans="1:24" s="51" customFormat="1" ht="18.75" customHeight="1" thickBot="1">
      <c r="A9" s="62"/>
      <c r="B9" s="63"/>
      <c r="C9" s="63"/>
      <c r="D9" s="63"/>
      <c r="E9" s="64"/>
      <c r="F9" s="64"/>
      <c r="G9" s="65"/>
      <c r="H9" s="65"/>
      <c r="I9" s="66"/>
      <c r="J9" s="67">
        <f>サマリ!H9</f>
        <v>1000000</v>
      </c>
      <c r="K9" s="67">
        <f>サマリ!H10</f>
        <v>1000000</v>
      </c>
      <c r="L9" s="67">
        <f>サマリ!H11</f>
        <v>1000000</v>
      </c>
      <c r="M9" s="67">
        <f>サマリ!H12</f>
        <v>1000000</v>
      </c>
      <c r="N9" s="67">
        <f>サマリ!H13</f>
        <v>1000000</v>
      </c>
      <c r="O9" s="67">
        <f>サマリ!H14</f>
        <v>1000000</v>
      </c>
      <c r="P9" s="67">
        <f>サマリ!H15</f>
        <v>1000000</v>
      </c>
      <c r="Q9" s="67">
        <f>サマリ!H16</f>
        <v>1000000</v>
      </c>
      <c r="R9" s="67">
        <f>サマリ!H17</f>
        <v>1000000</v>
      </c>
      <c r="S9" s="67">
        <f>サマリ!H18</f>
        <v>1000000</v>
      </c>
      <c r="T9" s="67">
        <f>サマリ!H19</f>
        <v>1400000</v>
      </c>
      <c r="U9" s="68"/>
      <c r="V9" s="68"/>
      <c r="W9" s="69"/>
      <c r="X9" s="70"/>
    </row>
    <row r="10" spans="1:24" ht="12.6" thickTop="1">
      <c r="A10" s="71">
        <f t="shared" ref="A10:A213" si="4">ROW()-9</f>
        <v>1</v>
      </c>
      <c r="B10" s="83" t="s">
        <v>74</v>
      </c>
      <c r="C10" s="201" t="s">
        <v>75</v>
      </c>
      <c r="D10" s="202"/>
      <c r="E10" s="73" t="s">
        <v>803</v>
      </c>
      <c r="F10" s="73"/>
      <c r="G10" s="90"/>
      <c r="H10" s="90"/>
      <c r="I10" s="73" t="s">
        <v>35</v>
      </c>
      <c r="J10" s="222">
        <f t="shared" ref="J10:R85" si="5">ROUNDUP(IF($E10="画面",画面係数,IF($E10="帳票",帳票係数,IF($E10="バッチ",バッチ係数,0))) *
 IF($I10="特高",特高係数,IF($I10="高",高係数,IF($I10="中",中係数,IF($I10="低",低係数,IF($I10="特低",特低係数,0)))))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1.3</v>
      </c>
      <c r="K10" s="222">
        <f t="shared" si="5"/>
        <v>1.5</v>
      </c>
      <c r="L10" s="222">
        <f t="shared" si="5"/>
        <v>1.6</v>
      </c>
      <c r="M10" s="222">
        <f t="shared" si="5"/>
        <v>2.9</v>
      </c>
      <c r="N10" s="222">
        <f t="shared" si="5"/>
        <v>1.8</v>
      </c>
      <c r="O10" s="222">
        <f t="shared" si="5"/>
        <v>1.2000000000000002</v>
      </c>
      <c r="P10" s="222">
        <f t="shared" si="5"/>
        <v>0.5</v>
      </c>
      <c r="Q10" s="222">
        <f t="shared" si="5"/>
        <v>1.3</v>
      </c>
      <c r="R10" s="222">
        <f t="shared" si="5"/>
        <v>0</v>
      </c>
      <c r="S10" s="85"/>
      <c r="T10" s="222">
        <f t="shared" ref="T10:T213" si="6">ROUNDUP(SUM(J10:S10)*T$8,1)</f>
        <v>1.9000000000000001</v>
      </c>
      <c r="U10" s="222">
        <f t="shared" ref="U10:U213" si="7">SUM(J10:T10)</f>
        <v>14.000000000000002</v>
      </c>
      <c r="V10" s="223">
        <f t="shared" ref="V10:V213" si="8">U10/20</f>
        <v>0.70000000000000007</v>
      </c>
      <c r="W10" s="224">
        <f t="shared" ref="W10:W213" si="9">((J10*J$9) + (K10*K$9) + (L10*L$9) + (M10*M$9) + (N10*N$9) + (O10*O$9) + (P10*P$9) + (Q10*Q$9) + (R10*R$9) + (S10*S$9) + (T10*T$9))/20</f>
        <v>738000</v>
      </c>
      <c r="X10" s="225"/>
    </row>
    <row r="11" spans="1:24" ht="12">
      <c r="A11" s="71">
        <f t="shared" si="4"/>
        <v>2</v>
      </c>
      <c r="B11" s="83" t="s">
        <v>74</v>
      </c>
      <c r="C11" s="201" t="s">
        <v>77</v>
      </c>
      <c r="D11" s="202"/>
      <c r="E11" s="89" t="s">
        <v>803</v>
      </c>
      <c r="F11" s="73"/>
      <c r="G11" s="90"/>
      <c r="H11" s="90"/>
      <c r="I11" s="73" t="s">
        <v>33</v>
      </c>
      <c r="J11" s="222">
        <f t="shared" si="5"/>
        <v>3.1</v>
      </c>
      <c r="K11" s="222">
        <f t="shared" si="5"/>
        <v>3.5</v>
      </c>
      <c r="L11" s="222">
        <f t="shared" si="5"/>
        <v>3.6</v>
      </c>
      <c r="M11" s="222">
        <f t="shared" si="5"/>
        <v>6.6</v>
      </c>
      <c r="N11" s="222">
        <f t="shared" si="5"/>
        <v>4.0999999999999996</v>
      </c>
      <c r="O11" s="222">
        <f t="shared" si="5"/>
        <v>2.7</v>
      </c>
      <c r="P11" s="222">
        <f t="shared" si="5"/>
        <v>1.1000000000000001</v>
      </c>
      <c r="Q11" s="222">
        <f t="shared" si="5"/>
        <v>3.1</v>
      </c>
      <c r="R11" s="222">
        <f t="shared" si="5"/>
        <v>0</v>
      </c>
      <c r="S11" s="85"/>
      <c r="T11" s="222">
        <f t="shared" si="6"/>
        <v>4.1999999999999993</v>
      </c>
      <c r="U11" s="222">
        <f t="shared" si="7"/>
        <v>32</v>
      </c>
      <c r="V11" s="223">
        <f t="shared" si="8"/>
        <v>1.6</v>
      </c>
      <c r="W11" s="224">
        <f t="shared" si="9"/>
        <v>1684000</v>
      </c>
      <c r="X11" s="225"/>
    </row>
    <row r="12" spans="1:24" ht="12">
      <c r="A12" s="71">
        <f t="shared" si="4"/>
        <v>3</v>
      </c>
      <c r="B12" s="83" t="s">
        <v>74</v>
      </c>
      <c r="C12" s="201" t="s">
        <v>78</v>
      </c>
      <c r="D12" s="202"/>
      <c r="E12" s="89" t="s">
        <v>803</v>
      </c>
      <c r="F12" s="89"/>
      <c r="G12" s="90"/>
      <c r="H12" s="90"/>
      <c r="I12" s="89" t="s">
        <v>35</v>
      </c>
      <c r="J12" s="222">
        <f t="shared" si="5"/>
        <v>1.3</v>
      </c>
      <c r="K12" s="222">
        <f t="shared" si="5"/>
        <v>1.5</v>
      </c>
      <c r="L12" s="222">
        <f t="shared" si="5"/>
        <v>1.6</v>
      </c>
      <c r="M12" s="222">
        <f t="shared" si="5"/>
        <v>2.9</v>
      </c>
      <c r="N12" s="222">
        <f t="shared" si="5"/>
        <v>1.8</v>
      </c>
      <c r="O12" s="222">
        <f t="shared" si="5"/>
        <v>1.2000000000000002</v>
      </c>
      <c r="P12" s="222">
        <f t="shared" si="5"/>
        <v>0.5</v>
      </c>
      <c r="Q12" s="222">
        <f t="shared" si="5"/>
        <v>1.3</v>
      </c>
      <c r="R12" s="222">
        <f t="shared" si="5"/>
        <v>0</v>
      </c>
      <c r="S12" s="85"/>
      <c r="T12" s="222">
        <f t="shared" si="6"/>
        <v>1.9000000000000001</v>
      </c>
      <c r="U12" s="222">
        <f t="shared" si="7"/>
        <v>14.000000000000002</v>
      </c>
      <c r="V12" s="223">
        <f t="shared" si="8"/>
        <v>0.70000000000000007</v>
      </c>
      <c r="W12" s="224">
        <f t="shared" si="9"/>
        <v>738000</v>
      </c>
      <c r="X12" s="225"/>
    </row>
    <row r="13" spans="1:24" ht="12">
      <c r="A13" s="71">
        <f t="shared" si="4"/>
        <v>4</v>
      </c>
      <c r="B13" s="83" t="s">
        <v>74</v>
      </c>
      <c r="C13" s="201" t="s">
        <v>79</v>
      </c>
      <c r="D13" s="202"/>
      <c r="E13" s="89" t="s">
        <v>803</v>
      </c>
      <c r="F13" s="89"/>
      <c r="G13" s="90"/>
      <c r="H13" s="90"/>
      <c r="I13" s="89" t="s">
        <v>35</v>
      </c>
      <c r="J13" s="222">
        <f t="shared" si="5"/>
        <v>1.3</v>
      </c>
      <c r="K13" s="222">
        <f t="shared" si="5"/>
        <v>1.5</v>
      </c>
      <c r="L13" s="222">
        <f t="shared" si="5"/>
        <v>1.6</v>
      </c>
      <c r="M13" s="222">
        <f t="shared" si="5"/>
        <v>2.9</v>
      </c>
      <c r="N13" s="222">
        <f t="shared" si="5"/>
        <v>1.8</v>
      </c>
      <c r="O13" s="222">
        <f t="shared" si="5"/>
        <v>1.2000000000000002</v>
      </c>
      <c r="P13" s="222">
        <f t="shared" si="5"/>
        <v>0.5</v>
      </c>
      <c r="Q13" s="222">
        <f t="shared" si="5"/>
        <v>1.3</v>
      </c>
      <c r="R13" s="222">
        <f t="shared" si="5"/>
        <v>0</v>
      </c>
      <c r="S13" s="85"/>
      <c r="T13" s="222">
        <f t="shared" si="6"/>
        <v>1.9000000000000001</v>
      </c>
      <c r="U13" s="222">
        <f t="shared" si="7"/>
        <v>14.000000000000002</v>
      </c>
      <c r="V13" s="223">
        <f t="shared" si="8"/>
        <v>0.70000000000000007</v>
      </c>
      <c r="W13" s="224">
        <f t="shared" si="9"/>
        <v>738000</v>
      </c>
      <c r="X13" s="225"/>
    </row>
    <row r="14" spans="1:24" ht="12">
      <c r="A14" s="71">
        <f t="shared" si="4"/>
        <v>5</v>
      </c>
      <c r="B14" s="83" t="s">
        <v>74</v>
      </c>
      <c r="C14" s="201" t="s">
        <v>80</v>
      </c>
      <c r="D14" s="202"/>
      <c r="E14" s="89" t="s">
        <v>803</v>
      </c>
      <c r="F14" s="89"/>
      <c r="G14" s="90"/>
      <c r="H14" s="90"/>
      <c r="I14" s="89" t="s">
        <v>35</v>
      </c>
      <c r="J14" s="222">
        <f t="shared" si="5"/>
        <v>1.3</v>
      </c>
      <c r="K14" s="222">
        <f t="shared" si="5"/>
        <v>1.5</v>
      </c>
      <c r="L14" s="222">
        <f t="shared" si="5"/>
        <v>1.6</v>
      </c>
      <c r="M14" s="222">
        <f t="shared" si="5"/>
        <v>2.9</v>
      </c>
      <c r="N14" s="222">
        <f t="shared" si="5"/>
        <v>1.8</v>
      </c>
      <c r="O14" s="222">
        <f t="shared" si="5"/>
        <v>1.2000000000000002</v>
      </c>
      <c r="P14" s="222">
        <f t="shared" si="5"/>
        <v>0.5</v>
      </c>
      <c r="Q14" s="222">
        <f t="shared" si="5"/>
        <v>1.3</v>
      </c>
      <c r="R14" s="222">
        <f t="shared" si="5"/>
        <v>0</v>
      </c>
      <c r="S14" s="85"/>
      <c r="T14" s="222">
        <f t="shared" si="6"/>
        <v>1.9000000000000001</v>
      </c>
      <c r="U14" s="222">
        <f t="shared" si="7"/>
        <v>14.000000000000002</v>
      </c>
      <c r="V14" s="223">
        <f t="shared" si="8"/>
        <v>0.70000000000000007</v>
      </c>
      <c r="W14" s="224">
        <f t="shared" si="9"/>
        <v>738000</v>
      </c>
      <c r="X14" s="225"/>
    </row>
    <row r="15" spans="1:24" ht="12">
      <c r="A15" s="71">
        <f t="shared" si="4"/>
        <v>6</v>
      </c>
      <c r="B15" s="83" t="s">
        <v>74</v>
      </c>
      <c r="C15" s="201" t="s">
        <v>81</v>
      </c>
      <c r="D15" s="202"/>
      <c r="E15" s="89" t="s">
        <v>803</v>
      </c>
      <c r="F15" s="89"/>
      <c r="G15" s="90"/>
      <c r="H15" s="90"/>
      <c r="I15" s="89" t="s">
        <v>35</v>
      </c>
      <c r="J15" s="222">
        <f t="shared" si="5"/>
        <v>1.3</v>
      </c>
      <c r="K15" s="222">
        <f t="shared" si="5"/>
        <v>1.5</v>
      </c>
      <c r="L15" s="222">
        <f t="shared" si="5"/>
        <v>1.6</v>
      </c>
      <c r="M15" s="222">
        <f t="shared" si="5"/>
        <v>2.9</v>
      </c>
      <c r="N15" s="222">
        <f t="shared" si="5"/>
        <v>1.8</v>
      </c>
      <c r="O15" s="222">
        <f t="shared" si="5"/>
        <v>1.2000000000000002</v>
      </c>
      <c r="P15" s="222">
        <f t="shared" si="5"/>
        <v>0.5</v>
      </c>
      <c r="Q15" s="222">
        <f t="shared" si="5"/>
        <v>1.3</v>
      </c>
      <c r="R15" s="222">
        <f t="shared" si="5"/>
        <v>0</v>
      </c>
      <c r="S15" s="85"/>
      <c r="T15" s="222">
        <f t="shared" si="6"/>
        <v>1.9000000000000001</v>
      </c>
      <c r="U15" s="222">
        <f t="shared" si="7"/>
        <v>14.000000000000002</v>
      </c>
      <c r="V15" s="223">
        <f t="shared" si="8"/>
        <v>0.70000000000000007</v>
      </c>
      <c r="W15" s="224">
        <f t="shared" si="9"/>
        <v>738000</v>
      </c>
      <c r="X15" s="225"/>
    </row>
    <row r="16" spans="1:24" ht="12">
      <c r="A16" s="71">
        <f t="shared" si="4"/>
        <v>7</v>
      </c>
      <c r="B16" s="83" t="s">
        <v>74</v>
      </c>
      <c r="C16" s="201" t="s">
        <v>82</v>
      </c>
      <c r="D16" s="202"/>
      <c r="E16" s="89" t="s">
        <v>803</v>
      </c>
      <c r="F16" s="73"/>
      <c r="G16" s="90"/>
      <c r="H16" s="90"/>
      <c r="I16" s="89" t="s">
        <v>35</v>
      </c>
      <c r="J16" s="222">
        <f t="shared" si="5"/>
        <v>1.3</v>
      </c>
      <c r="K16" s="222">
        <f t="shared" si="5"/>
        <v>1.5</v>
      </c>
      <c r="L16" s="222">
        <f t="shared" si="5"/>
        <v>1.6</v>
      </c>
      <c r="M16" s="222">
        <f t="shared" si="5"/>
        <v>2.9</v>
      </c>
      <c r="N16" s="222">
        <f t="shared" si="5"/>
        <v>1.8</v>
      </c>
      <c r="O16" s="222">
        <f t="shared" si="5"/>
        <v>1.2000000000000002</v>
      </c>
      <c r="P16" s="222">
        <f t="shared" si="5"/>
        <v>0.5</v>
      </c>
      <c r="Q16" s="222">
        <f t="shared" si="5"/>
        <v>1.3</v>
      </c>
      <c r="R16" s="222">
        <f t="shared" si="5"/>
        <v>0</v>
      </c>
      <c r="S16" s="85"/>
      <c r="T16" s="222">
        <f t="shared" si="6"/>
        <v>1.9000000000000001</v>
      </c>
      <c r="U16" s="222">
        <f t="shared" si="7"/>
        <v>14.000000000000002</v>
      </c>
      <c r="V16" s="223">
        <f t="shared" si="8"/>
        <v>0.70000000000000007</v>
      </c>
      <c r="W16" s="224">
        <f t="shared" si="9"/>
        <v>738000</v>
      </c>
      <c r="X16" s="225"/>
    </row>
    <row r="17" spans="1:24" ht="12">
      <c r="A17" s="71">
        <f t="shared" si="4"/>
        <v>8</v>
      </c>
      <c r="B17" s="83" t="s">
        <v>74</v>
      </c>
      <c r="C17" s="201" t="s">
        <v>83</v>
      </c>
      <c r="D17" s="202" t="s">
        <v>84</v>
      </c>
      <c r="E17" s="89" t="s">
        <v>803</v>
      </c>
      <c r="F17" s="73"/>
      <c r="G17" s="90"/>
      <c r="H17" s="90"/>
      <c r="I17" s="89" t="s">
        <v>33</v>
      </c>
      <c r="J17" s="222">
        <f t="shared" si="5"/>
        <v>3.1</v>
      </c>
      <c r="K17" s="222">
        <f t="shared" si="5"/>
        <v>3.5</v>
      </c>
      <c r="L17" s="222">
        <f t="shared" si="5"/>
        <v>3.6</v>
      </c>
      <c r="M17" s="222">
        <f t="shared" si="5"/>
        <v>6.6</v>
      </c>
      <c r="N17" s="222">
        <f t="shared" si="5"/>
        <v>4.0999999999999996</v>
      </c>
      <c r="O17" s="222">
        <f t="shared" si="5"/>
        <v>2.7</v>
      </c>
      <c r="P17" s="222">
        <f t="shared" si="5"/>
        <v>1.1000000000000001</v>
      </c>
      <c r="Q17" s="222">
        <f t="shared" si="5"/>
        <v>3.1</v>
      </c>
      <c r="R17" s="222">
        <f t="shared" si="5"/>
        <v>0</v>
      </c>
      <c r="S17" s="85"/>
      <c r="T17" s="222">
        <f t="shared" si="6"/>
        <v>4.1999999999999993</v>
      </c>
      <c r="U17" s="222">
        <f t="shared" si="7"/>
        <v>32</v>
      </c>
      <c r="V17" s="223">
        <f t="shared" si="8"/>
        <v>1.6</v>
      </c>
      <c r="W17" s="224">
        <f t="shared" si="9"/>
        <v>1684000</v>
      </c>
      <c r="X17" s="225"/>
    </row>
    <row r="18" spans="1:24" s="214" customFormat="1" ht="12">
      <c r="A18" s="203">
        <f t="shared" si="4"/>
        <v>9</v>
      </c>
      <c r="B18" s="204" t="s">
        <v>74</v>
      </c>
      <c r="C18" s="205" t="s">
        <v>89</v>
      </c>
      <c r="D18" s="206" t="s">
        <v>90</v>
      </c>
      <c r="E18" s="207" t="s">
        <v>803</v>
      </c>
      <c r="F18" s="249"/>
      <c r="G18" s="208"/>
      <c r="H18" s="208"/>
      <c r="I18" s="207"/>
      <c r="J18" s="209">
        <f t="shared" si="5"/>
        <v>0</v>
      </c>
      <c r="K18" s="209">
        <f t="shared" si="5"/>
        <v>0</v>
      </c>
      <c r="L18" s="209">
        <f t="shared" si="5"/>
        <v>0</v>
      </c>
      <c r="M18" s="209">
        <f t="shared" si="5"/>
        <v>0</v>
      </c>
      <c r="N18" s="209">
        <f t="shared" si="5"/>
        <v>0</v>
      </c>
      <c r="O18" s="209">
        <f t="shared" si="5"/>
        <v>0</v>
      </c>
      <c r="P18" s="209">
        <f t="shared" si="5"/>
        <v>0</v>
      </c>
      <c r="Q18" s="209">
        <f t="shared" si="5"/>
        <v>0</v>
      </c>
      <c r="R18" s="209">
        <f t="shared" si="5"/>
        <v>0</v>
      </c>
      <c r="S18" s="210"/>
      <c r="T18" s="209">
        <f t="shared" si="6"/>
        <v>0</v>
      </c>
      <c r="U18" s="209">
        <f t="shared" si="7"/>
        <v>0</v>
      </c>
      <c r="V18" s="211">
        <f t="shared" si="8"/>
        <v>0</v>
      </c>
      <c r="W18" s="212">
        <f t="shared" si="9"/>
        <v>0</v>
      </c>
      <c r="X18" s="213"/>
    </row>
    <row r="19" spans="1:24" ht="12">
      <c r="A19" s="71">
        <f t="shared" si="4"/>
        <v>10</v>
      </c>
      <c r="B19" s="83" t="s">
        <v>74</v>
      </c>
      <c r="C19" s="201" t="s">
        <v>93</v>
      </c>
      <c r="D19" s="202" t="s">
        <v>94</v>
      </c>
      <c r="E19" s="89" t="s">
        <v>803</v>
      </c>
      <c r="F19" s="73"/>
      <c r="G19" s="90"/>
      <c r="H19" s="90"/>
      <c r="I19" s="89" t="s">
        <v>33</v>
      </c>
      <c r="J19" s="222">
        <f t="shared" si="5"/>
        <v>3.1</v>
      </c>
      <c r="K19" s="222">
        <f t="shared" si="5"/>
        <v>3.5</v>
      </c>
      <c r="L19" s="222">
        <f t="shared" si="5"/>
        <v>3.6</v>
      </c>
      <c r="M19" s="222">
        <f t="shared" si="5"/>
        <v>6.6</v>
      </c>
      <c r="N19" s="222">
        <f t="shared" si="5"/>
        <v>4.0999999999999996</v>
      </c>
      <c r="O19" s="222">
        <f t="shared" si="5"/>
        <v>2.7</v>
      </c>
      <c r="P19" s="222">
        <f t="shared" si="5"/>
        <v>1.1000000000000001</v>
      </c>
      <c r="Q19" s="222">
        <f t="shared" si="5"/>
        <v>3.1</v>
      </c>
      <c r="R19" s="222">
        <f t="shared" si="5"/>
        <v>0</v>
      </c>
      <c r="S19" s="85"/>
      <c r="T19" s="222">
        <f t="shared" si="6"/>
        <v>4.1999999999999993</v>
      </c>
      <c r="U19" s="222">
        <f t="shared" si="7"/>
        <v>32</v>
      </c>
      <c r="V19" s="223">
        <f t="shared" si="8"/>
        <v>1.6</v>
      </c>
      <c r="W19" s="224">
        <f t="shared" si="9"/>
        <v>1684000</v>
      </c>
      <c r="X19" s="225"/>
    </row>
    <row r="20" spans="1:24" ht="12">
      <c r="A20" s="71">
        <f t="shared" si="4"/>
        <v>11</v>
      </c>
      <c r="B20" s="83" t="s">
        <v>74</v>
      </c>
      <c r="C20" s="201" t="s">
        <v>95</v>
      </c>
      <c r="D20" s="202" t="s">
        <v>96</v>
      </c>
      <c r="E20" s="89" t="s">
        <v>803</v>
      </c>
      <c r="F20" s="73"/>
      <c r="G20" s="90"/>
      <c r="H20" s="90"/>
      <c r="I20" s="89" t="s">
        <v>33</v>
      </c>
      <c r="J20" s="222">
        <f t="shared" si="5"/>
        <v>3.1</v>
      </c>
      <c r="K20" s="222">
        <f t="shared" si="5"/>
        <v>3.5</v>
      </c>
      <c r="L20" s="222">
        <f t="shared" si="5"/>
        <v>3.6</v>
      </c>
      <c r="M20" s="222">
        <f t="shared" si="5"/>
        <v>6.6</v>
      </c>
      <c r="N20" s="222">
        <f t="shared" si="5"/>
        <v>4.0999999999999996</v>
      </c>
      <c r="O20" s="222">
        <f t="shared" si="5"/>
        <v>2.7</v>
      </c>
      <c r="P20" s="222">
        <f t="shared" si="5"/>
        <v>1.1000000000000001</v>
      </c>
      <c r="Q20" s="222">
        <f t="shared" si="5"/>
        <v>3.1</v>
      </c>
      <c r="R20" s="222">
        <f t="shared" si="5"/>
        <v>0</v>
      </c>
      <c r="S20" s="85"/>
      <c r="T20" s="222">
        <f t="shared" si="6"/>
        <v>4.1999999999999993</v>
      </c>
      <c r="U20" s="222">
        <f t="shared" si="7"/>
        <v>32</v>
      </c>
      <c r="V20" s="223">
        <f t="shared" si="8"/>
        <v>1.6</v>
      </c>
      <c r="W20" s="224">
        <f t="shared" si="9"/>
        <v>1684000</v>
      </c>
      <c r="X20" s="225"/>
    </row>
    <row r="21" spans="1:24" ht="12">
      <c r="A21" s="71">
        <f t="shared" si="4"/>
        <v>12</v>
      </c>
      <c r="B21" s="83" t="s">
        <v>74</v>
      </c>
      <c r="C21" s="201" t="s">
        <v>97</v>
      </c>
      <c r="D21" s="202" t="s">
        <v>98</v>
      </c>
      <c r="E21" s="89" t="s">
        <v>803</v>
      </c>
      <c r="F21" s="73"/>
      <c r="G21" s="90"/>
      <c r="H21" s="90"/>
      <c r="I21" s="89" t="s">
        <v>33</v>
      </c>
      <c r="J21" s="222">
        <f t="shared" si="5"/>
        <v>3.1</v>
      </c>
      <c r="K21" s="222">
        <f t="shared" si="5"/>
        <v>3.5</v>
      </c>
      <c r="L21" s="222">
        <f t="shared" si="5"/>
        <v>3.6</v>
      </c>
      <c r="M21" s="222">
        <f t="shared" si="5"/>
        <v>6.6</v>
      </c>
      <c r="N21" s="222">
        <f t="shared" si="5"/>
        <v>4.0999999999999996</v>
      </c>
      <c r="O21" s="222">
        <f t="shared" si="5"/>
        <v>2.7</v>
      </c>
      <c r="P21" s="222">
        <f t="shared" si="5"/>
        <v>1.1000000000000001</v>
      </c>
      <c r="Q21" s="222">
        <f t="shared" si="5"/>
        <v>3.1</v>
      </c>
      <c r="R21" s="222">
        <f t="shared" si="5"/>
        <v>0</v>
      </c>
      <c r="S21" s="85"/>
      <c r="T21" s="222">
        <f t="shared" si="6"/>
        <v>4.1999999999999993</v>
      </c>
      <c r="U21" s="222">
        <f t="shared" si="7"/>
        <v>32</v>
      </c>
      <c r="V21" s="223">
        <f t="shared" si="8"/>
        <v>1.6</v>
      </c>
      <c r="W21" s="224">
        <f t="shared" si="9"/>
        <v>1684000</v>
      </c>
      <c r="X21" s="225"/>
    </row>
    <row r="22" spans="1:24" s="262" customFormat="1" ht="12">
      <c r="A22" s="226">
        <f t="shared" si="4"/>
        <v>13</v>
      </c>
      <c r="B22" s="227" t="s">
        <v>74</v>
      </c>
      <c r="C22" s="228" t="s">
        <v>99</v>
      </c>
      <c r="D22" s="229" t="s">
        <v>100</v>
      </c>
      <c r="E22" s="230" t="s">
        <v>803</v>
      </c>
      <c r="F22" s="255"/>
      <c r="G22" s="256"/>
      <c r="H22" s="256"/>
      <c r="I22" s="230"/>
      <c r="J22" s="257">
        <f t="shared" si="5"/>
        <v>0</v>
      </c>
      <c r="K22" s="257">
        <f t="shared" si="5"/>
        <v>0</v>
      </c>
      <c r="L22" s="257">
        <f t="shared" si="5"/>
        <v>0</v>
      </c>
      <c r="M22" s="257">
        <f t="shared" si="5"/>
        <v>0</v>
      </c>
      <c r="N22" s="257">
        <f t="shared" si="5"/>
        <v>0</v>
      </c>
      <c r="O22" s="257">
        <f t="shared" si="5"/>
        <v>0</v>
      </c>
      <c r="P22" s="257">
        <f t="shared" si="5"/>
        <v>0</v>
      </c>
      <c r="Q22" s="257">
        <f t="shared" si="5"/>
        <v>0</v>
      </c>
      <c r="R22" s="257">
        <f t="shared" si="5"/>
        <v>0</v>
      </c>
      <c r="S22" s="258"/>
      <c r="T22" s="257">
        <f t="shared" si="6"/>
        <v>0</v>
      </c>
      <c r="U22" s="257">
        <f t="shared" si="7"/>
        <v>0</v>
      </c>
      <c r="V22" s="259">
        <f t="shared" si="8"/>
        <v>0</v>
      </c>
      <c r="W22" s="260">
        <f t="shared" si="9"/>
        <v>0</v>
      </c>
      <c r="X22" s="261"/>
    </row>
    <row r="23" spans="1:24" s="262" customFormat="1" ht="12">
      <c r="A23" s="226">
        <f t="shared" si="4"/>
        <v>14</v>
      </c>
      <c r="B23" s="227" t="s">
        <v>74</v>
      </c>
      <c r="C23" s="228" t="s">
        <v>102</v>
      </c>
      <c r="D23" s="229" t="s">
        <v>103</v>
      </c>
      <c r="E23" s="230" t="s">
        <v>803</v>
      </c>
      <c r="F23" s="230"/>
      <c r="G23" s="256"/>
      <c r="H23" s="256"/>
      <c r="I23" s="230"/>
      <c r="J23" s="257">
        <f t="shared" si="5"/>
        <v>0</v>
      </c>
      <c r="K23" s="257">
        <f t="shared" si="5"/>
        <v>0</v>
      </c>
      <c r="L23" s="257">
        <f t="shared" si="5"/>
        <v>0</v>
      </c>
      <c r="M23" s="257">
        <f t="shared" si="5"/>
        <v>0</v>
      </c>
      <c r="N23" s="257">
        <f t="shared" si="5"/>
        <v>0</v>
      </c>
      <c r="O23" s="257">
        <f t="shared" si="5"/>
        <v>0</v>
      </c>
      <c r="P23" s="257">
        <f t="shared" si="5"/>
        <v>0</v>
      </c>
      <c r="Q23" s="257">
        <f t="shared" si="5"/>
        <v>0</v>
      </c>
      <c r="R23" s="257">
        <f t="shared" si="5"/>
        <v>0</v>
      </c>
      <c r="S23" s="258"/>
      <c r="T23" s="257">
        <f t="shared" si="6"/>
        <v>0</v>
      </c>
      <c r="U23" s="257">
        <f t="shared" si="7"/>
        <v>0</v>
      </c>
      <c r="V23" s="259">
        <f t="shared" si="8"/>
        <v>0</v>
      </c>
      <c r="W23" s="260">
        <f t="shared" si="9"/>
        <v>0</v>
      </c>
      <c r="X23" s="261"/>
    </row>
    <row r="24" spans="1:24" ht="12">
      <c r="A24" s="71">
        <f t="shared" si="4"/>
        <v>15</v>
      </c>
      <c r="B24" s="83" t="s">
        <v>74</v>
      </c>
      <c r="C24" s="201" t="s">
        <v>108</v>
      </c>
      <c r="D24" s="202" t="s">
        <v>109</v>
      </c>
      <c r="E24" s="89" t="s">
        <v>803</v>
      </c>
      <c r="F24" s="89"/>
      <c r="G24" s="90"/>
      <c r="H24" s="90"/>
      <c r="I24" s="89" t="s">
        <v>33</v>
      </c>
      <c r="J24" s="222">
        <f t="shared" si="5"/>
        <v>3.1</v>
      </c>
      <c r="K24" s="222">
        <f t="shared" si="5"/>
        <v>3.5</v>
      </c>
      <c r="L24" s="222">
        <f t="shared" si="5"/>
        <v>3.6</v>
      </c>
      <c r="M24" s="222">
        <f t="shared" si="5"/>
        <v>6.6</v>
      </c>
      <c r="N24" s="222">
        <f t="shared" si="5"/>
        <v>4.0999999999999996</v>
      </c>
      <c r="O24" s="222">
        <f t="shared" si="5"/>
        <v>2.7</v>
      </c>
      <c r="P24" s="222">
        <f t="shared" si="5"/>
        <v>1.1000000000000001</v>
      </c>
      <c r="Q24" s="222">
        <f t="shared" si="5"/>
        <v>3.1</v>
      </c>
      <c r="R24" s="222">
        <f t="shared" si="5"/>
        <v>0</v>
      </c>
      <c r="S24" s="85"/>
      <c r="T24" s="222">
        <f t="shared" si="6"/>
        <v>4.1999999999999993</v>
      </c>
      <c r="U24" s="222">
        <f t="shared" si="7"/>
        <v>32</v>
      </c>
      <c r="V24" s="223">
        <f t="shared" si="8"/>
        <v>1.6</v>
      </c>
      <c r="W24" s="224">
        <f t="shared" si="9"/>
        <v>1684000</v>
      </c>
      <c r="X24" s="225"/>
    </row>
    <row r="25" spans="1:24" ht="12">
      <c r="A25" s="71">
        <f t="shared" si="4"/>
        <v>16</v>
      </c>
      <c r="B25" s="83" t="s">
        <v>74</v>
      </c>
      <c r="C25" s="201" t="s">
        <v>110</v>
      </c>
      <c r="D25" s="202" t="s">
        <v>111</v>
      </c>
      <c r="E25" s="89" t="s">
        <v>803</v>
      </c>
      <c r="F25" s="89"/>
      <c r="G25" s="90"/>
      <c r="H25" s="90"/>
      <c r="I25" s="89" t="s">
        <v>33</v>
      </c>
      <c r="J25" s="222">
        <f t="shared" si="5"/>
        <v>3.1</v>
      </c>
      <c r="K25" s="222">
        <f t="shared" si="5"/>
        <v>3.5</v>
      </c>
      <c r="L25" s="222">
        <f t="shared" si="5"/>
        <v>3.6</v>
      </c>
      <c r="M25" s="222">
        <f t="shared" si="5"/>
        <v>6.6</v>
      </c>
      <c r="N25" s="222">
        <f t="shared" si="5"/>
        <v>4.0999999999999996</v>
      </c>
      <c r="O25" s="222">
        <f t="shared" si="5"/>
        <v>2.7</v>
      </c>
      <c r="P25" s="222">
        <f t="shared" si="5"/>
        <v>1.1000000000000001</v>
      </c>
      <c r="Q25" s="222">
        <f t="shared" si="5"/>
        <v>3.1</v>
      </c>
      <c r="R25" s="222">
        <f t="shared" si="5"/>
        <v>0</v>
      </c>
      <c r="S25" s="85"/>
      <c r="T25" s="222">
        <f t="shared" si="6"/>
        <v>4.1999999999999993</v>
      </c>
      <c r="U25" s="222">
        <f t="shared" si="7"/>
        <v>32</v>
      </c>
      <c r="V25" s="223">
        <f t="shared" si="8"/>
        <v>1.6</v>
      </c>
      <c r="W25" s="224">
        <f t="shared" si="9"/>
        <v>1684000</v>
      </c>
      <c r="X25" s="225"/>
    </row>
    <row r="26" spans="1:24" ht="12">
      <c r="A26" s="71">
        <f t="shared" si="4"/>
        <v>17</v>
      </c>
      <c r="B26" s="83" t="s">
        <v>74</v>
      </c>
      <c r="C26" s="201" t="s">
        <v>112</v>
      </c>
      <c r="D26" s="202" t="s">
        <v>113</v>
      </c>
      <c r="E26" s="89" t="s">
        <v>803</v>
      </c>
      <c r="F26" s="89"/>
      <c r="G26" s="90"/>
      <c r="H26" s="90"/>
      <c r="I26" s="89" t="s">
        <v>33</v>
      </c>
      <c r="J26" s="222">
        <f t="shared" si="5"/>
        <v>3.1</v>
      </c>
      <c r="K26" s="222">
        <f t="shared" si="5"/>
        <v>3.5</v>
      </c>
      <c r="L26" s="222">
        <f t="shared" si="5"/>
        <v>3.6</v>
      </c>
      <c r="M26" s="222">
        <f t="shared" si="5"/>
        <v>6.6</v>
      </c>
      <c r="N26" s="222">
        <f t="shared" si="5"/>
        <v>4.0999999999999996</v>
      </c>
      <c r="O26" s="222">
        <f t="shared" si="5"/>
        <v>2.7</v>
      </c>
      <c r="P26" s="222">
        <f t="shared" si="5"/>
        <v>1.1000000000000001</v>
      </c>
      <c r="Q26" s="222">
        <f t="shared" si="5"/>
        <v>3.1</v>
      </c>
      <c r="R26" s="222">
        <f t="shared" si="5"/>
        <v>0</v>
      </c>
      <c r="S26" s="85"/>
      <c r="T26" s="222">
        <f t="shared" si="6"/>
        <v>4.1999999999999993</v>
      </c>
      <c r="U26" s="222">
        <f t="shared" si="7"/>
        <v>32</v>
      </c>
      <c r="V26" s="223">
        <f t="shared" si="8"/>
        <v>1.6</v>
      </c>
      <c r="W26" s="224">
        <f t="shared" si="9"/>
        <v>1684000</v>
      </c>
      <c r="X26" s="225"/>
    </row>
    <row r="27" spans="1:24" ht="12">
      <c r="A27" s="71">
        <f t="shared" si="4"/>
        <v>18</v>
      </c>
      <c r="B27" s="83" t="s">
        <v>74</v>
      </c>
      <c r="C27" s="201" t="s">
        <v>114</v>
      </c>
      <c r="D27" s="202" t="s">
        <v>115</v>
      </c>
      <c r="E27" s="89" t="s">
        <v>803</v>
      </c>
      <c r="F27" s="73"/>
      <c r="G27" s="90"/>
      <c r="H27" s="90"/>
      <c r="I27" s="89" t="s">
        <v>33</v>
      </c>
      <c r="J27" s="222">
        <f t="shared" si="5"/>
        <v>3.1</v>
      </c>
      <c r="K27" s="222">
        <f t="shared" si="5"/>
        <v>3.5</v>
      </c>
      <c r="L27" s="222">
        <f t="shared" si="5"/>
        <v>3.6</v>
      </c>
      <c r="M27" s="222">
        <f t="shared" si="5"/>
        <v>6.6</v>
      </c>
      <c r="N27" s="222">
        <f t="shared" si="5"/>
        <v>4.0999999999999996</v>
      </c>
      <c r="O27" s="222">
        <f t="shared" si="5"/>
        <v>2.7</v>
      </c>
      <c r="P27" s="222">
        <f t="shared" si="5"/>
        <v>1.1000000000000001</v>
      </c>
      <c r="Q27" s="222">
        <f t="shared" si="5"/>
        <v>3.1</v>
      </c>
      <c r="R27" s="222">
        <f t="shared" si="5"/>
        <v>0</v>
      </c>
      <c r="S27" s="85"/>
      <c r="T27" s="222">
        <f t="shared" si="6"/>
        <v>4.1999999999999993</v>
      </c>
      <c r="U27" s="222">
        <f t="shared" si="7"/>
        <v>32</v>
      </c>
      <c r="V27" s="223">
        <f t="shared" si="8"/>
        <v>1.6</v>
      </c>
      <c r="W27" s="224">
        <f t="shared" si="9"/>
        <v>1684000</v>
      </c>
      <c r="X27" s="225"/>
    </row>
    <row r="28" spans="1:24" ht="12">
      <c r="A28" s="71">
        <f t="shared" si="4"/>
        <v>19</v>
      </c>
      <c r="B28" s="83" t="s">
        <v>74</v>
      </c>
      <c r="C28" s="201" t="s">
        <v>117</v>
      </c>
      <c r="D28" s="202" t="s">
        <v>118</v>
      </c>
      <c r="E28" s="89" t="s">
        <v>803</v>
      </c>
      <c r="F28" s="73"/>
      <c r="G28" s="90"/>
      <c r="H28" s="90"/>
      <c r="I28" s="89" t="s">
        <v>33</v>
      </c>
      <c r="J28" s="222">
        <f t="shared" si="5"/>
        <v>3.1</v>
      </c>
      <c r="K28" s="222">
        <f t="shared" si="5"/>
        <v>3.5</v>
      </c>
      <c r="L28" s="222">
        <f t="shared" si="5"/>
        <v>3.6</v>
      </c>
      <c r="M28" s="222">
        <f t="shared" si="5"/>
        <v>6.6</v>
      </c>
      <c r="N28" s="222">
        <f t="shared" si="5"/>
        <v>4.0999999999999996</v>
      </c>
      <c r="O28" s="222">
        <f t="shared" si="5"/>
        <v>2.7</v>
      </c>
      <c r="P28" s="222">
        <f t="shared" si="5"/>
        <v>1.1000000000000001</v>
      </c>
      <c r="Q28" s="222">
        <f t="shared" si="5"/>
        <v>3.1</v>
      </c>
      <c r="R28" s="222">
        <f t="shared" si="5"/>
        <v>0</v>
      </c>
      <c r="S28" s="85"/>
      <c r="T28" s="222">
        <f t="shared" si="6"/>
        <v>4.1999999999999993</v>
      </c>
      <c r="U28" s="222">
        <f t="shared" si="7"/>
        <v>32</v>
      </c>
      <c r="V28" s="223">
        <f t="shared" si="8"/>
        <v>1.6</v>
      </c>
      <c r="W28" s="224">
        <f t="shared" si="9"/>
        <v>1684000</v>
      </c>
      <c r="X28" s="225"/>
    </row>
    <row r="29" spans="1:24" ht="12">
      <c r="A29" s="71">
        <f t="shared" si="4"/>
        <v>20</v>
      </c>
      <c r="B29" s="83" t="s">
        <v>74</v>
      </c>
      <c r="C29" s="201" t="s">
        <v>119</v>
      </c>
      <c r="D29" s="202" t="s">
        <v>120</v>
      </c>
      <c r="E29" s="89" t="s">
        <v>803</v>
      </c>
      <c r="F29" s="73"/>
      <c r="G29" s="90"/>
      <c r="H29" s="90"/>
      <c r="I29" s="89" t="s">
        <v>33</v>
      </c>
      <c r="J29" s="222">
        <f t="shared" si="5"/>
        <v>3.1</v>
      </c>
      <c r="K29" s="222">
        <f t="shared" si="5"/>
        <v>3.5</v>
      </c>
      <c r="L29" s="222">
        <f t="shared" si="5"/>
        <v>3.6</v>
      </c>
      <c r="M29" s="222">
        <f t="shared" si="5"/>
        <v>6.6</v>
      </c>
      <c r="N29" s="222">
        <f t="shared" si="5"/>
        <v>4.0999999999999996</v>
      </c>
      <c r="O29" s="222">
        <f t="shared" si="5"/>
        <v>2.7</v>
      </c>
      <c r="P29" s="222">
        <f t="shared" si="5"/>
        <v>1.1000000000000001</v>
      </c>
      <c r="Q29" s="222">
        <f t="shared" si="5"/>
        <v>3.1</v>
      </c>
      <c r="R29" s="222">
        <f t="shared" si="5"/>
        <v>0</v>
      </c>
      <c r="S29" s="85"/>
      <c r="T29" s="222">
        <f t="shared" si="6"/>
        <v>4.1999999999999993</v>
      </c>
      <c r="U29" s="222">
        <f t="shared" si="7"/>
        <v>32</v>
      </c>
      <c r="V29" s="223">
        <f t="shared" si="8"/>
        <v>1.6</v>
      </c>
      <c r="W29" s="224">
        <f t="shared" si="9"/>
        <v>1684000</v>
      </c>
      <c r="X29" s="225"/>
    </row>
    <row r="30" spans="1:24" ht="12">
      <c r="A30" s="71">
        <f t="shared" si="4"/>
        <v>21</v>
      </c>
      <c r="B30" s="83" t="s">
        <v>74</v>
      </c>
      <c r="C30" s="201" t="s">
        <v>121</v>
      </c>
      <c r="D30" s="202" t="s">
        <v>122</v>
      </c>
      <c r="E30" s="89" t="s">
        <v>803</v>
      </c>
      <c r="F30" s="73"/>
      <c r="G30" s="90"/>
      <c r="H30" s="90"/>
      <c r="I30" s="89" t="s">
        <v>33</v>
      </c>
      <c r="J30" s="222">
        <f t="shared" si="5"/>
        <v>3.1</v>
      </c>
      <c r="K30" s="222">
        <f t="shared" si="5"/>
        <v>3.5</v>
      </c>
      <c r="L30" s="222">
        <f t="shared" si="5"/>
        <v>3.6</v>
      </c>
      <c r="M30" s="222">
        <f t="shared" si="5"/>
        <v>6.6</v>
      </c>
      <c r="N30" s="222">
        <f t="shared" si="5"/>
        <v>4.0999999999999996</v>
      </c>
      <c r="O30" s="222">
        <f t="shared" si="5"/>
        <v>2.7</v>
      </c>
      <c r="P30" s="222">
        <f t="shared" si="5"/>
        <v>1.1000000000000001</v>
      </c>
      <c r="Q30" s="222">
        <f t="shared" si="5"/>
        <v>3.1</v>
      </c>
      <c r="R30" s="222">
        <f t="shared" si="5"/>
        <v>0</v>
      </c>
      <c r="S30" s="85"/>
      <c r="T30" s="222">
        <f t="shared" si="6"/>
        <v>4.1999999999999993</v>
      </c>
      <c r="U30" s="222">
        <f t="shared" si="7"/>
        <v>32</v>
      </c>
      <c r="V30" s="223">
        <f t="shared" si="8"/>
        <v>1.6</v>
      </c>
      <c r="W30" s="224">
        <f t="shared" si="9"/>
        <v>1684000</v>
      </c>
      <c r="X30" s="225"/>
    </row>
    <row r="31" spans="1:24" ht="12">
      <c r="A31" s="71">
        <f t="shared" si="4"/>
        <v>22</v>
      </c>
      <c r="B31" s="83" t="s">
        <v>74</v>
      </c>
      <c r="C31" s="201" t="s">
        <v>123</v>
      </c>
      <c r="D31" s="202" t="s">
        <v>124</v>
      </c>
      <c r="E31" s="89" t="s">
        <v>803</v>
      </c>
      <c r="F31" s="73"/>
      <c r="G31" s="90"/>
      <c r="H31" s="90"/>
      <c r="I31" s="89" t="s">
        <v>33</v>
      </c>
      <c r="J31" s="222">
        <f t="shared" si="5"/>
        <v>3.1</v>
      </c>
      <c r="K31" s="222">
        <f t="shared" si="5"/>
        <v>3.5</v>
      </c>
      <c r="L31" s="222">
        <f t="shared" si="5"/>
        <v>3.6</v>
      </c>
      <c r="M31" s="222">
        <f t="shared" si="5"/>
        <v>6.6</v>
      </c>
      <c r="N31" s="222">
        <f t="shared" si="5"/>
        <v>4.0999999999999996</v>
      </c>
      <c r="O31" s="222">
        <f t="shared" si="5"/>
        <v>2.7</v>
      </c>
      <c r="P31" s="222">
        <f t="shared" si="5"/>
        <v>1.1000000000000001</v>
      </c>
      <c r="Q31" s="222">
        <f t="shared" si="5"/>
        <v>3.1</v>
      </c>
      <c r="R31" s="222">
        <f t="shared" si="5"/>
        <v>0</v>
      </c>
      <c r="S31" s="85"/>
      <c r="T31" s="222">
        <f t="shared" si="6"/>
        <v>4.1999999999999993</v>
      </c>
      <c r="U31" s="222">
        <f t="shared" si="7"/>
        <v>32</v>
      </c>
      <c r="V31" s="223">
        <f t="shared" si="8"/>
        <v>1.6</v>
      </c>
      <c r="W31" s="224">
        <f t="shared" si="9"/>
        <v>1684000</v>
      </c>
      <c r="X31" s="225"/>
    </row>
    <row r="32" spans="1:24" ht="12">
      <c r="A32" s="71">
        <f t="shared" ref="A32:A250" si="10">ROW()-9</f>
        <v>23</v>
      </c>
      <c r="B32" s="83" t="s">
        <v>74</v>
      </c>
      <c r="C32" s="201" t="s">
        <v>349</v>
      </c>
      <c r="D32" s="202" t="s">
        <v>350</v>
      </c>
      <c r="E32" s="89" t="s">
        <v>57</v>
      </c>
      <c r="F32" s="73"/>
      <c r="G32" s="90"/>
      <c r="H32" s="90"/>
      <c r="I32" s="73" t="s">
        <v>35</v>
      </c>
      <c r="J32" s="222">
        <f t="shared" ref="J32:R40" si="11">ROUNDUP(IF($E32="画面",画面係数,IF($E32="帳票",帳票係数,IF($E32="バッチ",バッチ係数,0))) *
 IF($I32="特高",特高係数,IF($I32="高",高係数,IF($I32="中",中係数,IF($I32="低",低係数,IF($I32="特低",特低係数,0)))))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0.4</v>
      </c>
      <c r="K32" s="222">
        <f t="shared" si="11"/>
        <v>0.4</v>
      </c>
      <c r="L32" s="222">
        <f t="shared" si="11"/>
        <v>0.5</v>
      </c>
      <c r="M32" s="222">
        <f t="shared" si="11"/>
        <v>0.79999999999999993</v>
      </c>
      <c r="N32" s="222">
        <f t="shared" si="11"/>
        <v>0.5</v>
      </c>
      <c r="O32" s="222">
        <f t="shared" si="11"/>
        <v>0.4</v>
      </c>
      <c r="P32" s="222">
        <f t="shared" si="11"/>
        <v>0.2</v>
      </c>
      <c r="Q32" s="222">
        <f t="shared" si="11"/>
        <v>0.4</v>
      </c>
      <c r="R32" s="222">
        <f t="shared" si="11"/>
        <v>0</v>
      </c>
      <c r="S32" s="85"/>
      <c r="T32" s="222">
        <f t="shared" ref="T32:T78" si="12">ROUNDUP(SUM(J32:S32)*T$8,1)</f>
        <v>0.6</v>
      </c>
      <c r="U32" s="222">
        <f t="shared" ref="U32:U78" si="13">SUM(J32:T32)</f>
        <v>4.2</v>
      </c>
      <c r="V32" s="223">
        <f t="shared" ref="V32:V78" si="14">U32/20</f>
        <v>0.21000000000000002</v>
      </c>
      <c r="W32" s="224">
        <f t="shared" ref="W32:W78" si="15">((J32*J$9) + (K32*K$9) + (L32*L$9) + (M32*M$9) + (N32*N$9) + (O32*O$9) + (P32*P$9) + (Q32*Q$9) + (R32*R$9) + (S32*S$9) + (T32*T$9))/20</f>
        <v>222000</v>
      </c>
      <c r="X32" s="225"/>
    </row>
    <row r="33" spans="1:24" s="243" customFormat="1" ht="12">
      <c r="A33" s="231">
        <f t="shared" si="10"/>
        <v>24</v>
      </c>
      <c r="B33" s="232" t="s">
        <v>74</v>
      </c>
      <c r="C33" s="233" t="s">
        <v>349</v>
      </c>
      <c r="D33" s="234" t="s">
        <v>353</v>
      </c>
      <c r="E33" s="235"/>
      <c r="F33" s="236"/>
      <c r="G33" s="237"/>
      <c r="H33" s="237"/>
      <c r="I33" s="236" t="s">
        <v>35</v>
      </c>
      <c r="J33" s="238"/>
      <c r="K33" s="238"/>
      <c r="L33" s="238"/>
      <c r="M33" s="238"/>
      <c r="N33" s="238"/>
      <c r="O33" s="238"/>
      <c r="P33" s="238"/>
      <c r="Q33" s="238"/>
      <c r="R33" s="238"/>
      <c r="S33" s="239"/>
      <c r="T33" s="238">
        <f t="shared" si="12"/>
        <v>0</v>
      </c>
      <c r="U33" s="238">
        <f t="shared" si="13"/>
        <v>0</v>
      </c>
      <c r="V33" s="240">
        <f t="shared" si="14"/>
        <v>0</v>
      </c>
      <c r="W33" s="241">
        <f t="shared" si="15"/>
        <v>0</v>
      </c>
      <c r="X33" s="242"/>
    </row>
    <row r="34" spans="1:24" s="243" customFormat="1" ht="12">
      <c r="A34" s="231">
        <f t="shared" si="10"/>
        <v>25</v>
      </c>
      <c r="B34" s="232" t="s">
        <v>74</v>
      </c>
      <c r="C34" s="233" t="s">
        <v>349</v>
      </c>
      <c r="D34" s="234" t="s">
        <v>354</v>
      </c>
      <c r="E34" s="235"/>
      <c r="F34" s="236"/>
      <c r="G34" s="237"/>
      <c r="H34" s="237"/>
      <c r="I34" s="236" t="s">
        <v>35</v>
      </c>
      <c r="J34" s="238"/>
      <c r="K34" s="238"/>
      <c r="L34" s="238"/>
      <c r="M34" s="238"/>
      <c r="N34" s="238"/>
      <c r="O34" s="238"/>
      <c r="P34" s="238"/>
      <c r="Q34" s="238"/>
      <c r="R34" s="238"/>
      <c r="S34" s="239"/>
      <c r="T34" s="238">
        <f t="shared" si="12"/>
        <v>0</v>
      </c>
      <c r="U34" s="238">
        <f t="shared" si="13"/>
        <v>0</v>
      </c>
      <c r="V34" s="240">
        <f t="shared" si="14"/>
        <v>0</v>
      </c>
      <c r="W34" s="241">
        <f t="shared" si="15"/>
        <v>0</v>
      </c>
      <c r="X34" s="242"/>
    </row>
    <row r="35" spans="1:24" s="243" customFormat="1" ht="12">
      <c r="A35" s="231">
        <f t="shared" si="10"/>
        <v>26</v>
      </c>
      <c r="B35" s="232" t="s">
        <v>74</v>
      </c>
      <c r="C35" s="233" t="s">
        <v>349</v>
      </c>
      <c r="D35" s="234" t="s">
        <v>355</v>
      </c>
      <c r="E35" s="235"/>
      <c r="F35" s="236"/>
      <c r="G35" s="237"/>
      <c r="H35" s="237"/>
      <c r="I35" s="236" t="s">
        <v>35</v>
      </c>
      <c r="J35" s="238"/>
      <c r="K35" s="238"/>
      <c r="L35" s="238"/>
      <c r="M35" s="238"/>
      <c r="N35" s="238"/>
      <c r="O35" s="238"/>
      <c r="P35" s="238"/>
      <c r="Q35" s="238"/>
      <c r="R35" s="238"/>
      <c r="S35" s="239"/>
      <c r="T35" s="238">
        <f t="shared" si="12"/>
        <v>0</v>
      </c>
      <c r="U35" s="238">
        <f t="shared" si="13"/>
        <v>0</v>
      </c>
      <c r="V35" s="240">
        <f t="shared" si="14"/>
        <v>0</v>
      </c>
      <c r="W35" s="241">
        <f t="shared" si="15"/>
        <v>0</v>
      </c>
      <c r="X35" s="242"/>
    </row>
    <row r="36" spans="1:24" ht="12">
      <c r="A36" s="71">
        <f t="shared" si="10"/>
        <v>27</v>
      </c>
      <c r="B36" s="83" t="s">
        <v>74</v>
      </c>
      <c r="C36" s="201" t="s">
        <v>356</v>
      </c>
      <c r="D36" s="202" t="s">
        <v>357</v>
      </c>
      <c r="E36" s="89" t="s">
        <v>57</v>
      </c>
      <c r="F36" s="73"/>
      <c r="G36" s="90"/>
      <c r="H36" s="90"/>
      <c r="I36" s="73" t="s">
        <v>35</v>
      </c>
      <c r="J36" s="222">
        <f t="shared" si="11"/>
        <v>0.4</v>
      </c>
      <c r="K36" s="222">
        <f t="shared" si="11"/>
        <v>0.4</v>
      </c>
      <c r="L36" s="222">
        <f t="shared" si="11"/>
        <v>0.5</v>
      </c>
      <c r="M36" s="222">
        <f t="shared" si="11"/>
        <v>0.79999999999999993</v>
      </c>
      <c r="N36" s="222">
        <f t="shared" si="11"/>
        <v>0.5</v>
      </c>
      <c r="O36" s="222">
        <f t="shared" si="11"/>
        <v>0.4</v>
      </c>
      <c r="P36" s="222">
        <f t="shared" si="11"/>
        <v>0.2</v>
      </c>
      <c r="Q36" s="222">
        <f t="shared" si="11"/>
        <v>0.4</v>
      </c>
      <c r="R36" s="222">
        <f t="shared" si="11"/>
        <v>0</v>
      </c>
      <c r="S36" s="85"/>
      <c r="T36" s="222">
        <f t="shared" si="12"/>
        <v>0.6</v>
      </c>
      <c r="U36" s="222">
        <f t="shared" si="13"/>
        <v>4.2</v>
      </c>
      <c r="V36" s="223">
        <f t="shared" si="14"/>
        <v>0.21000000000000002</v>
      </c>
      <c r="W36" s="224">
        <f t="shared" si="15"/>
        <v>222000</v>
      </c>
      <c r="X36" s="225"/>
    </row>
    <row r="37" spans="1:24" s="243" customFormat="1" ht="12">
      <c r="A37" s="231">
        <f t="shared" si="10"/>
        <v>28</v>
      </c>
      <c r="B37" s="232" t="s">
        <v>74</v>
      </c>
      <c r="C37" s="233" t="s">
        <v>356</v>
      </c>
      <c r="D37" s="234" t="s">
        <v>358</v>
      </c>
      <c r="E37" s="235"/>
      <c r="F37" s="236"/>
      <c r="G37" s="237"/>
      <c r="H37" s="237"/>
      <c r="I37" s="236" t="s">
        <v>35</v>
      </c>
      <c r="J37" s="238"/>
      <c r="K37" s="238"/>
      <c r="L37" s="238"/>
      <c r="M37" s="238"/>
      <c r="N37" s="238"/>
      <c r="O37" s="238"/>
      <c r="P37" s="238"/>
      <c r="Q37" s="238"/>
      <c r="R37" s="238"/>
      <c r="S37" s="239"/>
      <c r="T37" s="238">
        <f t="shared" si="12"/>
        <v>0</v>
      </c>
      <c r="U37" s="238">
        <f t="shared" si="13"/>
        <v>0</v>
      </c>
      <c r="V37" s="240">
        <f t="shared" si="14"/>
        <v>0</v>
      </c>
      <c r="W37" s="241">
        <f t="shared" si="15"/>
        <v>0</v>
      </c>
      <c r="X37" s="242"/>
    </row>
    <row r="38" spans="1:24" s="243" customFormat="1" ht="12">
      <c r="A38" s="231">
        <f t="shared" si="10"/>
        <v>29</v>
      </c>
      <c r="B38" s="232" t="s">
        <v>74</v>
      </c>
      <c r="C38" s="233" t="s">
        <v>356</v>
      </c>
      <c r="D38" s="234" t="s">
        <v>359</v>
      </c>
      <c r="E38" s="235"/>
      <c r="F38" s="236"/>
      <c r="G38" s="237"/>
      <c r="H38" s="237"/>
      <c r="I38" s="236" t="s">
        <v>35</v>
      </c>
      <c r="J38" s="238"/>
      <c r="K38" s="238"/>
      <c r="L38" s="238"/>
      <c r="M38" s="238"/>
      <c r="N38" s="238"/>
      <c r="O38" s="238"/>
      <c r="P38" s="238"/>
      <c r="Q38" s="238"/>
      <c r="R38" s="238"/>
      <c r="S38" s="239"/>
      <c r="T38" s="238">
        <f t="shared" si="12"/>
        <v>0</v>
      </c>
      <c r="U38" s="238">
        <f t="shared" si="13"/>
        <v>0</v>
      </c>
      <c r="V38" s="240">
        <f t="shared" si="14"/>
        <v>0</v>
      </c>
      <c r="W38" s="241">
        <f t="shared" si="15"/>
        <v>0</v>
      </c>
      <c r="X38" s="242"/>
    </row>
    <row r="39" spans="1:24" s="243" customFormat="1" ht="12">
      <c r="A39" s="231">
        <f t="shared" si="10"/>
        <v>30</v>
      </c>
      <c r="B39" s="232" t="s">
        <v>74</v>
      </c>
      <c r="C39" s="233" t="s">
        <v>356</v>
      </c>
      <c r="D39" s="234" t="s">
        <v>360</v>
      </c>
      <c r="E39" s="235"/>
      <c r="F39" s="235"/>
      <c r="G39" s="237"/>
      <c r="H39" s="237"/>
      <c r="I39" s="236" t="s">
        <v>35</v>
      </c>
      <c r="J39" s="238"/>
      <c r="K39" s="238"/>
      <c r="L39" s="238"/>
      <c r="M39" s="238"/>
      <c r="N39" s="238"/>
      <c r="O39" s="238"/>
      <c r="P39" s="238"/>
      <c r="Q39" s="238"/>
      <c r="R39" s="238"/>
      <c r="S39" s="239"/>
      <c r="T39" s="238">
        <f t="shared" si="12"/>
        <v>0</v>
      </c>
      <c r="U39" s="238">
        <f t="shared" si="13"/>
        <v>0</v>
      </c>
      <c r="V39" s="240">
        <f t="shared" si="14"/>
        <v>0</v>
      </c>
      <c r="W39" s="241">
        <f t="shared" si="15"/>
        <v>0</v>
      </c>
      <c r="X39" s="242"/>
    </row>
    <row r="40" spans="1:24" ht="12">
      <c r="A40" s="71">
        <f t="shared" si="10"/>
        <v>31</v>
      </c>
      <c r="B40" s="83" t="s">
        <v>74</v>
      </c>
      <c r="C40" s="201" t="s">
        <v>361</v>
      </c>
      <c r="D40" s="202" t="s">
        <v>362</v>
      </c>
      <c r="E40" s="89" t="s">
        <v>57</v>
      </c>
      <c r="F40" s="89"/>
      <c r="G40" s="90"/>
      <c r="H40" s="90"/>
      <c r="I40" s="73" t="s">
        <v>35</v>
      </c>
      <c r="J40" s="222">
        <f t="shared" si="11"/>
        <v>0.4</v>
      </c>
      <c r="K40" s="222">
        <f t="shared" si="11"/>
        <v>0.4</v>
      </c>
      <c r="L40" s="222">
        <f t="shared" si="11"/>
        <v>0.5</v>
      </c>
      <c r="M40" s="222">
        <f t="shared" si="11"/>
        <v>0.79999999999999993</v>
      </c>
      <c r="N40" s="222">
        <f t="shared" si="11"/>
        <v>0.5</v>
      </c>
      <c r="O40" s="222">
        <f t="shared" si="11"/>
        <v>0.4</v>
      </c>
      <c r="P40" s="222">
        <f t="shared" si="11"/>
        <v>0.2</v>
      </c>
      <c r="Q40" s="222">
        <f t="shared" si="11"/>
        <v>0.4</v>
      </c>
      <c r="R40" s="222">
        <f t="shared" si="11"/>
        <v>0</v>
      </c>
      <c r="S40" s="85"/>
      <c r="T40" s="222">
        <f t="shared" si="12"/>
        <v>0.6</v>
      </c>
      <c r="U40" s="222">
        <f t="shared" si="13"/>
        <v>4.2</v>
      </c>
      <c r="V40" s="223">
        <f t="shared" si="14"/>
        <v>0.21000000000000002</v>
      </c>
      <c r="W40" s="224">
        <f t="shared" si="15"/>
        <v>222000</v>
      </c>
      <c r="X40" s="225"/>
    </row>
    <row r="41" spans="1:24" s="243" customFormat="1" ht="12">
      <c r="A41" s="231">
        <f t="shared" si="10"/>
        <v>32</v>
      </c>
      <c r="B41" s="232" t="s">
        <v>74</v>
      </c>
      <c r="C41" s="233" t="s">
        <v>361</v>
      </c>
      <c r="D41" s="234" t="s">
        <v>363</v>
      </c>
      <c r="E41" s="235"/>
      <c r="F41" s="235"/>
      <c r="G41" s="237"/>
      <c r="H41" s="237"/>
      <c r="I41" s="236" t="s">
        <v>35</v>
      </c>
      <c r="J41" s="238"/>
      <c r="K41" s="238"/>
      <c r="L41" s="238"/>
      <c r="M41" s="238"/>
      <c r="N41" s="238"/>
      <c r="O41" s="238"/>
      <c r="P41" s="238"/>
      <c r="Q41" s="238"/>
      <c r="R41" s="238"/>
      <c r="S41" s="239"/>
      <c r="T41" s="238">
        <f t="shared" si="12"/>
        <v>0</v>
      </c>
      <c r="U41" s="238">
        <f t="shared" si="13"/>
        <v>0</v>
      </c>
      <c r="V41" s="240">
        <f t="shared" si="14"/>
        <v>0</v>
      </c>
      <c r="W41" s="241">
        <f t="shared" si="15"/>
        <v>0</v>
      </c>
      <c r="X41" s="242"/>
    </row>
    <row r="42" spans="1:24" s="243" customFormat="1" ht="12">
      <c r="A42" s="231">
        <f t="shared" si="10"/>
        <v>33</v>
      </c>
      <c r="B42" s="232" t="s">
        <v>74</v>
      </c>
      <c r="C42" s="233" t="s">
        <v>361</v>
      </c>
      <c r="D42" s="234" t="s">
        <v>364</v>
      </c>
      <c r="E42" s="235"/>
      <c r="F42" s="235"/>
      <c r="G42" s="237"/>
      <c r="H42" s="237"/>
      <c r="I42" s="236" t="s">
        <v>35</v>
      </c>
      <c r="J42" s="238"/>
      <c r="K42" s="238"/>
      <c r="L42" s="238"/>
      <c r="M42" s="238"/>
      <c r="N42" s="238"/>
      <c r="O42" s="238"/>
      <c r="P42" s="238"/>
      <c r="Q42" s="238"/>
      <c r="R42" s="238"/>
      <c r="S42" s="239"/>
      <c r="T42" s="238">
        <f t="shared" si="12"/>
        <v>0</v>
      </c>
      <c r="U42" s="238">
        <f t="shared" si="13"/>
        <v>0</v>
      </c>
      <c r="V42" s="240">
        <f t="shared" si="14"/>
        <v>0</v>
      </c>
      <c r="W42" s="241">
        <f t="shared" si="15"/>
        <v>0</v>
      </c>
      <c r="X42" s="242"/>
    </row>
    <row r="43" spans="1:24" ht="12">
      <c r="A43" s="71">
        <f t="shared" si="10"/>
        <v>34</v>
      </c>
      <c r="B43" s="83" t="s">
        <v>74</v>
      </c>
      <c r="C43" s="201" t="s">
        <v>365</v>
      </c>
      <c r="D43" s="202" t="s">
        <v>366</v>
      </c>
      <c r="E43" s="89" t="s">
        <v>57</v>
      </c>
      <c r="F43" s="73"/>
      <c r="G43" s="90"/>
      <c r="H43" s="90"/>
      <c r="I43" s="73" t="s">
        <v>35</v>
      </c>
      <c r="J43" s="222">
        <f t="shared" ref="J43:R49" si="16">ROUNDUP(IF($E43="画面",画面係数,IF($E43="帳票",帳票係数,IF($E43="バッチ",バッチ係数,0))) *
 IF($I43="特高",特高係数,IF($I43="高",高係数,IF($I43="中",中係数,IF($I43="低",低係数,IF($I43="特低",特低係数,0)))))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0.4</v>
      </c>
      <c r="K43" s="222">
        <f t="shared" si="16"/>
        <v>0.4</v>
      </c>
      <c r="L43" s="222">
        <f t="shared" si="16"/>
        <v>0.5</v>
      </c>
      <c r="M43" s="222">
        <f t="shared" si="16"/>
        <v>0.79999999999999993</v>
      </c>
      <c r="N43" s="222">
        <f t="shared" si="16"/>
        <v>0.5</v>
      </c>
      <c r="O43" s="222">
        <f t="shared" si="16"/>
        <v>0.4</v>
      </c>
      <c r="P43" s="222">
        <f t="shared" si="16"/>
        <v>0.2</v>
      </c>
      <c r="Q43" s="222">
        <f t="shared" si="16"/>
        <v>0.4</v>
      </c>
      <c r="R43" s="222">
        <f t="shared" si="16"/>
        <v>0</v>
      </c>
      <c r="S43" s="85"/>
      <c r="T43" s="222">
        <f t="shared" si="12"/>
        <v>0.6</v>
      </c>
      <c r="U43" s="222">
        <f t="shared" si="13"/>
        <v>4.2</v>
      </c>
      <c r="V43" s="223">
        <f t="shared" si="14"/>
        <v>0.21000000000000002</v>
      </c>
      <c r="W43" s="224">
        <f t="shared" si="15"/>
        <v>222000</v>
      </c>
      <c r="X43" s="225"/>
    </row>
    <row r="44" spans="1:24" ht="12">
      <c r="A44" s="71">
        <f t="shared" si="10"/>
        <v>35</v>
      </c>
      <c r="B44" s="83" t="s">
        <v>74</v>
      </c>
      <c r="C44" s="201" t="s">
        <v>125</v>
      </c>
      <c r="D44" s="202" t="s">
        <v>367</v>
      </c>
      <c r="E44" s="89" t="s">
        <v>57</v>
      </c>
      <c r="F44" s="73"/>
      <c r="G44" s="90"/>
      <c r="H44" s="90"/>
      <c r="I44" s="73" t="s">
        <v>35</v>
      </c>
      <c r="J44" s="222">
        <f t="shared" si="16"/>
        <v>0.4</v>
      </c>
      <c r="K44" s="222">
        <f t="shared" si="16"/>
        <v>0.4</v>
      </c>
      <c r="L44" s="222">
        <f t="shared" si="16"/>
        <v>0.5</v>
      </c>
      <c r="M44" s="222">
        <f t="shared" si="16"/>
        <v>0.79999999999999993</v>
      </c>
      <c r="N44" s="222">
        <f t="shared" si="16"/>
        <v>0.5</v>
      </c>
      <c r="O44" s="222">
        <f t="shared" si="16"/>
        <v>0.4</v>
      </c>
      <c r="P44" s="222">
        <f t="shared" si="16"/>
        <v>0.2</v>
      </c>
      <c r="Q44" s="222">
        <f t="shared" si="16"/>
        <v>0.4</v>
      </c>
      <c r="R44" s="222">
        <f t="shared" si="16"/>
        <v>0</v>
      </c>
      <c r="S44" s="85"/>
      <c r="T44" s="222">
        <f t="shared" si="12"/>
        <v>0.6</v>
      </c>
      <c r="U44" s="222">
        <f t="shared" si="13"/>
        <v>4.2</v>
      </c>
      <c r="V44" s="223">
        <f t="shared" si="14"/>
        <v>0.21000000000000002</v>
      </c>
      <c r="W44" s="224">
        <f t="shared" si="15"/>
        <v>222000</v>
      </c>
      <c r="X44" s="225"/>
    </row>
    <row r="45" spans="1:24" s="243" customFormat="1" ht="12">
      <c r="A45" s="231">
        <f t="shared" si="10"/>
        <v>36</v>
      </c>
      <c r="B45" s="232" t="s">
        <v>74</v>
      </c>
      <c r="C45" s="233" t="s">
        <v>125</v>
      </c>
      <c r="D45" s="234" t="s">
        <v>368</v>
      </c>
      <c r="E45" s="235"/>
      <c r="F45" s="236"/>
      <c r="G45" s="237"/>
      <c r="H45" s="237"/>
      <c r="I45" s="236" t="s">
        <v>35</v>
      </c>
      <c r="J45" s="238"/>
      <c r="K45" s="238"/>
      <c r="L45" s="238"/>
      <c r="M45" s="238"/>
      <c r="N45" s="238"/>
      <c r="O45" s="238"/>
      <c r="P45" s="238"/>
      <c r="Q45" s="238"/>
      <c r="R45" s="238"/>
      <c r="S45" s="239"/>
      <c r="T45" s="238">
        <f t="shared" si="12"/>
        <v>0</v>
      </c>
      <c r="U45" s="238">
        <f t="shared" si="13"/>
        <v>0</v>
      </c>
      <c r="V45" s="240">
        <f t="shared" si="14"/>
        <v>0</v>
      </c>
      <c r="W45" s="241">
        <f t="shared" si="15"/>
        <v>0</v>
      </c>
      <c r="X45" s="242"/>
    </row>
    <row r="46" spans="1:24" s="243" customFormat="1" ht="12">
      <c r="A46" s="231">
        <f t="shared" si="10"/>
        <v>37</v>
      </c>
      <c r="B46" s="232" t="s">
        <v>74</v>
      </c>
      <c r="C46" s="233" t="s">
        <v>125</v>
      </c>
      <c r="D46" s="234" t="s">
        <v>369</v>
      </c>
      <c r="E46" s="235"/>
      <c r="F46" s="236"/>
      <c r="G46" s="237"/>
      <c r="H46" s="237"/>
      <c r="I46" s="236" t="s">
        <v>35</v>
      </c>
      <c r="J46" s="238"/>
      <c r="K46" s="238"/>
      <c r="L46" s="238"/>
      <c r="M46" s="238"/>
      <c r="N46" s="238"/>
      <c r="O46" s="238"/>
      <c r="P46" s="238"/>
      <c r="Q46" s="238"/>
      <c r="R46" s="238"/>
      <c r="S46" s="239"/>
      <c r="T46" s="238">
        <f t="shared" si="12"/>
        <v>0</v>
      </c>
      <c r="U46" s="238">
        <f t="shared" si="13"/>
        <v>0</v>
      </c>
      <c r="V46" s="240">
        <f t="shared" si="14"/>
        <v>0</v>
      </c>
      <c r="W46" s="241">
        <f t="shared" si="15"/>
        <v>0</v>
      </c>
      <c r="X46" s="242"/>
    </row>
    <row r="47" spans="1:24" s="243" customFormat="1" ht="12">
      <c r="A47" s="231">
        <f t="shared" si="10"/>
        <v>38</v>
      </c>
      <c r="B47" s="232" t="s">
        <v>74</v>
      </c>
      <c r="C47" s="233" t="s">
        <v>125</v>
      </c>
      <c r="D47" s="234" t="s">
        <v>370</v>
      </c>
      <c r="E47" s="235"/>
      <c r="F47" s="236"/>
      <c r="G47" s="237"/>
      <c r="H47" s="237"/>
      <c r="I47" s="236" t="s">
        <v>35</v>
      </c>
      <c r="J47" s="238"/>
      <c r="K47" s="238"/>
      <c r="L47" s="238"/>
      <c r="M47" s="238"/>
      <c r="N47" s="238"/>
      <c r="O47" s="238"/>
      <c r="P47" s="238"/>
      <c r="Q47" s="238"/>
      <c r="R47" s="238"/>
      <c r="S47" s="239"/>
      <c r="T47" s="238">
        <f t="shared" si="12"/>
        <v>0</v>
      </c>
      <c r="U47" s="238">
        <f t="shared" si="13"/>
        <v>0</v>
      </c>
      <c r="V47" s="240">
        <f t="shared" si="14"/>
        <v>0</v>
      </c>
      <c r="W47" s="241">
        <f t="shared" si="15"/>
        <v>0</v>
      </c>
      <c r="X47" s="242"/>
    </row>
    <row r="48" spans="1:24" ht="12">
      <c r="A48" s="71">
        <f t="shared" si="10"/>
        <v>39</v>
      </c>
      <c r="B48" s="83" t="s">
        <v>74</v>
      </c>
      <c r="C48" s="201" t="s">
        <v>371</v>
      </c>
      <c r="D48" s="202" t="s">
        <v>372</v>
      </c>
      <c r="E48" s="89" t="s">
        <v>57</v>
      </c>
      <c r="F48" s="73"/>
      <c r="G48" s="90"/>
      <c r="H48" s="90"/>
      <c r="I48" s="73" t="s">
        <v>35</v>
      </c>
      <c r="J48" s="222">
        <f t="shared" si="16"/>
        <v>0.4</v>
      </c>
      <c r="K48" s="222">
        <f t="shared" si="16"/>
        <v>0.4</v>
      </c>
      <c r="L48" s="222">
        <f t="shared" si="16"/>
        <v>0.5</v>
      </c>
      <c r="M48" s="222">
        <f t="shared" si="16"/>
        <v>0.79999999999999993</v>
      </c>
      <c r="N48" s="222">
        <f t="shared" si="16"/>
        <v>0.5</v>
      </c>
      <c r="O48" s="222">
        <f t="shared" si="16"/>
        <v>0.4</v>
      </c>
      <c r="P48" s="222">
        <f t="shared" si="16"/>
        <v>0.2</v>
      </c>
      <c r="Q48" s="222">
        <f t="shared" si="16"/>
        <v>0.4</v>
      </c>
      <c r="R48" s="222">
        <f t="shared" si="16"/>
        <v>0</v>
      </c>
      <c r="S48" s="85"/>
      <c r="T48" s="222">
        <f t="shared" si="12"/>
        <v>0.6</v>
      </c>
      <c r="U48" s="222">
        <f t="shared" si="13"/>
        <v>4.2</v>
      </c>
      <c r="V48" s="223">
        <f t="shared" si="14"/>
        <v>0.21000000000000002</v>
      </c>
      <c r="W48" s="224">
        <f t="shared" si="15"/>
        <v>222000</v>
      </c>
      <c r="X48" s="225"/>
    </row>
    <row r="49" spans="1:24" ht="12">
      <c r="A49" s="71">
        <f t="shared" si="10"/>
        <v>40</v>
      </c>
      <c r="B49" s="83" t="s">
        <v>74</v>
      </c>
      <c r="C49" s="201" t="s">
        <v>373</v>
      </c>
      <c r="D49" s="202" t="s">
        <v>374</v>
      </c>
      <c r="E49" s="89" t="s">
        <v>57</v>
      </c>
      <c r="F49" s="89"/>
      <c r="G49" s="90"/>
      <c r="H49" s="90"/>
      <c r="I49" s="73" t="s">
        <v>35</v>
      </c>
      <c r="J49" s="222">
        <f t="shared" si="16"/>
        <v>0.4</v>
      </c>
      <c r="K49" s="222">
        <f t="shared" si="16"/>
        <v>0.4</v>
      </c>
      <c r="L49" s="222">
        <f t="shared" si="16"/>
        <v>0.5</v>
      </c>
      <c r="M49" s="222">
        <f t="shared" si="16"/>
        <v>0.79999999999999993</v>
      </c>
      <c r="N49" s="222">
        <f t="shared" si="16"/>
        <v>0.5</v>
      </c>
      <c r="O49" s="222">
        <f t="shared" si="16"/>
        <v>0.4</v>
      </c>
      <c r="P49" s="222">
        <f t="shared" si="16"/>
        <v>0.2</v>
      </c>
      <c r="Q49" s="222">
        <f t="shared" si="16"/>
        <v>0.4</v>
      </c>
      <c r="R49" s="222">
        <f t="shared" si="16"/>
        <v>0</v>
      </c>
      <c r="S49" s="85"/>
      <c r="T49" s="222">
        <f t="shared" si="12"/>
        <v>0.6</v>
      </c>
      <c r="U49" s="222">
        <f t="shared" si="13"/>
        <v>4.2</v>
      </c>
      <c r="V49" s="223">
        <f t="shared" si="14"/>
        <v>0.21000000000000002</v>
      </c>
      <c r="W49" s="224">
        <f t="shared" si="15"/>
        <v>222000</v>
      </c>
      <c r="X49" s="225"/>
    </row>
    <row r="50" spans="1:24" s="243" customFormat="1" ht="12">
      <c r="A50" s="231">
        <f t="shared" si="10"/>
        <v>41</v>
      </c>
      <c r="B50" s="232" t="s">
        <v>74</v>
      </c>
      <c r="C50" s="233" t="s">
        <v>373</v>
      </c>
      <c r="D50" s="234" t="s">
        <v>375</v>
      </c>
      <c r="E50" s="235"/>
      <c r="F50" s="235"/>
      <c r="G50" s="237"/>
      <c r="H50" s="237"/>
      <c r="I50" s="236" t="s">
        <v>35</v>
      </c>
      <c r="J50" s="238"/>
      <c r="K50" s="238"/>
      <c r="L50" s="238"/>
      <c r="M50" s="238"/>
      <c r="N50" s="238"/>
      <c r="O50" s="238"/>
      <c r="P50" s="238"/>
      <c r="Q50" s="238"/>
      <c r="R50" s="238"/>
      <c r="S50" s="239"/>
      <c r="T50" s="238">
        <f t="shared" si="12"/>
        <v>0</v>
      </c>
      <c r="U50" s="238">
        <f t="shared" si="13"/>
        <v>0</v>
      </c>
      <c r="V50" s="240">
        <f t="shared" si="14"/>
        <v>0</v>
      </c>
      <c r="W50" s="241">
        <f t="shared" si="15"/>
        <v>0</v>
      </c>
      <c r="X50" s="242"/>
    </row>
    <row r="51" spans="1:24" s="243" customFormat="1" ht="12">
      <c r="A51" s="231">
        <f t="shared" si="10"/>
        <v>42</v>
      </c>
      <c r="B51" s="232" t="s">
        <v>74</v>
      </c>
      <c r="C51" s="233" t="s">
        <v>373</v>
      </c>
      <c r="D51" s="234" t="s">
        <v>376</v>
      </c>
      <c r="E51" s="235"/>
      <c r="F51" s="235"/>
      <c r="G51" s="237"/>
      <c r="H51" s="237"/>
      <c r="I51" s="235" t="s">
        <v>35</v>
      </c>
      <c r="J51" s="238"/>
      <c r="K51" s="238"/>
      <c r="L51" s="238"/>
      <c r="M51" s="238"/>
      <c r="N51" s="238"/>
      <c r="O51" s="238"/>
      <c r="P51" s="238"/>
      <c r="Q51" s="238"/>
      <c r="R51" s="238"/>
      <c r="S51" s="239"/>
      <c r="T51" s="238">
        <f t="shared" si="12"/>
        <v>0</v>
      </c>
      <c r="U51" s="238">
        <f t="shared" si="13"/>
        <v>0</v>
      </c>
      <c r="V51" s="240">
        <f t="shared" si="14"/>
        <v>0</v>
      </c>
      <c r="W51" s="241">
        <f t="shared" si="15"/>
        <v>0</v>
      </c>
      <c r="X51" s="242"/>
    </row>
    <row r="52" spans="1:24" s="243" customFormat="1" ht="12">
      <c r="A52" s="231">
        <f t="shared" si="10"/>
        <v>43</v>
      </c>
      <c r="B52" s="232" t="s">
        <v>74</v>
      </c>
      <c r="C52" s="233" t="s">
        <v>373</v>
      </c>
      <c r="D52" s="234" t="s">
        <v>377</v>
      </c>
      <c r="E52" s="235"/>
      <c r="F52" s="235"/>
      <c r="G52" s="237"/>
      <c r="H52" s="237"/>
      <c r="I52" s="235" t="s">
        <v>35</v>
      </c>
      <c r="J52" s="238"/>
      <c r="K52" s="238"/>
      <c r="L52" s="238"/>
      <c r="M52" s="238"/>
      <c r="N52" s="238"/>
      <c r="O52" s="238"/>
      <c r="P52" s="238"/>
      <c r="Q52" s="238"/>
      <c r="R52" s="238"/>
      <c r="S52" s="239"/>
      <c r="T52" s="238">
        <f t="shared" si="12"/>
        <v>0</v>
      </c>
      <c r="U52" s="238">
        <f t="shared" si="13"/>
        <v>0</v>
      </c>
      <c r="V52" s="240">
        <f t="shared" si="14"/>
        <v>0</v>
      </c>
      <c r="W52" s="241">
        <f t="shared" si="15"/>
        <v>0</v>
      </c>
      <c r="X52" s="242"/>
    </row>
    <row r="53" spans="1:24" ht="12">
      <c r="A53" s="71">
        <f t="shared" si="10"/>
        <v>44</v>
      </c>
      <c r="B53" s="83" t="s">
        <v>74</v>
      </c>
      <c r="C53" s="201" t="s">
        <v>378</v>
      </c>
      <c r="D53" s="202" t="s">
        <v>379</v>
      </c>
      <c r="E53" s="89" t="s">
        <v>57</v>
      </c>
      <c r="F53" s="73"/>
      <c r="G53" s="90"/>
      <c r="H53" s="90"/>
      <c r="I53" s="73" t="s">
        <v>35</v>
      </c>
      <c r="J53" s="222">
        <f t="shared" ref="J53:R58" si="17">ROUNDUP(IF($E53="画面",画面係数,IF($E53="帳票",帳票係数,IF($E53="バッチ",バッチ係数,0))) *
 IF($I53="特高",特高係数,IF($I53="高",高係数,IF($I53="中",中係数,IF($I53="低",低係数,IF($I53="特低",特低係数,0)))))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0.4</v>
      </c>
      <c r="K53" s="222">
        <f t="shared" si="17"/>
        <v>0.4</v>
      </c>
      <c r="L53" s="222">
        <f t="shared" si="17"/>
        <v>0.5</v>
      </c>
      <c r="M53" s="222">
        <f t="shared" si="17"/>
        <v>0.79999999999999993</v>
      </c>
      <c r="N53" s="222">
        <f t="shared" si="17"/>
        <v>0.5</v>
      </c>
      <c r="O53" s="222">
        <f t="shared" si="17"/>
        <v>0.4</v>
      </c>
      <c r="P53" s="222">
        <f t="shared" si="17"/>
        <v>0.2</v>
      </c>
      <c r="Q53" s="222">
        <f t="shared" si="17"/>
        <v>0.4</v>
      </c>
      <c r="R53" s="222">
        <f t="shared" si="17"/>
        <v>0</v>
      </c>
      <c r="S53" s="85"/>
      <c r="T53" s="222">
        <f t="shared" si="12"/>
        <v>0.6</v>
      </c>
      <c r="U53" s="222">
        <f t="shared" si="13"/>
        <v>4.2</v>
      </c>
      <c r="V53" s="223">
        <f t="shared" si="14"/>
        <v>0.21000000000000002</v>
      </c>
      <c r="W53" s="224">
        <f t="shared" si="15"/>
        <v>222000</v>
      </c>
      <c r="X53" s="225"/>
    </row>
    <row r="54" spans="1:24" s="243" customFormat="1" ht="12">
      <c r="A54" s="231">
        <f t="shared" si="10"/>
        <v>45</v>
      </c>
      <c r="B54" s="232" t="s">
        <v>74</v>
      </c>
      <c r="C54" s="233" t="s">
        <v>378</v>
      </c>
      <c r="D54" s="234" t="s">
        <v>380</v>
      </c>
      <c r="E54" s="235"/>
      <c r="F54" s="236"/>
      <c r="G54" s="237"/>
      <c r="H54" s="237"/>
      <c r="I54" s="236" t="s">
        <v>35</v>
      </c>
      <c r="J54" s="238"/>
      <c r="K54" s="238"/>
      <c r="L54" s="238"/>
      <c r="M54" s="238"/>
      <c r="N54" s="238"/>
      <c r="O54" s="238"/>
      <c r="P54" s="238"/>
      <c r="Q54" s="238"/>
      <c r="R54" s="238"/>
      <c r="S54" s="239"/>
      <c r="T54" s="238">
        <f t="shared" si="12"/>
        <v>0</v>
      </c>
      <c r="U54" s="238">
        <f t="shared" si="13"/>
        <v>0</v>
      </c>
      <c r="V54" s="240">
        <f t="shared" si="14"/>
        <v>0</v>
      </c>
      <c r="W54" s="241">
        <f t="shared" si="15"/>
        <v>0</v>
      </c>
      <c r="X54" s="242"/>
    </row>
    <row r="55" spans="1:24" s="243" customFormat="1" ht="12">
      <c r="A55" s="231">
        <f t="shared" si="10"/>
        <v>46</v>
      </c>
      <c r="B55" s="232" t="s">
        <v>74</v>
      </c>
      <c r="C55" s="233" t="s">
        <v>378</v>
      </c>
      <c r="D55" s="234" t="s">
        <v>381</v>
      </c>
      <c r="E55" s="235"/>
      <c r="F55" s="235"/>
      <c r="G55" s="237"/>
      <c r="H55" s="237"/>
      <c r="I55" s="235" t="s">
        <v>35</v>
      </c>
      <c r="J55" s="238"/>
      <c r="K55" s="238"/>
      <c r="L55" s="238"/>
      <c r="M55" s="238"/>
      <c r="N55" s="238"/>
      <c r="O55" s="238"/>
      <c r="P55" s="238"/>
      <c r="Q55" s="238"/>
      <c r="R55" s="238"/>
      <c r="S55" s="239"/>
      <c r="T55" s="238">
        <f t="shared" si="12"/>
        <v>0</v>
      </c>
      <c r="U55" s="238">
        <f t="shared" si="13"/>
        <v>0</v>
      </c>
      <c r="V55" s="240">
        <f t="shared" si="14"/>
        <v>0</v>
      </c>
      <c r="W55" s="241">
        <f t="shared" si="15"/>
        <v>0</v>
      </c>
      <c r="X55" s="242"/>
    </row>
    <row r="56" spans="1:24" s="243" customFormat="1" ht="12">
      <c r="A56" s="231">
        <f t="shared" si="10"/>
        <v>47</v>
      </c>
      <c r="B56" s="232" t="s">
        <v>74</v>
      </c>
      <c r="C56" s="233" t="s">
        <v>378</v>
      </c>
      <c r="D56" s="234" t="s">
        <v>382</v>
      </c>
      <c r="E56" s="235"/>
      <c r="F56" s="235"/>
      <c r="G56" s="237"/>
      <c r="H56" s="237"/>
      <c r="I56" s="235" t="s">
        <v>35</v>
      </c>
      <c r="J56" s="238"/>
      <c r="K56" s="238"/>
      <c r="L56" s="238"/>
      <c r="M56" s="238"/>
      <c r="N56" s="238"/>
      <c r="O56" s="238"/>
      <c r="P56" s="238"/>
      <c r="Q56" s="238"/>
      <c r="R56" s="238"/>
      <c r="S56" s="239"/>
      <c r="T56" s="238">
        <f t="shared" si="12"/>
        <v>0</v>
      </c>
      <c r="U56" s="238">
        <f t="shared" si="13"/>
        <v>0</v>
      </c>
      <c r="V56" s="240">
        <f t="shared" si="14"/>
        <v>0</v>
      </c>
      <c r="W56" s="241">
        <f t="shared" si="15"/>
        <v>0</v>
      </c>
      <c r="X56" s="242"/>
    </row>
    <row r="57" spans="1:24" ht="12">
      <c r="A57" s="71">
        <f t="shared" si="10"/>
        <v>48</v>
      </c>
      <c r="B57" s="83" t="s">
        <v>74</v>
      </c>
      <c r="C57" s="201" t="s">
        <v>383</v>
      </c>
      <c r="D57" s="202" t="s">
        <v>384</v>
      </c>
      <c r="E57" s="89" t="s">
        <v>57</v>
      </c>
      <c r="F57" s="89"/>
      <c r="G57" s="90"/>
      <c r="H57" s="90"/>
      <c r="I57" s="89" t="s">
        <v>35</v>
      </c>
      <c r="J57" s="222">
        <f t="shared" si="17"/>
        <v>0.4</v>
      </c>
      <c r="K57" s="222">
        <f t="shared" si="17"/>
        <v>0.4</v>
      </c>
      <c r="L57" s="222">
        <f t="shared" si="17"/>
        <v>0.5</v>
      </c>
      <c r="M57" s="222">
        <f t="shared" si="17"/>
        <v>0.79999999999999993</v>
      </c>
      <c r="N57" s="222">
        <f t="shared" si="17"/>
        <v>0.5</v>
      </c>
      <c r="O57" s="222">
        <f t="shared" si="17"/>
        <v>0.4</v>
      </c>
      <c r="P57" s="222">
        <f t="shared" si="17"/>
        <v>0.2</v>
      </c>
      <c r="Q57" s="222">
        <f t="shared" si="17"/>
        <v>0.4</v>
      </c>
      <c r="R57" s="222">
        <f t="shared" si="17"/>
        <v>0</v>
      </c>
      <c r="S57" s="85"/>
      <c r="T57" s="222">
        <f t="shared" si="12"/>
        <v>0.6</v>
      </c>
      <c r="U57" s="222">
        <f t="shared" si="13"/>
        <v>4.2</v>
      </c>
      <c r="V57" s="223">
        <f t="shared" si="14"/>
        <v>0.21000000000000002</v>
      </c>
      <c r="W57" s="224">
        <f t="shared" si="15"/>
        <v>222000</v>
      </c>
      <c r="X57" s="225"/>
    </row>
    <row r="58" spans="1:24" ht="12">
      <c r="A58" s="71">
        <f t="shared" si="10"/>
        <v>49</v>
      </c>
      <c r="B58" s="83" t="s">
        <v>74</v>
      </c>
      <c r="C58" s="201" t="s">
        <v>385</v>
      </c>
      <c r="D58" s="202" t="s">
        <v>386</v>
      </c>
      <c r="E58" s="89" t="s">
        <v>57</v>
      </c>
      <c r="F58" s="73"/>
      <c r="G58" s="90"/>
      <c r="H58" s="90"/>
      <c r="I58" s="73" t="s">
        <v>35</v>
      </c>
      <c r="J58" s="222">
        <f t="shared" si="17"/>
        <v>0.4</v>
      </c>
      <c r="K58" s="222">
        <f t="shared" si="17"/>
        <v>0.4</v>
      </c>
      <c r="L58" s="222">
        <f t="shared" si="17"/>
        <v>0.5</v>
      </c>
      <c r="M58" s="222">
        <f t="shared" si="17"/>
        <v>0.79999999999999993</v>
      </c>
      <c r="N58" s="222">
        <f t="shared" si="17"/>
        <v>0.5</v>
      </c>
      <c r="O58" s="222">
        <f t="shared" si="17"/>
        <v>0.4</v>
      </c>
      <c r="P58" s="222">
        <f t="shared" si="17"/>
        <v>0.2</v>
      </c>
      <c r="Q58" s="222">
        <f t="shared" si="17"/>
        <v>0.4</v>
      </c>
      <c r="R58" s="222">
        <f t="shared" si="17"/>
        <v>0</v>
      </c>
      <c r="S58" s="85"/>
      <c r="T58" s="222">
        <f t="shared" si="12"/>
        <v>0.6</v>
      </c>
      <c r="U58" s="222">
        <f t="shared" si="13"/>
        <v>4.2</v>
      </c>
      <c r="V58" s="223">
        <f t="shared" si="14"/>
        <v>0.21000000000000002</v>
      </c>
      <c r="W58" s="224">
        <f t="shared" si="15"/>
        <v>222000</v>
      </c>
      <c r="X58" s="225"/>
    </row>
    <row r="59" spans="1:24" s="243" customFormat="1" ht="12">
      <c r="A59" s="231">
        <f t="shared" si="10"/>
        <v>50</v>
      </c>
      <c r="B59" s="232" t="s">
        <v>74</v>
      </c>
      <c r="C59" s="233" t="s">
        <v>385</v>
      </c>
      <c r="D59" s="234" t="s">
        <v>387</v>
      </c>
      <c r="E59" s="235"/>
      <c r="F59" s="236"/>
      <c r="G59" s="237"/>
      <c r="H59" s="237"/>
      <c r="I59" s="236" t="s">
        <v>35</v>
      </c>
      <c r="J59" s="238"/>
      <c r="K59" s="238"/>
      <c r="L59" s="238"/>
      <c r="M59" s="238"/>
      <c r="N59" s="238"/>
      <c r="O59" s="238"/>
      <c r="P59" s="238"/>
      <c r="Q59" s="238"/>
      <c r="R59" s="238"/>
      <c r="S59" s="239"/>
      <c r="T59" s="238">
        <f t="shared" si="12"/>
        <v>0</v>
      </c>
      <c r="U59" s="238">
        <f t="shared" si="13"/>
        <v>0</v>
      </c>
      <c r="V59" s="240">
        <f t="shared" si="14"/>
        <v>0</v>
      </c>
      <c r="W59" s="241">
        <f t="shared" si="15"/>
        <v>0</v>
      </c>
      <c r="X59" s="242"/>
    </row>
    <row r="60" spans="1:24" s="243" customFormat="1" ht="12">
      <c r="A60" s="231">
        <f t="shared" si="10"/>
        <v>51</v>
      </c>
      <c r="B60" s="232" t="s">
        <v>74</v>
      </c>
      <c r="C60" s="233" t="s">
        <v>385</v>
      </c>
      <c r="D60" s="234" t="s">
        <v>388</v>
      </c>
      <c r="E60" s="235"/>
      <c r="F60" s="236"/>
      <c r="G60" s="237"/>
      <c r="H60" s="237"/>
      <c r="I60" s="236" t="s">
        <v>35</v>
      </c>
      <c r="J60" s="238"/>
      <c r="K60" s="238"/>
      <c r="L60" s="238"/>
      <c r="M60" s="238"/>
      <c r="N60" s="238"/>
      <c r="O60" s="238"/>
      <c r="P60" s="238"/>
      <c r="Q60" s="238"/>
      <c r="R60" s="238"/>
      <c r="S60" s="239"/>
      <c r="T60" s="238">
        <f t="shared" si="12"/>
        <v>0</v>
      </c>
      <c r="U60" s="238">
        <f t="shared" si="13"/>
        <v>0</v>
      </c>
      <c r="V60" s="240">
        <f t="shared" si="14"/>
        <v>0</v>
      </c>
      <c r="W60" s="241">
        <f t="shared" si="15"/>
        <v>0</v>
      </c>
      <c r="X60" s="242"/>
    </row>
    <row r="61" spans="1:24" s="243" customFormat="1" ht="12">
      <c r="A61" s="231">
        <f t="shared" si="10"/>
        <v>52</v>
      </c>
      <c r="B61" s="232" t="s">
        <v>74</v>
      </c>
      <c r="C61" s="233" t="s">
        <v>385</v>
      </c>
      <c r="D61" s="234" t="s">
        <v>389</v>
      </c>
      <c r="E61" s="235"/>
      <c r="F61" s="236"/>
      <c r="G61" s="237"/>
      <c r="H61" s="237"/>
      <c r="I61" s="236" t="s">
        <v>35</v>
      </c>
      <c r="J61" s="238"/>
      <c r="K61" s="238"/>
      <c r="L61" s="238"/>
      <c r="M61" s="238"/>
      <c r="N61" s="238"/>
      <c r="O61" s="238"/>
      <c r="P61" s="238"/>
      <c r="Q61" s="238"/>
      <c r="R61" s="238"/>
      <c r="S61" s="239"/>
      <c r="T61" s="238">
        <f t="shared" si="12"/>
        <v>0</v>
      </c>
      <c r="U61" s="238">
        <f t="shared" si="13"/>
        <v>0</v>
      </c>
      <c r="V61" s="240">
        <f t="shared" si="14"/>
        <v>0</v>
      </c>
      <c r="W61" s="241">
        <f t="shared" si="15"/>
        <v>0</v>
      </c>
      <c r="X61" s="242"/>
    </row>
    <row r="62" spans="1:24" ht="12">
      <c r="A62" s="71">
        <f t="shared" si="10"/>
        <v>53</v>
      </c>
      <c r="B62" s="83" t="s">
        <v>74</v>
      </c>
      <c r="C62" s="201" t="s">
        <v>390</v>
      </c>
      <c r="D62" s="202" t="s">
        <v>391</v>
      </c>
      <c r="E62" s="89" t="s">
        <v>57</v>
      </c>
      <c r="F62" s="73"/>
      <c r="G62" s="90"/>
      <c r="H62" s="90"/>
      <c r="I62" s="73" t="s">
        <v>34</v>
      </c>
      <c r="J62" s="222">
        <f t="shared" ref="J62:R78" si="18">ROUNDUP(IF($E62="画面",画面係数,IF($E62="帳票",帳票係数,IF($E62="バッチ",バッチ係数,0))) *
 IF($I62="特高",特高係数,IF($I62="高",高係数,IF($I62="中",中係数,IF($I62="低",低係数,IF($I62="特低",特低係数,0)))))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0.6</v>
      </c>
      <c r="K62" s="222">
        <f t="shared" si="18"/>
        <v>0.7</v>
      </c>
      <c r="L62" s="222">
        <f t="shared" si="18"/>
        <v>0.7</v>
      </c>
      <c r="M62" s="222">
        <f t="shared" si="18"/>
        <v>1.3</v>
      </c>
      <c r="N62" s="222">
        <f t="shared" si="18"/>
        <v>0.79999999999999993</v>
      </c>
      <c r="O62" s="222">
        <f t="shared" si="18"/>
        <v>0.6</v>
      </c>
      <c r="P62" s="222">
        <f t="shared" si="18"/>
        <v>0.2</v>
      </c>
      <c r="Q62" s="222">
        <f t="shared" si="18"/>
        <v>0.6</v>
      </c>
      <c r="R62" s="222">
        <f t="shared" si="18"/>
        <v>0</v>
      </c>
      <c r="S62" s="85"/>
      <c r="T62" s="222">
        <f t="shared" si="12"/>
        <v>0.9</v>
      </c>
      <c r="U62" s="222">
        <f t="shared" si="13"/>
        <v>6.3999999999999995</v>
      </c>
      <c r="V62" s="223">
        <f t="shared" si="14"/>
        <v>0.31999999999999995</v>
      </c>
      <c r="W62" s="224">
        <f t="shared" si="15"/>
        <v>338000</v>
      </c>
      <c r="X62" s="225"/>
    </row>
    <row r="63" spans="1:24" ht="12">
      <c r="A63" s="71">
        <f t="shared" si="10"/>
        <v>54</v>
      </c>
      <c r="B63" s="83" t="s">
        <v>74</v>
      </c>
      <c r="C63" s="201" t="s">
        <v>396</v>
      </c>
      <c r="D63" s="202" t="s">
        <v>397</v>
      </c>
      <c r="E63" s="89" t="s">
        <v>57</v>
      </c>
      <c r="F63" s="73"/>
      <c r="G63" s="90"/>
      <c r="H63" s="90"/>
      <c r="I63" s="73" t="s">
        <v>36</v>
      </c>
      <c r="J63" s="222">
        <f t="shared" si="18"/>
        <v>0.2</v>
      </c>
      <c r="K63" s="222">
        <f t="shared" si="18"/>
        <v>0.2</v>
      </c>
      <c r="L63" s="222">
        <f t="shared" si="18"/>
        <v>0.2</v>
      </c>
      <c r="M63" s="222">
        <f t="shared" si="18"/>
        <v>0.30000000000000004</v>
      </c>
      <c r="N63" s="222">
        <f t="shared" si="18"/>
        <v>0.2</v>
      </c>
      <c r="O63" s="222">
        <f t="shared" si="18"/>
        <v>0.2</v>
      </c>
      <c r="P63" s="222">
        <f t="shared" si="18"/>
        <v>0.1</v>
      </c>
      <c r="Q63" s="222">
        <f t="shared" si="18"/>
        <v>0.2</v>
      </c>
      <c r="R63" s="222">
        <f t="shared" si="18"/>
        <v>0</v>
      </c>
      <c r="S63" s="85"/>
      <c r="T63" s="222">
        <f t="shared" si="12"/>
        <v>0.30000000000000004</v>
      </c>
      <c r="U63" s="222">
        <f t="shared" si="13"/>
        <v>1.9000000000000001</v>
      </c>
      <c r="V63" s="223">
        <f t="shared" si="14"/>
        <v>9.5000000000000001E-2</v>
      </c>
      <c r="W63" s="224">
        <f t="shared" si="15"/>
        <v>101000</v>
      </c>
      <c r="X63" s="225"/>
    </row>
    <row r="64" spans="1:24" ht="12">
      <c r="A64" s="71">
        <f t="shared" si="10"/>
        <v>55</v>
      </c>
      <c r="B64" s="83" t="s">
        <v>74</v>
      </c>
      <c r="C64" s="201" t="s">
        <v>804</v>
      </c>
      <c r="D64" s="202" t="s">
        <v>402</v>
      </c>
      <c r="E64" s="89" t="s">
        <v>57</v>
      </c>
      <c r="F64" s="73"/>
      <c r="G64" s="90"/>
      <c r="H64" s="90"/>
      <c r="I64" s="73" t="s">
        <v>35</v>
      </c>
      <c r="J64" s="222">
        <f t="shared" si="18"/>
        <v>0.4</v>
      </c>
      <c r="K64" s="222">
        <f t="shared" si="18"/>
        <v>0.4</v>
      </c>
      <c r="L64" s="222">
        <f t="shared" si="18"/>
        <v>0.5</v>
      </c>
      <c r="M64" s="222">
        <f t="shared" si="18"/>
        <v>0.79999999999999993</v>
      </c>
      <c r="N64" s="222">
        <f t="shared" si="18"/>
        <v>0.5</v>
      </c>
      <c r="O64" s="222">
        <f t="shared" si="18"/>
        <v>0.4</v>
      </c>
      <c r="P64" s="222">
        <f t="shared" si="18"/>
        <v>0.2</v>
      </c>
      <c r="Q64" s="222">
        <f t="shared" si="18"/>
        <v>0.4</v>
      </c>
      <c r="R64" s="222">
        <f t="shared" si="18"/>
        <v>0</v>
      </c>
      <c r="S64" s="85"/>
      <c r="T64" s="222">
        <f t="shared" si="12"/>
        <v>0.6</v>
      </c>
      <c r="U64" s="222">
        <f t="shared" si="13"/>
        <v>4.2</v>
      </c>
      <c r="V64" s="223">
        <f t="shared" si="14"/>
        <v>0.21000000000000002</v>
      </c>
      <c r="W64" s="224">
        <f t="shared" si="15"/>
        <v>222000</v>
      </c>
      <c r="X64" s="225"/>
    </row>
    <row r="65" spans="1:24" ht="12">
      <c r="A65" s="71">
        <f t="shared" ref="A65:A266" si="19">ROW()-9</f>
        <v>56</v>
      </c>
      <c r="B65" s="83" t="s">
        <v>74</v>
      </c>
      <c r="C65" s="201" t="s">
        <v>805</v>
      </c>
      <c r="D65" s="202" t="s">
        <v>806</v>
      </c>
      <c r="E65" s="89" t="s">
        <v>57</v>
      </c>
      <c r="F65" s="73"/>
      <c r="G65" s="90"/>
      <c r="H65" s="90"/>
      <c r="I65" s="73" t="s">
        <v>34</v>
      </c>
      <c r="J65" s="222">
        <f t="shared" si="18"/>
        <v>0.6</v>
      </c>
      <c r="K65" s="222">
        <f t="shared" si="18"/>
        <v>0.7</v>
      </c>
      <c r="L65" s="222">
        <f t="shared" si="18"/>
        <v>0.7</v>
      </c>
      <c r="M65" s="222">
        <f t="shared" si="18"/>
        <v>1.3</v>
      </c>
      <c r="N65" s="222">
        <f t="shared" si="18"/>
        <v>0.79999999999999993</v>
      </c>
      <c r="O65" s="222">
        <f t="shared" si="18"/>
        <v>0.6</v>
      </c>
      <c r="P65" s="222">
        <f t="shared" si="18"/>
        <v>0.2</v>
      </c>
      <c r="Q65" s="222">
        <f t="shared" si="18"/>
        <v>0.6</v>
      </c>
      <c r="R65" s="222">
        <f t="shared" si="18"/>
        <v>0</v>
      </c>
      <c r="S65" s="85"/>
      <c r="T65" s="222">
        <f t="shared" si="12"/>
        <v>0.9</v>
      </c>
      <c r="U65" s="222">
        <f t="shared" si="13"/>
        <v>6.3999999999999995</v>
      </c>
      <c r="V65" s="223">
        <f t="shared" si="14"/>
        <v>0.31999999999999995</v>
      </c>
      <c r="W65" s="224">
        <f t="shared" si="15"/>
        <v>338000</v>
      </c>
      <c r="X65" s="225"/>
    </row>
    <row r="66" spans="1:24" ht="12">
      <c r="A66" s="71">
        <f t="shared" si="10"/>
        <v>57</v>
      </c>
      <c r="B66" s="83" t="s">
        <v>74</v>
      </c>
      <c r="C66" s="201" t="s">
        <v>406</v>
      </c>
      <c r="D66" s="202" t="s">
        <v>407</v>
      </c>
      <c r="E66" s="89" t="s">
        <v>57</v>
      </c>
      <c r="F66" s="89"/>
      <c r="G66" s="90"/>
      <c r="H66" s="90"/>
      <c r="I66" s="89" t="s">
        <v>35</v>
      </c>
      <c r="J66" s="222">
        <f t="shared" si="18"/>
        <v>0.4</v>
      </c>
      <c r="K66" s="222">
        <f t="shared" si="18"/>
        <v>0.4</v>
      </c>
      <c r="L66" s="222">
        <f t="shared" si="18"/>
        <v>0.5</v>
      </c>
      <c r="M66" s="222">
        <f t="shared" si="18"/>
        <v>0.79999999999999993</v>
      </c>
      <c r="N66" s="222">
        <f t="shared" si="18"/>
        <v>0.5</v>
      </c>
      <c r="O66" s="222">
        <f t="shared" si="18"/>
        <v>0.4</v>
      </c>
      <c r="P66" s="222">
        <f t="shared" si="18"/>
        <v>0.2</v>
      </c>
      <c r="Q66" s="222">
        <f t="shared" si="18"/>
        <v>0.4</v>
      </c>
      <c r="R66" s="222">
        <f t="shared" si="18"/>
        <v>0</v>
      </c>
      <c r="S66" s="85"/>
      <c r="T66" s="222">
        <f t="shared" si="12"/>
        <v>0.6</v>
      </c>
      <c r="U66" s="222">
        <f t="shared" si="13"/>
        <v>4.2</v>
      </c>
      <c r="V66" s="223">
        <f t="shared" si="14"/>
        <v>0.21000000000000002</v>
      </c>
      <c r="W66" s="224">
        <f t="shared" si="15"/>
        <v>222000</v>
      </c>
      <c r="X66" s="225"/>
    </row>
    <row r="67" spans="1:24" ht="12">
      <c r="A67" s="71">
        <f t="shared" si="10"/>
        <v>58</v>
      </c>
      <c r="B67" s="83" t="s">
        <v>74</v>
      </c>
      <c r="C67" s="201" t="s">
        <v>408</v>
      </c>
      <c r="D67" s="202" t="s">
        <v>409</v>
      </c>
      <c r="E67" s="89" t="s">
        <v>57</v>
      </c>
      <c r="F67" s="89"/>
      <c r="G67" s="90"/>
      <c r="H67" s="90"/>
      <c r="I67" s="89" t="s">
        <v>35</v>
      </c>
      <c r="J67" s="222">
        <f t="shared" si="18"/>
        <v>0.4</v>
      </c>
      <c r="K67" s="222">
        <f t="shared" si="18"/>
        <v>0.4</v>
      </c>
      <c r="L67" s="222">
        <f t="shared" si="18"/>
        <v>0.5</v>
      </c>
      <c r="M67" s="222">
        <f t="shared" si="18"/>
        <v>0.79999999999999993</v>
      </c>
      <c r="N67" s="222">
        <f t="shared" si="18"/>
        <v>0.5</v>
      </c>
      <c r="O67" s="222">
        <f t="shared" si="18"/>
        <v>0.4</v>
      </c>
      <c r="P67" s="222">
        <f t="shared" si="18"/>
        <v>0.2</v>
      </c>
      <c r="Q67" s="222">
        <f t="shared" si="18"/>
        <v>0.4</v>
      </c>
      <c r="R67" s="222">
        <f t="shared" si="18"/>
        <v>0</v>
      </c>
      <c r="S67" s="85"/>
      <c r="T67" s="222">
        <f t="shared" si="12"/>
        <v>0.6</v>
      </c>
      <c r="U67" s="222">
        <f t="shared" si="13"/>
        <v>4.2</v>
      </c>
      <c r="V67" s="223">
        <f t="shared" si="14"/>
        <v>0.21000000000000002</v>
      </c>
      <c r="W67" s="224">
        <f t="shared" si="15"/>
        <v>222000</v>
      </c>
      <c r="X67" s="225"/>
    </row>
    <row r="68" spans="1:24" ht="12">
      <c r="A68" s="71">
        <f t="shared" si="10"/>
        <v>59</v>
      </c>
      <c r="B68" s="83" t="s">
        <v>74</v>
      </c>
      <c r="C68" s="201" t="s">
        <v>410</v>
      </c>
      <c r="D68" s="202" t="s">
        <v>411</v>
      </c>
      <c r="E68" s="89" t="s">
        <v>57</v>
      </c>
      <c r="F68" s="89"/>
      <c r="G68" s="90"/>
      <c r="H68" s="90"/>
      <c r="I68" s="89" t="s">
        <v>35</v>
      </c>
      <c r="J68" s="222">
        <f t="shared" si="18"/>
        <v>0.4</v>
      </c>
      <c r="K68" s="222">
        <f t="shared" si="18"/>
        <v>0.4</v>
      </c>
      <c r="L68" s="222">
        <f t="shared" si="18"/>
        <v>0.5</v>
      </c>
      <c r="M68" s="222">
        <f t="shared" si="18"/>
        <v>0.79999999999999993</v>
      </c>
      <c r="N68" s="222">
        <f t="shared" si="18"/>
        <v>0.5</v>
      </c>
      <c r="O68" s="222">
        <f t="shared" si="18"/>
        <v>0.4</v>
      </c>
      <c r="P68" s="222">
        <f t="shared" si="18"/>
        <v>0.2</v>
      </c>
      <c r="Q68" s="222">
        <f t="shared" si="18"/>
        <v>0.4</v>
      </c>
      <c r="R68" s="222">
        <f t="shared" si="18"/>
        <v>0</v>
      </c>
      <c r="S68" s="85"/>
      <c r="T68" s="222">
        <f t="shared" si="12"/>
        <v>0.6</v>
      </c>
      <c r="U68" s="222">
        <f t="shared" si="13"/>
        <v>4.2</v>
      </c>
      <c r="V68" s="223">
        <f t="shared" si="14"/>
        <v>0.21000000000000002</v>
      </c>
      <c r="W68" s="224">
        <f t="shared" si="15"/>
        <v>222000</v>
      </c>
      <c r="X68" s="225"/>
    </row>
    <row r="69" spans="1:24" ht="12">
      <c r="A69" s="71">
        <f t="shared" si="10"/>
        <v>60</v>
      </c>
      <c r="B69" s="83" t="s">
        <v>74</v>
      </c>
      <c r="C69" s="201" t="s">
        <v>474</v>
      </c>
      <c r="D69" s="202" t="s">
        <v>475</v>
      </c>
      <c r="E69" s="89" t="s">
        <v>57</v>
      </c>
      <c r="F69" s="89"/>
      <c r="G69" s="90"/>
      <c r="H69" s="90"/>
      <c r="I69" s="73" t="s">
        <v>35</v>
      </c>
      <c r="J69" s="222">
        <f t="shared" si="18"/>
        <v>0.4</v>
      </c>
      <c r="K69" s="222">
        <f t="shared" si="18"/>
        <v>0.4</v>
      </c>
      <c r="L69" s="222">
        <f t="shared" si="18"/>
        <v>0.5</v>
      </c>
      <c r="M69" s="222">
        <f t="shared" si="18"/>
        <v>0.79999999999999993</v>
      </c>
      <c r="N69" s="222">
        <f t="shared" si="18"/>
        <v>0.5</v>
      </c>
      <c r="O69" s="222">
        <f t="shared" si="18"/>
        <v>0.4</v>
      </c>
      <c r="P69" s="222">
        <f t="shared" si="18"/>
        <v>0.2</v>
      </c>
      <c r="Q69" s="222">
        <f t="shared" si="18"/>
        <v>0.4</v>
      </c>
      <c r="R69" s="222">
        <f t="shared" si="18"/>
        <v>0</v>
      </c>
      <c r="S69" s="85"/>
      <c r="T69" s="222">
        <f t="shared" si="12"/>
        <v>0.6</v>
      </c>
      <c r="U69" s="222">
        <f t="shared" si="13"/>
        <v>4.2</v>
      </c>
      <c r="V69" s="223">
        <f t="shared" si="14"/>
        <v>0.21000000000000002</v>
      </c>
      <c r="W69" s="224">
        <f t="shared" si="15"/>
        <v>222000</v>
      </c>
      <c r="X69" s="225"/>
    </row>
    <row r="70" spans="1:24" s="214" customFormat="1" ht="12">
      <c r="A70" s="203">
        <f t="shared" si="10"/>
        <v>61</v>
      </c>
      <c r="B70" s="204" t="s">
        <v>74</v>
      </c>
      <c r="C70" s="205" t="s">
        <v>476</v>
      </c>
      <c r="D70" s="204"/>
      <c r="E70" s="207" t="s">
        <v>57</v>
      </c>
      <c r="F70" s="249"/>
      <c r="G70" s="208"/>
      <c r="H70" s="208"/>
      <c r="I70" s="249"/>
      <c r="J70" s="209">
        <f t="shared" si="18"/>
        <v>0</v>
      </c>
      <c r="K70" s="209">
        <f t="shared" si="18"/>
        <v>0</v>
      </c>
      <c r="L70" s="209">
        <f t="shared" si="18"/>
        <v>0</v>
      </c>
      <c r="M70" s="209">
        <f t="shared" si="18"/>
        <v>0</v>
      </c>
      <c r="N70" s="209">
        <f t="shared" si="18"/>
        <v>0</v>
      </c>
      <c r="O70" s="209">
        <f t="shared" si="18"/>
        <v>0</v>
      </c>
      <c r="P70" s="209">
        <f t="shared" si="18"/>
        <v>0</v>
      </c>
      <c r="Q70" s="209">
        <f t="shared" si="18"/>
        <v>0</v>
      </c>
      <c r="R70" s="209">
        <f t="shared" si="18"/>
        <v>0</v>
      </c>
      <c r="S70" s="210"/>
      <c r="T70" s="209">
        <f t="shared" si="12"/>
        <v>0</v>
      </c>
      <c r="U70" s="209">
        <f t="shared" si="13"/>
        <v>0</v>
      </c>
      <c r="V70" s="211">
        <f t="shared" si="14"/>
        <v>0</v>
      </c>
      <c r="W70" s="212">
        <f t="shared" si="15"/>
        <v>0</v>
      </c>
      <c r="X70" s="213"/>
    </row>
    <row r="71" spans="1:24" ht="12">
      <c r="A71" s="71">
        <f t="shared" si="10"/>
        <v>62</v>
      </c>
      <c r="B71" s="244" t="s">
        <v>74</v>
      </c>
      <c r="C71" s="245" t="s">
        <v>156</v>
      </c>
      <c r="D71" s="246" t="s">
        <v>477</v>
      </c>
      <c r="E71" s="89" t="s">
        <v>57</v>
      </c>
      <c r="F71" s="73"/>
      <c r="G71" s="90"/>
      <c r="H71" s="90"/>
      <c r="I71" s="73" t="s">
        <v>35</v>
      </c>
      <c r="J71" s="222">
        <f t="shared" si="18"/>
        <v>0.4</v>
      </c>
      <c r="K71" s="222">
        <f t="shared" si="18"/>
        <v>0.4</v>
      </c>
      <c r="L71" s="222">
        <f t="shared" si="18"/>
        <v>0.5</v>
      </c>
      <c r="M71" s="222">
        <f t="shared" si="18"/>
        <v>0.79999999999999993</v>
      </c>
      <c r="N71" s="222">
        <f t="shared" si="18"/>
        <v>0.5</v>
      </c>
      <c r="O71" s="222">
        <f t="shared" si="18"/>
        <v>0.4</v>
      </c>
      <c r="P71" s="222">
        <f t="shared" si="18"/>
        <v>0.2</v>
      </c>
      <c r="Q71" s="222">
        <f t="shared" si="18"/>
        <v>0.4</v>
      </c>
      <c r="R71" s="222">
        <f t="shared" si="18"/>
        <v>0</v>
      </c>
      <c r="S71" s="85"/>
      <c r="T71" s="222">
        <f t="shared" si="12"/>
        <v>0.6</v>
      </c>
      <c r="U71" s="222">
        <f t="shared" si="13"/>
        <v>4.2</v>
      </c>
      <c r="V71" s="223">
        <f t="shared" si="14"/>
        <v>0.21000000000000002</v>
      </c>
      <c r="W71" s="224">
        <f t="shared" si="15"/>
        <v>222000</v>
      </c>
      <c r="X71" s="225"/>
    </row>
    <row r="72" spans="1:24" ht="12">
      <c r="A72" s="71">
        <f t="shared" si="10"/>
        <v>63</v>
      </c>
      <c r="B72" s="244" t="s">
        <v>74</v>
      </c>
      <c r="C72" s="245" t="s">
        <v>161</v>
      </c>
      <c r="D72" s="246" t="s">
        <v>478</v>
      </c>
      <c r="E72" s="89" t="s">
        <v>57</v>
      </c>
      <c r="F72" s="73"/>
      <c r="G72" s="90"/>
      <c r="H72" s="90"/>
      <c r="I72" s="73" t="s">
        <v>35</v>
      </c>
      <c r="J72" s="222">
        <f t="shared" si="18"/>
        <v>0.4</v>
      </c>
      <c r="K72" s="222">
        <f t="shared" si="18"/>
        <v>0.4</v>
      </c>
      <c r="L72" s="222">
        <f t="shared" si="18"/>
        <v>0.5</v>
      </c>
      <c r="M72" s="222">
        <f t="shared" si="18"/>
        <v>0.79999999999999993</v>
      </c>
      <c r="N72" s="222">
        <f t="shared" si="18"/>
        <v>0.5</v>
      </c>
      <c r="O72" s="222">
        <f t="shared" si="18"/>
        <v>0.4</v>
      </c>
      <c r="P72" s="222">
        <f t="shared" si="18"/>
        <v>0.2</v>
      </c>
      <c r="Q72" s="222">
        <f t="shared" si="18"/>
        <v>0.4</v>
      </c>
      <c r="R72" s="222">
        <f t="shared" si="18"/>
        <v>0</v>
      </c>
      <c r="S72" s="85"/>
      <c r="T72" s="222">
        <f t="shared" si="12"/>
        <v>0.6</v>
      </c>
      <c r="U72" s="222">
        <f t="shared" si="13"/>
        <v>4.2</v>
      </c>
      <c r="V72" s="223">
        <f t="shared" si="14"/>
        <v>0.21000000000000002</v>
      </c>
      <c r="W72" s="224">
        <f t="shared" si="15"/>
        <v>222000</v>
      </c>
      <c r="X72" s="225"/>
    </row>
    <row r="73" spans="1:24" ht="12">
      <c r="A73" s="71">
        <f t="shared" si="10"/>
        <v>64</v>
      </c>
      <c r="B73" s="244" t="s">
        <v>74</v>
      </c>
      <c r="C73" s="245" t="s">
        <v>166</v>
      </c>
      <c r="D73" s="246" t="s">
        <v>479</v>
      </c>
      <c r="E73" s="89" t="s">
        <v>57</v>
      </c>
      <c r="F73" s="73"/>
      <c r="G73" s="90"/>
      <c r="H73" s="90"/>
      <c r="I73" s="73" t="s">
        <v>35</v>
      </c>
      <c r="J73" s="222">
        <f t="shared" si="18"/>
        <v>0.4</v>
      </c>
      <c r="K73" s="222">
        <f t="shared" si="18"/>
        <v>0.4</v>
      </c>
      <c r="L73" s="222">
        <f t="shared" si="18"/>
        <v>0.5</v>
      </c>
      <c r="M73" s="222">
        <f t="shared" si="18"/>
        <v>0.79999999999999993</v>
      </c>
      <c r="N73" s="222">
        <f t="shared" si="18"/>
        <v>0.5</v>
      </c>
      <c r="O73" s="222">
        <f t="shared" si="18"/>
        <v>0.4</v>
      </c>
      <c r="P73" s="222">
        <f t="shared" si="18"/>
        <v>0.2</v>
      </c>
      <c r="Q73" s="222">
        <f t="shared" si="18"/>
        <v>0.4</v>
      </c>
      <c r="R73" s="222">
        <f t="shared" si="18"/>
        <v>0</v>
      </c>
      <c r="S73" s="85"/>
      <c r="T73" s="222">
        <f t="shared" si="12"/>
        <v>0.6</v>
      </c>
      <c r="U73" s="222">
        <f t="shared" si="13"/>
        <v>4.2</v>
      </c>
      <c r="V73" s="223">
        <f t="shared" si="14"/>
        <v>0.21000000000000002</v>
      </c>
      <c r="W73" s="224">
        <f t="shared" si="15"/>
        <v>222000</v>
      </c>
      <c r="X73" s="225"/>
    </row>
    <row r="74" spans="1:24" ht="12">
      <c r="A74" s="71">
        <f t="shared" si="10"/>
        <v>65</v>
      </c>
      <c r="B74" s="244" t="s">
        <v>74</v>
      </c>
      <c r="C74" s="245" t="s">
        <v>412</v>
      </c>
      <c r="D74" s="246" t="s">
        <v>480</v>
      </c>
      <c r="E74" s="89" t="s">
        <v>57</v>
      </c>
      <c r="F74" s="73"/>
      <c r="G74" s="90"/>
      <c r="H74" s="90"/>
      <c r="I74" s="73" t="s">
        <v>35</v>
      </c>
      <c r="J74" s="222">
        <f t="shared" si="18"/>
        <v>0.4</v>
      </c>
      <c r="K74" s="222">
        <f t="shared" si="18"/>
        <v>0.4</v>
      </c>
      <c r="L74" s="222">
        <f t="shared" si="18"/>
        <v>0.5</v>
      </c>
      <c r="M74" s="222">
        <f t="shared" si="18"/>
        <v>0.79999999999999993</v>
      </c>
      <c r="N74" s="222">
        <f t="shared" si="18"/>
        <v>0.5</v>
      </c>
      <c r="O74" s="222">
        <f t="shared" si="18"/>
        <v>0.4</v>
      </c>
      <c r="P74" s="222">
        <f t="shared" si="18"/>
        <v>0.2</v>
      </c>
      <c r="Q74" s="222">
        <f t="shared" si="18"/>
        <v>0.4</v>
      </c>
      <c r="R74" s="222">
        <f t="shared" si="18"/>
        <v>0</v>
      </c>
      <c r="S74" s="85"/>
      <c r="T74" s="222">
        <f t="shared" si="12"/>
        <v>0.6</v>
      </c>
      <c r="U74" s="222">
        <f t="shared" si="13"/>
        <v>4.2</v>
      </c>
      <c r="V74" s="223">
        <f t="shared" si="14"/>
        <v>0.21000000000000002</v>
      </c>
      <c r="W74" s="224">
        <f t="shared" si="15"/>
        <v>222000</v>
      </c>
      <c r="X74" s="225"/>
    </row>
    <row r="75" spans="1:24" ht="12">
      <c r="A75" s="71">
        <f t="shared" si="10"/>
        <v>66</v>
      </c>
      <c r="B75" s="244" t="s">
        <v>74</v>
      </c>
      <c r="C75" s="245" t="s">
        <v>807</v>
      </c>
      <c r="D75" s="246" t="s">
        <v>808</v>
      </c>
      <c r="E75" s="89" t="s">
        <v>57</v>
      </c>
      <c r="F75" s="73"/>
      <c r="G75" s="90"/>
      <c r="H75" s="90"/>
      <c r="I75" s="73" t="s">
        <v>35</v>
      </c>
      <c r="J75" s="222">
        <f t="shared" si="18"/>
        <v>0.4</v>
      </c>
      <c r="K75" s="222">
        <f t="shared" si="18"/>
        <v>0.4</v>
      </c>
      <c r="L75" s="222">
        <f t="shared" si="18"/>
        <v>0.5</v>
      </c>
      <c r="M75" s="222">
        <f t="shared" si="18"/>
        <v>0.79999999999999993</v>
      </c>
      <c r="N75" s="222">
        <f t="shared" si="18"/>
        <v>0.5</v>
      </c>
      <c r="O75" s="222">
        <f t="shared" si="18"/>
        <v>0.4</v>
      </c>
      <c r="P75" s="222">
        <f t="shared" si="18"/>
        <v>0.2</v>
      </c>
      <c r="Q75" s="222">
        <f t="shared" si="18"/>
        <v>0.4</v>
      </c>
      <c r="R75" s="222">
        <f t="shared" si="18"/>
        <v>0</v>
      </c>
      <c r="S75" s="85"/>
      <c r="T75" s="222">
        <f t="shared" ref="T75:T76" si="20">ROUNDUP(SUM(J75:S75)*T$8,1)</f>
        <v>0.6</v>
      </c>
      <c r="U75" s="222">
        <f t="shared" ref="U75" si="21">SUM(J75:T75)</f>
        <v>4.2</v>
      </c>
      <c r="V75" s="223">
        <f t="shared" ref="V75" si="22">U75/20</f>
        <v>0.21000000000000002</v>
      </c>
      <c r="W75" s="224">
        <f t="shared" ref="W75" si="23">((J75*J$9) + (K75*K$9) + (L75*L$9) + (M75*M$9) + (N75*N$9) + (O75*O$9) + (P75*P$9) + (Q75*Q$9) + (R75*R$9) + (S75*S$9) + (T75*T$9))/20</f>
        <v>222000</v>
      </c>
      <c r="X75" s="225"/>
    </row>
    <row r="76" spans="1:24" ht="12">
      <c r="A76" s="71">
        <f t="shared" si="10"/>
        <v>67</v>
      </c>
      <c r="B76" s="244" t="s">
        <v>74</v>
      </c>
      <c r="C76" s="245" t="s">
        <v>809</v>
      </c>
      <c r="D76" s="246" t="s">
        <v>428</v>
      </c>
      <c r="E76" s="89" t="s">
        <v>57</v>
      </c>
      <c r="F76" s="73"/>
      <c r="G76" s="90"/>
      <c r="H76" s="90"/>
      <c r="I76" s="73"/>
      <c r="J76" s="222"/>
      <c r="K76" s="222"/>
      <c r="L76" s="222"/>
      <c r="M76" s="222"/>
      <c r="N76" s="222"/>
      <c r="O76" s="222"/>
      <c r="P76" s="222"/>
      <c r="Q76" s="222"/>
      <c r="R76" s="222"/>
      <c r="S76" s="85"/>
      <c r="T76" s="222">
        <f t="shared" si="20"/>
        <v>0</v>
      </c>
      <c r="U76" s="222">
        <f t="shared" ref="U76" si="24">SUM(J76:T76)</f>
        <v>0</v>
      </c>
      <c r="V76" s="223">
        <f t="shared" ref="V76" si="25">U76/20</f>
        <v>0</v>
      </c>
      <c r="W76" s="224">
        <f t="shared" ref="W76" si="26">((J76*J$9) + (K76*K$9) + (L76*L$9) + (M76*M$9) + (N76*N$9) + (O76*O$9) + (P76*P$9) + (Q76*Q$9) + (R76*R$9) + (S76*S$9) + (T76*T$9))/20</f>
        <v>0</v>
      </c>
      <c r="X76" s="225"/>
    </row>
    <row r="77" spans="1:24" ht="12">
      <c r="A77" s="71">
        <f t="shared" si="10"/>
        <v>68</v>
      </c>
      <c r="B77" s="244" t="s">
        <v>74</v>
      </c>
      <c r="C77" s="245" t="s">
        <v>810</v>
      </c>
      <c r="D77" s="246" t="s">
        <v>587</v>
      </c>
      <c r="E77" s="89" t="s">
        <v>57</v>
      </c>
      <c r="F77" s="73"/>
      <c r="G77" s="90"/>
      <c r="H77" s="90"/>
      <c r="I77" s="73" t="s">
        <v>35</v>
      </c>
      <c r="J77" s="222">
        <f t="shared" si="18"/>
        <v>0.4</v>
      </c>
      <c r="K77" s="222">
        <f t="shared" si="18"/>
        <v>0.4</v>
      </c>
      <c r="L77" s="222">
        <f t="shared" si="18"/>
        <v>0.5</v>
      </c>
      <c r="M77" s="222">
        <f t="shared" si="18"/>
        <v>0.79999999999999993</v>
      </c>
      <c r="N77" s="222">
        <f t="shared" si="18"/>
        <v>0.5</v>
      </c>
      <c r="O77" s="222">
        <f t="shared" si="18"/>
        <v>0.4</v>
      </c>
      <c r="P77" s="222">
        <f t="shared" si="18"/>
        <v>0.2</v>
      </c>
      <c r="Q77" s="222">
        <f t="shared" si="18"/>
        <v>0.4</v>
      </c>
      <c r="R77" s="222">
        <f t="shared" si="18"/>
        <v>0</v>
      </c>
      <c r="S77" s="85"/>
      <c r="T77" s="222">
        <f t="shared" ref="T77" si="27">ROUNDUP(SUM(J77:S77)*T$8,1)</f>
        <v>0.6</v>
      </c>
      <c r="U77" s="222">
        <f t="shared" ref="U77" si="28">SUM(J77:T77)</f>
        <v>4.2</v>
      </c>
      <c r="V77" s="223">
        <f t="shared" ref="V77" si="29">U77/20</f>
        <v>0.21000000000000002</v>
      </c>
      <c r="W77" s="224">
        <f t="shared" ref="W77" si="30">((J77*J$9) + (K77*K$9) + (L77*L$9) + (M77*M$9) + (N77*N$9) + (O77*O$9) + (P77*P$9) + (Q77*Q$9) + (R77*R$9) + (S77*S$9) + (T77*T$9))/20</f>
        <v>222000</v>
      </c>
      <c r="X77" s="225"/>
    </row>
    <row r="78" spans="1:24" s="214" customFormat="1" ht="12">
      <c r="A78" s="203">
        <f t="shared" si="10"/>
        <v>69</v>
      </c>
      <c r="B78" s="204" t="s">
        <v>74</v>
      </c>
      <c r="C78" s="205" t="s">
        <v>481</v>
      </c>
      <c r="D78" s="204"/>
      <c r="E78" s="207" t="s">
        <v>57</v>
      </c>
      <c r="F78" s="249"/>
      <c r="G78" s="208"/>
      <c r="H78" s="208"/>
      <c r="I78" s="249"/>
      <c r="J78" s="209">
        <f t="shared" si="18"/>
        <v>0</v>
      </c>
      <c r="K78" s="209">
        <f t="shared" si="18"/>
        <v>0</v>
      </c>
      <c r="L78" s="209">
        <f t="shared" si="18"/>
        <v>0</v>
      </c>
      <c r="M78" s="209">
        <f t="shared" si="18"/>
        <v>0</v>
      </c>
      <c r="N78" s="209">
        <f t="shared" si="18"/>
        <v>0</v>
      </c>
      <c r="O78" s="209">
        <f t="shared" si="18"/>
        <v>0</v>
      </c>
      <c r="P78" s="209">
        <f t="shared" si="18"/>
        <v>0</v>
      </c>
      <c r="Q78" s="209">
        <f t="shared" si="18"/>
        <v>0</v>
      </c>
      <c r="R78" s="209">
        <f t="shared" si="18"/>
        <v>0</v>
      </c>
      <c r="S78" s="210"/>
      <c r="T78" s="209">
        <f t="shared" si="12"/>
        <v>0</v>
      </c>
      <c r="U78" s="209">
        <f t="shared" si="13"/>
        <v>0</v>
      </c>
      <c r="V78" s="211">
        <f t="shared" si="14"/>
        <v>0</v>
      </c>
      <c r="W78" s="212">
        <f t="shared" si="15"/>
        <v>0</v>
      </c>
      <c r="X78" s="213"/>
    </row>
    <row r="79" spans="1:24" ht="12">
      <c r="A79" s="71">
        <f t="shared" si="4"/>
        <v>70</v>
      </c>
      <c r="B79" s="72" t="s">
        <v>74</v>
      </c>
      <c r="C79" s="200" t="s">
        <v>125</v>
      </c>
      <c r="D79" s="219" t="s">
        <v>126</v>
      </c>
      <c r="E79" s="89" t="s">
        <v>57</v>
      </c>
      <c r="F79" s="73"/>
      <c r="G79" s="90"/>
      <c r="H79" s="90"/>
      <c r="I79" s="73" t="s">
        <v>811</v>
      </c>
      <c r="J79" s="222">
        <f t="shared" si="5"/>
        <v>0.2</v>
      </c>
      <c r="K79" s="222">
        <f t="shared" si="5"/>
        <v>0.2</v>
      </c>
      <c r="L79" s="238"/>
      <c r="M79" s="238"/>
      <c r="N79" s="222">
        <f t="shared" si="5"/>
        <v>0.2</v>
      </c>
      <c r="O79" s="222">
        <f t="shared" si="5"/>
        <v>0.2</v>
      </c>
      <c r="P79" s="222">
        <f t="shared" si="5"/>
        <v>0.1</v>
      </c>
      <c r="Q79" s="222">
        <f t="shared" si="5"/>
        <v>0.2</v>
      </c>
      <c r="R79" s="222">
        <f t="shared" si="5"/>
        <v>0</v>
      </c>
      <c r="S79" s="85"/>
      <c r="T79" s="222">
        <f t="shared" si="6"/>
        <v>0.2</v>
      </c>
      <c r="U79" s="222">
        <f t="shared" si="7"/>
        <v>1.3</v>
      </c>
      <c r="V79" s="223">
        <f t="shared" si="8"/>
        <v>6.5000000000000002E-2</v>
      </c>
      <c r="W79" s="224">
        <f t="shared" si="9"/>
        <v>69000</v>
      </c>
      <c r="X79" s="225"/>
    </row>
    <row r="80" spans="1:24" ht="12">
      <c r="A80" s="71">
        <f t="shared" si="4"/>
        <v>71</v>
      </c>
      <c r="B80" s="83" t="s">
        <v>74</v>
      </c>
      <c r="C80" s="201" t="s">
        <v>125</v>
      </c>
      <c r="D80" s="202" t="s">
        <v>129</v>
      </c>
      <c r="E80" s="89" t="s">
        <v>57</v>
      </c>
      <c r="F80" s="89"/>
      <c r="G80" s="90"/>
      <c r="H80" s="90"/>
      <c r="I80" s="89"/>
      <c r="J80" s="222">
        <f t="shared" si="5"/>
        <v>0</v>
      </c>
      <c r="K80" s="222">
        <f t="shared" si="5"/>
        <v>0</v>
      </c>
      <c r="L80" s="238"/>
      <c r="M80" s="238"/>
      <c r="N80" s="222">
        <f t="shared" si="5"/>
        <v>0</v>
      </c>
      <c r="O80" s="222">
        <f t="shared" si="5"/>
        <v>0</v>
      </c>
      <c r="P80" s="222">
        <f t="shared" si="5"/>
        <v>0</v>
      </c>
      <c r="Q80" s="222">
        <f t="shared" si="5"/>
        <v>0</v>
      </c>
      <c r="R80" s="222">
        <f t="shared" si="5"/>
        <v>0</v>
      </c>
      <c r="S80" s="85"/>
      <c r="T80" s="222">
        <f t="shared" si="6"/>
        <v>0</v>
      </c>
      <c r="U80" s="222">
        <f t="shared" si="7"/>
        <v>0</v>
      </c>
      <c r="V80" s="223">
        <f t="shared" si="8"/>
        <v>0</v>
      </c>
      <c r="W80" s="224">
        <f t="shared" si="9"/>
        <v>0</v>
      </c>
      <c r="X80" s="225"/>
    </row>
    <row r="81" spans="1:24" ht="12">
      <c r="A81" s="71">
        <f t="shared" si="4"/>
        <v>72</v>
      </c>
      <c r="B81" s="83" t="s">
        <v>74</v>
      </c>
      <c r="C81" s="201" t="s">
        <v>125</v>
      </c>
      <c r="D81" s="202" t="s">
        <v>130</v>
      </c>
      <c r="E81" s="89" t="s">
        <v>57</v>
      </c>
      <c r="F81" s="89"/>
      <c r="G81" s="90"/>
      <c r="H81" s="90"/>
      <c r="I81" s="89"/>
      <c r="J81" s="222">
        <f t="shared" si="5"/>
        <v>0</v>
      </c>
      <c r="K81" s="222">
        <f t="shared" si="5"/>
        <v>0</v>
      </c>
      <c r="L81" s="238"/>
      <c r="M81" s="238"/>
      <c r="N81" s="222">
        <f t="shared" si="5"/>
        <v>0</v>
      </c>
      <c r="O81" s="222">
        <f t="shared" si="5"/>
        <v>0</v>
      </c>
      <c r="P81" s="222">
        <f t="shared" si="5"/>
        <v>0</v>
      </c>
      <c r="Q81" s="222">
        <f t="shared" si="5"/>
        <v>0</v>
      </c>
      <c r="R81" s="222">
        <f t="shared" si="5"/>
        <v>0</v>
      </c>
      <c r="S81" s="85"/>
      <c r="T81" s="222">
        <f t="shared" si="6"/>
        <v>0</v>
      </c>
      <c r="U81" s="222">
        <f t="shared" si="7"/>
        <v>0</v>
      </c>
      <c r="V81" s="223">
        <f t="shared" si="8"/>
        <v>0</v>
      </c>
      <c r="W81" s="224">
        <f t="shared" si="9"/>
        <v>0</v>
      </c>
      <c r="X81" s="225"/>
    </row>
    <row r="82" spans="1:24" ht="12">
      <c r="A82" s="71">
        <f t="shared" si="4"/>
        <v>73</v>
      </c>
      <c r="B82" s="83" t="s">
        <v>74</v>
      </c>
      <c r="C82" s="201" t="s">
        <v>125</v>
      </c>
      <c r="D82" s="202" t="s">
        <v>131</v>
      </c>
      <c r="E82" s="89" t="s">
        <v>57</v>
      </c>
      <c r="F82" s="89"/>
      <c r="G82" s="90"/>
      <c r="H82" s="90"/>
      <c r="I82" s="89"/>
      <c r="J82" s="222">
        <f t="shared" si="5"/>
        <v>0</v>
      </c>
      <c r="K82" s="222">
        <f t="shared" si="5"/>
        <v>0</v>
      </c>
      <c r="L82" s="238"/>
      <c r="M82" s="238"/>
      <c r="N82" s="222">
        <f t="shared" si="5"/>
        <v>0</v>
      </c>
      <c r="O82" s="222">
        <f t="shared" si="5"/>
        <v>0</v>
      </c>
      <c r="P82" s="222">
        <f t="shared" si="5"/>
        <v>0</v>
      </c>
      <c r="Q82" s="222">
        <f t="shared" si="5"/>
        <v>0</v>
      </c>
      <c r="R82" s="222">
        <f t="shared" si="5"/>
        <v>0</v>
      </c>
      <c r="S82" s="85"/>
      <c r="T82" s="222">
        <f t="shared" si="6"/>
        <v>0</v>
      </c>
      <c r="U82" s="222">
        <f t="shared" si="7"/>
        <v>0</v>
      </c>
      <c r="V82" s="223">
        <f t="shared" si="8"/>
        <v>0</v>
      </c>
      <c r="W82" s="224">
        <f t="shared" si="9"/>
        <v>0</v>
      </c>
      <c r="X82" s="225"/>
    </row>
    <row r="83" spans="1:24" ht="12">
      <c r="A83" s="71">
        <f t="shared" si="4"/>
        <v>74</v>
      </c>
      <c r="B83" s="83" t="s">
        <v>74</v>
      </c>
      <c r="C83" s="201" t="s">
        <v>132</v>
      </c>
      <c r="D83" s="202" t="s">
        <v>133</v>
      </c>
      <c r="E83" s="89" t="s">
        <v>57</v>
      </c>
      <c r="F83" s="89"/>
      <c r="G83" s="90"/>
      <c r="H83" s="90"/>
      <c r="I83" s="89" t="s">
        <v>811</v>
      </c>
      <c r="J83" s="222">
        <f t="shared" si="5"/>
        <v>0.2</v>
      </c>
      <c r="K83" s="222">
        <f t="shared" si="5"/>
        <v>0.2</v>
      </c>
      <c r="L83" s="238"/>
      <c r="M83" s="238"/>
      <c r="N83" s="222">
        <f t="shared" si="5"/>
        <v>0.2</v>
      </c>
      <c r="O83" s="222">
        <f t="shared" si="5"/>
        <v>0.2</v>
      </c>
      <c r="P83" s="222">
        <f t="shared" si="5"/>
        <v>0.1</v>
      </c>
      <c r="Q83" s="222">
        <f t="shared" si="5"/>
        <v>0.2</v>
      </c>
      <c r="R83" s="222">
        <f t="shared" si="5"/>
        <v>0</v>
      </c>
      <c r="S83" s="85"/>
      <c r="T83" s="222">
        <f t="shared" si="6"/>
        <v>0.2</v>
      </c>
      <c r="U83" s="222">
        <f t="shared" si="7"/>
        <v>1.3</v>
      </c>
      <c r="V83" s="223">
        <f t="shared" si="8"/>
        <v>6.5000000000000002E-2</v>
      </c>
      <c r="W83" s="224">
        <f t="shared" si="9"/>
        <v>69000</v>
      </c>
      <c r="X83" s="225"/>
    </row>
    <row r="84" spans="1:24" ht="12">
      <c r="A84" s="71">
        <f t="shared" si="4"/>
        <v>75</v>
      </c>
      <c r="B84" s="83" t="s">
        <v>74</v>
      </c>
      <c r="C84" s="201" t="s">
        <v>134</v>
      </c>
      <c r="D84" s="202" t="s">
        <v>135</v>
      </c>
      <c r="E84" s="89" t="s">
        <v>57</v>
      </c>
      <c r="F84" s="73"/>
      <c r="G84" s="90"/>
      <c r="H84" s="90"/>
      <c r="I84" s="73" t="s">
        <v>811</v>
      </c>
      <c r="J84" s="222">
        <f t="shared" si="5"/>
        <v>0.2</v>
      </c>
      <c r="K84" s="222">
        <f t="shared" si="5"/>
        <v>0.2</v>
      </c>
      <c r="L84" s="238"/>
      <c r="M84" s="238"/>
      <c r="N84" s="222">
        <f t="shared" si="5"/>
        <v>0.2</v>
      </c>
      <c r="O84" s="222">
        <f t="shared" si="5"/>
        <v>0.2</v>
      </c>
      <c r="P84" s="222">
        <f t="shared" si="5"/>
        <v>0.1</v>
      </c>
      <c r="Q84" s="222">
        <f t="shared" si="5"/>
        <v>0.2</v>
      </c>
      <c r="R84" s="222">
        <f t="shared" si="5"/>
        <v>0</v>
      </c>
      <c r="S84" s="85"/>
      <c r="T84" s="222">
        <f t="shared" si="6"/>
        <v>0.2</v>
      </c>
      <c r="U84" s="222">
        <f t="shared" si="7"/>
        <v>1.3</v>
      </c>
      <c r="V84" s="223">
        <f t="shared" si="8"/>
        <v>6.5000000000000002E-2</v>
      </c>
      <c r="W84" s="224">
        <f t="shared" si="9"/>
        <v>69000</v>
      </c>
      <c r="X84" s="225"/>
    </row>
    <row r="85" spans="1:24" ht="12">
      <c r="A85" s="71">
        <f t="shared" si="4"/>
        <v>76</v>
      </c>
      <c r="B85" s="83" t="s">
        <v>74</v>
      </c>
      <c r="C85" s="201" t="s">
        <v>134</v>
      </c>
      <c r="D85" s="202" t="s">
        <v>136</v>
      </c>
      <c r="E85" s="89" t="s">
        <v>57</v>
      </c>
      <c r="F85" s="73"/>
      <c r="G85" s="90"/>
      <c r="H85" s="90"/>
      <c r="I85" s="73"/>
      <c r="J85" s="222">
        <f t="shared" si="5"/>
        <v>0</v>
      </c>
      <c r="K85" s="222">
        <f t="shared" si="5"/>
        <v>0</v>
      </c>
      <c r="L85" s="238"/>
      <c r="M85" s="238"/>
      <c r="N85" s="222">
        <f t="shared" ref="J85:R113" si="31">ROUNDUP(IF($E85="画面",画面係数,IF($E85="帳票",帳票係数,IF($E85="バッチ",バッチ係数,0))) *
 IF($I85="特高",特高係数,IF($I85="高",高係数,IF($I85="中",中係数,IF($I85="低",低係数,IF($I85="特低",特低係数,0)))))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</v>
      </c>
      <c r="O85" s="222">
        <f t="shared" si="31"/>
        <v>0</v>
      </c>
      <c r="P85" s="222">
        <f t="shared" si="31"/>
        <v>0</v>
      </c>
      <c r="Q85" s="222">
        <f t="shared" si="31"/>
        <v>0</v>
      </c>
      <c r="R85" s="222">
        <f t="shared" si="31"/>
        <v>0</v>
      </c>
      <c r="S85" s="85"/>
      <c r="T85" s="222">
        <f t="shared" si="6"/>
        <v>0</v>
      </c>
      <c r="U85" s="222">
        <f t="shared" si="7"/>
        <v>0</v>
      </c>
      <c r="V85" s="223">
        <f t="shared" si="8"/>
        <v>0</v>
      </c>
      <c r="W85" s="224">
        <f t="shared" si="9"/>
        <v>0</v>
      </c>
      <c r="X85" s="225"/>
    </row>
    <row r="86" spans="1:24" ht="12">
      <c r="A86" s="71">
        <f t="shared" si="4"/>
        <v>77</v>
      </c>
      <c r="B86" s="83" t="s">
        <v>74</v>
      </c>
      <c r="C86" s="201" t="s">
        <v>134</v>
      </c>
      <c r="D86" s="202" t="s">
        <v>137</v>
      </c>
      <c r="E86" s="89" t="s">
        <v>57</v>
      </c>
      <c r="F86" s="73"/>
      <c r="G86" s="90"/>
      <c r="H86" s="90"/>
      <c r="I86" s="73"/>
      <c r="J86" s="222">
        <f t="shared" si="31"/>
        <v>0</v>
      </c>
      <c r="K86" s="222">
        <f t="shared" si="31"/>
        <v>0</v>
      </c>
      <c r="L86" s="238"/>
      <c r="M86" s="238"/>
      <c r="N86" s="222">
        <f t="shared" si="31"/>
        <v>0</v>
      </c>
      <c r="O86" s="222">
        <f t="shared" si="31"/>
        <v>0</v>
      </c>
      <c r="P86" s="222">
        <f t="shared" si="31"/>
        <v>0</v>
      </c>
      <c r="Q86" s="222">
        <f t="shared" si="31"/>
        <v>0</v>
      </c>
      <c r="R86" s="222">
        <f t="shared" si="31"/>
        <v>0</v>
      </c>
      <c r="S86" s="85"/>
      <c r="T86" s="222">
        <f t="shared" si="6"/>
        <v>0</v>
      </c>
      <c r="U86" s="222">
        <f t="shared" si="7"/>
        <v>0</v>
      </c>
      <c r="V86" s="223">
        <f t="shared" si="8"/>
        <v>0</v>
      </c>
      <c r="W86" s="224">
        <f t="shared" si="9"/>
        <v>0</v>
      </c>
      <c r="X86" s="225"/>
    </row>
    <row r="87" spans="1:24" ht="12">
      <c r="A87" s="71">
        <f t="shared" si="4"/>
        <v>78</v>
      </c>
      <c r="B87" s="83" t="s">
        <v>74</v>
      </c>
      <c r="C87" s="201" t="s">
        <v>134</v>
      </c>
      <c r="D87" s="202" t="s">
        <v>138</v>
      </c>
      <c r="E87" s="89" t="s">
        <v>57</v>
      </c>
      <c r="F87" s="73"/>
      <c r="G87" s="90"/>
      <c r="H87" s="90"/>
      <c r="I87" s="73"/>
      <c r="J87" s="222">
        <f t="shared" si="31"/>
        <v>0</v>
      </c>
      <c r="K87" s="222">
        <f t="shared" si="31"/>
        <v>0</v>
      </c>
      <c r="L87" s="238"/>
      <c r="M87" s="238"/>
      <c r="N87" s="222">
        <f t="shared" si="31"/>
        <v>0</v>
      </c>
      <c r="O87" s="222">
        <f t="shared" si="31"/>
        <v>0</v>
      </c>
      <c r="P87" s="222">
        <f t="shared" si="31"/>
        <v>0</v>
      </c>
      <c r="Q87" s="222">
        <f t="shared" si="31"/>
        <v>0</v>
      </c>
      <c r="R87" s="222">
        <f t="shared" si="31"/>
        <v>0</v>
      </c>
      <c r="S87" s="85"/>
      <c r="T87" s="222">
        <f t="shared" si="6"/>
        <v>0</v>
      </c>
      <c r="U87" s="222">
        <f t="shared" si="7"/>
        <v>0</v>
      </c>
      <c r="V87" s="223">
        <f t="shared" si="8"/>
        <v>0</v>
      </c>
      <c r="W87" s="224">
        <f t="shared" si="9"/>
        <v>0</v>
      </c>
      <c r="X87" s="225"/>
    </row>
    <row r="88" spans="1:24" ht="12">
      <c r="A88" s="71">
        <f t="shared" si="4"/>
        <v>79</v>
      </c>
      <c r="B88" s="83" t="s">
        <v>74</v>
      </c>
      <c r="C88" s="201" t="s">
        <v>139</v>
      </c>
      <c r="D88" s="202" t="s">
        <v>140</v>
      </c>
      <c r="E88" s="89" t="s">
        <v>57</v>
      </c>
      <c r="F88" s="73"/>
      <c r="G88" s="90"/>
      <c r="H88" s="90"/>
      <c r="I88" s="73" t="s">
        <v>811</v>
      </c>
      <c r="J88" s="222">
        <f t="shared" si="31"/>
        <v>0.2</v>
      </c>
      <c r="K88" s="222">
        <f t="shared" si="31"/>
        <v>0.2</v>
      </c>
      <c r="L88" s="238"/>
      <c r="M88" s="238"/>
      <c r="N88" s="222">
        <f t="shared" si="31"/>
        <v>0.2</v>
      </c>
      <c r="O88" s="222">
        <f t="shared" si="31"/>
        <v>0.2</v>
      </c>
      <c r="P88" s="222">
        <f t="shared" si="31"/>
        <v>0.1</v>
      </c>
      <c r="Q88" s="222">
        <f t="shared" si="31"/>
        <v>0.2</v>
      </c>
      <c r="R88" s="222">
        <f t="shared" si="31"/>
        <v>0</v>
      </c>
      <c r="S88" s="85"/>
      <c r="T88" s="222">
        <f t="shared" si="6"/>
        <v>0.2</v>
      </c>
      <c r="U88" s="222">
        <f t="shared" si="7"/>
        <v>1.3</v>
      </c>
      <c r="V88" s="223">
        <f t="shared" si="8"/>
        <v>6.5000000000000002E-2</v>
      </c>
      <c r="W88" s="224">
        <f t="shared" si="9"/>
        <v>69000</v>
      </c>
      <c r="X88" s="225"/>
    </row>
    <row r="89" spans="1:24" ht="12">
      <c r="A89" s="71">
        <f t="shared" si="4"/>
        <v>80</v>
      </c>
      <c r="B89" s="83" t="s">
        <v>74</v>
      </c>
      <c r="C89" s="201" t="s">
        <v>139</v>
      </c>
      <c r="D89" s="202" t="s">
        <v>141</v>
      </c>
      <c r="E89" s="89" t="s">
        <v>57</v>
      </c>
      <c r="F89" s="73"/>
      <c r="G89" s="90"/>
      <c r="H89" s="90"/>
      <c r="I89" s="73"/>
      <c r="J89" s="222">
        <f t="shared" si="31"/>
        <v>0</v>
      </c>
      <c r="K89" s="222">
        <f t="shared" si="31"/>
        <v>0</v>
      </c>
      <c r="L89" s="238"/>
      <c r="M89" s="238"/>
      <c r="N89" s="222">
        <f t="shared" si="31"/>
        <v>0</v>
      </c>
      <c r="O89" s="222">
        <f t="shared" si="31"/>
        <v>0</v>
      </c>
      <c r="P89" s="222">
        <f t="shared" si="31"/>
        <v>0</v>
      </c>
      <c r="Q89" s="222">
        <f t="shared" si="31"/>
        <v>0</v>
      </c>
      <c r="R89" s="222">
        <f t="shared" si="31"/>
        <v>0</v>
      </c>
      <c r="S89" s="85"/>
      <c r="T89" s="222">
        <f t="shared" si="6"/>
        <v>0</v>
      </c>
      <c r="U89" s="222">
        <f t="shared" si="7"/>
        <v>0</v>
      </c>
      <c r="V89" s="223">
        <f t="shared" si="8"/>
        <v>0</v>
      </c>
      <c r="W89" s="224">
        <f t="shared" si="9"/>
        <v>0</v>
      </c>
      <c r="X89" s="225"/>
    </row>
    <row r="90" spans="1:24" ht="12">
      <c r="A90" s="71">
        <f t="shared" si="4"/>
        <v>81</v>
      </c>
      <c r="B90" s="83" t="s">
        <v>74</v>
      </c>
      <c r="C90" s="201" t="s">
        <v>139</v>
      </c>
      <c r="D90" s="202" t="s">
        <v>142</v>
      </c>
      <c r="E90" s="89" t="s">
        <v>57</v>
      </c>
      <c r="F90" s="73"/>
      <c r="G90" s="90"/>
      <c r="H90" s="90"/>
      <c r="I90" s="73"/>
      <c r="J90" s="222">
        <f t="shared" si="31"/>
        <v>0</v>
      </c>
      <c r="K90" s="222">
        <f t="shared" si="31"/>
        <v>0</v>
      </c>
      <c r="L90" s="238"/>
      <c r="M90" s="238"/>
      <c r="N90" s="222">
        <f t="shared" si="31"/>
        <v>0</v>
      </c>
      <c r="O90" s="222">
        <f t="shared" si="31"/>
        <v>0</v>
      </c>
      <c r="P90" s="222">
        <f t="shared" si="31"/>
        <v>0</v>
      </c>
      <c r="Q90" s="222">
        <f t="shared" si="31"/>
        <v>0</v>
      </c>
      <c r="R90" s="222">
        <f t="shared" si="31"/>
        <v>0</v>
      </c>
      <c r="S90" s="85"/>
      <c r="T90" s="222">
        <f t="shared" si="6"/>
        <v>0</v>
      </c>
      <c r="U90" s="222">
        <f t="shared" si="7"/>
        <v>0</v>
      </c>
      <c r="V90" s="223">
        <f t="shared" si="8"/>
        <v>0</v>
      </c>
      <c r="W90" s="224">
        <f t="shared" si="9"/>
        <v>0</v>
      </c>
      <c r="X90" s="225"/>
    </row>
    <row r="91" spans="1:24" ht="12">
      <c r="A91" s="71">
        <f t="shared" si="4"/>
        <v>82</v>
      </c>
      <c r="B91" s="83" t="s">
        <v>74</v>
      </c>
      <c r="C91" s="201" t="s">
        <v>139</v>
      </c>
      <c r="D91" s="202" t="s">
        <v>143</v>
      </c>
      <c r="E91" s="89" t="s">
        <v>57</v>
      </c>
      <c r="F91" s="73"/>
      <c r="G91" s="90"/>
      <c r="H91" s="90"/>
      <c r="I91" s="73"/>
      <c r="J91" s="222">
        <f t="shared" si="31"/>
        <v>0</v>
      </c>
      <c r="K91" s="222">
        <f t="shared" si="31"/>
        <v>0</v>
      </c>
      <c r="L91" s="238"/>
      <c r="M91" s="238"/>
      <c r="N91" s="222">
        <f t="shared" si="31"/>
        <v>0</v>
      </c>
      <c r="O91" s="222">
        <f t="shared" si="31"/>
        <v>0</v>
      </c>
      <c r="P91" s="222">
        <f t="shared" si="31"/>
        <v>0</v>
      </c>
      <c r="Q91" s="222">
        <f t="shared" si="31"/>
        <v>0</v>
      </c>
      <c r="R91" s="222">
        <f t="shared" si="31"/>
        <v>0</v>
      </c>
      <c r="S91" s="85"/>
      <c r="T91" s="222">
        <f t="shared" si="6"/>
        <v>0</v>
      </c>
      <c r="U91" s="222">
        <f t="shared" si="7"/>
        <v>0</v>
      </c>
      <c r="V91" s="223">
        <f t="shared" si="8"/>
        <v>0</v>
      </c>
      <c r="W91" s="224">
        <f t="shared" si="9"/>
        <v>0</v>
      </c>
      <c r="X91" s="225"/>
    </row>
    <row r="92" spans="1:24" ht="12">
      <c r="A92" s="71">
        <f t="shared" si="4"/>
        <v>83</v>
      </c>
      <c r="B92" s="83" t="s">
        <v>74</v>
      </c>
      <c r="C92" s="201" t="s">
        <v>144</v>
      </c>
      <c r="D92" s="202" t="s">
        <v>145</v>
      </c>
      <c r="E92" s="89" t="s">
        <v>57</v>
      </c>
      <c r="F92" s="73"/>
      <c r="G92" s="90"/>
      <c r="H92" s="90"/>
      <c r="I92" s="73" t="s">
        <v>811</v>
      </c>
      <c r="J92" s="222">
        <f t="shared" si="31"/>
        <v>0.2</v>
      </c>
      <c r="K92" s="222">
        <f t="shared" si="31"/>
        <v>0.2</v>
      </c>
      <c r="L92" s="238"/>
      <c r="M92" s="238"/>
      <c r="N92" s="222">
        <f t="shared" si="31"/>
        <v>0.2</v>
      </c>
      <c r="O92" s="222">
        <f t="shared" si="31"/>
        <v>0.2</v>
      </c>
      <c r="P92" s="222">
        <f t="shared" si="31"/>
        <v>0.1</v>
      </c>
      <c r="Q92" s="222">
        <f t="shared" si="31"/>
        <v>0.2</v>
      </c>
      <c r="R92" s="222">
        <f t="shared" si="31"/>
        <v>0</v>
      </c>
      <c r="S92" s="85"/>
      <c r="T92" s="222">
        <f t="shared" si="6"/>
        <v>0.2</v>
      </c>
      <c r="U92" s="222">
        <f t="shared" si="7"/>
        <v>1.3</v>
      </c>
      <c r="V92" s="223">
        <f t="shared" si="8"/>
        <v>6.5000000000000002E-2</v>
      </c>
      <c r="W92" s="224">
        <f t="shared" si="9"/>
        <v>69000</v>
      </c>
      <c r="X92" s="225"/>
    </row>
    <row r="93" spans="1:24" ht="12">
      <c r="A93" s="71">
        <f t="shared" si="4"/>
        <v>84</v>
      </c>
      <c r="B93" s="83" t="s">
        <v>74</v>
      </c>
      <c r="C93" s="201" t="s">
        <v>144</v>
      </c>
      <c r="D93" s="202" t="s">
        <v>146</v>
      </c>
      <c r="E93" s="89" t="s">
        <v>57</v>
      </c>
      <c r="F93" s="89"/>
      <c r="G93" s="90"/>
      <c r="H93" s="90"/>
      <c r="I93" s="89"/>
      <c r="J93" s="222">
        <f t="shared" si="31"/>
        <v>0</v>
      </c>
      <c r="K93" s="222">
        <f t="shared" si="31"/>
        <v>0</v>
      </c>
      <c r="L93" s="238"/>
      <c r="M93" s="238"/>
      <c r="N93" s="222">
        <f t="shared" si="31"/>
        <v>0</v>
      </c>
      <c r="O93" s="222">
        <f t="shared" si="31"/>
        <v>0</v>
      </c>
      <c r="P93" s="222">
        <f t="shared" si="31"/>
        <v>0</v>
      </c>
      <c r="Q93" s="222">
        <f t="shared" si="31"/>
        <v>0</v>
      </c>
      <c r="R93" s="222">
        <f t="shared" si="31"/>
        <v>0</v>
      </c>
      <c r="S93" s="85"/>
      <c r="T93" s="222">
        <f t="shared" si="6"/>
        <v>0</v>
      </c>
      <c r="U93" s="222">
        <f t="shared" si="7"/>
        <v>0</v>
      </c>
      <c r="V93" s="223">
        <f t="shared" si="8"/>
        <v>0</v>
      </c>
      <c r="W93" s="224">
        <f t="shared" si="9"/>
        <v>0</v>
      </c>
      <c r="X93" s="225"/>
    </row>
    <row r="94" spans="1:24" ht="12">
      <c r="A94" s="71">
        <f t="shared" si="4"/>
        <v>85</v>
      </c>
      <c r="B94" s="83" t="s">
        <v>74</v>
      </c>
      <c r="C94" s="201" t="s">
        <v>144</v>
      </c>
      <c r="D94" s="202" t="s">
        <v>147</v>
      </c>
      <c r="E94" s="89" t="s">
        <v>57</v>
      </c>
      <c r="F94" s="89"/>
      <c r="G94" s="90"/>
      <c r="H94" s="90"/>
      <c r="I94" s="89"/>
      <c r="J94" s="222">
        <f t="shared" si="31"/>
        <v>0</v>
      </c>
      <c r="K94" s="222">
        <f t="shared" si="31"/>
        <v>0</v>
      </c>
      <c r="L94" s="238"/>
      <c r="M94" s="238"/>
      <c r="N94" s="222">
        <f t="shared" si="31"/>
        <v>0</v>
      </c>
      <c r="O94" s="222">
        <f t="shared" si="31"/>
        <v>0</v>
      </c>
      <c r="P94" s="222">
        <f t="shared" si="31"/>
        <v>0</v>
      </c>
      <c r="Q94" s="222">
        <f t="shared" si="31"/>
        <v>0</v>
      </c>
      <c r="R94" s="222">
        <f t="shared" si="31"/>
        <v>0</v>
      </c>
      <c r="S94" s="85"/>
      <c r="T94" s="222">
        <f t="shared" si="6"/>
        <v>0</v>
      </c>
      <c r="U94" s="222">
        <f t="shared" si="7"/>
        <v>0</v>
      </c>
      <c r="V94" s="223">
        <f t="shared" si="8"/>
        <v>0</v>
      </c>
      <c r="W94" s="224">
        <f t="shared" si="9"/>
        <v>0</v>
      </c>
      <c r="X94" s="225"/>
    </row>
    <row r="95" spans="1:24" ht="12">
      <c r="A95" s="71">
        <f t="shared" si="4"/>
        <v>86</v>
      </c>
      <c r="B95" s="83" t="s">
        <v>74</v>
      </c>
      <c r="C95" s="201" t="s">
        <v>144</v>
      </c>
      <c r="D95" s="202" t="s">
        <v>148</v>
      </c>
      <c r="E95" s="89" t="s">
        <v>57</v>
      </c>
      <c r="F95" s="89"/>
      <c r="G95" s="90"/>
      <c r="H95" s="90"/>
      <c r="I95" s="89"/>
      <c r="J95" s="222">
        <f t="shared" si="31"/>
        <v>0</v>
      </c>
      <c r="K95" s="222">
        <f t="shared" si="31"/>
        <v>0</v>
      </c>
      <c r="L95" s="238"/>
      <c r="M95" s="238"/>
      <c r="N95" s="222">
        <f t="shared" si="31"/>
        <v>0</v>
      </c>
      <c r="O95" s="222">
        <f t="shared" si="31"/>
        <v>0</v>
      </c>
      <c r="P95" s="222">
        <f t="shared" si="31"/>
        <v>0</v>
      </c>
      <c r="Q95" s="222">
        <f t="shared" si="31"/>
        <v>0</v>
      </c>
      <c r="R95" s="222">
        <f t="shared" si="31"/>
        <v>0</v>
      </c>
      <c r="S95" s="85"/>
      <c r="T95" s="222">
        <f t="shared" si="6"/>
        <v>0</v>
      </c>
      <c r="U95" s="222">
        <f t="shared" si="7"/>
        <v>0</v>
      </c>
      <c r="V95" s="223">
        <f t="shared" si="8"/>
        <v>0</v>
      </c>
      <c r="W95" s="224">
        <f t="shared" si="9"/>
        <v>0</v>
      </c>
      <c r="X95" s="225"/>
    </row>
    <row r="96" spans="1:24" ht="12">
      <c r="A96" s="71">
        <f t="shared" si="4"/>
        <v>87</v>
      </c>
      <c r="B96" s="83" t="s">
        <v>74</v>
      </c>
      <c r="C96" s="201" t="s">
        <v>149</v>
      </c>
      <c r="D96" s="202" t="s">
        <v>150</v>
      </c>
      <c r="E96" s="89" t="s">
        <v>57</v>
      </c>
      <c r="F96" s="89"/>
      <c r="G96" s="90"/>
      <c r="H96" s="90"/>
      <c r="I96" s="89" t="s">
        <v>811</v>
      </c>
      <c r="J96" s="222">
        <f t="shared" si="31"/>
        <v>0.2</v>
      </c>
      <c r="K96" s="222">
        <f t="shared" si="31"/>
        <v>0.2</v>
      </c>
      <c r="L96" s="238"/>
      <c r="M96" s="238"/>
      <c r="N96" s="222">
        <f t="shared" si="31"/>
        <v>0.2</v>
      </c>
      <c r="O96" s="222">
        <f t="shared" si="31"/>
        <v>0.2</v>
      </c>
      <c r="P96" s="222">
        <f t="shared" si="31"/>
        <v>0.1</v>
      </c>
      <c r="Q96" s="222">
        <f t="shared" si="31"/>
        <v>0.2</v>
      </c>
      <c r="R96" s="222">
        <f t="shared" si="31"/>
        <v>0</v>
      </c>
      <c r="S96" s="85"/>
      <c r="T96" s="222">
        <f t="shared" si="6"/>
        <v>0.2</v>
      </c>
      <c r="U96" s="222">
        <f t="shared" si="7"/>
        <v>1.3</v>
      </c>
      <c r="V96" s="223">
        <f t="shared" si="8"/>
        <v>6.5000000000000002E-2</v>
      </c>
      <c r="W96" s="224">
        <f t="shared" si="9"/>
        <v>69000</v>
      </c>
      <c r="X96" s="225"/>
    </row>
    <row r="97" spans="1:24" ht="12">
      <c r="A97" s="71">
        <f t="shared" si="4"/>
        <v>88</v>
      </c>
      <c r="B97" s="83" t="s">
        <v>74</v>
      </c>
      <c r="C97" s="201" t="s">
        <v>149</v>
      </c>
      <c r="D97" s="202" t="s">
        <v>151</v>
      </c>
      <c r="E97" s="89" t="s">
        <v>57</v>
      </c>
      <c r="F97" s="73"/>
      <c r="G97" s="90"/>
      <c r="H97" s="90"/>
      <c r="I97" s="73"/>
      <c r="J97" s="222">
        <f t="shared" si="31"/>
        <v>0</v>
      </c>
      <c r="K97" s="222">
        <f t="shared" si="31"/>
        <v>0</v>
      </c>
      <c r="L97" s="238"/>
      <c r="M97" s="238"/>
      <c r="N97" s="222">
        <f t="shared" si="31"/>
        <v>0</v>
      </c>
      <c r="O97" s="222">
        <f t="shared" si="31"/>
        <v>0</v>
      </c>
      <c r="P97" s="222">
        <f t="shared" si="31"/>
        <v>0</v>
      </c>
      <c r="Q97" s="222">
        <f t="shared" si="31"/>
        <v>0</v>
      </c>
      <c r="R97" s="222">
        <f t="shared" si="31"/>
        <v>0</v>
      </c>
      <c r="S97" s="85"/>
      <c r="T97" s="222">
        <f t="shared" si="6"/>
        <v>0</v>
      </c>
      <c r="U97" s="222">
        <f t="shared" si="7"/>
        <v>0</v>
      </c>
      <c r="V97" s="223">
        <f t="shared" si="8"/>
        <v>0</v>
      </c>
      <c r="W97" s="224">
        <f t="shared" si="9"/>
        <v>0</v>
      </c>
      <c r="X97" s="225"/>
    </row>
    <row r="98" spans="1:24" ht="12">
      <c r="A98" s="71">
        <f t="shared" si="4"/>
        <v>89</v>
      </c>
      <c r="B98" s="83" t="s">
        <v>74</v>
      </c>
      <c r="C98" s="201" t="s">
        <v>149</v>
      </c>
      <c r="D98" s="202" t="s">
        <v>152</v>
      </c>
      <c r="E98" s="89" t="s">
        <v>57</v>
      </c>
      <c r="F98" s="73"/>
      <c r="G98" s="90"/>
      <c r="H98" s="90"/>
      <c r="I98" s="73"/>
      <c r="J98" s="222">
        <f t="shared" si="31"/>
        <v>0</v>
      </c>
      <c r="K98" s="222">
        <f t="shared" si="31"/>
        <v>0</v>
      </c>
      <c r="L98" s="238"/>
      <c r="M98" s="238"/>
      <c r="N98" s="222">
        <f t="shared" si="31"/>
        <v>0</v>
      </c>
      <c r="O98" s="222">
        <f t="shared" si="31"/>
        <v>0</v>
      </c>
      <c r="P98" s="222">
        <f t="shared" si="31"/>
        <v>0</v>
      </c>
      <c r="Q98" s="222">
        <f t="shared" si="31"/>
        <v>0</v>
      </c>
      <c r="R98" s="222">
        <f t="shared" si="31"/>
        <v>0</v>
      </c>
      <c r="S98" s="85"/>
      <c r="T98" s="222">
        <f t="shared" si="6"/>
        <v>0</v>
      </c>
      <c r="U98" s="222">
        <f t="shared" si="7"/>
        <v>0</v>
      </c>
      <c r="V98" s="223">
        <f t="shared" si="8"/>
        <v>0</v>
      </c>
      <c r="W98" s="224">
        <f t="shared" si="9"/>
        <v>0</v>
      </c>
      <c r="X98" s="225"/>
    </row>
    <row r="99" spans="1:24" ht="12">
      <c r="A99" s="71">
        <f t="shared" si="4"/>
        <v>90</v>
      </c>
      <c r="B99" s="83" t="s">
        <v>74</v>
      </c>
      <c r="C99" s="201" t="s">
        <v>149</v>
      </c>
      <c r="D99" s="202" t="s">
        <v>153</v>
      </c>
      <c r="E99" s="89" t="s">
        <v>57</v>
      </c>
      <c r="F99" s="73"/>
      <c r="G99" s="90"/>
      <c r="H99" s="90"/>
      <c r="I99" s="73"/>
      <c r="J99" s="222">
        <f t="shared" si="31"/>
        <v>0</v>
      </c>
      <c r="K99" s="222">
        <f t="shared" si="31"/>
        <v>0</v>
      </c>
      <c r="L99" s="238"/>
      <c r="M99" s="238"/>
      <c r="N99" s="222">
        <f t="shared" si="31"/>
        <v>0</v>
      </c>
      <c r="O99" s="222">
        <f t="shared" si="31"/>
        <v>0</v>
      </c>
      <c r="P99" s="222">
        <f t="shared" si="31"/>
        <v>0</v>
      </c>
      <c r="Q99" s="222">
        <f t="shared" si="31"/>
        <v>0</v>
      </c>
      <c r="R99" s="222">
        <f t="shared" si="31"/>
        <v>0</v>
      </c>
      <c r="S99" s="85"/>
      <c r="T99" s="222">
        <f t="shared" si="6"/>
        <v>0</v>
      </c>
      <c r="U99" s="222">
        <f t="shared" si="7"/>
        <v>0</v>
      </c>
      <c r="V99" s="223">
        <f t="shared" si="8"/>
        <v>0</v>
      </c>
      <c r="W99" s="224">
        <f t="shared" si="9"/>
        <v>0</v>
      </c>
      <c r="X99" s="225"/>
    </row>
    <row r="100" spans="1:24" ht="12">
      <c r="A100" s="71">
        <f t="shared" si="4"/>
        <v>91</v>
      </c>
      <c r="B100" s="83" t="s">
        <v>74</v>
      </c>
      <c r="C100" s="201" t="s">
        <v>154</v>
      </c>
      <c r="D100" s="202" t="s">
        <v>155</v>
      </c>
      <c r="E100" s="89" t="s">
        <v>57</v>
      </c>
      <c r="F100" s="73"/>
      <c r="G100" s="90"/>
      <c r="H100" s="90"/>
      <c r="I100" s="73" t="s">
        <v>811</v>
      </c>
      <c r="J100" s="222">
        <f t="shared" si="31"/>
        <v>0.2</v>
      </c>
      <c r="K100" s="222">
        <f t="shared" si="31"/>
        <v>0.2</v>
      </c>
      <c r="L100" s="238"/>
      <c r="M100" s="238"/>
      <c r="N100" s="222">
        <f t="shared" si="31"/>
        <v>0.2</v>
      </c>
      <c r="O100" s="222">
        <f t="shared" si="31"/>
        <v>0.2</v>
      </c>
      <c r="P100" s="222">
        <f t="shared" si="31"/>
        <v>0.1</v>
      </c>
      <c r="Q100" s="222">
        <f t="shared" si="31"/>
        <v>0.2</v>
      </c>
      <c r="R100" s="222">
        <f t="shared" si="31"/>
        <v>0</v>
      </c>
      <c r="S100" s="85"/>
      <c r="T100" s="222">
        <f t="shared" si="6"/>
        <v>0.2</v>
      </c>
      <c r="U100" s="222">
        <f t="shared" si="7"/>
        <v>1.3</v>
      </c>
      <c r="V100" s="223">
        <f t="shared" si="8"/>
        <v>6.5000000000000002E-2</v>
      </c>
      <c r="W100" s="224">
        <f t="shared" si="9"/>
        <v>69000</v>
      </c>
      <c r="X100" s="225"/>
    </row>
    <row r="101" spans="1:24" ht="12">
      <c r="A101" s="71">
        <f t="shared" si="4"/>
        <v>92</v>
      </c>
      <c r="B101" s="83" t="s">
        <v>74</v>
      </c>
      <c r="C101" s="201" t="s">
        <v>154</v>
      </c>
      <c r="D101" s="202" t="s">
        <v>160</v>
      </c>
      <c r="E101" s="89" t="s">
        <v>57</v>
      </c>
      <c r="F101" s="73"/>
      <c r="G101" s="90"/>
      <c r="H101" s="90"/>
      <c r="I101" s="73"/>
      <c r="J101" s="222">
        <f t="shared" si="31"/>
        <v>0</v>
      </c>
      <c r="K101" s="222">
        <f t="shared" si="31"/>
        <v>0</v>
      </c>
      <c r="L101" s="238"/>
      <c r="M101" s="238"/>
      <c r="N101" s="222">
        <f t="shared" si="31"/>
        <v>0</v>
      </c>
      <c r="O101" s="222">
        <f t="shared" si="31"/>
        <v>0</v>
      </c>
      <c r="P101" s="222">
        <f t="shared" si="31"/>
        <v>0</v>
      </c>
      <c r="Q101" s="222">
        <f t="shared" si="31"/>
        <v>0</v>
      </c>
      <c r="R101" s="222">
        <f t="shared" si="31"/>
        <v>0</v>
      </c>
      <c r="S101" s="85"/>
      <c r="T101" s="222">
        <f t="shared" si="6"/>
        <v>0</v>
      </c>
      <c r="U101" s="222">
        <f t="shared" si="7"/>
        <v>0</v>
      </c>
      <c r="V101" s="223">
        <f t="shared" si="8"/>
        <v>0</v>
      </c>
      <c r="W101" s="224">
        <f t="shared" si="9"/>
        <v>0</v>
      </c>
      <c r="X101" s="225"/>
    </row>
    <row r="102" spans="1:24" ht="12">
      <c r="A102" s="71">
        <f t="shared" si="4"/>
        <v>93</v>
      </c>
      <c r="B102" s="83" t="s">
        <v>74</v>
      </c>
      <c r="C102" s="201" t="s">
        <v>154</v>
      </c>
      <c r="D102" s="202" t="s">
        <v>165</v>
      </c>
      <c r="E102" s="89" t="s">
        <v>57</v>
      </c>
      <c r="F102" s="73"/>
      <c r="G102" s="90"/>
      <c r="H102" s="90"/>
      <c r="I102" s="73"/>
      <c r="J102" s="222">
        <f t="shared" si="31"/>
        <v>0</v>
      </c>
      <c r="K102" s="222">
        <f t="shared" si="31"/>
        <v>0</v>
      </c>
      <c r="L102" s="238"/>
      <c r="M102" s="238"/>
      <c r="N102" s="222">
        <f t="shared" si="31"/>
        <v>0</v>
      </c>
      <c r="O102" s="222">
        <f t="shared" si="31"/>
        <v>0</v>
      </c>
      <c r="P102" s="222">
        <f t="shared" si="31"/>
        <v>0</v>
      </c>
      <c r="Q102" s="222">
        <f t="shared" si="31"/>
        <v>0</v>
      </c>
      <c r="R102" s="222">
        <f t="shared" si="31"/>
        <v>0</v>
      </c>
      <c r="S102" s="85"/>
      <c r="T102" s="222">
        <f t="shared" si="6"/>
        <v>0</v>
      </c>
      <c r="U102" s="222">
        <f t="shared" si="7"/>
        <v>0</v>
      </c>
      <c r="V102" s="223">
        <f t="shared" si="8"/>
        <v>0</v>
      </c>
      <c r="W102" s="224">
        <f t="shared" si="9"/>
        <v>0</v>
      </c>
      <c r="X102" s="225"/>
    </row>
    <row r="103" spans="1:24" ht="12">
      <c r="A103" s="71">
        <f t="shared" si="4"/>
        <v>94</v>
      </c>
      <c r="B103" s="83" t="s">
        <v>74</v>
      </c>
      <c r="C103" s="201" t="s">
        <v>154</v>
      </c>
      <c r="D103" s="202" t="s">
        <v>170</v>
      </c>
      <c r="E103" s="89" t="s">
        <v>57</v>
      </c>
      <c r="F103" s="89"/>
      <c r="G103" s="90"/>
      <c r="H103" s="90"/>
      <c r="I103" s="89"/>
      <c r="J103" s="222">
        <f t="shared" si="31"/>
        <v>0</v>
      </c>
      <c r="K103" s="222">
        <f t="shared" si="31"/>
        <v>0</v>
      </c>
      <c r="L103" s="238"/>
      <c r="M103" s="238"/>
      <c r="N103" s="222">
        <f t="shared" si="31"/>
        <v>0</v>
      </c>
      <c r="O103" s="222">
        <f t="shared" si="31"/>
        <v>0</v>
      </c>
      <c r="P103" s="222">
        <f t="shared" si="31"/>
        <v>0</v>
      </c>
      <c r="Q103" s="222">
        <f t="shared" si="31"/>
        <v>0</v>
      </c>
      <c r="R103" s="222">
        <f t="shared" si="31"/>
        <v>0</v>
      </c>
      <c r="S103" s="85"/>
      <c r="T103" s="222">
        <f t="shared" si="6"/>
        <v>0</v>
      </c>
      <c r="U103" s="222">
        <f t="shared" si="7"/>
        <v>0</v>
      </c>
      <c r="V103" s="223">
        <f t="shared" si="8"/>
        <v>0</v>
      </c>
      <c r="W103" s="224">
        <f t="shared" si="9"/>
        <v>0</v>
      </c>
      <c r="X103" s="225"/>
    </row>
    <row r="104" spans="1:24" ht="12">
      <c r="A104" s="71">
        <f t="shared" si="4"/>
        <v>95</v>
      </c>
      <c r="B104" s="83" t="s">
        <v>74</v>
      </c>
      <c r="C104" s="201" t="s">
        <v>174</v>
      </c>
      <c r="D104" s="202" t="s">
        <v>175</v>
      </c>
      <c r="E104" s="89" t="s">
        <v>57</v>
      </c>
      <c r="F104" s="89"/>
      <c r="G104" s="90"/>
      <c r="H104" s="90"/>
      <c r="I104" s="89" t="s">
        <v>811</v>
      </c>
      <c r="J104" s="222">
        <f t="shared" si="31"/>
        <v>0.2</v>
      </c>
      <c r="K104" s="222">
        <f t="shared" si="31"/>
        <v>0.2</v>
      </c>
      <c r="L104" s="238"/>
      <c r="M104" s="238"/>
      <c r="N104" s="222">
        <f t="shared" si="31"/>
        <v>0.2</v>
      </c>
      <c r="O104" s="222">
        <f t="shared" si="31"/>
        <v>0.2</v>
      </c>
      <c r="P104" s="222">
        <f t="shared" si="31"/>
        <v>0.1</v>
      </c>
      <c r="Q104" s="222">
        <f t="shared" si="31"/>
        <v>0.2</v>
      </c>
      <c r="R104" s="222">
        <f t="shared" si="31"/>
        <v>0</v>
      </c>
      <c r="S104" s="85"/>
      <c r="T104" s="222">
        <f t="shared" si="6"/>
        <v>0.2</v>
      </c>
      <c r="U104" s="222">
        <f t="shared" si="7"/>
        <v>1.3</v>
      </c>
      <c r="V104" s="223">
        <f t="shared" si="8"/>
        <v>6.5000000000000002E-2</v>
      </c>
      <c r="W104" s="224">
        <f t="shared" si="9"/>
        <v>69000</v>
      </c>
      <c r="X104" s="225"/>
    </row>
    <row r="105" spans="1:24" ht="12">
      <c r="A105" s="71">
        <f t="shared" si="4"/>
        <v>96</v>
      </c>
      <c r="B105" s="83" t="s">
        <v>74</v>
      </c>
      <c r="C105" s="201" t="s">
        <v>174</v>
      </c>
      <c r="D105" s="202" t="s">
        <v>176</v>
      </c>
      <c r="E105" s="89" t="s">
        <v>57</v>
      </c>
      <c r="F105" s="89"/>
      <c r="G105" s="90"/>
      <c r="H105" s="90"/>
      <c r="I105" s="89"/>
      <c r="J105" s="222">
        <f t="shared" si="31"/>
        <v>0</v>
      </c>
      <c r="K105" s="222">
        <f t="shared" si="31"/>
        <v>0</v>
      </c>
      <c r="L105" s="238"/>
      <c r="M105" s="238"/>
      <c r="N105" s="222">
        <f t="shared" si="31"/>
        <v>0</v>
      </c>
      <c r="O105" s="222">
        <f t="shared" si="31"/>
        <v>0</v>
      </c>
      <c r="P105" s="222">
        <f t="shared" si="31"/>
        <v>0</v>
      </c>
      <c r="Q105" s="222">
        <f t="shared" si="31"/>
        <v>0</v>
      </c>
      <c r="R105" s="222">
        <f t="shared" si="31"/>
        <v>0</v>
      </c>
      <c r="S105" s="85"/>
      <c r="T105" s="222">
        <f t="shared" si="6"/>
        <v>0</v>
      </c>
      <c r="U105" s="222">
        <f t="shared" si="7"/>
        <v>0</v>
      </c>
      <c r="V105" s="223">
        <f t="shared" si="8"/>
        <v>0</v>
      </c>
      <c r="W105" s="224">
        <f t="shared" si="9"/>
        <v>0</v>
      </c>
      <c r="X105" s="225"/>
    </row>
    <row r="106" spans="1:24" ht="12">
      <c r="A106" s="71">
        <f t="shared" si="4"/>
        <v>97</v>
      </c>
      <c r="B106" s="83" t="s">
        <v>74</v>
      </c>
      <c r="C106" s="201" t="s">
        <v>174</v>
      </c>
      <c r="D106" s="202" t="s">
        <v>177</v>
      </c>
      <c r="E106" s="89" t="s">
        <v>57</v>
      </c>
      <c r="F106" s="89"/>
      <c r="G106" s="90"/>
      <c r="H106" s="90"/>
      <c r="I106" s="89"/>
      <c r="J106" s="222">
        <f t="shared" si="31"/>
        <v>0</v>
      </c>
      <c r="K106" s="222">
        <f t="shared" si="31"/>
        <v>0</v>
      </c>
      <c r="L106" s="238"/>
      <c r="M106" s="238"/>
      <c r="N106" s="222">
        <f t="shared" si="31"/>
        <v>0</v>
      </c>
      <c r="O106" s="222">
        <f t="shared" si="31"/>
        <v>0</v>
      </c>
      <c r="P106" s="222">
        <f t="shared" si="31"/>
        <v>0</v>
      </c>
      <c r="Q106" s="222">
        <f t="shared" si="31"/>
        <v>0</v>
      </c>
      <c r="R106" s="222">
        <f t="shared" si="31"/>
        <v>0</v>
      </c>
      <c r="S106" s="85"/>
      <c r="T106" s="222">
        <f t="shared" si="6"/>
        <v>0</v>
      </c>
      <c r="U106" s="222">
        <f t="shared" si="7"/>
        <v>0</v>
      </c>
      <c r="V106" s="223">
        <f t="shared" si="8"/>
        <v>0</v>
      </c>
      <c r="W106" s="224">
        <f t="shared" si="9"/>
        <v>0</v>
      </c>
      <c r="X106" s="225"/>
    </row>
    <row r="107" spans="1:24" ht="12">
      <c r="A107" s="71">
        <f t="shared" si="4"/>
        <v>98</v>
      </c>
      <c r="B107" s="83" t="s">
        <v>74</v>
      </c>
      <c r="C107" s="201" t="s">
        <v>174</v>
      </c>
      <c r="D107" s="202" t="s">
        <v>178</v>
      </c>
      <c r="E107" s="89" t="s">
        <v>57</v>
      </c>
      <c r="F107" s="73"/>
      <c r="G107" s="90"/>
      <c r="H107" s="90"/>
      <c r="I107" s="73"/>
      <c r="J107" s="222">
        <f t="shared" si="31"/>
        <v>0</v>
      </c>
      <c r="K107" s="222">
        <f t="shared" si="31"/>
        <v>0</v>
      </c>
      <c r="L107" s="238"/>
      <c r="M107" s="238"/>
      <c r="N107" s="222">
        <f t="shared" si="31"/>
        <v>0</v>
      </c>
      <c r="O107" s="222">
        <f t="shared" si="31"/>
        <v>0</v>
      </c>
      <c r="P107" s="222">
        <f t="shared" si="31"/>
        <v>0</v>
      </c>
      <c r="Q107" s="222">
        <f t="shared" si="31"/>
        <v>0</v>
      </c>
      <c r="R107" s="222">
        <f t="shared" si="31"/>
        <v>0</v>
      </c>
      <c r="S107" s="85"/>
      <c r="T107" s="222">
        <f t="shared" si="6"/>
        <v>0</v>
      </c>
      <c r="U107" s="222">
        <f t="shared" si="7"/>
        <v>0</v>
      </c>
      <c r="V107" s="223">
        <f t="shared" si="8"/>
        <v>0</v>
      </c>
      <c r="W107" s="224">
        <f t="shared" si="9"/>
        <v>0</v>
      </c>
      <c r="X107" s="225"/>
    </row>
    <row r="108" spans="1:24" ht="12">
      <c r="A108" s="71">
        <f t="shared" si="4"/>
        <v>99</v>
      </c>
      <c r="B108" s="83" t="s">
        <v>74</v>
      </c>
      <c r="C108" s="201" t="s">
        <v>179</v>
      </c>
      <c r="D108" s="202" t="s">
        <v>180</v>
      </c>
      <c r="E108" s="89" t="s">
        <v>57</v>
      </c>
      <c r="F108" s="73"/>
      <c r="G108" s="90"/>
      <c r="H108" s="90"/>
      <c r="I108" s="73" t="s">
        <v>811</v>
      </c>
      <c r="J108" s="222">
        <f t="shared" si="31"/>
        <v>0.2</v>
      </c>
      <c r="K108" s="222">
        <f t="shared" si="31"/>
        <v>0.2</v>
      </c>
      <c r="L108" s="238"/>
      <c r="M108" s="238"/>
      <c r="N108" s="222">
        <f t="shared" si="31"/>
        <v>0.2</v>
      </c>
      <c r="O108" s="222">
        <f t="shared" si="31"/>
        <v>0.2</v>
      </c>
      <c r="P108" s="222">
        <f t="shared" si="31"/>
        <v>0.1</v>
      </c>
      <c r="Q108" s="222">
        <f t="shared" si="31"/>
        <v>0.2</v>
      </c>
      <c r="R108" s="222">
        <f t="shared" si="31"/>
        <v>0</v>
      </c>
      <c r="S108" s="85"/>
      <c r="T108" s="222">
        <f t="shared" si="6"/>
        <v>0.2</v>
      </c>
      <c r="U108" s="222">
        <f t="shared" si="7"/>
        <v>1.3</v>
      </c>
      <c r="V108" s="223">
        <f t="shared" si="8"/>
        <v>6.5000000000000002E-2</v>
      </c>
      <c r="W108" s="224">
        <f t="shared" si="9"/>
        <v>69000</v>
      </c>
      <c r="X108" s="225"/>
    </row>
    <row r="109" spans="1:24" ht="12">
      <c r="A109" s="71">
        <f t="shared" si="4"/>
        <v>100</v>
      </c>
      <c r="B109" s="83" t="s">
        <v>74</v>
      </c>
      <c r="C109" s="201" t="s">
        <v>179</v>
      </c>
      <c r="D109" s="202" t="s">
        <v>181</v>
      </c>
      <c r="E109" s="89" t="s">
        <v>57</v>
      </c>
      <c r="F109" s="73"/>
      <c r="G109" s="90"/>
      <c r="H109" s="90"/>
      <c r="I109" s="73"/>
      <c r="J109" s="222">
        <f t="shared" si="31"/>
        <v>0</v>
      </c>
      <c r="K109" s="222">
        <f t="shared" si="31"/>
        <v>0</v>
      </c>
      <c r="L109" s="238"/>
      <c r="M109" s="238"/>
      <c r="N109" s="222">
        <f t="shared" si="31"/>
        <v>0</v>
      </c>
      <c r="O109" s="222">
        <f t="shared" si="31"/>
        <v>0</v>
      </c>
      <c r="P109" s="222">
        <f t="shared" si="31"/>
        <v>0</v>
      </c>
      <c r="Q109" s="222">
        <f t="shared" si="31"/>
        <v>0</v>
      </c>
      <c r="R109" s="222">
        <f t="shared" si="31"/>
        <v>0</v>
      </c>
      <c r="S109" s="85"/>
      <c r="T109" s="222">
        <f t="shared" si="6"/>
        <v>0</v>
      </c>
      <c r="U109" s="222">
        <f t="shared" si="7"/>
        <v>0</v>
      </c>
      <c r="V109" s="223">
        <f t="shared" si="8"/>
        <v>0</v>
      </c>
      <c r="W109" s="224">
        <f t="shared" si="9"/>
        <v>0</v>
      </c>
      <c r="X109" s="225"/>
    </row>
    <row r="110" spans="1:24" ht="12">
      <c r="A110" s="71">
        <f t="shared" si="4"/>
        <v>101</v>
      </c>
      <c r="B110" s="83" t="s">
        <v>74</v>
      </c>
      <c r="C110" s="201" t="s">
        <v>179</v>
      </c>
      <c r="D110" s="202" t="s">
        <v>182</v>
      </c>
      <c r="E110" s="89" t="s">
        <v>57</v>
      </c>
      <c r="F110" s="73"/>
      <c r="G110" s="90"/>
      <c r="H110" s="90"/>
      <c r="I110" s="73"/>
      <c r="J110" s="222">
        <f t="shared" si="31"/>
        <v>0</v>
      </c>
      <c r="K110" s="222">
        <f t="shared" si="31"/>
        <v>0</v>
      </c>
      <c r="L110" s="238"/>
      <c r="M110" s="238"/>
      <c r="N110" s="222">
        <f t="shared" si="31"/>
        <v>0</v>
      </c>
      <c r="O110" s="222">
        <f t="shared" si="31"/>
        <v>0</v>
      </c>
      <c r="P110" s="222">
        <f t="shared" si="31"/>
        <v>0</v>
      </c>
      <c r="Q110" s="222">
        <f t="shared" si="31"/>
        <v>0</v>
      </c>
      <c r="R110" s="222">
        <f t="shared" si="31"/>
        <v>0</v>
      </c>
      <c r="S110" s="85"/>
      <c r="T110" s="222">
        <f t="shared" si="6"/>
        <v>0</v>
      </c>
      <c r="U110" s="222">
        <f t="shared" si="7"/>
        <v>0</v>
      </c>
      <c r="V110" s="223">
        <f t="shared" si="8"/>
        <v>0</v>
      </c>
      <c r="W110" s="224">
        <f t="shared" si="9"/>
        <v>0</v>
      </c>
      <c r="X110" s="225"/>
    </row>
    <row r="111" spans="1:24" ht="12">
      <c r="A111" s="71">
        <f t="shared" si="4"/>
        <v>102</v>
      </c>
      <c r="B111" s="83" t="s">
        <v>74</v>
      </c>
      <c r="C111" s="201" t="s">
        <v>179</v>
      </c>
      <c r="D111" s="202" t="s">
        <v>183</v>
      </c>
      <c r="E111" s="89" t="s">
        <v>57</v>
      </c>
      <c r="F111" s="73"/>
      <c r="G111" s="90"/>
      <c r="H111" s="90"/>
      <c r="I111" s="73"/>
      <c r="J111" s="222">
        <f t="shared" si="31"/>
        <v>0</v>
      </c>
      <c r="K111" s="222">
        <f t="shared" si="31"/>
        <v>0</v>
      </c>
      <c r="L111" s="238"/>
      <c r="M111" s="238"/>
      <c r="N111" s="222">
        <f t="shared" si="31"/>
        <v>0</v>
      </c>
      <c r="O111" s="222">
        <f t="shared" si="31"/>
        <v>0</v>
      </c>
      <c r="P111" s="222">
        <f t="shared" si="31"/>
        <v>0</v>
      </c>
      <c r="Q111" s="222">
        <f t="shared" si="31"/>
        <v>0</v>
      </c>
      <c r="R111" s="222">
        <f t="shared" si="31"/>
        <v>0</v>
      </c>
      <c r="S111" s="85"/>
      <c r="T111" s="222">
        <f t="shared" si="6"/>
        <v>0</v>
      </c>
      <c r="U111" s="222">
        <f t="shared" si="7"/>
        <v>0</v>
      </c>
      <c r="V111" s="223">
        <f t="shared" si="8"/>
        <v>0</v>
      </c>
      <c r="W111" s="224">
        <f t="shared" si="9"/>
        <v>0</v>
      </c>
      <c r="X111" s="225"/>
    </row>
    <row r="112" spans="1:24" ht="12">
      <c r="A112" s="71">
        <f t="shared" si="4"/>
        <v>103</v>
      </c>
      <c r="B112" s="83" t="s">
        <v>74</v>
      </c>
      <c r="C112" s="201" t="s">
        <v>184</v>
      </c>
      <c r="D112" s="202" t="s">
        <v>185</v>
      </c>
      <c r="E112" s="89" t="s">
        <v>57</v>
      </c>
      <c r="F112" s="73"/>
      <c r="G112" s="90"/>
      <c r="H112" s="90"/>
      <c r="I112" s="73" t="s">
        <v>811</v>
      </c>
      <c r="J112" s="222">
        <f t="shared" si="31"/>
        <v>0.2</v>
      </c>
      <c r="K112" s="222">
        <f t="shared" si="31"/>
        <v>0.2</v>
      </c>
      <c r="L112" s="238"/>
      <c r="M112" s="238"/>
      <c r="N112" s="222">
        <f t="shared" si="31"/>
        <v>0.2</v>
      </c>
      <c r="O112" s="222">
        <f t="shared" si="31"/>
        <v>0.2</v>
      </c>
      <c r="P112" s="222">
        <f t="shared" si="31"/>
        <v>0.1</v>
      </c>
      <c r="Q112" s="222">
        <f t="shared" si="31"/>
        <v>0.2</v>
      </c>
      <c r="R112" s="222">
        <f t="shared" si="31"/>
        <v>0</v>
      </c>
      <c r="S112" s="85"/>
      <c r="T112" s="222">
        <f t="shared" si="6"/>
        <v>0.2</v>
      </c>
      <c r="U112" s="222">
        <f t="shared" si="7"/>
        <v>1.3</v>
      </c>
      <c r="V112" s="223">
        <f t="shared" si="8"/>
        <v>6.5000000000000002E-2</v>
      </c>
      <c r="W112" s="224">
        <f t="shared" si="9"/>
        <v>69000</v>
      </c>
      <c r="X112" s="225"/>
    </row>
    <row r="113" spans="1:24" ht="12">
      <c r="A113" s="71">
        <f t="shared" si="4"/>
        <v>104</v>
      </c>
      <c r="B113" s="83" t="s">
        <v>74</v>
      </c>
      <c r="C113" s="201" t="s">
        <v>184</v>
      </c>
      <c r="D113" s="202" t="s">
        <v>186</v>
      </c>
      <c r="E113" s="89" t="s">
        <v>57</v>
      </c>
      <c r="F113" s="89"/>
      <c r="G113" s="90"/>
      <c r="H113" s="90"/>
      <c r="I113" s="89"/>
      <c r="J113" s="222">
        <f t="shared" si="31"/>
        <v>0</v>
      </c>
      <c r="K113" s="222">
        <f t="shared" si="31"/>
        <v>0</v>
      </c>
      <c r="L113" s="238"/>
      <c r="M113" s="238"/>
      <c r="N113" s="222">
        <f t="shared" si="31"/>
        <v>0</v>
      </c>
      <c r="O113" s="222">
        <f t="shared" si="31"/>
        <v>0</v>
      </c>
      <c r="P113" s="222">
        <f t="shared" ref="P113:R113" si="32">ROUNDUP(IF($E113="画面",画面係数,IF($E113="帳票",帳票係数,IF($E113="バッチ",バッチ係数,0))) *
 IF($I113="特高",特高係数,IF($I113="高",高係数,IF($I113="中",中係数,IF($I113="低",低係数,IF($I113="特低",特低係数,0))))) *
 IF(P$7="SA",要件定義係数,IF(P$7="UI",基本設計係数,IF(P$7="SS",詳細設計係数,IF(P$7="PS/PG/PT",製作係数,IF(P$7="IT",結合テスト係数,IF(P$7="ST",総合テスト係数,IF(P$7="OT",受入支援係数,IF(P$7="RL",移行切替係数,IF(P$7="その他",その他係数,0))))))))) *
 P$8,1)</f>
        <v>0</v>
      </c>
      <c r="Q113" s="222">
        <f t="shared" si="32"/>
        <v>0</v>
      </c>
      <c r="R113" s="222">
        <f t="shared" si="32"/>
        <v>0</v>
      </c>
      <c r="S113" s="85"/>
      <c r="T113" s="222">
        <f t="shared" si="6"/>
        <v>0</v>
      </c>
      <c r="U113" s="222">
        <f t="shared" si="7"/>
        <v>0</v>
      </c>
      <c r="V113" s="223">
        <f t="shared" si="8"/>
        <v>0</v>
      </c>
      <c r="W113" s="224">
        <f t="shared" si="9"/>
        <v>0</v>
      </c>
      <c r="X113" s="225"/>
    </row>
    <row r="114" spans="1:24" ht="12">
      <c r="A114" s="71">
        <f t="shared" si="4"/>
        <v>105</v>
      </c>
      <c r="B114" s="83" t="s">
        <v>74</v>
      </c>
      <c r="C114" s="201" t="s">
        <v>184</v>
      </c>
      <c r="D114" s="202" t="s">
        <v>187</v>
      </c>
      <c r="E114" s="89" t="s">
        <v>57</v>
      </c>
      <c r="F114" s="89"/>
      <c r="G114" s="90"/>
      <c r="H114" s="90"/>
      <c r="I114" s="89"/>
      <c r="J114" s="222">
        <f t="shared" ref="J114:R133" si="33">ROUNDUP(IF($E114="画面",画面係数,IF($E114="帳票",帳票係数,IF($E114="バッチ",バッチ係数,0))) *
 IF($I114="特高",特高係数,IF($I114="高",高係数,IF($I114="中",中係数,IF($I114="低",低係数,IF($I114="特低",特低係数,0)))))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114" s="222">
        <f t="shared" si="33"/>
        <v>0</v>
      </c>
      <c r="L114" s="238"/>
      <c r="M114" s="238"/>
      <c r="N114" s="222">
        <f t="shared" si="33"/>
        <v>0</v>
      </c>
      <c r="O114" s="222">
        <f t="shared" si="33"/>
        <v>0</v>
      </c>
      <c r="P114" s="222">
        <f t="shared" si="33"/>
        <v>0</v>
      </c>
      <c r="Q114" s="222">
        <f t="shared" si="33"/>
        <v>0</v>
      </c>
      <c r="R114" s="222">
        <f t="shared" si="33"/>
        <v>0</v>
      </c>
      <c r="S114" s="85"/>
      <c r="T114" s="222">
        <f t="shared" si="6"/>
        <v>0</v>
      </c>
      <c r="U114" s="222">
        <f t="shared" si="7"/>
        <v>0</v>
      </c>
      <c r="V114" s="223">
        <f t="shared" si="8"/>
        <v>0</v>
      </c>
      <c r="W114" s="224">
        <f t="shared" si="9"/>
        <v>0</v>
      </c>
      <c r="X114" s="225"/>
    </row>
    <row r="115" spans="1:24" ht="12">
      <c r="A115" s="71">
        <f t="shared" si="4"/>
        <v>106</v>
      </c>
      <c r="B115" s="83" t="s">
        <v>74</v>
      </c>
      <c r="C115" s="201" t="s">
        <v>184</v>
      </c>
      <c r="D115" s="202" t="s">
        <v>188</v>
      </c>
      <c r="E115" s="89" t="s">
        <v>57</v>
      </c>
      <c r="F115" s="89"/>
      <c r="G115" s="90"/>
      <c r="H115" s="90"/>
      <c r="I115" s="89"/>
      <c r="J115" s="222">
        <f t="shared" si="33"/>
        <v>0</v>
      </c>
      <c r="K115" s="222">
        <f t="shared" si="33"/>
        <v>0</v>
      </c>
      <c r="L115" s="238"/>
      <c r="M115" s="238"/>
      <c r="N115" s="222">
        <f t="shared" si="33"/>
        <v>0</v>
      </c>
      <c r="O115" s="222">
        <f t="shared" si="33"/>
        <v>0</v>
      </c>
      <c r="P115" s="222">
        <f t="shared" si="33"/>
        <v>0</v>
      </c>
      <c r="Q115" s="222">
        <f t="shared" si="33"/>
        <v>0</v>
      </c>
      <c r="R115" s="222">
        <f t="shared" si="33"/>
        <v>0</v>
      </c>
      <c r="S115" s="85"/>
      <c r="T115" s="222">
        <f t="shared" si="6"/>
        <v>0</v>
      </c>
      <c r="U115" s="222">
        <f t="shared" si="7"/>
        <v>0</v>
      </c>
      <c r="V115" s="223">
        <f t="shared" si="8"/>
        <v>0</v>
      </c>
      <c r="W115" s="224">
        <f t="shared" si="9"/>
        <v>0</v>
      </c>
      <c r="X115" s="225"/>
    </row>
    <row r="116" spans="1:24" ht="12">
      <c r="A116" s="71">
        <f t="shared" si="4"/>
        <v>107</v>
      </c>
      <c r="B116" s="83" t="s">
        <v>74</v>
      </c>
      <c r="C116" s="201" t="s">
        <v>189</v>
      </c>
      <c r="D116" s="202" t="s">
        <v>190</v>
      </c>
      <c r="E116" s="89" t="s">
        <v>57</v>
      </c>
      <c r="F116" s="73"/>
      <c r="G116" s="90"/>
      <c r="H116" s="90"/>
      <c r="I116" s="73" t="s">
        <v>811</v>
      </c>
      <c r="J116" s="222">
        <f t="shared" si="33"/>
        <v>0.2</v>
      </c>
      <c r="K116" s="222">
        <f t="shared" si="33"/>
        <v>0.2</v>
      </c>
      <c r="L116" s="238"/>
      <c r="M116" s="238"/>
      <c r="N116" s="222">
        <f t="shared" si="33"/>
        <v>0.2</v>
      </c>
      <c r="O116" s="222">
        <f t="shared" si="33"/>
        <v>0.2</v>
      </c>
      <c r="P116" s="222">
        <f t="shared" si="33"/>
        <v>0.1</v>
      </c>
      <c r="Q116" s="222">
        <f t="shared" si="33"/>
        <v>0.2</v>
      </c>
      <c r="R116" s="222">
        <f t="shared" si="33"/>
        <v>0</v>
      </c>
      <c r="S116" s="85"/>
      <c r="T116" s="222">
        <f t="shared" si="6"/>
        <v>0.2</v>
      </c>
      <c r="U116" s="222">
        <f t="shared" si="7"/>
        <v>1.3</v>
      </c>
      <c r="V116" s="223">
        <f t="shared" si="8"/>
        <v>6.5000000000000002E-2</v>
      </c>
      <c r="W116" s="224">
        <f t="shared" si="9"/>
        <v>69000</v>
      </c>
      <c r="X116" s="225"/>
    </row>
    <row r="117" spans="1:24" ht="12">
      <c r="A117" s="71">
        <f t="shared" si="4"/>
        <v>108</v>
      </c>
      <c r="B117" s="83" t="s">
        <v>74</v>
      </c>
      <c r="C117" s="201" t="s">
        <v>189</v>
      </c>
      <c r="D117" s="202" t="s">
        <v>191</v>
      </c>
      <c r="E117" s="89" t="s">
        <v>57</v>
      </c>
      <c r="F117" s="89"/>
      <c r="G117" s="90"/>
      <c r="H117" s="90"/>
      <c r="I117" s="89"/>
      <c r="J117" s="222">
        <f t="shared" si="33"/>
        <v>0</v>
      </c>
      <c r="K117" s="222">
        <f t="shared" si="33"/>
        <v>0</v>
      </c>
      <c r="L117" s="238"/>
      <c r="M117" s="238"/>
      <c r="N117" s="222">
        <f t="shared" si="33"/>
        <v>0</v>
      </c>
      <c r="O117" s="222">
        <f t="shared" si="33"/>
        <v>0</v>
      </c>
      <c r="P117" s="222">
        <f t="shared" si="33"/>
        <v>0</v>
      </c>
      <c r="Q117" s="222">
        <f t="shared" si="33"/>
        <v>0</v>
      </c>
      <c r="R117" s="222">
        <f t="shared" si="33"/>
        <v>0</v>
      </c>
      <c r="S117" s="85"/>
      <c r="T117" s="222">
        <f t="shared" si="6"/>
        <v>0</v>
      </c>
      <c r="U117" s="222">
        <f t="shared" si="7"/>
        <v>0</v>
      </c>
      <c r="V117" s="223">
        <f t="shared" si="8"/>
        <v>0</v>
      </c>
      <c r="W117" s="224">
        <f t="shared" si="9"/>
        <v>0</v>
      </c>
      <c r="X117" s="225"/>
    </row>
    <row r="118" spans="1:24" ht="12">
      <c r="A118" s="71">
        <f t="shared" si="4"/>
        <v>109</v>
      </c>
      <c r="B118" s="83" t="s">
        <v>74</v>
      </c>
      <c r="C118" s="201" t="s">
        <v>189</v>
      </c>
      <c r="D118" s="202" t="s">
        <v>192</v>
      </c>
      <c r="E118" s="89" t="s">
        <v>57</v>
      </c>
      <c r="F118" s="73"/>
      <c r="G118" s="90"/>
      <c r="H118" s="90"/>
      <c r="I118" s="73"/>
      <c r="J118" s="222">
        <f t="shared" si="33"/>
        <v>0</v>
      </c>
      <c r="K118" s="222">
        <f t="shared" si="33"/>
        <v>0</v>
      </c>
      <c r="L118" s="238"/>
      <c r="M118" s="238"/>
      <c r="N118" s="222">
        <f t="shared" si="33"/>
        <v>0</v>
      </c>
      <c r="O118" s="222">
        <f t="shared" si="33"/>
        <v>0</v>
      </c>
      <c r="P118" s="222">
        <f t="shared" si="33"/>
        <v>0</v>
      </c>
      <c r="Q118" s="222">
        <f t="shared" si="33"/>
        <v>0</v>
      </c>
      <c r="R118" s="222">
        <f t="shared" si="33"/>
        <v>0</v>
      </c>
      <c r="S118" s="85"/>
      <c r="T118" s="222">
        <f t="shared" si="6"/>
        <v>0</v>
      </c>
      <c r="U118" s="222">
        <f t="shared" si="7"/>
        <v>0</v>
      </c>
      <c r="V118" s="223">
        <f t="shared" si="8"/>
        <v>0</v>
      </c>
      <c r="W118" s="224">
        <f t="shared" si="9"/>
        <v>0</v>
      </c>
      <c r="X118" s="225"/>
    </row>
    <row r="119" spans="1:24" ht="12">
      <c r="A119" s="71">
        <f t="shared" si="4"/>
        <v>110</v>
      </c>
      <c r="B119" s="83" t="s">
        <v>74</v>
      </c>
      <c r="C119" s="201" t="s">
        <v>189</v>
      </c>
      <c r="D119" s="202" t="s">
        <v>193</v>
      </c>
      <c r="E119" s="89" t="s">
        <v>57</v>
      </c>
      <c r="F119" s="73"/>
      <c r="G119" s="90"/>
      <c r="H119" s="90"/>
      <c r="I119" s="73"/>
      <c r="J119" s="222">
        <f t="shared" si="33"/>
        <v>0</v>
      </c>
      <c r="K119" s="222">
        <f t="shared" si="33"/>
        <v>0</v>
      </c>
      <c r="L119" s="238"/>
      <c r="M119" s="238"/>
      <c r="N119" s="222">
        <f t="shared" si="33"/>
        <v>0</v>
      </c>
      <c r="O119" s="222">
        <f t="shared" si="33"/>
        <v>0</v>
      </c>
      <c r="P119" s="222">
        <f t="shared" si="33"/>
        <v>0</v>
      </c>
      <c r="Q119" s="222">
        <f t="shared" si="33"/>
        <v>0</v>
      </c>
      <c r="R119" s="222">
        <f t="shared" si="33"/>
        <v>0</v>
      </c>
      <c r="S119" s="85"/>
      <c r="T119" s="222">
        <f t="shared" si="6"/>
        <v>0</v>
      </c>
      <c r="U119" s="222">
        <f t="shared" si="7"/>
        <v>0</v>
      </c>
      <c r="V119" s="223">
        <f t="shared" si="8"/>
        <v>0</v>
      </c>
      <c r="W119" s="224">
        <f t="shared" si="9"/>
        <v>0</v>
      </c>
      <c r="X119" s="225"/>
    </row>
    <row r="120" spans="1:24" ht="12">
      <c r="A120" s="71">
        <f t="shared" si="4"/>
        <v>111</v>
      </c>
      <c r="B120" s="83" t="s">
        <v>74</v>
      </c>
      <c r="C120" s="201" t="s">
        <v>194</v>
      </c>
      <c r="D120" s="202" t="s">
        <v>195</v>
      </c>
      <c r="E120" s="89" t="s">
        <v>57</v>
      </c>
      <c r="F120" s="73"/>
      <c r="G120" s="90"/>
      <c r="H120" s="90"/>
      <c r="I120" s="73" t="s">
        <v>811</v>
      </c>
      <c r="J120" s="222">
        <f t="shared" si="33"/>
        <v>0.2</v>
      </c>
      <c r="K120" s="222">
        <f t="shared" si="33"/>
        <v>0.2</v>
      </c>
      <c r="L120" s="238"/>
      <c r="M120" s="238"/>
      <c r="N120" s="222">
        <f t="shared" si="33"/>
        <v>0.2</v>
      </c>
      <c r="O120" s="222">
        <f t="shared" si="33"/>
        <v>0.2</v>
      </c>
      <c r="P120" s="222">
        <f t="shared" si="33"/>
        <v>0.1</v>
      </c>
      <c r="Q120" s="222">
        <f t="shared" si="33"/>
        <v>0.2</v>
      </c>
      <c r="R120" s="222">
        <f t="shared" si="33"/>
        <v>0</v>
      </c>
      <c r="S120" s="85"/>
      <c r="T120" s="222">
        <f t="shared" si="6"/>
        <v>0.2</v>
      </c>
      <c r="U120" s="222">
        <f t="shared" si="7"/>
        <v>1.3</v>
      </c>
      <c r="V120" s="223">
        <f t="shared" si="8"/>
        <v>6.5000000000000002E-2</v>
      </c>
      <c r="W120" s="224">
        <f t="shared" si="9"/>
        <v>69000</v>
      </c>
      <c r="X120" s="225"/>
    </row>
    <row r="121" spans="1:24" ht="12">
      <c r="A121" s="71">
        <f t="shared" si="4"/>
        <v>112</v>
      </c>
      <c r="B121" s="83" t="s">
        <v>74</v>
      </c>
      <c r="C121" s="201" t="s">
        <v>194</v>
      </c>
      <c r="D121" s="202" t="s">
        <v>196</v>
      </c>
      <c r="E121" s="89" t="s">
        <v>57</v>
      </c>
      <c r="F121" s="73"/>
      <c r="G121" s="90"/>
      <c r="H121" s="90"/>
      <c r="I121" s="73"/>
      <c r="J121" s="222">
        <f t="shared" si="33"/>
        <v>0</v>
      </c>
      <c r="K121" s="222">
        <f t="shared" si="33"/>
        <v>0</v>
      </c>
      <c r="L121" s="238"/>
      <c r="M121" s="238"/>
      <c r="N121" s="222">
        <f t="shared" si="33"/>
        <v>0</v>
      </c>
      <c r="O121" s="222">
        <f t="shared" si="33"/>
        <v>0</v>
      </c>
      <c r="P121" s="222">
        <f t="shared" si="33"/>
        <v>0</v>
      </c>
      <c r="Q121" s="222">
        <f t="shared" si="33"/>
        <v>0</v>
      </c>
      <c r="R121" s="222">
        <f t="shared" si="33"/>
        <v>0</v>
      </c>
      <c r="S121" s="85"/>
      <c r="T121" s="222">
        <f t="shared" si="6"/>
        <v>0</v>
      </c>
      <c r="U121" s="222">
        <f t="shared" si="7"/>
        <v>0</v>
      </c>
      <c r="V121" s="223">
        <f t="shared" si="8"/>
        <v>0</v>
      </c>
      <c r="W121" s="224">
        <f t="shared" si="9"/>
        <v>0</v>
      </c>
      <c r="X121" s="225"/>
    </row>
    <row r="122" spans="1:24" ht="12">
      <c r="A122" s="71">
        <f t="shared" si="4"/>
        <v>113</v>
      </c>
      <c r="B122" s="83" t="s">
        <v>74</v>
      </c>
      <c r="C122" s="201" t="s">
        <v>194</v>
      </c>
      <c r="D122" s="202" t="s">
        <v>197</v>
      </c>
      <c r="E122" s="89" t="s">
        <v>57</v>
      </c>
      <c r="F122" s="73"/>
      <c r="G122" s="90"/>
      <c r="H122" s="90"/>
      <c r="I122" s="73"/>
      <c r="J122" s="222">
        <f t="shared" si="33"/>
        <v>0</v>
      </c>
      <c r="K122" s="222">
        <f t="shared" si="33"/>
        <v>0</v>
      </c>
      <c r="L122" s="238"/>
      <c r="M122" s="238"/>
      <c r="N122" s="222">
        <f t="shared" si="33"/>
        <v>0</v>
      </c>
      <c r="O122" s="222">
        <f t="shared" si="33"/>
        <v>0</v>
      </c>
      <c r="P122" s="222">
        <f t="shared" si="33"/>
        <v>0</v>
      </c>
      <c r="Q122" s="222">
        <f t="shared" si="33"/>
        <v>0</v>
      </c>
      <c r="R122" s="222">
        <f t="shared" si="33"/>
        <v>0</v>
      </c>
      <c r="S122" s="85"/>
      <c r="T122" s="222">
        <f t="shared" si="6"/>
        <v>0</v>
      </c>
      <c r="U122" s="222">
        <f t="shared" si="7"/>
        <v>0</v>
      </c>
      <c r="V122" s="223">
        <f t="shared" si="8"/>
        <v>0</v>
      </c>
      <c r="W122" s="224">
        <f t="shared" si="9"/>
        <v>0</v>
      </c>
      <c r="X122" s="225"/>
    </row>
    <row r="123" spans="1:24" ht="12">
      <c r="A123" s="71">
        <f t="shared" si="4"/>
        <v>114</v>
      </c>
      <c r="B123" s="83" t="s">
        <v>74</v>
      </c>
      <c r="C123" s="201" t="s">
        <v>194</v>
      </c>
      <c r="D123" s="202" t="s">
        <v>198</v>
      </c>
      <c r="E123" s="89" t="s">
        <v>57</v>
      </c>
      <c r="F123" s="73"/>
      <c r="G123" s="90"/>
      <c r="H123" s="90"/>
      <c r="I123" s="73"/>
      <c r="J123" s="222">
        <f t="shared" si="33"/>
        <v>0</v>
      </c>
      <c r="K123" s="222">
        <f t="shared" si="33"/>
        <v>0</v>
      </c>
      <c r="L123" s="238"/>
      <c r="M123" s="238"/>
      <c r="N123" s="222">
        <f t="shared" si="33"/>
        <v>0</v>
      </c>
      <c r="O123" s="222">
        <f t="shared" si="33"/>
        <v>0</v>
      </c>
      <c r="P123" s="222">
        <f t="shared" si="33"/>
        <v>0</v>
      </c>
      <c r="Q123" s="222">
        <f t="shared" si="33"/>
        <v>0</v>
      </c>
      <c r="R123" s="222">
        <f t="shared" si="33"/>
        <v>0</v>
      </c>
      <c r="S123" s="85"/>
      <c r="T123" s="222">
        <f t="shared" si="6"/>
        <v>0</v>
      </c>
      <c r="U123" s="222">
        <f t="shared" si="7"/>
        <v>0</v>
      </c>
      <c r="V123" s="223">
        <f t="shared" si="8"/>
        <v>0</v>
      </c>
      <c r="W123" s="224">
        <f t="shared" si="9"/>
        <v>0</v>
      </c>
      <c r="X123" s="225"/>
    </row>
    <row r="124" spans="1:24" ht="12">
      <c r="A124" s="71">
        <f t="shared" si="4"/>
        <v>115</v>
      </c>
      <c r="B124" s="83" t="s">
        <v>74</v>
      </c>
      <c r="C124" s="201" t="s">
        <v>199</v>
      </c>
      <c r="D124" s="202" t="s">
        <v>200</v>
      </c>
      <c r="E124" s="89" t="s">
        <v>57</v>
      </c>
      <c r="F124" s="73"/>
      <c r="G124" s="90"/>
      <c r="H124" s="90"/>
      <c r="I124" s="73" t="s">
        <v>811</v>
      </c>
      <c r="J124" s="222">
        <f t="shared" si="33"/>
        <v>0.2</v>
      </c>
      <c r="K124" s="222">
        <f t="shared" si="33"/>
        <v>0.2</v>
      </c>
      <c r="L124" s="238"/>
      <c r="M124" s="238"/>
      <c r="N124" s="222">
        <f t="shared" si="33"/>
        <v>0.2</v>
      </c>
      <c r="O124" s="222">
        <f t="shared" si="33"/>
        <v>0.2</v>
      </c>
      <c r="P124" s="222">
        <f t="shared" si="33"/>
        <v>0.1</v>
      </c>
      <c r="Q124" s="222">
        <f t="shared" si="33"/>
        <v>0.2</v>
      </c>
      <c r="R124" s="222">
        <f t="shared" si="33"/>
        <v>0</v>
      </c>
      <c r="S124" s="85"/>
      <c r="T124" s="222">
        <f t="shared" si="6"/>
        <v>0.2</v>
      </c>
      <c r="U124" s="222">
        <f t="shared" si="7"/>
        <v>1.3</v>
      </c>
      <c r="V124" s="223">
        <f t="shared" si="8"/>
        <v>6.5000000000000002E-2</v>
      </c>
      <c r="W124" s="224">
        <f t="shared" si="9"/>
        <v>69000</v>
      </c>
      <c r="X124" s="225"/>
    </row>
    <row r="125" spans="1:24" ht="12">
      <c r="A125" s="71">
        <f t="shared" si="4"/>
        <v>116</v>
      </c>
      <c r="B125" s="83" t="s">
        <v>74</v>
      </c>
      <c r="C125" s="201" t="s">
        <v>199</v>
      </c>
      <c r="D125" s="202" t="s">
        <v>201</v>
      </c>
      <c r="E125" s="89" t="s">
        <v>57</v>
      </c>
      <c r="F125" s="73"/>
      <c r="G125" s="90"/>
      <c r="H125" s="90"/>
      <c r="I125" s="73"/>
      <c r="J125" s="222">
        <f t="shared" si="33"/>
        <v>0</v>
      </c>
      <c r="K125" s="222">
        <f t="shared" si="33"/>
        <v>0</v>
      </c>
      <c r="L125" s="238"/>
      <c r="M125" s="238"/>
      <c r="N125" s="222">
        <f t="shared" si="33"/>
        <v>0</v>
      </c>
      <c r="O125" s="222">
        <f t="shared" si="33"/>
        <v>0</v>
      </c>
      <c r="P125" s="222">
        <f t="shared" si="33"/>
        <v>0</v>
      </c>
      <c r="Q125" s="222">
        <f t="shared" si="33"/>
        <v>0</v>
      </c>
      <c r="R125" s="222">
        <f t="shared" si="33"/>
        <v>0</v>
      </c>
      <c r="S125" s="85"/>
      <c r="T125" s="222">
        <f t="shared" si="6"/>
        <v>0</v>
      </c>
      <c r="U125" s="222">
        <f t="shared" si="7"/>
        <v>0</v>
      </c>
      <c r="V125" s="223">
        <f t="shared" si="8"/>
        <v>0</v>
      </c>
      <c r="W125" s="224">
        <f t="shared" si="9"/>
        <v>0</v>
      </c>
      <c r="X125" s="225"/>
    </row>
    <row r="126" spans="1:24" ht="12">
      <c r="A126" s="71">
        <f t="shared" si="4"/>
        <v>117</v>
      </c>
      <c r="B126" s="83" t="s">
        <v>74</v>
      </c>
      <c r="C126" s="201" t="s">
        <v>199</v>
      </c>
      <c r="D126" s="202" t="s">
        <v>202</v>
      </c>
      <c r="E126" s="89" t="s">
        <v>57</v>
      </c>
      <c r="F126" s="73"/>
      <c r="G126" s="90"/>
      <c r="H126" s="90"/>
      <c r="I126" s="73"/>
      <c r="J126" s="222">
        <f t="shared" si="33"/>
        <v>0</v>
      </c>
      <c r="K126" s="222">
        <f t="shared" si="33"/>
        <v>0</v>
      </c>
      <c r="L126" s="238"/>
      <c r="M126" s="238"/>
      <c r="N126" s="222">
        <f t="shared" si="33"/>
        <v>0</v>
      </c>
      <c r="O126" s="222">
        <f t="shared" si="33"/>
        <v>0</v>
      </c>
      <c r="P126" s="222">
        <f t="shared" si="33"/>
        <v>0</v>
      </c>
      <c r="Q126" s="222">
        <f t="shared" si="33"/>
        <v>0</v>
      </c>
      <c r="R126" s="222">
        <f t="shared" si="33"/>
        <v>0</v>
      </c>
      <c r="S126" s="85"/>
      <c r="T126" s="222">
        <f t="shared" si="6"/>
        <v>0</v>
      </c>
      <c r="U126" s="222">
        <f t="shared" si="7"/>
        <v>0</v>
      </c>
      <c r="V126" s="223">
        <f t="shared" si="8"/>
        <v>0</v>
      </c>
      <c r="W126" s="224">
        <f t="shared" si="9"/>
        <v>0</v>
      </c>
      <c r="X126" s="225"/>
    </row>
    <row r="127" spans="1:24" ht="12">
      <c r="A127" s="71">
        <f t="shared" si="4"/>
        <v>118</v>
      </c>
      <c r="B127" s="83" t="s">
        <v>74</v>
      </c>
      <c r="C127" s="201" t="s">
        <v>199</v>
      </c>
      <c r="D127" s="202" t="s">
        <v>203</v>
      </c>
      <c r="E127" s="89" t="s">
        <v>57</v>
      </c>
      <c r="F127" s="73"/>
      <c r="G127" s="90"/>
      <c r="H127" s="90"/>
      <c r="I127" s="73"/>
      <c r="J127" s="222">
        <f t="shared" si="33"/>
        <v>0</v>
      </c>
      <c r="K127" s="222">
        <f t="shared" si="33"/>
        <v>0</v>
      </c>
      <c r="L127" s="238"/>
      <c r="M127" s="238"/>
      <c r="N127" s="222">
        <f t="shared" si="33"/>
        <v>0</v>
      </c>
      <c r="O127" s="222">
        <f t="shared" si="33"/>
        <v>0</v>
      </c>
      <c r="P127" s="222">
        <f t="shared" si="33"/>
        <v>0</v>
      </c>
      <c r="Q127" s="222">
        <f t="shared" si="33"/>
        <v>0</v>
      </c>
      <c r="R127" s="222">
        <f t="shared" si="33"/>
        <v>0</v>
      </c>
      <c r="S127" s="85"/>
      <c r="T127" s="222">
        <f t="shared" si="6"/>
        <v>0</v>
      </c>
      <c r="U127" s="222">
        <f t="shared" si="7"/>
        <v>0</v>
      </c>
      <c r="V127" s="223">
        <f t="shared" si="8"/>
        <v>0</v>
      </c>
      <c r="W127" s="224">
        <f t="shared" si="9"/>
        <v>0</v>
      </c>
      <c r="X127" s="225"/>
    </row>
    <row r="128" spans="1:24" ht="12">
      <c r="A128" s="71">
        <f t="shared" si="4"/>
        <v>119</v>
      </c>
      <c r="B128" s="83" t="s">
        <v>74</v>
      </c>
      <c r="C128" s="201" t="s">
        <v>204</v>
      </c>
      <c r="D128" s="202" t="s">
        <v>205</v>
      </c>
      <c r="E128" s="89" t="s">
        <v>57</v>
      </c>
      <c r="F128" s="73"/>
      <c r="G128" s="90"/>
      <c r="H128" s="90"/>
      <c r="I128" s="73" t="s">
        <v>811</v>
      </c>
      <c r="J128" s="222">
        <f t="shared" si="33"/>
        <v>0.2</v>
      </c>
      <c r="K128" s="222">
        <f t="shared" si="33"/>
        <v>0.2</v>
      </c>
      <c r="L128" s="238"/>
      <c r="M128" s="238"/>
      <c r="N128" s="222">
        <f t="shared" si="33"/>
        <v>0.2</v>
      </c>
      <c r="O128" s="222">
        <f t="shared" si="33"/>
        <v>0.2</v>
      </c>
      <c r="P128" s="222">
        <f t="shared" si="33"/>
        <v>0.1</v>
      </c>
      <c r="Q128" s="222">
        <f t="shared" si="33"/>
        <v>0.2</v>
      </c>
      <c r="R128" s="222">
        <f t="shared" si="33"/>
        <v>0</v>
      </c>
      <c r="S128" s="85"/>
      <c r="T128" s="222">
        <f t="shared" si="6"/>
        <v>0.2</v>
      </c>
      <c r="U128" s="222">
        <f t="shared" si="7"/>
        <v>1.3</v>
      </c>
      <c r="V128" s="223">
        <f t="shared" si="8"/>
        <v>6.5000000000000002E-2</v>
      </c>
      <c r="W128" s="224">
        <f t="shared" si="9"/>
        <v>69000</v>
      </c>
      <c r="X128" s="225"/>
    </row>
    <row r="129" spans="1:24" ht="12">
      <c r="A129" s="71">
        <f t="shared" si="4"/>
        <v>120</v>
      </c>
      <c r="B129" s="83" t="s">
        <v>74</v>
      </c>
      <c r="C129" s="201" t="s">
        <v>204</v>
      </c>
      <c r="D129" s="202" t="s">
        <v>206</v>
      </c>
      <c r="E129" s="89" t="s">
        <v>57</v>
      </c>
      <c r="F129" s="73"/>
      <c r="G129" s="90"/>
      <c r="H129" s="90"/>
      <c r="I129" s="73"/>
      <c r="J129" s="222">
        <f t="shared" si="33"/>
        <v>0</v>
      </c>
      <c r="K129" s="222">
        <f t="shared" si="33"/>
        <v>0</v>
      </c>
      <c r="L129" s="238"/>
      <c r="M129" s="238"/>
      <c r="N129" s="222">
        <f t="shared" si="33"/>
        <v>0</v>
      </c>
      <c r="O129" s="222">
        <f t="shared" si="33"/>
        <v>0</v>
      </c>
      <c r="P129" s="222">
        <f t="shared" si="33"/>
        <v>0</v>
      </c>
      <c r="Q129" s="222">
        <f t="shared" si="33"/>
        <v>0</v>
      </c>
      <c r="R129" s="222">
        <f t="shared" si="33"/>
        <v>0</v>
      </c>
      <c r="S129" s="85"/>
      <c r="T129" s="222">
        <f t="shared" si="6"/>
        <v>0</v>
      </c>
      <c r="U129" s="222">
        <f t="shared" si="7"/>
        <v>0</v>
      </c>
      <c r="V129" s="223">
        <f t="shared" si="8"/>
        <v>0</v>
      </c>
      <c r="W129" s="224">
        <f t="shared" si="9"/>
        <v>0</v>
      </c>
      <c r="X129" s="225"/>
    </row>
    <row r="130" spans="1:24" ht="12">
      <c r="A130" s="71">
        <f t="shared" si="4"/>
        <v>121</v>
      </c>
      <c r="B130" s="83" t="s">
        <v>74</v>
      </c>
      <c r="C130" s="201" t="s">
        <v>204</v>
      </c>
      <c r="D130" s="202" t="s">
        <v>207</v>
      </c>
      <c r="E130" s="89" t="s">
        <v>57</v>
      </c>
      <c r="F130" s="89"/>
      <c r="G130" s="90"/>
      <c r="H130" s="90"/>
      <c r="I130" s="89"/>
      <c r="J130" s="222">
        <f t="shared" si="33"/>
        <v>0</v>
      </c>
      <c r="K130" s="222">
        <f t="shared" si="33"/>
        <v>0</v>
      </c>
      <c r="L130" s="238"/>
      <c r="M130" s="238"/>
      <c r="N130" s="222">
        <f t="shared" si="33"/>
        <v>0</v>
      </c>
      <c r="O130" s="222">
        <f t="shared" si="33"/>
        <v>0</v>
      </c>
      <c r="P130" s="222">
        <f t="shared" si="33"/>
        <v>0</v>
      </c>
      <c r="Q130" s="222">
        <f t="shared" si="33"/>
        <v>0</v>
      </c>
      <c r="R130" s="222">
        <f t="shared" si="33"/>
        <v>0</v>
      </c>
      <c r="S130" s="85"/>
      <c r="T130" s="222">
        <f t="shared" si="6"/>
        <v>0</v>
      </c>
      <c r="U130" s="222">
        <f t="shared" si="7"/>
        <v>0</v>
      </c>
      <c r="V130" s="223">
        <f t="shared" si="8"/>
        <v>0</v>
      </c>
      <c r="W130" s="224">
        <f t="shared" si="9"/>
        <v>0</v>
      </c>
      <c r="X130" s="225"/>
    </row>
    <row r="131" spans="1:24" ht="12">
      <c r="A131" s="71">
        <f t="shared" si="4"/>
        <v>122</v>
      </c>
      <c r="B131" s="83" t="s">
        <v>74</v>
      </c>
      <c r="C131" s="201" t="s">
        <v>204</v>
      </c>
      <c r="D131" s="202" t="s">
        <v>208</v>
      </c>
      <c r="E131" s="89" t="s">
        <v>57</v>
      </c>
      <c r="F131" s="89"/>
      <c r="G131" s="90"/>
      <c r="H131" s="90"/>
      <c r="I131" s="89"/>
      <c r="J131" s="222">
        <f t="shared" si="33"/>
        <v>0</v>
      </c>
      <c r="K131" s="222">
        <f t="shared" si="33"/>
        <v>0</v>
      </c>
      <c r="L131" s="238"/>
      <c r="M131" s="238"/>
      <c r="N131" s="222">
        <f t="shared" si="33"/>
        <v>0</v>
      </c>
      <c r="O131" s="222">
        <f t="shared" si="33"/>
        <v>0</v>
      </c>
      <c r="P131" s="222">
        <f t="shared" si="33"/>
        <v>0</v>
      </c>
      <c r="Q131" s="222">
        <f t="shared" si="33"/>
        <v>0</v>
      </c>
      <c r="R131" s="222">
        <f t="shared" si="33"/>
        <v>0</v>
      </c>
      <c r="S131" s="85"/>
      <c r="T131" s="222">
        <f t="shared" si="6"/>
        <v>0</v>
      </c>
      <c r="U131" s="222">
        <f t="shared" si="7"/>
        <v>0</v>
      </c>
      <c r="V131" s="223">
        <f t="shared" si="8"/>
        <v>0</v>
      </c>
      <c r="W131" s="224">
        <f t="shared" si="9"/>
        <v>0</v>
      </c>
      <c r="X131" s="225"/>
    </row>
    <row r="132" spans="1:24" ht="12">
      <c r="A132" s="71">
        <f t="shared" si="4"/>
        <v>123</v>
      </c>
      <c r="B132" s="83" t="s">
        <v>74</v>
      </c>
      <c r="C132" s="201" t="s">
        <v>209</v>
      </c>
      <c r="D132" s="202" t="s">
        <v>210</v>
      </c>
      <c r="E132" s="89" t="s">
        <v>57</v>
      </c>
      <c r="F132" s="89"/>
      <c r="G132" s="90"/>
      <c r="H132" s="90"/>
      <c r="I132" s="89" t="s">
        <v>811</v>
      </c>
      <c r="J132" s="222">
        <f t="shared" si="33"/>
        <v>0.2</v>
      </c>
      <c r="K132" s="222">
        <f t="shared" si="33"/>
        <v>0.2</v>
      </c>
      <c r="L132" s="238"/>
      <c r="M132" s="238"/>
      <c r="N132" s="222">
        <f t="shared" si="33"/>
        <v>0.2</v>
      </c>
      <c r="O132" s="222">
        <f t="shared" si="33"/>
        <v>0.2</v>
      </c>
      <c r="P132" s="222">
        <f t="shared" si="33"/>
        <v>0.1</v>
      </c>
      <c r="Q132" s="222">
        <f t="shared" si="33"/>
        <v>0.2</v>
      </c>
      <c r="R132" s="222">
        <f t="shared" si="33"/>
        <v>0</v>
      </c>
      <c r="S132" s="85"/>
      <c r="T132" s="222">
        <f t="shared" si="6"/>
        <v>0.2</v>
      </c>
      <c r="U132" s="222">
        <f t="shared" si="7"/>
        <v>1.3</v>
      </c>
      <c r="V132" s="223">
        <f t="shared" si="8"/>
        <v>6.5000000000000002E-2</v>
      </c>
      <c r="W132" s="224">
        <f t="shared" si="9"/>
        <v>69000</v>
      </c>
      <c r="X132" s="225"/>
    </row>
    <row r="133" spans="1:24" ht="12">
      <c r="A133" s="71">
        <f t="shared" si="4"/>
        <v>124</v>
      </c>
      <c r="B133" s="83" t="s">
        <v>74</v>
      </c>
      <c r="C133" s="201" t="s">
        <v>209</v>
      </c>
      <c r="D133" s="202" t="s">
        <v>211</v>
      </c>
      <c r="E133" s="89" t="s">
        <v>57</v>
      </c>
      <c r="F133" s="89"/>
      <c r="G133" s="90"/>
      <c r="H133" s="90"/>
      <c r="I133" s="89"/>
      <c r="J133" s="222">
        <f t="shared" si="33"/>
        <v>0</v>
      </c>
      <c r="K133" s="222">
        <f t="shared" si="33"/>
        <v>0</v>
      </c>
      <c r="L133" s="238"/>
      <c r="M133" s="238"/>
      <c r="N133" s="222">
        <f t="shared" si="33"/>
        <v>0</v>
      </c>
      <c r="O133" s="222">
        <f t="shared" si="33"/>
        <v>0</v>
      </c>
      <c r="P133" s="222">
        <f t="shared" si="33"/>
        <v>0</v>
      </c>
      <c r="Q133" s="222">
        <f t="shared" si="33"/>
        <v>0</v>
      </c>
      <c r="R133" s="222">
        <f t="shared" si="33"/>
        <v>0</v>
      </c>
      <c r="S133" s="85"/>
      <c r="T133" s="222">
        <f t="shared" si="6"/>
        <v>0</v>
      </c>
      <c r="U133" s="222">
        <f t="shared" si="7"/>
        <v>0</v>
      </c>
      <c r="V133" s="223">
        <f t="shared" si="8"/>
        <v>0</v>
      </c>
      <c r="W133" s="224">
        <f t="shared" si="9"/>
        <v>0</v>
      </c>
      <c r="X133" s="225"/>
    </row>
    <row r="134" spans="1:24" ht="12">
      <c r="A134" s="71">
        <f t="shared" si="4"/>
        <v>125</v>
      </c>
      <c r="B134" s="83" t="s">
        <v>74</v>
      </c>
      <c r="C134" s="201" t="s">
        <v>209</v>
      </c>
      <c r="D134" s="202" t="s">
        <v>212</v>
      </c>
      <c r="E134" s="89" t="s">
        <v>57</v>
      </c>
      <c r="F134" s="73"/>
      <c r="G134" s="90"/>
      <c r="H134" s="90"/>
      <c r="I134" s="73"/>
      <c r="J134" s="222">
        <f t="shared" ref="J134:R166" si="34">ROUNDUP(IF($E134="画面",画面係数,IF($E134="帳票",帳票係数,IF($E134="バッチ",バッチ係数,0))) *
 IF($I134="特高",特高係数,IF($I134="高",高係数,IF($I134="中",中係数,IF($I134="低",低係数,IF($I134="特低",特低係数,0)))))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134" s="222">
        <f t="shared" si="34"/>
        <v>0</v>
      </c>
      <c r="L134" s="238"/>
      <c r="M134" s="238"/>
      <c r="N134" s="222">
        <f t="shared" si="34"/>
        <v>0</v>
      </c>
      <c r="O134" s="222">
        <f t="shared" si="34"/>
        <v>0</v>
      </c>
      <c r="P134" s="222">
        <f t="shared" si="34"/>
        <v>0</v>
      </c>
      <c r="Q134" s="222">
        <f t="shared" si="34"/>
        <v>0</v>
      </c>
      <c r="R134" s="222">
        <f t="shared" si="34"/>
        <v>0</v>
      </c>
      <c r="S134" s="85"/>
      <c r="T134" s="222">
        <f t="shared" si="6"/>
        <v>0</v>
      </c>
      <c r="U134" s="222">
        <f t="shared" si="7"/>
        <v>0</v>
      </c>
      <c r="V134" s="223">
        <f t="shared" si="8"/>
        <v>0</v>
      </c>
      <c r="W134" s="224">
        <f t="shared" si="9"/>
        <v>0</v>
      </c>
      <c r="X134" s="225"/>
    </row>
    <row r="135" spans="1:24" ht="12">
      <c r="A135" s="71">
        <f t="shared" si="4"/>
        <v>126</v>
      </c>
      <c r="B135" s="83" t="s">
        <v>74</v>
      </c>
      <c r="C135" s="201" t="s">
        <v>209</v>
      </c>
      <c r="D135" s="202" t="s">
        <v>213</v>
      </c>
      <c r="E135" s="89" t="s">
        <v>57</v>
      </c>
      <c r="F135" s="73"/>
      <c r="G135" s="90"/>
      <c r="H135" s="90"/>
      <c r="I135" s="73"/>
      <c r="J135" s="222">
        <f t="shared" si="34"/>
        <v>0</v>
      </c>
      <c r="K135" s="222">
        <f t="shared" si="34"/>
        <v>0</v>
      </c>
      <c r="L135" s="238"/>
      <c r="M135" s="238"/>
      <c r="N135" s="222">
        <f t="shared" si="34"/>
        <v>0</v>
      </c>
      <c r="O135" s="222">
        <f t="shared" si="34"/>
        <v>0</v>
      </c>
      <c r="P135" s="222">
        <f t="shared" si="34"/>
        <v>0</v>
      </c>
      <c r="Q135" s="222">
        <f t="shared" si="34"/>
        <v>0</v>
      </c>
      <c r="R135" s="222">
        <f t="shared" si="34"/>
        <v>0</v>
      </c>
      <c r="S135" s="85"/>
      <c r="T135" s="222">
        <f t="shared" si="6"/>
        <v>0</v>
      </c>
      <c r="U135" s="222">
        <f t="shared" si="7"/>
        <v>0</v>
      </c>
      <c r="V135" s="223">
        <f t="shared" si="8"/>
        <v>0</v>
      </c>
      <c r="W135" s="224">
        <f t="shared" si="9"/>
        <v>0</v>
      </c>
      <c r="X135" s="225"/>
    </row>
    <row r="136" spans="1:24" ht="12">
      <c r="A136" s="71">
        <f t="shared" si="4"/>
        <v>127</v>
      </c>
      <c r="B136" s="83" t="s">
        <v>74</v>
      </c>
      <c r="C136" s="201" t="s">
        <v>214</v>
      </c>
      <c r="D136" s="202" t="s">
        <v>215</v>
      </c>
      <c r="E136" s="89" t="s">
        <v>57</v>
      </c>
      <c r="F136" s="73"/>
      <c r="G136" s="90"/>
      <c r="H136" s="90"/>
      <c r="I136" s="73" t="s">
        <v>811</v>
      </c>
      <c r="J136" s="222">
        <f t="shared" si="34"/>
        <v>0.2</v>
      </c>
      <c r="K136" s="222">
        <f t="shared" si="34"/>
        <v>0.2</v>
      </c>
      <c r="L136" s="238"/>
      <c r="M136" s="238"/>
      <c r="N136" s="222">
        <f t="shared" si="34"/>
        <v>0.2</v>
      </c>
      <c r="O136" s="222">
        <f t="shared" si="34"/>
        <v>0.2</v>
      </c>
      <c r="P136" s="222">
        <f t="shared" si="34"/>
        <v>0.1</v>
      </c>
      <c r="Q136" s="222">
        <f t="shared" si="34"/>
        <v>0.2</v>
      </c>
      <c r="R136" s="222">
        <f t="shared" si="34"/>
        <v>0</v>
      </c>
      <c r="S136" s="85"/>
      <c r="T136" s="222">
        <f t="shared" si="6"/>
        <v>0.2</v>
      </c>
      <c r="U136" s="222">
        <f t="shared" si="7"/>
        <v>1.3</v>
      </c>
      <c r="V136" s="223">
        <f t="shared" si="8"/>
        <v>6.5000000000000002E-2</v>
      </c>
      <c r="W136" s="224">
        <f t="shared" si="9"/>
        <v>69000</v>
      </c>
      <c r="X136" s="225"/>
    </row>
    <row r="137" spans="1:24" ht="12">
      <c r="A137" s="71">
        <f t="shared" si="4"/>
        <v>128</v>
      </c>
      <c r="B137" s="83" t="s">
        <v>74</v>
      </c>
      <c r="C137" s="201" t="s">
        <v>214</v>
      </c>
      <c r="D137" s="202" t="s">
        <v>216</v>
      </c>
      <c r="E137" s="89" t="s">
        <v>57</v>
      </c>
      <c r="F137" s="73"/>
      <c r="G137" s="90"/>
      <c r="H137" s="90"/>
      <c r="I137" s="73"/>
      <c r="J137" s="222">
        <f t="shared" si="34"/>
        <v>0</v>
      </c>
      <c r="K137" s="222">
        <f t="shared" si="34"/>
        <v>0</v>
      </c>
      <c r="L137" s="238"/>
      <c r="M137" s="238"/>
      <c r="N137" s="222">
        <f t="shared" si="34"/>
        <v>0</v>
      </c>
      <c r="O137" s="222">
        <f t="shared" si="34"/>
        <v>0</v>
      </c>
      <c r="P137" s="222">
        <f t="shared" si="34"/>
        <v>0</v>
      </c>
      <c r="Q137" s="222">
        <f t="shared" si="34"/>
        <v>0</v>
      </c>
      <c r="R137" s="222">
        <f t="shared" si="34"/>
        <v>0</v>
      </c>
      <c r="S137" s="85"/>
      <c r="T137" s="222">
        <f t="shared" si="6"/>
        <v>0</v>
      </c>
      <c r="U137" s="222">
        <f t="shared" si="7"/>
        <v>0</v>
      </c>
      <c r="V137" s="223">
        <f t="shared" si="8"/>
        <v>0</v>
      </c>
      <c r="W137" s="224">
        <f t="shared" si="9"/>
        <v>0</v>
      </c>
      <c r="X137" s="225"/>
    </row>
    <row r="138" spans="1:24" ht="12">
      <c r="A138" s="71">
        <f t="shared" si="4"/>
        <v>129</v>
      </c>
      <c r="B138" s="83" t="s">
        <v>74</v>
      </c>
      <c r="C138" s="201" t="s">
        <v>214</v>
      </c>
      <c r="D138" s="202" t="s">
        <v>217</v>
      </c>
      <c r="E138" s="89" t="s">
        <v>57</v>
      </c>
      <c r="F138" s="73"/>
      <c r="G138" s="90"/>
      <c r="H138" s="90"/>
      <c r="I138" s="73"/>
      <c r="J138" s="222">
        <f t="shared" si="34"/>
        <v>0</v>
      </c>
      <c r="K138" s="222">
        <f t="shared" si="34"/>
        <v>0</v>
      </c>
      <c r="L138" s="238"/>
      <c r="M138" s="238"/>
      <c r="N138" s="222">
        <f t="shared" si="34"/>
        <v>0</v>
      </c>
      <c r="O138" s="222">
        <f t="shared" si="34"/>
        <v>0</v>
      </c>
      <c r="P138" s="222">
        <f t="shared" si="34"/>
        <v>0</v>
      </c>
      <c r="Q138" s="222">
        <f t="shared" si="34"/>
        <v>0</v>
      </c>
      <c r="R138" s="222">
        <f t="shared" si="34"/>
        <v>0</v>
      </c>
      <c r="S138" s="85"/>
      <c r="T138" s="222">
        <f t="shared" si="6"/>
        <v>0</v>
      </c>
      <c r="U138" s="222">
        <f t="shared" si="7"/>
        <v>0</v>
      </c>
      <c r="V138" s="223">
        <f t="shared" si="8"/>
        <v>0</v>
      </c>
      <c r="W138" s="224">
        <f t="shared" si="9"/>
        <v>0</v>
      </c>
      <c r="X138" s="225"/>
    </row>
    <row r="139" spans="1:24" ht="12">
      <c r="A139" s="71">
        <f t="shared" si="4"/>
        <v>130</v>
      </c>
      <c r="B139" s="83" t="s">
        <v>74</v>
      </c>
      <c r="C139" s="201" t="s">
        <v>214</v>
      </c>
      <c r="D139" s="202" t="s">
        <v>218</v>
      </c>
      <c r="E139" s="89" t="s">
        <v>57</v>
      </c>
      <c r="F139" s="73"/>
      <c r="G139" s="90"/>
      <c r="H139" s="90"/>
      <c r="I139" s="73"/>
      <c r="J139" s="222">
        <f t="shared" si="34"/>
        <v>0</v>
      </c>
      <c r="K139" s="222">
        <f t="shared" si="34"/>
        <v>0</v>
      </c>
      <c r="L139" s="238"/>
      <c r="M139" s="238"/>
      <c r="N139" s="222">
        <f t="shared" si="34"/>
        <v>0</v>
      </c>
      <c r="O139" s="222">
        <f t="shared" si="34"/>
        <v>0</v>
      </c>
      <c r="P139" s="222">
        <f t="shared" si="34"/>
        <v>0</v>
      </c>
      <c r="Q139" s="222">
        <f t="shared" si="34"/>
        <v>0</v>
      </c>
      <c r="R139" s="222">
        <f t="shared" si="34"/>
        <v>0</v>
      </c>
      <c r="S139" s="85"/>
      <c r="T139" s="222">
        <f t="shared" si="6"/>
        <v>0</v>
      </c>
      <c r="U139" s="222">
        <f t="shared" si="7"/>
        <v>0</v>
      </c>
      <c r="V139" s="223">
        <f t="shared" si="8"/>
        <v>0</v>
      </c>
      <c r="W139" s="224">
        <f t="shared" si="9"/>
        <v>0</v>
      </c>
      <c r="X139" s="225"/>
    </row>
    <row r="140" spans="1:24" ht="12">
      <c r="A140" s="71">
        <f t="shared" si="4"/>
        <v>131</v>
      </c>
      <c r="B140" s="83" t="s">
        <v>74</v>
      </c>
      <c r="C140" s="201" t="s">
        <v>219</v>
      </c>
      <c r="D140" s="202" t="s">
        <v>220</v>
      </c>
      <c r="E140" s="89" t="s">
        <v>57</v>
      </c>
      <c r="F140" s="73"/>
      <c r="G140" s="90"/>
      <c r="H140" s="90"/>
      <c r="I140" s="73" t="s">
        <v>811</v>
      </c>
      <c r="J140" s="222">
        <f t="shared" si="34"/>
        <v>0.2</v>
      </c>
      <c r="K140" s="222">
        <f t="shared" si="34"/>
        <v>0.2</v>
      </c>
      <c r="L140" s="238"/>
      <c r="M140" s="238"/>
      <c r="N140" s="222">
        <f t="shared" si="34"/>
        <v>0.2</v>
      </c>
      <c r="O140" s="222">
        <f t="shared" si="34"/>
        <v>0.2</v>
      </c>
      <c r="P140" s="222">
        <f t="shared" si="34"/>
        <v>0.1</v>
      </c>
      <c r="Q140" s="222">
        <f t="shared" si="34"/>
        <v>0.2</v>
      </c>
      <c r="R140" s="222">
        <f t="shared" si="34"/>
        <v>0</v>
      </c>
      <c r="S140" s="85"/>
      <c r="T140" s="222">
        <f t="shared" si="6"/>
        <v>0.2</v>
      </c>
      <c r="U140" s="222">
        <f t="shared" si="7"/>
        <v>1.3</v>
      </c>
      <c r="V140" s="223">
        <f t="shared" si="8"/>
        <v>6.5000000000000002E-2</v>
      </c>
      <c r="W140" s="224">
        <f t="shared" si="9"/>
        <v>69000</v>
      </c>
      <c r="X140" s="225"/>
    </row>
    <row r="141" spans="1:24" ht="12">
      <c r="A141" s="71">
        <f t="shared" si="4"/>
        <v>132</v>
      </c>
      <c r="B141" s="83" t="s">
        <v>74</v>
      </c>
      <c r="C141" s="201" t="s">
        <v>219</v>
      </c>
      <c r="D141" s="202" t="s">
        <v>221</v>
      </c>
      <c r="E141" s="89" t="s">
        <v>57</v>
      </c>
      <c r="F141" s="89"/>
      <c r="G141" s="90"/>
      <c r="H141" s="90"/>
      <c r="I141" s="89"/>
      <c r="J141" s="222">
        <f t="shared" si="34"/>
        <v>0</v>
      </c>
      <c r="K141" s="222">
        <f t="shared" si="34"/>
        <v>0</v>
      </c>
      <c r="L141" s="238"/>
      <c r="M141" s="238"/>
      <c r="N141" s="222">
        <f t="shared" si="34"/>
        <v>0</v>
      </c>
      <c r="O141" s="222">
        <f t="shared" si="34"/>
        <v>0</v>
      </c>
      <c r="P141" s="222">
        <f t="shared" si="34"/>
        <v>0</v>
      </c>
      <c r="Q141" s="222">
        <f t="shared" si="34"/>
        <v>0</v>
      </c>
      <c r="R141" s="222">
        <f t="shared" si="34"/>
        <v>0</v>
      </c>
      <c r="S141" s="85"/>
      <c r="T141" s="222">
        <f t="shared" si="6"/>
        <v>0</v>
      </c>
      <c r="U141" s="222">
        <f t="shared" si="7"/>
        <v>0</v>
      </c>
      <c r="V141" s="223">
        <f t="shared" si="8"/>
        <v>0</v>
      </c>
      <c r="W141" s="224">
        <f t="shared" si="9"/>
        <v>0</v>
      </c>
      <c r="X141" s="225"/>
    </row>
    <row r="142" spans="1:24" ht="12">
      <c r="A142" s="71">
        <f t="shared" si="4"/>
        <v>133</v>
      </c>
      <c r="B142" s="83" t="s">
        <v>74</v>
      </c>
      <c r="C142" s="201" t="s">
        <v>219</v>
      </c>
      <c r="D142" s="202" t="s">
        <v>222</v>
      </c>
      <c r="E142" s="89" t="s">
        <v>57</v>
      </c>
      <c r="F142" s="89"/>
      <c r="G142" s="90"/>
      <c r="H142" s="90"/>
      <c r="I142" s="89"/>
      <c r="J142" s="222">
        <f t="shared" si="34"/>
        <v>0</v>
      </c>
      <c r="K142" s="222">
        <f t="shared" si="34"/>
        <v>0</v>
      </c>
      <c r="L142" s="238"/>
      <c r="M142" s="238"/>
      <c r="N142" s="222">
        <f t="shared" si="34"/>
        <v>0</v>
      </c>
      <c r="O142" s="222">
        <f t="shared" si="34"/>
        <v>0</v>
      </c>
      <c r="P142" s="222">
        <f t="shared" si="34"/>
        <v>0</v>
      </c>
      <c r="Q142" s="222">
        <f t="shared" si="34"/>
        <v>0</v>
      </c>
      <c r="R142" s="222">
        <f t="shared" si="34"/>
        <v>0</v>
      </c>
      <c r="S142" s="85"/>
      <c r="T142" s="222">
        <f t="shared" si="6"/>
        <v>0</v>
      </c>
      <c r="U142" s="222">
        <f t="shared" si="7"/>
        <v>0</v>
      </c>
      <c r="V142" s="223">
        <f t="shared" si="8"/>
        <v>0</v>
      </c>
      <c r="W142" s="224">
        <f t="shared" si="9"/>
        <v>0</v>
      </c>
      <c r="X142" s="225"/>
    </row>
    <row r="143" spans="1:24" ht="12">
      <c r="A143" s="71">
        <f t="shared" si="4"/>
        <v>134</v>
      </c>
      <c r="B143" s="83" t="s">
        <v>74</v>
      </c>
      <c r="C143" s="201" t="s">
        <v>219</v>
      </c>
      <c r="D143" s="202" t="s">
        <v>223</v>
      </c>
      <c r="E143" s="89" t="s">
        <v>57</v>
      </c>
      <c r="F143" s="89"/>
      <c r="G143" s="90"/>
      <c r="H143" s="90"/>
      <c r="I143" s="89"/>
      <c r="J143" s="222">
        <f t="shared" si="34"/>
        <v>0</v>
      </c>
      <c r="K143" s="222">
        <f t="shared" si="34"/>
        <v>0</v>
      </c>
      <c r="L143" s="238"/>
      <c r="M143" s="238"/>
      <c r="N143" s="222">
        <f t="shared" si="34"/>
        <v>0</v>
      </c>
      <c r="O143" s="222">
        <f t="shared" si="34"/>
        <v>0</v>
      </c>
      <c r="P143" s="222">
        <f t="shared" si="34"/>
        <v>0</v>
      </c>
      <c r="Q143" s="222">
        <f t="shared" si="34"/>
        <v>0</v>
      </c>
      <c r="R143" s="222">
        <f t="shared" si="34"/>
        <v>0</v>
      </c>
      <c r="S143" s="85"/>
      <c r="T143" s="222">
        <f t="shared" si="6"/>
        <v>0</v>
      </c>
      <c r="U143" s="222">
        <f t="shared" si="7"/>
        <v>0</v>
      </c>
      <c r="V143" s="223">
        <f t="shared" si="8"/>
        <v>0</v>
      </c>
      <c r="W143" s="224">
        <f t="shared" si="9"/>
        <v>0</v>
      </c>
      <c r="X143" s="225"/>
    </row>
    <row r="144" spans="1:24" ht="12">
      <c r="A144" s="71">
        <f t="shared" si="4"/>
        <v>135</v>
      </c>
      <c r="B144" s="83" t="s">
        <v>74</v>
      </c>
      <c r="C144" s="201" t="s">
        <v>224</v>
      </c>
      <c r="D144" s="202" t="s">
        <v>225</v>
      </c>
      <c r="E144" s="89" t="s">
        <v>57</v>
      </c>
      <c r="F144" s="89"/>
      <c r="G144" s="90"/>
      <c r="H144" s="90"/>
      <c r="I144" s="89" t="s">
        <v>811</v>
      </c>
      <c r="J144" s="222">
        <f t="shared" si="34"/>
        <v>0.2</v>
      </c>
      <c r="K144" s="222">
        <f t="shared" si="34"/>
        <v>0.2</v>
      </c>
      <c r="L144" s="238"/>
      <c r="M144" s="238"/>
      <c r="N144" s="222">
        <f t="shared" si="34"/>
        <v>0.2</v>
      </c>
      <c r="O144" s="222">
        <f t="shared" si="34"/>
        <v>0.2</v>
      </c>
      <c r="P144" s="222">
        <f t="shared" si="34"/>
        <v>0.1</v>
      </c>
      <c r="Q144" s="222">
        <f t="shared" si="34"/>
        <v>0.2</v>
      </c>
      <c r="R144" s="222">
        <f t="shared" si="34"/>
        <v>0</v>
      </c>
      <c r="S144" s="85"/>
      <c r="T144" s="222">
        <f t="shared" si="6"/>
        <v>0.2</v>
      </c>
      <c r="U144" s="222">
        <f t="shared" si="7"/>
        <v>1.3</v>
      </c>
      <c r="V144" s="223">
        <f t="shared" si="8"/>
        <v>6.5000000000000002E-2</v>
      </c>
      <c r="W144" s="224">
        <f t="shared" si="9"/>
        <v>69000</v>
      </c>
      <c r="X144" s="225"/>
    </row>
    <row r="145" spans="1:24" ht="12">
      <c r="A145" s="71">
        <f t="shared" si="4"/>
        <v>136</v>
      </c>
      <c r="B145" s="83" t="s">
        <v>74</v>
      </c>
      <c r="C145" s="201" t="s">
        <v>224</v>
      </c>
      <c r="D145" s="202" t="s">
        <v>226</v>
      </c>
      <c r="E145" s="89" t="s">
        <v>57</v>
      </c>
      <c r="F145" s="73"/>
      <c r="G145" s="90"/>
      <c r="H145" s="90"/>
      <c r="I145" s="73"/>
      <c r="J145" s="222">
        <f t="shared" si="34"/>
        <v>0</v>
      </c>
      <c r="K145" s="222">
        <f t="shared" si="34"/>
        <v>0</v>
      </c>
      <c r="L145" s="238"/>
      <c r="M145" s="238"/>
      <c r="N145" s="222">
        <f t="shared" si="34"/>
        <v>0</v>
      </c>
      <c r="O145" s="222">
        <f t="shared" si="34"/>
        <v>0</v>
      </c>
      <c r="P145" s="222">
        <f t="shared" si="34"/>
        <v>0</v>
      </c>
      <c r="Q145" s="222">
        <f t="shared" si="34"/>
        <v>0</v>
      </c>
      <c r="R145" s="222">
        <f t="shared" si="34"/>
        <v>0</v>
      </c>
      <c r="S145" s="85"/>
      <c r="T145" s="222">
        <f t="shared" si="6"/>
        <v>0</v>
      </c>
      <c r="U145" s="222">
        <f t="shared" si="7"/>
        <v>0</v>
      </c>
      <c r="V145" s="223">
        <f t="shared" si="8"/>
        <v>0</v>
      </c>
      <c r="W145" s="224">
        <f t="shared" si="9"/>
        <v>0</v>
      </c>
      <c r="X145" s="225"/>
    </row>
    <row r="146" spans="1:24" ht="12">
      <c r="A146" s="71">
        <f t="shared" si="4"/>
        <v>137</v>
      </c>
      <c r="B146" s="83" t="s">
        <v>74</v>
      </c>
      <c r="C146" s="201" t="s">
        <v>224</v>
      </c>
      <c r="D146" s="202" t="s">
        <v>227</v>
      </c>
      <c r="E146" s="89" t="s">
        <v>57</v>
      </c>
      <c r="F146" s="73"/>
      <c r="G146" s="90"/>
      <c r="H146" s="90"/>
      <c r="I146" s="73"/>
      <c r="J146" s="222">
        <f t="shared" si="34"/>
        <v>0</v>
      </c>
      <c r="K146" s="222">
        <f t="shared" si="34"/>
        <v>0</v>
      </c>
      <c r="L146" s="238"/>
      <c r="M146" s="238"/>
      <c r="N146" s="222">
        <f t="shared" si="34"/>
        <v>0</v>
      </c>
      <c r="O146" s="222">
        <f t="shared" si="34"/>
        <v>0</v>
      </c>
      <c r="P146" s="222">
        <f t="shared" si="34"/>
        <v>0</v>
      </c>
      <c r="Q146" s="222">
        <f t="shared" si="34"/>
        <v>0</v>
      </c>
      <c r="R146" s="222">
        <f t="shared" si="34"/>
        <v>0</v>
      </c>
      <c r="S146" s="85"/>
      <c r="T146" s="222">
        <f t="shared" si="6"/>
        <v>0</v>
      </c>
      <c r="U146" s="222">
        <f t="shared" si="7"/>
        <v>0</v>
      </c>
      <c r="V146" s="223">
        <f t="shared" si="8"/>
        <v>0</v>
      </c>
      <c r="W146" s="224">
        <f t="shared" si="9"/>
        <v>0</v>
      </c>
      <c r="X146" s="225"/>
    </row>
    <row r="147" spans="1:24" ht="12">
      <c r="A147" s="71">
        <f t="shared" si="4"/>
        <v>138</v>
      </c>
      <c r="B147" s="83" t="s">
        <v>74</v>
      </c>
      <c r="C147" s="201" t="s">
        <v>224</v>
      </c>
      <c r="D147" s="202" t="s">
        <v>228</v>
      </c>
      <c r="E147" s="89" t="s">
        <v>57</v>
      </c>
      <c r="F147" s="73"/>
      <c r="G147" s="90"/>
      <c r="H147" s="90"/>
      <c r="I147" s="73"/>
      <c r="J147" s="222">
        <f t="shared" si="34"/>
        <v>0</v>
      </c>
      <c r="K147" s="222">
        <f t="shared" si="34"/>
        <v>0</v>
      </c>
      <c r="L147" s="238"/>
      <c r="M147" s="238"/>
      <c r="N147" s="222">
        <f t="shared" si="34"/>
        <v>0</v>
      </c>
      <c r="O147" s="222">
        <f t="shared" si="34"/>
        <v>0</v>
      </c>
      <c r="P147" s="222">
        <f t="shared" si="34"/>
        <v>0</v>
      </c>
      <c r="Q147" s="222">
        <f t="shared" si="34"/>
        <v>0</v>
      </c>
      <c r="R147" s="222">
        <f t="shared" si="34"/>
        <v>0</v>
      </c>
      <c r="S147" s="85"/>
      <c r="T147" s="222">
        <f t="shared" si="6"/>
        <v>0</v>
      </c>
      <c r="U147" s="222">
        <f t="shared" si="7"/>
        <v>0</v>
      </c>
      <c r="V147" s="223">
        <f t="shared" si="8"/>
        <v>0</v>
      </c>
      <c r="W147" s="224">
        <f t="shared" si="9"/>
        <v>0</v>
      </c>
      <c r="X147" s="225"/>
    </row>
    <row r="148" spans="1:24" ht="12">
      <c r="A148" s="71">
        <f t="shared" si="4"/>
        <v>139</v>
      </c>
      <c r="B148" s="83" t="s">
        <v>74</v>
      </c>
      <c r="C148" s="201" t="s">
        <v>229</v>
      </c>
      <c r="D148" s="202" t="s">
        <v>230</v>
      </c>
      <c r="E148" s="89" t="s">
        <v>57</v>
      </c>
      <c r="F148" s="73"/>
      <c r="G148" s="90"/>
      <c r="H148" s="90"/>
      <c r="I148" s="73" t="s">
        <v>811</v>
      </c>
      <c r="J148" s="222">
        <f t="shared" si="34"/>
        <v>0.2</v>
      </c>
      <c r="K148" s="222">
        <f t="shared" si="34"/>
        <v>0.2</v>
      </c>
      <c r="L148" s="238"/>
      <c r="M148" s="238"/>
      <c r="N148" s="222">
        <f t="shared" si="34"/>
        <v>0.2</v>
      </c>
      <c r="O148" s="222">
        <f t="shared" si="34"/>
        <v>0.2</v>
      </c>
      <c r="P148" s="222">
        <f t="shared" si="34"/>
        <v>0.1</v>
      </c>
      <c r="Q148" s="222">
        <f t="shared" si="34"/>
        <v>0.2</v>
      </c>
      <c r="R148" s="222">
        <f t="shared" si="34"/>
        <v>0</v>
      </c>
      <c r="S148" s="85"/>
      <c r="T148" s="222">
        <f t="shared" si="6"/>
        <v>0.2</v>
      </c>
      <c r="U148" s="222">
        <f t="shared" si="7"/>
        <v>1.3</v>
      </c>
      <c r="V148" s="223">
        <f t="shared" si="8"/>
        <v>6.5000000000000002E-2</v>
      </c>
      <c r="W148" s="224">
        <f t="shared" si="9"/>
        <v>69000</v>
      </c>
      <c r="X148" s="225"/>
    </row>
    <row r="149" spans="1:24" ht="12">
      <c r="A149" s="71">
        <f t="shared" si="4"/>
        <v>140</v>
      </c>
      <c r="B149" s="83" t="s">
        <v>74</v>
      </c>
      <c r="C149" s="201" t="s">
        <v>229</v>
      </c>
      <c r="D149" s="202" t="s">
        <v>231</v>
      </c>
      <c r="E149" s="89" t="s">
        <v>57</v>
      </c>
      <c r="F149" s="73"/>
      <c r="G149" s="90"/>
      <c r="H149" s="90"/>
      <c r="I149" s="73"/>
      <c r="J149" s="222">
        <f t="shared" si="34"/>
        <v>0</v>
      </c>
      <c r="K149" s="222">
        <f t="shared" si="34"/>
        <v>0</v>
      </c>
      <c r="L149" s="238"/>
      <c r="M149" s="238"/>
      <c r="N149" s="222">
        <f t="shared" si="34"/>
        <v>0</v>
      </c>
      <c r="O149" s="222">
        <f t="shared" si="34"/>
        <v>0</v>
      </c>
      <c r="P149" s="222">
        <f t="shared" si="34"/>
        <v>0</v>
      </c>
      <c r="Q149" s="222">
        <f t="shared" si="34"/>
        <v>0</v>
      </c>
      <c r="R149" s="222">
        <f t="shared" si="34"/>
        <v>0</v>
      </c>
      <c r="S149" s="85"/>
      <c r="T149" s="222">
        <f t="shared" si="6"/>
        <v>0</v>
      </c>
      <c r="U149" s="222">
        <f t="shared" si="7"/>
        <v>0</v>
      </c>
      <c r="V149" s="223">
        <f t="shared" si="8"/>
        <v>0</v>
      </c>
      <c r="W149" s="224">
        <f t="shared" si="9"/>
        <v>0</v>
      </c>
      <c r="X149" s="225"/>
    </row>
    <row r="150" spans="1:24" ht="12">
      <c r="A150" s="71">
        <f t="shared" si="4"/>
        <v>141</v>
      </c>
      <c r="B150" s="83" t="s">
        <v>74</v>
      </c>
      <c r="C150" s="201" t="s">
        <v>229</v>
      </c>
      <c r="D150" s="202" t="s">
        <v>232</v>
      </c>
      <c r="E150" s="89" t="s">
        <v>57</v>
      </c>
      <c r="F150" s="73"/>
      <c r="G150" s="90"/>
      <c r="H150" s="90"/>
      <c r="I150" s="73"/>
      <c r="J150" s="222">
        <f t="shared" si="34"/>
        <v>0</v>
      </c>
      <c r="K150" s="222">
        <f t="shared" si="34"/>
        <v>0</v>
      </c>
      <c r="L150" s="238"/>
      <c r="M150" s="238"/>
      <c r="N150" s="222">
        <f t="shared" si="34"/>
        <v>0</v>
      </c>
      <c r="O150" s="222">
        <f t="shared" si="34"/>
        <v>0</v>
      </c>
      <c r="P150" s="222">
        <f t="shared" si="34"/>
        <v>0</v>
      </c>
      <c r="Q150" s="222">
        <f t="shared" si="34"/>
        <v>0</v>
      </c>
      <c r="R150" s="222">
        <f t="shared" si="34"/>
        <v>0</v>
      </c>
      <c r="S150" s="85"/>
      <c r="T150" s="222">
        <f t="shared" si="6"/>
        <v>0</v>
      </c>
      <c r="U150" s="222">
        <f t="shared" si="7"/>
        <v>0</v>
      </c>
      <c r="V150" s="223">
        <f t="shared" si="8"/>
        <v>0</v>
      </c>
      <c r="W150" s="224">
        <f t="shared" si="9"/>
        <v>0</v>
      </c>
      <c r="X150" s="225"/>
    </row>
    <row r="151" spans="1:24" ht="12">
      <c r="A151" s="71">
        <f t="shared" si="4"/>
        <v>142</v>
      </c>
      <c r="B151" s="83" t="s">
        <v>74</v>
      </c>
      <c r="C151" s="201" t="s">
        <v>229</v>
      </c>
      <c r="D151" s="202" t="s">
        <v>233</v>
      </c>
      <c r="E151" s="89" t="s">
        <v>57</v>
      </c>
      <c r="F151" s="89"/>
      <c r="G151" s="90"/>
      <c r="H151" s="90"/>
      <c r="I151" s="89"/>
      <c r="J151" s="222">
        <f t="shared" si="34"/>
        <v>0</v>
      </c>
      <c r="K151" s="222">
        <f t="shared" si="34"/>
        <v>0</v>
      </c>
      <c r="L151" s="238"/>
      <c r="M151" s="238"/>
      <c r="N151" s="222">
        <f t="shared" si="34"/>
        <v>0</v>
      </c>
      <c r="O151" s="222">
        <f t="shared" si="34"/>
        <v>0</v>
      </c>
      <c r="P151" s="222">
        <f t="shared" si="34"/>
        <v>0</v>
      </c>
      <c r="Q151" s="222">
        <f t="shared" si="34"/>
        <v>0</v>
      </c>
      <c r="R151" s="222">
        <f t="shared" si="34"/>
        <v>0</v>
      </c>
      <c r="S151" s="85"/>
      <c r="T151" s="222">
        <f t="shared" si="6"/>
        <v>0</v>
      </c>
      <c r="U151" s="222">
        <f t="shared" si="7"/>
        <v>0</v>
      </c>
      <c r="V151" s="223">
        <f t="shared" si="8"/>
        <v>0</v>
      </c>
      <c r="W151" s="224">
        <f t="shared" si="9"/>
        <v>0</v>
      </c>
      <c r="X151" s="225"/>
    </row>
    <row r="152" spans="1:24" ht="12">
      <c r="A152" s="71">
        <f t="shared" si="10"/>
        <v>143</v>
      </c>
      <c r="B152" s="83" t="s">
        <v>74</v>
      </c>
      <c r="C152" s="201" t="s">
        <v>490</v>
      </c>
      <c r="D152" s="202" t="s">
        <v>491</v>
      </c>
      <c r="E152" s="89" t="s">
        <v>348</v>
      </c>
      <c r="F152" s="89"/>
      <c r="G152" s="90"/>
      <c r="H152" s="90"/>
      <c r="I152" s="89" t="s">
        <v>811</v>
      </c>
      <c r="J152" s="222">
        <f t="shared" ref="J152:K155" si="35">ROUNDUP(IF($E152="画面",画面係数,IF($E152="帳票",帳票係数,IF($E152="バッチ",バッチ係数,0))) *
 IF($I152="特高",特高係数,IF($I152="高",高係数,IF($I152="中",中係数,IF($I152="低",低係数,IF($I152="特低",特低係数,0)))))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152" s="222">
        <f t="shared" si="35"/>
        <v>0.2</v>
      </c>
      <c r="L152" s="238"/>
      <c r="M152" s="238"/>
      <c r="N152" s="222">
        <f t="shared" ref="N152:R155" si="36">ROUNDUP(IF($E152="画面",画面係数,IF($E152="帳票",帳票係数,IF($E152="バッチ",バッチ係数,0))) *
 IF($I152="特高",特高係数,IF($I152="高",高係数,IF($I152="中",中係数,IF($I152="低",低係数,IF($I152="特低",特低係数,0)))))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0.2</v>
      </c>
      <c r="O152" s="222">
        <f t="shared" si="36"/>
        <v>0.2</v>
      </c>
      <c r="P152" s="222">
        <f t="shared" si="36"/>
        <v>0.1</v>
      </c>
      <c r="Q152" s="222">
        <f t="shared" si="36"/>
        <v>0.2</v>
      </c>
      <c r="R152" s="222">
        <f t="shared" si="36"/>
        <v>0</v>
      </c>
      <c r="S152" s="85"/>
      <c r="T152" s="222">
        <f>ROUNDUP(SUM(J152:S152)*T$8,1)</f>
        <v>0.2</v>
      </c>
      <c r="U152" s="222">
        <f>SUM(J152:T152)</f>
        <v>1.3</v>
      </c>
      <c r="V152" s="223">
        <f>U152/20</f>
        <v>6.5000000000000002E-2</v>
      </c>
      <c r="W152" s="224">
        <f>((J152*J$9) + (K152*K$9) + (L152*L$9) + (M152*M$9) + (N152*N$9) + (O152*O$9) + (P152*P$9) + (Q152*Q$9) + (R152*R$9) + (S152*S$9) + (T152*T$9))/20</f>
        <v>69000</v>
      </c>
      <c r="X152" s="225"/>
    </row>
    <row r="153" spans="1:24" ht="12">
      <c r="A153" s="71">
        <f t="shared" si="10"/>
        <v>144</v>
      </c>
      <c r="B153" s="83" t="s">
        <v>74</v>
      </c>
      <c r="C153" s="201" t="s">
        <v>490</v>
      </c>
      <c r="D153" s="202" t="s">
        <v>492</v>
      </c>
      <c r="E153" s="89" t="s">
        <v>348</v>
      </c>
      <c r="F153" s="73"/>
      <c r="G153" s="90"/>
      <c r="H153" s="90"/>
      <c r="I153" s="89"/>
      <c r="J153" s="222">
        <f t="shared" si="35"/>
        <v>0</v>
      </c>
      <c r="K153" s="222">
        <f t="shared" si="35"/>
        <v>0</v>
      </c>
      <c r="L153" s="238"/>
      <c r="M153" s="238"/>
      <c r="N153" s="222">
        <f t="shared" si="36"/>
        <v>0</v>
      </c>
      <c r="O153" s="222">
        <f t="shared" si="36"/>
        <v>0</v>
      </c>
      <c r="P153" s="222">
        <f t="shared" si="36"/>
        <v>0</v>
      </c>
      <c r="Q153" s="222">
        <f t="shared" si="36"/>
        <v>0</v>
      </c>
      <c r="R153" s="222">
        <f t="shared" si="36"/>
        <v>0</v>
      </c>
      <c r="S153" s="85"/>
      <c r="T153" s="222">
        <f>ROUNDUP(SUM(J153:S153)*T$8,1)</f>
        <v>0</v>
      </c>
      <c r="U153" s="222">
        <f>SUM(J153:T153)</f>
        <v>0</v>
      </c>
      <c r="V153" s="223">
        <f>U153/20</f>
        <v>0</v>
      </c>
      <c r="W153" s="224">
        <f>((J153*J$9) + (K153*K$9) + (L153*L$9) + (M153*M$9) + (N153*N$9) + (O153*O$9) + (P153*P$9) + (Q153*Q$9) + (R153*R$9) + (S153*S$9) + (T153*T$9))/20</f>
        <v>0</v>
      </c>
      <c r="X153" s="225"/>
    </row>
    <row r="154" spans="1:24" ht="12">
      <c r="A154" s="71">
        <f t="shared" si="10"/>
        <v>145</v>
      </c>
      <c r="B154" s="83" t="s">
        <v>74</v>
      </c>
      <c r="C154" s="201" t="s">
        <v>490</v>
      </c>
      <c r="D154" s="202" t="s">
        <v>493</v>
      </c>
      <c r="E154" s="89" t="s">
        <v>348</v>
      </c>
      <c r="F154" s="73"/>
      <c r="G154" s="90"/>
      <c r="H154" s="90"/>
      <c r="I154" s="89"/>
      <c r="J154" s="222">
        <f t="shared" si="35"/>
        <v>0</v>
      </c>
      <c r="K154" s="222">
        <f t="shared" si="35"/>
        <v>0</v>
      </c>
      <c r="L154" s="238"/>
      <c r="M154" s="238"/>
      <c r="N154" s="222">
        <f t="shared" si="36"/>
        <v>0</v>
      </c>
      <c r="O154" s="222">
        <f t="shared" si="36"/>
        <v>0</v>
      </c>
      <c r="P154" s="222">
        <f t="shared" si="36"/>
        <v>0</v>
      </c>
      <c r="Q154" s="222">
        <f t="shared" si="36"/>
        <v>0</v>
      </c>
      <c r="R154" s="222">
        <f t="shared" si="36"/>
        <v>0</v>
      </c>
      <c r="S154" s="85"/>
      <c r="T154" s="222">
        <f>ROUNDUP(SUM(J154:S154)*T$8,1)</f>
        <v>0</v>
      </c>
      <c r="U154" s="222">
        <f>SUM(J154:T154)</f>
        <v>0</v>
      </c>
      <c r="V154" s="223">
        <f>U154/20</f>
        <v>0</v>
      </c>
      <c r="W154" s="224">
        <f>((J154*J$9) + (K154*K$9) + (L154*L$9) + (M154*M$9) + (N154*N$9) + (O154*O$9) + (P154*P$9) + (Q154*Q$9) + (R154*R$9) + (S154*S$9) + (T154*T$9))/20</f>
        <v>0</v>
      </c>
      <c r="X154" s="225"/>
    </row>
    <row r="155" spans="1:24" ht="12">
      <c r="A155" s="71">
        <f t="shared" si="10"/>
        <v>146</v>
      </c>
      <c r="B155" s="83" t="s">
        <v>74</v>
      </c>
      <c r="C155" s="201" t="s">
        <v>490</v>
      </c>
      <c r="D155" s="202" t="s">
        <v>494</v>
      </c>
      <c r="E155" s="89" t="s">
        <v>348</v>
      </c>
      <c r="F155" s="73"/>
      <c r="G155" s="90"/>
      <c r="H155" s="90"/>
      <c r="I155" s="89"/>
      <c r="J155" s="222">
        <f t="shared" si="35"/>
        <v>0</v>
      </c>
      <c r="K155" s="222">
        <f t="shared" si="35"/>
        <v>0</v>
      </c>
      <c r="L155" s="238"/>
      <c r="M155" s="238"/>
      <c r="N155" s="222">
        <f t="shared" si="36"/>
        <v>0</v>
      </c>
      <c r="O155" s="222">
        <f t="shared" si="36"/>
        <v>0</v>
      </c>
      <c r="P155" s="222">
        <f t="shared" si="36"/>
        <v>0</v>
      </c>
      <c r="Q155" s="222">
        <f t="shared" si="36"/>
        <v>0</v>
      </c>
      <c r="R155" s="222">
        <f t="shared" si="36"/>
        <v>0</v>
      </c>
      <c r="S155" s="85"/>
      <c r="T155" s="222">
        <f>ROUNDUP(SUM(J155:S155)*T$8,1)</f>
        <v>0</v>
      </c>
      <c r="U155" s="222">
        <f>SUM(J155:T155)</f>
        <v>0</v>
      </c>
      <c r="V155" s="223">
        <f>U155/20</f>
        <v>0</v>
      </c>
      <c r="W155" s="224">
        <f>((J155*J$9) + (K155*K$9) + (L155*L$9) + (M155*M$9) + (N155*N$9) + (O155*O$9) + (P155*P$9) + (Q155*Q$9) + (R155*R$9) + (S155*S$9) + (T155*T$9))/20</f>
        <v>0</v>
      </c>
      <c r="X155" s="225"/>
    </row>
    <row r="156" spans="1:24" ht="12">
      <c r="A156" s="71">
        <f t="shared" si="4"/>
        <v>147</v>
      </c>
      <c r="B156" s="83" t="s">
        <v>74</v>
      </c>
      <c r="C156" s="201" t="s">
        <v>234</v>
      </c>
      <c r="D156" s="202" t="s">
        <v>235</v>
      </c>
      <c r="E156" s="89" t="s">
        <v>57</v>
      </c>
      <c r="F156" s="89"/>
      <c r="G156" s="90"/>
      <c r="H156" s="90"/>
      <c r="I156" s="89" t="s">
        <v>811</v>
      </c>
      <c r="J156" s="222">
        <f t="shared" si="34"/>
        <v>0.2</v>
      </c>
      <c r="K156" s="222">
        <f t="shared" si="34"/>
        <v>0.2</v>
      </c>
      <c r="L156" s="238"/>
      <c r="M156" s="238"/>
      <c r="N156" s="222">
        <f t="shared" si="34"/>
        <v>0.2</v>
      </c>
      <c r="O156" s="222">
        <f t="shared" si="34"/>
        <v>0.2</v>
      </c>
      <c r="P156" s="222">
        <f t="shared" si="34"/>
        <v>0.1</v>
      </c>
      <c r="Q156" s="222">
        <f t="shared" si="34"/>
        <v>0.2</v>
      </c>
      <c r="R156" s="222">
        <f t="shared" si="34"/>
        <v>0</v>
      </c>
      <c r="S156" s="85"/>
      <c r="T156" s="222">
        <f t="shared" si="6"/>
        <v>0.2</v>
      </c>
      <c r="U156" s="222">
        <f t="shared" si="7"/>
        <v>1.3</v>
      </c>
      <c r="V156" s="223">
        <f t="shared" si="8"/>
        <v>6.5000000000000002E-2</v>
      </c>
      <c r="W156" s="224">
        <f t="shared" si="9"/>
        <v>69000</v>
      </c>
      <c r="X156" s="225"/>
    </row>
    <row r="157" spans="1:24" ht="12">
      <c r="A157" s="71">
        <f t="shared" si="4"/>
        <v>148</v>
      </c>
      <c r="B157" s="83" t="s">
        <v>74</v>
      </c>
      <c r="C157" s="201" t="s">
        <v>234</v>
      </c>
      <c r="D157" s="202" t="s">
        <v>236</v>
      </c>
      <c r="E157" s="89" t="s">
        <v>57</v>
      </c>
      <c r="F157" s="89"/>
      <c r="G157" s="90"/>
      <c r="H157" s="90"/>
      <c r="I157" s="89"/>
      <c r="J157" s="222">
        <f t="shared" si="34"/>
        <v>0</v>
      </c>
      <c r="K157" s="222">
        <f t="shared" si="34"/>
        <v>0</v>
      </c>
      <c r="L157" s="238"/>
      <c r="M157" s="238"/>
      <c r="N157" s="222">
        <f t="shared" si="34"/>
        <v>0</v>
      </c>
      <c r="O157" s="222">
        <f t="shared" si="34"/>
        <v>0</v>
      </c>
      <c r="P157" s="222">
        <f t="shared" si="34"/>
        <v>0</v>
      </c>
      <c r="Q157" s="222">
        <f t="shared" si="34"/>
        <v>0</v>
      </c>
      <c r="R157" s="222">
        <f t="shared" si="34"/>
        <v>0</v>
      </c>
      <c r="S157" s="85"/>
      <c r="T157" s="222">
        <f t="shared" si="6"/>
        <v>0</v>
      </c>
      <c r="U157" s="222">
        <f t="shared" si="7"/>
        <v>0</v>
      </c>
      <c r="V157" s="223">
        <f t="shared" si="8"/>
        <v>0</v>
      </c>
      <c r="W157" s="224">
        <f t="shared" si="9"/>
        <v>0</v>
      </c>
      <c r="X157" s="225"/>
    </row>
    <row r="158" spans="1:24" ht="12">
      <c r="A158" s="71">
        <f t="shared" si="4"/>
        <v>149</v>
      </c>
      <c r="B158" s="83" t="s">
        <v>74</v>
      </c>
      <c r="C158" s="201" t="s">
        <v>234</v>
      </c>
      <c r="D158" s="202" t="s">
        <v>237</v>
      </c>
      <c r="E158" s="89" t="s">
        <v>57</v>
      </c>
      <c r="F158" s="89"/>
      <c r="G158" s="90"/>
      <c r="H158" s="90"/>
      <c r="I158" s="89"/>
      <c r="J158" s="222">
        <f t="shared" si="34"/>
        <v>0</v>
      </c>
      <c r="K158" s="222">
        <f t="shared" si="34"/>
        <v>0</v>
      </c>
      <c r="L158" s="238"/>
      <c r="M158" s="238"/>
      <c r="N158" s="222">
        <f t="shared" si="34"/>
        <v>0</v>
      </c>
      <c r="O158" s="222">
        <f t="shared" si="34"/>
        <v>0</v>
      </c>
      <c r="P158" s="222">
        <f t="shared" si="34"/>
        <v>0</v>
      </c>
      <c r="Q158" s="222">
        <f t="shared" si="34"/>
        <v>0</v>
      </c>
      <c r="R158" s="222">
        <f t="shared" si="34"/>
        <v>0</v>
      </c>
      <c r="S158" s="85"/>
      <c r="T158" s="222">
        <f t="shared" si="6"/>
        <v>0</v>
      </c>
      <c r="U158" s="222">
        <f t="shared" si="7"/>
        <v>0</v>
      </c>
      <c r="V158" s="223">
        <f t="shared" si="8"/>
        <v>0</v>
      </c>
      <c r="W158" s="224">
        <f t="shared" si="9"/>
        <v>0</v>
      </c>
      <c r="X158" s="225"/>
    </row>
    <row r="159" spans="1:24" ht="12">
      <c r="A159" s="71">
        <f t="shared" si="4"/>
        <v>150</v>
      </c>
      <c r="B159" s="83" t="s">
        <v>74</v>
      </c>
      <c r="C159" s="201" t="s">
        <v>234</v>
      </c>
      <c r="D159" s="202" t="s">
        <v>238</v>
      </c>
      <c r="E159" s="89" t="s">
        <v>57</v>
      </c>
      <c r="F159" s="73"/>
      <c r="G159" s="90"/>
      <c r="H159" s="90"/>
      <c r="I159" s="73"/>
      <c r="J159" s="222">
        <f t="shared" si="34"/>
        <v>0</v>
      </c>
      <c r="K159" s="222">
        <f t="shared" si="34"/>
        <v>0</v>
      </c>
      <c r="L159" s="238"/>
      <c r="M159" s="238"/>
      <c r="N159" s="222">
        <f t="shared" si="34"/>
        <v>0</v>
      </c>
      <c r="O159" s="222">
        <f t="shared" si="34"/>
        <v>0</v>
      </c>
      <c r="P159" s="222">
        <f t="shared" si="34"/>
        <v>0</v>
      </c>
      <c r="Q159" s="222">
        <f t="shared" si="34"/>
        <v>0</v>
      </c>
      <c r="R159" s="222">
        <f t="shared" si="34"/>
        <v>0</v>
      </c>
      <c r="S159" s="85"/>
      <c r="T159" s="222">
        <f t="shared" si="6"/>
        <v>0</v>
      </c>
      <c r="U159" s="222">
        <f t="shared" si="7"/>
        <v>0</v>
      </c>
      <c r="V159" s="223">
        <f t="shared" si="8"/>
        <v>0</v>
      </c>
      <c r="W159" s="224">
        <f t="shared" si="9"/>
        <v>0</v>
      </c>
      <c r="X159" s="225"/>
    </row>
    <row r="160" spans="1:24" ht="12">
      <c r="A160" s="71">
        <f t="shared" si="4"/>
        <v>151</v>
      </c>
      <c r="B160" s="83" t="s">
        <v>74</v>
      </c>
      <c r="C160" s="201" t="s">
        <v>239</v>
      </c>
      <c r="D160" s="202" t="s">
        <v>240</v>
      </c>
      <c r="E160" s="89" t="s">
        <v>57</v>
      </c>
      <c r="F160" s="73"/>
      <c r="G160" s="90"/>
      <c r="H160" s="90"/>
      <c r="I160" s="73" t="s">
        <v>811</v>
      </c>
      <c r="J160" s="222">
        <f t="shared" si="34"/>
        <v>0.2</v>
      </c>
      <c r="K160" s="222">
        <f t="shared" si="34"/>
        <v>0.2</v>
      </c>
      <c r="L160" s="238"/>
      <c r="M160" s="238"/>
      <c r="N160" s="222">
        <f t="shared" si="34"/>
        <v>0.2</v>
      </c>
      <c r="O160" s="222">
        <f t="shared" si="34"/>
        <v>0.2</v>
      </c>
      <c r="P160" s="222">
        <f t="shared" si="34"/>
        <v>0.1</v>
      </c>
      <c r="Q160" s="222">
        <f t="shared" si="34"/>
        <v>0.2</v>
      </c>
      <c r="R160" s="222">
        <f t="shared" si="34"/>
        <v>0</v>
      </c>
      <c r="S160" s="85"/>
      <c r="T160" s="222">
        <f t="shared" si="6"/>
        <v>0.2</v>
      </c>
      <c r="U160" s="222">
        <f t="shared" si="7"/>
        <v>1.3</v>
      </c>
      <c r="V160" s="223">
        <f t="shared" si="8"/>
        <v>6.5000000000000002E-2</v>
      </c>
      <c r="W160" s="224">
        <f t="shared" si="9"/>
        <v>69000</v>
      </c>
      <c r="X160" s="225"/>
    </row>
    <row r="161" spans="1:24" ht="12">
      <c r="A161" s="71">
        <f t="shared" si="4"/>
        <v>152</v>
      </c>
      <c r="B161" s="83" t="s">
        <v>74</v>
      </c>
      <c r="C161" s="201" t="s">
        <v>239</v>
      </c>
      <c r="D161" s="202" t="s">
        <v>241</v>
      </c>
      <c r="E161" s="89" t="s">
        <v>57</v>
      </c>
      <c r="F161" s="73"/>
      <c r="G161" s="90"/>
      <c r="H161" s="90"/>
      <c r="I161" s="73"/>
      <c r="J161" s="222">
        <f t="shared" si="34"/>
        <v>0</v>
      </c>
      <c r="K161" s="222">
        <f t="shared" si="34"/>
        <v>0</v>
      </c>
      <c r="L161" s="238"/>
      <c r="M161" s="238"/>
      <c r="N161" s="222">
        <f t="shared" si="34"/>
        <v>0</v>
      </c>
      <c r="O161" s="222">
        <f t="shared" si="34"/>
        <v>0</v>
      </c>
      <c r="P161" s="222">
        <f t="shared" si="34"/>
        <v>0</v>
      </c>
      <c r="Q161" s="222">
        <f t="shared" si="34"/>
        <v>0</v>
      </c>
      <c r="R161" s="222">
        <f t="shared" si="34"/>
        <v>0</v>
      </c>
      <c r="S161" s="85"/>
      <c r="T161" s="222">
        <f t="shared" si="6"/>
        <v>0</v>
      </c>
      <c r="U161" s="222">
        <f t="shared" si="7"/>
        <v>0</v>
      </c>
      <c r="V161" s="223">
        <f t="shared" si="8"/>
        <v>0</v>
      </c>
      <c r="W161" s="224">
        <f t="shared" si="9"/>
        <v>0</v>
      </c>
      <c r="X161" s="225"/>
    </row>
    <row r="162" spans="1:24" ht="12">
      <c r="A162" s="71">
        <f t="shared" si="4"/>
        <v>153</v>
      </c>
      <c r="B162" s="83" t="s">
        <v>74</v>
      </c>
      <c r="C162" s="201" t="s">
        <v>239</v>
      </c>
      <c r="D162" s="202" t="s">
        <v>242</v>
      </c>
      <c r="E162" s="89" t="s">
        <v>57</v>
      </c>
      <c r="F162" s="73"/>
      <c r="G162" s="90"/>
      <c r="H162" s="90"/>
      <c r="I162" s="73"/>
      <c r="J162" s="222">
        <f t="shared" si="34"/>
        <v>0</v>
      </c>
      <c r="K162" s="222">
        <f t="shared" si="34"/>
        <v>0</v>
      </c>
      <c r="L162" s="238"/>
      <c r="M162" s="238"/>
      <c r="N162" s="222">
        <f t="shared" si="34"/>
        <v>0</v>
      </c>
      <c r="O162" s="222">
        <f t="shared" si="34"/>
        <v>0</v>
      </c>
      <c r="P162" s="222">
        <f t="shared" si="34"/>
        <v>0</v>
      </c>
      <c r="Q162" s="222">
        <f t="shared" si="34"/>
        <v>0</v>
      </c>
      <c r="R162" s="222">
        <f t="shared" si="34"/>
        <v>0</v>
      </c>
      <c r="S162" s="85"/>
      <c r="T162" s="222">
        <f t="shared" si="6"/>
        <v>0</v>
      </c>
      <c r="U162" s="222">
        <f t="shared" si="7"/>
        <v>0</v>
      </c>
      <c r="V162" s="223">
        <f t="shared" si="8"/>
        <v>0</v>
      </c>
      <c r="W162" s="224">
        <f t="shared" si="9"/>
        <v>0</v>
      </c>
      <c r="X162" s="225"/>
    </row>
    <row r="163" spans="1:24" ht="12">
      <c r="A163" s="71">
        <f t="shared" si="4"/>
        <v>154</v>
      </c>
      <c r="B163" s="83" t="s">
        <v>74</v>
      </c>
      <c r="C163" s="201" t="s">
        <v>239</v>
      </c>
      <c r="D163" s="202" t="s">
        <v>243</v>
      </c>
      <c r="E163" s="89" t="s">
        <v>57</v>
      </c>
      <c r="F163" s="73"/>
      <c r="G163" s="90"/>
      <c r="H163" s="90"/>
      <c r="I163" s="73"/>
      <c r="J163" s="222">
        <f t="shared" si="34"/>
        <v>0</v>
      </c>
      <c r="K163" s="222">
        <f t="shared" si="34"/>
        <v>0</v>
      </c>
      <c r="L163" s="238"/>
      <c r="M163" s="238"/>
      <c r="N163" s="222">
        <f t="shared" si="34"/>
        <v>0</v>
      </c>
      <c r="O163" s="222">
        <f t="shared" si="34"/>
        <v>0</v>
      </c>
      <c r="P163" s="222">
        <f t="shared" si="34"/>
        <v>0</v>
      </c>
      <c r="Q163" s="222">
        <f t="shared" si="34"/>
        <v>0</v>
      </c>
      <c r="R163" s="222">
        <f t="shared" si="34"/>
        <v>0</v>
      </c>
      <c r="S163" s="85"/>
      <c r="T163" s="222">
        <f t="shared" si="6"/>
        <v>0</v>
      </c>
      <c r="U163" s="222">
        <f t="shared" si="7"/>
        <v>0</v>
      </c>
      <c r="V163" s="223">
        <f t="shared" si="8"/>
        <v>0</v>
      </c>
      <c r="W163" s="224">
        <f t="shared" si="9"/>
        <v>0</v>
      </c>
      <c r="X163" s="225"/>
    </row>
    <row r="164" spans="1:24" ht="12">
      <c r="A164" s="71">
        <f t="shared" si="4"/>
        <v>155</v>
      </c>
      <c r="B164" s="83" t="s">
        <v>74</v>
      </c>
      <c r="C164" s="201" t="s">
        <v>244</v>
      </c>
      <c r="D164" s="202" t="s">
        <v>245</v>
      </c>
      <c r="E164" s="89" t="s">
        <v>57</v>
      </c>
      <c r="F164" s="73"/>
      <c r="G164" s="90"/>
      <c r="H164" s="90"/>
      <c r="I164" s="73" t="s">
        <v>811</v>
      </c>
      <c r="J164" s="222">
        <f t="shared" si="34"/>
        <v>0.2</v>
      </c>
      <c r="K164" s="222">
        <f t="shared" si="34"/>
        <v>0.2</v>
      </c>
      <c r="L164" s="238"/>
      <c r="M164" s="238"/>
      <c r="N164" s="222">
        <f t="shared" si="34"/>
        <v>0.2</v>
      </c>
      <c r="O164" s="222">
        <f t="shared" si="34"/>
        <v>0.2</v>
      </c>
      <c r="P164" s="222">
        <f t="shared" si="34"/>
        <v>0.1</v>
      </c>
      <c r="Q164" s="222">
        <f t="shared" si="34"/>
        <v>0.2</v>
      </c>
      <c r="R164" s="222">
        <f t="shared" si="34"/>
        <v>0</v>
      </c>
      <c r="S164" s="85"/>
      <c r="T164" s="222">
        <f t="shared" si="6"/>
        <v>0.2</v>
      </c>
      <c r="U164" s="222">
        <f t="shared" si="7"/>
        <v>1.3</v>
      </c>
      <c r="V164" s="223">
        <f t="shared" si="8"/>
        <v>6.5000000000000002E-2</v>
      </c>
      <c r="W164" s="224">
        <f t="shared" si="9"/>
        <v>69000</v>
      </c>
      <c r="X164" s="225"/>
    </row>
    <row r="165" spans="1:24" ht="12">
      <c r="A165" s="71">
        <f t="shared" si="4"/>
        <v>156</v>
      </c>
      <c r="B165" s="83" t="s">
        <v>74</v>
      </c>
      <c r="C165" s="201" t="s">
        <v>244</v>
      </c>
      <c r="D165" s="202" t="s">
        <v>246</v>
      </c>
      <c r="E165" s="89" t="s">
        <v>57</v>
      </c>
      <c r="F165" s="89"/>
      <c r="G165" s="90"/>
      <c r="H165" s="90"/>
      <c r="I165" s="89"/>
      <c r="J165" s="222">
        <f t="shared" si="34"/>
        <v>0</v>
      </c>
      <c r="K165" s="222">
        <f t="shared" si="34"/>
        <v>0</v>
      </c>
      <c r="L165" s="238"/>
      <c r="M165" s="238"/>
      <c r="N165" s="222">
        <f t="shared" si="34"/>
        <v>0</v>
      </c>
      <c r="O165" s="222">
        <f t="shared" si="34"/>
        <v>0</v>
      </c>
      <c r="P165" s="222">
        <f t="shared" si="34"/>
        <v>0</v>
      </c>
      <c r="Q165" s="222">
        <f t="shared" si="34"/>
        <v>0</v>
      </c>
      <c r="R165" s="222">
        <f t="shared" si="34"/>
        <v>0</v>
      </c>
      <c r="S165" s="85"/>
      <c r="T165" s="222">
        <f t="shared" si="6"/>
        <v>0</v>
      </c>
      <c r="U165" s="222">
        <f t="shared" si="7"/>
        <v>0</v>
      </c>
      <c r="V165" s="223">
        <f t="shared" si="8"/>
        <v>0</v>
      </c>
      <c r="W165" s="224">
        <f t="shared" si="9"/>
        <v>0</v>
      </c>
      <c r="X165" s="225"/>
    </row>
    <row r="166" spans="1:24" ht="12">
      <c r="A166" s="71">
        <f t="shared" si="4"/>
        <v>157</v>
      </c>
      <c r="B166" s="83" t="s">
        <v>74</v>
      </c>
      <c r="C166" s="201" t="s">
        <v>244</v>
      </c>
      <c r="D166" s="202" t="s">
        <v>247</v>
      </c>
      <c r="E166" s="89" t="s">
        <v>57</v>
      </c>
      <c r="F166" s="89"/>
      <c r="G166" s="90"/>
      <c r="H166" s="90"/>
      <c r="I166" s="89"/>
      <c r="J166" s="222">
        <f t="shared" si="34"/>
        <v>0</v>
      </c>
      <c r="K166" s="222">
        <f t="shared" si="34"/>
        <v>0</v>
      </c>
      <c r="L166" s="238"/>
      <c r="M166" s="238"/>
      <c r="N166" s="222">
        <f t="shared" ref="N166:R166" si="37">ROUNDUP(IF($E166="画面",画面係数,IF($E166="帳票",帳票係数,IF($E166="バッチ",バッチ係数,0))) *
 IF($I166="特高",特高係数,IF($I166="高",高係数,IF($I166="中",中係数,IF($I166="低",低係数,IF($I166="特低",特低係数,0)))))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</v>
      </c>
      <c r="O166" s="222">
        <f t="shared" si="37"/>
        <v>0</v>
      </c>
      <c r="P166" s="222">
        <f t="shared" si="37"/>
        <v>0</v>
      </c>
      <c r="Q166" s="222">
        <f t="shared" si="37"/>
        <v>0</v>
      </c>
      <c r="R166" s="222">
        <f t="shared" si="37"/>
        <v>0</v>
      </c>
      <c r="S166" s="85"/>
      <c r="T166" s="222">
        <f t="shared" si="6"/>
        <v>0</v>
      </c>
      <c r="U166" s="222">
        <f t="shared" si="7"/>
        <v>0</v>
      </c>
      <c r="V166" s="223">
        <f t="shared" si="8"/>
        <v>0</v>
      </c>
      <c r="W166" s="224">
        <f t="shared" si="9"/>
        <v>0</v>
      </c>
      <c r="X166" s="225"/>
    </row>
    <row r="167" spans="1:24" ht="12">
      <c r="A167" s="71">
        <f t="shared" si="4"/>
        <v>158</v>
      </c>
      <c r="B167" s="83" t="s">
        <v>74</v>
      </c>
      <c r="C167" s="201" t="s">
        <v>244</v>
      </c>
      <c r="D167" s="202" t="s">
        <v>248</v>
      </c>
      <c r="E167" s="89" t="s">
        <v>57</v>
      </c>
      <c r="F167" s="89"/>
      <c r="G167" s="90"/>
      <c r="H167" s="90"/>
      <c r="I167" s="89"/>
      <c r="J167" s="222">
        <f t="shared" ref="J167:R195" si="38">ROUNDUP(IF($E167="画面",画面係数,IF($E167="帳票",帳票係数,IF($E167="バッチ",バッチ係数,0))) *
 IF($I167="特高",特高係数,IF($I167="高",高係数,IF($I167="中",中係数,IF($I167="低",低係数,IF($I167="特低",特低係数,0)))))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167" s="222">
        <f t="shared" si="38"/>
        <v>0</v>
      </c>
      <c r="L167" s="238"/>
      <c r="M167" s="238"/>
      <c r="N167" s="222">
        <f t="shared" si="38"/>
        <v>0</v>
      </c>
      <c r="O167" s="222">
        <f t="shared" si="38"/>
        <v>0</v>
      </c>
      <c r="P167" s="222">
        <f t="shared" si="38"/>
        <v>0</v>
      </c>
      <c r="Q167" s="222">
        <f t="shared" si="38"/>
        <v>0</v>
      </c>
      <c r="R167" s="222">
        <f t="shared" si="38"/>
        <v>0</v>
      </c>
      <c r="S167" s="85"/>
      <c r="T167" s="222">
        <f t="shared" si="6"/>
        <v>0</v>
      </c>
      <c r="U167" s="222">
        <f t="shared" si="7"/>
        <v>0</v>
      </c>
      <c r="V167" s="223">
        <f t="shared" si="8"/>
        <v>0</v>
      </c>
      <c r="W167" s="224">
        <f t="shared" si="9"/>
        <v>0</v>
      </c>
      <c r="X167" s="225"/>
    </row>
    <row r="168" spans="1:24" ht="12">
      <c r="A168" s="71">
        <f t="shared" si="4"/>
        <v>159</v>
      </c>
      <c r="B168" s="83" t="s">
        <v>74</v>
      </c>
      <c r="C168" s="201" t="s">
        <v>249</v>
      </c>
      <c r="D168" s="202" t="s">
        <v>250</v>
      </c>
      <c r="E168" s="89" t="s">
        <v>57</v>
      </c>
      <c r="F168" s="73"/>
      <c r="G168" s="90"/>
      <c r="H168" s="90"/>
      <c r="I168" s="73" t="s">
        <v>811</v>
      </c>
      <c r="J168" s="222">
        <f t="shared" si="38"/>
        <v>0.2</v>
      </c>
      <c r="K168" s="222">
        <f t="shared" si="38"/>
        <v>0.2</v>
      </c>
      <c r="L168" s="238"/>
      <c r="M168" s="238"/>
      <c r="N168" s="222">
        <f t="shared" si="38"/>
        <v>0.2</v>
      </c>
      <c r="O168" s="222">
        <f t="shared" si="38"/>
        <v>0.2</v>
      </c>
      <c r="P168" s="222">
        <f t="shared" si="38"/>
        <v>0.1</v>
      </c>
      <c r="Q168" s="222">
        <f t="shared" si="38"/>
        <v>0.2</v>
      </c>
      <c r="R168" s="222">
        <f t="shared" si="38"/>
        <v>0</v>
      </c>
      <c r="S168" s="85"/>
      <c r="T168" s="222">
        <f t="shared" si="6"/>
        <v>0.2</v>
      </c>
      <c r="U168" s="222">
        <f t="shared" si="7"/>
        <v>1.3</v>
      </c>
      <c r="V168" s="223">
        <f t="shared" si="8"/>
        <v>6.5000000000000002E-2</v>
      </c>
      <c r="W168" s="224">
        <f t="shared" si="9"/>
        <v>69000</v>
      </c>
      <c r="X168" s="225"/>
    </row>
    <row r="169" spans="1:24" ht="12">
      <c r="A169" s="71">
        <f t="shared" si="4"/>
        <v>160</v>
      </c>
      <c r="B169" s="83" t="s">
        <v>74</v>
      </c>
      <c r="C169" s="201" t="s">
        <v>249</v>
      </c>
      <c r="D169" s="202" t="s">
        <v>251</v>
      </c>
      <c r="E169" s="89" t="s">
        <v>57</v>
      </c>
      <c r="F169" s="89"/>
      <c r="G169" s="90"/>
      <c r="H169" s="90"/>
      <c r="I169" s="89"/>
      <c r="J169" s="222">
        <f t="shared" si="38"/>
        <v>0</v>
      </c>
      <c r="K169" s="222">
        <f t="shared" si="38"/>
        <v>0</v>
      </c>
      <c r="L169" s="238"/>
      <c r="M169" s="238"/>
      <c r="N169" s="222">
        <f t="shared" si="38"/>
        <v>0</v>
      </c>
      <c r="O169" s="222">
        <f t="shared" si="38"/>
        <v>0</v>
      </c>
      <c r="P169" s="222">
        <f t="shared" si="38"/>
        <v>0</v>
      </c>
      <c r="Q169" s="222">
        <f t="shared" si="38"/>
        <v>0</v>
      </c>
      <c r="R169" s="222">
        <f t="shared" si="38"/>
        <v>0</v>
      </c>
      <c r="S169" s="85"/>
      <c r="T169" s="222">
        <f t="shared" si="6"/>
        <v>0</v>
      </c>
      <c r="U169" s="222">
        <f t="shared" si="7"/>
        <v>0</v>
      </c>
      <c r="V169" s="223">
        <f t="shared" si="8"/>
        <v>0</v>
      </c>
      <c r="W169" s="224">
        <f t="shared" si="9"/>
        <v>0</v>
      </c>
      <c r="X169" s="225"/>
    </row>
    <row r="170" spans="1:24" ht="12">
      <c r="A170" s="71">
        <f t="shared" si="4"/>
        <v>161</v>
      </c>
      <c r="B170" s="83" t="s">
        <v>74</v>
      </c>
      <c r="C170" s="201" t="s">
        <v>249</v>
      </c>
      <c r="D170" s="202" t="s">
        <v>252</v>
      </c>
      <c r="E170" s="89" t="s">
        <v>57</v>
      </c>
      <c r="F170" s="73"/>
      <c r="G170" s="90"/>
      <c r="H170" s="90"/>
      <c r="I170" s="73"/>
      <c r="J170" s="222">
        <f t="shared" si="38"/>
        <v>0</v>
      </c>
      <c r="K170" s="222">
        <f t="shared" si="38"/>
        <v>0</v>
      </c>
      <c r="L170" s="238"/>
      <c r="M170" s="238"/>
      <c r="N170" s="222">
        <f t="shared" si="38"/>
        <v>0</v>
      </c>
      <c r="O170" s="222">
        <f t="shared" si="38"/>
        <v>0</v>
      </c>
      <c r="P170" s="222">
        <f t="shared" si="38"/>
        <v>0</v>
      </c>
      <c r="Q170" s="222">
        <f t="shared" si="38"/>
        <v>0</v>
      </c>
      <c r="R170" s="222">
        <f t="shared" si="38"/>
        <v>0</v>
      </c>
      <c r="S170" s="85"/>
      <c r="T170" s="222">
        <f t="shared" si="6"/>
        <v>0</v>
      </c>
      <c r="U170" s="222">
        <f t="shared" si="7"/>
        <v>0</v>
      </c>
      <c r="V170" s="223">
        <f t="shared" si="8"/>
        <v>0</v>
      </c>
      <c r="W170" s="224">
        <f t="shared" si="9"/>
        <v>0</v>
      </c>
      <c r="X170" s="225"/>
    </row>
    <row r="171" spans="1:24" ht="12">
      <c r="A171" s="71">
        <f t="shared" si="4"/>
        <v>162</v>
      </c>
      <c r="B171" s="83" t="s">
        <v>74</v>
      </c>
      <c r="C171" s="201" t="s">
        <v>249</v>
      </c>
      <c r="D171" s="202" t="s">
        <v>253</v>
      </c>
      <c r="E171" s="89" t="s">
        <v>57</v>
      </c>
      <c r="F171" s="73"/>
      <c r="G171" s="90"/>
      <c r="H171" s="90"/>
      <c r="I171" s="73"/>
      <c r="J171" s="222">
        <f t="shared" si="38"/>
        <v>0</v>
      </c>
      <c r="K171" s="222">
        <f t="shared" si="38"/>
        <v>0</v>
      </c>
      <c r="L171" s="238"/>
      <c r="M171" s="238"/>
      <c r="N171" s="222">
        <f t="shared" si="38"/>
        <v>0</v>
      </c>
      <c r="O171" s="222">
        <f t="shared" si="38"/>
        <v>0</v>
      </c>
      <c r="P171" s="222">
        <f t="shared" si="38"/>
        <v>0</v>
      </c>
      <c r="Q171" s="222">
        <f t="shared" si="38"/>
        <v>0</v>
      </c>
      <c r="R171" s="222">
        <f t="shared" si="38"/>
        <v>0</v>
      </c>
      <c r="S171" s="85"/>
      <c r="T171" s="222">
        <f t="shared" si="6"/>
        <v>0</v>
      </c>
      <c r="U171" s="222">
        <f t="shared" si="7"/>
        <v>0</v>
      </c>
      <c r="V171" s="223">
        <f t="shared" si="8"/>
        <v>0</v>
      </c>
      <c r="W171" s="224">
        <f t="shared" si="9"/>
        <v>0</v>
      </c>
      <c r="X171" s="225"/>
    </row>
    <row r="172" spans="1:24" ht="12">
      <c r="A172" s="71">
        <f t="shared" si="4"/>
        <v>163</v>
      </c>
      <c r="B172" s="83" t="s">
        <v>74</v>
      </c>
      <c r="C172" s="201" t="s">
        <v>254</v>
      </c>
      <c r="D172" s="202" t="s">
        <v>255</v>
      </c>
      <c r="E172" s="89" t="s">
        <v>57</v>
      </c>
      <c r="F172" s="73"/>
      <c r="G172" s="90"/>
      <c r="H172" s="90"/>
      <c r="I172" s="73" t="s">
        <v>811</v>
      </c>
      <c r="J172" s="222">
        <f t="shared" si="38"/>
        <v>0.2</v>
      </c>
      <c r="K172" s="222">
        <f t="shared" si="38"/>
        <v>0.2</v>
      </c>
      <c r="L172" s="238"/>
      <c r="M172" s="238"/>
      <c r="N172" s="222">
        <f t="shared" si="38"/>
        <v>0.2</v>
      </c>
      <c r="O172" s="222">
        <f t="shared" si="38"/>
        <v>0.2</v>
      </c>
      <c r="P172" s="222">
        <f t="shared" si="38"/>
        <v>0.1</v>
      </c>
      <c r="Q172" s="222">
        <f t="shared" si="38"/>
        <v>0.2</v>
      </c>
      <c r="R172" s="222">
        <f t="shared" si="38"/>
        <v>0</v>
      </c>
      <c r="S172" s="85"/>
      <c r="T172" s="222">
        <f t="shared" si="6"/>
        <v>0.2</v>
      </c>
      <c r="U172" s="222">
        <f t="shared" si="7"/>
        <v>1.3</v>
      </c>
      <c r="V172" s="223">
        <f t="shared" si="8"/>
        <v>6.5000000000000002E-2</v>
      </c>
      <c r="W172" s="224">
        <f t="shared" si="9"/>
        <v>69000</v>
      </c>
      <c r="X172" s="225"/>
    </row>
    <row r="173" spans="1:24" ht="12">
      <c r="A173" s="71">
        <f t="shared" si="4"/>
        <v>164</v>
      </c>
      <c r="B173" s="83" t="s">
        <v>74</v>
      </c>
      <c r="C173" s="201" t="s">
        <v>254</v>
      </c>
      <c r="D173" s="202" t="s">
        <v>256</v>
      </c>
      <c r="E173" s="89" t="s">
        <v>57</v>
      </c>
      <c r="F173" s="73"/>
      <c r="G173" s="90"/>
      <c r="H173" s="90"/>
      <c r="I173" s="73"/>
      <c r="J173" s="222">
        <f t="shared" si="38"/>
        <v>0</v>
      </c>
      <c r="K173" s="222">
        <f t="shared" si="38"/>
        <v>0</v>
      </c>
      <c r="L173" s="238"/>
      <c r="M173" s="238"/>
      <c r="N173" s="222">
        <f t="shared" si="38"/>
        <v>0</v>
      </c>
      <c r="O173" s="222">
        <f t="shared" si="38"/>
        <v>0</v>
      </c>
      <c r="P173" s="222">
        <f t="shared" si="38"/>
        <v>0</v>
      </c>
      <c r="Q173" s="222">
        <f t="shared" si="38"/>
        <v>0</v>
      </c>
      <c r="R173" s="222">
        <f t="shared" si="38"/>
        <v>0</v>
      </c>
      <c r="S173" s="85"/>
      <c r="T173" s="222">
        <f t="shared" si="6"/>
        <v>0</v>
      </c>
      <c r="U173" s="222">
        <f t="shared" si="7"/>
        <v>0</v>
      </c>
      <c r="V173" s="223">
        <f t="shared" si="8"/>
        <v>0</v>
      </c>
      <c r="W173" s="224">
        <f t="shared" si="9"/>
        <v>0</v>
      </c>
      <c r="X173" s="225"/>
    </row>
    <row r="174" spans="1:24" ht="12">
      <c r="A174" s="71">
        <f t="shared" si="4"/>
        <v>165</v>
      </c>
      <c r="B174" s="83" t="s">
        <v>74</v>
      </c>
      <c r="C174" s="201" t="s">
        <v>254</v>
      </c>
      <c r="D174" s="202" t="s">
        <v>257</v>
      </c>
      <c r="E174" s="89" t="s">
        <v>57</v>
      </c>
      <c r="F174" s="73"/>
      <c r="G174" s="90"/>
      <c r="H174" s="90"/>
      <c r="I174" s="73"/>
      <c r="J174" s="222">
        <f t="shared" si="38"/>
        <v>0</v>
      </c>
      <c r="K174" s="222">
        <f t="shared" si="38"/>
        <v>0</v>
      </c>
      <c r="L174" s="238"/>
      <c r="M174" s="238"/>
      <c r="N174" s="222">
        <f t="shared" si="38"/>
        <v>0</v>
      </c>
      <c r="O174" s="222">
        <f t="shared" si="38"/>
        <v>0</v>
      </c>
      <c r="P174" s="222">
        <f t="shared" si="38"/>
        <v>0</v>
      </c>
      <c r="Q174" s="222">
        <f t="shared" si="38"/>
        <v>0</v>
      </c>
      <c r="R174" s="222">
        <f t="shared" si="38"/>
        <v>0</v>
      </c>
      <c r="S174" s="85"/>
      <c r="T174" s="222">
        <f t="shared" si="6"/>
        <v>0</v>
      </c>
      <c r="U174" s="222">
        <f t="shared" si="7"/>
        <v>0</v>
      </c>
      <c r="V174" s="223">
        <f t="shared" si="8"/>
        <v>0</v>
      </c>
      <c r="W174" s="224">
        <f t="shared" si="9"/>
        <v>0</v>
      </c>
      <c r="X174" s="225"/>
    </row>
    <row r="175" spans="1:24" ht="12">
      <c r="A175" s="71">
        <f t="shared" si="4"/>
        <v>166</v>
      </c>
      <c r="B175" s="83" t="s">
        <v>74</v>
      </c>
      <c r="C175" s="201" t="s">
        <v>254</v>
      </c>
      <c r="D175" s="202" t="s">
        <v>258</v>
      </c>
      <c r="E175" s="89" t="s">
        <v>57</v>
      </c>
      <c r="F175" s="73"/>
      <c r="G175" s="90"/>
      <c r="H175" s="90"/>
      <c r="I175" s="73"/>
      <c r="J175" s="222">
        <f t="shared" si="38"/>
        <v>0</v>
      </c>
      <c r="K175" s="222">
        <f t="shared" si="38"/>
        <v>0</v>
      </c>
      <c r="L175" s="238"/>
      <c r="M175" s="238"/>
      <c r="N175" s="222">
        <f t="shared" si="38"/>
        <v>0</v>
      </c>
      <c r="O175" s="222">
        <f t="shared" si="38"/>
        <v>0</v>
      </c>
      <c r="P175" s="222">
        <f t="shared" si="38"/>
        <v>0</v>
      </c>
      <c r="Q175" s="222">
        <f t="shared" si="38"/>
        <v>0</v>
      </c>
      <c r="R175" s="222">
        <f t="shared" si="38"/>
        <v>0</v>
      </c>
      <c r="S175" s="85"/>
      <c r="T175" s="222">
        <f t="shared" si="6"/>
        <v>0</v>
      </c>
      <c r="U175" s="222">
        <f t="shared" si="7"/>
        <v>0</v>
      </c>
      <c r="V175" s="223">
        <f t="shared" si="8"/>
        <v>0</v>
      </c>
      <c r="W175" s="224">
        <f t="shared" si="9"/>
        <v>0</v>
      </c>
      <c r="X175" s="225"/>
    </row>
    <row r="176" spans="1:24" ht="12">
      <c r="A176" s="71">
        <f t="shared" si="4"/>
        <v>167</v>
      </c>
      <c r="B176" s="83" t="s">
        <v>74</v>
      </c>
      <c r="C176" s="201" t="s">
        <v>259</v>
      </c>
      <c r="D176" s="202" t="s">
        <v>260</v>
      </c>
      <c r="E176" s="89" t="s">
        <v>57</v>
      </c>
      <c r="F176" s="73"/>
      <c r="G176" s="90"/>
      <c r="H176" s="90"/>
      <c r="I176" s="73" t="s">
        <v>811</v>
      </c>
      <c r="J176" s="222">
        <f t="shared" si="38"/>
        <v>0.2</v>
      </c>
      <c r="K176" s="222">
        <f t="shared" si="38"/>
        <v>0.2</v>
      </c>
      <c r="L176" s="238"/>
      <c r="M176" s="238"/>
      <c r="N176" s="222">
        <f t="shared" si="38"/>
        <v>0.2</v>
      </c>
      <c r="O176" s="222">
        <f t="shared" si="38"/>
        <v>0.2</v>
      </c>
      <c r="P176" s="222">
        <f t="shared" si="38"/>
        <v>0.1</v>
      </c>
      <c r="Q176" s="222">
        <f t="shared" si="38"/>
        <v>0.2</v>
      </c>
      <c r="R176" s="222">
        <f t="shared" si="38"/>
        <v>0</v>
      </c>
      <c r="S176" s="85"/>
      <c r="T176" s="222">
        <f t="shared" si="6"/>
        <v>0.2</v>
      </c>
      <c r="U176" s="222">
        <f t="shared" si="7"/>
        <v>1.3</v>
      </c>
      <c r="V176" s="223">
        <f t="shared" si="8"/>
        <v>6.5000000000000002E-2</v>
      </c>
      <c r="W176" s="224">
        <f t="shared" si="9"/>
        <v>69000</v>
      </c>
      <c r="X176" s="225"/>
    </row>
    <row r="177" spans="1:24" ht="12">
      <c r="A177" s="71">
        <f t="shared" si="4"/>
        <v>168</v>
      </c>
      <c r="B177" s="83" t="s">
        <v>74</v>
      </c>
      <c r="C177" s="201" t="s">
        <v>259</v>
      </c>
      <c r="D177" s="202" t="s">
        <v>261</v>
      </c>
      <c r="E177" s="89" t="s">
        <v>57</v>
      </c>
      <c r="F177" s="73"/>
      <c r="G177" s="90"/>
      <c r="H177" s="90"/>
      <c r="I177" s="73"/>
      <c r="J177" s="222">
        <f t="shared" si="38"/>
        <v>0</v>
      </c>
      <c r="K177" s="222">
        <f t="shared" si="38"/>
        <v>0</v>
      </c>
      <c r="L177" s="238"/>
      <c r="M177" s="238"/>
      <c r="N177" s="222">
        <f t="shared" si="38"/>
        <v>0</v>
      </c>
      <c r="O177" s="222">
        <f t="shared" si="38"/>
        <v>0</v>
      </c>
      <c r="P177" s="222">
        <f t="shared" si="38"/>
        <v>0</v>
      </c>
      <c r="Q177" s="222">
        <f t="shared" si="38"/>
        <v>0</v>
      </c>
      <c r="R177" s="222">
        <f t="shared" si="38"/>
        <v>0</v>
      </c>
      <c r="S177" s="85"/>
      <c r="T177" s="222">
        <f t="shared" si="6"/>
        <v>0</v>
      </c>
      <c r="U177" s="222">
        <f t="shared" si="7"/>
        <v>0</v>
      </c>
      <c r="V177" s="223">
        <f t="shared" si="8"/>
        <v>0</v>
      </c>
      <c r="W177" s="224">
        <f t="shared" si="9"/>
        <v>0</v>
      </c>
      <c r="X177" s="225"/>
    </row>
    <row r="178" spans="1:24" ht="12">
      <c r="A178" s="71">
        <f t="shared" si="4"/>
        <v>169</v>
      </c>
      <c r="B178" s="83" t="s">
        <v>74</v>
      </c>
      <c r="C178" s="201" t="s">
        <v>259</v>
      </c>
      <c r="D178" s="202" t="s">
        <v>262</v>
      </c>
      <c r="E178" s="89" t="s">
        <v>57</v>
      </c>
      <c r="F178" s="73"/>
      <c r="G178" s="90"/>
      <c r="H178" s="90"/>
      <c r="I178" s="73"/>
      <c r="J178" s="222">
        <f t="shared" si="38"/>
        <v>0</v>
      </c>
      <c r="K178" s="222">
        <f t="shared" si="38"/>
        <v>0</v>
      </c>
      <c r="L178" s="238"/>
      <c r="M178" s="238"/>
      <c r="N178" s="222">
        <f t="shared" si="38"/>
        <v>0</v>
      </c>
      <c r="O178" s="222">
        <f t="shared" si="38"/>
        <v>0</v>
      </c>
      <c r="P178" s="222">
        <f t="shared" si="38"/>
        <v>0</v>
      </c>
      <c r="Q178" s="222">
        <f t="shared" si="38"/>
        <v>0</v>
      </c>
      <c r="R178" s="222">
        <f t="shared" si="38"/>
        <v>0</v>
      </c>
      <c r="S178" s="85"/>
      <c r="T178" s="222">
        <f t="shared" si="6"/>
        <v>0</v>
      </c>
      <c r="U178" s="222">
        <f t="shared" si="7"/>
        <v>0</v>
      </c>
      <c r="V178" s="223">
        <f t="shared" si="8"/>
        <v>0</v>
      </c>
      <c r="W178" s="224">
        <f t="shared" si="9"/>
        <v>0</v>
      </c>
      <c r="X178" s="225"/>
    </row>
    <row r="179" spans="1:24" ht="12">
      <c r="A179" s="71">
        <f t="shared" si="4"/>
        <v>170</v>
      </c>
      <c r="B179" s="83" t="s">
        <v>74</v>
      </c>
      <c r="C179" s="201" t="s">
        <v>259</v>
      </c>
      <c r="D179" s="202" t="s">
        <v>263</v>
      </c>
      <c r="E179" s="89" t="s">
        <v>57</v>
      </c>
      <c r="F179" s="73"/>
      <c r="G179" s="90"/>
      <c r="H179" s="90"/>
      <c r="I179" s="73"/>
      <c r="J179" s="222">
        <f t="shared" si="38"/>
        <v>0</v>
      </c>
      <c r="K179" s="222">
        <f t="shared" si="38"/>
        <v>0</v>
      </c>
      <c r="L179" s="238"/>
      <c r="M179" s="238"/>
      <c r="N179" s="222">
        <f t="shared" si="38"/>
        <v>0</v>
      </c>
      <c r="O179" s="222">
        <f t="shared" si="38"/>
        <v>0</v>
      </c>
      <c r="P179" s="222">
        <f t="shared" si="38"/>
        <v>0</v>
      </c>
      <c r="Q179" s="222">
        <f t="shared" si="38"/>
        <v>0</v>
      </c>
      <c r="R179" s="222">
        <f t="shared" si="38"/>
        <v>0</v>
      </c>
      <c r="S179" s="85"/>
      <c r="T179" s="222">
        <f t="shared" si="6"/>
        <v>0</v>
      </c>
      <c r="U179" s="222">
        <f t="shared" si="7"/>
        <v>0</v>
      </c>
      <c r="V179" s="223">
        <f t="shared" si="8"/>
        <v>0</v>
      </c>
      <c r="W179" s="224">
        <f t="shared" si="9"/>
        <v>0</v>
      </c>
      <c r="X179" s="225"/>
    </row>
    <row r="180" spans="1:24" ht="12">
      <c r="A180" s="71">
        <f t="shared" si="4"/>
        <v>171</v>
      </c>
      <c r="B180" s="83" t="s">
        <v>74</v>
      </c>
      <c r="C180" s="201" t="s">
        <v>264</v>
      </c>
      <c r="D180" s="202" t="s">
        <v>265</v>
      </c>
      <c r="E180" s="89" t="s">
        <v>57</v>
      </c>
      <c r="F180" s="73"/>
      <c r="G180" s="90"/>
      <c r="H180" s="90"/>
      <c r="I180" s="73" t="s">
        <v>811</v>
      </c>
      <c r="J180" s="222">
        <f t="shared" si="38"/>
        <v>0.2</v>
      </c>
      <c r="K180" s="222">
        <f t="shared" si="38"/>
        <v>0.2</v>
      </c>
      <c r="L180" s="238"/>
      <c r="M180" s="238"/>
      <c r="N180" s="222">
        <f t="shared" si="38"/>
        <v>0.2</v>
      </c>
      <c r="O180" s="222">
        <f t="shared" si="38"/>
        <v>0.2</v>
      </c>
      <c r="P180" s="222">
        <f t="shared" si="38"/>
        <v>0.1</v>
      </c>
      <c r="Q180" s="222">
        <f t="shared" si="38"/>
        <v>0.2</v>
      </c>
      <c r="R180" s="222">
        <f t="shared" si="38"/>
        <v>0</v>
      </c>
      <c r="S180" s="85"/>
      <c r="T180" s="222">
        <f t="shared" si="6"/>
        <v>0.2</v>
      </c>
      <c r="U180" s="222">
        <f t="shared" si="7"/>
        <v>1.3</v>
      </c>
      <c r="V180" s="223">
        <f t="shared" si="8"/>
        <v>6.5000000000000002E-2</v>
      </c>
      <c r="W180" s="224">
        <f t="shared" si="9"/>
        <v>69000</v>
      </c>
      <c r="X180" s="225"/>
    </row>
    <row r="181" spans="1:24" ht="12">
      <c r="A181" s="71">
        <f t="shared" si="4"/>
        <v>172</v>
      </c>
      <c r="B181" s="83" t="s">
        <v>74</v>
      </c>
      <c r="C181" s="201" t="s">
        <v>264</v>
      </c>
      <c r="D181" s="202" t="s">
        <v>266</v>
      </c>
      <c r="E181" s="89" t="s">
        <v>57</v>
      </c>
      <c r="F181" s="73"/>
      <c r="G181" s="90"/>
      <c r="H181" s="90"/>
      <c r="I181" s="73"/>
      <c r="J181" s="222">
        <f t="shared" si="38"/>
        <v>0</v>
      </c>
      <c r="K181" s="222">
        <f t="shared" si="38"/>
        <v>0</v>
      </c>
      <c r="L181" s="238"/>
      <c r="M181" s="238"/>
      <c r="N181" s="222">
        <f t="shared" si="38"/>
        <v>0</v>
      </c>
      <c r="O181" s="222">
        <f t="shared" si="38"/>
        <v>0</v>
      </c>
      <c r="P181" s="222">
        <f t="shared" si="38"/>
        <v>0</v>
      </c>
      <c r="Q181" s="222">
        <f t="shared" si="38"/>
        <v>0</v>
      </c>
      <c r="R181" s="222">
        <f t="shared" si="38"/>
        <v>0</v>
      </c>
      <c r="S181" s="85"/>
      <c r="T181" s="222">
        <f t="shared" si="6"/>
        <v>0</v>
      </c>
      <c r="U181" s="222">
        <f t="shared" si="7"/>
        <v>0</v>
      </c>
      <c r="V181" s="223">
        <f t="shared" si="8"/>
        <v>0</v>
      </c>
      <c r="W181" s="224">
        <f t="shared" si="9"/>
        <v>0</v>
      </c>
      <c r="X181" s="225"/>
    </row>
    <row r="182" spans="1:24" ht="12">
      <c r="A182" s="71">
        <f t="shared" si="4"/>
        <v>173</v>
      </c>
      <c r="B182" s="83" t="s">
        <v>74</v>
      </c>
      <c r="C182" s="201" t="s">
        <v>264</v>
      </c>
      <c r="D182" s="202" t="s">
        <v>267</v>
      </c>
      <c r="E182" s="89" t="s">
        <v>57</v>
      </c>
      <c r="F182" s="89"/>
      <c r="G182" s="90"/>
      <c r="H182" s="90"/>
      <c r="I182" s="89"/>
      <c r="J182" s="222">
        <f t="shared" si="38"/>
        <v>0</v>
      </c>
      <c r="K182" s="222">
        <f t="shared" si="38"/>
        <v>0</v>
      </c>
      <c r="L182" s="238"/>
      <c r="M182" s="238"/>
      <c r="N182" s="222">
        <f t="shared" si="38"/>
        <v>0</v>
      </c>
      <c r="O182" s="222">
        <f t="shared" si="38"/>
        <v>0</v>
      </c>
      <c r="P182" s="222">
        <f t="shared" si="38"/>
        <v>0</v>
      </c>
      <c r="Q182" s="222">
        <f t="shared" si="38"/>
        <v>0</v>
      </c>
      <c r="R182" s="222">
        <f t="shared" si="38"/>
        <v>0</v>
      </c>
      <c r="S182" s="85"/>
      <c r="T182" s="222">
        <f t="shared" si="6"/>
        <v>0</v>
      </c>
      <c r="U182" s="222">
        <f t="shared" si="7"/>
        <v>0</v>
      </c>
      <c r="V182" s="223">
        <f t="shared" si="8"/>
        <v>0</v>
      </c>
      <c r="W182" s="224">
        <f t="shared" si="9"/>
        <v>0</v>
      </c>
      <c r="X182" s="225"/>
    </row>
    <row r="183" spans="1:24" ht="12">
      <c r="A183" s="71">
        <f t="shared" si="4"/>
        <v>174</v>
      </c>
      <c r="B183" s="83" t="s">
        <v>74</v>
      </c>
      <c r="C183" s="201" t="s">
        <v>264</v>
      </c>
      <c r="D183" s="202" t="s">
        <v>268</v>
      </c>
      <c r="E183" s="89" t="s">
        <v>57</v>
      </c>
      <c r="F183" s="89"/>
      <c r="G183" s="90"/>
      <c r="H183" s="90"/>
      <c r="I183" s="89"/>
      <c r="J183" s="222">
        <f t="shared" si="38"/>
        <v>0</v>
      </c>
      <c r="K183" s="222">
        <f t="shared" si="38"/>
        <v>0</v>
      </c>
      <c r="L183" s="238"/>
      <c r="M183" s="238"/>
      <c r="N183" s="222">
        <f t="shared" si="38"/>
        <v>0</v>
      </c>
      <c r="O183" s="222">
        <f t="shared" si="38"/>
        <v>0</v>
      </c>
      <c r="P183" s="222">
        <f t="shared" si="38"/>
        <v>0</v>
      </c>
      <c r="Q183" s="222">
        <f t="shared" si="38"/>
        <v>0</v>
      </c>
      <c r="R183" s="222">
        <f t="shared" si="38"/>
        <v>0</v>
      </c>
      <c r="S183" s="85"/>
      <c r="T183" s="222">
        <f t="shared" si="6"/>
        <v>0</v>
      </c>
      <c r="U183" s="222">
        <f t="shared" si="7"/>
        <v>0</v>
      </c>
      <c r="V183" s="223">
        <f t="shared" si="8"/>
        <v>0</v>
      </c>
      <c r="W183" s="224">
        <f t="shared" si="9"/>
        <v>0</v>
      </c>
      <c r="X183" s="225"/>
    </row>
    <row r="184" spans="1:24" ht="12">
      <c r="A184" s="71">
        <f t="shared" si="4"/>
        <v>175</v>
      </c>
      <c r="B184" s="83" t="s">
        <v>74</v>
      </c>
      <c r="C184" s="201" t="s">
        <v>269</v>
      </c>
      <c r="D184" s="202" t="s">
        <v>270</v>
      </c>
      <c r="E184" s="89" t="s">
        <v>57</v>
      </c>
      <c r="F184" s="89"/>
      <c r="G184" s="90"/>
      <c r="H184" s="90"/>
      <c r="I184" s="89" t="s">
        <v>811</v>
      </c>
      <c r="J184" s="222">
        <f t="shared" si="38"/>
        <v>0.2</v>
      </c>
      <c r="K184" s="222">
        <f t="shared" si="38"/>
        <v>0.2</v>
      </c>
      <c r="L184" s="238"/>
      <c r="M184" s="238"/>
      <c r="N184" s="222">
        <f t="shared" si="38"/>
        <v>0.2</v>
      </c>
      <c r="O184" s="222">
        <f t="shared" si="38"/>
        <v>0.2</v>
      </c>
      <c r="P184" s="222">
        <f t="shared" si="38"/>
        <v>0.1</v>
      </c>
      <c r="Q184" s="222">
        <f t="shared" si="38"/>
        <v>0.2</v>
      </c>
      <c r="R184" s="222">
        <f t="shared" si="38"/>
        <v>0</v>
      </c>
      <c r="S184" s="85"/>
      <c r="T184" s="222">
        <f t="shared" si="6"/>
        <v>0.2</v>
      </c>
      <c r="U184" s="222">
        <f t="shared" si="7"/>
        <v>1.3</v>
      </c>
      <c r="V184" s="223">
        <f t="shared" si="8"/>
        <v>6.5000000000000002E-2</v>
      </c>
      <c r="W184" s="224">
        <f t="shared" si="9"/>
        <v>69000</v>
      </c>
      <c r="X184" s="225"/>
    </row>
    <row r="185" spans="1:24" ht="12">
      <c r="A185" s="71">
        <f t="shared" si="4"/>
        <v>176</v>
      </c>
      <c r="B185" s="83" t="s">
        <v>74</v>
      </c>
      <c r="C185" s="201" t="s">
        <v>269</v>
      </c>
      <c r="D185" s="202" t="s">
        <v>271</v>
      </c>
      <c r="E185" s="89" t="s">
        <v>57</v>
      </c>
      <c r="F185" s="89"/>
      <c r="G185" s="90"/>
      <c r="H185" s="90"/>
      <c r="I185" s="89"/>
      <c r="J185" s="222">
        <f t="shared" si="38"/>
        <v>0</v>
      </c>
      <c r="K185" s="222">
        <f t="shared" si="38"/>
        <v>0</v>
      </c>
      <c r="L185" s="238"/>
      <c r="M185" s="238"/>
      <c r="N185" s="222">
        <f t="shared" si="38"/>
        <v>0</v>
      </c>
      <c r="O185" s="222">
        <f t="shared" si="38"/>
        <v>0</v>
      </c>
      <c r="P185" s="222">
        <f t="shared" si="38"/>
        <v>0</v>
      </c>
      <c r="Q185" s="222">
        <f t="shared" si="38"/>
        <v>0</v>
      </c>
      <c r="R185" s="222">
        <f t="shared" si="38"/>
        <v>0</v>
      </c>
      <c r="S185" s="85"/>
      <c r="T185" s="222">
        <f t="shared" si="6"/>
        <v>0</v>
      </c>
      <c r="U185" s="222">
        <f t="shared" si="7"/>
        <v>0</v>
      </c>
      <c r="V185" s="223">
        <f t="shared" si="8"/>
        <v>0</v>
      </c>
      <c r="W185" s="224">
        <f t="shared" si="9"/>
        <v>0</v>
      </c>
      <c r="X185" s="225"/>
    </row>
    <row r="186" spans="1:24" ht="12">
      <c r="A186" s="71">
        <f t="shared" si="4"/>
        <v>177</v>
      </c>
      <c r="B186" s="83" t="s">
        <v>74</v>
      </c>
      <c r="C186" s="201" t="s">
        <v>269</v>
      </c>
      <c r="D186" s="202" t="s">
        <v>272</v>
      </c>
      <c r="E186" s="89" t="s">
        <v>57</v>
      </c>
      <c r="F186" s="73"/>
      <c r="G186" s="90"/>
      <c r="H186" s="90"/>
      <c r="I186" s="73"/>
      <c r="J186" s="222">
        <f t="shared" si="38"/>
        <v>0</v>
      </c>
      <c r="K186" s="222">
        <f t="shared" si="38"/>
        <v>0</v>
      </c>
      <c r="L186" s="238"/>
      <c r="M186" s="238"/>
      <c r="N186" s="222">
        <f t="shared" si="38"/>
        <v>0</v>
      </c>
      <c r="O186" s="222">
        <f t="shared" si="38"/>
        <v>0</v>
      </c>
      <c r="P186" s="222">
        <f t="shared" si="38"/>
        <v>0</v>
      </c>
      <c r="Q186" s="222">
        <f t="shared" si="38"/>
        <v>0</v>
      </c>
      <c r="R186" s="222">
        <f t="shared" si="38"/>
        <v>0</v>
      </c>
      <c r="S186" s="85"/>
      <c r="T186" s="222">
        <f t="shared" si="6"/>
        <v>0</v>
      </c>
      <c r="U186" s="222">
        <f t="shared" si="7"/>
        <v>0</v>
      </c>
      <c r="V186" s="223">
        <f t="shared" si="8"/>
        <v>0</v>
      </c>
      <c r="W186" s="224">
        <f t="shared" si="9"/>
        <v>0</v>
      </c>
      <c r="X186" s="225"/>
    </row>
    <row r="187" spans="1:24" ht="12">
      <c r="A187" s="71">
        <f t="shared" si="4"/>
        <v>178</v>
      </c>
      <c r="B187" s="83" t="s">
        <v>74</v>
      </c>
      <c r="C187" s="201" t="s">
        <v>269</v>
      </c>
      <c r="D187" s="202" t="s">
        <v>273</v>
      </c>
      <c r="E187" s="89" t="s">
        <v>57</v>
      </c>
      <c r="F187" s="73"/>
      <c r="G187" s="90"/>
      <c r="H187" s="90"/>
      <c r="I187" s="73"/>
      <c r="J187" s="222">
        <f t="shared" si="38"/>
        <v>0</v>
      </c>
      <c r="K187" s="222">
        <f t="shared" si="38"/>
        <v>0</v>
      </c>
      <c r="L187" s="238"/>
      <c r="M187" s="238"/>
      <c r="N187" s="222">
        <f t="shared" si="38"/>
        <v>0</v>
      </c>
      <c r="O187" s="222">
        <f t="shared" si="38"/>
        <v>0</v>
      </c>
      <c r="P187" s="222">
        <f t="shared" si="38"/>
        <v>0</v>
      </c>
      <c r="Q187" s="222">
        <f t="shared" si="38"/>
        <v>0</v>
      </c>
      <c r="R187" s="222">
        <f t="shared" si="38"/>
        <v>0</v>
      </c>
      <c r="S187" s="85"/>
      <c r="T187" s="222">
        <f t="shared" si="6"/>
        <v>0</v>
      </c>
      <c r="U187" s="222">
        <f t="shared" si="7"/>
        <v>0</v>
      </c>
      <c r="V187" s="223">
        <f t="shared" si="8"/>
        <v>0</v>
      </c>
      <c r="W187" s="224">
        <f t="shared" si="9"/>
        <v>0</v>
      </c>
      <c r="X187" s="225"/>
    </row>
    <row r="188" spans="1:24" ht="12">
      <c r="A188" s="71">
        <f t="shared" si="4"/>
        <v>179</v>
      </c>
      <c r="B188" s="83" t="s">
        <v>74</v>
      </c>
      <c r="C188" s="201" t="s">
        <v>274</v>
      </c>
      <c r="D188" s="202" t="s">
        <v>275</v>
      </c>
      <c r="E188" s="89" t="s">
        <v>57</v>
      </c>
      <c r="F188" s="73"/>
      <c r="G188" s="90"/>
      <c r="H188" s="90"/>
      <c r="I188" s="73" t="s">
        <v>811</v>
      </c>
      <c r="J188" s="222">
        <f t="shared" si="38"/>
        <v>0.2</v>
      </c>
      <c r="K188" s="222">
        <f t="shared" si="38"/>
        <v>0.2</v>
      </c>
      <c r="L188" s="238"/>
      <c r="M188" s="238"/>
      <c r="N188" s="222">
        <f t="shared" si="38"/>
        <v>0.2</v>
      </c>
      <c r="O188" s="222">
        <f t="shared" si="38"/>
        <v>0.2</v>
      </c>
      <c r="P188" s="222">
        <f t="shared" si="38"/>
        <v>0.1</v>
      </c>
      <c r="Q188" s="222">
        <f t="shared" si="38"/>
        <v>0.2</v>
      </c>
      <c r="R188" s="222">
        <f t="shared" si="38"/>
        <v>0</v>
      </c>
      <c r="S188" s="85"/>
      <c r="T188" s="222">
        <f t="shared" si="6"/>
        <v>0.2</v>
      </c>
      <c r="U188" s="222">
        <f t="shared" si="7"/>
        <v>1.3</v>
      </c>
      <c r="V188" s="223">
        <f t="shared" si="8"/>
        <v>6.5000000000000002E-2</v>
      </c>
      <c r="W188" s="224">
        <f t="shared" si="9"/>
        <v>69000</v>
      </c>
      <c r="X188" s="225"/>
    </row>
    <row r="189" spans="1:24" ht="12">
      <c r="A189" s="71">
        <f t="shared" si="4"/>
        <v>180</v>
      </c>
      <c r="B189" s="83" t="s">
        <v>74</v>
      </c>
      <c r="C189" s="201" t="s">
        <v>274</v>
      </c>
      <c r="D189" s="202" t="s">
        <v>276</v>
      </c>
      <c r="E189" s="89" t="s">
        <v>57</v>
      </c>
      <c r="F189" s="73"/>
      <c r="G189" s="90"/>
      <c r="H189" s="90"/>
      <c r="I189" s="73"/>
      <c r="J189" s="222">
        <f t="shared" si="38"/>
        <v>0</v>
      </c>
      <c r="K189" s="222">
        <f t="shared" si="38"/>
        <v>0</v>
      </c>
      <c r="L189" s="238"/>
      <c r="M189" s="238"/>
      <c r="N189" s="222">
        <f t="shared" si="38"/>
        <v>0</v>
      </c>
      <c r="O189" s="222">
        <f t="shared" si="38"/>
        <v>0</v>
      </c>
      <c r="P189" s="222">
        <f t="shared" si="38"/>
        <v>0</v>
      </c>
      <c r="Q189" s="222">
        <f t="shared" si="38"/>
        <v>0</v>
      </c>
      <c r="R189" s="222">
        <f t="shared" si="38"/>
        <v>0</v>
      </c>
      <c r="S189" s="85"/>
      <c r="T189" s="222">
        <f t="shared" si="6"/>
        <v>0</v>
      </c>
      <c r="U189" s="222">
        <f t="shared" si="7"/>
        <v>0</v>
      </c>
      <c r="V189" s="223">
        <f t="shared" si="8"/>
        <v>0</v>
      </c>
      <c r="W189" s="224">
        <f t="shared" si="9"/>
        <v>0</v>
      </c>
      <c r="X189" s="225"/>
    </row>
    <row r="190" spans="1:24" ht="12">
      <c r="A190" s="71">
        <f t="shared" si="4"/>
        <v>181</v>
      </c>
      <c r="B190" s="83" t="s">
        <v>74</v>
      </c>
      <c r="C190" s="201" t="s">
        <v>274</v>
      </c>
      <c r="D190" s="202" t="s">
        <v>277</v>
      </c>
      <c r="E190" s="89" t="s">
        <v>57</v>
      </c>
      <c r="F190" s="73"/>
      <c r="G190" s="90"/>
      <c r="H190" s="90"/>
      <c r="I190" s="73"/>
      <c r="J190" s="222">
        <f t="shared" si="38"/>
        <v>0</v>
      </c>
      <c r="K190" s="222">
        <f t="shared" si="38"/>
        <v>0</v>
      </c>
      <c r="L190" s="238"/>
      <c r="M190" s="238"/>
      <c r="N190" s="222">
        <f t="shared" si="38"/>
        <v>0</v>
      </c>
      <c r="O190" s="222">
        <f t="shared" si="38"/>
        <v>0</v>
      </c>
      <c r="P190" s="222">
        <f t="shared" si="38"/>
        <v>0</v>
      </c>
      <c r="Q190" s="222">
        <f t="shared" si="38"/>
        <v>0</v>
      </c>
      <c r="R190" s="222">
        <f t="shared" si="38"/>
        <v>0</v>
      </c>
      <c r="S190" s="85"/>
      <c r="T190" s="222">
        <f t="shared" si="6"/>
        <v>0</v>
      </c>
      <c r="U190" s="222">
        <f t="shared" si="7"/>
        <v>0</v>
      </c>
      <c r="V190" s="223">
        <f t="shared" si="8"/>
        <v>0</v>
      </c>
      <c r="W190" s="224">
        <f t="shared" si="9"/>
        <v>0</v>
      </c>
      <c r="X190" s="225"/>
    </row>
    <row r="191" spans="1:24" ht="12">
      <c r="A191" s="71">
        <f t="shared" si="4"/>
        <v>182</v>
      </c>
      <c r="B191" s="83" t="s">
        <v>74</v>
      </c>
      <c r="C191" s="201" t="s">
        <v>274</v>
      </c>
      <c r="D191" s="202" t="s">
        <v>278</v>
      </c>
      <c r="E191" s="89" t="s">
        <v>57</v>
      </c>
      <c r="F191" s="73"/>
      <c r="G191" s="90"/>
      <c r="H191" s="90"/>
      <c r="I191" s="73"/>
      <c r="J191" s="222">
        <f t="shared" si="38"/>
        <v>0</v>
      </c>
      <c r="K191" s="222">
        <f t="shared" si="38"/>
        <v>0</v>
      </c>
      <c r="L191" s="238"/>
      <c r="M191" s="238"/>
      <c r="N191" s="222">
        <f t="shared" si="38"/>
        <v>0</v>
      </c>
      <c r="O191" s="222">
        <f t="shared" si="38"/>
        <v>0</v>
      </c>
      <c r="P191" s="222">
        <f t="shared" si="38"/>
        <v>0</v>
      </c>
      <c r="Q191" s="222">
        <f t="shared" si="38"/>
        <v>0</v>
      </c>
      <c r="R191" s="222">
        <f t="shared" si="38"/>
        <v>0</v>
      </c>
      <c r="S191" s="85"/>
      <c r="T191" s="222">
        <f t="shared" si="6"/>
        <v>0</v>
      </c>
      <c r="U191" s="222">
        <f t="shared" si="7"/>
        <v>0</v>
      </c>
      <c r="V191" s="223">
        <f t="shared" si="8"/>
        <v>0</v>
      </c>
      <c r="W191" s="224">
        <f t="shared" si="9"/>
        <v>0</v>
      </c>
      <c r="X191" s="225"/>
    </row>
    <row r="192" spans="1:24" ht="12">
      <c r="A192" s="71">
        <f t="shared" si="4"/>
        <v>183</v>
      </c>
      <c r="B192" s="83" t="s">
        <v>74</v>
      </c>
      <c r="C192" s="201" t="s">
        <v>279</v>
      </c>
      <c r="D192" s="202" t="s">
        <v>280</v>
      </c>
      <c r="E192" s="89" t="s">
        <v>57</v>
      </c>
      <c r="F192" s="73"/>
      <c r="G192" s="90"/>
      <c r="H192" s="90"/>
      <c r="I192" s="73" t="s">
        <v>811</v>
      </c>
      <c r="J192" s="222">
        <f t="shared" si="38"/>
        <v>0.2</v>
      </c>
      <c r="K192" s="222">
        <f t="shared" si="38"/>
        <v>0.2</v>
      </c>
      <c r="L192" s="238"/>
      <c r="M192" s="238"/>
      <c r="N192" s="222">
        <f t="shared" si="38"/>
        <v>0.2</v>
      </c>
      <c r="O192" s="222">
        <f t="shared" si="38"/>
        <v>0.2</v>
      </c>
      <c r="P192" s="222">
        <f t="shared" si="38"/>
        <v>0.1</v>
      </c>
      <c r="Q192" s="222">
        <f t="shared" si="38"/>
        <v>0.2</v>
      </c>
      <c r="R192" s="222">
        <f t="shared" si="38"/>
        <v>0</v>
      </c>
      <c r="S192" s="85"/>
      <c r="T192" s="222">
        <f t="shared" si="6"/>
        <v>0.2</v>
      </c>
      <c r="U192" s="222">
        <f t="shared" si="7"/>
        <v>1.3</v>
      </c>
      <c r="V192" s="223">
        <f t="shared" si="8"/>
        <v>6.5000000000000002E-2</v>
      </c>
      <c r="W192" s="224">
        <f t="shared" si="9"/>
        <v>69000</v>
      </c>
      <c r="X192" s="225"/>
    </row>
    <row r="193" spans="1:24" ht="12">
      <c r="A193" s="71">
        <f t="shared" si="4"/>
        <v>184</v>
      </c>
      <c r="B193" s="83" t="s">
        <v>74</v>
      </c>
      <c r="C193" s="201" t="s">
        <v>279</v>
      </c>
      <c r="D193" s="202" t="s">
        <v>281</v>
      </c>
      <c r="E193" s="89" t="s">
        <v>57</v>
      </c>
      <c r="F193" s="89"/>
      <c r="G193" s="90"/>
      <c r="H193" s="90"/>
      <c r="I193" s="89"/>
      <c r="J193" s="222">
        <f t="shared" si="38"/>
        <v>0</v>
      </c>
      <c r="K193" s="222">
        <f t="shared" si="38"/>
        <v>0</v>
      </c>
      <c r="L193" s="238"/>
      <c r="M193" s="238"/>
      <c r="N193" s="222">
        <f t="shared" si="38"/>
        <v>0</v>
      </c>
      <c r="O193" s="222">
        <f t="shared" si="38"/>
        <v>0</v>
      </c>
      <c r="P193" s="222">
        <f t="shared" si="38"/>
        <v>0</v>
      </c>
      <c r="Q193" s="222">
        <f t="shared" si="38"/>
        <v>0</v>
      </c>
      <c r="R193" s="222">
        <f t="shared" si="38"/>
        <v>0</v>
      </c>
      <c r="S193" s="85"/>
      <c r="T193" s="222">
        <f t="shared" si="6"/>
        <v>0</v>
      </c>
      <c r="U193" s="222">
        <f t="shared" si="7"/>
        <v>0</v>
      </c>
      <c r="V193" s="223">
        <f t="shared" si="8"/>
        <v>0</v>
      </c>
      <c r="W193" s="224">
        <f t="shared" si="9"/>
        <v>0</v>
      </c>
      <c r="X193" s="225"/>
    </row>
    <row r="194" spans="1:24" ht="12">
      <c r="A194" s="71">
        <f t="shared" si="4"/>
        <v>185</v>
      </c>
      <c r="B194" s="83" t="s">
        <v>74</v>
      </c>
      <c r="C194" s="201" t="s">
        <v>279</v>
      </c>
      <c r="D194" s="202" t="s">
        <v>282</v>
      </c>
      <c r="E194" s="89" t="s">
        <v>57</v>
      </c>
      <c r="F194" s="89"/>
      <c r="G194" s="90"/>
      <c r="H194" s="90"/>
      <c r="I194" s="89"/>
      <c r="J194" s="222">
        <f t="shared" si="38"/>
        <v>0</v>
      </c>
      <c r="K194" s="222">
        <f t="shared" si="38"/>
        <v>0</v>
      </c>
      <c r="L194" s="238"/>
      <c r="M194" s="238"/>
      <c r="N194" s="222">
        <f t="shared" si="38"/>
        <v>0</v>
      </c>
      <c r="O194" s="222">
        <f t="shared" si="38"/>
        <v>0</v>
      </c>
      <c r="P194" s="222">
        <f t="shared" si="38"/>
        <v>0</v>
      </c>
      <c r="Q194" s="222">
        <f t="shared" si="38"/>
        <v>0</v>
      </c>
      <c r="R194" s="222">
        <f t="shared" si="38"/>
        <v>0</v>
      </c>
      <c r="S194" s="85"/>
      <c r="T194" s="222">
        <f t="shared" si="6"/>
        <v>0</v>
      </c>
      <c r="U194" s="222">
        <f t="shared" si="7"/>
        <v>0</v>
      </c>
      <c r="V194" s="223">
        <f t="shared" si="8"/>
        <v>0</v>
      </c>
      <c r="W194" s="224">
        <f t="shared" si="9"/>
        <v>0</v>
      </c>
      <c r="X194" s="225"/>
    </row>
    <row r="195" spans="1:24" ht="12">
      <c r="A195" s="71">
        <f t="shared" si="4"/>
        <v>186</v>
      </c>
      <c r="B195" s="83" t="s">
        <v>74</v>
      </c>
      <c r="C195" s="201" t="s">
        <v>279</v>
      </c>
      <c r="D195" s="202" t="s">
        <v>283</v>
      </c>
      <c r="E195" s="89" t="s">
        <v>57</v>
      </c>
      <c r="F195" s="89"/>
      <c r="G195" s="90"/>
      <c r="H195" s="90"/>
      <c r="I195" s="89"/>
      <c r="J195" s="222">
        <f t="shared" si="38"/>
        <v>0</v>
      </c>
      <c r="K195" s="222">
        <f t="shared" si="38"/>
        <v>0</v>
      </c>
      <c r="L195" s="238"/>
      <c r="M195" s="238"/>
      <c r="N195" s="222">
        <f t="shared" ref="J195:R213" si="39">ROUNDUP(IF($E195="画面",画面係数,IF($E195="帳票",帳票係数,IF($E195="バッチ",バッチ係数,0))) *
 IF($I195="特高",特高係数,IF($I195="高",高係数,IF($I195="中",中係数,IF($I195="低",低係数,IF($I195="特低",特低係数,0)))))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</v>
      </c>
      <c r="O195" s="222">
        <f t="shared" si="39"/>
        <v>0</v>
      </c>
      <c r="P195" s="222">
        <f t="shared" si="39"/>
        <v>0</v>
      </c>
      <c r="Q195" s="222">
        <f t="shared" si="39"/>
        <v>0</v>
      </c>
      <c r="R195" s="222">
        <f t="shared" si="39"/>
        <v>0</v>
      </c>
      <c r="S195" s="85"/>
      <c r="T195" s="222">
        <f t="shared" si="6"/>
        <v>0</v>
      </c>
      <c r="U195" s="222">
        <f t="shared" si="7"/>
        <v>0</v>
      </c>
      <c r="V195" s="223">
        <f t="shared" si="8"/>
        <v>0</v>
      </c>
      <c r="W195" s="224">
        <f t="shared" si="9"/>
        <v>0</v>
      </c>
      <c r="X195" s="225"/>
    </row>
    <row r="196" spans="1:24" ht="12">
      <c r="A196" s="71">
        <f t="shared" si="4"/>
        <v>187</v>
      </c>
      <c r="B196" s="83" t="s">
        <v>74</v>
      </c>
      <c r="C196" s="201" t="s">
        <v>284</v>
      </c>
      <c r="D196" s="202" t="s">
        <v>285</v>
      </c>
      <c r="E196" s="89" t="s">
        <v>57</v>
      </c>
      <c r="F196" s="89"/>
      <c r="G196" s="90"/>
      <c r="H196" s="90"/>
      <c r="I196" s="89" t="s">
        <v>811</v>
      </c>
      <c r="J196" s="222">
        <f t="shared" si="39"/>
        <v>0.2</v>
      </c>
      <c r="K196" s="222">
        <f t="shared" si="39"/>
        <v>0.2</v>
      </c>
      <c r="L196" s="238"/>
      <c r="M196" s="238"/>
      <c r="N196" s="222">
        <f t="shared" si="39"/>
        <v>0.2</v>
      </c>
      <c r="O196" s="222">
        <f t="shared" si="39"/>
        <v>0.2</v>
      </c>
      <c r="P196" s="222">
        <f t="shared" si="39"/>
        <v>0.1</v>
      </c>
      <c r="Q196" s="222">
        <f t="shared" si="39"/>
        <v>0.2</v>
      </c>
      <c r="R196" s="222">
        <f t="shared" si="39"/>
        <v>0</v>
      </c>
      <c r="S196" s="85"/>
      <c r="T196" s="222">
        <f t="shared" si="6"/>
        <v>0.2</v>
      </c>
      <c r="U196" s="222">
        <f t="shared" si="7"/>
        <v>1.3</v>
      </c>
      <c r="V196" s="223">
        <f t="shared" si="8"/>
        <v>6.5000000000000002E-2</v>
      </c>
      <c r="W196" s="224">
        <f t="shared" si="9"/>
        <v>69000</v>
      </c>
      <c r="X196" s="225"/>
    </row>
    <row r="197" spans="1:24" ht="12">
      <c r="A197" s="71">
        <f t="shared" si="4"/>
        <v>188</v>
      </c>
      <c r="B197" s="83" t="s">
        <v>74</v>
      </c>
      <c r="C197" s="201" t="s">
        <v>284</v>
      </c>
      <c r="D197" s="202" t="s">
        <v>286</v>
      </c>
      <c r="E197" s="89" t="s">
        <v>57</v>
      </c>
      <c r="F197" s="73"/>
      <c r="G197" s="90"/>
      <c r="H197" s="90"/>
      <c r="I197" s="73"/>
      <c r="J197" s="222">
        <f t="shared" si="39"/>
        <v>0</v>
      </c>
      <c r="K197" s="222">
        <f t="shared" si="39"/>
        <v>0</v>
      </c>
      <c r="L197" s="238"/>
      <c r="M197" s="238"/>
      <c r="N197" s="222">
        <f t="shared" si="39"/>
        <v>0</v>
      </c>
      <c r="O197" s="222">
        <f t="shared" si="39"/>
        <v>0</v>
      </c>
      <c r="P197" s="222">
        <f t="shared" si="39"/>
        <v>0</v>
      </c>
      <c r="Q197" s="222">
        <f t="shared" si="39"/>
        <v>0</v>
      </c>
      <c r="R197" s="222">
        <f t="shared" si="39"/>
        <v>0</v>
      </c>
      <c r="S197" s="85"/>
      <c r="T197" s="222">
        <f t="shared" si="6"/>
        <v>0</v>
      </c>
      <c r="U197" s="222">
        <f t="shared" si="7"/>
        <v>0</v>
      </c>
      <c r="V197" s="223">
        <f t="shared" si="8"/>
        <v>0</v>
      </c>
      <c r="W197" s="224">
        <f t="shared" si="9"/>
        <v>0</v>
      </c>
      <c r="X197" s="225"/>
    </row>
    <row r="198" spans="1:24" ht="12">
      <c r="A198" s="71">
        <f t="shared" si="4"/>
        <v>189</v>
      </c>
      <c r="B198" s="83" t="s">
        <v>74</v>
      </c>
      <c r="C198" s="201" t="s">
        <v>284</v>
      </c>
      <c r="D198" s="202" t="s">
        <v>287</v>
      </c>
      <c r="E198" s="89" t="s">
        <v>57</v>
      </c>
      <c r="F198" s="73"/>
      <c r="G198" s="90"/>
      <c r="H198" s="90"/>
      <c r="I198" s="73"/>
      <c r="J198" s="222">
        <f t="shared" si="39"/>
        <v>0</v>
      </c>
      <c r="K198" s="222">
        <f t="shared" si="39"/>
        <v>0</v>
      </c>
      <c r="L198" s="238"/>
      <c r="M198" s="238"/>
      <c r="N198" s="222">
        <f t="shared" si="39"/>
        <v>0</v>
      </c>
      <c r="O198" s="222">
        <f t="shared" si="39"/>
        <v>0</v>
      </c>
      <c r="P198" s="222">
        <f t="shared" si="39"/>
        <v>0</v>
      </c>
      <c r="Q198" s="222">
        <f t="shared" si="39"/>
        <v>0</v>
      </c>
      <c r="R198" s="222">
        <f t="shared" si="39"/>
        <v>0</v>
      </c>
      <c r="S198" s="85"/>
      <c r="T198" s="222">
        <f t="shared" si="6"/>
        <v>0</v>
      </c>
      <c r="U198" s="222">
        <f t="shared" si="7"/>
        <v>0</v>
      </c>
      <c r="V198" s="223">
        <f t="shared" si="8"/>
        <v>0</v>
      </c>
      <c r="W198" s="224">
        <f t="shared" si="9"/>
        <v>0</v>
      </c>
      <c r="X198" s="225"/>
    </row>
    <row r="199" spans="1:24" ht="12">
      <c r="A199" s="71">
        <f t="shared" si="4"/>
        <v>190</v>
      </c>
      <c r="B199" s="83" t="s">
        <v>74</v>
      </c>
      <c r="C199" s="201" t="s">
        <v>284</v>
      </c>
      <c r="D199" s="202" t="s">
        <v>288</v>
      </c>
      <c r="E199" s="89" t="s">
        <v>57</v>
      </c>
      <c r="F199" s="73"/>
      <c r="G199" s="90"/>
      <c r="H199" s="90"/>
      <c r="I199" s="73"/>
      <c r="J199" s="222">
        <f t="shared" si="39"/>
        <v>0</v>
      </c>
      <c r="K199" s="222">
        <f t="shared" si="39"/>
        <v>0</v>
      </c>
      <c r="L199" s="238"/>
      <c r="M199" s="238"/>
      <c r="N199" s="222">
        <f t="shared" si="39"/>
        <v>0</v>
      </c>
      <c r="O199" s="222">
        <f t="shared" si="39"/>
        <v>0</v>
      </c>
      <c r="P199" s="222">
        <f t="shared" si="39"/>
        <v>0</v>
      </c>
      <c r="Q199" s="222">
        <f t="shared" si="39"/>
        <v>0</v>
      </c>
      <c r="R199" s="222">
        <f t="shared" si="39"/>
        <v>0</v>
      </c>
      <c r="S199" s="85"/>
      <c r="T199" s="222">
        <f t="shared" si="6"/>
        <v>0</v>
      </c>
      <c r="U199" s="222">
        <f t="shared" si="7"/>
        <v>0</v>
      </c>
      <c r="V199" s="223">
        <f t="shared" si="8"/>
        <v>0</v>
      </c>
      <c r="W199" s="224">
        <f t="shared" si="9"/>
        <v>0</v>
      </c>
      <c r="X199" s="225"/>
    </row>
    <row r="200" spans="1:24" ht="12">
      <c r="A200" s="71">
        <f t="shared" si="4"/>
        <v>191</v>
      </c>
      <c r="B200" s="83" t="s">
        <v>74</v>
      </c>
      <c r="C200" s="201" t="s">
        <v>289</v>
      </c>
      <c r="D200" s="202" t="s">
        <v>290</v>
      </c>
      <c r="E200" s="89" t="s">
        <v>57</v>
      </c>
      <c r="F200" s="73"/>
      <c r="G200" s="90"/>
      <c r="H200" s="90"/>
      <c r="I200" s="73" t="s">
        <v>811</v>
      </c>
      <c r="J200" s="222">
        <f t="shared" si="39"/>
        <v>0.2</v>
      </c>
      <c r="K200" s="222">
        <f t="shared" si="39"/>
        <v>0.2</v>
      </c>
      <c r="L200" s="238"/>
      <c r="M200" s="238"/>
      <c r="N200" s="222">
        <f t="shared" si="39"/>
        <v>0.2</v>
      </c>
      <c r="O200" s="222">
        <f t="shared" si="39"/>
        <v>0.2</v>
      </c>
      <c r="P200" s="222">
        <f t="shared" si="39"/>
        <v>0.1</v>
      </c>
      <c r="Q200" s="222">
        <f t="shared" si="39"/>
        <v>0.2</v>
      </c>
      <c r="R200" s="222">
        <f t="shared" si="39"/>
        <v>0</v>
      </c>
      <c r="S200" s="85"/>
      <c r="T200" s="222">
        <f t="shared" si="6"/>
        <v>0.2</v>
      </c>
      <c r="U200" s="222">
        <f t="shared" si="7"/>
        <v>1.3</v>
      </c>
      <c r="V200" s="223">
        <f t="shared" si="8"/>
        <v>6.5000000000000002E-2</v>
      </c>
      <c r="W200" s="224">
        <f t="shared" si="9"/>
        <v>69000</v>
      </c>
      <c r="X200" s="225"/>
    </row>
    <row r="201" spans="1:24" ht="12">
      <c r="A201" s="71">
        <f t="shared" si="4"/>
        <v>192</v>
      </c>
      <c r="B201" s="83" t="s">
        <v>74</v>
      </c>
      <c r="C201" s="201" t="s">
        <v>289</v>
      </c>
      <c r="D201" s="202" t="s">
        <v>291</v>
      </c>
      <c r="E201" s="89" t="s">
        <v>57</v>
      </c>
      <c r="F201" s="73"/>
      <c r="G201" s="90"/>
      <c r="H201" s="90"/>
      <c r="I201" s="73"/>
      <c r="J201" s="222">
        <f t="shared" si="39"/>
        <v>0</v>
      </c>
      <c r="K201" s="222">
        <f t="shared" si="39"/>
        <v>0</v>
      </c>
      <c r="L201" s="238"/>
      <c r="M201" s="238"/>
      <c r="N201" s="222">
        <f t="shared" si="39"/>
        <v>0</v>
      </c>
      <c r="O201" s="222">
        <f t="shared" si="39"/>
        <v>0</v>
      </c>
      <c r="P201" s="222">
        <f t="shared" si="39"/>
        <v>0</v>
      </c>
      <c r="Q201" s="222">
        <f t="shared" si="39"/>
        <v>0</v>
      </c>
      <c r="R201" s="222">
        <f t="shared" si="39"/>
        <v>0</v>
      </c>
      <c r="S201" s="85"/>
      <c r="T201" s="222">
        <f t="shared" si="6"/>
        <v>0</v>
      </c>
      <c r="U201" s="222">
        <f t="shared" si="7"/>
        <v>0</v>
      </c>
      <c r="V201" s="223">
        <f t="shared" si="8"/>
        <v>0</v>
      </c>
      <c r="W201" s="224">
        <f t="shared" si="9"/>
        <v>0</v>
      </c>
      <c r="X201" s="225"/>
    </row>
    <row r="202" spans="1:24" ht="12">
      <c r="A202" s="71">
        <f t="shared" si="4"/>
        <v>193</v>
      </c>
      <c r="B202" s="83" t="s">
        <v>74</v>
      </c>
      <c r="C202" s="201" t="s">
        <v>289</v>
      </c>
      <c r="D202" s="202" t="s">
        <v>292</v>
      </c>
      <c r="E202" s="89" t="s">
        <v>57</v>
      </c>
      <c r="F202" s="73"/>
      <c r="G202" s="90"/>
      <c r="H202" s="90"/>
      <c r="I202" s="73"/>
      <c r="J202" s="222">
        <f t="shared" si="39"/>
        <v>0</v>
      </c>
      <c r="K202" s="222">
        <f t="shared" si="39"/>
        <v>0</v>
      </c>
      <c r="L202" s="238"/>
      <c r="M202" s="238"/>
      <c r="N202" s="222">
        <f t="shared" si="39"/>
        <v>0</v>
      </c>
      <c r="O202" s="222">
        <f t="shared" si="39"/>
        <v>0</v>
      </c>
      <c r="P202" s="222">
        <f t="shared" si="39"/>
        <v>0</v>
      </c>
      <c r="Q202" s="222">
        <f t="shared" si="39"/>
        <v>0</v>
      </c>
      <c r="R202" s="222">
        <f t="shared" si="39"/>
        <v>0</v>
      </c>
      <c r="S202" s="85"/>
      <c r="T202" s="222">
        <f t="shared" si="6"/>
        <v>0</v>
      </c>
      <c r="U202" s="222">
        <f t="shared" si="7"/>
        <v>0</v>
      </c>
      <c r="V202" s="223">
        <f t="shared" si="8"/>
        <v>0</v>
      </c>
      <c r="W202" s="224">
        <f t="shared" si="9"/>
        <v>0</v>
      </c>
      <c r="X202" s="225"/>
    </row>
    <row r="203" spans="1:24" ht="12">
      <c r="A203" s="71">
        <f t="shared" si="4"/>
        <v>194</v>
      </c>
      <c r="B203" s="83" t="s">
        <v>74</v>
      </c>
      <c r="C203" s="201" t="s">
        <v>289</v>
      </c>
      <c r="D203" s="202" t="s">
        <v>293</v>
      </c>
      <c r="E203" s="89" t="s">
        <v>57</v>
      </c>
      <c r="F203" s="89"/>
      <c r="G203" s="90"/>
      <c r="H203" s="90"/>
      <c r="I203" s="89"/>
      <c r="J203" s="222">
        <f t="shared" si="39"/>
        <v>0</v>
      </c>
      <c r="K203" s="222">
        <f t="shared" si="39"/>
        <v>0</v>
      </c>
      <c r="L203" s="238"/>
      <c r="M203" s="238"/>
      <c r="N203" s="222">
        <f t="shared" si="39"/>
        <v>0</v>
      </c>
      <c r="O203" s="222">
        <f t="shared" si="39"/>
        <v>0</v>
      </c>
      <c r="P203" s="222">
        <f t="shared" si="39"/>
        <v>0</v>
      </c>
      <c r="Q203" s="222">
        <f t="shared" si="39"/>
        <v>0</v>
      </c>
      <c r="R203" s="222">
        <f t="shared" si="39"/>
        <v>0</v>
      </c>
      <c r="S203" s="85"/>
      <c r="T203" s="222">
        <f t="shared" si="6"/>
        <v>0</v>
      </c>
      <c r="U203" s="222">
        <f t="shared" si="7"/>
        <v>0</v>
      </c>
      <c r="V203" s="223">
        <f t="shared" si="8"/>
        <v>0</v>
      </c>
      <c r="W203" s="224">
        <f t="shared" si="9"/>
        <v>0</v>
      </c>
      <c r="X203" s="225"/>
    </row>
    <row r="204" spans="1:24" ht="12">
      <c r="A204" s="71">
        <f t="shared" si="4"/>
        <v>195</v>
      </c>
      <c r="B204" s="83" t="s">
        <v>74</v>
      </c>
      <c r="C204" s="201" t="s">
        <v>294</v>
      </c>
      <c r="D204" s="202" t="s">
        <v>295</v>
      </c>
      <c r="E204" s="89" t="s">
        <v>57</v>
      </c>
      <c r="F204" s="89"/>
      <c r="G204" s="90"/>
      <c r="H204" s="90"/>
      <c r="I204" s="89" t="s">
        <v>811</v>
      </c>
      <c r="J204" s="222">
        <f t="shared" si="39"/>
        <v>0.2</v>
      </c>
      <c r="K204" s="222">
        <f t="shared" si="39"/>
        <v>0.2</v>
      </c>
      <c r="L204" s="238"/>
      <c r="M204" s="238"/>
      <c r="N204" s="222">
        <f t="shared" si="39"/>
        <v>0.2</v>
      </c>
      <c r="O204" s="222">
        <f t="shared" si="39"/>
        <v>0.2</v>
      </c>
      <c r="P204" s="222">
        <f t="shared" si="39"/>
        <v>0.1</v>
      </c>
      <c r="Q204" s="222">
        <f t="shared" si="39"/>
        <v>0.2</v>
      </c>
      <c r="R204" s="222">
        <f t="shared" si="39"/>
        <v>0</v>
      </c>
      <c r="S204" s="85"/>
      <c r="T204" s="222">
        <f t="shared" si="6"/>
        <v>0.2</v>
      </c>
      <c r="U204" s="222">
        <f t="shared" si="7"/>
        <v>1.3</v>
      </c>
      <c r="V204" s="223">
        <f t="shared" si="8"/>
        <v>6.5000000000000002E-2</v>
      </c>
      <c r="W204" s="224">
        <f t="shared" si="9"/>
        <v>69000</v>
      </c>
      <c r="X204" s="225"/>
    </row>
    <row r="205" spans="1:24" ht="12">
      <c r="A205" s="71">
        <f t="shared" si="4"/>
        <v>196</v>
      </c>
      <c r="B205" s="83" t="s">
        <v>74</v>
      </c>
      <c r="C205" s="201" t="s">
        <v>296</v>
      </c>
      <c r="D205" s="202" t="s">
        <v>297</v>
      </c>
      <c r="E205" s="89" t="s">
        <v>57</v>
      </c>
      <c r="F205" s="89"/>
      <c r="G205" s="90"/>
      <c r="H205" s="90"/>
      <c r="I205" s="89" t="s">
        <v>811</v>
      </c>
      <c r="J205" s="222">
        <f t="shared" si="39"/>
        <v>0.2</v>
      </c>
      <c r="K205" s="222">
        <f t="shared" si="39"/>
        <v>0.2</v>
      </c>
      <c r="L205" s="238"/>
      <c r="M205" s="238"/>
      <c r="N205" s="222">
        <f t="shared" si="39"/>
        <v>0.2</v>
      </c>
      <c r="O205" s="222">
        <f t="shared" si="39"/>
        <v>0.2</v>
      </c>
      <c r="P205" s="222">
        <f t="shared" si="39"/>
        <v>0.1</v>
      </c>
      <c r="Q205" s="222">
        <f t="shared" si="39"/>
        <v>0.2</v>
      </c>
      <c r="R205" s="222">
        <f t="shared" si="39"/>
        <v>0</v>
      </c>
      <c r="S205" s="85"/>
      <c r="T205" s="222">
        <f t="shared" si="6"/>
        <v>0.2</v>
      </c>
      <c r="U205" s="222">
        <f t="shared" si="7"/>
        <v>1.3</v>
      </c>
      <c r="V205" s="223">
        <f t="shared" si="8"/>
        <v>6.5000000000000002E-2</v>
      </c>
      <c r="W205" s="224">
        <f t="shared" si="9"/>
        <v>69000</v>
      </c>
      <c r="X205" s="225"/>
    </row>
    <row r="206" spans="1:24" ht="12">
      <c r="A206" s="71">
        <f t="shared" si="4"/>
        <v>197</v>
      </c>
      <c r="B206" s="83" t="s">
        <v>74</v>
      </c>
      <c r="C206" s="201" t="s">
        <v>298</v>
      </c>
      <c r="D206" s="202" t="s">
        <v>299</v>
      </c>
      <c r="E206" s="89" t="s">
        <v>57</v>
      </c>
      <c r="F206" s="89"/>
      <c r="G206" s="90"/>
      <c r="H206" s="90"/>
      <c r="I206" s="89" t="s">
        <v>811</v>
      </c>
      <c r="J206" s="222">
        <f t="shared" si="39"/>
        <v>0.2</v>
      </c>
      <c r="K206" s="222">
        <f t="shared" si="39"/>
        <v>0.2</v>
      </c>
      <c r="L206" s="238"/>
      <c r="M206" s="238"/>
      <c r="N206" s="222">
        <f t="shared" si="39"/>
        <v>0.2</v>
      </c>
      <c r="O206" s="222">
        <f t="shared" si="39"/>
        <v>0.2</v>
      </c>
      <c r="P206" s="222">
        <f t="shared" si="39"/>
        <v>0.1</v>
      </c>
      <c r="Q206" s="222">
        <f t="shared" si="39"/>
        <v>0.2</v>
      </c>
      <c r="R206" s="222">
        <f t="shared" si="39"/>
        <v>0</v>
      </c>
      <c r="S206" s="85"/>
      <c r="T206" s="222">
        <f t="shared" si="6"/>
        <v>0.2</v>
      </c>
      <c r="U206" s="222">
        <f t="shared" si="7"/>
        <v>1.3</v>
      </c>
      <c r="V206" s="223">
        <f t="shared" si="8"/>
        <v>6.5000000000000002E-2</v>
      </c>
      <c r="W206" s="224">
        <f t="shared" si="9"/>
        <v>69000</v>
      </c>
      <c r="X206" s="225"/>
    </row>
    <row r="207" spans="1:24" ht="12">
      <c r="A207" s="71">
        <f t="shared" si="4"/>
        <v>198</v>
      </c>
      <c r="B207" s="83" t="s">
        <v>74</v>
      </c>
      <c r="C207" s="201" t="s">
        <v>298</v>
      </c>
      <c r="D207" s="202" t="s">
        <v>300</v>
      </c>
      <c r="E207" s="89" t="s">
        <v>57</v>
      </c>
      <c r="F207" s="73"/>
      <c r="G207" s="90"/>
      <c r="H207" s="90"/>
      <c r="I207" s="73"/>
      <c r="J207" s="222">
        <f t="shared" si="39"/>
        <v>0</v>
      </c>
      <c r="K207" s="222">
        <f t="shared" si="39"/>
        <v>0</v>
      </c>
      <c r="L207" s="238"/>
      <c r="M207" s="238"/>
      <c r="N207" s="222">
        <f t="shared" si="39"/>
        <v>0</v>
      </c>
      <c r="O207" s="222">
        <f t="shared" si="39"/>
        <v>0</v>
      </c>
      <c r="P207" s="222">
        <f t="shared" si="39"/>
        <v>0</v>
      </c>
      <c r="Q207" s="222">
        <f t="shared" si="39"/>
        <v>0</v>
      </c>
      <c r="R207" s="222">
        <f t="shared" si="39"/>
        <v>0</v>
      </c>
      <c r="S207" s="85"/>
      <c r="T207" s="222">
        <f t="shared" si="6"/>
        <v>0</v>
      </c>
      <c r="U207" s="222">
        <f t="shared" si="7"/>
        <v>0</v>
      </c>
      <c r="V207" s="223">
        <f t="shared" si="8"/>
        <v>0</v>
      </c>
      <c r="W207" s="224">
        <f t="shared" si="9"/>
        <v>0</v>
      </c>
      <c r="X207" s="225"/>
    </row>
    <row r="208" spans="1:24" ht="12">
      <c r="A208" s="71">
        <f t="shared" si="4"/>
        <v>199</v>
      </c>
      <c r="B208" s="83" t="s">
        <v>74</v>
      </c>
      <c r="C208" s="201" t="s">
        <v>298</v>
      </c>
      <c r="D208" s="202" t="s">
        <v>301</v>
      </c>
      <c r="E208" s="89" t="s">
        <v>57</v>
      </c>
      <c r="F208" s="73"/>
      <c r="G208" s="90"/>
      <c r="H208" s="90"/>
      <c r="I208" s="73"/>
      <c r="J208" s="222">
        <f t="shared" si="39"/>
        <v>0</v>
      </c>
      <c r="K208" s="222">
        <f t="shared" si="39"/>
        <v>0</v>
      </c>
      <c r="L208" s="238"/>
      <c r="M208" s="238"/>
      <c r="N208" s="222">
        <f t="shared" si="39"/>
        <v>0</v>
      </c>
      <c r="O208" s="222">
        <f t="shared" si="39"/>
        <v>0</v>
      </c>
      <c r="P208" s="222">
        <f t="shared" si="39"/>
        <v>0</v>
      </c>
      <c r="Q208" s="222">
        <f t="shared" si="39"/>
        <v>0</v>
      </c>
      <c r="R208" s="222">
        <f t="shared" si="39"/>
        <v>0</v>
      </c>
      <c r="S208" s="85"/>
      <c r="T208" s="222">
        <f t="shared" si="6"/>
        <v>0</v>
      </c>
      <c r="U208" s="222">
        <f t="shared" si="7"/>
        <v>0</v>
      </c>
      <c r="V208" s="223">
        <f t="shared" si="8"/>
        <v>0</v>
      </c>
      <c r="W208" s="224">
        <f t="shared" si="9"/>
        <v>0</v>
      </c>
      <c r="X208" s="225"/>
    </row>
    <row r="209" spans="1:24" ht="12">
      <c r="A209" s="71">
        <f t="shared" si="4"/>
        <v>200</v>
      </c>
      <c r="B209" s="83" t="s">
        <v>74</v>
      </c>
      <c r="C209" s="201" t="s">
        <v>298</v>
      </c>
      <c r="D209" s="202" t="s">
        <v>302</v>
      </c>
      <c r="E209" s="89" t="s">
        <v>57</v>
      </c>
      <c r="F209" s="73"/>
      <c r="G209" s="90"/>
      <c r="H209" s="90"/>
      <c r="I209" s="73"/>
      <c r="J209" s="222">
        <f t="shared" si="39"/>
        <v>0</v>
      </c>
      <c r="K209" s="222">
        <f t="shared" si="39"/>
        <v>0</v>
      </c>
      <c r="L209" s="238"/>
      <c r="M209" s="238"/>
      <c r="N209" s="222">
        <f t="shared" si="39"/>
        <v>0</v>
      </c>
      <c r="O209" s="222">
        <f t="shared" si="39"/>
        <v>0</v>
      </c>
      <c r="P209" s="222">
        <f t="shared" si="39"/>
        <v>0</v>
      </c>
      <c r="Q209" s="222">
        <f t="shared" si="39"/>
        <v>0</v>
      </c>
      <c r="R209" s="222">
        <f t="shared" si="39"/>
        <v>0</v>
      </c>
      <c r="S209" s="85"/>
      <c r="T209" s="222">
        <f t="shared" si="6"/>
        <v>0</v>
      </c>
      <c r="U209" s="222">
        <f t="shared" si="7"/>
        <v>0</v>
      </c>
      <c r="V209" s="223">
        <f t="shared" si="8"/>
        <v>0</v>
      </c>
      <c r="W209" s="224">
        <f t="shared" si="9"/>
        <v>0</v>
      </c>
      <c r="X209" s="225"/>
    </row>
    <row r="210" spans="1:24" ht="12">
      <c r="A210" s="71">
        <f t="shared" si="4"/>
        <v>201</v>
      </c>
      <c r="B210" s="83" t="s">
        <v>74</v>
      </c>
      <c r="C210" s="201" t="s">
        <v>305</v>
      </c>
      <c r="D210" s="202" t="s">
        <v>812</v>
      </c>
      <c r="E210" s="89" t="s">
        <v>57</v>
      </c>
      <c r="F210" s="73"/>
      <c r="G210" s="90"/>
      <c r="H210" s="90"/>
      <c r="I210" s="73" t="s">
        <v>811</v>
      </c>
      <c r="J210" s="222">
        <f t="shared" si="39"/>
        <v>0.2</v>
      </c>
      <c r="K210" s="222">
        <f t="shared" si="39"/>
        <v>0.2</v>
      </c>
      <c r="L210" s="238"/>
      <c r="M210" s="238"/>
      <c r="N210" s="222">
        <f t="shared" si="39"/>
        <v>0.2</v>
      </c>
      <c r="O210" s="222">
        <f t="shared" si="39"/>
        <v>0.2</v>
      </c>
      <c r="P210" s="222">
        <f t="shared" si="39"/>
        <v>0.1</v>
      </c>
      <c r="Q210" s="222">
        <f t="shared" si="39"/>
        <v>0.2</v>
      </c>
      <c r="R210" s="222">
        <f t="shared" si="39"/>
        <v>0</v>
      </c>
      <c r="S210" s="85"/>
      <c r="T210" s="222">
        <f t="shared" si="6"/>
        <v>0.2</v>
      </c>
      <c r="U210" s="222">
        <f t="shared" si="7"/>
        <v>1.3</v>
      </c>
      <c r="V210" s="223">
        <f t="shared" si="8"/>
        <v>6.5000000000000002E-2</v>
      </c>
      <c r="W210" s="224">
        <f t="shared" si="9"/>
        <v>69000</v>
      </c>
      <c r="X210" s="225"/>
    </row>
    <row r="211" spans="1:24" ht="12">
      <c r="A211" s="71">
        <f t="shared" si="4"/>
        <v>202</v>
      </c>
      <c r="B211" s="83" t="s">
        <v>74</v>
      </c>
      <c r="C211" s="201" t="s">
        <v>305</v>
      </c>
      <c r="D211" s="202" t="s">
        <v>306</v>
      </c>
      <c r="E211" s="89" t="s">
        <v>57</v>
      </c>
      <c r="F211" s="73"/>
      <c r="G211" s="90"/>
      <c r="H211" s="90"/>
      <c r="I211" s="73"/>
      <c r="J211" s="222">
        <f t="shared" si="39"/>
        <v>0</v>
      </c>
      <c r="K211" s="222">
        <f t="shared" si="39"/>
        <v>0</v>
      </c>
      <c r="L211" s="238"/>
      <c r="M211" s="238"/>
      <c r="N211" s="222">
        <f t="shared" si="39"/>
        <v>0</v>
      </c>
      <c r="O211" s="222">
        <f t="shared" si="39"/>
        <v>0</v>
      </c>
      <c r="P211" s="222">
        <f t="shared" si="39"/>
        <v>0</v>
      </c>
      <c r="Q211" s="222">
        <f t="shared" si="39"/>
        <v>0</v>
      </c>
      <c r="R211" s="222">
        <f t="shared" si="39"/>
        <v>0</v>
      </c>
      <c r="S211" s="85"/>
      <c r="T211" s="222">
        <f t="shared" si="6"/>
        <v>0</v>
      </c>
      <c r="U211" s="222">
        <f t="shared" si="7"/>
        <v>0</v>
      </c>
      <c r="V211" s="223">
        <f t="shared" si="8"/>
        <v>0</v>
      </c>
      <c r="W211" s="224">
        <f t="shared" si="9"/>
        <v>0</v>
      </c>
      <c r="X211" s="225"/>
    </row>
    <row r="212" spans="1:24" ht="12">
      <c r="A212" s="71">
        <f t="shared" si="4"/>
        <v>203</v>
      </c>
      <c r="B212" s="83" t="s">
        <v>74</v>
      </c>
      <c r="C212" s="201" t="s">
        <v>305</v>
      </c>
      <c r="D212" s="202" t="s">
        <v>307</v>
      </c>
      <c r="E212" s="89" t="s">
        <v>57</v>
      </c>
      <c r="F212" s="73"/>
      <c r="G212" s="90"/>
      <c r="H212" s="90"/>
      <c r="I212" s="73"/>
      <c r="J212" s="222">
        <f t="shared" si="39"/>
        <v>0</v>
      </c>
      <c r="K212" s="222">
        <f t="shared" si="39"/>
        <v>0</v>
      </c>
      <c r="L212" s="238"/>
      <c r="M212" s="238"/>
      <c r="N212" s="222">
        <f t="shared" si="39"/>
        <v>0</v>
      </c>
      <c r="O212" s="222">
        <f t="shared" si="39"/>
        <v>0</v>
      </c>
      <c r="P212" s="222">
        <f t="shared" si="39"/>
        <v>0</v>
      </c>
      <c r="Q212" s="222">
        <f t="shared" si="39"/>
        <v>0</v>
      </c>
      <c r="R212" s="222">
        <f t="shared" si="39"/>
        <v>0</v>
      </c>
      <c r="S212" s="85"/>
      <c r="T212" s="222">
        <f t="shared" si="6"/>
        <v>0</v>
      </c>
      <c r="U212" s="222">
        <f t="shared" si="7"/>
        <v>0</v>
      </c>
      <c r="V212" s="223">
        <f t="shared" si="8"/>
        <v>0</v>
      </c>
      <c r="W212" s="224">
        <f t="shared" si="9"/>
        <v>0</v>
      </c>
      <c r="X212" s="225"/>
    </row>
    <row r="213" spans="1:24" ht="12">
      <c r="A213" s="71">
        <f t="shared" si="4"/>
        <v>204</v>
      </c>
      <c r="B213" s="83" t="s">
        <v>74</v>
      </c>
      <c r="C213" s="201" t="s">
        <v>305</v>
      </c>
      <c r="D213" s="202" t="s">
        <v>308</v>
      </c>
      <c r="E213" s="89" t="s">
        <v>57</v>
      </c>
      <c r="F213" s="89"/>
      <c r="G213" s="90"/>
      <c r="H213" s="90"/>
      <c r="I213" s="89"/>
      <c r="J213" s="222">
        <f t="shared" si="39"/>
        <v>0</v>
      </c>
      <c r="K213" s="222">
        <f t="shared" si="39"/>
        <v>0</v>
      </c>
      <c r="L213" s="238"/>
      <c r="M213" s="238"/>
      <c r="N213" s="222">
        <f t="shared" si="39"/>
        <v>0</v>
      </c>
      <c r="O213" s="222">
        <f t="shared" si="39"/>
        <v>0</v>
      </c>
      <c r="P213" s="222">
        <f t="shared" si="39"/>
        <v>0</v>
      </c>
      <c r="Q213" s="222">
        <f t="shared" si="39"/>
        <v>0</v>
      </c>
      <c r="R213" s="222">
        <f t="shared" si="39"/>
        <v>0</v>
      </c>
      <c r="S213" s="85"/>
      <c r="T213" s="222">
        <f t="shared" si="6"/>
        <v>0</v>
      </c>
      <c r="U213" s="222">
        <f t="shared" si="7"/>
        <v>0</v>
      </c>
      <c r="V213" s="223">
        <f t="shared" si="8"/>
        <v>0</v>
      </c>
      <c r="W213" s="224">
        <f t="shared" si="9"/>
        <v>0</v>
      </c>
      <c r="X213" s="225"/>
    </row>
    <row r="214" spans="1:24" ht="12">
      <c r="A214" s="71">
        <f t="shared" si="10"/>
        <v>205</v>
      </c>
      <c r="B214" s="83" t="s">
        <v>74</v>
      </c>
      <c r="C214" s="201" t="s">
        <v>309</v>
      </c>
      <c r="D214" s="202" t="s">
        <v>310</v>
      </c>
      <c r="E214" s="89" t="s">
        <v>57</v>
      </c>
      <c r="F214" s="73"/>
      <c r="G214" s="90"/>
      <c r="H214" s="90"/>
      <c r="I214" s="73" t="s">
        <v>811</v>
      </c>
      <c r="J214" s="222">
        <f t="shared" ref="J214:R241" si="40">ROUNDUP(IF($E214="画面",画面係数,IF($E214="帳票",帳票係数,IF($E214="バッチ",バッチ係数,0))) *
 IF($I214="特高",特高係数,IF($I214="高",高係数,IF($I214="中",中係数,IF($I214="低",低係数,IF($I214="特低",特低係数,0)))))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214" s="222">
        <f t="shared" si="40"/>
        <v>0.2</v>
      </c>
      <c r="L214" s="238"/>
      <c r="M214" s="238"/>
      <c r="N214" s="222">
        <f t="shared" si="40"/>
        <v>0.2</v>
      </c>
      <c r="O214" s="222">
        <f t="shared" si="40"/>
        <v>0.2</v>
      </c>
      <c r="P214" s="222">
        <f t="shared" si="40"/>
        <v>0.1</v>
      </c>
      <c r="Q214" s="222">
        <f t="shared" si="40"/>
        <v>0.2</v>
      </c>
      <c r="R214" s="222">
        <f t="shared" si="40"/>
        <v>0</v>
      </c>
      <c r="S214" s="85"/>
      <c r="T214" s="222">
        <f t="shared" ref="T214:T266" si="41">ROUNDUP(SUM(J214:S214)*T$8,1)</f>
        <v>0.2</v>
      </c>
      <c r="U214" s="222">
        <f t="shared" ref="U214:U266" si="42">SUM(J214:T214)</f>
        <v>1.3</v>
      </c>
      <c r="V214" s="223">
        <f t="shared" ref="V214:V266" si="43">U214/20</f>
        <v>6.5000000000000002E-2</v>
      </c>
      <c r="W214" s="224">
        <f t="shared" ref="W214:W266" si="44">((J214*J$9) + (K214*K$9) + (L214*L$9) + (M214*M$9) + (N214*N$9) + (O214*O$9) + (P214*P$9) + (Q214*Q$9) + (R214*R$9) + (S214*S$9) + (T214*T$9))/20</f>
        <v>69000</v>
      </c>
      <c r="X214" s="225"/>
    </row>
    <row r="215" spans="1:24" ht="12">
      <c r="A215" s="71">
        <f t="shared" si="10"/>
        <v>206</v>
      </c>
      <c r="B215" s="83" t="s">
        <v>74</v>
      </c>
      <c r="C215" s="201" t="s">
        <v>309</v>
      </c>
      <c r="D215" s="202" t="s">
        <v>311</v>
      </c>
      <c r="E215" s="89" t="s">
        <v>57</v>
      </c>
      <c r="F215" s="73"/>
      <c r="G215" s="90"/>
      <c r="H215" s="90"/>
      <c r="I215" s="73"/>
      <c r="J215" s="222">
        <f t="shared" si="40"/>
        <v>0</v>
      </c>
      <c r="K215" s="222">
        <f t="shared" si="40"/>
        <v>0</v>
      </c>
      <c r="L215" s="238"/>
      <c r="M215" s="238"/>
      <c r="N215" s="222">
        <f t="shared" si="40"/>
        <v>0</v>
      </c>
      <c r="O215" s="222">
        <f t="shared" si="40"/>
        <v>0</v>
      </c>
      <c r="P215" s="222">
        <f t="shared" si="40"/>
        <v>0</v>
      </c>
      <c r="Q215" s="222">
        <f t="shared" si="40"/>
        <v>0</v>
      </c>
      <c r="R215" s="222">
        <f t="shared" si="40"/>
        <v>0</v>
      </c>
      <c r="S215" s="85"/>
      <c r="T215" s="222">
        <f t="shared" si="41"/>
        <v>0</v>
      </c>
      <c r="U215" s="222">
        <f t="shared" si="42"/>
        <v>0</v>
      </c>
      <c r="V215" s="223">
        <f t="shared" si="43"/>
        <v>0</v>
      </c>
      <c r="W215" s="224">
        <f t="shared" si="44"/>
        <v>0</v>
      </c>
      <c r="X215" s="225"/>
    </row>
    <row r="216" spans="1:24" ht="12">
      <c r="A216" s="71">
        <f t="shared" si="10"/>
        <v>207</v>
      </c>
      <c r="B216" s="83" t="s">
        <v>74</v>
      </c>
      <c r="C216" s="201" t="s">
        <v>309</v>
      </c>
      <c r="D216" s="202" t="s">
        <v>312</v>
      </c>
      <c r="E216" s="89" t="s">
        <v>57</v>
      </c>
      <c r="F216" s="89"/>
      <c r="G216" s="90"/>
      <c r="H216" s="90"/>
      <c r="I216" s="89"/>
      <c r="J216" s="222">
        <f t="shared" si="40"/>
        <v>0</v>
      </c>
      <c r="K216" s="222">
        <f t="shared" si="40"/>
        <v>0</v>
      </c>
      <c r="L216" s="238"/>
      <c r="M216" s="238"/>
      <c r="N216" s="222">
        <f t="shared" si="40"/>
        <v>0</v>
      </c>
      <c r="O216" s="222">
        <f t="shared" si="40"/>
        <v>0</v>
      </c>
      <c r="P216" s="222">
        <f t="shared" si="40"/>
        <v>0</v>
      </c>
      <c r="Q216" s="222">
        <f t="shared" si="40"/>
        <v>0</v>
      </c>
      <c r="R216" s="222">
        <f t="shared" si="40"/>
        <v>0</v>
      </c>
      <c r="S216" s="85"/>
      <c r="T216" s="222">
        <f t="shared" si="41"/>
        <v>0</v>
      </c>
      <c r="U216" s="222">
        <f t="shared" si="42"/>
        <v>0</v>
      </c>
      <c r="V216" s="223">
        <f t="shared" si="43"/>
        <v>0</v>
      </c>
      <c r="W216" s="224">
        <f t="shared" si="44"/>
        <v>0</v>
      </c>
      <c r="X216" s="225"/>
    </row>
    <row r="217" spans="1:24" ht="12">
      <c r="A217" s="71">
        <f t="shared" si="10"/>
        <v>208</v>
      </c>
      <c r="B217" s="83" t="s">
        <v>74</v>
      </c>
      <c r="C217" s="201" t="s">
        <v>309</v>
      </c>
      <c r="D217" s="202" t="s">
        <v>313</v>
      </c>
      <c r="E217" s="89" t="s">
        <v>57</v>
      </c>
      <c r="F217" s="89"/>
      <c r="G217" s="90"/>
      <c r="H217" s="90"/>
      <c r="I217" s="89"/>
      <c r="J217" s="222">
        <f t="shared" si="40"/>
        <v>0</v>
      </c>
      <c r="K217" s="222">
        <f t="shared" si="40"/>
        <v>0</v>
      </c>
      <c r="L217" s="238"/>
      <c r="M217" s="238"/>
      <c r="N217" s="222">
        <f t="shared" si="40"/>
        <v>0</v>
      </c>
      <c r="O217" s="222">
        <f t="shared" si="40"/>
        <v>0</v>
      </c>
      <c r="P217" s="222">
        <f t="shared" si="40"/>
        <v>0</v>
      </c>
      <c r="Q217" s="222">
        <f t="shared" si="40"/>
        <v>0</v>
      </c>
      <c r="R217" s="222">
        <f t="shared" si="40"/>
        <v>0</v>
      </c>
      <c r="S217" s="85"/>
      <c r="T217" s="222">
        <f t="shared" si="41"/>
        <v>0</v>
      </c>
      <c r="U217" s="222">
        <f t="shared" si="42"/>
        <v>0</v>
      </c>
      <c r="V217" s="223">
        <f t="shared" si="43"/>
        <v>0</v>
      </c>
      <c r="W217" s="224">
        <f t="shared" si="44"/>
        <v>0</v>
      </c>
      <c r="X217" s="225"/>
    </row>
    <row r="218" spans="1:24" ht="12">
      <c r="A218" s="71">
        <f t="shared" si="10"/>
        <v>209</v>
      </c>
      <c r="B218" s="83" t="s">
        <v>74</v>
      </c>
      <c r="C218" s="201" t="s">
        <v>314</v>
      </c>
      <c r="D218" s="202" t="s">
        <v>315</v>
      </c>
      <c r="E218" s="89" t="s">
        <v>57</v>
      </c>
      <c r="F218" s="89"/>
      <c r="G218" s="90"/>
      <c r="H218" s="90"/>
      <c r="I218" s="89" t="s">
        <v>811</v>
      </c>
      <c r="J218" s="222">
        <f t="shared" si="40"/>
        <v>0.2</v>
      </c>
      <c r="K218" s="222">
        <f t="shared" si="40"/>
        <v>0.2</v>
      </c>
      <c r="L218" s="238"/>
      <c r="M218" s="238"/>
      <c r="N218" s="222">
        <f t="shared" si="40"/>
        <v>0.2</v>
      </c>
      <c r="O218" s="222">
        <f t="shared" si="40"/>
        <v>0.2</v>
      </c>
      <c r="P218" s="222">
        <f t="shared" si="40"/>
        <v>0.1</v>
      </c>
      <c r="Q218" s="222">
        <f t="shared" si="40"/>
        <v>0.2</v>
      </c>
      <c r="R218" s="222">
        <f t="shared" si="40"/>
        <v>0</v>
      </c>
      <c r="S218" s="85"/>
      <c r="T218" s="222">
        <f t="shared" si="41"/>
        <v>0.2</v>
      </c>
      <c r="U218" s="222">
        <f t="shared" si="42"/>
        <v>1.3</v>
      </c>
      <c r="V218" s="223">
        <f t="shared" si="43"/>
        <v>6.5000000000000002E-2</v>
      </c>
      <c r="W218" s="224">
        <f t="shared" si="44"/>
        <v>69000</v>
      </c>
      <c r="X218" s="225"/>
    </row>
    <row r="219" spans="1:24" ht="12">
      <c r="A219" s="71">
        <f t="shared" si="10"/>
        <v>210</v>
      </c>
      <c r="B219" s="83" t="s">
        <v>74</v>
      </c>
      <c r="C219" s="201" t="s">
        <v>314</v>
      </c>
      <c r="D219" s="202" t="s">
        <v>316</v>
      </c>
      <c r="E219" s="89" t="s">
        <v>57</v>
      </c>
      <c r="F219" s="89"/>
      <c r="G219" s="90"/>
      <c r="H219" s="90"/>
      <c r="I219" s="89"/>
      <c r="J219" s="222">
        <f t="shared" si="40"/>
        <v>0</v>
      </c>
      <c r="K219" s="222">
        <f t="shared" si="40"/>
        <v>0</v>
      </c>
      <c r="L219" s="238"/>
      <c r="M219" s="238"/>
      <c r="N219" s="222">
        <f t="shared" si="40"/>
        <v>0</v>
      </c>
      <c r="O219" s="222">
        <f t="shared" si="40"/>
        <v>0</v>
      </c>
      <c r="P219" s="222">
        <f t="shared" si="40"/>
        <v>0</v>
      </c>
      <c r="Q219" s="222">
        <f t="shared" si="40"/>
        <v>0</v>
      </c>
      <c r="R219" s="222">
        <f t="shared" si="40"/>
        <v>0</v>
      </c>
      <c r="S219" s="85"/>
      <c r="T219" s="222">
        <f t="shared" si="41"/>
        <v>0</v>
      </c>
      <c r="U219" s="222">
        <f t="shared" si="42"/>
        <v>0</v>
      </c>
      <c r="V219" s="223">
        <f t="shared" si="43"/>
        <v>0</v>
      </c>
      <c r="W219" s="224">
        <f t="shared" si="44"/>
        <v>0</v>
      </c>
      <c r="X219" s="225"/>
    </row>
    <row r="220" spans="1:24" ht="12">
      <c r="A220" s="71">
        <f t="shared" si="10"/>
        <v>211</v>
      </c>
      <c r="B220" s="83" t="s">
        <v>74</v>
      </c>
      <c r="C220" s="201" t="s">
        <v>314</v>
      </c>
      <c r="D220" s="202" t="s">
        <v>317</v>
      </c>
      <c r="E220" s="89" t="s">
        <v>57</v>
      </c>
      <c r="F220" s="73"/>
      <c r="G220" s="90"/>
      <c r="H220" s="90"/>
      <c r="I220" s="73"/>
      <c r="J220" s="222">
        <f t="shared" si="40"/>
        <v>0</v>
      </c>
      <c r="K220" s="222">
        <f t="shared" si="40"/>
        <v>0</v>
      </c>
      <c r="L220" s="238"/>
      <c r="M220" s="238"/>
      <c r="N220" s="222">
        <f t="shared" si="40"/>
        <v>0</v>
      </c>
      <c r="O220" s="222">
        <f t="shared" si="40"/>
        <v>0</v>
      </c>
      <c r="P220" s="222">
        <f t="shared" si="40"/>
        <v>0</v>
      </c>
      <c r="Q220" s="222">
        <f t="shared" si="40"/>
        <v>0</v>
      </c>
      <c r="R220" s="222">
        <f t="shared" si="40"/>
        <v>0</v>
      </c>
      <c r="S220" s="85"/>
      <c r="T220" s="222">
        <f t="shared" si="41"/>
        <v>0</v>
      </c>
      <c r="U220" s="222">
        <f t="shared" si="42"/>
        <v>0</v>
      </c>
      <c r="V220" s="223">
        <f t="shared" si="43"/>
        <v>0</v>
      </c>
      <c r="W220" s="224">
        <f t="shared" si="44"/>
        <v>0</v>
      </c>
      <c r="X220" s="225"/>
    </row>
    <row r="221" spans="1:24" ht="12">
      <c r="A221" s="71">
        <f t="shared" si="10"/>
        <v>212</v>
      </c>
      <c r="B221" s="83" t="s">
        <v>74</v>
      </c>
      <c r="C221" s="201" t="s">
        <v>314</v>
      </c>
      <c r="D221" s="202" t="s">
        <v>318</v>
      </c>
      <c r="E221" s="89" t="s">
        <v>57</v>
      </c>
      <c r="F221" s="73"/>
      <c r="G221" s="90"/>
      <c r="H221" s="90"/>
      <c r="I221" s="73"/>
      <c r="J221" s="222">
        <f t="shared" si="40"/>
        <v>0</v>
      </c>
      <c r="K221" s="222">
        <f t="shared" si="40"/>
        <v>0</v>
      </c>
      <c r="L221" s="238"/>
      <c r="M221" s="238"/>
      <c r="N221" s="222">
        <f t="shared" si="40"/>
        <v>0</v>
      </c>
      <c r="O221" s="222">
        <f t="shared" si="40"/>
        <v>0</v>
      </c>
      <c r="P221" s="222">
        <f t="shared" si="40"/>
        <v>0</v>
      </c>
      <c r="Q221" s="222">
        <f t="shared" si="40"/>
        <v>0</v>
      </c>
      <c r="R221" s="222">
        <f t="shared" si="40"/>
        <v>0</v>
      </c>
      <c r="S221" s="85"/>
      <c r="T221" s="222">
        <f t="shared" si="41"/>
        <v>0</v>
      </c>
      <c r="U221" s="222">
        <f t="shared" si="42"/>
        <v>0</v>
      </c>
      <c r="V221" s="223">
        <f t="shared" si="43"/>
        <v>0</v>
      </c>
      <c r="W221" s="224">
        <f t="shared" si="44"/>
        <v>0</v>
      </c>
      <c r="X221" s="225"/>
    </row>
    <row r="222" spans="1:24" ht="12">
      <c r="A222" s="71">
        <f t="shared" si="10"/>
        <v>213</v>
      </c>
      <c r="B222" s="83" t="s">
        <v>74</v>
      </c>
      <c r="C222" s="201" t="s">
        <v>319</v>
      </c>
      <c r="D222" s="202" t="s">
        <v>320</v>
      </c>
      <c r="E222" s="89" t="s">
        <v>57</v>
      </c>
      <c r="F222" s="73"/>
      <c r="G222" s="90"/>
      <c r="H222" s="90"/>
      <c r="I222" s="73" t="s">
        <v>811</v>
      </c>
      <c r="J222" s="222">
        <f t="shared" si="40"/>
        <v>0.2</v>
      </c>
      <c r="K222" s="222">
        <f t="shared" si="40"/>
        <v>0.2</v>
      </c>
      <c r="L222" s="238"/>
      <c r="M222" s="238"/>
      <c r="N222" s="222">
        <f t="shared" si="40"/>
        <v>0.2</v>
      </c>
      <c r="O222" s="222">
        <f t="shared" si="40"/>
        <v>0.2</v>
      </c>
      <c r="P222" s="222">
        <f t="shared" si="40"/>
        <v>0.1</v>
      </c>
      <c r="Q222" s="222">
        <f t="shared" si="40"/>
        <v>0.2</v>
      </c>
      <c r="R222" s="222">
        <f t="shared" si="40"/>
        <v>0</v>
      </c>
      <c r="S222" s="85"/>
      <c r="T222" s="222">
        <f t="shared" si="41"/>
        <v>0.2</v>
      </c>
      <c r="U222" s="222">
        <f t="shared" si="42"/>
        <v>1.3</v>
      </c>
      <c r="V222" s="223">
        <f t="shared" si="43"/>
        <v>6.5000000000000002E-2</v>
      </c>
      <c r="W222" s="224">
        <f t="shared" si="44"/>
        <v>69000</v>
      </c>
      <c r="X222" s="225"/>
    </row>
    <row r="223" spans="1:24" ht="12">
      <c r="A223" s="71">
        <f t="shared" si="10"/>
        <v>214</v>
      </c>
      <c r="B223" s="83" t="s">
        <v>74</v>
      </c>
      <c r="C223" s="201" t="s">
        <v>319</v>
      </c>
      <c r="D223" s="202" t="s">
        <v>321</v>
      </c>
      <c r="E223" s="89" t="s">
        <v>57</v>
      </c>
      <c r="F223" s="73"/>
      <c r="G223" s="90"/>
      <c r="H223" s="90"/>
      <c r="I223" s="73"/>
      <c r="J223" s="222">
        <f t="shared" si="40"/>
        <v>0</v>
      </c>
      <c r="K223" s="222">
        <f t="shared" si="40"/>
        <v>0</v>
      </c>
      <c r="L223" s="238"/>
      <c r="M223" s="238"/>
      <c r="N223" s="222">
        <f t="shared" si="40"/>
        <v>0</v>
      </c>
      <c r="O223" s="222">
        <f t="shared" si="40"/>
        <v>0</v>
      </c>
      <c r="P223" s="222">
        <f t="shared" si="40"/>
        <v>0</v>
      </c>
      <c r="Q223" s="222">
        <f t="shared" si="40"/>
        <v>0</v>
      </c>
      <c r="R223" s="222">
        <f t="shared" si="40"/>
        <v>0</v>
      </c>
      <c r="S223" s="85"/>
      <c r="T223" s="222">
        <f t="shared" si="41"/>
        <v>0</v>
      </c>
      <c r="U223" s="222">
        <f t="shared" si="42"/>
        <v>0</v>
      </c>
      <c r="V223" s="223">
        <f t="shared" si="43"/>
        <v>0</v>
      </c>
      <c r="W223" s="224">
        <f t="shared" si="44"/>
        <v>0</v>
      </c>
      <c r="X223" s="225"/>
    </row>
    <row r="224" spans="1:24" ht="12">
      <c r="A224" s="71">
        <f t="shared" si="10"/>
        <v>215</v>
      </c>
      <c r="B224" s="83" t="s">
        <v>74</v>
      </c>
      <c r="C224" s="201" t="s">
        <v>319</v>
      </c>
      <c r="D224" s="202" t="s">
        <v>322</v>
      </c>
      <c r="E224" s="89" t="s">
        <v>57</v>
      </c>
      <c r="F224" s="73"/>
      <c r="G224" s="90"/>
      <c r="H224" s="90"/>
      <c r="I224" s="73"/>
      <c r="J224" s="222">
        <f t="shared" si="40"/>
        <v>0</v>
      </c>
      <c r="K224" s="222">
        <f t="shared" si="40"/>
        <v>0</v>
      </c>
      <c r="L224" s="238"/>
      <c r="M224" s="238"/>
      <c r="N224" s="222">
        <f t="shared" si="40"/>
        <v>0</v>
      </c>
      <c r="O224" s="222">
        <f t="shared" si="40"/>
        <v>0</v>
      </c>
      <c r="P224" s="222">
        <f t="shared" si="40"/>
        <v>0</v>
      </c>
      <c r="Q224" s="222">
        <f t="shared" si="40"/>
        <v>0</v>
      </c>
      <c r="R224" s="222">
        <f t="shared" si="40"/>
        <v>0</v>
      </c>
      <c r="S224" s="85"/>
      <c r="T224" s="222">
        <f t="shared" si="41"/>
        <v>0</v>
      </c>
      <c r="U224" s="222">
        <f t="shared" si="42"/>
        <v>0</v>
      </c>
      <c r="V224" s="223">
        <f t="shared" si="43"/>
        <v>0</v>
      </c>
      <c r="W224" s="224">
        <f t="shared" si="44"/>
        <v>0</v>
      </c>
      <c r="X224" s="225"/>
    </row>
    <row r="225" spans="1:24" ht="12">
      <c r="A225" s="71">
        <f t="shared" si="10"/>
        <v>216</v>
      </c>
      <c r="B225" s="83" t="s">
        <v>74</v>
      </c>
      <c r="C225" s="201" t="s">
        <v>319</v>
      </c>
      <c r="D225" s="202" t="s">
        <v>323</v>
      </c>
      <c r="E225" s="89" t="s">
        <v>57</v>
      </c>
      <c r="F225" s="73"/>
      <c r="G225" s="90"/>
      <c r="H225" s="90"/>
      <c r="I225" s="73"/>
      <c r="J225" s="222">
        <f t="shared" si="40"/>
        <v>0</v>
      </c>
      <c r="K225" s="222">
        <f t="shared" si="40"/>
        <v>0</v>
      </c>
      <c r="L225" s="238"/>
      <c r="M225" s="238"/>
      <c r="N225" s="222">
        <f t="shared" si="40"/>
        <v>0</v>
      </c>
      <c r="O225" s="222">
        <f t="shared" si="40"/>
        <v>0</v>
      </c>
      <c r="P225" s="222">
        <f t="shared" si="40"/>
        <v>0</v>
      </c>
      <c r="Q225" s="222">
        <f t="shared" si="40"/>
        <v>0</v>
      </c>
      <c r="R225" s="222">
        <f t="shared" si="40"/>
        <v>0</v>
      </c>
      <c r="S225" s="85"/>
      <c r="T225" s="222">
        <f t="shared" si="41"/>
        <v>0</v>
      </c>
      <c r="U225" s="222">
        <f t="shared" si="42"/>
        <v>0</v>
      </c>
      <c r="V225" s="223">
        <f t="shared" si="43"/>
        <v>0</v>
      </c>
      <c r="W225" s="224">
        <f t="shared" si="44"/>
        <v>0</v>
      </c>
      <c r="X225" s="225"/>
    </row>
    <row r="226" spans="1:24" ht="12">
      <c r="A226" s="71">
        <f t="shared" si="10"/>
        <v>217</v>
      </c>
      <c r="B226" s="83" t="s">
        <v>74</v>
      </c>
      <c r="C226" s="201" t="s">
        <v>813</v>
      </c>
      <c r="D226" s="202" t="s">
        <v>814</v>
      </c>
      <c r="E226" s="89" t="s">
        <v>57</v>
      </c>
      <c r="F226" s="73"/>
      <c r="G226" s="90"/>
      <c r="H226" s="90"/>
      <c r="I226" s="73" t="s">
        <v>811</v>
      </c>
      <c r="J226" s="222">
        <f t="shared" si="40"/>
        <v>0.2</v>
      </c>
      <c r="K226" s="222">
        <f t="shared" si="40"/>
        <v>0.2</v>
      </c>
      <c r="L226" s="238"/>
      <c r="M226" s="238"/>
      <c r="N226" s="222">
        <f t="shared" si="40"/>
        <v>0.2</v>
      </c>
      <c r="O226" s="222">
        <f t="shared" si="40"/>
        <v>0.2</v>
      </c>
      <c r="P226" s="222">
        <f t="shared" si="40"/>
        <v>0.1</v>
      </c>
      <c r="Q226" s="222">
        <f t="shared" si="40"/>
        <v>0.2</v>
      </c>
      <c r="R226" s="222">
        <f t="shared" si="40"/>
        <v>0</v>
      </c>
      <c r="S226" s="85"/>
      <c r="T226" s="222">
        <f t="shared" si="41"/>
        <v>0.2</v>
      </c>
      <c r="U226" s="222">
        <f t="shared" si="42"/>
        <v>1.3</v>
      </c>
      <c r="V226" s="223">
        <f t="shared" si="43"/>
        <v>6.5000000000000002E-2</v>
      </c>
      <c r="W226" s="224">
        <f t="shared" si="44"/>
        <v>69000</v>
      </c>
      <c r="X226" s="225"/>
    </row>
    <row r="227" spans="1:24" ht="12">
      <c r="A227" s="71">
        <f t="shared" si="10"/>
        <v>218</v>
      </c>
      <c r="B227" s="83" t="s">
        <v>74</v>
      </c>
      <c r="C227" s="201" t="s">
        <v>329</v>
      </c>
      <c r="D227" s="202" t="s">
        <v>330</v>
      </c>
      <c r="E227" s="89" t="s">
        <v>57</v>
      </c>
      <c r="F227" s="89"/>
      <c r="G227" s="90"/>
      <c r="H227" s="90"/>
      <c r="I227" s="89" t="s">
        <v>811</v>
      </c>
      <c r="J227" s="222">
        <f t="shared" si="40"/>
        <v>0.2</v>
      </c>
      <c r="K227" s="222">
        <f t="shared" si="40"/>
        <v>0.2</v>
      </c>
      <c r="L227" s="238"/>
      <c r="M227" s="238"/>
      <c r="N227" s="222">
        <f t="shared" si="40"/>
        <v>0.2</v>
      </c>
      <c r="O227" s="222">
        <f t="shared" si="40"/>
        <v>0.2</v>
      </c>
      <c r="P227" s="222">
        <f t="shared" si="40"/>
        <v>0.1</v>
      </c>
      <c r="Q227" s="222">
        <f t="shared" si="40"/>
        <v>0.2</v>
      </c>
      <c r="R227" s="222">
        <f t="shared" si="40"/>
        <v>0</v>
      </c>
      <c r="S227" s="85"/>
      <c r="T227" s="222">
        <f t="shared" si="41"/>
        <v>0.2</v>
      </c>
      <c r="U227" s="222">
        <f t="shared" si="42"/>
        <v>1.3</v>
      </c>
      <c r="V227" s="223">
        <f t="shared" si="43"/>
        <v>6.5000000000000002E-2</v>
      </c>
      <c r="W227" s="224">
        <f t="shared" si="44"/>
        <v>69000</v>
      </c>
      <c r="X227" s="225"/>
    </row>
    <row r="228" spans="1:24" s="214" customFormat="1" ht="12">
      <c r="A228" s="203">
        <f t="shared" si="10"/>
        <v>219</v>
      </c>
      <c r="B228" s="204" t="s">
        <v>74</v>
      </c>
      <c r="C228" s="205" t="s">
        <v>331</v>
      </c>
      <c r="D228" s="206" t="s">
        <v>332</v>
      </c>
      <c r="E228" s="207" t="s">
        <v>57</v>
      </c>
      <c r="F228" s="207"/>
      <c r="G228" s="208"/>
      <c r="H228" s="208"/>
      <c r="I228" s="207"/>
      <c r="J228" s="209">
        <f t="shared" si="40"/>
        <v>0</v>
      </c>
      <c r="K228" s="209">
        <f t="shared" si="40"/>
        <v>0</v>
      </c>
      <c r="L228" s="209"/>
      <c r="M228" s="209"/>
      <c r="N228" s="209">
        <f t="shared" si="40"/>
        <v>0</v>
      </c>
      <c r="O228" s="209">
        <f t="shared" si="40"/>
        <v>0</v>
      </c>
      <c r="P228" s="209">
        <f t="shared" si="40"/>
        <v>0</v>
      </c>
      <c r="Q228" s="209">
        <f t="shared" si="40"/>
        <v>0</v>
      </c>
      <c r="R228" s="209">
        <f t="shared" si="40"/>
        <v>0</v>
      </c>
      <c r="S228" s="210"/>
      <c r="T228" s="209">
        <f t="shared" si="41"/>
        <v>0</v>
      </c>
      <c r="U228" s="209">
        <f t="shared" si="42"/>
        <v>0</v>
      </c>
      <c r="V228" s="211">
        <f t="shared" si="43"/>
        <v>0</v>
      </c>
      <c r="W228" s="212">
        <f t="shared" si="44"/>
        <v>0</v>
      </c>
      <c r="X228" s="213"/>
    </row>
    <row r="229" spans="1:24" s="214" customFormat="1" ht="12">
      <c r="A229" s="203">
        <f t="shared" si="10"/>
        <v>220</v>
      </c>
      <c r="B229" s="204" t="s">
        <v>74</v>
      </c>
      <c r="C229" s="205" t="s">
        <v>331</v>
      </c>
      <c r="D229" s="206" t="s">
        <v>333</v>
      </c>
      <c r="E229" s="207" t="s">
        <v>57</v>
      </c>
      <c r="F229" s="207"/>
      <c r="G229" s="208"/>
      <c r="H229" s="208"/>
      <c r="I229" s="207"/>
      <c r="J229" s="209">
        <f t="shared" si="40"/>
        <v>0</v>
      </c>
      <c r="K229" s="209">
        <f t="shared" si="40"/>
        <v>0</v>
      </c>
      <c r="L229" s="209"/>
      <c r="M229" s="209"/>
      <c r="N229" s="209">
        <f t="shared" si="40"/>
        <v>0</v>
      </c>
      <c r="O229" s="209">
        <f t="shared" si="40"/>
        <v>0</v>
      </c>
      <c r="P229" s="209">
        <f t="shared" si="40"/>
        <v>0</v>
      </c>
      <c r="Q229" s="209">
        <f t="shared" si="40"/>
        <v>0</v>
      </c>
      <c r="R229" s="209">
        <f t="shared" si="40"/>
        <v>0</v>
      </c>
      <c r="S229" s="210"/>
      <c r="T229" s="209">
        <f t="shared" si="41"/>
        <v>0</v>
      </c>
      <c r="U229" s="209">
        <f t="shared" si="42"/>
        <v>0</v>
      </c>
      <c r="V229" s="211">
        <f t="shared" si="43"/>
        <v>0</v>
      </c>
      <c r="W229" s="212">
        <f t="shared" si="44"/>
        <v>0</v>
      </c>
      <c r="X229" s="213"/>
    </row>
    <row r="230" spans="1:24" ht="12">
      <c r="A230" s="71">
        <f t="shared" si="10"/>
        <v>221</v>
      </c>
      <c r="B230" s="83" t="s">
        <v>74</v>
      </c>
      <c r="C230" s="201" t="s">
        <v>334</v>
      </c>
      <c r="D230" s="202" t="s">
        <v>335</v>
      </c>
      <c r="E230" s="89" t="s">
        <v>57</v>
      </c>
      <c r="F230" s="89"/>
      <c r="G230" s="90"/>
      <c r="H230" s="90"/>
      <c r="I230" s="89" t="s">
        <v>811</v>
      </c>
      <c r="J230" s="222">
        <f t="shared" si="40"/>
        <v>0.2</v>
      </c>
      <c r="K230" s="222">
        <f t="shared" si="40"/>
        <v>0.2</v>
      </c>
      <c r="L230" s="238"/>
      <c r="M230" s="238"/>
      <c r="N230" s="222">
        <f t="shared" si="40"/>
        <v>0.2</v>
      </c>
      <c r="O230" s="222">
        <f t="shared" si="40"/>
        <v>0.2</v>
      </c>
      <c r="P230" s="222">
        <f t="shared" si="40"/>
        <v>0.1</v>
      </c>
      <c r="Q230" s="222">
        <f t="shared" si="40"/>
        <v>0.2</v>
      </c>
      <c r="R230" s="222">
        <f t="shared" si="40"/>
        <v>0</v>
      </c>
      <c r="S230" s="85"/>
      <c r="T230" s="222">
        <f t="shared" si="41"/>
        <v>0.2</v>
      </c>
      <c r="U230" s="222">
        <f t="shared" si="42"/>
        <v>1.3</v>
      </c>
      <c r="V230" s="223">
        <f t="shared" si="43"/>
        <v>6.5000000000000002E-2</v>
      </c>
      <c r="W230" s="224">
        <f t="shared" si="44"/>
        <v>69000</v>
      </c>
      <c r="X230" s="225"/>
    </row>
    <row r="231" spans="1:24" s="214" customFormat="1" ht="12">
      <c r="A231" s="203">
        <f t="shared" si="10"/>
        <v>222</v>
      </c>
      <c r="B231" s="204" t="s">
        <v>74</v>
      </c>
      <c r="C231" s="205" t="s">
        <v>331</v>
      </c>
      <c r="D231" s="206" t="s">
        <v>336</v>
      </c>
      <c r="E231" s="207" t="s">
        <v>57</v>
      </c>
      <c r="F231" s="249"/>
      <c r="G231" s="208"/>
      <c r="H231" s="208"/>
      <c r="I231" s="249"/>
      <c r="J231" s="209">
        <f t="shared" si="40"/>
        <v>0</v>
      </c>
      <c r="K231" s="209">
        <f t="shared" si="40"/>
        <v>0</v>
      </c>
      <c r="L231" s="209"/>
      <c r="M231" s="209"/>
      <c r="N231" s="209">
        <f t="shared" si="40"/>
        <v>0</v>
      </c>
      <c r="O231" s="209">
        <f t="shared" si="40"/>
        <v>0</v>
      </c>
      <c r="P231" s="209">
        <f t="shared" si="40"/>
        <v>0</v>
      </c>
      <c r="Q231" s="209">
        <f t="shared" si="40"/>
        <v>0</v>
      </c>
      <c r="R231" s="209">
        <f t="shared" si="40"/>
        <v>0</v>
      </c>
      <c r="S231" s="210"/>
      <c r="T231" s="209">
        <f t="shared" si="41"/>
        <v>0</v>
      </c>
      <c r="U231" s="209">
        <f t="shared" si="42"/>
        <v>0</v>
      </c>
      <c r="V231" s="211">
        <f t="shared" si="43"/>
        <v>0</v>
      </c>
      <c r="W231" s="212">
        <f t="shared" si="44"/>
        <v>0</v>
      </c>
      <c r="X231" s="213"/>
    </row>
    <row r="232" spans="1:24" s="214" customFormat="1" ht="12">
      <c r="A232" s="203">
        <f t="shared" si="10"/>
        <v>223</v>
      </c>
      <c r="B232" s="204" t="s">
        <v>74</v>
      </c>
      <c r="C232" s="205" t="s">
        <v>331</v>
      </c>
      <c r="D232" s="206" t="s">
        <v>337</v>
      </c>
      <c r="E232" s="207" t="s">
        <v>57</v>
      </c>
      <c r="F232" s="249"/>
      <c r="G232" s="208"/>
      <c r="H232" s="208"/>
      <c r="I232" s="249"/>
      <c r="J232" s="209">
        <f t="shared" si="40"/>
        <v>0</v>
      </c>
      <c r="K232" s="209">
        <f t="shared" si="40"/>
        <v>0</v>
      </c>
      <c r="L232" s="209"/>
      <c r="M232" s="209"/>
      <c r="N232" s="209">
        <f t="shared" si="40"/>
        <v>0</v>
      </c>
      <c r="O232" s="209">
        <f t="shared" si="40"/>
        <v>0</v>
      </c>
      <c r="P232" s="209">
        <f t="shared" si="40"/>
        <v>0</v>
      </c>
      <c r="Q232" s="209">
        <f t="shared" si="40"/>
        <v>0</v>
      </c>
      <c r="R232" s="209">
        <f t="shared" si="40"/>
        <v>0</v>
      </c>
      <c r="S232" s="210"/>
      <c r="T232" s="209">
        <f t="shared" si="41"/>
        <v>0</v>
      </c>
      <c r="U232" s="209">
        <f t="shared" si="42"/>
        <v>0</v>
      </c>
      <c r="V232" s="211">
        <f t="shared" si="43"/>
        <v>0</v>
      </c>
      <c r="W232" s="212">
        <f t="shared" si="44"/>
        <v>0</v>
      </c>
      <c r="X232" s="213"/>
    </row>
    <row r="233" spans="1:24" ht="12">
      <c r="A233" s="71">
        <f t="shared" si="10"/>
        <v>224</v>
      </c>
      <c r="B233" s="83" t="s">
        <v>74</v>
      </c>
      <c r="C233" s="201" t="s">
        <v>334</v>
      </c>
      <c r="D233" s="202" t="s">
        <v>338</v>
      </c>
      <c r="E233" s="89" t="s">
        <v>57</v>
      </c>
      <c r="F233" s="73"/>
      <c r="G233" s="90"/>
      <c r="H233" s="90"/>
      <c r="I233" s="73" t="s">
        <v>811</v>
      </c>
      <c r="J233" s="222">
        <f t="shared" si="40"/>
        <v>0.2</v>
      </c>
      <c r="K233" s="222">
        <f t="shared" si="40"/>
        <v>0.2</v>
      </c>
      <c r="L233" s="238"/>
      <c r="M233" s="238"/>
      <c r="N233" s="222">
        <f t="shared" si="40"/>
        <v>0.2</v>
      </c>
      <c r="O233" s="222">
        <f t="shared" si="40"/>
        <v>0.2</v>
      </c>
      <c r="P233" s="222">
        <f t="shared" si="40"/>
        <v>0.1</v>
      </c>
      <c r="Q233" s="222">
        <f t="shared" si="40"/>
        <v>0.2</v>
      </c>
      <c r="R233" s="222">
        <f t="shared" si="40"/>
        <v>0</v>
      </c>
      <c r="S233" s="85"/>
      <c r="T233" s="222">
        <f t="shared" si="41"/>
        <v>0.2</v>
      </c>
      <c r="U233" s="222">
        <f t="shared" si="42"/>
        <v>1.3</v>
      </c>
      <c r="V233" s="223">
        <f t="shared" si="43"/>
        <v>6.5000000000000002E-2</v>
      </c>
      <c r="W233" s="224">
        <f t="shared" si="44"/>
        <v>69000</v>
      </c>
      <c r="X233" s="225"/>
    </row>
    <row r="234" spans="1:24" ht="12">
      <c r="A234" s="71">
        <f t="shared" si="10"/>
        <v>225</v>
      </c>
      <c r="B234" s="83" t="s">
        <v>74</v>
      </c>
      <c r="C234" s="201" t="s">
        <v>339</v>
      </c>
      <c r="D234" s="202" t="s">
        <v>340</v>
      </c>
      <c r="E234" s="89" t="s">
        <v>57</v>
      </c>
      <c r="F234" s="73"/>
      <c r="G234" s="90"/>
      <c r="H234" s="90"/>
      <c r="I234" s="73" t="s">
        <v>811</v>
      </c>
      <c r="J234" s="222">
        <f t="shared" si="40"/>
        <v>0.2</v>
      </c>
      <c r="K234" s="222">
        <f t="shared" si="40"/>
        <v>0.2</v>
      </c>
      <c r="L234" s="238"/>
      <c r="M234" s="238"/>
      <c r="N234" s="222">
        <f t="shared" si="40"/>
        <v>0.2</v>
      </c>
      <c r="O234" s="222">
        <f t="shared" si="40"/>
        <v>0.2</v>
      </c>
      <c r="P234" s="222">
        <f t="shared" si="40"/>
        <v>0.1</v>
      </c>
      <c r="Q234" s="222">
        <f t="shared" si="40"/>
        <v>0.2</v>
      </c>
      <c r="R234" s="222">
        <f t="shared" si="40"/>
        <v>0</v>
      </c>
      <c r="S234" s="85"/>
      <c r="T234" s="222">
        <f t="shared" si="41"/>
        <v>0.2</v>
      </c>
      <c r="U234" s="222">
        <f t="shared" si="42"/>
        <v>1.3</v>
      </c>
      <c r="V234" s="223">
        <f t="shared" si="43"/>
        <v>6.5000000000000002E-2</v>
      </c>
      <c r="W234" s="224">
        <f t="shared" si="44"/>
        <v>69000</v>
      </c>
      <c r="X234" s="225"/>
    </row>
    <row r="235" spans="1:24" s="214" customFormat="1" ht="12">
      <c r="A235" s="203">
        <f t="shared" si="10"/>
        <v>226</v>
      </c>
      <c r="B235" s="204" t="s">
        <v>74</v>
      </c>
      <c r="C235" s="205" t="s">
        <v>331</v>
      </c>
      <c r="D235" s="206" t="s">
        <v>341</v>
      </c>
      <c r="E235" s="207" t="s">
        <v>57</v>
      </c>
      <c r="F235" s="249"/>
      <c r="G235" s="208"/>
      <c r="H235" s="208"/>
      <c r="I235" s="249"/>
      <c r="J235" s="209">
        <f t="shared" si="40"/>
        <v>0</v>
      </c>
      <c r="K235" s="209">
        <f t="shared" si="40"/>
        <v>0</v>
      </c>
      <c r="L235" s="209"/>
      <c r="M235" s="209"/>
      <c r="N235" s="209">
        <f t="shared" si="40"/>
        <v>0</v>
      </c>
      <c r="O235" s="209">
        <f t="shared" si="40"/>
        <v>0</v>
      </c>
      <c r="P235" s="209">
        <f t="shared" si="40"/>
        <v>0</v>
      </c>
      <c r="Q235" s="209">
        <f t="shared" si="40"/>
        <v>0</v>
      </c>
      <c r="R235" s="209">
        <f t="shared" si="40"/>
        <v>0</v>
      </c>
      <c r="S235" s="210"/>
      <c r="T235" s="209">
        <f t="shared" si="41"/>
        <v>0</v>
      </c>
      <c r="U235" s="209">
        <f t="shared" si="42"/>
        <v>0</v>
      </c>
      <c r="V235" s="211">
        <f t="shared" si="43"/>
        <v>0</v>
      </c>
      <c r="W235" s="212">
        <f t="shared" si="44"/>
        <v>0</v>
      </c>
      <c r="X235" s="213"/>
    </row>
    <row r="236" spans="1:24" s="214" customFormat="1" ht="12">
      <c r="A236" s="203">
        <f t="shared" si="10"/>
        <v>227</v>
      </c>
      <c r="B236" s="204" t="s">
        <v>74</v>
      </c>
      <c r="C236" s="205" t="s">
        <v>331</v>
      </c>
      <c r="D236" s="206" t="s">
        <v>342</v>
      </c>
      <c r="E236" s="207" t="s">
        <v>57</v>
      </c>
      <c r="F236" s="249"/>
      <c r="G236" s="208"/>
      <c r="H236" s="208"/>
      <c r="I236" s="249"/>
      <c r="J236" s="209">
        <f t="shared" si="40"/>
        <v>0</v>
      </c>
      <c r="K236" s="209">
        <f t="shared" si="40"/>
        <v>0</v>
      </c>
      <c r="L236" s="209"/>
      <c r="M236" s="209"/>
      <c r="N236" s="209">
        <f t="shared" si="40"/>
        <v>0</v>
      </c>
      <c r="O236" s="209">
        <f t="shared" si="40"/>
        <v>0</v>
      </c>
      <c r="P236" s="209">
        <f t="shared" si="40"/>
        <v>0</v>
      </c>
      <c r="Q236" s="209">
        <f t="shared" si="40"/>
        <v>0</v>
      </c>
      <c r="R236" s="209">
        <f t="shared" si="40"/>
        <v>0</v>
      </c>
      <c r="S236" s="210"/>
      <c r="T236" s="209">
        <f t="shared" si="41"/>
        <v>0</v>
      </c>
      <c r="U236" s="209">
        <f t="shared" si="42"/>
        <v>0</v>
      </c>
      <c r="V236" s="211">
        <f t="shared" si="43"/>
        <v>0</v>
      </c>
      <c r="W236" s="212">
        <f t="shared" si="44"/>
        <v>0</v>
      </c>
      <c r="X236" s="213"/>
    </row>
    <row r="237" spans="1:24" ht="12">
      <c r="A237" s="71">
        <f t="shared" si="10"/>
        <v>228</v>
      </c>
      <c r="B237" s="83" t="s">
        <v>74</v>
      </c>
      <c r="C237" s="201" t="s">
        <v>334</v>
      </c>
      <c r="D237" s="202" t="s">
        <v>343</v>
      </c>
      <c r="E237" s="89" t="s">
        <v>57</v>
      </c>
      <c r="F237" s="89"/>
      <c r="G237" s="90"/>
      <c r="H237" s="90"/>
      <c r="I237" s="89" t="s">
        <v>811</v>
      </c>
      <c r="J237" s="222">
        <f t="shared" si="40"/>
        <v>0.2</v>
      </c>
      <c r="K237" s="222">
        <f t="shared" si="40"/>
        <v>0.2</v>
      </c>
      <c r="L237" s="238"/>
      <c r="M237" s="238"/>
      <c r="N237" s="222">
        <f t="shared" si="40"/>
        <v>0.2</v>
      </c>
      <c r="O237" s="222">
        <f t="shared" si="40"/>
        <v>0.2</v>
      </c>
      <c r="P237" s="222">
        <f t="shared" si="40"/>
        <v>0.1</v>
      </c>
      <c r="Q237" s="222">
        <f t="shared" si="40"/>
        <v>0.2</v>
      </c>
      <c r="R237" s="222">
        <f t="shared" si="40"/>
        <v>0</v>
      </c>
      <c r="S237" s="85"/>
      <c r="T237" s="222">
        <f t="shared" si="41"/>
        <v>0.2</v>
      </c>
      <c r="U237" s="222">
        <f t="shared" si="42"/>
        <v>1.3</v>
      </c>
      <c r="V237" s="223">
        <f t="shared" si="43"/>
        <v>6.5000000000000002E-2</v>
      </c>
      <c r="W237" s="224">
        <f t="shared" si="44"/>
        <v>69000</v>
      </c>
      <c r="X237" s="225"/>
    </row>
    <row r="238" spans="1:24" s="214" customFormat="1" ht="12">
      <c r="A238" s="203">
        <f t="shared" si="10"/>
        <v>229</v>
      </c>
      <c r="B238" s="204" t="s">
        <v>74</v>
      </c>
      <c r="C238" s="205" t="s">
        <v>331</v>
      </c>
      <c r="D238" s="206" t="s">
        <v>344</v>
      </c>
      <c r="E238" s="207" t="s">
        <v>57</v>
      </c>
      <c r="F238" s="207"/>
      <c r="G238" s="208"/>
      <c r="H238" s="208"/>
      <c r="I238" s="207"/>
      <c r="J238" s="209">
        <f t="shared" si="40"/>
        <v>0</v>
      </c>
      <c r="K238" s="209">
        <f t="shared" si="40"/>
        <v>0</v>
      </c>
      <c r="L238" s="209"/>
      <c r="M238" s="209"/>
      <c r="N238" s="209">
        <f t="shared" si="40"/>
        <v>0</v>
      </c>
      <c r="O238" s="209">
        <f t="shared" si="40"/>
        <v>0</v>
      </c>
      <c r="P238" s="209">
        <f t="shared" si="40"/>
        <v>0</v>
      </c>
      <c r="Q238" s="209">
        <f t="shared" si="40"/>
        <v>0</v>
      </c>
      <c r="R238" s="209">
        <f t="shared" si="40"/>
        <v>0</v>
      </c>
      <c r="S238" s="210"/>
      <c r="T238" s="209">
        <f t="shared" si="41"/>
        <v>0</v>
      </c>
      <c r="U238" s="209">
        <f t="shared" si="42"/>
        <v>0</v>
      </c>
      <c r="V238" s="211">
        <f t="shared" si="43"/>
        <v>0</v>
      </c>
      <c r="W238" s="212">
        <f t="shared" si="44"/>
        <v>0</v>
      </c>
      <c r="X238" s="213"/>
    </row>
    <row r="239" spans="1:24" s="214" customFormat="1" ht="12">
      <c r="A239" s="203">
        <f t="shared" si="10"/>
        <v>230</v>
      </c>
      <c r="B239" s="204" t="s">
        <v>74</v>
      </c>
      <c r="C239" s="205" t="s">
        <v>331</v>
      </c>
      <c r="D239" s="206" t="s">
        <v>345</v>
      </c>
      <c r="E239" s="207" t="s">
        <v>57</v>
      </c>
      <c r="F239" s="207"/>
      <c r="G239" s="208"/>
      <c r="H239" s="208"/>
      <c r="I239" s="207"/>
      <c r="J239" s="209">
        <f t="shared" si="40"/>
        <v>0</v>
      </c>
      <c r="K239" s="209">
        <f t="shared" si="40"/>
        <v>0</v>
      </c>
      <c r="L239" s="209"/>
      <c r="M239" s="209"/>
      <c r="N239" s="209">
        <f t="shared" si="40"/>
        <v>0</v>
      </c>
      <c r="O239" s="209">
        <f t="shared" si="40"/>
        <v>0</v>
      </c>
      <c r="P239" s="209">
        <f t="shared" si="40"/>
        <v>0</v>
      </c>
      <c r="Q239" s="209">
        <f t="shared" si="40"/>
        <v>0</v>
      </c>
      <c r="R239" s="209">
        <f t="shared" si="40"/>
        <v>0</v>
      </c>
      <c r="S239" s="210"/>
      <c r="T239" s="209">
        <f t="shared" si="41"/>
        <v>0</v>
      </c>
      <c r="U239" s="209">
        <f t="shared" si="42"/>
        <v>0</v>
      </c>
      <c r="V239" s="211">
        <f t="shared" si="43"/>
        <v>0</v>
      </c>
      <c r="W239" s="212">
        <f t="shared" si="44"/>
        <v>0</v>
      </c>
      <c r="X239" s="213"/>
    </row>
    <row r="240" spans="1:24" ht="12">
      <c r="A240" s="71">
        <f t="shared" si="10"/>
        <v>231</v>
      </c>
      <c r="B240" s="83" t="s">
        <v>74</v>
      </c>
      <c r="C240" s="201" t="s">
        <v>334</v>
      </c>
      <c r="D240" s="202" t="s">
        <v>346</v>
      </c>
      <c r="E240" s="89" t="s">
        <v>57</v>
      </c>
      <c r="F240" s="89"/>
      <c r="G240" s="90"/>
      <c r="H240" s="90"/>
      <c r="I240" s="89" t="s">
        <v>811</v>
      </c>
      <c r="J240" s="222">
        <f t="shared" si="40"/>
        <v>0.2</v>
      </c>
      <c r="K240" s="222">
        <f t="shared" si="40"/>
        <v>0.2</v>
      </c>
      <c r="L240" s="238"/>
      <c r="M240" s="238"/>
      <c r="N240" s="222">
        <f t="shared" si="40"/>
        <v>0.2</v>
      </c>
      <c r="O240" s="222">
        <f t="shared" si="40"/>
        <v>0.2</v>
      </c>
      <c r="P240" s="222">
        <f t="shared" si="40"/>
        <v>0.1</v>
      </c>
      <c r="Q240" s="222">
        <f t="shared" si="40"/>
        <v>0.2</v>
      </c>
      <c r="R240" s="222">
        <f t="shared" si="40"/>
        <v>0</v>
      </c>
      <c r="S240" s="85"/>
      <c r="T240" s="222">
        <f t="shared" si="41"/>
        <v>0.2</v>
      </c>
      <c r="U240" s="222">
        <f t="shared" si="42"/>
        <v>1.3</v>
      </c>
      <c r="V240" s="223">
        <f t="shared" si="43"/>
        <v>6.5000000000000002E-2</v>
      </c>
      <c r="W240" s="224">
        <f t="shared" si="44"/>
        <v>69000</v>
      </c>
      <c r="X240" s="225"/>
    </row>
    <row r="241" spans="1:24" s="214" customFormat="1" ht="12">
      <c r="A241" s="203">
        <f t="shared" si="10"/>
        <v>232</v>
      </c>
      <c r="B241" s="204" t="s">
        <v>74</v>
      </c>
      <c r="C241" s="205" t="s">
        <v>347</v>
      </c>
      <c r="D241" s="204"/>
      <c r="E241" s="207" t="s">
        <v>57</v>
      </c>
      <c r="F241" s="249"/>
      <c r="G241" s="208"/>
      <c r="H241" s="208"/>
      <c r="I241" s="249"/>
      <c r="J241" s="209">
        <f t="shared" si="40"/>
        <v>0</v>
      </c>
      <c r="K241" s="209">
        <f t="shared" si="40"/>
        <v>0</v>
      </c>
      <c r="L241" s="209">
        <f t="shared" si="40"/>
        <v>0</v>
      </c>
      <c r="M241" s="209">
        <f t="shared" si="40"/>
        <v>0</v>
      </c>
      <c r="N241" s="209">
        <f t="shared" si="40"/>
        <v>0</v>
      </c>
      <c r="O241" s="209">
        <f t="shared" si="40"/>
        <v>0</v>
      </c>
      <c r="P241" s="209">
        <f t="shared" si="40"/>
        <v>0</v>
      </c>
      <c r="Q241" s="209">
        <f t="shared" si="40"/>
        <v>0</v>
      </c>
      <c r="R241" s="209">
        <f t="shared" si="40"/>
        <v>0</v>
      </c>
      <c r="S241" s="210"/>
      <c r="T241" s="209">
        <f t="shared" si="41"/>
        <v>0</v>
      </c>
      <c r="U241" s="209">
        <f t="shared" si="42"/>
        <v>0</v>
      </c>
      <c r="V241" s="211">
        <f t="shared" si="43"/>
        <v>0</v>
      </c>
      <c r="W241" s="212">
        <f t="shared" si="44"/>
        <v>0</v>
      </c>
      <c r="X241" s="213"/>
    </row>
    <row r="242" spans="1:24" ht="12">
      <c r="A242" s="71">
        <f t="shared" si="10"/>
        <v>233</v>
      </c>
      <c r="B242" s="83" t="s">
        <v>74</v>
      </c>
      <c r="C242" s="201" t="s">
        <v>482</v>
      </c>
      <c r="D242" s="202" t="s">
        <v>483</v>
      </c>
      <c r="E242" s="89" t="s">
        <v>348</v>
      </c>
      <c r="F242" s="73"/>
      <c r="G242" s="90"/>
      <c r="H242" s="90"/>
      <c r="I242" s="73" t="s">
        <v>811</v>
      </c>
      <c r="J242" s="238"/>
      <c r="K242" s="238"/>
      <c r="L242" s="238"/>
      <c r="M242" s="238"/>
      <c r="N242" s="222">
        <f t="shared" ref="N242:R263" si="45">ROUNDUP(IF($E242="画面",画面係数,IF($E242="帳票",帳票係数,IF($E242="バッチ",バッチ係数,0))) *
 IF($I242="特高",特高係数,IF($I242="高",高係数,IF($I242="中",中係数,IF($I242="低",低係数,IF($I242="特低",特低係数,0)))))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0.2</v>
      </c>
      <c r="O242" s="222">
        <f t="shared" si="45"/>
        <v>0.2</v>
      </c>
      <c r="P242" s="222">
        <f t="shared" si="45"/>
        <v>0.1</v>
      </c>
      <c r="Q242" s="222">
        <f t="shared" si="45"/>
        <v>0.2</v>
      </c>
      <c r="R242" s="222">
        <f t="shared" si="45"/>
        <v>0</v>
      </c>
      <c r="S242" s="85"/>
      <c r="T242" s="222">
        <f t="shared" si="41"/>
        <v>0.2</v>
      </c>
      <c r="U242" s="222">
        <f t="shared" si="42"/>
        <v>0.89999999999999991</v>
      </c>
      <c r="V242" s="223">
        <f t="shared" si="43"/>
        <v>4.4999999999999998E-2</v>
      </c>
      <c r="W242" s="224">
        <f t="shared" si="44"/>
        <v>49000</v>
      </c>
      <c r="X242" s="225"/>
    </row>
    <row r="243" spans="1:24" ht="12">
      <c r="A243" s="71">
        <f t="shared" si="10"/>
        <v>234</v>
      </c>
      <c r="B243" s="83" t="s">
        <v>74</v>
      </c>
      <c r="C243" s="201" t="s">
        <v>482</v>
      </c>
      <c r="D243" s="202" t="s">
        <v>485</v>
      </c>
      <c r="E243" s="89" t="s">
        <v>348</v>
      </c>
      <c r="F243" s="89"/>
      <c r="G243" s="90"/>
      <c r="H243" s="90"/>
      <c r="I243" s="73" t="s">
        <v>811</v>
      </c>
      <c r="J243" s="238"/>
      <c r="K243" s="238"/>
      <c r="L243" s="238"/>
      <c r="M243" s="238"/>
      <c r="N243" s="222">
        <f t="shared" si="45"/>
        <v>0.2</v>
      </c>
      <c r="O243" s="222">
        <f t="shared" si="45"/>
        <v>0.2</v>
      </c>
      <c r="P243" s="222">
        <f t="shared" si="45"/>
        <v>0.1</v>
      </c>
      <c r="Q243" s="222">
        <f t="shared" si="45"/>
        <v>0.2</v>
      </c>
      <c r="R243" s="222">
        <f t="shared" si="45"/>
        <v>0</v>
      </c>
      <c r="S243" s="85"/>
      <c r="T243" s="222">
        <f t="shared" ref="T243" si="46">ROUNDUP(SUM(J243:S243)*T$8,1)</f>
        <v>0.2</v>
      </c>
      <c r="U243" s="222">
        <f t="shared" ref="U243" si="47">SUM(J243:T243)</f>
        <v>0.89999999999999991</v>
      </c>
      <c r="V243" s="223">
        <f t="shared" ref="V243" si="48">U243/20</f>
        <v>4.4999999999999998E-2</v>
      </c>
      <c r="W243" s="224">
        <f t="shared" ref="W243" si="49">((J243*J$9) + (K243*K$9) + (L243*L$9) + (M243*M$9) + (N243*N$9) + (O243*O$9) + (P243*P$9) + (Q243*Q$9) + (R243*R$9) + (S243*S$9) + (T243*T$9))/20</f>
        <v>49000</v>
      </c>
      <c r="X243" s="225"/>
    </row>
    <row r="244" spans="1:24" ht="12">
      <c r="A244" s="71">
        <f t="shared" si="10"/>
        <v>235</v>
      </c>
      <c r="B244" s="83" t="s">
        <v>74</v>
      </c>
      <c r="C244" s="201" t="s">
        <v>482</v>
      </c>
      <c r="D244" s="202" t="s">
        <v>486</v>
      </c>
      <c r="E244" s="89" t="s">
        <v>348</v>
      </c>
      <c r="F244" s="89"/>
      <c r="G244" s="90"/>
      <c r="H244" s="90"/>
      <c r="I244" s="73" t="s">
        <v>811</v>
      </c>
      <c r="J244" s="238"/>
      <c r="K244" s="238"/>
      <c r="L244" s="238"/>
      <c r="M244" s="238"/>
      <c r="N244" s="222">
        <f t="shared" si="45"/>
        <v>0.2</v>
      </c>
      <c r="O244" s="222">
        <f t="shared" si="45"/>
        <v>0.2</v>
      </c>
      <c r="P244" s="222">
        <f t="shared" si="45"/>
        <v>0.1</v>
      </c>
      <c r="Q244" s="222">
        <f t="shared" si="45"/>
        <v>0.2</v>
      </c>
      <c r="R244" s="222">
        <f t="shared" si="45"/>
        <v>0</v>
      </c>
      <c r="S244" s="85"/>
      <c r="T244" s="222">
        <f t="shared" si="41"/>
        <v>0.2</v>
      </c>
      <c r="U244" s="222">
        <f t="shared" si="42"/>
        <v>0.89999999999999991</v>
      </c>
      <c r="V244" s="223">
        <f t="shared" si="43"/>
        <v>4.4999999999999998E-2</v>
      </c>
      <c r="W244" s="224">
        <f t="shared" si="44"/>
        <v>49000</v>
      </c>
      <c r="X244" s="225"/>
    </row>
    <row r="245" spans="1:24" ht="12">
      <c r="A245" s="71">
        <f t="shared" si="10"/>
        <v>236</v>
      </c>
      <c r="B245" s="83" t="s">
        <v>74</v>
      </c>
      <c r="C245" s="201" t="s">
        <v>482</v>
      </c>
      <c r="D245" s="202" t="s">
        <v>487</v>
      </c>
      <c r="E245" s="89" t="s">
        <v>348</v>
      </c>
      <c r="F245" s="89"/>
      <c r="G245" s="90"/>
      <c r="H245" s="90"/>
      <c r="I245" s="73" t="s">
        <v>811</v>
      </c>
      <c r="J245" s="238"/>
      <c r="K245" s="238"/>
      <c r="L245" s="238"/>
      <c r="M245" s="238"/>
      <c r="N245" s="222">
        <f t="shared" si="45"/>
        <v>0.2</v>
      </c>
      <c r="O245" s="222">
        <f t="shared" si="45"/>
        <v>0.2</v>
      </c>
      <c r="P245" s="222">
        <f t="shared" si="45"/>
        <v>0.1</v>
      </c>
      <c r="Q245" s="222">
        <f t="shared" si="45"/>
        <v>0.2</v>
      </c>
      <c r="R245" s="222">
        <f t="shared" si="45"/>
        <v>0</v>
      </c>
      <c r="S245" s="85"/>
      <c r="T245" s="222">
        <f t="shared" si="41"/>
        <v>0.2</v>
      </c>
      <c r="U245" s="222">
        <f t="shared" si="42"/>
        <v>0.89999999999999991</v>
      </c>
      <c r="V245" s="223">
        <f t="shared" si="43"/>
        <v>4.4999999999999998E-2</v>
      </c>
      <c r="W245" s="224">
        <f t="shared" si="44"/>
        <v>49000</v>
      </c>
      <c r="X245" s="225"/>
    </row>
    <row r="246" spans="1:24" ht="12">
      <c r="A246" s="71">
        <f t="shared" si="10"/>
        <v>237</v>
      </c>
      <c r="B246" s="83" t="s">
        <v>74</v>
      </c>
      <c r="C246" s="201" t="s">
        <v>495</v>
      </c>
      <c r="D246" s="202" t="s">
        <v>496</v>
      </c>
      <c r="E246" s="89" t="s">
        <v>348</v>
      </c>
      <c r="F246" s="73"/>
      <c r="G246" s="90"/>
      <c r="H246" s="90"/>
      <c r="I246" s="73" t="s">
        <v>811</v>
      </c>
      <c r="J246" s="238"/>
      <c r="K246" s="238"/>
      <c r="L246" s="238"/>
      <c r="M246" s="238"/>
      <c r="N246" s="222">
        <f t="shared" ref="N246:R246" si="50">ROUNDUP(IF($E246="画面",画面係数,IF($E246="帳票",帳票係数,IF($E246="バッチ",バッチ係数,0))) *
 IF($I246="特高",特高係数,IF($I246="高",高係数,IF($I246="中",中係数,IF($I246="低",低係数,IF($I246="特低",特低係数,0)))))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0.2</v>
      </c>
      <c r="O246" s="222">
        <f t="shared" si="50"/>
        <v>0.2</v>
      </c>
      <c r="P246" s="222">
        <f t="shared" si="50"/>
        <v>0.1</v>
      </c>
      <c r="Q246" s="222">
        <f t="shared" si="50"/>
        <v>0.2</v>
      </c>
      <c r="R246" s="222">
        <f t="shared" si="50"/>
        <v>0</v>
      </c>
      <c r="S246" s="85"/>
      <c r="T246" s="222">
        <f>ROUNDUP(SUM(J246:S246)*T$8,1)</f>
        <v>0.2</v>
      </c>
      <c r="U246" s="222">
        <f>SUM(J246:T246)</f>
        <v>0.89999999999999991</v>
      </c>
      <c r="V246" s="223">
        <f>U246/20</f>
        <v>4.4999999999999998E-2</v>
      </c>
      <c r="W246" s="224">
        <f>((J246*J$9) + (K246*K$9) + (L246*L$9) + (M246*M$9) + (N246*N$9) + (O246*O$9) + (P246*P$9) + (Q246*Q$9) + (R246*R$9) + (S246*S$9) + (T246*T$9))/20</f>
        <v>49000</v>
      </c>
      <c r="X246" s="225"/>
    </row>
    <row r="247" spans="1:24" ht="12">
      <c r="A247" s="71">
        <f t="shared" si="10"/>
        <v>238</v>
      </c>
      <c r="B247" s="83" t="s">
        <v>74</v>
      </c>
      <c r="C247" s="201" t="s">
        <v>495</v>
      </c>
      <c r="D247" s="202" t="s">
        <v>497</v>
      </c>
      <c r="E247" s="89" t="s">
        <v>348</v>
      </c>
      <c r="F247" s="73"/>
      <c r="G247" s="90"/>
      <c r="H247" s="90"/>
      <c r="I247" s="73" t="s">
        <v>811</v>
      </c>
      <c r="J247" s="238"/>
      <c r="K247" s="238"/>
      <c r="L247" s="238"/>
      <c r="M247" s="238"/>
      <c r="N247" s="222">
        <f t="shared" si="45"/>
        <v>0.2</v>
      </c>
      <c r="O247" s="222">
        <f t="shared" si="45"/>
        <v>0.2</v>
      </c>
      <c r="P247" s="222">
        <f t="shared" si="45"/>
        <v>0.1</v>
      </c>
      <c r="Q247" s="222">
        <f t="shared" si="45"/>
        <v>0.2</v>
      </c>
      <c r="R247" s="222">
        <f t="shared" si="45"/>
        <v>0</v>
      </c>
      <c r="S247" s="85"/>
      <c r="T247" s="222">
        <f t="shared" si="41"/>
        <v>0.2</v>
      </c>
      <c r="U247" s="222">
        <f t="shared" si="42"/>
        <v>0.89999999999999991</v>
      </c>
      <c r="V247" s="223">
        <f t="shared" si="43"/>
        <v>4.4999999999999998E-2</v>
      </c>
      <c r="W247" s="224">
        <f t="shared" si="44"/>
        <v>49000</v>
      </c>
      <c r="X247" s="225"/>
    </row>
    <row r="248" spans="1:24" ht="12">
      <c r="A248" s="71">
        <f t="shared" si="10"/>
        <v>239</v>
      </c>
      <c r="B248" s="83" t="s">
        <v>74</v>
      </c>
      <c r="C248" s="201" t="s">
        <v>495</v>
      </c>
      <c r="D248" s="202" t="s">
        <v>499</v>
      </c>
      <c r="E248" s="89" t="s">
        <v>348</v>
      </c>
      <c r="F248" s="73"/>
      <c r="G248" s="90"/>
      <c r="H248" s="90"/>
      <c r="I248" s="73" t="s">
        <v>811</v>
      </c>
      <c r="J248" s="238"/>
      <c r="K248" s="238"/>
      <c r="L248" s="238"/>
      <c r="M248" s="238"/>
      <c r="N248" s="222">
        <f t="shared" si="45"/>
        <v>0.2</v>
      </c>
      <c r="O248" s="222">
        <f t="shared" si="45"/>
        <v>0.2</v>
      </c>
      <c r="P248" s="222">
        <f t="shared" si="45"/>
        <v>0.1</v>
      </c>
      <c r="Q248" s="222">
        <f t="shared" si="45"/>
        <v>0.2</v>
      </c>
      <c r="R248" s="222">
        <f t="shared" si="45"/>
        <v>0</v>
      </c>
      <c r="S248" s="85"/>
      <c r="T248" s="222">
        <f t="shared" si="41"/>
        <v>0.2</v>
      </c>
      <c r="U248" s="222">
        <f t="shared" si="42"/>
        <v>0.89999999999999991</v>
      </c>
      <c r="V248" s="223">
        <f t="shared" si="43"/>
        <v>4.4999999999999998E-2</v>
      </c>
      <c r="W248" s="224">
        <f t="shared" si="44"/>
        <v>49000</v>
      </c>
      <c r="X248" s="225"/>
    </row>
    <row r="249" spans="1:24" ht="12">
      <c r="A249" s="71">
        <f t="shared" si="10"/>
        <v>240</v>
      </c>
      <c r="B249" s="83" t="s">
        <v>74</v>
      </c>
      <c r="C249" s="201" t="s">
        <v>495</v>
      </c>
      <c r="D249" s="202" t="s">
        <v>506</v>
      </c>
      <c r="E249" s="89" t="s">
        <v>348</v>
      </c>
      <c r="F249" s="73"/>
      <c r="G249" s="90"/>
      <c r="H249" s="90"/>
      <c r="I249" s="73" t="s">
        <v>811</v>
      </c>
      <c r="J249" s="238"/>
      <c r="K249" s="238"/>
      <c r="L249" s="238"/>
      <c r="M249" s="238"/>
      <c r="N249" s="222">
        <f t="shared" si="45"/>
        <v>0.2</v>
      </c>
      <c r="O249" s="222">
        <f t="shared" si="45"/>
        <v>0.2</v>
      </c>
      <c r="P249" s="222">
        <f t="shared" si="45"/>
        <v>0.1</v>
      </c>
      <c r="Q249" s="222">
        <f t="shared" si="45"/>
        <v>0.2</v>
      </c>
      <c r="R249" s="222">
        <f t="shared" si="45"/>
        <v>0</v>
      </c>
      <c r="S249" s="85"/>
      <c r="T249" s="222">
        <f t="shared" si="41"/>
        <v>0.2</v>
      </c>
      <c r="U249" s="222">
        <f t="shared" si="42"/>
        <v>0.89999999999999991</v>
      </c>
      <c r="V249" s="223">
        <f t="shared" si="43"/>
        <v>4.4999999999999998E-2</v>
      </c>
      <c r="W249" s="224">
        <f t="shared" si="44"/>
        <v>49000</v>
      </c>
      <c r="X249" s="225"/>
    </row>
    <row r="250" spans="1:24" ht="12">
      <c r="A250" s="71">
        <f t="shared" si="10"/>
        <v>241</v>
      </c>
      <c r="B250" s="83" t="s">
        <v>74</v>
      </c>
      <c r="C250" s="201" t="s">
        <v>513</v>
      </c>
      <c r="D250" s="202" t="s">
        <v>514</v>
      </c>
      <c r="E250" s="89" t="s">
        <v>348</v>
      </c>
      <c r="F250" s="73"/>
      <c r="G250" s="90"/>
      <c r="H250" s="90"/>
      <c r="I250" s="73" t="s">
        <v>811</v>
      </c>
      <c r="J250" s="238"/>
      <c r="K250" s="238"/>
      <c r="L250" s="238"/>
      <c r="M250" s="238"/>
      <c r="N250" s="222">
        <f t="shared" si="45"/>
        <v>0.2</v>
      </c>
      <c r="O250" s="222">
        <f t="shared" si="45"/>
        <v>0.2</v>
      </c>
      <c r="P250" s="222">
        <f t="shared" si="45"/>
        <v>0.1</v>
      </c>
      <c r="Q250" s="222">
        <f t="shared" si="45"/>
        <v>0.2</v>
      </c>
      <c r="R250" s="222">
        <f t="shared" si="45"/>
        <v>0</v>
      </c>
      <c r="S250" s="85"/>
      <c r="T250" s="222">
        <f t="shared" si="41"/>
        <v>0.2</v>
      </c>
      <c r="U250" s="222">
        <f t="shared" si="42"/>
        <v>0.89999999999999991</v>
      </c>
      <c r="V250" s="223">
        <f t="shared" si="43"/>
        <v>4.4999999999999998E-2</v>
      </c>
      <c r="W250" s="224">
        <f t="shared" si="44"/>
        <v>49000</v>
      </c>
      <c r="X250" s="225"/>
    </row>
    <row r="251" spans="1:24" ht="12">
      <c r="A251" s="71">
        <f t="shared" si="19"/>
        <v>242</v>
      </c>
      <c r="B251" s="83" t="s">
        <v>74</v>
      </c>
      <c r="C251" s="201" t="s">
        <v>513</v>
      </c>
      <c r="D251" s="202" t="s">
        <v>520</v>
      </c>
      <c r="E251" s="89" t="s">
        <v>348</v>
      </c>
      <c r="F251" s="73"/>
      <c r="G251" s="90"/>
      <c r="H251" s="90"/>
      <c r="I251" s="73" t="s">
        <v>811</v>
      </c>
      <c r="J251" s="238"/>
      <c r="K251" s="238"/>
      <c r="L251" s="238"/>
      <c r="M251" s="238"/>
      <c r="N251" s="222">
        <f t="shared" si="45"/>
        <v>0.2</v>
      </c>
      <c r="O251" s="222">
        <f t="shared" si="45"/>
        <v>0.2</v>
      </c>
      <c r="P251" s="222">
        <f t="shared" si="45"/>
        <v>0.1</v>
      </c>
      <c r="Q251" s="222">
        <f t="shared" si="45"/>
        <v>0.2</v>
      </c>
      <c r="R251" s="222">
        <f t="shared" si="45"/>
        <v>0</v>
      </c>
      <c r="S251" s="85"/>
      <c r="T251" s="222">
        <f t="shared" si="41"/>
        <v>0.2</v>
      </c>
      <c r="U251" s="222">
        <f t="shared" si="42"/>
        <v>0.89999999999999991</v>
      </c>
      <c r="V251" s="223">
        <f t="shared" si="43"/>
        <v>4.4999999999999998E-2</v>
      </c>
      <c r="W251" s="224">
        <f t="shared" si="44"/>
        <v>49000</v>
      </c>
      <c r="X251" s="225"/>
    </row>
    <row r="252" spans="1:24" ht="12">
      <c r="A252" s="71">
        <f t="shared" si="19"/>
        <v>243</v>
      </c>
      <c r="B252" s="83" t="s">
        <v>74</v>
      </c>
      <c r="C252" s="201" t="s">
        <v>513</v>
      </c>
      <c r="D252" s="202" t="s">
        <v>522</v>
      </c>
      <c r="E252" s="89" t="s">
        <v>348</v>
      </c>
      <c r="F252" s="73"/>
      <c r="G252" s="90"/>
      <c r="H252" s="90"/>
      <c r="I252" s="73" t="s">
        <v>811</v>
      </c>
      <c r="J252" s="238"/>
      <c r="K252" s="238"/>
      <c r="L252" s="238"/>
      <c r="M252" s="238"/>
      <c r="N252" s="222">
        <f t="shared" si="45"/>
        <v>0.2</v>
      </c>
      <c r="O252" s="222">
        <f t="shared" si="45"/>
        <v>0.2</v>
      </c>
      <c r="P252" s="222">
        <f t="shared" si="45"/>
        <v>0.1</v>
      </c>
      <c r="Q252" s="222">
        <f t="shared" si="45"/>
        <v>0.2</v>
      </c>
      <c r="R252" s="222">
        <f t="shared" si="45"/>
        <v>0</v>
      </c>
      <c r="S252" s="85"/>
      <c r="T252" s="222">
        <f t="shared" si="41"/>
        <v>0.2</v>
      </c>
      <c r="U252" s="222">
        <f t="shared" si="42"/>
        <v>0.89999999999999991</v>
      </c>
      <c r="V252" s="223">
        <f t="shared" si="43"/>
        <v>4.4999999999999998E-2</v>
      </c>
      <c r="W252" s="224">
        <f t="shared" si="44"/>
        <v>49000</v>
      </c>
      <c r="X252" s="225"/>
    </row>
    <row r="253" spans="1:24" ht="12">
      <c r="A253" s="71">
        <f t="shared" si="19"/>
        <v>244</v>
      </c>
      <c r="B253" s="83" t="s">
        <v>74</v>
      </c>
      <c r="C253" s="201" t="s">
        <v>513</v>
      </c>
      <c r="D253" s="202" t="s">
        <v>523</v>
      </c>
      <c r="E253" s="89" t="s">
        <v>348</v>
      </c>
      <c r="F253" s="89"/>
      <c r="G253" s="90"/>
      <c r="H253" s="90"/>
      <c r="I253" s="73" t="s">
        <v>811</v>
      </c>
      <c r="J253" s="238"/>
      <c r="K253" s="238"/>
      <c r="L253" s="238"/>
      <c r="M253" s="238"/>
      <c r="N253" s="222">
        <f t="shared" si="45"/>
        <v>0.2</v>
      </c>
      <c r="O253" s="222">
        <f t="shared" si="45"/>
        <v>0.2</v>
      </c>
      <c r="P253" s="222">
        <f t="shared" si="45"/>
        <v>0.1</v>
      </c>
      <c r="Q253" s="222">
        <f t="shared" si="45"/>
        <v>0.2</v>
      </c>
      <c r="R253" s="222">
        <f t="shared" si="45"/>
        <v>0</v>
      </c>
      <c r="S253" s="85"/>
      <c r="T253" s="222">
        <f t="shared" si="41"/>
        <v>0.2</v>
      </c>
      <c r="U253" s="222">
        <f t="shared" si="42"/>
        <v>0.89999999999999991</v>
      </c>
      <c r="V253" s="223">
        <f t="shared" si="43"/>
        <v>4.4999999999999998E-2</v>
      </c>
      <c r="W253" s="224">
        <f t="shared" si="44"/>
        <v>49000</v>
      </c>
      <c r="X253" s="225"/>
    </row>
    <row r="254" spans="1:24" ht="12">
      <c r="A254" s="71">
        <f t="shared" si="19"/>
        <v>245</v>
      </c>
      <c r="B254" s="83" t="s">
        <v>74</v>
      </c>
      <c r="C254" s="201" t="s">
        <v>524</v>
      </c>
      <c r="D254" s="202" t="s">
        <v>525</v>
      </c>
      <c r="E254" s="89" t="s">
        <v>348</v>
      </c>
      <c r="F254" s="89"/>
      <c r="G254" s="90"/>
      <c r="H254" s="90"/>
      <c r="I254" s="73" t="s">
        <v>811</v>
      </c>
      <c r="J254" s="238"/>
      <c r="K254" s="238"/>
      <c r="L254" s="238"/>
      <c r="M254" s="238"/>
      <c r="N254" s="222">
        <f t="shared" si="45"/>
        <v>0.2</v>
      </c>
      <c r="O254" s="222">
        <f t="shared" si="45"/>
        <v>0.2</v>
      </c>
      <c r="P254" s="222">
        <f t="shared" si="45"/>
        <v>0.1</v>
      </c>
      <c r="Q254" s="222">
        <f t="shared" si="45"/>
        <v>0.2</v>
      </c>
      <c r="R254" s="222">
        <f t="shared" si="45"/>
        <v>0</v>
      </c>
      <c r="S254" s="85"/>
      <c r="T254" s="222">
        <f t="shared" si="41"/>
        <v>0.2</v>
      </c>
      <c r="U254" s="222">
        <f t="shared" si="42"/>
        <v>0.89999999999999991</v>
      </c>
      <c r="V254" s="223">
        <f t="shared" si="43"/>
        <v>4.4999999999999998E-2</v>
      </c>
      <c r="W254" s="224">
        <f t="shared" si="44"/>
        <v>49000</v>
      </c>
      <c r="X254" s="225"/>
    </row>
    <row r="255" spans="1:24" ht="12">
      <c r="A255" s="71">
        <f t="shared" si="19"/>
        <v>246</v>
      </c>
      <c r="B255" s="83" t="s">
        <v>74</v>
      </c>
      <c r="C255" s="201" t="s">
        <v>524</v>
      </c>
      <c r="D255" s="202" t="s">
        <v>531</v>
      </c>
      <c r="E255" s="89" t="s">
        <v>348</v>
      </c>
      <c r="F255" s="89"/>
      <c r="G255" s="90"/>
      <c r="H255" s="90"/>
      <c r="I255" s="73" t="s">
        <v>811</v>
      </c>
      <c r="J255" s="238"/>
      <c r="K255" s="238"/>
      <c r="L255" s="238"/>
      <c r="M255" s="238"/>
      <c r="N255" s="222">
        <f t="shared" si="45"/>
        <v>0.2</v>
      </c>
      <c r="O255" s="222">
        <f t="shared" si="45"/>
        <v>0.2</v>
      </c>
      <c r="P255" s="222">
        <f t="shared" si="45"/>
        <v>0.1</v>
      </c>
      <c r="Q255" s="222">
        <f t="shared" si="45"/>
        <v>0.2</v>
      </c>
      <c r="R255" s="222">
        <f t="shared" si="45"/>
        <v>0</v>
      </c>
      <c r="S255" s="85"/>
      <c r="T255" s="222">
        <f t="shared" si="41"/>
        <v>0.2</v>
      </c>
      <c r="U255" s="222">
        <f t="shared" si="42"/>
        <v>0.89999999999999991</v>
      </c>
      <c r="V255" s="223">
        <f t="shared" si="43"/>
        <v>4.4999999999999998E-2</v>
      </c>
      <c r="W255" s="224">
        <f t="shared" si="44"/>
        <v>49000</v>
      </c>
      <c r="X255" s="225"/>
    </row>
    <row r="256" spans="1:24" ht="12">
      <c r="A256" s="71">
        <f t="shared" si="19"/>
        <v>247</v>
      </c>
      <c r="B256" s="83" t="s">
        <v>74</v>
      </c>
      <c r="C256" s="201" t="s">
        <v>524</v>
      </c>
      <c r="D256" s="202" t="s">
        <v>542</v>
      </c>
      <c r="E256" s="89" t="s">
        <v>348</v>
      </c>
      <c r="F256" s="89"/>
      <c r="G256" s="90"/>
      <c r="H256" s="90"/>
      <c r="I256" s="73" t="s">
        <v>811</v>
      </c>
      <c r="J256" s="238"/>
      <c r="K256" s="238"/>
      <c r="L256" s="238"/>
      <c r="M256" s="238"/>
      <c r="N256" s="222">
        <f t="shared" si="45"/>
        <v>0.2</v>
      </c>
      <c r="O256" s="222">
        <f t="shared" si="45"/>
        <v>0.2</v>
      </c>
      <c r="P256" s="222">
        <f t="shared" si="45"/>
        <v>0.1</v>
      </c>
      <c r="Q256" s="222">
        <f t="shared" si="45"/>
        <v>0.2</v>
      </c>
      <c r="R256" s="222">
        <f t="shared" si="45"/>
        <v>0</v>
      </c>
      <c r="S256" s="85"/>
      <c r="T256" s="222">
        <f t="shared" si="41"/>
        <v>0.2</v>
      </c>
      <c r="U256" s="222">
        <f t="shared" si="42"/>
        <v>0.89999999999999991</v>
      </c>
      <c r="V256" s="223">
        <f t="shared" si="43"/>
        <v>4.4999999999999998E-2</v>
      </c>
      <c r="W256" s="224">
        <f t="shared" si="44"/>
        <v>49000</v>
      </c>
      <c r="X256" s="225"/>
    </row>
    <row r="257" spans="1:24" ht="12">
      <c r="A257" s="71">
        <f t="shared" si="19"/>
        <v>248</v>
      </c>
      <c r="B257" s="83" t="s">
        <v>74</v>
      </c>
      <c r="C257" s="201" t="s">
        <v>524</v>
      </c>
      <c r="D257" s="202" t="s">
        <v>544</v>
      </c>
      <c r="E257" s="89" t="s">
        <v>348</v>
      </c>
      <c r="F257" s="73"/>
      <c r="G257" s="90"/>
      <c r="H257" s="90"/>
      <c r="I257" s="73" t="s">
        <v>811</v>
      </c>
      <c r="J257" s="238"/>
      <c r="K257" s="238"/>
      <c r="L257" s="238"/>
      <c r="M257" s="238"/>
      <c r="N257" s="222">
        <f t="shared" si="45"/>
        <v>0.2</v>
      </c>
      <c r="O257" s="222">
        <f t="shared" si="45"/>
        <v>0.2</v>
      </c>
      <c r="P257" s="222">
        <f t="shared" si="45"/>
        <v>0.1</v>
      </c>
      <c r="Q257" s="222">
        <f t="shared" si="45"/>
        <v>0.2</v>
      </c>
      <c r="R257" s="222">
        <f t="shared" si="45"/>
        <v>0</v>
      </c>
      <c r="S257" s="85"/>
      <c r="T257" s="222">
        <f t="shared" si="41"/>
        <v>0.2</v>
      </c>
      <c r="U257" s="222">
        <f t="shared" si="42"/>
        <v>0.89999999999999991</v>
      </c>
      <c r="V257" s="223">
        <f t="shared" si="43"/>
        <v>4.4999999999999998E-2</v>
      </c>
      <c r="W257" s="224">
        <f t="shared" si="44"/>
        <v>49000</v>
      </c>
      <c r="X257" s="225"/>
    </row>
    <row r="258" spans="1:24" ht="12">
      <c r="A258" s="71">
        <f t="shared" si="19"/>
        <v>249</v>
      </c>
      <c r="B258" s="83" t="s">
        <v>74</v>
      </c>
      <c r="C258" s="201" t="s">
        <v>550</v>
      </c>
      <c r="D258" s="202" t="s">
        <v>551</v>
      </c>
      <c r="E258" s="89" t="s">
        <v>348</v>
      </c>
      <c r="F258" s="73"/>
      <c r="G258" s="90"/>
      <c r="H258" s="90"/>
      <c r="I258" s="73" t="s">
        <v>811</v>
      </c>
      <c r="J258" s="238"/>
      <c r="K258" s="238"/>
      <c r="L258" s="238"/>
      <c r="M258" s="238"/>
      <c r="N258" s="222">
        <f t="shared" si="45"/>
        <v>0.2</v>
      </c>
      <c r="O258" s="222">
        <f t="shared" si="45"/>
        <v>0.2</v>
      </c>
      <c r="P258" s="222">
        <f t="shared" si="45"/>
        <v>0.1</v>
      </c>
      <c r="Q258" s="222">
        <f t="shared" si="45"/>
        <v>0.2</v>
      </c>
      <c r="R258" s="222">
        <f t="shared" si="45"/>
        <v>0</v>
      </c>
      <c r="S258" s="85"/>
      <c r="T258" s="222">
        <f t="shared" si="41"/>
        <v>0.2</v>
      </c>
      <c r="U258" s="222">
        <f t="shared" si="42"/>
        <v>0.89999999999999991</v>
      </c>
      <c r="V258" s="223">
        <f t="shared" si="43"/>
        <v>4.4999999999999998E-2</v>
      </c>
      <c r="W258" s="224">
        <f t="shared" si="44"/>
        <v>49000</v>
      </c>
      <c r="X258" s="225"/>
    </row>
    <row r="259" spans="1:24" ht="12">
      <c r="A259" s="71">
        <f t="shared" si="19"/>
        <v>250</v>
      </c>
      <c r="B259" s="83" t="s">
        <v>74</v>
      </c>
      <c r="C259" s="201" t="s">
        <v>550</v>
      </c>
      <c r="D259" s="202" t="s">
        <v>579</v>
      </c>
      <c r="E259" s="89" t="s">
        <v>348</v>
      </c>
      <c r="F259" s="73"/>
      <c r="G259" s="90"/>
      <c r="H259" s="90"/>
      <c r="I259" s="73" t="s">
        <v>811</v>
      </c>
      <c r="J259" s="238"/>
      <c r="K259" s="238"/>
      <c r="L259" s="238"/>
      <c r="M259" s="238"/>
      <c r="N259" s="222">
        <f t="shared" si="45"/>
        <v>0.2</v>
      </c>
      <c r="O259" s="222">
        <f t="shared" si="45"/>
        <v>0.2</v>
      </c>
      <c r="P259" s="222">
        <f t="shared" si="45"/>
        <v>0.1</v>
      </c>
      <c r="Q259" s="222">
        <f t="shared" si="45"/>
        <v>0.2</v>
      </c>
      <c r="R259" s="222">
        <f t="shared" si="45"/>
        <v>0</v>
      </c>
      <c r="S259" s="85"/>
      <c r="T259" s="222">
        <f t="shared" si="41"/>
        <v>0.2</v>
      </c>
      <c r="U259" s="222">
        <f t="shared" si="42"/>
        <v>0.89999999999999991</v>
      </c>
      <c r="V259" s="223">
        <f t="shared" si="43"/>
        <v>4.4999999999999998E-2</v>
      </c>
      <c r="W259" s="224">
        <f t="shared" si="44"/>
        <v>49000</v>
      </c>
      <c r="X259" s="225"/>
    </row>
    <row r="260" spans="1:24" ht="12">
      <c r="A260" s="71">
        <f t="shared" si="19"/>
        <v>251</v>
      </c>
      <c r="B260" s="83" t="s">
        <v>74</v>
      </c>
      <c r="C260" s="201" t="s">
        <v>550</v>
      </c>
      <c r="D260" s="202" t="s">
        <v>580</v>
      </c>
      <c r="E260" s="89" t="s">
        <v>348</v>
      </c>
      <c r="F260" s="73"/>
      <c r="G260" s="90"/>
      <c r="H260" s="90"/>
      <c r="I260" s="73" t="s">
        <v>811</v>
      </c>
      <c r="J260" s="238"/>
      <c r="K260" s="238"/>
      <c r="L260" s="238"/>
      <c r="M260" s="238"/>
      <c r="N260" s="222">
        <f t="shared" si="45"/>
        <v>0.2</v>
      </c>
      <c r="O260" s="222">
        <f t="shared" si="45"/>
        <v>0.2</v>
      </c>
      <c r="P260" s="222">
        <f t="shared" si="45"/>
        <v>0.1</v>
      </c>
      <c r="Q260" s="222">
        <f t="shared" si="45"/>
        <v>0.2</v>
      </c>
      <c r="R260" s="222">
        <f t="shared" si="45"/>
        <v>0</v>
      </c>
      <c r="S260" s="85"/>
      <c r="T260" s="222">
        <f t="shared" si="41"/>
        <v>0.2</v>
      </c>
      <c r="U260" s="222">
        <f t="shared" si="42"/>
        <v>0.89999999999999991</v>
      </c>
      <c r="V260" s="223">
        <f t="shared" si="43"/>
        <v>4.4999999999999998E-2</v>
      </c>
      <c r="W260" s="224">
        <f t="shared" si="44"/>
        <v>49000</v>
      </c>
      <c r="X260" s="225"/>
    </row>
    <row r="261" spans="1:24" ht="12">
      <c r="A261" s="71">
        <f t="shared" si="19"/>
        <v>252</v>
      </c>
      <c r="B261" s="83" t="s">
        <v>74</v>
      </c>
      <c r="C261" s="201" t="s">
        <v>550</v>
      </c>
      <c r="D261" s="202" t="s">
        <v>581</v>
      </c>
      <c r="E261" s="89" t="s">
        <v>348</v>
      </c>
      <c r="F261" s="73"/>
      <c r="G261" s="90"/>
      <c r="H261" s="90"/>
      <c r="I261" s="73" t="s">
        <v>811</v>
      </c>
      <c r="J261" s="238"/>
      <c r="K261" s="238"/>
      <c r="L261" s="238"/>
      <c r="M261" s="238"/>
      <c r="N261" s="222">
        <f t="shared" si="45"/>
        <v>0.2</v>
      </c>
      <c r="O261" s="222">
        <f t="shared" si="45"/>
        <v>0.2</v>
      </c>
      <c r="P261" s="222">
        <f t="shared" si="45"/>
        <v>0.1</v>
      </c>
      <c r="Q261" s="222">
        <f t="shared" si="45"/>
        <v>0.2</v>
      </c>
      <c r="R261" s="222">
        <f t="shared" si="45"/>
        <v>0</v>
      </c>
      <c r="S261" s="85"/>
      <c r="T261" s="222">
        <f t="shared" si="41"/>
        <v>0.2</v>
      </c>
      <c r="U261" s="222">
        <f t="shared" si="42"/>
        <v>0.89999999999999991</v>
      </c>
      <c r="V261" s="223">
        <f t="shared" si="43"/>
        <v>4.4999999999999998E-2</v>
      </c>
      <c r="W261" s="224">
        <f t="shared" si="44"/>
        <v>49000</v>
      </c>
      <c r="X261" s="225"/>
    </row>
    <row r="262" spans="1:24" ht="12">
      <c r="A262" s="71">
        <f t="shared" si="19"/>
        <v>253</v>
      </c>
      <c r="B262" s="83" t="s">
        <v>74</v>
      </c>
      <c r="C262" s="201" t="s">
        <v>474</v>
      </c>
      <c r="D262" s="202" t="s">
        <v>582</v>
      </c>
      <c r="E262" s="89" t="s">
        <v>348</v>
      </c>
      <c r="F262" s="73"/>
      <c r="G262" s="90"/>
      <c r="H262" s="90"/>
      <c r="I262" s="73" t="s">
        <v>811</v>
      </c>
      <c r="J262" s="238"/>
      <c r="K262" s="238"/>
      <c r="L262" s="238"/>
      <c r="M262" s="238"/>
      <c r="N262" s="222">
        <f t="shared" si="45"/>
        <v>0.2</v>
      </c>
      <c r="O262" s="222">
        <f t="shared" si="45"/>
        <v>0.2</v>
      </c>
      <c r="P262" s="222">
        <f t="shared" si="45"/>
        <v>0.1</v>
      </c>
      <c r="Q262" s="222">
        <f t="shared" si="45"/>
        <v>0.2</v>
      </c>
      <c r="R262" s="222">
        <f t="shared" si="45"/>
        <v>0</v>
      </c>
      <c r="S262" s="85"/>
      <c r="T262" s="222">
        <f t="shared" si="41"/>
        <v>0.2</v>
      </c>
      <c r="U262" s="222">
        <f t="shared" si="42"/>
        <v>0.89999999999999991</v>
      </c>
      <c r="V262" s="223">
        <f t="shared" si="43"/>
        <v>4.4999999999999998E-2</v>
      </c>
      <c r="W262" s="224">
        <f t="shared" si="44"/>
        <v>49000</v>
      </c>
      <c r="X262" s="225"/>
    </row>
    <row r="263" spans="1:24" ht="12">
      <c r="A263" s="71">
        <f t="shared" si="19"/>
        <v>254</v>
      </c>
      <c r="B263" s="83" t="s">
        <v>74</v>
      </c>
      <c r="C263" s="201" t="s">
        <v>474</v>
      </c>
      <c r="D263" s="202" t="s">
        <v>583</v>
      </c>
      <c r="E263" s="89" t="s">
        <v>348</v>
      </c>
      <c r="F263" s="89"/>
      <c r="G263" s="90"/>
      <c r="H263" s="90"/>
      <c r="I263" s="73" t="s">
        <v>811</v>
      </c>
      <c r="J263" s="238"/>
      <c r="K263" s="238"/>
      <c r="L263" s="238"/>
      <c r="M263" s="238"/>
      <c r="N263" s="222">
        <f t="shared" si="45"/>
        <v>0.2</v>
      </c>
      <c r="O263" s="222">
        <f t="shared" si="45"/>
        <v>0.2</v>
      </c>
      <c r="P263" s="222">
        <f t="shared" si="45"/>
        <v>0.1</v>
      </c>
      <c r="Q263" s="222">
        <f t="shared" si="45"/>
        <v>0.2</v>
      </c>
      <c r="R263" s="222">
        <f t="shared" si="45"/>
        <v>0</v>
      </c>
      <c r="S263" s="85"/>
      <c r="T263" s="222">
        <f t="shared" si="41"/>
        <v>0.2</v>
      </c>
      <c r="U263" s="222">
        <f t="shared" si="42"/>
        <v>0.89999999999999991</v>
      </c>
      <c r="V263" s="223">
        <f t="shared" si="43"/>
        <v>4.4999999999999998E-2</v>
      </c>
      <c r="W263" s="224">
        <f t="shared" si="44"/>
        <v>49000</v>
      </c>
      <c r="X263" s="225"/>
    </row>
    <row r="264" spans="1:24" ht="12">
      <c r="A264" s="71">
        <f t="shared" si="19"/>
        <v>255</v>
      </c>
      <c r="B264" s="83" t="s">
        <v>74</v>
      </c>
      <c r="C264" s="201" t="s">
        <v>474</v>
      </c>
      <c r="D264" s="202" t="s">
        <v>584</v>
      </c>
      <c r="E264" s="89" t="s">
        <v>348</v>
      </c>
      <c r="F264" s="89"/>
      <c r="G264" s="90"/>
      <c r="H264" s="90"/>
      <c r="I264" s="73" t="s">
        <v>811</v>
      </c>
      <c r="J264" s="238"/>
      <c r="K264" s="238"/>
      <c r="L264" s="238"/>
      <c r="M264" s="238"/>
      <c r="N264" s="222">
        <f t="shared" ref="N264:R264" si="51">ROUNDUP(IF($E264="画面",画面係数,IF($E264="帳票",帳票係数,IF($E264="バッチ",バッチ係数,0))) *
 IF($I264="特高",特高係数,IF($I264="高",高係数,IF($I264="中",中係数,IF($I264="低",低係数,IF($I264="特低",特低係数,0)))))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0.2</v>
      </c>
      <c r="O264" s="222">
        <f t="shared" si="51"/>
        <v>0.2</v>
      </c>
      <c r="P264" s="222">
        <f t="shared" si="51"/>
        <v>0.1</v>
      </c>
      <c r="Q264" s="222">
        <f t="shared" si="51"/>
        <v>0.2</v>
      </c>
      <c r="R264" s="222">
        <f t="shared" si="51"/>
        <v>0</v>
      </c>
      <c r="S264" s="85"/>
      <c r="T264" s="222">
        <f t="shared" si="41"/>
        <v>0.2</v>
      </c>
      <c r="U264" s="222">
        <f t="shared" si="42"/>
        <v>0.89999999999999991</v>
      </c>
      <c r="V264" s="223">
        <f t="shared" si="43"/>
        <v>4.4999999999999998E-2</v>
      </c>
      <c r="W264" s="224">
        <f t="shared" si="44"/>
        <v>49000</v>
      </c>
      <c r="X264" s="225"/>
    </row>
    <row r="265" spans="1:24" ht="12">
      <c r="A265" s="71">
        <f t="shared" si="19"/>
        <v>256</v>
      </c>
      <c r="B265" s="83" t="s">
        <v>74</v>
      </c>
      <c r="C265" s="201" t="s">
        <v>474</v>
      </c>
      <c r="D265" s="202" t="s">
        <v>585</v>
      </c>
      <c r="E265" s="89" t="s">
        <v>348</v>
      </c>
      <c r="F265" s="89"/>
      <c r="G265" s="90"/>
      <c r="H265" s="90"/>
      <c r="I265" s="73" t="s">
        <v>811</v>
      </c>
      <c r="J265" s="238"/>
      <c r="K265" s="238"/>
      <c r="L265" s="238"/>
      <c r="M265" s="238"/>
      <c r="N265" s="222">
        <f t="shared" ref="J265:R266" si="52">ROUNDUP(IF($E265="画面",画面係数,IF($E265="帳票",帳票係数,IF($E265="バッチ",バッチ係数,0))) *
 IF($I265="特高",特高係数,IF($I265="高",高係数,IF($I265="中",中係数,IF($I265="低",低係数,IF($I265="特低",特低係数,0)))))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0.2</v>
      </c>
      <c r="O265" s="222">
        <f t="shared" si="52"/>
        <v>0.2</v>
      </c>
      <c r="P265" s="222">
        <f t="shared" si="52"/>
        <v>0.1</v>
      </c>
      <c r="Q265" s="222">
        <f t="shared" si="52"/>
        <v>0.2</v>
      </c>
      <c r="R265" s="222">
        <f t="shared" si="52"/>
        <v>0</v>
      </c>
      <c r="S265" s="85"/>
      <c r="T265" s="222">
        <f t="shared" si="41"/>
        <v>0.2</v>
      </c>
      <c r="U265" s="222">
        <f t="shared" si="42"/>
        <v>0.89999999999999991</v>
      </c>
      <c r="V265" s="223">
        <f t="shared" si="43"/>
        <v>4.4999999999999998E-2</v>
      </c>
      <c r="W265" s="224">
        <f t="shared" si="44"/>
        <v>49000</v>
      </c>
      <c r="X265" s="225"/>
    </row>
    <row r="266" spans="1:24" ht="12">
      <c r="A266" s="71">
        <f t="shared" si="19"/>
        <v>257</v>
      </c>
      <c r="B266" s="83"/>
      <c r="C266" s="201"/>
      <c r="D266" s="202"/>
      <c r="E266" s="89"/>
      <c r="F266" s="89"/>
      <c r="G266" s="90"/>
      <c r="H266" s="90"/>
      <c r="I266" s="89"/>
      <c r="J266" s="222">
        <f t="shared" si="52"/>
        <v>0</v>
      </c>
      <c r="K266" s="222">
        <f t="shared" si="52"/>
        <v>0</v>
      </c>
      <c r="L266" s="222">
        <f t="shared" si="52"/>
        <v>0</v>
      </c>
      <c r="M266" s="222">
        <f t="shared" si="52"/>
        <v>0</v>
      </c>
      <c r="N266" s="222">
        <f t="shared" si="52"/>
        <v>0</v>
      </c>
      <c r="O266" s="222">
        <f t="shared" si="52"/>
        <v>0</v>
      </c>
      <c r="P266" s="222">
        <f t="shared" si="52"/>
        <v>0</v>
      </c>
      <c r="Q266" s="222">
        <f t="shared" si="52"/>
        <v>0</v>
      </c>
      <c r="R266" s="222">
        <f t="shared" si="52"/>
        <v>0</v>
      </c>
      <c r="S266" s="85"/>
      <c r="T266" s="222">
        <f t="shared" si="41"/>
        <v>0</v>
      </c>
      <c r="U266" s="222">
        <f t="shared" si="42"/>
        <v>0</v>
      </c>
      <c r="V266" s="223">
        <f t="shared" si="43"/>
        <v>0</v>
      </c>
      <c r="W266" s="224">
        <f t="shared" si="44"/>
        <v>0</v>
      </c>
      <c r="X266" s="225"/>
    </row>
    <row r="267" spans="1:24" ht="12">
      <c r="A267" s="71">
        <f>ROW()-9</f>
        <v>258</v>
      </c>
      <c r="B267" s="72" t="s">
        <v>592</v>
      </c>
      <c r="C267" s="200" t="s">
        <v>593</v>
      </c>
      <c r="D267" s="72" t="s">
        <v>594</v>
      </c>
      <c r="E267" s="73" t="s">
        <v>348</v>
      </c>
      <c r="F267" s="73"/>
      <c r="G267" s="74"/>
      <c r="H267" s="74"/>
      <c r="I267" s="75" t="s">
        <v>36</v>
      </c>
      <c r="J267" s="76"/>
      <c r="K267" s="76"/>
      <c r="L267" s="76"/>
      <c r="M267" s="76"/>
      <c r="N267" s="76"/>
      <c r="O267" s="76">
        <f t="shared" ref="O267:O298" si="53">ROUNDUP(IF($E267="画面",画面係数,IF($E267="帳票",帳票係数,IF($E267="バッチ",バッチ係数,0))) *
 IF($I267="特高",特高係数,IF($I267="高",高係数,IF($I267="中",中係数,IF($I267="低",低係数,IF($I267="特低",特低係数,0))))) *
 IF(O$7="SA",要件定義係数,IF(O$7="UI",基本設計係数,IF(O$7="SS",詳細設計係数,IF(O$7="PS/PG/PT",製作係数,IF(O$7="IT",結合テスト係数,IF(O$7="ST",総合テスト係数,IF(O$7="OT",受入支援係数,IF(O$7="RL",移行切替係数,IF(O$7="その他",その他係数,0))))))))) *
 O$8,1)</f>
        <v>0.2</v>
      </c>
      <c r="P267" s="76"/>
      <c r="Q267" s="76"/>
      <c r="R267" s="76">
        <f t="shared" ref="R267:R286" si="54">ROUNDUP(IF($E267="画面",画面係数,IF($E267="帳票",帳票係数,IF($E267="バッチ",バッチ係数,0))) *
 IF($I267="特高",特高係数,IF($I267="高",高係数,IF($I267="中",中係数,IF($I267="低",低係数,IF($I267="特低",特低係数,0)))))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267" s="77"/>
      <c r="T267" s="76">
        <f t="shared" ref="T267:T298" si="55">ROUNDUP(SUM(J267:S267)*T$8,1)</f>
        <v>0.1</v>
      </c>
      <c r="U267" s="78">
        <f>SUM(J267:T267)</f>
        <v>0.30000000000000004</v>
      </c>
      <c r="V267" s="79">
        <f t="shared" ref="V267:V332" si="56">U267/20</f>
        <v>1.5000000000000003E-2</v>
      </c>
      <c r="W267" s="80">
        <f t="shared" ref="W267:W298" si="57">((J267*J$9) + (K267*K$9) + (L267*L$9) + (M267*M$9) + (N267*N$9) + (O267*O$9) + (P267*P$9) + (Q267*Q$9) + (R267*R$9) + (S267*S$9) + (T267*T$9))/20</f>
        <v>17000</v>
      </c>
      <c r="X267" s="81"/>
    </row>
    <row r="268" spans="1:24" ht="12">
      <c r="A268" s="71">
        <f>ROW()-9</f>
        <v>259</v>
      </c>
      <c r="B268" s="72" t="s">
        <v>592</v>
      </c>
      <c r="C268" s="200" t="s">
        <v>593</v>
      </c>
      <c r="D268" s="72" t="s">
        <v>595</v>
      </c>
      <c r="E268" s="73" t="s">
        <v>57</v>
      </c>
      <c r="F268" s="73"/>
      <c r="G268" s="74"/>
      <c r="H268" s="74"/>
      <c r="I268" s="75" t="s">
        <v>36</v>
      </c>
      <c r="J268" s="76"/>
      <c r="K268" s="76"/>
      <c r="L268" s="76"/>
      <c r="M268" s="76"/>
      <c r="N268" s="76"/>
      <c r="O268" s="76">
        <f t="shared" si="53"/>
        <v>0.2</v>
      </c>
      <c r="P268" s="76"/>
      <c r="Q268" s="76"/>
      <c r="R268" s="76">
        <f t="shared" si="54"/>
        <v>0</v>
      </c>
      <c r="S268" s="77"/>
      <c r="T268" s="76">
        <f t="shared" si="55"/>
        <v>0.1</v>
      </c>
      <c r="U268" s="78">
        <f t="shared" ref="U268:U332" si="58">SUM(J268:T268)</f>
        <v>0.30000000000000004</v>
      </c>
      <c r="V268" s="79">
        <f t="shared" si="56"/>
        <v>1.5000000000000003E-2</v>
      </c>
      <c r="W268" s="80">
        <f t="shared" si="57"/>
        <v>17000</v>
      </c>
      <c r="X268" s="81"/>
    </row>
    <row r="269" spans="1:24" ht="12">
      <c r="A269" s="71">
        <f t="shared" ref="A269:A332" si="59">ROW()-9</f>
        <v>260</v>
      </c>
      <c r="B269" s="72" t="s">
        <v>592</v>
      </c>
      <c r="C269" s="200" t="s">
        <v>593</v>
      </c>
      <c r="D269" s="72" t="s">
        <v>596</v>
      </c>
      <c r="E269" s="73" t="s">
        <v>57</v>
      </c>
      <c r="F269" s="73"/>
      <c r="G269" s="74"/>
      <c r="H269" s="74"/>
      <c r="I269" s="75" t="s">
        <v>36</v>
      </c>
      <c r="J269" s="76"/>
      <c r="K269" s="76"/>
      <c r="L269" s="76"/>
      <c r="M269" s="76"/>
      <c r="N269" s="76"/>
      <c r="O269" s="76">
        <f t="shared" si="53"/>
        <v>0.2</v>
      </c>
      <c r="P269" s="76"/>
      <c r="Q269" s="76"/>
      <c r="R269" s="76">
        <f t="shared" si="54"/>
        <v>0</v>
      </c>
      <c r="S269" s="77"/>
      <c r="T269" s="76">
        <f t="shared" si="55"/>
        <v>0.1</v>
      </c>
      <c r="U269" s="78">
        <f t="shared" si="58"/>
        <v>0.30000000000000004</v>
      </c>
      <c r="V269" s="79">
        <f t="shared" si="56"/>
        <v>1.5000000000000003E-2</v>
      </c>
      <c r="W269" s="80">
        <f t="shared" si="57"/>
        <v>17000</v>
      </c>
      <c r="X269" s="81"/>
    </row>
    <row r="270" spans="1:24" ht="12">
      <c r="A270" s="71">
        <f t="shared" si="59"/>
        <v>261</v>
      </c>
      <c r="B270" s="72" t="s">
        <v>592</v>
      </c>
      <c r="C270" s="200" t="s">
        <v>597</v>
      </c>
      <c r="D270" s="72" t="s">
        <v>594</v>
      </c>
      <c r="E270" s="73" t="s">
        <v>57</v>
      </c>
      <c r="F270" s="73"/>
      <c r="G270" s="74"/>
      <c r="H270" s="74"/>
      <c r="I270" s="75" t="s">
        <v>36</v>
      </c>
      <c r="J270" s="76"/>
      <c r="K270" s="76"/>
      <c r="L270" s="76"/>
      <c r="M270" s="76"/>
      <c r="N270" s="76"/>
      <c r="O270" s="76">
        <f t="shared" si="53"/>
        <v>0.2</v>
      </c>
      <c r="P270" s="76"/>
      <c r="Q270" s="76"/>
      <c r="R270" s="76">
        <f t="shared" si="54"/>
        <v>0</v>
      </c>
      <c r="S270" s="77"/>
      <c r="T270" s="76">
        <f t="shared" si="55"/>
        <v>0.1</v>
      </c>
      <c r="U270" s="78">
        <f t="shared" si="58"/>
        <v>0.30000000000000004</v>
      </c>
      <c r="V270" s="79">
        <f t="shared" si="56"/>
        <v>1.5000000000000003E-2</v>
      </c>
      <c r="W270" s="80">
        <f t="shared" si="57"/>
        <v>17000</v>
      </c>
      <c r="X270" s="81"/>
    </row>
    <row r="271" spans="1:24" ht="12">
      <c r="A271" s="71">
        <f t="shared" si="59"/>
        <v>262</v>
      </c>
      <c r="B271" s="72" t="s">
        <v>592</v>
      </c>
      <c r="C271" s="200" t="s">
        <v>597</v>
      </c>
      <c r="D271" s="72" t="s">
        <v>595</v>
      </c>
      <c r="E271" s="73" t="s">
        <v>57</v>
      </c>
      <c r="F271" s="73"/>
      <c r="G271" s="74"/>
      <c r="H271" s="74"/>
      <c r="I271" s="75" t="s">
        <v>36</v>
      </c>
      <c r="J271" s="76"/>
      <c r="K271" s="76"/>
      <c r="L271" s="76"/>
      <c r="M271" s="76"/>
      <c r="N271" s="76"/>
      <c r="O271" s="76">
        <f t="shared" si="53"/>
        <v>0.2</v>
      </c>
      <c r="P271" s="76"/>
      <c r="Q271" s="76"/>
      <c r="R271" s="76">
        <f t="shared" si="54"/>
        <v>0</v>
      </c>
      <c r="S271" s="77"/>
      <c r="T271" s="76">
        <f t="shared" si="55"/>
        <v>0.1</v>
      </c>
      <c r="U271" s="78">
        <f t="shared" ref="U271:U318" si="60">SUM(J271:T271)</f>
        <v>0.30000000000000004</v>
      </c>
      <c r="V271" s="79">
        <f t="shared" ref="V271:V318" si="61">U271/20</f>
        <v>1.5000000000000003E-2</v>
      </c>
      <c r="W271" s="80">
        <f t="shared" si="57"/>
        <v>17000</v>
      </c>
      <c r="X271" s="81"/>
    </row>
    <row r="272" spans="1:24" ht="12">
      <c r="A272" s="71">
        <f t="shared" si="59"/>
        <v>263</v>
      </c>
      <c r="B272" s="72" t="s">
        <v>592</v>
      </c>
      <c r="C272" s="200" t="s">
        <v>597</v>
      </c>
      <c r="D272" s="72" t="s">
        <v>596</v>
      </c>
      <c r="E272" s="73" t="s">
        <v>57</v>
      </c>
      <c r="F272" s="73"/>
      <c r="G272" s="74"/>
      <c r="H272" s="74"/>
      <c r="I272" s="75" t="s">
        <v>36</v>
      </c>
      <c r="J272" s="76"/>
      <c r="K272" s="76"/>
      <c r="L272" s="76"/>
      <c r="M272" s="76"/>
      <c r="N272" s="76"/>
      <c r="O272" s="76">
        <f t="shared" si="53"/>
        <v>0.2</v>
      </c>
      <c r="P272" s="76"/>
      <c r="Q272" s="76"/>
      <c r="R272" s="76">
        <f t="shared" si="54"/>
        <v>0</v>
      </c>
      <c r="S272" s="77"/>
      <c r="T272" s="76">
        <f t="shared" si="55"/>
        <v>0.1</v>
      </c>
      <c r="U272" s="78">
        <f t="shared" si="60"/>
        <v>0.30000000000000004</v>
      </c>
      <c r="V272" s="79">
        <f t="shared" si="61"/>
        <v>1.5000000000000003E-2</v>
      </c>
      <c r="W272" s="80">
        <f t="shared" si="57"/>
        <v>17000</v>
      </c>
      <c r="X272" s="81"/>
    </row>
    <row r="273" spans="1:24" ht="12">
      <c r="A273" s="71">
        <f t="shared" si="59"/>
        <v>264</v>
      </c>
      <c r="B273" s="72" t="s">
        <v>592</v>
      </c>
      <c r="C273" s="200" t="s">
        <v>597</v>
      </c>
      <c r="D273" s="72" t="s">
        <v>598</v>
      </c>
      <c r="E273" s="73" t="s">
        <v>57</v>
      </c>
      <c r="F273" s="73"/>
      <c r="G273" s="74"/>
      <c r="H273" s="74"/>
      <c r="I273" s="75" t="s">
        <v>36</v>
      </c>
      <c r="J273" s="76"/>
      <c r="K273" s="76"/>
      <c r="L273" s="76"/>
      <c r="M273" s="76"/>
      <c r="N273" s="76"/>
      <c r="O273" s="76">
        <f t="shared" si="53"/>
        <v>0.2</v>
      </c>
      <c r="P273" s="76"/>
      <c r="Q273" s="76"/>
      <c r="R273" s="76">
        <f t="shared" si="54"/>
        <v>0</v>
      </c>
      <c r="S273" s="77"/>
      <c r="T273" s="76">
        <f t="shared" si="55"/>
        <v>0.1</v>
      </c>
      <c r="U273" s="78">
        <f t="shared" si="60"/>
        <v>0.30000000000000004</v>
      </c>
      <c r="V273" s="79">
        <f t="shared" si="61"/>
        <v>1.5000000000000003E-2</v>
      </c>
      <c r="W273" s="80">
        <f t="shared" si="57"/>
        <v>17000</v>
      </c>
      <c r="X273" s="81"/>
    </row>
    <row r="274" spans="1:24" ht="12">
      <c r="A274" s="71">
        <f t="shared" si="59"/>
        <v>265</v>
      </c>
      <c r="B274" s="72" t="s">
        <v>592</v>
      </c>
      <c r="C274" s="200" t="s">
        <v>599</v>
      </c>
      <c r="D274" s="72" t="s">
        <v>596</v>
      </c>
      <c r="E274" s="73" t="s">
        <v>57</v>
      </c>
      <c r="F274" s="73"/>
      <c r="G274" s="74"/>
      <c r="H274" s="74"/>
      <c r="I274" s="75" t="s">
        <v>36</v>
      </c>
      <c r="J274" s="76"/>
      <c r="K274" s="76"/>
      <c r="L274" s="76"/>
      <c r="M274" s="76"/>
      <c r="N274" s="76"/>
      <c r="O274" s="76">
        <f t="shared" si="53"/>
        <v>0.2</v>
      </c>
      <c r="P274" s="76"/>
      <c r="Q274" s="76"/>
      <c r="R274" s="76">
        <f t="shared" si="54"/>
        <v>0</v>
      </c>
      <c r="S274" s="77"/>
      <c r="T274" s="76">
        <f t="shared" si="55"/>
        <v>0.1</v>
      </c>
      <c r="U274" s="78">
        <f t="shared" si="60"/>
        <v>0.30000000000000004</v>
      </c>
      <c r="V274" s="79">
        <f t="shared" si="61"/>
        <v>1.5000000000000003E-2</v>
      </c>
      <c r="W274" s="80">
        <f t="shared" si="57"/>
        <v>17000</v>
      </c>
      <c r="X274" s="81"/>
    </row>
    <row r="275" spans="1:24" ht="12">
      <c r="A275" s="71">
        <f t="shared" si="59"/>
        <v>266</v>
      </c>
      <c r="B275" s="72" t="s">
        <v>592</v>
      </c>
      <c r="C275" s="200" t="s">
        <v>600</v>
      </c>
      <c r="D275" s="72" t="s">
        <v>594</v>
      </c>
      <c r="E275" s="73" t="s">
        <v>57</v>
      </c>
      <c r="F275" s="73"/>
      <c r="G275" s="74"/>
      <c r="H275" s="74"/>
      <c r="I275" s="75" t="s">
        <v>36</v>
      </c>
      <c r="J275" s="76"/>
      <c r="K275" s="76"/>
      <c r="L275" s="76"/>
      <c r="M275" s="76"/>
      <c r="N275" s="76"/>
      <c r="O275" s="76">
        <f t="shared" si="53"/>
        <v>0.2</v>
      </c>
      <c r="P275" s="76"/>
      <c r="Q275" s="76"/>
      <c r="R275" s="76">
        <f t="shared" si="54"/>
        <v>0</v>
      </c>
      <c r="S275" s="77"/>
      <c r="T275" s="76">
        <f t="shared" si="55"/>
        <v>0.1</v>
      </c>
      <c r="U275" s="78">
        <f t="shared" si="60"/>
        <v>0.30000000000000004</v>
      </c>
      <c r="V275" s="79">
        <f t="shared" si="61"/>
        <v>1.5000000000000003E-2</v>
      </c>
      <c r="W275" s="80">
        <f t="shared" si="57"/>
        <v>17000</v>
      </c>
      <c r="X275" s="81"/>
    </row>
    <row r="276" spans="1:24" ht="12">
      <c r="A276" s="71">
        <f t="shared" si="59"/>
        <v>267</v>
      </c>
      <c r="B276" s="72" t="s">
        <v>592</v>
      </c>
      <c r="C276" s="200" t="s">
        <v>600</v>
      </c>
      <c r="D276" s="72" t="s">
        <v>595</v>
      </c>
      <c r="E276" s="73" t="s">
        <v>57</v>
      </c>
      <c r="F276" s="73"/>
      <c r="G276" s="74"/>
      <c r="H276" s="74"/>
      <c r="I276" s="75" t="s">
        <v>36</v>
      </c>
      <c r="J276" s="76"/>
      <c r="K276" s="76"/>
      <c r="L276" s="76"/>
      <c r="M276" s="76"/>
      <c r="N276" s="76"/>
      <c r="O276" s="76">
        <f t="shared" si="53"/>
        <v>0.2</v>
      </c>
      <c r="P276" s="76"/>
      <c r="Q276" s="76"/>
      <c r="R276" s="76">
        <f t="shared" si="54"/>
        <v>0</v>
      </c>
      <c r="S276" s="77"/>
      <c r="T276" s="76">
        <f t="shared" si="55"/>
        <v>0.1</v>
      </c>
      <c r="U276" s="78">
        <f t="shared" ref="U276:U277" si="62">SUM(J276:T276)</f>
        <v>0.30000000000000004</v>
      </c>
      <c r="V276" s="79">
        <f t="shared" ref="V276:V277" si="63">U276/20</f>
        <v>1.5000000000000003E-2</v>
      </c>
      <c r="W276" s="80">
        <f t="shared" si="57"/>
        <v>17000</v>
      </c>
      <c r="X276" s="81"/>
    </row>
    <row r="277" spans="1:24" ht="12">
      <c r="A277" s="71">
        <f t="shared" si="59"/>
        <v>268</v>
      </c>
      <c r="B277" s="72" t="s">
        <v>592</v>
      </c>
      <c r="C277" s="200" t="s">
        <v>600</v>
      </c>
      <c r="D277" s="72" t="s">
        <v>596</v>
      </c>
      <c r="E277" s="73" t="s">
        <v>57</v>
      </c>
      <c r="F277" s="73"/>
      <c r="G277" s="74"/>
      <c r="H277" s="74"/>
      <c r="I277" s="75" t="s">
        <v>36</v>
      </c>
      <c r="J277" s="76"/>
      <c r="K277" s="76"/>
      <c r="L277" s="76"/>
      <c r="M277" s="76"/>
      <c r="N277" s="76"/>
      <c r="O277" s="76">
        <f t="shared" si="53"/>
        <v>0.2</v>
      </c>
      <c r="P277" s="76"/>
      <c r="Q277" s="76"/>
      <c r="R277" s="76">
        <f t="shared" si="54"/>
        <v>0</v>
      </c>
      <c r="S277" s="77"/>
      <c r="T277" s="76">
        <f t="shared" si="55"/>
        <v>0.1</v>
      </c>
      <c r="U277" s="78">
        <f t="shared" si="62"/>
        <v>0.30000000000000004</v>
      </c>
      <c r="V277" s="79">
        <f t="shared" si="63"/>
        <v>1.5000000000000003E-2</v>
      </c>
      <c r="W277" s="80">
        <f t="shared" si="57"/>
        <v>17000</v>
      </c>
      <c r="X277" s="81"/>
    </row>
    <row r="278" spans="1:24" ht="12">
      <c r="A278" s="71">
        <f t="shared" si="59"/>
        <v>269</v>
      </c>
      <c r="B278" s="72" t="s">
        <v>592</v>
      </c>
      <c r="C278" s="200" t="s">
        <v>600</v>
      </c>
      <c r="D278" s="72" t="s">
        <v>598</v>
      </c>
      <c r="E278" s="73" t="s">
        <v>57</v>
      </c>
      <c r="F278" s="73"/>
      <c r="G278" s="74"/>
      <c r="H278" s="74"/>
      <c r="I278" s="75" t="s">
        <v>36</v>
      </c>
      <c r="J278" s="76"/>
      <c r="K278" s="76"/>
      <c r="L278" s="76"/>
      <c r="M278" s="76"/>
      <c r="N278" s="76"/>
      <c r="O278" s="76">
        <f t="shared" si="53"/>
        <v>0.2</v>
      </c>
      <c r="P278" s="76"/>
      <c r="Q278" s="76"/>
      <c r="R278" s="76">
        <f t="shared" si="54"/>
        <v>0</v>
      </c>
      <c r="S278" s="77"/>
      <c r="T278" s="76">
        <f t="shared" si="55"/>
        <v>0.1</v>
      </c>
      <c r="U278" s="78">
        <f t="shared" si="60"/>
        <v>0.30000000000000004</v>
      </c>
      <c r="V278" s="79">
        <f t="shared" si="61"/>
        <v>1.5000000000000003E-2</v>
      </c>
      <c r="W278" s="80">
        <f t="shared" si="57"/>
        <v>17000</v>
      </c>
      <c r="X278" s="81"/>
    </row>
    <row r="279" spans="1:24" ht="12">
      <c r="A279" s="71">
        <f t="shared" si="59"/>
        <v>270</v>
      </c>
      <c r="B279" s="72" t="s">
        <v>592</v>
      </c>
      <c r="C279" s="200" t="s">
        <v>601</v>
      </c>
      <c r="D279" s="72" t="s">
        <v>595</v>
      </c>
      <c r="E279" s="73" t="s">
        <v>57</v>
      </c>
      <c r="F279" s="73"/>
      <c r="G279" s="74"/>
      <c r="H279" s="74"/>
      <c r="I279" s="75" t="s">
        <v>36</v>
      </c>
      <c r="J279" s="76"/>
      <c r="K279" s="76"/>
      <c r="L279" s="76"/>
      <c r="M279" s="76"/>
      <c r="N279" s="76"/>
      <c r="O279" s="76">
        <f t="shared" si="53"/>
        <v>0.2</v>
      </c>
      <c r="P279" s="76"/>
      <c r="Q279" s="76"/>
      <c r="R279" s="76">
        <f t="shared" si="54"/>
        <v>0</v>
      </c>
      <c r="S279" s="77"/>
      <c r="T279" s="76">
        <f t="shared" si="55"/>
        <v>0.1</v>
      </c>
      <c r="U279" s="78">
        <f t="shared" si="60"/>
        <v>0.30000000000000004</v>
      </c>
      <c r="V279" s="79">
        <f t="shared" si="61"/>
        <v>1.5000000000000003E-2</v>
      </c>
      <c r="W279" s="80">
        <f t="shared" si="57"/>
        <v>17000</v>
      </c>
      <c r="X279" s="81"/>
    </row>
    <row r="280" spans="1:24" ht="12">
      <c r="A280" s="71">
        <f t="shared" si="59"/>
        <v>271</v>
      </c>
      <c r="B280" s="72" t="s">
        <v>592</v>
      </c>
      <c r="C280" s="200" t="s">
        <v>602</v>
      </c>
      <c r="D280" s="72" t="s">
        <v>594</v>
      </c>
      <c r="E280" s="73" t="s">
        <v>57</v>
      </c>
      <c r="F280" s="73"/>
      <c r="G280" s="74"/>
      <c r="H280" s="74"/>
      <c r="I280" s="75" t="s">
        <v>36</v>
      </c>
      <c r="J280" s="76"/>
      <c r="K280" s="76"/>
      <c r="L280" s="76"/>
      <c r="M280" s="76"/>
      <c r="N280" s="76"/>
      <c r="O280" s="76">
        <f t="shared" si="53"/>
        <v>0.2</v>
      </c>
      <c r="P280" s="76"/>
      <c r="Q280" s="76"/>
      <c r="R280" s="76">
        <f t="shared" si="54"/>
        <v>0</v>
      </c>
      <c r="S280" s="77"/>
      <c r="T280" s="76">
        <f t="shared" si="55"/>
        <v>0.1</v>
      </c>
      <c r="U280" s="78">
        <f t="shared" si="60"/>
        <v>0.30000000000000004</v>
      </c>
      <c r="V280" s="79">
        <f t="shared" si="61"/>
        <v>1.5000000000000003E-2</v>
      </c>
      <c r="W280" s="80">
        <f t="shared" si="57"/>
        <v>17000</v>
      </c>
      <c r="X280" s="81"/>
    </row>
    <row r="281" spans="1:24" ht="12">
      <c r="A281" s="71">
        <f t="shared" si="59"/>
        <v>272</v>
      </c>
      <c r="B281" s="72" t="s">
        <v>592</v>
      </c>
      <c r="C281" s="201" t="s">
        <v>602</v>
      </c>
      <c r="D281" s="83" t="s">
        <v>595</v>
      </c>
      <c r="E281" s="73" t="s">
        <v>57</v>
      </c>
      <c r="F281" s="73"/>
      <c r="G281" s="74"/>
      <c r="H281" s="74"/>
      <c r="I281" s="75" t="s">
        <v>36</v>
      </c>
      <c r="J281" s="76"/>
      <c r="K281" s="76"/>
      <c r="L281" s="76"/>
      <c r="M281" s="76"/>
      <c r="N281" s="76"/>
      <c r="O281" s="76">
        <f t="shared" si="53"/>
        <v>0.2</v>
      </c>
      <c r="P281" s="76"/>
      <c r="Q281" s="76"/>
      <c r="R281" s="76">
        <f t="shared" si="54"/>
        <v>0</v>
      </c>
      <c r="S281" s="77"/>
      <c r="T281" s="76">
        <f t="shared" si="55"/>
        <v>0.1</v>
      </c>
      <c r="U281" s="78">
        <f t="shared" si="60"/>
        <v>0.30000000000000004</v>
      </c>
      <c r="V281" s="79">
        <f t="shared" si="61"/>
        <v>1.5000000000000003E-2</v>
      </c>
      <c r="W281" s="80">
        <f t="shared" si="57"/>
        <v>17000</v>
      </c>
      <c r="X281" s="81"/>
    </row>
    <row r="282" spans="1:24" ht="12">
      <c r="A282" s="71">
        <f t="shared" si="59"/>
        <v>273</v>
      </c>
      <c r="B282" s="83" t="s">
        <v>592</v>
      </c>
      <c r="C282" s="201" t="s">
        <v>602</v>
      </c>
      <c r="D282" s="83" t="s">
        <v>596</v>
      </c>
      <c r="E282" s="89" t="s">
        <v>57</v>
      </c>
      <c r="F282" s="89"/>
      <c r="G282" s="90"/>
      <c r="H282" s="90"/>
      <c r="I282" s="56" t="s">
        <v>36</v>
      </c>
      <c r="J282" s="84"/>
      <c r="K282" s="84"/>
      <c r="L282" s="84"/>
      <c r="M282" s="84"/>
      <c r="N282" s="84"/>
      <c r="O282" s="84">
        <f t="shared" si="53"/>
        <v>0.2</v>
      </c>
      <c r="P282" s="84"/>
      <c r="Q282" s="84"/>
      <c r="R282" s="84">
        <f t="shared" si="54"/>
        <v>0</v>
      </c>
      <c r="S282" s="85"/>
      <c r="T282" s="84">
        <f t="shared" si="55"/>
        <v>0.1</v>
      </c>
      <c r="U282" s="86">
        <f t="shared" si="60"/>
        <v>0.30000000000000004</v>
      </c>
      <c r="V282" s="87">
        <f t="shared" si="61"/>
        <v>1.5000000000000003E-2</v>
      </c>
      <c r="W282" s="88">
        <f t="shared" si="57"/>
        <v>17000</v>
      </c>
      <c r="X282" s="81"/>
    </row>
    <row r="283" spans="1:24" ht="12">
      <c r="A283" s="71">
        <f t="shared" si="59"/>
        <v>274</v>
      </c>
      <c r="B283" s="83" t="s">
        <v>592</v>
      </c>
      <c r="C283" s="201" t="s">
        <v>602</v>
      </c>
      <c r="D283" s="83" t="s">
        <v>598</v>
      </c>
      <c r="E283" s="73" t="s">
        <v>57</v>
      </c>
      <c r="F283" s="73"/>
      <c r="G283" s="90"/>
      <c r="H283" s="90"/>
      <c r="I283" s="75" t="s">
        <v>36</v>
      </c>
      <c r="J283" s="84"/>
      <c r="K283" s="84"/>
      <c r="L283" s="84"/>
      <c r="M283" s="84"/>
      <c r="N283" s="84"/>
      <c r="O283" s="84">
        <f t="shared" si="53"/>
        <v>0.2</v>
      </c>
      <c r="P283" s="84"/>
      <c r="Q283" s="84"/>
      <c r="R283" s="84">
        <f t="shared" si="54"/>
        <v>0</v>
      </c>
      <c r="S283" s="85"/>
      <c r="T283" s="84">
        <f t="shared" si="55"/>
        <v>0.1</v>
      </c>
      <c r="U283" s="86">
        <f t="shared" si="60"/>
        <v>0.30000000000000004</v>
      </c>
      <c r="V283" s="87">
        <f t="shared" si="61"/>
        <v>1.5000000000000003E-2</v>
      </c>
      <c r="W283" s="88">
        <f t="shared" si="57"/>
        <v>17000</v>
      </c>
      <c r="X283" s="81"/>
    </row>
    <row r="284" spans="1:24" ht="12">
      <c r="A284" s="71">
        <f t="shared" si="59"/>
        <v>275</v>
      </c>
      <c r="B284" s="83" t="s">
        <v>592</v>
      </c>
      <c r="C284" s="201" t="s">
        <v>603</v>
      </c>
      <c r="D284" s="83" t="s">
        <v>594</v>
      </c>
      <c r="E284" s="73" t="s">
        <v>57</v>
      </c>
      <c r="F284" s="73"/>
      <c r="G284" s="90"/>
      <c r="H284" s="90"/>
      <c r="I284" s="75" t="s">
        <v>36</v>
      </c>
      <c r="J284" s="84"/>
      <c r="K284" s="84"/>
      <c r="L284" s="84"/>
      <c r="M284" s="84"/>
      <c r="N284" s="84"/>
      <c r="O284" s="84">
        <f t="shared" si="53"/>
        <v>0.2</v>
      </c>
      <c r="P284" s="84"/>
      <c r="Q284" s="84"/>
      <c r="R284" s="84">
        <f t="shared" si="54"/>
        <v>0</v>
      </c>
      <c r="S284" s="85"/>
      <c r="T284" s="84">
        <f t="shared" si="55"/>
        <v>0.1</v>
      </c>
      <c r="U284" s="86">
        <f t="shared" si="60"/>
        <v>0.30000000000000004</v>
      </c>
      <c r="V284" s="87">
        <f t="shared" si="61"/>
        <v>1.5000000000000003E-2</v>
      </c>
      <c r="W284" s="88">
        <f t="shared" si="57"/>
        <v>17000</v>
      </c>
      <c r="X284" s="81"/>
    </row>
    <row r="285" spans="1:24" ht="12">
      <c r="A285" s="71">
        <f t="shared" si="59"/>
        <v>276</v>
      </c>
      <c r="B285" s="83" t="s">
        <v>592</v>
      </c>
      <c r="C285" s="201" t="s">
        <v>603</v>
      </c>
      <c r="D285" s="83" t="s">
        <v>595</v>
      </c>
      <c r="E285" s="73" t="s">
        <v>57</v>
      </c>
      <c r="F285" s="73"/>
      <c r="G285" s="90"/>
      <c r="H285" s="90"/>
      <c r="I285" s="75" t="s">
        <v>36</v>
      </c>
      <c r="J285" s="84"/>
      <c r="K285" s="84"/>
      <c r="L285" s="84"/>
      <c r="M285" s="84"/>
      <c r="N285" s="84"/>
      <c r="O285" s="84">
        <f t="shared" si="53"/>
        <v>0.2</v>
      </c>
      <c r="P285" s="84"/>
      <c r="Q285" s="84"/>
      <c r="R285" s="84">
        <f t="shared" si="54"/>
        <v>0</v>
      </c>
      <c r="S285" s="85"/>
      <c r="T285" s="84">
        <f t="shared" si="55"/>
        <v>0.1</v>
      </c>
      <c r="U285" s="86">
        <f t="shared" si="60"/>
        <v>0.30000000000000004</v>
      </c>
      <c r="V285" s="87">
        <f t="shared" si="61"/>
        <v>1.5000000000000003E-2</v>
      </c>
      <c r="W285" s="88">
        <f t="shared" si="57"/>
        <v>17000</v>
      </c>
      <c r="X285" s="81"/>
    </row>
    <row r="286" spans="1:24" ht="12">
      <c r="A286" s="71">
        <f t="shared" si="59"/>
        <v>277</v>
      </c>
      <c r="B286" s="83" t="s">
        <v>592</v>
      </c>
      <c r="C286" s="201" t="s">
        <v>603</v>
      </c>
      <c r="D286" s="83" t="s">
        <v>596</v>
      </c>
      <c r="E286" s="73" t="s">
        <v>57</v>
      </c>
      <c r="F286" s="73"/>
      <c r="G286" s="90"/>
      <c r="H286" s="90"/>
      <c r="I286" s="75" t="s">
        <v>36</v>
      </c>
      <c r="J286" s="84"/>
      <c r="K286" s="84"/>
      <c r="L286" s="84"/>
      <c r="M286" s="84"/>
      <c r="N286" s="84"/>
      <c r="O286" s="84">
        <f t="shared" si="53"/>
        <v>0.2</v>
      </c>
      <c r="P286" s="84"/>
      <c r="Q286" s="84"/>
      <c r="R286" s="84">
        <f t="shared" si="54"/>
        <v>0</v>
      </c>
      <c r="S286" s="85"/>
      <c r="T286" s="84">
        <f t="shared" si="55"/>
        <v>0.1</v>
      </c>
      <c r="U286" s="86">
        <f t="shared" si="60"/>
        <v>0.30000000000000004</v>
      </c>
      <c r="V286" s="87">
        <f t="shared" si="61"/>
        <v>1.5000000000000003E-2</v>
      </c>
      <c r="W286" s="88">
        <f t="shared" si="57"/>
        <v>17000</v>
      </c>
      <c r="X286" s="81"/>
    </row>
    <row r="287" spans="1:24" ht="12">
      <c r="A287" s="71">
        <f t="shared" si="59"/>
        <v>278</v>
      </c>
      <c r="B287" s="83" t="s">
        <v>592</v>
      </c>
      <c r="C287" s="201" t="s">
        <v>603</v>
      </c>
      <c r="D287" s="83" t="s">
        <v>598</v>
      </c>
      <c r="E287" s="89" t="s">
        <v>57</v>
      </c>
      <c r="F287" s="73"/>
      <c r="G287" s="90"/>
      <c r="H287" s="90"/>
      <c r="I287" s="56" t="s">
        <v>36</v>
      </c>
      <c r="J287" s="84"/>
      <c r="K287" s="84"/>
      <c r="L287" s="84"/>
      <c r="M287" s="84"/>
      <c r="N287" s="84"/>
      <c r="O287" s="84">
        <f t="shared" si="53"/>
        <v>0.2</v>
      </c>
      <c r="P287" s="84"/>
      <c r="Q287" s="84"/>
      <c r="R287" s="84">
        <f t="shared" ref="R287:R306" si="64">ROUNDUP(IF($E287="画面",画面係数,IF($E287="帳票",帳票係数,IF($E287="バッチ",バッチ係数,0))) *
 IF($I287="特高",特高係数,IF($I287="高",高係数,IF($I287="中",中係数,IF($I287="低",低係数,IF($I287="特低",特低係数,0)))))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287" s="85"/>
      <c r="T287" s="84">
        <f t="shared" si="55"/>
        <v>0.1</v>
      </c>
      <c r="U287" s="86">
        <f t="shared" ref="U287:U295" si="65">SUM(J287:T287)</f>
        <v>0.30000000000000004</v>
      </c>
      <c r="V287" s="87">
        <f t="shared" ref="V287:V295" si="66">U287/20</f>
        <v>1.5000000000000003E-2</v>
      </c>
      <c r="W287" s="88">
        <f t="shared" si="57"/>
        <v>17000</v>
      </c>
      <c r="X287" s="81"/>
    </row>
    <row r="288" spans="1:24" ht="12">
      <c r="A288" s="71">
        <f t="shared" si="59"/>
        <v>279</v>
      </c>
      <c r="B288" s="83" t="s">
        <v>592</v>
      </c>
      <c r="C288" s="201" t="s">
        <v>604</v>
      </c>
      <c r="D288" s="83" t="s">
        <v>594</v>
      </c>
      <c r="E288" s="73" t="s">
        <v>57</v>
      </c>
      <c r="F288" s="73"/>
      <c r="G288" s="90"/>
      <c r="H288" s="90"/>
      <c r="I288" s="75" t="s">
        <v>36</v>
      </c>
      <c r="J288" s="84"/>
      <c r="K288" s="84"/>
      <c r="L288" s="84"/>
      <c r="M288" s="84"/>
      <c r="N288" s="84"/>
      <c r="O288" s="84">
        <f t="shared" si="53"/>
        <v>0.2</v>
      </c>
      <c r="P288" s="84"/>
      <c r="Q288" s="84"/>
      <c r="R288" s="84">
        <f t="shared" si="64"/>
        <v>0</v>
      </c>
      <c r="S288" s="85"/>
      <c r="T288" s="84">
        <f t="shared" si="55"/>
        <v>0.1</v>
      </c>
      <c r="U288" s="86">
        <f t="shared" si="65"/>
        <v>0.30000000000000004</v>
      </c>
      <c r="V288" s="87">
        <f t="shared" si="66"/>
        <v>1.5000000000000003E-2</v>
      </c>
      <c r="W288" s="88">
        <f t="shared" si="57"/>
        <v>17000</v>
      </c>
      <c r="X288" s="81"/>
    </row>
    <row r="289" spans="1:24" ht="12">
      <c r="A289" s="71">
        <f t="shared" si="59"/>
        <v>280</v>
      </c>
      <c r="B289" s="83" t="s">
        <v>592</v>
      </c>
      <c r="C289" s="201" t="s">
        <v>604</v>
      </c>
      <c r="D289" s="83" t="s">
        <v>595</v>
      </c>
      <c r="E289" s="73" t="s">
        <v>57</v>
      </c>
      <c r="F289" s="73"/>
      <c r="G289" s="90"/>
      <c r="H289" s="90"/>
      <c r="I289" s="75" t="s">
        <v>36</v>
      </c>
      <c r="J289" s="84"/>
      <c r="K289" s="84"/>
      <c r="L289" s="84"/>
      <c r="M289" s="84"/>
      <c r="N289" s="84"/>
      <c r="O289" s="84">
        <f t="shared" si="53"/>
        <v>0.2</v>
      </c>
      <c r="P289" s="84"/>
      <c r="Q289" s="84"/>
      <c r="R289" s="84">
        <f t="shared" si="64"/>
        <v>0</v>
      </c>
      <c r="S289" s="85"/>
      <c r="T289" s="84">
        <f t="shared" si="55"/>
        <v>0.1</v>
      </c>
      <c r="U289" s="86">
        <f t="shared" si="65"/>
        <v>0.30000000000000004</v>
      </c>
      <c r="V289" s="87">
        <f t="shared" si="66"/>
        <v>1.5000000000000003E-2</v>
      </c>
      <c r="W289" s="88">
        <f t="shared" si="57"/>
        <v>17000</v>
      </c>
      <c r="X289" s="81"/>
    </row>
    <row r="290" spans="1:24" ht="12">
      <c r="A290" s="71">
        <f t="shared" si="59"/>
        <v>281</v>
      </c>
      <c r="B290" s="83" t="s">
        <v>592</v>
      </c>
      <c r="C290" s="201" t="s">
        <v>604</v>
      </c>
      <c r="D290" s="83" t="s">
        <v>596</v>
      </c>
      <c r="E290" s="73" t="s">
        <v>57</v>
      </c>
      <c r="F290" s="73"/>
      <c r="G290" s="90"/>
      <c r="H290" s="90"/>
      <c r="I290" s="75" t="s">
        <v>36</v>
      </c>
      <c r="J290" s="84"/>
      <c r="K290" s="84"/>
      <c r="L290" s="84"/>
      <c r="M290" s="84"/>
      <c r="N290" s="84"/>
      <c r="O290" s="84">
        <f t="shared" si="53"/>
        <v>0.2</v>
      </c>
      <c r="P290" s="84"/>
      <c r="Q290" s="84"/>
      <c r="R290" s="84">
        <f t="shared" si="64"/>
        <v>0</v>
      </c>
      <c r="S290" s="85"/>
      <c r="T290" s="84">
        <f t="shared" si="55"/>
        <v>0.1</v>
      </c>
      <c r="U290" s="86">
        <f t="shared" si="65"/>
        <v>0.30000000000000004</v>
      </c>
      <c r="V290" s="87">
        <f t="shared" si="66"/>
        <v>1.5000000000000003E-2</v>
      </c>
      <c r="W290" s="88">
        <f t="shared" si="57"/>
        <v>17000</v>
      </c>
      <c r="X290" s="81"/>
    </row>
    <row r="291" spans="1:24" ht="12">
      <c r="A291" s="71">
        <f t="shared" si="59"/>
        <v>282</v>
      </c>
      <c r="B291" s="83" t="s">
        <v>592</v>
      </c>
      <c r="C291" s="201" t="s">
        <v>604</v>
      </c>
      <c r="D291" s="83" t="s">
        <v>598</v>
      </c>
      <c r="E291" s="89" t="s">
        <v>57</v>
      </c>
      <c r="F291" s="73"/>
      <c r="G291" s="90"/>
      <c r="H291" s="90"/>
      <c r="I291" s="56" t="s">
        <v>36</v>
      </c>
      <c r="J291" s="84"/>
      <c r="K291" s="84"/>
      <c r="L291" s="84"/>
      <c r="M291" s="84"/>
      <c r="N291" s="84"/>
      <c r="O291" s="84">
        <f t="shared" si="53"/>
        <v>0.2</v>
      </c>
      <c r="P291" s="84"/>
      <c r="Q291" s="84"/>
      <c r="R291" s="84">
        <f t="shared" si="64"/>
        <v>0</v>
      </c>
      <c r="S291" s="85"/>
      <c r="T291" s="84">
        <f t="shared" si="55"/>
        <v>0.1</v>
      </c>
      <c r="U291" s="86">
        <f t="shared" si="65"/>
        <v>0.30000000000000004</v>
      </c>
      <c r="V291" s="87">
        <f t="shared" si="66"/>
        <v>1.5000000000000003E-2</v>
      </c>
      <c r="W291" s="88">
        <f t="shared" si="57"/>
        <v>17000</v>
      </c>
      <c r="X291" s="81"/>
    </row>
    <row r="292" spans="1:24" ht="12">
      <c r="A292" s="71">
        <f t="shared" si="59"/>
        <v>283</v>
      </c>
      <c r="B292" s="83" t="s">
        <v>592</v>
      </c>
      <c r="C292" s="201" t="s">
        <v>605</v>
      </c>
      <c r="D292" s="83" t="s">
        <v>594</v>
      </c>
      <c r="E292" s="73" t="s">
        <v>57</v>
      </c>
      <c r="F292" s="73"/>
      <c r="G292" s="90"/>
      <c r="H292" s="90"/>
      <c r="I292" s="75" t="s">
        <v>36</v>
      </c>
      <c r="J292" s="84"/>
      <c r="K292" s="84"/>
      <c r="L292" s="84"/>
      <c r="M292" s="84"/>
      <c r="N292" s="84"/>
      <c r="O292" s="84">
        <f t="shared" si="53"/>
        <v>0.2</v>
      </c>
      <c r="P292" s="84"/>
      <c r="Q292" s="84"/>
      <c r="R292" s="84">
        <f t="shared" si="64"/>
        <v>0</v>
      </c>
      <c r="S292" s="85"/>
      <c r="T292" s="84">
        <f t="shared" si="55"/>
        <v>0.1</v>
      </c>
      <c r="U292" s="86">
        <f t="shared" si="65"/>
        <v>0.30000000000000004</v>
      </c>
      <c r="V292" s="87">
        <f t="shared" si="66"/>
        <v>1.5000000000000003E-2</v>
      </c>
      <c r="W292" s="88">
        <f t="shared" si="57"/>
        <v>17000</v>
      </c>
      <c r="X292" s="81"/>
    </row>
    <row r="293" spans="1:24" ht="12">
      <c r="A293" s="71">
        <f t="shared" si="59"/>
        <v>284</v>
      </c>
      <c r="B293" s="83" t="s">
        <v>592</v>
      </c>
      <c r="C293" s="201" t="s">
        <v>605</v>
      </c>
      <c r="D293" s="83" t="s">
        <v>595</v>
      </c>
      <c r="E293" s="89" t="s">
        <v>57</v>
      </c>
      <c r="F293" s="89"/>
      <c r="G293" s="90"/>
      <c r="H293" s="90"/>
      <c r="I293" s="56" t="s">
        <v>36</v>
      </c>
      <c r="J293" s="84"/>
      <c r="K293" s="84"/>
      <c r="L293" s="84"/>
      <c r="M293" s="84"/>
      <c r="N293" s="84"/>
      <c r="O293" s="84">
        <f t="shared" si="53"/>
        <v>0.2</v>
      </c>
      <c r="P293" s="84"/>
      <c r="Q293" s="84"/>
      <c r="R293" s="84">
        <f t="shared" si="64"/>
        <v>0</v>
      </c>
      <c r="S293" s="85"/>
      <c r="T293" s="84">
        <f t="shared" si="55"/>
        <v>0.1</v>
      </c>
      <c r="U293" s="86">
        <f t="shared" si="65"/>
        <v>0.30000000000000004</v>
      </c>
      <c r="V293" s="87">
        <f t="shared" si="66"/>
        <v>1.5000000000000003E-2</v>
      </c>
      <c r="W293" s="88">
        <f t="shared" si="57"/>
        <v>17000</v>
      </c>
      <c r="X293" s="81"/>
    </row>
    <row r="294" spans="1:24" ht="12">
      <c r="A294" s="71">
        <f t="shared" si="59"/>
        <v>285</v>
      </c>
      <c r="B294" s="83" t="s">
        <v>592</v>
      </c>
      <c r="C294" s="201" t="s">
        <v>605</v>
      </c>
      <c r="D294" s="83" t="s">
        <v>596</v>
      </c>
      <c r="E294" s="73" t="s">
        <v>57</v>
      </c>
      <c r="F294" s="73"/>
      <c r="G294" s="90"/>
      <c r="H294" s="90"/>
      <c r="I294" s="75" t="s">
        <v>36</v>
      </c>
      <c r="J294" s="84"/>
      <c r="K294" s="84"/>
      <c r="L294" s="84"/>
      <c r="M294" s="84"/>
      <c r="N294" s="84"/>
      <c r="O294" s="84">
        <f t="shared" si="53"/>
        <v>0.2</v>
      </c>
      <c r="P294" s="84"/>
      <c r="Q294" s="84"/>
      <c r="R294" s="84">
        <f t="shared" si="64"/>
        <v>0</v>
      </c>
      <c r="S294" s="85"/>
      <c r="T294" s="84">
        <f t="shared" si="55"/>
        <v>0.1</v>
      </c>
      <c r="U294" s="86">
        <f t="shared" si="65"/>
        <v>0.30000000000000004</v>
      </c>
      <c r="V294" s="87">
        <f t="shared" si="66"/>
        <v>1.5000000000000003E-2</v>
      </c>
      <c r="W294" s="88">
        <f t="shared" si="57"/>
        <v>17000</v>
      </c>
      <c r="X294" s="81"/>
    </row>
    <row r="295" spans="1:24" ht="12">
      <c r="A295" s="71">
        <f t="shared" si="59"/>
        <v>286</v>
      </c>
      <c r="B295" s="83" t="s">
        <v>592</v>
      </c>
      <c r="C295" s="201" t="s">
        <v>605</v>
      </c>
      <c r="D295" s="83" t="s">
        <v>598</v>
      </c>
      <c r="E295" s="73" t="s">
        <v>57</v>
      </c>
      <c r="F295" s="73"/>
      <c r="G295" s="90"/>
      <c r="H295" s="90"/>
      <c r="I295" s="75" t="s">
        <v>36</v>
      </c>
      <c r="J295" s="84"/>
      <c r="K295" s="84"/>
      <c r="L295" s="84"/>
      <c r="M295" s="84"/>
      <c r="N295" s="84"/>
      <c r="O295" s="84">
        <f t="shared" si="53"/>
        <v>0.2</v>
      </c>
      <c r="P295" s="84"/>
      <c r="Q295" s="84"/>
      <c r="R295" s="84">
        <f t="shared" si="64"/>
        <v>0</v>
      </c>
      <c r="S295" s="85"/>
      <c r="T295" s="84">
        <f t="shared" si="55"/>
        <v>0.1</v>
      </c>
      <c r="U295" s="86">
        <f t="shared" si="65"/>
        <v>0.30000000000000004</v>
      </c>
      <c r="V295" s="87">
        <f t="shared" si="66"/>
        <v>1.5000000000000003E-2</v>
      </c>
      <c r="W295" s="88">
        <f t="shared" si="57"/>
        <v>17000</v>
      </c>
      <c r="X295" s="81"/>
    </row>
    <row r="296" spans="1:24" ht="12">
      <c r="A296" s="71">
        <f t="shared" si="59"/>
        <v>287</v>
      </c>
      <c r="B296" s="83" t="s">
        <v>592</v>
      </c>
      <c r="C296" s="201" t="s">
        <v>606</v>
      </c>
      <c r="D296" s="83" t="s">
        <v>594</v>
      </c>
      <c r="E296" s="73" t="s">
        <v>57</v>
      </c>
      <c r="F296" s="73"/>
      <c r="G296" s="90"/>
      <c r="H296" s="90"/>
      <c r="I296" s="75" t="s">
        <v>36</v>
      </c>
      <c r="J296" s="84"/>
      <c r="K296" s="84"/>
      <c r="L296" s="84"/>
      <c r="M296" s="84"/>
      <c r="N296" s="84"/>
      <c r="O296" s="84">
        <f t="shared" si="53"/>
        <v>0.2</v>
      </c>
      <c r="P296" s="84"/>
      <c r="Q296" s="84"/>
      <c r="R296" s="84">
        <f t="shared" si="64"/>
        <v>0</v>
      </c>
      <c r="S296" s="85"/>
      <c r="T296" s="84">
        <f t="shared" si="55"/>
        <v>0.1</v>
      </c>
      <c r="U296" s="86">
        <f t="shared" ref="U296:U303" si="67">SUM(J296:T296)</f>
        <v>0.30000000000000004</v>
      </c>
      <c r="V296" s="87">
        <f t="shared" ref="V296:V303" si="68">U296/20</f>
        <v>1.5000000000000003E-2</v>
      </c>
      <c r="W296" s="88">
        <f t="shared" si="57"/>
        <v>17000</v>
      </c>
      <c r="X296" s="81"/>
    </row>
    <row r="297" spans="1:24" ht="12">
      <c r="A297" s="71">
        <f t="shared" si="59"/>
        <v>288</v>
      </c>
      <c r="B297" s="83" t="s">
        <v>592</v>
      </c>
      <c r="C297" s="201" t="s">
        <v>606</v>
      </c>
      <c r="D297" s="83" t="s">
        <v>595</v>
      </c>
      <c r="E297" s="89" t="s">
        <v>57</v>
      </c>
      <c r="F297" s="73"/>
      <c r="G297" s="90"/>
      <c r="H297" s="90"/>
      <c r="I297" s="56" t="s">
        <v>36</v>
      </c>
      <c r="J297" s="84"/>
      <c r="K297" s="84"/>
      <c r="L297" s="84"/>
      <c r="M297" s="84"/>
      <c r="N297" s="84"/>
      <c r="O297" s="84">
        <f t="shared" si="53"/>
        <v>0.2</v>
      </c>
      <c r="P297" s="84"/>
      <c r="Q297" s="84"/>
      <c r="R297" s="84">
        <f t="shared" si="64"/>
        <v>0</v>
      </c>
      <c r="S297" s="85"/>
      <c r="T297" s="84">
        <f t="shared" si="55"/>
        <v>0.1</v>
      </c>
      <c r="U297" s="86">
        <f t="shared" si="67"/>
        <v>0.30000000000000004</v>
      </c>
      <c r="V297" s="87">
        <f t="shared" si="68"/>
        <v>1.5000000000000003E-2</v>
      </c>
      <c r="W297" s="88">
        <f t="shared" si="57"/>
        <v>17000</v>
      </c>
      <c r="X297" s="81"/>
    </row>
    <row r="298" spans="1:24" ht="12">
      <c r="A298" s="71">
        <f t="shared" si="59"/>
        <v>289</v>
      </c>
      <c r="B298" s="83" t="s">
        <v>592</v>
      </c>
      <c r="C298" s="201" t="s">
        <v>606</v>
      </c>
      <c r="D298" s="83" t="s">
        <v>596</v>
      </c>
      <c r="E298" s="73" t="s">
        <v>57</v>
      </c>
      <c r="F298" s="73"/>
      <c r="G298" s="90"/>
      <c r="H298" s="90"/>
      <c r="I298" s="75" t="s">
        <v>36</v>
      </c>
      <c r="J298" s="84"/>
      <c r="K298" s="84"/>
      <c r="L298" s="84"/>
      <c r="M298" s="84"/>
      <c r="N298" s="84"/>
      <c r="O298" s="84">
        <f t="shared" si="53"/>
        <v>0.2</v>
      </c>
      <c r="P298" s="84"/>
      <c r="Q298" s="84"/>
      <c r="R298" s="84">
        <f t="shared" si="64"/>
        <v>0</v>
      </c>
      <c r="S298" s="85"/>
      <c r="T298" s="84">
        <f t="shared" si="55"/>
        <v>0.1</v>
      </c>
      <c r="U298" s="86">
        <f t="shared" si="67"/>
        <v>0.30000000000000004</v>
      </c>
      <c r="V298" s="87">
        <f t="shared" si="68"/>
        <v>1.5000000000000003E-2</v>
      </c>
      <c r="W298" s="88">
        <f t="shared" si="57"/>
        <v>17000</v>
      </c>
      <c r="X298" s="81"/>
    </row>
    <row r="299" spans="1:24" ht="12">
      <c r="A299" s="71">
        <f t="shared" si="59"/>
        <v>290</v>
      </c>
      <c r="B299" s="83" t="s">
        <v>592</v>
      </c>
      <c r="C299" s="201" t="s">
        <v>606</v>
      </c>
      <c r="D299" s="83" t="s">
        <v>598</v>
      </c>
      <c r="E299" s="89" t="s">
        <v>57</v>
      </c>
      <c r="F299" s="73"/>
      <c r="G299" s="90"/>
      <c r="H299" s="90"/>
      <c r="I299" s="56" t="s">
        <v>36</v>
      </c>
      <c r="J299" s="84"/>
      <c r="K299" s="84"/>
      <c r="L299" s="84"/>
      <c r="M299" s="84"/>
      <c r="N299" s="84"/>
      <c r="O299" s="84">
        <f t="shared" ref="O299:O330" si="69">ROUNDUP(IF($E299="画面",画面係数,IF($E299="帳票",帳票係数,IF($E299="バッチ",バッチ係数,0))) *
 IF($I299="特高",特高係数,IF($I299="高",高係数,IF($I299="中",中係数,IF($I299="低",低係数,IF($I299="特低",特低係数,0))))) *
 IF(O$7="SA",要件定義係数,IF(O$7="UI",基本設計係数,IF(O$7="SS",詳細設計係数,IF(O$7="PS/PG/PT",製作係数,IF(O$7="IT",結合テスト係数,IF(O$7="ST",総合テスト係数,IF(O$7="OT",受入支援係数,IF(O$7="RL",移行切替係数,IF(O$7="その他",その他係数,0))))))))) *
 O$8,1)</f>
        <v>0.2</v>
      </c>
      <c r="P299" s="84"/>
      <c r="Q299" s="84"/>
      <c r="R299" s="84">
        <f t="shared" si="64"/>
        <v>0</v>
      </c>
      <c r="S299" s="85"/>
      <c r="T299" s="84">
        <f t="shared" ref="T299:T330" si="70">ROUNDUP(SUM(J299:S299)*T$8,1)</f>
        <v>0.1</v>
      </c>
      <c r="U299" s="86">
        <f t="shared" si="67"/>
        <v>0.30000000000000004</v>
      </c>
      <c r="V299" s="87">
        <f t="shared" si="68"/>
        <v>1.5000000000000003E-2</v>
      </c>
      <c r="W299" s="88">
        <f t="shared" ref="W299:W330" si="71">((J299*J$9) + (K299*K$9) + (L299*L$9) + (M299*M$9) + (N299*N$9) + (O299*O$9) + (P299*P$9) + (Q299*Q$9) + (R299*R$9) + (S299*S$9) + (T299*T$9))/20</f>
        <v>17000</v>
      </c>
      <c r="X299" s="81"/>
    </row>
    <row r="300" spans="1:24" ht="12">
      <c r="A300" s="71">
        <f t="shared" si="59"/>
        <v>291</v>
      </c>
      <c r="B300" s="83" t="s">
        <v>592</v>
      </c>
      <c r="C300" s="201" t="s">
        <v>607</v>
      </c>
      <c r="D300" s="83" t="s">
        <v>594</v>
      </c>
      <c r="E300" s="73" t="s">
        <v>57</v>
      </c>
      <c r="F300" s="73"/>
      <c r="G300" s="90"/>
      <c r="H300" s="90"/>
      <c r="I300" s="75" t="s">
        <v>36</v>
      </c>
      <c r="J300" s="84"/>
      <c r="K300" s="84"/>
      <c r="L300" s="84"/>
      <c r="M300" s="84"/>
      <c r="N300" s="84"/>
      <c r="O300" s="84">
        <f t="shared" si="69"/>
        <v>0.2</v>
      </c>
      <c r="P300" s="84"/>
      <c r="Q300" s="84"/>
      <c r="R300" s="84">
        <f t="shared" si="64"/>
        <v>0</v>
      </c>
      <c r="S300" s="85"/>
      <c r="T300" s="84">
        <f t="shared" si="70"/>
        <v>0.1</v>
      </c>
      <c r="U300" s="86">
        <f t="shared" si="67"/>
        <v>0.30000000000000004</v>
      </c>
      <c r="V300" s="87">
        <f t="shared" si="68"/>
        <v>1.5000000000000003E-2</v>
      </c>
      <c r="W300" s="88">
        <f t="shared" si="71"/>
        <v>17000</v>
      </c>
      <c r="X300" s="81"/>
    </row>
    <row r="301" spans="1:24" ht="12">
      <c r="A301" s="71">
        <f t="shared" si="59"/>
        <v>292</v>
      </c>
      <c r="B301" s="83" t="s">
        <v>592</v>
      </c>
      <c r="C301" s="201" t="s">
        <v>607</v>
      </c>
      <c r="D301" s="83" t="s">
        <v>595</v>
      </c>
      <c r="E301" s="73" t="s">
        <v>57</v>
      </c>
      <c r="F301" s="73"/>
      <c r="G301" s="90"/>
      <c r="H301" s="90"/>
      <c r="I301" s="75" t="s">
        <v>36</v>
      </c>
      <c r="J301" s="84"/>
      <c r="K301" s="84"/>
      <c r="L301" s="84"/>
      <c r="M301" s="84"/>
      <c r="N301" s="84"/>
      <c r="O301" s="84">
        <f t="shared" si="69"/>
        <v>0.2</v>
      </c>
      <c r="P301" s="84"/>
      <c r="Q301" s="84"/>
      <c r="R301" s="84">
        <f t="shared" si="64"/>
        <v>0</v>
      </c>
      <c r="S301" s="85"/>
      <c r="T301" s="84">
        <f t="shared" si="70"/>
        <v>0.1</v>
      </c>
      <c r="U301" s="86">
        <f t="shared" si="67"/>
        <v>0.30000000000000004</v>
      </c>
      <c r="V301" s="87">
        <f t="shared" si="68"/>
        <v>1.5000000000000003E-2</v>
      </c>
      <c r="W301" s="88">
        <f t="shared" si="71"/>
        <v>17000</v>
      </c>
      <c r="X301" s="81"/>
    </row>
    <row r="302" spans="1:24" ht="12">
      <c r="A302" s="71">
        <f t="shared" si="59"/>
        <v>293</v>
      </c>
      <c r="B302" s="83" t="s">
        <v>592</v>
      </c>
      <c r="C302" s="201" t="s">
        <v>607</v>
      </c>
      <c r="D302" s="83" t="s">
        <v>596</v>
      </c>
      <c r="E302" s="73" t="s">
        <v>57</v>
      </c>
      <c r="F302" s="73"/>
      <c r="G302" s="90"/>
      <c r="H302" s="90"/>
      <c r="I302" s="75" t="s">
        <v>36</v>
      </c>
      <c r="J302" s="84"/>
      <c r="K302" s="84"/>
      <c r="L302" s="84"/>
      <c r="M302" s="84"/>
      <c r="N302" s="84"/>
      <c r="O302" s="84">
        <f t="shared" si="69"/>
        <v>0.2</v>
      </c>
      <c r="P302" s="84"/>
      <c r="Q302" s="84"/>
      <c r="R302" s="84">
        <f t="shared" si="64"/>
        <v>0</v>
      </c>
      <c r="S302" s="85"/>
      <c r="T302" s="84">
        <f t="shared" si="70"/>
        <v>0.1</v>
      </c>
      <c r="U302" s="86">
        <f t="shared" si="67"/>
        <v>0.30000000000000004</v>
      </c>
      <c r="V302" s="87">
        <f t="shared" si="68"/>
        <v>1.5000000000000003E-2</v>
      </c>
      <c r="W302" s="88">
        <f t="shared" si="71"/>
        <v>17000</v>
      </c>
      <c r="X302" s="81"/>
    </row>
    <row r="303" spans="1:24" ht="12">
      <c r="A303" s="71">
        <f t="shared" si="59"/>
        <v>294</v>
      </c>
      <c r="B303" s="83" t="s">
        <v>592</v>
      </c>
      <c r="C303" s="201" t="s">
        <v>607</v>
      </c>
      <c r="D303" s="83" t="s">
        <v>598</v>
      </c>
      <c r="E303" s="73" t="s">
        <v>57</v>
      </c>
      <c r="F303" s="73"/>
      <c r="G303" s="90"/>
      <c r="H303" s="90"/>
      <c r="I303" s="75" t="s">
        <v>36</v>
      </c>
      <c r="J303" s="84"/>
      <c r="K303" s="84"/>
      <c r="L303" s="84"/>
      <c r="M303" s="84"/>
      <c r="N303" s="84"/>
      <c r="O303" s="84">
        <f t="shared" si="69"/>
        <v>0.2</v>
      </c>
      <c r="P303" s="84"/>
      <c r="Q303" s="84"/>
      <c r="R303" s="84">
        <f t="shared" si="64"/>
        <v>0</v>
      </c>
      <c r="S303" s="85"/>
      <c r="T303" s="84">
        <f t="shared" si="70"/>
        <v>0.1</v>
      </c>
      <c r="U303" s="86">
        <f t="shared" si="67"/>
        <v>0.30000000000000004</v>
      </c>
      <c r="V303" s="87">
        <f t="shared" si="68"/>
        <v>1.5000000000000003E-2</v>
      </c>
      <c r="W303" s="88">
        <f t="shared" si="71"/>
        <v>17000</v>
      </c>
      <c r="X303" s="81"/>
    </row>
    <row r="304" spans="1:24" ht="12">
      <c r="A304" s="71">
        <f t="shared" si="59"/>
        <v>295</v>
      </c>
      <c r="B304" s="83" t="s">
        <v>592</v>
      </c>
      <c r="C304" s="201" t="s">
        <v>608</v>
      </c>
      <c r="D304" s="83" t="s">
        <v>594</v>
      </c>
      <c r="E304" s="73" t="s">
        <v>57</v>
      </c>
      <c r="F304" s="73"/>
      <c r="G304" s="90"/>
      <c r="H304" s="90"/>
      <c r="I304" s="75" t="s">
        <v>36</v>
      </c>
      <c r="J304" s="84"/>
      <c r="K304" s="84"/>
      <c r="L304" s="84"/>
      <c r="M304" s="84"/>
      <c r="N304" s="84"/>
      <c r="O304" s="84">
        <f t="shared" si="69"/>
        <v>0.2</v>
      </c>
      <c r="P304" s="84"/>
      <c r="Q304" s="84"/>
      <c r="R304" s="84">
        <f t="shared" si="64"/>
        <v>0</v>
      </c>
      <c r="S304" s="85"/>
      <c r="T304" s="84">
        <f t="shared" si="70"/>
        <v>0.1</v>
      </c>
      <c r="U304" s="86">
        <f t="shared" si="60"/>
        <v>0.30000000000000004</v>
      </c>
      <c r="V304" s="87">
        <f t="shared" si="61"/>
        <v>1.5000000000000003E-2</v>
      </c>
      <c r="W304" s="88">
        <f t="shared" si="71"/>
        <v>17000</v>
      </c>
      <c r="X304" s="81"/>
    </row>
    <row r="305" spans="1:24" ht="12">
      <c r="A305" s="71">
        <f t="shared" si="59"/>
        <v>296</v>
      </c>
      <c r="B305" s="72" t="s">
        <v>592</v>
      </c>
      <c r="C305" s="200" t="s">
        <v>608</v>
      </c>
      <c r="D305" s="72" t="s">
        <v>595</v>
      </c>
      <c r="E305" s="73" t="s">
        <v>57</v>
      </c>
      <c r="F305" s="73"/>
      <c r="G305" s="90"/>
      <c r="H305" s="74"/>
      <c r="I305" s="75" t="s">
        <v>36</v>
      </c>
      <c r="J305" s="76"/>
      <c r="K305" s="76"/>
      <c r="L305" s="76"/>
      <c r="M305" s="76"/>
      <c r="N305" s="76"/>
      <c r="O305" s="76">
        <f t="shared" si="69"/>
        <v>0.2</v>
      </c>
      <c r="P305" s="76"/>
      <c r="Q305" s="76"/>
      <c r="R305" s="76">
        <f t="shared" si="64"/>
        <v>0</v>
      </c>
      <c r="S305" s="77"/>
      <c r="T305" s="76">
        <f t="shared" si="70"/>
        <v>0.1</v>
      </c>
      <c r="U305" s="78">
        <f t="shared" ref="U305:U315" si="72">SUM(J305:T305)</f>
        <v>0.30000000000000004</v>
      </c>
      <c r="V305" s="79">
        <f t="shared" ref="V305:V315" si="73">U305/20</f>
        <v>1.5000000000000003E-2</v>
      </c>
      <c r="W305" s="80">
        <f t="shared" si="71"/>
        <v>17000</v>
      </c>
      <c r="X305" s="81"/>
    </row>
    <row r="306" spans="1:24" ht="12">
      <c r="A306" s="71">
        <f t="shared" si="59"/>
        <v>297</v>
      </c>
      <c r="B306" s="72" t="s">
        <v>592</v>
      </c>
      <c r="C306" s="200" t="s">
        <v>608</v>
      </c>
      <c r="D306" s="83" t="s">
        <v>596</v>
      </c>
      <c r="E306" s="73" t="s">
        <v>57</v>
      </c>
      <c r="F306" s="73"/>
      <c r="G306" s="90"/>
      <c r="H306" s="74"/>
      <c r="I306" s="75" t="s">
        <v>36</v>
      </c>
      <c r="J306" s="76"/>
      <c r="K306" s="76"/>
      <c r="L306" s="76"/>
      <c r="M306" s="76"/>
      <c r="N306" s="76"/>
      <c r="O306" s="76">
        <f t="shared" si="69"/>
        <v>0.2</v>
      </c>
      <c r="P306" s="76"/>
      <c r="Q306" s="76"/>
      <c r="R306" s="76">
        <f t="shared" si="64"/>
        <v>0</v>
      </c>
      <c r="S306" s="77"/>
      <c r="T306" s="76">
        <f t="shared" si="70"/>
        <v>0.1</v>
      </c>
      <c r="U306" s="78">
        <f t="shared" si="72"/>
        <v>0.30000000000000004</v>
      </c>
      <c r="V306" s="79">
        <f t="shared" si="73"/>
        <v>1.5000000000000003E-2</v>
      </c>
      <c r="W306" s="80">
        <f t="shared" si="71"/>
        <v>17000</v>
      </c>
      <c r="X306" s="81"/>
    </row>
    <row r="307" spans="1:24" ht="12">
      <c r="A307" s="71">
        <f t="shared" si="59"/>
        <v>298</v>
      </c>
      <c r="B307" s="72" t="s">
        <v>592</v>
      </c>
      <c r="C307" s="200" t="s">
        <v>608</v>
      </c>
      <c r="D307" s="72" t="s">
        <v>598</v>
      </c>
      <c r="E307" s="73" t="s">
        <v>57</v>
      </c>
      <c r="F307" s="73"/>
      <c r="G307" s="74"/>
      <c r="H307" s="74"/>
      <c r="I307" s="75" t="s">
        <v>36</v>
      </c>
      <c r="J307" s="76"/>
      <c r="K307" s="76"/>
      <c r="L307" s="76"/>
      <c r="M307" s="76"/>
      <c r="N307" s="76"/>
      <c r="O307" s="76">
        <f t="shared" si="69"/>
        <v>0.2</v>
      </c>
      <c r="P307" s="76"/>
      <c r="Q307" s="76"/>
      <c r="R307" s="76">
        <f t="shared" ref="R307:R326" si="74">ROUNDUP(IF($E307="画面",画面係数,IF($E307="帳票",帳票係数,IF($E307="バッチ",バッチ係数,0))) *
 IF($I307="特高",特高係数,IF($I307="高",高係数,IF($I307="中",中係数,IF($I307="低",低係数,IF($I307="特低",特低係数,0)))))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307" s="77"/>
      <c r="T307" s="76">
        <f t="shared" si="70"/>
        <v>0.1</v>
      </c>
      <c r="U307" s="78">
        <f t="shared" ref="U307:U309" si="75">SUM(J307:T307)</f>
        <v>0.30000000000000004</v>
      </c>
      <c r="V307" s="79">
        <f t="shared" ref="V307:V309" si="76">U307/20</f>
        <v>1.5000000000000003E-2</v>
      </c>
      <c r="W307" s="80">
        <f t="shared" si="71"/>
        <v>17000</v>
      </c>
      <c r="X307" s="81"/>
    </row>
    <row r="308" spans="1:24" ht="12">
      <c r="A308" s="71">
        <f t="shared" si="59"/>
        <v>299</v>
      </c>
      <c r="B308" s="83" t="s">
        <v>592</v>
      </c>
      <c r="C308" s="200" t="s">
        <v>609</v>
      </c>
      <c r="D308" s="72" t="s">
        <v>594</v>
      </c>
      <c r="E308" s="73" t="s">
        <v>57</v>
      </c>
      <c r="F308" s="73"/>
      <c r="G308" s="90"/>
      <c r="H308" s="74"/>
      <c r="I308" s="75" t="s">
        <v>36</v>
      </c>
      <c r="J308" s="76"/>
      <c r="K308" s="76"/>
      <c r="L308" s="76"/>
      <c r="M308" s="76"/>
      <c r="N308" s="76"/>
      <c r="O308" s="76">
        <f t="shared" si="69"/>
        <v>0.2</v>
      </c>
      <c r="P308" s="76"/>
      <c r="Q308" s="76"/>
      <c r="R308" s="76">
        <f t="shared" si="74"/>
        <v>0</v>
      </c>
      <c r="S308" s="77"/>
      <c r="T308" s="76">
        <f t="shared" si="70"/>
        <v>0.1</v>
      </c>
      <c r="U308" s="78">
        <f t="shared" si="75"/>
        <v>0.30000000000000004</v>
      </c>
      <c r="V308" s="79">
        <f t="shared" si="76"/>
        <v>1.5000000000000003E-2</v>
      </c>
      <c r="W308" s="80">
        <f t="shared" si="71"/>
        <v>17000</v>
      </c>
      <c r="X308" s="81"/>
    </row>
    <row r="309" spans="1:24" ht="12">
      <c r="A309" s="71">
        <f t="shared" si="59"/>
        <v>300</v>
      </c>
      <c r="B309" s="83" t="s">
        <v>592</v>
      </c>
      <c r="C309" s="200" t="s">
        <v>609</v>
      </c>
      <c r="D309" s="72" t="s">
        <v>595</v>
      </c>
      <c r="E309" s="73" t="s">
        <v>57</v>
      </c>
      <c r="F309" s="73"/>
      <c r="G309" s="90"/>
      <c r="H309" s="74"/>
      <c r="I309" s="75" t="s">
        <v>36</v>
      </c>
      <c r="J309" s="76"/>
      <c r="K309" s="76"/>
      <c r="L309" s="76"/>
      <c r="M309" s="76"/>
      <c r="N309" s="76"/>
      <c r="O309" s="76">
        <f t="shared" si="69"/>
        <v>0.2</v>
      </c>
      <c r="P309" s="76"/>
      <c r="Q309" s="76"/>
      <c r="R309" s="76">
        <f t="shared" si="74"/>
        <v>0</v>
      </c>
      <c r="S309" s="77"/>
      <c r="T309" s="76">
        <f t="shared" si="70"/>
        <v>0.1</v>
      </c>
      <c r="U309" s="78">
        <f t="shared" si="75"/>
        <v>0.30000000000000004</v>
      </c>
      <c r="V309" s="79">
        <f t="shared" si="76"/>
        <v>1.5000000000000003E-2</v>
      </c>
      <c r="W309" s="80">
        <f t="shared" si="71"/>
        <v>17000</v>
      </c>
      <c r="X309" s="81"/>
    </row>
    <row r="310" spans="1:24" ht="12">
      <c r="A310" s="71">
        <f t="shared" si="59"/>
        <v>301</v>
      </c>
      <c r="B310" s="83" t="s">
        <v>592</v>
      </c>
      <c r="C310" s="200" t="s">
        <v>609</v>
      </c>
      <c r="D310" s="72" t="s">
        <v>596</v>
      </c>
      <c r="E310" s="73" t="s">
        <v>57</v>
      </c>
      <c r="F310" s="73"/>
      <c r="G310" s="90"/>
      <c r="H310" s="74"/>
      <c r="I310" s="75" t="s">
        <v>36</v>
      </c>
      <c r="J310" s="76"/>
      <c r="K310" s="76"/>
      <c r="L310" s="76"/>
      <c r="M310" s="76"/>
      <c r="N310" s="76"/>
      <c r="O310" s="76">
        <f t="shared" si="69"/>
        <v>0.2</v>
      </c>
      <c r="P310" s="76"/>
      <c r="Q310" s="76"/>
      <c r="R310" s="76">
        <f t="shared" si="74"/>
        <v>0</v>
      </c>
      <c r="S310" s="77"/>
      <c r="T310" s="76">
        <f t="shared" si="70"/>
        <v>0.1</v>
      </c>
      <c r="U310" s="78">
        <f t="shared" si="72"/>
        <v>0.30000000000000004</v>
      </c>
      <c r="V310" s="79">
        <f t="shared" si="73"/>
        <v>1.5000000000000003E-2</v>
      </c>
      <c r="W310" s="80">
        <f t="shared" si="71"/>
        <v>17000</v>
      </c>
      <c r="X310" s="81"/>
    </row>
    <row r="311" spans="1:24" ht="12">
      <c r="A311" s="71">
        <f t="shared" si="59"/>
        <v>302</v>
      </c>
      <c r="B311" s="72" t="s">
        <v>592</v>
      </c>
      <c r="C311" s="200" t="s">
        <v>609</v>
      </c>
      <c r="D311" s="199" t="s">
        <v>598</v>
      </c>
      <c r="E311" s="73" t="s">
        <v>57</v>
      </c>
      <c r="F311" s="73"/>
      <c r="G311" s="74"/>
      <c r="H311" s="74"/>
      <c r="I311" s="75" t="s">
        <v>36</v>
      </c>
      <c r="J311" s="76"/>
      <c r="K311" s="76"/>
      <c r="L311" s="76"/>
      <c r="M311" s="76"/>
      <c r="N311" s="76"/>
      <c r="O311" s="76">
        <f t="shared" si="69"/>
        <v>0.2</v>
      </c>
      <c r="P311" s="76"/>
      <c r="Q311" s="76"/>
      <c r="R311" s="76">
        <f t="shared" si="74"/>
        <v>0</v>
      </c>
      <c r="S311" s="77"/>
      <c r="T311" s="76">
        <f t="shared" si="70"/>
        <v>0.1</v>
      </c>
      <c r="U311" s="78">
        <f t="shared" si="72"/>
        <v>0.30000000000000004</v>
      </c>
      <c r="V311" s="79">
        <f t="shared" si="73"/>
        <v>1.5000000000000003E-2</v>
      </c>
      <c r="W311" s="80">
        <f t="shared" si="71"/>
        <v>17000</v>
      </c>
      <c r="X311" s="81"/>
    </row>
    <row r="312" spans="1:24" ht="12">
      <c r="A312" s="71">
        <f t="shared" si="59"/>
        <v>303</v>
      </c>
      <c r="B312" s="83" t="s">
        <v>592</v>
      </c>
      <c r="C312" s="200" t="s">
        <v>610</v>
      </c>
      <c r="D312" s="199" t="s">
        <v>594</v>
      </c>
      <c r="E312" s="73" t="s">
        <v>57</v>
      </c>
      <c r="F312" s="73"/>
      <c r="G312" s="90"/>
      <c r="H312" s="74"/>
      <c r="I312" s="75" t="s">
        <v>36</v>
      </c>
      <c r="J312" s="76"/>
      <c r="K312" s="76"/>
      <c r="L312" s="76"/>
      <c r="M312" s="76"/>
      <c r="N312" s="76"/>
      <c r="O312" s="76">
        <f t="shared" si="69"/>
        <v>0.2</v>
      </c>
      <c r="P312" s="76"/>
      <c r="Q312" s="76"/>
      <c r="R312" s="76">
        <f t="shared" si="74"/>
        <v>0</v>
      </c>
      <c r="S312" s="77"/>
      <c r="T312" s="76">
        <f t="shared" si="70"/>
        <v>0.1</v>
      </c>
      <c r="U312" s="78">
        <f t="shared" si="72"/>
        <v>0.30000000000000004</v>
      </c>
      <c r="V312" s="79">
        <f t="shared" si="73"/>
        <v>1.5000000000000003E-2</v>
      </c>
      <c r="W312" s="80">
        <f t="shared" si="71"/>
        <v>17000</v>
      </c>
      <c r="X312" s="81"/>
    </row>
    <row r="313" spans="1:24" ht="12">
      <c r="A313" s="71">
        <f t="shared" si="59"/>
        <v>304</v>
      </c>
      <c r="B313" s="83" t="s">
        <v>592</v>
      </c>
      <c r="C313" s="200" t="s">
        <v>610</v>
      </c>
      <c r="D313" s="72" t="s">
        <v>595</v>
      </c>
      <c r="E313" s="73" t="s">
        <v>57</v>
      </c>
      <c r="F313" s="73"/>
      <c r="G313" s="90"/>
      <c r="H313" s="74"/>
      <c r="I313" s="75" t="s">
        <v>36</v>
      </c>
      <c r="J313" s="76"/>
      <c r="K313" s="76"/>
      <c r="L313" s="76"/>
      <c r="M313" s="76"/>
      <c r="N313" s="76"/>
      <c r="O313" s="76">
        <f t="shared" si="69"/>
        <v>0.2</v>
      </c>
      <c r="P313" s="76"/>
      <c r="Q313" s="76"/>
      <c r="R313" s="76">
        <f t="shared" si="74"/>
        <v>0</v>
      </c>
      <c r="S313" s="77"/>
      <c r="T313" s="76">
        <f t="shared" si="70"/>
        <v>0.1</v>
      </c>
      <c r="U313" s="78">
        <f t="shared" si="72"/>
        <v>0.30000000000000004</v>
      </c>
      <c r="V313" s="79">
        <f t="shared" si="73"/>
        <v>1.5000000000000003E-2</v>
      </c>
      <c r="W313" s="80">
        <f t="shared" si="71"/>
        <v>17000</v>
      </c>
      <c r="X313" s="81"/>
    </row>
    <row r="314" spans="1:24" ht="12">
      <c r="A314" s="71">
        <f t="shared" si="59"/>
        <v>305</v>
      </c>
      <c r="B314" s="83" t="s">
        <v>592</v>
      </c>
      <c r="C314" s="200" t="s">
        <v>610</v>
      </c>
      <c r="D314" s="72" t="s">
        <v>596</v>
      </c>
      <c r="E314" s="73" t="s">
        <v>57</v>
      </c>
      <c r="F314" s="73"/>
      <c r="G314" s="90"/>
      <c r="H314" s="74"/>
      <c r="I314" s="75" t="s">
        <v>36</v>
      </c>
      <c r="J314" s="76"/>
      <c r="K314" s="76"/>
      <c r="L314" s="76"/>
      <c r="M314" s="76"/>
      <c r="N314" s="76"/>
      <c r="O314" s="76">
        <f t="shared" si="69"/>
        <v>0.2</v>
      </c>
      <c r="P314" s="76"/>
      <c r="Q314" s="76"/>
      <c r="R314" s="76">
        <f t="shared" si="74"/>
        <v>0</v>
      </c>
      <c r="S314" s="77"/>
      <c r="T314" s="76">
        <f t="shared" si="70"/>
        <v>0.1</v>
      </c>
      <c r="U314" s="78">
        <f t="shared" si="72"/>
        <v>0.30000000000000004</v>
      </c>
      <c r="V314" s="79">
        <f t="shared" si="73"/>
        <v>1.5000000000000003E-2</v>
      </c>
      <c r="W314" s="80">
        <f t="shared" si="71"/>
        <v>17000</v>
      </c>
      <c r="X314" s="81"/>
    </row>
    <row r="315" spans="1:24" ht="12">
      <c r="A315" s="71">
        <f t="shared" si="59"/>
        <v>306</v>
      </c>
      <c r="B315" s="72" t="s">
        <v>592</v>
      </c>
      <c r="C315" s="200" t="s">
        <v>610</v>
      </c>
      <c r="D315" s="72" t="s">
        <v>598</v>
      </c>
      <c r="E315" s="73" t="s">
        <v>57</v>
      </c>
      <c r="F315" s="73"/>
      <c r="G315" s="74"/>
      <c r="H315" s="74"/>
      <c r="I315" s="75" t="s">
        <v>36</v>
      </c>
      <c r="J315" s="76"/>
      <c r="K315" s="76"/>
      <c r="L315" s="76"/>
      <c r="M315" s="76"/>
      <c r="N315" s="76"/>
      <c r="O315" s="76">
        <f t="shared" si="69"/>
        <v>0.2</v>
      </c>
      <c r="P315" s="76"/>
      <c r="Q315" s="76"/>
      <c r="R315" s="76">
        <f t="shared" si="74"/>
        <v>0</v>
      </c>
      <c r="S315" s="77"/>
      <c r="T315" s="76">
        <f t="shared" si="70"/>
        <v>0.1</v>
      </c>
      <c r="U315" s="78">
        <f t="shared" si="72"/>
        <v>0.30000000000000004</v>
      </c>
      <c r="V315" s="79">
        <f t="shared" si="73"/>
        <v>1.5000000000000003E-2</v>
      </c>
      <c r="W315" s="80">
        <f t="shared" si="71"/>
        <v>17000</v>
      </c>
      <c r="X315" s="81"/>
    </row>
    <row r="316" spans="1:24" ht="12">
      <c r="A316" s="71">
        <f t="shared" si="59"/>
        <v>307</v>
      </c>
      <c r="B316" s="72" t="s">
        <v>592</v>
      </c>
      <c r="C316" s="200" t="s">
        <v>611</v>
      </c>
      <c r="D316" s="72" t="s">
        <v>594</v>
      </c>
      <c r="E316" s="73" t="s">
        <v>57</v>
      </c>
      <c r="F316" s="73"/>
      <c r="G316" s="74"/>
      <c r="H316" s="74"/>
      <c r="I316" s="75" t="s">
        <v>36</v>
      </c>
      <c r="J316" s="76"/>
      <c r="K316" s="76"/>
      <c r="L316" s="76"/>
      <c r="M316" s="76"/>
      <c r="N316" s="76"/>
      <c r="O316" s="76">
        <f t="shared" si="69"/>
        <v>0.2</v>
      </c>
      <c r="P316" s="76"/>
      <c r="Q316" s="76"/>
      <c r="R316" s="76">
        <f t="shared" si="74"/>
        <v>0</v>
      </c>
      <c r="S316" s="77"/>
      <c r="T316" s="76">
        <f t="shared" si="70"/>
        <v>0.1</v>
      </c>
      <c r="U316" s="78">
        <f t="shared" si="60"/>
        <v>0.30000000000000004</v>
      </c>
      <c r="V316" s="79">
        <f t="shared" si="61"/>
        <v>1.5000000000000003E-2</v>
      </c>
      <c r="W316" s="80">
        <f t="shared" si="71"/>
        <v>17000</v>
      </c>
      <c r="X316" s="81"/>
    </row>
    <row r="317" spans="1:24" ht="12">
      <c r="A317" s="71">
        <f t="shared" si="59"/>
        <v>308</v>
      </c>
      <c r="B317" s="72" t="s">
        <v>592</v>
      </c>
      <c r="C317" s="200" t="s">
        <v>611</v>
      </c>
      <c r="D317" s="72" t="s">
        <v>595</v>
      </c>
      <c r="E317" s="73" t="s">
        <v>57</v>
      </c>
      <c r="F317" s="73"/>
      <c r="G317" s="74"/>
      <c r="H317" s="74"/>
      <c r="I317" s="75" t="s">
        <v>36</v>
      </c>
      <c r="J317" s="76"/>
      <c r="K317" s="76"/>
      <c r="L317" s="76"/>
      <c r="M317" s="76"/>
      <c r="N317" s="76"/>
      <c r="O317" s="76">
        <f t="shared" si="69"/>
        <v>0.2</v>
      </c>
      <c r="P317" s="76"/>
      <c r="Q317" s="76"/>
      <c r="R317" s="76">
        <f t="shared" si="74"/>
        <v>0</v>
      </c>
      <c r="S317" s="77"/>
      <c r="T317" s="76">
        <f t="shared" si="70"/>
        <v>0.1</v>
      </c>
      <c r="U317" s="78">
        <f t="shared" si="60"/>
        <v>0.30000000000000004</v>
      </c>
      <c r="V317" s="79">
        <f t="shared" si="61"/>
        <v>1.5000000000000003E-2</v>
      </c>
      <c r="W317" s="80">
        <f t="shared" si="71"/>
        <v>17000</v>
      </c>
      <c r="X317" s="81"/>
    </row>
    <row r="318" spans="1:24" ht="12">
      <c r="A318" s="71">
        <f t="shared" si="59"/>
        <v>309</v>
      </c>
      <c r="B318" s="72" t="s">
        <v>592</v>
      </c>
      <c r="C318" s="200" t="s">
        <v>611</v>
      </c>
      <c r="D318" s="72" t="s">
        <v>596</v>
      </c>
      <c r="E318" s="73" t="s">
        <v>57</v>
      </c>
      <c r="F318" s="73"/>
      <c r="G318" s="74"/>
      <c r="H318" s="74"/>
      <c r="I318" s="75" t="s">
        <v>36</v>
      </c>
      <c r="J318" s="76"/>
      <c r="K318" s="76"/>
      <c r="L318" s="76"/>
      <c r="M318" s="76"/>
      <c r="N318" s="76"/>
      <c r="O318" s="76">
        <f t="shared" si="69"/>
        <v>0.2</v>
      </c>
      <c r="P318" s="76"/>
      <c r="Q318" s="76"/>
      <c r="R318" s="76">
        <f t="shared" si="74"/>
        <v>0</v>
      </c>
      <c r="S318" s="77"/>
      <c r="T318" s="76">
        <f t="shared" si="70"/>
        <v>0.1</v>
      </c>
      <c r="U318" s="78">
        <f t="shared" si="60"/>
        <v>0.30000000000000004</v>
      </c>
      <c r="V318" s="79">
        <f t="shared" si="61"/>
        <v>1.5000000000000003E-2</v>
      </c>
      <c r="W318" s="80">
        <f t="shared" si="71"/>
        <v>17000</v>
      </c>
      <c r="X318" s="81"/>
    </row>
    <row r="319" spans="1:24" ht="12">
      <c r="A319" s="71">
        <f t="shared" si="59"/>
        <v>310</v>
      </c>
      <c r="B319" s="72" t="s">
        <v>592</v>
      </c>
      <c r="C319" s="200" t="s">
        <v>611</v>
      </c>
      <c r="D319" s="72" t="s">
        <v>598</v>
      </c>
      <c r="E319" s="73" t="s">
        <v>57</v>
      </c>
      <c r="F319" s="73"/>
      <c r="G319" s="74"/>
      <c r="H319" s="74"/>
      <c r="I319" s="75" t="s">
        <v>36</v>
      </c>
      <c r="J319" s="76"/>
      <c r="K319" s="76"/>
      <c r="L319" s="76"/>
      <c r="M319" s="76"/>
      <c r="N319" s="76"/>
      <c r="O319" s="76">
        <f t="shared" si="69"/>
        <v>0.2</v>
      </c>
      <c r="P319" s="76"/>
      <c r="Q319" s="76"/>
      <c r="R319" s="76">
        <f t="shared" si="74"/>
        <v>0</v>
      </c>
      <c r="S319" s="77"/>
      <c r="T319" s="76">
        <f t="shared" si="70"/>
        <v>0.1</v>
      </c>
      <c r="U319" s="78">
        <f t="shared" si="58"/>
        <v>0.30000000000000004</v>
      </c>
      <c r="V319" s="79">
        <f t="shared" si="56"/>
        <v>1.5000000000000003E-2</v>
      </c>
      <c r="W319" s="80">
        <f t="shared" si="71"/>
        <v>17000</v>
      </c>
      <c r="X319" s="81"/>
    </row>
    <row r="320" spans="1:24" ht="12">
      <c r="A320" s="71">
        <f t="shared" si="59"/>
        <v>311</v>
      </c>
      <c r="B320" s="72" t="s">
        <v>592</v>
      </c>
      <c r="C320" s="200" t="s">
        <v>612</v>
      </c>
      <c r="D320" s="72" t="s">
        <v>594</v>
      </c>
      <c r="E320" s="73" t="s">
        <v>57</v>
      </c>
      <c r="F320" s="73"/>
      <c r="G320" s="74"/>
      <c r="H320" s="74"/>
      <c r="I320" s="75" t="s">
        <v>36</v>
      </c>
      <c r="J320" s="76"/>
      <c r="K320" s="76"/>
      <c r="L320" s="76"/>
      <c r="M320" s="76"/>
      <c r="N320" s="76"/>
      <c r="O320" s="76">
        <f t="shared" si="69"/>
        <v>0.2</v>
      </c>
      <c r="P320" s="76"/>
      <c r="Q320" s="76"/>
      <c r="R320" s="76">
        <f t="shared" si="74"/>
        <v>0</v>
      </c>
      <c r="S320" s="77"/>
      <c r="T320" s="76">
        <f t="shared" si="70"/>
        <v>0.1</v>
      </c>
      <c r="U320" s="78">
        <f t="shared" ref="U320" si="77">SUM(J320:T320)</f>
        <v>0.30000000000000004</v>
      </c>
      <c r="V320" s="79">
        <f t="shared" ref="V320" si="78">U320/20</f>
        <v>1.5000000000000003E-2</v>
      </c>
      <c r="W320" s="80">
        <f t="shared" si="71"/>
        <v>17000</v>
      </c>
      <c r="X320" s="81"/>
    </row>
    <row r="321" spans="1:24" ht="12">
      <c r="A321" s="71">
        <f t="shared" si="59"/>
        <v>312</v>
      </c>
      <c r="B321" s="72" t="s">
        <v>592</v>
      </c>
      <c r="C321" s="200" t="s">
        <v>612</v>
      </c>
      <c r="D321" s="72" t="s">
        <v>595</v>
      </c>
      <c r="E321" s="73" t="s">
        <v>57</v>
      </c>
      <c r="F321" s="73"/>
      <c r="G321" s="74"/>
      <c r="H321" s="74"/>
      <c r="I321" s="75" t="s">
        <v>36</v>
      </c>
      <c r="J321" s="76"/>
      <c r="K321" s="76"/>
      <c r="L321" s="76"/>
      <c r="M321" s="76"/>
      <c r="N321" s="76"/>
      <c r="O321" s="76">
        <f t="shared" si="69"/>
        <v>0.2</v>
      </c>
      <c r="P321" s="76"/>
      <c r="Q321" s="76"/>
      <c r="R321" s="76">
        <f t="shared" si="74"/>
        <v>0</v>
      </c>
      <c r="S321" s="77"/>
      <c r="T321" s="76">
        <f t="shared" si="70"/>
        <v>0.1</v>
      </c>
      <c r="U321" s="78">
        <f t="shared" si="58"/>
        <v>0.30000000000000004</v>
      </c>
      <c r="V321" s="79">
        <f t="shared" si="56"/>
        <v>1.5000000000000003E-2</v>
      </c>
      <c r="W321" s="80">
        <f t="shared" si="71"/>
        <v>17000</v>
      </c>
      <c r="X321" s="81"/>
    </row>
    <row r="322" spans="1:24" ht="12">
      <c r="A322" s="71">
        <f t="shared" si="59"/>
        <v>313</v>
      </c>
      <c r="B322" s="72" t="s">
        <v>592</v>
      </c>
      <c r="C322" s="200" t="s">
        <v>612</v>
      </c>
      <c r="D322" s="72" t="s">
        <v>596</v>
      </c>
      <c r="E322" s="73" t="s">
        <v>57</v>
      </c>
      <c r="F322" s="73"/>
      <c r="G322" s="74"/>
      <c r="H322" s="74"/>
      <c r="I322" s="75" t="s">
        <v>36</v>
      </c>
      <c r="J322" s="76"/>
      <c r="K322" s="76"/>
      <c r="L322" s="76"/>
      <c r="M322" s="76"/>
      <c r="N322" s="76"/>
      <c r="O322" s="76">
        <f t="shared" si="69"/>
        <v>0.2</v>
      </c>
      <c r="P322" s="76"/>
      <c r="Q322" s="76"/>
      <c r="R322" s="76">
        <f t="shared" si="74"/>
        <v>0</v>
      </c>
      <c r="S322" s="77"/>
      <c r="T322" s="76">
        <f t="shared" si="70"/>
        <v>0.1</v>
      </c>
      <c r="U322" s="78">
        <f t="shared" si="58"/>
        <v>0.30000000000000004</v>
      </c>
      <c r="V322" s="79">
        <f t="shared" si="56"/>
        <v>1.5000000000000003E-2</v>
      </c>
      <c r="W322" s="80">
        <f t="shared" si="71"/>
        <v>17000</v>
      </c>
      <c r="X322" s="81"/>
    </row>
    <row r="323" spans="1:24" ht="12">
      <c r="A323" s="71">
        <f t="shared" si="59"/>
        <v>314</v>
      </c>
      <c r="B323" s="72" t="s">
        <v>592</v>
      </c>
      <c r="C323" s="200" t="s">
        <v>612</v>
      </c>
      <c r="D323" s="72" t="s">
        <v>598</v>
      </c>
      <c r="E323" s="73" t="s">
        <v>57</v>
      </c>
      <c r="F323" s="73"/>
      <c r="G323" s="74"/>
      <c r="H323" s="74"/>
      <c r="I323" s="75" t="s">
        <v>36</v>
      </c>
      <c r="J323" s="76"/>
      <c r="K323" s="76"/>
      <c r="L323" s="76"/>
      <c r="M323" s="76"/>
      <c r="N323" s="76"/>
      <c r="O323" s="76">
        <f t="shared" si="69"/>
        <v>0.2</v>
      </c>
      <c r="P323" s="76"/>
      <c r="Q323" s="76"/>
      <c r="R323" s="76">
        <f t="shared" si="74"/>
        <v>0</v>
      </c>
      <c r="S323" s="77"/>
      <c r="T323" s="76">
        <f t="shared" si="70"/>
        <v>0.1</v>
      </c>
      <c r="U323" s="78">
        <f t="shared" si="58"/>
        <v>0.30000000000000004</v>
      </c>
      <c r="V323" s="79">
        <f t="shared" si="56"/>
        <v>1.5000000000000003E-2</v>
      </c>
      <c r="W323" s="80">
        <f t="shared" si="71"/>
        <v>17000</v>
      </c>
      <c r="X323" s="81"/>
    </row>
    <row r="324" spans="1:24" ht="12">
      <c r="A324" s="71">
        <f t="shared" si="59"/>
        <v>315</v>
      </c>
      <c r="B324" s="72" t="s">
        <v>592</v>
      </c>
      <c r="C324" s="200" t="s">
        <v>613</v>
      </c>
      <c r="D324" s="72" t="s">
        <v>594</v>
      </c>
      <c r="E324" s="73" t="s">
        <v>57</v>
      </c>
      <c r="F324" s="73"/>
      <c r="G324" s="74"/>
      <c r="H324" s="74"/>
      <c r="I324" s="75" t="s">
        <v>36</v>
      </c>
      <c r="J324" s="76"/>
      <c r="K324" s="76"/>
      <c r="L324" s="76"/>
      <c r="M324" s="76"/>
      <c r="N324" s="76"/>
      <c r="O324" s="76">
        <f t="shared" si="69"/>
        <v>0.2</v>
      </c>
      <c r="P324" s="76"/>
      <c r="Q324" s="76"/>
      <c r="R324" s="76">
        <f t="shared" si="74"/>
        <v>0</v>
      </c>
      <c r="S324" s="77"/>
      <c r="T324" s="76">
        <f t="shared" si="70"/>
        <v>0.1</v>
      </c>
      <c r="U324" s="78">
        <f t="shared" si="58"/>
        <v>0.30000000000000004</v>
      </c>
      <c r="V324" s="79">
        <f t="shared" si="56"/>
        <v>1.5000000000000003E-2</v>
      </c>
      <c r="W324" s="80">
        <f t="shared" si="71"/>
        <v>17000</v>
      </c>
      <c r="X324" s="81"/>
    </row>
    <row r="325" spans="1:24" ht="12">
      <c r="A325" s="71">
        <f t="shared" si="59"/>
        <v>316</v>
      </c>
      <c r="B325" s="72" t="s">
        <v>592</v>
      </c>
      <c r="C325" s="200" t="s">
        <v>613</v>
      </c>
      <c r="D325" s="72" t="s">
        <v>595</v>
      </c>
      <c r="E325" s="73" t="s">
        <v>57</v>
      </c>
      <c r="F325" s="73"/>
      <c r="G325" s="74"/>
      <c r="H325" s="74"/>
      <c r="I325" s="75" t="s">
        <v>36</v>
      </c>
      <c r="J325" s="76"/>
      <c r="K325" s="76"/>
      <c r="L325" s="76"/>
      <c r="M325" s="76"/>
      <c r="N325" s="76"/>
      <c r="O325" s="76">
        <f t="shared" si="69"/>
        <v>0.2</v>
      </c>
      <c r="P325" s="76"/>
      <c r="Q325" s="76"/>
      <c r="R325" s="76">
        <f t="shared" si="74"/>
        <v>0</v>
      </c>
      <c r="S325" s="77"/>
      <c r="T325" s="76">
        <f t="shared" si="70"/>
        <v>0.1</v>
      </c>
      <c r="U325" s="78">
        <f t="shared" si="58"/>
        <v>0.30000000000000004</v>
      </c>
      <c r="V325" s="79">
        <f t="shared" si="56"/>
        <v>1.5000000000000003E-2</v>
      </c>
      <c r="W325" s="80">
        <f t="shared" si="71"/>
        <v>17000</v>
      </c>
      <c r="X325" s="81"/>
    </row>
    <row r="326" spans="1:24" ht="12">
      <c r="A326" s="71">
        <f t="shared" si="59"/>
        <v>317</v>
      </c>
      <c r="B326" s="72" t="s">
        <v>592</v>
      </c>
      <c r="C326" s="200" t="s">
        <v>613</v>
      </c>
      <c r="D326" s="72" t="s">
        <v>596</v>
      </c>
      <c r="E326" s="73" t="s">
        <v>57</v>
      </c>
      <c r="F326" s="73"/>
      <c r="G326" s="74"/>
      <c r="H326" s="74"/>
      <c r="I326" s="75" t="s">
        <v>36</v>
      </c>
      <c r="J326" s="76"/>
      <c r="K326" s="76"/>
      <c r="L326" s="76"/>
      <c r="M326" s="76"/>
      <c r="N326" s="76"/>
      <c r="O326" s="76">
        <f t="shared" si="69"/>
        <v>0.2</v>
      </c>
      <c r="P326" s="76"/>
      <c r="Q326" s="76"/>
      <c r="R326" s="76">
        <f t="shared" si="74"/>
        <v>0</v>
      </c>
      <c r="S326" s="77"/>
      <c r="T326" s="76">
        <f t="shared" si="70"/>
        <v>0.1</v>
      </c>
      <c r="U326" s="78">
        <f t="shared" si="58"/>
        <v>0.30000000000000004</v>
      </c>
      <c r="V326" s="79">
        <f t="shared" si="56"/>
        <v>1.5000000000000003E-2</v>
      </c>
      <c r="W326" s="80">
        <f t="shared" si="71"/>
        <v>17000</v>
      </c>
      <c r="X326" s="81"/>
    </row>
    <row r="327" spans="1:24" ht="12">
      <c r="A327" s="71">
        <f t="shared" si="59"/>
        <v>318</v>
      </c>
      <c r="B327" s="72" t="s">
        <v>592</v>
      </c>
      <c r="C327" s="200" t="s">
        <v>613</v>
      </c>
      <c r="D327" s="72" t="s">
        <v>598</v>
      </c>
      <c r="E327" s="73" t="s">
        <v>57</v>
      </c>
      <c r="F327" s="73"/>
      <c r="G327" s="74"/>
      <c r="H327" s="74"/>
      <c r="I327" s="75" t="s">
        <v>36</v>
      </c>
      <c r="J327" s="76"/>
      <c r="K327" s="76"/>
      <c r="L327" s="76"/>
      <c r="M327" s="76"/>
      <c r="N327" s="76"/>
      <c r="O327" s="76">
        <f t="shared" si="69"/>
        <v>0.2</v>
      </c>
      <c r="P327" s="76"/>
      <c r="Q327" s="76"/>
      <c r="R327" s="76">
        <f t="shared" ref="R327:R346" si="79">ROUNDUP(IF($E327="画面",画面係数,IF($E327="帳票",帳票係数,IF($E327="バッチ",バッチ係数,0))) *
 IF($I327="特高",特高係数,IF($I327="高",高係数,IF($I327="中",中係数,IF($I327="低",低係数,IF($I327="特低",特低係数,0)))))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327" s="77"/>
      <c r="T327" s="76">
        <f t="shared" si="70"/>
        <v>0.1</v>
      </c>
      <c r="U327" s="78">
        <f t="shared" si="58"/>
        <v>0.30000000000000004</v>
      </c>
      <c r="V327" s="79">
        <f t="shared" si="56"/>
        <v>1.5000000000000003E-2</v>
      </c>
      <c r="W327" s="80">
        <f t="shared" si="71"/>
        <v>17000</v>
      </c>
      <c r="X327" s="81"/>
    </row>
    <row r="328" spans="1:24" ht="12">
      <c r="A328" s="71">
        <f t="shared" si="59"/>
        <v>319</v>
      </c>
      <c r="B328" s="72" t="s">
        <v>592</v>
      </c>
      <c r="C328" s="200" t="s">
        <v>614</v>
      </c>
      <c r="D328" s="72" t="s">
        <v>594</v>
      </c>
      <c r="E328" s="73" t="s">
        <v>57</v>
      </c>
      <c r="F328" s="73"/>
      <c r="G328" s="74"/>
      <c r="H328" s="74"/>
      <c r="I328" s="75" t="s">
        <v>36</v>
      </c>
      <c r="J328" s="76"/>
      <c r="K328" s="76"/>
      <c r="L328" s="76"/>
      <c r="M328" s="76"/>
      <c r="N328" s="76"/>
      <c r="O328" s="76">
        <f t="shared" si="69"/>
        <v>0.2</v>
      </c>
      <c r="P328" s="76"/>
      <c r="Q328" s="76"/>
      <c r="R328" s="76">
        <f t="shared" si="79"/>
        <v>0</v>
      </c>
      <c r="S328" s="77"/>
      <c r="T328" s="76">
        <f t="shared" si="70"/>
        <v>0.1</v>
      </c>
      <c r="U328" s="78">
        <f t="shared" ref="U328" si="80">SUM(J328:T328)</f>
        <v>0.30000000000000004</v>
      </c>
      <c r="V328" s="79">
        <f t="shared" ref="V328" si="81">U328/20</f>
        <v>1.5000000000000003E-2</v>
      </c>
      <c r="W328" s="80">
        <f t="shared" si="71"/>
        <v>17000</v>
      </c>
      <c r="X328" s="81"/>
    </row>
    <row r="329" spans="1:24" ht="12">
      <c r="A329" s="71">
        <f t="shared" si="59"/>
        <v>320</v>
      </c>
      <c r="B329" s="72" t="s">
        <v>592</v>
      </c>
      <c r="C329" s="200" t="s">
        <v>614</v>
      </c>
      <c r="D329" s="72" t="s">
        <v>595</v>
      </c>
      <c r="E329" s="73" t="s">
        <v>57</v>
      </c>
      <c r="F329" s="73"/>
      <c r="G329" s="74"/>
      <c r="H329" s="74"/>
      <c r="I329" s="75" t="s">
        <v>36</v>
      </c>
      <c r="J329" s="76"/>
      <c r="K329" s="76"/>
      <c r="L329" s="76"/>
      <c r="M329" s="76"/>
      <c r="N329" s="76"/>
      <c r="O329" s="76">
        <f t="shared" si="69"/>
        <v>0.2</v>
      </c>
      <c r="P329" s="76"/>
      <c r="Q329" s="76"/>
      <c r="R329" s="76">
        <f t="shared" si="79"/>
        <v>0</v>
      </c>
      <c r="S329" s="77"/>
      <c r="T329" s="76">
        <f t="shared" si="70"/>
        <v>0.1</v>
      </c>
      <c r="U329" s="78">
        <f t="shared" si="58"/>
        <v>0.30000000000000004</v>
      </c>
      <c r="V329" s="79">
        <f t="shared" si="56"/>
        <v>1.5000000000000003E-2</v>
      </c>
      <c r="W329" s="80">
        <f t="shared" si="71"/>
        <v>17000</v>
      </c>
      <c r="X329" s="81"/>
    </row>
    <row r="330" spans="1:24" ht="12">
      <c r="A330" s="71">
        <f t="shared" si="59"/>
        <v>321</v>
      </c>
      <c r="B330" s="72" t="s">
        <v>592</v>
      </c>
      <c r="C330" s="200" t="s">
        <v>614</v>
      </c>
      <c r="D330" s="72" t="s">
        <v>596</v>
      </c>
      <c r="E330" s="73" t="s">
        <v>57</v>
      </c>
      <c r="F330" s="73"/>
      <c r="G330" s="74"/>
      <c r="H330" s="74"/>
      <c r="I330" s="75" t="s">
        <v>36</v>
      </c>
      <c r="J330" s="76"/>
      <c r="K330" s="76"/>
      <c r="L330" s="76"/>
      <c r="M330" s="76"/>
      <c r="N330" s="76"/>
      <c r="O330" s="76">
        <f t="shared" si="69"/>
        <v>0.2</v>
      </c>
      <c r="P330" s="76"/>
      <c r="Q330" s="76"/>
      <c r="R330" s="76">
        <f t="shared" si="79"/>
        <v>0</v>
      </c>
      <c r="S330" s="77"/>
      <c r="T330" s="76">
        <f t="shared" si="70"/>
        <v>0.1</v>
      </c>
      <c r="U330" s="78">
        <f t="shared" si="58"/>
        <v>0.30000000000000004</v>
      </c>
      <c r="V330" s="79">
        <f t="shared" si="56"/>
        <v>1.5000000000000003E-2</v>
      </c>
      <c r="W330" s="80">
        <f t="shared" si="71"/>
        <v>17000</v>
      </c>
      <c r="X330" s="81"/>
    </row>
    <row r="331" spans="1:24" ht="12">
      <c r="A331" s="71">
        <f t="shared" si="59"/>
        <v>322</v>
      </c>
      <c r="B331" s="72" t="s">
        <v>592</v>
      </c>
      <c r="C331" s="200" t="s">
        <v>614</v>
      </c>
      <c r="D331" s="72" t="s">
        <v>598</v>
      </c>
      <c r="E331" s="73" t="s">
        <v>57</v>
      </c>
      <c r="F331" s="73"/>
      <c r="G331" s="74"/>
      <c r="H331" s="74"/>
      <c r="I331" s="75" t="s">
        <v>36</v>
      </c>
      <c r="J331" s="76"/>
      <c r="K331" s="76"/>
      <c r="L331" s="76"/>
      <c r="M331" s="76"/>
      <c r="N331" s="76"/>
      <c r="O331" s="76">
        <f t="shared" ref="O331:O362" si="82">ROUNDUP(IF($E331="画面",画面係数,IF($E331="帳票",帳票係数,IF($E331="バッチ",バッチ係数,0))) *
 IF($I331="特高",特高係数,IF($I331="高",高係数,IF($I331="中",中係数,IF($I331="低",低係数,IF($I331="特低",特低係数,0))))) *
 IF(O$7="SA",要件定義係数,IF(O$7="UI",基本設計係数,IF(O$7="SS",詳細設計係数,IF(O$7="PS/PG/PT",製作係数,IF(O$7="IT",結合テスト係数,IF(O$7="ST",総合テスト係数,IF(O$7="OT",受入支援係数,IF(O$7="RL",移行切替係数,IF(O$7="その他",その他係数,0))))))))) *
 O$8,1)</f>
        <v>0.2</v>
      </c>
      <c r="P331" s="76"/>
      <c r="Q331" s="76"/>
      <c r="R331" s="76">
        <f t="shared" si="79"/>
        <v>0</v>
      </c>
      <c r="S331" s="77"/>
      <c r="T331" s="76">
        <f t="shared" ref="T331:T362" si="83">ROUNDUP(SUM(J331:S331)*T$8,1)</f>
        <v>0.1</v>
      </c>
      <c r="U331" s="78">
        <f t="shared" si="58"/>
        <v>0.30000000000000004</v>
      </c>
      <c r="V331" s="79">
        <f t="shared" si="56"/>
        <v>1.5000000000000003E-2</v>
      </c>
      <c r="W331" s="80">
        <f t="shared" ref="W331:W362" si="84">((J331*J$9) + (K331*K$9) + (L331*L$9) + (M331*M$9) + (N331*N$9) + (O331*O$9) + (P331*P$9) + (Q331*Q$9) + (R331*R$9) + (S331*S$9) + (T331*T$9))/20</f>
        <v>17000</v>
      </c>
      <c r="X331" s="81"/>
    </row>
    <row r="332" spans="1:24" ht="12">
      <c r="A332" s="71">
        <f t="shared" si="59"/>
        <v>323</v>
      </c>
      <c r="B332" s="72" t="s">
        <v>592</v>
      </c>
      <c r="C332" s="200" t="s">
        <v>615</v>
      </c>
      <c r="D332" s="197" t="s">
        <v>594</v>
      </c>
      <c r="E332" s="73" t="s">
        <v>57</v>
      </c>
      <c r="F332" s="73"/>
      <c r="G332" s="74"/>
      <c r="H332" s="74"/>
      <c r="I332" s="75" t="s">
        <v>36</v>
      </c>
      <c r="J332" s="76"/>
      <c r="K332" s="76"/>
      <c r="L332" s="76"/>
      <c r="M332" s="76"/>
      <c r="N332" s="76"/>
      <c r="O332" s="76">
        <f t="shared" si="82"/>
        <v>0.2</v>
      </c>
      <c r="P332" s="76"/>
      <c r="Q332" s="76"/>
      <c r="R332" s="76">
        <f t="shared" si="79"/>
        <v>0</v>
      </c>
      <c r="S332" s="77"/>
      <c r="T332" s="76">
        <f t="shared" si="83"/>
        <v>0.1</v>
      </c>
      <c r="U332" s="78">
        <f t="shared" si="58"/>
        <v>0.30000000000000004</v>
      </c>
      <c r="V332" s="79">
        <f t="shared" si="56"/>
        <v>1.5000000000000003E-2</v>
      </c>
      <c r="W332" s="80">
        <f t="shared" si="84"/>
        <v>17000</v>
      </c>
      <c r="X332" s="81"/>
    </row>
    <row r="333" spans="1:24" ht="12">
      <c r="A333" s="71">
        <f t="shared" ref="A333:A462" si="85">ROW()-9</f>
        <v>324</v>
      </c>
      <c r="B333" s="72" t="s">
        <v>592</v>
      </c>
      <c r="C333" s="200" t="s">
        <v>615</v>
      </c>
      <c r="D333" s="198" t="s">
        <v>595</v>
      </c>
      <c r="E333" s="73" t="s">
        <v>57</v>
      </c>
      <c r="F333" s="73"/>
      <c r="G333" s="90"/>
      <c r="H333" s="90"/>
      <c r="I333" s="75" t="s">
        <v>36</v>
      </c>
      <c r="J333" s="84"/>
      <c r="K333" s="84"/>
      <c r="L333" s="84"/>
      <c r="M333" s="84"/>
      <c r="N333" s="84"/>
      <c r="O333" s="84">
        <f t="shared" si="82"/>
        <v>0.2</v>
      </c>
      <c r="P333" s="84"/>
      <c r="Q333" s="84"/>
      <c r="R333" s="84">
        <f t="shared" si="79"/>
        <v>0</v>
      </c>
      <c r="S333" s="85"/>
      <c r="T333" s="84">
        <f t="shared" si="83"/>
        <v>0.1</v>
      </c>
      <c r="U333" s="86">
        <f t="shared" ref="U333:U376" si="86">SUM(J333:T333)</f>
        <v>0.30000000000000004</v>
      </c>
      <c r="V333" s="87">
        <f t="shared" ref="V333:V376" si="87">U333/20</f>
        <v>1.5000000000000003E-2</v>
      </c>
      <c r="W333" s="88">
        <f t="shared" si="84"/>
        <v>17000</v>
      </c>
      <c r="X333" s="81"/>
    </row>
    <row r="334" spans="1:24" ht="12">
      <c r="A334" s="71">
        <f t="shared" si="85"/>
        <v>325</v>
      </c>
      <c r="B334" s="72" t="s">
        <v>592</v>
      </c>
      <c r="C334" s="200" t="s">
        <v>615</v>
      </c>
      <c r="D334" s="72" t="s">
        <v>596</v>
      </c>
      <c r="E334" s="73" t="s">
        <v>57</v>
      </c>
      <c r="F334" s="73"/>
      <c r="G334" s="90"/>
      <c r="H334" s="90"/>
      <c r="I334" s="75" t="s">
        <v>36</v>
      </c>
      <c r="J334" s="84"/>
      <c r="K334" s="84"/>
      <c r="L334" s="84"/>
      <c r="M334" s="84"/>
      <c r="N334" s="84"/>
      <c r="O334" s="84">
        <f t="shared" si="82"/>
        <v>0.2</v>
      </c>
      <c r="P334" s="84"/>
      <c r="Q334" s="84"/>
      <c r="R334" s="84">
        <f t="shared" si="79"/>
        <v>0</v>
      </c>
      <c r="S334" s="85"/>
      <c r="T334" s="84">
        <f t="shared" si="83"/>
        <v>0.1</v>
      </c>
      <c r="U334" s="86">
        <f t="shared" si="86"/>
        <v>0.30000000000000004</v>
      </c>
      <c r="V334" s="87">
        <f t="shared" si="87"/>
        <v>1.5000000000000003E-2</v>
      </c>
      <c r="W334" s="88">
        <f t="shared" si="84"/>
        <v>17000</v>
      </c>
      <c r="X334" s="81"/>
    </row>
    <row r="335" spans="1:24" ht="12">
      <c r="A335" s="71">
        <f t="shared" si="85"/>
        <v>326</v>
      </c>
      <c r="B335" s="72" t="s">
        <v>592</v>
      </c>
      <c r="C335" s="200" t="s">
        <v>615</v>
      </c>
      <c r="D335" s="197" t="s">
        <v>598</v>
      </c>
      <c r="E335" s="73" t="s">
        <v>57</v>
      </c>
      <c r="F335" s="73"/>
      <c r="G335" s="90"/>
      <c r="H335" s="90"/>
      <c r="I335" s="75" t="s">
        <v>36</v>
      </c>
      <c r="J335" s="84"/>
      <c r="K335" s="84"/>
      <c r="L335" s="84"/>
      <c r="M335" s="84"/>
      <c r="N335" s="84"/>
      <c r="O335" s="84">
        <f t="shared" si="82"/>
        <v>0.2</v>
      </c>
      <c r="P335" s="84"/>
      <c r="Q335" s="84"/>
      <c r="R335" s="84">
        <f t="shared" si="79"/>
        <v>0</v>
      </c>
      <c r="S335" s="85"/>
      <c r="T335" s="84">
        <f t="shared" si="83"/>
        <v>0.1</v>
      </c>
      <c r="U335" s="86">
        <f t="shared" si="86"/>
        <v>0.30000000000000004</v>
      </c>
      <c r="V335" s="87">
        <f t="shared" si="87"/>
        <v>1.5000000000000003E-2</v>
      </c>
      <c r="W335" s="88">
        <f t="shared" si="84"/>
        <v>17000</v>
      </c>
      <c r="X335" s="81"/>
    </row>
    <row r="336" spans="1:24" ht="12">
      <c r="A336" s="71">
        <f t="shared" si="85"/>
        <v>327</v>
      </c>
      <c r="B336" s="72" t="s">
        <v>592</v>
      </c>
      <c r="C336" s="201" t="s">
        <v>616</v>
      </c>
      <c r="D336" s="198" t="s">
        <v>594</v>
      </c>
      <c r="E336" s="73" t="s">
        <v>57</v>
      </c>
      <c r="F336" s="73"/>
      <c r="G336" s="90"/>
      <c r="H336" s="90"/>
      <c r="I336" s="75" t="s">
        <v>36</v>
      </c>
      <c r="J336" s="84"/>
      <c r="K336" s="84"/>
      <c r="L336" s="84"/>
      <c r="M336" s="84"/>
      <c r="N336" s="84"/>
      <c r="O336" s="84">
        <f t="shared" si="82"/>
        <v>0.2</v>
      </c>
      <c r="P336" s="84"/>
      <c r="Q336" s="84"/>
      <c r="R336" s="84">
        <f t="shared" si="79"/>
        <v>0</v>
      </c>
      <c r="S336" s="85"/>
      <c r="T336" s="84">
        <f t="shared" si="83"/>
        <v>0.1</v>
      </c>
      <c r="U336" s="86">
        <f t="shared" si="86"/>
        <v>0.30000000000000004</v>
      </c>
      <c r="V336" s="87">
        <f t="shared" si="87"/>
        <v>1.5000000000000003E-2</v>
      </c>
      <c r="W336" s="88">
        <f t="shared" si="84"/>
        <v>17000</v>
      </c>
      <c r="X336" s="81"/>
    </row>
    <row r="337" spans="1:24" ht="12">
      <c r="A337" s="71">
        <f t="shared" si="85"/>
        <v>328</v>
      </c>
      <c r="B337" s="72" t="s">
        <v>592</v>
      </c>
      <c r="C337" s="201" t="s">
        <v>616</v>
      </c>
      <c r="D337" s="72" t="s">
        <v>595</v>
      </c>
      <c r="E337" s="73" t="s">
        <v>57</v>
      </c>
      <c r="F337" s="73"/>
      <c r="G337" s="90"/>
      <c r="H337" s="90"/>
      <c r="I337" s="75" t="s">
        <v>36</v>
      </c>
      <c r="J337" s="84"/>
      <c r="K337" s="84"/>
      <c r="L337" s="84"/>
      <c r="M337" s="84"/>
      <c r="N337" s="84"/>
      <c r="O337" s="84">
        <f t="shared" si="82"/>
        <v>0.2</v>
      </c>
      <c r="P337" s="84"/>
      <c r="Q337" s="84"/>
      <c r="R337" s="84">
        <f t="shared" si="79"/>
        <v>0</v>
      </c>
      <c r="S337" s="85"/>
      <c r="T337" s="84">
        <f t="shared" si="83"/>
        <v>0.1</v>
      </c>
      <c r="U337" s="86">
        <f t="shared" si="86"/>
        <v>0.30000000000000004</v>
      </c>
      <c r="V337" s="87">
        <f t="shared" si="87"/>
        <v>1.5000000000000003E-2</v>
      </c>
      <c r="W337" s="88">
        <f t="shared" si="84"/>
        <v>17000</v>
      </c>
      <c r="X337" s="81"/>
    </row>
    <row r="338" spans="1:24" ht="12">
      <c r="A338" s="71">
        <f t="shared" si="85"/>
        <v>329</v>
      </c>
      <c r="B338" s="72" t="s">
        <v>592</v>
      </c>
      <c r="C338" s="201" t="s">
        <v>616</v>
      </c>
      <c r="D338" s="197" t="s">
        <v>596</v>
      </c>
      <c r="E338" s="73" t="s">
        <v>57</v>
      </c>
      <c r="F338" s="73"/>
      <c r="G338" s="90"/>
      <c r="H338" s="90"/>
      <c r="I338" s="75" t="s">
        <v>36</v>
      </c>
      <c r="J338" s="84"/>
      <c r="K338" s="84"/>
      <c r="L338" s="84"/>
      <c r="M338" s="84"/>
      <c r="N338" s="84"/>
      <c r="O338" s="84">
        <f t="shared" si="82"/>
        <v>0.2</v>
      </c>
      <c r="P338" s="84"/>
      <c r="Q338" s="84"/>
      <c r="R338" s="84">
        <f t="shared" si="79"/>
        <v>0</v>
      </c>
      <c r="S338" s="85"/>
      <c r="T338" s="84">
        <f t="shared" si="83"/>
        <v>0.1</v>
      </c>
      <c r="U338" s="86">
        <f t="shared" si="86"/>
        <v>0.30000000000000004</v>
      </c>
      <c r="V338" s="87">
        <f t="shared" si="87"/>
        <v>1.5000000000000003E-2</v>
      </c>
      <c r="W338" s="88">
        <f t="shared" si="84"/>
        <v>17000</v>
      </c>
      <c r="X338" s="81"/>
    </row>
    <row r="339" spans="1:24" ht="12">
      <c r="A339" s="71">
        <f t="shared" si="85"/>
        <v>330</v>
      </c>
      <c r="B339" s="72" t="s">
        <v>592</v>
      </c>
      <c r="C339" s="201" t="s">
        <v>616</v>
      </c>
      <c r="D339" s="198" t="s">
        <v>598</v>
      </c>
      <c r="E339" s="73" t="s">
        <v>57</v>
      </c>
      <c r="F339" s="73"/>
      <c r="G339" s="90"/>
      <c r="H339" s="90"/>
      <c r="I339" s="75" t="s">
        <v>36</v>
      </c>
      <c r="J339" s="84"/>
      <c r="K339" s="84"/>
      <c r="L339" s="84"/>
      <c r="M339" s="84"/>
      <c r="N339" s="84"/>
      <c r="O339" s="84">
        <f t="shared" si="82"/>
        <v>0.2</v>
      </c>
      <c r="P339" s="84"/>
      <c r="Q339" s="84"/>
      <c r="R339" s="84">
        <f t="shared" si="79"/>
        <v>0</v>
      </c>
      <c r="S339" s="85"/>
      <c r="T339" s="84">
        <f t="shared" si="83"/>
        <v>0.1</v>
      </c>
      <c r="U339" s="86">
        <f t="shared" si="86"/>
        <v>0.30000000000000004</v>
      </c>
      <c r="V339" s="87">
        <f t="shared" si="87"/>
        <v>1.5000000000000003E-2</v>
      </c>
      <c r="W339" s="88">
        <f t="shared" si="84"/>
        <v>17000</v>
      </c>
      <c r="X339" s="81"/>
    </row>
    <row r="340" spans="1:24" ht="12">
      <c r="A340" s="71">
        <f t="shared" si="85"/>
        <v>331</v>
      </c>
      <c r="B340" s="72" t="s">
        <v>592</v>
      </c>
      <c r="C340" s="201" t="s">
        <v>617</v>
      </c>
      <c r="D340" s="72" t="s">
        <v>594</v>
      </c>
      <c r="E340" s="73" t="s">
        <v>57</v>
      </c>
      <c r="F340" s="73"/>
      <c r="G340" s="90"/>
      <c r="H340" s="90"/>
      <c r="I340" s="75" t="s">
        <v>36</v>
      </c>
      <c r="J340" s="84"/>
      <c r="K340" s="84"/>
      <c r="L340" s="84"/>
      <c r="M340" s="84"/>
      <c r="N340" s="84"/>
      <c r="O340" s="84">
        <f t="shared" si="82"/>
        <v>0.2</v>
      </c>
      <c r="P340" s="84"/>
      <c r="Q340" s="84"/>
      <c r="R340" s="84">
        <f t="shared" si="79"/>
        <v>0</v>
      </c>
      <c r="S340" s="85"/>
      <c r="T340" s="84">
        <f t="shared" si="83"/>
        <v>0.1</v>
      </c>
      <c r="U340" s="86">
        <f t="shared" si="86"/>
        <v>0.30000000000000004</v>
      </c>
      <c r="V340" s="87">
        <f t="shared" si="87"/>
        <v>1.5000000000000003E-2</v>
      </c>
      <c r="W340" s="88">
        <f t="shared" si="84"/>
        <v>17000</v>
      </c>
      <c r="X340" s="81"/>
    </row>
    <row r="341" spans="1:24" ht="12">
      <c r="A341" s="71">
        <f t="shared" si="85"/>
        <v>332</v>
      </c>
      <c r="B341" s="72" t="s">
        <v>592</v>
      </c>
      <c r="C341" s="201" t="s">
        <v>617</v>
      </c>
      <c r="D341" s="197" t="s">
        <v>595</v>
      </c>
      <c r="E341" s="73" t="s">
        <v>57</v>
      </c>
      <c r="F341" s="73"/>
      <c r="G341" s="74"/>
      <c r="H341" s="74"/>
      <c r="I341" s="75" t="s">
        <v>36</v>
      </c>
      <c r="J341" s="84"/>
      <c r="K341" s="84"/>
      <c r="L341" s="84"/>
      <c r="M341" s="84"/>
      <c r="N341" s="84"/>
      <c r="O341" s="84">
        <f t="shared" si="82"/>
        <v>0.2</v>
      </c>
      <c r="P341" s="84"/>
      <c r="Q341" s="84"/>
      <c r="R341" s="84">
        <f t="shared" si="79"/>
        <v>0</v>
      </c>
      <c r="S341" s="85"/>
      <c r="T341" s="84">
        <f t="shared" si="83"/>
        <v>0.1</v>
      </c>
      <c r="U341" s="86">
        <f t="shared" si="86"/>
        <v>0.30000000000000004</v>
      </c>
      <c r="V341" s="87">
        <f t="shared" si="87"/>
        <v>1.5000000000000003E-2</v>
      </c>
      <c r="W341" s="88">
        <f t="shared" si="84"/>
        <v>17000</v>
      </c>
      <c r="X341" s="81"/>
    </row>
    <row r="342" spans="1:24" ht="12">
      <c r="A342" s="71">
        <f t="shared" si="85"/>
        <v>333</v>
      </c>
      <c r="B342" s="72" t="s">
        <v>592</v>
      </c>
      <c r="C342" s="201" t="s">
        <v>617</v>
      </c>
      <c r="D342" s="198" t="s">
        <v>596</v>
      </c>
      <c r="E342" s="73" t="s">
        <v>57</v>
      </c>
      <c r="F342" s="73"/>
      <c r="G342" s="74"/>
      <c r="H342" s="74"/>
      <c r="I342" s="75" t="s">
        <v>36</v>
      </c>
      <c r="J342" s="84"/>
      <c r="K342" s="84"/>
      <c r="L342" s="84"/>
      <c r="M342" s="84"/>
      <c r="N342" s="84"/>
      <c r="O342" s="84">
        <f t="shared" si="82"/>
        <v>0.2</v>
      </c>
      <c r="P342" s="84"/>
      <c r="Q342" s="84"/>
      <c r="R342" s="84">
        <f t="shared" si="79"/>
        <v>0</v>
      </c>
      <c r="S342" s="85"/>
      <c r="T342" s="84">
        <f t="shared" si="83"/>
        <v>0.1</v>
      </c>
      <c r="U342" s="86">
        <f t="shared" si="86"/>
        <v>0.30000000000000004</v>
      </c>
      <c r="V342" s="87">
        <f t="shared" si="87"/>
        <v>1.5000000000000003E-2</v>
      </c>
      <c r="W342" s="88">
        <f t="shared" si="84"/>
        <v>17000</v>
      </c>
      <c r="X342" s="81"/>
    </row>
    <row r="343" spans="1:24" ht="12">
      <c r="A343" s="71">
        <f t="shared" si="85"/>
        <v>334</v>
      </c>
      <c r="B343" s="72" t="s">
        <v>592</v>
      </c>
      <c r="C343" s="201" t="s">
        <v>617</v>
      </c>
      <c r="D343" s="72" t="s">
        <v>598</v>
      </c>
      <c r="E343" s="73" t="s">
        <v>57</v>
      </c>
      <c r="F343" s="73"/>
      <c r="G343" s="74"/>
      <c r="H343" s="74"/>
      <c r="I343" s="75" t="s">
        <v>36</v>
      </c>
      <c r="J343" s="84"/>
      <c r="K343" s="84"/>
      <c r="L343" s="84"/>
      <c r="M343" s="84"/>
      <c r="N343" s="84"/>
      <c r="O343" s="84">
        <f t="shared" si="82"/>
        <v>0.2</v>
      </c>
      <c r="P343" s="84"/>
      <c r="Q343" s="84"/>
      <c r="R343" s="84">
        <f t="shared" si="79"/>
        <v>0</v>
      </c>
      <c r="S343" s="85"/>
      <c r="T343" s="84">
        <f t="shared" si="83"/>
        <v>0.1</v>
      </c>
      <c r="U343" s="86">
        <f t="shared" si="86"/>
        <v>0.30000000000000004</v>
      </c>
      <c r="V343" s="87">
        <f t="shared" si="87"/>
        <v>1.5000000000000003E-2</v>
      </c>
      <c r="W343" s="88">
        <f t="shared" si="84"/>
        <v>17000</v>
      </c>
      <c r="X343" s="81"/>
    </row>
    <row r="344" spans="1:24" ht="12">
      <c r="A344" s="71">
        <f t="shared" si="85"/>
        <v>335</v>
      </c>
      <c r="B344" s="72" t="s">
        <v>592</v>
      </c>
      <c r="C344" s="201" t="s">
        <v>618</v>
      </c>
      <c r="D344" s="197" t="s">
        <v>594</v>
      </c>
      <c r="E344" s="73" t="s">
        <v>57</v>
      </c>
      <c r="F344" s="73"/>
      <c r="G344" s="74"/>
      <c r="H344" s="74"/>
      <c r="I344" s="75" t="s">
        <v>36</v>
      </c>
      <c r="J344" s="84"/>
      <c r="K344" s="84"/>
      <c r="L344" s="84"/>
      <c r="M344" s="84"/>
      <c r="N344" s="84"/>
      <c r="O344" s="84">
        <f t="shared" si="82"/>
        <v>0.2</v>
      </c>
      <c r="P344" s="84"/>
      <c r="Q344" s="84"/>
      <c r="R344" s="84">
        <f t="shared" si="79"/>
        <v>0</v>
      </c>
      <c r="S344" s="85"/>
      <c r="T344" s="84">
        <f t="shared" si="83"/>
        <v>0.1</v>
      </c>
      <c r="U344" s="86">
        <f t="shared" si="86"/>
        <v>0.30000000000000004</v>
      </c>
      <c r="V344" s="87">
        <f t="shared" si="87"/>
        <v>1.5000000000000003E-2</v>
      </c>
      <c r="W344" s="88">
        <f t="shared" si="84"/>
        <v>17000</v>
      </c>
      <c r="X344" s="81"/>
    </row>
    <row r="345" spans="1:24" ht="12">
      <c r="A345" s="71">
        <f t="shared" si="85"/>
        <v>336</v>
      </c>
      <c r="B345" s="72" t="s">
        <v>592</v>
      </c>
      <c r="C345" s="201" t="s">
        <v>618</v>
      </c>
      <c r="D345" s="198" t="s">
        <v>595</v>
      </c>
      <c r="E345" s="73" t="s">
        <v>57</v>
      </c>
      <c r="F345" s="73"/>
      <c r="G345" s="74"/>
      <c r="H345" s="74"/>
      <c r="I345" s="75" t="s">
        <v>36</v>
      </c>
      <c r="J345" s="84"/>
      <c r="K345" s="84"/>
      <c r="L345" s="84"/>
      <c r="M345" s="84"/>
      <c r="N345" s="84"/>
      <c r="O345" s="84">
        <f t="shared" si="82"/>
        <v>0.2</v>
      </c>
      <c r="P345" s="84"/>
      <c r="Q345" s="84"/>
      <c r="R345" s="84">
        <f t="shared" si="79"/>
        <v>0</v>
      </c>
      <c r="S345" s="85"/>
      <c r="T345" s="84">
        <f t="shared" si="83"/>
        <v>0.1</v>
      </c>
      <c r="U345" s="86">
        <f t="shared" si="86"/>
        <v>0.30000000000000004</v>
      </c>
      <c r="V345" s="87">
        <f t="shared" si="87"/>
        <v>1.5000000000000003E-2</v>
      </c>
      <c r="W345" s="88">
        <f t="shared" si="84"/>
        <v>17000</v>
      </c>
      <c r="X345" s="81"/>
    </row>
    <row r="346" spans="1:24" ht="12">
      <c r="A346" s="71">
        <f t="shared" si="85"/>
        <v>337</v>
      </c>
      <c r="B346" s="72" t="s">
        <v>592</v>
      </c>
      <c r="C346" s="201" t="s">
        <v>618</v>
      </c>
      <c r="D346" s="72" t="s">
        <v>596</v>
      </c>
      <c r="E346" s="73" t="s">
        <v>57</v>
      </c>
      <c r="F346" s="73"/>
      <c r="G346" s="74"/>
      <c r="H346" s="74"/>
      <c r="I346" s="75" t="s">
        <v>36</v>
      </c>
      <c r="J346" s="84"/>
      <c r="K346" s="84"/>
      <c r="L346" s="84"/>
      <c r="M346" s="84"/>
      <c r="N346" s="84"/>
      <c r="O346" s="84">
        <f t="shared" si="82"/>
        <v>0.2</v>
      </c>
      <c r="P346" s="84"/>
      <c r="Q346" s="84"/>
      <c r="R346" s="84">
        <f t="shared" si="79"/>
        <v>0</v>
      </c>
      <c r="S346" s="85"/>
      <c r="T346" s="84">
        <f t="shared" si="83"/>
        <v>0.1</v>
      </c>
      <c r="U346" s="86">
        <f t="shared" si="86"/>
        <v>0.30000000000000004</v>
      </c>
      <c r="V346" s="87">
        <f t="shared" si="87"/>
        <v>1.5000000000000003E-2</v>
      </c>
      <c r="W346" s="88">
        <f t="shared" si="84"/>
        <v>17000</v>
      </c>
      <c r="X346" s="81"/>
    </row>
    <row r="347" spans="1:24" ht="12">
      <c r="A347" s="71">
        <f t="shared" si="85"/>
        <v>338</v>
      </c>
      <c r="B347" s="72" t="s">
        <v>592</v>
      </c>
      <c r="C347" s="201" t="s">
        <v>618</v>
      </c>
      <c r="D347" s="197" t="s">
        <v>598</v>
      </c>
      <c r="E347" s="73" t="s">
        <v>57</v>
      </c>
      <c r="F347" s="73"/>
      <c r="G347" s="74"/>
      <c r="H347" s="74"/>
      <c r="I347" s="75" t="s">
        <v>36</v>
      </c>
      <c r="J347" s="84"/>
      <c r="K347" s="84"/>
      <c r="L347" s="84"/>
      <c r="M347" s="84"/>
      <c r="N347" s="84"/>
      <c r="O347" s="84">
        <f t="shared" si="82"/>
        <v>0.2</v>
      </c>
      <c r="P347" s="84"/>
      <c r="Q347" s="84"/>
      <c r="R347" s="84">
        <f t="shared" ref="R347:R366" si="88">ROUNDUP(IF($E347="画面",画面係数,IF($E347="帳票",帳票係数,IF($E347="バッチ",バッチ係数,0))) *
 IF($I347="特高",特高係数,IF($I347="高",高係数,IF($I347="中",中係数,IF($I347="低",低係数,IF($I347="特低",特低係数,0)))))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347" s="85"/>
      <c r="T347" s="84">
        <f t="shared" si="83"/>
        <v>0.1</v>
      </c>
      <c r="U347" s="86">
        <f t="shared" si="86"/>
        <v>0.30000000000000004</v>
      </c>
      <c r="V347" s="87">
        <f t="shared" si="87"/>
        <v>1.5000000000000003E-2</v>
      </c>
      <c r="W347" s="88">
        <f t="shared" si="84"/>
        <v>17000</v>
      </c>
      <c r="X347" s="81"/>
    </row>
    <row r="348" spans="1:24" ht="12">
      <c r="A348" s="71">
        <f t="shared" si="85"/>
        <v>339</v>
      </c>
      <c r="B348" s="72" t="s">
        <v>592</v>
      </c>
      <c r="C348" s="201" t="s">
        <v>619</v>
      </c>
      <c r="D348" s="198" t="s">
        <v>594</v>
      </c>
      <c r="E348" s="73" t="s">
        <v>57</v>
      </c>
      <c r="F348" s="73"/>
      <c r="G348" s="90"/>
      <c r="H348" s="90"/>
      <c r="I348" s="75" t="s">
        <v>36</v>
      </c>
      <c r="J348" s="84"/>
      <c r="K348" s="84"/>
      <c r="L348" s="84"/>
      <c r="M348" s="84"/>
      <c r="N348" s="84"/>
      <c r="O348" s="84">
        <f t="shared" si="82"/>
        <v>0.2</v>
      </c>
      <c r="P348" s="84"/>
      <c r="Q348" s="84"/>
      <c r="R348" s="84">
        <f t="shared" si="88"/>
        <v>0</v>
      </c>
      <c r="S348" s="85"/>
      <c r="T348" s="84">
        <f t="shared" si="83"/>
        <v>0.1</v>
      </c>
      <c r="U348" s="86">
        <f t="shared" si="86"/>
        <v>0.30000000000000004</v>
      </c>
      <c r="V348" s="87">
        <f t="shared" si="87"/>
        <v>1.5000000000000003E-2</v>
      </c>
      <c r="W348" s="88">
        <f t="shared" si="84"/>
        <v>17000</v>
      </c>
      <c r="X348" s="81"/>
    </row>
    <row r="349" spans="1:24" ht="12">
      <c r="A349" s="71">
        <f t="shared" si="85"/>
        <v>340</v>
      </c>
      <c r="B349" s="72" t="s">
        <v>592</v>
      </c>
      <c r="C349" s="201" t="s">
        <v>619</v>
      </c>
      <c r="D349" s="72" t="s">
        <v>595</v>
      </c>
      <c r="E349" s="73" t="s">
        <v>57</v>
      </c>
      <c r="F349" s="73"/>
      <c r="G349" s="90"/>
      <c r="H349" s="90"/>
      <c r="I349" s="75" t="s">
        <v>36</v>
      </c>
      <c r="J349" s="84"/>
      <c r="K349" s="84"/>
      <c r="L349" s="84"/>
      <c r="M349" s="84"/>
      <c r="N349" s="84"/>
      <c r="O349" s="84">
        <f t="shared" si="82"/>
        <v>0.2</v>
      </c>
      <c r="P349" s="84"/>
      <c r="Q349" s="84"/>
      <c r="R349" s="84">
        <f t="shared" si="88"/>
        <v>0</v>
      </c>
      <c r="S349" s="85"/>
      <c r="T349" s="84">
        <f t="shared" si="83"/>
        <v>0.1</v>
      </c>
      <c r="U349" s="86">
        <f t="shared" si="86"/>
        <v>0.30000000000000004</v>
      </c>
      <c r="V349" s="87">
        <f t="shared" si="87"/>
        <v>1.5000000000000003E-2</v>
      </c>
      <c r="W349" s="88">
        <f t="shared" si="84"/>
        <v>17000</v>
      </c>
      <c r="X349" s="81"/>
    </row>
    <row r="350" spans="1:24" ht="12">
      <c r="A350" s="71">
        <f t="shared" si="85"/>
        <v>341</v>
      </c>
      <c r="B350" s="72" t="s">
        <v>592</v>
      </c>
      <c r="C350" s="201" t="s">
        <v>619</v>
      </c>
      <c r="D350" s="197" t="s">
        <v>596</v>
      </c>
      <c r="E350" s="73" t="s">
        <v>57</v>
      </c>
      <c r="F350" s="73"/>
      <c r="G350" s="90"/>
      <c r="H350" s="90"/>
      <c r="I350" s="75" t="s">
        <v>36</v>
      </c>
      <c r="J350" s="84"/>
      <c r="K350" s="84"/>
      <c r="L350" s="84"/>
      <c r="M350" s="84"/>
      <c r="N350" s="84"/>
      <c r="O350" s="84">
        <f t="shared" si="82"/>
        <v>0.2</v>
      </c>
      <c r="P350" s="84"/>
      <c r="Q350" s="84"/>
      <c r="R350" s="84">
        <f t="shared" si="88"/>
        <v>0</v>
      </c>
      <c r="S350" s="85"/>
      <c r="T350" s="84">
        <f t="shared" si="83"/>
        <v>0.1</v>
      </c>
      <c r="U350" s="86">
        <f t="shared" si="86"/>
        <v>0.30000000000000004</v>
      </c>
      <c r="V350" s="87">
        <f t="shared" si="87"/>
        <v>1.5000000000000003E-2</v>
      </c>
      <c r="W350" s="88">
        <f t="shared" si="84"/>
        <v>17000</v>
      </c>
      <c r="X350" s="81"/>
    </row>
    <row r="351" spans="1:24" ht="12">
      <c r="A351" s="71">
        <f t="shared" si="85"/>
        <v>342</v>
      </c>
      <c r="B351" s="72" t="s">
        <v>592</v>
      </c>
      <c r="C351" s="201" t="s">
        <v>619</v>
      </c>
      <c r="D351" s="198" t="s">
        <v>598</v>
      </c>
      <c r="E351" s="73" t="s">
        <v>57</v>
      </c>
      <c r="F351" s="73"/>
      <c r="G351" s="90"/>
      <c r="H351" s="90"/>
      <c r="I351" s="75" t="s">
        <v>36</v>
      </c>
      <c r="J351" s="84"/>
      <c r="K351" s="84"/>
      <c r="L351" s="84"/>
      <c r="M351" s="84"/>
      <c r="N351" s="84"/>
      <c r="O351" s="84">
        <f t="shared" si="82"/>
        <v>0.2</v>
      </c>
      <c r="P351" s="84"/>
      <c r="Q351" s="84"/>
      <c r="R351" s="84">
        <f t="shared" si="88"/>
        <v>0</v>
      </c>
      <c r="S351" s="85"/>
      <c r="T351" s="84">
        <f t="shared" si="83"/>
        <v>0.1</v>
      </c>
      <c r="U351" s="86">
        <f t="shared" si="86"/>
        <v>0.30000000000000004</v>
      </c>
      <c r="V351" s="87">
        <f t="shared" si="87"/>
        <v>1.5000000000000003E-2</v>
      </c>
      <c r="W351" s="88">
        <f t="shared" si="84"/>
        <v>17000</v>
      </c>
      <c r="X351" s="81"/>
    </row>
    <row r="352" spans="1:24" ht="12">
      <c r="A352" s="71">
        <f t="shared" si="85"/>
        <v>343</v>
      </c>
      <c r="B352" s="72" t="s">
        <v>592</v>
      </c>
      <c r="C352" s="201" t="s">
        <v>620</v>
      </c>
      <c r="D352" s="72" t="s">
        <v>594</v>
      </c>
      <c r="E352" s="73" t="s">
        <v>57</v>
      </c>
      <c r="F352" s="73"/>
      <c r="G352" s="90"/>
      <c r="H352" s="90"/>
      <c r="I352" s="75" t="s">
        <v>36</v>
      </c>
      <c r="J352" s="84"/>
      <c r="K352" s="84"/>
      <c r="L352" s="84"/>
      <c r="M352" s="84"/>
      <c r="N352" s="84"/>
      <c r="O352" s="84">
        <f t="shared" si="82"/>
        <v>0.2</v>
      </c>
      <c r="P352" s="84"/>
      <c r="Q352" s="84"/>
      <c r="R352" s="84">
        <f t="shared" si="88"/>
        <v>0</v>
      </c>
      <c r="S352" s="85"/>
      <c r="T352" s="84">
        <f t="shared" si="83"/>
        <v>0.1</v>
      </c>
      <c r="U352" s="86">
        <f t="shared" si="86"/>
        <v>0.30000000000000004</v>
      </c>
      <c r="V352" s="87">
        <f t="shared" si="87"/>
        <v>1.5000000000000003E-2</v>
      </c>
      <c r="W352" s="88">
        <f t="shared" si="84"/>
        <v>17000</v>
      </c>
      <c r="X352" s="81"/>
    </row>
    <row r="353" spans="1:24" ht="12">
      <c r="A353" s="71">
        <f t="shared" si="85"/>
        <v>344</v>
      </c>
      <c r="B353" s="72" t="s">
        <v>592</v>
      </c>
      <c r="C353" s="201" t="s">
        <v>620</v>
      </c>
      <c r="D353" s="197" t="s">
        <v>595</v>
      </c>
      <c r="E353" s="73" t="s">
        <v>57</v>
      </c>
      <c r="F353" s="73"/>
      <c r="G353" s="90"/>
      <c r="H353" s="90"/>
      <c r="I353" s="75" t="s">
        <v>36</v>
      </c>
      <c r="J353" s="84"/>
      <c r="K353" s="84"/>
      <c r="L353" s="84"/>
      <c r="M353" s="84"/>
      <c r="N353" s="84"/>
      <c r="O353" s="84">
        <f t="shared" si="82"/>
        <v>0.2</v>
      </c>
      <c r="P353" s="84"/>
      <c r="Q353" s="84"/>
      <c r="R353" s="84">
        <f t="shared" si="88"/>
        <v>0</v>
      </c>
      <c r="S353" s="85"/>
      <c r="T353" s="84">
        <f t="shared" si="83"/>
        <v>0.1</v>
      </c>
      <c r="U353" s="86">
        <f t="shared" si="86"/>
        <v>0.30000000000000004</v>
      </c>
      <c r="V353" s="87">
        <f t="shared" si="87"/>
        <v>1.5000000000000003E-2</v>
      </c>
      <c r="W353" s="88">
        <f t="shared" si="84"/>
        <v>17000</v>
      </c>
      <c r="X353" s="81"/>
    </row>
    <row r="354" spans="1:24" ht="12">
      <c r="A354" s="71">
        <f t="shared" si="85"/>
        <v>345</v>
      </c>
      <c r="B354" s="72" t="s">
        <v>592</v>
      </c>
      <c r="C354" s="201" t="s">
        <v>620</v>
      </c>
      <c r="D354" s="198" t="s">
        <v>596</v>
      </c>
      <c r="E354" s="73" t="s">
        <v>57</v>
      </c>
      <c r="F354" s="73"/>
      <c r="G354" s="90"/>
      <c r="H354" s="90"/>
      <c r="I354" s="75" t="s">
        <v>36</v>
      </c>
      <c r="J354" s="84"/>
      <c r="K354" s="84"/>
      <c r="L354" s="84"/>
      <c r="M354" s="84"/>
      <c r="N354" s="84"/>
      <c r="O354" s="84">
        <f t="shared" si="82"/>
        <v>0.2</v>
      </c>
      <c r="P354" s="84"/>
      <c r="Q354" s="84"/>
      <c r="R354" s="84">
        <f t="shared" si="88"/>
        <v>0</v>
      </c>
      <c r="S354" s="85"/>
      <c r="T354" s="84">
        <f t="shared" si="83"/>
        <v>0.1</v>
      </c>
      <c r="U354" s="86">
        <f t="shared" si="86"/>
        <v>0.30000000000000004</v>
      </c>
      <c r="V354" s="87">
        <f t="shared" si="87"/>
        <v>1.5000000000000003E-2</v>
      </c>
      <c r="W354" s="88">
        <f t="shared" si="84"/>
        <v>17000</v>
      </c>
      <c r="X354" s="81"/>
    </row>
    <row r="355" spans="1:24" ht="12">
      <c r="A355" s="71">
        <f t="shared" si="85"/>
        <v>346</v>
      </c>
      <c r="B355" s="72" t="s">
        <v>592</v>
      </c>
      <c r="C355" s="201" t="s">
        <v>620</v>
      </c>
      <c r="D355" s="72" t="s">
        <v>598</v>
      </c>
      <c r="E355" s="73" t="s">
        <v>57</v>
      </c>
      <c r="F355" s="73"/>
      <c r="G355" s="90"/>
      <c r="H355" s="90"/>
      <c r="I355" s="75" t="s">
        <v>36</v>
      </c>
      <c r="J355" s="84"/>
      <c r="K355" s="84"/>
      <c r="L355" s="84"/>
      <c r="M355" s="84"/>
      <c r="N355" s="84"/>
      <c r="O355" s="84">
        <f t="shared" si="82"/>
        <v>0.2</v>
      </c>
      <c r="P355" s="84"/>
      <c r="Q355" s="84"/>
      <c r="R355" s="84">
        <f t="shared" si="88"/>
        <v>0</v>
      </c>
      <c r="S355" s="85"/>
      <c r="T355" s="84">
        <f t="shared" si="83"/>
        <v>0.1</v>
      </c>
      <c r="U355" s="86">
        <f t="shared" si="86"/>
        <v>0.30000000000000004</v>
      </c>
      <c r="V355" s="87">
        <f t="shared" si="87"/>
        <v>1.5000000000000003E-2</v>
      </c>
      <c r="W355" s="88">
        <f t="shared" si="84"/>
        <v>17000</v>
      </c>
      <c r="X355" s="81"/>
    </row>
    <row r="356" spans="1:24" ht="12">
      <c r="A356" s="71">
        <f t="shared" si="85"/>
        <v>347</v>
      </c>
      <c r="B356" s="83" t="s">
        <v>592</v>
      </c>
      <c r="C356" s="201" t="s">
        <v>621</v>
      </c>
      <c r="D356" s="197" t="s">
        <v>594</v>
      </c>
      <c r="E356" s="73" t="s">
        <v>57</v>
      </c>
      <c r="F356" s="73"/>
      <c r="G356" s="90"/>
      <c r="H356" s="90"/>
      <c r="I356" s="75" t="s">
        <v>36</v>
      </c>
      <c r="J356" s="84"/>
      <c r="K356" s="84"/>
      <c r="L356" s="84"/>
      <c r="M356" s="84"/>
      <c r="N356" s="84"/>
      <c r="O356" s="84">
        <f t="shared" si="82"/>
        <v>0.2</v>
      </c>
      <c r="P356" s="84"/>
      <c r="Q356" s="84"/>
      <c r="R356" s="84">
        <f t="shared" si="88"/>
        <v>0</v>
      </c>
      <c r="S356" s="85"/>
      <c r="T356" s="84">
        <f t="shared" si="83"/>
        <v>0.1</v>
      </c>
      <c r="U356" s="86">
        <f t="shared" si="86"/>
        <v>0.30000000000000004</v>
      </c>
      <c r="V356" s="87">
        <f t="shared" si="87"/>
        <v>1.5000000000000003E-2</v>
      </c>
      <c r="W356" s="88">
        <f t="shared" si="84"/>
        <v>17000</v>
      </c>
      <c r="X356" s="81"/>
    </row>
    <row r="357" spans="1:24" ht="12">
      <c r="A357" s="71">
        <f t="shared" si="85"/>
        <v>348</v>
      </c>
      <c r="B357" s="83" t="s">
        <v>592</v>
      </c>
      <c r="C357" s="201" t="s">
        <v>621</v>
      </c>
      <c r="D357" s="198" t="s">
        <v>595</v>
      </c>
      <c r="E357" s="73" t="s">
        <v>57</v>
      </c>
      <c r="F357" s="73"/>
      <c r="G357" s="90"/>
      <c r="H357" s="90"/>
      <c r="I357" s="75" t="s">
        <v>36</v>
      </c>
      <c r="J357" s="84"/>
      <c r="K357" s="84"/>
      <c r="L357" s="84"/>
      <c r="M357" s="84"/>
      <c r="N357" s="84"/>
      <c r="O357" s="84">
        <f t="shared" si="82"/>
        <v>0.2</v>
      </c>
      <c r="P357" s="84"/>
      <c r="Q357" s="84"/>
      <c r="R357" s="84">
        <f t="shared" si="88"/>
        <v>0</v>
      </c>
      <c r="S357" s="85"/>
      <c r="T357" s="84">
        <f t="shared" si="83"/>
        <v>0.1</v>
      </c>
      <c r="U357" s="86">
        <f t="shared" si="86"/>
        <v>0.30000000000000004</v>
      </c>
      <c r="V357" s="87">
        <f t="shared" si="87"/>
        <v>1.5000000000000003E-2</v>
      </c>
      <c r="W357" s="88">
        <f t="shared" si="84"/>
        <v>17000</v>
      </c>
      <c r="X357" s="81"/>
    </row>
    <row r="358" spans="1:24" ht="12">
      <c r="A358" s="71">
        <f t="shared" si="85"/>
        <v>349</v>
      </c>
      <c r="B358" s="83" t="s">
        <v>592</v>
      </c>
      <c r="C358" s="201" t="s">
        <v>621</v>
      </c>
      <c r="D358" s="72" t="s">
        <v>596</v>
      </c>
      <c r="E358" s="73" t="s">
        <v>57</v>
      </c>
      <c r="F358" s="73"/>
      <c r="G358" s="90"/>
      <c r="H358" s="90"/>
      <c r="I358" s="75" t="s">
        <v>36</v>
      </c>
      <c r="J358" s="84"/>
      <c r="K358" s="84"/>
      <c r="L358" s="84"/>
      <c r="M358" s="84"/>
      <c r="N358" s="84"/>
      <c r="O358" s="84">
        <f t="shared" si="82"/>
        <v>0.2</v>
      </c>
      <c r="P358" s="84"/>
      <c r="Q358" s="84"/>
      <c r="R358" s="84">
        <f t="shared" si="88"/>
        <v>0</v>
      </c>
      <c r="S358" s="85"/>
      <c r="T358" s="84">
        <f t="shared" si="83"/>
        <v>0.1</v>
      </c>
      <c r="U358" s="86">
        <f t="shared" ref="U358:U364" si="89">SUM(J358:T358)</f>
        <v>0.30000000000000004</v>
      </c>
      <c r="V358" s="87">
        <f t="shared" si="87"/>
        <v>1.5000000000000003E-2</v>
      </c>
      <c r="W358" s="88">
        <f t="shared" si="84"/>
        <v>17000</v>
      </c>
      <c r="X358" s="81"/>
    </row>
    <row r="359" spans="1:24" ht="12">
      <c r="A359" s="71">
        <f t="shared" si="85"/>
        <v>350</v>
      </c>
      <c r="B359" s="83" t="s">
        <v>592</v>
      </c>
      <c r="C359" s="201" t="s">
        <v>621</v>
      </c>
      <c r="D359" s="197" t="s">
        <v>598</v>
      </c>
      <c r="E359" s="73" t="s">
        <v>57</v>
      </c>
      <c r="F359" s="73"/>
      <c r="G359" s="90"/>
      <c r="H359" s="90"/>
      <c r="I359" s="75" t="s">
        <v>36</v>
      </c>
      <c r="J359" s="84"/>
      <c r="K359" s="84"/>
      <c r="L359" s="84"/>
      <c r="M359" s="84"/>
      <c r="N359" s="84"/>
      <c r="O359" s="84">
        <f t="shared" si="82"/>
        <v>0.2</v>
      </c>
      <c r="P359" s="84"/>
      <c r="Q359" s="84"/>
      <c r="R359" s="84">
        <f t="shared" si="88"/>
        <v>0</v>
      </c>
      <c r="S359" s="85"/>
      <c r="T359" s="84">
        <f t="shared" si="83"/>
        <v>0.1</v>
      </c>
      <c r="U359" s="86">
        <f t="shared" si="89"/>
        <v>0.30000000000000004</v>
      </c>
      <c r="V359" s="87">
        <f t="shared" si="87"/>
        <v>1.5000000000000003E-2</v>
      </c>
      <c r="W359" s="88">
        <f t="shared" si="84"/>
        <v>17000</v>
      </c>
      <c r="X359" s="81"/>
    </row>
    <row r="360" spans="1:24" ht="12">
      <c r="A360" s="71">
        <f t="shared" si="85"/>
        <v>351</v>
      </c>
      <c r="B360" s="83" t="s">
        <v>592</v>
      </c>
      <c r="C360" s="201" t="s">
        <v>622</v>
      </c>
      <c r="D360" s="198" t="s">
        <v>594</v>
      </c>
      <c r="E360" s="73" t="s">
        <v>57</v>
      </c>
      <c r="F360" s="73"/>
      <c r="G360" s="90"/>
      <c r="H360" s="90"/>
      <c r="I360" s="75" t="s">
        <v>36</v>
      </c>
      <c r="J360" s="84"/>
      <c r="K360" s="84"/>
      <c r="L360" s="84"/>
      <c r="M360" s="84"/>
      <c r="N360" s="84"/>
      <c r="O360" s="84">
        <f t="shared" si="82"/>
        <v>0.2</v>
      </c>
      <c r="P360" s="84"/>
      <c r="Q360" s="84"/>
      <c r="R360" s="84">
        <f t="shared" si="88"/>
        <v>0</v>
      </c>
      <c r="S360" s="85"/>
      <c r="T360" s="84">
        <f t="shared" si="83"/>
        <v>0.1</v>
      </c>
      <c r="U360" s="86">
        <f t="shared" si="89"/>
        <v>0.30000000000000004</v>
      </c>
      <c r="V360" s="87">
        <f t="shared" si="87"/>
        <v>1.5000000000000003E-2</v>
      </c>
      <c r="W360" s="88">
        <f t="shared" si="84"/>
        <v>17000</v>
      </c>
      <c r="X360" s="81"/>
    </row>
    <row r="361" spans="1:24" ht="12">
      <c r="A361" s="71">
        <f t="shared" si="85"/>
        <v>352</v>
      </c>
      <c r="B361" s="83" t="s">
        <v>592</v>
      </c>
      <c r="C361" s="201" t="s">
        <v>622</v>
      </c>
      <c r="D361" s="72" t="s">
        <v>595</v>
      </c>
      <c r="E361" s="73" t="s">
        <v>57</v>
      </c>
      <c r="F361" s="73"/>
      <c r="G361" s="90"/>
      <c r="H361" s="90"/>
      <c r="I361" s="75" t="s">
        <v>36</v>
      </c>
      <c r="J361" s="84"/>
      <c r="K361" s="84"/>
      <c r="L361" s="84"/>
      <c r="M361" s="84"/>
      <c r="N361" s="84"/>
      <c r="O361" s="84">
        <f t="shared" si="82"/>
        <v>0.2</v>
      </c>
      <c r="P361" s="84"/>
      <c r="Q361" s="84"/>
      <c r="R361" s="84">
        <f t="shared" si="88"/>
        <v>0</v>
      </c>
      <c r="S361" s="85"/>
      <c r="T361" s="84">
        <f t="shared" si="83"/>
        <v>0.1</v>
      </c>
      <c r="U361" s="86">
        <f t="shared" si="89"/>
        <v>0.30000000000000004</v>
      </c>
      <c r="V361" s="87">
        <f t="shared" si="87"/>
        <v>1.5000000000000003E-2</v>
      </c>
      <c r="W361" s="88">
        <f t="shared" si="84"/>
        <v>17000</v>
      </c>
      <c r="X361" s="81"/>
    </row>
    <row r="362" spans="1:24" ht="12">
      <c r="A362" s="71">
        <f t="shared" si="85"/>
        <v>353</v>
      </c>
      <c r="B362" s="83" t="s">
        <v>592</v>
      </c>
      <c r="C362" s="201" t="s">
        <v>622</v>
      </c>
      <c r="D362" s="197" t="s">
        <v>596</v>
      </c>
      <c r="E362" s="73" t="s">
        <v>57</v>
      </c>
      <c r="F362" s="73"/>
      <c r="G362" s="90"/>
      <c r="H362" s="90"/>
      <c r="I362" s="75" t="s">
        <v>36</v>
      </c>
      <c r="J362" s="84"/>
      <c r="K362" s="84"/>
      <c r="L362" s="84"/>
      <c r="M362" s="84"/>
      <c r="N362" s="84"/>
      <c r="O362" s="84">
        <f t="shared" si="82"/>
        <v>0.2</v>
      </c>
      <c r="P362" s="84"/>
      <c r="Q362" s="84"/>
      <c r="R362" s="84">
        <f t="shared" si="88"/>
        <v>0</v>
      </c>
      <c r="S362" s="85"/>
      <c r="T362" s="84">
        <f t="shared" si="83"/>
        <v>0.1</v>
      </c>
      <c r="U362" s="86">
        <f t="shared" si="89"/>
        <v>0.30000000000000004</v>
      </c>
      <c r="V362" s="87">
        <f t="shared" si="87"/>
        <v>1.5000000000000003E-2</v>
      </c>
      <c r="W362" s="88">
        <f t="shared" si="84"/>
        <v>17000</v>
      </c>
      <c r="X362" s="81"/>
    </row>
    <row r="363" spans="1:24" ht="12">
      <c r="A363" s="71">
        <f t="shared" si="85"/>
        <v>354</v>
      </c>
      <c r="B363" s="83" t="s">
        <v>592</v>
      </c>
      <c r="C363" s="201" t="s">
        <v>622</v>
      </c>
      <c r="D363" s="198" t="s">
        <v>598</v>
      </c>
      <c r="E363" s="73" t="s">
        <v>57</v>
      </c>
      <c r="F363" s="73"/>
      <c r="G363" s="90"/>
      <c r="H363" s="90"/>
      <c r="I363" s="75" t="s">
        <v>36</v>
      </c>
      <c r="J363" s="84"/>
      <c r="K363" s="84"/>
      <c r="L363" s="84"/>
      <c r="M363" s="84"/>
      <c r="N363" s="84"/>
      <c r="O363" s="84">
        <f t="shared" ref="O363:O388" si="90">ROUNDUP(IF($E363="画面",画面係数,IF($E363="帳票",帳票係数,IF($E363="バッチ",バッチ係数,0))) *
 IF($I363="特高",特高係数,IF($I363="高",高係数,IF($I363="中",中係数,IF($I363="低",低係数,IF($I363="特低",特低係数,0))))) *
 IF(O$7="SA",要件定義係数,IF(O$7="UI",基本設計係数,IF(O$7="SS",詳細設計係数,IF(O$7="PS/PG/PT",製作係数,IF(O$7="IT",結合テスト係数,IF(O$7="ST",総合テスト係数,IF(O$7="OT",受入支援係数,IF(O$7="RL",移行切替係数,IF(O$7="その他",その他係数,0))))))))) *
 O$8,1)</f>
        <v>0.2</v>
      </c>
      <c r="P363" s="84"/>
      <c r="Q363" s="84"/>
      <c r="R363" s="84">
        <f t="shared" si="88"/>
        <v>0</v>
      </c>
      <c r="S363" s="85"/>
      <c r="T363" s="84">
        <f t="shared" ref="T363:T388" si="91">ROUNDUP(SUM(J363:S363)*T$8,1)</f>
        <v>0.1</v>
      </c>
      <c r="U363" s="86">
        <f t="shared" si="89"/>
        <v>0.30000000000000004</v>
      </c>
      <c r="V363" s="87">
        <f t="shared" si="87"/>
        <v>1.5000000000000003E-2</v>
      </c>
      <c r="W363" s="88">
        <f t="shared" ref="W363:W388" si="92">((J363*J$9) + (K363*K$9) + (L363*L$9) + (M363*M$9) + (N363*N$9) + (O363*O$9) + (P363*P$9) + (Q363*Q$9) + (R363*R$9) + (S363*S$9) + (T363*T$9))/20</f>
        <v>17000</v>
      </c>
      <c r="X363" s="81"/>
    </row>
    <row r="364" spans="1:24" ht="12">
      <c r="A364" s="71">
        <f t="shared" si="85"/>
        <v>355</v>
      </c>
      <c r="B364" s="83" t="s">
        <v>592</v>
      </c>
      <c r="C364" s="201" t="s">
        <v>623</v>
      </c>
      <c r="D364" s="83" t="s">
        <v>594</v>
      </c>
      <c r="E364" s="73" t="s">
        <v>57</v>
      </c>
      <c r="F364" s="73"/>
      <c r="G364" s="90"/>
      <c r="H364" s="90"/>
      <c r="I364" s="75" t="s">
        <v>36</v>
      </c>
      <c r="J364" s="84"/>
      <c r="K364" s="84"/>
      <c r="L364" s="84"/>
      <c r="M364" s="84"/>
      <c r="N364" s="84"/>
      <c r="O364" s="84">
        <f t="shared" si="90"/>
        <v>0.2</v>
      </c>
      <c r="P364" s="84"/>
      <c r="Q364" s="84"/>
      <c r="R364" s="84">
        <f t="shared" si="88"/>
        <v>0</v>
      </c>
      <c r="S364" s="85"/>
      <c r="T364" s="84">
        <f t="shared" si="91"/>
        <v>0.1</v>
      </c>
      <c r="U364" s="86">
        <f t="shared" si="89"/>
        <v>0.30000000000000004</v>
      </c>
      <c r="V364" s="87">
        <f t="shared" si="87"/>
        <v>1.5000000000000003E-2</v>
      </c>
      <c r="W364" s="88">
        <f t="shared" si="92"/>
        <v>17000</v>
      </c>
      <c r="X364" s="81"/>
    </row>
    <row r="365" spans="1:24" ht="12">
      <c r="A365" s="71">
        <f t="shared" si="85"/>
        <v>356</v>
      </c>
      <c r="B365" s="83" t="s">
        <v>592</v>
      </c>
      <c r="C365" s="201" t="s">
        <v>623</v>
      </c>
      <c r="D365" s="197" t="s">
        <v>595</v>
      </c>
      <c r="E365" s="73" t="s">
        <v>57</v>
      </c>
      <c r="F365" s="73"/>
      <c r="G365" s="90"/>
      <c r="H365" s="90"/>
      <c r="I365" s="75" t="s">
        <v>36</v>
      </c>
      <c r="J365" s="84"/>
      <c r="K365" s="84"/>
      <c r="L365" s="84"/>
      <c r="M365" s="84"/>
      <c r="N365" s="84"/>
      <c r="O365" s="84">
        <f t="shared" si="90"/>
        <v>0.2</v>
      </c>
      <c r="P365" s="84"/>
      <c r="Q365" s="84"/>
      <c r="R365" s="84">
        <f t="shared" si="88"/>
        <v>0</v>
      </c>
      <c r="S365" s="85"/>
      <c r="T365" s="84">
        <f t="shared" si="91"/>
        <v>0.1</v>
      </c>
      <c r="U365" s="86">
        <f t="shared" si="86"/>
        <v>0.30000000000000004</v>
      </c>
      <c r="V365" s="87">
        <f t="shared" si="87"/>
        <v>1.5000000000000003E-2</v>
      </c>
      <c r="W365" s="88">
        <f t="shared" si="92"/>
        <v>17000</v>
      </c>
      <c r="X365" s="81"/>
    </row>
    <row r="366" spans="1:24" ht="12">
      <c r="A366" s="71">
        <f t="shared" si="85"/>
        <v>357</v>
      </c>
      <c r="B366" s="83" t="s">
        <v>592</v>
      </c>
      <c r="C366" s="201" t="s">
        <v>623</v>
      </c>
      <c r="D366" s="197" t="s">
        <v>596</v>
      </c>
      <c r="E366" s="89" t="s">
        <v>57</v>
      </c>
      <c r="F366" s="73"/>
      <c r="G366" s="90"/>
      <c r="H366" s="90"/>
      <c r="I366" s="56" t="s">
        <v>36</v>
      </c>
      <c r="J366" s="84"/>
      <c r="K366" s="84"/>
      <c r="L366" s="84"/>
      <c r="M366" s="84"/>
      <c r="N366" s="84"/>
      <c r="O366" s="84">
        <f t="shared" si="90"/>
        <v>0.2</v>
      </c>
      <c r="P366" s="84"/>
      <c r="Q366" s="84"/>
      <c r="R366" s="84">
        <f t="shared" si="88"/>
        <v>0</v>
      </c>
      <c r="S366" s="85"/>
      <c r="T366" s="84">
        <f t="shared" si="91"/>
        <v>0.1</v>
      </c>
      <c r="U366" s="86">
        <f t="shared" si="86"/>
        <v>0.30000000000000004</v>
      </c>
      <c r="V366" s="87">
        <f t="shared" si="87"/>
        <v>1.5000000000000003E-2</v>
      </c>
      <c r="W366" s="88">
        <f t="shared" si="92"/>
        <v>17000</v>
      </c>
      <c r="X366" s="81"/>
    </row>
    <row r="367" spans="1:24" ht="12">
      <c r="A367" s="71">
        <f t="shared" si="85"/>
        <v>358</v>
      </c>
      <c r="B367" s="83" t="s">
        <v>592</v>
      </c>
      <c r="C367" s="201" t="s">
        <v>623</v>
      </c>
      <c r="D367" s="197" t="s">
        <v>598</v>
      </c>
      <c r="E367" s="73" t="s">
        <v>57</v>
      </c>
      <c r="F367" s="73"/>
      <c r="G367" s="90"/>
      <c r="H367" s="90"/>
      <c r="I367" s="75" t="s">
        <v>36</v>
      </c>
      <c r="J367" s="84"/>
      <c r="K367" s="84"/>
      <c r="L367" s="84"/>
      <c r="M367" s="84"/>
      <c r="N367" s="84"/>
      <c r="O367" s="84">
        <f t="shared" si="90"/>
        <v>0.2</v>
      </c>
      <c r="P367" s="84"/>
      <c r="Q367" s="84"/>
      <c r="R367" s="84">
        <f t="shared" ref="Q367:R386" si="93">ROUNDUP(IF($E367="画面",画面係数,IF($E367="帳票",帳票係数,IF($E367="バッチ",バッチ係数,0))) *
 IF($I367="特高",特高係数,IF($I367="高",高係数,IF($I367="中",中係数,IF($I367="低",低係数,IF($I367="特低",特低係数,0)))))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367" s="85"/>
      <c r="T367" s="84">
        <f t="shared" si="91"/>
        <v>0.1</v>
      </c>
      <c r="U367" s="86">
        <f t="shared" si="86"/>
        <v>0.30000000000000004</v>
      </c>
      <c r="V367" s="87">
        <f t="shared" si="87"/>
        <v>1.5000000000000003E-2</v>
      </c>
      <c r="W367" s="88">
        <f t="shared" si="92"/>
        <v>17000</v>
      </c>
      <c r="X367" s="81"/>
    </row>
    <row r="368" spans="1:24" ht="12">
      <c r="A368" s="71">
        <f t="shared" si="85"/>
        <v>359</v>
      </c>
      <c r="B368" s="83" t="s">
        <v>592</v>
      </c>
      <c r="C368" s="201" t="s">
        <v>624</v>
      </c>
      <c r="D368" s="83" t="s">
        <v>594</v>
      </c>
      <c r="E368" s="89" t="s">
        <v>57</v>
      </c>
      <c r="F368" s="89"/>
      <c r="G368" s="90"/>
      <c r="H368" s="90"/>
      <c r="I368" s="56" t="s">
        <v>36</v>
      </c>
      <c r="J368" s="84"/>
      <c r="K368" s="84"/>
      <c r="L368" s="84"/>
      <c r="M368" s="84"/>
      <c r="N368" s="84"/>
      <c r="O368" s="84">
        <f t="shared" si="90"/>
        <v>0.2</v>
      </c>
      <c r="P368" s="84"/>
      <c r="Q368" s="84"/>
      <c r="R368" s="84">
        <f t="shared" si="93"/>
        <v>0</v>
      </c>
      <c r="S368" s="85"/>
      <c r="T368" s="84">
        <f t="shared" si="91"/>
        <v>0.1</v>
      </c>
      <c r="U368" s="86">
        <f t="shared" si="86"/>
        <v>0.30000000000000004</v>
      </c>
      <c r="V368" s="87">
        <f t="shared" si="87"/>
        <v>1.5000000000000003E-2</v>
      </c>
      <c r="W368" s="88">
        <f t="shared" si="92"/>
        <v>17000</v>
      </c>
      <c r="X368" s="81"/>
    </row>
    <row r="369" spans="1:24" ht="12">
      <c r="A369" s="71">
        <f t="shared" si="85"/>
        <v>360</v>
      </c>
      <c r="B369" s="83" t="s">
        <v>592</v>
      </c>
      <c r="C369" s="201" t="s">
        <v>624</v>
      </c>
      <c r="D369" s="197" t="s">
        <v>595</v>
      </c>
      <c r="E369" s="73" t="s">
        <v>57</v>
      </c>
      <c r="F369" s="73"/>
      <c r="G369" s="90"/>
      <c r="H369" s="90"/>
      <c r="I369" s="75" t="s">
        <v>36</v>
      </c>
      <c r="J369" s="84"/>
      <c r="K369" s="84"/>
      <c r="L369" s="84"/>
      <c r="M369" s="84"/>
      <c r="N369" s="84"/>
      <c r="O369" s="84">
        <f t="shared" si="90"/>
        <v>0.2</v>
      </c>
      <c r="P369" s="84"/>
      <c r="Q369" s="84"/>
      <c r="R369" s="84">
        <f t="shared" si="93"/>
        <v>0</v>
      </c>
      <c r="S369" s="85"/>
      <c r="T369" s="84">
        <f t="shared" si="91"/>
        <v>0.1</v>
      </c>
      <c r="U369" s="86">
        <f t="shared" si="86"/>
        <v>0.30000000000000004</v>
      </c>
      <c r="V369" s="87">
        <f t="shared" si="87"/>
        <v>1.5000000000000003E-2</v>
      </c>
      <c r="W369" s="88">
        <f t="shared" si="92"/>
        <v>17000</v>
      </c>
      <c r="X369" s="81"/>
    </row>
    <row r="370" spans="1:24" ht="12">
      <c r="A370" s="71">
        <f t="shared" si="85"/>
        <v>361</v>
      </c>
      <c r="B370" s="83" t="s">
        <v>592</v>
      </c>
      <c r="C370" s="201" t="s">
        <v>624</v>
      </c>
      <c r="D370" s="197" t="s">
        <v>596</v>
      </c>
      <c r="E370" s="73" t="s">
        <v>57</v>
      </c>
      <c r="F370" s="73"/>
      <c r="G370" s="90"/>
      <c r="H370" s="90"/>
      <c r="I370" s="75" t="s">
        <v>36</v>
      </c>
      <c r="J370" s="84"/>
      <c r="K370" s="84"/>
      <c r="L370" s="84"/>
      <c r="M370" s="84"/>
      <c r="N370" s="84"/>
      <c r="O370" s="84">
        <f t="shared" si="90"/>
        <v>0.2</v>
      </c>
      <c r="P370" s="84"/>
      <c r="Q370" s="84"/>
      <c r="R370" s="84">
        <f t="shared" si="93"/>
        <v>0</v>
      </c>
      <c r="S370" s="85"/>
      <c r="T370" s="84">
        <f t="shared" si="91"/>
        <v>0.1</v>
      </c>
      <c r="U370" s="86">
        <f t="shared" si="86"/>
        <v>0.30000000000000004</v>
      </c>
      <c r="V370" s="87">
        <f t="shared" si="87"/>
        <v>1.5000000000000003E-2</v>
      </c>
      <c r="W370" s="88">
        <f t="shared" si="92"/>
        <v>17000</v>
      </c>
      <c r="X370" s="81"/>
    </row>
    <row r="371" spans="1:24" ht="12">
      <c r="A371" s="71">
        <f t="shared" si="85"/>
        <v>362</v>
      </c>
      <c r="B371" s="83" t="s">
        <v>592</v>
      </c>
      <c r="C371" s="201" t="s">
        <v>624</v>
      </c>
      <c r="D371" s="197" t="s">
        <v>598</v>
      </c>
      <c r="E371" s="73" t="s">
        <v>57</v>
      </c>
      <c r="F371" s="73"/>
      <c r="G371" s="90"/>
      <c r="H371" s="90"/>
      <c r="I371" s="75" t="s">
        <v>36</v>
      </c>
      <c r="J371" s="84"/>
      <c r="K371" s="84"/>
      <c r="L371" s="84"/>
      <c r="M371" s="84"/>
      <c r="N371" s="84"/>
      <c r="O371" s="84">
        <f t="shared" si="90"/>
        <v>0.2</v>
      </c>
      <c r="P371" s="84"/>
      <c r="Q371" s="84"/>
      <c r="R371" s="84">
        <f t="shared" si="93"/>
        <v>0</v>
      </c>
      <c r="S371" s="85"/>
      <c r="T371" s="84">
        <f t="shared" si="91"/>
        <v>0.1</v>
      </c>
      <c r="U371" s="86">
        <f t="shared" si="86"/>
        <v>0.30000000000000004</v>
      </c>
      <c r="V371" s="87">
        <f t="shared" si="87"/>
        <v>1.5000000000000003E-2</v>
      </c>
      <c r="W371" s="88">
        <f t="shared" si="92"/>
        <v>17000</v>
      </c>
      <c r="X371" s="81"/>
    </row>
    <row r="372" spans="1:24" ht="12">
      <c r="A372" s="71">
        <f t="shared" si="85"/>
        <v>363</v>
      </c>
      <c r="B372" s="83" t="s">
        <v>592</v>
      </c>
      <c r="C372" s="201" t="s">
        <v>625</v>
      </c>
      <c r="D372" s="197" t="s">
        <v>595</v>
      </c>
      <c r="E372" s="89" t="s">
        <v>57</v>
      </c>
      <c r="F372" s="73"/>
      <c r="G372" s="90"/>
      <c r="H372" s="90"/>
      <c r="I372" s="56" t="s">
        <v>36</v>
      </c>
      <c r="J372" s="84"/>
      <c r="K372" s="84"/>
      <c r="L372" s="84"/>
      <c r="M372" s="84"/>
      <c r="N372" s="84"/>
      <c r="O372" s="84">
        <f t="shared" si="90"/>
        <v>0.2</v>
      </c>
      <c r="P372" s="84"/>
      <c r="Q372" s="84"/>
      <c r="R372" s="84">
        <f t="shared" si="93"/>
        <v>0</v>
      </c>
      <c r="S372" s="85"/>
      <c r="T372" s="84">
        <f t="shared" si="91"/>
        <v>0.1</v>
      </c>
      <c r="U372" s="86">
        <f t="shared" si="86"/>
        <v>0.30000000000000004</v>
      </c>
      <c r="V372" s="87">
        <f t="shared" si="87"/>
        <v>1.5000000000000003E-2</v>
      </c>
      <c r="W372" s="88">
        <f t="shared" si="92"/>
        <v>17000</v>
      </c>
      <c r="X372" s="81"/>
    </row>
    <row r="373" spans="1:24" ht="12">
      <c r="A373" s="71">
        <f t="shared" si="85"/>
        <v>364</v>
      </c>
      <c r="B373" s="83" t="s">
        <v>592</v>
      </c>
      <c r="C373" s="201" t="s">
        <v>626</v>
      </c>
      <c r="D373" s="83" t="s">
        <v>594</v>
      </c>
      <c r="E373" s="73" t="s">
        <v>57</v>
      </c>
      <c r="F373" s="73"/>
      <c r="G373" s="90"/>
      <c r="H373" s="90"/>
      <c r="I373" s="75" t="s">
        <v>36</v>
      </c>
      <c r="J373" s="84"/>
      <c r="K373" s="84"/>
      <c r="L373" s="84"/>
      <c r="M373" s="84"/>
      <c r="N373" s="84"/>
      <c r="O373" s="84">
        <f t="shared" si="90"/>
        <v>0.2</v>
      </c>
      <c r="P373" s="84"/>
      <c r="Q373" s="84"/>
      <c r="R373" s="84">
        <f t="shared" si="93"/>
        <v>0</v>
      </c>
      <c r="S373" s="85"/>
      <c r="T373" s="84">
        <f t="shared" si="91"/>
        <v>0.1</v>
      </c>
      <c r="U373" s="86">
        <f t="shared" si="86"/>
        <v>0.30000000000000004</v>
      </c>
      <c r="V373" s="87">
        <f t="shared" si="87"/>
        <v>1.5000000000000003E-2</v>
      </c>
      <c r="W373" s="88">
        <f t="shared" si="92"/>
        <v>17000</v>
      </c>
      <c r="X373" s="81"/>
    </row>
    <row r="374" spans="1:24" ht="12">
      <c r="A374" s="71">
        <f t="shared" si="85"/>
        <v>365</v>
      </c>
      <c r="B374" s="83" t="s">
        <v>592</v>
      </c>
      <c r="C374" s="201" t="s">
        <v>626</v>
      </c>
      <c r="D374" s="197" t="s">
        <v>595</v>
      </c>
      <c r="E374" s="73" t="s">
        <v>57</v>
      </c>
      <c r="F374" s="73"/>
      <c r="G374" s="90"/>
      <c r="H374" s="90"/>
      <c r="I374" s="75" t="s">
        <v>36</v>
      </c>
      <c r="J374" s="84"/>
      <c r="K374" s="84"/>
      <c r="L374" s="84"/>
      <c r="M374" s="84"/>
      <c r="N374" s="84"/>
      <c r="O374" s="84">
        <f t="shared" si="90"/>
        <v>0.2</v>
      </c>
      <c r="P374" s="84"/>
      <c r="Q374" s="84"/>
      <c r="R374" s="84">
        <f t="shared" si="93"/>
        <v>0</v>
      </c>
      <c r="S374" s="85"/>
      <c r="T374" s="84">
        <f t="shared" si="91"/>
        <v>0.1</v>
      </c>
      <c r="U374" s="86">
        <f t="shared" si="86"/>
        <v>0.30000000000000004</v>
      </c>
      <c r="V374" s="87">
        <f t="shared" si="87"/>
        <v>1.5000000000000003E-2</v>
      </c>
      <c r="W374" s="88">
        <f t="shared" si="92"/>
        <v>17000</v>
      </c>
      <c r="X374" s="81"/>
    </row>
    <row r="375" spans="1:24" ht="12">
      <c r="A375" s="71">
        <f t="shared" si="85"/>
        <v>366</v>
      </c>
      <c r="B375" s="83" t="s">
        <v>592</v>
      </c>
      <c r="C375" s="201" t="s">
        <v>626</v>
      </c>
      <c r="D375" s="83" t="s">
        <v>596</v>
      </c>
      <c r="E375" s="89" t="s">
        <v>57</v>
      </c>
      <c r="F375" s="89"/>
      <c r="G375" s="90"/>
      <c r="H375" s="90"/>
      <c r="I375" s="56" t="s">
        <v>36</v>
      </c>
      <c r="J375" s="84"/>
      <c r="K375" s="84"/>
      <c r="L375" s="84"/>
      <c r="M375" s="84"/>
      <c r="N375" s="84"/>
      <c r="O375" s="84">
        <f t="shared" si="90"/>
        <v>0.2</v>
      </c>
      <c r="P375" s="84"/>
      <c r="Q375" s="84"/>
      <c r="R375" s="84">
        <f t="shared" si="93"/>
        <v>0</v>
      </c>
      <c r="S375" s="85"/>
      <c r="T375" s="84">
        <f t="shared" si="91"/>
        <v>0.1</v>
      </c>
      <c r="U375" s="86">
        <f t="shared" si="86"/>
        <v>0.30000000000000004</v>
      </c>
      <c r="V375" s="87">
        <f t="shared" si="87"/>
        <v>1.5000000000000003E-2</v>
      </c>
      <c r="W375" s="88">
        <f t="shared" si="92"/>
        <v>17000</v>
      </c>
      <c r="X375" s="81"/>
    </row>
    <row r="376" spans="1:24" ht="12">
      <c r="A376" s="71">
        <f t="shared" si="85"/>
        <v>367</v>
      </c>
      <c r="B376" s="83" t="s">
        <v>592</v>
      </c>
      <c r="C376" s="201" t="s">
        <v>626</v>
      </c>
      <c r="D376" s="83" t="s">
        <v>598</v>
      </c>
      <c r="E376" s="73" t="s">
        <v>57</v>
      </c>
      <c r="F376" s="73"/>
      <c r="G376" s="90"/>
      <c r="H376" s="90"/>
      <c r="I376" s="75" t="s">
        <v>36</v>
      </c>
      <c r="J376" s="84"/>
      <c r="K376" s="84"/>
      <c r="L376" s="84"/>
      <c r="M376" s="84"/>
      <c r="N376" s="84"/>
      <c r="O376" s="84">
        <f t="shared" si="90"/>
        <v>0.2</v>
      </c>
      <c r="P376" s="84"/>
      <c r="Q376" s="84"/>
      <c r="R376" s="84">
        <f t="shared" si="93"/>
        <v>0</v>
      </c>
      <c r="S376" s="85"/>
      <c r="T376" s="84">
        <f t="shared" si="91"/>
        <v>0.1</v>
      </c>
      <c r="U376" s="86">
        <f t="shared" si="86"/>
        <v>0.30000000000000004</v>
      </c>
      <c r="V376" s="87">
        <f t="shared" si="87"/>
        <v>1.5000000000000003E-2</v>
      </c>
      <c r="W376" s="88">
        <f t="shared" si="92"/>
        <v>17000</v>
      </c>
      <c r="X376" s="81"/>
    </row>
    <row r="377" spans="1:24" ht="12">
      <c r="A377" s="71">
        <f t="shared" si="85"/>
        <v>368</v>
      </c>
      <c r="B377" s="83" t="s">
        <v>592</v>
      </c>
      <c r="C377" s="201" t="s">
        <v>627</v>
      </c>
      <c r="D377" s="197" t="s">
        <v>594</v>
      </c>
      <c r="E377" s="73" t="s">
        <v>57</v>
      </c>
      <c r="F377" s="73"/>
      <c r="G377" s="90"/>
      <c r="H377" s="90"/>
      <c r="I377" s="75" t="s">
        <v>36</v>
      </c>
      <c r="J377" s="84"/>
      <c r="K377" s="84"/>
      <c r="L377" s="84"/>
      <c r="M377" s="84"/>
      <c r="N377" s="84"/>
      <c r="O377" s="84">
        <f t="shared" si="90"/>
        <v>0.2</v>
      </c>
      <c r="P377" s="84"/>
      <c r="Q377" s="84"/>
      <c r="R377" s="84">
        <f t="shared" si="93"/>
        <v>0</v>
      </c>
      <c r="S377" s="85"/>
      <c r="T377" s="84">
        <f t="shared" si="91"/>
        <v>0.1</v>
      </c>
      <c r="U377" s="86">
        <f t="shared" ref="U377:U386" si="94">SUM(J377:T377)</f>
        <v>0.30000000000000004</v>
      </c>
      <c r="V377" s="87">
        <f t="shared" ref="V377:V386" si="95">U377/20</f>
        <v>1.5000000000000003E-2</v>
      </c>
      <c r="W377" s="88">
        <f t="shared" si="92"/>
        <v>17000</v>
      </c>
      <c r="X377" s="81"/>
    </row>
    <row r="378" spans="1:24" ht="12">
      <c r="A378" s="71">
        <f t="shared" si="85"/>
        <v>369</v>
      </c>
      <c r="B378" s="83" t="s">
        <v>592</v>
      </c>
      <c r="C378" s="201" t="s">
        <v>627</v>
      </c>
      <c r="D378" s="83" t="s">
        <v>595</v>
      </c>
      <c r="E378" s="89" t="s">
        <v>57</v>
      </c>
      <c r="F378" s="89"/>
      <c r="G378" s="90"/>
      <c r="H378" s="90"/>
      <c r="I378" s="56" t="s">
        <v>36</v>
      </c>
      <c r="J378" s="84"/>
      <c r="K378" s="84"/>
      <c r="L378" s="84"/>
      <c r="M378" s="84"/>
      <c r="N378" s="84"/>
      <c r="O378" s="84">
        <f t="shared" si="90"/>
        <v>0.2</v>
      </c>
      <c r="P378" s="84"/>
      <c r="Q378" s="84"/>
      <c r="R378" s="84">
        <f t="shared" si="93"/>
        <v>0</v>
      </c>
      <c r="S378" s="85"/>
      <c r="T378" s="84">
        <f t="shared" si="91"/>
        <v>0.1</v>
      </c>
      <c r="U378" s="86">
        <f t="shared" si="94"/>
        <v>0.30000000000000004</v>
      </c>
      <c r="V378" s="87">
        <f t="shared" si="95"/>
        <v>1.5000000000000003E-2</v>
      </c>
      <c r="W378" s="88">
        <f t="shared" si="92"/>
        <v>17000</v>
      </c>
      <c r="X378" s="81"/>
    </row>
    <row r="379" spans="1:24" ht="12">
      <c r="A379" s="71">
        <f t="shared" si="85"/>
        <v>370</v>
      </c>
      <c r="B379" s="83" t="s">
        <v>592</v>
      </c>
      <c r="C379" s="201" t="s">
        <v>627</v>
      </c>
      <c r="D379" s="83" t="s">
        <v>596</v>
      </c>
      <c r="E379" s="73" t="s">
        <v>57</v>
      </c>
      <c r="F379" s="73"/>
      <c r="G379" s="90"/>
      <c r="H379" s="90"/>
      <c r="I379" s="75" t="s">
        <v>36</v>
      </c>
      <c r="J379" s="84"/>
      <c r="K379" s="84"/>
      <c r="L379" s="84"/>
      <c r="M379" s="84"/>
      <c r="N379" s="84"/>
      <c r="O379" s="84">
        <f t="shared" si="90"/>
        <v>0.2</v>
      </c>
      <c r="P379" s="84"/>
      <c r="Q379" s="84"/>
      <c r="R379" s="84">
        <f t="shared" si="93"/>
        <v>0</v>
      </c>
      <c r="S379" s="85"/>
      <c r="T379" s="84">
        <f t="shared" si="91"/>
        <v>0.1</v>
      </c>
      <c r="U379" s="86">
        <f t="shared" si="94"/>
        <v>0.30000000000000004</v>
      </c>
      <c r="V379" s="87">
        <f t="shared" si="95"/>
        <v>1.5000000000000003E-2</v>
      </c>
      <c r="W379" s="88">
        <f t="shared" si="92"/>
        <v>17000</v>
      </c>
      <c r="X379" s="81"/>
    </row>
    <row r="380" spans="1:24" ht="12">
      <c r="A380" s="71">
        <f t="shared" si="85"/>
        <v>371</v>
      </c>
      <c r="B380" s="83" t="s">
        <v>592</v>
      </c>
      <c r="C380" s="201" t="s">
        <v>627</v>
      </c>
      <c r="D380" s="83" t="s">
        <v>598</v>
      </c>
      <c r="E380" s="89" t="s">
        <v>57</v>
      </c>
      <c r="F380" s="89"/>
      <c r="G380" s="90"/>
      <c r="H380" s="90"/>
      <c r="I380" s="56" t="s">
        <v>36</v>
      </c>
      <c r="J380" s="84"/>
      <c r="K380" s="84"/>
      <c r="L380" s="84"/>
      <c r="M380" s="84"/>
      <c r="N380" s="84"/>
      <c r="O380" s="84">
        <f t="shared" si="90"/>
        <v>0.2</v>
      </c>
      <c r="P380" s="84"/>
      <c r="Q380" s="84"/>
      <c r="R380" s="84">
        <f t="shared" si="93"/>
        <v>0</v>
      </c>
      <c r="S380" s="85"/>
      <c r="T380" s="84">
        <f t="shared" si="91"/>
        <v>0.1</v>
      </c>
      <c r="U380" s="86">
        <f t="shared" si="94"/>
        <v>0.30000000000000004</v>
      </c>
      <c r="V380" s="87">
        <f t="shared" si="95"/>
        <v>1.5000000000000003E-2</v>
      </c>
      <c r="W380" s="88">
        <f t="shared" si="92"/>
        <v>17000</v>
      </c>
      <c r="X380" s="81"/>
    </row>
    <row r="381" spans="1:24" ht="12">
      <c r="A381" s="71">
        <f t="shared" si="85"/>
        <v>372</v>
      </c>
      <c r="B381" s="83" t="s">
        <v>592</v>
      </c>
      <c r="C381" s="201" t="s">
        <v>628</v>
      </c>
      <c r="D381" s="83" t="s">
        <v>594</v>
      </c>
      <c r="E381" s="89" t="s">
        <v>57</v>
      </c>
      <c r="F381" s="89"/>
      <c r="G381" s="90"/>
      <c r="H381" s="90"/>
      <c r="I381" s="56" t="s">
        <v>36</v>
      </c>
      <c r="J381" s="84"/>
      <c r="K381" s="84"/>
      <c r="L381" s="84"/>
      <c r="M381" s="84"/>
      <c r="N381" s="84"/>
      <c r="O381" s="84">
        <f t="shared" si="90"/>
        <v>0.2</v>
      </c>
      <c r="P381" s="84"/>
      <c r="Q381" s="84"/>
      <c r="R381" s="84">
        <f t="shared" si="93"/>
        <v>0</v>
      </c>
      <c r="S381" s="85"/>
      <c r="T381" s="84">
        <f t="shared" si="91"/>
        <v>0.1</v>
      </c>
      <c r="U381" s="86">
        <f t="shared" si="94"/>
        <v>0.30000000000000004</v>
      </c>
      <c r="V381" s="87">
        <f t="shared" si="95"/>
        <v>1.5000000000000003E-2</v>
      </c>
      <c r="W381" s="88">
        <f t="shared" si="92"/>
        <v>17000</v>
      </c>
      <c r="X381" s="81"/>
    </row>
    <row r="382" spans="1:24" ht="12">
      <c r="A382" s="71">
        <f t="shared" si="85"/>
        <v>373</v>
      </c>
      <c r="B382" s="83" t="s">
        <v>592</v>
      </c>
      <c r="C382" s="201" t="s">
        <v>628</v>
      </c>
      <c r="D382" s="83" t="s">
        <v>595</v>
      </c>
      <c r="E382" s="89" t="s">
        <v>57</v>
      </c>
      <c r="F382" s="73"/>
      <c r="G382" s="90"/>
      <c r="H382" s="90"/>
      <c r="I382" s="75" t="s">
        <v>36</v>
      </c>
      <c r="J382" s="84"/>
      <c r="K382" s="84"/>
      <c r="L382" s="84"/>
      <c r="M382" s="84"/>
      <c r="N382" s="84"/>
      <c r="O382" s="84">
        <f t="shared" si="90"/>
        <v>0.2</v>
      </c>
      <c r="P382" s="84"/>
      <c r="Q382" s="84"/>
      <c r="R382" s="84">
        <f t="shared" si="93"/>
        <v>0</v>
      </c>
      <c r="S382" s="85"/>
      <c r="T382" s="84">
        <f t="shared" si="91"/>
        <v>0.1</v>
      </c>
      <c r="U382" s="86">
        <f t="shared" si="94"/>
        <v>0.30000000000000004</v>
      </c>
      <c r="V382" s="87">
        <f t="shared" si="95"/>
        <v>1.5000000000000003E-2</v>
      </c>
      <c r="W382" s="88">
        <f t="shared" si="92"/>
        <v>17000</v>
      </c>
      <c r="X382" s="81"/>
    </row>
    <row r="383" spans="1:24" ht="12">
      <c r="A383" s="71">
        <f t="shared" si="85"/>
        <v>374</v>
      </c>
      <c r="B383" s="83" t="s">
        <v>592</v>
      </c>
      <c r="C383" s="201" t="s">
        <v>628</v>
      </c>
      <c r="D383" s="83" t="s">
        <v>596</v>
      </c>
      <c r="E383" s="89" t="s">
        <v>57</v>
      </c>
      <c r="F383" s="89"/>
      <c r="G383" s="90"/>
      <c r="H383" s="90"/>
      <c r="I383" s="56" t="s">
        <v>36</v>
      </c>
      <c r="J383" s="84"/>
      <c r="K383" s="84"/>
      <c r="L383" s="84"/>
      <c r="M383" s="84"/>
      <c r="N383" s="84"/>
      <c r="O383" s="84">
        <f t="shared" si="90"/>
        <v>0.2</v>
      </c>
      <c r="P383" s="84"/>
      <c r="Q383" s="84"/>
      <c r="R383" s="84">
        <f t="shared" si="93"/>
        <v>0</v>
      </c>
      <c r="S383" s="85"/>
      <c r="T383" s="84">
        <f t="shared" si="91"/>
        <v>0.1</v>
      </c>
      <c r="U383" s="86">
        <f t="shared" si="94"/>
        <v>0.30000000000000004</v>
      </c>
      <c r="V383" s="87">
        <f t="shared" si="95"/>
        <v>1.5000000000000003E-2</v>
      </c>
      <c r="W383" s="88">
        <f t="shared" si="92"/>
        <v>17000</v>
      </c>
      <c r="X383" s="81"/>
    </row>
    <row r="384" spans="1:24" ht="12">
      <c r="A384" s="71">
        <f t="shared" si="85"/>
        <v>375</v>
      </c>
      <c r="B384" s="83" t="s">
        <v>592</v>
      </c>
      <c r="C384" s="201" t="s">
        <v>628</v>
      </c>
      <c r="D384" s="83" t="s">
        <v>598</v>
      </c>
      <c r="E384" s="89" t="s">
        <v>57</v>
      </c>
      <c r="F384" s="73"/>
      <c r="G384" s="90"/>
      <c r="H384" s="90"/>
      <c r="I384" s="75" t="s">
        <v>36</v>
      </c>
      <c r="J384" s="84"/>
      <c r="K384" s="84"/>
      <c r="L384" s="84"/>
      <c r="M384" s="84"/>
      <c r="N384" s="84"/>
      <c r="O384" s="84">
        <f t="shared" si="90"/>
        <v>0.2</v>
      </c>
      <c r="P384" s="84"/>
      <c r="Q384" s="84"/>
      <c r="R384" s="84">
        <f t="shared" si="93"/>
        <v>0</v>
      </c>
      <c r="S384" s="85"/>
      <c r="T384" s="84">
        <f t="shared" si="91"/>
        <v>0.1</v>
      </c>
      <c r="U384" s="86">
        <f t="shared" si="94"/>
        <v>0.30000000000000004</v>
      </c>
      <c r="V384" s="87">
        <f t="shared" si="95"/>
        <v>1.5000000000000003E-2</v>
      </c>
      <c r="W384" s="88">
        <f t="shared" si="92"/>
        <v>17000</v>
      </c>
      <c r="X384" s="81"/>
    </row>
    <row r="385" spans="1:24" ht="12">
      <c r="A385" s="71">
        <f t="shared" si="85"/>
        <v>376</v>
      </c>
      <c r="B385" s="83"/>
      <c r="C385" s="201"/>
      <c r="D385" s="83"/>
      <c r="E385" s="89"/>
      <c r="F385" s="89"/>
      <c r="G385" s="90"/>
      <c r="H385" s="90"/>
      <c r="I385" s="56"/>
      <c r="J385" s="84">
        <f t="shared" ref="J385:N386" si="96">ROUNDUP(IF($E385="画面",画面係数,IF($E385="帳票",帳票係数,IF($E385="バッチ",バッチ係数,0))) *
 IF($I385="特高",特高係数,IF($I385="高",高係数,IF($I385="中",中係数,IF($I385="低",低係数,IF($I385="特低",特低係数,0)))))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385" s="84">
        <f t="shared" si="96"/>
        <v>0</v>
      </c>
      <c r="L385" s="84">
        <f t="shared" si="96"/>
        <v>0</v>
      </c>
      <c r="M385" s="84">
        <f t="shared" si="96"/>
        <v>0</v>
      </c>
      <c r="N385" s="84">
        <f t="shared" si="96"/>
        <v>0</v>
      </c>
      <c r="O385" s="84">
        <f t="shared" si="90"/>
        <v>0</v>
      </c>
      <c r="P385" s="84">
        <f>ROUNDUP(IF($E385="画面",画面係数,IF($E385="帳票",帳票係数,IF($E385="バッチ",バッチ係数,0))) *
 IF($I385="特高",特高係数,IF($I385="高",高係数,IF($I385="中",中係数,IF($I385="低",低係数,IF($I385="特低",特低係数,0))))) *
 IF(P$7="SA",要件定義係数,IF(P$7="UI",基本設計係数,IF(P$7="SS",詳細設計係数,IF(P$7="PS/PG/PT",製作係数,IF(P$7="IT",結合テスト係数,IF(P$7="ST",総合テスト係数,IF(P$7="OT",受入支援係数,IF(P$7="RL",移行切替係数,IF(P$7="その他",その他係数,0))))))))) *
 P$8,1)</f>
        <v>0</v>
      </c>
      <c r="Q385" s="84">
        <f t="shared" si="93"/>
        <v>0</v>
      </c>
      <c r="R385" s="84">
        <f t="shared" si="93"/>
        <v>0</v>
      </c>
      <c r="S385" s="85"/>
      <c r="T385" s="84">
        <f t="shared" si="91"/>
        <v>0</v>
      </c>
      <c r="U385" s="86">
        <f t="shared" si="94"/>
        <v>0</v>
      </c>
      <c r="V385" s="87">
        <f t="shared" si="95"/>
        <v>0</v>
      </c>
      <c r="W385" s="88">
        <f t="shared" si="92"/>
        <v>0</v>
      </c>
      <c r="X385" s="81"/>
    </row>
    <row r="386" spans="1:24" ht="12">
      <c r="A386" s="71">
        <f t="shared" si="85"/>
        <v>377</v>
      </c>
      <c r="B386" s="83"/>
      <c r="C386" s="201"/>
      <c r="D386" s="83"/>
      <c r="E386" s="89"/>
      <c r="F386" s="73"/>
      <c r="G386" s="90"/>
      <c r="H386" s="90"/>
      <c r="I386" s="75"/>
      <c r="J386" s="84">
        <f t="shared" si="96"/>
        <v>0</v>
      </c>
      <c r="K386" s="84">
        <f t="shared" si="96"/>
        <v>0</v>
      </c>
      <c r="L386" s="84">
        <f t="shared" si="96"/>
        <v>0</v>
      </c>
      <c r="M386" s="84">
        <f t="shared" si="96"/>
        <v>0</v>
      </c>
      <c r="N386" s="84">
        <f t="shared" si="96"/>
        <v>0</v>
      </c>
      <c r="O386" s="84">
        <f t="shared" si="90"/>
        <v>0</v>
      </c>
      <c r="P386" s="84">
        <f>ROUNDUP(IF($E386="画面",画面係数,IF($E386="帳票",帳票係数,IF($E386="バッチ",バッチ係数,0))) *
 IF($I386="特高",特高係数,IF($I386="高",高係数,IF($I386="中",中係数,IF($I386="低",低係数,IF($I386="特低",特低係数,0))))) *
 IF(P$7="SA",要件定義係数,IF(P$7="UI",基本設計係数,IF(P$7="SS",詳細設計係数,IF(P$7="PS/PG/PT",製作係数,IF(P$7="IT",結合テスト係数,IF(P$7="ST",総合テスト係数,IF(P$7="OT",受入支援係数,IF(P$7="RL",移行切替係数,IF(P$7="その他",その他係数,0))))))))) *
 P$8,1)</f>
        <v>0</v>
      </c>
      <c r="Q386" s="84">
        <f t="shared" si="93"/>
        <v>0</v>
      </c>
      <c r="R386" s="84">
        <f t="shared" si="93"/>
        <v>0</v>
      </c>
      <c r="S386" s="85"/>
      <c r="T386" s="84">
        <f t="shared" si="91"/>
        <v>0</v>
      </c>
      <c r="U386" s="86">
        <f t="shared" si="94"/>
        <v>0</v>
      </c>
      <c r="V386" s="87">
        <f t="shared" si="95"/>
        <v>0</v>
      </c>
      <c r="W386" s="88">
        <f t="shared" si="92"/>
        <v>0</v>
      </c>
      <c r="X386" s="81"/>
    </row>
    <row r="387" spans="1:24" ht="13.15">
      <c r="A387" s="71">
        <f t="shared" si="85"/>
        <v>378</v>
      </c>
      <c r="B387" s="83" t="s">
        <v>629</v>
      </c>
      <c r="C387" s="215" t="s">
        <v>630</v>
      </c>
      <c r="D387" s="83" t="s">
        <v>631</v>
      </c>
      <c r="E387" s="89" t="s">
        <v>57</v>
      </c>
      <c r="F387" s="89"/>
      <c r="G387" s="90"/>
      <c r="H387" s="90"/>
      <c r="I387" s="75" t="s">
        <v>36</v>
      </c>
      <c r="J387" s="84">
        <f>ROUNDUP(IF($E387="画面",画面係数,IF($E387="帳票",帳票係数,IF($E387="バッチ",バッチ係数,0))) *
 IF($I387="特高",特高係数,IF($I387="高",高係数,IF($I387="中",中係数,IF($I387="低",低係数,IF($I387="特低",特低係数,0)))))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387" s="84">
        <f>ROUNDUP(IF($E387="画面",画面係数,IF($E387="帳票",帳票係数,IF($E387="バッチ",バッチ係数,0))) *
 IF($I387="特高",特高係数,IF($I387="高",高係数,IF($I387="中",中係数,IF($I387="低",低係数,IF($I387="特低",特低係数,0))))) *
 IF(K$7="SA",要件定義係数,IF(K$7="UI",基本設計係数,IF(K$7="SS",詳細設計係数,IF(K$7="PS/PG/PT",製作係数,IF(K$7="IT",結合テスト係数,IF(K$7="ST",総合テスト係数,IF(K$7="OT",受入支援係数,IF(K$7="RL",移行切替係数,IF(K$7="その他",その他係数,0))))))))) *
 K$8,1)</f>
        <v>0.2</v>
      </c>
      <c r="L387" s="84"/>
      <c r="M387" s="84"/>
      <c r="N387" s="84">
        <f>ROUNDUP(IF($E387="画面",画面係数,IF($E387="帳票",帳票係数,IF($E387="バッチ",バッチ係数,0))) *
 IF($I387="特高",特高係数,IF($I387="高",高係数,IF($I387="中",中係数,IF($I387="低",低係数,IF($I387="特低",特低係数,0)))))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0.2</v>
      </c>
      <c r="O387" s="84">
        <f t="shared" si="90"/>
        <v>0.2</v>
      </c>
      <c r="P387" s="84"/>
      <c r="Q387" s="84"/>
      <c r="R387" s="84">
        <f>ROUNDUP(IF($E387="画面",画面係数,IF($E387="帳票",帳票係数,IF($E387="バッチ",バッチ係数,0))) *
 IF($I387="特高",特高係数,IF($I387="高",高係数,IF($I387="中",中係数,IF($I387="低",低係数,IF($I387="特低",特低係数,0)))))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387" s="85"/>
      <c r="T387" s="84">
        <f t="shared" si="91"/>
        <v>0.2</v>
      </c>
      <c r="U387" s="86">
        <f>SUM(J387:T387)</f>
        <v>1</v>
      </c>
      <c r="V387" s="87">
        <f>U387/20</f>
        <v>0.05</v>
      </c>
      <c r="W387" s="88">
        <f t="shared" si="92"/>
        <v>54000</v>
      </c>
      <c r="X387" s="81"/>
    </row>
    <row r="388" spans="1:24" ht="13.15">
      <c r="A388" s="71">
        <f t="shared" si="85"/>
        <v>379</v>
      </c>
      <c r="B388" s="83" t="s">
        <v>629</v>
      </c>
      <c r="C388" s="215" t="s">
        <v>632</v>
      </c>
      <c r="D388" s="83" t="s">
        <v>633</v>
      </c>
      <c r="E388" s="89" t="s">
        <v>57</v>
      </c>
      <c r="F388" s="73"/>
      <c r="G388" s="90"/>
      <c r="H388" s="90"/>
      <c r="I388" s="75" t="s">
        <v>36</v>
      </c>
      <c r="J388" s="84">
        <f>ROUNDUP(IF($E388="画面",画面係数,IF($E388="帳票",帳票係数,IF($E388="バッチ",バッチ係数,0))) *
 IF($I388="特高",特高係数,IF($I388="高",高係数,IF($I388="中",中係数,IF($I388="低",低係数,IF($I388="特低",特低係数,0)))))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388" s="84">
        <f>ROUNDUP(IF($E388="画面",画面係数,IF($E388="帳票",帳票係数,IF($E388="バッチ",バッチ係数,0))) *
 IF($I388="特高",特高係数,IF($I388="高",高係数,IF($I388="中",中係数,IF($I388="低",低係数,IF($I388="特低",特低係数,0))))) *
 IF(K$7="SA",要件定義係数,IF(K$7="UI",基本設計係数,IF(K$7="SS",詳細設計係数,IF(K$7="PS/PG/PT",製作係数,IF(K$7="IT",結合テスト係数,IF(K$7="ST",総合テスト係数,IF(K$7="OT",受入支援係数,IF(K$7="RL",移行切替係数,IF(K$7="その他",その他係数,0))))))))) *
 K$8,1)</f>
        <v>0.2</v>
      </c>
      <c r="L388" s="84"/>
      <c r="M388" s="84"/>
      <c r="N388" s="84">
        <f>ROUNDUP(IF($E388="画面",画面係数,IF($E388="帳票",帳票係数,IF($E388="バッチ",バッチ係数,0))) *
 IF($I388="特高",特高係数,IF($I388="高",高係数,IF($I388="中",中係数,IF($I388="低",低係数,IF($I388="特低",特低係数,0)))))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0.2</v>
      </c>
      <c r="O388" s="84">
        <f t="shared" si="90"/>
        <v>0.2</v>
      </c>
      <c r="P388" s="84"/>
      <c r="Q388" s="84"/>
      <c r="R388" s="84">
        <f>ROUNDUP(IF($E388="画面",画面係数,IF($E388="帳票",帳票係数,IF($E388="バッチ",バッチ係数,0))) *
 IF($I388="特高",特高係数,IF($I388="高",高係数,IF($I388="中",中係数,IF($I388="低",低係数,IF($I388="特低",特低係数,0)))))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388" s="85"/>
      <c r="T388" s="84">
        <f t="shared" si="91"/>
        <v>0.2</v>
      </c>
      <c r="U388" s="86">
        <f>SUM(J388:T388)</f>
        <v>1</v>
      </c>
      <c r="V388" s="87">
        <f>U388/20</f>
        <v>0.05</v>
      </c>
      <c r="W388" s="88">
        <f t="shared" si="92"/>
        <v>54000</v>
      </c>
      <c r="X388" s="81"/>
    </row>
    <row r="389" spans="1:24" ht="13.15">
      <c r="A389" s="71">
        <f t="shared" si="85"/>
        <v>380</v>
      </c>
      <c r="B389" s="83" t="s">
        <v>629</v>
      </c>
      <c r="C389" s="215" t="s">
        <v>634</v>
      </c>
      <c r="D389" s="83" t="s">
        <v>635</v>
      </c>
      <c r="E389" s="89" t="s">
        <v>57</v>
      </c>
      <c r="F389" s="89"/>
      <c r="G389" s="90"/>
      <c r="H389" s="90"/>
      <c r="I389" s="75" t="s">
        <v>36</v>
      </c>
      <c r="J389" s="84">
        <f t="shared" ref="J389:R392" si="97">ROUNDUP(IF($E389="画面",画面係数,IF($E389="帳票",帳票係数,IF($E389="バッチ",バッチ係数,0))) *
 IF($I389="特高",特高係数,IF($I389="高",高係数,IF($I389="中",中係数,IF($I389="低",低係数,IF($I389="特低",特低係数,0)))))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389" s="84">
        <f t="shared" si="97"/>
        <v>0.2</v>
      </c>
      <c r="L389" s="84"/>
      <c r="M389" s="84"/>
      <c r="N389" s="84">
        <f t="shared" si="97"/>
        <v>0.2</v>
      </c>
      <c r="O389" s="84">
        <f t="shared" si="97"/>
        <v>0.2</v>
      </c>
      <c r="P389" s="84"/>
      <c r="Q389" s="84"/>
      <c r="R389" s="84">
        <f t="shared" si="97"/>
        <v>0</v>
      </c>
      <c r="S389" s="85"/>
      <c r="T389" s="84">
        <f t="shared" ref="T389:T519" si="98">ROUNDUP(SUM(J389:S389)*T$8,1)</f>
        <v>0.2</v>
      </c>
      <c r="U389" s="86">
        <f t="shared" ref="U389:U519" si="99">SUM(J389:T389)</f>
        <v>1</v>
      </c>
      <c r="V389" s="87">
        <f t="shared" ref="V389:V519" si="100">U389/20</f>
        <v>0.05</v>
      </c>
      <c r="W389" s="88">
        <f t="shared" ref="W389:W519" si="101">((J389*J$9) + (K389*K$9) + (L389*L$9) + (M389*M$9) + (N389*N$9) + (O389*O$9) + (P389*P$9) + (Q389*Q$9) + (R389*R$9) + (S389*S$9) + (T389*T$9))/20</f>
        <v>54000</v>
      </c>
      <c r="X389" s="81"/>
    </row>
    <row r="390" spans="1:24" ht="13.15">
      <c r="A390" s="71">
        <f t="shared" si="85"/>
        <v>381</v>
      </c>
      <c r="B390" s="83" t="s">
        <v>629</v>
      </c>
      <c r="C390" s="215" t="s">
        <v>636</v>
      </c>
      <c r="D390" s="83" t="s">
        <v>637</v>
      </c>
      <c r="E390" s="89" t="s">
        <v>57</v>
      </c>
      <c r="F390" s="89"/>
      <c r="G390" s="90"/>
      <c r="H390" s="90"/>
      <c r="I390" s="75" t="s">
        <v>36</v>
      </c>
      <c r="J390" s="84">
        <f t="shared" si="97"/>
        <v>0.2</v>
      </c>
      <c r="K390" s="84">
        <f t="shared" si="97"/>
        <v>0.2</v>
      </c>
      <c r="L390" s="84"/>
      <c r="M390" s="84"/>
      <c r="N390" s="84">
        <f t="shared" si="97"/>
        <v>0.2</v>
      </c>
      <c r="O390" s="84">
        <f t="shared" si="97"/>
        <v>0.2</v>
      </c>
      <c r="P390" s="84"/>
      <c r="Q390" s="84"/>
      <c r="R390" s="84">
        <f t="shared" si="97"/>
        <v>0</v>
      </c>
      <c r="S390" s="85"/>
      <c r="T390" s="84">
        <f t="shared" si="98"/>
        <v>0.2</v>
      </c>
      <c r="U390" s="86">
        <f t="shared" si="99"/>
        <v>1</v>
      </c>
      <c r="V390" s="87">
        <f t="shared" si="100"/>
        <v>0.05</v>
      </c>
      <c r="W390" s="88">
        <f t="shared" si="101"/>
        <v>54000</v>
      </c>
      <c r="X390" s="81"/>
    </row>
    <row r="391" spans="1:24" ht="13.15">
      <c r="A391" s="71">
        <f t="shared" si="85"/>
        <v>382</v>
      </c>
      <c r="B391" s="83" t="s">
        <v>629</v>
      </c>
      <c r="C391" s="215" t="s">
        <v>638</v>
      </c>
      <c r="D391" s="83" t="s">
        <v>639</v>
      </c>
      <c r="E391" s="89" t="s">
        <v>57</v>
      </c>
      <c r="F391" s="89"/>
      <c r="G391" s="90"/>
      <c r="H391" s="90"/>
      <c r="I391" s="75" t="s">
        <v>36</v>
      </c>
      <c r="J391" s="84">
        <f t="shared" si="97"/>
        <v>0.2</v>
      </c>
      <c r="K391" s="84">
        <f t="shared" si="97"/>
        <v>0.2</v>
      </c>
      <c r="L391" s="84"/>
      <c r="M391" s="84"/>
      <c r="N391" s="84">
        <f t="shared" si="97"/>
        <v>0.2</v>
      </c>
      <c r="O391" s="84">
        <f t="shared" si="97"/>
        <v>0.2</v>
      </c>
      <c r="P391" s="84"/>
      <c r="Q391" s="84"/>
      <c r="R391" s="84">
        <f t="shared" si="97"/>
        <v>0</v>
      </c>
      <c r="S391" s="85"/>
      <c r="T391" s="84">
        <f t="shared" si="98"/>
        <v>0.2</v>
      </c>
      <c r="U391" s="86">
        <f t="shared" si="99"/>
        <v>1</v>
      </c>
      <c r="V391" s="87">
        <f t="shared" si="100"/>
        <v>0.05</v>
      </c>
      <c r="W391" s="88">
        <f t="shared" si="101"/>
        <v>54000</v>
      </c>
      <c r="X391" s="81"/>
    </row>
    <row r="392" spans="1:24" ht="13.15">
      <c r="A392" s="71">
        <f t="shared" si="85"/>
        <v>383</v>
      </c>
      <c r="B392" s="83" t="s">
        <v>629</v>
      </c>
      <c r="C392" s="215" t="s">
        <v>640</v>
      </c>
      <c r="D392" s="83" t="s">
        <v>641</v>
      </c>
      <c r="E392" s="89" t="s">
        <v>57</v>
      </c>
      <c r="F392" s="89"/>
      <c r="G392" s="90"/>
      <c r="H392" s="90"/>
      <c r="I392" s="75" t="s">
        <v>36</v>
      </c>
      <c r="J392" s="84">
        <f t="shared" si="97"/>
        <v>0.2</v>
      </c>
      <c r="K392" s="84">
        <f t="shared" si="97"/>
        <v>0.2</v>
      </c>
      <c r="L392" s="84"/>
      <c r="M392" s="84"/>
      <c r="N392" s="84">
        <f t="shared" ref="J392:R411" si="102">ROUNDUP(IF($E392="画面",画面係数,IF($E392="帳票",帳票係数,IF($E392="バッチ",バッチ係数,0))) *
 IF($I392="特高",特高係数,IF($I392="高",高係数,IF($I392="中",中係数,IF($I392="低",低係数,IF($I392="特低",特低係数,0)))))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0.2</v>
      </c>
      <c r="O392" s="84">
        <f t="shared" si="102"/>
        <v>0.2</v>
      </c>
      <c r="P392" s="84"/>
      <c r="Q392" s="84"/>
      <c r="R392" s="84">
        <f t="shared" si="102"/>
        <v>0</v>
      </c>
      <c r="S392" s="85"/>
      <c r="T392" s="84">
        <f t="shared" si="98"/>
        <v>0.2</v>
      </c>
      <c r="U392" s="86">
        <f t="shared" si="99"/>
        <v>1</v>
      </c>
      <c r="V392" s="87">
        <f t="shared" si="100"/>
        <v>0.05</v>
      </c>
      <c r="W392" s="88">
        <f t="shared" si="101"/>
        <v>54000</v>
      </c>
      <c r="X392" s="81"/>
    </row>
    <row r="393" spans="1:24" ht="13.15">
      <c r="A393" s="71">
        <f t="shared" si="85"/>
        <v>384</v>
      </c>
      <c r="B393" s="83" t="s">
        <v>629</v>
      </c>
      <c r="C393" s="215" t="s">
        <v>642</v>
      </c>
      <c r="D393" s="83" t="s">
        <v>643</v>
      </c>
      <c r="E393" s="89" t="s">
        <v>57</v>
      </c>
      <c r="F393" s="73"/>
      <c r="G393" s="90"/>
      <c r="H393" s="90"/>
      <c r="I393" s="75" t="s">
        <v>36</v>
      </c>
      <c r="J393" s="84">
        <f t="shared" si="102"/>
        <v>0.2</v>
      </c>
      <c r="K393" s="84">
        <f t="shared" si="102"/>
        <v>0.2</v>
      </c>
      <c r="L393" s="84"/>
      <c r="M393" s="84"/>
      <c r="N393" s="84">
        <f t="shared" si="102"/>
        <v>0.2</v>
      </c>
      <c r="O393" s="84">
        <f t="shared" si="102"/>
        <v>0.2</v>
      </c>
      <c r="P393" s="84"/>
      <c r="Q393" s="84"/>
      <c r="R393" s="84">
        <f t="shared" si="102"/>
        <v>0</v>
      </c>
      <c r="S393" s="85"/>
      <c r="T393" s="84">
        <f t="shared" si="98"/>
        <v>0.2</v>
      </c>
      <c r="U393" s="86">
        <f t="shared" si="99"/>
        <v>1</v>
      </c>
      <c r="V393" s="87">
        <f t="shared" si="100"/>
        <v>0.05</v>
      </c>
      <c r="W393" s="88">
        <f t="shared" si="101"/>
        <v>54000</v>
      </c>
      <c r="X393" s="81"/>
    </row>
    <row r="394" spans="1:24" ht="13.15">
      <c r="A394" s="71">
        <f t="shared" si="85"/>
        <v>385</v>
      </c>
      <c r="B394" s="83" t="s">
        <v>629</v>
      </c>
      <c r="C394" s="215" t="s">
        <v>644</v>
      </c>
      <c r="D394" s="83" t="s">
        <v>645</v>
      </c>
      <c r="E394" s="89" t="s">
        <v>57</v>
      </c>
      <c r="F394" s="73"/>
      <c r="G394" s="90"/>
      <c r="H394" s="90"/>
      <c r="I394" s="75" t="s">
        <v>36</v>
      </c>
      <c r="J394" s="84">
        <f t="shared" si="102"/>
        <v>0.2</v>
      </c>
      <c r="K394" s="84">
        <f t="shared" si="102"/>
        <v>0.2</v>
      </c>
      <c r="L394" s="84"/>
      <c r="M394" s="84"/>
      <c r="N394" s="84">
        <f t="shared" si="102"/>
        <v>0.2</v>
      </c>
      <c r="O394" s="84">
        <f t="shared" si="102"/>
        <v>0.2</v>
      </c>
      <c r="P394" s="84"/>
      <c r="Q394" s="84"/>
      <c r="R394" s="84">
        <f t="shared" si="102"/>
        <v>0</v>
      </c>
      <c r="S394" s="85"/>
      <c r="T394" s="84">
        <f t="shared" si="98"/>
        <v>0.2</v>
      </c>
      <c r="U394" s="86">
        <f t="shared" si="99"/>
        <v>1</v>
      </c>
      <c r="V394" s="87">
        <f t="shared" si="100"/>
        <v>0.05</v>
      </c>
      <c r="W394" s="88">
        <f t="shared" si="101"/>
        <v>54000</v>
      </c>
      <c r="X394" s="81"/>
    </row>
    <row r="395" spans="1:24" ht="13.15">
      <c r="A395" s="71">
        <f t="shared" si="85"/>
        <v>386</v>
      </c>
      <c r="B395" s="83" t="s">
        <v>629</v>
      </c>
      <c r="C395" s="215" t="s">
        <v>646</v>
      </c>
      <c r="D395" s="83" t="s">
        <v>647</v>
      </c>
      <c r="E395" s="89" t="s">
        <v>57</v>
      </c>
      <c r="F395" s="73"/>
      <c r="G395" s="90"/>
      <c r="H395" s="90"/>
      <c r="I395" s="75" t="s">
        <v>36</v>
      </c>
      <c r="J395" s="84">
        <f t="shared" si="102"/>
        <v>0.2</v>
      </c>
      <c r="K395" s="84">
        <f t="shared" si="102"/>
        <v>0.2</v>
      </c>
      <c r="L395" s="84"/>
      <c r="M395" s="84"/>
      <c r="N395" s="84">
        <f t="shared" si="102"/>
        <v>0.2</v>
      </c>
      <c r="O395" s="84">
        <f t="shared" si="102"/>
        <v>0.2</v>
      </c>
      <c r="P395" s="84"/>
      <c r="Q395" s="84"/>
      <c r="R395" s="84">
        <f t="shared" si="102"/>
        <v>0</v>
      </c>
      <c r="S395" s="85"/>
      <c r="T395" s="84">
        <f t="shared" si="98"/>
        <v>0.2</v>
      </c>
      <c r="U395" s="86">
        <f t="shared" si="99"/>
        <v>1</v>
      </c>
      <c r="V395" s="87">
        <f t="shared" si="100"/>
        <v>0.05</v>
      </c>
      <c r="W395" s="88">
        <f t="shared" si="101"/>
        <v>54000</v>
      </c>
      <c r="X395" s="81"/>
    </row>
    <row r="396" spans="1:24" ht="13.15">
      <c r="A396" s="71">
        <f t="shared" si="85"/>
        <v>387</v>
      </c>
      <c r="B396" s="83" t="s">
        <v>629</v>
      </c>
      <c r="C396" s="215" t="s">
        <v>648</v>
      </c>
      <c r="D396" s="83" t="s">
        <v>649</v>
      </c>
      <c r="E396" s="89" t="s">
        <v>57</v>
      </c>
      <c r="F396" s="73"/>
      <c r="G396" s="90"/>
      <c r="H396" s="90"/>
      <c r="I396" s="75" t="s">
        <v>36</v>
      </c>
      <c r="J396" s="84">
        <f t="shared" si="102"/>
        <v>0.2</v>
      </c>
      <c r="K396" s="84">
        <f t="shared" si="102"/>
        <v>0.2</v>
      </c>
      <c r="L396" s="84"/>
      <c r="M396" s="84"/>
      <c r="N396" s="84">
        <f t="shared" si="102"/>
        <v>0.2</v>
      </c>
      <c r="O396" s="84">
        <f t="shared" si="102"/>
        <v>0.2</v>
      </c>
      <c r="P396" s="84"/>
      <c r="Q396" s="84"/>
      <c r="R396" s="84">
        <f t="shared" si="102"/>
        <v>0</v>
      </c>
      <c r="S396" s="85"/>
      <c r="T396" s="84">
        <f t="shared" si="98"/>
        <v>0.2</v>
      </c>
      <c r="U396" s="86">
        <f t="shared" si="99"/>
        <v>1</v>
      </c>
      <c r="V396" s="87">
        <f t="shared" si="100"/>
        <v>0.05</v>
      </c>
      <c r="W396" s="88">
        <f t="shared" si="101"/>
        <v>54000</v>
      </c>
      <c r="X396" s="81"/>
    </row>
    <row r="397" spans="1:24" ht="13.15">
      <c r="A397" s="71">
        <f t="shared" si="85"/>
        <v>388</v>
      </c>
      <c r="B397" s="83" t="s">
        <v>629</v>
      </c>
      <c r="C397" s="215" t="s">
        <v>650</v>
      </c>
      <c r="D397" s="83" t="s">
        <v>651</v>
      </c>
      <c r="E397" s="89" t="s">
        <v>57</v>
      </c>
      <c r="F397" s="73"/>
      <c r="G397" s="90"/>
      <c r="H397" s="90"/>
      <c r="I397" s="75" t="s">
        <v>36</v>
      </c>
      <c r="J397" s="84">
        <f t="shared" si="102"/>
        <v>0.2</v>
      </c>
      <c r="K397" s="84">
        <f t="shared" si="102"/>
        <v>0.2</v>
      </c>
      <c r="L397" s="84"/>
      <c r="M397" s="84"/>
      <c r="N397" s="84">
        <f t="shared" si="102"/>
        <v>0.2</v>
      </c>
      <c r="O397" s="84">
        <f t="shared" si="102"/>
        <v>0.2</v>
      </c>
      <c r="P397" s="84"/>
      <c r="Q397" s="84"/>
      <c r="R397" s="84">
        <f t="shared" si="102"/>
        <v>0</v>
      </c>
      <c r="S397" s="85"/>
      <c r="T397" s="84">
        <f t="shared" si="98"/>
        <v>0.2</v>
      </c>
      <c r="U397" s="86">
        <f t="shared" si="99"/>
        <v>1</v>
      </c>
      <c r="V397" s="87">
        <f t="shared" si="100"/>
        <v>0.05</v>
      </c>
      <c r="W397" s="88">
        <f t="shared" si="101"/>
        <v>54000</v>
      </c>
      <c r="X397" s="81"/>
    </row>
    <row r="398" spans="1:24" ht="13.15">
      <c r="A398" s="71">
        <f t="shared" si="85"/>
        <v>389</v>
      </c>
      <c r="B398" s="83" t="s">
        <v>629</v>
      </c>
      <c r="C398" s="215" t="s">
        <v>652</v>
      </c>
      <c r="D398" s="83" t="s">
        <v>653</v>
      </c>
      <c r="E398" s="89" t="s">
        <v>57</v>
      </c>
      <c r="F398" s="73"/>
      <c r="G398" s="90"/>
      <c r="H398" s="90"/>
      <c r="I398" s="75" t="s">
        <v>36</v>
      </c>
      <c r="J398" s="84">
        <f t="shared" si="102"/>
        <v>0.2</v>
      </c>
      <c r="K398" s="84">
        <f t="shared" si="102"/>
        <v>0.2</v>
      </c>
      <c r="L398" s="84"/>
      <c r="M398" s="84"/>
      <c r="N398" s="84">
        <f t="shared" si="102"/>
        <v>0.2</v>
      </c>
      <c r="O398" s="84">
        <f t="shared" si="102"/>
        <v>0.2</v>
      </c>
      <c r="P398" s="84"/>
      <c r="Q398" s="84"/>
      <c r="R398" s="84">
        <f t="shared" si="102"/>
        <v>0</v>
      </c>
      <c r="S398" s="85"/>
      <c r="T398" s="84">
        <f t="shared" si="98"/>
        <v>0.2</v>
      </c>
      <c r="U398" s="86">
        <f t="shared" si="99"/>
        <v>1</v>
      </c>
      <c r="V398" s="87">
        <f t="shared" si="100"/>
        <v>0.05</v>
      </c>
      <c r="W398" s="88">
        <f t="shared" si="101"/>
        <v>54000</v>
      </c>
      <c r="X398" s="81"/>
    </row>
    <row r="399" spans="1:24" ht="13.15">
      <c r="A399" s="71">
        <f t="shared" si="85"/>
        <v>390</v>
      </c>
      <c r="B399" s="83" t="s">
        <v>629</v>
      </c>
      <c r="C399" s="215" t="s">
        <v>654</v>
      </c>
      <c r="D399" s="83" t="s">
        <v>655</v>
      </c>
      <c r="E399" s="89" t="s">
        <v>57</v>
      </c>
      <c r="F399" s="89"/>
      <c r="G399" s="90"/>
      <c r="H399" s="90"/>
      <c r="I399" s="75" t="s">
        <v>36</v>
      </c>
      <c r="J399" s="84">
        <f t="shared" si="102"/>
        <v>0.2</v>
      </c>
      <c r="K399" s="84">
        <f t="shared" si="102"/>
        <v>0.2</v>
      </c>
      <c r="L399" s="84"/>
      <c r="M399" s="84"/>
      <c r="N399" s="84">
        <f t="shared" si="102"/>
        <v>0.2</v>
      </c>
      <c r="O399" s="84">
        <f t="shared" si="102"/>
        <v>0.2</v>
      </c>
      <c r="P399" s="84"/>
      <c r="Q399" s="84"/>
      <c r="R399" s="84">
        <f t="shared" si="102"/>
        <v>0</v>
      </c>
      <c r="S399" s="85"/>
      <c r="T399" s="84">
        <f t="shared" si="98"/>
        <v>0.2</v>
      </c>
      <c r="U399" s="86">
        <f t="shared" si="99"/>
        <v>1</v>
      </c>
      <c r="V399" s="87">
        <f t="shared" si="100"/>
        <v>0.05</v>
      </c>
      <c r="W399" s="88">
        <f t="shared" si="101"/>
        <v>54000</v>
      </c>
      <c r="X399" s="81"/>
    </row>
    <row r="400" spans="1:24" ht="13.15">
      <c r="A400" s="71">
        <f t="shared" si="85"/>
        <v>391</v>
      </c>
      <c r="B400" s="83" t="s">
        <v>629</v>
      </c>
      <c r="C400" s="215" t="s">
        <v>656</v>
      </c>
      <c r="D400" s="83" t="s">
        <v>657</v>
      </c>
      <c r="E400" s="89" t="s">
        <v>57</v>
      </c>
      <c r="F400" s="89"/>
      <c r="G400" s="90"/>
      <c r="H400" s="90"/>
      <c r="I400" s="75" t="s">
        <v>36</v>
      </c>
      <c r="J400" s="84">
        <f t="shared" si="102"/>
        <v>0.2</v>
      </c>
      <c r="K400" s="84">
        <f t="shared" si="102"/>
        <v>0.2</v>
      </c>
      <c r="L400" s="84"/>
      <c r="M400" s="84"/>
      <c r="N400" s="84">
        <f t="shared" si="102"/>
        <v>0.2</v>
      </c>
      <c r="O400" s="84">
        <f t="shared" si="102"/>
        <v>0.2</v>
      </c>
      <c r="P400" s="84"/>
      <c r="Q400" s="84"/>
      <c r="R400" s="84">
        <f t="shared" si="102"/>
        <v>0</v>
      </c>
      <c r="S400" s="85"/>
      <c r="T400" s="84">
        <f t="shared" si="98"/>
        <v>0.2</v>
      </c>
      <c r="U400" s="86">
        <f t="shared" si="99"/>
        <v>1</v>
      </c>
      <c r="V400" s="87">
        <f t="shared" si="100"/>
        <v>0.05</v>
      </c>
      <c r="W400" s="88">
        <f t="shared" si="101"/>
        <v>54000</v>
      </c>
      <c r="X400" s="81"/>
    </row>
    <row r="401" spans="1:24" ht="13.15">
      <c r="A401" s="71">
        <f t="shared" si="85"/>
        <v>392</v>
      </c>
      <c r="B401" s="83" t="s">
        <v>629</v>
      </c>
      <c r="C401" s="215" t="s">
        <v>658</v>
      </c>
      <c r="D401" s="83" t="s">
        <v>659</v>
      </c>
      <c r="E401" s="89" t="s">
        <v>57</v>
      </c>
      <c r="F401" s="89"/>
      <c r="G401" s="90"/>
      <c r="H401" s="90"/>
      <c r="I401" s="75" t="s">
        <v>36</v>
      </c>
      <c r="J401" s="84">
        <f t="shared" si="102"/>
        <v>0.2</v>
      </c>
      <c r="K401" s="84">
        <f t="shared" si="102"/>
        <v>0.2</v>
      </c>
      <c r="L401" s="84"/>
      <c r="M401" s="84"/>
      <c r="N401" s="84">
        <f t="shared" si="102"/>
        <v>0.2</v>
      </c>
      <c r="O401" s="84">
        <f t="shared" si="102"/>
        <v>0.2</v>
      </c>
      <c r="P401" s="84"/>
      <c r="Q401" s="84"/>
      <c r="R401" s="84">
        <f t="shared" si="102"/>
        <v>0</v>
      </c>
      <c r="S401" s="85"/>
      <c r="T401" s="84">
        <f t="shared" si="98"/>
        <v>0.2</v>
      </c>
      <c r="U401" s="86">
        <f t="shared" si="99"/>
        <v>1</v>
      </c>
      <c r="V401" s="87">
        <f t="shared" si="100"/>
        <v>0.05</v>
      </c>
      <c r="W401" s="88">
        <f t="shared" si="101"/>
        <v>54000</v>
      </c>
      <c r="X401" s="81"/>
    </row>
    <row r="402" spans="1:24" ht="13.15">
      <c r="A402" s="71">
        <f t="shared" si="85"/>
        <v>393</v>
      </c>
      <c r="B402" s="83" t="s">
        <v>629</v>
      </c>
      <c r="C402" s="215" t="s">
        <v>660</v>
      </c>
      <c r="D402" s="83" t="s">
        <v>661</v>
      </c>
      <c r="E402" s="89" t="s">
        <v>57</v>
      </c>
      <c r="F402" s="89"/>
      <c r="G402" s="90"/>
      <c r="H402" s="90"/>
      <c r="I402" s="75" t="s">
        <v>36</v>
      </c>
      <c r="J402" s="84">
        <f t="shared" si="102"/>
        <v>0.2</v>
      </c>
      <c r="K402" s="84">
        <f t="shared" si="102"/>
        <v>0.2</v>
      </c>
      <c r="L402" s="84"/>
      <c r="M402" s="84"/>
      <c r="N402" s="84">
        <f t="shared" si="102"/>
        <v>0.2</v>
      </c>
      <c r="O402" s="84">
        <f t="shared" si="102"/>
        <v>0.2</v>
      </c>
      <c r="P402" s="84"/>
      <c r="Q402" s="84"/>
      <c r="R402" s="84">
        <f t="shared" si="102"/>
        <v>0</v>
      </c>
      <c r="S402" s="85"/>
      <c r="T402" s="84">
        <f t="shared" si="98"/>
        <v>0.2</v>
      </c>
      <c r="U402" s="86">
        <f t="shared" si="99"/>
        <v>1</v>
      </c>
      <c r="V402" s="87">
        <f t="shared" si="100"/>
        <v>0.05</v>
      </c>
      <c r="W402" s="88">
        <f t="shared" si="101"/>
        <v>54000</v>
      </c>
      <c r="X402" s="81"/>
    </row>
    <row r="403" spans="1:24" ht="13.15">
      <c r="A403" s="71">
        <f t="shared" si="85"/>
        <v>394</v>
      </c>
      <c r="B403" s="83" t="s">
        <v>629</v>
      </c>
      <c r="C403" s="215" t="s">
        <v>662</v>
      </c>
      <c r="D403" s="83" t="s">
        <v>663</v>
      </c>
      <c r="E403" s="89" t="s">
        <v>57</v>
      </c>
      <c r="F403" s="73"/>
      <c r="G403" s="90"/>
      <c r="H403" s="90"/>
      <c r="I403" s="75" t="s">
        <v>36</v>
      </c>
      <c r="J403" s="84">
        <f t="shared" si="102"/>
        <v>0.2</v>
      </c>
      <c r="K403" s="84">
        <f t="shared" si="102"/>
        <v>0.2</v>
      </c>
      <c r="L403" s="84"/>
      <c r="M403" s="84"/>
      <c r="N403" s="84">
        <f t="shared" si="102"/>
        <v>0.2</v>
      </c>
      <c r="O403" s="84">
        <f t="shared" si="102"/>
        <v>0.2</v>
      </c>
      <c r="P403" s="84"/>
      <c r="Q403" s="84"/>
      <c r="R403" s="84">
        <f t="shared" si="102"/>
        <v>0</v>
      </c>
      <c r="S403" s="85"/>
      <c r="T403" s="84">
        <f t="shared" si="98"/>
        <v>0.2</v>
      </c>
      <c r="U403" s="86">
        <f t="shared" si="99"/>
        <v>1</v>
      </c>
      <c r="V403" s="87">
        <f t="shared" si="100"/>
        <v>0.05</v>
      </c>
      <c r="W403" s="88">
        <f t="shared" si="101"/>
        <v>54000</v>
      </c>
      <c r="X403" s="81"/>
    </row>
    <row r="404" spans="1:24" ht="13.15">
      <c r="A404" s="71">
        <f t="shared" si="85"/>
        <v>395</v>
      </c>
      <c r="B404" s="83" t="s">
        <v>629</v>
      </c>
      <c r="C404" s="215" t="s">
        <v>664</v>
      </c>
      <c r="D404" s="83" t="s">
        <v>665</v>
      </c>
      <c r="E404" s="89" t="s">
        <v>57</v>
      </c>
      <c r="F404" s="73"/>
      <c r="G404" s="90"/>
      <c r="H404" s="90"/>
      <c r="I404" s="75" t="s">
        <v>36</v>
      </c>
      <c r="J404" s="84">
        <f t="shared" si="102"/>
        <v>0.2</v>
      </c>
      <c r="K404" s="84">
        <f t="shared" si="102"/>
        <v>0.2</v>
      </c>
      <c r="L404" s="84"/>
      <c r="M404" s="84"/>
      <c r="N404" s="84">
        <f t="shared" si="102"/>
        <v>0.2</v>
      </c>
      <c r="O404" s="84">
        <f t="shared" si="102"/>
        <v>0.2</v>
      </c>
      <c r="P404" s="84"/>
      <c r="Q404" s="84"/>
      <c r="R404" s="84">
        <f t="shared" si="102"/>
        <v>0</v>
      </c>
      <c r="S404" s="85"/>
      <c r="T404" s="84">
        <f t="shared" si="98"/>
        <v>0.2</v>
      </c>
      <c r="U404" s="86">
        <f t="shared" si="99"/>
        <v>1</v>
      </c>
      <c r="V404" s="87">
        <f t="shared" si="100"/>
        <v>0.05</v>
      </c>
      <c r="W404" s="88">
        <f t="shared" si="101"/>
        <v>54000</v>
      </c>
      <c r="X404" s="81"/>
    </row>
    <row r="405" spans="1:24" ht="13.15">
      <c r="A405" s="71">
        <f t="shared" si="85"/>
        <v>396</v>
      </c>
      <c r="B405" s="83" t="s">
        <v>629</v>
      </c>
      <c r="C405" s="215" t="s">
        <v>666</v>
      </c>
      <c r="D405" s="83" t="s">
        <v>667</v>
      </c>
      <c r="E405" s="89" t="s">
        <v>57</v>
      </c>
      <c r="F405" s="73"/>
      <c r="G405" s="90"/>
      <c r="H405" s="90"/>
      <c r="I405" s="75" t="s">
        <v>36</v>
      </c>
      <c r="J405" s="84">
        <f t="shared" si="102"/>
        <v>0.2</v>
      </c>
      <c r="K405" s="84">
        <f t="shared" si="102"/>
        <v>0.2</v>
      </c>
      <c r="L405" s="84"/>
      <c r="M405" s="84"/>
      <c r="N405" s="84">
        <f t="shared" si="102"/>
        <v>0.2</v>
      </c>
      <c r="O405" s="84">
        <f t="shared" si="102"/>
        <v>0.2</v>
      </c>
      <c r="P405" s="84"/>
      <c r="Q405" s="84"/>
      <c r="R405" s="84">
        <f t="shared" si="102"/>
        <v>0</v>
      </c>
      <c r="S405" s="85"/>
      <c r="T405" s="84">
        <f t="shared" si="98"/>
        <v>0.2</v>
      </c>
      <c r="U405" s="86">
        <f t="shared" si="99"/>
        <v>1</v>
      </c>
      <c r="V405" s="87">
        <f t="shared" si="100"/>
        <v>0.05</v>
      </c>
      <c r="W405" s="88">
        <f t="shared" si="101"/>
        <v>54000</v>
      </c>
      <c r="X405" s="81"/>
    </row>
    <row r="406" spans="1:24" ht="13.15">
      <c r="A406" s="71">
        <f t="shared" si="85"/>
        <v>397</v>
      </c>
      <c r="B406" s="83" t="s">
        <v>629</v>
      </c>
      <c r="C406" s="215" t="s">
        <v>668</v>
      </c>
      <c r="D406" s="83" t="s">
        <v>669</v>
      </c>
      <c r="E406" s="89" t="s">
        <v>57</v>
      </c>
      <c r="F406" s="73"/>
      <c r="G406" s="90"/>
      <c r="H406" s="90"/>
      <c r="I406" s="75" t="s">
        <v>36</v>
      </c>
      <c r="J406" s="84">
        <f t="shared" si="102"/>
        <v>0.2</v>
      </c>
      <c r="K406" s="84">
        <f t="shared" si="102"/>
        <v>0.2</v>
      </c>
      <c r="L406" s="84"/>
      <c r="M406" s="84"/>
      <c r="N406" s="84">
        <f t="shared" si="102"/>
        <v>0.2</v>
      </c>
      <c r="O406" s="84">
        <f t="shared" si="102"/>
        <v>0.2</v>
      </c>
      <c r="P406" s="84"/>
      <c r="Q406" s="84"/>
      <c r="R406" s="84">
        <f t="shared" si="102"/>
        <v>0</v>
      </c>
      <c r="S406" s="85"/>
      <c r="T406" s="84">
        <f t="shared" si="98"/>
        <v>0.2</v>
      </c>
      <c r="U406" s="86">
        <f t="shared" si="99"/>
        <v>1</v>
      </c>
      <c r="V406" s="87">
        <f t="shared" si="100"/>
        <v>0.05</v>
      </c>
      <c r="W406" s="88">
        <f t="shared" si="101"/>
        <v>54000</v>
      </c>
      <c r="X406" s="81"/>
    </row>
    <row r="407" spans="1:24" ht="13.15">
      <c r="A407" s="71">
        <f t="shared" si="85"/>
        <v>398</v>
      </c>
      <c r="B407" s="83" t="s">
        <v>629</v>
      </c>
      <c r="C407" s="215" t="s">
        <v>670</v>
      </c>
      <c r="D407" s="83" t="s">
        <v>671</v>
      </c>
      <c r="E407" s="89" t="s">
        <v>57</v>
      </c>
      <c r="F407" s="73"/>
      <c r="G407" s="90"/>
      <c r="H407" s="90"/>
      <c r="I407" s="75" t="s">
        <v>36</v>
      </c>
      <c r="J407" s="84">
        <f t="shared" si="102"/>
        <v>0.2</v>
      </c>
      <c r="K407" s="84">
        <f t="shared" si="102"/>
        <v>0.2</v>
      </c>
      <c r="L407" s="84"/>
      <c r="M407" s="84"/>
      <c r="N407" s="84">
        <f t="shared" si="102"/>
        <v>0.2</v>
      </c>
      <c r="O407" s="84">
        <f t="shared" si="102"/>
        <v>0.2</v>
      </c>
      <c r="P407" s="84"/>
      <c r="Q407" s="84"/>
      <c r="R407" s="84">
        <f t="shared" si="102"/>
        <v>0</v>
      </c>
      <c r="S407" s="85"/>
      <c r="T407" s="84">
        <f t="shared" si="98"/>
        <v>0.2</v>
      </c>
      <c r="U407" s="86">
        <f t="shared" si="99"/>
        <v>1</v>
      </c>
      <c r="V407" s="87">
        <f t="shared" si="100"/>
        <v>0.05</v>
      </c>
      <c r="W407" s="88">
        <f t="shared" si="101"/>
        <v>54000</v>
      </c>
      <c r="X407" s="81"/>
    </row>
    <row r="408" spans="1:24" ht="13.15">
      <c r="A408" s="71">
        <f t="shared" si="85"/>
        <v>399</v>
      </c>
      <c r="B408" s="83" t="s">
        <v>629</v>
      </c>
      <c r="C408" s="215" t="s">
        <v>672</v>
      </c>
      <c r="D408" s="83" t="s">
        <v>673</v>
      </c>
      <c r="E408" s="89" t="s">
        <v>57</v>
      </c>
      <c r="F408" s="73"/>
      <c r="G408" s="90"/>
      <c r="H408" s="90"/>
      <c r="I408" s="75" t="s">
        <v>36</v>
      </c>
      <c r="J408" s="84">
        <f t="shared" si="102"/>
        <v>0.2</v>
      </c>
      <c r="K408" s="84">
        <f t="shared" si="102"/>
        <v>0.2</v>
      </c>
      <c r="L408" s="84"/>
      <c r="M408" s="84"/>
      <c r="N408" s="84">
        <f t="shared" si="102"/>
        <v>0.2</v>
      </c>
      <c r="O408" s="84">
        <f t="shared" si="102"/>
        <v>0.2</v>
      </c>
      <c r="P408" s="84"/>
      <c r="Q408" s="84"/>
      <c r="R408" s="84">
        <f t="shared" si="102"/>
        <v>0</v>
      </c>
      <c r="S408" s="85"/>
      <c r="T408" s="84">
        <f t="shared" si="98"/>
        <v>0.2</v>
      </c>
      <c r="U408" s="86">
        <f t="shared" si="99"/>
        <v>1</v>
      </c>
      <c r="V408" s="87">
        <f t="shared" si="100"/>
        <v>0.05</v>
      </c>
      <c r="W408" s="88">
        <f t="shared" si="101"/>
        <v>54000</v>
      </c>
      <c r="X408" s="81"/>
    </row>
    <row r="409" spans="1:24" ht="13.15">
      <c r="A409" s="71">
        <f t="shared" si="85"/>
        <v>400</v>
      </c>
      <c r="B409" s="83" t="s">
        <v>629</v>
      </c>
      <c r="C409" s="215" t="s">
        <v>674</v>
      </c>
      <c r="D409" s="83" t="s">
        <v>675</v>
      </c>
      <c r="E409" s="89" t="s">
        <v>57</v>
      </c>
      <c r="F409" s="89"/>
      <c r="G409" s="90"/>
      <c r="H409" s="90"/>
      <c r="I409" s="75" t="s">
        <v>36</v>
      </c>
      <c r="J409" s="84">
        <f t="shared" si="102"/>
        <v>0.2</v>
      </c>
      <c r="K409" s="84">
        <f t="shared" si="102"/>
        <v>0.2</v>
      </c>
      <c r="L409" s="84"/>
      <c r="M409" s="84"/>
      <c r="N409" s="84">
        <f t="shared" si="102"/>
        <v>0.2</v>
      </c>
      <c r="O409" s="84">
        <f t="shared" si="102"/>
        <v>0.2</v>
      </c>
      <c r="P409" s="84"/>
      <c r="Q409" s="84"/>
      <c r="R409" s="84">
        <f t="shared" si="102"/>
        <v>0</v>
      </c>
      <c r="S409" s="85"/>
      <c r="T409" s="84">
        <f t="shared" si="98"/>
        <v>0.2</v>
      </c>
      <c r="U409" s="86">
        <f t="shared" si="99"/>
        <v>1</v>
      </c>
      <c r="V409" s="87">
        <f t="shared" si="100"/>
        <v>0.05</v>
      </c>
      <c r="W409" s="88">
        <f t="shared" si="101"/>
        <v>54000</v>
      </c>
      <c r="X409" s="81"/>
    </row>
    <row r="410" spans="1:24" ht="13.15">
      <c r="A410" s="71">
        <f t="shared" si="85"/>
        <v>401</v>
      </c>
      <c r="B410" s="83" t="s">
        <v>629</v>
      </c>
      <c r="C410" s="215" t="s">
        <v>676</v>
      </c>
      <c r="D410" s="83" t="s">
        <v>677</v>
      </c>
      <c r="E410" s="89" t="s">
        <v>57</v>
      </c>
      <c r="F410" s="89"/>
      <c r="G410" s="90"/>
      <c r="H410" s="90"/>
      <c r="I410" s="75" t="s">
        <v>36</v>
      </c>
      <c r="J410" s="84">
        <f t="shared" si="102"/>
        <v>0.2</v>
      </c>
      <c r="K410" s="84">
        <f t="shared" si="102"/>
        <v>0.2</v>
      </c>
      <c r="L410" s="84"/>
      <c r="M410" s="84"/>
      <c r="N410" s="84">
        <f t="shared" si="102"/>
        <v>0.2</v>
      </c>
      <c r="O410" s="84">
        <f t="shared" si="102"/>
        <v>0.2</v>
      </c>
      <c r="P410" s="84"/>
      <c r="Q410" s="84"/>
      <c r="R410" s="84">
        <f t="shared" si="102"/>
        <v>0</v>
      </c>
      <c r="S410" s="85"/>
      <c r="T410" s="84">
        <f t="shared" si="98"/>
        <v>0.2</v>
      </c>
      <c r="U410" s="86">
        <f t="shared" si="99"/>
        <v>1</v>
      </c>
      <c r="V410" s="87">
        <f t="shared" si="100"/>
        <v>0.05</v>
      </c>
      <c r="W410" s="88">
        <f t="shared" si="101"/>
        <v>54000</v>
      </c>
      <c r="X410" s="81"/>
    </row>
    <row r="411" spans="1:24" ht="13.15">
      <c r="A411" s="71">
        <f t="shared" si="85"/>
        <v>402</v>
      </c>
      <c r="B411" s="83" t="s">
        <v>629</v>
      </c>
      <c r="C411" s="215" t="s">
        <v>678</v>
      </c>
      <c r="D411" s="83" t="s">
        <v>679</v>
      </c>
      <c r="E411" s="89" t="s">
        <v>57</v>
      </c>
      <c r="F411" s="89"/>
      <c r="G411" s="90"/>
      <c r="H411" s="90"/>
      <c r="I411" s="75" t="s">
        <v>36</v>
      </c>
      <c r="J411" s="84">
        <f t="shared" si="102"/>
        <v>0.2</v>
      </c>
      <c r="K411" s="84">
        <f t="shared" si="102"/>
        <v>0.2</v>
      </c>
      <c r="L411" s="84"/>
      <c r="M411" s="84"/>
      <c r="N411" s="84">
        <f t="shared" si="102"/>
        <v>0.2</v>
      </c>
      <c r="O411" s="84">
        <f t="shared" si="102"/>
        <v>0.2</v>
      </c>
      <c r="P411" s="84"/>
      <c r="Q411" s="84"/>
      <c r="R411" s="84">
        <f t="shared" si="102"/>
        <v>0</v>
      </c>
      <c r="S411" s="85"/>
      <c r="T411" s="84">
        <f t="shared" si="98"/>
        <v>0.2</v>
      </c>
      <c r="U411" s="86">
        <f t="shared" si="99"/>
        <v>1</v>
      </c>
      <c r="V411" s="87">
        <f t="shared" si="100"/>
        <v>0.05</v>
      </c>
      <c r="W411" s="88">
        <f t="shared" si="101"/>
        <v>54000</v>
      </c>
      <c r="X411" s="81"/>
    </row>
    <row r="412" spans="1:24" ht="13.15">
      <c r="A412" s="71">
        <f t="shared" si="85"/>
        <v>403</v>
      </c>
      <c r="B412" s="83" t="s">
        <v>629</v>
      </c>
      <c r="C412" s="215" t="s">
        <v>680</v>
      </c>
      <c r="D412" s="83" t="s">
        <v>681</v>
      </c>
      <c r="E412" s="89" t="s">
        <v>57</v>
      </c>
      <c r="F412" s="73"/>
      <c r="G412" s="90"/>
      <c r="H412" s="90"/>
      <c r="I412" s="75" t="s">
        <v>36</v>
      </c>
      <c r="J412" s="84">
        <f t="shared" ref="J412:R462" si="103">ROUNDUP(IF($E412="画面",画面係数,IF($E412="帳票",帳票係数,IF($E412="バッチ",バッチ係数,0))) *
 IF($I412="特高",特高係数,IF($I412="高",高係数,IF($I412="中",中係数,IF($I412="低",低係数,IF($I412="特低",特低係数,0)))))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412" s="84">
        <f t="shared" si="103"/>
        <v>0.2</v>
      </c>
      <c r="L412" s="84"/>
      <c r="M412" s="84"/>
      <c r="N412" s="84">
        <f t="shared" si="103"/>
        <v>0.2</v>
      </c>
      <c r="O412" s="84">
        <f t="shared" si="103"/>
        <v>0.2</v>
      </c>
      <c r="P412" s="84"/>
      <c r="Q412" s="84"/>
      <c r="R412" s="84">
        <f t="shared" si="103"/>
        <v>0</v>
      </c>
      <c r="S412" s="85"/>
      <c r="T412" s="84">
        <f t="shared" ref="T412:T459" si="104">ROUNDUP(SUM(J412:S412)*T$8,1)</f>
        <v>0.2</v>
      </c>
      <c r="U412" s="86">
        <f t="shared" ref="U412:U459" si="105">SUM(J412:T412)</f>
        <v>1</v>
      </c>
      <c r="V412" s="87">
        <f t="shared" ref="V412:V459" si="106">U412/20</f>
        <v>0.05</v>
      </c>
      <c r="W412" s="88">
        <f t="shared" ref="W412:W459" si="107">((J412*J$9) + (K412*K$9) + (L412*L$9) + (M412*M$9) + (N412*N$9) + (O412*O$9) + (P412*P$9) + (Q412*Q$9) + (R412*R$9) + (S412*S$9) + (T412*T$9))/20</f>
        <v>54000</v>
      </c>
      <c r="X412" s="81"/>
    </row>
    <row r="413" spans="1:24" ht="13.15">
      <c r="A413" s="71">
        <f t="shared" si="85"/>
        <v>404</v>
      </c>
      <c r="B413" s="83" t="s">
        <v>629</v>
      </c>
      <c r="C413" s="215" t="s">
        <v>680</v>
      </c>
      <c r="D413" s="83" t="s">
        <v>682</v>
      </c>
      <c r="E413" s="89" t="s">
        <v>57</v>
      </c>
      <c r="F413" s="89"/>
      <c r="G413" s="90"/>
      <c r="H413" s="90"/>
      <c r="I413" s="75" t="s">
        <v>36</v>
      </c>
      <c r="J413" s="84">
        <f t="shared" si="103"/>
        <v>0.2</v>
      </c>
      <c r="K413" s="84">
        <f t="shared" si="103"/>
        <v>0.2</v>
      </c>
      <c r="L413" s="84"/>
      <c r="M413" s="84"/>
      <c r="N413" s="84">
        <f t="shared" si="103"/>
        <v>0.2</v>
      </c>
      <c r="O413" s="84">
        <f t="shared" si="103"/>
        <v>0.2</v>
      </c>
      <c r="P413" s="84"/>
      <c r="Q413" s="84"/>
      <c r="R413" s="84">
        <f t="shared" si="103"/>
        <v>0</v>
      </c>
      <c r="S413" s="85"/>
      <c r="T413" s="84">
        <f t="shared" si="104"/>
        <v>0.2</v>
      </c>
      <c r="U413" s="86">
        <f t="shared" si="105"/>
        <v>1</v>
      </c>
      <c r="V413" s="87">
        <f t="shared" si="106"/>
        <v>0.05</v>
      </c>
      <c r="W413" s="88">
        <f t="shared" si="107"/>
        <v>54000</v>
      </c>
      <c r="X413" s="81"/>
    </row>
    <row r="414" spans="1:24" ht="13.15">
      <c r="A414" s="71">
        <f t="shared" si="85"/>
        <v>405</v>
      </c>
      <c r="B414" s="83" t="s">
        <v>629</v>
      </c>
      <c r="C414" s="215" t="s">
        <v>683</v>
      </c>
      <c r="D414" s="83" t="s">
        <v>684</v>
      </c>
      <c r="E414" s="89" t="s">
        <v>57</v>
      </c>
      <c r="F414" s="73"/>
      <c r="G414" s="90"/>
      <c r="H414" s="90"/>
      <c r="I414" s="75" t="s">
        <v>36</v>
      </c>
      <c r="J414" s="84">
        <f t="shared" si="103"/>
        <v>0.2</v>
      </c>
      <c r="K414" s="84">
        <f t="shared" si="103"/>
        <v>0.2</v>
      </c>
      <c r="L414" s="84"/>
      <c r="M414" s="84"/>
      <c r="N414" s="84">
        <f t="shared" si="103"/>
        <v>0.2</v>
      </c>
      <c r="O414" s="84">
        <f t="shared" si="103"/>
        <v>0.2</v>
      </c>
      <c r="P414" s="84"/>
      <c r="Q414" s="84"/>
      <c r="R414" s="84">
        <f t="shared" si="103"/>
        <v>0</v>
      </c>
      <c r="S414" s="85"/>
      <c r="T414" s="84">
        <f t="shared" si="104"/>
        <v>0.2</v>
      </c>
      <c r="U414" s="86">
        <f t="shared" si="105"/>
        <v>1</v>
      </c>
      <c r="V414" s="87">
        <f t="shared" si="106"/>
        <v>0.05</v>
      </c>
      <c r="W414" s="88">
        <f t="shared" si="107"/>
        <v>54000</v>
      </c>
      <c r="X414" s="81"/>
    </row>
    <row r="415" spans="1:24" ht="13.15">
      <c r="A415" s="71">
        <f t="shared" si="85"/>
        <v>406</v>
      </c>
      <c r="B415" s="83" t="s">
        <v>629</v>
      </c>
      <c r="C415" s="215" t="s">
        <v>685</v>
      </c>
      <c r="D415" s="83" t="s">
        <v>686</v>
      </c>
      <c r="E415" s="89" t="s">
        <v>57</v>
      </c>
      <c r="F415" s="73"/>
      <c r="G415" s="90"/>
      <c r="H415" s="90"/>
      <c r="I415" s="75" t="s">
        <v>36</v>
      </c>
      <c r="J415" s="84">
        <f t="shared" si="103"/>
        <v>0.2</v>
      </c>
      <c r="K415" s="84">
        <f t="shared" si="103"/>
        <v>0.2</v>
      </c>
      <c r="L415" s="84"/>
      <c r="M415" s="84"/>
      <c r="N415" s="84">
        <f t="shared" si="103"/>
        <v>0.2</v>
      </c>
      <c r="O415" s="84">
        <f t="shared" si="103"/>
        <v>0.2</v>
      </c>
      <c r="P415" s="84"/>
      <c r="Q415" s="84"/>
      <c r="R415" s="84">
        <f t="shared" si="103"/>
        <v>0</v>
      </c>
      <c r="S415" s="85"/>
      <c r="T415" s="84">
        <f t="shared" si="104"/>
        <v>0.2</v>
      </c>
      <c r="U415" s="86">
        <f t="shared" si="105"/>
        <v>1</v>
      </c>
      <c r="V415" s="87">
        <f t="shared" si="106"/>
        <v>0.05</v>
      </c>
      <c r="W415" s="88">
        <f t="shared" si="107"/>
        <v>54000</v>
      </c>
      <c r="X415" s="81"/>
    </row>
    <row r="416" spans="1:24" ht="13.15">
      <c r="A416" s="71">
        <f t="shared" si="85"/>
        <v>407</v>
      </c>
      <c r="B416" s="83" t="s">
        <v>629</v>
      </c>
      <c r="C416" s="215" t="s">
        <v>687</v>
      </c>
      <c r="D416" s="83" t="s">
        <v>688</v>
      </c>
      <c r="E416" s="89" t="s">
        <v>57</v>
      </c>
      <c r="F416" s="73"/>
      <c r="G416" s="90"/>
      <c r="H416" s="90"/>
      <c r="I416" s="75" t="s">
        <v>36</v>
      </c>
      <c r="J416" s="84">
        <f t="shared" si="103"/>
        <v>0.2</v>
      </c>
      <c r="K416" s="84">
        <f t="shared" si="103"/>
        <v>0.2</v>
      </c>
      <c r="L416" s="84"/>
      <c r="M416" s="84"/>
      <c r="N416" s="84">
        <f t="shared" si="103"/>
        <v>0.2</v>
      </c>
      <c r="O416" s="84">
        <f t="shared" si="103"/>
        <v>0.2</v>
      </c>
      <c r="P416" s="84"/>
      <c r="Q416" s="84"/>
      <c r="R416" s="84">
        <f t="shared" si="103"/>
        <v>0</v>
      </c>
      <c r="S416" s="85"/>
      <c r="T416" s="84">
        <f t="shared" si="104"/>
        <v>0.2</v>
      </c>
      <c r="U416" s="86">
        <f t="shared" si="105"/>
        <v>1</v>
      </c>
      <c r="V416" s="87">
        <f t="shared" si="106"/>
        <v>0.05</v>
      </c>
      <c r="W416" s="88">
        <f t="shared" si="107"/>
        <v>54000</v>
      </c>
      <c r="X416" s="81"/>
    </row>
    <row r="417" spans="1:24" ht="13.15">
      <c r="A417" s="71">
        <f t="shared" si="85"/>
        <v>408</v>
      </c>
      <c r="B417" s="83" t="s">
        <v>629</v>
      </c>
      <c r="C417" s="215" t="s">
        <v>689</v>
      </c>
      <c r="D417" s="83" t="s">
        <v>690</v>
      </c>
      <c r="E417" s="89" t="s">
        <v>57</v>
      </c>
      <c r="F417" s="73"/>
      <c r="G417" s="90"/>
      <c r="H417" s="90"/>
      <c r="I417" s="75" t="s">
        <v>36</v>
      </c>
      <c r="J417" s="84">
        <f t="shared" si="103"/>
        <v>0.2</v>
      </c>
      <c r="K417" s="84">
        <f t="shared" si="103"/>
        <v>0.2</v>
      </c>
      <c r="L417" s="84"/>
      <c r="M417" s="84"/>
      <c r="N417" s="84">
        <f t="shared" si="103"/>
        <v>0.2</v>
      </c>
      <c r="O417" s="84">
        <f t="shared" si="103"/>
        <v>0.2</v>
      </c>
      <c r="P417" s="84"/>
      <c r="Q417" s="84"/>
      <c r="R417" s="84">
        <f t="shared" si="103"/>
        <v>0</v>
      </c>
      <c r="S417" s="85"/>
      <c r="T417" s="84">
        <f t="shared" si="104"/>
        <v>0.2</v>
      </c>
      <c r="U417" s="86">
        <f t="shared" si="105"/>
        <v>1</v>
      </c>
      <c r="V417" s="87">
        <f t="shared" si="106"/>
        <v>0.05</v>
      </c>
      <c r="W417" s="88">
        <f t="shared" si="107"/>
        <v>54000</v>
      </c>
      <c r="X417" s="81"/>
    </row>
    <row r="418" spans="1:24" ht="13.15">
      <c r="A418" s="71">
        <f t="shared" si="85"/>
        <v>409</v>
      </c>
      <c r="B418" s="83" t="s">
        <v>629</v>
      </c>
      <c r="C418" s="215" t="s">
        <v>691</v>
      </c>
      <c r="D418" s="83" t="s">
        <v>692</v>
      </c>
      <c r="E418" s="89" t="s">
        <v>57</v>
      </c>
      <c r="F418" s="73"/>
      <c r="G418" s="90"/>
      <c r="H418" s="90"/>
      <c r="I418" s="75" t="s">
        <v>36</v>
      </c>
      <c r="J418" s="84">
        <f t="shared" si="103"/>
        <v>0.2</v>
      </c>
      <c r="K418" s="84">
        <f t="shared" si="103"/>
        <v>0.2</v>
      </c>
      <c r="L418" s="84"/>
      <c r="M418" s="84"/>
      <c r="N418" s="84">
        <f t="shared" si="103"/>
        <v>0.2</v>
      </c>
      <c r="O418" s="84">
        <f t="shared" si="103"/>
        <v>0.2</v>
      </c>
      <c r="P418" s="84"/>
      <c r="Q418" s="84"/>
      <c r="R418" s="84">
        <f t="shared" si="103"/>
        <v>0</v>
      </c>
      <c r="S418" s="85"/>
      <c r="T418" s="84">
        <f t="shared" si="104"/>
        <v>0.2</v>
      </c>
      <c r="U418" s="86">
        <f t="shared" si="105"/>
        <v>1</v>
      </c>
      <c r="V418" s="87">
        <f t="shared" si="106"/>
        <v>0.05</v>
      </c>
      <c r="W418" s="88">
        <f t="shared" si="107"/>
        <v>54000</v>
      </c>
      <c r="X418" s="81"/>
    </row>
    <row r="419" spans="1:24" ht="13.15">
      <c r="A419" s="71">
        <f t="shared" si="85"/>
        <v>410</v>
      </c>
      <c r="B419" s="83" t="s">
        <v>629</v>
      </c>
      <c r="C419" s="215" t="s">
        <v>648</v>
      </c>
      <c r="D419" s="83" t="s">
        <v>693</v>
      </c>
      <c r="E419" s="89" t="s">
        <v>57</v>
      </c>
      <c r="F419" s="73"/>
      <c r="G419" s="90"/>
      <c r="H419" s="90"/>
      <c r="I419" s="75" t="s">
        <v>36</v>
      </c>
      <c r="J419" s="84">
        <f t="shared" si="103"/>
        <v>0.2</v>
      </c>
      <c r="K419" s="84">
        <f t="shared" si="103"/>
        <v>0.2</v>
      </c>
      <c r="L419" s="84"/>
      <c r="M419" s="84"/>
      <c r="N419" s="84">
        <f t="shared" si="103"/>
        <v>0.2</v>
      </c>
      <c r="O419" s="84">
        <f t="shared" si="103"/>
        <v>0.2</v>
      </c>
      <c r="P419" s="84"/>
      <c r="Q419" s="84"/>
      <c r="R419" s="84">
        <f t="shared" si="103"/>
        <v>0</v>
      </c>
      <c r="S419" s="85"/>
      <c r="T419" s="84">
        <f t="shared" si="104"/>
        <v>0.2</v>
      </c>
      <c r="U419" s="86">
        <f t="shared" si="105"/>
        <v>1</v>
      </c>
      <c r="V419" s="87">
        <f t="shared" si="106"/>
        <v>0.05</v>
      </c>
      <c r="W419" s="88">
        <f t="shared" si="107"/>
        <v>54000</v>
      </c>
      <c r="X419" s="81"/>
    </row>
    <row r="420" spans="1:24" ht="13.15">
      <c r="A420" s="71">
        <f t="shared" si="85"/>
        <v>411</v>
      </c>
      <c r="B420" s="83" t="s">
        <v>629</v>
      </c>
      <c r="C420" s="215" t="s">
        <v>685</v>
      </c>
      <c r="D420" s="83" t="s">
        <v>694</v>
      </c>
      <c r="E420" s="89" t="s">
        <v>57</v>
      </c>
      <c r="F420" s="73"/>
      <c r="G420" s="90"/>
      <c r="H420" s="90"/>
      <c r="I420" s="75" t="s">
        <v>36</v>
      </c>
      <c r="J420" s="84">
        <f t="shared" si="103"/>
        <v>0.2</v>
      </c>
      <c r="K420" s="84">
        <f t="shared" si="103"/>
        <v>0.2</v>
      </c>
      <c r="L420" s="84"/>
      <c r="M420" s="84"/>
      <c r="N420" s="84">
        <f t="shared" si="103"/>
        <v>0.2</v>
      </c>
      <c r="O420" s="84">
        <f t="shared" si="103"/>
        <v>0.2</v>
      </c>
      <c r="P420" s="84"/>
      <c r="Q420" s="84"/>
      <c r="R420" s="84">
        <f t="shared" si="103"/>
        <v>0</v>
      </c>
      <c r="S420" s="85"/>
      <c r="T420" s="84">
        <f t="shared" si="104"/>
        <v>0.2</v>
      </c>
      <c r="U420" s="86">
        <f t="shared" si="105"/>
        <v>1</v>
      </c>
      <c r="V420" s="87">
        <f t="shared" si="106"/>
        <v>0.05</v>
      </c>
      <c r="W420" s="88">
        <f t="shared" si="107"/>
        <v>54000</v>
      </c>
      <c r="X420" s="81"/>
    </row>
    <row r="421" spans="1:24" ht="13.15">
      <c r="A421" s="71">
        <f t="shared" si="85"/>
        <v>412</v>
      </c>
      <c r="B421" s="83" t="s">
        <v>629</v>
      </c>
      <c r="C421" s="215" t="s">
        <v>695</v>
      </c>
      <c r="D421" s="83" t="s">
        <v>696</v>
      </c>
      <c r="E421" s="89" t="s">
        <v>57</v>
      </c>
      <c r="F421" s="73"/>
      <c r="G421" s="90"/>
      <c r="H421" s="90"/>
      <c r="I421" s="75" t="s">
        <v>36</v>
      </c>
      <c r="J421" s="84">
        <f t="shared" si="103"/>
        <v>0.2</v>
      </c>
      <c r="K421" s="84">
        <f t="shared" si="103"/>
        <v>0.2</v>
      </c>
      <c r="L421" s="84"/>
      <c r="M421" s="84"/>
      <c r="N421" s="84">
        <f t="shared" si="103"/>
        <v>0.2</v>
      </c>
      <c r="O421" s="84">
        <f t="shared" si="103"/>
        <v>0.2</v>
      </c>
      <c r="P421" s="84"/>
      <c r="Q421" s="84"/>
      <c r="R421" s="84">
        <f t="shared" si="103"/>
        <v>0</v>
      </c>
      <c r="S421" s="85"/>
      <c r="T421" s="84">
        <f t="shared" si="104"/>
        <v>0.2</v>
      </c>
      <c r="U421" s="86">
        <f t="shared" si="105"/>
        <v>1</v>
      </c>
      <c r="V421" s="87">
        <f t="shared" si="106"/>
        <v>0.05</v>
      </c>
      <c r="W421" s="88">
        <f t="shared" si="107"/>
        <v>54000</v>
      </c>
      <c r="X421" s="81"/>
    </row>
    <row r="422" spans="1:24" ht="13.15">
      <c r="A422" s="71">
        <f t="shared" si="85"/>
        <v>413</v>
      </c>
      <c r="B422" s="83" t="s">
        <v>629</v>
      </c>
      <c r="C422" s="215" t="s">
        <v>652</v>
      </c>
      <c r="D422" s="83" t="s">
        <v>697</v>
      </c>
      <c r="E422" s="89" t="s">
        <v>57</v>
      </c>
      <c r="F422" s="73"/>
      <c r="G422" s="90"/>
      <c r="H422" s="90"/>
      <c r="I422" s="75" t="s">
        <v>36</v>
      </c>
      <c r="J422" s="84">
        <f t="shared" si="103"/>
        <v>0.2</v>
      </c>
      <c r="K422" s="84">
        <f t="shared" si="103"/>
        <v>0.2</v>
      </c>
      <c r="L422" s="84"/>
      <c r="M422" s="84"/>
      <c r="N422" s="84">
        <f t="shared" si="103"/>
        <v>0.2</v>
      </c>
      <c r="O422" s="84">
        <f t="shared" si="103"/>
        <v>0.2</v>
      </c>
      <c r="P422" s="84"/>
      <c r="Q422" s="84"/>
      <c r="R422" s="84">
        <f t="shared" si="103"/>
        <v>0</v>
      </c>
      <c r="S422" s="85"/>
      <c r="T422" s="84">
        <f t="shared" si="104"/>
        <v>0.2</v>
      </c>
      <c r="U422" s="86">
        <f t="shared" si="105"/>
        <v>1</v>
      </c>
      <c r="V422" s="87">
        <f t="shared" si="106"/>
        <v>0.05</v>
      </c>
      <c r="W422" s="88">
        <f t="shared" si="107"/>
        <v>54000</v>
      </c>
      <c r="X422" s="81"/>
    </row>
    <row r="423" spans="1:24" ht="13.15">
      <c r="A423" s="71">
        <f t="shared" si="85"/>
        <v>414</v>
      </c>
      <c r="B423" s="83" t="s">
        <v>629</v>
      </c>
      <c r="C423" s="215" t="s">
        <v>654</v>
      </c>
      <c r="D423" s="83" t="s">
        <v>698</v>
      </c>
      <c r="E423" s="89" t="s">
        <v>57</v>
      </c>
      <c r="F423" s="73"/>
      <c r="G423" s="90"/>
      <c r="H423" s="90"/>
      <c r="I423" s="75" t="s">
        <v>36</v>
      </c>
      <c r="J423" s="84">
        <f t="shared" si="103"/>
        <v>0.2</v>
      </c>
      <c r="K423" s="84">
        <f t="shared" si="103"/>
        <v>0.2</v>
      </c>
      <c r="L423" s="84"/>
      <c r="M423" s="84"/>
      <c r="N423" s="84">
        <f t="shared" si="103"/>
        <v>0.2</v>
      </c>
      <c r="O423" s="84">
        <f t="shared" si="103"/>
        <v>0.2</v>
      </c>
      <c r="P423" s="84"/>
      <c r="Q423" s="84"/>
      <c r="R423" s="84">
        <f t="shared" si="103"/>
        <v>0</v>
      </c>
      <c r="S423" s="85"/>
      <c r="T423" s="84">
        <f t="shared" si="104"/>
        <v>0.2</v>
      </c>
      <c r="U423" s="86">
        <f t="shared" si="105"/>
        <v>1</v>
      </c>
      <c r="V423" s="87">
        <f t="shared" si="106"/>
        <v>0.05</v>
      </c>
      <c r="W423" s="88">
        <f t="shared" si="107"/>
        <v>54000</v>
      </c>
      <c r="X423" s="81"/>
    </row>
    <row r="424" spans="1:24" ht="13.15">
      <c r="A424" s="71">
        <f t="shared" si="85"/>
        <v>415</v>
      </c>
      <c r="B424" s="83" t="s">
        <v>629</v>
      </c>
      <c r="C424" s="215" t="s">
        <v>656</v>
      </c>
      <c r="D424" s="83" t="s">
        <v>699</v>
      </c>
      <c r="E424" s="89" t="s">
        <v>57</v>
      </c>
      <c r="F424" s="73"/>
      <c r="G424" s="90"/>
      <c r="H424" s="90"/>
      <c r="I424" s="75" t="s">
        <v>36</v>
      </c>
      <c r="J424" s="84">
        <f t="shared" si="103"/>
        <v>0.2</v>
      </c>
      <c r="K424" s="84">
        <f t="shared" si="103"/>
        <v>0.2</v>
      </c>
      <c r="L424" s="84"/>
      <c r="M424" s="84"/>
      <c r="N424" s="84">
        <f t="shared" si="103"/>
        <v>0.2</v>
      </c>
      <c r="O424" s="84">
        <f t="shared" si="103"/>
        <v>0.2</v>
      </c>
      <c r="P424" s="84"/>
      <c r="Q424" s="84"/>
      <c r="R424" s="84">
        <f t="shared" si="103"/>
        <v>0</v>
      </c>
      <c r="S424" s="85"/>
      <c r="T424" s="84">
        <f t="shared" si="104"/>
        <v>0.2</v>
      </c>
      <c r="U424" s="86">
        <f t="shared" si="105"/>
        <v>1</v>
      </c>
      <c r="V424" s="87">
        <f t="shared" si="106"/>
        <v>0.05</v>
      </c>
      <c r="W424" s="88">
        <f t="shared" si="107"/>
        <v>54000</v>
      </c>
      <c r="X424" s="81"/>
    </row>
    <row r="425" spans="1:24" ht="13.15">
      <c r="A425" s="71">
        <f t="shared" si="85"/>
        <v>416</v>
      </c>
      <c r="B425" s="83" t="s">
        <v>629</v>
      </c>
      <c r="C425" s="215" t="s">
        <v>658</v>
      </c>
      <c r="D425" s="83" t="s">
        <v>700</v>
      </c>
      <c r="E425" s="89" t="s">
        <v>57</v>
      </c>
      <c r="F425" s="73"/>
      <c r="G425" s="90"/>
      <c r="H425" s="90"/>
      <c r="I425" s="75" t="s">
        <v>36</v>
      </c>
      <c r="J425" s="84">
        <f t="shared" si="103"/>
        <v>0.2</v>
      </c>
      <c r="K425" s="84">
        <f t="shared" si="103"/>
        <v>0.2</v>
      </c>
      <c r="L425" s="84"/>
      <c r="M425" s="84"/>
      <c r="N425" s="84">
        <f t="shared" si="103"/>
        <v>0.2</v>
      </c>
      <c r="O425" s="84">
        <f t="shared" si="103"/>
        <v>0.2</v>
      </c>
      <c r="P425" s="84"/>
      <c r="Q425" s="84"/>
      <c r="R425" s="84">
        <f t="shared" si="103"/>
        <v>0</v>
      </c>
      <c r="S425" s="85"/>
      <c r="T425" s="84">
        <f t="shared" si="104"/>
        <v>0.2</v>
      </c>
      <c r="U425" s="86">
        <f t="shared" si="105"/>
        <v>1</v>
      </c>
      <c r="V425" s="87">
        <f t="shared" si="106"/>
        <v>0.05</v>
      </c>
      <c r="W425" s="88">
        <f t="shared" si="107"/>
        <v>54000</v>
      </c>
      <c r="X425" s="81"/>
    </row>
    <row r="426" spans="1:24" ht="13.15">
      <c r="A426" s="71">
        <f t="shared" si="85"/>
        <v>417</v>
      </c>
      <c r="B426" s="83" t="s">
        <v>629</v>
      </c>
      <c r="C426" s="215" t="s">
        <v>660</v>
      </c>
      <c r="D426" s="83" t="s">
        <v>701</v>
      </c>
      <c r="E426" s="89" t="s">
        <v>57</v>
      </c>
      <c r="F426" s="89"/>
      <c r="G426" s="90"/>
      <c r="H426" s="90"/>
      <c r="I426" s="75" t="s">
        <v>36</v>
      </c>
      <c r="J426" s="84">
        <f t="shared" si="103"/>
        <v>0.2</v>
      </c>
      <c r="K426" s="84">
        <f t="shared" si="103"/>
        <v>0.2</v>
      </c>
      <c r="L426" s="84"/>
      <c r="M426" s="84"/>
      <c r="N426" s="84">
        <f t="shared" si="103"/>
        <v>0.2</v>
      </c>
      <c r="O426" s="84">
        <f t="shared" si="103"/>
        <v>0.2</v>
      </c>
      <c r="P426" s="84"/>
      <c r="Q426" s="84"/>
      <c r="R426" s="84">
        <f t="shared" si="103"/>
        <v>0</v>
      </c>
      <c r="S426" s="85"/>
      <c r="T426" s="84">
        <f t="shared" si="104"/>
        <v>0.2</v>
      </c>
      <c r="U426" s="86">
        <f t="shared" si="105"/>
        <v>1</v>
      </c>
      <c r="V426" s="87">
        <f t="shared" si="106"/>
        <v>0.05</v>
      </c>
      <c r="W426" s="88">
        <f t="shared" si="107"/>
        <v>54000</v>
      </c>
      <c r="X426" s="81"/>
    </row>
    <row r="427" spans="1:24" ht="13.15">
      <c r="A427" s="71">
        <f t="shared" si="85"/>
        <v>418</v>
      </c>
      <c r="B427" s="83" t="s">
        <v>629</v>
      </c>
      <c r="C427" s="215" t="s">
        <v>650</v>
      </c>
      <c r="D427" s="83" t="s">
        <v>702</v>
      </c>
      <c r="E427" s="89" t="s">
        <v>57</v>
      </c>
      <c r="F427" s="89"/>
      <c r="G427" s="90"/>
      <c r="H427" s="90"/>
      <c r="I427" s="75" t="s">
        <v>36</v>
      </c>
      <c r="J427" s="84">
        <f t="shared" si="103"/>
        <v>0.2</v>
      </c>
      <c r="K427" s="84">
        <f t="shared" si="103"/>
        <v>0.2</v>
      </c>
      <c r="L427" s="84"/>
      <c r="M427" s="84"/>
      <c r="N427" s="84">
        <f t="shared" si="103"/>
        <v>0.2</v>
      </c>
      <c r="O427" s="84">
        <f t="shared" si="103"/>
        <v>0.2</v>
      </c>
      <c r="P427" s="84"/>
      <c r="Q427" s="84"/>
      <c r="R427" s="84">
        <f t="shared" si="103"/>
        <v>0</v>
      </c>
      <c r="S427" s="85"/>
      <c r="T427" s="84">
        <f t="shared" si="104"/>
        <v>0.2</v>
      </c>
      <c r="U427" s="86">
        <f t="shared" si="105"/>
        <v>1</v>
      </c>
      <c r="V427" s="87">
        <f t="shared" si="106"/>
        <v>0.05</v>
      </c>
      <c r="W427" s="88">
        <f t="shared" si="107"/>
        <v>54000</v>
      </c>
      <c r="X427" s="81"/>
    </row>
    <row r="428" spans="1:24" ht="13.15">
      <c r="A428" s="71">
        <f t="shared" si="85"/>
        <v>419</v>
      </c>
      <c r="B428" s="83" t="s">
        <v>629</v>
      </c>
      <c r="C428" s="215" t="s">
        <v>662</v>
      </c>
      <c r="D428" s="83" t="s">
        <v>703</v>
      </c>
      <c r="E428" s="89" t="s">
        <v>57</v>
      </c>
      <c r="F428" s="89"/>
      <c r="G428" s="90"/>
      <c r="H428" s="90"/>
      <c r="I428" s="75" t="s">
        <v>36</v>
      </c>
      <c r="J428" s="84">
        <f t="shared" si="103"/>
        <v>0.2</v>
      </c>
      <c r="K428" s="84">
        <f t="shared" si="103"/>
        <v>0.2</v>
      </c>
      <c r="L428" s="84"/>
      <c r="M428" s="84"/>
      <c r="N428" s="84">
        <f t="shared" si="103"/>
        <v>0.2</v>
      </c>
      <c r="O428" s="84">
        <f t="shared" si="103"/>
        <v>0.2</v>
      </c>
      <c r="P428" s="84"/>
      <c r="Q428" s="84"/>
      <c r="R428" s="84">
        <f t="shared" si="103"/>
        <v>0</v>
      </c>
      <c r="S428" s="85"/>
      <c r="T428" s="84">
        <f t="shared" si="104"/>
        <v>0.2</v>
      </c>
      <c r="U428" s="86">
        <f t="shared" si="105"/>
        <v>1</v>
      </c>
      <c r="V428" s="87">
        <f t="shared" si="106"/>
        <v>0.05</v>
      </c>
      <c r="W428" s="88">
        <f t="shared" si="107"/>
        <v>54000</v>
      </c>
      <c r="X428" s="81"/>
    </row>
    <row r="429" spans="1:24" ht="13.15">
      <c r="A429" s="71">
        <f t="shared" si="85"/>
        <v>420</v>
      </c>
      <c r="B429" s="83" t="s">
        <v>629</v>
      </c>
      <c r="C429" s="215" t="s">
        <v>664</v>
      </c>
      <c r="D429" s="83" t="s">
        <v>704</v>
      </c>
      <c r="E429" s="89" t="s">
        <v>57</v>
      </c>
      <c r="F429" s="89"/>
      <c r="G429" s="90"/>
      <c r="H429" s="90"/>
      <c r="I429" s="75" t="s">
        <v>36</v>
      </c>
      <c r="J429" s="84">
        <f t="shared" si="103"/>
        <v>0.2</v>
      </c>
      <c r="K429" s="84">
        <f t="shared" si="103"/>
        <v>0.2</v>
      </c>
      <c r="L429" s="84"/>
      <c r="M429" s="84"/>
      <c r="N429" s="84">
        <f t="shared" si="103"/>
        <v>0.2</v>
      </c>
      <c r="O429" s="84">
        <f t="shared" si="103"/>
        <v>0.2</v>
      </c>
      <c r="P429" s="84"/>
      <c r="Q429" s="84"/>
      <c r="R429" s="84">
        <f t="shared" si="103"/>
        <v>0</v>
      </c>
      <c r="S429" s="85"/>
      <c r="T429" s="84">
        <f t="shared" si="104"/>
        <v>0.2</v>
      </c>
      <c r="U429" s="86">
        <f t="shared" si="105"/>
        <v>1</v>
      </c>
      <c r="V429" s="87">
        <f t="shared" si="106"/>
        <v>0.05</v>
      </c>
      <c r="W429" s="88">
        <f t="shared" si="107"/>
        <v>54000</v>
      </c>
      <c r="X429" s="81"/>
    </row>
    <row r="430" spans="1:24" ht="13.15">
      <c r="A430" s="71">
        <f t="shared" si="85"/>
        <v>421</v>
      </c>
      <c r="B430" s="83" t="s">
        <v>629</v>
      </c>
      <c r="C430" s="215" t="s">
        <v>666</v>
      </c>
      <c r="D430" s="83" t="s">
        <v>705</v>
      </c>
      <c r="E430" s="89" t="s">
        <v>57</v>
      </c>
      <c r="F430" s="73"/>
      <c r="G430" s="90"/>
      <c r="H430" s="90"/>
      <c r="I430" s="75" t="s">
        <v>36</v>
      </c>
      <c r="J430" s="84">
        <f t="shared" si="103"/>
        <v>0.2</v>
      </c>
      <c r="K430" s="84">
        <f t="shared" si="103"/>
        <v>0.2</v>
      </c>
      <c r="L430" s="84"/>
      <c r="M430" s="84"/>
      <c r="N430" s="84">
        <f t="shared" ref="J430:R458" si="108">ROUNDUP(IF($E430="画面",画面係数,IF($E430="帳票",帳票係数,IF($E430="バッチ",バッチ係数,0))) *
 IF($I430="特高",特高係数,IF($I430="高",高係数,IF($I430="中",中係数,IF($I430="低",低係数,IF($I430="特低",特低係数,0)))))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0.2</v>
      </c>
      <c r="O430" s="84">
        <f t="shared" si="108"/>
        <v>0.2</v>
      </c>
      <c r="P430" s="84"/>
      <c r="Q430" s="84"/>
      <c r="R430" s="84">
        <f t="shared" si="108"/>
        <v>0</v>
      </c>
      <c r="S430" s="85"/>
      <c r="T430" s="84">
        <f t="shared" si="104"/>
        <v>0.2</v>
      </c>
      <c r="U430" s="86">
        <f t="shared" si="105"/>
        <v>1</v>
      </c>
      <c r="V430" s="87">
        <f t="shared" si="106"/>
        <v>0.05</v>
      </c>
      <c r="W430" s="88">
        <f t="shared" si="107"/>
        <v>54000</v>
      </c>
      <c r="X430" s="81"/>
    </row>
    <row r="431" spans="1:24" ht="13.15">
      <c r="A431" s="71">
        <f t="shared" si="85"/>
        <v>422</v>
      </c>
      <c r="B431" s="83" t="s">
        <v>629</v>
      </c>
      <c r="C431" s="215" t="s">
        <v>668</v>
      </c>
      <c r="D431" s="83" t="s">
        <v>706</v>
      </c>
      <c r="E431" s="89" t="s">
        <v>57</v>
      </c>
      <c r="F431" s="73"/>
      <c r="G431" s="90"/>
      <c r="H431" s="90"/>
      <c r="I431" s="75" t="s">
        <v>36</v>
      </c>
      <c r="J431" s="84">
        <f t="shared" si="108"/>
        <v>0.2</v>
      </c>
      <c r="K431" s="84">
        <f t="shared" si="108"/>
        <v>0.2</v>
      </c>
      <c r="L431" s="84"/>
      <c r="M431" s="84"/>
      <c r="N431" s="84">
        <f t="shared" si="108"/>
        <v>0.2</v>
      </c>
      <c r="O431" s="84">
        <f t="shared" si="108"/>
        <v>0.2</v>
      </c>
      <c r="P431" s="84"/>
      <c r="Q431" s="84"/>
      <c r="R431" s="84">
        <f t="shared" si="108"/>
        <v>0</v>
      </c>
      <c r="S431" s="85"/>
      <c r="T431" s="84">
        <f t="shared" si="104"/>
        <v>0.2</v>
      </c>
      <c r="U431" s="86">
        <f t="shared" si="105"/>
        <v>1</v>
      </c>
      <c r="V431" s="87">
        <f t="shared" si="106"/>
        <v>0.05</v>
      </c>
      <c r="W431" s="88">
        <f t="shared" si="107"/>
        <v>54000</v>
      </c>
      <c r="X431" s="81"/>
    </row>
    <row r="432" spans="1:24" ht="13.15">
      <c r="A432" s="71">
        <f t="shared" si="85"/>
        <v>423</v>
      </c>
      <c r="B432" s="83" t="s">
        <v>629</v>
      </c>
      <c r="C432" s="215" t="s">
        <v>670</v>
      </c>
      <c r="D432" s="83" t="s">
        <v>707</v>
      </c>
      <c r="E432" s="89" t="s">
        <v>57</v>
      </c>
      <c r="F432" s="73"/>
      <c r="G432" s="90"/>
      <c r="H432" s="90"/>
      <c r="I432" s="75" t="s">
        <v>36</v>
      </c>
      <c r="J432" s="84">
        <f t="shared" si="108"/>
        <v>0.2</v>
      </c>
      <c r="K432" s="84">
        <f t="shared" si="108"/>
        <v>0.2</v>
      </c>
      <c r="L432" s="84"/>
      <c r="M432" s="84"/>
      <c r="N432" s="84">
        <f t="shared" si="108"/>
        <v>0.2</v>
      </c>
      <c r="O432" s="84">
        <f t="shared" si="108"/>
        <v>0.2</v>
      </c>
      <c r="P432" s="84"/>
      <c r="Q432" s="84"/>
      <c r="R432" s="84">
        <f t="shared" si="108"/>
        <v>0</v>
      </c>
      <c r="S432" s="85"/>
      <c r="T432" s="84">
        <f t="shared" si="104"/>
        <v>0.2</v>
      </c>
      <c r="U432" s="86">
        <f t="shared" si="105"/>
        <v>1</v>
      </c>
      <c r="V432" s="87">
        <f t="shared" si="106"/>
        <v>0.05</v>
      </c>
      <c r="W432" s="88">
        <f t="shared" si="107"/>
        <v>54000</v>
      </c>
      <c r="X432" s="81"/>
    </row>
    <row r="433" spans="1:24" ht="13.15">
      <c r="A433" s="71">
        <f t="shared" si="85"/>
        <v>424</v>
      </c>
      <c r="B433" s="83" t="s">
        <v>629</v>
      </c>
      <c r="C433" s="215" t="s">
        <v>672</v>
      </c>
      <c r="D433" s="83" t="s">
        <v>708</v>
      </c>
      <c r="E433" s="89" t="s">
        <v>57</v>
      </c>
      <c r="F433" s="73"/>
      <c r="G433" s="90"/>
      <c r="H433" s="90"/>
      <c r="I433" s="75" t="s">
        <v>36</v>
      </c>
      <c r="J433" s="84">
        <f t="shared" si="108"/>
        <v>0.2</v>
      </c>
      <c r="K433" s="84">
        <f t="shared" si="108"/>
        <v>0.2</v>
      </c>
      <c r="L433" s="84"/>
      <c r="M433" s="84"/>
      <c r="N433" s="84">
        <f t="shared" si="108"/>
        <v>0.2</v>
      </c>
      <c r="O433" s="84">
        <f t="shared" si="108"/>
        <v>0.2</v>
      </c>
      <c r="P433" s="84"/>
      <c r="Q433" s="84"/>
      <c r="R433" s="84">
        <f t="shared" si="108"/>
        <v>0</v>
      </c>
      <c r="S433" s="85"/>
      <c r="T433" s="84">
        <f t="shared" si="104"/>
        <v>0.2</v>
      </c>
      <c r="U433" s="86">
        <f t="shared" si="105"/>
        <v>1</v>
      </c>
      <c r="V433" s="87">
        <f t="shared" si="106"/>
        <v>0.05</v>
      </c>
      <c r="W433" s="88">
        <f t="shared" si="107"/>
        <v>54000</v>
      </c>
      <c r="X433" s="81"/>
    </row>
    <row r="434" spans="1:24" ht="13.15">
      <c r="A434" s="71">
        <f t="shared" si="85"/>
        <v>425</v>
      </c>
      <c r="B434" s="83" t="s">
        <v>629</v>
      </c>
      <c r="C434" s="215" t="s">
        <v>674</v>
      </c>
      <c r="D434" s="83" t="s">
        <v>709</v>
      </c>
      <c r="E434" s="89" t="s">
        <v>57</v>
      </c>
      <c r="F434" s="73"/>
      <c r="G434" s="90"/>
      <c r="H434" s="90"/>
      <c r="I434" s="75" t="s">
        <v>36</v>
      </c>
      <c r="J434" s="84">
        <f t="shared" si="108"/>
        <v>0.2</v>
      </c>
      <c r="K434" s="84">
        <f t="shared" si="108"/>
        <v>0.2</v>
      </c>
      <c r="L434" s="84"/>
      <c r="M434" s="84"/>
      <c r="N434" s="84">
        <f t="shared" si="108"/>
        <v>0.2</v>
      </c>
      <c r="O434" s="84">
        <f t="shared" si="108"/>
        <v>0.2</v>
      </c>
      <c r="P434" s="84"/>
      <c r="Q434" s="84"/>
      <c r="R434" s="84">
        <f t="shared" si="108"/>
        <v>0</v>
      </c>
      <c r="S434" s="85"/>
      <c r="T434" s="84">
        <f t="shared" si="104"/>
        <v>0.2</v>
      </c>
      <c r="U434" s="86">
        <f t="shared" si="105"/>
        <v>1</v>
      </c>
      <c r="V434" s="87">
        <f t="shared" si="106"/>
        <v>0.05</v>
      </c>
      <c r="W434" s="88">
        <f t="shared" si="107"/>
        <v>54000</v>
      </c>
      <c r="X434" s="81"/>
    </row>
    <row r="435" spans="1:24" ht="13.15">
      <c r="A435" s="71">
        <f t="shared" si="85"/>
        <v>426</v>
      </c>
      <c r="B435" s="83" t="s">
        <v>629</v>
      </c>
      <c r="C435" s="215" t="s">
        <v>676</v>
      </c>
      <c r="D435" s="83" t="s">
        <v>710</v>
      </c>
      <c r="E435" s="89" t="s">
        <v>57</v>
      </c>
      <c r="F435" s="73"/>
      <c r="G435" s="90"/>
      <c r="H435" s="90"/>
      <c r="I435" s="75" t="s">
        <v>36</v>
      </c>
      <c r="J435" s="84">
        <f t="shared" si="108"/>
        <v>0.2</v>
      </c>
      <c r="K435" s="84">
        <f t="shared" si="108"/>
        <v>0.2</v>
      </c>
      <c r="L435" s="84"/>
      <c r="M435" s="84"/>
      <c r="N435" s="84">
        <f t="shared" si="108"/>
        <v>0.2</v>
      </c>
      <c r="O435" s="84">
        <f t="shared" si="108"/>
        <v>0.2</v>
      </c>
      <c r="P435" s="84"/>
      <c r="Q435" s="84"/>
      <c r="R435" s="84">
        <f t="shared" si="108"/>
        <v>0</v>
      </c>
      <c r="S435" s="85"/>
      <c r="T435" s="84">
        <f t="shared" si="104"/>
        <v>0.2</v>
      </c>
      <c r="U435" s="86">
        <f t="shared" si="105"/>
        <v>1</v>
      </c>
      <c r="V435" s="87">
        <f t="shared" si="106"/>
        <v>0.05</v>
      </c>
      <c r="W435" s="88">
        <f t="shared" si="107"/>
        <v>54000</v>
      </c>
      <c r="X435" s="81"/>
    </row>
    <row r="436" spans="1:24" ht="13.15">
      <c r="A436" s="71">
        <f t="shared" si="85"/>
        <v>427</v>
      </c>
      <c r="B436" s="83" t="s">
        <v>629</v>
      </c>
      <c r="C436" s="215" t="s">
        <v>678</v>
      </c>
      <c r="D436" s="83" t="s">
        <v>711</v>
      </c>
      <c r="E436" s="89" t="s">
        <v>57</v>
      </c>
      <c r="F436" s="73"/>
      <c r="G436" s="90"/>
      <c r="H436" s="90"/>
      <c r="I436" s="75" t="s">
        <v>36</v>
      </c>
      <c r="J436" s="84">
        <f t="shared" si="108"/>
        <v>0.2</v>
      </c>
      <c r="K436" s="84">
        <f t="shared" si="108"/>
        <v>0.2</v>
      </c>
      <c r="L436" s="84"/>
      <c r="M436" s="84"/>
      <c r="N436" s="84">
        <f t="shared" si="108"/>
        <v>0.2</v>
      </c>
      <c r="O436" s="84">
        <f t="shared" si="108"/>
        <v>0.2</v>
      </c>
      <c r="P436" s="84"/>
      <c r="Q436" s="84"/>
      <c r="R436" s="84">
        <f t="shared" si="108"/>
        <v>0</v>
      </c>
      <c r="S436" s="85"/>
      <c r="T436" s="84">
        <f t="shared" si="104"/>
        <v>0.2</v>
      </c>
      <c r="U436" s="86">
        <f t="shared" si="105"/>
        <v>1</v>
      </c>
      <c r="V436" s="87">
        <f t="shared" si="106"/>
        <v>0.05</v>
      </c>
      <c r="W436" s="88">
        <f t="shared" si="107"/>
        <v>54000</v>
      </c>
      <c r="X436" s="81"/>
    </row>
    <row r="437" spans="1:24" ht="13.15">
      <c r="A437" s="71">
        <f t="shared" si="85"/>
        <v>428</v>
      </c>
      <c r="B437" s="83" t="s">
        <v>629</v>
      </c>
      <c r="C437" s="215" t="s">
        <v>712</v>
      </c>
      <c r="D437" s="83" t="s">
        <v>713</v>
      </c>
      <c r="E437" s="89" t="s">
        <v>57</v>
      </c>
      <c r="F437" s="89"/>
      <c r="G437" s="90"/>
      <c r="H437" s="90"/>
      <c r="I437" s="75" t="s">
        <v>36</v>
      </c>
      <c r="J437" s="84">
        <f t="shared" si="108"/>
        <v>0.2</v>
      </c>
      <c r="K437" s="84">
        <f t="shared" si="108"/>
        <v>0.2</v>
      </c>
      <c r="L437" s="84"/>
      <c r="M437" s="84"/>
      <c r="N437" s="84">
        <f t="shared" si="108"/>
        <v>0.2</v>
      </c>
      <c r="O437" s="84">
        <f t="shared" si="108"/>
        <v>0.2</v>
      </c>
      <c r="P437" s="84"/>
      <c r="Q437" s="84"/>
      <c r="R437" s="84">
        <f t="shared" si="108"/>
        <v>0</v>
      </c>
      <c r="S437" s="85"/>
      <c r="T437" s="84">
        <f t="shared" si="104"/>
        <v>0.2</v>
      </c>
      <c r="U437" s="86">
        <f t="shared" si="105"/>
        <v>1</v>
      </c>
      <c r="V437" s="87">
        <f t="shared" si="106"/>
        <v>0.05</v>
      </c>
      <c r="W437" s="88">
        <f t="shared" si="107"/>
        <v>54000</v>
      </c>
      <c r="X437" s="81"/>
    </row>
    <row r="438" spans="1:24" ht="13.15">
      <c r="A438" s="71">
        <f t="shared" si="85"/>
        <v>429</v>
      </c>
      <c r="B438" s="83" t="s">
        <v>629</v>
      </c>
      <c r="C438" s="215" t="s">
        <v>714</v>
      </c>
      <c r="D438" s="83" t="s">
        <v>715</v>
      </c>
      <c r="E438" s="89" t="s">
        <v>57</v>
      </c>
      <c r="F438" s="89"/>
      <c r="G438" s="90"/>
      <c r="H438" s="90"/>
      <c r="I438" s="75" t="s">
        <v>36</v>
      </c>
      <c r="J438" s="84">
        <f t="shared" si="108"/>
        <v>0.2</v>
      </c>
      <c r="K438" s="84">
        <f t="shared" si="108"/>
        <v>0.2</v>
      </c>
      <c r="L438" s="84"/>
      <c r="M438" s="84"/>
      <c r="N438" s="84">
        <f t="shared" si="108"/>
        <v>0.2</v>
      </c>
      <c r="O438" s="84">
        <f t="shared" si="108"/>
        <v>0.2</v>
      </c>
      <c r="P438" s="84"/>
      <c r="Q438" s="84"/>
      <c r="R438" s="84">
        <f t="shared" si="108"/>
        <v>0</v>
      </c>
      <c r="S438" s="85"/>
      <c r="T438" s="84">
        <f t="shared" si="104"/>
        <v>0.2</v>
      </c>
      <c r="U438" s="86">
        <f t="shared" si="105"/>
        <v>1</v>
      </c>
      <c r="V438" s="87">
        <f t="shared" si="106"/>
        <v>0.05</v>
      </c>
      <c r="W438" s="88">
        <f t="shared" si="107"/>
        <v>54000</v>
      </c>
      <c r="X438" s="81"/>
    </row>
    <row r="439" spans="1:24" ht="13.15">
      <c r="A439" s="71">
        <f t="shared" si="85"/>
        <v>430</v>
      </c>
      <c r="B439" s="83" t="s">
        <v>629</v>
      </c>
      <c r="C439" s="215" t="s">
        <v>680</v>
      </c>
      <c r="D439" s="83" t="s">
        <v>716</v>
      </c>
      <c r="E439" s="89" t="s">
        <v>57</v>
      </c>
      <c r="F439" s="89"/>
      <c r="G439" s="90"/>
      <c r="H439" s="90"/>
      <c r="I439" s="75" t="s">
        <v>36</v>
      </c>
      <c r="J439" s="84">
        <f t="shared" si="108"/>
        <v>0.2</v>
      </c>
      <c r="K439" s="84">
        <f t="shared" si="108"/>
        <v>0.2</v>
      </c>
      <c r="L439" s="84"/>
      <c r="M439" s="84"/>
      <c r="N439" s="84">
        <f t="shared" si="108"/>
        <v>0.2</v>
      </c>
      <c r="O439" s="84">
        <f t="shared" si="108"/>
        <v>0.2</v>
      </c>
      <c r="P439" s="84"/>
      <c r="Q439" s="84"/>
      <c r="R439" s="84">
        <f t="shared" si="108"/>
        <v>0</v>
      </c>
      <c r="S439" s="85"/>
      <c r="T439" s="84">
        <f t="shared" si="104"/>
        <v>0.2</v>
      </c>
      <c r="U439" s="86">
        <f t="shared" si="105"/>
        <v>1</v>
      </c>
      <c r="V439" s="87">
        <f t="shared" si="106"/>
        <v>0.05</v>
      </c>
      <c r="W439" s="88">
        <f t="shared" si="107"/>
        <v>54000</v>
      </c>
      <c r="X439" s="81"/>
    </row>
    <row r="440" spans="1:24" ht="13.15">
      <c r="A440" s="71">
        <f t="shared" si="85"/>
        <v>431</v>
      </c>
      <c r="B440" s="83" t="s">
        <v>629</v>
      </c>
      <c r="C440" s="215" t="s">
        <v>680</v>
      </c>
      <c r="D440" s="83" t="s">
        <v>717</v>
      </c>
      <c r="E440" s="89" t="s">
        <v>57</v>
      </c>
      <c r="F440" s="89"/>
      <c r="G440" s="90"/>
      <c r="H440" s="90"/>
      <c r="I440" s="75" t="s">
        <v>36</v>
      </c>
      <c r="J440" s="84">
        <f t="shared" si="108"/>
        <v>0.2</v>
      </c>
      <c r="K440" s="84">
        <f t="shared" si="108"/>
        <v>0.2</v>
      </c>
      <c r="L440" s="84"/>
      <c r="M440" s="84"/>
      <c r="N440" s="84">
        <f t="shared" si="108"/>
        <v>0.2</v>
      </c>
      <c r="O440" s="84">
        <f t="shared" si="108"/>
        <v>0.2</v>
      </c>
      <c r="P440" s="84"/>
      <c r="Q440" s="84"/>
      <c r="R440" s="84">
        <f t="shared" si="108"/>
        <v>0</v>
      </c>
      <c r="S440" s="85"/>
      <c r="T440" s="84">
        <f t="shared" si="104"/>
        <v>0.2</v>
      </c>
      <c r="U440" s="86">
        <f t="shared" si="105"/>
        <v>1</v>
      </c>
      <c r="V440" s="87">
        <f t="shared" si="106"/>
        <v>0.05</v>
      </c>
      <c r="W440" s="88">
        <f t="shared" si="107"/>
        <v>54000</v>
      </c>
      <c r="X440" s="81"/>
    </row>
    <row r="441" spans="1:24" ht="13.15">
      <c r="A441" s="71">
        <f t="shared" si="85"/>
        <v>432</v>
      </c>
      <c r="B441" s="83" t="s">
        <v>629</v>
      </c>
      <c r="C441" s="215" t="s">
        <v>718</v>
      </c>
      <c r="D441" s="83" t="s">
        <v>719</v>
      </c>
      <c r="E441" s="89" t="s">
        <v>57</v>
      </c>
      <c r="F441" s="73"/>
      <c r="G441" s="90"/>
      <c r="H441" s="90"/>
      <c r="I441" s="75" t="s">
        <v>36</v>
      </c>
      <c r="J441" s="84">
        <f t="shared" si="108"/>
        <v>0.2</v>
      </c>
      <c r="K441" s="84">
        <f t="shared" si="108"/>
        <v>0.2</v>
      </c>
      <c r="L441" s="84"/>
      <c r="M441" s="84"/>
      <c r="N441" s="84">
        <f t="shared" si="108"/>
        <v>0.2</v>
      </c>
      <c r="O441" s="84">
        <f t="shared" si="108"/>
        <v>0.2</v>
      </c>
      <c r="P441" s="84"/>
      <c r="Q441" s="84"/>
      <c r="R441" s="84">
        <f t="shared" si="108"/>
        <v>0</v>
      </c>
      <c r="S441" s="85"/>
      <c r="T441" s="84">
        <f t="shared" si="104"/>
        <v>0.2</v>
      </c>
      <c r="U441" s="86">
        <f t="shared" si="105"/>
        <v>1</v>
      </c>
      <c r="V441" s="87">
        <f t="shared" si="106"/>
        <v>0.05</v>
      </c>
      <c r="W441" s="88">
        <f t="shared" si="107"/>
        <v>54000</v>
      </c>
      <c r="X441" s="81"/>
    </row>
    <row r="442" spans="1:24" ht="13.15">
      <c r="A442" s="71">
        <f t="shared" si="85"/>
        <v>433</v>
      </c>
      <c r="B442" s="83" t="s">
        <v>629</v>
      </c>
      <c r="C442" s="215" t="s">
        <v>687</v>
      </c>
      <c r="D442" s="83" t="s">
        <v>720</v>
      </c>
      <c r="E442" s="89" t="s">
        <v>57</v>
      </c>
      <c r="F442" s="73"/>
      <c r="G442" s="90"/>
      <c r="H442" s="90"/>
      <c r="I442" s="75" t="s">
        <v>36</v>
      </c>
      <c r="J442" s="84">
        <f t="shared" si="108"/>
        <v>0.2</v>
      </c>
      <c r="K442" s="84">
        <f t="shared" si="108"/>
        <v>0.2</v>
      </c>
      <c r="L442" s="84"/>
      <c r="M442" s="84"/>
      <c r="N442" s="84">
        <f t="shared" si="108"/>
        <v>0.2</v>
      </c>
      <c r="O442" s="84">
        <f t="shared" si="108"/>
        <v>0.2</v>
      </c>
      <c r="P442" s="84"/>
      <c r="Q442" s="84"/>
      <c r="R442" s="84">
        <f t="shared" si="108"/>
        <v>0</v>
      </c>
      <c r="S442" s="85"/>
      <c r="T442" s="84">
        <f t="shared" si="104"/>
        <v>0.2</v>
      </c>
      <c r="U442" s="86">
        <f t="shared" si="105"/>
        <v>1</v>
      </c>
      <c r="V442" s="87">
        <f t="shared" si="106"/>
        <v>0.05</v>
      </c>
      <c r="W442" s="88">
        <f t="shared" si="107"/>
        <v>54000</v>
      </c>
      <c r="X442" s="81"/>
    </row>
    <row r="443" spans="1:24" ht="13.15">
      <c r="A443" s="71">
        <f t="shared" si="85"/>
        <v>434</v>
      </c>
      <c r="B443" s="83" t="s">
        <v>629</v>
      </c>
      <c r="C443" s="215" t="s">
        <v>689</v>
      </c>
      <c r="D443" s="83" t="s">
        <v>721</v>
      </c>
      <c r="E443" s="89" t="s">
        <v>57</v>
      </c>
      <c r="F443" s="73"/>
      <c r="G443" s="90"/>
      <c r="H443" s="90"/>
      <c r="I443" s="75" t="s">
        <v>36</v>
      </c>
      <c r="J443" s="84">
        <f t="shared" si="108"/>
        <v>0.2</v>
      </c>
      <c r="K443" s="84">
        <f t="shared" si="108"/>
        <v>0.2</v>
      </c>
      <c r="L443" s="84"/>
      <c r="M443" s="84"/>
      <c r="N443" s="84">
        <f t="shared" si="108"/>
        <v>0.2</v>
      </c>
      <c r="O443" s="84">
        <f t="shared" si="108"/>
        <v>0.2</v>
      </c>
      <c r="P443" s="84"/>
      <c r="Q443" s="84"/>
      <c r="R443" s="84">
        <f t="shared" si="108"/>
        <v>0</v>
      </c>
      <c r="S443" s="85"/>
      <c r="T443" s="84">
        <f t="shared" si="104"/>
        <v>0.2</v>
      </c>
      <c r="U443" s="86">
        <f t="shared" si="105"/>
        <v>1</v>
      </c>
      <c r="V443" s="87">
        <f t="shared" si="106"/>
        <v>0.05</v>
      </c>
      <c r="W443" s="88">
        <f t="shared" si="107"/>
        <v>54000</v>
      </c>
      <c r="X443" s="81"/>
    </row>
    <row r="444" spans="1:24" ht="13.15">
      <c r="A444" s="71">
        <f t="shared" si="85"/>
        <v>435</v>
      </c>
      <c r="B444" s="83" t="s">
        <v>629</v>
      </c>
      <c r="C444" s="215" t="s">
        <v>648</v>
      </c>
      <c r="D444" s="83" t="s">
        <v>722</v>
      </c>
      <c r="E444" s="89" t="s">
        <v>57</v>
      </c>
      <c r="F444" s="73"/>
      <c r="G444" s="90"/>
      <c r="H444" s="90"/>
      <c r="I444" s="75" t="s">
        <v>36</v>
      </c>
      <c r="J444" s="84">
        <f t="shared" si="108"/>
        <v>0.2</v>
      </c>
      <c r="K444" s="84">
        <f t="shared" si="108"/>
        <v>0.2</v>
      </c>
      <c r="L444" s="84"/>
      <c r="M444" s="84"/>
      <c r="N444" s="84">
        <f t="shared" si="108"/>
        <v>0.2</v>
      </c>
      <c r="O444" s="84">
        <f t="shared" si="108"/>
        <v>0.2</v>
      </c>
      <c r="P444" s="84"/>
      <c r="Q444" s="84"/>
      <c r="R444" s="84">
        <f t="shared" si="108"/>
        <v>0</v>
      </c>
      <c r="S444" s="85"/>
      <c r="T444" s="84">
        <f t="shared" si="104"/>
        <v>0.2</v>
      </c>
      <c r="U444" s="86">
        <f t="shared" si="105"/>
        <v>1</v>
      </c>
      <c r="V444" s="87">
        <f t="shared" si="106"/>
        <v>0.05</v>
      </c>
      <c r="W444" s="88">
        <f t="shared" si="107"/>
        <v>54000</v>
      </c>
      <c r="X444" s="81"/>
    </row>
    <row r="445" spans="1:24" ht="13.15">
      <c r="A445" s="71">
        <f t="shared" si="85"/>
        <v>436</v>
      </c>
      <c r="B445" s="83" t="s">
        <v>629</v>
      </c>
      <c r="C445" s="215" t="s">
        <v>650</v>
      </c>
      <c r="D445" s="83" t="s">
        <v>723</v>
      </c>
      <c r="E445" s="89" t="s">
        <v>57</v>
      </c>
      <c r="F445" s="73"/>
      <c r="G445" s="90"/>
      <c r="H445" s="90"/>
      <c r="I445" s="75" t="s">
        <v>36</v>
      </c>
      <c r="J445" s="84">
        <f t="shared" si="108"/>
        <v>0.2</v>
      </c>
      <c r="K445" s="84">
        <f t="shared" si="108"/>
        <v>0.2</v>
      </c>
      <c r="L445" s="84"/>
      <c r="M445" s="84"/>
      <c r="N445" s="84">
        <f t="shared" si="108"/>
        <v>0.2</v>
      </c>
      <c r="O445" s="84">
        <f t="shared" si="108"/>
        <v>0.2</v>
      </c>
      <c r="P445" s="84"/>
      <c r="Q445" s="84"/>
      <c r="R445" s="84">
        <f t="shared" si="108"/>
        <v>0</v>
      </c>
      <c r="S445" s="85"/>
      <c r="T445" s="84">
        <f t="shared" si="104"/>
        <v>0.2</v>
      </c>
      <c r="U445" s="86">
        <f t="shared" si="105"/>
        <v>1</v>
      </c>
      <c r="V445" s="87">
        <f t="shared" si="106"/>
        <v>0.05</v>
      </c>
      <c r="W445" s="88">
        <f t="shared" si="107"/>
        <v>54000</v>
      </c>
      <c r="X445" s="81"/>
    </row>
    <row r="446" spans="1:24" ht="13.15">
      <c r="A446" s="71">
        <f t="shared" si="85"/>
        <v>437</v>
      </c>
      <c r="B446" s="83" t="s">
        <v>629</v>
      </c>
      <c r="C446" s="215" t="s">
        <v>652</v>
      </c>
      <c r="D446" s="83" t="s">
        <v>724</v>
      </c>
      <c r="E446" s="89" t="s">
        <v>57</v>
      </c>
      <c r="F446" s="73"/>
      <c r="G446" s="90"/>
      <c r="H446" s="90"/>
      <c r="I446" s="75" t="s">
        <v>36</v>
      </c>
      <c r="J446" s="84">
        <f t="shared" si="108"/>
        <v>0.2</v>
      </c>
      <c r="K446" s="84">
        <f t="shared" si="108"/>
        <v>0.2</v>
      </c>
      <c r="L446" s="84"/>
      <c r="M446" s="84"/>
      <c r="N446" s="84">
        <f t="shared" si="108"/>
        <v>0.2</v>
      </c>
      <c r="O446" s="84">
        <f t="shared" si="108"/>
        <v>0.2</v>
      </c>
      <c r="P446" s="84"/>
      <c r="Q446" s="84"/>
      <c r="R446" s="84">
        <f t="shared" si="108"/>
        <v>0</v>
      </c>
      <c r="S446" s="85"/>
      <c r="T446" s="84">
        <f t="shared" si="104"/>
        <v>0.2</v>
      </c>
      <c r="U446" s="86">
        <f t="shared" si="105"/>
        <v>1</v>
      </c>
      <c r="V446" s="87">
        <f t="shared" si="106"/>
        <v>0.05</v>
      </c>
      <c r="W446" s="88">
        <f t="shared" si="107"/>
        <v>54000</v>
      </c>
      <c r="X446" s="81"/>
    </row>
    <row r="447" spans="1:24" ht="13.15">
      <c r="A447" s="71">
        <f t="shared" si="85"/>
        <v>438</v>
      </c>
      <c r="B447" s="83" t="s">
        <v>629</v>
      </c>
      <c r="C447" s="215" t="s">
        <v>654</v>
      </c>
      <c r="D447" s="83" t="s">
        <v>725</v>
      </c>
      <c r="E447" s="89" t="s">
        <v>57</v>
      </c>
      <c r="F447" s="89"/>
      <c r="G447" s="90"/>
      <c r="H447" s="90"/>
      <c r="I447" s="75" t="s">
        <v>36</v>
      </c>
      <c r="J447" s="84">
        <f t="shared" si="108"/>
        <v>0.2</v>
      </c>
      <c r="K447" s="84">
        <f t="shared" si="108"/>
        <v>0.2</v>
      </c>
      <c r="L447" s="84"/>
      <c r="M447" s="84"/>
      <c r="N447" s="84">
        <f t="shared" si="108"/>
        <v>0.2</v>
      </c>
      <c r="O447" s="84">
        <f t="shared" si="108"/>
        <v>0.2</v>
      </c>
      <c r="P447" s="84"/>
      <c r="Q447" s="84"/>
      <c r="R447" s="84">
        <f t="shared" si="108"/>
        <v>0</v>
      </c>
      <c r="S447" s="85"/>
      <c r="T447" s="84">
        <f t="shared" si="104"/>
        <v>0.2</v>
      </c>
      <c r="U447" s="86">
        <f t="shared" si="105"/>
        <v>1</v>
      </c>
      <c r="V447" s="87">
        <f t="shared" si="106"/>
        <v>0.05</v>
      </c>
      <c r="W447" s="88">
        <f t="shared" si="107"/>
        <v>54000</v>
      </c>
      <c r="X447" s="81"/>
    </row>
    <row r="448" spans="1:24" ht="13.15">
      <c r="A448" s="71">
        <f t="shared" si="85"/>
        <v>439</v>
      </c>
      <c r="B448" s="83" t="s">
        <v>629</v>
      </c>
      <c r="C448" s="215" t="s">
        <v>656</v>
      </c>
      <c r="D448" s="83" t="s">
        <v>726</v>
      </c>
      <c r="E448" s="89" t="s">
        <v>57</v>
      </c>
      <c r="F448" s="89"/>
      <c r="G448" s="90"/>
      <c r="H448" s="90"/>
      <c r="I448" s="75" t="s">
        <v>36</v>
      </c>
      <c r="J448" s="84">
        <f t="shared" si="108"/>
        <v>0.2</v>
      </c>
      <c r="K448" s="84">
        <f t="shared" si="108"/>
        <v>0.2</v>
      </c>
      <c r="L448" s="84"/>
      <c r="M448" s="84"/>
      <c r="N448" s="84">
        <f t="shared" si="108"/>
        <v>0.2</v>
      </c>
      <c r="O448" s="84">
        <f t="shared" si="108"/>
        <v>0.2</v>
      </c>
      <c r="P448" s="84"/>
      <c r="Q448" s="84"/>
      <c r="R448" s="84">
        <f t="shared" si="108"/>
        <v>0</v>
      </c>
      <c r="S448" s="85"/>
      <c r="T448" s="84">
        <f t="shared" si="104"/>
        <v>0.2</v>
      </c>
      <c r="U448" s="86">
        <f t="shared" si="105"/>
        <v>1</v>
      </c>
      <c r="V448" s="87">
        <f t="shared" si="106"/>
        <v>0.05</v>
      </c>
      <c r="W448" s="88">
        <f t="shared" si="107"/>
        <v>54000</v>
      </c>
      <c r="X448" s="81"/>
    </row>
    <row r="449" spans="1:24" ht="13.15">
      <c r="A449" s="71">
        <f t="shared" si="85"/>
        <v>440</v>
      </c>
      <c r="B449" s="83" t="s">
        <v>629</v>
      </c>
      <c r="C449" s="215" t="s">
        <v>658</v>
      </c>
      <c r="D449" s="83" t="s">
        <v>727</v>
      </c>
      <c r="E449" s="89" t="s">
        <v>57</v>
      </c>
      <c r="F449" s="89"/>
      <c r="G449" s="90"/>
      <c r="H449" s="90"/>
      <c r="I449" s="75" t="s">
        <v>36</v>
      </c>
      <c r="J449" s="84">
        <f t="shared" si="108"/>
        <v>0.2</v>
      </c>
      <c r="K449" s="84">
        <f t="shared" si="108"/>
        <v>0.2</v>
      </c>
      <c r="L449" s="84"/>
      <c r="M449" s="84"/>
      <c r="N449" s="84">
        <f t="shared" si="108"/>
        <v>0.2</v>
      </c>
      <c r="O449" s="84">
        <f t="shared" si="108"/>
        <v>0.2</v>
      </c>
      <c r="P449" s="84"/>
      <c r="Q449" s="84"/>
      <c r="R449" s="84">
        <f t="shared" si="108"/>
        <v>0</v>
      </c>
      <c r="S449" s="85"/>
      <c r="T449" s="84">
        <f t="shared" si="104"/>
        <v>0.2</v>
      </c>
      <c r="U449" s="86">
        <f t="shared" si="105"/>
        <v>1</v>
      </c>
      <c r="V449" s="87">
        <f t="shared" si="106"/>
        <v>0.05</v>
      </c>
      <c r="W449" s="88">
        <f t="shared" si="107"/>
        <v>54000</v>
      </c>
      <c r="X449" s="81"/>
    </row>
    <row r="450" spans="1:24" ht="13.15">
      <c r="A450" s="71">
        <f t="shared" si="85"/>
        <v>441</v>
      </c>
      <c r="B450" s="83" t="s">
        <v>629</v>
      </c>
      <c r="C450" s="215" t="s">
        <v>660</v>
      </c>
      <c r="D450" s="83" t="s">
        <v>728</v>
      </c>
      <c r="E450" s="89" t="s">
        <v>57</v>
      </c>
      <c r="F450" s="89"/>
      <c r="G450" s="90"/>
      <c r="H450" s="90"/>
      <c r="I450" s="75" t="s">
        <v>36</v>
      </c>
      <c r="J450" s="84">
        <f t="shared" si="108"/>
        <v>0.2</v>
      </c>
      <c r="K450" s="84">
        <f t="shared" si="108"/>
        <v>0.2</v>
      </c>
      <c r="L450" s="84"/>
      <c r="M450" s="84"/>
      <c r="N450" s="84">
        <f t="shared" si="108"/>
        <v>0.2</v>
      </c>
      <c r="O450" s="84">
        <f t="shared" si="108"/>
        <v>0.2</v>
      </c>
      <c r="P450" s="84"/>
      <c r="Q450" s="84"/>
      <c r="R450" s="84">
        <f t="shared" si="108"/>
        <v>0</v>
      </c>
      <c r="S450" s="85"/>
      <c r="T450" s="84">
        <f t="shared" si="104"/>
        <v>0.2</v>
      </c>
      <c r="U450" s="86">
        <f t="shared" si="105"/>
        <v>1</v>
      </c>
      <c r="V450" s="87">
        <f t="shared" si="106"/>
        <v>0.05</v>
      </c>
      <c r="W450" s="88">
        <f t="shared" si="107"/>
        <v>54000</v>
      </c>
      <c r="X450" s="81"/>
    </row>
    <row r="451" spans="1:24" ht="13.15">
      <c r="A451" s="71">
        <f t="shared" si="85"/>
        <v>442</v>
      </c>
      <c r="B451" s="83" t="s">
        <v>629</v>
      </c>
      <c r="C451" s="215" t="s">
        <v>729</v>
      </c>
      <c r="D451" s="83" t="s">
        <v>730</v>
      </c>
      <c r="E451" s="89" t="s">
        <v>57</v>
      </c>
      <c r="F451" s="73"/>
      <c r="G451" s="90"/>
      <c r="H451" s="90"/>
      <c r="I451" s="75" t="s">
        <v>36</v>
      </c>
      <c r="J451" s="84">
        <f t="shared" si="108"/>
        <v>0.2</v>
      </c>
      <c r="K451" s="84">
        <f t="shared" si="108"/>
        <v>0.2</v>
      </c>
      <c r="L451" s="84"/>
      <c r="M451" s="84"/>
      <c r="N451" s="84">
        <f t="shared" si="108"/>
        <v>0.2</v>
      </c>
      <c r="O451" s="84">
        <f t="shared" si="108"/>
        <v>0.2</v>
      </c>
      <c r="P451" s="84"/>
      <c r="Q451" s="84"/>
      <c r="R451" s="84">
        <f t="shared" si="108"/>
        <v>0</v>
      </c>
      <c r="S451" s="85"/>
      <c r="T451" s="84">
        <f t="shared" si="104"/>
        <v>0.2</v>
      </c>
      <c r="U451" s="86">
        <f t="shared" si="105"/>
        <v>1</v>
      </c>
      <c r="V451" s="87">
        <f t="shared" si="106"/>
        <v>0.05</v>
      </c>
      <c r="W451" s="88">
        <f t="shared" si="107"/>
        <v>54000</v>
      </c>
      <c r="X451" s="81"/>
    </row>
    <row r="452" spans="1:24" ht="13.15">
      <c r="A452" s="71">
        <f t="shared" si="85"/>
        <v>443</v>
      </c>
      <c r="B452" s="83" t="s">
        <v>629</v>
      </c>
      <c r="C452" s="215" t="s">
        <v>664</v>
      </c>
      <c r="D452" s="83" t="s">
        <v>731</v>
      </c>
      <c r="E452" s="89" t="s">
        <v>57</v>
      </c>
      <c r="F452" s="73"/>
      <c r="G452" s="90"/>
      <c r="H452" s="90"/>
      <c r="I452" s="75" t="s">
        <v>36</v>
      </c>
      <c r="J452" s="84">
        <f t="shared" si="108"/>
        <v>0.2</v>
      </c>
      <c r="K452" s="84">
        <f t="shared" si="108"/>
        <v>0.2</v>
      </c>
      <c r="L452" s="84"/>
      <c r="M452" s="84"/>
      <c r="N452" s="84">
        <f t="shared" si="108"/>
        <v>0.2</v>
      </c>
      <c r="O452" s="84">
        <f t="shared" si="108"/>
        <v>0.2</v>
      </c>
      <c r="P452" s="84"/>
      <c r="Q452" s="84"/>
      <c r="R452" s="84">
        <f t="shared" si="108"/>
        <v>0</v>
      </c>
      <c r="S452" s="85"/>
      <c r="T452" s="84">
        <f t="shared" si="104"/>
        <v>0.2</v>
      </c>
      <c r="U452" s="86">
        <f t="shared" si="105"/>
        <v>1</v>
      </c>
      <c r="V452" s="87">
        <f t="shared" si="106"/>
        <v>0.05</v>
      </c>
      <c r="W452" s="88">
        <f t="shared" si="107"/>
        <v>54000</v>
      </c>
      <c r="X452" s="81"/>
    </row>
    <row r="453" spans="1:24" ht="13.15">
      <c r="A453" s="71">
        <f t="shared" si="85"/>
        <v>444</v>
      </c>
      <c r="B453" s="83" t="s">
        <v>629</v>
      </c>
      <c r="C453" s="215" t="s">
        <v>666</v>
      </c>
      <c r="D453" s="83" t="s">
        <v>732</v>
      </c>
      <c r="E453" s="89" t="s">
        <v>57</v>
      </c>
      <c r="F453" s="73"/>
      <c r="G453" s="90"/>
      <c r="H453" s="90"/>
      <c r="I453" s="75" t="s">
        <v>36</v>
      </c>
      <c r="J453" s="84">
        <f t="shared" si="108"/>
        <v>0.2</v>
      </c>
      <c r="K453" s="84">
        <f t="shared" si="108"/>
        <v>0.2</v>
      </c>
      <c r="L453" s="84"/>
      <c r="M453" s="84"/>
      <c r="N453" s="84">
        <f t="shared" si="108"/>
        <v>0.2</v>
      </c>
      <c r="O453" s="84">
        <f t="shared" si="108"/>
        <v>0.2</v>
      </c>
      <c r="P453" s="84"/>
      <c r="Q453" s="84"/>
      <c r="R453" s="84">
        <f t="shared" si="108"/>
        <v>0</v>
      </c>
      <c r="S453" s="85"/>
      <c r="T453" s="84">
        <f t="shared" si="104"/>
        <v>0.2</v>
      </c>
      <c r="U453" s="86">
        <f t="shared" si="105"/>
        <v>1</v>
      </c>
      <c r="V453" s="87">
        <f t="shared" si="106"/>
        <v>0.05</v>
      </c>
      <c r="W453" s="88">
        <f t="shared" si="107"/>
        <v>54000</v>
      </c>
      <c r="X453" s="81"/>
    </row>
    <row r="454" spans="1:24" ht="13.15">
      <c r="A454" s="71">
        <f t="shared" si="85"/>
        <v>445</v>
      </c>
      <c r="B454" s="83" t="s">
        <v>629</v>
      </c>
      <c r="C454" s="215" t="s">
        <v>668</v>
      </c>
      <c r="D454" s="83" t="s">
        <v>733</v>
      </c>
      <c r="E454" s="89" t="s">
        <v>57</v>
      </c>
      <c r="F454" s="73"/>
      <c r="G454" s="90"/>
      <c r="H454" s="90"/>
      <c r="I454" s="75" t="s">
        <v>36</v>
      </c>
      <c r="J454" s="84">
        <f t="shared" si="108"/>
        <v>0.2</v>
      </c>
      <c r="K454" s="84">
        <f t="shared" si="108"/>
        <v>0.2</v>
      </c>
      <c r="L454" s="84"/>
      <c r="M454" s="84"/>
      <c r="N454" s="84">
        <f t="shared" si="108"/>
        <v>0.2</v>
      </c>
      <c r="O454" s="84">
        <f t="shared" si="108"/>
        <v>0.2</v>
      </c>
      <c r="P454" s="84"/>
      <c r="Q454" s="84"/>
      <c r="R454" s="84">
        <f t="shared" si="108"/>
        <v>0</v>
      </c>
      <c r="S454" s="85"/>
      <c r="T454" s="84">
        <f t="shared" si="104"/>
        <v>0.2</v>
      </c>
      <c r="U454" s="86">
        <f t="shared" si="105"/>
        <v>1</v>
      </c>
      <c r="V454" s="87">
        <f t="shared" si="106"/>
        <v>0.05</v>
      </c>
      <c r="W454" s="88">
        <f t="shared" si="107"/>
        <v>54000</v>
      </c>
      <c r="X454" s="81"/>
    </row>
    <row r="455" spans="1:24" ht="13.15">
      <c r="A455" s="71">
        <f t="shared" si="85"/>
        <v>446</v>
      </c>
      <c r="B455" s="83" t="s">
        <v>629</v>
      </c>
      <c r="C455" s="215" t="s">
        <v>670</v>
      </c>
      <c r="D455" s="83" t="s">
        <v>734</v>
      </c>
      <c r="E455" s="89" t="s">
        <v>57</v>
      </c>
      <c r="F455" s="73"/>
      <c r="G455" s="90"/>
      <c r="H455" s="90"/>
      <c r="I455" s="75" t="s">
        <v>36</v>
      </c>
      <c r="J455" s="84">
        <f t="shared" si="108"/>
        <v>0.2</v>
      </c>
      <c r="K455" s="84">
        <f t="shared" si="108"/>
        <v>0.2</v>
      </c>
      <c r="L455" s="84"/>
      <c r="M455" s="84"/>
      <c r="N455" s="84">
        <f t="shared" si="108"/>
        <v>0.2</v>
      </c>
      <c r="O455" s="84">
        <f t="shared" si="108"/>
        <v>0.2</v>
      </c>
      <c r="P455" s="84"/>
      <c r="Q455" s="84"/>
      <c r="R455" s="84">
        <f t="shared" si="108"/>
        <v>0</v>
      </c>
      <c r="S455" s="85"/>
      <c r="T455" s="84">
        <f t="shared" si="104"/>
        <v>0.2</v>
      </c>
      <c r="U455" s="86">
        <f t="shared" si="105"/>
        <v>1</v>
      </c>
      <c r="V455" s="87">
        <f t="shared" si="106"/>
        <v>0.05</v>
      </c>
      <c r="W455" s="88">
        <f t="shared" si="107"/>
        <v>54000</v>
      </c>
      <c r="X455" s="81"/>
    </row>
    <row r="456" spans="1:24" ht="13.15">
      <c r="A456" s="71">
        <f t="shared" si="85"/>
        <v>447</v>
      </c>
      <c r="B456" s="83" t="s">
        <v>629</v>
      </c>
      <c r="C456" s="215" t="s">
        <v>672</v>
      </c>
      <c r="D456" s="83" t="s">
        <v>735</v>
      </c>
      <c r="E456" s="89" t="s">
        <v>57</v>
      </c>
      <c r="F456" s="73"/>
      <c r="G456" s="90"/>
      <c r="H456" s="90"/>
      <c r="I456" s="75" t="s">
        <v>36</v>
      </c>
      <c r="J456" s="84">
        <f t="shared" si="108"/>
        <v>0.2</v>
      </c>
      <c r="K456" s="84">
        <f t="shared" si="108"/>
        <v>0.2</v>
      </c>
      <c r="L456" s="84"/>
      <c r="M456" s="84"/>
      <c r="N456" s="84">
        <f t="shared" si="108"/>
        <v>0.2</v>
      </c>
      <c r="O456" s="84">
        <f t="shared" si="108"/>
        <v>0.2</v>
      </c>
      <c r="P456" s="84"/>
      <c r="Q456" s="84"/>
      <c r="R456" s="84">
        <f t="shared" si="108"/>
        <v>0</v>
      </c>
      <c r="S456" s="85"/>
      <c r="T456" s="84">
        <f t="shared" si="104"/>
        <v>0.2</v>
      </c>
      <c r="U456" s="86">
        <f t="shared" si="105"/>
        <v>1</v>
      </c>
      <c r="V456" s="87">
        <f t="shared" si="106"/>
        <v>0.05</v>
      </c>
      <c r="W456" s="88">
        <f t="shared" si="107"/>
        <v>54000</v>
      </c>
      <c r="X456" s="81"/>
    </row>
    <row r="457" spans="1:24" ht="13.15">
      <c r="A457" s="71">
        <f t="shared" si="85"/>
        <v>448</v>
      </c>
      <c r="B457" s="83" t="s">
        <v>629</v>
      </c>
      <c r="C457" s="215" t="s">
        <v>674</v>
      </c>
      <c r="D457" s="83" t="s">
        <v>736</v>
      </c>
      <c r="E457" s="89" t="s">
        <v>57</v>
      </c>
      <c r="F457" s="89"/>
      <c r="G457" s="90"/>
      <c r="H457" s="90"/>
      <c r="I457" s="75" t="s">
        <v>36</v>
      </c>
      <c r="J457" s="84">
        <f t="shared" si="108"/>
        <v>0.2</v>
      </c>
      <c r="K457" s="84">
        <f t="shared" si="108"/>
        <v>0.2</v>
      </c>
      <c r="L457" s="84"/>
      <c r="M457" s="84"/>
      <c r="N457" s="84">
        <f t="shared" si="108"/>
        <v>0.2</v>
      </c>
      <c r="O457" s="84">
        <f t="shared" si="108"/>
        <v>0.2</v>
      </c>
      <c r="P457" s="84"/>
      <c r="Q457" s="84"/>
      <c r="R457" s="84">
        <f t="shared" si="108"/>
        <v>0</v>
      </c>
      <c r="S457" s="85"/>
      <c r="T457" s="84">
        <f t="shared" si="104"/>
        <v>0.2</v>
      </c>
      <c r="U457" s="86">
        <f t="shared" si="105"/>
        <v>1</v>
      </c>
      <c r="V457" s="87">
        <f t="shared" si="106"/>
        <v>0.05</v>
      </c>
      <c r="W457" s="88">
        <f t="shared" si="107"/>
        <v>54000</v>
      </c>
      <c r="X457" s="81"/>
    </row>
    <row r="458" spans="1:24" ht="13.15">
      <c r="A458" s="71">
        <f t="shared" si="85"/>
        <v>449</v>
      </c>
      <c r="B458" s="83" t="s">
        <v>629</v>
      </c>
      <c r="C458" s="215" t="s">
        <v>676</v>
      </c>
      <c r="D458" s="83" t="s">
        <v>737</v>
      </c>
      <c r="E458" s="89" t="s">
        <v>57</v>
      </c>
      <c r="F458" s="89"/>
      <c r="G458" s="90"/>
      <c r="H458" s="90"/>
      <c r="I458" s="75" t="s">
        <v>36</v>
      </c>
      <c r="J458" s="84">
        <f t="shared" si="108"/>
        <v>0.2</v>
      </c>
      <c r="K458" s="84">
        <f t="shared" si="108"/>
        <v>0.2</v>
      </c>
      <c r="L458" s="84"/>
      <c r="M458" s="84"/>
      <c r="N458" s="84">
        <f t="shared" si="108"/>
        <v>0.2</v>
      </c>
      <c r="O458" s="84">
        <f t="shared" si="108"/>
        <v>0.2</v>
      </c>
      <c r="P458" s="84"/>
      <c r="Q458" s="84"/>
      <c r="R458" s="84">
        <f t="shared" ref="J458:R459" si="109">ROUNDUP(IF($E458="画面",画面係数,IF($E458="帳票",帳票係数,IF($E458="バッチ",バッチ係数,0))) *
 IF($I458="特高",特高係数,IF($I458="高",高係数,IF($I458="中",中係数,IF($I458="低",低係数,IF($I458="特低",特低係数,0)))))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458" s="85"/>
      <c r="T458" s="84">
        <f t="shared" si="104"/>
        <v>0.2</v>
      </c>
      <c r="U458" s="86">
        <f t="shared" si="105"/>
        <v>1</v>
      </c>
      <c r="V458" s="87">
        <f t="shared" si="106"/>
        <v>0.05</v>
      </c>
      <c r="W458" s="88">
        <f t="shared" si="107"/>
        <v>54000</v>
      </c>
      <c r="X458" s="81"/>
    </row>
    <row r="459" spans="1:24" ht="13.15">
      <c r="A459" s="71">
        <f t="shared" si="85"/>
        <v>450</v>
      </c>
      <c r="B459" s="83" t="s">
        <v>629</v>
      </c>
      <c r="C459" s="215" t="s">
        <v>678</v>
      </c>
      <c r="D459" s="83" t="s">
        <v>738</v>
      </c>
      <c r="E459" s="89" t="s">
        <v>57</v>
      </c>
      <c r="F459" s="89"/>
      <c r="G459" s="90"/>
      <c r="H459" s="90"/>
      <c r="I459" s="75" t="s">
        <v>36</v>
      </c>
      <c r="J459" s="84">
        <f t="shared" si="109"/>
        <v>0.2</v>
      </c>
      <c r="K459" s="84">
        <f t="shared" si="109"/>
        <v>0.2</v>
      </c>
      <c r="L459" s="84"/>
      <c r="M459" s="84"/>
      <c r="N459" s="84">
        <f t="shared" si="109"/>
        <v>0.2</v>
      </c>
      <c r="O459" s="84">
        <f t="shared" si="109"/>
        <v>0.2</v>
      </c>
      <c r="P459" s="84"/>
      <c r="Q459" s="84"/>
      <c r="R459" s="84">
        <f t="shared" si="109"/>
        <v>0</v>
      </c>
      <c r="S459" s="85"/>
      <c r="T459" s="84">
        <f t="shared" si="104"/>
        <v>0.2</v>
      </c>
      <c r="U459" s="86">
        <f t="shared" si="105"/>
        <v>1</v>
      </c>
      <c r="V459" s="87">
        <f t="shared" si="106"/>
        <v>0.05</v>
      </c>
      <c r="W459" s="88">
        <f t="shared" si="107"/>
        <v>54000</v>
      </c>
      <c r="X459" s="81"/>
    </row>
    <row r="460" spans="1:24" ht="13.15">
      <c r="A460" s="71">
        <f t="shared" si="85"/>
        <v>451</v>
      </c>
      <c r="B460" s="83" t="s">
        <v>629</v>
      </c>
      <c r="C460" s="215" t="s">
        <v>680</v>
      </c>
      <c r="D460" s="83" t="s">
        <v>739</v>
      </c>
      <c r="E460" s="89" t="s">
        <v>57</v>
      </c>
      <c r="F460" s="73"/>
      <c r="G460" s="90"/>
      <c r="H460" s="90"/>
      <c r="I460" s="75" t="s">
        <v>36</v>
      </c>
      <c r="J460" s="84">
        <f t="shared" si="103"/>
        <v>0.2</v>
      </c>
      <c r="K460" s="84">
        <f t="shared" si="103"/>
        <v>0.2</v>
      </c>
      <c r="L460" s="84"/>
      <c r="M460" s="84"/>
      <c r="N460" s="84">
        <f t="shared" si="103"/>
        <v>0.2</v>
      </c>
      <c r="O460" s="84">
        <f t="shared" si="103"/>
        <v>0.2</v>
      </c>
      <c r="P460" s="84"/>
      <c r="Q460" s="84"/>
      <c r="R460" s="84">
        <f t="shared" si="103"/>
        <v>0</v>
      </c>
      <c r="S460" s="85"/>
      <c r="T460" s="84">
        <f t="shared" si="98"/>
        <v>0.2</v>
      </c>
      <c r="U460" s="86">
        <f t="shared" si="99"/>
        <v>1</v>
      </c>
      <c r="V460" s="87">
        <f t="shared" si="100"/>
        <v>0.05</v>
      </c>
      <c r="W460" s="88">
        <f t="shared" si="101"/>
        <v>54000</v>
      </c>
      <c r="X460" s="81"/>
    </row>
    <row r="461" spans="1:24" ht="13.15">
      <c r="A461" s="71">
        <f t="shared" si="85"/>
        <v>452</v>
      </c>
      <c r="B461" s="83" t="s">
        <v>629</v>
      </c>
      <c r="C461" s="215" t="s">
        <v>680</v>
      </c>
      <c r="D461" s="83" t="s">
        <v>740</v>
      </c>
      <c r="E461" s="89" t="s">
        <v>57</v>
      </c>
      <c r="F461" s="89"/>
      <c r="G461" s="90"/>
      <c r="H461" s="90"/>
      <c r="I461" s="75" t="s">
        <v>36</v>
      </c>
      <c r="J461" s="84">
        <f t="shared" si="103"/>
        <v>0.2</v>
      </c>
      <c r="K461" s="84">
        <f t="shared" si="103"/>
        <v>0.2</v>
      </c>
      <c r="L461" s="84"/>
      <c r="M461" s="84"/>
      <c r="N461" s="84">
        <f t="shared" si="103"/>
        <v>0.2</v>
      </c>
      <c r="O461" s="84">
        <f t="shared" si="103"/>
        <v>0.2</v>
      </c>
      <c r="P461" s="84"/>
      <c r="Q461" s="84"/>
      <c r="R461" s="84">
        <f t="shared" si="103"/>
        <v>0</v>
      </c>
      <c r="S461" s="85"/>
      <c r="T461" s="84">
        <f t="shared" si="98"/>
        <v>0.2</v>
      </c>
      <c r="U461" s="86">
        <f t="shared" si="99"/>
        <v>1</v>
      </c>
      <c r="V461" s="87">
        <f t="shared" si="100"/>
        <v>0.05</v>
      </c>
      <c r="W461" s="88">
        <f t="shared" si="101"/>
        <v>54000</v>
      </c>
      <c r="X461" s="81"/>
    </row>
    <row r="462" spans="1:24" ht="13.15">
      <c r="A462" s="71">
        <f t="shared" si="85"/>
        <v>453</v>
      </c>
      <c r="B462" s="83" t="s">
        <v>629</v>
      </c>
      <c r="C462" s="216" t="s">
        <v>685</v>
      </c>
      <c r="D462" s="83" t="s">
        <v>741</v>
      </c>
      <c r="E462" s="89" t="s">
        <v>57</v>
      </c>
      <c r="F462" s="73"/>
      <c r="G462" s="90"/>
      <c r="H462" s="90"/>
      <c r="I462" s="75" t="s">
        <v>36</v>
      </c>
      <c r="J462" s="84">
        <f t="shared" si="103"/>
        <v>0.2</v>
      </c>
      <c r="K462" s="84">
        <f t="shared" si="103"/>
        <v>0.2</v>
      </c>
      <c r="L462" s="84"/>
      <c r="M462" s="84"/>
      <c r="N462" s="84">
        <f t="shared" si="103"/>
        <v>0.2</v>
      </c>
      <c r="O462" s="84">
        <f t="shared" si="103"/>
        <v>0.2</v>
      </c>
      <c r="P462" s="84"/>
      <c r="Q462" s="84"/>
      <c r="R462" s="84">
        <f t="shared" si="103"/>
        <v>0</v>
      </c>
      <c r="S462" s="85"/>
      <c r="T462" s="84">
        <f t="shared" si="98"/>
        <v>0.2</v>
      </c>
      <c r="U462" s="86">
        <f t="shared" si="99"/>
        <v>1</v>
      </c>
      <c r="V462" s="87">
        <f t="shared" si="100"/>
        <v>0.05</v>
      </c>
      <c r="W462" s="88">
        <f t="shared" si="101"/>
        <v>54000</v>
      </c>
      <c r="X462" s="81"/>
    </row>
    <row r="463" spans="1:24" ht="13.15">
      <c r="A463" s="71">
        <f t="shared" ref="A463:A519" si="110">ROW()-9</f>
        <v>454</v>
      </c>
      <c r="B463" s="83" t="s">
        <v>629</v>
      </c>
      <c r="C463" s="216" t="s">
        <v>687</v>
      </c>
      <c r="D463" s="83" t="s">
        <v>742</v>
      </c>
      <c r="E463" s="89" t="s">
        <v>57</v>
      </c>
      <c r="F463" s="73"/>
      <c r="G463" s="90"/>
      <c r="H463" s="90"/>
      <c r="I463" s="75" t="s">
        <v>36</v>
      </c>
      <c r="J463" s="84">
        <f t="shared" ref="J463:R513" si="111">ROUNDUP(IF($E463="画面",画面係数,IF($E463="帳票",帳票係数,IF($E463="バッチ",バッチ係数,0))) *
 IF($I463="特高",特高係数,IF($I463="高",高係数,IF($I463="中",中係数,IF($I463="低",低係数,IF($I463="特低",特低係数,0)))))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463" s="84">
        <f t="shared" si="111"/>
        <v>0.2</v>
      </c>
      <c r="L463" s="84"/>
      <c r="M463" s="84"/>
      <c r="N463" s="84">
        <f t="shared" si="111"/>
        <v>0.2</v>
      </c>
      <c r="O463" s="84">
        <f t="shared" si="111"/>
        <v>0.2</v>
      </c>
      <c r="P463" s="84"/>
      <c r="Q463" s="84"/>
      <c r="R463" s="84">
        <f t="shared" si="111"/>
        <v>0</v>
      </c>
      <c r="S463" s="85"/>
      <c r="T463" s="84">
        <f t="shared" si="98"/>
        <v>0.2</v>
      </c>
      <c r="U463" s="86">
        <f t="shared" si="99"/>
        <v>1</v>
      </c>
      <c r="V463" s="87">
        <f t="shared" si="100"/>
        <v>0.05</v>
      </c>
      <c r="W463" s="88">
        <f t="shared" si="101"/>
        <v>54000</v>
      </c>
      <c r="X463" s="81"/>
    </row>
    <row r="464" spans="1:24" ht="13.15">
      <c r="A464" s="71">
        <f t="shared" si="110"/>
        <v>455</v>
      </c>
      <c r="B464" s="83" t="s">
        <v>629</v>
      </c>
      <c r="C464" s="216" t="s">
        <v>689</v>
      </c>
      <c r="D464" s="83" t="s">
        <v>743</v>
      </c>
      <c r="E464" s="89" t="s">
        <v>57</v>
      </c>
      <c r="F464" s="73"/>
      <c r="G464" s="90"/>
      <c r="H464" s="90"/>
      <c r="I464" s="75" t="s">
        <v>36</v>
      </c>
      <c r="J464" s="84">
        <f t="shared" si="111"/>
        <v>0.2</v>
      </c>
      <c r="K464" s="84">
        <f t="shared" si="111"/>
        <v>0.2</v>
      </c>
      <c r="L464" s="84"/>
      <c r="M464" s="84"/>
      <c r="N464" s="84">
        <f t="shared" si="111"/>
        <v>0.2</v>
      </c>
      <c r="O464" s="84">
        <f t="shared" si="111"/>
        <v>0.2</v>
      </c>
      <c r="P464" s="84"/>
      <c r="Q464" s="84"/>
      <c r="R464" s="84">
        <f t="shared" si="111"/>
        <v>0</v>
      </c>
      <c r="S464" s="85"/>
      <c r="T464" s="84">
        <f t="shared" si="98"/>
        <v>0.2</v>
      </c>
      <c r="U464" s="86">
        <f t="shared" si="99"/>
        <v>1</v>
      </c>
      <c r="V464" s="87">
        <f t="shared" si="100"/>
        <v>0.05</v>
      </c>
      <c r="W464" s="88">
        <f t="shared" si="101"/>
        <v>54000</v>
      </c>
      <c r="X464" s="81"/>
    </row>
    <row r="465" spans="1:24" ht="13.15">
      <c r="A465" s="71">
        <f t="shared" si="110"/>
        <v>456</v>
      </c>
      <c r="B465" s="83" t="s">
        <v>629</v>
      </c>
      <c r="C465" s="215" t="s">
        <v>648</v>
      </c>
      <c r="D465" s="83" t="s">
        <v>744</v>
      </c>
      <c r="E465" s="89" t="s">
        <v>57</v>
      </c>
      <c r="F465" s="73"/>
      <c r="G465" s="90"/>
      <c r="H465" s="90"/>
      <c r="I465" s="75" t="s">
        <v>36</v>
      </c>
      <c r="J465" s="84">
        <f t="shared" si="111"/>
        <v>0.2</v>
      </c>
      <c r="K465" s="84">
        <f t="shared" si="111"/>
        <v>0.2</v>
      </c>
      <c r="L465" s="84"/>
      <c r="M465" s="84"/>
      <c r="N465" s="84">
        <f t="shared" si="111"/>
        <v>0.2</v>
      </c>
      <c r="O465" s="84">
        <f t="shared" si="111"/>
        <v>0.2</v>
      </c>
      <c r="P465" s="84"/>
      <c r="Q465" s="84"/>
      <c r="R465" s="84">
        <f t="shared" si="111"/>
        <v>0</v>
      </c>
      <c r="S465" s="85"/>
      <c r="T465" s="84">
        <f t="shared" si="98"/>
        <v>0.2</v>
      </c>
      <c r="U465" s="86">
        <f t="shared" si="99"/>
        <v>1</v>
      </c>
      <c r="V465" s="87">
        <f t="shared" si="100"/>
        <v>0.05</v>
      </c>
      <c r="W465" s="88">
        <f t="shared" si="101"/>
        <v>54000</v>
      </c>
      <c r="X465" s="81"/>
    </row>
    <row r="466" spans="1:24" ht="13.15">
      <c r="A466" s="71">
        <f t="shared" si="110"/>
        <v>457</v>
      </c>
      <c r="B466" s="83" t="s">
        <v>629</v>
      </c>
      <c r="C466" s="215" t="s">
        <v>652</v>
      </c>
      <c r="D466" s="83" t="s">
        <v>745</v>
      </c>
      <c r="E466" s="89" t="s">
        <v>57</v>
      </c>
      <c r="F466" s="73"/>
      <c r="G466" s="90"/>
      <c r="H466" s="90"/>
      <c r="I466" s="75" t="s">
        <v>36</v>
      </c>
      <c r="J466" s="84">
        <f t="shared" si="111"/>
        <v>0.2</v>
      </c>
      <c r="K466" s="84">
        <f t="shared" si="111"/>
        <v>0.2</v>
      </c>
      <c r="L466" s="84"/>
      <c r="M466" s="84"/>
      <c r="N466" s="84">
        <f t="shared" si="111"/>
        <v>0.2</v>
      </c>
      <c r="O466" s="84">
        <f t="shared" si="111"/>
        <v>0.2</v>
      </c>
      <c r="P466" s="84"/>
      <c r="Q466" s="84"/>
      <c r="R466" s="84">
        <f t="shared" si="111"/>
        <v>0</v>
      </c>
      <c r="S466" s="85"/>
      <c r="T466" s="84">
        <f t="shared" si="98"/>
        <v>0.2</v>
      </c>
      <c r="U466" s="86">
        <f t="shared" si="99"/>
        <v>1</v>
      </c>
      <c r="V466" s="87">
        <f t="shared" si="100"/>
        <v>0.05</v>
      </c>
      <c r="W466" s="88">
        <f t="shared" si="101"/>
        <v>54000</v>
      </c>
      <c r="X466" s="81"/>
    </row>
    <row r="467" spans="1:24" ht="13.15">
      <c r="A467" s="71">
        <f t="shared" si="110"/>
        <v>458</v>
      </c>
      <c r="B467" s="83" t="s">
        <v>629</v>
      </c>
      <c r="C467" s="215" t="s">
        <v>654</v>
      </c>
      <c r="D467" s="83" t="s">
        <v>746</v>
      </c>
      <c r="E467" s="89" t="s">
        <v>57</v>
      </c>
      <c r="F467" s="73"/>
      <c r="G467" s="90"/>
      <c r="H467" s="90"/>
      <c r="I467" s="75" t="s">
        <v>36</v>
      </c>
      <c r="J467" s="84">
        <f t="shared" si="111"/>
        <v>0.2</v>
      </c>
      <c r="K467" s="84">
        <f t="shared" si="111"/>
        <v>0.2</v>
      </c>
      <c r="L467" s="84"/>
      <c r="M467" s="84"/>
      <c r="N467" s="84">
        <f t="shared" si="111"/>
        <v>0.2</v>
      </c>
      <c r="O467" s="84">
        <f t="shared" si="111"/>
        <v>0.2</v>
      </c>
      <c r="P467" s="84"/>
      <c r="Q467" s="84"/>
      <c r="R467" s="84">
        <f t="shared" si="111"/>
        <v>0</v>
      </c>
      <c r="S467" s="85"/>
      <c r="T467" s="84">
        <f t="shared" si="98"/>
        <v>0.2</v>
      </c>
      <c r="U467" s="86">
        <f t="shared" si="99"/>
        <v>1</v>
      </c>
      <c r="V467" s="87">
        <f t="shared" si="100"/>
        <v>0.05</v>
      </c>
      <c r="W467" s="88">
        <f t="shared" si="101"/>
        <v>54000</v>
      </c>
      <c r="X467" s="81"/>
    </row>
    <row r="468" spans="1:24" ht="13.15">
      <c r="A468" s="71">
        <f t="shared" si="110"/>
        <v>459</v>
      </c>
      <c r="B468" s="83" t="s">
        <v>629</v>
      </c>
      <c r="C468" s="215" t="s">
        <v>656</v>
      </c>
      <c r="D468" s="83" t="s">
        <v>747</v>
      </c>
      <c r="E468" s="89" t="s">
        <v>57</v>
      </c>
      <c r="F468" s="73"/>
      <c r="G468" s="90"/>
      <c r="H468" s="90"/>
      <c r="I468" s="75" t="s">
        <v>36</v>
      </c>
      <c r="J468" s="84">
        <f t="shared" ref="J468:R477" si="112">ROUNDUP(IF($E468="画面",画面係数,IF($E468="帳票",帳票係数,IF($E468="バッチ",バッチ係数,0))) *
 IF($I468="特高",特高係数,IF($I468="高",高係数,IF($I468="中",中係数,IF($I468="低",低係数,IF($I468="特低",特低係数,0)))))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468" s="84">
        <f t="shared" si="112"/>
        <v>0.2</v>
      </c>
      <c r="L468" s="84"/>
      <c r="M468" s="84"/>
      <c r="N468" s="84">
        <f t="shared" si="112"/>
        <v>0.2</v>
      </c>
      <c r="O468" s="84">
        <f t="shared" si="112"/>
        <v>0.2</v>
      </c>
      <c r="P468" s="84"/>
      <c r="Q468" s="84"/>
      <c r="R468" s="84">
        <f t="shared" si="112"/>
        <v>0</v>
      </c>
      <c r="S468" s="85"/>
      <c r="T468" s="84">
        <f t="shared" ref="T468:T477" si="113">ROUNDUP(SUM(J468:S468)*T$8,1)</f>
        <v>0.2</v>
      </c>
      <c r="U468" s="86">
        <f t="shared" ref="U468:U477" si="114">SUM(J468:T468)</f>
        <v>1</v>
      </c>
      <c r="V468" s="87">
        <f t="shared" ref="V468:V477" si="115">U468/20</f>
        <v>0.05</v>
      </c>
      <c r="W468" s="88">
        <f t="shared" ref="W468:W477" si="116">((J468*J$9) + (K468*K$9) + (L468*L$9) + (M468*M$9) + (N468*N$9) + (O468*O$9) + (P468*P$9) + (Q468*Q$9) + (R468*R$9) + (S468*S$9) + (T468*T$9))/20</f>
        <v>54000</v>
      </c>
      <c r="X468" s="81"/>
    </row>
    <row r="469" spans="1:24" ht="13.15">
      <c r="A469" s="71">
        <f t="shared" si="110"/>
        <v>460</v>
      </c>
      <c r="B469" s="83" t="s">
        <v>629</v>
      </c>
      <c r="C469" s="215" t="s">
        <v>658</v>
      </c>
      <c r="D469" s="83" t="s">
        <v>748</v>
      </c>
      <c r="E469" s="89" t="s">
        <v>57</v>
      </c>
      <c r="F469" s="73"/>
      <c r="G469" s="90"/>
      <c r="H469" s="90"/>
      <c r="I469" s="75" t="s">
        <v>36</v>
      </c>
      <c r="J469" s="84">
        <f t="shared" si="112"/>
        <v>0.2</v>
      </c>
      <c r="K469" s="84">
        <f t="shared" si="112"/>
        <v>0.2</v>
      </c>
      <c r="L469" s="84"/>
      <c r="M469" s="84"/>
      <c r="N469" s="84">
        <f t="shared" si="112"/>
        <v>0.2</v>
      </c>
      <c r="O469" s="84">
        <f t="shared" si="112"/>
        <v>0.2</v>
      </c>
      <c r="P469" s="84"/>
      <c r="Q469" s="84"/>
      <c r="R469" s="84">
        <f t="shared" si="112"/>
        <v>0</v>
      </c>
      <c r="S469" s="85"/>
      <c r="T469" s="84">
        <f t="shared" si="113"/>
        <v>0.2</v>
      </c>
      <c r="U469" s="86">
        <f t="shared" si="114"/>
        <v>1</v>
      </c>
      <c r="V469" s="87">
        <f t="shared" si="115"/>
        <v>0.05</v>
      </c>
      <c r="W469" s="88">
        <f t="shared" si="116"/>
        <v>54000</v>
      </c>
      <c r="X469" s="81"/>
    </row>
    <row r="470" spans="1:24" ht="13.15">
      <c r="A470" s="71">
        <f t="shared" si="110"/>
        <v>461</v>
      </c>
      <c r="B470" s="83" t="s">
        <v>629</v>
      </c>
      <c r="C470" s="215" t="s">
        <v>660</v>
      </c>
      <c r="D470" s="83" t="s">
        <v>749</v>
      </c>
      <c r="E470" s="89" t="s">
        <v>57</v>
      </c>
      <c r="F470" s="73"/>
      <c r="G470" s="90"/>
      <c r="H470" s="90"/>
      <c r="I470" s="75" t="s">
        <v>36</v>
      </c>
      <c r="J470" s="84">
        <f t="shared" si="112"/>
        <v>0.2</v>
      </c>
      <c r="K470" s="84">
        <f t="shared" si="112"/>
        <v>0.2</v>
      </c>
      <c r="L470" s="84"/>
      <c r="M470" s="84"/>
      <c r="N470" s="84">
        <f t="shared" si="112"/>
        <v>0.2</v>
      </c>
      <c r="O470" s="84">
        <f t="shared" si="112"/>
        <v>0.2</v>
      </c>
      <c r="P470" s="84"/>
      <c r="Q470" s="84"/>
      <c r="R470" s="84">
        <f t="shared" si="112"/>
        <v>0</v>
      </c>
      <c r="S470" s="85"/>
      <c r="T470" s="84">
        <f t="shared" si="113"/>
        <v>0.2</v>
      </c>
      <c r="U470" s="86">
        <f t="shared" si="114"/>
        <v>1</v>
      </c>
      <c r="V470" s="87">
        <f t="shared" si="115"/>
        <v>0.05</v>
      </c>
      <c r="W470" s="88">
        <f t="shared" si="116"/>
        <v>54000</v>
      </c>
      <c r="X470" s="81"/>
    </row>
    <row r="471" spans="1:24" ht="13.15">
      <c r="A471" s="71">
        <f t="shared" si="110"/>
        <v>462</v>
      </c>
      <c r="B471" s="83" t="s">
        <v>629</v>
      </c>
      <c r="C471" s="215" t="s">
        <v>729</v>
      </c>
      <c r="D471" s="83" t="s">
        <v>750</v>
      </c>
      <c r="E471" s="89" t="s">
        <v>57</v>
      </c>
      <c r="F471" s="73"/>
      <c r="G471" s="90"/>
      <c r="H471" s="90"/>
      <c r="I471" s="75" t="s">
        <v>36</v>
      </c>
      <c r="J471" s="84">
        <f t="shared" si="112"/>
        <v>0.2</v>
      </c>
      <c r="K471" s="84">
        <f t="shared" si="112"/>
        <v>0.2</v>
      </c>
      <c r="L471" s="84"/>
      <c r="M471" s="84"/>
      <c r="N471" s="84">
        <f t="shared" si="112"/>
        <v>0.2</v>
      </c>
      <c r="O471" s="84">
        <f t="shared" si="112"/>
        <v>0.2</v>
      </c>
      <c r="P471" s="84"/>
      <c r="Q471" s="84"/>
      <c r="R471" s="84">
        <f t="shared" si="112"/>
        <v>0</v>
      </c>
      <c r="S471" s="85"/>
      <c r="T471" s="84">
        <f t="shared" si="113"/>
        <v>0.2</v>
      </c>
      <c r="U471" s="86">
        <f t="shared" si="114"/>
        <v>1</v>
      </c>
      <c r="V471" s="87">
        <f t="shared" si="115"/>
        <v>0.05</v>
      </c>
      <c r="W471" s="88">
        <f t="shared" si="116"/>
        <v>54000</v>
      </c>
      <c r="X471" s="81"/>
    </row>
    <row r="472" spans="1:24" ht="13.15">
      <c r="A472" s="71">
        <f t="shared" si="110"/>
        <v>463</v>
      </c>
      <c r="B472" s="83" t="s">
        <v>629</v>
      </c>
      <c r="C472" s="215" t="s">
        <v>664</v>
      </c>
      <c r="D472" s="83" t="s">
        <v>751</v>
      </c>
      <c r="E472" s="89" t="s">
        <v>57</v>
      </c>
      <c r="F472" s="73"/>
      <c r="G472" s="90"/>
      <c r="H472" s="90"/>
      <c r="I472" s="75" t="s">
        <v>36</v>
      </c>
      <c r="J472" s="84">
        <f t="shared" si="112"/>
        <v>0.2</v>
      </c>
      <c r="K472" s="84">
        <f t="shared" si="112"/>
        <v>0.2</v>
      </c>
      <c r="L472" s="84"/>
      <c r="M472" s="84"/>
      <c r="N472" s="84">
        <f t="shared" si="112"/>
        <v>0.2</v>
      </c>
      <c r="O472" s="84">
        <f t="shared" si="112"/>
        <v>0.2</v>
      </c>
      <c r="P472" s="84"/>
      <c r="Q472" s="84"/>
      <c r="R472" s="84">
        <f t="shared" si="112"/>
        <v>0</v>
      </c>
      <c r="S472" s="85"/>
      <c r="T472" s="84">
        <f t="shared" si="113"/>
        <v>0.2</v>
      </c>
      <c r="U472" s="86">
        <f t="shared" si="114"/>
        <v>1</v>
      </c>
      <c r="V472" s="87">
        <f t="shared" si="115"/>
        <v>0.05</v>
      </c>
      <c r="W472" s="88">
        <f t="shared" si="116"/>
        <v>54000</v>
      </c>
      <c r="X472" s="81"/>
    </row>
    <row r="473" spans="1:24" ht="13.15">
      <c r="A473" s="71">
        <f t="shared" si="110"/>
        <v>464</v>
      </c>
      <c r="B473" s="83" t="s">
        <v>629</v>
      </c>
      <c r="C473" s="215" t="s">
        <v>666</v>
      </c>
      <c r="D473" s="83" t="s">
        <v>752</v>
      </c>
      <c r="E473" s="89" t="s">
        <v>57</v>
      </c>
      <c r="F473" s="73"/>
      <c r="G473" s="90"/>
      <c r="H473" s="90"/>
      <c r="I473" s="75" t="s">
        <v>36</v>
      </c>
      <c r="J473" s="84">
        <f t="shared" si="112"/>
        <v>0.2</v>
      </c>
      <c r="K473" s="84">
        <f t="shared" si="112"/>
        <v>0.2</v>
      </c>
      <c r="L473" s="84"/>
      <c r="M473" s="84"/>
      <c r="N473" s="84">
        <f t="shared" si="112"/>
        <v>0.2</v>
      </c>
      <c r="O473" s="84">
        <f t="shared" si="112"/>
        <v>0.2</v>
      </c>
      <c r="P473" s="84"/>
      <c r="Q473" s="84"/>
      <c r="R473" s="84">
        <f t="shared" si="112"/>
        <v>0</v>
      </c>
      <c r="S473" s="85"/>
      <c r="T473" s="84">
        <f t="shared" si="113"/>
        <v>0.2</v>
      </c>
      <c r="U473" s="86">
        <f t="shared" si="114"/>
        <v>1</v>
      </c>
      <c r="V473" s="87">
        <f t="shared" si="115"/>
        <v>0.05</v>
      </c>
      <c r="W473" s="88">
        <f t="shared" si="116"/>
        <v>54000</v>
      </c>
      <c r="X473" s="81"/>
    </row>
    <row r="474" spans="1:24" ht="13.15">
      <c r="A474" s="71">
        <f t="shared" si="110"/>
        <v>465</v>
      </c>
      <c r="B474" s="83" t="s">
        <v>629</v>
      </c>
      <c r="C474" s="215" t="s">
        <v>668</v>
      </c>
      <c r="D474" s="83" t="s">
        <v>753</v>
      </c>
      <c r="E474" s="89" t="s">
        <v>57</v>
      </c>
      <c r="F474" s="89"/>
      <c r="G474" s="90"/>
      <c r="H474" s="90"/>
      <c r="I474" s="75" t="s">
        <v>36</v>
      </c>
      <c r="J474" s="84">
        <f t="shared" si="112"/>
        <v>0.2</v>
      </c>
      <c r="K474" s="84">
        <f t="shared" si="112"/>
        <v>0.2</v>
      </c>
      <c r="L474" s="84"/>
      <c r="M474" s="84"/>
      <c r="N474" s="84">
        <f t="shared" si="112"/>
        <v>0.2</v>
      </c>
      <c r="O474" s="84">
        <f t="shared" si="112"/>
        <v>0.2</v>
      </c>
      <c r="P474" s="84"/>
      <c r="Q474" s="84"/>
      <c r="R474" s="84">
        <f t="shared" si="112"/>
        <v>0</v>
      </c>
      <c r="S474" s="85"/>
      <c r="T474" s="84">
        <f t="shared" si="113"/>
        <v>0.2</v>
      </c>
      <c r="U474" s="86">
        <f t="shared" si="114"/>
        <v>1</v>
      </c>
      <c r="V474" s="87">
        <f t="shared" si="115"/>
        <v>0.05</v>
      </c>
      <c r="W474" s="88">
        <f t="shared" si="116"/>
        <v>54000</v>
      </c>
      <c r="X474" s="81"/>
    </row>
    <row r="475" spans="1:24" ht="13.15">
      <c r="A475" s="71">
        <f t="shared" si="110"/>
        <v>466</v>
      </c>
      <c r="B475" s="83" t="s">
        <v>629</v>
      </c>
      <c r="C475" s="215" t="s">
        <v>670</v>
      </c>
      <c r="D475" s="83" t="s">
        <v>754</v>
      </c>
      <c r="E475" s="89" t="s">
        <v>57</v>
      </c>
      <c r="F475" s="89"/>
      <c r="G475" s="90"/>
      <c r="H475" s="90"/>
      <c r="I475" s="75" t="s">
        <v>36</v>
      </c>
      <c r="J475" s="84">
        <f t="shared" si="112"/>
        <v>0.2</v>
      </c>
      <c r="K475" s="84">
        <f t="shared" si="112"/>
        <v>0.2</v>
      </c>
      <c r="L475" s="84"/>
      <c r="M475" s="84"/>
      <c r="N475" s="84">
        <f t="shared" si="112"/>
        <v>0.2</v>
      </c>
      <c r="O475" s="84">
        <f t="shared" si="112"/>
        <v>0.2</v>
      </c>
      <c r="P475" s="84"/>
      <c r="Q475" s="84"/>
      <c r="R475" s="84">
        <f t="shared" si="112"/>
        <v>0</v>
      </c>
      <c r="S475" s="85"/>
      <c r="T475" s="84">
        <f t="shared" si="113"/>
        <v>0.2</v>
      </c>
      <c r="U475" s="86">
        <f t="shared" si="114"/>
        <v>1</v>
      </c>
      <c r="V475" s="87">
        <f t="shared" si="115"/>
        <v>0.05</v>
      </c>
      <c r="W475" s="88">
        <f t="shared" si="116"/>
        <v>54000</v>
      </c>
      <c r="X475" s="81"/>
    </row>
    <row r="476" spans="1:24" ht="13.15">
      <c r="A476" s="71">
        <f t="shared" si="110"/>
        <v>467</v>
      </c>
      <c r="B476" s="83" t="s">
        <v>629</v>
      </c>
      <c r="C476" s="215" t="s">
        <v>672</v>
      </c>
      <c r="D476" s="83" t="s">
        <v>755</v>
      </c>
      <c r="E476" s="89" t="s">
        <v>57</v>
      </c>
      <c r="F476" s="89"/>
      <c r="G476" s="90"/>
      <c r="H476" s="90"/>
      <c r="I476" s="75" t="s">
        <v>36</v>
      </c>
      <c r="J476" s="84">
        <f t="shared" si="112"/>
        <v>0.2</v>
      </c>
      <c r="K476" s="84">
        <f t="shared" si="112"/>
        <v>0.2</v>
      </c>
      <c r="L476" s="84"/>
      <c r="M476" s="84"/>
      <c r="N476" s="84">
        <f t="shared" si="112"/>
        <v>0.2</v>
      </c>
      <c r="O476" s="84">
        <f t="shared" si="112"/>
        <v>0.2</v>
      </c>
      <c r="P476" s="84"/>
      <c r="Q476" s="84"/>
      <c r="R476" s="84">
        <f t="shared" si="112"/>
        <v>0</v>
      </c>
      <c r="S476" s="85"/>
      <c r="T476" s="84">
        <f t="shared" si="113"/>
        <v>0.2</v>
      </c>
      <c r="U476" s="86">
        <f t="shared" si="114"/>
        <v>1</v>
      </c>
      <c r="V476" s="87">
        <f t="shared" si="115"/>
        <v>0.05</v>
      </c>
      <c r="W476" s="88">
        <f t="shared" si="116"/>
        <v>54000</v>
      </c>
      <c r="X476" s="81"/>
    </row>
    <row r="477" spans="1:24" ht="13.15">
      <c r="A477" s="71">
        <f t="shared" si="110"/>
        <v>468</v>
      </c>
      <c r="B477" s="83" t="s">
        <v>629</v>
      </c>
      <c r="C477" s="215" t="s">
        <v>674</v>
      </c>
      <c r="D477" s="83" t="s">
        <v>756</v>
      </c>
      <c r="E477" s="89" t="s">
        <v>57</v>
      </c>
      <c r="F477" s="89"/>
      <c r="G477" s="90"/>
      <c r="H477" s="90"/>
      <c r="I477" s="75" t="s">
        <v>36</v>
      </c>
      <c r="J477" s="84">
        <f t="shared" si="112"/>
        <v>0.2</v>
      </c>
      <c r="K477" s="84">
        <f t="shared" si="112"/>
        <v>0.2</v>
      </c>
      <c r="L477" s="84"/>
      <c r="M477" s="84"/>
      <c r="N477" s="84">
        <f t="shared" si="112"/>
        <v>0.2</v>
      </c>
      <c r="O477" s="84">
        <f t="shared" si="112"/>
        <v>0.2</v>
      </c>
      <c r="P477" s="84"/>
      <c r="Q477" s="84"/>
      <c r="R477" s="84">
        <f t="shared" si="112"/>
        <v>0</v>
      </c>
      <c r="S477" s="85"/>
      <c r="T477" s="84">
        <f t="shared" si="113"/>
        <v>0.2</v>
      </c>
      <c r="U477" s="86">
        <f t="shared" si="114"/>
        <v>1</v>
      </c>
      <c r="V477" s="87">
        <f t="shared" si="115"/>
        <v>0.05</v>
      </c>
      <c r="W477" s="88">
        <f t="shared" si="116"/>
        <v>54000</v>
      </c>
      <c r="X477" s="81"/>
    </row>
    <row r="478" spans="1:24" ht="13.15">
      <c r="A478" s="71">
        <f t="shared" si="110"/>
        <v>469</v>
      </c>
      <c r="B478" s="83" t="s">
        <v>629</v>
      </c>
      <c r="C478" s="215" t="s">
        <v>676</v>
      </c>
      <c r="D478" s="83" t="s">
        <v>757</v>
      </c>
      <c r="E478" s="89" t="s">
        <v>57</v>
      </c>
      <c r="F478" s="73"/>
      <c r="G478" s="90"/>
      <c r="H478" s="90"/>
      <c r="I478" s="75" t="s">
        <v>36</v>
      </c>
      <c r="J478" s="84">
        <f t="shared" si="111"/>
        <v>0.2</v>
      </c>
      <c r="K478" s="84">
        <f t="shared" si="111"/>
        <v>0.2</v>
      </c>
      <c r="L478" s="84"/>
      <c r="M478" s="84"/>
      <c r="N478" s="84">
        <f t="shared" si="111"/>
        <v>0.2</v>
      </c>
      <c r="O478" s="84">
        <f t="shared" si="111"/>
        <v>0.2</v>
      </c>
      <c r="P478" s="84"/>
      <c r="Q478" s="84"/>
      <c r="R478" s="84">
        <f t="shared" si="111"/>
        <v>0</v>
      </c>
      <c r="S478" s="85"/>
      <c r="T478" s="84">
        <f t="shared" si="98"/>
        <v>0.2</v>
      </c>
      <c r="U478" s="86">
        <f t="shared" si="99"/>
        <v>1</v>
      </c>
      <c r="V478" s="87">
        <f t="shared" si="100"/>
        <v>0.05</v>
      </c>
      <c r="W478" s="88">
        <f t="shared" si="101"/>
        <v>54000</v>
      </c>
      <c r="X478" s="81"/>
    </row>
    <row r="479" spans="1:24" ht="13.15">
      <c r="A479" s="71">
        <f t="shared" si="110"/>
        <v>470</v>
      </c>
      <c r="B479" s="83" t="s">
        <v>629</v>
      </c>
      <c r="C479" s="215" t="s">
        <v>678</v>
      </c>
      <c r="D479" s="83" t="s">
        <v>758</v>
      </c>
      <c r="E479" s="89" t="s">
        <v>57</v>
      </c>
      <c r="F479" s="73"/>
      <c r="G479" s="90"/>
      <c r="H479" s="90"/>
      <c r="I479" s="75" t="s">
        <v>36</v>
      </c>
      <c r="J479" s="84">
        <f t="shared" si="111"/>
        <v>0.2</v>
      </c>
      <c r="K479" s="84">
        <f t="shared" si="111"/>
        <v>0.2</v>
      </c>
      <c r="L479" s="84"/>
      <c r="M479" s="84"/>
      <c r="N479" s="84">
        <f t="shared" si="111"/>
        <v>0.2</v>
      </c>
      <c r="O479" s="84">
        <f t="shared" si="111"/>
        <v>0.2</v>
      </c>
      <c r="P479" s="84"/>
      <c r="Q479" s="84"/>
      <c r="R479" s="84">
        <f t="shared" si="111"/>
        <v>0</v>
      </c>
      <c r="S479" s="85"/>
      <c r="T479" s="84">
        <f t="shared" si="98"/>
        <v>0.2</v>
      </c>
      <c r="U479" s="86">
        <f t="shared" si="99"/>
        <v>1</v>
      </c>
      <c r="V479" s="87">
        <f t="shared" si="100"/>
        <v>0.05</v>
      </c>
      <c r="W479" s="88">
        <f t="shared" si="101"/>
        <v>54000</v>
      </c>
      <c r="X479" s="81"/>
    </row>
    <row r="480" spans="1:24" ht="13.15">
      <c r="A480" s="71">
        <f t="shared" si="110"/>
        <v>471</v>
      </c>
      <c r="B480" s="83" t="s">
        <v>629</v>
      </c>
      <c r="C480" s="215" t="s">
        <v>680</v>
      </c>
      <c r="D480" s="83" t="s">
        <v>759</v>
      </c>
      <c r="E480" s="89" t="s">
        <v>57</v>
      </c>
      <c r="F480" s="73"/>
      <c r="G480" s="90"/>
      <c r="H480" s="90"/>
      <c r="I480" s="75" t="s">
        <v>36</v>
      </c>
      <c r="J480" s="84">
        <f t="shared" si="111"/>
        <v>0.2</v>
      </c>
      <c r="K480" s="84">
        <f t="shared" si="111"/>
        <v>0.2</v>
      </c>
      <c r="L480" s="84"/>
      <c r="M480" s="84"/>
      <c r="N480" s="84">
        <f t="shared" si="111"/>
        <v>0.2</v>
      </c>
      <c r="O480" s="84">
        <f t="shared" si="111"/>
        <v>0.2</v>
      </c>
      <c r="P480" s="84"/>
      <c r="Q480" s="84"/>
      <c r="R480" s="84">
        <f t="shared" si="111"/>
        <v>0</v>
      </c>
      <c r="S480" s="85"/>
      <c r="T480" s="84">
        <f t="shared" si="98"/>
        <v>0.2</v>
      </c>
      <c r="U480" s="86">
        <f t="shared" si="99"/>
        <v>1</v>
      </c>
      <c r="V480" s="87">
        <f t="shared" si="100"/>
        <v>0.05</v>
      </c>
      <c r="W480" s="88">
        <f t="shared" si="101"/>
        <v>54000</v>
      </c>
      <c r="X480" s="81"/>
    </row>
    <row r="481" spans="1:24" ht="13.15">
      <c r="A481" s="71">
        <f t="shared" si="110"/>
        <v>472</v>
      </c>
      <c r="B481" s="83" t="s">
        <v>629</v>
      </c>
      <c r="C481" s="215" t="s">
        <v>680</v>
      </c>
      <c r="D481" s="83" t="s">
        <v>760</v>
      </c>
      <c r="E481" s="89" t="s">
        <v>57</v>
      </c>
      <c r="F481" s="73"/>
      <c r="G481" s="90"/>
      <c r="H481" s="90"/>
      <c r="I481" s="75" t="s">
        <v>36</v>
      </c>
      <c r="J481" s="84">
        <f t="shared" si="111"/>
        <v>0.2</v>
      </c>
      <c r="K481" s="84">
        <f t="shared" si="111"/>
        <v>0.2</v>
      </c>
      <c r="L481" s="84"/>
      <c r="M481" s="84"/>
      <c r="N481" s="84">
        <f t="shared" si="111"/>
        <v>0.2</v>
      </c>
      <c r="O481" s="84">
        <f t="shared" si="111"/>
        <v>0.2</v>
      </c>
      <c r="P481" s="84"/>
      <c r="Q481" s="84"/>
      <c r="R481" s="84">
        <f t="shared" si="111"/>
        <v>0</v>
      </c>
      <c r="S481" s="85"/>
      <c r="T481" s="84">
        <f t="shared" si="98"/>
        <v>0.2</v>
      </c>
      <c r="U481" s="86">
        <f t="shared" si="99"/>
        <v>1</v>
      </c>
      <c r="V481" s="87">
        <f t="shared" si="100"/>
        <v>0.05</v>
      </c>
      <c r="W481" s="88">
        <f t="shared" si="101"/>
        <v>54000</v>
      </c>
      <c r="X481" s="81"/>
    </row>
    <row r="482" spans="1:24" ht="13.15">
      <c r="A482" s="71">
        <f t="shared" si="110"/>
        <v>473</v>
      </c>
      <c r="B482" s="83" t="s">
        <v>629</v>
      </c>
      <c r="C482" s="215" t="s">
        <v>685</v>
      </c>
      <c r="D482" s="83" t="s">
        <v>761</v>
      </c>
      <c r="E482" s="89" t="s">
        <v>57</v>
      </c>
      <c r="F482" s="73"/>
      <c r="G482" s="90"/>
      <c r="H482" s="90"/>
      <c r="I482" s="75" t="s">
        <v>36</v>
      </c>
      <c r="J482" s="84">
        <f t="shared" si="111"/>
        <v>0.2</v>
      </c>
      <c r="K482" s="84">
        <f t="shared" si="111"/>
        <v>0.2</v>
      </c>
      <c r="L482" s="84"/>
      <c r="M482" s="84"/>
      <c r="N482" s="84">
        <f t="shared" si="111"/>
        <v>0.2</v>
      </c>
      <c r="O482" s="84">
        <f t="shared" si="111"/>
        <v>0.2</v>
      </c>
      <c r="P482" s="84"/>
      <c r="Q482" s="84"/>
      <c r="R482" s="84">
        <f t="shared" si="111"/>
        <v>0</v>
      </c>
      <c r="S482" s="85"/>
      <c r="T482" s="84">
        <f t="shared" si="98"/>
        <v>0.2</v>
      </c>
      <c r="U482" s="86">
        <f t="shared" si="99"/>
        <v>1</v>
      </c>
      <c r="V482" s="87">
        <f t="shared" si="100"/>
        <v>0.05</v>
      </c>
      <c r="W482" s="88">
        <f t="shared" si="101"/>
        <v>54000</v>
      </c>
      <c r="X482" s="81"/>
    </row>
    <row r="483" spans="1:24" ht="13.15">
      <c r="A483" s="71">
        <f t="shared" si="110"/>
        <v>474</v>
      </c>
      <c r="B483" s="83" t="s">
        <v>629</v>
      </c>
      <c r="C483" s="215" t="s">
        <v>687</v>
      </c>
      <c r="D483" s="83" t="s">
        <v>762</v>
      </c>
      <c r="E483" s="89" t="s">
        <v>57</v>
      </c>
      <c r="F483" s="73"/>
      <c r="G483" s="90"/>
      <c r="H483" s="90"/>
      <c r="I483" s="75" t="s">
        <v>36</v>
      </c>
      <c r="J483" s="84">
        <f t="shared" si="111"/>
        <v>0.2</v>
      </c>
      <c r="K483" s="84">
        <f t="shared" si="111"/>
        <v>0.2</v>
      </c>
      <c r="L483" s="84"/>
      <c r="M483" s="84"/>
      <c r="N483" s="84">
        <f t="shared" si="111"/>
        <v>0.2</v>
      </c>
      <c r="O483" s="84">
        <f t="shared" si="111"/>
        <v>0.2</v>
      </c>
      <c r="P483" s="84"/>
      <c r="Q483" s="84"/>
      <c r="R483" s="84">
        <f t="shared" si="111"/>
        <v>0</v>
      </c>
      <c r="S483" s="85"/>
      <c r="T483" s="84">
        <f t="shared" si="98"/>
        <v>0.2</v>
      </c>
      <c r="U483" s="86">
        <f t="shared" si="99"/>
        <v>1</v>
      </c>
      <c r="V483" s="87">
        <f t="shared" si="100"/>
        <v>0.05</v>
      </c>
      <c r="W483" s="88">
        <f t="shared" si="101"/>
        <v>54000</v>
      </c>
      <c r="X483" s="81"/>
    </row>
    <row r="484" spans="1:24" ht="13.15">
      <c r="A484" s="71">
        <f t="shared" si="110"/>
        <v>475</v>
      </c>
      <c r="B484" s="83" t="s">
        <v>629</v>
      </c>
      <c r="C484" s="218" t="s">
        <v>689</v>
      </c>
      <c r="D484" s="83" t="s">
        <v>763</v>
      </c>
      <c r="E484" s="89" t="s">
        <v>57</v>
      </c>
      <c r="F484" s="73"/>
      <c r="G484" s="90"/>
      <c r="H484" s="90"/>
      <c r="I484" s="75" t="s">
        <v>36</v>
      </c>
      <c r="J484" s="84">
        <f t="shared" si="111"/>
        <v>0.2</v>
      </c>
      <c r="K484" s="84">
        <f t="shared" si="111"/>
        <v>0.2</v>
      </c>
      <c r="L484" s="84"/>
      <c r="M484" s="84"/>
      <c r="N484" s="84">
        <f t="shared" si="111"/>
        <v>0.2</v>
      </c>
      <c r="O484" s="84">
        <f t="shared" si="111"/>
        <v>0.2</v>
      </c>
      <c r="P484" s="84"/>
      <c r="Q484" s="84"/>
      <c r="R484" s="84">
        <f t="shared" si="111"/>
        <v>0</v>
      </c>
      <c r="S484" s="85"/>
      <c r="T484" s="84">
        <f t="shared" si="98"/>
        <v>0.2</v>
      </c>
      <c r="U484" s="86">
        <f t="shared" si="99"/>
        <v>1</v>
      </c>
      <c r="V484" s="87">
        <f t="shared" si="100"/>
        <v>0.05</v>
      </c>
      <c r="W484" s="88">
        <f t="shared" si="101"/>
        <v>54000</v>
      </c>
      <c r="X484" s="81"/>
    </row>
    <row r="485" spans="1:24" s="214" customFormat="1" ht="13.15">
      <c r="A485" s="203">
        <f t="shared" si="110"/>
        <v>476</v>
      </c>
      <c r="B485" s="204" t="s">
        <v>629</v>
      </c>
      <c r="C485" s="217" t="s">
        <v>764</v>
      </c>
      <c r="D485" s="204" t="s">
        <v>765</v>
      </c>
      <c r="E485" s="207"/>
      <c r="F485" s="207"/>
      <c r="G485" s="208"/>
      <c r="H485" s="208"/>
      <c r="I485" s="207" t="str">
        <f t="shared" ref="I485:I499" si="117">IF(OR(F485="",G485=""),"",
IF(F485="有",IF(G485&lt;=登録上限特低,"特低",IF(G485&lt;=登録上限低,"低",IF(G485&lt;=登録上限中,"中",IF(G485&lt;=登録上限高,"高","特高")))),
 IF(F485="無",IF(G485&lt;=参照上限特低,"特低",IF(G485&lt;=参照上限低,"低",IF(G485&lt;=参照上限中,"中",IF(G485&lt;=参照上限高,"高","特高")))),"")))</f>
        <v/>
      </c>
      <c r="J485" s="209">
        <f t="shared" si="111"/>
        <v>0</v>
      </c>
      <c r="K485" s="209">
        <f t="shared" si="111"/>
        <v>0</v>
      </c>
      <c r="L485" s="209"/>
      <c r="M485" s="209"/>
      <c r="N485" s="209">
        <f t="shared" si="111"/>
        <v>0</v>
      </c>
      <c r="O485" s="209">
        <f t="shared" si="111"/>
        <v>0</v>
      </c>
      <c r="P485" s="209"/>
      <c r="Q485" s="209"/>
      <c r="R485" s="209">
        <f t="shared" si="111"/>
        <v>0</v>
      </c>
      <c r="S485" s="210"/>
      <c r="T485" s="209">
        <f t="shared" si="98"/>
        <v>0</v>
      </c>
      <c r="U485" s="209">
        <f t="shared" si="99"/>
        <v>0</v>
      </c>
      <c r="V485" s="211">
        <f t="shared" si="100"/>
        <v>0</v>
      </c>
      <c r="W485" s="212">
        <f t="shared" si="101"/>
        <v>0</v>
      </c>
      <c r="X485" s="213"/>
    </row>
    <row r="486" spans="1:24" ht="12">
      <c r="A486" s="71">
        <f t="shared" si="110"/>
        <v>477</v>
      </c>
      <c r="B486" s="83" t="s">
        <v>629</v>
      </c>
      <c r="C486" s="201" t="s">
        <v>766</v>
      </c>
      <c r="D486" s="83" t="s">
        <v>767</v>
      </c>
      <c r="E486" s="89" t="s">
        <v>57</v>
      </c>
      <c r="F486" s="89"/>
      <c r="G486" s="90"/>
      <c r="H486" s="90"/>
      <c r="I486" s="75" t="s">
        <v>36</v>
      </c>
      <c r="J486" s="84">
        <f t="shared" ref="J486:R493" si="118">ROUNDUP(IF($E486="画面",画面係数,IF($E486="帳票",帳票係数,IF($E486="バッチ",バッチ係数,0))) *
 IF($I486="特高",特高係数,IF($I486="高",高係数,IF($I486="中",中係数,IF($I486="低",低係数,IF($I486="特低",特低係数,0)))))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486" s="84">
        <f t="shared" si="118"/>
        <v>0.2</v>
      </c>
      <c r="L486" s="84"/>
      <c r="M486" s="84"/>
      <c r="N486" s="84">
        <f t="shared" si="118"/>
        <v>0.2</v>
      </c>
      <c r="O486" s="84">
        <f t="shared" si="118"/>
        <v>0.2</v>
      </c>
      <c r="P486" s="84"/>
      <c r="Q486" s="84"/>
      <c r="R486" s="84">
        <f t="shared" si="118"/>
        <v>0</v>
      </c>
      <c r="S486" s="85"/>
      <c r="T486" s="84">
        <f t="shared" ref="T486:T493" si="119">ROUNDUP(SUM(J486:S486)*T$8,1)</f>
        <v>0.2</v>
      </c>
      <c r="U486" s="86">
        <f t="shared" ref="U486:U493" si="120">SUM(J486:T486)</f>
        <v>1</v>
      </c>
      <c r="V486" s="87">
        <f t="shared" ref="V486:V493" si="121">U486/20</f>
        <v>0.05</v>
      </c>
      <c r="W486" s="88">
        <f t="shared" ref="W486:W493" si="122">((J486*J$9) + (K486*K$9) + (L486*L$9) + (M486*M$9) + (N486*N$9) + (O486*O$9) + (P486*P$9) + (Q486*Q$9) + (R486*R$9) + (S486*S$9) + (T486*T$9))/20</f>
        <v>54000</v>
      </c>
      <c r="X486" s="81"/>
    </row>
    <row r="487" spans="1:24" ht="12">
      <c r="A487" s="71">
        <f t="shared" si="110"/>
        <v>478</v>
      </c>
      <c r="B487" s="83" t="s">
        <v>629</v>
      </c>
      <c r="C487" s="201" t="s">
        <v>768</v>
      </c>
      <c r="D487" s="83" t="s">
        <v>767</v>
      </c>
      <c r="E487" s="89" t="s">
        <v>57</v>
      </c>
      <c r="F487" s="89"/>
      <c r="G487" s="90"/>
      <c r="H487" s="90"/>
      <c r="I487" s="56" t="s">
        <v>36</v>
      </c>
      <c r="J487" s="84">
        <f t="shared" si="118"/>
        <v>0.2</v>
      </c>
      <c r="K487" s="84">
        <f t="shared" si="118"/>
        <v>0.2</v>
      </c>
      <c r="L487" s="84"/>
      <c r="M487" s="84"/>
      <c r="N487" s="84">
        <f t="shared" si="118"/>
        <v>0.2</v>
      </c>
      <c r="O487" s="84">
        <f t="shared" si="118"/>
        <v>0.2</v>
      </c>
      <c r="P487" s="84"/>
      <c r="Q487" s="84"/>
      <c r="R487" s="84">
        <f t="shared" si="118"/>
        <v>0</v>
      </c>
      <c r="S487" s="85"/>
      <c r="T487" s="84">
        <f t="shared" si="119"/>
        <v>0.2</v>
      </c>
      <c r="U487" s="86">
        <f t="shared" si="120"/>
        <v>1</v>
      </c>
      <c r="V487" s="87">
        <f t="shared" si="121"/>
        <v>0.05</v>
      </c>
      <c r="W487" s="88">
        <f t="shared" si="122"/>
        <v>54000</v>
      </c>
      <c r="X487" s="81"/>
    </row>
    <row r="488" spans="1:24" ht="12">
      <c r="A488" s="71">
        <f t="shared" si="110"/>
        <v>479</v>
      </c>
      <c r="B488" s="83" t="s">
        <v>629</v>
      </c>
      <c r="C488" s="201" t="s">
        <v>769</v>
      </c>
      <c r="D488" s="83" t="s">
        <v>767</v>
      </c>
      <c r="E488" s="89" t="s">
        <v>57</v>
      </c>
      <c r="F488" s="89"/>
      <c r="G488" s="90"/>
      <c r="H488" s="90"/>
      <c r="I488" s="56" t="s">
        <v>36</v>
      </c>
      <c r="J488" s="84">
        <f t="shared" si="118"/>
        <v>0.2</v>
      </c>
      <c r="K488" s="84">
        <f t="shared" si="118"/>
        <v>0.2</v>
      </c>
      <c r="L488" s="84"/>
      <c r="M488" s="84"/>
      <c r="N488" s="84">
        <f t="shared" si="118"/>
        <v>0.2</v>
      </c>
      <c r="O488" s="84">
        <f t="shared" si="118"/>
        <v>0.2</v>
      </c>
      <c r="P488" s="84"/>
      <c r="Q488" s="84"/>
      <c r="R488" s="84">
        <f t="shared" si="118"/>
        <v>0</v>
      </c>
      <c r="S488" s="85"/>
      <c r="T488" s="84">
        <f t="shared" si="119"/>
        <v>0.2</v>
      </c>
      <c r="U488" s="86">
        <f t="shared" si="120"/>
        <v>1</v>
      </c>
      <c r="V488" s="87">
        <f t="shared" si="121"/>
        <v>0.05</v>
      </c>
      <c r="W488" s="88">
        <f t="shared" si="122"/>
        <v>54000</v>
      </c>
      <c r="X488" s="81"/>
    </row>
    <row r="489" spans="1:24" ht="12">
      <c r="A489" s="71">
        <f t="shared" si="110"/>
        <v>480</v>
      </c>
      <c r="B489" s="83" t="s">
        <v>629</v>
      </c>
      <c r="C489" s="201" t="s">
        <v>770</v>
      </c>
      <c r="D489" s="83" t="s">
        <v>767</v>
      </c>
      <c r="E489" s="89" t="s">
        <v>57</v>
      </c>
      <c r="F489" s="89"/>
      <c r="G489" s="90"/>
      <c r="H489" s="90"/>
      <c r="I489" s="56" t="s">
        <v>36</v>
      </c>
      <c r="J489" s="84">
        <f t="shared" si="118"/>
        <v>0.2</v>
      </c>
      <c r="K489" s="84">
        <f t="shared" si="118"/>
        <v>0.2</v>
      </c>
      <c r="L489" s="84"/>
      <c r="M489" s="84"/>
      <c r="N489" s="84">
        <f t="shared" si="118"/>
        <v>0.2</v>
      </c>
      <c r="O489" s="84">
        <f t="shared" si="118"/>
        <v>0.2</v>
      </c>
      <c r="P489" s="84"/>
      <c r="Q489" s="84"/>
      <c r="R489" s="84">
        <f t="shared" si="118"/>
        <v>0</v>
      </c>
      <c r="S489" s="85"/>
      <c r="T489" s="84">
        <f t="shared" si="119"/>
        <v>0.2</v>
      </c>
      <c r="U489" s="86">
        <f t="shared" si="120"/>
        <v>1</v>
      </c>
      <c r="V489" s="87">
        <f t="shared" si="121"/>
        <v>0.05</v>
      </c>
      <c r="W489" s="88">
        <f t="shared" si="122"/>
        <v>54000</v>
      </c>
      <c r="X489" s="81"/>
    </row>
    <row r="490" spans="1:24" s="214" customFormat="1" ht="12">
      <c r="A490" s="203">
        <f t="shared" si="110"/>
        <v>481</v>
      </c>
      <c r="B490" s="204" t="s">
        <v>629</v>
      </c>
      <c r="C490" s="205" t="s">
        <v>771</v>
      </c>
      <c r="D490" s="204" t="s">
        <v>772</v>
      </c>
      <c r="E490" s="207"/>
      <c r="F490" s="207"/>
      <c r="G490" s="208"/>
      <c r="H490" s="208"/>
      <c r="I490" s="207"/>
      <c r="J490" s="209">
        <f t="shared" si="118"/>
        <v>0</v>
      </c>
      <c r="K490" s="209">
        <f t="shared" si="118"/>
        <v>0</v>
      </c>
      <c r="L490" s="209"/>
      <c r="M490" s="209"/>
      <c r="N490" s="209">
        <f t="shared" si="118"/>
        <v>0</v>
      </c>
      <c r="O490" s="209">
        <f t="shared" si="118"/>
        <v>0</v>
      </c>
      <c r="P490" s="209"/>
      <c r="Q490" s="209"/>
      <c r="R490" s="209">
        <f t="shared" si="118"/>
        <v>0</v>
      </c>
      <c r="S490" s="210"/>
      <c r="T490" s="209">
        <f t="shared" si="119"/>
        <v>0</v>
      </c>
      <c r="U490" s="209">
        <f t="shared" si="120"/>
        <v>0</v>
      </c>
      <c r="V490" s="211">
        <f t="shared" si="121"/>
        <v>0</v>
      </c>
      <c r="W490" s="212">
        <f t="shared" si="122"/>
        <v>0</v>
      </c>
      <c r="X490" s="213"/>
    </row>
    <row r="491" spans="1:24" s="214" customFormat="1" ht="12">
      <c r="A491" s="203">
        <f t="shared" si="110"/>
        <v>482</v>
      </c>
      <c r="B491" s="204" t="s">
        <v>629</v>
      </c>
      <c r="C491" s="205" t="s">
        <v>773</v>
      </c>
      <c r="D491" s="204" t="s">
        <v>772</v>
      </c>
      <c r="E491" s="207"/>
      <c r="F491" s="207"/>
      <c r="G491" s="208"/>
      <c r="H491" s="208"/>
      <c r="I491" s="207"/>
      <c r="J491" s="209">
        <f t="shared" si="118"/>
        <v>0</v>
      </c>
      <c r="K491" s="209">
        <f t="shared" si="118"/>
        <v>0</v>
      </c>
      <c r="L491" s="209"/>
      <c r="M491" s="209"/>
      <c r="N491" s="209">
        <f t="shared" si="118"/>
        <v>0</v>
      </c>
      <c r="O491" s="209">
        <f t="shared" si="118"/>
        <v>0</v>
      </c>
      <c r="P491" s="209"/>
      <c r="Q491" s="209"/>
      <c r="R491" s="209">
        <f t="shared" si="118"/>
        <v>0</v>
      </c>
      <c r="S491" s="210"/>
      <c r="T491" s="209">
        <f t="shared" si="119"/>
        <v>0</v>
      </c>
      <c r="U491" s="209">
        <f t="shared" si="120"/>
        <v>0</v>
      </c>
      <c r="V491" s="211">
        <f t="shared" si="121"/>
        <v>0</v>
      </c>
      <c r="W491" s="212">
        <f t="shared" si="122"/>
        <v>0</v>
      </c>
      <c r="X491" s="213"/>
    </row>
    <row r="492" spans="1:24" s="214" customFormat="1" ht="12">
      <c r="A492" s="203">
        <f t="shared" si="110"/>
        <v>483</v>
      </c>
      <c r="B492" s="204" t="s">
        <v>629</v>
      </c>
      <c r="C492" s="205" t="s">
        <v>774</v>
      </c>
      <c r="D492" s="204" t="s">
        <v>772</v>
      </c>
      <c r="E492" s="207"/>
      <c r="F492" s="207"/>
      <c r="G492" s="208"/>
      <c r="H492" s="208"/>
      <c r="I492" s="207"/>
      <c r="J492" s="209">
        <f t="shared" si="118"/>
        <v>0</v>
      </c>
      <c r="K492" s="209">
        <f t="shared" si="118"/>
        <v>0</v>
      </c>
      <c r="L492" s="209"/>
      <c r="M492" s="209"/>
      <c r="N492" s="209">
        <f t="shared" si="118"/>
        <v>0</v>
      </c>
      <c r="O492" s="209">
        <f t="shared" si="118"/>
        <v>0</v>
      </c>
      <c r="P492" s="209"/>
      <c r="Q492" s="209"/>
      <c r="R492" s="209">
        <f t="shared" si="118"/>
        <v>0</v>
      </c>
      <c r="S492" s="210"/>
      <c r="T492" s="209">
        <f t="shared" si="119"/>
        <v>0</v>
      </c>
      <c r="U492" s="209">
        <f t="shared" si="120"/>
        <v>0</v>
      </c>
      <c r="V492" s="211">
        <f t="shared" si="121"/>
        <v>0</v>
      </c>
      <c r="W492" s="212">
        <f t="shared" si="122"/>
        <v>0</v>
      </c>
      <c r="X492" s="213"/>
    </row>
    <row r="493" spans="1:24" ht="12">
      <c r="A493" s="71">
        <f t="shared" si="110"/>
        <v>484</v>
      </c>
      <c r="B493" s="83" t="s">
        <v>629</v>
      </c>
      <c r="C493" s="201" t="s">
        <v>775</v>
      </c>
      <c r="D493" s="83" t="s">
        <v>767</v>
      </c>
      <c r="E493" s="89" t="s">
        <v>57</v>
      </c>
      <c r="F493" s="89"/>
      <c r="G493" s="90"/>
      <c r="H493" s="90"/>
      <c r="I493" s="56" t="s">
        <v>36</v>
      </c>
      <c r="J493" s="84">
        <f t="shared" si="118"/>
        <v>0.2</v>
      </c>
      <c r="K493" s="84">
        <f t="shared" si="118"/>
        <v>0.2</v>
      </c>
      <c r="L493" s="84"/>
      <c r="M493" s="84"/>
      <c r="N493" s="84">
        <f t="shared" si="118"/>
        <v>0.2</v>
      </c>
      <c r="O493" s="84">
        <f t="shared" si="118"/>
        <v>0.2</v>
      </c>
      <c r="P493" s="84"/>
      <c r="Q493" s="84"/>
      <c r="R493" s="84">
        <f t="shared" si="118"/>
        <v>0</v>
      </c>
      <c r="S493" s="85"/>
      <c r="T493" s="84">
        <f t="shared" si="119"/>
        <v>0.2</v>
      </c>
      <c r="U493" s="86">
        <f t="shared" si="120"/>
        <v>1</v>
      </c>
      <c r="V493" s="87">
        <f t="shared" si="121"/>
        <v>0.05</v>
      </c>
      <c r="W493" s="88">
        <f t="shared" si="122"/>
        <v>54000</v>
      </c>
      <c r="X493" s="81"/>
    </row>
    <row r="494" spans="1:24" ht="12">
      <c r="A494" s="71">
        <f t="shared" si="110"/>
        <v>485</v>
      </c>
      <c r="B494" s="83" t="s">
        <v>629</v>
      </c>
      <c r="C494" s="201" t="s">
        <v>776</v>
      </c>
      <c r="D494" s="83" t="s">
        <v>767</v>
      </c>
      <c r="E494" s="89" t="s">
        <v>57</v>
      </c>
      <c r="F494" s="89"/>
      <c r="G494" s="90"/>
      <c r="H494" s="90"/>
      <c r="I494" s="56" t="s">
        <v>36</v>
      </c>
      <c r="J494" s="84">
        <f t="shared" ref="J494:R498" si="123">ROUNDUP(IF($E494="画面",画面係数,IF($E494="帳票",帳票係数,IF($E494="バッチ",バッチ係数,0))) *
 IF($I494="特高",特高係数,IF($I494="高",高係数,IF($I494="中",中係数,IF($I494="低",低係数,IF($I494="特低",特低係数,0)))))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0.2</v>
      </c>
      <c r="K494" s="84">
        <f t="shared" si="123"/>
        <v>0.2</v>
      </c>
      <c r="L494" s="84"/>
      <c r="M494" s="84"/>
      <c r="N494" s="84">
        <f t="shared" si="123"/>
        <v>0.2</v>
      </c>
      <c r="O494" s="84">
        <f t="shared" si="123"/>
        <v>0.2</v>
      </c>
      <c r="P494" s="84"/>
      <c r="Q494" s="84"/>
      <c r="R494" s="84">
        <f t="shared" si="123"/>
        <v>0</v>
      </c>
      <c r="S494" s="85"/>
      <c r="T494" s="84">
        <f t="shared" si="98"/>
        <v>0.2</v>
      </c>
      <c r="U494" s="86">
        <f t="shared" si="99"/>
        <v>1</v>
      </c>
      <c r="V494" s="87">
        <f t="shared" si="100"/>
        <v>0.05</v>
      </c>
      <c r="W494" s="88">
        <f t="shared" si="101"/>
        <v>54000</v>
      </c>
      <c r="X494" s="81"/>
    </row>
    <row r="495" spans="1:24" ht="12">
      <c r="A495" s="71">
        <f t="shared" si="110"/>
        <v>486</v>
      </c>
      <c r="B495" s="83" t="s">
        <v>629</v>
      </c>
      <c r="C495" s="201" t="s">
        <v>777</v>
      </c>
      <c r="D495" s="83" t="s">
        <v>767</v>
      </c>
      <c r="E495" s="89" t="s">
        <v>57</v>
      </c>
      <c r="F495" s="89"/>
      <c r="G495" s="90"/>
      <c r="H495" s="90"/>
      <c r="I495" s="56" t="s">
        <v>36</v>
      </c>
      <c r="J495" s="84">
        <f t="shared" si="123"/>
        <v>0.2</v>
      </c>
      <c r="K495" s="84">
        <f t="shared" si="123"/>
        <v>0.2</v>
      </c>
      <c r="L495" s="84"/>
      <c r="M495" s="84"/>
      <c r="N495" s="84">
        <f t="shared" si="123"/>
        <v>0.2</v>
      </c>
      <c r="O495" s="84">
        <f t="shared" si="123"/>
        <v>0.2</v>
      </c>
      <c r="P495" s="84"/>
      <c r="Q495" s="84"/>
      <c r="R495" s="84">
        <f t="shared" si="123"/>
        <v>0</v>
      </c>
      <c r="S495" s="85"/>
      <c r="T495" s="84">
        <f t="shared" si="98"/>
        <v>0.2</v>
      </c>
      <c r="U495" s="86">
        <f t="shared" si="99"/>
        <v>1</v>
      </c>
      <c r="V495" s="87">
        <f t="shared" si="100"/>
        <v>0.05</v>
      </c>
      <c r="W495" s="88">
        <f t="shared" si="101"/>
        <v>54000</v>
      </c>
      <c r="X495" s="81"/>
    </row>
    <row r="496" spans="1:24" ht="12">
      <c r="A496" s="71">
        <f t="shared" si="110"/>
        <v>487</v>
      </c>
      <c r="B496" s="83" t="s">
        <v>629</v>
      </c>
      <c r="C496" s="201" t="s">
        <v>778</v>
      </c>
      <c r="D496" s="83" t="s">
        <v>767</v>
      </c>
      <c r="E496" s="89" t="s">
        <v>57</v>
      </c>
      <c r="F496" s="89"/>
      <c r="G496" s="90"/>
      <c r="H496" s="90"/>
      <c r="I496" s="56" t="s">
        <v>36</v>
      </c>
      <c r="J496" s="84">
        <f t="shared" si="123"/>
        <v>0.2</v>
      </c>
      <c r="K496" s="84">
        <f t="shared" si="123"/>
        <v>0.2</v>
      </c>
      <c r="L496" s="84"/>
      <c r="M496" s="84"/>
      <c r="N496" s="84">
        <f t="shared" si="123"/>
        <v>0.2</v>
      </c>
      <c r="O496" s="84">
        <f t="shared" si="123"/>
        <v>0.2</v>
      </c>
      <c r="P496" s="84"/>
      <c r="Q496" s="84"/>
      <c r="R496" s="84">
        <f t="shared" si="123"/>
        <v>0</v>
      </c>
      <c r="S496" s="85"/>
      <c r="T496" s="84">
        <f t="shared" si="98"/>
        <v>0.2</v>
      </c>
      <c r="U496" s="86">
        <f t="shared" si="99"/>
        <v>1</v>
      </c>
      <c r="V496" s="87">
        <f t="shared" si="100"/>
        <v>0.05</v>
      </c>
      <c r="W496" s="88">
        <f t="shared" si="101"/>
        <v>54000</v>
      </c>
      <c r="X496" s="81"/>
    </row>
    <row r="497" spans="1:24" s="214" customFormat="1" ht="12">
      <c r="A497" s="203">
        <f t="shared" si="110"/>
        <v>488</v>
      </c>
      <c r="B497" s="204" t="s">
        <v>629</v>
      </c>
      <c r="C497" s="205" t="s">
        <v>779</v>
      </c>
      <c r="D497" s="204" t="s">
        <v>772</v>
      </c>
      <c r="E497" s="207"/>
      <c r="F497" s="207"/>
      <c r="G497" s="208"/>
      <c r="H497" s="208"/>
      <c r="I497" s="207"/>
      <c r="J497" s="209">
        <f t="shared" si="123"/>
        <v>0</v>
      </c>
      <c r="K497" s="209">
        <f t="shared" si="123"/>
        <v>0</v>
      </c>
      <c r="L497" s="209"/>
      <c r="M497" s="209"/>
      <c r="N497" s="209">
        <f t="shared" si="123"/>
        <v>0</v>
      </c>
      <c r="O497" s="209">
        <f t="shared" si="123"/>
        <v>0</v>
      </c>
      <c r="P497" s="209"/>
      <c r="Q497" s="209"/>
      <c r="R497" s="209">
        <f t="shared" si="123"/>
        <v>0</v>
      </c>
      <c r="S497" s="210"/>
      <c r="T497" s="209">
        <f t="shared" si="98"/>
        <v>0</v>
      </c>
      <c r="U497" s="209">
        <f t="shared" si="99"/>
        <v>0</v>
      </c>
      <c r="V497" s="211">
        <f t="shared" si="100"/>
        <v>0</v>
      </c>
      <c r="W497" s="212">
        <f t="shared" si="101"/>
        <v>0</v>
      </c>
      <c r="X497" s="213"/>
    </row>
    <row r="498" spans="1:24" ht="12">
      <c r="A498" s="71">
        <f t="shared" si="110"/>
        <v>489</v>
      </c>
      <c r="B498" s="83"/>
      <c r="C498" s="201"/>
      <c r="D498" s="83"/>
      <c r="E498" s="89"/>
      <c r="F498" s="89"/>
      <c r="G498" s="90"/>
      <c r="H498" s="90"/>
      <c r="I498" s="56" t="str">
        <f t="shared" si="117"/>
        <v/>
      </c>
      <c r="J498" s="84">
        <f t="shared" si="123"/>
        <v>0</v>
      </c>
      <c r="K498" s="84">
        <f t="shared" si="123"/>
        <v>0</v>
      </c>
      <c r="L498" s="84">
        <f t="shared" si="123"/>
        <v>0</v>
      </c>
      <c r="M498" s="84">
        <f t="shared" si="123"/>
        <v>0</v>
      </c>
      <c r="N498" s="84">
        <f t="shared" si="123"/>
        <v>0</v>
      </c>
      <c r="O498" s="84">
        <f t="shared" si="123"/>
        <v>0</v>
      </c>
      <c r="P498" s="84">
        <f t="shared" si="123"/>
        <v>0</v>
      </c>
      <c r="Q498" s="84">
        <f t="shared" si="123"/>
        <v>0</v>
      </c>
      <c r="R498" s="84">
        <f t="shared" si="123"/>
        <v>0</v>
      </c>
      <c r="S498" s="85"/>
      <c r="T498" s="84">
        <f t="shared" si="98"/>
        <v>0</v>
      </c>
      <c r="U498" s="86">
        <f t="shared" si="99"/>
        <v>0</v>
      </c>
      <c r="V498" s="87">
        <f t="shared" si="100"/>
        <v>0</v>
      </c>
      <c r="W498" s="88">
        <f t="shared" si="101"/>
        <v>0</v>
      </c>
      <c r="X498" s="81"/>
    </row>
    <row r="499" spans="1:24" ht="12">
      <c r="A499" s="71">
        <f t="shared" si="110"/>
        <v>490</v>
      </c>
      <c r="B499" s="83"/>
      <c r="C499" s="201"/>
      <c r="D499" s="83"/>
      <c r="E499" s="89"/>
      <c r="F499" s="89"/>
      <c r="G499" s="90"/>
      <c r="H499" s="90"/>
      <c r="I499" s="56" t="str">
        <f t="shared" si="117"/>
        <v/>
      </c>
      <c r="J499" s="84">
        <f t="shared" ref="J499:R499" si="124">ROUNDUP(IF($E499="画面",画面係数,IF($E499="帳票",帳票係数,IF($E499="バッチ",バッチ係数,0))) *
 IF($I499="特高",特高係数,IF($I499="高",高係数,IF($I499="中",中係数,IF($I499="低",低係数,IF($I499="特低",特低係数,0)))))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499" s="84">
        <f t="shared" si="124"/>
        <v>0</v>
      </c>
      <c r="L499" s="84">
        <f t="shared" si="124"/>
        <v>0</v>
      </c>
      <c r="M499" s="84">
        <f t="shared" si="124"/>
        <v>0</v>
      </c>
      <c r="N499" s="84">
        <f t="shared" si="124"/>
        <v>0</v>
      </c>
      <c r="O499" s="84">
        <f t="shared" si="124"/>
        <v>0</v>
      </c>
      <c r="P499" s="84">
        <f t="shared" si="124"/>
        <v>0</v>
      </c>
      <c r="Q499" s="84">
        <f t="shared" si="124"/>
        <v>0</v>
      </c>
      <c r="R499" s="84">
        <f t="shared" si="124"/>
        <v>0</v>
      </c>
      <c r="S499" s="85"/>
      <c r="T499" s="84">
        <f t="shared" si="98"/>
        <v>0</v>
      </c>
      <c r="U499" s="86">
        <f t="shared" si="99"/>
        <v>0</v>
      </c>
      <c r="V499" s="87">
        <f t="shared" si="100"/>
        <v>0</v>
      </c>
      <c r="W499" s="88">
        <f t="shared" si="101"/>
        <v>0</v>
      </c>
      <c r="X499" s="81"/>
    </row>
    <row r="500" spans="1:24" ht="12">
      <c r="A500" s="71">
        <f t="shared" si="110"/>
        <v>491</v>
      </c>
      <c r="B500" s="83" t="s">
        <v>780</v>
      </c>
      <c r="C500" s="201" t="s">
        <v>781</v>
      </c>
      <c r="D500" s="83"/>
      <c r="E500" s="89" t="s">
        <v>782</v>
      </c>
      <c r="F500" s="73"/>
      <c r="G500" s="90"/>
      <c r="H500" s="90"/>
      <c r="I500" s="75"/>
      <c r="J500" s="84">
        <v>5</v>
      </c>
      <c r="K500" s="84">
        <v>5</v>
      </c>
      <c r="L500" s="84">
        <f t="shared" si="111"/>
        <v>0</v>
      </c>
      <c r="M500" s="84">
        <f t="shared" si="111"/>
        <v>0</v>
      </c>
      <c r="N500" s="84">
        <v>5</v>
      </c>
      <c r="O500" s="84">
        <v>5</v>
      </c>
      <c r="P500" s="84">
        <f t="shared" si="111"/>
        <v>0</v>
      </c>
      <c r="Q500" s="84">
        <v>5</v>
      </c>
      <c r="R500" s="84">
        <f t="shared" si="111"/>
        <v>0</v>
      </c>
      <c r="S500" s="85"/>
      <c r="T500" s="84">
        <f t="shared" ref="T500:T509" si="125">ROUNDUP(SUM(J500:S500)*T$8,1)</f>
        <v>3.8000000000000003</v>
      </c>
      <c r="U500" s="86">
        <f t="shared" ref="U500:U509" si="126">SUM(J500:T500)</f>
        <v>28.8</v>
      </c>
      <c r="V500" s="87">
        <f t="shared" ref="V500:V509" si="127">U500/20</f>
        <v>1.44</v>
      </c>
      <c r="W500" s="88">
        <f t="shared" ref="W500:W509" si="128">((J500*J$9) + (K500*K$9) + (L500*L$9) + (M500*M$9) + (N500*N$9) + (O500*O$9) + (P500*P$9) + (Q500*Q$9) + (R500*R$9) + (S500*S$9) + (T500*T$9))/20</f>
        <v>1516000</v>
      </c>
      <c r="X500" s="81"/>
    </row>
    <row r="501" spans="1:24" ht="12">
      <c r="A501" s="71">
        <f t="shared" si="110"/>
        <v>492</v>
      </c>
      <c r="B501" s="83" t="s">
        <v>780</v>
      </c>
      <c r="C501" s="201" t="s">
        <v>783</v>
      </c>
      <c r="D501" s="83"/>
      <c r="E501" s="89" t="s">
        <v>782</v>
      </c>
      <c r="F501" s="73"/>
      <c r="G501" s="90"/>
      <c r="H501" s="90"/>
      <c r="I501" s="75"/>
      <c r="J501" s="84">
        <v>1</v>
      </c>
      <c r="K501" s="84">
        <v>1</v>
      </c>
      <c r="L501" s="84">
        <f t="shared" si="111"/>
        <v>0</v>
      </c>
      <c r="M501" s="84">
        <f t="shared" si="111"/>
        <v>0</v>
      </c>
      <c r="N501" s="84">
        <f t="shared" si="111"/>
        <v>0</v>
      </c>
      <c r="O501" s="84">
        <f t="shared" si="111"/>
        <v>0</v>
      </c>
      <c r="P501" s="84">
        <f t="shared" si="111"/>
        <v>0</v>
      </c>
      <c r="Q501" s="84">
        <v>5</v>
      </c>
      <c r="R501" s="84">
        <f t="shared" si="111"/>
        <v>0</v>
      </c>
      <c r="S501" s="85"/>
      <c r="T501" s="84">
        <f t="shared" si="125"/>
        <v>1.1000000000000001</v>
      </c>
      <c r="U501" s="86">
        <f t="shared" si="126"/>
        <v>8.1</v>
      </c>
      <c r="V501" s="87">
        <f t="shared" si="127"/>
        <v>0.40499999999999997</v>
      </c>
      <c r="W501" s="88">
        <f t="shared" si="128"/>
        <v>427000</v>
      </c>
      <c r="X501" s="81"/>
    </row>
    <row r="502" spans="1:24" ht="12">
      <c r="A502" s="71">
        <f t="shared" si="110"/>
        <v>493</v>
      </c>
      <c r="B502" s="83"/>
      <c r="C502" s="201"/>
      <c r="D502" s="83"/>
      <c r="E502" s="89"/>
      <c r="F502" s="73"/>
      <c r="G502" s="90"/>
      <c r="H502" s="90"/>
      <c r="I502" s="75"/>
      <c r="J502" s="84">
        <f t="shared" si="111"/>
        <v>0</v>
      </c>
      <c r="K502" s="84">
        <f t="shared" si="111"/>
        <v>0</v>
      </c>
      <c r="L502" s="84">
        <f t="shared" si="111"/>
        <v>0</v>
      </c>
      <c r="M502" s="84">
        <f t="shared" si="111"/>
        <v>0</v>
      </c>
      <c r="N502" s="84">
        <f t="shared" si="111"/>
        <v>0</v>
      </c>
      <c r="O502" s="84">
        <f t="shared" si="111"/>
        <v>0</v>
      </c>
      <c r="P502" s="84">
        <f t="shared" si="111"/>
        <v>0</v>
      </c>
      <c r="Q502" s="84">
        <f t="shared" si="111"/>
        <v>0</v>
      </c>
      <c r="R502" s="84">
        <f t="shared" si="111"/>
        <v>0</v>
      </c>
      <c r="S502" s="85"/>
      <c r="T502" s="84">
        <f t="shared" si="125"/>
        <v>0</v>
      </c>
      <c r="U502" s="86">
        <f t="shared" si="126"/>
        <v>0</v>
      </c>
      <c r="V502" s="87">
        <f t="shared" si="127"/>
        <v>0</v>
      </c>
      <c r="W502" s="88">
        <f t="shared" si="128"/>
        <v>0</v>
      </c>
      <c r="X502" s="81"/>
    </row>
    <row r="503" spans="1:24" ht="12">
      <c r="A503" s="71">
        <f t="shared" si="110"/>
        <v>494</v>
      </c>
      <c r="B503" s="83"/>
      <c r="C503" s="201"/>
      <c r="D503" s="83"/>
      <c r="E503" s="89"/>
      <c r="F503" s="73"/>
      <c r="G503" s="90"/>
      <c r="H503" s="90"/>
      <c r="I503" s="75"/>
      <c r="J503" s="84">
        <f t="shared" si="111"/>
        <v>0</v>
      </c>
      <c r="K503" s="84">
        <f t="shared" si="111"/>
        <v>0</v>
      </c>
      <c r="L503" s="84">
        <f t="shared" si="111"/>
        <v>0</v>
      </c>
      <c r="M503" s="84">
        <f t="shared" si="111"/>
        <v>0</v>
      </c>
      <c r="N503" s="84">
        <f t="shared" si="111"/>
        <v>0</v>
      </c>
      <c r="O503" s="84">
        <f t="shared" si="111"/>
        <v>0</v>
      </c>
      <c r="P503" s="84">
        <f t="shared" si="111"/>
        <v>0</v>
      </c>
      <c r="Q503" s="84">
        <f t="shared" si="111"/>
        <v>0</v>
      </c>
      <c r="R503" s="84">
        <f t="shared" si="111"/>
        <v>0</v>
      </c>
      <c r="S503" s="85"/>
      <c r="T503" s="84">
        <f t="shared" si="125"/>
        <v>0</v>
      </c>
      <c r="U503" s="86">
        <f t="shared" si="126"/>
        <v>0</v>
      </c>
      <c r="V503" s="87">
        <f t="shared" si="127"/>
        <v>0</v>
      </c>
      <c r="W503" s="88">
        <f t="shared" si="128"/>
        <v>0</v>
      </c>
      <c r="X503" s="81"/>
    </row>
    <row r="504" spans="1:24" ht="12">
      <c r="A504" s="71">
        <f t="shared" si="110"/>
        <v>495</v>
      </c>
      <c r="B504" s="83"/>
      <c r="C504" s="201"/>
      <c r="D504" s="83"/>
      <c r="E504" s="89"/>
      <c r="F504" s="73"/>
      <c r="G504" s="90"/>
      <c r="H504" s="90"/>
      <c r="I504" s="75"/>
      <c r="J504" s="84">
        <f t="shared" si="111"/>
        <v>0</v>
      </c>
      <c r="K504" s="84">
        <f t="shared" si="111"/>
        <v>0</v>
      </c>
      <c r="L504" s="84">
        <f t="shared" si="111"/>
        <v>0</v>
      </c>
      <c r="M504" s="84">
        <f t="shared" si="111"/>
        <v>0</v>
      </c>
      <c r="N504" s="84">
        <f t="shared" si="111"/>
        <v>0</v>
      </c>
      <c r="O504" s="84">
        <f t="shared" si="111"/>
        <v>0</v>
      </c>
      <c r="P504" s="84">
        <f t="shared" si="111"/>
        <v>0</v>
      </c>
      <c r="Q504" s="84">
        <f t="shared" si="111"/>
        <v>0</v>
      </c>
      <c r="R504" s="84">
        <f t="shared" si="111"/>
        <v>0</v>
      </c>
      <c r="S504" s="85"/>
      <c r="T504" s="84">
        <f t="shared" si="125"/>
        <v>0</v>
      </c>
      <c r="U504" s="86">
        <f t="shared" si="126"/>
        <v>0</v>
      </c>
      <c r="V504" s="87">
        <f t="shared" si="127"/>
        <v>0</v>
      </c>
      <c r="W504" s="88">
        <f t="shared" si="128"/>
        <v>0</v>
      </c>
      <c r="X504" s="81"/>
    </row>
    <row r="505" spans="1:24" ht="12">
      <c r="A505" s="71">
        <f t="shared" si="110"/>
        <v>496</v>
      </c>
      <c r="B505" s="83"/>
      <c r="C505" s="201"/>
      <c r="D505" s="83"/>
      <c r="E505" s="89"/>
      <c r="F505" s="73"/>
      <c r="G505" s="90"/>
      <c r="H505" s="90"/>
      <c r="I505" s="75"/>
      <c r="J505" s="84">
        <f t="shared" si="111"/>
        <v>0</v>
      </c>
      <c r="K505" s="84">
        <f t="shared" si="111"/>
        <v>0</v>
      </c>
      <c r="L505" s="84">
        <f t="shared" si="111"/>
        <v>0</v>
      </c>
      <c r="M505" s="84">
        <f t="shared" si="111"/>
        <v>0</v>
      </c>
      <c r="N505" s="84">
        <f t="shared" si="111"/>
        <v>0</v>
      </c>
      <c r="O505" s="84">
        <f t="shared" si="111"/>
        <v>0</v>
      </c>
      <c r="P505" s="84">
        <f t="shared" si="111"/>
        <v>0</v>
      </c>
      <c r="Q505" s="84">
        <f t="shared" si="111"/>
        <v>0</v>
      </c>
      <c r="R505" s="84">
        <f t="shared" si="111"/>
        <v>0</v>
      </c>
      <c r="S505" s="85"/>
      <c r="T505" s="84">
        <f t="shared" si="125"/>
        <v>0</v>
      </c>
      <c r="U505" s="86">
        <f t="shared" si="126"/>
        <v>0</v>
      </c>
      <c r="V505" s="87">
        <f t="shared" si="127"/>
        <v>0</v>
      </c>
      <c r="W505" s="88">
        <f t="shared" si="128"/>
        <v>0</v>
      </c>
      <c r="X505" s="81"/>
    </row>
    <row r="506" spans="1:24" ht="12">
      <c r="A506" s="71">
        <f t="shared" si="110"/>
        <v>497</v>
      </c>
      <c r="B506" s="83"/>
      <c r="C506" s="201"/>
      <c r="D506" s="83"/>
      <c r="E506" s="89"/>
      <c r="F506" s="89"/>
      <c r="G506" s="90"/>
      <c r="H506" s="90"/>
      <c r="I506" s="56" t="str">
        <f t="shared" ref="I506:I509" si="129">IF(OR(F506="",G506=""),"",
IF(F506="有",IF(G506&lt;=登録上限特低,"特低",IF(G506&lt;=登録上限低,"低",IF(G506&lt;=登録上限中,"中",IF(G506&lt;=登録上限高,"高","特高")))),
 IF(F506="無",IF(G506&lt;=参照上限特低,"特低",IF(G506&lt;=参照上限低,"低",IF(G506&lt;=参照上限中,"中",IF(G506&lt;=参照上限高,"高","特高")))),"")))</f>
        <v/>
      </c>
      <c r="J506" s="84">
        <f t="shared" si="111"/>
        <v>0</v>
      </c>
      <c r="K506" s="84">
        <f t="shared" si="111"/>
        <v>0</v>
      </c>
      <c r="L506" s="84">
        <f t="shared" si="111"/>
        <v>0</v>
      </c>
      <c r="M506" s="84">
        <f t="shared" si="111"/>
        <v>0</v>
      </c>
      <c r="N506" s="84">
        <f t="shared" si="111"/>
        <v>0</v>
      </c>
      <c r="O506" s="84">
        <f t="shared" si="111"/>
        <v>0</v>
      </c>
      <c r="P506" s="84">
        <f t="shared" si="111"/>
        <v>0</v>
      </c>
      <c r="Q506" s="84">
        <f t="shared" si="111"/>
        <v>0</v>
      </c>
      <c r="R506" s="84">
        <f t="shared" si="111"/>
        <v>0</v>
      </c>
      <c r="S506" s="85"/>
      <c r="T506" s="84">
        <f t="shared" si="125"/>
        <v>0</v>
      </c>
      <c r="U506" s="86">
        <f t="shared" si="126"/>
        <v>0</v>
      </c>
      <c r="V506" s="87">
        <f t="shared" si="127"/>
        <v>0</v>
      </c>
      <c r="W506" s="88">
        <f t="shared" si="128"/>
        <v>0</v>
      </c>
      <c r="X506" s="81"/>
    </row>
    <row r="507" spans="1:24" ht="12">
      <c r="A507" s="71">
        <f t="shared" si="110"/>
        <v>498</v>
      </c>
      <c r="B507" s="83"/>
      <c r="C507" s="201"/>
      <c r="D507" s="83"/>
      <c r="E507" s="89"/>
      <c r="F507" s="89"/>
      <c r="G507" s="90"/>
      <c r="H507" s="90"/>
      <c r="I507" s="56" t="str">
        <f t="shared" si="129"/>
        <v/>
      </c>
      <c r="J507" s="84">
        <f t="shared" si="111"/>
        <v>0</v>
      </c>
      <c r="K507" s="84">
        <f t="shared" si="111"/>
        <v>0</v>
      </c>
      <c r="L507" s="84">
        <f t="shared" si="111"/>
        <v>0</v>
      </c>
      <c r="M507" s="84">
        <f t="shared" si="111"/>
        <v>0</v>
      </c>
      <c r="N507" s="84">
        <f t="shared" si="111"/>
        <v>0</v>
      </c>
      <c r="O507" s="84">
        <f t="shared" si="111"/>
        <v>0</v>
      </c>
      <c r="P507" s="84">
        <f t="shared" si="111"/>
        <v>0</v>
      </c>
      <c r="Q507" s="84">
        <f t="shared" si="111"/>
        <v>0</v>
      </c>
      <c r="R507" s="84">
        <f t="shared" si="111"/>
        <v>0</v>
      </c>
      <c r="S507" s="85"/>
      <c r="T507" s="84">
        <f t="shared" si="125"/>
        <v>0</v>
      </c>
      <c r="U507" s="86">
        <f t="shared" si="126"/>
        <v>0</v>
      </c>
      <c r="V507" s="87">
        <f t="shared" si="127"/>
        <v>0</v>
      </c>
      <c r="W507" s="88">
        <f t="shared" si="128"/>
        <v>0</v>
      </c>
      <c r="X507" s="81"/>
    </row>
    <row r="508" spans="1:24" ht="12">
      <c r="A508" s="71">
        <f t="shared" si="110"/>
        <v>499</v>
      </c>
      <c r="B508" s="83"/>
      <c r="C508" s="201"/>
      <c r="D508" s="83"/>
      <c r="E508" s="89"/>
      <c r="F508" s="89"/>
      <c r="G508" s="90"/>
      <c r="H508" s="90"/>
      <c r="I508" s="56" t="str">
        <f t="shared" si="129"/>
        <v/>
      </c>
      <c r="J508" s="84">
        <f t="shared" si="111"/>
        <v>0</v>
      </c>
      <c r="K508" s="84">
        <f t="shared" si="111"/>
        <v>0</v>
      </c>
      <c r="L508" s="84">
        <f t="shared" si="111"/>
        <v>0</v>
      </c>
      <c r="M508" s="84">
        <f t="shared" si="111"/>
        <v>0</v>
      </c>
      <c r="N508" s="84">
        <f t="shared" si="111"/>
        <v>0</v>
      </c>
      <c r="O508" s="84">
        <f t="shared" si="111"/>
        <v>0</v>
      </c>
      <c r="P508" s="84">
        <f t="shared" si="111"/>
        <v>0</v>
      </c>
      <c r="Q508" s="84">
        <f t="shared" si="111"/>
        <v>0</v>
      </c>
      <c r="R508" s="84">
        <f t="shared" si="111"/>
        <v>0</v>
      </c>
      <c r="S508" s="85"/>
      <c r="T508" s="84">
        <f t="shared" si="125"/>
        <v>0</v>
      </c>
      <c r="U508" s="86">
        <f t="shared" si="126"/>
        <v>0</v>
      </c>
      <c r="V508" s="87">
        <f t="shared" si="127"/>
        <v>0</v>
      </c>
      <c r="W508" s="88">
        <f t="shared" si="128"/>
        <v>0</v>
      </c>
      <c r="X508" s="81"/>
    </row>
    <row r="509" spans="1:24" ht="12">
      <c r="A509" s="71">
        <f t="shared" si="110"/>
        <v>500</v>
      </c>
      <c r="B509" s="83"/>
      <c r="C509" s="201"/>
      <c r="D509" s="83"/>
      <c r="E509" s="89"/>
      <c r="F509" s="89"/>
      <c r="G509" s="90"/>
      <c r="H509" s="90"/>
      <c r="I509" s="56" t="str">
        <f t="shared" si="129"/>
        <v/>
      </c>
      <c r="J509" s="84">
        <f t="shared" si="111"/>
        <v>0</v>
      </c>
      <c r="K509" s="84">
        <f t="shared" si="111"/>
        <v>0</v>
      </c>
      <c r="L509" s="84">
        <f t="shared" si="111"/>
        <v>0</v>
      </c>
      <c r="M509" s="84">
        <f t="shared" si="111"/>
        <v>0</v>
      </c>
      <c r="N509" s="84">
        <f t="shared" si="111"/>
        <v>0</v>
      </c>
      <c r="O509" s="84">
        <f t="shared" si="111"/>
        <v>0</v>
      </c>
      <c r="P509" s="84">
        <f t="shared" si="111"/>
        <v>0</v>
      </c>
      <c r="Q509" s="84">
        <f t="shared" si="111"/>
        <v>0</v>
      </c>
      <c r="R509" s="84">
        <f t="shared" si="111"/>
        <v>0</v>
      </c>
      <c r="S509" s="85"/>
      <c r="T509" s="84">
        <f t="shared" si="125"/>
        <v>0</v>
      </c>
      <c r="U509" s="86">
        <f t="shared" si="126"/>
        <v>0</v>
      </c>
      <c r="V509" s="87">
        <f t="shared" si="127"/>
        <v>0</v>
      </c>
      <c r="W509" s="88">
        <f t="shared" si="128"/>
        <v>0</v>
      </c>
      <c r="X509" s="81"/>
    </row>
    <row r="510" spans="1:24" ht="12">
      <c r="A510" s="71">
        <f t="shared" si="110"/>
        <v>501</v>
      </c>
      <c r="B510" s="83"/>
      <c r="C510" s="201"/>
      <c r="D510" s="83"/>
      <c r="E510" s="89"/>
      <c r="F510" s="73"/>
      <c r="G510" s="90"/>
      <c r="H510" s="90"/>
      <c r="I510" s="75"/>
      <c r="J510" s="84">
        <f t="shared" si="111"/>
        <v>0</v>
      </c>
      <c r="K510" s="84">
        <f t="shared" si="111"/>
        <v>0</v>
      </c>
      <c r="L510" s="84">
        <f t="shared" si="111"/>
        <v>0</v>
      </c>
      <c r="M510" s="84">
        <f t="shared" si="111"/>
        <v>0</v>
      </c>
      <c r="N510" s="84">
        <f t="shared" si="111"/>
        <v>0</v>
      </c>
      <c r="O510" s="84">
        <f t="shared" si="111"/>
        <v>0</v>
      </c>
      <c r="P510" s="84">
        <f t="shared" si="111"/>
        <v>0</v>
      </c>
      <c r="Q510" s="84">
        <f t="shared" si="111"/>
        <v>0</v>
      </c>
      <c r="R510" s="84">
        <f t="shared" si="111"/>
        <v>0</v>
      </c>
      <c r="S510" s="85"/>
      <c r="T510" s="84">
        <f t="shared" si="98"/>
        <v>0</v>
      </c>
      <c r="U510" s="86">
        <f t="shared" si="99"/>
        <v>0</v>
      </c>
      <c r="V510" s="87">
        <f t="shared" si="100"/>
        <v>0</v>
      </c>
      <c r="W510" s="88">
        <f t="shared" si="101"/>
        <v>0</v>
      </c>
      <c r="X510" s="81"/>
    </row>
    <row r="511" spans="1:24" ht="12">
      <c r="A511" s="71">
        <f t="shared" si="110"/>
        <v>502</v>
      </c>
      <c r="B511" s="83"/>
      <c r="C511" s="201"/>
      <c r="D511" s="83"/>
      <c r="E511" s="89"/>
      <c r="F511" s="73"/>
      <c r="G511" s="90"/>
      <c r="H511" s="90"/>
      <c r="I511" s="75"/>
      <c r="J511" s="84">
        <f t="shared" si="111"/>
        <v>0</v>
      </c>
      <c r="K511" s="84">
        <f t="shared" si="111"/>
        <v>0</v>
      </c>
      <c r="L511" s="84">
        <f t="shared" si="111"/>
        <v>0</v>
      </c>
      <c r="M511" s="84">
        <f t="shared" si="111"/>
        <v>0</v>
      </c>
      <c r="N511" s="84">
        <f t="shared" si="111"/>
        <v>0</v>
      </c>
      <c r="O511" s="84">
        <f t="shared" si="111"/>
        <v>0</v>
      </c>
      <c r="P511" s="84">
        <f t="shared" si="111"/>
        <v>0</v>
      </c>
      <c r="Q511" s="84">
        <f t="shared" si="111"/>
        <v>0</v>
      </c>
      <c r="R511" s="84">
        <f t="shared" si="111"/>
        <v>0</v>
      </c>
      <c r="S511" s="85"/>
      <c r="T511" s="84">
        <f t="shared" si="98"/>
        <v>0</v>
      </c>
      <c r="U511" s="86">
        <f t="shared" si="99"/>
        <v>0</v>
      </c>
      <c r="V511" s="87">
        <f t="shared" si="100"/>
        <v>0</v>
      </c>
      <c r="W511" s="88">
        <f t="shared" si="101"/>
        <v>0</v>
      </c>
      <c r="X511" s="81"/>
    </row>
    <row r="512" spans="1:24" ht="12">
      <c r="A512" s="71">
        <f t="shared" si="110"/>
        <v>503</v>
      </c>
      <c r="B512" s="83"/>
      <c r="C512" s="201"/>
      <c r="D512" s="83"/>
      <c r="E512" s="89"/>
      <c r="F512" s="73"/>
      <c r="G512" s="90"/>
      <c r="H512" s="90"/>
      <c r="I512" s="75"/>
      <c r="J512" s="84">
        <f t="shared" si="111"/>
        <v>0</v>
      </c>
      <c r="K512" s="84">
        <f t="shared" si="111"/>
        <v>0</v>
      </c>
      <c r="L512" s="84">
        <f t="shared" si="111"/>
        <v>0</v>
      </c>
      <c r="M512" s="84">
        <f t="shared" si="111"/>
        <v>0</v>
      </c>
      <c r="N512" s="84">
        <f t="shared" si="111"/>
        <v>0</v>
      </c>
      <c r="O512" s="84">
        <f t="shared" si="111"/>
        <v>0</v>
      </c>
      <c r="P512" s="84">
        <f t="shared" si="111"/>
        <v>0</v>
      </c>
      <c r="Q512" s="84">
        <f t="shared" si="111"/>
        <v>0</v>
      </c>
      <c r="R512" s="84">
        <f t="shared" si="111"/>
        <v>0</v>
      </c>
      <c r="S512" s="85"/>
      <c r="T512" s="84">
        <f t="shared" si="98"/>
        <v>0</v>
      </c>
      <c r="U512" s="86">
        <f t="shared" si="99"/>
        <v>0</v>
      </c>
      <c r="V512" s="87">
        <f t="shared" si="100"/>
        <v>0</v>
      </c>
      <c r="W512" s="88">
        <f t="shared" si="101"/>
        <v>0</v>
      </c>
      <c r="X512" s="81"/>
    </row>
    <row r="513" spans="1:24" ht="12">
      <c r="A513" s="71">
        <f t="shared" si="110"/>
        <v>504</v>
      </c>
      <c r="B513" s="83"/>
      <c r="C513" s="201"/>
      <c r="D513" s="83"/>
      <c r="E513" s="89"/>
      <c r="F513" s="73"/>
      <c r="G513" s="90"/>
      <c r="H513" s="90"/>
      <c r="I513" s="75"/>
      <c r="J513" s="84">
        <f t="shared" si="111"/>
        <v>0</v>
      </c>
      <c r="K513" s="84">
        <f t="shared" si="111"/>
        <v>0</v>
      </c>
      <c r="L513" s="84">
        <f t="shared" si="111"/>
        <v>0</v>
      </c>
      <c r="M513" s="84">
        <f t="shared" si="111"/>
        <v>0</v>
      </c>
      <c r="N513" s="84">
        <f t="shared" si="111"/>
        <v>0</v>
      </c>
      <c r="O513" s="84">
        <f t="shared" si="111"/>
        <v>0</v>
      </c>
      <c r="P513" s="84">
        <f t="shared" si="111"/>
        <v>0</v>
      </c>
      <c r="Q513" s="84">
        <f t="shared" si="111"/>
        <v>0</v>
      </c>
      <c r="R513" s="84">
        <f t="shared" si="111"/>
        <v>0</v>
      </c>
      <c r="S513" s="85"/>
      <c r="T513" s="84">
        <f t="shared" si="98"/>
        <v>0</v>
      </c>
      <c r="U513" s="86">
        <f t="shared" si="99"/>
        <v>0</v>
      </c>
      <c r="V513" s="87">
        <f t="shared" si="100"/>
        <v>0</v>
      </c>
      <c r="W513" s="88">
        <f t="shared" si="101"/>
        <v>0</v>
      </c>
      <c r="X513" s="81"/>
    </row>
    <row r="514" spans="1:24" ht="12">
      <c r="A514" s="71">
        <f t="shared" si="110"/>
        <v>505</v>
      </c>
      <c r="B514" s="83"/>
      <c r="C514" s="201"/>
      <c r="D514" s="83"/>
      <c r="E514" s="89"/>
      <c r="F514" s="73"/>
      <c r="G514" s="90"/>
      <c r="H514" s="90"/>
      <c r="I514" s="75"/>
      <c r="J514" s="84">
        <f t="shared" ref="J514:R519" si="130">ROUNDUP(IF($E514="画面",画面係数,IF($E514="帳票",帳票係数,IF($E514="バッチ",バッチ係数,0))) *
 IF($I514="特高",特高係数,IF($I514="高",高係数,IF($I514="中",中係数,IF($I514="低",低係数,IF($I514="特低",特低係数,0)))))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514" s="84">
        <f t="shared" si="130"/>
        <v>0</v>
      </c>
      <c r="L514" s="84">
        <f t="shared" si="130"/>
        <v>0</v>
      </c>
      <c r="M514" s="84">
        <f t="shared" si="130"/>
        <v>0</v>
      </c>
      <c r="N514" s="84">
        <f t="shared" si="130"/>
        <v>0</v>
      </c>
      <c r="O514" s="84">
        <f t="shared" si="130"/>
        <v>0</v>
      </c>
      <c r="P514" s="84">
        <f t="shared" si="130"/>
        <v>0</v>
      </c>
      <c r="Q514" s="84">
        <f t="shared" si="130"/>
        <v>0</v>
      </c>
      <c r="R514" s="84">
        <f t="shared" si="130"/>
        <v>0</v>
      </c>
      <c r="S514" s="85"/>
      <c r="T514" s="84">
        <f t="shared" si="98"/>
        <v>0</v>
      </c>
      <c r="U514" s="86">
        <f t="shared" si="99"/>
        <v>0</v>
      </c>
      <c r="V514" s="87">
        <f t="shared" si="100"/>
        <v>0</v>
      </c>
      <c r="W514" s="88">
        <f t="shared" si="101"/>
        <v>0</v>
      </c>
      <c r="X514" s="81"/>
    </row>
    <row r="515" spans="1:24" ht="12">
      <c r="A515" s="71">
        <f t="shared" si="110"/>
        <v>506</v>
      </c>
      <c r="B515" s="83"/>
      <c r="C515" s="201"/>
      <c r="D515" s="83"/>
      <c r="E515" s="89"/>
      <c r="F515" s="73"/>
      <c r="G515" s="90"/>
      <c r="H515" s="90"/>
      <c r="I515" s="75"/>
      <c r="J515" s="84">
        <f t="shared" si="130"/>
        <v>0</v>
      </c>
      <c r="K515" s="84">
        <f t="shared" si="130"/>
        <v>0</v>
      </c>
      <c r="L515" s="84">
        <f t="shared" si="130"/>
        <v>0</v>
      </c>
      <c r="M515" s="84">
        <f t="shared" si="130"/>
        <v>0</v>
      </c>
      <c r="N515" s="84">
        <f t="shared" si="130"/>
        <v>0</v>
      </c>
      <c r="O515" s="84">
        <f t="shared" si="130"/>
        <v>0</v>
      </c>
      <c r="P515" s="84">
        <f t="shared" si="130"/>
        <v>0</v>
      </c>
      <c r="Q515" s="84">
        <f t="shared" si="130"/>
        <v>0</v>
      </c>
      <c r="R515" s="84">
        <f t="shared" si="130"/>
        <v>0</v>
      </c>
      <c r="S515" s="85"/>
      <c r="T515" s="84">
        <f t="shared" si="98"/>
        <v>0</v>
      </c>
      <c r="U515" s="86">
        <f t="shared" si="99"/>
        <v>0</v>
      </c>
      <c r="V515" s="87">
        <f t="shared" si="100"/>
        <v>0</v>
      </c>
      <c r="W515" s="88">
        <f t="shared" si="101"/>
        <v>0</v>
      </c>
      <c r="X515" s="81"/>
    </row>
    <row r="516" spans="1:24" ht="12">
      <c r="A516" s="71">
        <f t="shared" si="110"/>
        <v>507</v>
      </c>
      <c r="B516" s="83"/>
      <c r="C516" s="201"/>
      <c r="D516" s="83"/>
      <c r="E516" s="89"/>
      <c r="F516" s="89"/>
      <c r="G516" s="90"/>
      <c r="H516" s="90"/>
      <c r="I516" s="56" t="str">
        <f t="shared" ref="I516:I519" si="131">IF(OR(F516="",G516=""),"",
IF(F516="有",IF(G516&lt;=登録上限特低,"特低",IF(G516&lt;=登録上限低,"低",IF(G516&lt;=登録上限中,"中",IF(G516&lt;=登録上限高,"高","特高")))),
 IF(F516="無",IF(G516&lt;=参照上限特低,"特低",IF(G516&lt;=参照上限低,"低",IF(G516&lt;=参照上限中,"中",IF(G516&lt;=参照上限高,"高","特高")))),"")))</f>
        <v/>
      </c>
      <c r="J516" s="84">
        <f t="shared" si="130"/>
        <v>0</v>
      </c>
      <c r="K516" s="84">
        <f t="shared" si="130"/>
        <v>0</v>
      </c>
      <c r="L516" s="84">
        <f t="shared" si="130"/>
        <v>0</v>
      </c>
      <c r="M516" s="84">
        <f t="shared" si="130"/>
        <v>0</v>
      </c>
      <c r="N516" s="84">
        <f t="shared" si="130"/>
        <v>0</v>
      </c>
      <c r="O516" s="84">
        <f t="shared" si="130"/>
        <v>0</v>
      </c>
      <c r="P516" s="84">
        <f t="shared" si="130"/>
        <v>0</v>
      </c>
      <c r="Q516" s="84">
        <f t="shared" si="130"/>
        <v>0</v>
      </c>
      <c r="R516" s="84">
        <f t="shared" si="130"/>
        <v>0</v>
      </c>
      <c r="S516" s="85"/>
      <c r="T516" s="84">
        <f t="shared" si="98"/>
        <v>0</v>
      </c>
      <c r="U516" s="86">
        <f t="shared" si="99"/>
        <v>0</v>
      </c>
      <c r="V516" s="87">
        <f t="shared" si="100"/>
        <v>0</v>
      </c>
      <c r="W516" s="88">
        <f t="shared" si="101"/>
        <v>0</v>
      </c>
      <c r="X516" s="81"/>
    </row>
    <row r="517" spans="1:24" ht="12">
      <c r="A517" s="71">
        <f t="shared" si="110"/>
        <v>508</v>
      </c>
      <c r="B517" s="83"/>
      <c r="C517" s="201"/>
      <c r="D517" s="83"/>
      <c r="E517" s="89"/>
      <c r="F517" s="89"/>
      <c r="G517" s="90"/>
      <c r="H517" s="90"/>
      <c r="I517" s="56" t="str">
        <f t="shared" si="131"/>
        <v/>
      </c>
      <c r="J517" s="84">
        <f t="shared" si="130"/>
        <v>0</v>
      </c>
      <c r="K517" s="84">
        <f t="shared" si="130"/>
        <v>0</v>
      </c>
      <c r="L517" s="84">
        <f t="shared" si="130"/>
        <v>0</v>
      </c>
      <c r="M517" s="84">
        <f t="shared" si="130"/>
        <v>0</v>
      </c>
      <c r="N517" s="84">
        <f t="shared" si="130"/>
        <v>0</v>
      </c>
      <c r="O517" s="84">
        <f t="shared" si="130"/>
        <v>0</v>
      </c>
      <c r="P517" s="84">
        <f t="shared" si="130"/>
        <v>0</v>
      </c>
      <c r="Q517" s="84">
        <f t="shared" si="130"/>
        <v>0</v>
      </c>
      <c r="R517" s="84">
        <f t="shared" si="130"/>
        <v>0</v>
      </c>
      <c r="S517" s="85"/>
      <c r="T517" s="84">
        <f t="shared" si="98"/>
        <v>0</v>
      </c>
      <c r="U517" s="86">
        <f t="shared" si="99"/>
        <v>0</v>
      </c>
      <c r="V517" s="87">
        <f t="shared" si="100"/>
        <v>0</v>
      </c>
      <c r="W517" s="88">
        <f t="shared" si="101"/>
        <v>0</v>
      </c>
      <c r="X517" s="81"/>
    </row>
    <row r="518" spans="1:24" ht="12">
      <c r="A518" s="71">
        <f t="shared" si="110"/>
        <v>509</v>
      </c>
      <c r="B518" s="83"/>
      <c r="C518" s="201"/>
      <c r="D518" s="83"/>
      <c r="E518" s="89"/>
      <c r="F518" s="89"/>
      <c r="G518" s="90"/>
      <c r="H518" s="90"/>
      <c r="I518" s="56" t="str">
        <f t="shared" si="131"/>
        <v/>
      </c>
      <c r="J518" s="84">
        <f t="shared" si="130"/>
        <v>0</v>
      </c>
      <c r="K518" s="84">
        <f t="shared" si="130"/>
        <v>0</v>
      </c>
      <c r="L518" s="84">
        <f t="shared" si="130"/>
        <v>0</v>
      </c>
      <c r="M518" s="84">
        <f t="shared" si="130"/>
        <v>0</v>
      </c>
      <c r="N518" s="84">
        <f t="shared" si="130"/>
        <v>0</v>
      </c>
      <c r="O518" s="84">
        <f t="shared" si="130"/>
        <v>0</v>
      </c>
      <c r="P518" s="84">
        <f t="shared" si="130"/>
        <v>0</v>
      </c>
      <c r="Q518" s="84">
        <f t="shared" si="130"/>
        <v>0</v>
      </c>
      <c r="R518" s="84">
        <f t="shared" si="130"/>
        <v>0</v>
      </c>
      <c r="S518" s="85"/>
      <c r="T518" s="84">
        <f t="shared" si="98"/>
        <v>0</v>
      </c>
      <c r="U518" s="86">
        <f t="shared" si="99"/>
        <v>0</v>
      </c>
      <c r="V518" s="87">
        <f t="shared" si="100"/>
        <v>0</v>
      </c>
      <c r="W518" s="88">
        <f t="shared" si="101"/>
        <v>0</v>
      </c>
      <c r="X518" s="81"/>
    </row>
    <row r="519" spans="1:24" ht="12">
      <c r="A519" s="71">
        <f t="shared" si="110"/>
        <v>510</v>
      </c>
      <c r="B519" s="83"/>
      <c r="C519" s="201"/>
      <c r="D519" s="83"/>
      <c r="E519" s="89"/>
      <c r="F519" s="89"/>
      <c r="G519" s="90"/>
      <c r="H519" s="90"/>
      <c r="I519" s="56" t="str">
        <f t="shared" si="131"/>
        <v/>
      </c>
      <c r="J519" s="84">
        <f t="shared" si="130"/>
        <v>0</v>
      </c>
      <c r="K519" s="84">
        <f t="shared" si="130"/>
        <v>0</v>
      </c>
      <c r="L519" s="84">
        <f t="shared" si="130"/>
        <v>0</v>
      </c>
      <c r="M519" s="84">
        <f t="shared" si="130"/>
        <v>0</v>
      </c>
      <c r="N519" s="84">
        <f t="shared" si="130"/>
        <v>0</v>
      </c>
      <c r="O519" s="84">
        <f t="shared" si="130"/>
        <v>0</v>
      </c>
      <c r="P519" s="84">
        <f t="shared" si="130"/>
        <v>0</v>
      </c>
      <c r="Q519" s="84">
        <f t="shared" si="130"/>
        <v>0</v>
      </c>
      <c r="R519" s="84">
        <f t="shared" si="130"/>
        <v>0</v>
      </c>
      <c r="S519" s="85"/>
      <c r="T519" s="84">
        <f t="shared" si="98"/>
        <v>0</v>
      </c>
      <c r="U519" s="86">
        <f t="shared" si="99"/>
        <v>0</v>
      </c>
      <c r="V519" s="87">
        <f t="shared" si="100"/>
        <v>0</v>
      </c>
      <c r="W519" s="88">
        <f t="shared" si="101"/>
        <v>0</v>
      </c>
      <c r="X519" s="81"/>
    </row>
  </sheetData>
  <autoFilter ref="A7:X519" xr:uid="{00000000-0009-0000-0000-000003000000}"/>
  <mergeCells count="8">
    <mergeCell ref="D4:E5"/>
    <mergeCell ref="A1:E1"/>
    <mergeCell ref="G1:I1"/>
    <mergeCell ref="G2:I2"/>
    <mergeCell ref="G3:I3"/>
    <mergeCell ref="G4:I4"/>
    <mergeCell ref="G5:I5"/>
    <mergeCell ref="A4:C5"/>
  </mergeCells>
  <phoneticPr fontId="1"/>
  <dataValidations count="3">
    <dataValidation type="list" allowBlank="1" showInputMessage="1" showErrorMessage="1" sqref="I7" xr:uid="{00000000-0002-0000-0300-000000000000}">
      <formula1>"特高,高,中,低,特低"</formula1>
    </dataValidation>
    <dataValidation type="list" allowBlank="1" showInputMessage="1" showErrorMessage="1" sqref="F10:F519" xr:uid="{00000000-0002-0000-0300-000001000000}">
      <formula1>"有,無"</formula1>
    </dataValidation>
    <dataValidation type="list" allowBlank="1" showInputMessage="1" showErrorMessage="1" sqref="E10:E519" xr:uid="{00000000-0002-0000-0300-000002000000}">
      <formula1>"画面,帳票,バッチ,その他"</formula1>
    </dataValidation>
  </dataValidations>
  <printOptions horizontalCentered="1"/>
  <pageMargins left="0.19685039370078741" right="0.19685039370078741" top="0.39370078740157483" bottom="0.19685039370078741" header="0.31496062992125984" footer="0.31496062992125984"/>
  <pageSetup paperSize="9" scale="54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BA73"/>
  <sheetViews>
    <sheetView zoomScaleNormal="100" workbookViewId="0">
      <selection activeCell="F27" sqref="F27"/>
    </sheetView>
  </sheetViews>
  <sheetFormatPr defaultColWidth="8.85546875" defaultRowHeight="13.15"/>
  <cols>
    <col min="1" max="1" width="4.42578125" style="151" customWidth="1"/>
    <col min="2" max="2" width="5.42578125" bestFit="1" customWidth="1"/>
    <col min="3" max="3" width="22.7109375" bestFit="1" customWidth="1"/>
    <col min="4" max="4" width="3.85546875" bestFit="1" customWidth="1"/>
    <col min="5" max="5" width="7.7109375" bestFit="1" customWidth="1"/>
    <col min="6" max="6" width="13.28515625" style="102" customWidth="1"/>
    <col min="7" max="7" width="16.7109375" style="102" customWidth="1"/>
    <col min="8" max="49" width="4" customWidth="1"/>
    <col min="50" max="50" width="4.42578125" style="166" customWidth="1"/>
    <col min="51" max="52" width="4.42578125" customWidth="1"/>
    <col min="53" max="53" width="14.85546875" bestFit="1" customWidth="1"/>
  </cols>
  <sheetData>
    <row r="1" spans="1:53">
      <c r="H1" s="294" t="s">
        <v>815</v>
      </c>
      <c r="I1" s="294"/>
      <c r="J1" s="294"/>
      <c r="K1" s="294"/>
      <c r="L1" s="294"/>
      <c r="M1" s="294"/>
      <c r="N1" s="283" t="s">
        <v>816</v>
      </c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5"/>
      <c r="AL1" s="377" t="s">
        <v>817</v>
      </c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9"/>
    </row>
    <row r="2" spans="1:53" s="100" customFormat="1">
      <c r="F2" s="103">
        <v>50000</v>
      </c>
      <c r="G2" s="103">
        <f>G5/E5</f>
        <v>637954.54545454541</v>
      </c>
      <c r="H2" s="295">
        <v>44105</v>
      </c>
      <c r="I2" s="295"/>
      <c r="J2" s="295">
        <v>44136</v>
      </c>
      <c r="K2" s="295"/>
      <c r="L2" s="295">
        <v>44166</v>
      </c>
      <c r="M2" s="295"/>
      <c r="N2" s="295">
        <v>44197</v>
      </c>
      <c r="O2" s="295"/>
      <c r="P2" s="295">
        <v>44228</v>
      </c>
      <c r="Q2" s="295"/>
      <c r="R2" s="295">
        <v>44256</v>
      </c>
      <c r="S2" s="295"/>
      <c r="T2" s="295">
        <v>44287</v>
      </c>
      <c r="U2" s="295"/>
      <c r="V2" s="295">
        <v>44317</v>
      </c>
      <c r="W2" s="295"/>
      <c r="X2" s="295">
        <v>44348</v>
      </c>
      <c r="Y2" s="295"/>
      <c r="Z2" s="295">
        <v>44378</v>
      </c>
      <c r="AA2" s="295"/>
      <c r="AB2" s="295">
        <v>44409</v>
      </c>
      <c r="AC2" s="295"/>
      <c r="AD2" s="295">
        <v>44440</v>
      </c>
      <c r="AE2" s="295"/>
      <c r="AF2" s="295">
        <v>44470</v>
      </c>
      <c r="AG2" s="295"/>
      <c r="AH2" s="295">
        <v>44501</v>
      </c>
      <c r="AI2" s="295"/>
      <c r="AJ2" s="295">
        <v>44531</v>
      </c>
      <c r="AK2" s="295"/>
      <c r="AL2" s="295">
        <v>44562</v>
      </c>
      <c r="AM2" s="295"/>
      <c r="AN2" s="295">
        <v>44593</v>
      </c>
      <c r="AO2" s="295"/>
      <c r="AP2" s="295">
        <v>44621</v>
      </c>
      <c r="AQ2" s="295"/>
      <c r="AR2" s="295">
        <v>44652</v>
      </c>
      <c r="AS2" s="295"/>
      <c r="AT2" s="295">
        <v>44682</v>
      </c>
      <c r="AU2" s="295"/>
      <c r="AV2" s="295">
        <v>44713</v>
      </c>
      <c r="AW2" s="295"/>
      <c r="AX2" s="167"/>
    </row>
    <row r="3" spans="1:53" s="101" customFormat="1">
      <c r="A3" s="152" t="s">
        <v>818</v>
      </c>
      <c r="B3" s="109" t="s">
        <v>67</v>
      </c>
      <c r="C3" s="109" t="s">
        <v>819</v>
      </c>
      <c r="D3" s="109" t="s">
        <v>820</v>
      </c>
      <c r="E3" s="109" t="s">
        <v>8</v>
      </c>
      <c r="F3" s="110" t="s">
        <v>9</v>
      </c>
      <c r="G3" s="110" t="s">
        <v>10</v>
      </c>
      <c r="H3" s="327" t="s">
        <v>784</v>
      </c>
      <c r="I3" s="327"/>
      <c r="J3" s="327"/>
      <c r="K3" s="327"/>
      <c r="L3" s="286" t="s">
        <v>785</v>
      </c>
      <c r="M3" s="287"/>
      <c r="N3" s="287"/>
      <c r="O3" s="287"/>
      <c r="P3" s="287"/>
      <c r="Q3" s="287"/>
      <c r="R3" s="323" t="s">
        <v>786</v>
      </c>
      <c r="S3" s="324"/>
      <c r="T3" s="324"/>
      <c r="U3" s="324"/>
      <c r="V3" s="324"/>
      <c r="W3" s="324"/>
      <c r="X3" s="324"/>
      <c r="Y3" s="325" t="s">
        <v>821</v>
      </c>
      <c r="Z3" s="325"/>
      <c r="AA3" s="325"/>
      <c r="AB3" s="325"/>
      <c r="AC3" s="325"/>
      <c r="AD3" s="325"/>
      <c r="AE3" s="326"/>
      <c r="AF3" s="315" t="s">
        <v>788</v>
      </c>
      <c r="AG3" s="316"/>
      <c r="AH3" s="316"/>
      <c r="AI3" s="316"/>
      <c r="AJ3" s="316"/>
      <c r="AK3" s="317"/>
      <c r="AL3" s="318" t="s">
        <v>789</v>
      </c>
      <c r="AM3" s="319"/>
      <c r="AN3" s="319"/>
      <c r="AO3" s="319"/>
      <c r="AP3" s="319"/>
      <c r="AQ3" s="320"/>
      <c r="AR3" s="302" t="s">
        <v>790</v>
      </c>
      <c r="AS3" s="303"/>
      <c r="AT3" s="304"/>
      <c r="AU3" s="328" t="s">
        <v>822</v>
      </c>
      <c r="AV3" s="329"/>
      <c r="AW3" s="330"/>
      <c r="AX3" s="168"/>
    </row>
    <row r="4" spans="1:53">
      <c r="A4" s="104"/>
      <c r="B4" s="346" t="s">
        <v>823</v>
      </c>
      <c r="C4" s="347"/>
      <c r="D4" s="348"/>
      <c r="E4" s="105">
        <f>工数算出!U3</f>
        <v>43.130000000000116</v>
      </c>
      <c r="F4" s="106" t="s">
        <v>21</v>
      </c>
      <c r="G4" s="108">
        <f>工数算出!D4</f>
        <v>44226000</v>
      </c>
      <c r="H4" s="314">
        <f>工数算出!J3</f>
        <v>4.7150000000000212</v>
      </c>
      <c r="I4" s="314"/>
      <c r="J4" s="314"/>
      <c r="K4" s="314"/>
      <c r="L4" s="310">
        <f>工数算出!K3</f>
        <v>5.0450000000000212</v>
      </c>
      <c r="M4" s="311"/>
      <c r="N4" s="311"/>
      <c r="O4" s="311"/>
      <c r="P4" s="311"/>
      <c r="Q4" s="311"/>
      <c r="R4" s="310">
        <f>工数算出!L3</f>
        <v>3.4250000000000016</v>
      </c>
      <c r="S4" s="311"/>
      <c r="T4" s="311"/>
      <c r="U4" s="311"/>
      <c r="V4" s="311"/>
      <c r="W4" s="311"/>
      <c r="X4" s="312"/>
      <c r="Y4" s="310">
        <f>工数算出!M3</f>
        <v>6.1449999999999951</v>
      </c>
      <c r="Z4" s="311"/>
      <c r="AA4" s="311"/>
      <c r="AB4" s="311"/>
      <c r="AC4" s="311"/>
      <c r="AD4" s="311"/>
      <c r="AE4" s="312"/>
      <c r="AF4" s="311">
        <f>工数算出!N3</f>
        <v>5.8300000000000249</v>
      </c>
      <c r="AG4" s="311"/>
      <c r="AH4" s="311"/>
      <c r="AI4" s="311"/>
      <c r="AJ4" s="311"/>
      <c r="AK4" s="312"/>
      <c r="AL4" s="310">
        <f>工数算出!O3</f>
        <v>5.7950000000000408</v>
      </c>
      <c r="AM4" s="311"/>
      <c r="AN4" s="311"/>
      <c r="AO4" s="311"/>
      <c r="AP4" s="311"/>
      <c r="AQ4" s="312"/>
      <c r="AR4" s="314">
        <f>工数算出!P3</f>
        <v>1.4500000000000042</v>
      </c>
      <c r="AS4" s="314"/>
      <c r="AT4" s="314"/>
      <c r="AU4" s="331">
        <f>工数算出!Q3</f>
        <v>4.0950000000000095</v>
      </c>
      <c r="AV4" s="332"/>
      <c r="AW4" s="333"/>
      <c r="AX4" s="296">
        <f>SUM(H4:AW4)</f>
        <v>36.500000000000128</v>
      </c>
      <c r="AY4" s="297"/>
      <c r="AZ4" s="297"/>
    </row>
    <row r="5" spans="1:53" s="101" customFormat="1">
      <c r="A5" s="128"/>
      <c r="B5" s="334" t="s">
        <v>49</v>
      </c>
      <c r="C5" s="335"/>
      <c r="D5" s="336"/>
      <c r="E5" s="340">
        <f>SUM(H6:AW6)</f>
        <v>220</v>
      </c>
      <c r="F5" s="342" t="s">
        <v>21</v>
      </c>
      <c r="G5" s="344">
        <f>SUM(G7:G56)</f>
        <v>140350000</v>
      </c>
      <c r="H5" s="314">
        <f>SUM(H11:K56)/2</f>
        <v>0</v>
      </c>
      <c r="I5" s="314"/>
      <c r="J5" s="314"/>
      <c r="K5" s="314"/>
      <c r="L5" s="310">
        <f>SUM(L11:Q56)/2</f>
        <v>0</v>
      </c>
      <c r="M5" s="311"/>
      <c r="N5" s="311"/>
      <c r="O5" s="311"/>
      <c r="P5" s="311"/>
      <c r="Q5" s="311"/>
      <c r="R5" s="310">
        <f>SUM(R11:X48)/2</f>
        <v>27.5</v>
      </c>
      <c r="S5" s="311"/>
      <c r="T5" s="311"/>
      <c r="U5" s="311"/>
      <c r="V5" s="311"/>
      <c r="W5" s="311"/>
      <c r="X5" s="312"/>
      <c r="Y5" s="310">
        <f>(SUM(Y11:AE27)+SUM(Y29:AE48))/2</f>
        <v>52.5</v>
      </c>
      <c r="Z5" s="311"/>
      <c r="AA5" s="311"/>
      <c r="AB5" s="311"/>
      <c r="AC5" s="311"/>
      <c r="AD5" s="311"/>
      <c r="AE5" s="312"/>
      <c r="AF5" s="310">
        <f>(SUM(AF11:AK27)+SUM(AF29:AK48))/2</f>
        <v>33</v>
      </c>
      <c r="AG5" s="311"/>
      <c r="AH5" s="311"/>
      <c r="AI5" s="311"/>
      <c r="AJ5" s="311"/>
      <c r="AK5" s="312"/>
      <c r="AL5" s="310">
        <f>(SUM(AL11:AQ27)+SUM(AL29:AQ48))/2</f>
        <v>21</v>
      </c>
      <c r="AM5" s="311"/>
      <c r="AN5" s="311"/>
      <c r="AO5" s="311"/>
      <c r="AP5" s="311"/>
      <c r="AQ5" s="312"/>
      <c r="AR5" s="314">
        <f>SUM(AR11:AT27)/2</f>
        <v>9</v>
      </c>
      <c r="AS5" s="314"/>
      <c r="AT5" s="314"/>
      <c r="AU5" s="310">
        <f>(SUM(AU11:AW56)+SUM(AB28:AT28))/2</f>
        <v>14</v>
      </c>
      <c r="AV5" s="311"/>
      <c r="AW5" s="312"/>
      <c r="AX5" s="296">
        <f>SUM(H5:AW5)</f>
        <v>157</v>
      </c>
      <c r="AY5" s="297"/>
      <c r="AZ5" s="297"/>
    </row>
    <row r="6" spans="1:53" s="101" customFormat="1" ht="13.9" thickBot="1">
      <c r="A6" s="150"/>
      <c r="B6" s="337"/>
      <c r="C6" s="338"/>
      <c r="D6" s="339"/>
      <c r="E6" s="341"/>
      <c r="F6" s="343"/>
      <c r="G6" s="345"/>
      <c r="H6" s="313">
        <f>SUM(H7:I56)/2</f>
        <v>0</v>
      </c>
      <c r="I6" s="313"/>
      <c r="J6" s="313">
        <f>SUM(J7:K56)/2</f>
        <v>0</v>
      </c>
      <c r="K6" s="313"/>
      <c r="L6" s="313">
        <f>SUM(L7:M56)/2</f>
        <v>0</v>
      </c>
      <c r="M6" s="313"/>
      <c r="N6" s="313">
        <f>SUM(N7:O56)/2</f>
        <v>0</v>
      </c>
      <c r="O6" s="313"/>
      <c r="P6" s="313">
        <f>SUM(P7:Q56)/2</f>
        <v>0</v>
      </c>
      <c r="Q6" s="313"/>
      <c r="R6" s="349">
        <f>SUM(R7:S56)/2</f>
        <v>0</v>
      </c>
      <c r="S6" s="350"/>
      <c r="T6" s="313">
        <f>SUM(T7:U56)/2</f>
        <v>15</v>
      </c>
      <c r="U6" s="313"/>
      <c r="V6" s="313">
        <f>SUM(V7:W56)/2</f>
        <v>15</v>
      </c>
      <c r="W6" s="313"/>
      <c r="X6" s="313">
        <f>SUM(X7:Y56)/2</f>
        <v>20</v>
      </c>
      <c r="Y6" s="313"/>
      <c r="Z6" s="313">
        <f>SUM(Z7:AA56)/2</f>
        <v>20</v>
      </c>
      <c r="AA6" s="313"/>
      <c r="AB6" s="313">
        <f>SUM(AB7:AC56)/2</f>
        <v>20.5</v>
      </c>
      <c r="AC6" s="313"/>
      <c r="AD6" s="313">
        <f>SUM(AD7:AE56)/2</f>
        <v>20.5</v>
      </c>
      <c r="AE6" s="313"/>
      <c r="AF6" s="313">
        <f>SUM(AF7:AG56)/2</f>
        <v>16.5</v>
      </c>
      <c r="AG6" s="313"/>
      <c r="AH6" s="313">
        <f>SUM(AH7:AI56)/2</f>
        <v>16.5</v>
      </c>
      <c r="AI6" s="313"/>
      <c r="AJ6" s="313">
        <f>SUM(AJ7:AK56)/2</f>
        <v>16.5</v>
      </c>
      <c r="AK6" s="313"/>
      <c r="AL6" s="313">
        <f>SUM(AL7:AM56)/2</f>
        <v>10.5</v>
      </c>
      <c r="AM6" s="313"/>
      <c r="AN6" s="313">
        <f>SUM(AN7:AO56)/2</f>
        <v>10.5</v>
      </c>
      <c r="AO6" s="313"/>
      <c r="AP6" s="313">
        <f>SUM(AP7:AQ56)/2</f>
        <v>10.5</v>
      </c>
      <c r="AQ6" s="313"/>
      <c r="AR6" s="313">
        <f>SUM(AR7:AS56)/2</f>
        <v>9.5</v>
      </c>
      <c r="AS6" s="313"/>
      <c r="AT6" s="313">
        <f>SUM(AT7:AU56)/2</f>
        <v>9.5</v>
      </c>
      <c r="AU6" s="313"/>
      <c r="AV6" s="313">
        <f>SUM(AV7:AW56)/2</f>
        <v>9</v>
      </c>
      <c r="AW6" s="313"/>
      <c r="AX6" s="168"/>
    </row>
    <row r="7" spans="1:53" ht="13.9" thickTop="1">
      <c r="A7" s="127">
        <v>1</v>
      </c>
      <c r="B7" s="129" t="s">
        <v>792</v>
      </c>
      <c r="C7" s="171" t="s">
        <v>824</v>
      </c>
      <c r="D7" s="129" t="s">
        <v>825</v>
      </c>
      <c r="E7" s="130">
        <f>SUM(H7:AW7)/2</f>
        <v>15</v>
      </c>
      <c r="F7" s="131">
        <v>850000</v>
      </c>
      <c r="G7" s="131">
        <f>E7*F7</f>
        <v>12750000</v>
      </c>
      <c r="H7" s="148"/>
      <c r="I7" s="149"/>
      <c r="J7" s="148"/>
      <c r="K7" s="149"/>
      <c r="L7" s="148"/>
      <c r="M7" s="149"/>
      <c r="N7" s="148"/>
      <c r="O7" s="149"/>
      <c r="P7" s="148"/>
      <c r="Q7" s="149"/>
      <c r="R7" s="148"/>
      <c r="S7" s="149"/>
      <c r="T7" s="148">
        <v>1</v>
      </c>
      <c r="U7" s="149">
        <v>1</v>
      </c>
      <c r="V7" s="148">
        <v>1</v>
      </c>
      <c r="W7" s="149">
        <v>1</v>
      </c>
      <c r="X7" s="148">
        <v>1</v>
      </c>
      <c r="Y7" s="149">
        <v>1</v>
      </c>
      <c r="Z7" s="148">
        <v>1</v>
      </c>
      <c r="AA7" s="149">
        <v>1</v>
      </c>
      <c r="AB7" s="148">
        <v>1</v>
      </c>
      <c r="AC7" s="149">
        <v>1</v>
      </c>
      <c r="AD7" s="148">
        <v>1</v>
      </c>
      <c r="AE7" s="149">
        <v>1</v>
      </c>
      <c r="AF7" s="148">
        <v>1</v>
      </c>
      <c r="AG7" s="149">
        <v>1</v>
      </c>
      <c r="AH7" s="148">
        <v>1</v>
      </c>
      <c r="AI7" s="149">
        <v>1</v>
      </c>
      <c r="AJ7" s="148">
        <v>1</v>
      </c>
      <c r="AK7" s="149">
        <v>1</v>
      </c>
      <c r="AL7" s="148">
        <v>1</v>
      </c>
      <c r="AM7" s="149">
        <v>1</v>
      </c>
      <c r="AN7" s="148">
        <v>1</v>
      </c>
      <c r="AO7" s="149">
        <v>1</v>
      </c>
      <c r="AP7" s="148">
        <v>1</v>
      </c>
      <c r="AQ7" s="149">
        <v>1</v>
      </c>
      <c r="AR7" s="148">
        <v>1</v>
      </c>
      <c r="AS7" s="149">
        <v>1</v>
      </c>
      <c r="AT7" s="148">
        <v>1</v>
      </c>
      <c r="AU7" s="149">
        <v>1</v>
      </c>
      <c r="AV7" s="148">
        <v>1</v>
      </c>
      <c r="AW7" s="149">
        <v>1</v>
      </c>
    </row>
    <row r="8" spans="1:53">
      <c r="A8" s="104">
        <v>2</v>
      </c>
      <c r="B8" s="105" t="s">
        <v>826</v>
      </c>
      <c r="C8" s="172" t="s">
        <v>827</v>
      </c>
      <c r="D8" s="105" t="s">
        <v>825</v>
      </c>
      <c r="E8" s="107">
        <f t="shared" ref="E8:E36" si="0">SUM(H8:AW8)/2</f>
        <v>15</v>
      </c>
      <c r="F8" s="108">
        <v>850000</v>
      </c>
      <c r="G8" s="108">
        <f>E8*F8</f>
        <v>12750000</v>
      </c>
      <c r="H8" s="111"/>
      <c r="I8" s="112"/>
      <c r="J8" s="111"/>
      <c r="K8" s="112"/>
      <c r="L8" s="111"/>
      <c r="M8" s="112"/>
      <c r="N8" s="111"/>
      <c r="O8" s="112"/>
      <c r="P8" s="111"/>
      <c r="Q8" s="112"/>
      <c r="R8" s="111"/>
      <c r="S8" s="112"/>
      <c r="T8" s="111">
        <v>1</v>
      </c>
      <c r="U8" s="112">
        <v>1</v>
      </c>
      <c r="V8" s="111">
        <v>1</v>
      </c>
      <c r="W8" s="112">
        <v>1</v>
      </c>
      <c r="X8" s="111">
        <v>1</v>
      </c>
      <c r="Y8" s="112">
        <v>1</v>
      </c>
      <c r="Z8" s="111">
        <v>1</v>
      </c>
      <c r="AA8" s="112">
        <v>1</v>
      </c>
      <c r="AB8" s="111">
        <v>1</v>
      </c>
      <c r="AC8" s="112">
        <v>1</v>
      </c>
      <c r="AD8" s="111">
        <v>1</v>
      </c>
      <c r="AE8" s="112">
        <v>1</v>
      </c>
      <c r="AF8" s="111">
        <v>1</v>
      </c>
      <c r="AG8" s="112">
        <v>1</v>
      </c>
      <c r="AH8" s="111">
        <v>1</v>
      </c>
      <c r="AI8" s="112">
        <v>1</v>
      </c>
      <c r="AJ8" s="111">
        <v>1</v>
      </c>
      <c r="AK8" s="112">
        <v>1</v>
      </c>
      <c r="AL8" s="111">
        <v>1</v>
      </c>
      <c r="AM8" s="112">
        <v>1</v>
      </c>
      <c r="AN8" s="111">
        <v>1</v>
      </c>
      <c r="AO8" s="112">
        <v>1</v>
      </c>
      <c r="AP8" s="111">
        <v>1</v>
      </c>
      <c r="AQ8" s="112">
        <v>1</v>
      </c>
      <c r="AR8" s="111">
        <v>1</v>
      </c>
      <c r="AS8" s="112">
        <v>1</v>
      </c>
      <c r="AT8" s="111">
        <v>1</v>
      </c>
      <c r="AU8" s="112">
        <v>1</v>
      </c>
      <c r="AV8" s="111">
        <v>1</v>
      </c>
      <c r="AW8" s="112">
        <v>1</v>
      </c>
    </row>
    <row r="9" spans="1:53">
      <c r="A9" s="104">
        <v>3</v>
      </c>
      <c r="B9" s="105" t="s">
        <v>826</v>
      </c>
      <c r="C9" s="172" t="s">
        <v>828</v>
      </c>
      <c r="D9" s="105" t="s">
        <v>825</v>
      </c>
      <c r="E9" s="107">
        <f t="shared" si="0"/>
        <v>15</v>
      </c>
      <c r="F9" s="108">
        <v>800000</v>
      </c>
      <c r="G9" s="108">
        <f>E9*F9</f>
        <v>12000000</v>
      </c>
      <c r="H9" s="111"/>
      <c r="I9" s="112"/>
      <c r="J9" s="111"/>
      <c r="K9" s="112"/>
      <c r="L9" s="111"/>
      <c r="M9" s="112"/>
      <c r="N9" s="111"/>
      <c r="O9" s="112"/>
      <c r="P9" s="111"/>
      <c r="Q9" s="112"/>
      <c r="R9" s="111"/>
      <c r="S9" s="112"/>
      <c r="T9" s="111">
        <v>1</v>
      </c>
      <c r="U9" s="112">
        <v>1</v>
      </c>
      <c r="V9" s="111">
        <v>1</v>
      </c>
      <c r="W9" s="112">
        <v>1</v>
      </c>
      <c r="X9" s="111">
        <v>1</v>
      </c>
      <c r="Y9" s="112">
        <v>1</v>
      </c>
      <c r="Z9" s="111">
        <v>1</v>
      </c>
      <c r="AA9" s="112">
        <v>1</v>
      </c>
      <c r="AB9" s="111">
        <v>1</v>
      </c>
      <c r="AC9" s="112">
        <v>1</v>
      </c>
      <c r="AD9" s="111">
        <v>1</v>
      </c>
      <c r="AE9" s="112">
        <v>1</v>
      </c>
      <c r="AF9" s="111">
        <v>1</v>
      </c>
      <c r="AG9" s="112">
        <v>1</v>
      </c>
      <c r="AH9" s="111">
        <v>1</v>
      </c>
      <c r="AI9" s="112">
        <v>1</v>
      </c>
      <c r="AJ9" s="111">
        <v>1</v>
      </c>
      <c r="AK9" s="112">
        <v>1</v>
      </c>
      <c r="AL9" s="111">
        <v>1</v>
      </c>
      <c r="AM9" s="112">
        <v>1</v>
      </c>
      <c r="AN9" s="111">
        <v>1</v>
      </c>
      <c r="AO9" s="112">
        <v>1</v>
      </c>
      <c r="AP9" s="111">
        <v>1</v>
      </c>
      <c r="AQ9" s="112">
        <v>1</v>
      </c>
      <c r="AR9" s="111">
        <v>1</v>
      </c>
      <c r="AS9" s="112">
        <v>1</v>
      </c>
      <c r="AT9" s="111">
        <v>1</v>
      </c>
      <c r="AU9" s="112">
        <v>1</v>
      </c>
      <c r="AV9" s="111">
        <v>1</v>
      </c>
      <c r="AW9" s="112">
        <v>1</v>
      </c>
    </row>
    <row r="10" spans="1:53" ht="13.9" thickBot="1">
      <c r="A10" s="140">
        <v>4</v>
      </c>
      <c r="B10" s="141" t="s">
        <v>829</v>
      </c>
      <c r="C10" s="173" t="s">
        <v>830</v>
      </c>
      <c r="D10" s="141" t="s">
        <v>825</v>
      </c>
      <c r="E10" s="142">
        <f t="shared" si="0"/>
        <v>9</v>
      </c>
      <c r="F10" s="143">
        <v>800000</v>
      </c>
      <c r="G10" s="143">
        <f t="shared" ref="G10:G56" si="1">E10*F10</f>
        <v>7200000</v>
      </c>
      <c r="H10" s="144"/>
      <c r="I10" s="145"/>
      <c r="J10" s="144"/>
      <c r="K10" s="145"/>
      <c r="L10" s="144"/>
      <c r="M10" s="145"/>
      <c r="N10" s="144"/>
      <c r="O10" s="145"/>
      <c r="P10" s="144"/>
      <c r="Q10" s="145"/>
      <c r="R10" s="144"/>
      <c r="S10" s="145"/>
      <c r="T10" s="144">
        <v>1</v>
      </c>
      <c r="U10" s="145">
        <v>1</v>
      </c>
      <c r="V10" s="144">
        <v>1</v>
      </c>
      <c r="W10" s="145">
        <v>1</v>
      </c>
      <c r="X10" s="144">
        <v>1</v>
      </c>
      <c r="Y10" s="145">
        <v>1</v>
      </c>
      <c r="Z10" s="144">
        <v>1</v>
      </c>
      <c r="AA10" s="145">
        <v>1</v>
      </c>
      <c r="AB10" s="144">
        <v>1</v>
      </c>
      <c r="AC10" s="145">
        <v>1</v>
      </c>
      <c r="AD10" s="144">
        <v>1</v>
      </c>
      <c r="AE10" s="145">
        <v>1</v>
      </c>
      <c r="AF10" s="144">
        <v>1</v>
      </c>
      <c r="AG10" s="145">
        <v>1</v>
      </c>
      <c r="AH10" s="144">
        <v>1</v>
      </c>
      <c r="AI10" s="145">
        <v>1</v>
      </c>
      <c r="AJ10" s="144">
        <v>1</v>
      </c>
      <c r="AK10" s="145">
        <v>1</v>
      </c>
      <c r="AL10" s="144"/>
      <c r="AM10" s="145"/>
      <c r="AN10" s="144"/>
      <c r="AO10" s="145"/>
      <c r="AP10" s="144"/>
      <c r="AQ10" s="145"/>
      <c r="AR10" s="144"/>
      <c r="AS10" s="145"/>
      <c r="AT10" s="144"/>
      <c r="AU10" s="146"/>
      <c r="AV10" s="147"/>
      <c r="AW10" s="146"/>
      <c r="BA10" s="102">
        <f>SUM(G11:G20)</f>
        <v>67200000</v>
      </c>
    </row>
    <row r="11" spans="1:53" ht="13.9" thickTop="1">
      <c r="A11" s="127">
        <v>5</v>
      </c>
      <c r="B11" s="129" t="s">
        <v>831</v>
      </c>
      <c r="C11" s="171" t="s">
        <v>832</v>
      </c>
      <c r="D11" s="129" t="s">
        <v>825</v>
      </c>
      <c r="E11" s="130">
        <f t="shared" si="0"/>
        <v>15</v>
      </c>
      <c r="F11" s="131">
        <v>800000</v>
      </c>
      <c r="G11" s="131">
        <f t="shared" si="1"/>
        <v>12000000</v>
      </c>
      <c r="H11" s="176"/>
      <c r="I11" s="177"/>
      <c r="J11" s="176"/>
      <c r="K11" s="177"/>
      <c r="L11" s="176"/>
      <c r="M11" s="177"/>
      <c r="N11" s="176"/>
      <c r="O11" s="177"/>
      <c r="P11" s="176"/>
      <c r="Q11" s="177"/>
      <c r="R11" s="176"/>
      <c r="S11" s="177"/>
      <c r="T11" s="159">
        <v>1</v>
      </c>
      <c r="U11" s="160">
        <v>1</v>
      </c>
      <c r="V11" s="159">
        <v>1</v>
      </c>
      <c r="W11" s="160">
        <v>1</v>
      </c>
      <c r="X11" s="159">
        <v>1</v>
      </c>
      <c r="Y11" s="161">
        <v>1</v>
      </c>
      <c r="Z11" s="191">
        <v>1</v>
      </c>
      <c r="AA11" s="161">
        <v>1</v>
      </c>
      <c r="AB11" s="191">
        <v>1</v>
      </c>
      <c r="AC11" s="161">
        <v>1</v>
      </c>
      <c r="AD11" s="191">
        <v>1</v>
      </c>
      <c r="AE11" s="161">
        <v>1</v>
      </c>
      <c r="AF11" s="162">
        <v>1</v>
      </c>
      <c r="AG11" s="163">
        <v>1</v>
      </c>
      <c r="AH11" s="162">
        <v>1</v>
      </c>
      <c r="AI11" s="163">
        <v>1</v>
      </c>
      <c r="AJ11" s="162">
        <v>1</v>
      </c>
      <c r="AK11" s="163">
        <v>1</v>
      </c>
      <c r="AL11" s="164">
        <v>1</v>
      </c>
      <c r="AM11" s="165">
        <v>1</v>
      </c>
      <c r="AN11" s="164">
        <v>1</v>
      </c>
      <c r="AO11" s="165">
        <v>1</v>
      </c>
      <c r="AP11" s="164">
        <v>1</v>
      </c>
      <c r="AQ11" s="165">
        <v>1</v>
      </c>
      <c r="AR11" s="192">
        <v>1</v>
      </c>
      <c r="AS11" s="193">
        <v>1</v>
      </c>
      <c r="AT11" s="192">
        <v>1</v>
      </c>
      <c r="AU11" s="194">
        <v>1</v>
      </c>
      <c r="AV11" s="195">
        <v>1</v>
      </c>
      <c r="AW11" s="194">
        <v>1</v>
      </c>
      <c r="BA11">
        <f>SUM(H11:AW20)/2</f>
        <v>84</v>
      </c>
    </row>
    <row r="12" spans="1:53">
      <c r="A12" s="104">
        <v>6</v>
      </c>
      <c r="B12" s="105" t="s">
        <v>831</v>
      </c>
      <c r="C12" s="172" t="s">
        <v>833</v>
      </c>
      <c r="D12" s="105" t="s">
        <v>825</v>
      </c>
      <c r="E12" s="107">
        <f t="shared" si="0"/>
        <v>15</v>
      </c>
      <c r="F12" s="108">
        <v>800000</v>
      </c>
      <c r="G12" s="108">
        <f t="shared" si="1"/>
        <v>12000000</v>
      </c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6">
        <v>1</v>
      </c>
      <c r="U12" s="115">
        <v>1</v>
      </c>
      <c r="V12" s="116">
        <v>1</v>
      </c>
      <c r="W12" s="115">
        <v>1</v>
      </c>
      <c r="X12" s="116">
        <v>1</v>
      </c>
      <c r="Y12" s="118">
        <v>1</v>
      </c>
      <c r="Z12" s="117">
        <v>1</v>
      </c>
      <c r="AA12" s="118">
        <v>1</v>
      </c>
      <c r="AB12" s="117">
        <v>1</v>
      </c>
      <c r="AC12" s="118">
        <v>1</v>
      </c>
      <c r="AD12" s="117">
        <v>1</v>
      </c>
      <c r="AE12" s="118">
        <v>1</v>
      </c>
      <c r="AF12" s="120">
        <v>1</v>
      </c>
      <c r="AG12" s="119">
        <v>1</v>
      </c>
      <c r="AH12" s="120">
        <v>1</v>
      </c>
      <c r="AI12" s="119">
        <v>1</v>
      </c>
      <c r="AJ12" s="120">
        <v>1</v>
      </c>
      <c r="AK12" s="119">
        <v>1</v>
      </c>
      <c r="AL12" s="122">
        <v>1</v>
      </c>
      <c r="AM12" s="121">
        <v>1</v>
      </c>
      <c r="AN12" s="122">
        <v>1</v>
      </c>
      <c r="AO12" s="121">
        <v>1</v>
      </c>
      <c r="AP12" s="122">
        <v>1</v>
      </c>
      <c r="AQ12" s="121">
        <v>1</v>
      </c>
      <c r="AR12" s="123">
        <v>1</v>
      </c>
      <c r="AS12" s="124">
        <v>1</v>
      </c>
      <c r="AT12" s="123">
        <v>1</v>
      </c>
      <c r="AU12" s="126">
        <v>1</v>
      </c>
      <c r="AV12" s="125">
        <v>1</v>
      </c>
      <c r="AW12" s="126">
        <v>1</v>
      </c>
      <c r="BA12" s="175">
        <f>BA10/BA11</f>
        <v>800000</v>
      </c>
    </row>
    <row r="13" spans="1:53">
      <c r="A13" s="104">
        <v>7</v>
      </c>
      <c r="B13" s="105"/>
      <c r="C13" s="172" t="s">
        <v>834</v>
      </c>
      <c r="D13" s="105" t="s">
        <v>825</v>
      </c>
      <c r="E13" s="107">
        <f t="shared" si="0"/>
        <v>15</v>
      </c>
      <c r="F13" s="108">
        <v>800000</v>
      </c>
      <c r="G13" s="108">
        <f t="shared" si="1"/>
        <v>12000000</v>
      </c>
      <c r="H13" s="111"/>
      <c r="I13" s="112"/>
      <c r="J13" s="111"/>
      <c r="K13" s="112"/>
      <c r="L13" s="111"/>
      <c r="M13" s="112"/>
      <c r="N13" s="111"/>
      <c r="O13" s="112"/>
      <c r="P13" s="111"/>
      <c r="Q13" s="112"/>
      <c r="R13" s="111"/>
      <c r="S13" s="112"/>
      <c r="T13" s="116">
        <v>1</v>
      </c>
      <c r="U13" s="115">
        <v>1</v>
      </c>
      <c r="V13" s="116">
        <v>1</v>
      </c>
      <c r="W13" s="115">
        <v>1</v>
      </c>
      <c r="X13" s="116">
        <v>1</v>
      </c>
      <c r="Y13" s="118">
        <v>1</v>
      </c>
      <c r="Z13" s="117">
        <v>1</v>
      </c>
      <c r="AA13" s="118">
        <v>1</v>
      </c>
      <c r="AB13" s="117">
        <v>1</v>
      </c>
      <c r="AC13" s="118">
        <v>1</v>
      </c>
      <c r="AD13" s="117">
        <v>1</v>
      </c>
      <c r="AE13" s="118">
        <v>1</v>
      </c>
      <c r="AF13" s="120">
        <v>1</v>
      </c>
      <c r="AG13" s="119">
        <v>1</v>
      </c>
      <c r="AH13" s="120">
        <v>1</v>
      </c>
      <c r="AI13" s="119">
        <v>1</v>
      </c>
      <c r="AJ13" s="120">
        <v>1</v>
      </c>
      <c r="AK13" s="119">
        <v>1</v>
      </c>
      <c r="AL13" s="122">
        <v>1</v>
      </c>
      <c r="AM13" s="121">
        <v>1</v>
      </c>
      <c r="AN13" s="122">
        <v>1</v>
      </c>
      <c r="AO13" s="121">
        <v>1</v>
      </c>
      <c r="AP13" s="122">
        <v>1</v>
      </c>
      <c r="AQ13" s="121">
        <v>1</v>
      </c>
      <c r="AR13" s="123">
        <v>1</v>
      </c>
      <c r="AS13" s="124">
        <v>1</v>
      </c>
      <c r="AT13" s="123">
        <v>1</v>
      </c>
      <c r="AU13" s="126">
        <v>1</v>
      </c>
      <c r="AV13" s="125">
        <v>1</v>
      </c>
      <c r="AW13" s="126">
        <v>1</v>
      </c>
    </row>
    <row r="14" spans="1:53">
      <c r="A14" s="104">
        <v>8</v>
      </c>
      <c r="B14" s="105"/>
      <c r="C14" s="172" t="s">
        <v>835</v>
      </c>
      <c r="D14" s="105" t="s">
        <v>825</v>
      </c>
      <c r="E14" s="107">
        <f t="shared" si="0"/>
        <v>15</v>
      </c>
      <c r="F14" s="108">
        <v>800000</v>
      </c>
      <c r="G14" s="108">
        <f t="shared" si="1"/>
        <v>12000000</v>
      </c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6">
        <v>1</v>
      </c>
      <c r="U14" s="115">
        <v>1</v>
      </c>
      <c r="V14" s="116">
        <v>1</v>
      </c>
      <c r="W14" s="115">
        <v>1</v>
      </c>
      <c r="X14" s="116">
        <v>1</v>
      </c>
      <c r="Y14" s="118">
        <v>1</v>
      </c>
      <c r="Z14" s="117">
        <v>1</v>
      </c>
      <c r="AA14" s="118">
        <v>1</v>
      </c>
      <c r="AB14" s="117">
        <v>1</v>
      </c>
      <c r="AC14" s="118">
        <v>1</v>
      </c>
      <c r="AD14" s="117">
        <v>1</v>
      </c>
      <c r="AE14" s="118">
        <v>1</v>
      </c>
      <c r="AF14" s="120">
        <v>1</v>
      </c>
      <c r="AG14" s="119">
        <v>1</v>
      </c>
      <c r="AH14" s="120">
        <v>1</v>
      </c>
      <c r="AI14" s="119">
        <v>1</v>
      </c>
      <c r="AJ14" s="120">
        <v>1</v>
      </c>
      <c r="AK14" s="119">
        <v>1</v>
      </c>
      <c r="AL14" s="122">
        <v>1</v>
      </c>
      <c r="AM14" s="121">
        <v>1</v>
      </c>
      <c r="AN14" s="122">
        <v>1</v>
      </c>
      <c r="AO14" s="121">
        <v>1</v>
      </c>
      <c r="AP14" s="122">
        <v>1</v>
      </c>
      <c r="AQ14" s="121">
        <v>1</v>
      </c>
      <c r="AR14" s="123">
        <v>1</v>
      </c>
      <c r="AS14" s="124">
        <v>1</v>
      </c>
      <c r="AT14" s="123">
        <v>1</v>
      </c>
      <c r="AU14" s="126">
        <v>1</v>
      </c>
      <c r="AV14" s="125">
        <v>1</v>
      </c>
      <c r="AW14" s="126">
        <v>1</v>
      </c>
    </row>
    <row r="15" spans="1:53">
      <c r="A15" s="104">
        <v>9</v>
      </c>
      <c r="B15" s="105"/>
      <c r="C15" s="172" t="s">
        <v>836</v>
      </c>
      <c r="D15" s="105" t="s">
        <v>825</v>
      </c>
      <c r="E15" s="107">
        <f t="shared" si="0"/>
        <v>15</v>
      </c>
      <c r="F15" s="108">
        <v>800000</v>
      </c>
      <c r="G15" s="108">
        <f t="shared" si="1"/>
        <v>12000000</v>
      </c>
      <c r="H15" s="111"/>
      <c r="I15" s="112"/>
      <c r="J15" s="111"/>
      <c r="K15" s="112"/>
      <c r="L15" s="111"/>
      <c r="M15" s="112"/>
      <c r="N15" s="111"/>
      <c r="O15" s="112"/>
      <c r="P15" s="111"/>
      <c r="Q15" s="112"/>
      <c r="R15" s="111"/>
      <c r="S15" s="112"/>
      <c r="T15" s="116">
        <v>1</v>
      </c>
      <c r="U15" s="115">
        <v>1</v>
      </c>
      <c r="V15" s="116">
        <v>1</v>
      </c>
      <c r="W15" s="115">
        <v>1</v>
      </c>
      <c r="X15" s="116">
        <v>1</v>
      </c>
      <c r="Y15" s="118">
        <v>1</v>
      </c>
      <c r="Z15" s="117">
        <v>1</v>
      </c>
      <c r="AA15" s="118">
        <v>1</v>
      </c>
      <c r="AB15" s="117">
        <v>1</v>
      </c>
      <c r="AC15" s="118">
        <v>1</v>
      </c>
      <c r="AD15" s="117">
        <v>1</v>
      </c>
      <c r="AE15" s="118">
        <v>1</v>
      </c>
      <c r="AF15" s="120">
        <v>1</v>
      </c>
      <c r="AG15" s="119">
        <v>1</v>
      </c>
      <c r="AH15" s="120">
        <v>1</v>
      </c>
      <c r="AI15" s="119">
        <v>1</v>
      </c>
      <c r="AJ15" s="120">
        <v>1</v>
      </c>
      <c r="AK15" s="119">
        <v>1</v>
      </c>
      <c r="AL15" s="122">
        <v>1</v>
      </c>
      <c r="AM15" s="121">
        <v>1</v>
      </c>
      <c r="AN15" s="122">
        <v>1</v>
      </c>
      <c r="AO15" s="121">
        <v>1</v>
      </c>
      <c r="AP15" s="122">
        <v>1</v>
      </c>
      <c r="AQ15" s="121">
        <v>1</v>
      </c>
      <c r="AR15" s="123">
        <v>1</v>
      </c>
      <c r="AS15" s="124">
        <v>1</v>
      </c>
      <c r="AT15" s="123">
        <v>1</v>
      </c>
      <c r="AU15" s="126">
        <v>1</v>
      </c>
      <c r="AV15" s="125">
        <v>1</v>
      </c>
      <c r="AW15" s="126">
        <v>1</v>
      </c>
    </row>
    <row r="16" spans="1:53">
      <c r="A16" s="104">
        <v>10</v>
      </c>
      <c r="B16" s="105"/>
      <c r="C16" s="172" t="s">
        <v>837</v>
      </c>
      <c r="D16" s="105" t="s">
        <v>825</v>
      </c>
      <c r="E16" s="107">
        <f t="shared" si="0"/>
        <v>6</v>
      </c>
      <c r="F16" s="108">
        <v>800000</v>
      </c>
      <c r="G16" s="108">
        <f t="shared" si="1"/>
        <v>4800000</v>
      </c>
      <c r="H16" s="111"/>
      <c r="I16" s="112"/>
      <c r="J16" s="111"/>
      <c r="K16" s="112"/>
      <c r="L16" s="111"/>
      <c r="M16" s="112"/>
      <c r="N16" s="111"/>
      <c r="O16" s="112"/>
      <c r="P16" s="111"/>
      <c r="Q16" s="112"/>
      <c r="R16" s="111"/>
      <c r="S16" s="112"/>
      <c r="T16" s="111"/>
      <c r="U16" s="112"/>
      <c r="V16" s="111"/>
      <c r="W16" s="112"/>
      <c r="X16" s="111"/>
      <c r="Y16" s="112"/>
      <c r="Z16" s="111"/>
      <c r="AA16" s="112"/>
      <c r="AB16" s="111"/>
      <c r="AC16" s="112"/>
      <c r="AD16" s="111"/>
      <c r="AE16" s="112"/>
      <c r="AF16" s="111"/>
      <c r="AG16" s="112"/>
      <c r="AH16" s="111"/>
      <c r="AI16" s="112"/>
      <c r="AJ16" s="111"/>
      <c r="AK16" s="112"/>
      <c r="AL16" s="122">
        <v>1</v>
      </c>
      <c r="AM16" s="121">
        <v>1</v>
      </c>
      <c r="AN16" s="122">
        <v>1</v>
      </c>
      <c r="AO16" s="121">
        <v>1</v>
      </c>
      <c r="AP16" s="122">
        <v>1</v>
      </c>
      <c r="AQ16" s="121">
        <v>1</v>
      </c>
      <c r="AR16" s="123">
        <v>1</v>
      </c>
      <c r="AS16" s="124">
        <v>1</v>
      </c>
      <c r="AT16" s="123">
        <v>1</v>
      </c>
      <c r="AU16" s="126">
        <v>1</v>
      </c>
      <c r="AV16" s="125">
        <v>1</v>
      </c>
      <c r="AW16" s="126">
        <v>1</v>
      </c>
    </row>
    <row r="17" spans="1:49">
      <c r="A17" s="104">
        <v>11</v>
      </c>
      <c r="B17" s="105"/>
      <c r="C17" s="172" t="s">
        <v>837</v>
      </c>
      <c r="D17" s="105" t="s">
        <v>825</v>
      </c>
      <c r="E17" s="107">
        <f t="shared" si="0"/>
        <v>3</v>
      </c>
      <c r="F17" s="108">
        <v>800000</v>
      </c>
      <c r="G17" s="108">
        <f t="shared" si="1"/>
        <v>2400000</v>
      </c>
      <c r="H17" s="111"/>
      <c r="I17" s="112"/>
      <c r="J17" s="111"/>
      <c r="K17" s="112"/>
      <c r="L17" s="111"/>
      <c r="M17" s="112"/>
      <c r="N17" s="111"/>
      <c r="O17" s="112"/>
      <c r="P17" s="111"/>
      <c r="Q17" s="112"/>
      <c r="R17" s="111"/>
      <c r="S17" s="112"/>
      <c r="T17" s="111"/>
      <c r="U17" s="112"/>
      <c r="V17" s="148"/>
      <c r="W17" s="112"/>
      <c r="X17" s="111"/>
      <c r="Y17" s="112"/>
      <c r="Z17" s="111"/>
      <c r="AA17" s="112"/>
      <c r="AB17" s="186"/>
      <c r="AC17" s="112"/>
      <c r="AD17" s="111"/>
      <c r="AE17" s="112"/>
      <c r="AF17" s="111"/>
      <c r="AG17" s="112"/>
      <c r="AH17" s="111"/>
      <c r="AI17" s="112"/>
      <c r="AJ17" s="111"/>
      <c r="AK17" s="112"/>
      <c r="AL17" s="122">
        <v>1</v>
      </c>
      <c r="AM17" s="121">
        <v>1</v>
      </c>
      <c r="AN17" s="122">
        <v>1</v>
      </c>
      <c r="AO17" s="121">
        <v>1</v>
      </c>
      <c r="AP17" s="122">
        <v>1</v>
      </c>
      <c r="AQ17" s="121">
        <v>1</v>
      </c>
      <c r="AR17" s="148"/>
      <c r="AS17" s="112"/>
      <c r="AT17" s="111"/>
      <c r="AU17" s="112"/>
      <c r="AV17" s="111"/>
      <c r="AW17" s="112"/>
    </row>
    <row r="18" spans="1:49">
      <c r="A18" s="104">
        <v>12</v>
      </c>
      <c r="B18" s="105"/>
      <c r="C18" s="172" t="s">
        <v>837</v>
      </c>
      <c r="D18" s="105" t="s">
        <v>825</v>
      </c>
      <c r="E18" s="107">
        <f t="shared" si="0"/>
        <v>0</v>
      </c>
      <c r="F18" s="108">
        <v>800000</v>
      </c>
      <c r="G18" s="108">
        <f t="shared" si="1"/>
        <v>0</v>
      </c>
      <c r="H18" s="111"/>
      <c r="I18" s="112"/>
      <c r="J18" s="111"/>
      <c r="K18" s="112"/>
      <c r="L18" s="111"/>
      <c r="M18" s="112"/>
      <c r="N18" s="111"/>
      <c r="O18" s="112"/>
      <c r="P18" s="111"/>
      <c r="Q18" s="112"/>
      <c r="R18" s="111"/>
      <c r="S18" s="112"/>
      <c r="T18" s="111"/>
      <c r="U18" s="112"/>
      <c r="V18" s="111"/>
      <c r="W18" s="112"/>
      <c r="X18" s="111"/>
      <c r="Y18" s="112"/>
      <c r="Z18" s="111"/>
      <c r="AA18" s="112"/>
      <c r="AB18" s="186"/>
      <c r="AC18" s="112"/>
      <c r="AD18" s="111"/>
      <c r="AE18" s="112"/>
      <c r="AF18" s="148"/>
      <c r="AG18" s="112"/>
      <c r="AH18" s="111"/>
      <c r="AI18" s="112"/>
      <c r="AJ18" s="188"/>
      <c r="AK18" s="187"/>
      <c r="AL18" s="148"/>
      <c r="AM18" s="112"/>
      <c r="AN18" s="111"/>
      <c r="AO18" s="112"/>
      <c r="AP18" s="188"/>
      <c r="AQ18" s="187"/>
      <c r="AR18" s="148"/>
      <c r="AS18" s="112"/>
      <c r="AT18" s="111"/>
      <c r="AU18" s="112"/>
      <c r="AV18" s="111"/>
      <c r="AW18" s="112"/>
    </row>
    <row r="19" spans="1:49">
      <c r="A19" s="104">
        <v>13</v>
      </c>
      <c r="B19" s="105"/>
      <c r="C19" s="172" t="s">
        <v>837</v>
      </c>
      <c r="D19" s="105" t="s">
        <v>825</v>
      </c>
      <c r="E19" s="107">
        <f t="shared" si="0"/>
        <v>0</v>
      </c>
      <c r="F19" s="108">
        <v>800000</v>
      </c>
      <c r="G19" s="108">
        <f t="shared" si="1"/>
        <v>0</v>
      </c>
      <c r="H19" s="111"/>
      <c r="I19" s="112"/>
      <c r="J19" s="111"/>
      <c r="K19" s="112"/>
      <c r="L19" s="111"/>
      <c r="M19" s="112"/>
      <c r="N19" s="111"/>
      <c r="O19" s="112"/>
      <c r="P19" s="111"/>
      <c r="Q19" s="112"/>
      <c r="R19" s="111"/>
      <c r="S19" s="112"/>
      <c r="T19" s="111"/>
      <c r="U19" s="112"/>
      <c r="V19" s="148"/>
      <c r="W19" s="112"/>
      <c r="X19" s="111"/>
      <c r="Y19" s="112"/>
      <c r="Z19" s="188"/>
      <c r="AA19" s="187"/>
      <c r="AB19" s="148"/>
      <c r="AC19" s="112"/>
      <c r="AD19" s="111"/>
      <c r="AE19" s="112"/>
      <c r="AF19" s="148"/>
      <c r="AG19" s="112"/>
      <c r="AH19" s="111"/>
      <c r="AI19" s="112"/>
      <c r="AJ19" s="188"/>
      <c r="AK19" s="187"/>
      <c r="AL19" s="148"/>
      <c r="AM19" s="112"/>
      <c r="AN19" s="111"/>
      <c r="AO19" s="112"/>
      <c r="AP19" s="188"/>
      <c r="AQ19" s="187"/>
      <c r="AR19" s="148"/>
      <c r="AS19" s="112"/>
      <c r="AT19" s="111"/>
      <c r="AU19" s="112"/>
      <c r="AV19" s="111"/>
      <c r="AW19" s="112"/>
    </row>
    <row r="20" spans="1:49">
      <c r="A20" s="127">
        <v>14</v>
      </c>
      <c r="B20" s="129"/>
      <c r="C20" s="172" t="s">
        <v>837</v>
      </c>
      <c r="D20" s="129" t="s">
        <v>825</v>
      </c>
      <c r="E20" s="130">
        <f t="shared" si="0"/>
        <v>0</v>
      </c>
      <c r="F20" s="131">
        <v>800000</v>
      </c>
      <c r="G20" s="131">
        <f t="shared" si="1"/>
        <v>0</v>
      </c>
      <c r="H20" s="111"/>
      <c r="I20" s="112"/>
      <c r="J20" s="111"/>
      <c r="K20" s="112"/>
      <c r="L20" s="111"/>
      <c r="M20" s="112"/>
      <c r="N20" s="111"/>
      <c r="O20" s="112"/>
      <c r="P20" s="111"/>
      <c r="Q20" s="112"/>
      <c r="R20" s="111"/>
      <c r="S20" s="112"/>
      <c r="T20" s="188"/>
      <c r="U20" s="187"/>
      <c r="V20" s="148"/>
      <c r="W20" s="112"/>
      <c r="X20" s="111"/>
      <c r="Y20" s="112"/>
      <c r="Z20" s="188"/>
      <c r="AA20" s="187"/>
      <c r="AB20" s="148"/>
      <c r="AC20" s="112"/>
      <c r="AD20" s="111"/>
      <c r="AE20" s="112"/>
      <c r="AF20" s="148"/>
      <c r="AG20" s="112"/>
      <c r="AH20" s="111"/>
      <c r="AI20" s="112"/>
      <c r="AJ20" s="188"/>
      <c r="AK20" s="187"/>
      <c r="AL20" s="148"/>
      <c r="AM20" s="112"/>
      <c r="AN20" s="111"/>
      <c r="AO20" s="112"/>
      <c r="AP20" s="188"/>
      <c r="AQ20" s="187"/>
      <c r="AR20" s="148"/>
      <c r="AS20" s="112"/>
      <c r="AT20" s="111"/>
      <c r="AU20" s="112"/>
      <c r="AV20" s="111"/>
      <c r="AW20" s="112"/>
    </row>
    <row r="21" spans="1:49">
      <c r="A21" s="104">
        <v>15</v>
      </c>
      <c r="B21" s="105"/>
      <c r="C21" s="172" t="s">
        <v>837</v>
      </c>
      <c r="D21" s="105" t="s">
        <v>825</v>
      </c>
      <c r="E21" s="107">
        <f t="shared" si="0"/>
        <v>0</v>
      </c>
      <c r="F21" s="108">
        <v>800000</v>
      </c>
      <c r="G21" s="108">
        <f t="shared" si="1"/>
        <v>0</v>
      </c>
      <c r="H21" s="111"/>
      <c r="I21" s="112"/>
      <c r="J21" s="111"/>
      <c r="K21" s="112"/>
      <c r="L21" s="111"/>
      <c r="M21" s="112"/>
      <c r="N21" s="111"/>
      <c r="O21" s="112"/>
      <c r="P21" s="111"/>
      <c r="Q21" s="112"/>
      <c r="R21" s="111"/>
      <c r="S21" s="112"/>
      <c r="T21" s="111"/>
      <c r="U21" s="112"/>
      <c r="V21" s="111"/>
      <c r="W21" s="112"/>
      <c r="X21" s="111"/>
      <c r="Y21" s="112"/>
      <c r="Z21" s="111"/>
      <c r="AA21" s="112"/>
      <c r="AB21" s="111"/>
      <c r="AC21" s="112"/>
      <c r="AD21" s="111"/>
      <c r="AE21" s="112"/>
      <c r="AF21" s="111"/>
      <c r="AG21" s="112"/>
      <c r="AH21" s="111"/>
      <c r="AI21" s="112"/>
      <c r="AJ21" s="111"/>
      <c r="AK21" s="112"/>
      <c r="AL21" s="111"/>
      <c r="AM21" s="112"/>
      <c r="AN21" s="111"/>
      <c r="AO21" s="112"/>
      <c r="AP21" s="111"/>
      <c r="AQ21" s="112"/>
      <c r="AR21" s="111"/>
      <c r="AS21" s="112"/>
      <c r="AT21" s="111"/>
      <c r="AU21" s="112"/>
      <c r="AV21" s="111"/>
      <c r="AW21" s="112"/>
    </row>
    <row r="22" spans="1:49">
      <c r="A22" s="104">
        <v>16</v>
      </c>
      <c r="B22" s="105"/>
      <c r="C22" s="172" t="s">
        <v>837</v>
      </c>
      <c r="D22" s="105" t="s">
        <v>825</v>
      </c>
      <c r="E22" s="107">
        <f t="shared" si="0"/>
        <v>0</v>
      </c>
      <c r="F22" s="108">
        <v>800000</v>
      </c>
      <c r="G22" s="108">
        <f t="shared" si="1"/>
        <v>0</v>
      </c>
      <c r="H22" s="111"/>
      <c r="I22" s="112"/>
      <c r="J22" s="111"/>
      <c r="K22" s="112"/>
      <c r="L22" s="111"/>
      <c r="M22" s="112"/>
      <c r="N22" s="111"/>
      <c r="O22" s="112"/>
      <c r="P22" s="111"/>
      <c r="Q22" s="112"/>
      <c r="R22" s="111"/>
      <c r="S22" s="112"/>
      <c r="T22" s="111"/>
      <c r="U22" s="112"/>
      <c r="V22" s="111"/>
      <c r="W22" s="112"/>
      <c r="X22" s="111"/>
      <c r="Y22" s="112"/>
      <c r="Z22" s="111"/>
      <c r="AA22" s="112"/>
      <c r="AB22" s="111"/>
      <c r="AC22" s="112"/>
      <c r="AD22" s="111"/>
      <c r="AE22" s="112"/>
      <c r="AF22" s="111"/>
      <c r="AG22" s="112"/>
      <c r="AH22" s="111"/>
      <c r="AI22" s="112"/>
      <c r="AJ22" s="111"/>
      <c r="AK22" s="112"/>
      <c r="AL22" s="111"/>
      <c r="AM22" s="112"/>
      <c r="AN22" s="111"/>
      <c r="AO22" s="112"/>
      <c r="AP22" s="111"/>
      <c r="AQ22" s="112"/>
      <c r="AR22" s="111"/>
      <c r="AS22" s="112"/>
      <c r="AT22" s="111"/>
      <c r="AU22" s="112"/>
      <c r="AV22" s="111"/>
      <c r="AW22" s="112"/>
    </row>
    <row r="23" spans="1:49">
      <c r="A23" s="104">
        <v>17</v>
      </c>
      <c r="B23" s="105"/>
      <c r="C23" s="172" t="s">
        <v>837</v>
      </c>
      <c r="D23" s="105" t="s">
        <v>825</v>
      </c>
      <c r="E23" s="107">
        <f t="shared" si="0"/>
        <v>0</v>
      </c>
      <c r="F23" s="108">
        <v>800000</v>
      </c>
      <c r="G23" s="108">
        <f t="shared" si="1"/>
        <v>0</v>
      </c>
      <c r="H23" s="111"/>
      <c r="I23" s="112"/>
      <c r="J23" s="111"/>
      <c r="K23" s="112"/>
      <c r="L23" s="111"/>
      <c r="M23" s="112"/>
      <c r="N23" s="111"/>
      <c r="O23" s="112"/>
      <c r="P23" s="111"/>
      <c r="Q23" s="112"/>
      <c r="R23" s="111"/>
      <c r="S23" s="112"/>
      <c r="T23" s="111"/>
      <c r="U23" s="112"/>
      <c r="V23" s="111"/>
      <c r="W23" s="112"/>
      <c r="X23" s="111"/>
      <c r="Y23" s="112"/>
      <c r="Z23" s="111"/>
      <c r="AA23" s="112"/>
      <c r="AB23" s="111"/>
      <c r="AC23" s="112"/>
      <c r="AD23" s="111"/>
      <c r="AE23" s="112"/>
      <c r="AF23" s="111"/>
      <c r="AG23" s="112"/>
      <c r="AH23" s="111"/>
      <c r="AI23" s="112"/>
      <c r="AJ23" s="111"/>
      <c r="AK23" s="112"/>
      <c r="AL23" s="111"/>
      <c r="AM23" s="112"/>
      <c r="AN23" s="111"/>
      <c r="AO23" s="112"/>
      <c r="AP23" s="111"/>
      <c r="AQ23" s="112"/>
      <c r="AR23" s="111"/>
      <c r="AS23" s="112"/>
      <c r="AT23" s="111"/>
      <c r="AU23" s="112"/>
      <c r="AV23" s="111"/>
      <c r="AW23" s="112"/>
    </row>
    <row r="24" spans="1:49">
      <c r="A24" s="104">
        <v>18</v>
      </c>
      <c r="B24" s="105"/>
      <c r="C24" s="172" t="s">
        <v>837</v>
      </c>
      <c r="D24" s="105" t="s">
        <v>825</v>
      </c>
      <c r="E24" s="107">
        <f t="shared" si="0"/>
        <v>0</v>
      </c>
      <c r="F24" s="108">
        <v>800000</v>
      </c>
      <c r="G24" s="108">
        <f t="shared" si="1"/>
        <v>0</v>
      </c>
      <c r="H24" s="111"/>
      <c r="I24" s="112"/>
      <c r="J24" s="111"/>
      <c r="K24" s="112"/>
      <c r="L24" s="111"/>
      <c r="M24" s="112"/>
      <c r="N24" s="111"/>
      <c r="O24" s="112"/>
      <c r="P24" s="111"/>
      <c r="Q24" s="112"/>
      <c r="R24" s="111"/>
      <c r="S24" s="112"/>
      <c r="T24" s="111"/>
      <c r="U24" s="112"/>
      <c r="V24" s="111"/>
      <c r="W24" s="112"/>
      <c r="X24" s="111"/>
      <c r="Y24" s="112"/>
      <c r="Z24" s="111"/>
      <c r="AA24" s="112"/>
      <c r="AB24" s="111"/>
      <c r="AC24" s="112"/>
      <c r="AD24" s="111"/>
      <c r="AE24" s="112"/>
      <c r="AF24" s="111"/>
      <c r="AG24" s="112"/>
      <c r="AH24" s="111"/>
      <c r="AI24" s="112"/>
      <c r="AJ24" s="111"/>
      <c r="AK24" s="112"/>
      <c r="AL24" s="111"/>
      <c r="AM24" s="112"/>
      <c r="AN24" s="111"/>
      <c r="AO24" s="112"/>
      <c r="AP24" s="111"/>
      <c r="AQ24" s="112"/>
      <c r="AR24" s="111"/>
      <c r="AS24" s="112"/>
      <c r="AT24" s="111"/>
      <c r="AU24" s="112"/>
      <c r="AV24" s="111"/>
      <c r="AW24" s="112"/>
    </row>
    <row r="25" spans="1:49">
      <c r="A25" s="104">
        <v>19</v>
      </c>
      <c r="B25" s="105"/>
      <c r="C25" s="172" t="s">
        <v>837</v>
      </c>
      <c r="D25" s="105" t="s">
        <v>825</v>
      </c>
      <c r="E25" s="107">
        <f t="shared" si="0"/>
        <v>0</v>
      </c>
      <c r="F25" s="108">
        <v>800000</v>
      </c>
      <c r="G25" s="108">
        <f t="shared" si="1"/>
        <v>0</v>
      </c>
      <c r="H25" s="111"/>
      <c r="I25" s="112"/>
      <c r="J25" s="111"/>
      <c r="K25" s="112"/>
      <c r="L25" s="111"/>
      <c r="M25" s="112"/>
      <c r="N25" s="111"/>
      <c r="O25" s="112"/>
      <c r="P25" s="111"/>
      <c r="Q25" s="112"/>
      <c r="R25" s="111"/>
      <c r="S25" s="112"/>
      <c r="T25" s="111"/>
      <c r="U25" s="112"/>
      <c r="V25" s="111"/>
      <c r="W25" s="112"/>
      <c r="X25" s="111"/>
      <c r="Y25" s="112"/>
      <c r="Z25" s="111"/>
      <c r="AA25" s="112"/>
      <c r="AB25" s="111"/>
      <c r="AC25" s="112"/>
      <c r="AD25" s="111"/>
      <c r="AE25" s="112"/>
      <c r="AF25" s="111"/>
      <c r="AG25" s="112"/>
      <c r="AH25" s="111"/>
      <c r="AI25" s="112"/>
      <c r="AJ25" s="111"/>
      <c r="AK25" s="112"/>
      <c r="AL25" s="111"/>
      <c r="AM25" s="112"/>
      <c r="AN25" s="111"/>
      <c r="AO25" s="112"/>
      <c r="AP25" s="111"/>
      <c r="AQ25" s="112"/>
      <c r="AR25" s="111"/>
      <c r="AS25" s="112"/>
      <c r="AT25" s="111"/>
      <c r="AU25" s="112"/>
      <c r="AV25" s="111"/>
      <c r="AW25" s="112"/>
    </row>
    <row r="26" spans="1:49">
      <c r="A26" s="104">
        <v>20</v>
      </c>
      <c r="B26" s="105"/>
      <c r="C26" s="172" t="s">
        <v>837</v>
      </c>
      <c r="D26" s="105" t="s">
        <v>825</v>
      </c>
      <c r="E26" s="107">
        <f t="shared" si="0"/>
        <v>0</v>
      </c>
      <c r="F26" s="108">
        <v>800000</v>
      </c>
      <c r="G26" s="108">
        <f t="shared" si="1"/>
        <v>0</v>
      </c>
      <c r="H26" s="111"/>
      <c r="I26" s="112"/>
      <c r="J26" s="111"/>
      <c r="K26" s="112"/>
      <c r="L26" s="111"/>
      <c r="M26" s="112"/>
      <c r="N26" s="111"/>
      <c r="O26" s="112"/>
      <c r="P26" s="111"/>
      <c r="Q26" s="112"/>
      <c r="R26" s="111"/>
      <c r="S26" s="112"/>
      <c r="T26" s="111"/>
      <c r="U26" s="112"/>
      <c r="V26" s="111"/>
      <c r="W26" s="112"/>
      <c r="X26" s="111"/>
      <c r="Y26" s="112"/>
      <c r="Z26" s="111"/>
      <c r="AA26" s="112"/>
      <c r="AB26" s="111"/>
      <c r="AC26" s="112"/>
      <c r="AD26" s="111"/>
      <c r="AE26" s="112"/>
      <c r="AF26" s="111"/>
      <c r="AG26" s="112"/>
      <c r="AH26" s="111"/>
      <c r="AI26" s="112"/>
      <c r="AJ26" s="111"/>
      <c r="AK26" s="112"/>
      <c r="AL26" s="111"/>
      <c r="AM26" s="112"/>
      <c r="AN26" s="111"/>
      <c r="AO26" s="112"/>
      <c r="AP26" s="111"/>
      <c r="AQ26" s="112"/>
      <c r="AR26" s="111"/>
      <c r="AS26" s="112"/>
      <c r="AT26" s="111"/>
      <c r="AU26" s="112"/>
      <c r="AV26" s="111"/>
      <c r="AW26" s="112"/>
    </row>
    <row r="27" spans="1:49">
      <c r="A27" s="104">
        <v>21</v>
      </c>
      <c r="B27" s="105"/>
      <c r="C27" s="172" t="s">
        <v>837</v>
      </c>
      <c r="D27" s="105" t="s">
        <v>825</v>
      </c>
      <c r="E27" s="107">
        <f t="shared" si="0"/>
        <v>0</v>
      </c>
      <c r="F27" s="108">
        <v>800000</v>
      </c>
      <c r="G27" s="108">
        <f t="shared" si="1"/>
        <v>0</v>
      </c>
      <c r="H27" s="111"/>
      <c r="I27" s="112"/>
      <c r="J27" s="111"/>
      <c r="K27" s="112"/>
      <c r="L27" s="111"/>
      <c r="M27" s="112"/>
      <c r="N27" s="111"/>
      <c r="O27" s="112"/>
      <c r="P27" s="111"/>
      <c r="Q27" s="112"/>
      <c r="R27" s="111"/>
      <c r="S27" s="112"/>
      <c r="T27" s="111"/>
      <c r="U27" s="112"/>
      <c r="V27" s="111"/>
      <c r="W27" s="112"/>
      <c r="X27" s="111"/>
      <c r="Y27" s="112"/>
      <c r="Z27" s="111"/>
      <c r="AA27" s="112"/>
      <c r="AB27" s="111"/>
      <c r="AC27" s="112"/>
      <c r="AD27" s="111"/>
      <c r="AE27" s="112"/>
      <c r="AF27" s="111"/>
      <c r="AG27" s="112"/>
      <c r="AH27" s="111"/>
      <c r="AI27" s="112"/>
      <c r="AJ27" s="111"/>
      <c r="AK27" s="112"/>
      <c r="AL27" s="111"/>
      <c r="AM27" s="112"/>
      <c r="AN27" s="111"/>
      <c r="AO27" s="112"/>
      <c r="AP27" s="111"/>
      <c r="AQ27" s="112"/>
      <c r="AR27" s="111"/>
      <c r="AS27" s="112"/>
      <c r="AT27" s="111"/>
      <c r="AU27" s="112"/>
      <c r="AV27" s="111"/>
      <c r="AW27" s="112"/>
    </row>
    <row r="28" spans="1:49" ht="13.9" thickBot="1">
      <c r="A28" s="140">
        <v>22</v>
      </c>
      <c r="B28" s="141"/>
      <c r="C28" s="173" t="s">
        <v>838</v>
      </c>
      <c r="D28" s="141" t="s">
        <v>825</v>
      </c>
      <c r="E28" s="142">
        <f t="shared" si="0"/>
        <v>5</v>
      </c>
      <c r="F28" s="143">
        <v>800000</v>
      </c>
      <c r="G28" s="143">
        <f t="shared" si="1"/>
        <v>4000000</v>
      </c>
      <c r="H28" s="144"/>
      <c r="I28" s="145"/>
      <c r="J28" s="144"/>
      <c r="K28" s="145"/>
      <c r="L28" s="144"/>
      <c r="M28" s="145"/>
      <c r="N28" s="144"/>
      <c r="O28" s="145"/>
      <c r="P28" s="144"/>
      <c r="Q28" s="145"/>
      <c r="R28" s="144"/>
      <c r="S28" s="145"/>
      <c r="T28" s="144"/>
      <c r="U28" s="145"/>
      <c r="V28" s="144"/>
      <c r="W28" s="145"/>
      <c r="X28" s="144"/>
      <c r="Y28" s="145"/>
      <c r="Z28" s="144"/>
      <c r="AA28" s="145"/>
      <c r="AB28" s="189">
        <v>0.5</v>
      </c>
      <c r="AC28" s="190">
        <v>0.5</v>
      </c>
      <c r="AD28" s="189">
        <v>0.5</v>
      </c>
      <c r="AE28" s="190">
        <v>0.5</v>
      </c>
      <c r="AF28" s="189">
        <v>0.5</v>
      </c>
      <c r="AG28" s="190">
        <v>0.5</v>
      </c>
      <c r="AH28" s="189">
        <v>0.5</v>
      </c>
      <c r="AI28" s="190">
        <v>0.5</v>
      </c>
      <c r="AJ28" s="189">
        <v>0.5</v>
      </c>
      <c r="AK28" s="190">
        <v>0.5</v>
      </c>
      <c r="AL28" s="189">
        <v>0.5</v>
      </c>
      <c r="AM28" s="190">
        <v>0.5</v>
      </c>
      <c r="AN28" s="189">
        <v>0.5</v>
      </c>
      <c r="AO28" s="190">
        <v>0.5</v>
      </c>
      <c r="AP28" s="189">
        <v>0.5</v>
      </c>
      <c r="AQ28" s="190">
        <v>0.5</v>
      </c>
      <c r="AR28" s="189">
        <v>0.5</v>
      </c>
      <c r="AS28" s="190">
        <v>0.5</v>
      </c>
      <c r="AT28" s="189">
        <v>0.5</v>
      </c>
      <c r="AU28" s="196">
        <v>0.5</v>
      </c>
      <c r="AV28" s="144"/>
      <c r="AW28" s="145"/>
    </row>
    <row r="29" spans="1:49" ht="13.9" thickTop="1">
      <c r="A29" s="127">
        <v>23</v>
      </c>
      <c r="B29" s="129"/>
      <c r="C29" s="171" t="s">
        <v>839</v>
      </c>
      <c r="D29" s="129" t="s">
        <v>840</v>
      </c>
      <c r="E29" s="130">
        <f t="shared" si="0"/>
        <v>9</v>
      </c>
      <c r="F29" s="131">
        <f>'要員計画(オフショア利用)　原価'!F29+$F$2</f>
        <v>350000</v>
      </c>
      <c r="G29" s="131">
        <f t="shared" si="1"/>
        <v>3150000</v>
      </c>
      <c r="H29" s="139"/>
      <c r="I29" s="138"/>
      <c r="J29" s="139"/>
      <c r="K29" s="138"/>
      <c r="L29" s="148"/>
      <c r="M29" s="149"/>
      <c r="N29" s="148"/>
      <c r="O29" s="149"/>
      <c r="P29" s="148"/>
      <c r="Q29" s="149"/>
      <c r="R29" s="148"/>
      <c r="S29" s="149"/>
      <c r="T29" s="133">
        <v>1</v>
      </c>
      <c r="U29" s="132">
        <v>1</v>
      </c>
      <c r="V29" s="133">
        <v>1</v>
      </c>
      <c r="W29" s="132">
        <v>1</v>
      </c>
      <c r="X29" s="133">
        <v>1</v>
      </c>
      <c r="Y29" s="135">
        <v>1</v>
      </c>
      <c r="Z29" s="134">
        <v>1</v>
      </c>
      <c r="AA29" s="135">
        <v>1</v>
      </c>
      <c r="AB29" s="134">
        <v>1</v>
      </c>
      <c r="AC29" s="135">
        <v>1</v>
      </c>
      <c r="AD29" s="134">
        <v>1</v>
      </c>
      <c r="AE29" s="135">
        <v>1</v>
      </c>
      <c r="AF29" s="137">
        <v>1</v>
      </c>
      <c r="AG29" s="136">
        <v>1</v>
      </c>
      <c r="AH29" s="137">
        <v>1</v>
      </c>
      <c r="AI29" s="136">
        <v>1</v>
      </c>
      <c r="AJ29" s="137">
        <v>1</v>
      </c>
      <c r="AK29" s="136">
        <v>1</v>
      </c>
      <c r="AL29" s="176"/>
      <c r="AM29" s="177"/>
      <c r="AN29" s="176"/>
      <c r="AO29" s="177"/>
      <c r="AP29" s="176"/>
      <c r="AQ29" s="177"/>
      <c r="AR29" s="148"/>
      <c r="AS29" s="149"/>
      <c r="AT29" s="148"/>
      <c r="AU29" s="149"/>
      <c r="AV29" s="148"/>
      <c r="AW29" s="149"/>
    </row>
    <row r="30" spans="1:49">
      <c r="A30" s="104">
        <v>24</v>
      </c>
      <c r="B30" s="105"/>
      <c r="C30" s="172" t="s">
        <v>841</v>
      </c>
      <c r="D30" s="105" t="s">
        <v>840</v>
      </c>
      <c r="E30" s="107">
        <f t="shared" si="0"/>
        <v>9</v>
      </c>
      <c r="F30" s="108">
        <f>'要員計画(オフショア利用)　原価'!F30+$F$2</f>
        <v>350000</v>
      </c>
      <c r="G30" s="108">
        <f t="shared" si="1"/>
        <v>3150000</v>
      </c>
      <c r="H30" s="113"/>
      <c r="I30" s="114"/>
      <c r="J30" s="113"/>
      <c r="K30" s="114"/>
      <c r="L30" s="111"/>
      <c r="M30" s="112"/>
      <c r="N30" s="111"/>
      <c r="O30" s="112"/>
      <c r="P30" s="111"/>
      <c r="Q30" s="112"/>
      <c r="R30" s="111"/>
      <c r="S30" s="112"/>
      <c r="T30" s="116">
        <v>1</v>
      </c>
      <c r="U30" s="115">
        <v>1</v>
      </c>
      <c r="V30" s="116">
        <v>1</v>
      </c>
      <c r="W30" s="115">
        <v>1</v>
      </c>
      <c r="X30" s="133">
        <v>1</v>
      </c>
      <c r="Y30" s="118">
        <v>1</v>
      </c>
      <c r="Z30" s="117">
        <v>1</v>
      </c>
      <c r="AA30" s="118">
        <v>1</v>
      </c>
      <c r="AB30" s="117">
        <v>1</v>
      </c>
      <c r="AC30" s="118">
        <v>1</v>
      </c>
      <c r="AD30" s="117">
        <v>1</v>
      </c>
      <c r="AE30" s="118">
        <v>1</v>
      </c>
      <c r="AF30" s="120">
        <v>1</v>
      </c>
      <c r="AG30" s="119">
        <v>1</v>
      </c>
      <c r="AH30" s="120">
        <v>1</v>
      </c>
      <c r="AI30" s="119">
        <v>1</v>
      </c>
      <c r="AJ30" s="120">
        <v>1</v>
      </c>
      <c r="AK30" s="119">
        <v>1</v>
      </c>
      <c r="AL30" s="111"/>
      <c r="AM30" s="112"/>
      <c r="AN30" s="111"/>
      <c r="AO30" s="112"/>
      <c r="AP30" s="111"/>
      <c r="AQ30" s="112"/>
      <c r="AR30" s="111"/>
      <c r="AS30" s="112"/>
      <c r="AT30" s="111"/>
      <c r="AU30" s="112"/>
      <c r="AV30" s="111"/>
      <c r="AW30" s="112"/>
    </row>
    <row r="31" spans="1:49" ht="13.9" thickBot="1">
      <c r="A31" s="140">
        <v>25</v>
      </c>
      <c r="B31" s="141"/>
      <c r="C31" s="173" t="s">
        <v>842</v>
      </c>
      <c r="D31" s="141" t="s">
        <v>840</v>
      </c>
      <c r="E31" s="142">
        <f t="shared" si="0"/>
        <v>9</v>
      </c>
      <c r="F31" s="143">
        <f>'要員計画(オフショア利用)　原価'!F31+$F$2</f>
        <v>350000</v>
      </c>
      <c r="G31" s="143">
        <f t="shared" si="1"/>
        <v>3150000</v>
      </c>
      <c r="H31" s="147"/>
      <c r="I31" s="146"/>
      <c r="J31" s="147"/>
      <c r="K31" s="146"/>
      <c r="L31" s="144"/>
      <c r="M31" s="145"/>
      <c r="N31" s="144"/>
      <c r="O31" s="145"/>
      <c r="P31" s="144"/>
      <c r="Q31" s="145"/>
      <c r="R31" s="144"/>
      <c r="S31" s="145"/>
      <c r="T31" s="178">
        <v>1</v>
      </c>
      <c r="U31" s="179">
        <v>1</v>
      </c>
      <c r="V31" s="178">
        <v>1</v>
      </c>
      <c r="W31" s="179">
        <v>1</v>
      </c>
      <c r="X31" s="178">
        <v>1</v>
      </c>
      <c r="Y31" s="181">
        <v>1</v>
      </c>
      <c r="Z31" s="180">
        <v>1</v>
      </c>
      <c r="AA31" s="181">
        <v>1</v>
      </c>
      <c r="AB31" s="180">
        <v>1</v>
      </c>
      <c r="AC31" s="181">
        <v>1</v>
      </c>
      <c r="AD31" s="180">
        <v>1</v>
      </c>
      <c r="AE31" s="181">
        <v>1</v>
      </c>
      <c r="AF31" s="182">
        <v>1</v>
      </c>
      <c r="AG31" s="183">
        <v>1</v>
      </c>
      <c r="AH31" s="182">
        <v>1</v>
      </c>
      <c r="AI31" s="183">
        <v>1</v>
      </c>
      <c r="AJ31" s="182">
        <v>1</v>
      </c>
      <c r="AK31" s="183">
        <v>1</v>
      </c>
      <c r="AL31" s="144"/>
      <c r="AM31" s="145"/>
      <c r="AN31" s="144"/>
      <c r="AO31" s="145"/>
      <c r="AP31" s="144"/>
      <c r="AQ31" s="145"/>
      <c r="AR31" s="144"/>
      <c r="AS31" s="145"/>
      <c r="AT31" s="144"/>
      <c r="AU31" s="145"/>
      <c r="AV31" s="144"/>
      <c r="AW31" s="145"/>
    </row>
    <row r="32" spans="1:49" ht="13.9" thickTop="1">
      <c r="A32" s="127">
        <v>27</v>
      </c>
      <c r="B32" s="129"/>
      <c r="C32" s="171" t="s">
        <v>837</v>
      </c>
      <c r="D32" s="129" t="s">
        <v>843</v>
      </c>
      <c r="E32" s="130">
        <f t="shared" ref="E32" si="2">SUM(H32:AW32)/2</f>
        <v>9</v>
      </c>
      <c r="F32" s="131">
        <f>'要員計画(オフショア利用)　原価'!F32+$F$2</f>
        <v>300000</v>
      </c>
      <c r="G32" s="131">
        <f t="shared" ref="G32" si="3">E32*F32</f>
        <v>2700000</v>
      </c>
      <c r="H32" s="139"/>
      <c r="I32" s="138"/>
      <c r="J32" s="139"/>
      <c r="K32" s="138"/>
      <c r="L32" s="148"/>
      <c r="M32" s="149"/>
      <c r="N32" s="148"/>
      <c r="O32" s="149"/>
      <c r="P32" s="148"/>
      <c r="Q32" s="149"/>
      <c r="R32" s="148"/>
      <c r="S32" s="149"/>
      <c r="T32" s="133">
        <v>1</v>
      </c>
      <c r="U32" s="132">
        <v>1</v>
      </c>
      <c r="V32" s="133">
        <v>1</v>
      </c>
      <c r="W32" s="132">
        <v>1</v>
      </c>
      <c r="X32" s="159">
        <v>1</v>
      </c>
      <c r="Y32" s="135">
        <v>1</v>
      </c>
      <c r="Z32" s="134">
        <v>1</v>
      </c>
      <c r="AA32" s="135">
        <v>1</v>
      </c>
      <c r="AB32" s="134">
        <v>1</v>
      </c>
      <c r="AC32" s="135">
        <v>1</v>
      </c>
      <c r="AD32" s="134">
        <v>1</v>
      </c>
      <c r="AE32" s="135">
        <v>1</v>
      </c>
      <c r="AF32" s="137">
        <v>1</v>
      </c>
      <c r="AG32" s="136">
        <v>1</v>
      </c>
      <c r="AH32" s="137">
        <v>1</v>
      </c>
      <c r="AI32" s="136">
        <v>1</v>
      </c>
      <c r="AJ32" s="137">
        <v>1</v>
      </c>
      <c r="AK32" s="136">
        <v>1</v>
      </c>
      <c r="AL32" s="148"/>
      <c r="AM32" s="149"/>
      <c r="AN32" s="148"/>
      <c r="AO32" s="149"/>
      <c r="AP32" s="148"/>
      <c r="AQ32" s="149"/>
      <c r="AR32" s="148"/>
      <c r="AS32" s="149"/>
      <c r="AT32" s="148"/>
      <c r="AU32" s="149"/>
      <c r="AV32" s="148"/>
      <c r="AW32" s="149"/>
    </row>
    <row r="33" spans="1:49">
      <c r="A33" s="104">
        <v>27</v>
      </c>
      <c r="B33" s="105"/>
      <c r="C33" s="172" t="s">
        <v>837</v>
      </c>
      <c r="D33" s="105" t="s">
        <v>840</v>
      </c>
      <c r="E33" s="107">
        <f t="shared" si="0"/>
        <v>9</v>
      </c>
      <c r="F33" s="108">
        <f>'要員計画(オフショア利用)　原価'!F33+$F$2</f>
        <v>300000</v>
      </c>
      <c r="G33" s="108">
        <f t="shared" si="1"/>
        <v>2700000</v>
      </c>
      <c r="H33" s="113"/>
      <c r="I33" s="114"/>
      <c r="J33" s="113"/>
      <c r="K33" s="114"/>
      <c r="L33" s="111"/>
      <c r="M33" s="112"/>
      <c r="N33" s="111"/>
      <c r="O33" s="112"/>
      <c r="P33" s="111"/>
      <c r="Q33" s="112"/>
      <c r="R33" s="111"/>
      <c r="S33" s="112"/>
      <c r="T33" s="116">
        <v>1</v>
      </c>
      <c r="U33" s="115">
        <v>1</v>
      </c>
      <c r="V33" s="133">
        <v>1</v>
      </c>
      <c r="W33" s="132">
        <v>1</v>
      </c>
      <c r="X33" s="133">
        <v>1</v>
      </c>
      <c r="Y33" s="118">
        <v>1</v>
      </c>
      <c r="Z33" s="117">
        <v>1</v>
      </c>
      <c r="AA33" s="118">
        <v>1</v>
      </c>
      <c r="AB33" s="117">
        <v>1</v>
      </c>
      <c r="AC33" s="118">
        <v>1</v>
      </c>
      <c r="AD33" s="117">
        <v>1</v>
      </c>
      <c r="AE33" s="118">
        <v>1</v>
      </c>
      <c r="AF33" s="120">
        <v>1</v>
      </c>
      <c r="AG33" s="119">
        <v>1</v>
      </c>
      <c r="AH33" s="120">
        <v>1</v>
      </c>
      <c r="AI33" s="119">
        <v>1</v>
      </c>
      <c r="AJ33" s="120">
        <v>1</v>
      </c>
      <c r="AK33" s="119">
        <v>1</v>
      </c>
      <c r="AL33" s="111"/>
      <c r="AM33" s="112"/>
      <c r="AN33" s="111"/>
      <c r="AO33" s="112"/>
      <c r="AP33" s="111"/>
      <c r="AQ33" s="112"/>
      <c r="AR33" s="111"/>
      <c r="AS33" s="112"/>
      <c r="AT33" s="111"/>
      <c r="AU33" s="112"/>
      <c r="AV33" s="111"/>
      <c r="AW33" s="112"/>
    </row>
    <row r="34" spans="1:49">
      <c r="A34" s="104">
        <v>28</v>
      </c>
      <c r="B34" s="105"/>
      <c r="C34" s="172" t="s">
        <v>837</v>
      </c>
      <c r="D34" s="105" t="s">
        <v>840</v>
      </c>
      <c r="E34" s="107">
        <f t="shared" si="0"/>
        <v>7</v>
      </c>
      <c r="F34" s="108">
        <f>'要員計画(オフショア利用)　原価'!F34+$F$2</f>
        <v>300000</v>
      </c>
      <c r="G34" s="108">
        <f t="shared" si="1"/>
        <v>2100000</v>
      </c>
      <c r="H34" s="113"/>
      <c r="I34" s="114"/>
      <c r="J34" s="113"/>
      <c r="K34" s="114"/>
      <c r="L34" s="111"/>
      <c r="M34" s="112"/>
      <c r="N34" s="111"/>
      <c r="O34" s="112"/>
      <c r="P34" s="111"/>
      <c r="Q34" s="112"/>
      <c r="R34" s="111"/>
      <c r="S34" s="112"/>
      <c r="T34" s="111"/>
      <c r="U34" s="112"/>
      <c r="V34" s="111"/>
      <c r="W34" s="112"/>
      <c r="X34" s="133">
        <v>1</v>
      </c>
      <c r="Y34" s="118">
        <v>1</v>
      </c>
      <c r="Z34" s="117">
        <v>1</v>
      </c>
      <c r="AA34" s="118">
        <v>1</v>
      </c>
      <c r="AB34" s="117">
        <v>1</v>
      </c>
      <c r="AC34" s="118">
        <v>1</v>
      </c>
      <c r="AD34" s="117">
        <v>1</v>
      </c>
      <c r="AE34" s="118">
        <v>1</v>
      </c>
      <c r="AF34" s="120">
        <v>1</v>
      </c>
      <c r="AG34" s="119">
        <v>1</v>
      </c>
      <c r="AH34" s="120">
        <v>1</v>
      </c>
      <c r="AI34" s="119">
        <v>1</v>
      </c>
      <c r="AJ34" s="120">
        <v>1</v>
      </c>
      <c r="AK34" s="119">
        <v>1</v>
      </c>
      <c r="AL34" s="111"/>
      <c r="AM34" s="112"/>
      <c r="AN34" s="111"/>
      <c r="AO34" s="112"/>
      <c r="AP34" s="111"/>
      <c r="AQ34" s="112"/>
      <c r="AR34" s="111"/>
      <c r="AS34" s="112"/>
      <c r="AT34" s="111"/>
      <c r="AU34" s="112"/>
      <c r="AV34" s="111"/>
      <c r="AW34" s="112"/>
    </row>
    <row r="35" spans="1:49">
      <c r="A35" s="104">
        <v>29</v>
      </c>
      <c r="B35" s="105"/>
      <c r="C35" s="172" t="s">
        <v>837</v>
      </c>
      <c r="D35" s="105" t="s">
        <v>840</v>
      </c>
      <c r="E35" s="107">
        <f t="shared" si="0"/>
        <v>4</v>
      </c>
      <c r="F35" s="108">
        <f>'要員計画(オフショア利用)　原価'!F35+$F$2</f>
        <v>300000</v>
      </c>
      <c r="G35" s="108">
        <f t="shared" si="1"/>
        <v>1200000</v>
      </c>
      <c r="H35" s="113"/>
      <c r="I35" s="114"/>
      <c r="J35" s="113"/>
      <c r="K35" s="114"/>
      <c r="L35" s="111"/>
      <c r="M35" s="112"/>
      <c r="N35" s="111"/>
      <c r="O35" s="112"/>
      <c r="P35" s="111"/>
      <c r="Q35" s="112"/>
      <c r="R35" s="111"/>
      <c r="S35" s="112"/>
      <c r="T35" s="148"/>
      <c r="U35" s="149"/>
      <c r="V35" s="111"/>
      <c r="W35" s="112"/>
      <c r="X35" s="133">
        <v>1</v>
      </c>
      <c r="Y35" s="118">
        <v>1</v>
      </c>
      <c r="Z35" s="117">
        <v>1</v>
      </c>
      <c r="AA35" s="118">
        <v>1</v>
      </c>
      <c r="AB35" s="117">
        <v>1</v>
      </c>
      <c r="AC35" s="118">
        <v>1</v>
      </c>
      <c r="AD35" s="117">
        <v>1</v>
      </c>
      <c r="AE35" s="118">
        <v>1</v>
      </c>
      <c r="AF35" s="111"/>
      <c r="AG35" s="112"/>
      <c r="AH35" s="111"/>
      <c r="AI35" s="112"/>
      <c r="AJ35" s="111"/>
      <c r="AK35" s="112"/>
      <c r="AL35" s="113"/>
      <c r="AM35" s="114"/>
      <c r="AN35" s="113"/>
      <c r="AO35" s="114"/>
      <c r="AP35" s="113"/>
      <c r="AQ35" s="114"/>
      <c r="AR35" s="111"/>
      <c r="AS35" s="112"/>
      <c r="AT35" s="111"/>
      <c r="AU35" s="112"/>
      <c r="AV35" s="111"/>
      <c r="AW35" s="112"/>
    </row>
    <row r="36" spans="1:49">
      <c r="A36" s="104">
        <v>30</v>
      </c>
      <c r="B36" s="105"/>
      <c r="C36" s="172" t="s">
        <v>837</v>
      </c>
      <c r="D36" s="105" t="s">
        <v>840</v>
      </c>
      <c r="E36" s="107">
        <f t="shared" si="0"/>
        <v>4</v>
      </c>
      <c r="F36" s="108">
        <f>'要員計画(オフショア利用)　原価'!F36+$F$2</f>
        <v>300000</v>
      </c>
      <c r="G36" s="108">
        <f t="shared" si="1"/>
        <v>1200000</v>
      </c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33">
        <v>1</v>
      </c>
      <c r="Y36" s="118">
        <v>1</v>
      </c>
      <c r="Z36" s="117">
        <v>1</v>
      </c>
      <c r="AA36" s="118">
        <v>1</v>
      </c>
      <c r="AB36" s="117">
        <v>1</v>
      </c>
      <c r="AC36" s="118">
        <v>1</v>
      </c>
      <c r="AD36" s="117">
        <v>1</v>
      </c>
      <c r="AE36" s="118">
        <v>1</v>
      </c>
      <c r="AF36" s="148"/>
      <c r="AG36" s="149"/>
      <c r="AH36" s="111"/>
      <c r="AI36" s="112"/>
      <c r="AJ36" s="111"/>
      <c r="AK36" s="112"/>
      <c r="AL36" s="111"/>
      <c r="AM36" s="112"/>
      <c r="AN36" s="111"/>
      <c r="AO36" s="112"/>
      <c r="AP36" s="111"/>
      <c r="AQ36" s="112"/>
      <c r="AR36" s="111"/>
      <c r="AS36" s="112"/>
      <c r="AT36" s="111"/>
      <c r="AU36" s="112"/>
      <c r="AV36" s="111"/>
      <c r="AW36" s="112"/>
    </row>
    <row r="37" spans="1:49">
      <c r="A37" s="104">
        <v>31</v>
      </c>
      <c r="B37" s="105"/>
      <c r="C37" s="172" t="s">
        <v>837</v>
      </c>
      <c r="D37" s="105" t="s">
        <v>840</v>
      </c>
      <c r="E37" s="107">
        <f t="shared" ref="E37:E56" si="4">SUM(H37:AW37)/2</f>
        <v>4</v>
      </c>
      <c r="F37" s="108">
        <f>'要員計画(オフショア利用)　原価'!F37+$F$2</f>
        <v>300000</v>
      </c>
      <c r="G37" s="108">
        <f t="shared" si="1"/>
        <v>1200000</v>
      </c>
      <c r="H37" s="111"/>
      <c r="I37" s="112"/>
      <c r="J37" s="111"/>
      <c r="K37" s="112"/>
      <c r="L37" s="111"/>
      <c r="M37" s="112"/>
      <c r="N37" s="111"/>
      <c r="O37" s="112"/>
      <c r="P37" s="111"/>
      <c r="Q37" s="112"/>
      <c r="R37" s="111"/>
      <c r="S37" s="112"/>
      <c r="T37" s="113"/>
      <c r="U37" s="114"/>
      <c r="V37" s="113"/>
      <c r="W37" s="114"/>
      <c r="X37" s="133">
        <v>1</v>
      </c>
      <c r="Y37" s="118">
        <v>1</v>
      </c>
      <c r="Z37" s="117">
        <v>1</v>
      </c>
      <c r="AA37" s="118">
        <v>1</v>
      </c>
      <c r="AB37" s="117">
        <v>1</v>
      </c>
      <c r="AC37" s="118">
        <v>1</v>
      </c>
      <c r="AD37" s="117">
        <v>1</v>
      </c>
      <c r="AE37" s="118">
        <v>1</v>
      </c>
      <c r="AF37" s="111"/>
      <c r="AG37" s="112"/>
      <c r="AH37" s="111"/>
      <c r="AI37" s="112"/>
      <c r="AJ37" s="111"/>
      <c r="AK37" s="112"/>
      <c r="AL37" s="111"/>
      <c r="AM37" s="112"/>
      <c r="AN37" s="111"/>
      <c r="AO37" s="112"/>
      <c r="AP37" s="111"/>
      <c r="AQ37" s="112"/>
      <c r="AR37" s="111"/>
      <c r="AS37" s="112"/>
      <c r="AT37" s="111"/>
      <c r="AU37" s="112"/>
      <c r="AV37" s="111"/>
      <c r="AW37" s="112"/>
    </row>
    <row r="38" spans="1:49">
      <c r="A38" s="104">
        <v>32</v>
      </c>
      <c r="B38" s="105"/>
      <c r="C38" s="172" t="s">
        <v>837</v>
      </c>
      <c r="D38" s="105" t="s">
        <v>840</v>
      </c>
      <c r="E38" s="107">
        <f t="shared" si="4"/>
        <v>4</v>
      </c>
      <c r="F38" s="108">
        <f>'要員計画(オフショア利用)　原価'!F38+$F$2</f>
        <v>300000</v>
      </c>
      <c r="G38" s="108">
        <f t="shared" si="1"/>
        <v>1200000</v>
      </c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3"/>
      <c r="S38" s="114"/>
      <c r="T38" s="113"/>
      <c r="U38" s="114"/>
      <c r="V38" s="113"/>
      <c r="W38" s="114"/>
      <c r="X38" s="133">
        <v>1</v>
      </c>
      <c r="Y38" s="118">
        <v>1</v>
      </c>
      <c r="Z38" s="117">
        <v>1</v>
      </c>
      <c r="AA38" s="118">
        <v>1</v>
      </c>
      <c r="AB38" s="117">
        <v>1</v>
      </c>
      <c r="AC38" s="118">
        <v>1</v>
      </c>
      <c r="AD38" s="117">
        <v>1</v>
      </c>
      <c r="AE38" s="118">
        <v>1</v>
      </c>
      <c r="AF38" s="111"/>
      <c r="AG38" s="112"/>
      <c r="AH38" s="111"/>
      <c r="AI38" s="112"/>
      <c r="AJ38" s="111"/>
      <c r="AK38" s="112"/>
      <c r="AL38" s="111"/>
      <c r="AM38" s="112"/>
      <c r="AN38" s="111"/>
      <c r="AO38" s="112"/>
      <c r="AP38" s="111"/>
      <c r="AQ38" s="112"/>
      <c r="AR38" s="111"/>
      <c r="AS38" s="112"/>
      <c r="AT38" s="111"/>
      <c r="AU38" s="112"/>
      <c r="AV38" s="111"/>
      <c r="AW38" s="112"/>
    </row>
    <row r="39" spans="1:49">
      <c r="A39" s="104">
        <v>33</v>
      </c>
      <c r="B39" s="105"/>
      <c r="C39" s="172" t="s">
        <v>837</v>
      </c>
      <c r="D39" s="105" t="s">
        <v>840</v>
      </c>
      <c r="E39" s="107">
        <f t="shared" si="4"/>
        <v>0</v>
      </c>
      <c r="F39" s="108">
        <f>'要員計画(オフショア利用)　原価'!F39+$F$2</f>
        <v>300000</v>
      </c>
      <c r="G39" s="108">
        <f t="shared" si="1"/>
        <v>0</v>
      </c>
      <c r="H39" s="111"/>
      <c r="I39" s="112"/>
      <c r="J39" s="111"/>
      <c r="K39" s="112"/>
      <c r="L39" s="111"/>
      <c r="M39" s="112"/>
      <c r="N39" s="111"/>
      <c r="O39" s="112"/>
      <c r="P39" s="111"/>
      <c r="Q39" s="112"/>
      <c r="R39" s="113"/>
      <c r="S39" s="114"/>
      <c r="T39" s="113"/>
      <c r="U39" s="114"/>
      <c r="V39" s="113"/>
      <c r="W39" s="114"/>
      <c r="X39" s="148"/>
      <c r="Y39" s="112"/>
      <c r="Z39" s="111"/>
      <c r="AA39" s="112"/>
      <c r="AB39" s="111"/>
      <c r="AC39" s="112"/>
      <c r="AD39" s="111"/>
      <c r="AE39" s="112"/>
      <c r="AF39" s="111"/>
      <c r="AG39" s="112"/>
      <c r="AH39" s="111"/>
      <c r="AI39" s="112"/>
      <c r="AJ39" s="111"/>
      <c r="AK39" s="112"/>
      <c r="AL39" s="111"/>
      <c r="AM39" s="112"/>
      <c r="AN39" s="111"/>
      <c r="AO39" s="112"/>
      <c r="AP39" s="111"/>
      <c r="AQ39" s="112"/>
      <c r="AR39" s="111"/>
      <c r="AS39" s="112"/>
      <c r="AT39" s="111"/>
      <c r="AU39" s="112"/>
      <c r="AV39" s="111"/>
      <c r="AW39" s="112"/>
    </row>
    <row r="40" spans="1:49">
      <c r="A40" s="104">
        <v>34</v>
      </c>
      <c r="B40" s="105"/>
      <c r="C40" s="172" t="s">
        <v>837</v>
      </c>
      <c r="D40" s="105" t="s">
        <v>840</v>
      </c>
      <c r="E40" s="107">
        <f t="shared" si="4"/>
        <v>0</v>
      </c>
      <c r="F40" s="108">
        <f>'要員計画(オフショア利用)　原価'!F40+$F$2</f>
        <v>300000</v>
      </c>
      <c r="G40" s="108">
        <f t="shared" si="1"/>
        <v>0</v>
      </c>
      <c r="H40" s="111"/>
      <c r="I40" s="112"/>
      <c r="J40" s="111"/>
      <c r="K40" s="112"/>
      <c r="L40" s="111"/>
      <c r="M40" s="112"/>
      <c r="N40" s="111"/>
      <c r="O40" s="112"/>
      <c r="P40" s="111"/>
      <c r="Q40" s="112"/>
      <c r="R40" s="113"/>
      <c r="S40" s="114"/>
      <c r="T40" s="113"/>
      <c r="U40" s="114"/>
      <c r="V40" s="113"/>
      <c r="W40" s="114"/>
      <c r="X40" s="148"/>
      <c r="Y40" s="112"/>
      <c r="Z40" s="111"/>
      <c r="AA40" s="112"/>
      <c r="AB40" s="111"/>
      <c r="AC40" s="112"/>
      <c r="AD40" s="111"/>
      <c r="AE40" s="112"/>
      <c r="AF40" s="111"/>
      <c r="AG40" s="112"/>
      <c r="AH40" s="111"/>
      <c r="AI40" s="112"/>
      <c r="AJ40" s="111"/>
      <c r="AK40" s="112"/>
      <c r="AL40" s="111"/>
      <c r="AM40" s="112"/>
      <c r="AN40" s="111"/>
      <c r="AO40" s="112"/>
      <c r="AP40" s="111"/>
      <c r="AQ40" s="112"/>
      <c r="AR40" s="111"/>
      <c r="AS40" s="112"/>
      <c r="AT40" s="111"/>
      <c r="AU40" s="112"/>
      <c r="AV40" s="111"/>
      <c r="AW40" s="112"/>
    </row>
    <row r="41" spans="1:49">
      <c r="A41" s="104">
        <v>35</v>
      </c>
      <c r="B41" s="105"/>
      <c r="C41" s="172" t="s">
        <v>837</v>
      </c>
      <c r="D41" s="105" t="s">
        <v>840</v>
      </c>
      <c r="E41" s="107">
        <f t="shared" si="4"/>
        <v>0</v>
      </c>
      <c r="F41" s="108">
        <f>'要員計画(オフショア利用)　原価'!F41+$F$2</f>
        <v>300000</v>
      </c>
      <c r="G41" s="108">
        <f t="shared" si="1"/>
        <v>0</v>
      </c>
      <c r="H41" s="111"/>
      <c r="I41" s="112"/>
      <c r="J41" s="111"/>
      <c r="K41" s="112"/>
      <c r="L41" s="111"/>
      <c r="M41" s="112"/>
      <c r="N41" s="111"/>
      <c r="O41" s="112"/>
      <c r="P41" s="111"/>
      <c r="Q41" s="112"/>
      <c r="R41" s="113"/>
      <c r="S41" s="114"/>
      <c r="T41" s="113"/>
      <c r="U41" s="114"/>
      <c r="V41" s="113"/>
      <c r="W41" s="114"/>
      <c r="X41" s="148"/>
      <c r="Y41" s="112"/>
      <c r="Z41" s="111"/>
      <c r="AA41" s="112"/>
      <c r="AB41" s="111"/>
      <c r="AC41" s="112"/>
      <c r="AD41" s="111"/>
      <c r="AE41" s="112"/>
      <c r="AF41" s="113"/>
      <c r="AG41" s="114"/>
      <c r="AH41" s="113"/>
      <c r="AI41" s="114"/>
      <c r="AJ41" s="113"/>
      <c r="AK41" s="114"/>
      <c r="AL41" s="111"/>
      <c r="AM41" s="112"/>
      <c r="AN41" s="111"/>
      <c r="AO41" s="112"/>
      <c r="AP41" s="111"/>
      <c r="AQ41" s="112"/>
      <c r="AR41" s="111"/>
      <c r="AS41" s="112"/>
      <c r="AT41" s="111"/>
      <c r="AU41" s="112"/>
      <c r="AV41" s="111"/>
      <c r="AW41" s="112"/>
    </row>
    <row r="42" spans="1:49">
      <c r="A42" s="104">
        <v>36</v>
      </c>
      <c r="B42" s="105"/>
      <c r="C42" s="172" t="s">
        <v>837</v>
      </c>
      <c r="D42" s="105" t="s">
        <v>840</v>
      </c>
      <c r="E42" s="107">
        <f t="shared" si="4"/>
        <v>0</v>
      </c>
      <c r="F42" s="108">
        <f>'要員計画(オフショア利用)　原価'!F42+$F$2</f>
        <v>300000</v>
      </c>
      <c r="G42" s="108">
        <f t="shared" si="1"/>
        <v>0</v>
      </c>
      <c r="H42" s="111"/>
      <c r="I42" s="112"/>
      <c r="J42" s="111"/>
      <c r="K42" s="112"/>
      <c r="L42" s="111"/>
      <c r="M42" s="112"/>
      <c r="N42" s="111"/>
      <c r="O42" s="112"/>
      <c r="P42" s="111"/>
      <c r="Q42" s="112"/>
      <c r="R42" s="113"/>
      <c r="S42" s="114"/>
      <c r="T42" s="113"/>
      <c r="U42" s="114"/>
      <c r="V42" s="113"/>
      <c r="W42" s="114"/>
      <c r="X42" s="148"/>
      <c r="Y42" s="112"/>
      <c r="Z42" s="111"/>
      <c r="AA42" s="112"/>
      <c r="AB42" s="111"/>
      <c r="AC42" s="112"/>
      <c r="AD42" s="111"/>
      <c r="AE42" s="112"/>
      <c r="AF42" s="113"/>
      <c r="AG42" s="114"/>
      <c r="AH42" s="113"/>
      <c r="AI42" s="114"/>
      <c r="AJ42" s="113"/>
      <c r="AK42" s="114"/>
      <c r="AL42" s="111"/>
      <c r="AM42" s="112"/>
      <c r="AN42" s="111"/>
      <c r="AO42" s="112"/>
      <c r="AP42" s="111"/>
      <c r="AQ42" s="112"/>
      <c r="AR42" s="111"/>
      <c r="AS42" s="112"/>
      <c r="AT42" s="111"/>
      <c r="AU42" s="112"/>
      <c r="AV42" s="111"/>
      <c r="AW42" s="112"/>
    </row>
    <row r="43" spans="1:49">
      <c r="A43" s="104">
        <v>37</v>
      </c>
      <c r="B43" s="105"/>
      <c r="C43" s="172" t="s">
        <v>837</v>
      </c>
      <c r="D43" s="105" t="s">
        <v>840</v>
      </c>
      <c r="E43" s="107">
        <f t="shared" si="4"/>
        <v>0</v>
      </c>
      <c r="F43" s="108">
        <f>'要員計画(オフショア利用)　原価'!F43+$F$2</f>
        <v>300000</v>
      </c>
      <c r="G43" s="108">
        <f t="shared" si="1"/>
        <v>0</v>
      </c>
      <c r="H43" s="111"/>
      <c r="I43" s="112"/>
      <c r="J43" s="111"/>
      <c r="K43" s="112"/>
      <c r="L43" s="111"/>
      <c r="M43" s="112"/>
      <c r="N43" s="111"/>
      <c r="O43" s="112"/>
      <c r="P43" s="111"/>
      <c r="Q43" s="112"/>
      <c r="R43" s="113"/>
      <c r="S43" s="114"/>
      <c r="T43" s="113"/>
      <c r="U43" s="114"/>
      <c r="V43" s="113"/>
      <c r="W43" s="114"/>
      <c r="X43" s="148"/>
      <c r="Y43" s="149"/>
      <c r="Z43" s="111"/>
      <c r="AA43" s="112"/>
      <c r="AB43" s="111"/>
      <c r="AC43" s="112"/>
      <c r="AD43" s="111"/>
      <c r="AE43" s="112"/>
      <c r="AF43" s="113"/>
      <c r="AG43" s="114"/>
      <c r="AH43" s="113"/>
      <c r="AI43" s="114"/>
      <c r="AJ43" s="113"/>
      <c r="AK43" s="114"/>
      <c r="AL43" s="111"/>
      <c r="AM43" s="112"/>
      <c r="AN43" s="111"/>
      <c r="AO43" s="112"/>
      <c r="AP43" s="111"/>
      <c r="AQ43" s="112"/>
      <c r="AR43" s="111"/>
      <c r="AS43" s="112"/>
      <c r="AT43" s="111"/>
      <c r="AU43" s="112"/>
      <c r="AV43" s="111"/>
      <c r="AW43" s="112"/>
    </row>
    <row r="44" spans="1:49">
      <c r="A44" s="104">
        <v>38</v>
      </c>
      <c r="B44" s="105"/>
      <c r="C44" s="172" t="s">
        <v>837</v>
      </c>
      <c r="D44" s="105" t="s">
        <v>840</v>
      </c>
      <c r="E44" s="107">
        <f t="shared" si="4"/>
        <v>0</v>
      </c>
      <c r="F44" s="108">
        <f>'要員計画(オフショア利用)　原価'!F44+$F$2</f>
        <v>300000</v>
      </c>
      <c r="G44" s="108">
        <f t="shared" si="1"/>
        <v>0</v>
      </c>
      <c r="H44" s="111"/>
      <c r="I44" s="112"/>
      <c r="J44" s="111"/>
      <c r="K44" s="112"/>
      <c r="L44" s="111"/>
      <c r="M44" s="112"/>
      <c r="N44" s="111"/>
      <c r="O44" s="112"/>
      <c r="P44" s="111"/>
      <c r="Q44" s="112"/>
      <c r="R44" s="113"/>
      <c r="S44" s="114"/>
      <c r="T44" s="113"/>
      <c r="U44" s="114"/>
      <c r="V44" s="113"/>
      <c r="W44" s="114"/>
      <c r="X44" s="148"/>
      <c r="Y44" s="112"/>
      <c r="Z44" s="111"/>
      <c r="AA44" s="112"/>
      <c r="AB44" s="111"/>
      <c r="AC44" s="112"/>
      <c r="AD44" s="111"/>
      <c r="AE44" s="112"/>
      <c r="AF44" s="113"/>
      <c r="AG44" s="114"/>
      <c r="AH44" s="113"/>
      <c r="AI44" s="114"/>
      <c r="AJ44" s="113"/>
      <c r="AK44" s="114"/>
      <c r="AL44" s="111"/>
      <c r="AM44" s="112"/>
      <c r="AN44" s="111"/>
      <c r="AO44" s="112"/>
      <c r="AP44" s="111"/>
      <c r="AQ44" s="112"/>
      <c r="AR44" s="111"/>
      <c r="AS44" s="112"/>
      <c r="AT44" s="111"/>
      <c r="AU44" s="112"/>
      <c r="AV44" s="111"/>
      <c r="AW44" s="112"/>
    </row>
    <row r="45" spans="1:49">
      <c r="A45" s="104">
        <v>39</v>
      </c>
      <c r="B45" s="105"/>
      <c r="C45" s="172" t="s">
        <v>837</v>
      </c>
      <c r="D45" s="105" t="s">
        <v>840</v>
      </c>
      <c r="E45" s="107">
        <f t="shared" si="4"/>
        <v>0</v>
      </c>
      <c r="F45" s="108">
        <f>'要員計画(オフショア利用)　原価'!F45+$F$2</f>
        <v>300000</v>
      </c>
      <c r="G45" s="108">
        <f t="shared" si="1"/>
        <v>0</v>
      </c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3"/>
      <c r="S45" s="114"/>
      <c r="T45" s="113"/>
      <c r="U45" s="114"/>
      <c r="V45" s="113"/>
      <c r="W45" s="114"/>
      <c r="X45" s="148"/>
      <c r="Y45" s="114"/>
      <c r="Z45" s="113"/>
      <c r="AA45" s="114"/>
      <c r="AB45" s="113"/>
      <c r="AC45" s="114"/>
      <c r="AD45" s="113"/>
      <c r="AE45" s="114"/>
      <c r="AF45" s="113"/>
      <c r="AG45" s="114"/>
      <c r="AH45" s="113"/>
      <c r="AI45" s="114"/>
      <c r="AJ45" s="113"/>
      <c r="AK45" s="114"/>
      <c r="AL45" s="111"/>
      <c r="AM45" s="112"/>
      <c r="AN45" s="111"/>
      <c r="AO45" s="112"/>
      <c r="AP45" s="111"/>
      <c r="AQ45" s="112"/>
      <c r="AR45" s="111"/>
      <c r="AS45" s="112"/>
      <c r="AT45" s="111"/>
      <c r="AU45" s="112"/>
      <c r="AV45" s="111"/>
      <c r="AW45" s="112"/>
    </row>
    <row r="46" spans="1:49">
      <c r="A46" s="104">
        <v>40</v>
      </c>
      <c r="B46" s="105"/>
      <c r="C46" s="172" t="s">
        <v>837</v>
      </c>
      <c r="D46" s="105" t="s">
        <v>840</v>
      </c>
      <c r="E46" s="107">
        <f t="shared" si="4"/>
        <v>0</v>
      </c>
      <c r="F46" s="108">
        <f>'要員計画(オフショア利用)　原価'!F46+$F$2</f>
        <v>300000</v>
      </c>
      <c r="G46" s="108">
        <f t="shared" si="1"/>
        <v>0</v>
      </c>
      <c r="H46" s="111"/>
      <c r="I46" s="112"/>
      <c r="J46" s="111"/>
      <c r="K46" s="112"/>
      <c r="L46" s="111"/>
      <c r="M46" s="112"/>
      <c r="N46" s="111"/>
      <c r="O46" s="112"/>
      <c r="P46" s="111"/>
      <c r="Q46" s="112"/>
      <c r="R46" s="113"/>
      <c r="S46" s="114"/>
      <c r="T46" s="113"/>
      <c r="U46" s="114"/>
      <c r="V46" s="113"/>
      <c r="W46" s="114"/>
      <c r="X46" s="148"/>
      <c r="Y46" s="114"/>
      <c r="Z46" s="113"/>
      <c r="AA46" s="114"/>
      <c r="AB46" s="113"/>
      <c r="AC46" s="114"/>
      <c r="AD46" s="113"/>
      <c r="AE46" s="114"/>
      <c r="AF46" s="113"/>
      <c r="AG46" s="114"/>
      <c r="AH46" s="113"/>
      <c r="AI46" s="114"/>
      <c r="AJ46" s="113"/>
      <c r="AK46" s="114"/>
      <c r="AL46" s="111"/>
      <c r="AM46" s="112"/>
      <c r="AN46" s="111"/>
      <c r="AO46" s="112"/>
      <c r="AP46" s="111"/>
      <c r="AQ46" s="112"/>
      <c r="AR46" s="111"/>
      <c r="AS46" s="112"/>
      <c r="AT46" s="111"/>
      <c r="AU46" s="112"/>
      <c r="AV46" s="111"/>
      <c r="AW46" s="112"/>
    </row>
    <row r="47" spans="1:49">
      <c r="A47" s="104">
        <v>41</v>
      </c>
      <c r="B47" s="105"/>
      <c r="C47" s="172" t="s">
        <v>837</v>
      </c>
      <c r="D47" s="105" t="s">
        <v>840</v>
      </c>
      <c r="E47" s="107">
        <f t="shared" si="4"/>
        <v>0</v>
      </c>
      <c r="F47" s="108">
        <f>'要員計画(オフショア利用)　原価'!F47+$F$2</f>
        <v>300000</v>
      </c>
      <c r="G47" s="108">
        <f t="shared" si="1"/>
        <v>0</v>
      </c>
      <c r="H47" s="111"/>
      <c r="I47" s="112"/>
      <c r="J47" s="111"/>
      <c r="K47" s="112"/>
      <c r="L47" s="111"/>
      <c r="M47" s="112"/>
      <c r="N47" s="111"/>
      <c r="O47" s="112"/>
      <c r="P47" s="111"/>
      <c r="Q47" s="112"/>
      <c r="R47" s="113"/>
      <c r="S47" s="114"/>
      <c r="T47" s="113"/>
      <c r="U47" s="114"/>
      <c r="V47" s="113"/>
      <c r="W47" s="114"/>
      <c r="X47" s="148"/>
      <c r="Y47" s="114"/>
      <c r="Z47" s="113"/>
      <c r="AA47" s="114"/>
      <c r="AB47" s="113"/>
      <c r="AC47" s="114"/>
      <c r="AD47" s="113"/>
      <c r="AE47" s="114"/>
      <c r="AF47" s="113"/>
      <c r="AG47" s="114"/>
      <c r="AH47" s="113"/>
      <c r="AI47" s="114"/>
      <c r="AJ47" s="113"/>
      <c r="AK47" s="114"/>
      <c r="AL47" s="111"/>
      <c r="AM47" s="112"/>
      <c r="AN47" s="111"/>
      <c r="AO47" s="112"/>
      <c r="AP47" s="111"/>
      <c r="AQ47" s="112"/>
      <c r="AR47" s="111"/>
      <c r="AS47" s="112"/>
      <c r="AT47" s="111"/>
      <c r="AU47" s="112"/>
      <c r="AV47" s="111"/>
      <c r="AW47" s="112"/>
    </row>
    <row r="48" spans="1:49">
      <c r="A48" s="104">
        <v>42</v>
      </c>
      <c r="B48" s="105"/>
      <c r="C48" s="172" t="s">
        <v>837</v>
      </c>
      <c r="D48" s="105" t="s">
        <v>840</v>
      </c>
      <c r="E48" s="107">
        <f t="shared" si="4"/>
        <v>0</v>
      </c>
      <c r="F48" s="108">
        <f>'要員計画(オフショア利用)　原価'!F48+$F$2</f>
        <v>300000</v>
      </c>
      <c r="G48" s="108">
        <f t="shared" si="1"/>
        <v>0</v>
      </c>
      <c r="H48" s="111"/>
      <c r="I48" s="112"/>
      <c r="J48" s="111"/>
      <c r="K48" s="112"/>
      <c r="L48" s="111"/>
      <c r="M48" s="112"/>
      <c r="N48" s="111"/>
      <c r="O48" s="112"/>
      <c r="P48" s="111"/>
      <c r="Q48" s="112"/>
      <c r="R48" s="113"/>
      <c r="S48" s="114"/>
      <c r="T48" s="113"/>
      <c r="U48" s="114"/>
      <c r="V48" s="113"/>
      <c r="W48" s="114"/>
      <c r="X48" s="148"/>
      <c r="Y48" s="114"/>
      <c r="Z48" s="113"/>
      <c r="AA48" s="114"/>
      <c r="AB48" s="113"/>
      <c r="AC48" s="114"/>
      <c r="AD48" s="113"/>
      <c r="AE48" s="114"/>
      <c r="AF48" s="113"/>
      <c r="AG48" s="114"/>
      <c r="AH48" s="113"/>
      <c r="AI48" s="114"/>
      <c r="AJ48" s="113"/>
      <c r="AK48" s="114"/>
      <c r="AL48" s="111"/>
      <c r="AM48" s="112"/>
      <c r="AN48" s="111"/>
      <c r="AO48" s="112"/>
      <c r="AP48" s="111"/>
      <c r="AQ48" s="112"/>
      <c r="AR48" s="111"/>
      <c r="AS48" s="112"/>
      <c r="AT48" s="111"/>
      <c r="AU48" s="112"/>
      <c r="AV48" s="111"/>
      <c r="AW48" s="112"/>
    </row>
    <row r="49" spans="1:53">
      <c r="A49" s="127">
        <v>26</v>
      </c>
      <c r="B49" s="129"/>
      <c r="C49" s="171" t="s">
        <v>844</v>
      </c>
      <c r="D49" s="129" t="s">
        <v>840</v>
      </c>
      <c r="E49" s="130">
        <f t="shared" ref="E49" si="5">SUM(H49:AW49)/2</f>
        <v>9</v>
      </c>
      <c r="F49" s="131">
        <f>'要員計画(オフショア利用)　原価'!F49+$F$2</f>
        <v>300000</v>
      </c>
      <c r="G49" s="131">
        <f t="shared" ref="G49" si="6">E49*F49</f>
        <v>2700000</v>
      </c>
      <c r="H49" s="139"/>
      <c r="I49" s="138"/>
      <c r="J49" s="139"/>
      <c r="K49" s="138"/>
      <c r="L49" s="148"/>
      <c r="M49" s="149"/>
      <c r="N49" s="148"/>
      <c r="O49" s="149"/>
      <c r="P49" s="148"/>
      <c r="Q49" s="149"/>
      <c r="R49" s="148"/>
      <c r="S49" s="149"/>
      <c r="T49" s="133">
        <v>1</v>
      </c>
      <c r="U49" s="132">
        <v>1</v>
      </c>
      <c r="V49" s="133">
        <v>1</v>
      </c>
      <c r="W49" s="132">
        <v>1</v>
      </c>
      <c r="X49" s="133">
        <v>1</v>
      </c>
      <c r="Y49" s="135">
        <v>1</v>
      </c>
      <c r="Z49" s="134">
        <v>1</v>
      </c>
      <c r="AA49" s="135">
        <v>1</v>
      </c>
      <c r="AB49" s="134">
        <v>1</v>
      </c>
      <c r="AC49" s="135">
        <v>1</v>
      </c>
      <c r="AD49" s="134">
        <v>1</v>
      </c>
      <c r="AE49" s="135">
        <v>1</v>
      </c>
      <c r="AF49" s="137">
        <v>1</v>
      </c>
      <c r="AG49" s="136">
        <v>1</v>
      </c>
      <c r="AH49" s="137">
        <v>1</v>
      </c>
      <c r="AI49" s="136">
        <v>1</v>
      </c>
      <c r="AJ49" s="137">
        <v>1</v>
      </c>
      <c r="AK49" s="136">
        <v>1</v>
      </c>
      <c r="AL49" s="148"/>
      <c r="AM49" s="149"/>
      <c r="AN49" s="148"/>
      <c r="AO49" s="149"/>
      <c r="AP49" s="148"/>
      <c r="AQ49" s="149"/>
      <c r="AR49" s="148"/>
      <c r="AS49" s="149"/>
      <c r="AT49" s="148"/>
      <c r="AU49" s="149"/>
      <c r="AV49" s="148"/>
      <c r="AW49" s="149"/>
    </row>
    <row r="50" spans="1:53">
      <c r="A50" s="104">
        <v>44</v>
      </c>
      <c r="B50" s="105"/>
      <c r="C50" s="172"/>
      <c r="D50" s="105" t="s">
        <v>840</v>
      </c>
      <c r="E50" s="107">
        <f t="shared" si="4"/>
        <v>0</v>
      </c>
      <c r="F50" s="108">
        <f>'要員計画(オフショア利用)　原価'!F50+$F$2</f>
        <v>300000</v>
      </c>
      <c r="G50" s="108">
        <f t="shared" si="1"/>
        <v>0</v>
      </c>
      <c r="H50" s="111"/>
      <c r="I50" s="112"/>
      <c r="J50" s="111"/>
      <c r="K50" s="112"/>
      <c r="L50" s="111"/>
      <c r="M50" s="112"/>
      <c r="N50" s="111"/>
      <c r="O50" s="112"/>
      <c r="P50" s="111"/>
      <c r="Q50" s="112"/>
      <c r="R50" s="111"/>
      <c r="S50" s="112"/>
      <c r="T50" s="111"/>
      <c r="U50" s="112"/>
      <c r="V50" s="111"/>
      <c r="W50" s="112"/>
      <c r="X50" s="111"/>
      <c r="Y50" s="112"/>
      <c r="Z50" s="111"/>
      <c r="AA50" s="112"/>
      <c r="AB50" s="111"/>
      <c r="AC50" s="112"/>
      <c r="AD50" s="111"/>
      <c r="AE50" s="112"/>
      <c r="AF50" s="111"/>
      <c r="AG50" s="112"/>
      <c r="AH50" s="111"/>
      <c r="AI50" s="112"/>
      <c r="AJ50" s="111"/>
      <c r="AK50" s="112"/>
      <c r="AL50" s="111"/>
      <c r="AM50" s="112"/>
      <c r="AN50" s="111"/>
      <c r="AO50" s="112"/>
      <c r="AP50" s="111"/>
      <c r="AQ50" s="112"/>
      <c r="AR50" s="111"/>
      <c r="AS50" s="112"/>
      <c r="AT50" s="111"/>
      <c r="AU50" s="112"/>
      <c r="AV50" s="111"/>
      <c r="AW50" s="112"/>
    </row>
    <row r="51" spans="1:53">
      <c r="A51" s="104">
        <v>45</v>
      </c>
      <c r="B51" s="105"/>
      <c r="C51" s="172"/>
      <c r="D51" s="105" t="s">
        <v>840</v>
      </c>
      <c r="E51" s="107">
        <f t="shared" si="4"/>
        <v>0</v>
      </c>
      <c r="F51" s="108">
        <f>'要員計画(オフショア利用)　原価'!F51+$F$2</f>
        <v>300000</v>
      </c>
      <c r="G51" s="108">
        <f t="shared" si="1"/>
        <v>0</v>
      </c>
      <c r="H51" s="111"/>
      <c r="I51" s="112"/>
      <c r="J51" s="111"/>
      <c r="K51" s="112"/>
      <c r="L51" s="111"/>
      <c r="M51" s="112"/>
      <c r="N51" s="111"/>
      <c r="O51" s="112"/>
      <c r="P51" s="111"/>
      <c r="Q51" s="112"/>
      <c r="R51" s="111"/>
      <c r="S51" s="112"/>
      <c r="T51" s="111"/>
      <c r="U51" s="112"/>
      <c r="V51" s="111"/>
      <c r="W51" s="112"/>
      <c r="X51" s="111"/>
      <c r="Y51" s="112"/>
      <c r="Z51" s="111"/>
      <c r="AA51" s="112"/>
      <c r="AB51" s="111"/>
      <c r="AC51" s="112"/>
      <c r="AD51" s="111"/>
      <c r="AE51" s="112"/>
      <c r="AF51" s="111"/>
      <c r="AG51" s="112"/>
      <c r="AH51" s="111"/>
      <c r="AI51" s="112"/>
      <c r="AJ51" s="111"/>
      <c r="AK51" s="112"/>
      <c r="AL51" s="111"/>
      <c r="AM51" s="112"/>
      <c r="AN51" s="111"/>
      <c r="AO51" s="112"/>
      <c r="AP51" s="111"/>
      <c r="AQ51" s="112"/>
      <c r="AR51" s="111"/>
      <c r="AS51" s="112"/>
      <c r="AT51" s="111"/>
      <c r="AU51" s="112"/>
      <c r="AV51" s="111"/>
      <c r="AW51" s="112"/>
    </row>
    <row r="52" spans="1:53">
      <c r="A52" s="104">
        <v>46</v>
      </c>
      <c r="B52" s="105"/>
      <c r="C52" s="172"/>
      <c r="D52" s="105" t="s">
        <v>840</v>
      </c>
      <c r="E52" s="107">
        <f t="shared" si="4"/>
        <v>0</v>
      </c>
      <c r="F52" s="108">
        <f>'要員計画(オフショア利用)　原価'!F52+$F$2</f>
        <v>300000</v>
      </c>
      <c r="G52" s="108">
        <f t="shared" si="1"/>
        <v>0</v>
      </c>
      <c r="H52" s="111"/>
      <c r="I52" s="112"/>
      <c r="J52" s="111"/>
      <c r="K52" s="112"/>
      <c r="L52" s="111"/>
      <c r="M52" s="112"/>
      <c r="N52" s="111"/>
      <c r="O52" s="112"/>
      <c r="P52" s="111"/>
      <c r="Q52" s="112"/>
      <c r="R52" s="111"/>
      <c r="S52" s="112"/>
      <c r="T52" s="111"/>
      <c r="U52" s="112"/>
      <c r="V52" s="111"/>
      <c r="W52" s="112"/>
      <c r="X52" s="111"/>
      <c r="Y52" s="112"/>
      <c r="Z52" s="111"/>
      <c r="AA52" s="112"/>
      <c r="AB52" s="111"/>
      <c r="AC52" s="112"/>
      <c r="AD52" s="111"/>
      <c r="AE52" s="112"/>
      <c r="AF52" s="111"/>
      <c r="AG52" s="112"/>
      <c r="AH52" s="111"/>
      <c r="AI52" s="112"/>
      <c r="AJ52" s="111"/>
      <c r="AK52" s="112"/>
      <c r="AL52" s="111"/>
      <c r="AM52" s="112"/>
      <c r="AN52" s="111"/>
      <c r="AO52" s="112"/>
      <c r="AP52" s="111"/>
      <c r="AQ52" s="112"/>
      <c r="AR52" s="111"/>
      <c r="AS52" s="112"/>
      <c r="AT52" s="111"/>
      <c r="AU52" s="112"/>
      <c r="AV52" s="111"/>
      <c r="AW52" s="112"/>
    </row>
    <row r="53" spans="1:53">
      <c r="A53" s="104">
        <v>47</v>
      </c>
      <c r="B53" s="105"/>
      <c r="C53" s="172"/>
      <c r="D53" s="105" t="s">
        <v>840</v>
      </c>
      <c r="E53" s="107">
        <f t="shared" si="4"/>
        <v>0</v>
      </c>
      <c r="F53" s="108">
        <f>'要員計画(オフショア利用)　原価'!F53+$F$2</f>
        <v>300000</v>
      </c>
      <c r="G53" s="108">
        <f t="shared" si="1"/>
        <v>0</v>
      </c>
      <c r="H53" s="111"/>
      <c r="I53" s="112"/>
      <c r="J53" s="111"/>
      <c r="K53" s="112"/>
      <c r="L53" s="111"/>
      <c r="M53" s="112"/>
      <c r="N53" s="111"/>
      <c r="O53" s="112"/>
      <c r="P53" s="111"/>
      <c r="Q53" s="112"/>
      <c r="R53" s="111"/>
      <c r="S53" s="112"/>
      <c r="T53" s="111"/>
      <c r="U53" s="112"/>
      <c r="V53" s="111"/>
      <c r="W53" s="112"/>
      <c r="X53" s="111"/>
      <c r="Y53" s="112"/>
      <c r="Z53" s="111"/>
      <c r="AA53" s="112"/>
      <c r="AB53" s="111"/>
      <c r="AC53" s="112"/>
      <c r="AD53" s="111"/>
      <c r="AE53" s="112"/>
      <c r="AF53" s="111"/>
      <c r="AG53" s="112"/>
      <c r="AH53" s="111"/>
      <c r="AI53" s="112"/>
      <c r="AJ53" s="111"/>
      <c r="AK53" s="112"/>
      <c r="AL53" s="111"/>
      <c r="AM53" s="112"/>
      <c r="AN53" s="111"/>
      <c r="AO53" s="112"/>
      <c r="AP53" s="111"/>
      <c r="AQ53" s="112"/>
      <c r="AR53" s="111"/>
      <c r="AS53" s="112"/>
      <c r="AT53" s="111"/>
      <c r="AU53" s="112"/>
      <c r="AV53" s="111"/>
      <c r="AW53" s="112"/>
    </row>
    <row r="54" spans="1:53">
      <c r="A54" s="104">
        <v>48</v>
      </c>
      <c r="B54" s="105"/>
      <c r="C54" s="172"/>
      <c r="D54" s="105" t="s">
        <v>840</v>
      </c>
      <c r="E54" s="107">
        <f t="shared" si="4"/>
        <v>0</v>
      </c>
      <c r="F54" s="108">
        <f>'要員計画(オフショア利用)　原価'!F54+$F$2</f>
        <v>300000</v>
      </c>
      <c r="G54" s="108">
        <f t="shared" si="1"/>
        <v>0</v>
      </c>
      <c r="H54" s="111"/>
      <c r="I54" s="112"/>
      <c r="J54" s="111"/>
      <c r="K54" s="112"/>
      <c r="L54" s="111"/>
      <c r="M54" s="112"/>
      <c r="N54" s="111"/>
      <c r="O54" s="112"/>
      <c r="P54" s="111"/>
      <c r="Q54" s="112"/>
      <c r="R54" s="111"/>
      <c r="S54" s="112"/>
      <c r="T54" s="111"/>
      <c r="U54" s="112"/>
      <c r="V54" s="111"/>
      <c r="W54" s="112"/>
      <c r="X54" s="111"/>
      <c r="Y54" s="112"/>
      <c r="Z54" s="111"/>
      <c r="AA54" s="112"/>
      <c r="AB54" s="111"/>
      <c r="AC54" s="112"/>
      <c r="AD54" s="111"/>
      <c r="AE54" s="112"/>
      <c r="AF54" s="111"/>
      <c r="AG54" s="112"/>
      <c r="AH54" s="111"/>
      <c r="AI54" s="112"/>
      <c r="AJ54" s="111"/>
      <c r="AK54" s="112"/>
      <c r="AL54" s="111"/>
      <c r="AM54" s="112"/>
      <c r="AN54" s="111"/>
      <c r="AO54" s="112"/>
      <c r="AP54" s="111"/>
      <c r="AQ54" s="112"/>
      <c r="AR54" s="111"/>
      <c r="AS54" s="112"/>
      <c r="AT54" s="111"/>
      <c r="AU54" s="112"/>
      <c r="AV54" s="111"/>
      <c r="AW54" s="112"/>
    </row>
    <row r="55" spans="1:53">
      <c r="A55" s="104">
        <v>49</v>
      </c>
      <c r="B55" s="105"/>
      <c r="C55" s="172"/>
      <c r="D55" s="105" t="s">
        <v>840</v>
      </c>
      <c r="E55" s="107">
        <f t="shared" si="4"/>
        <v>0</v>
      </c>
      <c r="F55" s="108">
        <f>'要員計画(オフショア利用)　原価'!F55+$F$2</f>
        <v>300000</v>
      </c>
      <c r="G55" s="108">
        <f t="shared" si="1"/>
        <v>0</v>
      </c>
      <c r="H55" s="111"/>
      <c r="I55" s="112"/>
      <c r="J55" s="111"/>
      <c r="K55" s="112"/>
      <c r="L55" s="111"/>
      <c r="M55" s="112"/>
      <c r="N55" s="111"/>
      <c r="O55" s="112"/>
      <c r="P55" s="111"/>
      <c r="Q55" s="112"/>
      <c r="R55" s="111"/>
      <c r="S55" s="112"/>
      <c r="T55" s="111"/>
      <c r="U55" s="112"/>
      <c r="V55" s="111"/>
      <c r="W55" s="112"/>
      <c r="X55" s="111"/>
      <c r="Y55" s="112"/>
      <c r="Z55" s="111"/>
      <c r="AA55" s="112"/>
      <c r="AB55" s="111"/>
      <c r="AC55" s="112"/>
      <c r="AD55" s="111"/>
      <c r="AE55" s="112"/>
      <c r="AF55" s="111"/>
      <c r="AG55" s="112"/>
      <c r="AH55" s="111"/>
      <c r="AI55" s="112"/>
      <c r="AJ55" s="111"/>
      <c r="AK55" s="112"/>
      <c r="AL55" s="111"/>
      <c r="AM55" s="112"/>
      <c r="AN55" s="111"/>
      <c r="AO55" s="112"/>
      <c r="AP55" s="111"/>
      <c r="AQ55" s="112"/>
      <c r="AR55" s="111"/>
      <c r="AS55" s="112"/>
      <c r="AT55" s="111"/>
      <c r="AU55" s="112"/>
      <c r="AV55" s="111"/>
      <c r="AW55" s="112"/>
    </row>
    <row r="56" spans="1:53">
      <c r="A56" s="104">
        <v>50</v>
      </c>
      <c r="B56" s="105"/>
      <c r="C56" s="172" t="s">
        <v>845</v>
      </c>
      <c r="D56" s="105" t="s">
        <v>840</v>
      </c>
      <c r="E56" s="107">
        <f t="shared" si="4"/>
        <v>0</v>
      </c>
      <c r="F56" s="108">
        <f>'要員計画(オフショア利用)　原価'!F56+$F$2</f>
        <v>300000</v>
      </c>
      <c r="G56" s="108">
        <f t="shared" si="1"/>
        <v>0</v>
      </c>
      <c r="H56" s="111"/>
      <c r="I56" s="112"/>
      <c r="J56" s="111"/>
      <c r="K56" s="112"/>
      <c r="L56" s="111"/>
      <c r="M56" s="112"/>
      <c r="N56" s="111"/>
      <c r="O56" s="112"/>
      <c r="P56" s="111"/>
      <c r="Q56" s="112"/>
      <c r="R56" s="111"/>
      <c r="S56" s="112"/>
      <c r="T56" s="111"/>
      <c r="U56" s="112"/>
      <c r="V56" s="111"/>
      <c r="W56" s="112"/>
      <c r="X56" s="111"/>
      <c r="Y56" s="112"/>
      <c r="Z56" s="111"/>
      <c r="AA56" s="112"/>
      <c r="AB56" s="111"/>
      <c r="AC56" s="112"/>
      <c r="AD56" s="111"/>
      <c r="AE56" s="112"/>
      <c r="AF56" s="111"/>
      <c r="AG56" s="112"/>
      <c r="AH56" s="111"/>
      <c r="AI56" s="112"/>
      <c r="AJ56" s="111"/>
      <c r="AK56" s="112"/>
      <c r="AL56" s="111"/>
      <c r="AM56" s="112"/>
      <c r="AN56" s="111"/>
      <c r="AO56" s="112"/>
      <c r="AP56" s="111"/>
      <c r="AQ56" s="112"/>
      <c r="AR56" s="111"/>
      <c r="AS56" s="112"/>
      <c r="AT56" s="111"/>
      <c r="AU56" s="112"/>
      <c r="AV56" s="111"/>
      <c r="AW56" s="112"/>
    </row>
    <row r="59" spans="1:53" ht="13.9" thickBot="1"/>
    <row r="60" spans="1:53">
      <c r="H60" s="327" t="s">
        <v>784</v>
      </c>
      <c r="I60" s="327"/>
      <c r="J60" s="327"/>
      <c r="K60" s="327"/>
      <c r="L60" s="286" t="s">
        <v>785</v>
      </c>
      <c r="M60" s="287"/>
      <c r="N60" s="287"/>
      <c r="O60" s="287"/>
      <c r="P60" s="287"/>
      <c r="Q60" s="287"/>
      <c r="R60" s="360" t="s">
        <v>786</v>
      </c>
      <c r="S60" s="361"/>
      <c r="T60" s="361"/>
      <c r="U60" s="361"/>
      <c r="V60" s="361"/>
      <c r="W60" s="362"/>
      <c r="X60" s="354" t="s">
        <v>821</v>
      </c>
      <c r="Y60" s="355"/>
      <c r="Z60" s="355"/>
      <c r="AA60" s="355"/>
      <c r="AB60" s="355"/>
      <c r="AC60" s="355"/>
      <c r="AD60" s="355"/>
      <c r="AE60" s="356"/>
      <c r="AF60" s="357" t="s">
        <v>788</v>
      </c>
      <c r="AG60" s="358"/>
      <c r="AH60" s="358"/>
      <c r="AI60" s="358"/>
      <c r="AJ60" s="358"/>
      <c r="AK60" s="359"/>
      <c r="AL60" s="351" t="s">
        <v>789</v>
      </c>
      <c r="AM60" s="352"/>
      <c r="AN60" s="352"/>
      <c r="AO60" s="352"/>
      <c r="AP60" s="352"/>
      <c r="AQ60" s="353"/>
      <c r="AR60" s="303" t="s">
        <v>790</v>
      </c>
      <c r="AS60" s="303"/>
      <c r="AT60" s="304"/>
      <c r="AU60" s="302" t="s">
        <v>846</v>
      </c>
      <c r="AV60" s="303"/>
      <c r="AW60" s="304"/>
      <c r="AX60" s="328" t="s">
        <v>822</v>
      </c>
      <c r="AY60" s="329"/>
      <c r="AZ60" s="330"/>
    </row>
    <row r="61" spans="1:53">
      <c r="E61" t="s">
        <v>792</v>
      </c>
      <c r="F61" s="102">
        <v>850000</v>
      </c>
      <c r="H61" s="308">
        <f>SUM(H7:K8)/2</f>
        <v>0</v>
      </c>
      <c r="I61" s="308"/>
      <c r="J61" s="308"/>
      <c r="K61" s="308"/>
      <c r="L61" s="288">
        <f>SUM(L7:Q8)/2</f>
        <v>0</v>
      </c>
      <c r="M61" s="289"/>
      <c r="N61" s="289"/>
      <c r="O61" s="289"/>
      <c r="P61" s="289"/>
      <c r="Q61" s="289"/>
      <c r="R61" s="309">
        <f>SUM(R7:W8)/2</f>
        <v>4</v>
      </c>
      <c r="S61" s="289"/>
      <c r="T61" s="289"/>
      <c r="U61" s="289"/>
      <c r="V61" s="289"/>
      <c r="W61" s="293"/>
      <c r="X61" s="288">
        <f>SUM(X7:AE8)/2</f>
        <v>8</v>
      </c>
      <c r="Y61" s="289"/>
      <c r="Z61" s="289"/>
      <c r="AA61" s="289"/>
      <c r="AB61" s="289"/>
      <c r="AC61" s="289"/>
      <c r="AD61" s="289"/>
      <c r="AE61" s="293"/>
      <c r="AF61" s="288">
        <f>SUM(AF7:AK8)/2</f>
        <v>6</v>
      </c>
      <c r="AG61" s="289"/>
      <c r="AH61" s="289"/>
      <c r="AI61" s="289"/>
      <c r="AJ61" s="289"/>
      <c r="AK61" s="293"/>
      <c r="AL61" s="288">
        <f>SUM(AL7:AQ8)/2</f>
        <v>6</v>
      </c>
      <c r="AM61" s="289"/>
      <c r="AN61" s="289"/>
      <c r="AO61" s="289"/>
      <c r="AP61" s="289"/>
      <c r="AQ61" s="307"/>
      <c r="AR61" s="289">
        <f>SUM(AR7:AT8)/2</f>
        <v>3</v>
      </c>
      <c r="AS61" s="289"/>
      <c r="AT61" s="293"/>
      <c r="AU61" s="288">
        <f>SUM(AU7:AU8)/2</f>
        <v>1</v>
      </c>
      <c r="AV61" s="289"/>
      <c r="AW61" s="293"/>
      <c r="AX61" s="288">
        <f>SUM(AV7:AW8)/2</f>
        <v>2</v>
      </c>
      <c r="AY61" s="289"/>
      <c r="AZ61" s="293"/>
    </row>
    <row r="62" spans="1:53">
      <c r="F62" s="102">
        <v>800000</v>
      </c>
      <c r="H62" s="308">
        <f>SUM(H9:K10)/2</f>
        <v>0</v>
      </c>
      <c r="I62" s="308"/>
      <c r="J62" s="308"/>
      <c r="K62" s="308"/>
      <c r="L62" s="288">
        <f>SUM(L9:Q10)/2</f>
        <v>0</v>
      </c>
      <c r="M62" s="289"/>
      <c r="N62" s="289"/>
      <c r="O62" s="289"/>
      <c r="P62" s="289"/>
      <c r="Q62" s="289"/>
      <c r="R62" s="309">
        <f>SUM(R9:W10)/2</f>
        <v>4</v>
      </c>
      <c r="S62" s="289"/>
      <c r="T62" s="289"/>
      <c r="U62" s="289"/>
      <c r="V62" s="289"/>
      <c r="W62" s="293"/>
      <c r="X62" s="288">
        <f>SUM(X9:AE10)/2</f>
        <v>8</v>
      </c>
      <c r="Y62" s="289"/>
      <c r="Z62" s="289"/>
      <c r="AA62" s="289"/>
      <c r="AB62" s="289"/>
      <c r="AC62" s="289"/>
      <c r="AD62" s="289"/>
      <c r="AE62" s="293"/>
      <c r="AF62" s="288">
        <f>SUM(AF9:AK10)/2</f>
        <v>6</v>
      </c>
      <c r="AG62" s="289"/>
      <c r="AH62" s="289"/>
      <c r="AI62" s="289"/>
      <c r="AJ62" s="289"/>
      <c r="AK62" s="293"/>
      <c r="AL62" s="288">
        <f>SUM(AL9:AQ10)/2</f>
        <v>3</v>
      </c>
      <c r="AM62" s="289"/>
      <c r="AN62" s="289"/>
      <c r="AO62" s="289"/>
      <c r="AP62" s="289"/>
      <c r="AQ62" s="307"/>
      <c r="AR62" s="289">
        <f>SUM(AR9:AT9)/2</f>
        <v>1.5</v>
      </c>
      <c r="AS62" s="289"/>
      <c r="AT62" s="293"/>
      <c r="AU62" s="288">
        <f>AU9/2</f>
        <v>0.5</v>
      </c>
      <c r="AV62" s="289"/>
      <c r="AW62" s="293"/>
      <c r="AX62" s="288">
        <f>SUM(AV9:AW9)/2</f>
        <v>1</v>
      </c>
      <c r="AY62" s="289"/>
      <c r="AZ62" s="293"/>
    </row>
    <row r="63" spans="1:53">
      <c r="F63" s="102">
        <v>300000</v>
      </c>
      <c r="H63" s="308">
        <f>SUM(H56:K56)/2</f>
        <v>0</v>
      </c>
      <c r="I63" s="308"/>
      <c r="J63" s="308"/>
      <c r="K63" s="308"/>
      <c r="L63" s="288">
        <f>SUM(L56:Q56)/2</f>
        <v>0</v>
      </c>
      <c r="M63" s="289"/>
      <c r="N63" s="289"/>
      <c r="O63" s="289"/>
      <c r="P63" s="289"/>
      <c r="Q63" s="289"/>
      <c r="R63" s="309">
        <f>SUM(R56:W56)/2</f>
        <v>0</v>
      </c>
      <c r="S63" s="289"/>
      <c r="T63" s="289"/>
      <c r="U63" s="289"/>
      <c r="V63" s="289"/>
      <c r="W63" s="293"/>
      <c r="X63" s="288">
        <f>SUM(X56:AE56)/2</f>
        <v>0</v>
      </c>
      <c r="Y63" s="289"/>
      <c r="Z63" s="289"/>
      <c r="AA63" s="289"/>
      <c r="AB63" s="289"/>
      <c r="AC63" s="289"/>
      <c r="AD63" s="289"/>
      <c r="AE63" s="293"/>
      <c r="AF63" s="288">
        <f>SUM(AF56:AK56)/2</f>
        <v>0</v>
      </c>
      <c r="AG63" s="289"/>
      <c r="AH63" s="289"/>
      <c r="AI63" s="289"/>
      <c r="AJ63" s="289"/>
      <c r="AK63" s="293"/>
      <c r="AL63" s="288">
        <f>SUM(AL56:AQ56)/2</f>
        <v>0</v>
      </c>
      <c r="AM63" s="289"/>
      <c r="AN63" s="289"/>
      <c r="AO63" s="289"/>
      <c r="AP63" s="289"/>
      <c r="AQ63" s="307"/>
      <c r="AR63" s="289"/>
      <c r="AS63" s="289"/>
      <c r="AT63" s="293"/>
      <c r="AU63" s="288"/>
      <c r="AV63" s="289"/>
      <c r="AW63" s="293"/>
      <c r="AX63" s="288"/>
      <c r="AY63" s="289"/>
      <c r="AZ63" s="293"/>
    </row>
    <row r="64" spans="1:53">
      <c r="H64" s="298">
        <f>($F61*H61)+($F62*H62)+F63*H63</f>
        <v>0</v>
      </c>
      <c r="I64" s="298"/>
      <c r="J64" s="298"/>
      <c r="K64" s="298"/>
      <c r="L64" s="280">
        <f>F61*L61+F62*L62+F63*L63</f>
        <v>0</v>
      </c>
      <c r="M64" s="281"/>
      <c r="N64" s="281"/>
      <c r="O64" s="281"/>
      <c r="P64" s="281"/>
      <c r="Q64" s="281"/>
      <c r="R64" s="321">
        <f>F61*R61+F62*R62+F63*R63</f>
        <v>6600000</v>
      </c>
      <c r="S64" s="281"/>
      <c r="T64" s="281"/>
      <c r="U64" s="281"/>
      <c r="V64" s="281"/>
      <c r="W64" s="282"/>
      <c r="X64" s="280">
        <f>F61*X61+F62*X62+F63*X63</f>
        <v>13200000</v>
      </c>
      <c r="Y64" s="281"/>
      <c r="Z64" s="281"/>
      <c r="AA64" s="281"/>
      <c r="AB64" s="281"/>
      <c r="AC64" s="281"/>
      <c r="AD64" s="281"/>
      <c r="AE64" s="282"/>
      <c r="AF64" s="280">
        <f>F61*AF61+F62*AF62+F63*AF63</f>
        <v>9900000</v>
      </c>
      <c r="AG64" s="281"/>
      <c r="AH64" s="281"/>
      <c r="AI64" s="281"/>
      <c r="AJ64" s="281"/>
      <c r="AK64" s="282"/>
      <c r="AL64" s="280">
        <f>F61*AL61+F62*AL62+F63*AL63</f>
        <v>7500000</v>
      </c>
      <c r="AM64" s="281"/>
      <c r="AN64" s="281"/>
      <c r="AO64" s="281"/>
      <c r="AP64" s="281"/>
      <c r="AQ64" s="322"/>
      <c r="AR64" s="281">
        <f>F61*AR61+F62*AR62+F63*AR63</f>
        <v>3750000</v>
      </c>
      <c r="AS64" s="281"/>
      <c r="AT64" s="282"/>
      <c r="AU64" s="280">
        <f>F61*AU61+F62*AU62</f>
        <v>1250000</v>
      </c>
      <c r="AV64" s="281"/>
      <c r="AW64" s="282"/>
      <c r="AX64" s="280">
        <f>F61*AX61+F62*AX62+F63*AX63</f>
        <v>2500000</v>
      </c>
      <c r="AY64" s="281"/>
      <c r="AZ64" s="282"/>
      <c r="BA64" s="102">
        <f>SUM(H64:AZ64)</f>
        <v>44700000</v>
      </c>
    </row>
    <row r="65" spans="6:53">
      <c r="F65" s="102">
        <v>800000</v>
      </c>
      <c r="H65" s="308">
        <f>SUM(H11:K28)/2</f>
        <v>0</v>
      </c>
      <c r="I65" s="308"/>
      <c r="J65" s="308"/>
      <c r="K65" s="308"/>
      <c r="L65" s="288">
        <f>SUM(L11:Q27)/2</f>
        <v>0</v>
      </c>
      <c r="M65" s="289"/>
      <c r="N65" s="289"/>
      <c r="O65" s="289"/>
      <c r="P65" s="289"/>
      <c r="Q65" s="289"/>
      <c r="R65" s="309">
        <f>SUM(R11:W27)/2</f>
        <v>10</v>
      </c>
      <c r="S65" s="289"/>
      <c r="T65" s="289"/>
      <c r="U65" s="289"/>
      <c r="V65" s="289"/>
      <c r="W65" s="293"/>
      <c r="X65" s="288">
        <f>SUM(X11:AE27)/2</f>
        <v>20</v>
      </c>
      <c r="Y65" s="289"/>
      <c r="Z65" s="289"/>
      <c r="AA65" s="289"/>
      <c r="AB65" s="289"/>
      <c r="AC65" s="289"/>
      <c r="AD65" s="289"/>
      <c r="AE65" s="293"/>
      <c r="AF65" s="288">
        <f>SUM(AF11:AK27)/2</f>
        <v>15</v>
      </c>
      <c r="AG65" s="289"/>
      <c r="AH65" s="289"/>
      <c r="AI65" s="289"/>
      <c r="AJ65" s="289"/>
      <c r="AK65" s="293"/>
      <c r="AL65" s="288">
        <f>SUM(AL11:AQ27)/2</f>
        <v>21</v>
      </c>
      <c r="AM65" s="289"/>
      <c r="AN65" s="289"/>
      <c r="AO65" s="289"/>
      <c r="AP65" s="289"/>
      <c r="AQ65" s="307"/>
      <c r="AR65" s="289">
        <f>SUM(AR11:AT27)/2</f>
        <v>9</v>
      </c>
      <c r="AS65" s="289"/>
      <c r="AT65" s="293"/>
      <c r="AU65" s="288">
        <f>SUM(X28:AT28)/2</f>
        <v>4.75</v>
      </c>
      <c r="AV65" s="289"/>
      <c r="AW65" s="293"/>
      <c r="AX65" s="288">
        <f>SUM(AV11:AW28)/2</f>
        <v>6</v>
      </c>
      <c r="AY65" s="289"/>
      <c r="AZ65" s="293"/>
    </row>
    <row r="66" spans="6:53">
      <c r="F66" s="102">
        <v>350000</v>
      </c>
      <c r="H66" s="308"/>
      <c r="I66" s="308"/>
      <c r="J66" s="308"/>
      <c r="K66" s="308"/>
      <c r="L66" s="288">
        <f>SUM(L29:Q31)/2</f>
        <v>0</v>
      </c>
      <c r="M66" s="289"/>
      <c r="N66" s="289"/>
      <c r="O66" s="289"/>
      <c r="P66" s="289"/>
      <c r="Q66" s="289"/>
      <c r="R66" s="309">
        <f>SUM(R29:W31)/2</f>
        <v>6</v>
      </c>
      <c r="S66" s="289"/>
      <c r="T66" s="289"/>
      <c r="U66" s="289"/>
      <c r="V66" s="289"/>
      <c r="W66" s="293"/>
      <c r="X66" s="288">
        <f>SUM(X29:AE31)/2</f>
        <v>12</v>
      </c>
      <c r="Y66" s="289"/>
      <c r="Z66" s="289"/>
      <c r="AA66" s="289"/>
      <c r="AB66" s="289"/>
      <c r="AC66" s="289"/>
      <c r="AD66" s="289"/>
      <c r="AE66" s="293"/>
      <c r="AF66" s="288">
        <f>SUM(AF29:AK31)/2</f>
        <v>9</v>
      </c>
      <c r="AG66" s="289"/>
      <c r="AH66" s="289"/>
      <c r="AI66" s="289"/>
      <c r="AJ66" s="289"/>
      <c r="AK66" s="293"/>
      <c r="AL66" s="288">
        <f>SUM(AL29:AQ31)/2</f>
        <v>0</v>
      </c>
      <c r="AM66" s="289"/>
      <c r="AN66" s="289"/>
      <c r="AO66" s="289"/>
      <c r="AP66" s="289"/>
      <c r="AQ66" s="307"/>
      <c r="AR66" s="289"/>
      <c r="AS66" s="289"/>
      <c r="AT66" s="293"/>
      <c r="AU66" s="288"/>
      <c r="AV66" s="289"/>
      <c r="AW66" s="293"/>
      <c r="AX66" s="288"/>
      <c r="AY66" s="289"/>
      <c r="AZ66" s="293"/>
    </row>
    <row r="67" spans="6:53">
      <c r="F67" s="102">
        <v>300000</v>
      </c>
      <c r="H67" s="308"/>
      <c r="I67" s="308"/>
      <c r="J67" s="308"/>
      <c r="K67" s="308"/>
      <c r="L67" s="288">
        <f>SUM(L32:Q55)/2</f>
        <v>0</v>
      </c>
      <c r="M67" s="289"/>
      <c r="N67" s="289"/>
      <c r="O67" s="289"/>
      <c r="P67" s="289"/>
      <c r="Q67" s="289"/>
      <c r="R67" s="309">
        <f>SUM(R32:W55)/2</f>
        <v>6</v>
      </c>
      <c r="S67" s="289"/>
      <c r="T67" s="289"/>
      <c r="U67" s="289"/>
      <c r="V67" s="289"/>
      <c r="W67" s="293"/>
      <c r="X67" s="288">
        <f>SUM(X32:AE55)/2</f>
        <v>32</v>
      </c>
      <c r="Y67" s="289"/>
      <c r="Z67" s="289"/>
      <c r="AA67" s="289"/>
      <c r="AB67" s="289"/>
      <c r="AC67" s="289"/>
      <c r="AD67" s="289"/>
      <c r="AE67" s="293"/>
      <c r="AF67" s="288">
        <f>SUM(AF32:AK55)/2</f>
        <v>12</v>
      </c>
      <c r="AG67" s="289"/>
      <c r="AH67" s="289"/>
      <c r="AI67" s="289"/>
      <c r="AJ67" s="289"/>
      <c r="AK67" s="293"/>
      <c r="AL67" s="288">
        <f>SUM(AL32:AQ55)/2</f>
        <v>0</v>
      </c>
      <c r="AM67" s="289"/>
      <c r="AN67" s="289"/>
      <c r="AO67" s="289"/>
      <c r="AP67" s="289"/>
      <c r="AQ67" s="307"/>
      <c r="AR67" s="289"/>
      <c r="AS67" s="289"/>
      <c r="AT67" s="293"/>
      <c r="AU67" s="288"/>
      <c r="AV67" s="289"/>
      <c r="AW67" s="293"/>
      <c r="AX67" s="288"/>
      <c r="AY67" s="289"/>
      <c r="AZ67" s="293"/>
    </row>
    <row r="68" spans="6:53" ht="13.9" thickBot="1">
      <c r="H68" s="298">
        <f>F65*H65</f>
        <v>0</v>
      </c>
      <c r="I68" s="298"/>
      <c r="J68" s="298"/>
      <c r="K68" s="298"/>
      <c r="L68" s="280">
        <f>F65*L65+F66*L66+F67*L67</f>
        <v>0</v>
      </c>
      <c r="M68" s="281"/>
      <c r="N68" s="281"/>
      <c r="O68" s="281"/>
      <c r="P68" s="281"/>
      <c r="Q68" s="281"/>
      <c r="R68" s="305">
        <f>F65*R65+F66*R66+F67*R67</f>
        <v>11900000</v>
      </c>
      <c r="S68" s="300"/>
      <c r="T68" s="300"/>
      <c r="U68" s="300"/>
      <c r="V68" s="300"/>
      <c r="W68" s="306"/>
      <c r="X68" s="299">
        <f>F65*X65+F66*X66+F67*X67</f>
        <v>29800000</v>
      </c>
      <c r="Y68" s="300"/>
      <c r="Z68" s="300"/>
      <c r="AA68" s="300"/>
      <c r="AB68" s="300"/>
      <c r="AC68" s="300"/>
      <c r="AD68" s="300"/>
      <c r="AE68" s="306"/>
      <c r="AF68" s="299">
        <f>F65*AF65+F66*AF66+F67*AF67</f>
        <v>18750000</v>
      </c>
      <c r="AG68" s="300"/>
      <c r="AH68" s="300"/>
      <c r="AI68" s="300"/>
      <c r="AJ68" s="300"/>
      <c r="AK68" s="306"/>
      <c r="AL68" s="299">
        <f>F65*AL65+F66*AL66+F67*AL67</f>
        <v>16800000</v>
      </c>
      <c r="AM68" s="300"/>
      <c r="AN68" s="300"/>
      <c r="AO68" s="300"/>
      <c r="AP68" s="300"/>
      <c r="AQ68" s="301"/>
      <c r="AR68" s="281">
        <f>F65*AR65</f>
        <v>7200000</v>
      </c>
      <c r="AS68" s="281"/>
      <c r="AT68" s="282"/>
      <c r="AU68" s="290">
        <f>F65*AU65</f>
        <v>3800000</v>
      </c>
      <c r="AV68" s="291"/>
      <c r="AW68" s="292"/>
      <c r="AX68" s="280">
        <f>F65*AX65</f>
        <v>4800000</v>
      </c>
      <c r="AY68" s="281"/>
      <c r="AZ68" s="282"/>
      <c r="BA68" s="102">
        <f>SUM(H68:AZ68)</f>
        <v>93050000</v>
      </c>
    </row>
    <row r="70" spans="6:53">
      <c r="H70" s="298">
        <f>H64+H68</f>
        <v>0</v>
      </c>
      <c r="I70" s="298"/>
      <c r="J70" s="298"/>
      <c r="K70" s="298"/>
      <c r="L70" s="280">
        <f>L64+L68</f>
        <v>0</v>
      </c>
      <c r="M70" s="281"/>
      <c r="N70" s="281"/>
      <c r="O70" s="281"/>
      <c r="P70" s="281"/>
      <c r="Q70" s="281"/>
      <c r="R70" s="280">
        <f>R64+R68</f>
        <v>18500000</v>
      </c>
      <c r="S70" s="281"/>
      <c r="T70" s="281"/>
      <c r="U70" s="281"/>
      <c r="V70" s="281"/>
      <c r="W70" s="282"/>
      <c r="X70" s="280">
        <f>X64+X68</f>
        <v>43000000</v>
      </c>
      <c r="Y70" s="281"/>
      <c r="Z70" s="281"/>
      <c r="AA70" s="281"/>
      <c r="AB70" s="281"/>
      <c r="AC70" s="281"/>
      <c r="AD70" s="281"/>
      <c r="AE70" s="282"/>
      <c r="AF70" s="280">
        <f>AF64+AF68</f>
        <v>28650000</v>
      </c>
      <c r="AG70" s="281"/>
      <c r="AH70" s="281"/>
      <c r="AI70" s="281"/>
      <c r="AJ70" s="281"/>
      <c r="AK70" s="282"/>
      <c r="AL70" s="280">
        <f>AL64+AL68</f>
        <v>24300000</v>
      </c>
      <c r="AM70" s="281"/>
      <c r="AN70" s="281"/>
      <c r="AO70" s="281"/>
      <c r="AP70" s="281"/>
      <c r="AQ70" s="282"/>
      <c r="AR70" s="290">
        <f>AR64+AR68</f>
        <v>10950000</v>
      </c>
      <c r="AS70" s="291"/>
      <c r="AT70" s="292"/>
      <c r="AU70" s="290">
        <f>AU64+AU68</f>
        <v>5050000</v>
      </c>
      <c r="AV70" s="291"/>
      <c r="AW70" s="292"/>
      <c r="AX70" s="280">
        <f>AX64+AX68</f>
        <v>7300000</v>
      </c>
      <c r="AY70" s="281"/>
      <c r="AZ70" s="282"/>
      <c r="BA70" s="102"/>
    </row>
    <row r="71" spans="6:53">
      <c r="AL71" s="280">
        <f>SUM(R70:AQ70)</f>
        <v>114450000</v>
      </c>
      <c r="AM71" s="281"/>
      <c r="AN71" s="281"/>
      <c r="AO71" s="281"/>
      <c r="AP71" s="281"/>
      <c r="AQ71" s="282"/>
      <c r="AX71" s="280">
        <f>SUM(AR70:AZ70)</f>
        <v>23300000</v>
      </c>
      <c r="AY71" s="281"/>
      <c r="AZ71" s="282"/>
      <c r="BA71" s="102">
        <f>SUM(BA64,BA68)</f>
        <v>137750000</v>
      </c>
    </row>
    <row r="72" spans="6:53">
      <c r="BA72" s="184">
        <v>199150000</v>
      </c>
    </row>
    <row r="73" spans="6:53">
      <c r="BA73" s="102">
        <f>BA72-BA71</f>
        <v>61400000</v>
      </c>
    </row>
  </sheetData>
  <mergeCells count="168">
    <mergeCell ref="H63:K63"/>
    <mergeCell ref="R63:W63"/>
    <mergeCell ref="X63:AE63"/>
    <mergeCell ref="AF63:AK63"/>
    <mergeCell ref="AL63:AQ63"/>
    <mergeCell ref="AR63:AT63"/>
    <mergeCell ref="AU63:AW63"/>
    <mergeCell ref="AF60:AK60"/>
    <mergeCell ref="H62:K62"/>
    <mergeCell ref="R62:W62"/>
    <mergeCell ref="X62:AE62"/>
    <mergeCell ref="AF62:AK62"/>
    <mergeCell ref="AL62:AQ62"/>
    <mergeCell ref="AR62:AT62"/>
    <mergeCell ref="H61:K61"/>
    <mergeCell ref="R61:W61"/>
    <mergeCell ref="H60:K60"/>
    <mergeCell ref="R60:W60"/>
    <mergeCell ref="AX63:AZ63"/>
    <mergeCell ref="AV6:AW6"/>
    <mergeCell ref="AD6:AE6"/>
    <mergeCell ref="AF6:AG6"/>
    <mergeCell ref="AH6:AI6"/>
    <mergeCell ref="AJ6:AK6"/>
    <mergeCell ref="AL6:AM6"/>
    <mergeCell ref="AN6:AO6"/>
    <mergeCell ref="AX62:AZ62"/>
    <mergeCell ref="AL60:AQ60"/>
    <mergeCell ref="AR60:AT60"/>
    <mergeCell ref="X61:AE61"/>
    <mergeCell ref="AF61:AK61"/>
    <mergeCell ref="AL61:AQ61"/>
    <mergeCell ref="AR61:AT61"/>
    <mergeCell ref="X60:AE60"/>
    <mergeCell ref="AX61:AZ61"/>
    <mergeCell ref="AX60:AZ60"/>
    <mergeCell ref="AT6:AU6"/>
    <mergeCell ref="X6:Y6"/>
    <mergeCell ref="Z6:AA6"/>
    <mergeCell ref="AP6:AQ6"/>
    <mergeCell ref="AR6:AS6"/>
    <mergeCell ref="AT2:AU2"/>
    <mergeCell ref="AV2:AW2"/>
    <mergeCell ref="AH2:AI2"/>
    <mergeCell ref="AJ2:AK2"/>
    <mergeCell ref="AL2:AM2"/>
    <mergeCell ref="AN2:AO2"/>
    <mergeCell ref="AP2:AQ2"/>
    <mergeCell ref="AR2:AS2"/>
    <mergeCell ref="B5:D6"/>
    <mergeCell ref="E5:E6"/>
    <mergeCell ref="F5:F6"/>
    <mergeCell ref="G5:G6"/>
    <mergeCell ref="H5:K5"/>
    <mergeCell ref="B4:D4"/>
    <mergeCell ref="H4:K4"/>
    <mergeCell ref="H6:I6"/>
    <mergeCell ref="J6:K6"/>
    <mergeCell ref="L6:M6"/>
    <mergeCell ref="N6:O6"/>
    <mergeCell ref="P6:Q6"/>
    <mergeCell ref="R6:S6"/>
    <mergeCell ref="T6:U6"/>
    <mergeCell ref="V6:W6"/>
    <mergeCell ref="L5:Q5"/>
    <mergeCell ref="AF2:AG2"/>
    <mergeCell ref="L4:Q4"/>
    <mergeCell ref="R3:X3"/>
    <mergeCell ref="Y3:AE3"/>
    <mergeCell ref="H3:K3"/>
    <mergeCell ref="AU3:AW3"/>
    <mergeCell ref="AR3:AT3"/>
    <mergeCell ref="AL4:AQ4"/>
    <mergeCell ref="AR4:AT4"/>
    <mergeCell ref="AU4:AW4"/>
    <mergeCell ref="AF4:AK4"/>
    <mergeCell ref="Y4:AE4"/>
    <mergeCell ref="R4:X4"/>
    <mergeCell ref="J2:K2"/>
    <mergeCell ref="L2:M2"/>
    <mergeCell ref="N2:O2"/>
    <mergeCell ref="P2:Q2"/>
    <mergeCell ref="R2:S2"/>
    <mergeCell ref="T2:U2"/>
    <mergeCell ref="X2:Y2"/>
    <mergeCell ref="Z2:AA2"/>
    <mergeCell ref="AB2:AC2"/>
    <mergeCell ref="V2:W2"/>
    <mergeCell ref="AD2:AE2"/>
    <mergeCell ref="AU5:AW5"/>
    <mergeCell ref="AB6:AC6"/>
    <mergeCell ref="AF5:AK5"/>
    <mergeCell ref="AL5:AQ5"/>
    <mergeCell ref="AR5:AT5"/>
    <mergeCell ref="AF3:AK3"/>
    <mergeCell ref="AL3:AQ3"/>
    <mergeCell ref="R64:W64"/>
    <mergeCell ref="X64:AE64"/>
    <mergeCell ref="AF64:AK64"/>
    <mergeCell ref="AL64:AQ64"/>
    <mergeCell ref="AR64:AT64"/>
    <mergeCell ref="Y5:AE5"/>
    <mergeCell ref="R5:X5"/>
    <mergeCell ref="AX64:AZ64"/>
    <mergeCell ref="H67:K67"/>
    <mergeCell ref="R67:W67"/>
    <mergeCell ref="X67:AE67"/>
    <mergeCell ref="AF67:AK67"/>
    <mergeCell ref="AL65:AQ65"/>
    <mergeCell ref="AR65:AT65"/>
    <mergeCell ref="AX65:AZ65"/>
    <mergeCell ref="H66:K66"/>
    <mergeCell ref="R66:W66"/>
    <mergeCell ref="X66:AE66"/>
    <mergeCell ref="AF66:AK66"/>
    <mergeCell ref="AL66:AQ66"/>
    <mergeCell ref="AR66:AT66"/>
    <mergeCell ref="AX66:AZ66"/>
    <mergeCell ref="H65:K65"/>
    <mergeCell ref="R65:W65"/>
    <mergeCell ref="AX5:AZ5"/>
    <mergeCell ref="H70:K70"/>
    <mergeCell ref="R70:W70"/>
    <mergeCell ref="X70:AE70"/>
    <mergeCell ref="AF70:AK70"/>
    <mergeCell ref="AL68:AQ68"/>
    <mergeCell ref="AR68:AT68"/>
    <mergeCell ref="AX68:AZ68"/>
    <mergeCell ref="AU60:AW60"/>
    <mergeCell ref="AU61:AW61"/>
    <mergeCell ref="AU62:AW62"/>
    <mergeCell ref="AU64:AW64"/>
    <mergeCell ref="AU65:AW65"/>
    <mergeCell ref="AU66:AW66"/>
    <mergeCell ref="AU67:AW67"/>
    <mergeCell ref="AU68:AW68"/>
    <mergeCell ref="H68:K68"/>
    <mergeCell ref="R68:W68"/>
    <mergeCell ref="X68:AE68"/>
    <mergeCell ref="AF68:AK68"/>
    <mergeCell ref="AL67:AQ67"/>
    <mergeCell ref="AR67:AT67"/>
    <mergeCell ref="AX67:AZ67"/>
    <mergeCell ref="H64:K64"/>
    <mergeCell ref="AL71:AQ71"/>
    <mergeCell ref="AX71:AZ71"/>
    <mergeCell ref="AL1:AW1"/>
    <mergeCell ref="N1:AK1"/>
    <mergeCell ref="L3:Q3"/>
    <mergeCell ref="L70:Q70"/>
    <mergeCell ref="L68:Q68"/>
    <mergeCell ref="L67:Q67"/>
    <mergeCell ref="L66:Q66"/>
    <mergeCell ref="L65:Q65"/>
    <mergeCell ref="L64:Q64"/>
    <mergeCell ref="L63:Q63"/>
    <mergeCell ref="L62:Q62"/>
    <mergeCell ref="L61:Q61"/>
    <mergeCell ref="L60:Q60"/>
    <mergeCell ref="AL70:AQ70"/>
    <mergeCell ref="AR70:AT70"/>
    <mergeCell ref="AU70:AW70"/>
    <mergeCell ref="X65:AE65"/>
    <mergeCell ref="AF65:AK65"/>
    <mergeCell ref="H1:M1"/>
    <mergeCell ref="H2:I2"/>
    <mergeCell ref="AX70:AZ70"/>
    <mergeCell ref="AX4:AZ4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AX56"/>
  <sheetViews>
    <sheetView zoomScaleNormal="100" workbookViewId="0">
      <selection activeCell="C7" sqref="C7:C15"/>
    </sheetView>
  </sheetViews>
  <sheetFormatPr defaultColWidth="8.85546875" defaultRowHeight="13.15"/>
  <cols>
    <col min="1" max="1" width="4.42578125" style="151" customWidth="1"/>
    <col min="2" max="2" width="5.42578125" bestFit="1" customWidth="1"/>
    <col min="3" max="3" width="13.42578125" customWidth="1"/>
    <col min="4" max="4" width="3.85546875" bestFit="1" customWidth="1"/>
    <col min="5" max="5" width="7.7109375" bestFit="1" customWidth="1"/>
    <col min="6" max="6" width="13.28515625" style="102" customWidth="1"/>
    <col min="7" max="7" width="16.7109375" style="102" customWidth="1"/>
    <col min="8" max="49" width="4" customWidth="1"/>
    <col min="50" max="50" width="10" style="166" bestFit="1" customWidth="1"/>
  </cols>
  <sheetData>
    <row r="1" spans="1:50">
      <c r="H1" s="294" t="s">
        <v>815</v>
      </c>
      <c r="I1" s="294"/>
      <c r="J1" s="294"/>
      <c r="K1" s="294"/>
      <c r="L1" s="294"/>
      <c r="M1" s="294"/>
      <c r="N1" s="294" t="s">
        <v>816</v>
      </c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 t="s">
        <v>817</v>
      </c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</row>
    <row r="2" spans="1:50" s="100" customFormat="1">
      <c r="F2" s="103"/>
      <c r="G2" s="103">
        <f>'[1]要員計画(オフショア利用)　調整前'!G5-'要員計画(オフショア利用)　原価'!G5</f>
        <v>28490000</v>
      </c>
      <c r="H2" s="295">
        <v>44105</v>
      </c>
      <c r="I2" s="295"/>
      <c r="J2" s="295">
        <v>44136</v>
      </c>
      <c r="K2" s="295"/>
      <c r="L2" s="295">
        <v>44166</v>
      </c>
      <c r="M2" s="295"/>
      <c r="N2" s="295">
        <v>44197</v>
      </c>
      <c r="O2" s="295"/>
      <c r="P2" s="295">
        <v>44228</v>
      </c>
      <c r="Q2" s="295"/>
      <c r="R2" s="295">
        <v>44256</v>
      </c>
      <c r="S2" s="295"/>
      <c r="T2" s="295">
        <v>44287</v>
      </c>
      <c r="U2" s="295"/>
      <c r="V2" s="295">
        <v>44317</v>
      </c>
      <c r="W2" s="295"/>
      <c r="X2" s="295">
        <v>44348</v>
      </c>
      <c r="Y2" s="295"/>
      <c r="Z2" s="295">
        <v>44378</v>
      </c>
      <c r="AA2" s="295"/>
      <c r="AB2" s="295">
        <v>44409</v>
      </c>
      <c r="AC2" s="295"/>
      <c r="AD2" s="295">
        <v>44440</v>
      </c>
      <c r="AE2" s="295"/>
      <c r="AF2" s="295">
        <v>44470</v>
      </c>
      <c r="AG2" s="295"/>
      <c r="AH2" s="295">
        <v>44501</v>
      </c>
      <c r="AI2" s="295"/>
      <c r="AJ2" s="295">
        <v>44531</v>
      </c>
      <c r="AK2" s="295"/>
      <c r="AL2" s="295">
        <v>44562</v>
      </c>
      <c r="AM2" s="295"/>
      <c r="AN2" s="295">
        <v>44593</v>
      </c>
      <c r="AO2" s="295"/>
      <c r="AP2" s="295">
        <v>44621</v>
      </c>
      <c r="AQ2" s="295"/>
      <c r="AR2" s="295">
        <v>44652</v>
      </c>
      <c r="AS2" s="295"/>
      <c r="AT2" s="295">
        <v>44682</v>
      </c>
      <c r="AU2" s="295"/>
      <c r="AV2" s="295">
        <v>44713</v>
      </c>
      <c r="AW2" s="295"/>
      <c r="AX2" s="167"/>
    </row>
    <row r="3" spans="1:50" s="101" customFormat="1">
      <c r="A3" s="152" t="s">
        <v>818</v>
      </c>
      <c r="B3" s="109" t="s">
        <v>67</v>
      </c>
      <c r="C3" s="109" t="s">
        <v>819</v>
      </c>
      <c r="D3" s="109" t="s">
        <v>820</v>
      </c>
      <c r="E3" s="109" t="s">
        <v>8</v>
      </c>
      <c r="F3" s="110"/>
      <c r="G3" s="110" t="s">
        <v>10</v>
      </c>
      <c r="H3" s="327" t="s">
        <v>784</v>
      </c>
      <c r="I3" s="327"/>
      <c r="J3" s="327"/>
      <c r="K3" s="327"/>
      <c r="L3" s="286" t="s">
        <v>785</v>
      </c>
      <c r="M3" s="287"/>
      <c r="N3" s="287"/>
      <c r="O3" s="287"/>
      <c r="P3" s="287"/>
      <c r="Q3" s="368"/>
      <c r="R3" s="323" t="s">
        <v>786</v>
      </c>
      <c r="S3" s="324"/>
      <c r="T3" s="324"/>
      <c r="U3" s="324"/>
      <c r="V3" s="324"/>
      <c r="W3" s="369"/>
      <c r="X3" s="370" t="s">
        <v>821</v>
      </c>
      <c r="Y3" s="325"/>
      <c r="Z3" s="325"/>
      <c r="AA3" s="325"/>
      <c r="AB3" s="325"/>
      <c r="AC3" s="325"/>
      <c r="AD3" s="325"/>
      <c r="AE3" s="326"/>
      <c r="AF3" s="315" t="s">
        <v>788</v>
      </c>
      <c r="AG3" s="316"/>
      <c r="AH3" s="316"/>
      <c r="AI3" s="316"/>
      <c r="AJ3" s="316"/>
      <c r="AK3" s="317"/>
      <c r="AL3" s="318" t="s">
        <v>789</v>
      </c>
      <c r="AM3" s="319"/>
      <c r="AN3" s="319"/>
      <c r="AO3" s="319"/>
      <c r="AP3" s="319"/>
      <c r="AQ3" s="320"/>
      <c r="AR3" s="302" t="s">
        <v>790</v>
      </c>
      <c r="AS3" s="303"/>
      <c r="AT3" s="304"/>
      <c r="AU3" s="157" t="s">
        <v>822</v>
      </c>
      <c r="AV3" s="157"/>
      <c r="AW3" s="157"/>
      <c r="AX3" s="168"/>
    </row>
    <row r="4" spans="1:50">
      <c r="A4" s="104"/>
      <c r="B4" s="346" t="s">
        <v>823</v>
      </c>
      <c r="C4" s="347"/>
      <c r="D4" s="348"/>
      <c r="E4" s="105">
        <f>[1]工数算出!U3</f>
        <v>314.79499999999985</v>
      </c>
      <c r="F4" s="174">
        <f>('[1]要員計画(オフショア利用)　調整前'!G5-'要員計画(オフショア利用)　原価'!G5+(9*21*250000))/'[1]要員計画(オフショア利用)　調整前'!G5</f>
        <v>0.33343605546995375</v>
      </c>
      <c r="G4" s="108">
        <f>[1]工数算出!D4</f>
        <v>298968000</v>
      </c>
      <c r="H4" s="314">
        <f>[1]工数算出!J3</f>
        <v>16.69499999999999</v>
      </c>
      <c r="I4" s="314"/>
      <c r="J4" s="314"/>
      <c r="K4" s="314"/>
      <c r="L4" s="310">
        <f>[1]工数算出!K3</f>
        <v>35.639999999999915</v>
      </c>
      <c r="M4" s="311"/>
      <c r="N4" s="311"/>
      <c r="O4" s="311"/>
      <c r="P4" s="311"/>
      <c r="Q4" s="312"/>
      <c r="R4" s="365">
        <f>[1]工数算出!L3</f>
        <v>37.650000000000134</v>
      </c>
      <c r="S4" s="366"/>
      <c r="T4" s="366"/>
      <c r="U4" s="366"/>
      <c r="V4" s="366"/>
      <c r="W4" s="367"/>
      <c r="X4" s="310">
        <f>[1]工数算出!M3</f>
        <v>68.210000000000065</v>
      </c>
      <c r="Y4" s="311"/>
      <c r="Z4" s="311"/>
      <c r="AA4" s="311"/>
      <c r="AB4" s="311"/>
      <c r="AC4" s="311"/>
      <c r="AD4" s="311"/>
      <c r="AE4" s="312"/>
      <c r="AF4" s="311">
        <f>[1]工数算出!N3</f>
        <v>42.379999999999939</v>
      </c>
      <c r="AG4" s="311"/>
      <c r="AH4" s="311"/>
      <c r="AI4" s="311"/>
      <c r="AJ4" s="311"/>
      <c r="AK4" s="312"/>
      <c r="AL4" s="310">
        <f>[1]工数算出!O3</f>
        <v>28.134999999999867</v>
      </c>
      <c r="AM4" s="311"/>
      <c r="AN4" s="311"/>
      <c r="AO4" s="311"/>
      <c r="AP4" s="311"/>
      <c r="AQ4" s="312"/>
      <c r="AR4" s="314">
        <f>[1]工数算出!P3</f>
        <v>11.819999999999972</v>
      </c>
      <c r="AS4" s="314"/>
      <c r="AT4" s="314"/>
      <c r="AU4" s="331">
        <f>[1]工数算出!Q3</f>
        <v>31.620000000000015</v>
      </c>
      <c r="AV4" s="332"/>
      <c r="AW4" s="333"/>
      <c r="AX4" s="169">
        <f>SUM(H4:AW4)</f>
        <v>272.14999999999992</v>
      </c>
    </row>
    <row r="5" spans="1:50" s="101" customFormat="1">
      <c r="A5" s="128"/>
      <c r="B5" s="334" t="s">
        <v>49</v>
      </c>
      <c r="C5" s="335"/>
      <c r="D5" s="336"/>
      <c r="E5" s="340">
        <f>SUM(H6:AW6)</f>
        <v>347</v>
      </c>
      <c r="F5" s="363">
        <f>('[1]要員計画(オフショア利用)　調整前'!G5-'要員計画(オフショア利用)　原価'!G5)/'[1]要員計画(オフショア利用)　調整前'!G5</f>
        <v>0.12542372881355932</v>
      </c>
      <c r="G5" s="344">
        <f>SUM(G7:G56)</f>
        <v>198660000</v>
      </c>
      <c r="H5" s="314">
        <f>SUM(H11:K56)/2</f>
        <v>17</v>
      </c>
      <c r="I5" s="314"/>
      <c r="J5" s="314"/>
      <c r="K5" s="314"/>
      <c r="L5" s="310">
        <f>SUM(L11:Q56)/2</f>
        <v>39</v>
      </c>
      <c r="M5" s="311"/>
      <c r="N5" s="311"/>
      <c r="O5" s="311"/>
      <c r="P5" s="311"/>
      <c r="Q5" s="312"/>
      <c r="R5" s="310">
        <f>SUM(R11:W56)/2</f>
        <v>41</v>
      </c>
      <c r="S5" s="311"/>
      <c r="T5" s="311"/>
      <c r="U5" s="311"/>
      <c r="V5" s="311"/>
      <c r="W5" s="312"/>
      <c r="X5" s="310">
        <f>SUM(X11:AE56)/2</f>
        <v>72</v>
      </c>
      <c r="Y5" s="311"/>
      <c r="Z5" s="311"/>
      <c r="AA5" s="311"/>
      <c r="AB5" s="311"/>
      <c r="AC5" s="311"/>
      <c r="AD5" s="311"/>
      <c r="AE5" s="312"/>
      <c r="AF5" s="310">
        <f>SUM(AF11:AK56)/2</f>
        <v>45</v>
      </c>
      <c r="AG5" s="311"/>
      <c r="AH5" s="311"/>
      <c r="AI5" s="311"/>
      <c r="AJ5" s="311"/>
      <c r="AK5" s="312"/>
      <c r="AL5" s="310">
        <f>SUM(AL11:AQ56)/2</f>
        <v>30</v>
      </c>
      <c r="AM5" s="311"/>
      <c r="AN5" s="311"/>
      <c r="AO5" s="311"/>
      <c r="AP5" s="311"/>
      <c r="AQ5" s="312"/>
      <c r="AR5" s="314">
        <f>SUM(AR11:AT56)/2</f>
        <v>13.5</v>
      </c>
      <c r="AS5" s="314"/>
      <c r="AT5" s="314"/>
      <c r="AU5" s="310">
        <f>SUM(AU11:AW56)/2</f>
        <v>13.5</v>
      </c>
      <c r="AV5" s="311"/>
      <c r="AW5" s="312"/>
      <c r="AX5" s="169">
        <f>SUM(H5:AW5)</f>
        <v>271</v>
      </c>
    </row>
    <row r="6" spans="1:50" s="101" customFormat="1" ht="13.9" thickBot="1">
      <c r="A6" s="150"/>
      <c r="B6" s="337"/>
      <c r="C6" s="338"/>
      <c r="D6" s="339"/>
      <c r="E6" s="341"/>
      <c r="F6" s="364"/>
      <c r="G6" s="345"/>
      <c r="H6" s="313">
        <f>SUM(H7:I56)/2</f>
        <v>11</v>
      </c>
      <c r="I6" s="313"/>
      <c r="J6" s="313">
        <f>SUM(J7:K56)/2</f>
        <v>12</v>
      </c>
      <c r="K6" s="313"/>
      <c r="L6" s="313">
        <f>SUM(L7:M56)/2</f>
        <v>17</v>
      </c>
      <c r="M6" s="313"/>
      <c r="N6" s="313">
        <f>SUM(N7:O56)/2</f>
        <v>17</v>
      </c>
      <c r="O6" s="313"/>
      <c r="P6" s="313">
        <f t="shared" ref="P6" si="0">SUM(P7:Q56)/2</f>
        <v>17</v>
      </c>
      <c r="Q6" s="313"/>
      <c r="R6" s="313">
        <f t="shared" ref="R6" si="1">SUM(R7:S56)/2</f>
        <v>17</v>
      </c>
      <c r="S6" s="313"/>
      <c r="T6" s="313">
        <f t="shared" ref="T6" si="2">SUM(T7:U56)/2</f>
        <v>17</v>
      </c>
      <c r="U6" s="313"/>
      <c r="V6" s="313">
        <f t="shared" ref="V6" si="3">SUM(V7:W56)/2</f>
        <v>19</v>
      </c>
      <c r="W6" s="313"/>
      <c r="X6" s="313">
        <f t="shared" ref="X6" si="4">SUM(X7:Y56)/2</f>
        <v>22</v>
      </c>
      <c r="Y6" s="313"/>
      <c r="Z6" s="313">
        <f t="shared" ref="Z6" si="5">SUM(Z7:AA56)/2</f>
        <v>22</v>
      </c>
      <c r="AA6" s="313"/>
      <c r="AB6" s="313">
        <f t="shared" ref="AB6" si="6">SUM(AB7:AC56)/2</f>
        <v>22</v>
      </c>
      <c r="AC6" s="313"/>
      <c r="AD6" s="313">
        <f t="shared" ref="AD6" si="7">SUM(AD7:AE56)/2</f>
        <v>22</v>
      </c>
      <c r="AE6" s="313"/>
      <c r="AF6" s="313">
        <f t="shared" ref="AF6" si="8">SUM(AF7:AG56)/2</f>
        <v>19</v>
      </c>
      <c r="AG6" s="313"/>
      <c r="AH6" s="313">
        <f t="shared" ref="AH6" si="9">SUM(AH7:AI56)/2</f>
        <v>19</v>
      </c>
      <c r="AI6" s="313"/>
      <c r="AJ6" s="313">
        <f t="shared" ref="AJ6" si="10">SUM(AJ7:AK56)/2</f>
        <v>19</v>
      </c>
      <c r="AK6" s="313"/>
      <c r="AL6" s="313">
        <f t="shared" ref="AL6" si="11">SUM(AL7:AM56)/2</f>
        <v>13</v>
      </c>
      <c r="AM6" s="313"/>
      <c r="AN6" s="313">
        <f t="shared" ref="AN6" si="12">SUM(AN7:AO56)/2</f>
        <v>13</v>
      </c>
      <c r="AO6" s="313"/>
      <c r="AP6" s="313">
        <f t="shared" ref="AP6" si="13">SUM(AP7:AQ56)/2</f>
        <v>13</v>
      </c>
      <c r="AQ6" s="313"/>
      <c r="AR6" s="313">
        <f t="shared" ref="AR6" si="14">SUM(AR7:AS56)/2</f>
        <v>12</v>
      </c>
      <c r="AS6" s="313"/>
      <c r="AT6" s="313">
        <f t="shared" ref="AT6" si="15">SUM(AT7:AU56)/2</f>
        <v>12</v>
      </c>
      <c r="AU6" s="313"/>
      <c r="AV6" s="313">
        <f t="shared" ref="AV6" si="16">SUM(AV7:AW56)/2</f>
        <v>12</v>
      </c>
      <c r="AW6" s="313"/>
      <c r="AX6" s="168"/>
    </row>
    <row r="7" spans="1:50" ht="13.9" thickTop="1">
      <c r="A7" s="127">
        <v>1</v>
      </c>
      <c r="B7" s="129" t="str">
        <f>IF('[1]要員計画(オフショア利用)　調整前'!B7="","",'[1]要員計画(オフショア利用)　調整前'!B7)</f>
        <v>PM</v>
      </c>
      <c r="C7" s="171" t="str">
        <f>IF('[1]要員計画(オフショア利用)　調整前'!C7="","",'[1]要員計画(オフショア利用)　調整前'!C7)</f>
        <v>社）小林紀昭</v>
      </c>
      <c r="D7" s="129" t="str">
        <f>IF('[1]要員計画(オフショア利用)　調整前'!D7="","",'[1]要員計画(オフショア利用)　調整前'!D7)</f>
        <v>JP</v>
      </c>
      <c r="E7" s="130">
        <f>SUM(H7:AW7)/2</f>
        <v>21</v>
      </c>
      <c r="F7" s="131">
        <v>780000</v>
      </c>
      <c r="G7" s="131">
        <f>E7*F7</f>
        <v>16380000</v>
      </c>
      <c r="H7" s="148">
        <v>1</v>
      </c>
      <c r="I7" s="149">
        <v>1</v>
      </c>
      <c r="J7" s="148">
        <v>1</v>
      </c>
      <c r="K7" s="149">
        <v>1</v>
      </c>
      <c r="L7" s="148">
        <v>1</v>
      </c>
      <c r="M7" s="149">
        <v>1</v>
      </c>
      <c r="N7" s="148">
        <v>1</v>
      </c>
      <c r="O7" s="149">
        <v>1</v>
      </c>
      <c r="P7" s="148">
        <v>1</v>
      </c>
      <c r="Q7" s="149">
        <v>1</v>
      </c>
      <c r="R7" s="148">
        <v>1</v>
      </c>
      <c r="S7" s="149">
        <v>1</v>
      </c>
      <c r="T7" s="148">
        <v>1</v>
      </c>
      <c r="U7" s="149">
        <v>1</v>
      </c>
      <c r="V7" s="148">
        <v>1</v>
      </c>
      <c r="W7" s="149">
        <v>1</v>
      </c>
      <c r="X7" s="148">
        <v>1</v>
      </c>
      <c r="Y7" s="149">
        <v>1</v>
      </c>
      <c r="Z7" s="148">
        <v>1</v>
      </c>
      <c r="AA7" s="149">
        <v>1</v>
      </c>
      <c r="AB7" s="148">
        <v>1</v>
      </c>
      <c r="AC7" s="149">
        <v>1</v>
      </c>
      <c r="AD7" s="148">
        <v>1</v>
      </c>
      <c r="AE7" s="149">
        <v>1</v>
      </c>
      <c r="AF7" s="148">
        <v>1</v>
      </c>
      <c r="AG7" s="149">
        <v>1</v>
      </c>
      <c r="AH7" s="148">
        <v>1</v>
      </c>
      <c r="AI7" s="149">
        <v>1</v>
      </c>
      <c r="AJ7" s="148">
        <v>1</v>
      </c>
      <c r="AK7" s="149">
        <v>1</v>
      </c>
      <c r="AL7" s="148">
        <v>1</v>
      </c>
      <c r="AM7" s="149">
        <v>1</v>
      </c>
      <c r="AN7" s="148">
        <v>1</v>
      </c>
      <c r="AO7" s="149">
        <v>1</v>
      </c>
      <c r="AP7" s="148">
        <v>1</v>
      </c>
      <c r="AQ7" s="149">
        <v>1</v>
      </c>
      <c r="AR7" s="148">
        <v>1</v>
      </c>
      <c r="AS7" s="149">
        <v>1</v>
      </c>
      <c r="AT7" s="148">
        <v>1</v>
      </c>
      <c r="AU7" s="149">
        <v>1</v>
      </c>
      <c r="AV7" s="148">
        <v>1</v>
      </c>
      <c r="AW7" s="149">
        <v>1</v>
      </c>
    </row>
    <row r="8" spans="1:50">
      <c r="A8" s="104">
        <v>2</v>
      </c>
      <c r="B8" s="105" t="str">
        <f>IF('[1]要員計画(オフショア利用)　調整前'!B8="","",'[1]要員計画(オフショア利用)　調整前'!B8)</f>
        <v>PMO</v>
      </c>
      <c r="C8" s="172" t="str">
        <f>IF('[1]要員計画(オフショア利用)　調整前'!C8="","",'[1]要員計画(オフショア利用)　調整前'!C8)</f>
        <v>社）福田一希</v>
      </c>
      <c r="D8" s="105" t="str">
        <f>IF('[1]要員計画(オフショア利用)　調整前'!D8="","",'[1]要員計画(オフショア利用)　調整前'!D8)</f>
        <v>JP</v>
      </c>
      <c r="E8" s="107">
        <f t="shared" ref="E8:E10" si="17">SUM(H8:AW8)/2</f>
        <v>21</v>
      </c>
      <c r="F8" s="108">
        <v>780000</v>
      </c>
      <c r="G8" s="108">
        <f>E8*F8</f>
        <v>16380000</v>
      </c>
      <c r="H8" s="111">
        <v>1</v>
      </c>
      <c r="I8" s="112">
        <v>1</v>
      </c>
      <c r="J8" s="111">
        <v>1</v>
      </c>
      <c r="K8" s="112">
        <v>1</v>
      </c>
      <c r="L8" s="111">
        <v>1</v>
      </c>
      <c r="M8" s="112">
        <v>1</v>
      </c>
      <c r="N8" s="111">
        <v>1</v>
      </c>
      <c r="O8" s="112">
        <v>1</v>
      </c>
      <c r="P8" s="111">
        <v>1</v>
      </c>
      <c r="Q8" s="112">
        <v>1</v>
      </c>
      <c r="R8" s="111">
        <v>1</v>
      </c>
      <c r="S8" s="112">
        <v>1</v>
      </c>
      <c r="T8" s="111">
        <v>1</v>
      </c>
      <c r="U8" s="112">
        <v>1</v>
      </c>
      <c r="V8" s="111">
        <v>1</v>
      </c>
      <c r="W8" s="112">
        <v>1</v>
      </c>
      <c r="X8" s="111">
        <v>1</v>
      </c>
      <c r="Y8" s="112">
        <v>1</v>
      </c>
      <c r="Z8" s="111">
        <v>1</v>
      </c>
      <c r="AA8" s="112">
        <v>1</v>
      </c>
      <c r="AB8" s="111">
        <v>1</v>
      </c>
      <c r="AC8" s="112">
        <v>1</v>
      </c>
      <c r="AD8" s="111">
        <v>1</v>
      </c>
      <c r="AE8" s="112">
        <v>1</v>
      </c>
      <c r="AF8" s="111">
        <v>1</v>
      </c>
      <c r="AG8" s="112">
        <v>1</v>
      </c>
      <c r="AH8" s="111">
        <v>1</v>
      </c>
      <c r="AI8" s="112">
        <v>1</v>
      </c>
      <c r="AJ8" s="111">
        <v>1</v>
      </c>
      <c r="AK8" s="112">
        <v>1</v>
      </c>
      <c r="AL8" s="111">
        <v>1</v>
      </c>
      <c r="AM8" s="112">
        <v>1</v>
      </c>
      <c r="AN8" s="111">
        <v>1</v>
      </c>
      <c r="AO8" s="112">
        <v>1</v>
      </c>
      <c r="AP8" s="111">
        <v>1</v>
      </c>
      <c r="AQ8" s="112">
        <v>1</v>
      </c>
      <c r="AR8" s="111">
        <v>1</v>
      </c>
      <c r="AS8" s="112">
        <v>1</v>
      </c>
      <c r="AT8" s="111">
        <v>1</v>
      </c>
      <c r="AU8" s="112">
        <v>1</v>
      </c>
      <c r="AV8" s="111">
        <v>1</v>
      </c>
      <c r="AW8" s="112">
        <v>1</v>
      </c>
    </row>
    <row r="9" spans="1:50">
      <c r="A9" s="104">
        <v>3</v>
      </c>
      <c r="B9" s="105" t="str">
        <f>IF('[1]要員計画(オフショア利用)　調整前'!B9="","",'[1]要員計画(オフショア利用)　調整前'!B9)</f>
        <v>PMO</v>
      </c>
      <c r="C9" s="172" t="str">
        <f>IF('[1]要員計画(オフショア利用)　調整前'!C9="","",'[1]要員計画(オフショア利用)　調整前'!C9)</f>
        <v>契）池上彩子</v>
      </c>
      <c r="D9" s="105" t="str">
        <f>IF('[1]要員計画(オフショア利用)　調整前'!D9="","",'[1]要員計画(オフショア利用)　調整前'!D9)</f>
        <v>JP</v>
      </c>
      <c r="E9" s="107">
        <f t="shared" si="17"/>
        <v>21</v>
      </c>
      <c r="F9" s="108">
        <v>300000</v>
      </c>
      <c r="G9" s="108">
        <f>E9*F9</f>
        <v>6300000</v>
      </c>
      <c r="H9" s="111">
        <v>1</v>
      </c>
      <c r="I9" s="112">
        <v>1</v>
      </c>
      <c r="J9" s="111">
        <v>1</v>
      </c>
      <c r="K9" s="112">
        <v>1</v>
      </c>
      <c r="L9" s="111">
        <v>1</v>
      </c>
      <c r="M9" s="112">
        <v>1</v>
      </c>
      <c r="N9" s="111">
        <v>1</v>
      </c>
      <c r="O9" s="112">
        <v>1</v>
      </c>
      <c r="P9" s="111">
        <v>1</v>
      </c>
      <c r="Q9" s="112">
        <v>1</v>
      </c>
      <c r="R9" s="111">
        <v>1</v>
      </c>
      <c r="S9" s="112">
        <v>1</v>
      </c>
      <c r="T9" s="111">
        <v>1</v>
      </c>
      <c r="U9" s="112">
        <v>1</v>
      </c>
      <c r="V9" s="111">
        <v>1</v>
      </c>
      <c r="W9" s="112">
        <v>1</v>
      </c>
      <c r="X9" s="111">
        <v>1</v>
      </c>
      <c r="Y9" s="112">
        <v>1</v>
      </c>
      <c r="Z9" s="111">
        <v>1</v>
      </c>
      <c r="AA9" s="112">
        <v>1</v>
      </c>
      <c r="AB9" s="111">
        <v>1</v>
      </c>
      <c r="AC9" s="112">
        <v>1</v>
      </c>
      <c r="AD9" s="111">
        <v>1</v>
      </c>
      <c r="AE9" s="112">
        <v>1</v>
      </c>
      <c r="AF9" s="111">
        <v>1</v>
      </c>
      <c r="AG9" s="112">
        <v>1</v>
      </c>
      <c r="AH9" s="111">
        <v>1</v>
      </c>
      <c r="AI9" s="112">
        <v>1</v>
      </c>
      <c r="AJ9" s="111">
        <v>1</v>
      </c>
      <c r="AK9" s="112">
        <v>1</v>
      </c>
      <c r="AL9" s="111">
        <v>1</v>
      </c>
      <c r="AM9" s="112">
        <v>1</v>
      </c>
      <c r="AN9" s="111">
        <v>1</v>
      </c>
      <c r="AO9" s="112">
        <v>1</v>
      </c>
      <c r="AP9" s="111">
        <v>1</v>
      </c>
      <c r="AQ9" s="112">
        <v>1</v>
      </c>
      <c r="AR9" s="111">
        <v>1</v>
      </c>
      <c r="AS9" s="112">
        <v>1</v>
      </c>
      <c r="AT9" s="111">
        <v>1</v>
      </c>
      <c r="AU9" s="112">
        <v>1</v>
      </c>
      <c r="AV9" s="111">
        <v>1</v>
      </c>
      <c r="AW9" s="112">
        <v>1</v>
      </c>
    </row>
    <row r="10" spans="1:50" ht="13.9" thickBot="1">
      <c r="A10" s="140">
        <v>4</v>
      </c>
      <c r="B10" s="141" t="str">
        <f>IF('[1]要員計画(オフショア利用)　調整前'!B10="","",'[1]要員計画(オフショア利用)　調整前'!B10)</f>
        <v>BSE</v>
      </c>
      <c r="C10" s="173" t="str">
        <f>IF('[1]要員計画(オフショア利用)　調整前'!C10="","",'[1]要員計画(オフショア利用)　調整前'!C10)</f>
        <v>社）グエンハイアイン</v>
      </c>
      <c r="D10" s="141" t="str">
        <f>IF('[1]要員計画(オフショア利用)　調整前'!D10="","",'[1]要員計画(オフショア利用)　調整前'!D10)</f>
        <v>JP</v>
      </c>
      <c r="E10" s="142">
        <f t="shared" si="17"/>
        <v>13</v>
      </c>
      <c r="F10" s="143">
        <v>780000</v>
      </c>
      <c r="G10" s="143">
        <f t="shared" ref="G10:G56" si="18">E10*F10</f>
        <v>10140000</v>
      </c>
      <c r="H10" s="144"/>
      <c r="I10" s="145"/>
      <c r="J10" s="144"/>
      <c r="K10" s="145"/>
      <c r="L10" s="144">
        <v>1</v>
      </c>
      <c r="M10" s="145">
        <v>1</v>
      </c>
      <c r="N10" s="144">
        <v>1</v>
      </c>
      <c r="O10" s="145">
        <v>1</v>
      </c>
      <c r="P10" s="144">
        <v>1</v>
      </c>
      <c r="Q10" s="145">
        <v>1</v>
      </c>
      <c r="R10" s="144">
        <v>1</v>
      </c>
      <c r="S10" s="145">
        <v>1</v>
      </c>
      <c r="T10" s="144">
        <v>1</v>
      </c>
      <c r="U10" s="145">
        <v>1</v>
      </c>
      <c r="V10" s="144">
        <v>1</v>
      </c>
      <c r="W10" s="145">
        <v>1</v>
      </c>
      <c r="X10" s="144">
        <v>1</v>
      </c>
      <c r="Y10" s="145">
        <v>1</v>
      </c>
      <c r="Z10" s="144">
        <v>1</v>
      </c>
      <c r="AA10" s="145">
        <v>1</v>
      </c>
      <c r="AB10" s="144">
        <v>1</v>
      </c>
      <c r="AC10" s="145">
        <v>1</v>
      </c>
      <c r="AD10" s="144">
        <v>1</v>
      </c>
      <c r="AE10" s="145">
        <v>1</v>
      </c>
      <c r="AF10" s="144">
        <v>1</v>
      </c>
      <c r="AG10" s="145">
        <v>1</v>
      </c>
      <c r="AH10" s="144">
        <v>1</v>
      </c>
      <c r="AI10" s="145">
        <v>1</v>
      </c>
      <c r="AJ10" s="144">
        <v>1</v>
      </c>
      <c r="AK10" s="145">
        <v>1</v>
      </c>
      <c r="AL10" s="144"/>
      <c r="AM10" s="145"/>
      <c r="AN10" s="144"/>
      <c r="AO10" s="145"/>
      <c r="AP10" s="144"/>
      <c r="AQ10" s="145"/>
      <c r="AR10" s="144"/>
      <c r="AS10" s="145"/>
      <c r="AT10" s="144"/>
      <c r="AU10" s="145"/>
      <c r="AV10" s="144"/>
      <c r="AW10" s="145"/>
    </row>
    <row r="11" spans="1:50" ht="13.9" thickTop="1">
      <c r="A11" s="127">
        <v>5</v>
      </c>
      <c r="B11" s="129" t="str">
        <f>IF('[1]要員計画(オフショア利用)　調整前'!B11="","",'[1]要員計画(オフショア利用)　調整前'!B11)</f>
        <v>TL</v>
      </c>
      <c r="C11" s="171" t="str">
        <f>IF('[1]要員計画(オフショア利用)　調整前'!C11="","",'[1]要員計画(オフショア利用)　調整前'!C11)</f>
        <v>契）朴邦彦</v>
      </c>
      <c r="D11" s="129" t="str">
        <f>IF('[1]要員計画(オフショア利用)　調整前'!D11="","",'[1]要員計画(オフショア利用)　調整前'!D11)</f>
        <v>JP</v>
      </c>
      <c r="E11" s="130">
        <f>SUM(H11:AW11)/2</f>
        <v>21</v>
      </c>
      <c r="F11" s="131">
        <v>950000</v>
      </c>
      <c r="G11" s="131">
        <f t="shared" si="18"/>
        <v>19950000</v>
      </c>
      <c r="H11" s="176">
        <v>1</v>
      </c>
      <c r="I11" s="177">
        <v>1</v>
      </c>
      <c r="J11" s="176">
        <v>1</v>
      </c>
      <c r="K11" s="177">
        <v>1</v>
      </c>
      <c r="L11" s="176">
        <v>1</v>
      </c>
      <c r="M11" s="177">
        <v>1</v>
      </c>
      <c r="N11" s="176">
        <v>1</v>
      </c>
      <c r="O11" s="177">
        <v>1</v>
      </c>
      <c r="P11" s="176">
        <v>1</v>
      </c>
      <c r="Q11" s="177">
        <v>1</v>
      </c>
      <c r="R11" s="176">
        <v>1</v>
      </c>
      <c r="S11" s="177">
        <v>1</v>
      </c>
      <c r="T11" s="176">
        <v>1</v>
      </c>
      <c r="U11" s="177">
        <v>1</v>
      </c>
      <c r="V11" s="176">
        <v>1</v>
      </c>
      <c r="W11" s="177">
        <v>1</v>
      </c>
      <c r="X11" s="111">
        <v>1</v>
      </c>
      <c r="Y11" s="112">
        <v>1</v>
      </c>
      <c r="Z11" s="111">
        <v>1</v>
      </c>
      <c r="AA11" s="112">
        <v>1</v>
      </c>
      <c r="AB11" s="176">
        <v>1</v>
      </c>
      <c r="AC11" s="177">
        <v>1</v>
      </c>
      <c r="AD11" s="176">
        <v>1</v>
      </c>
      <c r="AE11" s="177">
        <v>1</v>
      </c>
      <c r="AF11" s="176">
        <v>1</v>
      </c>
      <c r="AG11" s="177">
        <v>1</v>
      </c>
      <c r="AH11" s="176">
        <v>1</v>
      </c>
      <c r="AI11" s="177">
        <v>1</v>
      </c>
      <c r="AJ11" s="176">
        <v>1</v>
      </c>
      <c r="AK11" s="177">
        <v>1</v>
      </c>
      <c r="AL11" s="176">
        <v>1</v>
      </c>
      <c r="AM11" s="177">
        <v>1</v>
      </c>
      <c r="AN11" s="176">
        <v>1</v>
      </c>
      <c r="AO11" s="177">
        <v>1</v>
      </c>
      <c r="AP11" s="176">
        <v>1</v>
      </c>
      <c r="AQ11" s="177">
        <v>1</v>
      </c>
      <c r="AR11" s="148">
        <v>1</v>
      </c>
      <c r="AS11" s="149">
        <v>1</v>
      </c>
      <c r="AT11" s="148">
        <v>1</v>
      </c>
      <c r="AU11" s="149">
        <v>1</v>
      </c>
      <c r="AV11" s="148">
        <v>1</v>
      </c>
      <c r="AW11" s="149">
        <v>1</v>
      </c>
    </row>
    <row r="12" spans="1:50">
      <c r="A12" s="104">
        <v>6</v>
      </c>
      <c r="B12" s="105" t="str">
        <f>IF('[1]要員計画(オフショア利用)　調整前'!B12="","",'[1]要員計画(オフショア利用)　調整前'!B12)</f>
        <v>TL</v>
      </c>
      <c r="C12" s="172" t="str">
        <f>IF('[1]要員計画(オフショア利用)　調整前'!C12="","",'[1]要員計画(オフショア利用)　調整前'!C12)</f>
        <v>BP）房谷俊彦</v>
      </c>
      <c r="D12" s="105" t="str">
        <f>IF('[1]要員計画(オフショア利用)　調整前'!D12="","",'[1]要員計画(オフショア利用)　調整前'!D12)</f>
        <v>JP</v>
      </c>
      <c r="E12" s="107">
        <f t="shared" ref="E12:E56" si="19">SUM(H12:AW12)/2</f>
        <v>21</v>
      </c>
      <c r="F12" s="108">
        <v>700000</v>
      </c>
      <c r="G12" s="108">
        <f t="shared" si="18"/>
        <v>14700000</v>
      </c>
      <c r="H12" s="111">
        <v>1</v>
      </c>
      <c r="I12" s="112">
        <v>1</v>
      </c>
      <c r="J12" s="111">
        <v>1</v>
      </c>
      <c r="K12" s="112">
        <v>1</v>
      </c>
      <c r="L12" s="111">
        <v>1</v>
      </c>
      <c r="M12" s="112">
        <v>1</v>
      </c>
      <c r="N12" s="111">
        <v>1</v>
      </c>
      <c r="O12" s="112">
        <v>1</v>
      </c>
      <c r="P12" s="111">
        <v>1</v>
      </c>
      <c r="Q12" s="112">
        <v>1</v>
      </c>
      <c r="R12" s="111">
        <v>1</v>
      </c>
      <c r="S12" s="112">
        <v>1</v>
      </c>
      <c r="T12" s="111">
        <v>1</v>
      </c>
      <c r="U12" s="112">
        <v>1</v>
      </c>
      <c r="V12" s="111">
        <v>1</v>
      </c>
      <c r="W12" s="112">
        <v>1</v>
      </c>
      <c r="X12" s="111">
        <v>1</v>
      </c>
      <c r="Y12" s="112">
        <v>1</v>
      </c>
      <c r="Z12" s="111">
        <v>1</v>
      </c>
      <c r="AA12" s="112">
        <v>1</v>
      </c>
      <c r="AB12" s="111">
        <v>1</v>
      </c>
      <c r="AC12" s="112">
        <v>1</v>
      </c>
      <c r="AD12" s="111">
        <v>1</v>
      </c>
      <c r="AE12" s="112">
        <v>1</v>
      </c>
      <c r="AF12" s="111">
        <v>1</v>
      </c>
      <c r="AG12" s="112">
        <v>1</v>
      </c>
      <c r="AH12" s="111">
        <v>1</v>
      </c>
      <c r="AI12" s="112">
        <v>1</v>
      </c>
      <c r="AJ12" s="111">
        <v>1</v>
      </c>
      <c r="AK12" s="112">
        <v>1</v>
      </c>
      <c r="AL12" s="111">
        <v>1</v>
      </c>
      <c r="AM12" s="112">
        <v>1</v>
      </c>
      <c r="AN12" s="111">
        <v>1</v>
      </c>
      <c r="AO12" s="112">
        <v>1</v>
      </c>
      <c r="AP12" s="111">
        <v>1</v>
      </c>
      <c r="AQ12" s="112">
        <v>1</v>
      </c>
      <c r="AR12" s="111">
        <v>1</v>
      </c>
      <c r="AS12" s="112">
        <v>1</v>
      </c>
      <c r="AT12" s="111">
        <v>1</v>
      </c>
      <c r="AU12" s="112">
        <v>1</v>
      </c>
      <c r="AV12" s="111">
        <v>1</v>
      </c>
      <c r="AW12" s="112">
        <v>1</v>
      </c>
    </row>
    <row r="13" spans="1:50">
      <c r="A13" s="104">
        <v>7</v>
      </c>
      <c r="B13" s="105" t="str">
        <f>IF('[1]要員計画(オフショア利用)　調整前'!B13="","",'[1]要員計画(オフショア利用)　調整前'!B13)</f>
        <v>TL</v>
      </c>
      <c r="C13" s="172" t="str">
        <f>IF('[1]要員計画(オフショア利用)　調整前'!C13="","",'[1]要員計画(オフショア利用)　調整前'!C13)</f>
        <v>社）伊達翔互</v>
      </c>
      <c r="D13" s="105" t="str">
        <f>IF('[1]要員計画(オフショア利用)　調整前'!D13="","",'[1]要員計画(オフショア利用)　調整前'!D13)</f>
        <v>JP</v>
      </c>
      <c r="E13" s="107">
        <f t="shared" si="19"/>
        <v>21</v>
      </c>
      <c r="F13" s="131">
        <v>780000</v>
      </c>
      <c r="G13" s="108">
        <f t="shared" si="18"/>
        <v>16380000</v>
      </c>
      <c r="H13" s="111">
        <v>1</v>
      </c>
      <c r="I13" s="112">
        <v>1</v>
      </c>
      <c r="J13" s="111">
        <v>1</v>
      </c>
      <c r="K13" s="112">
        <v>1</v>
      </c>
      <c r="L13" s="111">
        <v>1</v>
      </c>
      <c r="M13" s="112">
        <v>1</v>
      </c>
      <c r="N13" s="111">
        <v>1</v>
      </c>
      <c r="O13" s="112">
        <v>1</v>
      </c>
      <c r="P13" s="111">
        <v>1</v>
      </c>
      <c r="Q13" s="112">
        <v>1</v>
      </c>
      <c r="R13" s="111">
        <v>1</v>
      </c>
      <c r="S13" s="112">
        <v>1</v>
      </c>
      <c r="T13" s="111">
        <v>1</v>
      </c>
      <c r="U13" s="112">
        <v>1</v>
      </c>
      <c r="V13" s="111">
        <v>1</v>
      </c>
      <c r="W13" s="112">
        <v>1</v>
      </c>
      <c r="X13" s="111">
        <v>1</v>
      </c>
      <c r="Y13" s="112">
        <v>1</v>
      </c>
      <c r="Z13" s="111">
        <v>1</v>
      </c>
      <c r="AA13" s="112">
        <v>1</v>
      </c>
      <c r="AB13" s="111">
        <v>1</v>
      </c>
      <c r="AC13" s="112">
        <v>1</v>
      </c>
      <c r="AD13" s="111">
        <v>1</v>
      </c>
      <c r="AE13" s="112">
        <v>1</v>
      </c>
      <c r="AF13" s="111">
        <v>1</v>
      </c>
      <c r="AG13" s="112">
        <v>1</v>
      </c>
      <c r="AH13" s="111">
        <v>1</v>
      </c>
      <c r="AI13" s="112">
        <v>1</v>
      </c>
      <c r="AJ13" s="111">
        <v>1</v>
      </c>
      <c r="AK13" s="112">
        <v>1</v>
      </c>
      <c r="AL13" s="111">
        <v>1</v>
      </c>
      <c r="AM13" s="112">
        <v>1</v>
      </c>
      <c r="AN13" s="111">
        <v>1</v>
      </c>
      <c r="AO13" s="112">
        <v>1</v>
      </c>
      <c r="AP13" s="111">
        <v>1</v>
      </c>
      <c r="AQ13" s="112">
        <v>1</v>
      </c>
      <c r="AR13" s="111">
        <v>1</v>
      </c>
      <c r="AS13" s="112">
        <v>1</v>
      </c>
      <c r="AT13" s="111">
        <v>1</v>
      </c>
      <c r="AU13" s="112">
        <v>1</v>
      </c>
      <c r="AV13" s="111">
        <v>1</v>
      </c>
      <c r="AW13" s="112">
        <v>1</v>
      </c>
    </row>
    <row r="14" spans="1:50">
      <c r="A14" s="104">
        <v>8</v>
      </c>
      <c r="B14" s="105" t="str">
        <f>IF('[1]要員計画(オフショア利用)　調整前'!B14="","",'[1]要員計画(オフショア利用)　調整前'!B14)</f>
        <v/>
      </c>
      <c r="C14" s="172" t="str">
        <f>IF('[1]要員計画(オフショア利用)　調整前'!C14="","",'[1]要員計画(オフショア利用)　調整前'!C14)</f>
        <v>BP）山田晃洋</v>
      </c>
      <c r="D14" s="105" t="str">
        <f>IF('[1]要員計画(オフショア利用)　調整前'!D14="","",'[1]要員計画(オフショア利用)　調整前'!D14)</f>
        <v>JP</v>
      </c>
      <c r="E14" s="107">
        <f t="shared" si="19"/>
        <v>17</v>
      </c>
      <c r="F14" s="131">
        <v>670000</v>
      </c>
      <c r="G14" s="108">
        <f t="shared" si="18"/>
        <v>11390000</v>
      </c>
      <c r="H14" s="111">
        <v>1</v>
      </c>
      <c r="I14" s="112">
        <v>1</v>
      </c>
      <c r="J14" s="111">
        <v>1</v>
      </c>
      <c r="K14" s="112">
        <v>1</v>
      </c>
      <c r="L14" s="111">
        <v>1</v>
      </c>
      <c r="M14" s="112">
        <v>1</v>
      </c>
      <c r="N14" s="111">
        <v>1</v>
      </c>
      <c r="O14" s="112">
        <v>1</v>
      </c>
      <c r="P14" s="111">
        <v>1</v>
      </c>
      <c r="Q14" s="112">
        <v>1</v>
      </c>
      <c r="R14" s="111">
        <v>1</v>
      </c>
      <c r="S14" s="112">
        <v>1</v>
      </c>
      <c r="T14" s="111">
        <v>1</v>
      </c>
      <c r="U14" s="112">
        <v>1</v>
      </c>
      <c r="V14" s="111">
        <v>1</v>
      </c>
      <c r="W14" s="112">
        <v>1</v>
      </c>
      <c r="X14" s="111"/>
      <c r="Y14" s="112"/>
      <c r="Z14" s="111"/>
      <c r="AA14" s="112"/>
      <c r="AB14" s="111"/>
      <c r="AC14" s="112"/>
      <c r="AD14" s="111"/>
      <c r="AE14" s="112"/>
      <c r="AF14" s="111">
        <v>1</v>
      </c>
      <c r="AG14" s="112">
        <v>1</v>
      </c>
      <c r="AH14" s="111">
        <v>1</v>
      </c>
      <c r="AI14" s="112">
        <v>1</v>
      </c>
      <c r="AJ14" s="111">
        <v>1</v>
      </c>
      <c r="AK14" s="112">
        <v>1</v>
      </c>
      <c r="AL14" s="111">
        <v>1</v>
      </c>
      <c r="AM14" s="112">
        <v>1</v>
      </c>
      <c r="AN14" s="111">
        <v>1</v>
      </c>
      <c r="AO14" s="112">
        <v>1</v>
      </c>
      <c r="AP14" s="111">
        <v>1</v>
      </c>
      <c r="AQ14" s="112">
        <v>1</v>
      </c>
      <c r="AR14" s="111">
        <v>1</v>
      </c>
      <c r="AS14" s="112">
        <v>1</v>
      </c>
      <c r="AT14" s="111">
        <v>1</v>
      </c>
      <c r="AU14" s="112">
        <v>1</v>
      </c>
      <c r="AV14" s="111">
        <v>1</v>
      </c>
      <c r="AW14" s="112">
        <v>1</v>
      </c>
    </row>
    <row r="15" spans="1:50">
      <c r="A15" s="104">
        <v>9</v>
      </c>
      <c r="B15" s="105" t="str">
        <f>IF('[1]要員計画(オフショア利用)　調整前'!B15="","",'[1]要員計画(オフショア利用)　調整前'!B15)</f>
        <v/>
      </c>
      <c r="C15" s="172" t="str">
        <f>IF('[1]要員計画(オフショア利用)　調整前'!C15="","",'[1]要員計画(オフショア利用)　調整前'!C15)</f>
        <v>BP）</v>
      </c>
      <c r="D15" s="105" t="str">
        <f>IF('[1]要員計画(オフショア利用)　調整前'!D15="","",'[1]要員計画(オフショア利用)　調整前'!D15)</f>
        <v>JP</v>
      </c>
      <c r="E15" s="107">
        <f t="shared" si="19"/>
        <v>17</v>
      </c>
      <c r="F15" s="131">
        <v>700000</v>
      </c>
      <c r="G15" s="108">
        <f t="shared" si="18"/>
        <v>11900000</v>
      </c>
      <c r="H15" s="111">
        <v>1</v>
      </c>
      <c r="I15" s="112">
        <v>1</v>
      </c>
      <c r="J15" s="111">
        <v>1</v>
      </c>
      <c r="K15" s="112">
        <v>1</v>
      </c>
      <c r="L15" s="111">
        <v>1</v>
      </c>
      <c r="M15" s="112">
        <v>1</v>
      </c>
      <c r="N15" s="111">
        <v>1</v>
      </c>
      <c r="O15" s="112">
        <v>1</v>
      </c>
      <c r="P15" s="111">
        <v>1</v>
      </c>
      <c r="Q15" s="112">
        <v>1</v>
      </c>
      <c r="R15" s="111">
        <v>1</v>
      </c>
      <c r="S15" s="112">
        <v>1</v>
      </c>
      <c r="T15" s="111">
        <v>1</v>
      </c>
      <c r="U15" s="112">
        <v>1</v>
      </c>
      <c r="V15" s="111">
        <v>1</v>
      </c>
      <c r="W15" s="112">
        <v>1</v>
      </c>
      <c r="X15" s="111"/>
      <c r="Y15" s="112"/>
      <c r="Z15" s="111"/>
      <c r="AA15" s="112"/>
      <c r="AB15" s="111"/>
      <c r="AC15" s="112"/>
      <c r="AD15" s="111"/>
      <c r="AE15" s="112"/>
      <c r="AF15" s="111">
        <v>1</v>
      </c>
      <c r="AG15" s="112">
        <v>1</v>
      </c>
      <c r="AH15" s="111">
        <v>1</v>
      </c>
      <c r="AI15" s="112">
        <v>1</v>
      </c>
      <c r="AJ15" s="111">
        <v>1</v>
      </c>
      <c r="AK15" s="112">
        <v>1</v>
      </c>
      <c r="AL15" s="111">
        <v>1</v>
      </c>
      <c r="AM15" s="112">
        <v>1</v>
      </c>
      <c r="AN15" s="111">
        <v>1</v>
      </c>
      <c r="AO15" s="112">
        <v>1</v>
      </c>
      <c r="AP15" s="111">
        <v>1</v>
      </c>
      <c r="AQ15" s="112">
        <v>1</v>
      </c>
      <c r="AR15" s="111">
        <v>1</v>
      </c>
      <c r="AS15" s="112">
        <v>1</v>
      </c>
      <c r="AT15" s="111">
        <v>1</v>
      </c>
      <c r="AU15" s="112">
        <v>1</v>
      </c>
      <c r="AV15" s="111">
        <v>1</v>
      </c>
      <c r="AW15" s="112">
        <v>1</v>
      </c>
    </row>
    <row r="16" spans="1:50">
      <c r="A16" s="104">
        <v>10</v>
      </c>
      <c r="B16" s="105" t="str">
        <f>IF('[1]要員計画(オフショア利用)　調整前'!B16="","",'[1]要員計画(オフショア利用)　調整前'!B16)</f>
        <v/>
      </c>
      <c r="C16" s="172" t="str">
        <f>IF('[1]要員計画(オフショア利用)　調整前'!C16="","",'[1]要員計画(オフショア利用)　調整前'!C16)</f>
        <v>BP）</v>
      </c>
      <c r="D16" s="105" t="str">
        <f>IF('[1]要員計画(オフショア利用)　調整前'!D16="","",'[1]要員計画(オフショア利用)　調整前'!D16)</f>
        <v>JP</v>
      </c>
      <c r="E16" s="107">
        <f t="shared" si="19"/>
        <v>14</v>
      </c>
      <c r="F16" s="131">
        <v>700000</v>
      </c>
      <c r="G16" s="108">
        <f t="shared" si="18"/>
        <v>9800000</v>
      </c>
      <c r="H16" s="111">
        <v>1</v>
      </c>
      <c r="I16" s="112">
        <v>1</v>
      </c>
      <c r="J16" s="111">
        <v>1</v>
      </c>
      <c r="K16" s="112">
        <v>1</v>
      </c>
      <c r="L16" s="111">
        <v>1</v>
      </c>
      <c r="M16" s="112">
        <v>1</v>
      </c>
      <c r="N16" s="111">
        <v>1</v>
      </c>
      <c r="O16" s="112">
        <v>1</v>
      </c>
      <c r="P16" s="111">
        <v>1</v>
      </c>
      <c r="Q16" s="112">
        <v>1</v>
      </c>
      <c r="R16" s="111">
        <v>1</v>
      </c>
      <c r="S16" s="112">
        <v>1</v>
      </c>
      <c r="T16" s="111">
        <v>1</v>
      </c>
      <c r="U16" s="112">
        <v>1</v>
      </c>
      <c r="V16" s="111">
        <v>1</v>
      </c>
      <c r="W16" s="112">
        <v>1</v>
      </c>
      <c r="X16" s="111"/>
      <c r="Y16" s="112"/>
      <c r="Z16" s="111"/>
      <c r="AA16" s="112"/>
      <c r="AB16" s="111"/>
      <c r="AC16" s="112"/>
      <c r="AD16" s="111"/>
      <c r="AE16" s="112"/>
      <c r="AF16" s="111"/>
      <c r="AG16" s="112"/>
      <c r="AH16" s="111"/>
      <c r="AI16" s="112"/>
      <c r="AJ16" s="111"/>
      <c r="AK16" s="112"/>
      <c r="AL16" s="111">
        <v>1</v>
      </c>
      <c r="AM16" s="112">
        <v>1</v>
      </c>
      <c r="AN16" s="111">
        <v>1</v>
      </c>
      <c r="AO16" s="112">
        <v>1</v>
      </c>
      <c r="AP16" s="111">
        <v>1</v>
      </c>
      <c r="AQ16" s="112">
        <v>1</v>
      </c>
      <c r="AR16" s="111">
        <v>1</v>
      </c>
      <c r="AS16" s="112">
        <v>1</v>
      </c>
      <c r="AT16" s="111">
        <v>1</v>
      </c>
      <c r="AU16" s="112">
        <v>1</v>
      </c>
      <c r="AV16" s="111">
        <v>1</v>
      </c>
      <c r="AW16" s="112">
        <v>1</v>
      </c>
    </row>
    <row r="17" spans="1:49">
      <c r="A17" s="104">
        <v>11</v>
      </c>
      <c r="B17" s="105" t="str">
        <f>IF('[1]要員計画(オフショア利用)　調整前'!B17="","",'[1]要員計画(オフショア利用)　調整前'!B17)</f>
        <v/>
      </c>
      <c r="C17" s="172" t="str">
        <f>IF('[1]要員計画(オフショア利用)　調整前'!C17="","",'[1]要員計画(オフショア利用)　調整前'!C17)</f>
        <v>BP）</v>
      </c>
      <c r="D17" s="105" t="str">
        <f>IF('[1]要員計画(オフショア利用)　調整前'!D17="","",'[1]要員計画(オフショア利用)　調整前'!D17)</f>
        <v>JP</v>
      </c>
      <c r="E17" s="107">
        <f t="shared" si="19"/>
        <v>14</v>
      </c>
      <c r="F17" s="131">
        <v>650000</v>
      </c>
      <c r="G17" s="108">
        <f t="shared" si="18"/>
        <v>9100000</v>
      </c>
      <c r="H17" s="111">
        <v>1</v>
      </c>
      <c r="I17" s="112">
        <v>1</v>
      </c>
      <c r="J17" s="111">
        <v>1</v>
      </c>
      <c r="K17" s="112">
        <v>1</v>
      </c>
      <c r="L17" s="111">
        <v>1</v>
      </c>
      <c r="M17" s="112">
        <v>1</v>
      </c>
      <c r="N17" s="111">
        <v>1</v>
      </c>
      <c r="O17" s="112">
        <v>1</v>
      </c>
      <c r="P17" s="111">
        <v>1</v>
      </c>
      <c r="Q17" s="112">
        <v>1</v>
      </c>
      <c r="R17" s="111">
        <v>1</v>
      </c>
      <c r="S17" s="112">
        <v>1</v>
      </c>
      <c r="T17" s="111">
        <v>1</v>
      </c>
      <c r="U17" s="112">
        <v>1</v>
      </c>
      <c r="V17" s="111">
        <v>1</v>
      </c>
      <c r="W17" s="112">
        <v>1</v>
      </c>
      <c r="X17" s="111"/>
      <c r="Y17" s="112"/>
      <c r="Z17" s="111"/>
      <c r="AA17" s="112"/>
      <c r="AB17" s="111"/>
      <c r="AC17" s="112"/>
      <c r="AD17" s="111"/>
      <c r="AE17" s="112"/>
      <c r="AF17" s="111"/>
      <c r="AG17" s="112"/>
      <c r="AH17" s="111"/>
      <c r="AI17" s="112"/>
      <c r="AJ17" s="111"/>
      <c r="AK17" s="112"/>
      <c r="AL17" s="111">
        <v>1</v>
      </c>
      <c r="AM17" s="112">
        <v>1</v>
      </c>
      <c r="AN17" s="111">
        <v>1</v>
      </c>
      <c r="AO17" s="112">
        <v>1</v>
      </c>
      <c r="AP17" s="111">
        <v>1</v>
      </c>
      <c r="AQ17" s="112">
        <v>1</v>
      </c>
      <c r="AR17" s="111">
        <v>1</v>
      </c>
      <c r="AS17" s="112">
        <v>1</v>
      </c>
      <c r="AT17" s="111">
        <v>1</v>
      </c>
      <c r="AU17" s="112">
        <v>1</v>
      </c>
      <c r="AV17" s="111">
        <v>1</v>
      </c>
      <c r="AW17" s="112">
        <v>1</v>
      </c>
    </row>
    <row r="18" spans="1:49">
      <c r="A18" s="104">
        <v>12</v>
      </c>
      <c r="B18" s="105" t="str">
        <f>IF('[1]要員計画(オフショア利用)　調整前'!B18="","",'[1]要員計画(オフショア利用)　調整前'!B18)</f>
        <v/>
      </c>
      <c r="C18" s="172" t="str">
        <f>IF('[1]要員計画(オフショア利用)　調整前'!C18="","",'[1]要員計画(オフショア利用)　調整前'!C18)</f>
        <v>BP）</v>
      </c>
      <c r="D18" s="105" t="str">
        <f>IF('[1]要員計画(オフショア利用)　調整前'!D18="","",'[1]要員計画(オフショア利用)　調整前'!D18)</f>
        <v>JP</v>
      </c>
      <c r="E18" s="107">
        <f t="shared" si="19"/>
        <v>14</v>
      </c>
      <c r="F18" s="131">
        <v>650000</v>
      </c>
      <c r="G18" s="108">
        <f t="shared" si="18"/>
        <v>9100000</v>
      </c>
      <c r="H18" s="111">
        <v>1</v>
      </c>
      <c r="I18" s="112">
        <v>1</v>
      </c>
      <c r="J18" s="111">
        <v>1</v>
      </c>
      <c r="K18" s="112">
        <v>1</v>
      </c>
      <c r="L18" s="111">
        <v>1</v>
      </c>
      <c r="M18" s="112">
        <v>1</v>
      </c>
      <c r="N18" s="111">
        <v>1</v>
      </c>
      <c r="O18" s="112">
        <v>1</v>
      </c>
      <c r="P18" s="111">
        <v>1</v>
      </c>
      <c r="Q18" s="112">
        <v>1</v>
      </c>
      <c r="R18" s="111">
        <v>1</v>
      </c>
      <c r="S18" s="112">
        <v>1</v>
      </c>
      <c r="T18" s="111">
        <v>1</v>
      </c>
      <c r="U18" s="112">
        <v>1</v>
      </c>
      <c r="V18" s="111">
        <v>1</v>
      </c>
      <c r="W18" s="112">
        <v>1</v>
      </c>
      <c r="X18" s="111"/>
      <c r="Y18" s="112"/>
      <c r="Z18" s="111"/>
      <c r="AA18" s="112"/>
      <c r="AB18" s="111"/>
      <c r="AC18" s="112"/>
      <c r="AD18" s="111"/>
      <c r="AE18" s="112"/>
      <c r="AF18" s="111"/>
      <c r="AG18" s="112"/>
      <c r="AH18" s="111"/>
      <c r="AI18" s="112"/>
      <c r="AJ18" s="111"/>
      <c r="AK18" s="112"/>
      <c r="AL18" s="111">
        <v>1</v>
      </c>
      <c r="AM18" s="112">
        <v>1</v>
      </c>
      <c r="AN18" s="111">
        <v>1</v>
      </c>
      <c r="AO18" s="112">
        <v>1</v>
      </c>
      <c r="AP18" s="111">
        <v>1</v>
      </c>
      <c r="AQ18" s="112">
        <v>1</v>
      </c>
      <c r="AR18" s="111">
        <v>1</v>
      </c>
      <c r="AS18" s="112">
        <v>1</v>
      </c>
      <c r="AT18" s="111">
        <v>1</v>
      </c>
      <c r="AU18" s="112">
        <v>1</v>
      </c>
      <c r="AV18" s="111">
        <v>1</v>
      </c>
      <c r="AW18" s="112">
        <v>1</v>
      </c>
    </row>
    <row r="19" spans="1:49">
      <c r="A19" s="104">
        <v>13</v>
      </c>
      <c r="B19" s="105" t="str">
        <f>IF('[1]要員計画(オフショア利用)　調整前'!B19="","",'[1]要員計画(オフショア利用)　調整前'!B19)</f>
        <v/>
      </c>
      <c r="C19" s="172" t="str">
        <f>IF('[1]要員計画(オフショア利用)　調整前'!C19="","",'[1]要員計画(オフショア利用)　調整前'!C19)</f>
        <v>社）鶴岡智幸</v>
      </c>
      <c r="D19" s="105" t="str">
        <f>IF('[1]要員計画(オフショア利用)　調整前'!D19="","",'[1]要員計画(オフショア利用)　調整前'!D19)</f>
        <v>JP</v>
      </c>
      <c r="E19" s="107">
        <f t="shared" si="19"/>
        <v>20</v>
      </c>
      <c r="F19" s="108">
        <v>780000</v>
      </c>
      <c r="G19" s="108">
        <f t="shared" si="18"/>
        <v>15600000</v>
      </c>
      <c r="H19" s="111"/>
      <c r="I19" s="112"/>
      <c r="J19" s="111">
        <v>1</v>
      </c>
      <c r="K19" s="112">
        <v>1</v>
      </c>
      <c r="L19" s="111">
        <v>1</v>
      </c>
      <c r="M19" s="112">
        <v>1</v>
      </c>
      <c r="N19" s="111">
        <v>1</v>
      </c>
      <c r="O19" s="112">
        <v>1</v>
      </c>
      <c r="P19" s="111">
        <v>1</v>
      </c>
      <c r="Q19" s="112">
        <v>1</v>
      </c>
      <c r="R19" s="111">
        <v>1</v>
      </c>
      <c r="S19" s="112">
        <v>1</v>
      </c>
      <c r="T19" s="111">
        <v>1</v>
      </c>
      <c r="U19" s="112">
        <v>1</v>
      </c>
      <c r="V19" s="111">
        <v>1</v>
      </c>
      <c r="W19" s="112">
        <v>1</v>
      </c>
      <c r="X19" s="111">
        <v>1</v>
      </c>
      <c r="Y19" s="112">
        <v>1</v>
      </c>
      <c r="Z19" s="111">
        <v>1</v>
      </c>
      <c r="AA19" s="112">
        <v>1</v>
      </c>
      <c r="AB19" s="111">
        <v>1</v>
      </c>
      <c r="AC19" s="112">
        <v>1</v>
      </c>
      <c r="AD19" s="111">
        <v>1</v>
      </c>
      <c r="AE19" s="112">
        <v>1</v>
      </c>
      <c r="AF19" s="111">
        <v>1</v>
      </c>
      <c r="AG19" s="112">
        <v>1</v>
      </c>
      <c r="AH19" s="111">
        <v>1</v>
      </c>
      <c r="AI19" s="112">
        <v>1</v>
      </c>
      <c r="AJ19" s="111">
        <v>1</v>
      </c>
      <c r="AK19" s="112">
        <v>1</v>
      </c>
      <c r="AL19" s="111">
        <v>1</v>
      </c>
      <c r="AM19" s="112">
        <v>1</v>
      </c>
      <c r="AN19" s="111">
        <v>1</v>
      </c>
      <c r="AO19" s="112">
        <v>1</v>
      </c>
      <c r="AP19" s="111">
        <v>1</v>
      </c>
      <c r="AQ19" s="112">
        <v>1</v>
      </c>
      <c r="AR19" s="111">
        <v>1</v>
      </c>
      <c r="AS19" s="112">
        <v>1</v>
      </c>
      <c r="AT19" s="111">
        <v>1</v>
      </c>
      <c r="AU19" s="112">
        <v>1</v>
      </c>
      <c r="AV19" s="111">
        <v>1</v>
      </c>
      <c r="AW19" s="112">
        <v>1</v>
      </c>
    </row>
    <row r="20" spans="1:49">
      <c r="A20" s="127">
        <v>14</v>
      </c>
      <c r="B20" s="129" t="str">
        <f>IF('[1]要員計画(オフショア利用)　調整前'!B20="","",'[1]要員計画(オフショア利用)　調整前'!B20)</f>
        <v/>
      </c>
      <c r="C20" s="171" t="str">
        <f>IF('[1]要員計画(オフショア利用)　調整前'!C20="","",'[1]要員計画(オフショア利用)　調整前'!C20)</f>
        <v>社）グエンハイアイン</v>
      </c>
      <c r="D20" s="129" t="str">
        <f>IF('[1]要員計画(オフショア利用)　調整前'!D20="","",'[1]要員計画(オフショア利用)　調整前'!D20)</f>
        <v>JP</v>
      </c>
      <c r="E20" s="130">
        <f t="shared" si="19"/>
        <v>3</v>
      </c>
      <c r="F20" s="108">
        <v>780000</v>
      </c>
      <c r="G20" s="131">
        <f t="shared" si="18"/>
        <v>2340000</v>
      </c>
      <c r="H20" s="148"/>
      <c r="I20" s="149"/>
      <c r="J20" s="148"/>
      <c r="K20" s="149"/>
      <c r="L20" s="148"/>
      <c r="M20" s="149"/>
      <c r="N20" s="148"/>
      <c r="O20" s="149"/>
      <c r="P20" s="148"/>
      <c r="Q20" s="149"/>
      <c r="R20" s="148"/>
      <c r="S20" s="149"/>
      <c r="T20" s="148"/>
      <c r="U20" s="149"/>
      <c r="V20" s="148"/>
      <c r="W20" s="149"/>
      <c r="X20" s="111"/>
      <c r="Y20" s="112"/>
      <c r="Z20" s="111"/>
      <c r="AA20" s="112"/>
      <c r="AB20" s="111"/>
      <c r="AC20" s="112"/>
      <c r="AD20" s="111"/>
      <c r="AE20" s="112"/>
      <c r="AF20" s="111"/>
      <c r="AG20" s="112"/>
      <c r="AH20" s="111"/>
      <c r="AI20" s="112"/>
      <c r="AJ20" s="111"/>
      <c r="AK20" s="112"/>
      <c r="AL20" s="148">
        <v>1</v>
      </c>
      <c r="AM20" s="149">
        <v>1</v>
      </c>
      <c r="AN20" s="148">
        <v>1</v>
      </c>
      <c r="AO20" s="149">
        <v>1</v>
      </c>
      <c r="AP20" s="148">
        <v>1</v>
      </c>
      <c r="AQ20" s="149">
        <v>1</v>
      </c>
      <c r="AR20" s="148"/>
      <c r="AS20" s="149"/>
      <c r="AT20" s="148"/>
      <c r="AU20" s="149"/>
      <c r="AV20" s="148"/>
      <c r="AW20" s="149"/>
    </row>
    <row r="21" spans="1:49">
      <c r="A21" s="104">
        <v>15</v>
      </c>
      <c r="B21" s="105" t="str">
        <f>IF('[1]要員計画(オフショア利用)　調整前'!B21="","",'[1]要員計画(オフショア利用)　調整前'!B21)</f>
        <v/>
      </c>
      <c r="C21" s="172" t="str">
        <f>IF('[1]要員計画(オフショア利用)　調整前'!C21="","",'[1]要員計画(オフショア利用)　調整前'!C21)</f>
        <v>BP）</v>
      </c>
      <c r="D21" s="105" t="str">
        <f>IF('[1]要員計画(オフショア利用)　調整前'!D21="","",'[1]要員計画(オフショア利用)　調整前'!D21)</f>
        <v>JP</v>
      </c>
      <c r="E21" s="107">
        <f t="shared" si="19"/>
        <v>0</v>
      </c>
      <c r="F21" s="108">
        <v>700000</v>
      </c>
      <c r="G21" s="108">
        <f t="shared" si="18"/>
        <v>0</v>
      </c>
      <c r="H21" s="111"/>
      <c r="I21" s="112"/>
      <c r="J21" s="111"/>
      <c r="K21" s="112"/>
      <c r="L21" s="111"/>
      <c r="M21" s="112"/>
      <c r="N21" s="111"/>
      <c r="O21" s="112"/>
      <c r="P21" s="111"/>
      <c r="Q21" s="112"/>
      <c r="R21" s="111"/>
      <c r="S21" s="112"/>
      <c r="T21" s="111"/>
      <c r="U21" s="112"/>
      <c r="V21" s="111"/>
      <c r="W21" s="112"/>
      <c r="X21" s="111"/>
      <c r="Y21" s="112"/>
      <c r="Z21" s="111"/>
      <c r="AA21" s="112"/>
      <c r="AB21" s="111"/>
      <c r="AC21" s="112"/>
      <c r="AD21" s="111"/>
      <c r="AE21" s="112"/>
      <c r="AF21" s="111"/>
      <c r="AG21" s="112"/>
      <c r="AH21" s="111"/>
      <c r="AI21" s="112"/>
      <c r="AJ21" s="111"/>
      <c r="AK21" s="112"/>
      <c r="AL21" s="148"/>
      <c r="AM21" s="149"/>
      <c r="AN21" s="148"/>
      <c r="AO21" s="149"/>
      <c r="AP21" s="148"/>
      <c r="AQ21" s="149"/>
      <c r="AR21" s="111"/>
      <c r="AS21" s="112"/>
      <c r="AT21" s="111"/>
      <c r="AU21" s="112"/>
      <c r="AV21" s="111"/>
      <c r="AW21" s="112"/>
    </row>
    <row r="22" spans="1:49">
      <c r="A22" s="104">
        <v>16</v>
      </c>
      <c r="B22" s="105" t="str">
        <f>IF('[1]要員計画(オフショア利用)　調整前'!B22="","",'[1]要員計画(オフショア利用)　調整前'!B22)</f>
        <v/>
      </c>
      <c r="C22" s="172" t="str">
        <f>IF('[1]要員計画(オフショア利用)　調整前'!C22="","",'[1]要員計画(オフショア利用)　調整前'!C22)</f>
        <v>BP）</v>
      </c>
      <c r="D22" s="105" t="str">
        <f>IF('[1]要員計画(オフショア利用)　調整前'!D22="","",'[1]要員計画(オフショア利用)　調整前'!D22)</f>
        <v>JP</v>
      </c>
      <c r="E22" s="107">
        <f t="shared" si="19"/>
        <v>0</v>
      </c>
      <c r="F22" s="108">
        <v>700000</v>
      </c>
      <c r="G22" s="108">
        <f t="shared" si="18"/>
        <v>0</v>
      </c>
      <c r="H22" s="111"/>
      <c r="I22" s="112"/>
      <c r="J22" s="111"/>
      <c r="K22" s="112"/>
      <c r="L22" s="111"/>
      <c r="M22" s="112"/>
      <c r="N22" s="111"/>
      <c r="O22" s="112"/>
      <c r="P22" s="111"/>
      <c r="Q22" s="112"/>
      <c r="R22" s="111"/>
      <c r="S22" s="112"/>
      <c r="T22" s="111"/>
      <c r="U22" s="112"/>
      <c r="V22" s="111"/>
      <c r="W22" s="112"/>
      <c r="X22" s="111"/>
      <c r="Y22" s="112"/>
      <c r="Z22" s="111"/>
      <c r="AA22" s="112"/>
      <c r="AB22" s="111"/>
      <c r="AC22" s="112"/>
      <c r="AD22" s="111"/>
      <c r="AE22" s="112"/>
      <c r="AF22" s="111"/>
      <c r="AG22" s="112"/>
      <c r="AH22" s="111"/>
      <c r="AI22" s="112"/>
      <c r="AJ22" s="111"/>
      <c r="AK22" s="112"/>
      <c r="AL22" s="111"/>
      <c r="AM22" s="112"/>
      <c r="AN22" s="111"/>
      <c r="AO22" s="112"/>
      <c r="AP22" s="111"/>
      <c r="AQ22" s="112"/>
      <c r="AR22" s="111"/>
      <c r="AS22" s="112"/>
      <c r="AT22" s="111"/>
      <c r="AU22" s="112"/>
      <c r="AV22" s="111"/>
      <c r="AW22" s="112"/>
    </row>
    <row r="23" spans="1:49">
      <c r="A23" s="104">
        <v>17</v>
      </c>
      <c r="B23" s="105" t="str">
        <f>IF('[1]要員計画(オフショア利用)　調整前'!B23="","",'[1]要員計画(オフショア利用)　調整前'!B23)</f>
        <v/>
      </c>
      <c r="C23" s="172" t="str">
        <f>IF('[1]要員計画(オフショア利用)　調整前'!C23="","",'[1]要員計画(オフショア利用)　調整前'!C23)</f>
        <v>BP）</v>
      </c>
      <c r="D23" s="105" t="str">
        <f>IF('[1]要員計画(オフショア利用)　調整前'!D23="","",'[1]要員計画(オフショア利用)　調整前'!D23)</f>
        <v>JP</v>
      </c>
      <c r="E23" s="107">
        <f t="shared" si="19"/>
        <v>0</v>
      </c>
      <c r="F23" s="108">
        <v>700000</v>
      </c>
      <c r="G23" s="108">
        <f t="shared" si="18"/>
        <v>0</v>
      </c>
      <c r="H23" s="111"/>
      <c r="I23" s="112"/>
      <c r="J23" s="111"/>
      <c r="K23" s="112"/>
      <c r="L23" s="111"/>
      <c r="M23" s="112"/>
      <c r="N23" s="111"/>
      <c r="O23" s="112"/>
      <c r="P23" s="111"/>
      <c r="Q23" s="112"/>
      <c r="R23" s="111"/>
      <c r="S23" s="112"/>
      <c r="T23" s="111"/>
      <c r="U23" s="112"/>
      <c r="V23" s="111"/>
      <c r="W23" s="112"/>
      <c r="X23" s="111"/>
      <c r="Y23" s="112"/>
      <c r="Z23" s="111"/>
      <c r="AA23" s="112"/>
      <c r="AB23" s="111"/>
      <c r="AC23" s="112"/>
      <c r="AD23" s="111"/>
      <c r="AE23" s="112"/>
      <c r="AF23" s="111"/>
      <c r="AG23" s="112"/>
      <c r="AH23" s="111"/>
      <c r="AI23" s="112"/>
      <c r="AJ23" s="111"/>
      <c r="AK23" s="112"/>
      <c r="AL23" s="111"/>
      <c r="AM23" s="112"/>
      <c r="AN23" s="111"/>
      <c r="AO23" s="112"/>
      <c r="AP23" s="111"/>
      <c r="AQ23" s="112"/>
      <c r="AR23" s="111"/>
      <c r="AS23" s="112"/>
      <c r="AT23" s="111"/>
      <c r="AU23" s="112"/>
      <c r="AV23" s="111"/>
      <c r="AW23" s="112"/>
    </row>
    <row r="24" spans="1:49">
      <c r="A24" s="104">
        <v>18</v>
      </c>
      <c r="B24" s="105" t="str">
        <f>IF('[1]要員計画(オフショア利用)　調整前'!B24="","",'[1]要員計画(オフショア利用)　調整前'!B24)</f>
        <v/>
      </c>
      <c r="C24" s="172" t="str">
        <f>IF('[1]要員計画(オフショア利用)　調整前'!C24="","",'[1]要員計画(オフショア利用)　調整前'!C24)</f>
        <v>BP）</v>
      </c>
      <c r="D24" s="105" t="str">
        <f>IF('[1]要員計画(オフショア利用)　調整前'!D24="","",'[1]要員計画(オフショア利用)　調整前'!D24)</f>
        <v>JP</v>
      </c>
      <c r="E24" s="107">
        <f t="shared" si="19"/>
        <v>0</v>
      </c>
      <c r="F24" s="108">
        <v>700000</v>
      </c>
      <c r="G24" s="108">
        <f t="shared" si="18"/>
        <v>0</v>
      </c>
      <c r="H24" s="111"/>
      <c r="I24" s="112"/>
      <c r="J24" s="111"/>
      <c r="K24" s="112"/>
      <c r="L24" s="111"/>
      <c r="M24" s="112"/>
      <c r="N24" s="111"/>
      <c r="O24" s="112"/>
      <c r="P24" s="111"/>
      <c r="Q24" s="112"/>
      <c r="R24" s="111"/>
      <c r="S24" s="112"/>
      <c r="T24" s="111"/>
      <c r="U24" s="112"/>
      <c r="V24" s="111"/>
      <c r="W24" s="112"/>
      <c r="X24" s="111"/>
      <c r="Y24" s="112"/>
      <c r="Z24" s="111"/>
      <c r="AA24" s="112"/>
      <c r="AB24" s="111"/>
      <c r="AC24" s="112"/>
      <c r="AD24" s="111"/>
      <c r="AE24" s="112"/>
      <c r="AF24" s="111"/>
      <c r="AG24" s="112"/>
      <c r="AH24" s="111"/>
      <c r="AI24" s="112"/>
      <c r="AJ24" s="111"/>
      <c r="AK24" s="112"/>
      <c r="AL24" s="111"/>
      <c r="AM24" s="112"/>
      <c r="AN24" s="111"/>
      <c r="AO24" s="112"/>
      <c r="AP24" s="111"/>
      <c r="AQ24" s="112"/>
      <c r="AR24" s="111"/>
      <c r="AS24" s="112"/>
      <c r="AT24" s="111"/>
      <c r="AU24" s="112"/>
      <c r="AV24" s="111"/>
      <c r="AW24" s="112"/>
    </row>
    <row r="25" spans="1:49">
      <c r="A25" s="104">
        <v>19</v>
      </c>
      <c r="B25" s="105" t="str">
        <f>IF('[1]要員計画(オフショア利用)　調整前'!B25="","",'[1]要員計画(オフショア利用)　調整前'!B25)</f>
        <v/>
      </c>
      <c r="C25" s="172" t="str">
        <f>IF('[1]要員計画(オフショア利用)　調整前'!C25="","",'[1]要員計画(オフショア利用)　調整前'!C25)</f>
        <v>BP）</v>
      </c>
      <c r="D25" s="105" t="str">
        <f>IF('[1]要員計画(オフショア利用)　調整前'!D25="","",'[1]要員計画(オフショア利用)　調整前'!D25)</f>
        <v>JP</v>
      </c>
      <c r="E25" s="107">
        <f t="shared" si="19"/>
        <v>0</v>
      </c>
      <c r="F25" s="108">
        <v>700000</v>
      </c>
      <c r="G25" s="108">
        <f t="shared" si="18"/>
        <v>0</v>
      </c>
      <c r="H25" s="111"/>
      <c r="I25" s="112"/>
      <c r="J25" s="111"/>
      <c r="K25" s="112"/>
      <c r="L25" s="111"/>
      <c r="M25" s="112"/>
      <c r="N25" s="111"/>
      <c r="O25" s="112"/>
      <c r="P25" s="111"/>
      <c r="Q25" s="112"/>
      <c r="R25" s="111"/>
      <c r="S25" s="112"/>
      <c r="T25" s="111"/>
      <c r="U25" s="112"/>
      <c r="V25" s="111"/>
      <c r="W25" s="112"/>
      <c r="X25" s="111"/>
      <c r="Y25" s="112"/>
      <c r="Z25" s="111"/>
      <c r="AA25" s="112"/>
      <c r="AB25" s="111"/>
      <c r="AC25" s="112"/>
      <c r="AD25" s="111"/>
      <c r="AE25" s="112"/>
      <c r="AF25" s="111"/>
      <c r="AG25" s="112"/>
      <c r="AH25" s="111"/>
      <c r="AI25" s="112"/>
      <c r="AJ25" s="111"/>
      <c r="AK25" s="112"/>
      <c r="AL25" s="111"/>
      <c r="AM25" s="112"/>
      <c r="AN25" s="111"/>
      <c r="AO25" s="112"/>
      <c r="AP25" s="111"/>
      <c r="AQ25" s="112"/>
      <c r="AR25" s="111"/>
      <c r="AS25" s="112"/>
      <c r="AT25" s="111"/>
      <c r="AU25" s="112"/>
      <c r="AV25" s="111"/>
      <c r="AW25" s="112"/>
    </row>
    <row r="26" spans="1:49">
      <c r="A26" s="104">
        <v>20</v>
      </c>
      <c r="B26" s="105" t="str">
        <f>IF('[1]要員計画(オフショア利用)　調整前'!B26="","",'[1]要員計画(オフショア利用)　調整前'!B26)</f>
        <v/>
      </c>
      <c r="C26" s="172" t="str">
        <f>IF('[1]要員計画(オフショア利用)　調整前'!C26="","",'[1]要員計画(オフショア利用)　調整前'!C26)</f>
        <v>BP）</v>
      </c>
      <c r="D26" s="105" t="str">
        <f>IF('[1]要員計画(オフショア利用)　調整前'!D26="","",'[1]要員計画(オフショア利用)　調整前'!D26)</f>
        <v>JP</v>
      </c>
      <c r="E26" s="107">
        <f t="shared" si="19"/>
        <v>0</v>
      </c>
      <c r="F26" s="108">
        <v>700000</v>
      </c>
      <c r="G26" s="108">
        <f t="shared" si="18"/>
        <v>0</v>
      </c>
      <c r="H26" s="111"/>
      <c r="I26" s="112"/>
      <c r="J26" s="111"/>
      <c r="K26" s="112"/>
      <c r="L26" s="111"/>
      <c r="M26" s="112"/>
      <c r="N26" s="111"/>
      <c r="O26" s="112"/>
      <c r="P26" s="111"/>
      <c r="Q26" s="112"/>
      <c r="R26" s="111"/>
      <c r="S26" s="112"/>
      <c r="T26" s="111"/>
      <c r="U26" s="112"/>
      <c r="V26" s="111"/>
      <c r="W26" s="112"/>
      <c r="X26" s="111"/>
      <c r="Y26" s="112"/>
      <c r="Z26" s="111"/>
      <c r="AA26" s="112"/>
      <c r="AB26" s="111"/>
      <c r="AC26" s="112"/>
      <c r="AD26" s="111"/>
      <c r="AE26" s="112"/>
      <c r="AF26" s="111"/>
      <c r="AG26" s="112"/>
      <c r="AH26" s="111"/>
      <c r="AI26" s="112"/>
      <c r="AJ26" s="111"/>
      <c r="AK26" s="112"/>
      <c r="AL26" s="111"/>
      <c r="AM26" s="112"/>
      <c r="AN26" s="111"/>
      <c r="AO26" s="112"/>
      <c r="AP26" s="111"/>
      <c r="AQ26" s="112"/>
      <c r="AR26" s="111"/>
      <c r="AS26" s="112"/>
      <c r="AT26" s="111"/>
      <c r="AU26" s="112"/>
      <c r="AV26" s="111"/>
      <c r="AW26" s="112"/>
    </row>
    <row r="27" spans="1:49">
      <c r="A27" s="104">
        <v>21</v>
      </c>
      <c r="B27" s="105" t="str">
        <f>IF('[1]要員計画(オフショア利用)　調整前'!B27="","",'[1]要員計画(オフショア利用)　調整前'!B27)</f>
        <v/>
      </c>
      <c r="C27" s="172" t="str">
        <f>IF('[1]要員計画(オフショア利用)　調整前'!C27="","",'[1]要員計画(オフショア利用)　調整前'!C27)</f>
        <v>BP）</v>
      </c>
      <c r="D27" s="105" t="str">
        <f>IF('[1]要員計画(オフショア利用)　調整前'!D27="","",'[1]要員計画(オフショア利用)　調整前'!D27)</f>
        <v>JP</v>
      </c>
      <c r="E27" s="107">
        <f t="shared" si="19"/>
        <v>0</v>
      </c>
      <c r="F27" s="108">
        <v>700000</v>
      </c>
      <c r="G27" s="108">
        <f t="shared" si="18"/>
        <v>0</v>
      </c>
      <c r="H27" s="111"/>
      <c r="I27" s="112"/>
      <c r="J27" s="111"/>
      <c r="K27" s="112"/>
      <c r="L27" s="111"/>
      <c r="M27" s="112"/>
      <c r="N27" s="111"/>
      <c r="O27" s="112"/>
      <c r="P27" s="111"/>
      <c r="Q27" s="112"/>
      <c r="R27" s="111"/>
      <c r="S27" s="112"/>
      <c r="T27" s="111"/>
      <c r="U27" s="112"/>
      <c r="V27" s="111"/>
      <c r="W27" s="112"/>
      <c r="X27" s="111"/>
      <c r="Y27" s="112"/>
      <c r="Z27" s="111"/>
      <c r="AA27" s="112"/>
      <c r="AB27" s="111"/>
      <c r="AC27" s="112"/>
      <c r="AD27" s="111"/>
      <c r="AE27" s="112"/>
      <c r="AF27" s="111"/>
      <c r="AG27" s="112"/>
      <c r="AH27" s="111"/>
      <c r="AI27" s="112"/>
      <c r="AJ27" s="111"/>
      <c r="AK27" s="112"/>
      <c r="AL27" s="111"/>
      <c r="AM27" s="112"/>
      <c r="AN27" s="111"/>
      <c r="AO27" s="112"/>
      <c r="AP27" s="111"/>
      <c r="AQ27" s="112"/>
      <c r="AR27" s="111"/>
      <c r="AS27" s="112"/>
      <c r="AT27" s="111"/>
      <c r="AU27" s="112"/>
      <c r="AV27" s="111"/>
      <c r="AW27" s="112"/>
    </row>
    <row r="28" spans="1:49" ht="13.9" thickBot="1">
      <c r="A28" s="140">
        <v>22</v>
      </c>
      <c r="B28" s="141" t="str">
        <f>IF('[1]要員計画(オフショア利用)　調整前'!B28="","",'[1]要員計画(オフショア利用)　調整前'!B28)</f>
        <v/>
      </c>
      <c r="C28" s="173" t="str">
        <f>IF('[1]要員計画(オフショア利用)　調整前'!C28="","",'[1]要員計画(オフショア利用)　調整前'!C28)</f>
        <v>BP）</v>
      </c>
      <c r="D28" s="141" t="str">
        <f>IF('[1]要員計画(オフショア利用)　調整前'!D28="","",'[1]要員計画(オフショア利用)　調整前'!D28)</f>
        <v>JP</v>
      </c>
      <c r="E28" s="142">
        <f t="shared" si="19"/>
        <v>0</v>
      </c>
      <c r="F28" s="143">
        <v>700000</v>
      </c>
      <c r="G28" s="143">
        <f t="shared" si="18"/>
        <v>0</v>
      </c>
      <c r="H28" s="144"/>
      <c r="I28" s="145"/>
      <c r="J28" s="144"/>
      <c r="K28" s="145"/>
      <c r="L28" s="144"/>
      <c r="M28" s="145"/>
      <c r="N28" s="144"/>
      <c r="O28" s="145"/>
      <c r="P28" s="144"/>
      <c r="Q28" s="145"/>
      <c r="R28" s="144"/>
      <c r="S28" s="145"/>
      <c r="T28" s="144"/>
      <c r="U28" s="145"/>
      <c r="V28" s="144"/>
      <c r="W28" s="145"/>
      <c r="X28" s="144"/>
      <c r="Y28" s="145"/>
      <c r="Z28" s="144"/>
      <c r="AA28" s="145"/>
      <c r="AB28" s="144"/>
      <c r="AC28" s="145"/>
      <c r="AD28" s="144"/>
      <c r="AE28" s="145"/>
      <c r="AF28" s="144"/>
      <c r="AG28" s="145"/>
      <c r="AH28" s="144"/>
      <c r="AI28" s="145"/>
      <c r="AJ28" s="144"/>
      <c r="AK28" s="145"/>
      <c r="AL28" s="144"/>
      <c r="AM28" s="145"/>
      <c r="AN28" s="144"/>
      <c r="AO28" s="145"/>
      <c r="AP28" s="144"/>
      <c r="AQ28" s="145"/>
      <c r="AR28" s="158"/>
      <c r="AS28" s="170"/>
      <c r="AT28" s="158"/>
      <c r="AU28" s="170"/>
      <c r="AV28" s="158"/>
      <c r="AW28" s="170"/>
    </row>
    <row r="29" spans="1:49" ht="13.9" thickTop="1">
      <c r="A29" s="127">
        <v>23</v>
      </c>
      <c r="B29" s="129" t="str">
        <f>IF('[1]要員計画(オフショア利用)　調整前'!B29="","",'[1]要員計画(オフショア利用)　調整前'!B29)</f>
        <v/>
      </c>
      <c r="C29" s="171" t="str">
        <f>IF('[1]要員計画(オフショア利用)　調整前'!C29="","",'[1]要員計画(オフショア利用)　調整前'!C29)</f>
        <v>BP）</v>
      </c>
      <c r="D29" s="129" t="str">
        <f>IF('[1]要員計画(オフショア利用)　調整前'!D29="","",'[1]要員計画(オフショア利用)　調整前'!D29)</f>
        <v>VT</v>
      </c>
      <c r="E29" s="130">
        <f t="shared" si="19"/>
        <v>13</v>
      </c>
      <c r="F29" s="131">
        <v>300000</v>
      </c>
      <c r="G29" s="131">
        <f t="shared" si="18"/>
        <v>3900000</v>
      </c>
      <c r="H29" s="148"/>
      <c r="I29" s="149"/>
      <c r="J29" s="148"/>
      <c r="K29" s="149"/>
      <c r="L29" s="148">
        <v>1</v>
      </c>
      <c r="M29" s="149">
        <v>1</v>
      </c>
      <c r="N29" s="148">
        <v>1</v>
      </c>
      <c r="O29" s="149">
        <v>1</v>
      </c>
      <c r="P29" s="148">
        <v>1</v>
      </c>
      <c r="Q29" s="149">
        <v>1</v>
      </c>
      <c r="R29" s="148">
        <v>1</v>
      </c>
      <c r="S29" s="149">
        <v>1</v>
      </c>
      <c r="T29" s="148">
        <v>1</v>
      </c>
      <c r="U29" s="149">
        <v>1</v>
      </c>
      <c r="V29" s="148">
        <v>1</v>
      </c>
      <c r="W29" s="149">
        <v>1</v>
      </c>
      <c r="X29" s="148">
        <v>1</v>
      </c>
      <c r="Y29" s="149">
        <v>1</v>
      </c>
      <c r="Z29" s="148">
        <v>1</v>
      </c>
      <c r="AA29" s="149">
        <v>1</v>
      </c>
      <c r="AB29" s="148">
        <v>1</v>
      </c>
      <c r="AC29" s="149">
        <v>1</v>
      </c>
      <c r="AD29" s="148">
        <v>1</v>
      </c>
      <c r="AE29" s="149">
        <v>1</v>
      </c>
      <c r="AF29" s="148">
        <v>1</v>
      </c>
      <c r="AG29" s="149">
        <v>1</v>
      </c>
      <c r="AH29" s="148">
        <v>1</v>
      </c>
      <c r="AI29" s="149">
        <v>1</v>
      </c>
      <c r="AJ29" s="148">
        <v>1</v>
      </c>
      <c r="AK29" s="149">
        <v>1</v>
      </c>
      <c r="AL29" s="148"/>
      <c r="AM29" s="149"/>
      <c r="AN29" s="148"/>
      <c r="AO29" s="149"/>
      <c r="AP29" s="148"/>
      <c r="AQ29" s="149"/>
      <c r="AR29" s="148"/>
      <c r="AS29" s="149"/>
      <c r="AT29" s="148"/>
      <c r="AU29" s="149"/>
      <c r="AV29" s="148"/>
      <c r="AW29" s="149"/>
    </row>
    <row r="30" spans="1:49">
      <c r="A30" s="104">
        <v>24</v>
      </c>
      <c r="B30" s="105" t="str">
        <f>IF('[1]要員計画(オフショア利用)　調整前'!B30="","",'[1]要員計画(オフショア利用)　調整前'!B30)</f>
        <v/>
      </c>
      <c r="C30" s="172" t="str">
        <f>IF('[1]要員計画(オフショア利用)　調整前'!C30="","",'[1]要員計画(オフショア利用)　調整前'!C30)</f>
        <v>BP）</v>
      </c>
      <c r="D30" s="105" t="str">
        <f>IF('[1]要員計画(オフショア利用)　調整前'!D30="","",'[1]要員計画(オフショア利用)　調整前'!D30)</f>
        <v>VT</v>
      </c>
      <c r="E30" s="107">
        <f t="shared" si="19"/>
        <v>13</v>
      </c>
      <c r="F30" s="108">
        <v>300000</v>
      </c>
      <c r="G30" s="108">
        <f t="shared" si="18"/>
        <v>3900000</v>
      </c>
      <c r="H30" s="111"/>
      <c r="I30" s="112"/>
      <c r="J30" s="111"/>
      <c r="K30" s="112"/>
      <c r="L30" s="111">
        <v>1</v>
      </c>
      <c r="M30" s="112">
        <v>1</v>
      </c>
      <c r="N30" s="111">
        <v>1</v>
      </c>
      <c r="O30" s="112">
        <v>1</v>
      </c>
      <c r="P30" s="111">
        <v>1</v>
      </c>
      <c r="Q30" s="112">
        <v>1</v>
      </c>
      <c r="R30" s="111">
        <v>1</v>
      </c>
      <c r="S30" s="112">
        <v>1</v>
      </c>
      <c r="T30" s="111">
        <v>1</v>
      </c>
      <c r="U30" s="112">
        <v>1</v>
      </c>
      <c r="V30" s="111">
        <v>1</v>
      </c>
      <c r="W30" s="112">
        <v>1</v>
      </c>
      <c r="X30" s="111">
        <v>1</v>
      </c>
      <c r="Y30" s="112">
        <v>1</v>
      </c>
      <c r="Z30" s="111">
        <v>1</v>
      </c>
      <c r="AA30" s="112">
        <v>1</v>
      </c>
      <c r="AB30" s="111">
        <v>1</v>
      </c>
      <c r="AC30" s="112">
        <v>1</v>
      </c>
      <c r="AD30" s="111">
        <v>1</v>
      </c>
      <c r="AE30" s="112">
        <v>1</v>
      </c>
      <c r="AF30" s="111">
        <v>1</v>
      </c>
      <c r="AG30" s="112">
        <v>1</v>
      </c>
      <c r="AH30" s="111">
        <v>1</v>
      </c>
      <c r="AI30" s="112">
        <v>1</v>
      </c>
      <c r="AJ30" s="111">
        <v>1</v>
      </c>
      <c r="AK30" s="112">
        <v>1</v>
      </c>
      <c r="AL30" s="111"/>
      <c r="AM30" s="112"/>
      <c r="AN30" s="111"/>
      <c r="AO30" s="112"/>
      <c r="AP30" s="111"/>
      <c r="AQ30" s="112"/>
      <c r="AR30" s="111"/>
      <c r="AS30" s="112"/>
      <c r="AT30" s="111"/>
      <c r="AU30" s="112"/>
      <c r="AV30" s="111"/>
      <c r="AW30" s="112"/>
    </row>
    <row r="31" spans="1:49">
      <c r="A31" s="104">
        <v>25</v>
      </c>
      <c r="B31" s="105" t="str">
        <f>IF('[1]要員計画(オフショア利用)　調整前'!B31="","",'[1]要員計画(オフショア利用)　調整前'!B31)</f>
        <v/>
      </c>
      <c r="C31" s="172" t="str">
        <f>IF('[1]要員計画(オフショア利用)　調整前'!C31="","",'[1]要員計画(オフショア利用)　調整前'!C31)</f>
        <v>BP）</v>
      </c>
      <c r="D31" s="105" t="str">
        <f>IF('[1]要員計画(オフショア利用)　調整前'!D31="","",'[1]要員計画(オフショア利用)　調整前'!D31)</f>
        <v>VT</v>
      </c>
      <c r="E31" s="107">
        <f t="shared" si="19"/>
        <v>13</v>
      </c>
      <c r="F31" s="108">
        <v>300000</v>
      </c>
      <c r="G31" s="108">
        <f t="shared" si="18"/>
        <v>3900000</v>
      </c>
      <c r="H31" s="111"/>
      <c r="I31" s="112"/>
      <c r="J31" s="111"/>
      <c r="K31" s="112"/>
      <c r="L31" s="111">
        <v>1</v>
      </c>
      <c r="M31" s="112">
        <v>1</v>
      </c>
      <c r="N31" s="111">
        <v>1</v>
      </c>
      <c r="O31" s="112">
        <v>1</v>
      </c>
      <c r="P31" s="111">
        <v>1</v>
      </c>
      <c r="Q31" s="112">
        <v>1</v>
      </c>
      <c r="R31" s="111">
        <v>1</v>
      </c>
      <c r="S31" s="112">
        <v>1</v>
      </c>
      <c r="T31" s="111">
        <v>1</v>
      </c>
      <c r="U31" s="112">
        <v>1</v>
      </c>
      <c r="V31" s="111">
        <v>1</v>
      </c>
      <c r="W31" s="112">
        <v>1</v>
      </c>
      <c r="X31" s="111">
        <v>1</v>
      </c>
      <c r="Y31" s="112">
        <v>1</v>
      </c>
      <c r="Z31" s="111">
        <v>1</v>
      </c>
      <c r="AA31" s="112">
        <v>1</v>
      </c>
      <c r="AB31" s="111">
        <v>1</v>
      </c>
      <c r="AC31" s="112">
        <v>1</v>
      </c>
      <c r="AD31" s="111">
        <v>1</v>
      </c>
      <c r="AE31" s="112">
        <v>1</v>
      </c>
      <c r="AF31" s="111">
        <v>1</v>
      </c>
      <c r="AG31" s="112">
        <v>1</v>
      </c>
      <c r="AH31" s="111">
        <v>1</v>
      </c>
      <c r="AI31" s="112">
        <v>1</v>
      </c>
      <c r="AJ31" s="111">
        <v>1</v>
      </c>
      <c r="AK31" s="112">
        <v>1</v>
      </c>
      <c r="AL31" s="111"/>
      <c r="AM31" s="112"/>
      <c r="AN31" s="111"/>
      <c r="AO31" s="112"/>
      <c r="AP31" s="111"/>
      <c r="AQ31" s="112"/>
      <c r="AR31" s="111"/>
      <c r="AS31" s="112"/>
      <c r="AT31" s="111"/>
      <c r="AU31" s="112"/>
      <c r="AV31" s="111"/>
      <c r="AW31" s="112"/>
    </row>
    <row r="32" spans="1:49">
      <c r="A32" s="104">
        <v>26</v>
      </c>
      <c r="B32" s="105" t="str">
        <f>IF('[1]要員計画(オフショア利用)　調整前'!B32="","",'[1]要員計画(オフショア利用)　調整前'!B32)</f>
        <v/>
      </c>
      <c r="C32" s="172" t="str">
        <f>IF('[1]要員計画(オフショア利用)　調整前'!C32="","",'[1]要員計画(オフショア利用)　調整前'!C32)</f>
        <v>BP）</v>
      </c>
      <c r="D32" s="105" t="str">
        <f>IF('[1]要員計画(オフショア利用)　調整前'!D32="","",'[1]要員計画(オフショア利用)　調整前'!D32)</f>
        <v>VT</v>
      </c>
      <c r="E32" s="107">
        <f t="shared" si="19"/>
        <v>8</v>
      </c>
      <c r="F32" s="108">
        <v>250000</v>
      </c>
      <c r="G32" s="108">
        <f t="shared" si="18"/>
        <v>2000000</v>
      </c>
      <c r="H32" s="111"/>
      <c r="I32" s="112"/>
      <c r="J32" s="111"/>
      <c r="K32" s="112"/>
      <c r="L32" s="111"/>
      <c r="M32" s="112"/>
      <c r="N32" s="111"/>
      <c r="O32" s="112"/>
      <c r="P32" s="111"/>
      <c r="Q32" s="112"/>
      <c r="R32" s="111"/>
      <c r="S32" s="112"/>
      <c r="T32" s="111"/>
      <c r="U32" s="112"/>
      <c r="V32" s="111">
        <v>1</v>
      </c>
      <c r="W32" s="112">
        <v>1</v>
      </c>
      <c r="X32" s="111">
        <v>1</v>
      </c>
      <c r="Y32" s="112">
        <v>1</v>
      </c>
      <c r="Z32" s="111">
        <v>1</v>
      </c>
      <c r="AA32" s="112">
        <v>1</v>
      </c>
      <c r="AB32" s="111">
        <v>1</v>
      </c>
      <c r="AC32" s="112">
        <v>1</v>
      </c>
      <c r="AD32" s="111">
        <v>1</v>
      </c>
      <c r="AE32" s="112">
        <v>1</v>
      </c>
      <c r="AF32" s="111">
        <v>1</v>
      </c>
      <c r="AG32" s="112">
        <v>1</v>
      </c>
      <c r="AH32" s="111">
        <v>1</v>
      </c>
      <c r="AI32" s="112">
        <v>1</v>
      </c>
      <c r="AJ32" s="111">
        <v>1</v>
      </c>
      <c r="AK32" s="112">
        <v>1</v>
      </c>
      <c r="AL32" s="111"/>
      <c r="AM32" s="112"/>
      <c r="AN32" s="111"/>
      <c r="AO32" s="112"/>
      <c r="AP32" s="111"/>
      <c r="AQ32" s="112"/>
      <c r="AR32" s="111"/>
      <c r="AS32" s="112"/>
      <c r="AT32" s="111"/>
      <c r="AU32" s="112"/>
      <c r="AV32" s="111"/>
      <c r="AW32" s="112"/>
    </row>
    <row r="33" spans="1:49">
      <c r="A33" s="104">
        <v>27</v>
      </c>
      <c r="B33" s="105" t="str">
        <f>IF('[1]要員計画(オフショア利用)　調整前'!B33="","",'[1]要員計画(オフショア利用)　調整前'!B33)</f>
        <v/>
      </c>
      <c r="C33" s="172" t="str">
        <f>IF('[1]要員計画(オフショア利用)　調整前'!C33="","",'[1]要員計画(オフショア利用)　調整前'!C33)</f>
        <v>BP）</v>
      </c>
      <c r="D33" s="105" t="str">
        <f>IF('[1]要員計画(オフショア利用)　調整前'!D33="","",'[1]要員計画(オフショア利用)　調整前'!D33)</f>
        <v>VT</v>
      </c>
      <c r="E33" s="107">
        <f t="shared" si="19"/>
        <v>8</v>
      </c>
      <c r="F33" s="108">
        <v>250000</v>
      </c>
      <c r="G33" s="108">
        <f t="shared" si="18"/>
        <v>2000000</v>
      </c>
      <c r="H33" s="111"/>
      <c r="I33" s="112"/>
      <c r="J33" s="111"/>
      <c r="K33" s="112"/>
      <c r="L33" s="111"/>
      <c r="M33" s="112"/>
      <c r="N33" s="111"/>
      <c r="O33" s="112"/>
      <c r="P33" s="111"/>
      <c r="Q33" s="112"/>
      <c r="R33" s="111"/>
      <c r="S33" s="112"/>
      <c r="T33" s="111"/>
      <c r="U33" s="112"/>
      <c r="V33" s="111">
        <v>1</v>
      </c>
      <c r="W33" s="112">
        <v>1</v>
      </c>
      <c r="X33" s="111">
        <v>1</v>
      </c>
      <c r="Y33" s="112">
        <v>1</v>
      </c>
      <c r="Z33" s="111">
        <v>1</v>
      </c>
      <c r="AA33" s="112">
        <v>1</v>
      </c>
      <c r="AB33" s="111">
        <v>1</v>
      </c>
      <c r="AC33" s="112">
        <v>1</v>
      </c>
      <c r="AD33" s="111">
        <v>1</v>
      </c>
      <c r="AE33" s="112">
        <v>1</v>
      </c>
      <c r="AF33" s="111">
        <v>1</v>
      </c>
      <c r="AG33" s="112">
        <v>1</v>
      </c>
      <c r="AH33" s="111">
        <v>1</v>
      </c>
      <c r="AI33" s="112">
        <v>1</v>
      </c>
      <c r="AJ33" s="111">
        <v>1</v>
      </c>
      <c r="AK33" s="112">
        <v>1</v>
      </c>
      <c r="AL33" s="111"/>
      <c r="AM33" s="112"/>
      <c r="AN33" s="111"/>
      <c r="AO33" s="112"/>
      <c r="AP33" s="111"/>
      <c r="AQ33" s="112"/>
      <c r="AR33" s="111"/>
      <c r="AS33" s="112"/>
      <c r="AT33" s="111"/>
      <c r="AU33" s="112"/>
      <c r="AV33" s="111"/>
      <c r="AW33" s="112"/>
    </row>
    <row r="34" spans="1:49">
      <c r="A34" s="104">
        <v>28</v>
      </c>
      <c r="B34" s="105" t="str">
        <f>IF('[1]要員計画(オフショア利用)　調整前'!B34="","",'[1]要員計画(オフショア利用)　調整前'!B34)</f>
        <v/>
      </c>
      <c r="C34" s="172" t="str">
        <f>IF('[1]要員計画(オフショア利用)　調整前'!C34="","",'[1]要員計画(オフショア利用)　調整前'!C34)</f>
        <v>BP）</v>
      </c>
      <c r="D34" s="105" t="str">
        <f>IF('[1]要員計画(オフショア利用)　調整前'!D34="","",'[1]要員計画(オフショア利用)　調整前'!D34)</f>
        <v>VT</v>
      </c>
      <c r="E34" s="107">
        <f t="shared" si="19"/>
        <v>7</v>
      </c>
      <c r="F34" s="108">
        <v>250000</v>
      </c>
      <c r="G34" s="108">
        <f t="shared" si="18"/>
        <v>1750000</v>
      </c>
      <c r="H34" s="111"/>
      <c r="I34" s="112"/>
      <c r="J34" s="111"/>
      <c r="K34" s="112"/>
      <c r="L34" s="111"/>
      <c r="M34" s="112"/>
      <c r="N34" s="111"/>
      <c r="O34" s="112"/>
      <c r="P34" s="111"/>
      <c r="Q34" s="112"/>
      <c r="R34" s="111"/>
      <c r="S34" s="112"/>
      <c r="T34" s="111"/>
      <c r="U34" s="112"/>
      <c r="V34" s="111"/>
      <c r="W34" s="112"/>
      <c r="X34" s="111">
        <v>1</v>
      </c>
      <c r="Y34" s="112">
        <v>1</v>
      </c>
      <c r="Z34" s="111">
        <v>1</v>
      </c>
      <c r="AA34" s="112">
        <v>1</v>
      </c>
      <c r="AB34" s="111">
        <v>1</v>
      </c>
      <c r="AC34" s="112">
        <v>1</v>
      </c>
      <c r="AD34" s="111">
        <v>1</v>
      </c>
      <c r="AE34" s="112">
        <v>1</v>
      </c>
      <c r="AF34" s="111">
        <v>1</v>
      </c>
      <c r="AG34" s="112">
        <v>1</v>
      </c>
      <c r="AH34" s="111">
        <v>1</v>
      </c>
      <c r="AI34" s="112">
        <v>1</v>
      </c>
      <c r="AJ34" s="111">
        <v>1</v>
      </c>
      <c r="AK34" s="112">
        <v>1</v>
      </c>
      <c r="AL34" s="111"/>
      <c r="AM34" s="112"/>
      <c r="AN34" s="111"/>
      <c r="AO34" s="112"/>
      <c r="AP34" s="111"/>
      <c r="AQ34" s="112"/>
      <c r="AR34" s="111"/>
      <c r="AS34" s="112"/>
      <c r="AT34" s="111"/>
      <c r="AU34" s="112"/>
      <c r="AV34" s="111"/>
      <c r="AW34" s="112"/>
    </row>
    <row r="35" spans="1:49">
      <c r="A35" s="104">
        <v>29</v>
      </c>
      <c r="B35" s="105" t="str">
        <f>IF('[1]要員計画(オフショア利用)　調整前'!B35="","",'[1]要員計画(オフショア利用)　調整前'!B35)</f>
        <v/>
      </c>
      <c r="C35" s="172" t="str">
        <f>IF('[1]要員計画(オフショア利用)　調整前'!C35="","",'[1]要員計画(オフショア利用)　調整前'!C35)</f>
        <v>BP）</v>
      </c>
      <c r="D35" s="105" t="str">
        <f>IF('[1]要員計画(オフショア利用)　調整前'!D35="","",'[1]要員計画(オフショア利用)　調整前'!D35)</f>
        <v>VT</v>
      </c>
      <c r="E35" s="107">
        <f t="shared" si="19"/>
        <v>7</v>
      </c>
      <c r="F35" s="108">
        <v>250000</v>
      </c>
      <c r="G35" s="108">
        <f t="shared" si="18"/>
        <v>1750000</v>
      </c>
      <c r="H35" s="111"/>
      <c r="I35" s="112"/>
      <c r="J35" s="111"/>
      <c r="K35" s="112"/>
      <c r="L35" s="111"/>
      <c r="M35" s="112"/>
      <c r="N35" s="111"/>
      <c r="O35" s="112"/>
      <c r="P35" s="111"/>
      <c r="Q35" s="112"/>
      <c r="R35" s="111"/>
      <c r="S35" s="112"/>
      <c r="T35" s="111"/>
      <c r="U35" s="112"/>
      <c r="V35" s="111"/>
      <c r="W35" s="112"/>
      <c r="X35" s="111">
        <v>1</v>
      </c>
      <c r="Y35" s="112">
        <v>1</v>
      </c>
      <c r="Z35" s="111">
        <v>1</v>
      </c>
      <c r="AA35" s="112">
        <v>1</v>
      </c>
      <c r="AB35" s="111">
        <v>1</v>
      </c>
      <c r="AC35" s="112">
        <v>1</v>
      </c>
      <c r="AD35" s="111">
        <v>1</v>
      </c>
      <c r="AE35" s="112">
        <v>1</v>
      </c>
      <c r="AF35" s="148">
        <v>1</v>
      </c>
      <c r="AG35" s="149">
        <v>1</v>
      </c>
      <c r="AH35" s="148">
        <v>1</v>
      </c>
      <c r="AI35" s="149">
        <v>1</v>
      </c>
      <c r="AJ35" s="148">
        <v>1</v>
      </c>
      <c r="AK35" s="149">
        <v>1</v>
      </c>
      <c r="AL35" s="111"/>
      <c r="AM35" s="112"/>
      <c r="AN35" s="111"/>
      <c r="AO35" s="112"/>
      <c r="AP35" s="111"/>
      <c r="AQ35" s="112"/>
      <c r="AR35" s="111"/>
      <c r="AS35" s="112"/>
      <c r="AT35" s="111"/>
      <c r="AU35" s="112"/>
      <c r="AV35" s="111"/>
      <c r="AW35" s="112"/>
    </row>
    <row r="36" spans="1:49">
      <c r="A36" s="104">
        <v>30</v>
      </c>
      <c r="B36" s="105" t="str">
        <f>IF('[1]要員計画(オフショア利用)　調整前'!B36="","",'[1]要員計画(オフショア利用)　調整前'!B36)</f>
        <v/>
      </c>
      <c r="C36" s="172" t="str">
        <f>IF('[1]要員計画(オフショア利用)　調整前'!C36="","",'[1]要員計画(オフショア利用)　調整前'!C36)</f>
        <v>BP）</v>
      </c>
      <c r="D36" s="105" t="str">
        <f>IF('[1]要員計画(オフショア利用)　調整前'!D36="","",'[1]要員計画(オフショア利用)　調整前'!D36)</f>
        <v>VT</v>
      </c>
      <c r="E36" s="107">
        <f t="shared" si="19"/>
        <v>7</v>
      </c>
      <c r="F36" s="108">
        <v>250000</v>
      </c>
      <c r="G36" s="108">
        <f t="shared" si="18"/>
        <v>1750000</v>
      </c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>
        <v>1</v>
      </c>
      <c r="Y36" s="112">
        <v>1</v>
      </c>
      <c r="Z36" s="111">
        <v>1</v>
      </c>
      <c r="AA36" s="112">
        <v>1</v>
      </c>
      <c r="AB36" s="111">
        <v>1</v>
      </c>
      <c r="AC36" s="112">
        <v>1</v>
      </c>
      <c r="AD36" s="111">
        <v>1</v>
      </c>
      <c r="AE36" s="112">
        <v>1</v>
      </c>
      <c r="AF36" s="111">
        <v>1</v>
      </c>
      <c r="AG36" s="112">
        <v>1</v>
      </c>
      <c r="AH36" s="111">
        <v>1</v>
      </c>
      <c r="AI36" s="112">
        <v>1</v>
      </c>
      <c r="AJ36" s="111">
        <v>1</v>
      </c>
      <c r="AK36" s="112">
        <v>1</v>
      </c>
      <c r="AL36" s="111"/>
      <c r="AM36" s="112"/>
      <c r="AN36" s="111"/>
      <c r="AO36" s="112"/>
      <c r="AP36" s="111"/>
      <c r="AQ36" s="112"/>
      <c r="AR36" s="111"/>
      <c r="AS36" s="112"/>
      <c r="AT36" s="111"/>
      <c r="AU36" s="112"/>
      <c r="AV36" s="111"/>
      <c r="AW36" s="112"/>
    </row>
    <row r="37" spans="1:49">
      <c r="A37" s="104">
        <v>31</v>
      </c>
      <c r="B37" s="105" t="str">
        <f>IF('[1]要員計画(オフショア利用)　調整前'!B37="","",'[1]要員計画(オフショア利用)　調整前'!B37)</f>
        <v/>
      </c>
      <c r="C37" s="172" t="str">
        <f>IF('[1]要員計画(オフショア利用)　調整前'!C37="","",'[1]要員計画(オフショア利用)　調整前'!C37)</f>
        <v>BP）</v>
      </c>
      <c r="D37" s="105" t="str">
        <f>IF('[1]要員計画(オフショア利用)　調整前'!D37="","",'[1]要員計画(オフショア利用)　調整前'!D37)</f>
        <v>VT</v>
      </c>
      <c r="E37" s="107">
        <f t="shared" si="19"/>
        <v>4</v>
      </c>
      <c r="F37" s="108">
        <v>250000</v>
      </c>
      <c r="G37" s="108">
        <f t="shared" si="18"/>
        <v>1000000</v>
      </c>
      <c r="H37" s="111"/>
      <c r="I37" s="112"/>
      <c r="J37" s="111"/>
      <c r="K37" s="112"/>
      <c r="L37" s="111"/>
      <c r="M37" s="112"/>
      <c r="N37" s="111"/>
      <c r="O37" s="112"/>
      <c r="P37" s="111"/>
      <c r="Q37" s="112"/>
      <c r="R37" s="111"/>
      <c r="S37" s="112"/>
      <c r="T37" s="111"/>
      <c r="U37" s="112"/>
      <c r="V37" s="111"/>
      <c r="W37" s="112"/>
      <c r="X37" s="111">
        <v>1</v>
      </c>
      <c r="Y37" s="112">
        <v>1</v>
      </c>
      <c r="Z37" s="111">
        <v>1</v>
      </c>
      <c r="AA37" s="112">
        <v>1</v>
      </c>
      <c r="AB37" s="111">
        <v>1</v>
      </c>
      <c r="AC37" s="112">
        <v>1</v>
      </c>
      <c r="AD37" s="111">
        <v>1</v>
      </c>
      <c r="AE37" s="112">
        <v>1</v>
      </c>
      <c r="AF37" s="111"/>
      <c r="AG37" s="112"/>
      <c r="AH37" s="111"/>
      <c r="AI37" s="112"/>
      <c r="AJ37" s="111"/>
      <c r="AK37" s="112"/>
      <c r="AL37" s="111"/>
      <c r="AM37" s="112"/>
      <c r="AN37" s="111"/>
      <c r="AO37" s="112"/>
      <c r="AP37" s="111"/>
      <c r="AQ37" s="112"/>
      <c r="AR37" s="111"/>
      <c r="AS37" s="112"/>
      <c r="AT37" s="111"/>
      <c r="AU37" s="112"/>
      <c r="AV37" s="111"/>
      <c r="AW37" s="112"/>
    </row>
    <row r="38" spans="1:49">
      <c r="A38" s="104">
        <v>32</v>
      </c>
      <c r="B38" s="105" t="str">
        <f>IF('[1]要員計画(オフショア利用)　調整前'!B38="","",'[1]要員計画(オフショア利用)　調整前'!B38)</f>
        <v/>
      </c>
      <c r="C38" s="172" t="str">
        <f>IF('[1]要員計画(オフショア利用)　調整前'!C38="","",'[1]要員計画(オフショア利用)　調整前'!C38)</f>
        <v>BP）</v>
      </c>
      <c r="D38" s="105" t="str">
        <f>IF('[1]要員計画(オフショア利用)　調整前'!D38="","",'[1]要員計画(オフショア利用)　調整前'!D38)</f>
        <v>VT</v>
      </c>
      <c r="E38" s="107">
        <f t="shared" si="19"/>
        <v>4</v>
      </c>
      <c r="F38" s="108">
        <v>250000</v>
      </c>
      <c r="G38" s="108">
        <f t="shared" si="18"/>
        <v>1000000</v>
      </c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>
        <v>1</v>
      </c>
      <c r="Y38" s="112">
        <v>1</v>
      </c>
      <c r="Z38" s="111">
        <v>1</v>
      </c>
      <c r="AA38" s="112">
        <v>1</v>
      </c>
      <c r="AB38" s="111">
        <v>1</v>
      </c>
      <c r="AC38" s="112">
        <v>1</v>
      </c>
      <c r="AD38" s="111">
        <v>1</v>
      </c>
      <c r="AE38" s="112">
        <v>1</v>
      </c>
      <c r="AF38" s="111"/>
      <c r="AG38" s="112"/>
      <c r="AH38" s="111"/>
      <c r="AI38" s="112"/>
      <c r="AJ38" s="111"/>
      <c r="AK38" s="112"/>
      <c r="AL38" s="111"/>
      <c r="AM38" s="112"/>
      <c r="AN38" s="111"/>
      <c r="AO38" s="112"/>
      <c r="AP38" s="111"/>
      <c r="AQ38" s="112"/>
      <c r="AR38" s="111"/>
      <c r="AS38" s="112"/>
      <c r="AT38" s="111"/>
      <c r="AU38" s="112"/>
      <c r="AV38" s="111"/>
      <c r="AW38" s="112"/>
    </row>
    <row r="39" spans="1:49">
      <c r="A39" s="104">
        <v>33</v>
      </c>
      <c r="B39" s="105" t="str">
        <f>IF('[1]要員計画(オフショア利用)　調整前'!B39="","",'[1]要員計画(オフショア利用)　調整前'!B39)</f>
        <v/>
      </c>
      <c r="C39" s="172" t="str">
        <f>IF('[1]要員計画(オフショア利用)　調整前'!C39="","",'[1]要員計画(オフショア利用)　調整前'!C39)</f>
        <v>BP）</v>
      </c>
      <c r="D39" s="105" t="str">
        <f>IF('[1]要員計画(オフショア利用)　調整前'!D39="","",'[1]要員計画(オフショア利用)　調整前'!D39)</f>
        <v>VT</v>
      </c>
      <c r="E39" s="107">
        <f t="shared" si="19"/>
        <v>4</v>
      </c>
      <c r="F39" s="108">
        <v>250000</v>
      </c>
      <c r="G39" s="108">
        <f t="shared" si="18"/>
        <v>1000000</v>
      </c>
      <c r="H39" s="111"/>
      <c r="I39" s="112"/>
      <c r="J39" s="111"/>
      <c r="K39" s="112"/>
      <c r="L39" s="111"/>
      <c r="M39" s="112"/>
      <c r="N39" s="111"/>
      <c r="O39" s="112"/>
      <c r="P39" s="111"/>
      <c r="Q39" s="112"/>
      <c r="R39" s="111"/>
      <c r="S39" s="112"/>
      <c r="T39" s="111"/>
      <c r="U39" s="112"/>
      <c r="V39" s="111"/>
      <c r="W39" s="112"/>
      <c r="X39" s="111">
        <v>1</v>
      </c>
      <c r="Y39" s="112">
        <v>1</v>
      </c>
      <c r="Z39" s="111">
        <v>1</v>
      </c>
      <c r="AA39" s="112">
        <v>1</v>
      </c>
      <c r="AB39" s="111">
        <v>1</v>
      </c>
      <c r="AC39" s="112">
        <v>1</v>
      </c>
      <c r="AD39" s="111">
        <v>1</v>
      </c>
      <c r="AE39" s="112">
        <v>1</v>
      </c>
      <c r="AF39" s="111"/>
      <c r="AG39" s="112"/>
      <c r="AH39" s="111"/>
      <c r="AI39" s="112"/>
      <c r="AJ39" s="111"/>
      <c r="AK39" s="112"/>
      <c r="AL39" s="111"/>
      <c r="AM39" s="112"/>
      <c r="AN39" s="111"/>
      <c r="AO39" s="112"/>
      <c r="AP39" s="111"/>
      <c r="AQ39" s="112"/>
      <c r="AR39" s="111"/>
      <c r="AS39" s="112"/>
      <c r="AT39" s="111"/>
      <c r="AU39" s="112"/>
      <c r="AV39" s="111"/>
      <c r="AW39" s="112"/>
    </row>
    <row r="40" spans="1:49">
      <c r="A40" s="104">
        <v>34</v>
      </c>
      <c r="B40" s="105" t="str">
        <f>IF('[1]要員計画(オフショア利用)　調整前'!B40="","",'[1]要員計画(オフショア利用)　調整前'!B40)</f>
        <v/>
      </c>
      <c r="C40" s="172" t="str">
        <f>IF('[1]要員計画(オフショア利用)　調整前'!C40="","",'[1]要員計画(オフショア利用)　調整前'!C40)</f>
        <v>BP）</v>
      </c>
      <c r="D40" s="105" t="str">
        <f>IF('[1]要員計画(オフショア利用)　調整前'!D40="","",'[1]要員計画(オフショア利用)　調整前'!D40)</f>
        <v>VT</v>
      </c>
      <c r="E40" s="107">
        <f t="shared" si="19"/>
        <v>4</v>
      </c>
      <c r="F40" s="108">
        <v>250000</v>
      </c>
      <c r="G40" s="108">
        <f t="shared" si="18"/>
        <v>1000000</v>
      </c>
      <c r="H40" s="111"/>
      <c r="I40" s="112"/>
      <c r="J40" s="111"/>
      <c r="K40" s="112"/>
      <c r="L40" s="111"/>
      <c r="M40" s="112"/>
      <c r="N40" s="111"/>
      <c r="O40" s="112"/>
      <c r="P40" s="111"/>
      <c r="Q40" s="112"/>
      <c r="R40" s="111"/>
      <c r="S40" s="112"/>
      <c r="T40" s="111"/>
      <c r="U40" s="112"/>
      <c r="V40" s="111"/>
      <c r="W40" s="112"/>
      <c r="X40" s="111">
        <v>1</v>
      </c>
      <c r="Y40" s="112">
        <v>1</v>
      </c>
      <c r="Z40" s="111">
        <v>1</v>
      </c>
      <c r="AA40" s="112">
        <v>1</v>
      </c>
      <c r="AB40" s="111">
        <v>1</v>
      </c>
      <c r="AC40" s="112">
        <v>1</v>
      </c>
      <c r="AD40" s="111">
        <v>1</v>
      </c>
      <c r="AE40" s="112">
        <v>1</v>
      </c>
      <c r="AF40" s="111"/>
      <c r="AG40" s="112"/>
      <c r="AH40" s="111"/>
      <c r="AI40" s="112"/>
      <c r="AJ40" s="111"/>
      <c r="AK40" s="112"/>
      <c r="AL40" s="111"/>
      <c r="AM40" s="112"/>
      <c r="AN40" s="111"/>
      <c r="AO40" s="112"/>
      <c r="AP40" s="111"/>
      <c r="AQ40" s="112"/>
      <c r="AR40" s="111"/>
      <c r="AS40" s="112"/>
      <c r="AT40" s="111"/>
      <c r="AU40" s="112"/>
      <c r="AV40" s="111"/>
      <c r="AW40" s="112"/>
    </row>
    <row r="41" spans="1:49">
      <c r="A41" s="104">
        <v>35</v>
      </c>
      <c r="B41" s="105" t="str">
        <f>IF('[1]要員計画(オフショア利用)　調整前'!B41="","",'[1]要員計画(オフショア利用)　調整前'!B41)</f>
        <v/>
      </c>
      <c r="C41" s="172" t="str">
        <f>IF('[1]要員計画(オフショア利用)　調整前'!C41="","",'[1]要員計画(オフショア利用)　調整前'!C41)</f>
        <v>BP）</v>
      </c>
      <c r="D41" s="105" t="str">
        <f>IF('[1]要員計画(オフショア利用)　調整前'!D41="","",'[1]要員計画(オフショア利用)　調整前'!D41)</f>
        <v>VT</v>
      </c>
      <c r="E41" s="107">
        <f t="shared" si="19"/>
        <v>4</v>
      </c>
      <c r="F41" s="108">
        <v>250000</v>
      </c>
      <c r="G41" s="108">
        <f t="shared" si="18"/>
        <v>1000000</v>
      </c>
      <c r="H41" s="111"/>
      <c r="I41" s="112"/>
      <c r="J41" s="111"/>
      <c r="K41" s="112"/>
      <c r="L41" s="111"/>
      <c r="M41" s="112"/>
      <c r="N41" s="111"/>
      <c r="O41" s="112"/>
      <c r="P41" s="111"/>
      <c r="Q41" s="112"/>
      <c r="R41" s="111"/>
      <c r="S41" s="112"/>
      <c r="T41" s="111"/>
      <c r="U41" s="112"/>
      <c r="V41" s="111"/>
      <c r="W41" s="112"/>
      <c r="X41" s="111">
        <v>1</v>
      </c>
      <c r="Y41" s="112">
        <v>1</v>
      </c>
      <c r="Z41" s="111">
        <v>1</v>
      </c>
      <c r="AA41" s="112">
        <v>1</v>
      </c>
      <c r="AB41" s="111">
        <v>1</v>
      </c>
      <c r="AC41" s="112">
        <v>1</v>
      </c>
      <c r="AD41" s="111">
        <v>1</v>
      </c>
      <c r="AE41" s="112">
        <v>1</v>
      </c>
      <c r="AF41" s="111"/>
      <c r="AG41" s="112"/>
      <c r="AH41" s="111"/>
      <c r="AI41" s="112"/>
      <c r="AJ41" s="111"/>
      <c r="AK41" s="112"/>
      <c r="AL41" s="111"/>
      <c r="AM41" s="112"/>
      <c r="AN41" s="111"/>
      <c r="AO41" s="112"/>
      <c r="AP41" s="111"/>
      <c r="AQ41" s="112"/>
      <c r="AR41" s="111"/>
      <c r="AS41" s="112"/>
      <c r="AT41" s="111"/>
      <c r="AU41" s="112"/>
      <c r="AV41" s="111"/>
      <c r="AW41" s="112"/>
    </row>
    <row r="42" spans="1:49">
      <c r="A42" s="104">
        <v>36</v>
      </c>
      <c r="B42" s="105" t="str">
        <f>IF('[1]要員計画(オフショア利用)　調整前'!B42="","",'[1]要員計画(オフショア利用)　調整前'!B42)</f>
        <v/>
      </c>
      <c r="C42" s="172" t="str">
        <f>IF('[1]要員計画(オフショア利用)　調整前'!C42="","",'[1]要員計画(オフショア利用)　調整前'!C42)</f>
        <v>BP）</v>
      </c>
      <c r="D42" s="105" t="str">
        <f>IF('[1]要員計画(オフショア利用)　調整前'!D42="","",'[1]要員計画(オフショア利用)　調整前'!D42)</f>
        <v>VT</v>
      </c>
      <c r="E42" s="107">
        <f t="shared" si="19"/>
        <v>0</v>
      </c>
      <c r="F42" s="108">
        <v>250000</v>
      </c>
      <c r="G42" s="108">
        <f t="shared" si="18"/>
        <v>0</v>
      </c>
      <c r="H42" s="111"/>
      <c r="I42" s="112"/>
      <c r="J42" s="111"/>
      <c r="K42" s="112"/>
      <c r="L42" s="111"/>
      <c r="M42" s="112"/>
      <c r="N42" s="111"/>
      <c r="O42" s="112"/>
      <c r="P42" s="111"/>
      <c r="Q42" s="112"/>
      <c r="R42" s="111"/>
      <c r="S42" s="112"/>
      <c r="T42" s="111"/>
      <c r="U42" s="112"/>
      <c r="V42" s="111"/>
      <c r="W42" s="112"/>
      <c r="X42" s="111"/>
      <c r="Y42" s="112"/>
      <c r="Z42" s="111"/>
      <c r="AA42" s="112"/>
      <c r="AB42" s="111"/>
      <c r="AC42" s="112"/>
      <c r="AD42" s="111"/>
      <c r="AE42" s="112"/>
      <c r="AF42" s="111"/>
      <c r="AG42" s="112"/>
      <c r="AH42" s="111"/>
      <c r="AI42" s="112"/>
      <c r="AJ42" s="111"/>
      <c r="AK42" s="112"/>
      <c r="AL42" s="111"/>
      <c r="AM42" s="112"/>
      <c r="AN42" s="111"/>
      <c r="AO42" s="112"/>
      <c r="AP42" s="111"/>
      <c r="AQ42" s="112"/>
      <c r="AR42" s="111"/>
      <c r="AS42" s="112"/>
      <c r="AT42" s="111"/>
      <c r="AU42" s="112"/>
      <c r="AV42" s="111"/>
      <c r="AW42" s="112"/>
    </row>
    <row r="43" spans="1:49">
      <c r="A43" s="104">
        <v>37</v>
      </c>
      <c r="B43" s="105" t="str">
        <f>IF('[1]要員計画(オフショア利用)　調整前'!B43="","",'[1]要員計画(オフショア利用)　調整前'!B43)</f>
        <v/>
      </c>
      <c r="C43" s="172" t="str">
        <f>IF('[1]要員計画(オフショア利用)　調整前'!C43="","",'[1]要員計画(オフショア利用)　調整前'!C43)</f>
        <v>BP）</v>
      </c>
      <c r="D43" s="105" t="str">
        <f>IF('[1]要員計画(オフショア利用)　調整前'!D43="","",'[1]要員計画(オフショア利用)　調整前'!D43)</f>
        <v>VT</v>
      </c>
      <c r="E43" s="107">
        <f t="shared" si="19"/>
        <v>0</v>
      </c>
      <c r="F43" s="108">
        <v>250000</v>
      </c>
      <c r="G43" s="108">
        <f t="shared" si="18"/>
        <v>0</v>
      </c>
      <c r="H43" s="111"/>
      <c r="I43" s="112"/>
      <c r="J43" s="111"/>
      <c r="K43" s="112"/>
      <c r="L43" s="111"/>
      <c r="M43" s="112"/>
      <c r="N43" s="111"/>
      <c r="O43" s="112"/>
      <c r="P43" s="111"/>
      <c r="Q43" s="112"/>
      <c r="R43" s="111"/>
      <c r="S43" s="112"/>
      <c r="T43" s="111"/>
      <c r="U43" s="112"/>
      <c r="V43" s="111"/>
      <c r="W43" s="112"/>
      <c r="X43" s="111"/>
      <c r="Y43" s="112"/>
      <c r="Z43" s="111"/>
      <c r="AA43" s="112"/>
      <c r="AB43" s="111"/>
      <c r="AC43" s="112"/>
      <c r="AD43" s="111"/>
      <c r="AE43" s="112"/>
      <c r="AF43" s="111"/>
      <c r="AG43" s="112"/>
      <c r="AH43" s="111"/>
      <c r="AI43" s="112"/>
      <c r="AJ43" s="111"/>
      <c r="AK43" s="112"/>
      <c r="AL43" s="111"/>
      <c r="AM43" s="112"/>
      <c r="AN43" s="111"/>
      <c r="AO43" s="112"/>
      <c r="AP43" s="111"/>
      <c r="AQ43" s="112"/>
      <c r="AR43" s="111"/>
      <c r="AS43" s="112"/>
      <c r="AT43" s="111"/>
      <c r="AU43" s="112"/>
      <c r="AV43" s="111"/>
      <c r="AW43" s="112"/>
    </row>
    <row r="44" spans="1:49">
      <c r="A44" s="104">
        <v>38</v>
      </c>
      <c r="B44" s="105" t="str">
        <f>IF('[1]要員計画(オフショア利用)　調整前'!B44="","",'[1]要員計画(オフショア利用)　調整前'!B44)</f>
        <v/>
      </c>
      <c r="C44" s="172" t="str">
        <f>IF('[1]要員計画(オフショア利用)　調整前'!C44="","",'[1]要員計画(オフショア利用)　調整前'!C44)</f>
        <v>BP）</v>
      </c>
      <c r="D44" s="105" t="str">
        <f>IF('[1]要員計画(オフショア利用)　調整前'!D44="","",'[1]要員計画(オフショア利用)　調整前'!D44)</f>
        <v>VT</v>
      </c>
      <c r="E44" s="107">
        <f t="shared" si="19"/>
        <v>0</v>
      </c>
      <c r="F44" s="108">
        <v>250000</v>
      </c>
      <c r="G44" s="108">
        <f t="shared" si="18"/>
        <v>0</v>
      </c>
      <c r="H44" s="111"/>
      <c r="I44" s="112"/>
      <c r="J44" s="111"/>
      <c r="K44" s="112"/>
      <c r="L44" s="111"/>
      <c r="M44" s="112"/>
      <c r="N44" s="111"/>
      <c r="O44" s="112"/>
      <c r="P44" s="111"/>
      <c r="Q44" s="112"/>
      <c r="R44" s="111"/>
      <c r="S44" s="112"/>
      <c r="T44" s="111"/>
      <c r="U44" s="112"/>
      <c r="V44" s="111"/>
      <c r="W44" s="112"/>
      <c r="X44" s="111"/>
      <c r="Y44" s="112"/>
      <c r="Z44" s="111"/>
      <c r="AA44" s="112"/>
      <c r="AB44" s="111"/>
      <c r="AC44" s="112"/>
      <c r="AD44" s="111"/>
      <c r="AE44" s="112"/>
      <c r="AF44" s="111"/>
      <c r="AG44" s="112"/>
      <c r="AH44" s="111"/>
      <c r="AI44" s="112"/>
      <c r="AJ44" s="111"/>
      <c r="AK44" s="112"/>
      <c r="AL44" s="111"/>
      <c r="AM44" s="112"/>
      <c r="AN44" s="111"/>
      <c r="AO44" s="112"/>
      <c r="AP44" s="111"/>
      <c r="AQ44" s="112"/>
      <c r="AR44" s="111"/>
      <c r="AS44" s="112"/>
      <c r="AT44" s="111"/>
      <c r="AU44" s="112"/>
      <c r="AV44" s="111"/>
      <c r="AW44" s="112"/>
    </row>
    <row r="45" spans="1:49">
      <c r="A45" s="104">
        <v>39</v>
      </c>
      <c r="B45" s="105" t="str">
        <f>IF('[1]要員計画(オフショア利用)　調整前'!B45="","",'[1]要員計画(オフショア利用)　調整前'!B45)</f>
        <v/>
      </c>
      <c r="C45" s="172" t="str">
        <f>IF('[1]要員計画(オフショア利用)　調整前'!C45="","",'[1]要員計画(オフショア利用)　調整前'!C45)</f>
        <v>BP）</v>
      </c>
      <c r="D45" s="105" t="str">
        <f>IF('[1]要員計画(オフショア利用)　調整前'!D45="","",'[1]要員計画(オフショア利用)　調整前'!D45)</f>
        <v>VT</v>
      </c>
      <c r="E45" s="107">
        <f t="shared" si="19"/>
        <v>0</v>
      </c>
      <c r="F45" s="108">
        <v>250000</v>
      </c>
      <c r="G45" s="108">
        <f t="shared" si="18"/>
        <v>0</v>
      </c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1"/>
      <c r="AE45" s="112"/>
      <c r="AF45" s="111"/>
      <c r="AG45" s="112"/>
      <c r="AH45" s="111"/>
      <c r="AI45" s="112"/>
      <c r="AJ45" s="111"/>
      <c r="AK45" s="112"/>
      <c r="AL45" s="111"/>
      <c r="AM45" s="112"/>
      <c r="AN45" s="111"/>
      <c r="AO45" s="112"/>
      <c r="AP45" s="111"/>
      <c r="AQ45" s="112"/>
      <c r="AR45" s="111"/>
      <c r="AS45" s="112"/>
      <c r="AT45" s="111"/>
      <c r="AU45" s="112"/>
      <c r="AV45" s="111"/>
      <c r="AW45" s="112"/>
    </row>
    <row r="46" spans="1:49">
      <c r="A46" s="104">
        <v>40</v>
      </c>
      <c r="B46" s="105" t="str">
        <f>IF('[1]要員計画(オフショア利用)　調整前'!B46="","",'[1]要員計画(オフショア利用)　調整前'!B46)</f>
        <v/>
      </c>
      <c r="C46" s="172" t="str">
        <f>IF('[1]要員計画(オフショア利用)　調整前'!C46="","",'[1]要員計画(オフショア利用)　調整前'!C46)</f>
        <v>BP）</v>
      </c>
      <c r="D46" s="105" t="str">
        <f>IF('[1]要員計画(オフショア利用)　調整前'!D46="","",'[1]要員計画(オフショア利用)　調整前'!D46)</f>
        <v>VT</v>
      </c>
      <c r="E46" s="107">
        <f t="shared" si="19"/>
        <v>0</v>
      </c>
      <c r="F46" s="108">
        <v>250000</v>
      </c>
      <c r="G46" s="108">
        <f t="shared" si="18"/>
        <v>0</v>
      </c>
      <c r="H46" s="111"/>
      <c r="I46" s="112"/>
      <c r="J46" s="111"/>
      <c r="K46" s="112"/>
      <c r="L46" s="111"/>
      <c r="M46" s="112"/>
      <c r="N46" s="111"/>
      <c r="O46" s="112"/>
      <c r="P46" s="111"/>
      <c r="Q46" s="112"/>
      <c r="R46" s="111"/>
      <c r="S46" s="112"/>
      <c r="T46" s="111"/>
      <c r="U46" s="112"/>
      <c r="V46" s="111"/>
      <c r="W46" s="112"/>
      <c r="X46" s="111"/>
      <c r="Y46" s="112"/>
      <c r="Z46" s="111"/>
      <c r="AA46" s="112"/>
      <c r="AB46" s="111"/>
      <c r="AC46" s="112"/>
      <c r="AD46" s="111"/>
      <c r="AE46" s="112"/>
      <c r="AF46" s="111"/>
      <c r="AG46" s="112"/>
      <c r="AH46" s="111"/>
      <c r="AI46" s="112"/>
      <c r="AJ46" s="111"/>
      <c r="AK46" s="112"/>
      <c r="AL46" s="111"/>
      <c r="AM46" s="112"/>
      <c r="AN46" s="111"/>
      <c r="AO46" s="112"/>
      <c r="AP46" s="111"/>
      <c r="AQ46" s="112"/>
      <c r="AR46" s="111"/>
      <c r="AS46" s="112"/>
      <c r="AT46" s="111"/>
      <c r="AU46" s="112"/>
      <c r="AV46" s="111"/>
      <c r="AW46" s="112"/>
    </row>
    <row r="47" spans="1:49">
      <c r="A47" s="104">
        <v>41</v>
      </c>
      <c r="B47" s="105" t="str">
        <f>IF('[1]要員計画(オフショア利用)　調整前'!B47="","",'[1]要員計画(オフショア利用)　調整前'!B47)</f>
        <v/>
      </c>
      <c r="C47" s="172" t="str">
        <f>IF('[1]要員計画(オフショア利用)　調整前'!C47="","",'[1]要員計画(オフショア利用)　調整前'!C47)</f>
        <v>BP）</v>
      </c>
      <c r="D47" s="105" t="str">
        <f>IF('[1]要員計画(オフショア利用)　調整前'!D47="","",'[1]要員計画(オフショア利用)　調整前'!D47)</f>
        <v>VT</v>
      </c>
      <c r="E47" s="107">
        <f t="shared" si="19"/>
        <v>0</v>
      </c>
      <c r="F47" s="108">
        <v>250000</v>
      </c>
      <c r="G47" s="108">
        <f t="shared" si="18"/>
        <v>0</v>
      </c>
      <c r="H47" s="111"/>
      <c r="I47" s="112"/>
      <c r="J47" s="111"/>
      <c r="K47" s="112"/>
      <c r="L47" s="111"/>
      <c r="M47" s="112"/>
      <c r="N47" s="111"/>
      <c r="O47" s="112"/>
      <c r="P47" s="111"/>
      <c r="Q47" s="112"/>
      <c r="R47" s="111"/>
      <c r="S47" s="112"/>
      <c r="T47" s="111"/>
      <c r="U47" s="112"/>
      <c r="V47" s="111"/>
      <c r="W47" s="112"/>
      <c r="X47" s="111"/>
      <c r="Y47" s="112"/>
      <c r="Z47" s="111"/>
      <c r="AA47" s="112"/>
      <c r="AB47" s="111"/>
      <c r="AC47" s="112"/>
      <c r="AD47" s="111"/>
      <c r="AE47" s="112"/>
      <c r="AF47" s="111"/>
      <c r="AG47" s="112"/>
      <c r="AH47" s="111"/>
      <c r="AI47" s="112"/>
      <c r="AJ47" s="111"/>
      <c r="AK47" s="112"/>
      <c r="AL47" s="111"/>
      <c r="AM47" s="112"/>
      <c r="AN47" s="111"/>
      <c r="AO47" s="112"/>
      <c r="AP47" s="111"/>
      <c r="AQ47" s="112"/>
      <c r="AR47" s="111"/>
      <c r="AS47" s="112"/>
      <c r="AT47" s="111"/>
      <c r="AU47" s="112"/>
      <c r="AV47" s="111"/>
      <c r="AW47" s="112"/>
    </row>
    <row r="48" spans="1:49">
      <c r="A48" s="104">
        <v>42</v>
      </c>
      <c r="B48" s="105" t="str">
        <f>IF('[1]要員計画(オフショア利用)　調整前'!B48="","",'[1]要員計画(オフショア利用)　調整前'!B48)</f>
        <v/>
      </c>
      <c r="C48" s="172" t="str">
        <f>IF('[1]要員計画(オフショア利用)　調整前'!C48="","",'[1]要員計画(オフショア利用)　調整前'!C48)</f>
        <v>BP）</v>
      </c>
      <c r="D48" s="105" t="str">
        <f>IF('[1]要員計画(オフショア利用)　調整前'!D48="","",'[1]要員計画(オフショア利用)　調整前'!D48)</f>
        <v>VT</v>
      </c>
      <c r="E48" s="107">
        <f t="shared" si="19"/>
        <v>0</v>
      </c>
      <c r="F48" s="108">
        <v>250000</v>
      </c>
      <c r="G48" s="108">
        <f t="shared" si="18"/>
        <v>0</v>
      </c>
      <c r="H48" s="111"/>
      <c r="I48" s="112"/>
      <c r="J48" s="111"/>
      <c r="K48" s="112"/>
      <c r="L48" s="111"/>
      <c r="M48" s="112"/>
      <c r="N48" s="111"/>
      <c r="O48" s="112"/>
      <c r="P48" s="111"/>
      <c r="Q48" s="112"/>
      <c r="R48" s="111"/>
      <c r="S48" s="112"/>
      <c r="T48" s="111"/>
      <c r="U48" s="112"/>
      <c r="V48" s="111"/>
      <c r="W48" s="112"/>
      <c r="X48" s="111"/>
      <c r="Y48" s="112"/>
      <c r="Z48" s="111"/>
      <c r="AA48" s="112"/>
      <c r="AB48" s="111"/>
      <c r="AC48" s="112"/>
      <c r="AD48" s="111"/>
      <c r="AE48" s="112"/>
      <c r="AF48" s="111"/>
      <c r="AG48" s="112"/>
      <c r="AH48" s="111"/>
      <c r="AI48" s="112"/>
      <c r="AJ48" s="111"/>
      <c r="AK48" s="112"/>
      <c r="AL48" s="111"/>
      <c r="AM48" s="112"/>
      <c r="AN48" s="111"/>
      <c r="AO48" s="112"/>
      <c r="AP48" s="111"/>
      <c r="AQ48" s="112"/>
      <c r="AR48" s="111"/>
      <c r="AS48" s="112"/>
      <c r="AT48" s="111"/>
      <c r="AU48" s="112"/>
      <c r="AV48" s="111"/>
      <c r="AW48" s="112"/>
    </row>
    <row r="49" spans="1:49">
      <c r="A49" s="104">
        <v>43</v>
      </c>
      <c r="B49" s="105" t="str">
        <f>IF('[1]要員計画(オフショア利用)　調整前'!B49="","",'[1]要員計画(オフショア利用)　調整前'!B49)</f>
        <v/>
      </c>
      <c r="C49" s="172" t="str">
        <f>IF('[1]要員計画(オフショア利用)　調整前'!C49="","",'[1]要員計画(オフショア利用)　調整前'!C49)</f>
        <v/>
      </c>
      <c r="D49" s="105" t="str">
        <f>IF('[1]要員計画(オフショア利用)　調整前'!D49="","",'[1]要員計画(オフショア利用)　調整前'!D49)</f>
        <v>VT</v>
      </c>
      <c r="E49" s="107">
        <f t="shared" si="19"/>
        <v>0</v>
      </c>
      <c r="F49" s="108">
        <v>250000</v>
      </c>
      <c r="G49" s="108">
        <f t="shared" si="18"/>
        <v>0</v>
      </c>
      <c r="H49" s="111"/>
      <c r="I49" s="112"/>
      <c r="J49" s="111"/>
      <c r="K49" s="112"/>
      <c r="L49" s="111"/>
      <c r="M49" s="112"/>
      <c r="N49" s="111"/>
      <c r="O49" s="112"/>
      <c r="P49" s="111"/>
      <c r="Q49" s="112"/>
      <c r="R49" s="111"/>
      <c r="S49" s="112"/>
      <c r="T49" s="111"/>
      <c r="U49" s="112"/>
      <c r="V49" s="111"/>
      <c r="W49" s="112"/>
      <c r="X49" s="111"/>
      <c r="Y49" s="112"/>
      <c r="Z49" s="111"/>
      <c r="AA49" s="112"/>
      <c r="AB49" s="111"/>
      <c r="AC49" s="112"/>
      <c r="AD49" s="111"/>
      <c r="AE49" s="112"/>
      <c r="AF49" s="111"/>
      <c r="AG49" s="112"/>
      <c r="AH49" s="111"/>
      <c r="AI49" s="112"/>
      <c r="AJ49" s="111"/>
      <c r="AK49" s="112"/>
      <c r="AL49" s="111"/>
      <c r="AM49" s="112"/>
      <c r="AN49" s="111"/>
      <c r="AO49" s="112"/>
      <c r="AP49" s="111"/>
      <c r="AQ49" s="112"/>
      <c r="AR49" s="111"/>
      <c r="AS49" s="112"/>
      <c r="AT49" s="111"/>
      <c r="AU49" s="112"/>
      <c r="AV49" s="111"/>
      <c r="AW49" s="112"/>
    </row>
    <row r="50" spans="1:49">
      <c r="A50" s="104">
        <v>44</v>
      </c>
      <c r="B50" s="105" t="str">
        <f>IF('[1]要員計画(オフショア利用)　調整前'!B50="","",'[1]要員計画(オフショア利用)　調整前'!B50)</f>
        <v/>
      </c>
      <c r="C50" s="172" t="str">
        <f>IF('[1]要員計画(オフショア利用)　調整前'!C50="","",'[1]要員計画(オフショア利用)　調整前'!C50)</f>
        <v/>
      </c>
      <c r="D50" s="105" t="str">
        <f>IF('[1]要員計画(オフショア利用)　調整前'!D50="","",'[1]要員計画(オフショア利用)　調整前'!D50)</f>
        <v>VT</v>
      </c>
      <c r="E50" s="107">
        <f t="shared" si="19"/>
        <v>0</v>
      </c>
      <c r="F50" s="108">
        <v>250000</v>
      </c>
      <c r="G50" s="108">
        <f t="shared" si="18"/>
        <v>0</v>
      </c>
      <c r="H50" s="111"/>
      <c r="I50" s="112"/>
      <c r="J50" s="111"/>
      <c r="K50" s="112"/>
      <c r="L50" s="111"/>
      <c r="M50" s="112"/>
      <c r="N50" s="111"/>
      <c r="O50" s="112"/>
      <c r="P50" s="111"/>
      <c r="Q50" s="112"/>
      <c r="R50" s="111"/>
      <c r="S50" s="112"/>
      <c r="T50" s="111"/>
      <c r="U50" s="112"/>
      <c r="V50" s="111"/>
      <c r="W50" s="112"/>
      <c r="X50" s="111"/>
      <c r="Y50" s="112"/>
      <c r="Z50" s="111"/>
      <c r="AA50" s="112"/>
      <c r="AB50" s="111"/>
      <c r="AC50" s="112"/>
      <c r="AD50" s="111"/>
      <c r="AE50" s="112"/>
      <c r="AF50" s="111"/>
      <c r="AG50" s="112"/>
      <c r="AH50" s="111"/>
      <c r="AI50" s="112"/>
      <c r="AJ50" s="111"/>
      <c r="AK50" s="112"/>
      <c r="AL50" s="111"/>
      <c r="AM50" s="112"/>
      <c r="AN50" s="111"/>
      <c r="AO50" s="112"/>
      <c r="AP50" s="111"/>
      <c r="AQ50" s="112"/>
      <c r="AR50" s="111"/>
      <c r="AS50" s="112"/>
      <c r="AT50" s="111"/>
      <c r="AU50" s="112"/>
      <c r="AV50" s="111"/>
      <c r="AW50" s="112"/>
    </row>
    <row r="51" spans="1:49">
      <c r="A51" s="104">
        <v>45</v>
      </c>
      <c r="B51" s="105" t="str">
        <f>IF('[1]要員計画(オフショア利用)　調整前'!B51="","",'[1]要員計画(オフショア利用)　調整前'!B51)</f>
        <v/>
      </c>
      <c r="C51" s="172" t="str">
        <f>IF('[1]要員計画(オフショア利用)　調整前'!C51="","",'[1]要員計画(オフショア利用)　調整前'!C51)</f>
        <v/>
      </c>
      <c r="D51" s="105" t="str">
        <f>IF('[1]要員計画(オフショア利用)　調整前'!D51="","",'[1]要員計画(オフショア利用)　調整前'!D51)</f>
        <v>VT</v>
      </c>
      <c r="E51" s="107">
        <f t="shared" si="19"/>
        <v>0</v>
      </c>
      <c r="F51" s="108">
        <v>250000</v>
      </c>
      <c r="G51" s="108">
        <f t="shared" si="18"/>
        <v>0</v>
      </c>
      <c r="H51" s="111"/>
      <c r="I51" s="112"/>
      <c r="J51" s="111"/>
      <c r="K51" s="112"/>
      <c r="L51" s="111"/>
      <c r="M51" s="112"/>
      <c r="N51" s="111"/>
      <c r="O51" s="112"/>
      <c r="P51" s="111"/>
      <c r="Q51" s="112"/>
      <c r="R51" s="111"/>
      <c r="S51" s="112"/>
      <c r="T51" s="111"/>
      <c r="U51" s="112"/>
      <c r="V51" s="111"/>
      <c r="W51" s="112"/>
      <c r="X51" s="111"/>
      <c r="Y51" s="112"/>
      <c r="Z51" s="111"/>
      <c r="AA51" s="112"/>
      <c r="AB51" s="111"/>
      <c r="AC51" s="112"/>
      <c r="AD51" s="111"/>
      <c r="AE51" s="112"/>
      <c r="AF51" s="111"/>
      <c r="AG51" s="112"/>
      <c r="AH51" s="111"/>
      <c r="AI51" s="112"/>
      <c r="AJ51" s="111"/>
      <c r="AK51" s="112"/>
      <c r="AL51" s="111"/>
      <c r="AM51" s="112"/>
      <c r="AN51" s="111"/>
      <c r="AO51" s="112"/>
      <c r="AP51" s="111"/>
      <c r="AQ51" s="112"/>
      <c r="AR51" s="111"/>
      <c r="AS51" s="112"/>
      <c r="AT51" s="111"/>
      <c r="AU51" s="112"/>
      <c r="AV51" s="111"/>
      <c r="AW51" s="112"/>
    </row>
    <row r="52" spans="1:49">
      <c r="A52" s="104">
        <v>46</v>
      </c>
      <c r="B52" s="105" t="str">
        <f>IF('[1]要員計画(オフショア利用)　調整前'!B52="","",'[1]要員計画(オフショア利用)　調整前'!B52)</f>
        <v/>
      </c>
      <c r="C52" s="172" t="str">
        <f>IF('[1]要員計画(オフショア利用)　調整前'!C52="","",'[1]要員計画(オフショア利用)　調整前'!C52)</f>
        <v/>
      </c>
      <c r="D52" s="105" t="str">
        <f>IF('[1]要員計画(オフショア利用)　調整前'!D52="","",'[1]要員計画(オフショア利用)　調整前'!D52)</f>
        <v>VT</v>
      </c>
      <c r="E52" s="107">
        <f t="shared" si="19"/>
        <v>0</v>
      </c>
      <c r="F52" s="108">
        <v>250000</v>
      </c>
      <c r="G52" s="108">
        <f t="shared" si="18"/>
        <v>0</v>
      </c>
      <c r="H52" s="111"/>
      <c r="I52" s="112"/>
      <c r="J52" s="111"/>
      <c r="K52" s="112"/>
      <c r="L52" s="111"/>
      <c r="M52" s="112"/>
      <c r="N52" s="111"/>
      <c r="O52" s="112"/>
      <c r="P52" s="111"/>
      <c r="Q52" s="112"/>
      <c r="R52" s="111"/>
      <c r="S52" s="112"/>
      <c r="T52" s="111"/>
      <c r="U52" s="112"/>
      <c r="V52" s="111"/>
      <c r="W52" s="112"/>
      <c r="X52" s="111"/>
      <c r="Y52" s="112"/>
      <c r="Z52" s="111"/>
      <c r="AA52" s="112"/>
      <c r="AB52" s="111"/>
      <c r="AC52" s="112"/>
      <c r="AD52" s="111"/>
      <c r="AE52" s="112"/>
      <c r="AF52" s="111"/>
      <c r="AG52" s="112"/>
      <c r="AH52" s="111"/>
      <c r="AI52" s="112"/>
      <c r="AJ52" s="111"/>
      <c r="AK52" s="112"/>
      <c r="AL52" s="111"/>
      <c r="AM52" s="112"/>
      <c r="AN52" s="111"/>
      <c r="AO52" s="112"/>
      <c r="AP52" s="111"/>
      <c r="AQ52" s="112"/>
      <c r="AR52" s="111"/>
      <c r="AS52" s="112"/>
      <c r="AT52" s="111"/>
      <c r="AU52" s="112"/>
      <c r="AV52" s="111"/>
      <c r="AW52" s="112"/>
    </row>
    <row r="53" spans="1:49">
      <c r="A53" s="104">
        <v>47</v>
      </c>
      <c r="B53" s="105" t="str">
        <f>IF('[1]要員計画(オフショア利用)　調整前'!B53="","",'[1]要員計画(オフショア利用)　調整前'!B53)</f>
        <v/>
      </c>
      <c r="C53" s="172" t="str">
        <f>IF('[1]要員計画(オフショア利用)　調整前'!C53="","",'[1]要員計画(オフショア利用)　調整前'!C53)</f>
        <v/>
      </c>
      <c r="D53" s="105" t="str">
        <f>IF('[1]要員計画(オフショア利用)　調整前'!D53="","",'[1]要員計画(オフショア利用)　調整前'!D53)</f>
        <v>VT</v>
      </c>
      <c r="E53" s="107">
        <f t="shared" si="19"/>
        <v>0</v>
      </c>
      <c r="F53" s="108">
        <v>250000</v>
      </c>
      <c r="G53" s="108">
        <f t="shared" si="18"/>
        <v>0</v>
      </c>
      <c r="H53" s="111"/>
      <c r="I53" s="112"/>
      <c r="J53" s="111"/>
      <c r="K53" s="112"/>
      <c r="L53" s="111"/>
      <c r="M53" s="112"/>
      <c r="N53" s="111"/>
      <c r="O53" s="112"/>
      <c r="P53" s="111"/>
      <c r="Q53" s="112"/>
      <c r="R53" s="111"/>
      <c r="S53" s="112"/>
      <c r="T53" s="111"/>
      <c r="U53" s="112"/>
      <c r="V53" s="111"/>
      <c r="W53" s="112"/>
      <c r="X53" s="111"/>
      <c r="Y53" s="112"/>
      <c r="Z53" s="111"/>
      <c r="AA53" s="112"/>
      <c r="AB53" s="111"/>
      <c r="AC53" s="112"/>
      <c r="AD53" s="111"/>
      <c r="AE53" s="112"/>
      <c r="AF53" s="111"/>
      <c r="AG53" s="112"/>
      <c r="AH53" s="111"/>
      <c r="AI53" s="112"/>
      <c r="AJ53" s="111"/>
      <c r="AK53" s="112"/>
      <c r="AL53" s="111"/>
      <c r="AM53" s="112"/>
      <c r="AN53" s="111"/>
      <c r="AO53" s="112"/>
      <c r="AP53" s="111"/>
      <c r="AQ53" s="112"/>
      <c r="AR53" s="111"/>
      <c r="AS53" s="112"/>
      <c r="AT53" s="111"/>
      <c r="AU53" s="112"/>
      <c r="AV53" s="111"/>
      <c r="AW53" s="112"/>
    </row>
    <row r="54" spans="1:49">
      <c r="A54" s="104">
        <v>48</v>
      </c>
      <c r="B54" s="105" t="str">
        <f>IF('[1]要員計画(オフショア利用)　調整前'!B54="","",'[1]要員計画(オフショア利用)　調整前'!B54)</f>
        <v/>
      </c>
      <c r="C54" s="172" t="str">
        <f>IF('[1]要員計画(オフショア利用)　調整前'!C54="","",'[1]要員計画(オフショア利用)　調整前'!C54)</f>
        <v/>
      </c>
      <c r="D54" s="105" t="str">
        <f>IF('[1]要員計画(オフショア利用)　調整前'!D54="","",'[1]要員計画(オフショア利用)　調整前'!D54)</f>
        <v>VT</v>
      </c>
      <c r="E54" s="107">
        <f t="shared" si="19"/>
        <v>0</v>
      </c>
      <c r="F54" s="108">
        <v>250000</v>
      </c>
      <c r="G54" s="108">
        <f t="shared" si="18"/>
        <v>0</v>
      </c>
      <c r="H54" s="111"/>
      <c r="I54" s="112"/>
      <c r="J54" s="111"/>
      <c r="K54" s="112"/>
      <c r="L54" s="111"/>
      <c r="M54" s="112"/>
      <c r="N54" s="111"/>
      <c r="O54" s="112"/>
      <c r="P54" s="111"/>
      <c r="Q54" s="112"/>
      <c r="R54" s="111"/>
      <c r="S54" s="112"/>
      <c r="T54" s="111"/>
      <c r="U54" s="112"/>
      <c r="V54" s="111"/>
      <c r="W54" s="112"/>
      <c r="X54" s="111"/>
      <c r="Y54" s="112"/>
      <c r="Z54" s="111"/>
      <c r="AA54" s="112"/>
      <c r="AB54" s="111"/>
      <c r="AC54" s="112"/>
      <c r="AD54" s="111"/>
      <c r="AE54" s="112"/>
      <c r="AF54" s="111"/>
      <c r="AG54" s="112"/>
      <c r="AH54" s="111"/>
      <c r="AI54" s="112"/>
      <c r="AJ54" s="111"/>
      <c r="AK54" s="112"/>
      <c r="AL54" s="111"/>
      <c r="AM54" s="112"/>
      <c r="AN54" s="111"/>
      <c r="AO54" s="112"/>
      <c r="AP54" s="111"/>
      <c r="AQ54" s="112"/>
      <c r="AR54" s="111"/>
      <c r="AS54" s="112"/>
      <c r="AT54" s="111"/>
      <c r="AU54" s="112"/>
      <c r="AV54" s="111"/>
      <c r="AW54" s="112"/>
    </row>
    <row r="55" spans="1:49">
      <c r="A55" s="104">
        <v>49</v>
      </c>
      <c r="B55" s="105" t="str">
        <f>IF('[1]要員計画(オフショア利用)　調整前'!B55="","",'[1]要員計画(オフショア利用)　調整前'!B55)</f>
        <v/>
      </c>
      <c r="C55" s="172" t="str">
        <f>IF('[1]要員計画(オフショア利用)　調整前'!C55="","",'[1]要員計画(オフショア利用)　調整前'!C55)</f>
        <v/>
      </c>
      <c r="D55" s="105" t="str">
        <f>IF('[1]要員計画(オフショア利用)　調整前'!D55="","",'[1]要員計画(オフショア利用)　調整前'!D55)</f>
        <v>VT</v>
      </c>
      <c r="E55" s="107">
        <f t="shared" si="19"/>
        <v>0</v>
      </c>
      <c r="F55" s="108">
        <v>250000</v>
      </c>
      <c r="G55" s="108">
        <f t="shared" si="18"/>
        <v>0</v>
      </c>
      <c r="H55" s="111"/>
      <c r="I55" s="112"/>
      <c r="J55" s="111"/>
      <c r="K55" s="112"/>
      <c r="L55" s="111"/>
      <c r="M55" s="112"/>
      <c r="N55" s="111"/>
      <c r="O55" s="112"/>
      <c r="P55" s="111"/>
      <c r="Q55" s="112"/>
      <c r="R55" s="111"/>
      <c r="S55" s="112"/>
      <c r="T55" s="111"/>
      <c r="U55" s="112"/>
      <c r="V55" s="111"/>
      <c r="W55" s="112"/>
      <c r="X55" s="111"/>
      <c r="Y55" s="112"/>
      <c r="Z55" s="111"/>
      <c r="AA55" s="112"/>
      <c r="AB55" s="111"/>
      <c r="AC55" s="112"/>
      <c r="AD55" s="111"/>
      <c r="AE55" s="112"/>
      <c r="AF55" s="111"/>
      <c r="AG55" s="112"/>
      <c r="AH55" s="111"/>
      <c r="AI55" s="112"/>
      <c r="AJ55" s="111"/>
      <c r="AK55" s="112"/>
      <c r="AL55" s="111"/>
      <c r="AM55" s="112"/>
      <c r="AN55" s="111"/>
      <c r="AO55" s="112"/>
      <c r="AP55" s="111"/>
      <c r="AQ55" s="112"/>
      <c r="AR55" s="111"/>
      <c r="AS55" s="112"/>
      <c r="AT55" s="111"/>
      <c r="AU55" s="112"/>
      <c r="AV55" s="111"/>
      <c r="AW55" s="112"/>
    </row>
    <row r="56" spans="1:49">
      <c r="A56" s="104">
        <v>50</v>
      </c>
      <c r="B56" s="105" t="str">
        <f>IF('[1]要員計画(オフショア利用)　調整前'!B56="","",'[1]要員計画(オフショア利用)　調整前'!B56)</f>
        <v/>
      </c>
      <c r="C56" s="172" t="str">
        <f>IF('[1]要員計画(オフショア利用)　調整前'!C56="","",'[1]要員計画(オフショア利用)　調整前'!C56)</f>
        <v>BP)ｺﾐｭﾆｹｰﾀ</v>
      </c>
      <c r="D56" s="105" t="str">
        <f>IF('[1]要員計画(オフショア利用)　調整前'!D56="","",'[1]要員計画(オフショア利用)　調整前'!D56)</f>
        <v>VT</v>
      </c>
      <c r="E56" s="107">
        <f t="shared" si="19"/>
        <v>13</v>
      </c>
      <c r="F56" s="108">
        <v>250000</v>
      </c>
      <c r="G56" s="108">
        <f t="shared" si="18"/>
        <v>3250000</v>
      </c>
      <c r="H56" s="111"/>
      <c r="I56" s="112"/>
      <c r="J56" s="111"/>
      <c r="K56" s="112"/>
      <c r="L56" s="111">
        <v>1</v>
      </c>
      <c r="M56" s="112">
        <v>1</v>
      </c>
      <c r="N56" s="111">
        <v>1</v>
      </c>
      <c r="O56" s="112">
        <v>1</v>
      </c>
      <c r="P56" s="111">
        <v>1</v>
      </c>
      <c r="Q56" s="112">
        <v>1</v>
      </c>
      <c r="R56" s="111">
        <v>1</v>
      </c>
      <c r="S56" s="112">
        <v>1</v>
      </c>
      <c r="T56" s="111">
        <v>1</v>
      </c>
      <c r="U56" s="112">
        <v>1</v>
      </c>
      <c r="V56" s="111">
        <v>1</v>
      </c>
      <c r="W56" s="112">
        <v>1</v>
      </c>
      <c r="X56" s="111">
        <v>1</v>
      </c>
      <c r="Y56" s="112">
        <v>1</v>
      </c>
      <c r="Z56" s="111">
        <v>1</v>
      </c>
      <c r="AA56" s="112">
        <v>1</v>
      </c>
      <c r="AB56" s="111">
        <v>1</v>
      </c>
      <c r="AC56" s="112">
        <v>1</v>
      </c>
      <c r="AD56" s="111">
        <v>1</v>
      </c>
      <c r="AE56" s="112">
        <v>1</v>
      </c>
      <c r="AF56" s="111">
        <v>1</v>
      </c>
      <c r="AG56" s="112">
        <v>1</v>
      </c>
      <c r="AH56" s="111">
        <v>1</v>
      </c>
      <c r="AI56" s="112">
        <v>1</v>
      </c>
      <c r="AJ56" s="111">
        <v>1</v>
      </c>
      <c r="AK56" s="112">
        <v>1</v>
      </c>
      <c r="AL56" s="111"/>
      <c r="AM56" s="112"/>
      <c r="AN56" s="111"/>
      <c r="AO56" s="112"/>
      <c r="AP56" s="111"/>
      <c r="AQ56" s="112"/>
      <c r="AR56" s="111"/>
      <c r="AS56" s="112"/>
      <c r="AT56" s="111"/>
      <c r="AU56" s="112"/>
      <c r="AV56" s="111"/>
      <c r="AW56" s="112"/>
    </row>
  </sheetData>
  <mergeCells count="73">
    <mergeCell ref="H1:M1"/>
    <mergeCell ref="N1:AK1"/>
    <mergeCell ref="AL1:AW1"/>
    <mergeCell ref="H2:I2"/>
    <mergeCell ref="J2:K2"/>
    <mergeCell ref="L2:M2"/>
    <mergeCell ref="N2:O2"/>
    <mergeCell ref="P2:Q2"/>
    <mergeCell ref="R2:S2"/>
    <mergeCell ref="T2:U2"/>
    <mergeCell ref="X2:Y2"/>
    <mergeCell ref="Z2:AA2"/>
    <mergeCell ref="AB2:AC2"/>
    <mergeCell ref="AD2:AE2"/>
    <mergeCell ref="AF2:AG2"/>
    <mergeCell ref="AT2:AU2"/>
    <mergeCell ref="AV2:AW2"/>
    <mergeCell ref="H3:K3"/>
    <mergeCell ref="L3:Q3"/>
    <mergeCell ref="R3:W3"/>
    <mergeCell ref="X3:AE3"/>
    <mergeCell ref="AF3:AK3"/>
    <mergeCell ref="AL3:AQ3"/>
    <mergeCell ref="AR3:AT3"/>
    <mergeCell ref="AH2:AI2"/>
    <mergeCell ref="AJ2:AK2"/>
    <mergeCell ref="AL2:AM2"/>
    <mergeCell ref="AN2:AO2"/>
    <mergeCell ref="AP2:AQ2"/>
    <mergeCell ref="AR2:AS2"/>
    <mergeCell ref="V2:W2"/>
    <mergeCell ref="AL4:AQ4"/>
    <mergeCell ref="AR4:AT4"/>
    <mergeCell ref="AU4:AW4"/>
    <mergeCell ref="B5:D6"/>
    <mergeCell ref="E5:E6"/>
    <mergeCell ref="F5:F6"/>
    <mergeCell ref="G5:G6"/>
    <mergeCell ref="H5:K5"/>
    <mergeCell ref="L5:Q5"/>
    <mergeCell ref="R5:W5"/>
    <mergeCell ref="B4:D4"/>
    <mergeCell ref="H4:K4"/>
    <mergeCell ref="L4:Q4"/>
    <mergeCell ref="R4:W4"/>
    <mergeCell ref="X4:AE4"/>
    <mergeCell ref="AF4:AK4"/>
    <mergeCell ref="AU5:AW5"/>
    <mergeCell ref="H6:I6"/>
    <mergeCell ref="J6:K6"/>
    <mergeCell ref="L6:M6"/>
    <mergeCell ref="N6:O6"/>
    <mergeCell ref="P6:Q6"/>
    <mergeCell ref="AB6:AC6"/>
    <mergeCell ref="X5:AE5"/>
    <mergeCell ref="AF5:AK5"/>
    <mergeCell ref="AL5:AQ5"/>
    <mergeCell ref="AR5:AT5"/>
    <mergeCell ref="R6:S6"/>
    <mergeCell ref="T6:U6"/>
    <mergeCell ref="V6:W6"/>
    <mergeCell ref="X6:Y6"/>
    <mergeCell ref="Z6:AA6"/>
    <mergeCell ref="AP6:AQ6"/>
    <mergeCell ref="AR6:AS6"/>
    <mergeCell ref="AT6:AU6"/>
    <mergeCell ref="AV6:AW6"/>
    <mergeCell ref="AD6:AE6"/>
    <mergeCell ref="AF6:AG6"/>
    <mergeCell ref="AH6:AI6"/>
    <mergeCell ref="AJ6:AK6"/>
    <mergeCell ref="AL6:AM6"/>
    <mergeCell ref="AN6:AO6"/>
  </mergeCells>
  <phoneticPr fontId="1"/>
  <pageMargins left="0.7" right="0.7" top="0.75" bottom="0.75" header="0.3" footer="0.3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162F25-AB12-41DB-BE75-EECBE6178F8D}"/>
</file>

<file path=customXml/itemProps2.xml><?xml version="1.0" encoding="utf-8"?>
<ds:datastoreItem xmlns:ds="http://schemas.openxmlformats.org/officeDocument/2006/customXml" ds:itemID="{8817012C-F2CA-4CCB-A97D-A39F1D54835C}"/>
</file>

<file path=customXml/itemProps3.xml><?xml version="1.0" encoding="utf-8"?>
<ds:datastoreItem xmlns:ds="http://schemas.openxmlformats.org/officeDocument/2006/customXml" ds:itemID="{1E6CF8A3-A9DE-40BD-8CDE-9B13F7A3E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(株)システムエグゼ　金児</dc:creator>
  <cp:keywords/>
  <dc:description/>
  <cp:lastModifiedBy>野村康二</cp:lastModifiedBy>
  <cp:revision/>
  <dcterms:created xsi:type="dcterms:W3CDTF">2015-10-06T03:03:08Z</dcterms:created>
  <dcterms:modified xsi:type="dcterms:W3CDTF">2025-03-27T09:37:14Z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