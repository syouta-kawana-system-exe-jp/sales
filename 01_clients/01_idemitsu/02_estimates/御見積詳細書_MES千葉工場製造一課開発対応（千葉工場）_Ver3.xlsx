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11" documentId="13_ncr:1_{F7C5120A-2D3F-4485-A74A-0CB0EB667E90}" xr6:coauthVersionLast="47" xr6:coauthVersionMax="47" xr10:uidLastSave="{3190B1CC-1F4E-4C74-A072-6931E9E73DE3}"/>
  <bookViews>
    <workbookView xWindow="-28920" yWindow="-120" windowWidth="29040" windowHeight="15720" tabRatio="787" firstSheet="1" activeTab="2" xr2:uid="{00000000-000D-0000-FFFF-FFFF00000000}"/>
  </bookViews>
  <sheets>
    <sheet name="御見積詳細書 (顧客用) (2)" sheetId="4" state="hidden" r:id="rId1"/>
    <sheet name="御見積詳細書 (顧客用)" sheetId="3" r:id="rId2"/>
    <sheet name="御見積詳細書（社内用）" sheetId="1" r:id="rId3"/>
    <sheet name="MES_概算御見積（内部用）" sheetId="5" r:id="rId4"/>
    <sheet name="MES_概算御見積（顧客提出用）" sheetId="6" r:id="rId5"/>
    <sheet name="スケジュール概算" sheetId="7" r:id="rId6"/>
  </sheets>
  <definedNames>
    <definedName name="_xlnm.Print_Area" localSheetId="4">'MES_概算御見積（顧客提出用）'!$A$1:$J$20</definedName>
    <definedName name="_xlnm.Print_Area" localSheetId="1">'御見積詳細書 (顧客用)'!$A$1:$AJ$144</definedName>
    <definedName name="_xlnm.Print_Area" localSheetId="0">'御見積詳細書 (顧客用) (2)'!$A$1:$AJ$183</definedName>
    <definedName name="_xlnm.Print_Area" localSheetId="2">'御見積詳細書（社内用）'!$A$1:$AJ$45</definedName>
    <definedName name="_xlnm.Print_Titles" localSheetId="4">'MES_概算御見積（顧客提出用）'!$1:$3</definedName>
    <definedName name="_xlnm.Print_Titles" localSheetId="3">'MES_概算御見積（内部用）'!$1:$3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部門名" localSheetId="1">#REF!</definedName>
    <definedName name="部門名" localSheetId="0">'御見積詳細書 (顧客用) (2)'!#REF!</definedName>
    <definedName name="部門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7" l="1"/>
  <c r="J5" i="7"/>
  <c r="I5" i="7"/>
  <c r="H5" i="7"/>
  <c r="G5" i="7"/>
  <c r="F5" i="7"/>
  <c r="E5" i="7"/>
  <c r="D5" i="7"/>
  <c r="C5" i="7"/>
  <c r="K4" i="7"/>
  <c r="J4" i="7"/>
  <c r="I4" i="7"/>
  <c r="H4" i="7"/>
  <c r="G4" i="7"/>
  <c r="F4" i="7"/>
  <c r="E4" i="7"/>
  <c r="D4" i="7"/>
  <c r="C4" i="7"/>
  <c r="K3" i="7"/>
  <c r="J3" i="7"/>
  <c r="I3" i="7"/>
  <c r="H3" i="7"/>
  <c r="G3" i="7"/>
  <c r="F3" i="7"/>
  <c r="E3" i="7"/>
  <c r="D3" i="7"/>
  <c r="C3" i="7"/>
  <c r="B3" i="7"/>
  <c r="S2" i="7"/>
  <c r="T2" i="7" s="1"/>
  <c r="U2" i="7" s="1"/>
  <c r="R2" i="7"/>
  <c r="P3" i="7" s="1"/>
  <c r="D6" i="6"/>
  <c r="C6" i="6"/>
  <c r="D5" i="6"/>
  <c r="C5" i="6"/>
  <c r="D4" i="6"/>
  <c r="C4" i="6"/>
  <c r="B4" i="6"/>
  <c r="X6" i="5"/>
  <c r="W6" i="5"/>
  <c r="V6" i="5"/>
  <c r="U6" i="5"/>
  <c r="T6" i="5"/>
  <c r="S6" i="5"/>
  <c r="Q6" i="5"/>
  <c r="AA6" i="5" s="1"/>
  <c r="X5" i="5"/>
  <c r="W5" i="5"/>
  <c r="V5" i="5"/>
  <c r="U5" i="5"/>
  <c r="T5" i="5"/>
  <c r="S5" i="5"/>
  <c r="Q5" i="5"/>
  <c r="Y5" i="5" s="1"/>
  <c r="AG5" i="5" s="1"/>
  <c r="AR4" i="5"/>
  <c r="AQ4" i="5"/>
  <c r="AP4" i="5"/>
  <c r="AO4" i="5"/>
  <c r="AN4" i="5"/>
  <c r="AM4" i="5"/>
  <c r="X4" i="5"/>
  <c r="W4" i="5"/>
  <c r="V4" i="5"/>
  <c r="U4" i="5"/>
  <c r="T4" i="5"/>
  <c r="S4" i="5"/>
  <c r="Q4" i="5"/>
  <c r="L3" i="7" s="1"/>
  <c r="M3" i="7" s="1"/>
  <c r="AE40" i="3"/>
  <c r="AE41" i="3"/>
  <c r="AE44" i="4"/>
  <c r="F9" i="4" s="1"/>
  <c r="Y43" i="1"/>
  <c r="AZ4" i="5" l="1"/>
  <c r="AW4" i="5"/>
  <c r="AX4" i="5"/>
  <c r="AV4" i="5"/>
  <c r="AY4" i="5"/>
  <c r="AU4" i="5"/>
  <c r="AI5" i="5"/>
  <c r="AJ5" i="5" s="1"/>
  <c r="AH5" i="5"/>
  <c r="P4" i="7"/>
  <c r="V2" i="7"/>
  <c r="W2" i="7" s="1"/>
  <c r="X2" i="7" s="1"/>
  <c r="AC6" i="5"/>
  <c r="AD6" i="5" s="1"/>
  <c r="AB6" i="5"/>
  <c r="AE6" i="5" s="1"/>
  <c r="I6" i="6" s="1"/>
  <c r="G6" i="6"/>
  <c r="Y4" i="5"/>
  <c r="AA4" i="5"/>
  <c r="H5" i="5"/>
  <c r="H6" i="5"/>
  <c r="AA5" i="5"/>
  <c r="H4" i="5"/>
  <c r="AS4" i="5"/>
  <c r="Y6" i="5"/>
  <c r="AG6" i="5" s="1"/>
  <c r="L4" i="7"/>
  <c r="M4" i="7" s="1"/>
  <c r="L5" i="7"/>
  <c r="M5" i="7" s="1"/>
  <c r="B15" i="1"/>
  <c r="H6" i="6" l="1"/>
  <c r="N5" i="7"/>
  <c r="G4" i="6"/>
  <c r="AC4" i="5"/>
  <c r="AB4" i="5"/>
  <c r="H4" i="6"/>
  <c r="AG4" i="5"/>
  <c r="BA4" i="5"/>
  <c r="I4" i="5"/>
  <c r="P5" i="7"/>
  <c r="Y2" i="7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N4" i="7"/>
  <c r="AI6" i="5"/>
  <c r="AJ6" i="5" s="1"/>
  <c r="AH6" i="5"/>
  <c r="J6" i="5"/>
  <c r="G5" i="6"/>
  <c r="AC5" i="5"/>
  <c r="AD5" i="5" s="1"/>
  <c r="AB5" i="5"/>
  <c r="AE5" i="5" s="1"/>
  <c r="I5" i="6" s="1"/>
  <c r="AK5" i="5"/>
  <c r="AE41" i="1"/>
  <c r="AE40" i="1"/>
  <c r="AE39" i="1"/>
  <c r="AE39" i="3" s="1"/>
  <c r="AE38" i="1"/>
  <c r="AE38" i="3" s="1"/>
  <c r="AI4" i="5" l="1"/>
  <c r="AJ4" i="5" s="1"/>
  <c r="AH4" i="5"/>
  <c r="J5" i="5"/>
  <c r="H5" i="6"/>
  <c r="AD4" i="5"/>
  <c r="AE4" i="5" s="1"/>
  <c r="I4" i="6" s="1"/>
  <c r="N3" i="7"/>
  <c r="J4" i="5"/>
  <c r="AK6" i="5"/>
  <c r="B31" i="1"/>
  <c r="AK4" i="5" l="1"/>
  <c r="AE37" i="1"/>
  <c r="AE37" i="3" s="1"/>
  <c r="AE43" i="1" l="1"/>
  <c r="AE43" i="3" l="1"/>
  <c r="F9" i="3" s="1"/>
  <c r="F9" i="1"/>
</calcChain>
</file>

<file path=xl/sharedStrings.xml><?xml version="1.0" encoding="utf-8"?>
<sst xmlns="http://schemas.openxmlformats.org/spreadsheetml/2006/main" count="437" uniqueCount="236">
  <si>
    <t>御 見 積 書</t>
    <rPh sb="0" eb="1">
      <t>ゴ</t>
    </rPh>
    <rPh sb="2" eb="3">
      <t>ミ</t>
    </rPh>
    <rPh sb="4" eb="5">
      <t>セキ</t>
    </rPh>
    <rPh sb="6" eb="7">
      <t>ショ</t>
    </rPh>
    <phoneticPr fontId="8"/>
  </si>
  <si>
    <t>見積番号　</t>
    <rPh sb="0" eb="2">
      <t>ミツ</t>
    </rPh>
    <rPh sb="2" eb="4">
      <t>バンゴウ</t>
    </rPh>
    <phoneticPr fontId="8"/>
  </si>
  <si>
    <t>-</t>
    <phoneticPr fontId="7"/>
  </si>
  <si>
    <t>見積年月日</t>
    <rPh sb="0" eb="2">
      <t>ミツモリ</t>
    </rPh>
    <rPh sb="2" eb="5">
      <t>ネンガッピ</t>
    </rPh>
    <phoneticPr fontId="8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</si>
  <si>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8"/>
  </si>
  <si>
    <t>見積金額</t>
    <rPh sb="0" eb="2">
      <t>ミツモリ</t>
    </rPh>
    <rPh sb="2" eb="4">
      <t>キンガク</t>
    </rPh>
    <phoneticPr fontId="7"/>
  </si>
  <si>
    <t>件名</t>
    <rPh sb="0" eb="2">
      <t>ケンメイ</t>
    </rPh>
    <phoneticPr fontId="8"/>
  </si>
  <si>
    <t>MESシステム　千葉工場製造一課開発対応</t>
    <rPh sb="8" eb="10">
      <t>チバ</t>
    </rPh>
    <rPh sb="10" eb="12">
      <t>コウジョウ</t>
    </rPh>
    <rPh sb="12" eb="14">
      <t>セイゾウ</t>
    </rPh>
    <rPh sb="14" eb="16">
      <t>イッカ</t>
    </rPh>
    <rPh sb="16" eb="18">
      <t>カイハツ</t>
    </rPh>
    <rPh sb="18" eb="20">
      <t>タイオウ</t>
    </rPh>
    <phoneticPr fontId="7"/>
  </si>
  <si>
    <t>作業形態</t>
    <rPh sb="0" eb="2">
      <t>サギョウ</t>
    </rPh>
    <rPh sb="2" eb="4">
      <t>ケイタイ</t>
    </rPh>
    <phoneticPr fontId="7"/>
  </si>
  <si>
    <t>請負契約</t>
    <rPh sb="0" eb="2">
      <t>ウケオイ</t>
    </rPh>
    <rPh sb="2" eb="4">
      <t>ケイヤク</t>
    </rPh>
    <phoneticPr fontId="7"/>
  </si>
  <si>
    <t>作業場所</t>
    <rPh sb="0" eb="2">
      <t>サギョウ</t>
    </rPh>
    <rPh sb="2" eb="4">
      <t>バショ</t>
    </rPh>
    <phoneticPr fontId="7"/>
  </si>
  <si>
    <t>弊社内（在宅勤務を含む）　※ お打合せ等、必要に応じて貴社へお伺いします。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rPh sb="16" eb="18">
      <t>ウチアワ</t>
    </rPh>
    <rPh sb="19" eb="20">
      <t>トウ</t>
    </rPh>
    <rPh sb="21" eb="23">
      <t>ヒツヨウ</t>
    </rPh>
    <rPh sb="24" eb="25">
      <t>オウ</t>
    </rPh>
    <rPh sb="27" eb="29">
      <t>キシャ</t>
    </rPh>
    <rPh sb="31" eb="32">
      <t>ウカガ</t>
    </rPh>
    <phoneticPr fontId="7"/>
  </si>
  <si>
    <t>作業期間</t>
    <rPh sb="0" eb="2">
      <t>サギョウ</t>
    </rPh>
    <rPh sb="2" eb="4">
      <t>キカン</t>
    </rPh>
    <phoneticPr fontId="7"/>
  </si>
  <si>
    <t>見積金額内訳</t>
    <rPh sb="0" eb="2">
      <t>ミツモリ</t>
    </rPh>
    <rPh sb="2" eb="4">
      <t>キンガク</t>
    </rPh>
    <rPh sb="4" eb="6">
      <t>ウチワケ</t>
    </rPh>
    <phoneticPr fontId="8"/>
  </si>
  <si>
    <t>No</t>
    <phoneticPr fontId="8"/>
  </si>
  <si>
    <t>項目</t>
    <rPh sb="0" eb="2">
      <t>コウモク</t>
    </rPh>
    <phoneticPr fontId="8"/>
  </si>
  <si>
    <t>金額</t>
    <rPh sb="0" eb="2">
      <t>キンガク</t>
    </rPh>
    <phoneticPr fontId="7"/>
  </si>
  <si>
    <t xml:space="preserve"> 要件定義</t>
    <rPh sb="1" eb="5">
      <t>ヨウケンテイギ</t>
    </rPh>
    <phoneticPr fontId="8"/>
  </si>
  <si>
    <t xml:space="preserve"> 設計</t>
  </si>
  <si>
    <t xml:space="preserve"> 開発</t>
  </si>
  <si>
    <t xml:space="preserve"> 結合テスト</t>
    <rPh sb="1" eb="3">
      <t>ケツゴウ</t>
    </rPh>
    <phoneticPr fontId="8"/>
  </si>
  <si>
    <t xml:space="preserve"> ユーザテスト</t>
    <phoneticPr fontId="8"/>
  </si>
  <si>
    <t xml:space="preserve"> 本稼働</t>
  </si>
  <si>
    <t xml:space="preserve"> プロジェクト管理</t>
    <rPh sb="7" eb="9">
      <t>カンリ</t>
    </rPh>
    <phoneticPr fontId="8"/>
  </si>
  <si>
    <t>合計</t>
    <rPh sb="0" eb="2">
      <t>ゴウケイ</t>
    </rPh>
    <phoneticPr fontId="8"/>
  </si>
  <si>
    <t>納品物</t>
    <rPh sb="0" eb="2">
      <t>ノウヒン</t>
    </rPh>
    <rPh sb="2" eb="3">
      <t>ブツ</t>
    </rPh>
    <phoneticPr fontId="8"/>
  </si>
  <si>
    <t>・</t>
    <phoneticPr fontId="7"/>
  </si>
  <si>
    <t>設計書</t>
    <rPh sb="0" eb="3">
      <t>セッケイショ</t>
    </rPh>
    <phoneticPr fontId="7"/>
  </si>
  <si>
    <t>結合テスト仕様書兼結果報告書</t>
    <rPh sb="0" eb="2">
      <t>ケツゴウ</t>
    </rPh>
    <rPh sb="5" eb="7">
      <t>シヨウ</t>
    </rPh>
    <rPh sb="8" eb="9">
      <t>ケン</t>
    </rPh>
    <rPh sb="9" eb="11">
      <t>ケッカ</t>
    </rPh>
    <phoneticPr fontId="7"/>
  </si>
  <si>
    <t>プログラム</t>
    <phoneticPr fontId="7"/>
  </si>
  <si>
    <t>本番リリース作業手順書</t>
  </si>
  <si>
    <t>作業内容</t>
    <rPh sb="0" eb="2">
      <t>サギョウ</t>
    </rPh>
    <rPh sb="2" eb="4">
      <t>ナイヨウ</t>
    </rPh>
    <phoneticPr fontId="7"/>
  </si>
  <si>
    <t>①帳票フォーマット改修</t>
    <rPh sb="1" eb="3">
      <t>チョウヒョウ</t>
    </rPh>
    <rPh sb="9" eb="11">
      <t>カイシュウ</t>
    </rPh>
    <phoneticPr fontId="7"/>
  </si>
  <si>
    <t>・確認押印欄を1個追加する。</t>
    <rPh sb="1" eb="3">
      <t>カクニン</t>
    </rPh>
    <rPh sb="3" eb="6">
      <t>オウインラン</t>
    </rPh>
    <rPh sb="8" eb="9">
      <t>コ</t>
    </rPh>
    <rPh sb="9" eb="11">
      <t>ツイカ</t>
    </rPh>
    <phoneticPr fontId="7"/>
  </si>
  <si>
    <t>②プログラム改修</t>
    <rPh sb="6" eb="8">
      <t>カイシュウ</t>
    </rPh>
    <phoneticPr fontId="7"/>
  </si>
  <si>
    <t>表.工程ごとの作業内容一覧</t>
    <rPh sb="0" eb="1">
      <t>ヒョウ</t>
    </rPh>
    <rPh sb="2" eb="4">
      <t>コウテイ</t>
    </rPh>
    <rPh sb="7" eb="9">
      <t>サギョウ</t>
    </rPh>
    <rPh sb="9" eb="11">
      <t>ナイヨウ</t>
    </rPh>
    <rPh sb="11" eb="13">
      <t>イチラン</t>
    </rPh>
    <phoneticPr fontId="7"/>
  </si>
  <si>
    <t>工程</t>
    <rPh sb="0" eb="2">
      <t>コウテイ</t>
    </rPh>
    <phoneticPr fontId="8"/>
  </si>
  <si>
    <t>要件定義</t>
    <rPh sb="0" eb="4">
      <t>ヨウケンテイギ</t>
    </rPh>
    <phoneticPr fontId="8"/>
  </si>
  <si>
    <t>修正方針の確定、不明瞭箇所の特定、</t>
    <rPh sb="0" eb="2">
      <t>シュウセイ</t>
    </rPh>
    <rPh sb="2" eb="4">
      <t>ホウシン</t>
    </rPh>
    <rPh sb="5" eb="7">
      <t>カクテイ</t>
    </rPh>
    <rPh sb="8" eb="11">
      <t>フメイリョウ</t>
    </rPh>
    <rPh sb="11" eb="13">
      <t>カショ</t>
    </rPh>
    <rPh sb="14" eb="16">
      <t>トクテイ</t>
    </rPh>
    <phoneticPr fontId="7"/>
  </si>
  <si>
    <t>資料作成方針の決定等細かい仕様について、ユーザ様と決定します。</t>
    <rPh sb="0" eb="2">
      <t>シリョウ</t>
    </rPh>
    <rPh sb="2" eb="4">
      <t>サクセイ</t>
    </rPh>
    <rPh sb="4" eb="6">
      <t>ホウシン</t>
    </rPh>
    <phoneticPr fontId="7"/>
  </si>
  <si>
    <t>設計</t>
    <rPh sb="0" eb="2">
      <t>セッケイ</t>
    </rPh>
    <phoneticPr fontId="8"/>
  </si>
  <si>
    <t>既存の設計書を修正します。</t>
    <rPh sb="0" eb="2">
      <t>キゾン</t>
    </rPh>
    <rPh sb="3" eb="6">
      <t>セッケイショ</t>
    </rPh>
    <rPh sb="7" eb="9">
      <t>シュウセイ</t>
    </rPh>
    <phoneticPr fontId="7"/>
  </si>
  <si>
    <t>開発</t>
  </si>
  <si>
    <t>コーディングを実施します。</t>
  </si>
  <si>
    <t>結合テスト</t>
    <rPh sb="0" eb="2">
      <t>ケツゴウ</t>
    </rPh>
    <phoneticPr fontId="8"/>
  </si>
  <si>
    <t>貴社環境にて結合テスト実施、実施結果の分析、不具合の対応を実施し、</t>
  </si>
  <si>
    <t>結合テスト仕様書および結合テスト結果報告書を作成します。</t>
    <rPh sb="0" eb="2">
      <t>ケツゴウ</t>
    </rPh>
    <rPh sb="5" eb="8">
      <t>シヨウショ</t>
    </rPh>
    <rPh sb="11" eb="13">
      <t>ケツゴウ</t>
    </rPh>
    <rPh sb="16" eb="18">
      <t>ケッカ</t>
    </rPh>
    <rPh sb="18" eb="21">
      <t>ホウコクショ</t>
    </rPh>
    <rPh sb="22" eb="24">
      <t>サクセイ</t>
    </rPh>
    <phoneticPr fontId="7"/>
  </si>
  <si>
    <t>ユーザテスト</t>
    <phoneticPr fontId="8"/>
  </si>
  <si>
    <t>各所ごとにユーザ様にて実施頂き、その支援を行います。</t>
    <rPh sb="0" eb="2">
      <t>カクショ</t>
    </rPh>
    <rPh sb="8" eb="9">
      <t>サマ</t>
    </rPh>
    <rPh sb="11" eb="13">
      <t>ジッシ</t>
    </rPh>
    <rPh sb="13" eb="14">
      <t>イタダ</t>
    </rPh>
    <rPh sb="18" eb="20">
      <t>シエン</t>
    </rPh>
    <rPh sb="21" eb="22">
      <t>オコナ</t>
    </rPh>
    <phoneticPr fontId="7"/>
  </si>
  <si>
    <t>本稼働</t>
  </si>
  <si>
    <t>本番環境にてアプリケーションの導入を実施します。</t>
    <rPh sb="0" eb="2">
      <t>ホンバン</t>
    </rPh>
    <rPh sb="2" eb="4">
      <t>カンキョウ</t>
    </rPh>
    <rPh sb="15" eb="17">
      <t>ドウニュウ</t>
    </rPh>
    <rPh sb="18" eb="20">
      <t>ジッシ</t>
    </rPh>
    <phoneticPr fontId="7"/>
  </si>
  <si>
    <t>導入後の初期流動対応を実施します。</t>
    <rPh sb="0" eb="3">
      <t>ドウニュウゴ</t>
    </rPh>
    <rPh sb="4" eb="8">
      <t>ショキリュウドウ</t>
    </rPh>
    <rPh sb="8" eb="10">
      <t>タイオウ</t>
    </rPh>
    <rPh sb="11" eb="13">
      <t>ジッシ</t>
    </rPh>
    <phoneticPr fontId="7"/>
  </si>
  <si>
    <t>プロジェクト</t>
    <phoneticPr fontId="7"/>
  </si>
  <si>
    <t>進捗管理、品質管理、要員管理、課題管理等を実施します。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7"/>
  </si>
  <si>
    <t>管理</t>
    <phoneticPr fontId="7"/>
  </si>
  <si>
    <t>スケジュール</t>
    <phoneticPr fontId="8"/>
  </si>
  <si>
    <t>工程</t>
    <rPh sb="0" eb="1">
      <t>コウテイ</t>
    </rPh>
    <phoneticPr fontId="8"/>
  </si>
  <si>
    <t>9/1-</t>
    <phoneticPr fontId="8"/>
  </si>
  <si>
    <t>12/22-</t>
    <phoneticPr fontId="8"/>
  </si>
  <si>
    <t>凡例</t>
    <rPh sb="0" eb="2">
      <t>ハンレイ</t>
    </rPh>
    <phoneticPr fontId="7"/>
  </si>
  <si>
    <t>貴社作業</t>
    <rPh sb="0" eb="2">
      <t>キシャ</t>
    </rPh>
    <rPh sb="2" eb="4">
      <t>サギョウ</t>
    </rPh>
    <phoneticPr fontId="7"/>
  </si>
  <si>
    <t>弊社作業</t>
    <rPh sb="0" eb="2">
      <t>ヘイシャ</t>
    </rPh>
    <rPh sb="2" eb="4">
      <t>サギョウ</t>
    </rPh>
    <phoneticPr fontId="7"/>
  </si>
  <si>
    <t>体制</t>
    <rPh sb="0" eb="2">
      <t>タイセイ</t>
    </rPh>
    <phoneticPr fontId="7"/>
  </si>
  <si>
    <t xml:space="preserve"> 責任者
 福井将敏</t>
    <rPh sb="1" eb="4">
      <t>セキニンシャ</t>
    </rPh>
    <phoneticPr fontId="8"/>
  </si>
  <si>
    <t xml:space="preserve"> PM
 関谷亮</t>
    <phoneticPr fontId="7"/>
  </si>
  <si>
    <t xml:space="preserve"> PM支援
 福田一希</t>
    <phoneticPr fontId="7"/>
  </si>
  <si>
    <t>その他の前提条件</t>
    <rPh sb="2" eb="3">
      <t>タ</t>
    </rPh>
    <rPh sb="4" eb="6">
      <t>ゼンテイ</t>
    </rPh>
    <rPh sb="6" eb="8">
      <t>ジョウケン</t>
    </rPh>
    <phoneticPr fontId="8"/>
  </si>
  <si>
    <t>１．お見積金額について</t>
    <rPh sb="3" eb="5">
      <t>ミツモリ</t>
    </rPh>
    <rPh sb="5" eb="7">
      <t>キンガク</t>
    </rPh>
    <phoneticPr fontId="8"/>
  </si>
  <si>
    <t>金額は税抜きで記載しております。</t>
    <rPh sb="0" eb="2">
      <t>キンガク</t>
    </rPh>
    <rPh sb="3" eb="5">
      <t>ゼイヌ</t>
    </rPh>
    <rPh sb="7" eb="9">
      <t>キサイ</t>
    </rPh>
    <phoneticPr fontId="7"/>
  </si>
  <si>
    <t>　　</t>
    <phoneticPr fontId="8"/>
  </si>
  <si>
    <t>２．お見積範囲について</t>
    <rPh sb="3" eb="5">
      <t>ミツモリ</t>
    </rPh>
    <rPh sb="5" eb="7">
      <t>ハンイ</t>
    </rPh>
    <phoneticPr fontId="8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</si>
  <si>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6"/>
  </si>
  <si>
    <t>・ネットワーク費用およびネットワークの設置やセットアップ等に係る作業費用</t>
  </si>
  <si>
    <t>３．作業場所について</t>
    <rPh sb="2" eb="4">
      <t>サギョウ</t>
    </rPh>
    <rPh sb="4" eb="6">
      <t>バショ</t>
    </rPh>
    <phoneticPr fontId="8"/>
  </si>
  <si>
    <t>作業場所は弊社内（在宅勤務含む）にて実施します。お打合せは、Web会議を想定します。</t>
    <rPh sb="0" eb="2">
      <t>サギョウ</t>
    </rPh>
    <rPh sb="2" eb="4">
      <t>バショ</t>
    </rPh>
    <rPh sb="5" eb="7">
      <t>ヘイシャ</t>
    </rPh>
    <rPh sb="7" eb="8">
      <t>ナイ</t>
    </rPh>
    <rPh sb="9" eb="13">
      <t>ザイタクキンム</t>
    </rPh>
    <rPh sb="13" eb="14">
      <t>フク</t>
    </rPh>
    <rPh sb="18" eb="20">
      <t>ジッシ</t>
    </rPh>
    <rPh sb="33" eb="35">
      <t>カイギ</t>
    </rPh>
    <phoneticPr fontId="8"/>
  </si>
  <si>
    <t>上記以外での作業が発生した場合には交通費・宿泊費等を別途ご請求させていただきます。</t>
    <rPh sb="0" eb="2">
      <t>ジョウキ</t>
    </rPh>
    <rPh sb="2" eb="4">
      <t>イガイ</t>
    </rPh>
    <phoneticPr fontId="8"/>
  </si>
  <si>
    <t>４．瑕疵担保期間について</t>
    <rPh sb="2" eb="4">
      <t>カシ</t>
    </rPh>
    <rPh sb="4" eb="6">
      <t>タンポ</t>
    </rPh>
    <rPh sb="6" eb="8">
      <t>キカン</t>
    </rPh>
    <phoneticPr fontId="7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</si>
  <si>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7"/>
  </si>
  <si>
    <t>（検収日より1年間に限り契約不適合責任を追及できることとします。）</t>
    <phoneticPr fontId="7"/>
  </si>
  <si>
    <t>５．ユーザテストについて</t>
    <phoneticPr fontId="7"/>
  </si>
  <si>
    <t>ユーザテストにつきましては、貴社にて実施をお願いいたします。</t>
    <rPh sb="14" eb="16">
      <t>キシャ</t>
    </rPh>
    <rPh sb="18" eb="20">
      <t>ジッシ</t>
    </rPh>
    <rPh sb="22" eb="23">
      <t>ネガイ</t>
    </rPh>
    <phoneticPr fontId="7"/>
  </si>
  <si>
    <t>６．ユーザ様との窓口</t>
    <rPh sb="5" eb="6">
      <t>サマ</t>
    </rPh>
    <phoneticPr fontId="7"/>
  </si>
  <si>
    <t>ユーザ様との窓口については、業務変革三課ご担当者様にて実施をお願いいたします。</t>
    <rPh sb="3" eb="4">
      <t>サマ</t>
    </rPh>
    <rPh sb="6" eb="8">
      <t>マドグチ</t>
    </rPh>
    <rPh sb="18" eb="19">
      <t>サン</t>
    </rPh>
    <rPh sb="19" eb="20">
      <t>カ</t>
    </rPh>
    <phoneticPr fontId="7"/>
  </si>
  <si>
    <t>７．リリース作業について</t>
    <rPh sb="6" eb="8">
      <t>サギョウ</t>
    </rPh>
    <phoneticPr fontId="7"/>
  </si>
  <si>
    <t>リリース作業は2人対応とさせていただきます。</t>
    <rPh sb="4" eb="6">
      <t>サギョウ</t>
    </rPh>
    <rPh sb="8" eb="11">
      <t>ニンタイオウ</t>
    </rPh>
    <phoneticPr fontId="7"/>
  </si>
  <si>
    <t>御 見 積 書</t>
    <phoneticPr fontId="8"/>
  </si>
  <si>
    <t>単価</t>
    <rPh sb="0" eb="2">
      <t>タンカ</t>
    </rPh>
    <phoneticPr fontId="8"/>
  </si>
  <si>
    <t>数量</t>
    <rPh sb="0" eb="2">
      <t>スウリョウ</t>
    </rPh>
    <phoneticPr fontId="8"/>
  </si>
  <si>
    <t>人日</t>
    <rPh sb="0" eb="2">
      <t>ニンニチ</t>
    </rPh>
    <phoneticPr fontId="7"/>
  </si>
  <si>
    <t>・工程Noの上にFAの工程Noを自動表示する。</t>
    <phoneticPr fontId="7"/>
  </si>
  <si>
    <t xml:space="preserve"> メンバー
  五石真人</t>
    <phoneticPr fontId="7"/>
  </si>
  <si>
    <t xml:space="preserve"> メンバー
  森田泰博</t>
    <phoneticPr fontId="7"/>
  </si>
  <si>
    <t>①原料項目の表示を6項目追加して17品目にする。</t>
    <rPh sb="1" eb="3">
      <t>ゲンリョウ</t>
    </rPh>
    <rPh sb="3" eb="5">
      <t>コウモク</t>
    </rPh>
    <rPh sb="6" eb="8">
      <t>ヒョウジ</t>
    </rPh>
    <rPh sb="10" eb="12">
      <t>コウモク</t>
    </rPh>
    <rPh sb="12" eb="14">
      <t>ツイカ</t>
    </rPh>
    <rPh sb="18" eb="20">
      <t>ヒンモク</t>
    </rPh>
    <phoneticPr fontId="7"/>
  </si>
  <si>
    <t>①備考項目を9項目追加して10項目にする。</t>
    <rPh sb="1" eb="3">
      <t>ビコウ</t>
    </rPh>
    <rPh sb="3" eb="5">
      <t>コウモク</t>
    </rPh>
    <phoneticPr fontId="7"/>
  </si>
  <si>
    <t>②テーブルの項目を9項目追加する。</t>
    <rPh sb="6" eb="8">
      <t>コウモク</t>
    </rPh>
    <phoneticPr fontId="7"/>
  </si>
  <si>
    <t>・原料項目の表示を6項目追加して17品目にする。</t>
    <phoneticPr fontId="7"/>
  </si>
  <si>
    <t>・フォーマット中段の課長押印欄削除する。</t>
    <phoneticPr fontId="7"/>
  </si>
  <si>
    <t>・改訂理由項目の幅を狭める。</t>
    <phoneticPr fontId="7"/>
  </si>
  <si>
    <t>・注意事項項目の幅を広げる。</t>
    <phoneticPr fontId="7"/>
  </si>
  <si>
    <t>・FA工程Noを出力する。</t>
    <phoneticPr fontId="7"/>
  </si>
  <si>
    <t>・注意事項項目を5項目追加して6項目にする。</t>
    <phoneticPr fontId="7"/>
  </si>
  <si>
    <t>・備考項目を9項目追加して10項目にする。</t>
    <phoneticPr fontId="7"/>
  </si>
  <si>
    <t>・厚み、巻き硬度、最大硬度差の表示位置を変更する。</t>
    <rPh sb="1" eb="2">
      <t>アツ</t>
    </rPh>
    <rPh sb="4" eb="5">
      <t>マ</t>
    </rPh>
    <rPh sb="6" eb="8">
      <t>コウド</t>
    </rPh>
    <rPh sb="9" eb="11">
      <t>サイダイ</t>
    </rPh>
    <rPh sb="11" eb="13">
      <t>コウド</t>
    </rPh>
    <rPh sb="13" eb="14">
      <t>サ</t>
    </rPh>
    <rPh sb="15" eb="17">
      <t>ヒョウジ</t>
    </rPh>
    <rPh sb="17" eb="19">
      <t>イチ</t>
    </rPh>
    <rPh sb="20" eb="22">
      <t>ヘンコウ</t>
    </rPh>
    <phoneticPr fontId="7"/>
  </si>
  <si>
    <t>・帳票右下の明細部分を削除する。</t>
    <rPh sb="1" eb="3">
      <t>チョウヒョウ</t>
    </rPh>
    <rPh sb="3" eb="5">
      <t>ミギシタ</t>
    </rPh>
    <rPh sb="6" eb="8">
      <t>メイサイ</t>
    </rPh>
    <rPh sb="8" eb="10">
      <t>ブブン</t>
    </rPh>
    <rPh sb="11" eb="13">
      <t>サクジョ</t>
    </rPh>
    <phoneticPr fontId="7"/>
  </si>
  <si>
    <t>・処理コードを6項目に固定する。</t>
    <rPh sb="1" eb="3">
      <t>ショリ</t>
    </rPh>
    <rPh sb="8" eb="10">
      <t>コウモク</t>
    </rPh>
    <rPh sb="11" eb="13">
      <t>コテイ</t>
    </rPh>
    <phoneticPr fontId="7"/>
  </si>
  <si>
    <t>・原反部の表示を6明細に固定する。</t>
    <rPh sb="1" eb="2">
      <t>ハラ</t>
    </rPh>
    <rPh sb="2" eb="3">
      <t>ハン</t>
    </rPh>
    <rPh sb="3" eb="4">
      <t>ブ</t>
    </rPh>
    <rPh sb="5" eb="7">
      <t>ヒョウジ</t>
    </rPh>
    <rPh sb="9" eb="11">
      <t>メイサイ</t>
    </rPh>
    <rPh sb="12" eb="14">
      <t>コテイ</t>
    </rPh>
    <phoneticPr fontId="7"/>
  </si>
  <si>
    <t>・備考項目を9項目追加して10項目にする。</t>
    <rPh sb="1" eb="3">
      <t>ビコウ</t>
    </rPh>
    <rPh sb="3" eb="5">
      <t>コウモク</t>
    </rPh>
    <rPh sb="7" eb="9">
      <t>コウモク</t>
    </rPh>
    <rPh sb="9" eb="11">
      <t>ツイカ</t>
    </rPh>
    <rPh sb="15" eb="17">
      <t>コウモク</t>
    </rPh>
    <phoneticPr fontId="7"/>
  </si>
  <si>
    <t>10/1-</t>
    <phoneticPr fontId="8"/>
  </si>
  <si>
    <t>11/14-</t>
    <phoneticPr fontId="8"/>
  </si>
  <si>
    <t>1/5-</t>
    <phoneticPr fontId="8"/>
  </si>
  <si>
    <t>2025年9月1日 ～ 2026年1月9日</t>
    <phoneticPr fontId="7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</si>
  <si>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3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</si>
  <si>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3"/>
  </si>
  <si>
    <t>対象機能</t>
  </si>
  <si>
    <t>1.画面機能</t>
  </si>
  <si>
    <t>1)</t>
  </si>
  <si>
    <t>2)</t>
  </si>
  <si>
    <t>3)</t>
  </si>
  <si>
    <t>製造一課カルテメンテナンス</t>
  </si>
  <si>
    <t>実績入力（原料使用量）</t>
  </si>
  <si>
    <t>一次スリット指示書備考マスタ修正</t>
  </si>
  <si>
    <t>2.帳票機能</t>
  </si>
  <si>
    <t>製造指示書</t>
  </si>
  <si>
    <t>一次スリット指示書</t>
  </si>
  <si>
    <t>①画面フォームの改修</t>
  </si>
  <si>
    <t>・原料項目の表示を6項目追加して17品目にする。</t>
  </si>
  <si>
    <t>・注意事項項目を5項目追加して6項目にする。</t>
  </si>
  <si>
    <t>③DBテーブル定義の変更</t>
  </si>
  <si>
    <t>・XXXXXXテーブルの項目を5項目追加する。</t>
  </si>
  <si>
    <t>・XXXXXXXXXXX</t>
  </si>
  <si>
    <t>一時スリット指示書作成備考マスタ一覧</t>
    <phoneticPr fontId="7"/>
  </si>
  <si>
    <t>3)</t>
    <phoneticPr fontId="7"/>
  </si>
  <si>
    <t>4)</t>
    <phoneticPr fontId="7"/>
  </si>
  <si>
    <t xml:space="preserve"> 要件定義・ 設計</t>
    <rPh sb="1" eb="5">
      <t>ヨウケンテイギ</t>
    </rPh>
    <phoneticPr fontId="8"/>
  </si>
  <si>
    <t xml:space="preserve"> 結合テスト・システムテスト</t>
    <rPh sb="1" eb="3">
      <t>ケツゴウ</t>
    </rPh>
    <phoneticPr fontId="8"/>
  </si>
  <si>
    <t>弊社内（在宅勤務を含む）　※ お打合せ等、必要に応じて貴社へお伺いします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rPh sb="16" eb="18">
      <t>ウチアワ</t>
    </rPh>
    <rPh sb="19" eb="20">
      <t>トウ</t>
    </rPh>
    <rPh sb="21" eb="23">
      <t>ヒツヨウ</t>
    </rPh>
    <rPh sb="24" eb="25">
      <t>オウ</t>
    </rPh>
    <rPh sb="27" eb="29">
      <t>キシャ</t>
    </rPh>
    <rPh sb="31" eb="32">
      <t>ウカガ</t>
    </rPh>
    <phoneticPr fontId="7"/>
  </si>
  <si>
    <t>コーディングを実施します</t>
  </si>
  <si>
    <t>各所ごとにユーザ様にて実施頂き、その支援を行います</t>
    <rPh sb="0" eb="2">
      <t>カクショ</t>
    </rPh>
    <rPh sb="8" eb="9">
      <t>サマ</t>
    </rPh>
    <rPh sb="11" eb="13">
      <t>ジッシ</t>
    </rPh>
    <rPh sb="13" eb="14">
      <t>イタダ</t>
    </rPh>
    <rPh sb="18" eb="20">
      <t>シエン</t>
    </rPh>
    <rPh sb="21" eb="22">
      <t>オコナ</t>
    </rPh>
    <phoneticPr fontId="7"/>
  </si>
  <si>
    <t>本番環境にてアプリケーションの導入を実施します</t>
    <rPh sb="0" eb="2">
      <t>ホンバン</t>
    </rPh>
    <rPh sb="2" eb="4">
      <t>カンキョウ</t>
    </rPh>
    <rPh sb="15" eb="17">
      <t>ドウニュウ</t>
    </rPh>
    <rPh sb="18" eb="20">
      <t>ジッシ</t>
    </rPh>
    <phoneticPr fontId="7"/>
  </si>
  <si>
    <t>導入後の初期流動対応を実施します</t>
    <rPh sb="0" eb="3">
      <t>ドウニュウゴ</t>
    </rPh>
    <rPh sb="4" eb="8">
      <t>ショキリュウドウ</t>
    </rPh>
    <rPh sb="8" eb="10">
      <t>タイオウ</t>
    </rPh>
    <rPh sb="11" eb="13">
      <t>ジッシ</t>
    </rPh>
    <phoneticPr fontId="7"/>
  </si>
  <si>
    <t>進捗管理、品質管理、要員管理、課題管理等を実施します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7"/>
  </si>
  <si>
    <t>金額は税抜きで記載しております</t>
    <rPh sb="0" eb="2">
      <t>キンガク</t>
    </rPh>
    <rPh sb="3" eb="5">
      <t>ゼイヌ</t>
    </rPh>
    <rPh sb="7" eb="9">
      <t>キサイ</t>
    </rPh>
    <phoneticPr fontId="7"/>
  </si>
  <si>
    <t>以下の費用は本見積には含まれておりません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5"/>
  </si>
  <si>
    <t>作業場所は弊社内（在宅勤務含む）にて実施しますお打合せは、Web会議を想定します</t>
    <rPh sb="0" eb="2">
      <t>サギョウ</t>
    </rPh>
    <rPh sb="2" eb="4">
      <t>バショ</t>
    </rPh>
    <rPh sb="5" eb="7">
      <t>ヘイシャ</t>
    </rPh>
    <rPh sb="7" eb="8">
      <t>ナイ</t>
    </rPh>
    <rPh sb="9" eb="13">
      <t>ザイタクキンム</t>
    </rPh>
    <rPh sb="13" eb="14">
      <t>フク</t>
    </rPh>
    <rPh sb="18" eb="20">
      <t>ジッシ</t>
    </rPh>
    <rPh sb="32" eb="34">
      <t>カイギ</t>
    </rPh>
    <phoneticPr fontId="8"/>
  </si>
  <si>
    <t>上記以外での作業が発生した場合には交通費・宿泊費等を別途ご請求させていただきます</t>
    <rPh sb="0" eb="2">
      <t>ジョウキ</t>
    </rPh>
    <rPh sb="2" eb="4">
      <t>イガイ</t>
    </rPh>
    <phoneticPr fontId="8"/>
  </si>
  <si>
    <t>瑕疵担保責任期間は検収日より１年間とします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7"/>
  </si>
  <si>
    <t>（検収日より1年間に限り契約不適合責任を追及できることとします）</t>
  </si>
  <si>
    <t>ユーザテストにつきましては、貴社にて実施をお願いいたします</t>
    <rPh sb="14" eb="16">
      <t>キシャ</t>
    </rPh>
    <rPh sb="18" eb="20">
      <t>ジッシ</t>
    </rPh>
    <rPh sb="22" eb="23">
      <t>ネガイ</t>
    </rPh>
    <phoneticPr fontId="7"/>
  </si>
  <si>
    <t>ユーザ様との窓口については、業務変革三課ご担当者様にて実施をお願いいたします</t>
    <rPh sb="3" eb="4">
      <t>サマ</t>
    </rPh>
    <rPh sb="6" eb="8">
      <t>マドグチ</t>
    </rPh>
    <rPh sb="18" eb="19">
      <t>サン</t>
    </rPh>
    <rPh sb="19" eb="20">
      <t>カ</t>
    </rPh>
    <phoneticPr fontId="7"/>
  </si>
  <si>
    <t>リリース作業は2人対応とさせていただきます</t>
    <rPh sb="4" eb="6">
      <t>サギョウ</t>
    </rPh>
    <rPh sb="8" eb="11">
      <t>ニンタイオウ</t>
    </rPh>
    <phoneticPr fontId="7"/>
  </si>
  <si>
    <t>2025年9月15日 ～ 2026年1月15日</t>
    <phoneticPr fontId="7"/>
  </si>
  <si>
    <t>9/15-</t>
    <phoneticPr fontId="8"/>
  </si>
  <si>
    <t>本稼働</t>
    <phoneticPr fontId="8"/>
  </si>
  <si>
    <t xml:space="preserve"> 責任者
 川名翔太</t>
    <rPh sb="1" eb="4">
      <t>セキニンシャ</t>
    </rPh>
    <phoneticPr fontId="8"/>
  </si>
  <si>
    <t xml:space="preserve"> PM
 桝井雄太</t>
    <phoneticPr fontId="7"/>
  </si>
  <si>
    <t xml:space="preserve"> PL
 髙橋裕輔</t>
    <rPh sb="5" eb="7">
      <t>タカハシ</t>
    </rPh>
    <rPh sb="7" eb="9">
      <t>ユウスケ</t>
    </rPh>
    <phoneticPr fontId="7"/>
  </si>
  <si>
    <t>2025年度 MESシステム改修 御見積</t>
    <rPh sb="4" eb="6">
      <t>ネンド</t>
    </rPh>
    <rPh sb="14" eb="16">
      <t>カイシュウ</t>
    </rPh>
    <phoneticPr fontId="24"/>
  </si>
  <si>
    <t>人日</t>
    <rPh sb="0" eb="2">
      <t>ニンニチ</t>
    </rPh>
    <phoneticPr fontId="24"/>
  </si>
  <si>
    <t>人月</t>
    <rPh sb="0" eb="2">
      <t>ニンゲツ</t>
    </rPh>
    <phoneticPr fontId="24"/>
  </si>
  <si>
    <t>工程別作業工数合算</t>
    <rPh sb="0" eb="3">
      <t>コウテイベツ</t>
    </rPh>
    <rPh sb="3" eb="7">
      <t>サギョウコウスウ</t>
    </rPh>
    <rPh sb="7" eb="9">
      <t>ガッサン</t>
    </rPh>
    <phoneticPr fontId="24"/>
  </si>
  <si>
    <t>※リリース作業は2人対応とする</t>
    <phoneticPr fontId="24"/>
  </si>
  <si>
    <t>開発</t>
    <rPh sb="0" eb="2">
      <t>カイハツ</t>
    </rPh>
    <phoneticPr fontId="24"/>
  </si>
  <si>
    <t>管理</t>
    <rPh sb="0" eb="2">
      <t>カンリ</t>
    </rPh>
    <phoneticPr fontId="24"/>
  </si>
  <si>
    <t>No.</t>
    <phoneticPr fontId="24"/>
  </si>
  <si>
    <t>工場</t>
    <rPh sb="0" eb="2">
      <t>コウジョウ</t>
    </rPh>
    <phoneticPr fontId="24"/>
  </si>
  <si>
    <t>案件名</t>
    <rPh sb="0" eb="2">
      <t>アンケン</t>
    </rPh>
    <rPh sb="2" eb="3">
      <t>メイ</t>
    </rPh>
    <phoneticPr fontId="24"/>
  </si>
  <si>
    <t>完成希望日</t>
    <phoneticPr fontId="24"/>
  </si>
  <si>
    <t>開発目的</t>
    <rPh sb="0" eb="2">
      <t>カイハツ</t>
    </rPh>
    <rPh sb="2" eb="4">
      <t>モクテキ</t>
    </rPh>
    <phoneticPr fontId="24"/>
  </si>
  <si>
    <t>内容</t>
    <rPh sb="0" eb="2">
      <t>ナイヨウ</t>
    </rPh>
    <phoneticPr fontId="24"/>
  </si>
  <si>
    <t>改修内容</t>
    <rPh sb="0" eb="2">
      <t>カイシュウ</t>
    </rPh>
    <rPh sb="2" eb="4">
      <t>ナイヨウ</t>
    </rPh>
    <phoneticPr fontId="24"/>
  </si>
  <si>
    <t>概算工数
開発工数内訳（人日）</t>
    <rPh sb="0" eb="2">
      <t>ガイサン</t>
    </rPh>
    <rPh sb="2" eb="4">
      <t>コウスウ</t>
    </rPh>
    <rPh sb="5" eb="7">
      <t>カイハツ</t>
    </rPh>
    <rPh sb="7" eb="9">
      <t>コウスウ</t>
    </rPh>
    <rPh sb="9" eb="11">
      <t>ウチワケ</t>
    </rPh>
    <rPh sb="12" eb="14">
      <t>ニンニチ</t>
    </rPh>
    <phoneticPr fontId="24"/>
  </si>
  <si>
    <t>概算工数
開発工数（人日）</t>
    <rPh sb="0" eb="2">
      <t>ガイサン</t>
    </rPh>
    <rPh sb="2" eb="4">
      <t>コウスウ</t>
    </rPh>
    <rPh sb="5" eb="7">
      <t>カイハツ</t>
    </rPh>
    <rPh sb="7" eb="9">
      <t>コウスウ</t>
    </rPh>
    <rPh sb="10" eb="12">
      <t>ニンニチ</t>
    </rPh>
    <phoneticPr fontId="24"/>
  </si>
  <si>
    <t>管理工数込み（人日）</t>
    <rPh sb="0" eb="5">
      <t>カンリコウスウコ</t>
    </rPh>
    <phoneticPr fontId="24"/>
  </si>
  <si>
    <t>調査・設計</t>
    <rPh sb="0" eb="2">
      <t>チョウサ</t>
    </rPh>
    <rPh sb="3" eb="5">
      <t>セッケイ</t>
    </rPh>
    <phoneticPr fontId="24"/>
  </si>
  <si>
    <t>PG</t>
    <phoneticPr fontId="24"/>
  </si>
  <si>
    <t>IT</t>
    <phoneticPr fontId="24"/>
  </si>
  <si>
    <t>ST</t>
    <phoneticPr fontId="24"/>
  </si>
  <si>
    <t>OT</t>
    <phoneticPr fontId="24"/>
  </si>
  <si>
    <t>リリース</t>
    <phoneticPr fontId="24"/>
  </si>
  <si>
    <t>合計</t>
    <rPh sb="0" eb="2">
      <t>ゴウケイ</t>
    </rPh>
    <phoneticPr fontId="24"/>
  </si>
  <si>
    <t>PGPT</t>
    <phoneticPr fontId="24"/>
  </si>
  <si>
    <t>備考</t>
    <rPh sb="0" eb="2">
      <t>ビコウ</t>
    </rPh>
    <phoneticPr fontId="24"/>
  </si>
  <si>
    <t>金額</t>
    <rPh sb="0" eb="2">
      <t>キンガク</t>
    </rPh>
    <phoneticPr fontId="24"/>
  </si>
  <si>
    <t>合計金額</t>
    <rPh sb="0" eb="4">
      <t>ゴウケイキンガク</t>
    </rPh>
    <phoneticPr fontId="24"/>
  </si>
  <si>
    <t>千葉工場
製造一課</t>
    <rPh sb="0" eb="4">
      <t>チバコウジョウ</t>
    </rPh>
    <rPh sb="5" eb="9">
      <t>セイゾウイッカ</t>
    </rPh>
    <phoneticPr fontId="24"/>
  </si>
  <si>
    <t>カルテ、製造指示書、生産実績における原料品目数拡大</t>
  </si>
  <si>
    <t>現状の原料品目数（11品目）では原料品目数が足りず、試作品開発が出来ない。
試作品開発を行えるよう原料品目数を増やす改修を行う。</t>
  </si>
  <si>
    <t xml:space="preserve">原料品目数を6品目追加し、合計17品目として多種多様な原料配合に対応できるようにする。
</t>
  </si>
  <si>
    <t>製造指示書の印刷フォーマット改修と入力項目追加</t>
  </si>
  <si>
    <t>製造指示書のフォーマットを原料品目数増加に伴い、改修をする。
一部の手書き箇所も入力、マスタ化にする。</t>
  </si>
  <si>
    <r>
      <t>・原料品目数増加により、他項目の印刷位置等を見直す。
・備考欄が1項目のみで文字数制限がある。欄を</t>
    </r>
    <r>
      <rPr>
        <sz val="11"/>
        <color rgb="FFFF0000"/>
        <rFont val="ＭＳ Ｐゴシック"/>
        <family val="3"/>
        <charset val="128"/>
        <scheme val="minor"/>
      </rPr>
      <t>3～4項目に増やして</t>
    </r>
    <r>
      <rPr>
        <sz val="11"/>
        <color theme="1"/>
        <rFont val="ＭＳ Ｐゴシック"/>
        <family val="2"/>
        <scheme val="minor"/>
      </rPr>
      <t xml:space="preserve">、手書きをなくす。
・工程№の上に課内で使用しているFAの工程№を自動反映で印字させる。
</t>
    </r>
    <r>
      <rPr>
        <sz val="11"/>
        <color rgb="FFFF0000"/>
        <rFont val="ＭＳ Ｐゴシック"/>
        <family val="3"/>
        <charset val="128"/>
        <scheme val="minor"/>
      </rPr>
      <t>※起案資料には3～4項目に増やしてとあるが、6項目として対応する</t>
    </r>
    <rPh sb="127" eb="129">
      <t>コウモク</t>
    </rPh>
    <rPh sb="132" eb="134">
      <t>タイオウ</t>
    </rPh>
    <phoneticPr fontId="24"/>
  </si>
  <si>
    <t>一次指示書の印刷フォーマット改修と入力項目追加</t>
  </si>
  <si>
    <t>一次スリット指示書のフォーマットを改修をする。
一部の手書き箇所も入力、マスタ化にする。</t>
  </si>
  <si>
    <r>
      <t>・備考欄が1項目のみで文字数制限がある。欄を</t>
    </r>
    <r>
      <rPr>
        <sz val="11"/>
        <color rgb="FFFF0000"/>
        <rFont val="ＭＳ Ｐゴシック"/>
        <family val="3"/>
        <charset val="128"/>
        <scheme val="minor"/>
      </rPr>
      <t>8項目</t>
    </r>
    <r>
      <rPr>
        <sz val="11"/>
        <color theme="1"/>
        <rFont val="ＭＳ Ｐゴシック"/>
        <family val="2"/>
        <scheme val="minor"/>
      </rPr>
      <t xml:space="preserve">に増やして、手書きをなくす。
・工程№の上に課内で使用しているFAの工程№を自動反映で印字させる。
</t>
    </r>
    <r>
      <rPr>
        <sz val="11"/>
        <color rgb="FFFF0000"/>
        <rFont val="ＭＳ Ｐゴシック"/>
        <family val="3"/>
        <charset val="128"/>
        <scheme val="minor"/>
      </rPr>
      <t>※起案資料には8項目とあるが、10項目として対応する</t>
    </r>
    <r>
      <rPr>
        <sz val="11"/>
        <color theme="1"/>
        <rFont val="ＭＳ Ｐゴシック"/>
        <family val="2"/>
        <scheme val="minor"/>
      </rPr>
      <t xml:space="preserve">
</t>
    </r>
    <rPh sb="76" eb="80">
      <t>キアンシリョウ</t>
    </rPh>
    <rPh sb="83" eb="85">
      <t>コウモク</t>
    </rPh>
    <rPh sb="92" eb="94">
      <t>コウモク</t>
    </rPh>
    <rPh sb="97" eb="99">
      <t>タイオウ</t>
    </rPh>
    <phoneticPr fontId="24"/>
  </si>
  <si>
    <t>御見積の前提条件</t>
    <rPh sb="0" eb="3">
      <t>オミツモリ</t>
    </rPh>
    <rPh sb="4" eb="6">
      <t>ゼンテイ</t>
    </rPh>
    <rPh sb="6" eb="8">
      <t>ジョウケン</t>
    </rPh>
    <phoneticPr fontId="24"/>
  </si>
  <si>
    <t>リリース工数、初期流動工数を含んでおります。</t>
    <rPh sb="4" eb="6">
      <t>コウスウ</t>
    </rPh>
    <rPh sb="7" eb="11">
      <t>ショキリュウドウ</t>
    </rPh>
    <rPh sb="11" eb="13">
      <t>コウスウ</t>
    </rPh>
    <rPh sb="14" eb="15">
      <t>フク</t>
    </rPh>
    <phoneticPr fontId="24"/>
  </si>
  <si>
    <t>費用は開発業務と管理業務で算出しております。</t>
    <phoneticPr fontId="24"/>
  </si>
  <si>
    <t>弊社千葉事業所（在宅勤務を含む）での作業を前提としております。現地等遠隔地での作業が発生する場合は、工数を変更する場合があります。</t>
    <rPh sb="8" eb="10">
      <t>ザイタク</t>
    </rPh>
    <rPh sb="10" eb="12">
      <t>キンム</t>
    </rPh>
    <rPh sb="13" eb="14">
      <t>フク</t>
    </rPh>
    <phoneticPr fontId="24"/>
  </si>
  <si>
    <t>現地等遠隔地での作業が発生した場合は、交通費・宿泊費等の必要経費を別途ご請求させて頂きます。</t>
  </si>
  <si>
    <t>御見積の工数には、ハードウェア・ミドルウェア等にかかる費用は含まれておりません。</t>
  </si>
  <si>
    <t>納品物：設計書、結合テスト仕様書兼結果報告書、ソースコード、システムテスト仕様書兼結果報告書</t>
    <rPh sb="0" eb="3">
      <t>ノウヒンブツ</t>
    </rPh>
    <phoneticPr fontId="24"/>
  </si>
  <si>
    <t>（納品物が追加となる場合、工数が変動する場合がございます。）</t>
    <rPh sb="1" eb="4">
      <t>ノウヒンブツ</t>
    </rPh>
    <rPh sb="5" eb="7">
      <t>ツイカ</t>
    </rPh>
    <rPh sb="10" eb="12">
      <t>バアイ</t>
    </rPh>
    <rPh sb="13" eb="15">
      <t>コウスウ</t>
    </rPh>
    <rPh sb="16" eb="18">
      <t>ヘンドウ</t>
    </rPh>
    <rPh sb="20" eb="22">
      <t>バアイ</t>
    </rPh>
    <phoneticPr fontId="24"/>
  </si>
  <si>
    <t>開発概算工数
（人日）</t>
    <rPh sb="0" eb="2">
      <t>カイハツ</t>
    </rPh>
    <rPh sb="2" eb="4">
      <t>ガイサン</t>
    </rPh>
    <rPh sb="4" eb="6">
      <t>コウスウ</t>
    </rPh>
    <phoneticPr fontId="24"/>
  </si>
  <si>
    <t>管理工数込み
（人日）</t>
    <rPh sb="0" eb="2">
      <t>カンリ</t>
    </rPh>
    <rPh sb="2" eb="4">
      <t>コウスウ</t>
    </rPh>
    <rPh sb="4" eb="5">
      <t>コ</t>
    </rPh>
    <phoneticPr fontId="24"/>
  </si>
  <si>
    <t>(人日)</t>
    <rPh sb="1" eb="3">
      <t>ニンニチ</t>
    </rPh>
    <phoneticPr fontId="24"/>
  </si>
  <si>
    <t>内容</t>
    <phoneticPr fontId="24"/>
  </si>
  <si>
    <t>調査
設計</t>
    <phoneticPr fontId="24"/>
  </si>
  <si>
    <t>リリ
ース</t>
    <phoneticPr fontId="24"/>
  </si>
  <si>
    <t>小計</t>
    <rPh sb="0" eb="2">
      <t>ショウケイ</t>
    </rPh>
    <phoneticPr fontId="24"/>
  </si>
  <si>
    <t>合計</t>
    <phoneticPr fontId="24"/>
  </si>
  <si>
    <t>管理工数込み</t>
    <phoneticPr fontId="24"/>
  </si>
  <si>
    <t>着手</t>
    <rPh sb="0" eb="2">
      <t>チャクシュ</t>
    </rPh>
    <phoneticPr fontId="24"/>
  </si>
  <si>
    <t>体制</t>
    <rPh sb="0" eb="2">
      <t>タイセイ</t>
    </rPh>
    <phoneticPr fontId="24"/>
  </si>
  <si>
    <t>PM</t>
    <phoneticPr fontId="24"/>
  </si>
  <si>
    <t>桝井雄太</t>
    <phoneticPr fontId="24"/>
  </si>
  <si>
    <t>PL</t>
    <phoneticPr fontId="24"/>
  </si>
  <si>
    <t>髙橋裕輔</t>
    <rPh sb="0" eb="4">
      <t>タカハシユウスケ</t>
    </rPh>
    <phoneticPr fontId="24"/>
  </si>
  <si>
    <t>1名＋エグゼベトナム</t>
    <rPh sb="1" eb="2">
      <t>メイ</t>
    </rPh>
    <phoneticPr fontId="24"/>
  </si>
  <si>
    <r>
      <t>■フォーマット改修
製造指示書
・工程Noの上にFAの行程Noを自動表示する（工程Noが32411060の場合→FA工程No3411-06）
・原料項目を追加し、合計17品目表示可能とする
・フォーマット中段の課長押印欄削除
・改訂理由項目の幅を狭める
・注意事項項目の幅を広げる
・注意事項項目の入力項目を</t>
    </r>
    <r>
      <rPr>
        <strike/>
        <sz val="11"/>
        <color rgb="FFFF0000"/>
        <rFont val="ＭＳ Ｐゴシック"/>
        <family val="3"/>
        <charset val="128"/>
        <scheme val="minor"/>
      </rPr>
      <t>3項目</t>
    </r>
    <r>
      <rPr>
        <sz val="11"/>
        <color rgb="FFFF0000"/>
        <rFont val="ＭＳ Ｐゴシック"/>
        <family val="3"/>
        <charset val="128"/>
        <scheme val="minor"/>
      </rPr>
      <t>6項目</t>
    </r>
    <r>
      <rPr>
        <sz val="11"/>
        <color theme="1"/>
        <rFont val="ＭＳ Ｐゴシック"/>
        <family val="3"/>
        <charset val="128"/>
        <scheme val="minor"/>
      </rPr>
      <t>に増やす
■PG改修
カルテメンテナンス画面（注意事項タブ）
・FA工程No出力対応
・原料項目合計17品目表示対応
・注意事項項目の入力項目を</t>
    </r>
    <r>
      <rPr>
        <strike/>
        <sz val="11"/>
        <color rgb="FFFF0000"/>
        <rFont val="ＭＳ Ｐゴシック"/>
        <family val="3"/>
        <charset val="128"/>
        <scheme val="minor"/>
      </rPr>
      <t>3項目</t>
    </r>
    <r>
      <rPr>
        <sz val="11"/>
        <color rgb="FFFF0000"/>
        <rFont val="ＭＳ Ｐゴシック"/>
        <family val="3"/>
        <charset val="128"/>
        <scheme val="minor"/>
      </rPr>
      <t>6項目</t>
    </r>
    <r>
      <rPr>
        <sz val="11"/>
        <color theme="1"/>
        <rFont val="ＭＳ Ｐゴシック"/>
        <family val="3"/>
        <charset val="128"/>
        <scheme val="minor"/>
      </rPr>
      <t xml:space="preserve">に増やす（マスタからの選択項目を増やす）
</t>
    </r>
    <rPh sb="7" eb="9">
      <t>カイシュウ</t>
    </rPh>
    <rPh sb="10" eb="15">
      <t>セイゾウシジショ</t>
    </rPh>
    <rPh sb="17" eb="19">
      <t>コウテイ</t>
    </rPh>
    <rPh sb="22" eb="23">
      <t>ウエ</t>
    </rPh>
    <rPh sb="27" eb="29">
      <t>コウテイ</t>
    </rPh>
    <rPh sb="32" eb="34">
      <t>ジドウ</t>
    </rPh>
    <rPh sb="34" eb="36">
      <t>ヒョウジ</t>
    </rPh>
    <rPh sb="39" eb="41">
      <t>コウテイ</t>
    </rPh>
    <rPh sb="53" eb="55">
      <t>バアイ</t>
    </rPh>
    <rPh sb="58" eb="60">
      <t>コウテイ</t>
    </rPh>
    <rPh sb="72" eb="76">
      <t>ゲンリョウコウモク</t>
    </rPh>
    <rPh sb="77" eb="79">
      <t>ツイカ</t>
    </rPh>
    <rPh sb="81" eb="83">
      <t>ゴウケイ</t>
    </rPh>
    <rPh sb="85" eb="87">
      <t>ヒンモク</t>
    </rPh>
    <rPh sb="87" eb="89">
      <t>ヒョウジ</t>
    </rPh>
    <rPh sb="89" eb="91">
      <t>カノウ</t>
    </rPh>
    <rPh sb="102" eb="104">
      <t>チュウダン</t>
    </rPh>
    <rPh sb="105" eb="110">
      <t>カチョウオウインラン</t>
    </rPh>
    <rPh sb="110" eb="112">
      <t>サクジョ</t>
    </rPh>
    <rPh sb="114" eb="118">
      <t>カイテイリユウ</t>
    </rPh>
    <rPh sb="118" eb="120">
      <t>コウモク</t>
    </rPh>
    <rPh sb="121" eb="122">
      <t>ハバ</t>
    </rPh>
    <rPh sb="123" eb="124">
      <t>セバ</t>
    </rPh>
    <rPh sb="128" eb="132">
      <t>チュウイジコウ</t>
    </rPh>
    <rPh sb="132" eb="134">
      <t>コウモク</t>
    </rPh>
    <rPh sb="135" eb="136">
      <t>ハバ</t>
    </rPh>
    <rPh sb="137" eb="138">
      <t>ヒロ</t>
    </rPh>
    <rPh sb="151" eb="153">
      <t>コウモク</t>
    </rPh>
    <rPh sb="161" eb="162">
      <t>フ</t>
    </rPh>
    <rPh sb="168" eb="170">
      <t>カイシュウ</t>
    </rPh>
    <rPh sb="180" eb="182">
      <t>ガメン</t>
    </rPh>
    <rPh sb="183" eb="187">
      <t>チュウイジコウ</t>
    </rPh>
    <rPh sb="216" eb="218">
      <t>タイオウ</t>
    </rPh>
    <phoneticPr fontId="24"/>
  </si>
  <si>
    <r>
      <t>■フォーマット改修
一次スリット指示書
・工程Noの右にFAの行程Noを自動表示する（工程Noが32411060の場合→FA工程No3411-06）
・備考項目の入力項目を</t>
    </r>
    <r>
      <rPr>
        <strike/>
        <sz val="11"/>
        <color rgb="FFFF0000"/>
        <rFont val="ＭＳ Ｐゴシック"/>
        <family val="3"/>
        <charset val="128"/>
        <scheme val="minor"/>
      </rPr>
      <t>8項目</t>
    </r>
    <r>
      <rPr>
        <sz val="11"/>
        <color rgb="FFFF0000"/>
        <rFont val="ＭＳ Ｐゴシック"/>
        <family val="3"/>
        <charset val="128"/>
        <scheme val="minor"/>
      </rPr>
      <t>10項目</t>
    </r>
    <r>
      <rPr>
        <sz val="11"/>
        <color theme="1"/>
        <rFont val="ＭＳ Ｐゴシック"/>
        <family val="3"/>
        <charset val="128"/>
        <scheme val="minor"/>
      </rPr>
      <t>に増やす
・サイズ項目の罫線を1行目</t>
    </r>
    <r>
      <rPr>
        <sz val="11"/>
        <color rgb="FFFF0000"/>
        <rFont val="ＭＳ Ｐゴシック"/>
        <family val="3"/>
        <charset val="128"/>
        <scheme val="minor"/>
      </rPr>
      <t>以降</t>
    </r>
    <r>
      <rPr>
        <sz val="11"/>
        <color theme="1"/>
        <rFont val="ＭＳ Ｐゴシック"/>
        <family val="3"/>
        <charset val="128"/>
        <scheme val="minor"/>
      </rPr>
      <t>削除する
■PG改修
一次スリット指示書備考マスタ修正画面
・FA工程No出力対応
・備考項目の入力項目を</t>
    </r>
    <r>
      <rPr>
        <strike/>
        <sz val="11"/>
        <color rgb="FFFF0000"/>
        <rFont val="ＭＳ Ｐゴシック"/>
        <family val="3"/>
        <charset val="128"/>
        <scheme val="minor"/>
      </rPr>
      <t>8項目</t>
    </r>
    <r>
      <rPr>
        <sz val="11"/>
        <color rgb="FFFF0000"/>
        <rFont val="ＭＳ Ｐゴシック"/>
        <family val="3"/>
        <charset val="128"/>
        <scheme val="minor"/>
      </rPr>
      <t>10項目</t>
    </r>
    <r>
      <rPr>
        <sz val="11"/>
        <color theme="1"/>
        <rFont val="ＭＳ Ｐゴシック"/>
        <family val="3"/>
        <charset val="128"/>
        <scheme val="minor"/>
      </rPr>
      <t xml:space="preserve">に増やす（マスタからの選択項目を増やす）
</t>
    </r>
    <r>
      <rPr>
        <sz val="11"/>
        <color rgb="FFFF0000"/>
        <rFont val="ＭＳ Ｐゴシック"/>
        <family val="3"/>
        <charset val="128"/>
        <scheme val="minor"/>
      </rPr>
      <t xml:space="preserve">・製造備考マスタテーブルの項目追加（備考項目9件追加　合計10項目）
</t>
    </r>
    <rPh sb="10" eb="12">
      <t>イチジ</t>
    </rPh>
    <rPh sb="16" eb="19">
      <t>シジショ</t>
    </rPh>
    <rPh sb="26" eb="27">
      <t>ミギ</t>
    </rPh>
    <rPh sb="76" eb="78">
      <t>ビコウ</t>
    </rPh>
    <rPh sb="103" eb="105">
      <t>コウモク</t>
    </rPh>
    <rPh sb="106" eb="108">
      <t>ケイセン</t>
    </rPh>
    <rPh sb="110" eb="112">
      <t>ギョウメ</t>
    </rPh>
    <rPh sb="112" eb="114">
      <t>イコウ</t>
    </rPh>
    <rPh sb="114" eb="116">
      <t>サクジョ</t>
    </rPh>
    <rPh sb="125" eb="127">
      <t>イチジ</t>
    </rPh>
    <rPh sb="131" eb="134">
      <t>シジショ</t>
    </rPh>
    <rPh sb="134" eb="136">
      <t>ビコウ</t>
    </rPh>
    <rPh sb="139" eb="141">
      <t>シュウセイ</t>
    </rPh>
    <rPh sb="141" eb="143">
      <t>ガメン</t>
    </rPh>
    <rPh sb="151" eb="153">
      <t>シュツリョク</t>
    </rPh>
    <rPh sb="153" eb="155">
      <t>タイオウ</t>
    </rPh>
    <rPh sb="157" eb="159">
      <t>ビコウ</t>
    </rPh>
    <rPh sb="185" eb="189">
      <t>センタクコウモク</t>
    </rPh>
    <rPh sb="190" eb="191">
      <t>フ</t>
    </rPh>
    <rPh sb="196" eb="200">
      <t>セイゾウビコウ</t>
    </rPh>
    <rPh sb="208" eb="212">
      <t>コウモクツイカ</t>
    </rPh>
    <rPh sb="213" eb="215">
      <t>ビコウ</t>
    </rPh>
    <rPh sb="215" eb="217">
      <t>コウモク</t>
    </rPh>
    <rPh sb="218" eb="219">
      <t>ケン</t>
    </rPh>
    <rPh sb="219" eb="221">
      <t>ツイカ</t>
    </rPh>
    <rPh sb="222" eb="224">
      <t>ゴウケイ</t>
    </rPh>
    <rPh sb="226" eb="228">
      <t>コウモク</t>
    </rPh>
    <phoneticPr fontId="24"/>
  </si>
  <si>
    <t xml:space="preserve">■PG改修
カルテメンテナンス画面
実績入力（原料使用料）画面
・原料項目6品目追加、合計17品目表示対応
</t>
    <rPh sb="15" eb="17">
      <t>ガメン</t>
    </rPh>
    <rPh sb="18" eb="22">
      <t>ジッセキニュウリョク</t>
    </rPh>
    <rPh sb="23" eb="25">
      <t>ゲンリョウ</t>
    </rPh>
    <rPh sb="25" eb="28">
      <t>シヨウリョウ</t>
    </rPh>
    <rPh sb="29" eb="31">
      <t>ガメン</t>
    </rPh>
    <rPh sb="38" eb="40">
      <t>ヒンモク</t>
    </rPh>
    <rPh sb="40" eb="42">
      <t>ツイカ</t>
    </rPh>
    <phoneticPr fontId="24"/>
  </si>
  <si>
    <t>10/15-</t>
    <phoneticPr fontId="8"/>
  </si>
  <si>
    <t>11/15-</t>
    <phoneticPr fontId="8"/>
  </si>
  <si>
    <t>12/15-</t>
    <phoneticPr fontId="8"/>
  </si>
  <si>
    <t>要件定義・設計</t>
    <rPh sb="0" eb="4">
      <t>ヨウケンテイギ</t>
    </rPh>
    <phoneticPr fontId="8"/>
  </si>
  <si>
    <t>結合・システムテスト</t>
    <rPh sb="0" eb="2">
      <t>ケツゴウ</t>
    </rPh>
    <phoneticPr fontId="8"/>
  </si>
  <si>
    <r>
      <t>・原料品目数増加により、他項目の印刷位置等を見直す。
・備考欄が1項目のみで文字数制限がある。欄を</t>
    </r>
    <r>
      <rPr>
        <sz val="11"/>
        <color rgb="FFFF0000"/>
        <rFont val="ＭＳ Ｐゴシック"/>
        <family val="3"/>
        <charset val="128"/>
        <scheme val="minor"/>
      </rPr>
      <t>3～4項目に増やして</t>
    </r>
    <r>
      <rPr>
        <sz val="11"/>
        <color theme="1"/>
        <rFont val="ＭＳ Ｐゴシック"/>
        <family val="2"/>
        <scheme val="minor"/>
      </rPr>
      <t xml:space="preserve">、手書きをなくす。
・工程№の上に課内で使用しているFAの工程№を自動反映で印字させる。
</t>
    </r>
    <r>
      <rPr>
        <sz val="11"/>
        <color rgb="FFFF0000"/>
        <rFont val="ＭＳ Ｐゴシック"/>
        <family val="3"/>
        <charset val="128"/>
        <scheme val="minor"/>
      </rPr>
      <t>※起案資料には3～4項目に増やしてとあるが、6項目として対応する</t>
    </r>
    <rPh sb="127" eb="129">
      <t>コウモク</t>
    </rPh>
    <rPh sb="132" eb="134">
      <t>タイオウ</t>
    </rPh>
    <phoneticPr fontId="24"/>
  </si>
  <si>
    <r>
      <t>・備考欄が1項目のみで文字数制限がある。欄を</t>
    </r>
    <r>
      <rPr>
        <sz val="11"/>
        <color rgb="FFFF0000"/>
        <rFont val="ＭＳ Ｐゴシック"/>
        <family val="3"/>
        <charset val="128"/>
        <scheme val="minor"/>
      </rPr>
      <t>8項目</t>
    </r>
    <r>
      <rPr>
        <sz val="11"/>
        <color theme="1"/>
        <rFont val="ＭＳ Ｐゴシック"/>
        <family val="2"/>
        <scheme val="minor"/>
      </rPr>
      <t xml:space="preserve">に増やして、手書きをなくす。
・工程№の上に課内で使用しているFAの工程№を自動反映で印字させる。
</t>
    </r>
    <r>
      <rPr>
        <sz val="11"/>
        <color rgb="FFFF0000"/>
        <rFont val="ＭＳ Ｐゴシック"/>
        <family val="3"/>
        <charset val="128"/>
        <scheme val="minor"/>
      </rPr>
      <t>※起案資料には8項目とあるが、10項目として対応する</t>
    </r>
    <r>
      <rPr>
        <sz val="11"/>
        <color theme="1"/>
        <rFont val="ＭＳ Ｐゴシック"/>
        <family val="2"/>
        <scheme val="minor"/>
      </rPr>
      <t xml:space="preserve">
</t>
    </r>
    <rPh sb="76" eb="80">
      <t>キアンシリョウ</t>
    </rPh>
    <rPh sb="83" eb="85">
      <t>コウモク</t>
    </rPh>
    <rPh sb="92" eb="94">
      <t>コウモク</t>
    </rPh>
    <rPh sb="97" eb="99">
      <t>タイオウ</t>
    </rPh>
    <phoneticPr fontId="24"/>
  </si>
  <si>
    <t>MES_概算御見積（顧客提出用）を参照</t>
    <rPh sb="17" eb="19">
      <t>サンショウ</t>
    </rPh>
    <phoneticPr fontId="7"/>
  </si>
  <si>
    <t>要件定義・
設計</t>
    <rPh sb="0" eb="2">
      <t>ヨウケン</t>
    </rPh>
    <rPh sb="2" eb="4">
      <t>テイギ</t>
    </rPh>
    <rPh sb="6" eb="8">
      <t>セッケイ</t>
    </rPh>
    <phoneticPr fontId="8"/>
  </si>
  <si>
    <t>修正方針の確定、不明瞭箇所の特定、資料作成方針の決定等細かい仕様について、ユーザ様と決定します
本改修についての改修仕様書を作成します</t>
    <rPh sb="0" eb="2">
      <t>シュウセイ</t>
    </rPh>
    <rPh sb="2" eb="4">
      <t>ホウシン</t>
    </rPh>
    <rPh sb="5" eb="7">
      <t>カクテイ</t>
    </rPh>
    <rPh sb="8" eb="11">
      <t>フメイリョウ</t>
    </rPh>
    <rPh sb="11" eb="13">
      <t>カショ</t>
    </rPh>
    <rPh sb="14" eb="16">
      <t>トクテイ</t>
    </rPh>
    <rPh sb="48" eb="51">
      <t>ホンカイシュウ</t>
    </rPh>
    <rPh sb="56" eb="61">
      <t>カイシュウシヨウショ</t>
    </rPh>
    <rPh sb="62" eb="64">
      <t>サクセイ</t>
    </rPh>
    <phoneticPr fontId="7"/>
  </si>
  <si>
    <t>貴社環境にて結合・システムテスト実施、実施結果の分析、不具合の対応を実施し、結合・システムテスト仕様書および結合・システムテスト結果報告書を作成します</t>
  </si>
  <si>
    <t xml:space="preserve"> PG
 エグゼベトナム</t>
    <phoneticPr fontId="7"/>
  </si>
  <si>
    <t>８．その他</t>
    <rPh sb="4" eb="5">
      <t>タ</t>
    </rPh>
    <phoneticPr fontId="7"/>
  </si>
  <si>
    <t>ベトナムメンバーへWindows365の貸与をお願いいたします</t>
    <phoneticPr fontId="7"/>
  </si>
  <si>
    <t>No.1～3のリリース工数はNo.3に集約しております。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</si>
</sst>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6" formatCode="&quot;¥&quot;#,##0;[Red]&quot;¥&quot;\-#,##0"/>
    <numFmt numFmtId="176" formatCode="&quot;¥&quot;#,##0_);\(&quot;¥&quot;#,##0\)"/>
    <numFmt numFmtId="177" formatCode="&quot;¥&quot;#,##0.\-"/>
    <numFmt numFmtId="178" formatCode="0.00_);[Red]\(0.00\)"/>
    <numFmt numFmtId="179" formatCode="#,##0.0_ "/>
    <numFmt numFmtId="180" formatCode="&quot;¥&quot;#,##0_);[Red]\(&quot;¥&quot;#,##0\)"/>
    <numFmt numFmtId="181" formatCode="0.0"/>
    <numFmt numFmtId="182" formatCode="#,##0.00_ "/>
    <numFmt numFmtId="183" formatCode="#,##0_ "/>
    <numFmt numFmtId="184" formatCode="m/d;@"/>
  </numFmts>
  <fonts count="32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b/>
      <sz val="9"/>
      <name val="ＭＳ 明朝"/>
      <family val="1"/>
      <charset val="128"/>
    </font>
    <font>
      <sz val="11"/>
      <name val="ＭＳ Ｐゴシック"/>
      <family val="3"/>
      <charset val="128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26"/>
      <name val="ＭＳ 明朝"/>
      <family val="1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8"/>
      <name val="ＭＳ 明朝"/>
      <family val="1"/>
      <charset val="128"/>
    </font>
    <font>
      <sz val="11"/>
      <color rgb="FFFF0000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trike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2" fillId="0" borderId="0"/>
    <xf numFmtId="0" fontId="5" fillId="0" borderId="0">
      <alignment vertical="center"/>
    </xf>
    <xf numFmtId="0" fontId="4" fillId="0" borderId="0">
      <alignment vertical="center"/>
    </xf>
    <xf numFmtId="6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6" fontId="2" fillId="0" borderId="0" applyFont="0" applyFill="0" applyBorder="0" applyAlignment="0" applyProtection="0">
      <alignment vertical="center"/>
    </xf>
  </cellStyleXfs>
  <cellXfs count="202">
    <xf numFmtId="0" fontId="0" fillId="0" borderId="0" xfId="0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2" borderId="10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17" fillId="2" borderId="2" xfId="0" applyFont="1" applyFill="1" applyBorder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0" borderId="12" xfId="0" applyFont="1" applyBorder="1" applyAlignment="1">
      <alignment vertical="center"/>
    </xf>
    <xf numFmtId="0" fontId="17" fillId="0" borderId="12" xfId="0" applyFont="1" applyBorder="1" applyAlignment="1">
      <alignment horizontal="right" vertical="center"/>
    </xf>
    <xf numFmtId="0" fontId="17" fillId="0" borderId="13" xfId="0" applyFont="1" applyBorder="1" applyAlignment="1">
      <alignment vertical="center"/>
    </xf>
    <xf numFmtId="0" fontId="17" fillId="0" borderId="0" xfId="0" applyFont="1" applyAlignment="1">
      <alignment horizontal="centerContinuous" vertical="center"/>
    </xf>
    <xf numFmtId="178" fontId="17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17" fillId="0" borderId="6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7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8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7" fillId="0" borderId="0" xfId="1" applyFont="1" applyAlignment="1">
      <alignment horizontal="left" vertical="center"/>
    </xf>
    <xf numFmtId="0" fontId="17" fillId="0" borderId="6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0" xfId="0" applyFont="1" applyAlignment="1">
      <alignment vertical="top"/>
    </xf>
    <xf numFmtId="0" fontId="17" fillId="2" borderId="2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17" fontId="21" fillId="2" borderId="11" xfId="0" quotePrefix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horizontal="left" vertical="center" indent="1"/>
    </xf>
    <xf numFmtId="0" fontId="9" fillId="0" borderId="11" xfId="0" applyFont="1" applyBorder="1" applyAlignment="1">
      <alignment horizontal="left" vertical="center" indent="1"/>
    </xf>
    <xf numFmtId="0" fontId="17" fillId="0" borderId="10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17" fontId="21" fillId="2" borderId="2" xfId="0" quotePrefix="1" applyNumberFormat="1" applyFont="1" applyFill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17" fillId="0" borderId="0" xfId="1" applyFont="1">
      <alignment vertical="center"/>
    </xf>
    <xf numFmtId="0" fontId="17" fillId="2" borderId="2" xfId="0" applyFont="1" applyFill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17" fontId="21" fillId="2" borderId="2" xfId="0" applyNumberFormat="1" applyFont="1" applyFill="1" applyBorder="1" applyAlignment="1">
      <alignment vertical="center"/>
    </xf>
    <xf numFmtId="17" fontId="21" fillId="2" borderId="11" xfId="0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7" fillId="4" borderId="0" xfId="0" applyFont="1" applyFill="1" applyAlignment="1">
      <alignment horizontal="left" vertical="center"/>
    </xf>
    <xf numFmtId="17" fontId="17" fillId="0" borderId="3" xfId="0" quotePrefix="1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7" fontId="21" fillId="0" borderId="4" xfId="0" quotePrefix="1" applyNumberFormat="1" applyFont="1" applyBorder="1" applyAlignment="1">
      <alignment vertical="center"/>
    </xf>
    <xf numFmtId="17" fontId="21" fillId="0" borderId="5" xfId="0" quotePrefix="1" applyNumberFormat="1" applyFont="1" applyBorder="1" applyAlignment="1">
      <alignment horizontal="center" vertical="center"/>
    </xf>
    <xf numFmtId="17" fontId="17" fillId="0" borderId="6" xfId="0" quotePrefix="1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" fontId="21" fillId="0" borderId="0" xfId="0" quotePrefix="1" applyNumberFormat="1" applyFont="1" applyAlignment="1">
      <alignment vertical="center"/>
    </xf>
    <xf numFmtId="17" fontId="21" fillId="0" borderId="7" xfId="0" quotePrefix="1" applyNumberFormat="1" applyFont="1" applyBorder="1" applyAlignment="1">
      <alignment horizontal="center" vertical="center"/>
    </xf>
    <xf numFmtId="0" fontId="23" fillId="0" borderId="0" xfId="8" applyFont="1" applyAlignment="1">
      <alignment horizontal="left" vertical="top"/>
    </xf>
    <xf numFmtId="0" fontId="2" fillId="0" borderId="0" xfId="8" applyAlignment="1">
      <alignment vertical="top"/>
    </xf>
    <xf numFmtId="0" fontId="2" fillId="0" borderId="0" xfId="8" applyAlignment="1">
      <alignment vertical="top" wrapText="1"/>
    </xf>
    <xf numFmtId="179" fontId="2" fillId="0" borderId="0" xfId="8" applyNumberFormat="1" applyAlignment="1">
      <alignment vertical="top"/>
    </xf>
    <xf numFmtId="0" fontId="2" fillId="0" borderId="0" xfId="8" applyAlignment="1">
      <alignment horizontal="left" vertical="top"/>
    </xf>
    <xf numFmtId="0" fontId="2" fillId="0" borderId="22" xfId="8" applyBorder="1" applyAlignment="1">
      <alignment vertical="top"/>
    </xf>
    <xf numFmtId="180" fontId="2" fillId="0" borderId="22" xfId="8" applyNumberFormat="1" applyBorder="1" applyAlignment="1">
      <alignment vertical="top"/>
    </xf>
    <xf numFmtId="0" fontId="26" fillId="7" borderId="22" xfId="8" applyFont="1" applyFill="1" applyBorder="1" applyAlignment="1">
      <alignment horizontal="left" vertical="top"/>
    </xf>
    <xf numFmtId="0" fontId="26" fillId="7" borderId="22" xfId="8" applyFont="1" applyFill="1" applyBorder="1" applyAlignment="1">
      <alignment vertical="top"/>
    </xf>
    <xf numFmtId="0" fontId="26" fillId="7" borderId="22" xfId="8" applyFont="1" applyFill="1" applyBorder="1" applyAlignment="1">
      <alignment vertical="top" wrapText="1"/>
    </xf>
    <xf numFmtId="179" fontId="26" fillId="7" borderId="22" xfId="8" applyNumberFormat="1" applyFont="1" applyFill="1" applyBorder="1" applyAlignment="1">
      <alignment horizontal="center" vertical="top" wrapText="1"/>
    </xf>
    <xf numFmtId="179" fontId="26" fillId="7" borderId="10" xfId="8" applyNumberFormat="1" applyFont="1" applyFill="1" applyBorder="1" applyAlignment="1">
      <alignment horizontal="center" vertical="top" wrapText="1"/>
    </xf>
    <xf numFmtId="0" fontId="2" fillId="0" borderId="22" xfId="8" applyBorder="1" applyAlignment="1">
      <alignment vertical="top" wrapText="1"/>
    </xf>
    <xf numFmtId="0" fontId="25" fillId="0" borderId="0" xfId="8" applyFont="1" applyAlignment="1">
      <alignment horizontal="center" vertical="center"/>
    </xf>
    <xf numFmtId="179" fontId="26" fillId="0" borderId="0" xfId="8" applyNumberFormat="1" applyFont="1" applyAlignment="1">
      <alignment horizontal="center" vertical="top" wrapText="1"/>
    </xf>
    <xf numFmtId="14" fontId="2" fillId="0" borderId="22" xfId="8" applyNumberFormat="1" applyBorder="1" applyAlignment="1">
      <alignment vertical="top" wrapText="1"/>
    </xf>
    <xf numFmtId="0" fontId="27" fillId="0" borderId="22" xfId="8" applyFont="1" applyBorder="1" applyAlignment="1">
      <alignment vertical="top" wrapText="1"/>
    </xf>
    <xf numFmtId="179" fontId="2" fillId="0" borderId="24" xfId="8" applyNumberFormat="1" applyBorder="1" applyAlignment="1">
      <alignment horizontal="right" vertical="top"/>
    </xf>
    <xf numFmtId="181" fontId="2" fillId="0" borderId="0" xfId="8" applyNumberFormat="1" applyAlignment="1">
      <alignment vertical="top"/>
    </xf>
    <xf numFmtId="182" fontId="2" fillId="0" borderId="22" xfId="8" applyNumberFormat="1" applyBorder="1" applyAlignment="1">
      <alignment horizontal="right" vertical="top"/>
    </xf>
    <xf numFmtId="49" fontId="2" fillId="0" borderId="0" xfId="8" applyNumberFormat="1" applyAlignment="1">
      <alignment horizontal="right" vertical="top"/>
    </xf>
    <xf numFmtId="179" fontId="2" fillId="0" borderId="22" xfId="8" applyNumberFormat="1" applyBorder="1" applyAlignment="1">
      <alignment vertical="top"/>
    </xf>
    <xf numFmtId="6" fontId="0" fillId="0" borderId="22" xfId="9" applyFont="1" applyFill="1" applyBorder="1" applyAlignment="1">
      <alignment vertical="top"/>
    </xf>
    <xf numFmtId="0" fontId="2" fillId="0" borderId="24" xfId="8" applyBorder="1" applyAlignment="1">
      <alignment vertical="top" wrapText="1"/>
    </xf>
    <xf numFmtId="0" fontId="22" fillId="0" borderId="0" xfId="8" applyFont="1" applyAlignment="1">
      <alignment vertical="top"/>
    </xf>
    <xf numFmtId="0" fontId="2" fillId="0" borderId="3" xfId="8" applyBorder="1" applyAlignment="1">
      <alignment horizontal="left" vertical="top"/>
    </xf>
    <xf numFmtId="0" fontId="2" fillId="0" borderId="4" xfId="8" applyBorder="1" applyAlignment="1">
      <alignment vertical="top"/>
    </xf>
    <xf numFmtId="0" fontId="2" fillId="0" borderId="4" xfId="8" applyBorder="1" applyAlignment="1">
      <alignment vertical="top" wrapText="1"/>
    </xf>
    <xf numFmtId="179" fontId="2" fillId="0" borderId="5" xfId="8" applyNumberFormat="1" applyBorder="1" applyAlignment="1">
      <alignment vertical="top"/>
    </xf>
    <xf numFmtId="0" fontId="2" fillId="0" borderId="6" xfId="8" applyBorder="1" applyAlignment="1">
      <alignment horizontal="left" vertical="top"/>
    </xf>
    <xf numFmtId="179" fontId="2" fillId="0" borderId="7" xfId="8" applyNumberFormat="1" applyBorder="1" applyAlignment="1">
      <alignment vertical="top"/>
    </xf>
    <xf numFmtId="0" fontId="30" fillId="0" borderId="0" xfId="8" applyFont="1" applyAlignment="1">
      <alignment vertical="top"/>
    </xf>
    <xf numFmtId="0" fontId="31" fillId="0" borderId="0" xfId="8" applyFont="1" applyAlignment="1">
      <alignment vertical="top"/>
    </xf>
    <xf numFmtId="0" fontId="2" fillId="0" borderId="8" xfId="8" applyBorder="1" applyAlignment="1">
      <alignment horizontal="left" vertical="top"/>
    </xf>
    <xf numFmtId="0" fontId="2" fillId="0" borderId="1" xfId="8" applyBorder="1" applyAlignment="1">
      <alignment vertical="top"/>
    </xf>
    <xf numFmtId="0" fontId="2" fillId="0" borderId="1" xfId="8" applyBorder="1" applyAlignment="1">
      <alignment vertical="top" wrapText="1"/>
    </xf>
    <xf numFmtId="179" fontId="2" fillId="0" borderId="9" xfId="8" applyNumberFormat="1" applyBorder="1" applyAlignment="1">
      <alignment vertical="top"/>
    </xf>
    <xf numFmtId="0" fontId="2" fillId="0" borderId="25" xfId="8" applyBorder="1" applyAlignment="1">
      <alignment horizontal="left" vertical="top"/>
    </xf>
    <xf numFmtId="0" fontId="2" fillId="0" borderId="25" xfId="8" applyBorder="1" applyAlignment="1">
      <alignment vertical="top" wrapText="1"/>
    </xf>
    <xf numFmtId="181" fontId="2" fillId="0" borderId="22" xfId="8" applyNumberFormat="1" applyBorder="1" applyAlignment="1">
      <alignment vertical="top" wrapText="1"/>
    </xf>
    <xf numFmtId="6" fontId="0" fillId="0" borderId="22" xfId="9" applyFont="1" applyBorder="1" applyAlignment="1">
      <alignment horizontal="right" vertical="top" wrapText="1"/>
    </xf>
    <xf numFmtId="0" fontId="2" fillId="0" borderId="22" xfId="8" applyBorder="1" applyAlignment="1">
      <alignment horizontal="left" vertical="top"/>
    </xf>
    <xf numFmtId="0" fontId="2" fillId="0" borderId="0" xfId="8" applyAlignment="1">
      <alignment horizontal="left" vertical="top" wrapText="1"/>
    </xf>
    <xf numFmtId="183" fontId="2" fillId="0" borderId="0" xfId="8" applyNumberFormat="1" applyAlignment="1">
      <alignment vertical="top"/>
    </xf>
    <xf numFmtId="0" fontId="2" fillId="0" borderId="0" xfId="8">
      <alignment vertical="center"/>
    </xf>
    <xf numFmtId="184" fontId="26" fillId="7" borderId="22" xfId="8" applyNumberFormat="1" applyFont="1" applyFill="1" applyBorder="1" applyAlignment="1">
      <alignment vertical="top" wrapText="1"/>
    </xf>
    <xf numFmtId="0" fontId="2" fillId="0" borderId="25" xfId="8" applyBorder="1" applyAlignment="1">
      <alignment vertical="top"/>
    </xf>
    <xf numFmtId="14" fontId="2" fillId="0" borderId="25" xfId="8" applyNumberFormat="1" applyBorder="1" applyAlignment="1">
      <alignment vertical="top" wrapText="1"/>
    </xf>
    <xf numFmtId="181" fontId="2" fillId="0" borderId="25" xfId="8" applyNumberFormat="1" applyBorder="1" applyAlignment="1">
      <alignment vertical="top" wrapText="1"/>
    </xf>
    <xf numFmtId="14" fontId="2" fillId="0" borderId="27" xfId="8" applyNumberFormat="1" applyBorder="1" applyAlignment="1">
      <alignment vertical="top" wrapText="1"/>
    </xf>
    <xf numFmtId="14" fontId="2" fillId="0" borderId="28" xfId="8" applyNumberFormat="1" applyBorder="1" applyAlignment="1">
      <alignment vertical="top" wrapText="1"/>
    </xf>
    <xf numFmtId="14" fontId="2" fillId="0" borderId="29" xfId="8" applyNumberFormat="1" applyBorder="1" applyAlignment="1">
      <alignment vertical="top" wrapText="1"/>
    </xf>
    <xf numFmtId="0" fontId="27" fillId="0" borderId="0" xfId="8" applyFont="1" applyAlignment="1">
      <alignment vertical="top" wrapText="1"/>
    </xf>
    <xf numFmtId="14" fontId="2" fillId="0" borderId="0" xfId="8" applyNumberFormat="1" applyAlignment="1">
      <alignment vertical="top" wrapText="1"/>
    </xf>
    <xf numFmtId="181" fontId="2" fillId="0" borderId="0" xfId="8" applyNumberFormat="1" applyAlignment="1">
      <alignment vertical="top" wrapText="1"/>
    </xf>
    <xf numFmtId="179" fontId="2" fillId="0" borderId="0" xfId="8" applyNumberFormat="1">
      <alignment vertical="center"/>
    </xf>
    <xf numFmtId="0" fontId="0" fillId="0" borderId="22" xfId="8" applyFont="1" applyBorder="1" applyAlignment="1">
      <alignment vertical="top" wrapText="1"/>
    </xf>
    <xf numFmtId="0" fontId="0" fillId="0" borderId="24" xfId="8" applyFont="1" applyBorder="1" applyAlignment="1">
      <alignment vertical="top" wrapText="1"/>
    </xf>
    <xf numFmtId="179" fontId="30" fillId="0" borderId="22" xfId="8" applyNumberFormat="1" applyFont="1" applyBorder="1" applyAlignment="1">
      <alignment horizontal="right" vertical="top"/>
    </xf>
    <xf numFmtId="179" fontId="0" fillId="0" borderId="22" xfId="0" applyNumberFormat="1" applyBorder="1" applyAlignment="1">
      <alignment horizontal="right" vertical="top"/>
    </xf>
    <xf numFmtId="0" fontId="1" fillId="0" borderId="0" xfId="8" applyFont="1" applyAlignment="1">
      <alignment vertical="top"/>
    </xf>
    <xf numFmtId="0" fontId="1" fillId="0" borderId="0" xfId="8" applyFont="1" applyAlignment="1">
      <alignment horizontal="left" vertical="top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17" fontId="17" fillId="2" borderId="10" xfId="0" quotePrefix="1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76" fontId="17" fillId="0" borderId="10" xfId="0" applyNumberFormat="1" applyFont="1" applyBorder="1" applyAlignment="1">
      <alignment horizontal="right" vertical="center"/>
    </xf>
    <xf numFmtId="176" fontId="17" fillId="0" borderId="2" xfId="0" applyNumberFormat="1" applyFont="1" applyBorder="1" applyAlignment="1">
      <alignment horizontal="right" vertical="center"/>
    </xf>
    <xf numFmtId="176" fontId="17" fillId="0" borderId="11" xfId="0" applyNumberFormat="1" applyFont="1" applyBorder="1" applyAlignment="1">
      <alignment horizontal="right" vertical="center"/>
    </xf>
    <xf numFmtId="0" fontId="16" fillId="3" borderId="10" xfId="0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right" vertical="center"/>
    </xf>
    <xf numFmtId="0" fontId="16" fillId="3" borderId="11" xfId="0" applyFont="1" applyFill="1" applyBorder="1" applyAlignment="1">
      <alignment horizontal="right" vertical="center"/>
    </xf>
    <xf numFmtId="176" fontId="16" fillId="0" borderId="22" xfId="0" applyNumberFormat="1" applyFont="1" applyBorder="1" applyAlignment="1">
      <alignment horizontal="right" vertical="center"/>
    </xf>
    <xf numFmtId="0" fontId="17" fillId="0" borderId="3" xfId="0" applyFont="1" applyBorder="1" applyAlignment="1">
      <alignment horizontal="center" vertical="top"/>
    </xf>
    <xf numFmtId="0" fontId="17" fillId="0" borderId="5" xfId="0" applyFont="1" applyBorder="1" applyAlignment="1">
      <alignment horizontal="center" vertical="top"/>
    </xf>
    <xf numFmtId="0" fontId="17" fillId="0" borderId="8" xfId="0" applyFont="1" applyBorder="1" applyAlignment="1">
      <alignment horizontal="center" vertical="top"/>
    </xf>
    <xf numFmtId="0" fontId="17" fillId="0" borderId="9" xfId="0" applyFont="1" applyBorder="1" applyAlignment="1">
      <alignment horizontal="center" vertical="top"/>
    </xf>
    <xf numFmtId="0" fontId="17" fillId="2" borderId="22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7" fillId="0" borderId="13" xfId="0" applyNumberFormat="1" applyFont="1" applyBorder="1" applyAlignment="1">
      <alignment horizontal="right" vertical="center"/>
    </xf>
    <xf numFmtId="0" fontId="17" fillId="0" borderId="13" xfId="0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77" fontId="14" fillId="0" borderId="0" xfId="0" applyNumberFormat="1" applyFont="1" applyAlignment="1">
      <alignment horizontal="right" vertical="center"/>
    </xf>
    <xf numFmtId="177" fontId="14" fillId="0" borderId="1" xfId="0" applyNumberFormat="1" applyFont="1" applyBorder="1" applyAlignment="1">
      <alignment horizontal="right" vertical="center"/>
    </xf>
    <xf numFmtId="176" fontId="16" fillId="0" borderId="10" xfId="0" applyNumberFormat="1" applyFont="1" applyBorder="1" applyAlignment="1">
      <alignment horizontal="right" vertical="center"/>
    </xf>
    <xf numFmtId="176" fontId="16" fillId="0" borderId="2" xfId="0" applyNumberFormat="1" applyFont="1" applyBorder="1" applyAlignment="1">
      <alignment horizontal="right" vertical="center"/>
    </xf>
    <xf numFmtId="176" fontId="16" fillId="0" borderId="11" xfId="0" applyNumberFormat="1" applyFont="1" applyBorder="1" applyAlignment="1">
      <alignment horizontal="right" vertical="center"/>
    </xf>
    <xf numFmtId="0" fontId="17" fillId="0" borderId="6" xfId="0" applyFont="1" applyBorder="1" applyAlignment="1">
      <alignment horizontal="center" vertical="top"/>
    </xf>
    <xf numFmtId="0" fontId="17" fillId="0" borderId="7" xfId="0" applyFont="1" applyBorder="1" applyAlignment="1">
      <alignment horizontal="center" vertical="top"/>
    </xf>
    <xf numFmtId="0" fontId="17" fillId="0" borderId="3" xfId="0" applyFont="1" applyBorder="1" applyAlignment="1">
      <alignment vertical="top" wrapText="1"/>
    </xf>
    <xf numFmtId="0" fontId="17" fillId="0" borderId="4" xfId="0" applyFont="1" applyBorder="1" applyAlignment="1">
      <alignment vertical="top" wrapText="1"/>
    </xf>
    <xf numFmtId="0" fontId="17" fillId="0" borderId="5" xfId="0" applyFont="1" applyBorder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7" xfId="0" applyFont="1" applyBorder="1" applyAlignment="1">
      <alignment vertical="top" wrapText="1"/>
    </xf>
    <xf numFmtId="0" fontId="17" fillId="0" borderId="8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7" fillId="0" borderId="9" xfId="0" applyFont="1" applyBorder="1" applyAlignment="1">
      <alignment vertical="top" wrapText="1"/>
    </xf>
    <xf numFmtId="5" fontId="17" fillId="0" borderId="2" xfId="0" applyNumberFormat="1" applyFont="1" applyBorder="1" applyAlignment="1">
      <alignment horizontal="center" vertical="center"/>
    </xf>
    <xf numFmtId="5" fontId="17" fillId="0" borderId="11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0" fontId="17" fillId="2" borderId="11" xfId="0" applyFont="1" applyFill="1" applyBorder="1" applyAlignment="1">
      <alignment vertical="center"/>
    </xf>
    <xf numFmtId="5" fontId="17" fillId="0" borderId="10" xfId="0" applyNumberFormat="1" applyFont="1" applyBorder="1" applyAlignment="1">
      <alignment horizontal="right" vertical="center" indent="1"/>
    </xf>
    <xf numFmtId="5" fontId="17" fillId="0" borderId="2" xfId="0" applyNumberFormat="1" applyFont="1" applyBorder="1" applyAlignment="1">
      <alignment horizontal="right" vertical="center" indent="1"/>
    </xf>
    <xf numFmtId="5" fontId="17" fillId="0" borderId="11" xfId="0" applyNumberFormat="1" applyFont="1" applyBorder="1" applyAlignment="1">
      <alignment horizontal="right" vertical="center" indent="1"/>
    </xf>
    <xf numFmtId="178" fontId="17" fillId="0" borderId="10" xfId="0" applyNumberFormat="1" applyFont="1" applyBorder="1" applyAlignment="1">
      <alignment vertical="center"/>
    </xf>
    <xf numFmtId="178" fontId="17" fillId="0" borderId="2" xfId="0" applyNumberFormat="1" applyFont="1" applyBorder="1" applyAlignment="1">
      <alignment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181" fontId="2" fillId="0" borderId="25" xfId="8" applyNumberFormat="1" applyBorder="1" applyAlignment="1">
      <alignment vertical="top"/>
    </xf>
    <xf numFmtId="181" fontId="2" fillId="0" borderId="26" xfId="8" applyNumberFormat="1" applyBorder="1" applyAlignment="1">
      <alignment vertical="top"/>
    </xf>
    <xf numFmtId="181" fontId="2" fillId="0" borderId="24" xfId="8" applyNumberFormat="1" applyBorder="1" applyAlignment="1">
      <alignment vertical="top"/>
    </xf>
    <xf numFmtId="0" fontId="2" fillId="0" borderId="22" xfId="8" applyBorder="1" applyAlignment="1">
      <alignment vertical="top" wrapText="1"/>
    </xf>
    <xf numFmtId="179" fontId="2" fillId="0" borderId="25" xfId="8" applyNumberFormat="1" applyBorder="1" applyAlignment="1">
      <alignment vertical="top"/>
    </xf>
    <xf numFmtId="179" fontId="2" fillId="0" borderId="26" xfId="8" applyNumberFormat="1" applyBorder="1" applyAlignment="1">
      <alignment vertical="top"/>
    </xf>
    <xf numFmtId="179" fontId="2" fillId="0" borderId="24" xfId="8" applyNumberFormat="1" applyBorder="1" applyAlignment="1">
      <alignment vertical="top"/>
    </xf>
    <xf numFmtId="0" fontId="25" fillId="5" borderId="22" xfId="8" applyFont="1" applyFill="1" applyBorder="1" applyAlignment="1">
      <alignment horizontal="center" vertical="top"/>
    </xf>
    <xf numFmtId="0" fontId="25" fillId="6" borderId="22" xfId="8" applyFont="1" applyFill="1" applyBorder="1" applyAlignment="1">
      <alignment horizontal="center" vertical="top"/>
    </xf>
    <xf numFmtId="0" fontId="2" fillId="0" borderId="22" xfId="8" applyBorder="1" applyAlignment="1">
      <alignment horizontal="center" vertical="top"/>
    </xf>
    <xf numFmtId="0" fontId="25" fillId="5" borderId="24" xfId="8" applyFont="1" applyFill="1" applyBorder="1" applyAlignment="1">
      <alignment horizontal="center" vertical="top"/>
    </xf>
    <xf numFmtId="0" fontId="25" fillId="6" borderId="24" xfId="8" applyFont="1" applyFill="1" applyBorder="1" applyAlignment="1">
      <alignment horizontal="center" vertical="top"/>
    </xf>
    <xf numFmtId="0" fontId="2" fillId="0" borderId="22" xfId="8" applyBorder="1" applyAlignment="1" applyProtection="1">
      <alignment vertical="center" wrapText="1"/>
      <protection locked="0"/>
    </xf>
  </cellXfs>
  <cellStyles count="10">
    <cellStyle name="通貨 2" xfId="7" xr:uid="{245C45A2-1ECF-4033-8CC4-7306DB1AD876}"/>
    <cellStyle name="通貨 3" xfId="9" xr:uid="{5F2BB7E0-3DC7-48ED-B14A-2231ECD53C9C}"/>
    <cellStyle name="標準" xfId="0" builtinId="0"/>
    <cellStyle name="標準 2" xfId="1" xr:uid="{00000000-0005-0000-0000-000001000000}"/>
    <cellStyle name="標準 2 2" xfId="2" xr:uid="{00000000-0005-0000-0000-000002000000}"/>
    <cellStyle name="標準 3" xfId="4" xr:uid="{00000000-0005-0000-0000-000003000000}"/>
    <cellStyle name="標準 4" xfId="6" xr:uid="{758FB977-965A-42CC-8BA4-C6D9EF011610}"/>
    <cellStyle name="標準 5" xfId="8" xr:uid="{6885E4B8-62DC-415F-B322-56B0F90BD1F5}"/>
    <cellStyle name="標準 6" xfId="3" xr:uid="{00000000-0005-0000-0000-000004000000}"/>
    <cellStyle name="標準 8" xfId="5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189770</xdr:colOff>
      <xdr:row>145</xdr:row>
      <xdr:rowOff>28575</xdr:rowOff>
    </xdr:from>
    <xdr:to>
      <xdr:col>29</xdr:col>
      <xdr:colOff>169500</xdr:colOff>
      <xdr:row>145</xdr:row>
      <xdr:rowOff>172575</xdr:rowOff>
    </xdr:to>
    <xdr:sp macro="" textlink="">
      <xdr:nvSpPr>
        <xdr:cNvPr id="2" name="ホームベース 120">
          <a:extLst>
            <a:ext uri="{FF2B5EF4-FFF2-40B4-BE49-F238E27FC236}">
              <a16:creationId xmlns:a16="http://schemas.microsoft.com/office/drawing/2014/main" id="{EAF96C3D-5527-4D6F-B2ED-D8865FA3FE22}"/>
            </a:ext>
          </a:extLst>
        </xdr:cNvPr>
        <xdr:cNvSpPr/>
      </xdr:nvSpPr>
      <xdr:spPr bwMode="auto">
        <a:xfrm>
          <a:off x="4533170" y="24793575"/>
          <a:ext cx="322630" cy="144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0</xdr:colOff>
      <xdr:row>145</xdr:row>
      <xdr:rowOff>30480</xdr:rowOff>
    </xdr:from>
    <xdr:to>
      <xdr:col>23</xdr:col>
      <xdr:colOff>169500</xdr:colOff>
      <xdr:row>145</xdr:row>
      <xdr:rowOff>174480</xdr:rowOff>
    </xdr:to>
    <xdr:sp macro="" textlink="">
      <xdr:nvSpPr>
        <xdr:cNvPr id="3" name="ホームベース 13">
          <a:extLst>
            <a:ext uri="{FF2B5EF4-FFF2-40B4-BE49-F238E27FC236}">
              <a16:creationId xmlns:a16="http://schemas.microsoft.com/office/drawing/2014/main" id="{E17FF601-53C9-466E-9FD2-9449541F1060}"/>
            </a:ext>
            <a:ext uri="{147F2762-F138-4A5C-976F-8EAC2B608ADB}">
              <a16:predDERef xmlns:a16="http://schemas.microsoft.com/office/drawing/2014/main" pred="{EAF96C3D-5527-4D6F-B2ED-D8865FA3FE22}"/>
            </a:ext>
          </a:extLst>
        </xdr:cNvPr>
        <xdr:cNvSpPr/>
      </xdr:nvSpPr>
      <xdr:spPr bwMode="auto">
        <a:xfrm>
          <a:off x="3562350" y="24795480"/>
          <a:ext cx="321900" cy="1440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38100</xdr:colOff>
      <xdr:row>129</xdr:row>
      <xdr:rowOff>38100</xdr:rowOff>
    </xdr:from>
    <xdr:to>
      <xdr:col>11</xdr:col>
      <xdr:colOff>60960</xdr:colOff>
      <xdr:row>130</xdr:row>
      <xdr:rowOff>141605</xdr:rowOff>
    </xdr:to>
    <xdr:sp macro="" textlink="">
      <xdr:nvSpPr>
        <xdr:cNvPr id="4" name="ホームベース 120">
          <a:extLst>
            <a:ext uri="{FF2B5EF4-FFF2-40B4-BE49-F238E27FC236}">
              <a16:creationId xmlns:a16="http://schemas.microsoft.com/office/drawing/2014/main" id="{7F6BCECB-8B26-46D4-BE15-703011097B4B}"/>
            </a:ext>
            <a:ext uri="{147F2762-F138-4A5C-976F-8EAC2B608ADB}">
              <a16:predDERef xmlns:a16="http://schemas.microsoft.com/office/drawing/2014/main" pred="{E17FF601-53C9-466E-9FD2-9449541F1060}"/>
            </a:ext>
          </a:extLst>
        </xdr:cNvPr>
        <xdr:cNvSpPr/>
      </xdr:nvSpPr>
      <xdr:spPr bwMode="auto">
        <a:xfrm>
          <a:off x="1495425" y="21755100"/>
          <a:ext cx="346710" cy="294005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53341</xdr:colOff>
      <xdr:row>133</xdr:row>
      <xdr:rowOff>48895</xdr:rowOff>
    </xdr:from>
    <xdr:to>
      <xdr:col>15</xdr:col>
      <xdr:colOff>60960</xdr:colOff>
      <xdr:row>134</xdr:row>
      <xdr:rowOff>152400</xdr:rowOff>
    </xdr:to>
    <xdr:sp macro="" textlink="">
      <xdr:nvSpPr>
        <xdr:cNvPr id="5" name="ホームベース 120">
          <a:extLst>
            <a:ext uri="{FF2B5EF4-FFF2-40B4-BE49-F238E27FC236}">
              <a16:creationId xmlns:a16="http://schemas.microsoft.com/office/drawing/2014/main" id="{F27E8065-4BD9-4F7F-A253-575B22FC1CEC}"/>
            </a:ext>
            <a:ext uri="{147F2762-F138-4A5C-976F-8EAC2B608ADB}">
              <a16:predDERef xmlns:a16="http://schemas.microsoft.com/office/drawing/2014/main" pred="{7F6BCECB-8B26-46D4-BE15-703011097B4B}"/>
            </a:ext>
          </a:extLst>
        </xdr:cNvPr>
        <xdr:cNvSpPr/>
      </xdr:nvSpPr>
      <xdr:spPr bwMode="auto">
        <a:xfrm>
          <a:off x="1834516" y="22527895"/>
          <a:ext cx="655319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60960</xdr:colOff>
      <xdr:row>135</xdr:row>
      <xdr:rowOff>38100</xdr:rowOff>
    </xdr:from>
    <xdr:to>
      <xdr:col>21</xdr:col>
      <xdr:colOff>15240</xdr:colOff>
      <xdr:row>136</xdr:row>
      <xdr:rowOff>144780</xdr:rowOff>
    </xdr:to>
    <xdr:sp macro="" textlink="">
      <xdr:nvSpPr>
        <xdr:cNvPr id="6" name="ホームベース 120">
          <a:extLst>
            <a:ext uri="{FF2B5EF4-FFF2-40B4-BE49-F238E27FC236}">
              <a16:creationId xmlns:a16="http://schemas.microsoft.com/office/drawing/2014/main" id="{76355DEF-9441-401F-8FE8-55915B5534FC}"/>
            </a:ext>
            <a:ext uri="{147F2762-F138-4A5C-976F-8EAC2B608ADB}">
              <a16:predDERef xmlns:a16="http://schemas.microsoft.com/office/drawing/2014/main" pred="{F27E8065-4BD9-4F7F-A253-575B22FC1CEC}"/>
            </a:ext>
          </a:extLst>
        </xdr:cNvPr>
        <xdr:cNvSpPr/>
      </xdr:nvSpPr>
      <xdr:spPr bwMode="auto">
        <a:xfrm>
          <a:off x="2489835" y="22898100"/>
          <a:ext cx="925830" cy="29718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38100</xdr:colOff>
      <xdr:row>137</xdr:row>
      <xdr:rowOff>48895</xdr:rowOff>
    </xdr:from>
    <xdr:to>
      <xdr:col>26</xdr:col>
      <xdr:colOff>137160</xdr:colOff>
      <xdr:row>138</xdr:row>
      <xdr:rowOff>152400</xdr:rowOff>
    </xdr:to>
    <xdr:sp macro="" textlink="">
      <xdr:nvSpPr>
        <xdr:cNvPr id="7" name="ホームベース 120">
          <a:extLst>
            <a:ext uri="{FF2B5EF4-FFF2-40B4-BE49-F238E27FC236}">
              <a16:creationId xmlns:a16="http://schemas.microsoft.com/office/drawing/2014/main" id="{1AAF469D-B502-42C8-BBB8-B42B8B5458F7}"/>
            </a:ext>
            <a:ext uri="{147F2762-F138-4A5C-976F-8EAC2B608ADB}">
              <a16:predDERef xmlns:a16="http://schemas.microsoft.com/office/drawing/2014/main" pred="{76355DEF-9441-401F-8FE8-55915B5534FC}"/>
            </a:ext>
          </a:extLst>
        </xdr:cNvPr>
        <xdr:cNvSpPr/>
      </xdr:nvSpPr>
      <xdr:spPr bwMode="auto">
        <a:xfrm>
          <a:off x="3438525" y="23289895"/>
          <a:ext cx="908685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139</xdr:row>
      <xdr:rowOff>48895</xdr:rowOff>
    </xdr:from>
    <xdr:to>
      <xdr:col>32</xdr:col>
      <xdr:colOff>45720</xdr:colOff>
      <xdr:row>140</xdr:row>
      <xdr:rowOff>140335</xdr:rowOff>
    </xdr:to>
    <xdr:sp macro="" textlink="">
      <xdr:nvSpPr>
        <xdr:cNvPr id="8" name="ホームベース 13">
          <a:extLst>
            <a:ext uri="{FF2B5EF4-FFF2-40B4-BE49-F238E27FC236}">
              <a16:creationId xmlns:a16="http://schemas.microsoft.com/office/drawing/2014/main" id="{11CE5603-FA01-416D-BEDD-88B4355AC61C}"/>
            </a:ext>
            <a:ext uri="{147F2762-F138-4A5C-976F-8EAC2B608ADB}">
              <a16:predDERef xmlns:a16="http://schemas.microsoft.com/office/drawing/2014/main" pred="{1AAF469D-B502-42C8-BBB8-B42B8B5458F7}"/>
            </a:ext>
          </a:extLst>
        </xdr:cNvPr>
        <xdr:cNvSpPr/>
      </xdr:nvSpPr>
      <xdr:spPr bwMode="auto">
        <a:xfrm>
          <a:off x="4556760" y="23670895"/>
          <a:ext cx="670560" cy="28194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38100</xdr:colOff>
      <xdr:row>143</xdr:row>
      <xdr:rowOff>38100</xdr:rowOff>
    </xdr:from>
    <xdr:to>
      <xdr:col>34</xdr:col>
      <xdr:colOff>152400</xdr:colOff>
      <xdr:row>144</xdr:row>
      <xdr:rowOff>141605</xdr:rowOff>
    </xdr:to>
    <xdr:sp macro="" textlink="">
      <xdr:nvSpPr>
        <xdr:cNvPr id="9" name="ホームベース 120">
          <a:extLst>
            <a:ext uri="{FF2B5EF4-FFF2-40B4-BE49-F238E27FC236}">
              <a16:creationId xmlns:a16="http://schemas.microsoft.com/office/drawing/2014/main" id="{7EB28DCE-32C0-4332-BA47-BE3C2FB9B6AB}"/>
            </a:ext>
            <a:ext uri="{147F2762-F138-4A5C-976F-8EAC2B608ADB}">
              <a16:predDERef xmlns:a16="http://schemas.microsoft.com/office/drawing/2014/main" pred="{11CE5603-FA01-416D-BEDD-88B4355AC61C}"/>
            </a:ext>
          </a:extLst>
        </xdr:cNvPr>
        <xdr:cNvSpPr/>
      </xdr:nvSpPr>
      <xdr:spPr bwMode="auto">
        <a:xfrm>
          <a:off x="5381625" y="24422100"/>
          <a:ext cx="276225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141</xdr:row>
      <xdr:rowOff>48895</xdr:rowOff>
    </xdr:from>
    <xdr:to>
      <xdr:col>32</xdr:col>
      <xdr:colOff>45720</xdr:colOff>
      <xdr:row>142</xdr:row>
      <xdr:rowOff>140335</xdr:rowOff>
    </xdr:to>
    <xdr:sp macro="" textlink="">
      <xdr:nvSpPr>
        <xdr:cNvPr id="10" name="ホームベース 13">
          <a:extLst>
            <a:ext uri="{FF2B5EF4-FFF2-40B4-BE49-F238E27FC236}">
              <a16:creationId xmlns:a16="http://schemas.microsoft.com/office/drawing/2014/main" id="{337B700A-6354-46B5-972F-EDF772D4E98A}"/>
            </a:ext>
            <a:ext uri="{147F2762-F138-4A5C-976F-8EAC2B608ADB}">
              <a16:predDERef xmlns:a16="http://schemas.microsoft.com/office/drawing/2014/main" pred="{7EB28DCE-32C0-4332-BA47-BE3C2FB9B6AB}"/>
            </a:ext>
          </a:extLst>
        </xdr:cNvPr>
        <xdr:cNvSpPr/>
      </xdr:nvSpPr>
      <xdr:spPr bwMode="auto">
        <a:xfrm>
          <a:off x="4556760" y="24051895"/>
          <a:ext cx="670560" cy="28194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38100</xdr:colOff>
      <xdr:row>131</xdr:row>
      <xdr:rowOff>38100</xdr:rowOff>
    </xdr:from>
    <xdr:to>
      <xdr:col>11</xdr:col>
      <xdr:colOff>60960</xdr:colOff>
      <xdr:row>132</xdr:row>
      <xdr:rowOff>141605</xdr:rowOff>
    </xdr:to>
    <xdr:sp macro="" textlink="">
      <xdr:nvSpPr>
        <xdr:cNvPr id="11" name="ホームベース 120">
          <a:extLst>
            <a:ext uri="{FF2B5EF4-FFF2-40B4-BE49-F238E27FC236}">
              <a16:creationId xmlns:a16="http://schemas.microsoft.com/office/drawing/2014/main" id="{3B02D68B-4A7C-429B-825A-4FF4A3048788}"/>
            </a:ext>
            <a:ext uri="{147F2762-F138-4A5C-976F-8EAC2B608ADB}">
              <a16:predDERef xmlns:a16="http://schemas.microsoft.com/office/drawing/2014/main" pred="{337B700A-6354-46B5-972F-EDF772D4E98A}"/>
            </a:ext>
          </a:extLst>
        </xdr:cNvPr>
        <xdr:cNvSpPr/>
      </xdr:nvSpPr>
      <xdr:spPr bwMode="auto">
        <a:xfrm>
          <a:off x="1495425" y="22136100"/>
          <a:ext cx="34671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189770</xdr:colOff>
      <xdr:row>106</xdr:row>
      <xdr:rowOff>28575</xdr:rowOff>
    </xdr:from>
    <xdr:to>
      <xdr:col>29</xdr:col>
      <xdr:colOff>169500</xdr:colOff>
      <xdr:row>106</xdr:row>
      <xdr:rowOff>172575</xdr:rowOff>
    </xdr:to>
    <xdr:sp macro="" textlink="">
      <xdr:nvSpPr>
        <xdr:cNvPr id="16" name="ホームベース 12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 bwMode="auto">
        <a:xfrm>
          <a:off x="4693190" y="17066895"/>
          <a:ext cx="337870" cy="144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0</xdr:colOff>
      <xdr:row>106</xdr:row>
      <xdr:rowOff>30480</xdr:rowOff>
    </xdr:from>
    <xdr:to>
      <xdr:col>23</xdr:col>
      <xdr:colOff>169500</xdr:colOff>
      <xdr:row>106</xdr:row>
      <xdr:rowOff>174480</xdr:rowOff>
    </xdr:to>
    <xdr:sp macro="" textlink="">
      <xdr:nvSpPr>
        <xdr:cNvPr id="17" name="ホームベース 1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3688080" y="17068800"/>
          <a:ext cx="337140" cy="1440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173181</xdr:colOff>
      <xdr:row>88</xdr:row>
      <xdr:rowOff>1</xdr:rowOff>
    </xdr:from>
    <xdr:to>
      <xdr:col>11</xdr:col>
      <xdr:colOff>0</xdr:colOff>
      <xdr:row>89</xdr:row>
      <xdr:rowOff>1</xdr:rowOff>
    </xdr:to>
    <xdr:sp macro="" textlink="">
      <xdr:nvSpPr>
        <xdr:cNvPr id="22" name="ホームベース 12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 bwMode="auto">
        <a:xfrm>
          <a:off x="1558636" y="27877944"/>
          <a:ext cx="346364" cy="190500"/>
        </a:xfrm>
        <a:prstGeom prst="homePlate">
          <a:avLst>
            <a:gd name="adj" fmla="val 53649"/>
          </a:avLst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168518</xdr:colOff>
      <xdr:row>93</xdr:row>
      <xdr:rowOff>1</xdr:rowOff>
    </xdr:from>
    <xdr:to>
      <xdr:col>21</xdr:col>
      <xdr:colOff>168518</xdr:colOff>
      <xdr:row>94</xdr:row>
      <xdr:rowOff>1</xdr:rowOff>
    </xdr:to>
    <xdr:sp macro="" textlink="">
      <xdr:nvSpPr>
        <xdr:cNvPr id="24" name="ホームベース 12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2190749" y="28457770"/>
          <a:ext cx="1516673" cy="1905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168518</xdr:colOff>
      <xdr:row>96</xdr:row>
      <xdr:rowOff>9525</xdr:rowOff>
    </xdr:from>
    <xdr:to>
      <xdr:col>27</xdr:col>
      <xdr:colOff>168518</xdr:colOff>
      <xdr:row>97</xdr:row>
      <xdr:rowOff>0</xdr:rowOff>
    </xdr:to>
    <xdr:sp macro="" textlink="">
      <xdr:nvSpPr>
        <xdr:cNvPr id="25" name="ホームベース 12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3707422" y="28789679"/>
          <a:ext cx="1011115" cy="18097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3</xdr:colOff>
      <xdr:row>99</xdr:row>
      <xdr:rowOff>3175</xdr:rowOff>
    </xdr:from>
    <xdr:to>
      <xdr:col>33</xdr:col>
      <xdr:colOff>0</xdr:colOff>
      <xdr:row>99</xdr:row>
      <xdr:rowOff>190500</xdr:rowOff>
    </xdr:to>
    <xdr:sp macro="" textlink="">
      <xdr:nvSpPr>
        <xdr:cNvPr id="26" name="ホームベース 1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4718541" y="29105713"/>
          <a:ext cx="1179632" cy="187325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0</xdr:colOff>
      <xdr:row>104</xdr:row>
      <xdr:rowOff>3175</xdr:rowOff>
    </xdr:from>
    <xdr:to>
      <xdr:col>35</xdr:col>
      <xdr:colOff>0</xdr:colOff>
      <xdr:row>105</xdr:row>
      <xdr:rowOff>1</xdr:rowOff>
    </xdr:to>
    <xdr:sp macro="" textlink="">
      <xdr:nvSpPr>
        <xdr:cNvPr id="27" name="ホームベース 12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5715000" y="29993936"/>
          <a:ext cx="346364" cy="187326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</xdr:colOff>
      <xdr:row>101</xdr:row>
      <xdr:rowOff>0</xdr:rowOff>
    </xdr:from>
    <xdr:to>
      <xdr:col>33</xdr:col>
      <xdr:colOff>0</xdr:colOff>
      <xdr:row>102</xdr:row>
      <xdr:rowOff>0</xdr:rowOff>
    </xdr:to>
    <xdr:sp macro="" textlink="">
      <xdr:nvSpPr>
        <xdr:cNvPr id="2" name="ホームベース 13">
          <a:extLst>
            <a:ext uri="{FF2B5EF4-FFF2-40B4-BE49-F238E27FC236}">
              <a16:creationId xmlns:a16="http://schemas.microsoft.com/office/drawing/2014/main" id="{C7E78DE1-C5C6-4D8F-875D-EFCC9E77BA16}"/>
            </a:ext>
          </a:extLst>
        </xdr:cNvPr>
        <xdr:cNvSpPr/>
      </xdr:nvSpPr>
      <xdr:spPr bwMode="auto">
        <a:xfrm>
          <a:off x="4718540" y="29358981"/>
          <a:ext cx="1179633" cy="1905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0</xdr:colOff>
      <xdr:row>90</xdr:row>
      <xdr:rowOff>6350</xdr:rowOff>
    </xdr:from>
    <xdr:to>
      <xdr:col>13</xdr:col>
      <xdr:colOff>0</xdr:colOff>
      <xdr:row>91</xdr:row>
      <xdr:rowOff>0</xdr:rowOff>
    </xdr:to>
    <xdr:sp macro="" textlink="">
      <xdr:nvSpPr>
        <xdr:cNvPr id="3" name="ホームベース 120">
          <a:extLst>
            <a:ext uri="{FF2B5EF4-FFF2-40B4-BE49-F238E27FC236}">
              <a16:creationId xmlns:a16="http://schemas.microsoft.com/office/drawing/2014/main" id="{A1AD004D-3B77-4746-8D88-3DF519038A8A}"/>
            </a:ext>
          </a:extLst>
        </xdr:cNvPr>
        <xdr:cNvSpPr/>
      </xdr:nvSpPr>
      <xdr:spPr bwMode="auto">
        <a:xfrm>
          <a:off x="1543050" y="28147010"/>
          <a:ext cx="685800" cy="18415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</xdr:colOff>
      <xdr:row>2</xdr:row>
      <xdr:rowOff>0</xdr:rowOff>
    </xdr:from>
    <xdr:to>
      <xdr:col>22</xdr:col>
      <xdr:colOff>0</xdr:colOff>
      <xdr:row>3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EE8532F-E2DD-4A40-95E1-B7B2014B5F25}"/>
            </a:ext>
          </a:extLst>
        </xdr:cNvPr>
        <xdr:cNvSpPr/>
      </xdr:nvSpPr>
      <xdr:spPr>
        <a:xfrm>
          <a:off x="15443201" y="685800"/>
          <a:ext cx="2412999" cy="13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CAB1EAE-EF7E-4826-987B-395E70C988A2}"/>
            </a:ext>
          </a:extLst>
        </xdr:cNvPr>
        <xdr:cNvSpPr/>
      </xdr:nvSpPr>
      <xdr:spPr>
        <a:xfrm>
          <a:off x="17856200" y="2082800"/>
          <a:ext cx="2895600" cy="13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0</xdr:colOff>
      <xdr:row>4</xdr:row>
      <xdr:rowOff>0</xdr:rowOff>
    </xdr:from>
    <xdr:to>
      <xdr:col>34</xdr:col>
      <xdr:colOff>0</xdr:colOff>
      <xdr:row>5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D304B94-0169-4A20-9633-133599FF2473}"/>
            </a:ext>
          </a:extLst>
        </xdr:cNvPr>
        <xdr:cNvSpPr/>
      </xdr:nvSpPr>
      <xdr:spPr>
        <a:xfrm>
          <a:off x="20751800" y="3479800"/>
          <a:ext cx="2895600" cy="13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BA5E-82C9-4B87-9C66-3D5BECACC5C8}">
  <dimension ref="A1:AK190"/>
  <sheetViews>
    <sheetView showGridLines="0" view="pageBreakPreview" topLeftCell="A40" zoomScaleNormal="100" zoomScaleSheetLayoutView="100" workbookViewId="0">
      <selection activeCell="AD58" sqref="AD58"/>
    </sheetView>
  </sheetViews>
  <sheetFormatPr defaultColWidth="2.453125" defaultRowHeight="15" customHeight="1" x14ac:dyDescent="0.2"/>
  <cols>
    <col min="1" max="1" width="2.453125" style="3"/>
    <col min="2" max="27" width="2.453125" style="4"/>
    <col min="28" max="28" width="2.453125" style="4" customWidth="1"/>
    <col min="29" max="38" width="2.90625" style="4" customWidth="1"/>
    <col min="39" max="39" width="3.453125" style="4" bestFit="1" customWidth="1"/>
    <col min="40" max="16384" width="2.453125" style="4"/>
  </cols>
  <sheetData>
    <row r="1" spans="1:37" s="1" customFormat="1" ht="15" customHeight="1" x14ac:dyDescent="0.2">
      <c r="A1" s="154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 x14ac:dyDescent="0.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Y2" s="11" t="s">
        <v>3</v>
      </c>
      <c r="Z2" s="11"/>
      <c r="AA2" s="11"/>
      <c r="AB2" s="11"/>
      <c r="AC2" s="11"/>
      <c r="AD2" s="11"/>
      <c r="AE2" s="11"/>
      <c r="AF2" s="155">
        <v>45873</v>
      </c>
      <c r="AG2" s="156"/>
      <c r="AH2" s="156"/>
      <c r="AI2" s="156"/>
      <c r="AJ2" s="156"/>
      <c r="AK2" s="4"/>
    </row>
    <row r="3" spans="1:37" s="1" customFormat="1" ht="15" customHeight="1" x14ac:dyDescent="0.2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 x14ac:dyDescent="0.2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 x14ac:dyDescent="0.2">
      <c r="A5" s="157" t="s">
        <v>4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 x14ac:dyDescent="0.2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 x14ac:dyDescent="0.2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 x14ac:dyDescent="0.2">
      <c r="A9" s="159" t="s">
        <v>5</v>
      </c>
      <c r="B9" s="159"/>
      <c r="C9" s="159"/>
      <c r="D9" s="159"/>
      <c r="E9" s="159"/>
      <c r="F9" s="161">
        <f>AE44</f>
        <v>5010000</v>
      </c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 x14ac:dyDescent="0.2">
      <c r="A10" s="160"/>
      <c r="B10" s="160"/>
      <c r="C10" s="160"/>
      <c r="D10" s="160"/>
      <c r="E10" s="160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 x14ac:dyDescent="0.2">
      <c r="A11" s="2"/>
    </row>
    <row r="12" spans="1:37" s="1" customFormat="1" ht="15" customHeight="1" x14ac:dyDescent="0.2">
      <c r="A12" s="2"/>
    </row>
    <row r="13" spans="1:37" ht="15" customHeight="1" x14ac:dyDescent="0.2">
      <c r="A13" s="3" t="s">
        <v>6</v>
      </c>
    </row>
    <row r="15" spans="1:37" ht="15" customHeight="1" x14ac:dyDescent="0.2">
      <c r="B15" s="4" t="s">
        <v>7</v>
      </c>
    </row>
    <row r="18" spans="1:16" ht="15" customHeight="1" x14ac:dyDescent="0.2">
      <c r="A18" s="4"/>
    </row>
    <row r="19" spans="1:16" ht="15" customHeight="1" x14ac:dyDescent="0.2">
      <c r="A19" s="3" t="s">
        <v>8</v>
      </c>
      <c r="P19" s="3"/>
    </row>
    <row r="20" spans="1:16" ht="15" customHeight="1" x14ac:dyDescent="0.2">
      <c r="A20" s="4"/>
    </row>
    <row r="21" spans="1:16" ht="15" customHeight="1" x14ac:dyDescent="0.2">
      <c r="A21" s="4"/>
      <c r="B21" s="4" t="s">
        <v>9</v>
      </c>
    </row>
    <row r="22" spans="1:16" ht="15" customHeight="1" x14ac:dyDescent="0.2">
      <c r="A22" s="4"/>
    </row>
    <row r="23" spans="1:16" ht="15" customHeight="1" x14ac:dyDescent="0.2">
      <c r="A23" s="4"/>
    </row>
    <row r="24" spans="1:16" ht="15" customHeight="1" x14ac:dyDescent="0.2">
      <c r="A24" s="3" t="s">
        <v>10</v>
      </c>
    </row>
    <row r="25" spans="1:16" ht="15" customHeight="1" x14ac:dyDescent="0.2">
      <c r="A25" s="4"/>
    </row>
    <row r="26" spans="1:16" ht="15" customHeight="1" x14ac:dyDescent="0.2">
      <c r="A26" s="4"/>
      <c r="B26" s="4" t="s">
        <v>11</v>
      </c>
    </row>
    <row r="27" spans="1:16" ht="15" customHeight="1" x14ac:dyDescent="0.2">
      <c r="A27" s="4"/>
    </row>
    <row r="28" spans="1:16" ht="15" customHeight="1" x14ac:dyDescent="0.2">
      <c r="A28" s="4"/>
    </row>
    <row r="29" spans="1:16" ht="15" customHeight="1" x14ac:dyDescent="0.2">
      <c r="A29" s="3" t="s">
        <v>12</v>
      </c>
    </row>
    <row r="31" spans="1:16" ht="15" customHeight="1" x14ac:dyDescent="0.2">
      <c r="A31" s="4"/>
      <c r="B31" s="4" t="s">
        <v>110</v>
      </c>
    </row>
    <row r="32" spans="1:16" ht="15" customHeight="1" x14ac:dyDescent="0.2">
      <c r="A32" s="4"/>
    </row>
    <row r="33" spans="1:36" ht="15" customHeight="1" x14ac:dyDescent="0.2">
      <c r="A33" s="4"/>
    </row>
    <row r="34" spans="1:36" ht="15" customHeight="1" x14ac:dyDescent="0.2">
      <c r="A34" s="3" t="s">
        <v>13</v>
      </c>
    </row>
    <row r="35" spans="1:36" ht="15" customHeight="1" x14ac:dyDescent="0.2">
      <c r="A35" s="4"/>
    </row>
    <row r="36" spans="1:36" ht="15" customHeight="1" x14ac:dyDescent="0.2">
      <c r="A36" s="4"/>
      <c r="B36" s="5" t="s">
        <v>14</v>
      </c>
      <c r="C36" s="6"/>
      <c r="D36" s="151" t="s">
        <v>15</v>
      </c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2" t="s">
        <v>16</v>
      </c>
      <c r="AF36" s="137"/>
      <c r="AG36" s="137"/>
      <c r="AH36" s="137"/>
      <c r="AI36" s="137"/>
      <c r="AJ36" s="153"/>
    </row>
    <row r="37" spans="1:36" ht="15" customHeight="1" x14ac:dyDescent="0.2">
      <c r="A37" s="4"/>
      <c r="B37" s="138">
        <v>1</v>
      </c>
      <c r="C37" s="139"/>
      <c r="D37" s="42" t="s">
        <v>17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9"/>
      <c r="AE37" s="140">
        <v>250000</v>
      </c>
      <c r="AF37" s="141"/>
      <c r="AG37" s="141"/>
      <c r="AH37" s="141"/>
      <c r="AI37" s="141"/>
      <c r="AJ37" s="142"/>
    </row>
    <row r="38" spans="1:36" ht="15" customHeight="1" x14ac:dyDescent="0.2">
      <c r="A38" s="4"/>
      <c r="B38" s="138">
        <v>2</v>
      </c>
      <c r="C38" s="139"/>
      <c r="D38" s="42" t="s">
        <v>18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9"/>
      <c r="AE38" s="140">
        <v>750000</v>
      </c>
      <c r="AF38" s="141"/>
      <c r="AG38" s="141"/>
      <c r="AH38" s="141"/>
      <c r="AI38" s="141"/>
      <c r="AJ38" s="142"/>
    </row>
    <row r="39" spans="1:36" ht="15" customHeight="1" x14ac:dyDescent="0.2">
      <c r="A39" s="4"/>
      <c r="B39" s="138">
        <v>3</v>
      </c>
      <c r="C39" s="139"/>
      <c r="D39" s="42" t="s">
        <v>19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9"/>
      <c r="AE39" s="140">
        <v>1500000</v>
      </c>
      <c r="AF39" s="141"/>
      <c r="AG39" s="141"/>
      <c r="AH39" s="141"/>
      <c r="AI39" s="141"/>
      <c r="AJ39" s="142"/>
    </row>
    <row r="40" spans="1:36" ht="15" customHeight="1" x14ac:dyDescent="0.2">
      <c r="A40" s="4"/>
      <c r="B40" s="138">
        <v>4</v>
      </c>
      <c r="C40" s="139"/>
      <c r="D40" s="42" t="s">
        <v>20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9"/>
      <c r="AE40" s="140">
        <v>1200000</v>
      </c>
      <c r="AF40" s="141"/>
      <c r="AG40" s="141"/>
      <c r="AH40" s="141"/>
      <c r="AI40" s="141"/>
      <c r="AJ40" s="142"/>
    </row>
    <row r="41" spans="1:36" ht="15" customHeight="1" x14ac:dyDescent="0.2">
      <c r="A41" s="4"/>
      <c r="B41" s="138">
        <v>5</v>
      </c>
      <c r="C41" s="139"/>
      <c r="D41" s="42" t="s">
        <v>21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  <c r="AE41" s="140">
        <v>300000</v>
      </c>
      <c r="AF41" s="141"/>
      <c r="AG41" s="141"/>
      <c r="AH41" s="141"/>
      <c r="AI41" s="141"/>
      <c r="AJ41" s="142"/>
    </row>
    <row r="42" spans="1:36" ht="15" customHeight="1" x14ac:dyDescent="0.2">
      <c r="A42" s="4"/>
      <c r="B42" s="138">
        <v>6</v>
      </c>
      <c r="C42" s="139"/>
      <c r="D42" s="42" t="s">
        <v>22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  <c r="AE42" s="140">
        <v>100000</v>
      </c>
      <c r="AF42" s="141"/>
      <c r="AG42" s="141"/>
      <c r="AH42" s="141"/>
      <c r="AI42" s="141"/>
      <c r="AJ42" s="142"/>
    </row>
    <row r="43" spans="1:36" ht="15" customHeight="1" x14ac:dyDescent="0.2">
      <c r="A43" s="4"/>
      <c r="B43" s="138">
        <v>7</v>
      </c>
      <c r="C43" s="139"/>
      <c r="D43" s="42" t="s">
        <v>23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1"/>
      <c r="AE43" s="140">
        <v>910000</v>
      </c>
      <c r="AF43" s="141"/>
      <c r="AG43" s="141"/>
      <c r="AH43" s="141"/>
      <c r="AI43" s="141"/>
      <c r="AJ43" s="142"/>
    </row>
    <row r="44" spans="1:36" ht="15" customHeight="1" x14ac:dyDescent="0.2">
      <c r="A44" s="4"/>
      <c r="B44" s="143" t="s">
        <v>24</v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5"/>
      <c r="AE44" s="146">
        <f>SUM(AE37:AJ43)</f>
        <v>5010000</v>
      </c>
      <c r="AF44" s="146"/>
      <c r="AG44" s="146"/>
      <c r="AH44" s="146"/>
      <c r="AI44" s="146"/>
      <c r="AJ44" s="146"/>
    </row>
    <row r="45" spans="1:36" ht="15" customHeight="1" x14ac:dyDescent="0.2">
      <c r="A45" s="4"/>
      <c r="AB45" s="13"/>
    </row>
    <row r="46" spans="1:36" ht="15" customHeight="1" x14ac:dyDescent="0.2">
      <c r="A46" s="4"/>
      <c r="AB46" s="13"/>
    </row>
    <row r="47" spans="1:36" ht="15" customHeight="1" x14ac:dyDescent="0.2">
      <c r="A47" s="3" t="s">
        <v>25</v>
      </c>
    </row>
    <row r="49" spans="1:24" ht="15" customHeight="1" x14ac:dyDescent="0.2">
      <c r="A49" s="4"/>
      <c r="B49" s="43" t="s">
        <v>26</v>
      </c>
      <c r="C49" s="4" t="s">
        <v>27</v>
      </c>
      <c r="K49" s="43" t="s">
        <v>26</v>
      </c>
      <c r="L49" s="4" t="s">
        <v>28</v>
      </c>
    </row>
    <row r="50" spans="1:24" ht="15" customHeight="1" x14ac:dyDescent="0.2">
      <c r="A50" s="4"/>
      <c r="B50" s="43" t="s">
        <v>26</v>
      </c>
      <c r="C50" s="4" t="s">
        <v>29</v>
      </c>
      <c r="K50" s="4" t="s">
        <v>26</v>
      </c>
      <c r="L50" s="4" t="s">
        <v>30</v>
      </c>
    </row>
    <row r="51" spans="1:24" ht="15" customHeight="1" x14ac:dyDescent="0.2">
      <c r="A51" s="4"/>
    </row>
    <row r="53" spans="1:24" ht="15" customHeight="1" x14ac:dyDescent="0.2">
      <c r="A53" s="56" t="s">
        <v>113</v>
      </c>
      <c r="B53" s="57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</row>
    <row r="54" spans="1:24" ht="15" customHeight="1" x14ac:dyDescent="0.2">
      <c r="A54" s="55"/>
      <c r="B54" s="57" t="s">
        <v>114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 spans="1:24" ht="15" customHeight="1" x14ac:dyDescent="0.2">
      <c r="A55" s="55"/>
      <c r="B55" s="57"/>
      <c r="C55" s="58" t="s">
        <v>115</v>
      </c>
      <c r="D55" s="55" t="s">
        <v>118</v>
      </c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</row>
    <row r="56" spans="1:24" ht="15" customHeight="1" x14ac:dyDescent="0.2">
      <c r="A56" s="55"/>
      <c r="B56" s="57"/>
      <c r="C56" s="58" t="s">
        <v>116</v>
      </c>
      <c r="D56" s="55" t="s">
        <v>119</v>
      </c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</row>
    <row r="57" spans="1:24" ht="15" customHeight="1" x14ac:dyDescent="0.2">
      <c r="A57" s="55"/>
      <c r="B57" s="57"/>
      <c r="C57" s="58" t="s">
        <v>117</v>
      </c>
      <c r="D57" s="55" t="s">
        <v>120</v>
      </c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</row>
    <row r="58" spans="1:24" ht="15" customHeight="1" x14ac:dyDescent="0.2">
      <c r="A58" s="55"/>
      <c r="B58" s="57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</row>
    <row r="59" spans="1:24" ht="15" customHeight="1" x14ac:dyDescent="0.2">
      <c r="A59" s="55"/>
      <c r="B59" s="57" t="s">
        <v>121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</row>
    <row r="60" spans="1:24" ht="15" customHeight="1" x14ac:dyDescent="0.2">
      <c r="A60" s="55"/>
      <c r="B60" s="57"/>
      <c r="C60" s="58" t="s">
        <v>115</v>
      </c>
      <c r="D60" s="55" t="s">
        <v>122</v>
      </c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</row>
    <row r="61" spans="1:24" ht="15" customHeight="1" x14ac:dyDescent="0.2">
      <c r="A61" s="55"/>
      <c r="B61" s="57"/>
      <c r="C61" s="58" t="s">
        <v>116</v>
      </c>
      <c r="D61" s="55" t="s">
        <v>123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</row>
    <row r="62" spans="1:24" ht="15" customHeight="1" x14ac:dyDescent="0.2">
      <c r="A62" s="4"/>
      <c r="B62" s="8"/>
    </row>
    <row r="63" spans="1:24" ht="15" customHeight="1" x14ac:dyDescent="0.2">
      <c r="A63" s="4"/>
      <c r="B63" s="8"/>
    </row>
    <row r="64" spans="1:24" ht="15" customHeight="1" x14ac:dyDescent="0.2">
      <c r="A64" s="3" t="s">
        <v>31</v>
      </c>
    </row>
    <row r="65" spans="2:21" ht="15" customHeight="1" x14ac:dyDescent="0.2">
      <c r="B65" s="8" t="s">
        <v>114</v>
      </c>
    </row>
    <row r="66" spans="2:21" ht="15" customHeight="1" x14ac:dyDescent="0.2">
      <c r="C66" s="17" t="s">
        <v>115</v>
      </c>
      <c r="D66" s="4" t="s">
        <v>118</v>
      </c>
    </row>
    <row r="67" spans="2:21" ht="15" customHeight="1" x14ac:dyDescent="0.2">
      <c r="C67" s="17"/>
      <c r="D67" s="55" t="s">
        <v>124</v>
      </c>
      <c r="E67" s="55"/>
      <c r="F67" s="55"/>
      <c r="G67" s="55"/>
      <c r="H67" s="55"/>
      <c r="I67" s="55"/>
      <c r="J67" s="55"/>
      <c r="K67" s="55"/>
      <c r="L67" s="55"/>
      <c r="M67" s="55"/>
    </row>
    <row r="68" spans="2:21" ht="15" customHeight="1" x14ac:dyDescent="0.2">
      <c r="E68" s="4" t="s">
        <v>125</v>
      </c>
    </row>
    <row r="69" spans="2:21" ht="15" customHeight="1" x14ac:dyDescent="0.2">
      <c r="E69" s="4" t="s">
        <v>126</v>
      </c>
    </row>
    <row r="70" spans="2:21" ht="15" customHeight="1" x14ac:dyDescent="0.2">
      <c r="D70" s="55" t="s">
        <v>34</v>
      </c>
      <c r="E70" s="55"/>
      <c r="F70" s="55"/>
      <c r="G70" s="55"/>
      <c r="H70" s="55"/>
      <c r="I70" s="55"/>
      <c r="J70" s="55"/>
      <c r="K70" s="55"/>
      <c r="L70" s="55"/>
      <c r="M70" s="55"/>
    </row>
    <row r="71" spans="2:21" ht="15" customHeight="1" x14ac:dyDescent="0.2">
      <c r="D71" s="55"/>
      <c r="E71" s="55" t="s">
        <v>129</v>
      </c>
      <c r="F71" s="55"/>
      <c r="G71" s="55"/>
      <c r="H71" s="55"/>
      <c r="I71" s="55"/>
      <c r="J71" s="55"/>
      <c r="K71" s="55"/>
      <c r="L71" s="55"/>
      <c r="M71" s="55"/>
    </row>
    <row r="72" spans="2:21" ht="15" customHeight="1" x14ac:dyDescent="0.2">
      <c r="D72" s="55" t="s">
        <v>127</v>
      </c>
      <c r="E72" s="55"/>
      <c r="F72" s="55"/>
      <c r="G72" s="55"/>
      <c r="H72" s="55"/>
      <c r="I72" s="55"/>
      <c r="J72" s="55"/>
      <c r="K72" s="55"/>
      <c r="L72" s="55"/>
      <c r="M72" s="55"/>
    </row>
    <row r="73" spans="2:21" ht="15" customHeight="1" x14ac:dyDescent="0.2">
      <c r="E73" s="55" t="s">
        <v>128</v>
      </c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</row>
    <row r="74" spans="2:21" ht="15" customHeight="1" x14ac:dyDescent="0.2">
      <c r="C74" s="17" t="s">
        <v>116</v>
      </c>
      <c r="D74" s="4" t="s">
        <v>119</v>
      </c>
    </row>
    <row r="75" spans="2:21" ht="15" customHeight="1" x14ac:dyDescent="0.2">
      <c r="D75" s="4" t="s">
        <v>92</v>
      </c>
    </row>
    <row r="77" spans="2:21" ht="15" customHeight="1" x14ac:dyDescent="0.2">
      <c r="C77" s="17" t="s">
        <v>117</v>
      </c>
      <c r="D77" s="4" t="s">
        <v>120</v>
      </c>
    </row>
    <row r="78" spans="2:21" ht="15" customHeight="1" x14ac:dyDescent="0.2">
      <c r="D78" s="4" t="s">
        <v>93</v>
      </c>
    </row>
    <row r="79" spans="2:21" ht="15" customHeight="1" x14ac:dyDescent="0.2">
      <c r="D79" s="4" t="s">
        <v>94</v>
      </c>
    </row>
    <row r="81" spans="2:13" ht="15" customHeight="1" x14ac:dyDescent="0.2">
      <c r="B81" s="8" t="s">
        <v>121</v>
      </c>
    </row>
    <row r="82" spans="2:13" ht="15" customHeight="1" x14ac:dyDescent="0.2">
      <c r="B82" s="8"/>
      <c r="C82" s="17" t="s">
        <v>115</v>
      </c>
      <c r="D82" s="4" t="s">
        <v>122</v>
      </c>
    </row>
    <row r="83" spans="2:13" ht="15" customHeight="1" x14ac:dyDescent="0.2">
      <c r="D83" s="55" t="s">
        <v>32</v>
      </c>
      <c r="E83" s="55"/>
      <c r="F83" s="55"/>
      <c r="G83" s="55"/>
      <c r="H83" s="55"/>
      <c r="I83" s="55"/>
      <c r="J83" s="55"/>
      <c r="K83" s="55"/>
      <c r="L83" s="55"/>
      <c r="M83" s="55"/>
    </row>
    <row r="84" spans="2:13" ht="15" customHeight="1" x14ac:dyDescent="0.2">
      <c r="E84" s="4" t="s">
        <v>89</v>
      </c>
    </row>
    <row r="85" spans="2:13" ht="15" customHeight="1" x14ac:dyDescent="0.2">
      <c r="E85" s="4" t="s">
        <v>33</v>
      </c>
    </row>
    <row r="86" spans="2:13" ht="15" customHeight="1" x14ac:dyDescent="0.2">
      <c r="E86" s="4" t="s">
        <v>95</v>
      </c>
    </row>
    <row r="87" spans="2:13" ht="15" customHeight="1" x14ac:dyDescent="0.2">
      <c r="E87" s="4" t="s">
        <v>96</v>
      </c>
    </row>
    <row r="88" spans="2:13" ht="15" customHeight="1" x14ac:dyDescent="0.2">
      <c r="E88" s="4" t="s">
        <v>97</v>
      </c>
    </row>
    <row r="89" spans="2:13" ht="15" customHeight="1" x14ac:dyDescent="0.2">
      <c r="E89" s="4" t="s">
        <v>98</v>
      </c>
    </row>
    <row r="90" spans="2:13" ht="15" customHeight="1" x14ac:dyDescent="0.2">
      <c r="E90" s="4" t="s">
        <v>100</v>
      </c>
    </row>
    <row r="91" spans="2:13" ht="15" customHeight="1" x14ac:dyDescent="0.2">
      <c r="D91" s="55" t="s">
        <v>34</v>
      </c>
      <c r="E91" s="55"/>
      <c r="F91" s="55"/>
      <c r="G91" s="55"/>
      <c r="H91" s="55"/>
      <c r="I91" s="55"/>
      <c r="J91" s="55"/>
      <c r="K91" s="55"/>
      <c r="L91" s="55"/>
    </row>
    <row r="92" spans="2:13" ht="15" customHeight="1" x14ac:dyDescent="0.2">
      <c r="E92" s="4" t="s">
        <v>99</v>
      </c>
    </row>
    <row r="93" spans="2:13" ht="15" customHeight="1" x14ac:dyDescent="0.2">
      <c r="E93" s="14" t="s">
        <v>95</v>
      </c>
      <c r="F93" s="14"/>
      <c r="G93" s="14"/>
      <c r="H93" s="14"/>
      <c r="I93" s="14"/>
    </row>
    <row r="94" spans="2:13" ht="15" customHeight="1" x14ac:dyDescent="0.2">
      <c r="E94" s="14" t="s">
        <v>100</v>
      </c>
      <c r="F94" s="14"/>
      <c r="G94" s="14"/>
      <c r="H94" s="14"/>
      <c r="I94" s="14"/>
    </row>
    <row r="96" spans="2:13" ht="15" customHeight="1" x14ac:dyDescent="0.2">
      <c r="C96" s="17" t="s">
        <v>116</v>
      </c>
      <c r="D96" s="4" t="s">
        <v>123</v>
      </c>
    </row>
    <row r="97" spans="1:36" ht="15" customHeight="1" x14ac:dyDescent="0.2">
      <c r="D97" s="4" t="s">
        <v>32</v>
      </c>
    </row>
    <row r="98" spans="1:36" ht="15" customHeight="1" x14ac:dyDescent="0.2">
      <c r="E98" s="4" t="s">
        <v>89</v>
      </c>
    </row>
    <row r="99" spans="1:36" ht="15" customHeight="1" x14ac:dyDescent="0.2">
      <c r="E99" s="4" t="s">
        <v>101</v>
      </c>
    </row>
    <row r="100" spans="1:36" ht="15" customHeight="1" x14ac:dyDescent="0.2">
      <c r="E100" s="4" t="s">
        <v>33</v>
      </c>
    </row>
    <row r="101" spans="1:36" ht="15" customHeight="1" x14ac:dyDescent="0.2">
      <c r="E101" s="4" t="s">
        <v>102</v>
      </c>
    </row>
    <row r="102" spans="1:36" ht="15" customHeight="1" x14ac:dyDescent="0.2">
      <c r="E102" s="4" t="s">
        <v>104</v>
      </c>
    </row>
    <row r="103" spans="1:36" ht="15" customHeight="1" x14ac:dyDescent="0.2">
      <c r="E103" s="4" t="s">
        <v>103</v>
      </c>
    </row>
    <row r="104" spans="1:36" ht="15" customHeight="1" x14ac:dyDescent="0.2">
      <c r="E104" s="4" t="s">
        <v>105</v>
      </c>
    </row>
    <row r="105" spans="1:36" ht="15" customHeight="1" x14ac:dyDescent="0.2">
      <c r="D105" s="55" t="s">
        <v>34</v>
      </c>
      <c r="E105" s="55"/>
      <c r="F105" s="55"/>
      <c r="G105" s="55"/>
      <c r="H105" s="55"/>
      <c r="I105" s="55"/>
      <c r="J105" s="55"/>
    </row>
    <row r="106" spans="1:36" ht="15" customHeight="1" x14ac:dyDescent="0.2">
      <c r="E106" s="4" t="s">
        <v>99</v>
      </c>
    </row>
    <row r="107" spans="1:36" ht="15" customHeight="1" x14ac:dyDescent="0.2">
      <c r="E107" s="4" t="s">
        <v>106</v>
      </c>
    </row>
    <row r="109" spans="1:36" ht="15" customHeight="1" x14ac:dyDescent="0.2">
      <c r="A109" s="4"/>
      <c r="B109" s="4" t="s">
        <v>35</v>
      </c>
    </row>
    <row r="110" spans="1:36" ht="15" customHeight="1" x14ac:dyDescent="0.2">
      <c r="A110" s="4"/>
      <c r="B110" s="5" t="s">
        <v>14</v>
      </c>
      <c r="C110" s="6"/>
      <c r="D110" s="5" t="s">
        <v>36</v>
      </c>
      <c r="E110" s="7"/>
      <c r="F110" s="7"/>
      <c r="G110" s="7"/>
      <c r="H110" s="6"/>
      <c r="I110" s="5" t="s">
        <v>31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35"/>
      <c r="AD110" s="35"/>
      <c r="AE110" s="35"/>
      <c r="AF110" s="35"/>
      <c r="AG110" s="35"/>
      <c r="AH110" s="35"/>
      <c r="AI110" s="35"/>
      <c r="AJ110" s="36"/>
    </row>
    <row r="111" spans="1:36" ht="15" customHeight="1" x14ac:dyDescent="0.2">
      <c r="A111" s="4"/>
      <c r="B111" s="147">
        <v>1</v>
      </c>
      <c r="C111" s="148"/>
      <c r="D111" s="15" t="s">
        <v>37</v>
      </c>
      <c r="E111" s="17"/>
      <c r="F111" s="17"/>
      <c r="G111" s="17"/>
      <c r="H111" s="17"/>
      <c r="I111" s="31" t="s">
        <v>38</v>
      </c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3"/>
    </row>
    <row r="112" spans="1:36" ht="15" customHeight="1" x14ac:dyDescent="0.2">
      <c r="A112" s="4"/>
      <c r="B112" s="149"/>
      <c r="C112" s="150"/>
      <c r="D112" s="16"/>
      <c r="E112" s="20"/>
      <c r="F112" s="20"/>
      <c r="G112" s="20"/>
      <c r="H112" s="20"/>
      <c r="I112" s="21" t="s">
        <v>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3"/>
    </row>
    <row r="113" spans="1:36" ht="15" customHeight="1" x14ac:dyDescent="0.2">
      <c r="A113" s="4"/>
      <c r="B113" s="147">
        <v>2</v>
      </c>
      <c r="C113" s="148"/>
      <c r="D113" s="15" t="s">
        <v>40</v>
      </c>
      <c r="E113" s="17"/>
      <c r="F113" s="17"/>
      <c r="G113" s="17"/>
      <c r="H113" s="17"/>
      <c r="I113" s="31" t="s">
        <v>41</v>
      </c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3"/>
    </row>
    <row r="114" spans="1:36" ht="15" customHeight="1" x14ac:dyDescent="0.2">
      <c r="A114" s="4"/>
      <c r="B114" s="149"/>
      <c r="C114" s="150"/>
      <c r="D114" s="16"/>
      <c r="E114" s="20"/>
      <c r="F114" s="20"/>
      <c r="G114" s="20"/>
      <c r="H114" s="20"/>
      <c r="I114" s="21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3"/>
    </row>
    <row r="115" spans="1:36" ht="15" customHeight="1" x14ac:dyDescent="0.2">
      <c r="A115" s="4"/>
      <c r="B115" s="147">
        <v>3</v>
      </c>
      <c r="C115" s="148"/>
      <c r="D115" s="44" t="s">
        <v>42</v>
      </c>
      <c r="E115" s="18"/>
      <c r="F115" s="18"/>
      <c r="G115" s="18"/>
      <c r="H115" s="18"/>
      <c r="I115" s="26" t="s">
        <v>43</v>
      </c>
      <c r="AJ115" s="19"/>
    </row>
    <row r="116" spans="1:36" ht="15" customHeight="1" x14ac:dyDescent="0.2">
      <c r="A116" s="4"/>
      <c r="B116" s="149"/>
      <c r="C116" s="150"/>
      <c r="D116" s="16"/>
      <c r="E116" s="20"/>
      <c r="F116" s="20"/>
      <c r="G116" s="20"/>
      <c r="H116" s="20"/>
      <c r="I116" s="26"/>
      <c r="AJ116" s="19"/>
    </row>
    <row r="117" spans="1:36" ht="15" customHeight="1" x14ac:dyDescent="0.2">
      <c r="A117" s="4"/>
      <c r="B117" s="147">
        <v>4</v>
      </c>
      <c r="C117" s="148"/>
      <c r="D117" s="15" t="s">
        <v>44</v>
      </c>
      <c r="E117" s="17"/>
      <c r="F117" s="17"/>
      <c r="G117" s="17"/>
      <c r="H117" s="17"/>
      <c r="I117" s="31" t="s">
        <v>45</v>
      </c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3"/>
    </row>
    <row r="118" spans="1:36" ht="15" customHeight="1" x14ac:dyDescent="0.2">
      <c r="A118" s="4"/>
      <c r="B118" s="149"/>
      <c r="C118" s="150"/>
      <c r="D118" s="16"/>
      <c r="E118" s="20"/>
      <c r="F118" s="20"/>
      <c r="G118" s="20"/>
      <c r="H118" s="20"/>
      <c r="I118" s="21" t="s">
        <v>46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3"/>
    </row>
    <row r="119" spans="1:36" ht="15" customHeight="1" x14ac:dyDescent="0.2">
      <c r="A119" s="4"/>
      <c r="B119" s="147">
        <v>5</v>
      </c>
      <c r="C119" s="148"/>
      <c r="D119" s="15" t="s">
        <v>47</v>
      </c>
      <c r="E119" s="17"/>
      <c r="F119" s="17"/>
      <c r="G119" s="17"/>
      <c r="H119" s="17"/>
      <c r="I119" s="31" t="s">
        <v>48</v>
      </c>
      <c r="AJ119" s="19"/>
    </row>
    <row r="120" spans="1:36" ht="15" customHeight="1" x14ac:dyDescent="0.2">
      <c r="A120" s="4"/>
      <c r="B120" s="149"/>
      <c r="C120" s="150"/>
      <c r="D120" s="16"/>
      <c r="E120" s="20"/>
      <c r="F120" s="20"/>
      <c r="G120" s="20"/>
      <c r="H120" s="20"/>
      <c r="I120" s="26"/>
      <c r="AJ120" s="19"/>
    </row>
    <row r="121" spans="1:36" ht="15" customHeight="1" x14ac:dyDescent="0.2">
      <c r="A121" s="4"/>
      <c r="B121" s="147">
        <v>6</v>
      </c>
      <c r="C121" s="148"/>
      <c r="D121" s="44" t="s">
        <v>49</v>
      </c>
      <c r="E121" s="17"/>
      <c r="F121" s="17"/>
      <c r="G121" s="17"/>
      <c r="H121" s="17"/>
      <c r="I121" s="31" t="s">
        <v>50</v>
      </c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3"/>
    </row>
    <row r="122" spans="1:36" ht="15" customHeight="1" x14ac:dyDescent="0.2">
      <c r="A122" s="4"/>
      <c r="B122" s="149"/>
      <c r="C122" s="150"/>
      <c r="D122" s="16"/>
      <c r="E122" s="20"/>
      <c r="F122" s="20"/>
      <c r="G122" s="20"/>
      <c r="H122" s="20"/>
      <c r="I122" s="21" t="s">
        <v>51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3"/>
    </row>
    <row r="123" spans="1:36" ht="15" customHeight="1" x14ac:dyDescent="0.2">
      <c r="A123" s="4"/>
      <c r="B123" s="147">
        <v>7</v>
      </c>
      <c r="C123" s="148"/>
      <c r="D123" s="44" t="s">
        <v>52</v>
      </c>
      <c r="E123" s="18"/>
      <c r="F123" s="18"/>
      <c r="G123" s="18"/>
      <c r="H123" s="18"/>
      <c r="I123" s="26" t="s">
        <v>53</v>
      </c>
      <c r="AJ123" s="19"/>
    </row>
    <row r="124" spans="1:36" ht="15" customHeight="1" x14ac:dyDescent="0.2">
      <c r="A124" s="4"/>
      <c r="B124" s="149"/>
      <c r="C124" s="150"/>
      <c r="D124" s="16" t="s">
        <v>54</v>
      </c>
      <c r="E124" s="20"/>
      <c r="F124" s="20"/>
      <c r="G124" s="20"/>
      <c r="H124" s="20"/>
      <c r="I124" s="21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3"/>
    </row>
    <row r="125" spans="1:36" ht="15" customHeight="1" x14ac:dyDescent="0.2">
      <c r="A125" s="4"/>
      <c r="C125" s="12"/>
      <c r="J125" s="17"/>
      <c r="K125" s="17"/>
      <c r="AA125" s="34"/>
      <c r="AB125" s="34"/>
      <c r="AC125" s="34"/>
      <c r="AD125" s="34"/>
      <c r="AE125" s="34"/>
      <c r="AF125" s="34"/>
      <c r="AG125" s="34"/>
    </row>
    <row r="127" spans="1:36" ht="15" customHeight="1" x14ac:dyDescent="0.2">
      <c r="A127" s="3" t="s">
        <v>55</v>
      </c>
    </row>
    <row r="129" spans="2:36" ht="15" customHeight="1" x14ac:dyDescent="0.2">
      <c r="B129" s="136" t="s">
        <v>56</v>
      </c>
      <c r="C129" s="137"/>
      <c r="D129" s="137"/>
      <c r="E129" s="137"/>
      <c r="F129" s="35"/>
      <c r="G129" s="35"/>
      <c r="H129" s="35"/>
      <c r="I129" s="36"/>
      <c r="J129" s="45" t="s">
        <v>57</v>
      </c>
      <c r="K129" s="53"/>
      <c r="L129" s="48"/>
      <c r="M129" s="53"/>
      <c r="N129" s="53"/>
      <c r="O129" s="48"/>
      <c r="P129" s="45" t="s">
        <v>107</v>
      </c>
      <c r="Q129" s="53"/>
      <c r="R129" s="48"/>
      <c r="S129" s="53"/>
      <c r="T129" s="53"/>
      <c r="U129" s="48"/>
      <c r="V129" s="45" t="s">
        <v>108</v>
      </c>
      <c r="W129" s="53"/>
      <c r="X129" s="53"/>
      <c r="Y129" s="53"/>
      <c r="Z129" s="53"/>
      <c r="AA129" s="53"/>
      <c r="AB129" s="45" t="s">
        <v>58</v>
      </c>
      <c r="AC129" s="53"/>
      <c r="AD129" s="53"/>
      <c r="AE129" s="53"/>
      <c r="AF129" s="53"/>
      <c r="AG129" s="53"/>
      <c r="AH129" s="45" t="s">
        <v>109</v>
      </c>
      <c r="AI129" s="53"/>
      <c r="AJ129" s="54"/>
    </row>
    <row r="130" spans="2:36" ht="15" customHeight="1" x14ac:dyDescent="0.2">
      <c r="B130" s="44" t="s">
        <v>37</v>
      </c>
      <c r="C130" s="32"/>
      <c r="D130" s="32"/>
      <c r="E130" s="32"/>
      <c r="F130" s="32"/>
      <c r="G130" s="32"/>
      <c r="H130" s="32"/>
      <c r="I130" s="33"/>
      <c r="J130" s="31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3"/>
    </row>
    <row r="131" spans="2:36" ht="15" customHeight="1" x14ac:dyDescent="0.2">
      <c r="B131" s="15"/>
      <c r="I131" s="19"/>
      <c r="J131" s="26"/>
      <c r="AJ131" s="19"/>
    </row>
    <row r="132" spans="2:36" ht="15" customHeight="1" x14ac:dyDescent="0.2">
      <c r="B132" s="15"/>
      <c r="I132" s="19"/>
      <c r="J132" s="26"/>
      <c r="AJ132" s="19"/>
    </row>
    <row r="133" spans="2:36" ht="15" customHeight="1" x14ac:dyDescent="0.2">
      <c r="B133" s="16"/>
      <c r="C133" s="22"/>
      <c r="D133" s="22"/>
      <c r="E133" s="22"/>
      <c r="F133" s="22"/>
      <c r="G133" s="22"/>
      <c r="H133" s="22"/>
      <c r="I133" s="23"/>
      <c r="J133" s="21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3"/>
    </row>
    <row r="134" spans="2:36" ht="15" customHeight="1" x14ac:dyDescent="0.2">
      <c r="B134" s="15" t="s">
        <v>40</v>
      </c>
      <c r="C134" s="32"/>
      <c r="D134" s="32"/>
      <c r="E134" s="32"/>
      <c r="F134" s="32"/>
      <c r="G134" s="32"/>
      <c r="H134" s="32"/>
      <c r="I134" s="33"/>
      <c r="J134" s="31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3"/>
    </row>
    <row r="135" spans="2:36" ht="15" customHeight="1" x14ac:dyDescent="0.2">
      <c r="B135" s="16"/>
      <c r="C135" s="22"/>
      <c r="D135" s="22"/>
      <c r="E135" s="22"/>
      <c r="F135" s="22"/>
      <c r="G135" s="22"/>
      <c r="H135" s="22"/>
      <c r="I135" s="23"/>
      <c r="J135" s="21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3"/>
    </row>
    <row r="136" spans="2:36" ht="15" customHeight="1" x14ac:dyDescent="0.2">
      <c r="B136" s="44" t="s">
        <v>42</v>
      </c>
      <c r="I136" s="19"/>
      <c r="J136" s="26"/>
      <c r="AJ136" s="19"/>
    </row>
    <row r="137" spans="2:36" ht="15" customHeight="1" x14ac:dyDescent="0.2">
      <c r="B137" s="16"/>
      <c r="I137" s="19"/>
      <c r="J137" s="26"/>
      <c r="AJ137" s="19"/>
    </row>
    <row r="138" spans="2:36" ht="15" customHeight="1" x14ac:dyDescent="0.2">
      <c r="B138" s="15" t="s">
        <v>44</v>
      </c>
      <c r="C138" s="32"/>
      <c r="D138" s="32"/>
      <c r="E138" s="32"/>
      <c r="F138" s="32"/>
      <c r="G138" s="32"/>
      <c r="H138" s="32"/>
      <c r="I138" s="33"/>
      <c r="J138" s="31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3"/>
    </row>
    <row r="139" spans="2:36" ht="15" customHeight="1" x14ac:dyDescent="0.2">
      <c r="B139" s="16"/>
      <c r="C139" s="22"/>
      <c r="D139" s="22"/>
      <c r="E139" s="22"/>
      <c r="F139" s="22"/>
      <c r="G139" s="22"/>
      <c r="H139" s="22"/>
      <c r="I139" s="23"/>
      <c r="J139" s="21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3"/>
    </row>
    <row r="140" spans="2:36" ht="15" customHeight="1" x14ac:dyDescent="0.2">
      <c r="B140" s="15" t="s">
        <v>47</v>
      </c>
      <c r="I140" s="19"/>
      <c r="J140" s="26"/>
      <c r="AJ140" s="19"/>
    </row>
    <row r="141" spans="2:36" ht="15" customHeight="1" x14ac:dyDescent="0.2">
      <c r="B141" s="15"/>
      <c r="I141" s="19"/>
      <c r="J141" s="26"/>
      <c r="AJ141" s="19"/>
    </row>
    <row r="142" spans="2:36" ht="15" customHeight="1" x14ac:dyDescent="0.2">
      <c r="B142" s="15"/>
      <c r="I142" s="19"/>
      <c r="J142" s="26"/>
      <c r="AJ142" s="19"/>
    </row>
    <row r="143" spans="2:36" ht="15" customHeight="1" x14ac:dyDescent="0.2">
      <c r="B143" s="16"/>
      <c r="I143" s="19"/>
      <c r="J143" s="26"/>
      <c r="AJ143" s="19"/>
    </row>
    <row r="144" spans="2:36" ht="15" customHeight="1" x14ac:dyDescent="0.2">
      <c r="B144" s="44" t="s">
        <v>49</v>
      </c>
      <c r="C144" s="32"/>
      <c r="D144" s="32"/>
      <c r="E144" s="32"/>
      <c r="F144" s="32"/>
      <c r="G144" s="32"/>
      <c r="H144" s="32"/>
      <c r="I144" s="33"/>
      <c r="J144" s="31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3"/>
    </row>
    <row r="145" spans="1:36" ht="15" customHeight="1" x14ac:dyDescent="0.2">
      <c r="B145" s="16"/>
      <c r="C145" s="22"/>
      <c r="D145" s="22"/>
      <c r="E145" s="22"/>
      <c r="F145" s="22"/>
      <c r="G145" s="22"/>
      <c r="H145" s="22"/>
      <c r="I145" s="23"/>
      <c r="J145" s="21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3"/>
    </row>
    <row r="146" spans="1:36" ht="15" customHeight="1" x14ac:dyDescent="0.2">
      <c r="A146" s="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T146" s="24"/>
      <c r="U146" s="4" t="s">
        <v>59</v>
      </c>
      <c r="V146" s="24"/>
      <c r="X146" s="24"/>
      <c r="Y146" s="4" t="s">
        <v>60</v>
      </c>
      <c r="AA146" s="24"/>
      <c r="AB146" s="24"/>
      <c r="AE146" s="4" t="s">
        <v>61</v>
      </c>
    </row>
    <row r="148" spans="1:36" ht="15" customHeight="1" x14ac:dyDescent="0.2">
      <c r="A148" s="4"/>
      <c r="V148" s="14"/>
    </row>
    <row r="149" spans="1:36" ht="15" customHeight="1" x14ac:dyDescent="0.2">
      <c r="A149" s="3" t="s">
        <v>62</v>
      </c>
    </row>
    <row r="150" spans="1:36" ht="15" customHeight="1" thickBot="1" x14ac:dyDescent="0.25">
      <c r="A150" s="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6" ht="15" customHeight="1" thickTop="1" x14ac:dyDescent="0.2">
      <c r="C151" s="130" t="s">
        <v>63</v>
      </c>
      <c r="D151" s="131"/>
      <c r="E151" s="131"/>
      <c r="F151" s="131"/>
      <c r="G151" s="131"/>
      <c r="H151" s="132"/>
      <c r="I151" s="27"/>
      <c r="J151" s="27"/>
      <c r="K151" s="27"/>
      <c r="L151" s="27"/>
      <c r="M151" s="130" t="s">
        <v>64</v>
      </c>
      <c r="N151" s="131"/>
      <c r="O151" s="131"/>
      <c r="P151" s="131"/>
      <c r="Q151" s="131"/>
      <c r="R151" s="132"/>
      <c r="S151" s="28"/>
      <c r="T151" s="27"/>
      <c r="U151" s="27"/>
      <c r="V151" s="29"/>
      <c r="W151" s="130" t="s">
        <v>90</v>
      </c>
      <c r="X151" s="131"/>
      <c r="Y151" s="131"/>
      <c r="Z151" s="131"/>
      <c r="AA151" s="131"/>
      <c r="AB151" s="132"/>
      <c r="AC151" s="24"/>
      <c r="AD151" s="24"/>
      <c r="AE151" s="24"/>
      <c r="AF151" s="24"/>
      <c r="AG151" s="24"/>
    </row>
    <row r="152" spans="1:36" ht="15" customHeight="1" thickBot="1" x14ac:dyDescent="0.25">
      <c r="A152" s="4"/>
      <c r="C152" s="133"/>
      <c r="D152" s="134"/>
      <c r="E152" s="134"/>
      <c r="F152" s="134"/>
      <c r="G152" s="134"/>
      <c r="H152" s="135"/>
      <c r="I152" s="1"/>
      <c r="J152" s="1"/>
      <c r="K152" s="1"/>
      <c r="L152" s="1"/>
      <c r="M152" s="133"/>
      <c r="N152" s="134"/>
      <c r="O152" s="134"/>
      <c r="P152" s="134"/>
      <c r="Q152" s="134"/>
      <c r="R152" s="135"/>
      <c r="S152" s="1"/>
      <c r="T152" s="49"/>
      <c r="U152" s="30"/>
      <c r="V152" s="1"/>
      <c r="W152" s="133"/>
      <c r="X152" s="134"/>
      <c r="Y152" s="134"/>
      <c r="Z152" s="134"/>
      <c r="AA152" s="134"/>
      <c r="AB152" s="135"/>
      <c r="AC152" s="24"/>
      <c r="AD152" s="24"/>
      <c r="AE152" s="24"/>
      <c r="AF152" s="24"/>
      <c r="AG152" s="24"/>
    </row>
    <row r="153" spans="1:36" ht="15" customHeight="1" thickTop="1" thickBot="1" x14ac:dyDescent="0.25">
      <c r="A153" s="4"/>
      <c r="I153" s="24"/>
      <c r="J153" s="24"/>
      <c r="K153" s="24"/>
      <c r="L153" s="24"/>
      <c r="M153" s="24"/>
      <c r="N153" s="24"/>
      <c r="O153" s="24"/>
      <c r="P153" s="46"/>
      <c r="Q153" s="24"/>
      <c r="R153" s="24"/>
      <c r="S153" s="24"/>
      <c r="T153" s="50"/>
      <c r="U153" s="1"/>
      <c r="V153" s="1"/>
      <c r="W153" s="1"/>
      <c r="X153" s="1"/>
      <c r="Y153" s="1"/>
      <c r="Z153" s="1"/>
      <c r="AA153" s="1"/>
      <c r="AB153" s="1"/>
      <c r="AC153" s="24"/>
      <c r="AD153" s="24"/>
      <c r="AE153" s="24"/>
      <c r="AF153" s="24"/>
      <c r="AG153" s="24"/>
    </row>
    <row r="154" spans="1:36" ht="15" customHeight="1" thickTop="1" x14ac:dyDescent="0.2">
      <c r="A154" s="4"/>
      <c r="I154" s="24"/>
      <c r="J154" s="24"/>
      <c r="K154" s="24"/>
      <c r="L154" s="24"/>
      <c r="M154" s="130" t="s">
        <v>65</v>
      </c>
      <c r="N154" s="131"/>
      <c r="O154" s="131"/>
      <c r="P154" s="131"/>
      <c r="Q154" s="131"/>
      <c r="R154" s="132"/>
      <c r="S154" s="24"/>
      <c r="T154" s="50"/>
      <c r="U154" s="51"/>
      <c r="V154" s="52"/>
      <c r="W154" s="130" t="s">
        <v>91</v>
      </c>
      <c r="X154" s="131"/>
      <c r="Y154" s="131"/>
      <c r="Z154" s="131"/>
      <c r="AA154" s="131"/>
      <c r="AB154" s="132"/>
      <c r="AC154" s="24"/>
      <c r="AD154" s="24"/>
      <c r="AE154" s="24"/>
      <c r="AF154" s="24"/>
      <c r="AG154" s="24"/>
    </row>
    <row r="155" spans="1:36" ht="15" customHeight="1" thickBot="1" x14ac:dyDescent="0.25">
      <c r="M155" s="133"/>
      <c r="N155" s="134"/>
      <c r="O155" s="134"/>
      <c r="P155" s="134"/>
      <c r="Q155" s="134"/>
      <c r="R155" s="135"/>
      <c r="U155" s="1"/>
      <c r="W155" s="133"/>
      <c r="X155" s="134"/>
      <c r="Y155" s="134"/>
      <c r="Z155" s="134"/>
      <c r="AA155" s="134"/>
      <c r="AB155" s="135"/>
    </row>
    <row r="156" spans="1:36" ht="15" customHeight="1" thickTop="1" x14ac:dyDescent="0.2"/>
    <row r="157" spans="1:36" ht="15" customHeight="1" x14ac:dyDescent="0.2">
      <c r="A157" s="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6" ht="15" customHeight="1" x14ac:dyDescent="0.2">
      <c r="A158" s="3" t="s">
        <v>66</v>
      </c>
    </row>
    <row r="160" spans="1:36" ht="15" customHeight="1" x14ac:dyDescent="0.2">
      <c r="B160" s="4" t="s">
        <v>67</v>
      </c>
    </row>
    <row r="161" spans="1:3" ht="15" customHeight="1" x14ac:dyDescent="0.2">
      <c r="C161" s="4" t="s">
        <v>68</v>
      </c>
    </row>
    <row r="162" spans="1:3" ht="15" customHeight="1" x14ac:dyDescent="0.2">
      <c r="B162" s="25" t="s">
        <v>69</v>
      </c>
      <c r="C162" s="47"/>
    </row>
    <row r="163" spans="1:3" ht="15" customHeight="1" x14ac:dyDescent="0.2">
      <c r="B163" s="4" t="s">
        <v>70</v>
      </c>
    </row>
    <row r="164" spans="1:3" ht="15" customHeight="1" x14ac:dyDescent="0.2">
      <c r="C164" s="4" t="s">
        <v>111</v>
      </c>
    </row>
    <row r="165" spans="1:3" ht="15" customHeight="1" x14ac:dyDescent="0.2">
      <c r="C165" s="4" t="s">
        <v>112</v>
      </c>
    </row>
    <row r="166" spans="1:3" ht="15" customHeight="1" x14ac:dyDescent="0.2">
      <c r="C166" s="4" t="s">
        <v>72</v>
      </c>
    </row>
    <row r="167" spans="1:3" ht="15" customHeight="1" x14ac:dyDescent="0.2">
      <c r="B167" s="25" t="s">
        <v>69</v>
      </c>
      <c r="C167" s="47"/>
    </row>
    <row r="168" spans="1:3" ht="15" customHeight="1" x14ac:dyDescent="0.2">
      <c r="B168" s="4" t="s">
        <v>73</v>
      </c>
      <c r="C168" s="25"/>
    </row>
    <row r="169" spans="1:3" ht="15" customHeight="1" x14ac:dyDescent="0.2">
      <c r="C169" s="25" t="s">
        <v>74</v>
      </c>
    </row>
    <row r="170" spans="1:3" ht="15" customHeight="1" x14ac:dyDescent="0.2">
      <c r="C170" s="4" t="s">
        <v>75</v>
      </c>
    </row>
    <row r="172" spans="1:3" ht="15" customHeight="1" x14ac:dyDescent="0.2">
      <c r="A172" s="4"/>
      <c r="B172" s="4" t="s">
        <v>76</v>
      </c>
    </row>
    <row r="173" spans="1:3" ht="15" customHeight="1" x14ac:dyDescent="0.2">
      <c r="A173" s="4"/>
      <c r="C173" s="4" t="s">
        <v>77</v>
      </c>
    </row>
    <row r="174" spans="1:3" ht="15" customHeight="1" x14ac:dyDescent="0.2">
      <c r="A174" s="4"/>
      <c r="C174" s="4" t="s">
        <v>78</v>
      </c>
    </row>
    <row r="175" spans="1:3" ht="15" customHeight="1" x14ac:dyDescent="0.2">
      <c r="A175" s="4"/>
    </row>
    <row r="176" spans="1:3" ht="15" customHeight="1" x14ac:dyDescent="0.2">
      <c r="A176" s="4"/>
      <c r="B176" s="4" t="s">
        <v>79</v>
      </c>
    </row>
    <row r="177" spans="1:3" ht="15" customHeight="1" x14ac:dyDescent="0.2">
      <c r="A177" s="4"/>
      <c r="C177" s="4" t="s">
        <v>80</v>
      </c>
    </row>
    <row r="179" spans="1:3" ht="15" customHeight="1" x14ac:dyDescent="0.2">
      <c r="B179" s="4" t="s">
        <v>81</v>
      </c>
    </row>
    <row r="180" spans="1:3" ht="15" customHeight="1" x14ac:dyDescent="0.2">
      <c r="C180" s="4" t="s">
        <v>82</v>
      </c>
    </row>
    <row r="182" spans="1:3" ht="15" customHeight="1" x14ac:dyDescent="0.2">
      <c r="B182" s="4" t="s">
        <v>83</v>
      </c>
    </row>
    <row r="183" spans="1:3" ht="15" customHeight="1" x14ac:dyDescent="0.2">
      <c r="C183" s="4" t="s">
        <v>84</v>
      </c>
    </row>
    <row r="188" spans="1:3" ht="15" customHeight="1" x14ac:dyDescent="0.2">
      <c r="C188" s="25"/>
    </row>
    <row r="189" spans="1:3" ht="15" customHeight="1" x14ac:dyDescent="0.2">
      <c r="C189" s="25"/>
    </row>
    <row r="190" spans="1:3" ht="15" customHeight="1" x14ac:dyDescent="0.2">
      <c r="C190" s="25"/>
    </row>
  </sheetData>
  <mergeCells count="36">
    <mergeCell ref="D36:AD36"/>
    <mergeCell ref="AE36:AJ36"/>
    <mergeCell ref="A1:S2"/>
    <mergeCell ref="AF2:AJ2"/>
    <mergeCell ref="A5:Q6"/>
    <mergeCell ref="A9:E10"/>
    <mergeCell ref="F9:Q10"/>
    <mergeCell ref="B37:C37"/>
    <mergeCell ref="AE37:AJ37"/>
    <mergeCell ref="B38:C38"/>
    <mergeCell ref="AE38:AJ38"/>
    <mergeCell ref="B39:C39"/>
    <mergeCell ref="AE39:AJ39"/>
    <mergeCell ref="B40:C40"/>
    <mergeCell ref="AE40:AJ40"/>
    <mergeCell ref="B41:C41"/>
    <mergeCell ref="AE41:AJ41"/>
    <mergeCell ref="B42:C42"/>
    <mergeCell ref="AE42:AJ42"/>
    <mergeCell ref="B129:E129"/>
    <mergeCell ref="B43:C43"/>
    <mergeCell ref="AE43:AJ43"/>
    <mergeCell ref="B44:AD44"/>
    <mergeCell ref="AE44:AJ44"/>
    <mergeCell ref="B111:C112"/>
    <mergeCell ref="B113:C114"/>
    <mergeCell ref="B115:C116"/>
    <mergeCell ref="B117:C118"/>
    <mergeCell ref="B119:C120"/>
    <mergeCell ref="B121:C122"/>
    <mergeCell ref="B123:C124"/>
    <mergeCell ref="C151:H152"/>
    <mergeCell ref="M151:R152"/>
    <mergeCell ref="W151:AB152"/>
    <mergeCell ref="M154:R155"/>
    <mergeCell ref="W154:AB155"/>
  </mergeCells>
  <phoneticPr fontId="7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  <rowBreaks count="3" manualBreakCount="3">
    <brk id="63" max="35" man="1"/>
    <brk id="157" max="35" man="1"/>
    <brk id="185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1"/>
  <sheetViews>
    <sheetView showGridLines="0" topLeftCell="A22" zoomScale="130" zoomScaleNormal="130" zoomScaleSheetLayoutView="100" workbookViewId="0">
      <selection activeCell="AE42" sqref="AE42:AJ42"/>
    </sheetView>
  </sheetViews>
  <sheetFormatPr defaultColWidth="2.453125" defaultRowHeight="15" customHeight="1" x14ac:dyDescent="0.2"/>
  <cols>
    <col min="1" max="1" width="2.453125" style="3"/>
    <col min="2" max="27" width="2.453125" style="4"/>
    <col min="28" max="28" width="2.453125" style="4" customWidth="1"/>
    <col min="29" max="30" width="2.453125" style="4"/>
    <col min="31" max="31" width="7.1796875" style="4" bestFit="1" customWidth="1"/>
    <col min="32" max="38" width="2.453125" style="4"/>
    <col min="39" max="39" width="3.453125" style="4" bestFit="1" customWidth="1"/>
    <col min="40" max="16384" width="2.453125" style="4"/>
  </cols>
  <sheetData>
    <row r="1" spans="1:37" s="1" customFormat="1" ht="15" customHeight="1" x14ac:dyDescent="0.2">
      <c r="A1" s="154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 x14ac:dyDescent="0.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Y2" s="11" t="s">
        <v>3</v>
      </c>
      <c r="Z2" s="11"/>
      <c r="AA2" s="11"/>
      <c r="AB2" s="11"/>
      <c r="AC2" s="11"/>
      <c r="AD2" s="11"/>
      <c r="AE2" s="11"/>
      <c r="AF2" s="155">
        <v>45901</v>
      </c>
      <c r="AG2" s="156"/>
      <c r="AH2" s="156"/>
      <c r="AI2" s="156"/>
      <c r="AJ2" s="156"/>
      <c r="AK2" s="4"/>
    </row>
    <row r="3" spans="1:37" s="1" customFormat="1" ht="15" customHeight="1" x14ac:dyDescent="0.2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 x14ac:dyDescent="0.2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 x14ac:dyDescent="0.2">
      <c r="A5" s="157" t="s">
        <v>4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 x14ac:dyDescent="0.2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 x14ac:dyDescent="0.2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 x14ac:dyDescent="0.2">
      <c r="A9" s="159" t="s">
        <v>5</v>
      </c>
      <c r="B9" s="159"/>
      <c r="C9" s="159"/>
      <c r="D9" s="159"/>
      <c r="E9" s="159"/>
      <c r="F9" s="161">
        <f>AE43</f>
        <v>3752000</v>
      </c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 x14ac:dyDescent="0.2">
      <c r="A10" s="160"/>
      <c r="B10" s="160"/>
      <c r="C10" s="160"/>
      <c r="D10" s="160"/>
      <c r="E10" s="160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 x14ac:dyDescent="0.2">
      <c r="A11" s="2"/>
    </row>
    <row r="12" spans="1:37" s="1" customFormat="1" ht="15" customHeight="1" x14ac:dyDescent="0.2">
      <c r="A12" s="2"/>
    </row>
    <row r="13" spans="1:37" ht="15" customHeight="1" x14ac:dyDescent="0.2">
      <c r="A13" s="3" t="s">
        <v>6</v>
      </c>
    </row>
    <row r="15" spans="1:37" ht="15" customHeight="1" x14ac:dyDescent="0.2">
      <c r="B15" s="4" t="s">
        <v>7</v>
      </c>
    </row>
    <row r="18" spans="1:16" ht="15" customHeight="1" x14ac:dyDescent="0.2">
      <c r="A18" s="4"/>
    </row>
    <row r="19" spans="1:16" ht="15" customHeight="1" x14ac:dyDescent="0.2">
      <c r="A19" s="3" t="s">
        <v>8</v>
      </c>
      <c r="P19" s="3"/>
    </row>
    <row r="20" spans="1:16" ht="15" customHeight="1" x14ac:dyDescent="0.2">
      <c r="A20" s="4"/>
    </row>
    <row r="21" spans="1:16" ht="15" customHeight="1" x14ac:dyDescent="0.2">
      <c r="A21" s="4"/>
      <c r="B21" s="4" t="s">
        <v>9</v>
      </c>
    </row>
    <row r="22" spans="1:16" ht="15" customHeight="1" x14ac:dyDescent="0.2">
      <c r="A22" s="4"/>
    </row>
    <row r="23" spans="1:16" ht="15" customHeight="1" x14ac:dyDescent="0.2">
      <c r="A23" s="4"/>
    </row>
    <row r="24" spans="1:16" ht="15" customHeight="1" x14ac:dyDescent="0.2">
      <c r="A24" s="3" t="s">
        <v>10</v>
      </c>
    </row>
    <row r="25" spans="1:16" ht="15" customHeight="1" x14ac:dyDescent="0.2">
      <c r="A25" s="4"/>
    </row>
    <row r="26" spans="1:16" ht="15" customHeight="1" x14ac:dyDescent="0.2">
      <c r="A26" s="4"/>
      <c r="B26" s="4" t="s">
        <v>135</v>
      </c>
    </row>
    <row r="27" spans="1:16" ht="15" customHeight="1" x14ac:dyDescent="0.2">
      <c r="A27" s="4"/>
    </row>
    <row r="28" spans="1:16" ht="15" customHeight="1" x14ac:dyDescent="0.2">
      <c r="A28" s="4"/>
    </row>
    <row r="29" spans="1:16" ht="15" customHeight="1" x14ac:dyDescent="0.2">
      <c r="A29" s="3" t="s">
        <v>12</v>
      </c>
    </row>
    <row r="31" spans="1:16" ht="15" customHeight="1" x14ac:dyDescent="0.2">
      <c r="A31" s="4"/>
      <c r="B31" s="4" t="s">
        <v>150</v>
      </c>
    </row>
    <row r="32" spans="1:16" ht="15" customHeight="1" x14ac:dyDescent="0.2">
      <c r="A32" s="4"/>
    </row>
    <row r="33" spans="1:36" ht="15" customHeight="1" x14ac:dyDescent="0.2">
      <c r="A33" s="4"/>
    </row>
    <row r="34" spans="1:36" ht="15" customHeight="1" x14ac:dyDescent="0.2">
      <c r="A34" s="3" t="s">
        <v>13</v>
      </c>
    </row>
    <row r="35" spans="1:36" ht="15" customHeight="1" x14ac:dyDescent="0.2">
      <c r="A35" s="4"/>
    </row>
    <row r="36" spans="1:36" ht="15" customHeight="1" x14ac:dyDescent="0.2">
      <c r="A36" s="4"/>
      <c r="B36" s="5" t="s">
        <v>14</v>
      </c>
      <c r="C36" s="6"/>
      <c r="D36" s="151" t="s">
        <v>15</v>
      </c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5" t="s">
        <v>16</v>
      </c>
      <c r="AF36" s="7"/>
      <c r="AG36" s="7"/>
      <c r="AH36" s="7"/>
      <c r="AI36" s="7"/>
      <c r="AJ36" s="6"/>
    </row>
    <row r="37" spans="1:36" ht="15" customHeight="1" x14ac:dyDescent="0.2">
      <c r="A37" s="4"/>
      <c r="B37" s="138">
        <v>1</v>
      </c>
      <c r="C37" s="139"/>
      <c r="D37" s="42" t="s">
        <v>133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9"/>
      <c r="AE37" s="140">
        <f>'御見積詳細書（社内用）'!AE37</f>
        <v>500000</v>
      </c>
      <c r="AF37" s="141"/>
      <c r="AG37" s="141"/>
      <c r="AH37" s="141"/>
      <c r="AI37" s="141"/>
      <c r="AJ37" s="142"/>
    </row>
    <row r="38" spans="1:36" ht="15" customHeight="1" x14ac:dyDescent="0.2">
      <c r="A38" s="4"/>
      <c r="B38" s="138">
        <v>2</v>
      </c>
      <c r="C38" s="139"/>
      <c r="D38" s="42" t="s">
        <v>19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9"/>
      <c r="AE38" s="140">
        <f>'御見積詳細書（社内用）'!AE38</f>
        <v>1350000</v>
      </c>
      <c r="AF38" s="141"/>
      <c r="AG38" s="141"/>
      <c r="AH38" s="141"/>
      <c r="AI38" s="141"/>
      <c r="AJ38" s="142"/>
    </row>
    <row r="39" spans="1:36" ht="15" customHeight="1" x14ac:dyDescent="0.2">
      <c r="A39" s="4"/>
      <c r="B39" s="138">
        <v>3</v>
      </c>
      <c r="C39" s="139"/>
      <c r="D39" s="42" t="s">
        <v>134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9"/>
      <c r="AE39" s="140">
        <f>'御見積詳細書（社内用）'!AE39</f>
        <v>850000</v>
      </c>
      <c r="AF39" s="141"/>
      <c r="AG39" s="141"/>
      <c r="AH39" s="141"/>
      <c r="AI39" s="141"/>
      <c r="AJ39" s="142"/>
    </row>
    <row r="40" spans="1:36" ht="15" customHeight="1" x14ac:dyDescent="0.2">
      <c r="A40" s="4"/>
      <c r="B40" s="138">
        <v>4</v>
      </c>
      <c r="C40" s="139"/>
      <c r="D40" s="42" t="s">
        <v>21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1"/>
      <c r="AE40" s="140">
        <f>'御見積詳細書（社内用）'!AE40</f>
        <v>300000</v>
      </c>
      <c r="AF40" s="141"/>
      <c r="AG40" s="141"/>
      <c r="AH40" s="141"/>
      <c r="AI40" s="141"/>
      <c r="AJ40" s="142"/>
    </row>
    <row r="41" spans="1:36" ht="15" customHeight="1" x14ac:dyDescent="0.2">
      <c r="A41" s="4"/>
      <c r="B41" s="138">
        <v>5</v>
      </c>
      <c r="C41" s="139"/>
      <c r="D41" s="42" t="s">
        <v>22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  <c r="AE41" s="140">
        <f>'御見積詳細書（社内用）'!AE41</f>
        <v>100000</v>
      </c>
      <c r="AF41" s="141"/>
      <c r="AG41" s="141"/>
      <c r="AH41" s="141"/>
      <c r="AI41" s="141"/>
      <c r="AJ41" s="142"/>
    </row>
    <row r="42" spans="1:36" ht="15" customHeight="1" x14ac:dyDescent="0.2">
      <c r="A42" s="4"/>
      <c r="B42" s="138">
        <v>6</v>
      </c>
      <c r="C42" s="139"/>
      <c r="D42" s="42" t="s">
        <v>23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  <c r="AE42" s="140">
        <v>651000</v>
      </c>
      <c r="AF42" s="141"/>
      <c r="AG42" s="141"/>
      <c r="AH42" s="141"/>
      <c r="AI42" s="141"/>
      <c r="AJ42" s="142"/>
    </row>
    <row r="43" spans="1:36" ht="15" customHeight="1" x14ac:dyDescent="0.2">
      <c r="A43" s="4"/>
      <c r="B43" s="143" t="s">
        <v>24</v>
      </c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5"/>
      <c r="AE43" s="163">
        <f>'御見積詳細書（社内用）'!AE43</f>
        <v>3752000</v>
      </c>
      <c r="AF43" s="164"/>
      <c r="AG43" s="164"/>
      <c r="AH43" s="164"/>
      <c r="AI43" s="164"/>
      <c r="AJ43" s="165"/>
    </row>
    <row r="44" spans="1:36" ht="15" customHeight="1" x14ac:dyDescent="0.2">
      <c r="A44" s="4"/>
      <c r="AB44" s="13"/>
    </row>
    <row r="45" spans="1:36" ht="15" customHeight="1" x14ac:dyDescent="0.2">
      <c r="A45" s="4"/>
      <c r="AB45" s="13"/>
    </row>
    <row r="46" spans="1:36" ht="15" customHeight="1" x14ac:dyDescent="0.2">
      <c r="A46" s="3" t="s">
        <v>25</v>
      </c>
    </row>
    <row r="48" spans="1:36" ht="15" customHeight="1" x14ac:dyDescent="0.2">
      <c r="A48" s="4"/>
      <c r="B48" s="43" t="s">
        <v>26</v>
      </c>
      <c r="C48" s="4" t="s">
        <v>27</v>
      </c>
      <c r="K48" s="43" t="s">
        <v>26</v>
      </c>
      <c r="L48" s="4" t="s">
        <v>28</v>
      </c>
    </row>
    <row r="49" spans="1:12" ht="15" customHeight="1" x14ac:dyDescent="0.2">
      <c r="A49" s="4"/>
      <c r="B49" s="43" t="s">
        <v>26</v>
      </c>
      <c r="C49" s="4" t="s">
        <v>29</v>
      </c>
      <c r="K49" s="4" t="s">
        <v>26</v>
      </c>
      <c r="L49" s="4" t="s">
        <v>30</v>
      </c>
    </row>
    <row r="52" spans="1:12" ht="15" customHeight="1" x14ac:dyDescent="0.2">
      <c r="A52" s="3" t="s">
        <v>113</v>
      </c>
      <c r="B52" s="8"/>
    </row>
    <row r="53" spans="1:12" ht="15" customHeight="1" x14ac:dyDescent="0.2">
      <c r="A53" s="4"/>
      <c r="B53" s="8" t="s">
        <v>114</v>
      </c>
    </row>
    <row r="54" spans="1:12" ht="15" customHeight="1" x14ac:dyDescent="0.2">
      <c r="A54" s="4"/>
      <c r="B54" s="8"/>
      <c r="C54" s="17" t="s">
        <v>115</v>
      </c>
      <c r="D54" s="4" t="s">
        <v>118</v>
      </c>
    </row>
    <row r="55" spans="1:12" ht="15" customHeight="1" x14ac:dyDescent="0.2">
      <c r="A55" s="4"/>
      <c r="B55" s="8"/>
      <c r="C55" s="17" t="s">
        <v>116</v>
      </c>
      <c r="D55" s="4" t="s">
        <v>119</v>
      </c>
    </row>
    <row r="56" spans="1:12" ht="15" customHeight="1" x14ac:dyDescent="0.2">
      <c r="A56" s="4"/>
      <c r="B56" s="8"/>
      <c r="C56" s="17" t="s">
        <v>131</v>
      </c>
      <c r="D56" s="4" t="s">
        <v>120</v>
      </c>
    </row>
    <row r="57" spans="1:12" ht="15" customHeight="1" x14ac:dyDescent="0.2">
      <c r="A57" s="4"/>
      <c r="B57" s="8"/>
      <c r="C57" s="17" t="s">
        <v>132</v>
      </c>
      <c r="D57" s="4" t="s">
        <v>130</v>
      </c>
    </row>
    <row r="58" spans="1:12" ht="15" customHeight="1" x14ac:dyDescent="0.2">
      <c r="A58" s="4"/>
      <c r="B58" s="8"/>
    </row>
    <row r="59" spans="1:12" ht="15" customHeight="1" x14ac:dyDescent="0.2">
      <c r="A59" s="4"/>
      <c r="B59" s="8" t="s">
        <v>121</v>
      </c>
    </row>
    <row r="60" spans="1:12" ht="15" customHeight="1" x14ac:dyDescent="0.2">
      <c r="A60" s="4"/>
      <c r="B60" s="8"/>
      <c r="C60" s="17" t="s">
        <v>115</v>
      </c>
      <c r="D60" s="4" t="s">
        <v>122</v>
      </c>
    </row>
    <row r="61" spans="1:12" ht="15" customHeight="1" x14ac:dyDescent="0.2">
      <c r="A61" s="4"/>
      <c r="B61" s="8"/>
      <c r="C61" s="17" t="s">
        <v>116</v>
      </c>
      <c r="D61" s="4" t="s">
        <v>123</v>
      </c>
    </row>
    <row r="62" spans="1:12" ht="15" customHeight="1" x14ac:dyDescent="0.2">
      <c r="A62" s="4"/>
      <c r="B62" s="8"/>
    </row>
    <row r="63" spans="1:12" ht="15" customHeight="1" x14ac:dyDescent="0.2">
      <c r="A63" s="3" t="s">
        <v>31</v>
      </c>
    </row>
    <row r="65" spans="1:36" ht="15" customHeight="1" x14ac:dyDescent="0.2">
      <c r="B65" s="4" t="s">
        <v>228</v>
      </c>
    </row>
    <row r="67" spans="1:36" ht="15" customHeight="1" x14ac:dyDescent="0.2">
      <c r="A67" s="4"/>
      <c r="B67" s="4" t="s">
        <v>35</v>
      </c>
    </row>
    <row r="68" spans="1:36" ht="15" customHeight="1" x14ac:dyDescent="0.2">
      <c r="A68" s="4"/>
      <c r="B68" s="5" t="s">
        <v>14</v>
      </c>
      <c r="C68" s="6"/>
      <c r="D68" s="5" t="s">
        <v>36</v>
      </c>
      <c r="E68" s="7"/>
      <c r="F68" s="7"/>
      <c r="G68" s="7"/>
      <c r="H68" s="6"/>
      <c r="I68" s="5" t="s">
        <v>31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6"/>
    </row>
    <row r="69" spans="1:36" ht="15" customHeight="1" x14ac:dyDescent="0.2">
      <c r="A69" s="4"/>
      <c r="B69" s="147">
        <v>1</v>
      </c>
      <c r="C69" s="148"/>
      <c r="D69" s="168" t="s">
        <v>229</v>
      </c>
      <c r="E69" s="169"/>
      <c r="F69" s="169"/>
      <c r="G69" s="169"/>
      <c r="H69" s="170"/>
      <c r="I69" s="168" t="s">
        <v>230</v>
      </c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70"/>
    </row>
    <row r="70" spans="1:36" ht="15" customHeight="1" x14ac:dyDescent="0.2">
      <c r="A70" s="4"/>
      <c r="B70" s="166"/>
      <c r="C70" s="167"/>
      <c r="D70" s="171"/>
      <c r="E70" s="172"/>
      <c r="F70" s="172"/>
      <c r="G70" s="172"/>
      <c r="H70" s="173"/>
      <c r="I70" s="171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3"/>
    </row>
    <row r="71" spans="1:36" ht="15" customHeight="1" x14ac:dyDescent="0.2">
      <c r="A71" s="4"/>
      <c r="B71" s="149"/>
      <c r="C71" s="150"/>
      <c r="D71" s="174"/>
      <c r="E71" s="175"/>
      <c r="F71" s="175"/>
      <c r="G71" s="175"/>
      <c r="H71" s="176"/>
      <c r="I71" s="174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6"/>
    </row>
    <row r="72" spans="1:36" ht="15" customHeight="1" x14ac:dyDescent="0.2">
      <c r="A72" s="4"/>
      <c r="B72" s="147">
        <v>2</v>
      </c>
      <c r="C72" s="148"/>
      <c r="D72" s="44" t="s">
        <v>42</v>
      </c>
      <c r="E72" s="18"/>
      <c r="F72" s="18"/>
      <c r="G72" s="18"/>
      <c r="H72" s="18"/>
      <c r="I72" s="26" t="s">
        <v>136</v>
      </c>
      <c r="AJ72" s="19"/>
    </row>
    <row r="73" spans="1:36" ht="15" customHeight="1" x14ac:dyDescent="0.2">
      <c r="A73" s="4"/>
      <c r="B73" s="149"/>
      <c r="C73" s="150"/>
      <c r="D73" s="16"/>
      <c r="E73" s="20"/>
      <c r="F73" s="20"/>
      <c r="G73" s="20"/>
      <c r="H73" s="20"/>
      <c r="I73" s="26"/>
      <c r="AJ73" s="19"/>
    </row>
    <row r="74" spans="1:36" ht="15" customHeight="1" x14ac:dyDescent="0.2">
      <c r="A74" s="4"/>
      <c r="B74" s="147">
        <v>3</v>
      </c>
      <c r="C74" s="148"/>
      <c r="D74" s="168" t="s">
        <v>225</v>
      </c>
      <c r="E74" s="169"/>
      <c r="F74" s="169"/>
      <c r="G74" s="169"/>
      <c r="H74" s="170"/>
      <c r="I74" s="168" t="s">
        <v>231</v>
      </c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70"/>
    </row>
    <row r="75" spans="1:36" ht="15" customHeight="1" x14ac:dyDescent="0.2">
      <c r="A75" s="4"/>
      <c r="B75" s="166"/>
      <c r="C75" s="167"/>
      <c r="D75" s="171"/>
      <c r="E75" s="172"/>
      <c r="F75" s="172"/>
      <c r="G75" s="172"/>
      <c r="H75" s="173"/>
      <c r="I75" s="171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3"/>
    </row>
    <row r="76" spans="1:36" ht="15" customHeight="1" x14ac:dyDescent="0.2">
      <c r="A76" s="4"/>
      <c r="B76" s="149"/>
      <c r="C76" s="150"/>
      <c r="D76" s="174"/>
      <c r="E76" s="175"/>
      <c r="F76" s="175"/>
      <c r="G76" s="175"/>
      <c r="H76" s="176"/>
      <c r="I76" s="174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6"/>
    </row>
    <row r="77" spans="1:36" ht="15" customHeight="1" x14ac:dyDescent="0.2">
      <c r="A77" s="4"/>
      <c r="B77" s="147">
        <v>4</v>
      </c>
      <c r="C77" s="148"/>
      <c r="D77" s="15" t="s">
        <v>47</v>
      </c>
      <c r="E77" s="17"/>
      <c r="F77" s="17"/>
      <c r="G77" s="17"/>
      <c r="H77" s="17"/>
      <c r="I77" s="31" t="s">
        <v>137</v>
      </c>
      <c r="AJ77" s="19"/>
    </row>
    <row r="78" spans="1:36" ht="15" customHeight="1" x14ac:dyDescent="0.2">
      <c r="A78" s="4"/>
      <c r="B78" s="149"/>
      <c r="C78" s="150"/>
      <c r="D78" s="16"/>
      <c r="E78" s="20"/>
      <c r="F78" s="20"/>
      <c r="G78" s="20"/>
      <c r="H78" s="20"/>
      <c r="I78" s="26"/>
      <c r="AJ78" s="19"/>
    </row>
    <row r="79" spans="1:36" ht="15" customHeight="1" x14ac:dyDescent="0.2">
      <c r="A79" s="4"/>
      <c r="B79" s="147">
        <v>5</v>
      </c>
      <c r="C79" s="148"/>
      <c r="D79" s="44" t="s">
        <v>49</v>
      </c>
      <c r="E79" s="17"/>
      <c r="F79" s="17"/>
      <c r="G79" s="17"/>
      <c r="H79" s="17"/>
      <c r="I79" s="31" t="s">
        <v>138</v>
      </c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3"/>
    </row>
    <row r="80" spans="1:36" ht="15" customHeight="1" x14ac:dyDescent="0.2">
      <c r="A80" s="4"/>
      <c r="B80" s="149"/>
      <c r="C80" s="150"/>
      <c r="D80" s="16"/>
      <c r="E80" s="20"/>
      <c r="F80" s="20"/>
      <c r="G80" s="20"/>
      <c r="H80" s="20"/>
      <c r="I80" s="21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3"/>
    </row>
    <row r="81" spans="1:36" ht="15" customHeight="1" x14ac:dyDescent="0.2">
      <c r="A81" s="4"/>
      <c r="B81" s="147">
        <v>6</v>
      </c>
      <c r="C81" s="148"/>
      <c r="D81" s="44" t="s">
        <v>52</v>
      </c>
      <c r="E81" s="18"/>
      <c r="F81" s="18"/>
      <c r="G81" s="18"/>
      <c r="H81" s="18"/>
      <c r="I81" s="26" t="s">
        <v>140</v>
      </c>
      <c r="AJ81" s="19"/>
    </row>
    <row r="82" spans="1:36" ht="15" customHeight="1" x14ac:dyDescent="0.2">
      <c r="A82" s="4"/>
      <c r="B82" s="149"/>
      <c r="C82" s="150"/>
      <c r="D82" s="16" t="s">
        <v>54</v>
      </c>
      <c r="E82" s="20"/>
      <c r="F82" s="20"/>
      <c r="G82" s="20"/>
      <c r="H82" s="20"/>
      <c r="I82" s="21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3"/>
    </row>
    <row r="83" spans="1:36" ht="15" customHeight="1" x14ac:dyDescent="0.2">
      <c r="A83" s="4"/>
      <c r="C83" s="12"/>
      <c r="J83" s="17"/>
      <c r="K83" s="17"/>
      <c r="AA83" s="34"/>
      <c r="AB83" s="34"/>
      <c r="AC83" s="34"/>
      <c r="AD83" s="34"/>
      <c r="AE83" s="34"/>
      <c r="AF83" s="34"/>
      <c r="AG83" s="34"/>
    </row>
    <row r="85" spans="1:36" ht="15" customHeight="1" x14ac:dyDescent="0.2">
      <c r="A85" s="3" t="s">
        <v>55</v>
      </c>
    </row>
    <row r="87" spans="1:36" ht="15" customHeight="1" x14ac:dyDescent="0.2">
      <c r="B87" s="136" t="s">
        <v>56</v>
      </c>
      <c r="C87" s="137"/>
      <c r="D87" s="137"/>
      <c r="E87" s="137"/>
      <c r="F87" s="35"/>
      <c r="G87" s="35"/>
      <c r="H87" s="35"/>
      <c r="I87" s="36"/>
      <c r="J87" s="45" t="s">
        <v>151</v>
      </c>
      <c r="K87" s="45"/>
      <c r="L87" s="48"/>
      <c r="M87" s="45"/>
      <c r="N87" s="45"/>
      <c r="O87" s="48"/>
      <c r="P87" s="45" t="s">
        <v>221</v>
      </c>
      <c r="Q87" s="45"/>
      <c r="R87" s="48"/>
      <c r="S87" s="45"/>
      <c r="T87" s="45"/>
      <c r="U87" s="48"/>
      <c r="V87" s="45" t="s">
        <v>222</v>
      </c>
      <c r="W87" s="45"/>
      <c r="X87" s="45"/>
      <c r="Y87" s="45"/>
      <c r="Z87" s="45"/>
      <c r="AA87" s="45"/>
      <c r="AB87" s="45" t="s">
        <v>223</v>
      </c>
      <c r="AC87" s="45"/>
      <c r="AD87" s="45"/>
      <c r="AE87" s="45"/>
      <c r="AF87" s="45"/>
      <c r="AG87" s="45"/>
      <c r="AH87" s="45" t="s">
        <v>109</v>
      </c>
      <c r="AI87" s="45"/>
      <c r="AJ87" s="37"/>
    </row>
    <row r="88" spans="1:36" ht="5" customHeight="1" x14ac:dyDescent="0.2">
      <c r="B88" s="59"/>
      <c r="C88" s="60"/>
      <c r="D88" s="60"/>
      <c r="E88" s="60"/>
      <c r="F88" s="60"/>
      <c r="G88" s="60"/>
      <c r="H88" s="60"/>
      <c r="I88" s="61"/>
      <c r="J88" s="62"/>
      <c r="K88" s="62"/>
      <c r="L88" s="32"/>
      <c r="M88" s="62"/>
      <c r="N88" s="62"/>
      <c r="O88" s="32"/>
      <c r="P88" s="62"/>
      <c r="Q88" s="62"/>
      <c r="R88" s="32"/>
      <c r="S88" s="62"/>
      <c r="T88" s="62"/>
      <c r="U88" s="3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3"/>
    </row>
    <row r="89" spans="1:36" ht="15" customHeight="1" x14ac:dyDescent="0.2">
      <c r="B89" s="15" t="s">
        <v>224</v>
      </c>
      <c r="I89" s="19"/>
      <c r="J89" s="26"/>
      <c r="AJ89" s="19"/>
    </row>
    <row r="90" spans="1:36" ht="5" customHeight="1" x14ac:dyDescent="0.2">
      <c r="B90" s="64"/>
      <c r="C90" s="43"/>
      <c r="D90" s="43"/>
      <c r="E90" s="43"/>
      <c r="F90" s="43"/>
      <c r="G90" s="43"/>
      <c r="H90" s="43"/>
      <c r="I90" s="65"/>
      <c r="J90" s="66"/>
      <c r="K90" s="66"/>
      <c r="M90" s="66"/>
      <c r="N90" s="66"/>
      <c r="P90" s="66"/>
      <c r="Q90" s="66"/>
      <c r="S90" s="66"/>
      <c r="T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7"/>
    </row>
    <row r="91" spans="1:36" ht="15" customHeight="1" x14ac:dyDescent="0.2">
      <c r="B91" s="15"/>
      <c r="I91" s="19"/>
      <c r="J91" s="26"/>
      <c r="AJ91" s="19"/>
    </row>
    <row r="92" spans="1:36" ht="5" customHeight="1" x14ac:dyDescent="0.2">
      <c r="B92" s="16"/>
      <c r="C92" s="22"/>
      <c r="D92" s="22"/>
      <c r="E92" s="22"/>
      <c r="F92" s="22"/>
      <c r="G92" s="22"/>
      <c r="H92" s="22"/>
      <c r="I92" s="23"/>
      <c r="J92" s="21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3"/>
    </row>
    <row r="93" spans="1:36" ht="5" customHeight="1" x14ac:dyDescent="0.2">
      <c r="B93" s="59"/>
      <c r="C93" s="60"/>
      <c r="D93" s="60"/>
      <c r="E93" s="60"/>
      <c r="F93" s="60"/>
      <c r="G93" s="60"/>
      <c r="H93" s="60"/>
      <c r="I93" s="61"/>
      <c r="J93" s="62"/>
      <c r="K93" s="62"/>
      <c r="L93" s="32"/>
      <c r="M93" s="62"/>
      <c r="N93" s="62"/>
      <c r="O93" s="32"/>
      <c r="P93" s="62"/>
      <c r="Q93" s="62"/>
      <c r="R93" s="32"/>
      <c r="S93" s="62"/>
      <c r="T93" s="62"/>
      <c r="U93" s="3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3"/>
    </row>
    <row r="94" spans="1:36" ht="15" customHeight="1" x14ac:dyDescent="0.2">
      <c r="B94" s="15" t="s">
        <v>42</v>
      </c>
      <c r="I94" s="19"/>
      <c r="J94" s="26"/>
      <c r="AJ94" s="19"/>
    </row>
    <row r="95" spans="1:36" ht="5" customHeight="1" x14ac:dyDescent="0.2">
      <c r="B95" s="16"/>
      <c r="C95" s="22"/>
      <c r="D95" s="22"/>
      <c r="E95" s="22"/>
      <c r="F95" s="22"/>
      <c r="G95" s="22"/>
      <c r="H95" s="22"/>
      <c r="I95" s="23"/>
      <c r="J95" s="21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3"/>
    </row>
    <row r="96" spans="1:36" ht="5" customHeight="1" x14ac:dyDescent="0.2">
      <c r="B96" s="59"/>
      <c r="C96" s="60"/>
      <c r="D96" s="60"/>
      <c r="E96" s="60"/>
      <c r="F96" s="60"/>
      <c r="G96" s="60"/>
      <c r="H96" s="60"/>
      <c r="I96" s="61"/>
      <c r="J96" s="62"/>
      <c r="K96" s="62"/>
      <c r="L96" s="32"/>
      <c r="M96" s="62"/>
      <c r="N96" s="62"/>
      <c r="O96" s="32"/>
      <c r="P96" s="62"/>
      <c r="Q96" s="62"/>
      <c r="R96" s="32"/>
      <c r="S96" s="62"/>
      <c r="T96" s="62"/>
      <c r="U96" s="3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3"/>
    </row>
    <row r="97" spans="1:36" ht="15" customHeight="1" x14ac:dyDescent="0.2">
      <c r="B97" s="15" t="s">
        <v>225</v>
      </c>
      <c r="I97" s="19"/>
      <c r="J97" s="26"/>
      <c r="AJ97" s="19"/>
    </row>
    <row r="98" spans="1:36" ht="5" customHeight="1" x14ac:dyDescent="0.2">
      <c r="B98" s="16"/>
      <c r="C98" s="22"/>
      <c r="D98" s="22"/>
      <c r="E98" s="22"/>
      <c r="F98" s="22"/>
      <c r="G98" s="22"/>
      <c r="H98" s="22"/>
      <c r="I98" s="23"/>
      <c r="J98" s="21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3"/>
    </row>
    <row r="99" spans="1:36" ht="5" customHeight="1" x14ac:dyDescent="0.2">
      <c r="B99" s="59"/>
      <c r="C99" s="60"/>
      <c r="D99" s="60"/>
      <c r="E99" s="60"/>
      <c r="F99" s="60"/>
      <c r="G99" s="60"/>
      <c r="H99" s="60"/>
      <c r="I99" s="61"/>
      <c r="J99" s="62"/>
      <c r="K99" s="62"/>
      <c r="L99" s="32"/>
      <c r="M99" s="62"/>
      <c r="N99" s="62"/>
      <c r="O99" s="32"/>
      <c r="P99" s="62"/>
      <c r="Q99" s="62"/>
      <c r="R99" s="32"/>
      <c r="S99" s="62"/>
      <c r="T99" s="62"/>
      <c r="U99" s="3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3"/>
    </row>
    <row r="100" spans="1:36" ht="15" customHeight="1" x14ac:dyDescent="0.2">
      <c r="B100" s="15" t="s">
        <v>47</v>
      </c>
      <c r="I100" s="19"/>
      <c r="J100" s="26"/>
      <c r="AJ100" s="19"/>
    </row>
    <row r="101" spans="1:36" ht="5" customHeight="1" x14ac:dyDescent="0.2">
      <c r="B101" s="64"/>
      <c r="C101" s="43"/>
      <c r="D101" s="43"/>
      <c r="E101" s="43"/>
      <c r="F101" s="43"/>
      <c r="G101" s="43"/>
      <c r="H101" s="43"/>
      <c r="I101" s="65"/>
      <c r="J101" s="66"/>
      <c r="K101" s="66"/>
      <c r="M101" s="66"/>
      <c r="N101" s="66"/>
      <c r="P101" s="66"/>
      <c r="Q101" s="66"/>
      <c r="S101" s="66"/>
      <c r="T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7"/>
    </row>
    <row r="102" spans="1:36" ht="15" customHeight="1" x14ac:dyDescent="0.2">
      <c r="B102" s="15"/>
      <c r="I102" s="19"/>
      <c r="J102" s="26"/>
      <c r="AJ102" s="19"/>
    </row>
    <row r="103" spans="1:36" ht="5" customHeight="1" x14ac:dyDescent="0.2">
      <c r="B103" s="16"/>
      <c r="C103" s="22"/>
      <c r="D103" s="22"/>
      <c r="E103" s="22"/>
      <c r="F103" s="22"/>
      <c r="G103" s="22"/>
      <c r="H103" s="22"/>
      <c r="I103" s="23"/>
      <c r="J103" s="21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3"/>
    </row>
    <row r="104" spans="1:36" ht="5" customHeight="1" x14ac:dyDescent="0.2">
      <c r="B104" s="59"/>
      <c r="C104" s="60"/>
      <c r="D104" s="60"/>
      <c r="E104" s="60"/>
      <c r="F104" s="60"/>
      <c r="G104" s="60"/>
      <c r="H104" s="60"/>
      <c r="I104" s="61"/>
      <c r="J104" s="62"/>
      <c r="K104" s="62"/>
      <c r="L104" s="32"/>
      <c r="M104" s="62"/>
      <c r="N104" s="62"/>
      <c r="O104" s="32"/>
      <c r="P104" s="62"/>
      <c r="Q104" s="62"/>
      <c r="R104" s="32"/>
      <c r="S104" s="62"/>
      <c r="T104" s="62"/>
      <c r="U104" s="3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3"/>
    </row>
    <row r="105" spans="1:36" ht="15" customHeight="1" x14ac:dyDescent="0.2">
      <c r="B105" s="15" t="s">
        <v>152</v>
      </c>
      <c r="I105" s="19"/>
      <c r="J105" s="26"/>
      <c r="AJ105" s="19"/>
    </row>
    <row r="106" spans="1:36" ht="5" customHeight="1" x14ac:dyDescent="0.2">
      <c r="B106" s="16"/>
      <c r="C106" s="22"/>
      <c r="D106" s="22"/>
      <c r="E106" s="22"/>
      <c r="F106" s="22"/>
      <c r="G106" s="22"/>
      <c r="H106" s="22"/>
      <c r="I106" s="23"/>
      <c r="J106" s="21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3"/>
    </row>
    <row r="107" spans="1:36" ht="15" customHeight="1" x14ac:dyDescent="0.2">
      <c r="A107" s="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T107" s="24"/>
      <c r="U107" s="4" t="s">
        <v>59</v>
      </c>
      <c r="V107" s="24"/>
      <c r="X107" s="24"/>
      <c r="Y107" s="4" t="s">
        <v>60</v>
      </c>
      <c r="AA107" s="24"/>
      <c r="AB107" s="24"/>
      <c r="AE107" s="4" t="s">
        <v>61</v>
      </c>
    </row>
    <row r="109" spans="1:36" ht="15" customHeight="1" x14ac:dyDescent="0.2">
      <c r="A109" s="4"/>
      <c r="V109" s="14"/>
    </row>
    <row r="110" spans="1:36" ht="15" customHeight="1" x14ac:dyDescent="0.2">
      <c r="A110" s="3" t="s">
        <v>62</v>
      </c>
    </row>
    <row r="111" spans="1:36" ht="15" customHeight="1" thickBot="1" x14ac:dyDescent="0.25">
      <c r="A111" s="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6" ht="15" customHeight="1" thickTop="1" x14ac:dyDescent="0.2">
      <c r="C112" s="130" t="s">
        <v>153</v>
      </c>
      <c r="D112" s="131"/>
      <c r="E112" s="131"/>
      <c r="F112" s="131"/>
      <c r="G112" s="131"/>
      <c r="H112" s="132"/>
      <c r="I112" s="27"/>
      <c r="J112" s="27"/>
      <c r="K112" s="27"/>
      <c r="L112" s="27"/>
      <c r="M112" s="130" t="s">
        <v>154</v>
      </c>
      <c r="N112" s="131"/>
      <c r="O112" s="131"/>
      <c r="P112" s="131"/>
      <c r="Q112" s="131"/>
      <c r="R112" s="132"/>
      <c r="S112" s="28"/>
      <c r="T112" s="27"/>
      <c r="U112" s="27"/>
      <c r="V112" s="29"/>
      <c r="W112" s="130" t="s">
        <v>232</v>
      </c>
      <c r="X112" s="131"/>
      <c r="Y112" s="131"/>
      <c r="Z112" s="131"/>
      <c r="AA112" s="131"/>
      <c r="AB112" s="132"/>
      <c r="AC112" s="24"/>
      <c r="AD112" s="24"/>
      <c r="AE112" s="24"/>
      <c r="AF112" s="24"/>
      <c r="AG112" s="24"/>
    </row>
    <row r="113" spans="1:33" ht="15" customHeight="1" thickBot="1" x14ac:dyDescent="0.25">
      <c r="A113" s="4"/>
      <c r="C113" s="133"/>
      <c r="D113" s="134"/>
      <c r="E113" s="134"/>
      <c r="F113" s="134"/>
      <c r="G113" s="134"/>
      <c r="H113" s="135"/>
      <c r="I113" s="1"/>
      <c r="J113" s="1"/>
      <c r="K113" s="1"/>
      <c r="L113" s="1"/>
      <c r="M113" s="133"/>
      <c r="N113" s="134"/>
      <c r="O113" s="134"/>
      <c r="P113" s="134"/>
      <c r="Q113" s="134"/>
      <c r="R113" s="135"/>
      <c r="S113" s="1"/>
      <c r="T113" s="30"/>
      <c r="U113" s="30"/>
      <c r="V113" s="30"/>
      <c r="W113" s="133"/>
      <c r="X113" s="134"/>
      <c r="Y113" s="134"/>
      <c r="Z113" s="134"/>
      <c r="AA113" s="134"/>
      <c r="AB113" s="135"/>
      <c r="AC113" s="24"/>
      <c r="AD113" s="24"/>
      <c r="AE113" s="24"/>
      <c r="AF113" s="24"/>
      <c r="AG113" s="24"/>
    </row>
    <row r="114" spans="1:33" ht="15" customHeight="1" thickTop="1" thickBot="1" x14ac:dyDescent="0.25">
      <c r="A114" s="4"/>
      <c r="I114" s="24"/>
      <c r="J114" s="24"/>
      <c r="K114" s="24"/>
      <c r="L114" s="24"/>
      <c r="M114" s="24"/>
      <c r="N114" s="24"/>
      <c r="O114" s="24"/>
      <c r="P114" s="46"/>
      <c r="Q114" s="24"/>
      <c r="R114" s="24"/>
      <c r="S114" s="24"/>
      <c r="T114" s="24"/>
      <c r="U114" s="1"/>
      <c r="V114" s="1"/>
      <c r="W114" s="1"/>
      <c r="X114" s="1"/>
      <c r="Y114" s="1"/>
      <c r="Z114" s="1"/>
      <c r="AA114" s="1"/>
      <c r="AB114" s="1"/>
      <c r="AC114" s="24"/>
      <c r="AD114" s="24"/>
      <c r="AE114" s="24"/>
      <c r="AF114" s="24"/>
      <c r="AG114" s="24"/>
    </row>
    <row r="115" spans="1:33" ht="15" customHeight="1" thickTop="1" x14ac:dyDescent="0.2">
      <c r="A115" s="4"/>
      <c r="I115" s="24"/>
      <c r="J115" s="24"/>
      <c r="K115" s="24"/>
      <c r="L115" s="24"/>
      <c r="M115" s="130" t="s">
        <v>155</v>
      </c>
      <c r="N115" s="131"/>
      <c r="O115" s="131"/>
      <c r="P115" s="131"/>
      <c r="Q115" s="131"/>
      <c r="R115" s="132"/>
      <c r="S115" s="24"/>
      <c r="T115" s="24"/>
      <c r="U115" s="1"/>
      <c r="V115" s="1"/>
      <c r="W115" s="1"/>
      <c r="X115" s="1"/>
      <c r="AC115" s="24"/>
      <c r="AD115" s="24"/>
      <c r="AE115" s="24"/>
      <c r="AF115" s="24"/>
      <c r="AG115" s="24"/>
    </row>
    <row r="116" spans="1:33" ht="15" customHeight="1" thickBot="1" x14ac:dyDescent="0.25">
      <c r="M116" s="133"/>
      <c r="N116" s="134"/>
      <c r="O116" s="134"/>
      <c r="P116" s="134"/>
      <c r="Q116" s="134"/>
      <c r="R116" s="135"/>
      <c r="U116" s="1"/>
    </row>
    <row r="117" spans="1:33" ht="15" customHeight="1" thickTop="1" x14ac:dyDescent="0.2"/>
    <row r="118" spans="1:33" ht="15" customHeight="1" x14ac:dyDescent="0.2">
      <c r="A118" s="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" customHeight="1" x14ac:dyDescent="0.2">
      <c r="A119" s="3" t="s">
        <v>66</v>
      </c>
    </row>
    <row r="121" spans="1:33" ht="15" customHeight="1" x14ac:dyDescent="0.2">
      <c r="B121" s="4" t="s">
        <v>67</v>
      </c>
    </row>
    <row r="122" spans="1:33" ht="15" customHeight="1" x14ac:dyDescent="0.2">
      <c r="C122" s="4" t="s">
        <v>141</v>
      </c>
    </row>
    <row r="123" spans="1:33" ht="15" customHeight="1" x14ac:dyDescent="0.2">
      <c r="B123" s="25" t="s">
        <v>69</v>
      </c>
      <c r="C123" s="47"/>
    </row>
    <row r="124" spans="1:33" ht="15" customHeight="1" x14ac:dyDescent="0.2">
      <c r="B124" s="4" t="s">
        <v>70</v>
      </c>
    </row>
    <row r="125" spans="1:33" ht="15" customHeight="1" x14ac:dyDescent="0.2">
      <c r="C125" s="4" t="s">
        <v>142</v>
      </c>
    </row>
    <row r="126" spans="1:33" ht="15" customHeight="1" x14ac:dyDescent="0.2">
      <c r="C126" s="4" t="s">
        <v>71</v>
      </c>
    </row>
    <row r="127" spans="1:33" ht="15" customHeight="1" x14ac:dyDescent="0.2">
      <c r="C127" s="4" t="s">
        <v>72</v>
      </c>
    </row>
    <row r="128" spans="1:33" ht="15" customHeight="1" x14ac:dyDescent="0.2">
      <c r="B128" s="25" t="s">
        <v>69</v>
      </c>
      <c r="C128" s="47"/>
    </row>
    <row r="129" spans="1:3" ht="15" customHeight="1" x14ac:dyDescent="0.2">
      <c r="B129" s="4" t="s">
        <v>73</v>
      </c>
      <c r="C129" s="25"/>
    </row>
    <row r="130" spans="1:3" ht="15" customHeight="1" x14ac:dyDescent="0.2">
      <c r="C130" s="25" t="s">
        <v>143</v>
      </c>
    </row>
    <row r="131" spans="1:3" ht="15" customHeight="1" x14ac:dyDescent="0.2">
      <c r="C131" s="4" t="s">
        <v>144</v>
      </c>
    </row>
    <row r="133" spans="1:3" ht="15" customHeight="1" x14ac:dyDescent="0.2">
      <c r="A133" s="4"/>
      <c r="B133" s="4" t="s">
        <v>76</v>
      </c>
    </row>
    <row r="134" spans="1:3" ht="15" customHeight="1" x14ac:dyDescent="0.2">
      <c r="A134" s="4"/>
      <c r="C134" s="4" t="s">
        <v>145</v>
      </c>
    </row>
    <row r="135" spans="1:3" ht="15" customHeight="1" x14ac:dyDescent="0.2">
      <c r="A135" s="4"/>
      <c r="C135" s="4" t="s">
        <v>146</v>
      </c>
    </row>
    <row r="136" spans="1:3" ht="15" customHeight="1" x14ac:dyDescent="0.2">
      <c r="A136" s="4"/>
    </row>
    <row r="137" spans="1:3" ht="15" customHeight="1" x14ac:dyDescent="0.2">
      <c r="A137" s="4"/>
      <c r="B137" s="4" t="s">
        <v>79</v>
      </c>
    </row>
    <row r="138" spans="1:3" ht="15" customHeight="1" x14ac:dyDescent="0.2">
      <c r="A138" s="4"/>
      <c r="C138" s="4" t="s">
        <v>147</v>
      </c>
    </row>
    <row r="140" spans="1:3" ht="15" customHeight="1" x14ac:dyDescent="0.2">
      <c r="B140" s="4" t="s">
        <v>81</v>
      </c>
    </row>
    <row r="141" spans="1:3" ht="15" customHeight="1" x14ac:dyDescent="0.2">
      <c r="C141" s="4" t="s">
        <v>148</v>
      </c>
    </row>
    <row r="143" spans="1:3" ht="15" customHeight="1" x14ac:dyDescent="0.2">
      <c r="B143" s="4" t="s">
        <v>83</v>
      </c>
    </row>
    <row r="144" spans="1:3" ht="15" customHeight="1" x14ac:dyDescent="0.2">
      <c r="C144" s="4" t="s">
        <v>149</v>
      </c>
    </row>
    <row r="146" spans="2:3" ht="15" customHeight="1" x14ac:dyDescent="0.2">
      <c r="B146" s="4" t="s">
        <v>233</v>
      </c>
    </row>
    <row r="147" spans="2:3" ht="15" customHeight="1" x14ac:dyDescent="0.2">
      <c r="C147" s="4" t="s">
        <v>234</v>
      </c>
    </row>
    <row r="149" spans="2:3" ht="15" customHeight="1" x14ac:dyDescent="0.2">
      <c r="C149" s="25"/>
    </row>
    <row r="150" spans="2:3" ht="15" customHeight="1" x14ac:dyDescent="0.2">
      <c r="C150" s="25"/>
    </row>
    <row r="151" spans="2:3" ht="15" customHeight="1" x14ac:dyDescent="0.2">
      <c r="C151" s="25"/>
    </row>
  </sheetData>
  <mergeCells count="35">
    <mergeCell ref="D69:H71"/>
    <mergeCell ref="I69:AJ71"/>
    <mergeCell ref="D74:H76"/>
    <mergeCell ref="I74:AJ76"/>
    <mergeCell ref="B79:C80"/>
    <mergeCell ref="B81:C82"/>
    <mergeCell ref="B77:C78"/>
    <mergeCell ref="B69:C71"/>
    <mergeCell ref="B72:C73"/>
    <mergeCell ref="B74:C76"/>
    <mergeCell ref="C112:H113"/>
    <mergeCell ref="M112:R113"/>
    <mergeCell ref="M115:R116"/>
    <mergeCell ref="B87:E87"/>
    <mergeCell ref="W112:AB113"/>
    <mergeCell ref="B38:C38"/>
    <mergeCell ref="AE38:AJ38"/>
    <mergeCell ref="B37:C37"/>
    <mergeCell ref="AE37:AJ37"/>
    <mergeCell ref="B43:AD43"/>
    <mergeCell ref="AE43:AJ43"/>
    <mergeCell ref="B39:C39"/>
    <mergeCell ref="AE39:AJ39"/>
    <mergeCell ref="B40:C40"/>
    <mergeCell ref="B41:C41"/>
    <mergeCell ref="B42:C42"/>
    <mergeCell ref="AE40:AJ40"/>
    <mergeCell ref="AE41:AJ41"/>
    <mergeCell ref="AE42:AJ42"/>
    <mergeCell ref="D36:AD36"/>
    <mergeCell ref="AF2:AJ2"/>
    <mergeCell ref="A5:Q6"/>
    <mergeCell ref="A9:E10"/>
    <mergeCell ref="F9:Q10"/>
    <mergeCell ref="A1:S2"/>
  </mergeCells>
  <phoneticPr fontId="7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  <rowBreaks count="4" manualBreakCount="4">
    <brk id="51" max="35" man="1"/>
    <brk id="66" max="35" man="1"/>
    <brk id="118" max="35" man="1"/>
    <brk id="146" max="3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5"/>
  <sheetViews>
    <sheetView showGridLines="0" tabSelected="1" topLeftCell="A16" zoomScale="130" zoomScaleNormal="130" zoomScaleSheetLayoutView="100" workbookViewId="0">
      <selection activeCell="AO39" sqref="AO39"/>
    </sheetView>
  </sheetViews>
  <sheetFormatPr defaultColWidth="2.453125" defaultRowHeight="15" customHeight="1" x14ac:dyDescent="0.2"/>
  <cols>
    <col min="1" max="1" width="2.453125" style="3"/>
    <col min="2" max="27" width="2.453125" style="4"/>
    <col min="28" max="28" width="2.453125" style="4" customWidth="1"/>
    <col min="29" max="45" width="2.453125" style="4"/>
    <col min="46" max="46" width="5.453125" style="4" customWidth="1"/>
    <col min="47" max="16384" width="2.453125" style="4"/>
  </cols>
  <sheetData>
    <row r="1" spans="1:37" s="1" customFormat="1" ht="15" customHeight="1" x14ac:dyDescent="0.2">
      <c r="A1" s="154" t="s">
        <v>85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 x14ac:dyDescent="0.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Y2" s="11" t="s">
        <v>3</v>
      </c>
      <c r="Z2" s="11"/>
      <c r="AA2" s="11"/>
      <c r="AB2" s="11"/>
      <c r="AC2" s="11"/>
      <c r="AD2" s="11"/>
      <c r="AE2" s="11"/>
      <c r="AF2" s="155">
        <v>45901</v>
      </c>
      <c r="AG2" s="156"/>
      <c r="AH2" s="156"/>
      <c r="AI2" s="156"/>
      <c r="AJ2" s="156"/>
      <c r="AK2" s="4"/>
    </row>
    <row r="3" spans="1:37" s="1" customFormat="1" ht="15" customHeight="1" x14ac:dyDescent="0.2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 x14ac:dyDescent="0.2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 x14ac:dyDescent="0.2">
      <c r="A5" s="157" t="s">
        <v>4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 x14ac:dyDescent="0.2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 x14ac:dyDescent="0.2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 x14ac:dyDescent="0.2">
      <c r="A9" s="159" t="s">
        <v>5</v>
      </c>
      <c r="B9" s="159"/>
      <c r="C9" s="159"/>
      <c r="D9" s="159"/>
      <c r="E9" s="159"/>
      <c r="F9" s="161">
        <f>AE43</f>
        <v>3752000</v>
      </c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 x14ac:dyDescent="0.2">
      <c r="A10" s="160"/>
      <c r="B10" s="160"/>
      <c r="C10" s="160"/>
      <c r="D10" s="160"/>
      <c r="E10" s="160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 x14ac:dyDescent="0.2">
      <c r="A11" s="2"/>
    </row>
    <row r="12" spans="1:37" s="1" customFormat="1" ht="15" customHeight="1" x14ac:dyDescent="0.2">
      <c r="A12" s="2"/>
    </row>
    <row r="13" spans="1:37" ht="15" customHeight="1" x14ac:dyDescent="0.2">
      <c r="A13" s="3" t="s">
        <v>6</v>
      </c>
    </row>
    <row r="15" spans="1:37" ht="15" customHeight="1" x14ac:dyDescent="0.2">
      <c r="B15" s="4" t="str">
        <f>'御見積詳細書 (顧客用)'!B15</f>
        <v>MESシステム　千葉工場製造一課開発対応</v>
      </c>
    </row>
    <row r="18" spans="1:16" ht="15" customHeight="1" x14ac:dyDescent="0.2">
      <c r="A18" s="4"/>
    </row>
    <row r="19" spans="1:16" ht="15" customHeight="1" x14ac:dyDescent="0.2">
      <c r="A19" s="3" t="s">
        <v>8</v>
      </c>
      <c r="P19" s="3"/>
    </row>
    <row r="20" spans="1:16" ht="15" customHeight="1" x14ac:dyDescent="0.2">
      <c r="A20" s="4"/>
    </row>
    <row r="21" spans="1:16" ht="15" customHeight="1" x14ac:dyDescent="0.2">
      <c r="A21" s="4"/>
      <c r="B21" s="4" t="s">
        <v>9</v>
      </c>
    </row>
    <row r="22" spans="1:16" ht="15" customHeight="1" x14ac:dyDescent="0.2">
      <c r="A22" s="4"/>
    </row>
    <row r="23" spans="1:16" ht="15" customHeight="1" x14ac:dyDescent="0.2">
      <c r="A23" s="4"/>
    </row>
    <row r="24" spans="1:16" ht="15" customHeight="1" x14ac:dyDescent="0.2">
      <c r="A24" s="3" t="s">
        <v>10</v>
      </c>
    </row>
    <row r="25" spans="1:16" ht="15" customHeight="1" x14ac:dyDescent="0.2">
      <c r="A25" s="4"/>
    </row>
    <row r="26" spans="1:16" ht="15" customHeight="1" x14ac:dyDescent="0.2">
      <c r="A26" s="4"/>
      <c r="B26" s="4" t="s">
        <v>11</v>
      </c>
    </row>
    <row r="27" spans="1:16" ht="15" customHeight="1" x14ac:dyDescent="0.2">
      <c r="A27" s="4"/>
    </row>
    <row r="28" spans="1:16" ht="15" customHeight="1" x14ac:dyDescent="0.2">
      <c r="A28" s="4"/>
    </row>
    <row r="29" spans="1:16" ht="15" customHeight="1" x14ac:dyDescent="0.2">
      <c r="A29" s="3" t="s">
        <v>12</v>
      </c>
    </row>
    <row r="31" spans="1:16" ht="15" customHeight="1" x14ac:dyDescent="0.2">
      <c r="A31" s="4"/>
      <c r="B31" s="4" t="str">
        <f>'御見積詳細書 (顧客用)'!B31</f>
        <v>2025年9月15日 ～ 2026年1月15日</v>
      </c>
    </row>
    <row r="32" spans="1:16" ht="15" customHeight="1" x14ac:dyDescent="0.2">
      <c r="A32" s="4"/>
    </row>
    <row r="33" spans="1:49" ht="15" customHeight="1" x14ac:dyDescent="0.2">
      <c r="A33" s="4"/>
    </row>
    <row r="34" spans="1:49" ht="15" customHeight="1" x14ac:dyDescent="0.2">
      <c r="A34" s="3" t="s">
        <v>13</v>
      </c>
    </row>
    <row r="35" spans="1:49" ht="15" customHeight="1" x14ac:dyDescent="0.2">
      <c r="A35" s="4"/>
    </row>
    <row r="36" spans="1:49" ht="15" customHeight="1" x14ac:dyDescent="0.2">
      <c r="A36" s="4"/>
      <c r="B36" s="5" t="s">
        <v>14</v>
      </c>
      <c r="C36" s="6"/>
      <c r="D36" s="179" t="s">
        <v>15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1"/>
      <c r="S36" s="152" t="s">
        <v>86</v>
      </c>
      <c r="T36" s="137"/>
      <c r="U36" s="137"/>
      <c r="V36" s="137"/>
      <c r="W36" s="137"/>
      <c r="X36" s="153"/>
      <c r="Y36" s="5" t="s">
        <v>87</v>
      </c>
      <c r="Z36" s="7"/>
      <c r="AA36" s="7"/>
      <c r="AB36" s="7"/>
      <c r="AC36" s="7"/>
      <c r="AD36" s="7"/>
      <c r="AE36" s="5" t="s">
        <v>16</v>
      </c>
      <c r="AF36" s="7"/>
      <c r="AG36" s="7"/>
      <c r="AH36" s="7"/>
      <c r="AI36" s="7"/>
      <c r="AJ36" s="6"/>
    </row>
    <row r="37" spans="1:49" ht="15" customHeight="1" x14ac:dyDescent="0.2">
      <c r="A37" s="4"/>
      <c r="B37" s="138">
        <v>1</v>
      </c>
      <c r="C37" s="139"/>
      <c r="D37" s="42" t="s">
        <v>133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9"/>
      <c r="S37" s="182">
        <v>1000000</v>
      </c>
      <c r="T37" s="183"/>
      <c r="U37" s="183"/>
      <c r="V37" s="183"/>
      <c r="W37" s="183"/>
      <c r="X37" s="184"/>
      <c r="Y37" s="185">
        <v>10</v>
      </c>
      <c r="Z37" s="186"/>
      <c r="AA37" s="186"/>
      <c r="AB37" s="186"/>
      <c r="AC37" s="177" t="s">
        <v>88</v>
      </c>
      <c r="AD37" s="178"/>
      <c r="AE37" s="140">
        <f t="shared" ref="AE37" si="0">S37/20*Y37</f>
        <v>500000</v>
      </c>
      <c r="AF37" s="141"/>
      <c r="AG37" s="141"/>
      <c r="AH37" s="141"/>
      <c r="AI37" s="141"/>
      <c r="AJ37" s="142"/>
    </row>
    <row r="38" spans="1:49" ht="15" customHeight="1" x14ac:dyDescent="0.2">
      <c r="A38" s="4"/>
      <c r="B38" s="138">
        <v>2</v>
      </c>
      <c r="C38" s="139"/>
      <c r="D38" s="42" t="s">
        <v>19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9"/>
      <c r="S38" s="182">
        <v>1000000</v>
      </c>
      <c r="T38" s="183"/>
      <c r="U38" s="183"/>
      <c r="V38" s="183"/>
      <c r="W38" s="183"/>
      <c r="X38" s="184"/>
      <c r="Y38" s="185">
        <v>27</v>
      </c>
      <c r="Z38" s="186"/>
      <c r="AA38" s="186"/>
      <c r="AB38" s="186"/>
      <c r="AC38" s="177" t="s">
        <v>88</v>
      </c>
      <c r="AD38" s="178"/>
      <c r="AE38" s="140">
        <f>S38/20*Y38</f>
        <v>1350000</v>
      </c>
      <c r="AF38" s="141"/>
      <c r="AG38" s="141"/>
      <c r="AH38" s="141"/>
      <c r="AI38" s="141"/>
      <c r="AJ38" s="142"/>
    </row>
    <row r="39" spans="1:49" ht="15" customHeight="1" x14ac:dyDescent="0.2">
      <c r="A39" s="4"/>
      <c r="B39" s="138">
        <v>3</v>
      </c>
      <c r="C39" s="139"/>
      <c r="D39" s="42" t="s">
        <v>134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9"/>
      <c r="S39" s="182">
        <v>1000000</v>
      </c>
      <c r="T39" s="183"/>
      <c r="U39" s="183"/>
      <c r="V39" s="183"/>
      <c r="W39" s="183"/>
      <c r="X39" s="184"/>
      <c r="Y39" s="185">
        <v>17</v>
      </c>
      <c r="Z39" s="186"/>
      <c r="AA39" s="186"/>
      <c r="AB39" s="186"/>
      <c r="AC39" s="177" t="s">
        <v>88</v>
      </c>
      <c r="AD39" s="178"/>
      <c r="AE39" s="140">
        <f>S39/20*Y39</f>
        <v>850000</v>
      </c>
      <c r="AF39" s="141"/>
      <c r="AG39" s="141"/>
      <c r="AH39" s="141"/>
      <c r="AI39" s="141"/>
      <c r="AJ39" s="142"/>
    </row>
    <row r="40" spans="1:49" ht="15" customHeight="1" x14ac:dyDescent="0.2">
      <c r="A40" s="4"/>
      <c r="B40" s="138">
        <v>4</v>
      </c>
      <c r="C40" s="139"/>
      <c r="D40" s="42" t="s">
        <v>21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9"/>
      <c r="S40" s="182">
        <v>1000000</v>
      </c>
      <c r="T40" s="183"/>
      <c r="U40" s="183"/>
      <c r="V40" s="183"/>
      <c r="W40" s="183"/>
      <c r="X40" s="184"/>
      <c r="Y40" s="185">
        <v>6</v>
      </c>
      <c r="Z40" s="186"/>
      <c r="AA40" s="186"/>
      <c r="AB40" s="186"/>
      <c r="AC40" s="177" t="s">
        <v>88</v>
      </c>
      <c r="AD40" s="178"/>
      <c r="AE40" s="140">
        <f>S40/20*Y40</f>
        <v>300000</v>
      </c>
      <c r="AF40" s="141"/>
      <c r="AG40" s="141"/>
      <c r="AH40" s="141"/>
      <c r="AI40" s="141"/>
      <c r="AJ40" s="142"/>
    </row>
    <row r="41" spans="1:49" ht="15" customHeight="1" x14ac:dyDescent="0.2">
      <c r="A41" s="4"/>
      <c r="B41" s="138">
        <v>5</v>
      </c>
      <c r="C41" s="139"/>
      <c r="D41" s="42" t="s">
        <v>22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182">
        <v>1000000</v>
      </c>
      <c r="T41" s="183"/>
      <c r="U41" s="183"/>
      <c r="V41" s="183"/>
      <c r="W41" s="183"/>
      <c r="X41" s="184"/>
      <c r="Y41" s="185">
        <v>2</v>
      </c>
      <c r="Z41" s="186"/>
      <c r="AA41" s="186"/>
      <c r="AB41" s="186"/>
      <c r="AC41" s="177" t="s">
        <v>88</v>
      </c>
      <c r="AD41" s="178"/>
      <c r="AE41" s="140">
        <f>S41/20*Y41</f>
        <v>100000</v>
      </c>
      <c r="AF41" s="141"/>
      <c r="AG41" s="141"/>
      <c r="AH41" s="141"/>
      <c r="AI41" s="141"/>
      <c r="AJ41" s="142"/>
    </row>
    <row r="42" spans="1:49" ht="15" customHeight="1" x14ac:dyDescent="0.2">
      <c r="A42" s="4"/>
      <c r="B42" s="138">
        <v>6</v>
      </c>
      <c r="C42" s="139"/>
      <c r="D42" s="42" t="s">
        <v>23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182">
        <v>1400000</v>
      </c>
      <c r="T42" s="183"/>
      <c r="U42" s="183"/>
      <c r="V42" s="183"/>
      <c r="W42" s="183"/>
      <c r="X42" s="184"/>
      <c r="Y42" s="185">
        <v>9.3000000000000007</v>
      </c>
      <c r="Z42" s="186"/>
      <c r="AA42" s="186"/>
      <c r="AB42" s="186"/>
      <c r="AC42" s="177" t="s">
        <v>88</v>
      </c>
      <c r="AD42" s="178"/>
      <c r="AE42" s="140">
        <v>652000</v>
      </c>
      <c r="AF42" s="141"/>
      <c r="AG42" s="141"/>
      <c r="AH42" s="141"/>
      <c r="AI42" s="141"/>
      <c r="AJ42" s="142"/>
      <c r="AT42" s="13"/>
      <c r="AU42" s="13"/>
      <c r="AV42" s="13"/>
      <c r="AW42" s="13"/>
    </row>
    <row r="43" spans="1:49" ht="15" customHeight="1" x14ac:dyDescent="0.2">
      <c r="A43" s="4"/>
      <c r="B43" s="187" t="s">
        <v>24</v>
      </c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5">
        <f>SUM(Y37:AB42)</f>
        <v>71.3</v>
      </c>
      <c r="Z43" s="186"/>
      <c r="AA43" s="186"/>
      <c r="AB43" s="186"/>
      <c r="AC43" s="177" t="s">
        <v>88</v>
      </c>
      <c r="AD43" s="178"/>
      <c r="AE43" s="163">
        <f>SUM(AE37:AJ42)</f>
        <v>3752000</v>
      </c>
      <c r="AF43" s="164"/>
      <c r="AG43" s="164"/>
      <c r="AH43" s="164"/>
      <c r="AI43" s="164"/>
      <c r="AJ43" s="165"/>
    </row>
    <row r="44" spans="1:49" ht="15" customHeight="1" x14ac:dyDescent="0.2">
      <c r="A44" s="4"/>
      <c r="AB44" s="13"/>
    </row>
    <row r="45" spans="1:49" ht="15" customHeight="1" x14ac:dyDescent="0.2">
      <c r="A45" s="4"/>
      <c r="AB45" s="13"/>
    </row>
  </sheetData>
  <mergeCells count="41">
    <mergeCell ref="B43:X43"/>
    <mergeCell ref="Y43:AB43"/>
    <mergeCell ref="AC43:AD43"/>
    <mergeCell ref="AE41:AJ41"/>
    <mergeCell ref="S42:X42"/>
    <mergeCell ref="Y42:AB42"/>
    <mergeCell ref="AC42:AD42"/>
    <mergeCell ref="AE42:AJ42"/>
    <mergeCell ref="B41:C41"/>
    <mergeCell ref="B42:C42"/>
    <mergeCell ref="S41:X41"/>
    <mergeCell ref="Y41:AB41"/>
    <mergeCell ref="AC41:AD41"/>
    <mergeCell ref="AE43:AJ43"/>
    <mergeCell ref="S40:X40"/>
    <mergeCell ref="B39:C39"/>
    <mergeCell ref="AE39:AJ39"/>
    <mergeCell ref="B38:C38"/>
    <mergeCell ref="AC39:AD39"/>
    <mergeCell ref="Y38:AB38"/>
    <mergeCell ref="AC38:AD38"/>
    <mergeCell ref="S38:X38"/>
    <mergeCell ref="S39:X39"/>
    <mergeCell ref="Y39:AB39"/>
    <mergeCell ref="B40:C40"/>
    <mergeCell ref="AF2:AJ2"/>
    <mergeCell ref="Y40:AB40"/>
    <mergeCell ref="AC40:AD40"/>
    <mergeCell ref="AE38:AJ38"/>
    <mergeCell ref="AE40:AJ40"/>
    <mergeCell ref="AE37:AJ37"/>
    <mergeCell ref="A1:S2"/>
    <mergeCell ref="A5:Q6"/>
    <mergeCell ref="B37:C37"/>
    <mergeCell ref="AC37:AD37"/>
    <mergeCell ref="D36:R36"/>
    <mergeCell ref="A9:E10"/>
    <mergeCell ref="F9:Q10"/>
    <mergeCell ref="S36:X36"/>
    <mergeCell ref="S37:X37"/>
    <mergeCell ref="Y37:AB37"/>
  </mergeCells>
  <phoneticPr fontId="8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028A-B499-4946-A401-BBDCFB8302AF}">
  <sheetPr>
    <pageSetUpPr fitToPage="1"/>
  </sheetPr>
  <dimension ref="A1:BB19"/>
  <sheetViews>
    <sheetView showGridLines="0" zoomScale="80" zoomScaleNormal="80" workbookViewId="0">
      <pane ySplit="3" topLeftCell="A4" activePane="bottomLeft" state="frozen"/>
      <selection activeCell="E5" sqref="E5"/>
      <selection pane="bottomLeft" activeCell="A12" sqref="A12:XFD12"/>
    </sheetView>
  </sheetViews>
  <sheetFormatPr defaultColWidth="9.81640625" defaultRowHeight="13" outlineLevelCol="1" x14ac:dyDescent="0.2"/>
  <cols>
    <col min="1" max="1" width="4.81640625" style="72" bestFit="1" customWidth="1"/>
    <col min="2" max="2" width="9.81640625" style="69" bestFit="1" customWidth="1"/>
    <col min="3" max="4" width="19.1796875" style="70" customWidth="1"/>
    <col min="5" max="5" width="58.08984375" style="70" customWidth="1"/>
    <col min="6" max="6" width="87.54296875" style="70" customWidth="1"/>
    <col min="7" max="7" width="122.81640625" style="70" customWidth="1"/>
    <col min="8" max="10" width="10.453125" style="71" customWidth="1"/>
    <col min="11" max="17" width="10.453125" style="69" customWidth="1" outlineLevel="1"/>
    <col min="18" max="18" width="1.90625" style="69" customWidth="1"/>
    <col min="19" max="25" width="10.453125" style="69" customWidth="1" outlineLevel="1"/>
    <col min="26" max="26" width="15.08984375" style="69" customWidth="1"/>
    <col min="27" max="27" width="10.453125" style="69" customWidth="1" outlineLevel="1"/>
    <col min="28" max="28" width="15.36328125" style="69" customWidth="1" outlineLevel="1"/>
    <col min="29" max="29" width="10.453125" style="69" customWidth="1" outlineLevel="1"/>
    <col min="30" max="31" width="15.36328125" style="69" customWidth="1" outlineLevel="1"/>
    <col min="32" max="32" width="2.81640625" style="69" customWidth="1"/>
    <col min="33" max="33" width="10.453125" style="69" customWidth="1" outlineLevel="1"/>
    <col min="34" max="34" width="15.36328125" style="69" customWidth="1" outlineLevel="1"/>
    <col min="35" max="35" width="10.453125" style="69" customWidth="1" outlineLevel="1"/>
    <col min="36" max="37" width="15.36328125" style="69" customWidth="1" outlineLevel="1"/>
    <col min="38" max="38" width="5.453125" style="69" customWidth="1"/>
    <col min="39" max="45" width="10.453125" style="69" hidden="1" customWidth="1" outlineLevel="1"/>
    <col min="46" max="46" width="4.08984375" style="69" customWidth="1" collapsed="1"/>
    <col min="47" max="53" width="9.81640625" style="69" hidden="1" customWidth="1" outlineLevel="1"/>
    <col min="54" max="54" width="9.81640625" style="69" collapsed="1"/>
    <col min="55" max="16384" width="9.81640625" style="69"/>
  </cols>
  <sheetData>
    <row r="1" spans="1:53" ht="16.5" x14ac:dyDescent="0.2">
      <c r="A1" s="68" t="s">
        <v>156</v>
      </c>
      <c r="AA1" s="196" t="s">
        <v>157</v>
      </c>
      <c r="AB1" s="196"/>
      <c r="AC1" s="196"/>
      <c r="AD1" s="196"/>
      <c r="AE1" s="196"/>
      <c r="AG1" s="197" t="s">
        <v>158</v>
      </c>
      <c r="AH1" s="197"/>
      <c r="AI1" s="197"/>
      <c r="AJ1" s="197"/>
      <c r="AK1" s="197"/>
      <c r="AM1" s="198" t="s">
        <v>159</v>
      </c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</row>
    <row r="2" spans="1:53" x14ac:dyDescent="0.2">
      <c r="A2" s="72" t="s">
        <v>160</v>
      </c>
      <c r="K2" s="196" t="s">
        <v>157</v>
      </c>
      <c r="L2" s="196"/>
      <c r="M2" s="196"/>
      <c r="N2" s="196"/>
      <c r="O2" s="196"/>
      <c r="P2" s="196"/>
      <c r="Q2" s="196"/>
      <c r="S2" s="197" t="s">
        <v>158</v>
      </c>
      <c r="T2" s="197"/>
      <c r="U2" s="197"/>
      <c r="V2" s="197"/>
      <c r="W2" s="197"/>
      <c r="X2" s="197"/>
      <c r="Y2" s="197"/>
      <c r="AA2" s="73" t="s">
        <v>161</v>
      </c>
      <c r="AB2" s="74">
        <v>50000</v>
      </c>
      <c r="AC2" s="73" t="s">
        <v>162</v>
      </c>
      <c r="AD2" s="74">
        <v>70000</v>
      </c>
      <c r="AE2" s="73"/>
      <c r="AG2" s="73" t="s">
        <v>161</v>
      </c>
      <c r="AH2" s="74">
        <v>1000000</v>
      </c>
      <c r="AI2" s="73" t="s">
        <v>162</v>
      </c>
      <c r="AJ2" s="74">
        <v>1400000</v>
      </c>
      <c r="AK2" s="73"/>
      <c r="AM2" s="199" t="s">
        <v>157</v>
      </c>
      <c r="AN2" s="199"/>
      <c r="AO2" s="199"/>
      <c r="AP2" s="199"/>
      <c r="AQ2" s="199"/>
      <c r="AR2" s="199"/>
      <c r="AS2" s="199"/>
      <c r="AU2" s="200" t="s">
        <v>158</v>
      </c>
      <c r="AV2" s="200"/>
      <c r="AW2" s="200"/>
      <c r="AX2" s="200"/>
      <c r="AY2" s="200"/>
      <c r="AZ2" s="200"/>
      <c r="BA2" s="200"/>
    </row>
    <row r="3" spans="1:53" ht="52" x14ac:dyDescent="0.2">
      <c r="A3" s="75" t="s">
        <v>163</v>
      </c>
      <c r="B3" s="76" t="s">
        <v>164</v>
      </c>
      <c r="C3" s="77" t="s">
        <v>165</v>
      </c>
      <c r="D3" s="77" t="s">
        <v>166</v>
      </c>
      <c r="E3" s="77" t="s">
        <v>167</v>
      </c>
      <c r="F3" s="77" t="s">
        <v>168</v>
      </c>
      <c r="G3" s="77" t="s">
        <v>169</v>
      </c>
      <c r="H3" s="78" t="s">
        <v>170</v>
      </c>
      <c r="I3" s="79" t="s">
        <v>171</v>
      </c>
      <c r="J3" s="79" t="s">
        <v>172</v>
      </c>
      <c r="K3" s="80" t="s">
        <v>173</v>
      </c>
      <c r="L3" s="73" t="s">
        <v>174</v>
      </c>
      <c r="M3" s="73" t="s">
        <v>175</v>
      </c>
      <c r="N3" s="73" t="s">
        <v>176</v>
      </c>
      <c r="O3" s="73" t="s">
        <v>177</v>
      </c>
      <c r="P3" s="73" t="s">
        <v>178</v>
      </c>
      <c r="Q3" s="73" t="s">
        <v>179</v>
      </c>
      <c r="S3" s="80" t="s">
        <v>173</v>
      </c>
      <c r="T3" s="73" t="s">
        <v>180</v>
      </c>
      <c r="U3" s="73" t="s">
        <v>175</v>
      </c>
      <c r="V3" s="73" t="s">
        <v>176</v>
      </c>
      <c r="W3" s="73" t="s">
        <v>177</v>
      </c>
      <c r="X3" s="73" t="s">
        <v>178</v>
      </c>
      <c r="Y3" s="73" t="s">
        <v>179</v>
      </c>
      <c r="Z3" s="81" t="s">
        <v>181</v>
      </c>
      <c r="AA3" s="78" t="s">
        <v>157</v>
      </c>
      <c r="AB3" s="78" t="s">
        <v>182</v>
      </c>
      <c r="AC3" s="78" t="s">
        <v>157</v>
      </c>
      <c r="AD3" s="78" t="s">
        <v>182</v>
      </c>
      <c r="AE3" s="78" t="s">
        <v>183</v>
      </c>
      <c r="AF3" s="82"/>
      <c r="AG3" s="78" t="s">
        <v>158</v>
      </c>
      <c r="AH3" s="78" t="s">
        <v>182</v>
      </c>
      <c r="AI3" s="78" t="s">
        <v>158</v>
      </c>
      <c r="AJ3" s="78" t="s">
        <v>182</v>
      </c>
      <c r="AK3" s="78" t="s">
        <v>183</v>
      </c>
      <c r="AM3" s="80" t="s">
        <v>173</v>
      </c>
      <c r="AN3" s="73" t="s">
        <v>180</v>
      </c>
      <c r="AO3" s="73" t="s">
        <v>175</v>
      </c>
      <c r="AP3" s="73" t="s">
        <v>176</v>
      </c>
      <c r="AQ3" s="73" t="s">
        <v>177</v>
      </c>
      <c r="AR3" s="73" t="s">
        <v>178</v>
      </c>
      <c r="AS3" s="73" t="s">
        <v>179</v>
      </c>
      <c r="AU3" s="80" t="s">
        <v>173</v>
      </c>
      <c r="AV3" s="73" t="s">
        <v>180</v>
      </c>
      <c r="AW3" s="73" t="s">
        <v>175</v>
      </c>
      <c r="AX3" s="73" t="s">
        <v>176</v>
      </c>
      <c r="AY3" s="73" t="s">
        <v>177</v>
      </c>
      <c r="AZ3" s="73" t="s">
        <v>178</v>
      </c>
      <c r="BA3" s="73" t="s">
        <v>179</v>
      </c>
    </row>
    <row r="4" spans="1:53" ht="65" x14ac:dyDescent="0.2">
      <c r="A4" s="73">
        <v>1</v>
      </c>
      <c r="B4" s="192" t="s">
        <v>184</v>
      </c>
      <c r="C4" s="80" t="s">
        <v>185</v>
      </c>
      <c r="D4" s="83">
        <v>46031</v>
      </c>
      <c r="E4" s="80" t="s">
        <v>186</v>
      </c>
      <c r="F4" s="80" t="s">
        <v>187</v>
      </c>
      <c r="G4" s="84" t="s">
        <v>220</v>
      </c>
      <c r="H4" s="85">
        <f t="shared" ref="H4:H6" si="0">Q4</f>
        <v>25</v>
      </c>
      <c r="I4" s="193">
        <f>SUM(H4:H6)</f>
        <v>62</v>
      </c>
      <c r="J4" s="193">
        <f>AA4+AC4</f>
        <v>28.75</v>
      </c>
      <c r="K4" s="126">
        <v>4</v>
      </c>
      <c r="L4" s="126">
        <v>12</v>
      </c>
      <c r="M4" s="126">
        <v>4</v>
      </c>
      <c r="N4" s="126">
        <v>3</v>
      </c>
      <c r="O4" s="126">
        <v>2</v>
      </c>
      <c r="P4" s="126">
        <v>0</v>
      </c>
      <c r="Q4" s="126">
        <f t="shared" ref="Q4:Q6" si="1">SUM(K4:P4)</f>
        <v>25</v>
      </c>
      <c r="R4" s="86"/>
      <c r="S4" s="87">
        <f t="shared" ref="S4:U6" si="2">ROUNDUP(K4/20,3)</f>
        <v>0.2</v>
      </c>
      <c r="T4" s="87">
        <f>ROUNDUP(L4/20,3)</f>
        <v>0.6</v>
      </c>
      <c r="U4" s="87">
        <f>ROUNDUP(N4/20,3)</f>
        <v>0.15</v>
      </c>
      <c r="V4" s="87">
        <f t="shared" ref="V4:Y6" si="3">ROUNDUP(N4/20,3)</f>
        <v>0.15</v>
      </c>
      <c r="W4" s="87">
        <f t="shared" si="3"/>
        <v>0.1</v>
      </c>
      <c r="X4" s="87">
        <f t="shared" si="3"/>
        <v>0</v>
      </c>
      <c r="Y4" s="87">
        <f t="shared" si="3"/>
        <v>1.25</v>
      </c>
      <c r="Z4" s="88"/>
      <c r="AA4" s="89">
        <f>SUM(Q4)</f>
        <v>25</v>
      </c>
      <c r="AB4" s="90">
        <f>AA4*$AB$2</f>
        <v>1250000</v>
      </c>
      <c r="AC4" s="89">
        <f>ROUNDUP(AA4*0.15,2)</f>
        <v>3.75</v>
      </c>
      <c r="AD4" s="90">
        <f>AC4*$AD$2</f>
        <v>262500</v>
      </c>
      <c r="AE4" s="90">
        <f>ROUNDUP(SUM(AB4,AD4),-3)</f>
        <v>1513000</v>
      </c>
      <c r="AG4" s="89">
        <f>SUM(Y4)</f>
        <v>1.25</v>
      </c>
      <c r="AH4" s="90">
        <f>AG4*$AH$2</f>
        <v>1250000</v>
      </c>
      <c r="AI4" s="89">
        <f>ROUNDUP(AG4*0.15,3)</f>
        <v>0.188</v>
      </c>
      <c r="AJ4" s="90">
        <f>AI4*$AJ$2</f>
        <v>263200</v>
      </c>
      <c r="AK4" s="90">
        <f>ROUNDUP(SUM(AH4,AJ4),-3)</f>
        <v>1514000</v>
      </c>
      <c r="AM4" s="189">
        <f t="shared" ref="AM4:AS4" si="4">SUM(K4:K6)</f>
        <v>10</v>
      </c>
      <c r="AN4" s="189">
        <f t="shared" si="4"/>
        <v>27</v>
      </c>
      <c r="AO4" s="189">
        <f t="shared" si="4"/>
        <v>10</v>
      </c>
      <c r="AP4" s="189">
        <f t="shared" si="4"/>
        <v>7</v>
      </c>
      <c r="AQ4" s="189">
        <f t="shared" si="4"/>
        <v>6</v>
      </c>
      <c r="AR4" s="189">
        <f t="shared" si="4"/>
        <v>2</v>
      </c>
      <c r="AS4" s="189">
        <f t="shared" si="4"/>
        <v>62</v>
      </c>
      <c r="AU4" s="189">
        <f t="shared" ref="AU4:BA4" si="5">SUM(S4:S6)</f>
        <v>0.5</v>
      </c>
      <c r="AV4" s="189">
        <f t="shared" si="5"/>
        <v>1.3499999999999999</v>
      </c>
      <c r="AW4" s="189">
        <f t="shared" si="5"/>
        <v>0.44999999999999996</v>
      </c>
      <c r="AX4" s="189">
        <f t="shared" si="5"/>
        <v>0.35</v>
      </c>
      <c r="AY4" s="189">
        <f t="shared" si="5"/>
        <v>0.30000000000000004</v>
      </c>
      <c r="AZ4" s="189">
        <f t="shared" si="5"/>
        <v>0.1</v>
      </c>
      <c r="BA4" s="189">
        <f t="shared" si="5"/>
        <v>3.1</v>
      </c>
    </row>
    <row r="5" spans="1:53" ht="182" x14ac:dyDescent="0.2">
      <c r="A5" s="73">
        <v>2</v>
      </c>
      <c r="B5" s="192"/>
      <c r="C5" s="80" t="s">
        <v>188</v>
      </c>
      <c r="D5" s="83">
        <v>46031</v>
      </c>
      <c r="E5" s="80" t="s">
        <v>189</v>
      </c>
      <c r="F5" s="80" t="s">
        <v>190</v>
      </c>
      <c r="G5" s="84" t="s">
        <v>218</v>
      </c>
      <c r="H5" s="85">
        <f>Q5</f>
        <v>25</v>
      </c>
      <c r="I5" s="194"/>
      <c r="J5" s="194">
        <f t="shared" ref="J5:J6" si="6">AA5+AC5</f>
        <v>28.75</v>
      </c>
      <c r="K5" s="126">
        <v>4</v>
      </c>
      <c r="L5" s="126">
        <v>12</v>
      </c>
      <c r="M5" s="126">
        <v>4</v>
      </c>
      <c r="N5" s="126">
        <v>3</v>
      </c>
      <c r="O5" s="126">
        <v>2</v>
      </c>
      <c r="P5" s="126">
        <v>0</v>
      </c>
      <c r="Q5" s="126">
        <f t="shared" ref="Q5" si="7">SUM(K5:P5)</f>
        <v>25</v>
      </c>
      <c r="R5" s="86"/>
      <c r="S5" s="87">
        <f t="shared" si="2"/>
        <v>0.2</v>
      </c>
      <c r="T5" s="87">
        <f t="shared" si="2"/>
        <v>0.6</v>
      </c>
      <c r="U5" s="87">
        <f t="shared" si="2"/>
        <v>0.2</v>
      </c>
      <c r="V5" s="87">
        <f t="shared" si="3"/>
        <v>0.15</v>
      </c>
      <c r="W5" s="87">
        <f t="shared" si="3"/>
        <v>0.1</v>
      </c>
      <c r="X5" s="87">
        <f t="shared" si="3"/>
        <v>0</v>
      </c>
      <c r="Y5" s="87">
        <f t="shared" si="3"/>
        <v>1.25</v>
      </c>
      <c r="Z5" s="88"/>
      <c r="AA5" s="89">
        <f t="shared" ref="AA5:AA6" si="8">SUM(Q5)</f>
        <v>25</v>
      </c>
      <c r="AB5" s="90">
        <f t="shared" ref="AB5:AB6" si="9">AA5*$AB$2</f>
        <v>1250000</v>
      </c>
      <c r="AC5" s="89">
        <f t="shared" ref="AC5:AC6" si="10">ROUNDUP(AA5*0.15,2)</f>
        <v>3.75</v>
      </c>
      <c r="AD5" s="90">
        <f t="shared" ref="AD5:AD6" si="11">AC5*$AD$2</f>
        <v>262500</v>
      </c>
      <c r="AE5" s="90">
        <f t="shared" ref="AE5:AE6" si="12">ROUNDUP(SUM(AB5,AD5),-3)</f>
        <v>1513000</v>
      </c>
      <c r="AG5" s="89">
        <f t="shared" ref="AG5:AG6" si="13">SUM(Y5)</f>
        <v>1.25</v>
      </c>
      <c r="AH5" s="90">
        <f>AG5*$AH$2</f>
        <v>1250000</v>
      </c>
      <c r="AI5" s="89">
        <f t="shared" ref="AI5:AI6" si="14">ROUNDUP(AG5*0.15,3)</f>
        <v>0.188</v>
      </c>
      <c r="AJ5" s="90">
        <f t="shared" ref="AJ5:AJ6" si="15">AI5*$AJ$2</f>
        <v>263200</v>
      </c>
      <c r="AK5" s="90">
        <f t="shared" ref="AK5:AK6" si="16">ROUNDUP(SUM(AH5,AJ5),-3)</f>
        <v>1514000</v>
      </c>
      <c r="AM5" s="190"/>
      <c r="AN5" s="190"/>
      <c r="AO5" s="190"/>
      <c r="AP5" s="190"/>
      <c r="AQ5" s="190"/>
      <c r="AR5" s="190"/>
      <c r="AS5" s="190"/>
      <c r="AU5" s="190"/>
      <c r="AV5" s="190"/>
      <c r="AW5" s="190"/>
      <c r="AX5" s="190"/>
      <c r="AY5" s="190"/>
      <c r="AZ5" s="190"/>
      <c r="BA5" s="190"/>
    </row>
    <row r="6" spans="1:53" ht="143" x14ac:dyDescent="0.2">
      <c r="A6" s="73">
        <v>3</v>
      </c>
      <c r="B6" s="192"/>
      <c r="C6" s="80" t="s">
        <v>191</v>
      </c>
      <c r="D6" s="83">
        <v>46031</v>
      </c>
      <c r="E6" s="80" t="s">
        <v>192</v>
      </c>
      <c r="F6" s="91" t="s">
        <v>193</v>
      </c>
      <c r="G6" s="84" t="s">
        <v>219</v>
      </c>
      <c r="H6" s="85">
        <f t="shared" si="0"/>
        <v>12</v>
      </c>
      <c r="I6" s="195"/>
      <c r="J6" s="195">
        <f t="shared" si="6"/>
        <v>13.8</v>
      </c>
      <c r="K6" s="127">
        <v>2</v>
      </c>
      <c r="L6" s="127">
        <v>3</v>
      </c>
      <c r="M6" s="127">
        <v>2</v>
      </c>
      <c r="N6" s="127">
        <v>1</v>
      </c>
      <c r="O6" s="127">
        <v>2</v>
      </c>
      <c r="P6" s="127">
        <v>2</v>
      </c>
      <c r="Q6" s="126">
        <f t="shared" si="1"/>
        <v>12</v>
      </c>
      <c r="R6" s="86"/>
      <c r="S6" s="87">
        <f t="shared" si="2"/>
        <v>0.1</v>
      </c>
      <c r="T6" s="87">
        <f t="shared" si="2"/>
        <v>0.15</v>
      </c>
      <c r="U6" s="87">
        <f t="shared" si="2"/>
        <v>0.1</v>
      </c>
      <c r="V6" s="87">
        <f t="shared" si="3"/>
        <v>0.05</v>
      </c>
      <c r="W6" s="87">
        <f t="shared" si="3"/>
        <v>0.1</v>
      </c>
      <c r="X6" s="87">
        <f t="shared" si="3"/>
        <v>0.1</v>
      </c>
      <c r="Y6" s="87">
        <f t="shared" si="3"/>
        <v>0.6</v>
      </c>
      <c r="Z6" s="88"/>
      <c r="AA6" s="89">
        <f t="shared" si="8"/>
        <v>12</v>
      </c>
      <c r="AB6" s="90">
        <f t="shared" si="9"/>
        <v>600000</v>
      </c>
      <c r="AC6" s="89">
        <f t="shared" si="10"/>
        <v>1.8</v>
      </c>
      <c r="AD6" s="90">
        <f t="shared" si="11"/>
        <v>126000</v>
      </c>
      <c r="AE6" s="90">
        <f t="shared" si="12"/>
        <v>726000</v>
      </c>
      <c r="AG6" s="89">
        <f t="shared" si="13"/>
        <v>0.6</v>
      </c>
      <c r="AH6" s="90">
        <f>AG6*$AH$2</f>
        <v>600000</v>
      </c>
      <c r="AI6" s="89">
        <f t="shared" si="14"/>
        <v>0.09</v>
      </c>
      <c r="AJ6" s="90">
        <f t="shared" si="15"/>
        <v>126000</v>
      </c>
      <c r="AK6" s="90">
        <f t="shared" si="16"/>
        <v>726000</v>
      </c>
      <c r="AM6" s="191"/>
      <c r="AN6" s="191"/>
      <c r="AO6" s="191"/>
      <c r="AP6" s="191"/>
      <c r="AQ6" s="191"/>
      <c r="AR6" s="191"/>
      <c r="AS6" s="191"/>
      <c r="AU6" s="191"/>
      <c r="AV6" s="191"/>
      <c r="AW6" s="191"/>
      <c r="AX6" s="191"/>
      <c r="AY6" s="191"/>
      <c r="AZ6" s="191"/>
      <c r="BA6" s="191"/>
    </row>
    <row r="7" spans="1:53" x14ac:dyDescent="0.2">
      <c r="P7" s="92"/>
    </row>
    <row r="9" spans="1:53" x14ac:dyDescent="0.2">
      <c r="A9" s="93" t="s">
        <v>194</v>
      </c>
      <c r="B9" s="94"/>
      <c r="C9" s="95"/>
      <c r="D9" s="95"/>
      <c r="E9" s="95"/>
      <c r="F9" s="95"/>
      <c r="G9" s="95"/>
      <c r="H9" s="96"/>
      <c r="I9" s="96"/>
    </row>
    <row r="10" spans="1:53" x14ac:dyDescent="0.2">
      <c r="A10" s="97"/>
      <c r="H10" s="98"/>
      <c r="I10" s="98"/>
    </row>
    <row r="11" spans="1:53" x14ac:dyDescent="0.2">
      <c r="A11" s="97"/>
      <c r="B11" s="72" t="s">
        <v>195</v>
      </c>
      <c r="H11" s="98"/>
      <c r="I11" s="98"/>
    </row>
    <row r="12" spans="1:53" x14ac:dyDescent="0.2">
      <c r="A12" s="97"/>
      <c r="B12" s="129" t="s">
        <v>235</v>
      </c>
      <c r="H12" s="98"/>
      <c r="I12" s="98"/>
    </row>
    <row r="13" spans="1:53" x14ac:dyDescent="0.2">
      <c r="A13" s="97"/>
      <c r="B13" s="72" t="s">
        <v>196</v>
      </c>
      <c r="H13" s="98"/>
      <c r="I13" s="98"/>
    </row>
    <row r="14" spans="1:53" x14ac:dyDescent="0.2">
      <c r="A14" s="97"/>
      <c r="B14" s="72" t="s">
        <v>197</v>
      </c>
      <c r="H14" s="98"/>
      <c r="I14" s="98"/>
    </row>
    <row r="15" spans="1:53" x14ac:dyDescent="0.2">
      <c r="A15" s="97"/>
      <c r="B15" s="69" t="s">
        <v>198</v>
      </c>
      <c r="H15" s="98"/>
      <c r="I15" s="98"/>
    </row>
    <row r="16" spans="1:53" x14ac:dyDescent="0.2">
      <c r="A16" s="97"/>
      <c r="B16" s="69" t="s">
        <v>199</v>
      </c>
      <c r="H16" s="98"/>
      <c r="I16" s="98"/>
    </row>
    <row r="17" spans="1:10" x14ac:dyDescent="0.2">
      <c r="A17" s="97"/>
      <c r="B17" s="99" t="s">
        <v>200</v>
      </c>
      <c r="H17" s="98"/>
      <c r="I17" s="98"/>
      <c r="J17" s="69"/>
    </row>
    <row r="18" spans="1:10" x14ac:dyDescent="0.2">
      <c r="A18" s="97"/>
      <c r="B18" s="100" t="s">
        <v>201</v>
      </c>
      <c r="H18" s="98"/>
      <c r="I18" s="98"/>
      <c r="J18" s="69"/>
    </row>
    <row r="19" spans="1:10" x14ac:dyDescent="0.2">
      <c r="A19" s="101"/>
      <c r="B19" s="102"/>
      <c r="C19" s="103"/>
      <c r="D19" s="103"/>
      <c r="E19" s="103"/>
      <c r="F19" s="103"/>
      <c r="G19" s="103"/>
      <c r="H19" s="104"/>
      <c r="I19" s="104"/>
    </row>
  </sheetData>
  <mergeCells count="24">
    <mergeCell ref="AA1:AE1"/>
    <mergeCell ref="AG1:AK1"/>
    <mergeCell ref="AM1:BA1"/>
    <mergeCell ref="K2:Q2"/>
    <mergeCell ref="S2:Y2"/>
    <mergeCell ref="AM2:AS2"/>
    <mergeCell ref="AU2:BA2"/>
    <mergeCell ref="AV4:AV6"/>
    <mergeCell ref="B4:B6"/>
    <mergeCell ref="I4:I6"/>
    <mergeCell ref="J4:J6"/>
    <mergeCell ref="AM4:AM6"/>
    <mergeCell ref="AN4:AN6"/>
    <mergeCell ref="AO4:AO6"/>
    <mergeCell ref="AP4:AP6"/>
    <mergeCell ref="AQ4:AQ6"/>
    <mergeCell ref="AR4:AR6"/>
    <mergeCell ref="AS4:AS6"/>
    <mergeCell ref="AU4:AU6"/>
    <mergeCell ref="AW4:AW6"/>
    <mergeCell ref="AX4:AX6"/>
    <mergeCell ref="AY4:AY6"/>
    <mergeCell ref="AZ4:AZ6"/>
    <mergeCell ref="BA4:BA6"/>
  </mergeCells>
  <phoneticPr fontId="7"/>
  <pageMargins left="0.23622047244094491" right="0.23622047244094491" top="0.74803149606299213" bottom="0.74803149606299213" header="0.31496062992125984" footer="0.31496062992125984"/>
  <pageSetup paperSize="9" scale="59" fitToHeight="0" orientation="landscape" horizontalDpi="300" verticalDpi="300" r:id="rId1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465D-6C6D-4FF9-8211-A8F241321C2E}">
  <sheetPr>
    <pageSetUpPr fitToPage="1"/>
  </sheetPr>
  <dimension ref="A1:J20"/>
  <sheetViews>
    <sheetView showGridLines="0" zoomScale="80" zoomScaleNormal="80" workbookViewId="0">
      <pane ySplit="3" topLeftCell="A4" activePane="bottomLeft" state="frozen"/>
      <selection activeCell="E5" sqref="E5"/>
      <selection pane="bottomLeft" activeCell="D27" sqref="D27"/>
    </sheetView>
  </sheetViews>
  <sheetFormatPr defaultColWidth="9.81640625" defaultRowHeight="13" x14ac:dyDescent="0.2"/>
  <cols>
    <col min="1" max="1" width="4.81640625" style="72" bestFit="1" customWidth="1"/>
    <col min="2" max="2" width="9.81640625" style="69" customWidth="1"/>
    <col min="3" max="3" width="19.1796875" style="70" customWidth="1"/>
    <col min="4" max="4" width="58.08984375" style="70" customWidth="1"/>
    <col min="5" max="5" width="87.54296875" style="70" customWidth="1"/>
    <col min="6" max="6" width="122.81640625" style="70" bestFit="1" customWidth="1"/>
    <col min="7" max="9" width="18.08984375" style="71" customWidth="1"/>
    <col min="10" max="10" width="18.08984375" style="69" customWidth="1"/>
    <col min="11" max="16384" width="9.81640625" style="69"/>
  </cols>
  <sheetData>
    <row r="1" spans="1:10" ht="16.5" x14ac:dyDescent="0.2">
      <c r="A1" s="68" t="s">
        <v>156</v>
      </c>
      <c r="I1" s="69"/>
    </row>
    <row r="2" spans="1:10" x14ac:dyDescent="0.2">
      <c r="A2" s="72" t="s">
        <v>160</v>
      </c>
    </row>
    <row r="3" spans="1:10" ht="26" x14ac:dyDescent="0.2">
      <c r="A3" s="75" t="s">
        <v>163</v>
      </c>
      <c r="B3" s="76" t="s">
        <v>164</v>
      </c>
      <c r="C3" s="77" t="s">
        <v>165</v>
      </c>
      <c r="D3" s="77" t="s">
        <v>167</v>
      </c>
      <c r="E3" s="77" t="s">
        <v>168</v>
      </c>
      <c r="F3" s="77" t="s">
        <v>169</v>
      </c>
      <c r="G3" s="79" t="s">
        <v>202</v>
      </c>
      <c r="H3" s="79" t="s">
        <v>203</v>
      </c>
      <c r="I3" s="78" t="s">
        <v>183</v>
      </c>
    </row>
    <row r="4" spans="1:10" ht="65" x14ac:dyDescent="0.2">
      <c r="A4" s="105">
        <v>1</v>
      </c>
      <c r="B4" s="192" t="str">
        <f>'MES_概算御見積（内部用）'!B4</f>
        <v>千葉工場
製造一課</v>
      </c>
      <c r="C4" s="106" t="str">
        <f>'MES_概算御見積（内部用）'!C4</f>
        <v>カルテ、製造指示書、生産実績における原料品目数拡大</v>
      </c>
      <c r="D4" s="106" t="str">
        <f>'MES_概算御見積（内部用）'!E4</f>
        <v>現状の原料品目数（11品目）では原料品目数が足りず、試作品開発が出来ない。
試作品開発を行えるよう原料品目数を増やす改修を行う。</v>
      </c>
      <c r="E4" s="124" t="s">
        <v>187</v>
      </c>
      <c r="F4" s="124" t="s">
        <v>220</v>
      </c>
      <c r="G4" s="89">
        <f>'MES_概算御見積（内部用）'!AA4</f>
        <v>25</v>
      </c>
      <c r="H4" s="107">
        <f>'MES_概算御見積（内部用）'!AA4+'MES_概算御見積（内部用）'!AC4</f>
        <v>28.75</v>
      </c>
      <c r="I4" s="108">
        <f>'MES_概算御見積（内部用）'!AE4</f>
        <v>1513000</v>
      </c>
    </row>
    <row r="5" spans="1:10" ht="182" x14ac:dyDescent="0.2">
      <c r="A5" s="105">
        <v>2</v>
      </c>
      <c r="B5" s="192"/>
      <c r="C5" s="106" t="str">
        <f>'MES_概算御見積（内部用）'!C5</f>
        <v>製造指示書の印刷フォーマット改修と入力項目追加</v>
      </c>
      <c r="D5" s="106" t="str">
        <f>'MES_概算御見積（内部用）'!E5</f>
        <v>製造指示書のフォーマットを原料品目数増加に伴い、改修をする。
一部の手書き箇所も入力、マスタ化にする。</v>
      </c>
      <c r="E5" s="124" t="s">
        <v>226</v>
      </c>
      <c r="F5" s="124" t="s">
        <v>218</v>
      </c>
      <c r="G5" s="89">
        <f>'MES_概算御見積（内部用）'!AA5</f>
        <v>25</v>
      </c>
      <c r="H5" s="107">
        <f>'MES_概算御見積（内部用）'!AA5+'MES_概算御見積（内部用）'!AC5</f>
        <v>28.75</v>
      </c>
      <c r="I5" s="108">
        <f>'MES_概算御見積（内部用）'!AE5</f>
        <v>1513000</v>
      </c>
    </row>
    <row r="6" spans="1:10" ht="143" x14ac:dyDescent="0.2">
      <c r="A6" s="109">
        <v>3</v>
      </c>
      <c r="B6" s="192"/>
      <c r="C6" s="80" t="str">
        <f>'MES_概算御見積（内部用）'!C6</f>
        <v>一次指示書の印刷フォーマット改修と入力項目追加</v>
      </c>
      <c r="D6" s="80" t="str">
        <f>'MES_概算御見積（内部用）'!E6</f>
        <v>一次スリット指示書のフォーマットを改修をする。
一部の手書き箇所も入力、マスタ化にする。</v>
      </c>
      <c r="E6" s="125" t="s">
        <v>227</v>
      </c>
      <c r="F6" s="124" t="s">
        <v>219</v>
      </c>
      <c r="G6" s="89">
        <f>'MES_概算御見積（内部用）'!AA6</f>
        <v>12</v>
      </c>
      <c r="H6" s="107">
        <f>'MES_概算御見積（内部用）'!AA6+'MES_概算御見積（内部用）'!AC6</f>
        <v>13.8</v>
      </c>
      <c r="I6" s="108">
        <f>'MES_概算御見積（内部用）'!AE6</f>
        <v>726000</v>
      </c>
      <c r="J6" s="128"/>
    </row>
    <row r="7" spans="1:10" ht="18" customHeight="1" x14ac:dyDescent="0.2">
      <c r="B7" s="110"/>
      <c r="C7" s="110"/>
      <c r="D7" s="110"/>
      <c r="E7" s="110"/>
      <c r="H7" s="110"/>
      <c r="I7" s="111"/>
      <c r="J7" s="71"/>
    </row>
    <row r="8" spans="1:10" ht="18" customHeight="1" x14ac:dyDescent="0.2">
      <c r="H8" s="70"/>
      <c r="J8" s="71"/>
    </row>
    <row r="10" spans="1:10" x14ac:dyDescent="0.2">
      <c r="A10" s="93" t="s">
        <v>194</v>
      </c>
      <c r="B10" s="94"/>
      <c r="C10" s="95"/>
      <c r="D10" s="95"/>
      <c r="E10" s="95"/>
      <c r="F10" s="95"/>
      <c r="G10" s="96"/>
    </row>
    <row r="11" spans="1:10" x14ac:dyDescent="0.2">
      <c r="A11" s="97"/>
      <c r="G11" s="98"/>
    </row>
    <row r="12" spans="1:10" x14ac:dyDescent="0.2">
      <c r="A12" s="97"/>
      <c r="B12" s="72" t="s">
        <v>195</v>
      </c>
      <c r="G12" s="98"/>
    </row>
    <row r="13" spans="1:10" x14ac:dyDescent="0.2">
      <c r="A13" s="97"/>
      <c r="B13" s="129" t="s">
        <v>235</v>
      </c>
      <c r="G13" s="70"/>
      <c r="H13" s="98"/>
      <c r="I13" s="98"/>
      <c r="J13" s="71"/>
    </row>
    <row r="14" spans="1:10" x14ac:dyDescent="0.2">
      <c r="A14" s="97"/>
      <c r="B14" s="72" t="s">
        <v>196</v>
      </c>
      <c r="G14" s="98"/>
    </row>
    <row r="15" spans="1:10" x14ac:dyDescent="0.2">
      <c r="A15" s="97"/>
      <c r="B15" s="72" t="s">
        <v>197</v>
      </c>
      <c r="G15" s="98"/>
    </row>
    <row r="16" spans="1:10" x14ac:dyDescent="0.2">
      <c r="A16" s="97"/>
      <c r="B16" s="69" t="s">
        <v>198</v>
      </c>
      <c r="G16" s="98"/>
    </row>
    <row r="17" spans="1:7" x14ac:dyDescent="0.2">
      <c r="A17" s="97"/>
      <c r="B17" s="69" t="s">
        <v>199</v>
      </c>
      <c r="G17" s="98"/>
    </row>
    <row r="18" spans="1:7" x14ac:dyDescent="0.2">
      <c r="A18" s="97"/>
      <c r="B18" s="99" t="s">
        <v>200</v>
      </c>
      <c r="G18" s="98"/>
    </row>
    <row r="19" spans="1:7" x14ac:dyDescent="0.2">
      <c r="A19" s="97"/>
      <c r="B19" s="100" t="s">
        <v>201</v>
      </c>
      <c r="G19" s="98"/>
    </row>
    <row r="20" spans="1:7" x14ac:dyDescent="0.2">
      <c r="A20" s="101"/>
      <c r="B20" s="102"/>
      <c r="C20" s="103"/>
      <c r="D20" s="103"/>
      <c r="E20" s="103"/>
      <c r="F20" s="103"/>
      <c r="G20" s="104"/>
    </row>
  </sheetData>
  <mergeCells count="1">
    <mergeCell ref="B4:B6"/>
  </mergeCells>
  <phoneticPr fontId="7"/>
  <pageMargins left="0.23622047244094491" right="0.23622047244094491" top="0.74803149606299213" bottom="0.74803149606299213" header="0.31496062992125984" footer="0.31496062992125984"/>
  <pageSetup paperSize="9" scale="54" fitToHeight="0" orientation="landscape" horizontalDpi="300" verticalDpi="300" r:id="rId1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4234-64AF-43EA-9F96-F45F7B647128}">
  <dimension ref="A1:BE23"/>
  <sheetViews>
    <sheetView showGridLines="0" workbookViewId="0">
      <pane xSplit="3" topLeftCell="D1" activePane="topRight" state="frozen"/>
      <selection activeCell="E5" sqref="E5"/>
      <selection pane="topRight" activeCell="E5" sqref="E5"/>
    </sheetView>
  </sheetViews>
  <sheetFormatPr defaultColWidth="8.81640625" defaultRowHeight="13" x14ac:dyDescent="0.2"/>
  <cols>
    <col min="1" max="1" width="4.81640625" style="72" bestFit="1" customWidth="1"/>
    <col min="2" max="2" width="9.81640625" style="69" bestFit="1" customWidth="1"/>
    <col min="3" max="3" width="50.1796875" style="70" customWidth="1"/>
    <col min="4" max="4" width="48.1796875" style="70" bestFit="1" customWidth="1"/>
    <col min="5" max="5" width="12.36328125" style="70" bestFit="1" customWidth="1"/>
    <col min="6" max="12" width="6.08984375" style="112" customWidth="1"/>
    <col min="13" max="13" width="9.453125" style="112" customWidth="1"/>
    <col min="14" max="15" width="8.81640625" style="112"/>
    <col min="16" max="17" width="12.36328125" style="112" customWidth="1"/>
    <col min="18" max="57" width="6.90625" style="112" customWidth="1"/>
    <col min="58" max="16384" width="8.81640625" style="112"/>
  </cols>
  <sheetData>
    <row r="1" spans="1:57" x14ac:dyDescent="0.2">
      <c r="N1" s="112" t="s">
        <v>204</v>
      </c>
      <c r="R1" s="112">
        <v>2025</v>
      </c>
    </row>
    <row r="2" spans="1:57" ht="26" x14ac:dyDescent="0.2">
      <c r="A2" s="75" t="s">
        <v>163</v>
      </c>
      <c r="B2" s="76" t="s">
        <v>164</v>
      </c>
      <c r="C2" s="77" t="s">
        <v>165</v>
      </c>
      <c r="D2" s="77" t="s">
        <v>205</v>
      </c>
      <c r="E2" s="77" t="s">
        <v>166</v>
      </c>
      <c r="F2" s="77" t="s">
        <v>206</v>
      </c>
      <c r="G2" s="77" t="s">
        <v>174</v>
      </c>
      <c r="H2" s="77" t="s">
        <v>175</v>
      </c>
      <c r="I2" s="77" t="s">
        <v>176</v>
      </c>
      <c r="J2" s="77" t="s">
        <v>177</v>
      </c>
      <c r="K2" s="77" t="s">
        <v>207</v>
      </c>
      <c r="L2" s="77" t="s">
        <v>208</v>
      </c>
      <c r="M2" s="77" t="s">
        <v>209</v>
      </c>
      <c r="N2" s="77" t="s">
        <v>210</v>
      </c>
      <c r="P2" s="77" t="s">
        <v>211</v>
      </c>
      <c r="Q2" s="77" t="s">
        <v>178</v>
      </c>
      <c r="R2" s="113">
        <f>DATE(R1,9,15)</f>
        <v>45915</v>
      </c>
      <c r="S2" s="113">
        <f>R2+7</f>
        <v>45922</v>
      </c>
      <c r="T2" s="113">
        <f t="shared" ref="T2:BE2" si="0">S2+7</f>
        <v>45929</v>
      </c>
      <c r="U2" s="113">
        <f t="shared" si="0"/>
        <v>45936</v>
      </c>
      <c r="V2" s="113">
        <f t="shared" si="0"/>
        <v>45943</v>
      </c>
      <c r="W2" s="113">
        <f t="shared" si="0"/>
        <v>45950</v>
      </c>
      <c r="X2" s="113">
        <f t="shared" si="0"/>
        <v>45957</v>
      </c>
      <c r="Y2" s="113">
        <f t="shared" si="0"/>
        <v>45964</v>
      </c>
      <c r="Z2" s="113">
        <f t="shared" si="0"/>
        <v>45971</v>
      </c>
      <c r="AA2" s="113">
        <f t="shared" si="0"/>
        <v>45978</v>
      </c>
      <c r="AB2" s="113">
        <f t="shared" si="0"/>
        <v>45985</v>
      </c>
      <c r="AC2" s="113">
        <f t="shared" si="0"/>
        <v>45992</v>
      </c>
      <c r="AD2" s="113">
        <f t="shared" si="0"/>
        <v>45999</v>
      </c>
      <c r="AE2" s="113">
        <f t="shared" si="0"/>
        <v>46006</v>
      </c>
      <c r="AF2" s="113">
        <f t="shared" si="0"/>
        <v>46013</v>
      </c>
      <c r="AG2" s="113">
        <f t="shared" si="0"/>
        <v>46020</v>
      </c>
      <c r="AH2" s="113">
        <f t="shared" si="0"/>
        <v>46027</v>
      </c>
      <c r="AI2" s="113">
        <f t="shared" si="0"/>
        <v>46034</v>
      </c>
      <c r="AJ2" s="113">
        <f t="shared" si="0"/>
        <v>46041</v>
      </c>
      <c r="AK2" s="113">
        <f t="shared" si="0"/>
        <v>46048</v>
      </c>
      <c r="AL2" s="113">
        <f t="shared" si="0"/>
        <v>46055</v>
      </c>
      <c r="AM2" s="113">
        <f t="shared" si="0"/>
        <v>46062</v>
      </c>
      <c r="AN2" s="113">
        <f t="shared" si="0"/>
        <v>46069</v>
      </c>
      <c r="AO2" s="113">
        <f t="shared" si="0"/>
        <v>46076</v>
      </c>
      <c r="AP2" s="113">
        <f t="shared" si="0"/>
        <v>46083</v>
      </c>
      <c r="AQ2" s="113">
        <f t="shared" si="0"/>
        <v>46090</v>
      </c>
      <c r="AR2" s="113">
        <f t="shared" si="0"/>
        <v>46097</v>
      </c>
      <c r="AS2" s="113">
        <f t="shared" si="0"/>
        <v>46104</v>
      </c>
      <c r="AT2" s="113">
        <f t="shared" si="0"/>
        <v>46111</v>
      </c>
      <c r="AU2" s="113">
        <f t="shared" si="0"/>
        <v>46118</v>
      </c>
      <c r="AV2" s="113">
        <f t="shared" si="0"/>
        <v>46125</v>
      </c>
      <c r="AW2" s="113">
        <f t="shared" si="0"/>
        <v>46132</v>
      </c>
      <c r="AX2" s="113">
        <f t="shared" si="0"/>
        <v>46139</v>
      </c>
      <c r="AY2" s="113">
        <f t="shared" si="0"/>
        <v>46146</v>
      </c>
      <c r="AZ2" s="113">
        <f t="shared" si="0"/>
        <v>46153</v>
      </c>
      <c r="BA2" s="113">
        <f t="shared" si="0"/>
        <v>46160</v>
      </c>
      <c r="BB2" s="113">
        <f t="shared" si="0"/>
        <v>46167</v>
      </c>
      <c r="BC2" s="113">
        <f t="shared" si="0"/>
        <v>46174</v>
      </c>
      <c r="BD2" s="113">
        <f t="shared" si="0"/>
        <v>46181</v>
      </c>
      <c r="BE2" s="113">
        <f t="shared" si="0"/>
        <v>46188</v>
      </c>
    </row>
    <row r="3" spans="1:57" ht="110" customHeight="1" x14ac:dyDescent="0.2">
      <c r="A3" s="114">
        <v>1</v>
      </c>
      <c r="B3" s="201" t="str">
        <f>'MES_概算御見積（内部用）'!B4</f>
        <v>千葉工場
製造一課</v>
      </c>
      <c r="C3" s="80" t="str">
        <f>'MES_概算御見積（内部用）'!C4</f>
        <v>カルテ、製造指示書、生産実績における原料品目数拡大</v>
      </c>
      <c r="D3" s="84" t="str">
        <f>'MES_概算御見積（内部用）'!F4</f>
        <v xml:space="preserve">原料品目数を6品目追加し、合計17品目として多種多様な原料配合に対応できるようにする。
</v>
      </c>
      <c r="E3" s="115">
        <f>'MES_概算御見積（内部用）'!D4</f>
        <v>46031</v>
      </c>
      <c r="F3" s="107">
        <f>'MES_概算御見積（内部用）'!K4</f>
        <v>4</v>
      </c>
      <c r="G3" s="107">
        <f>'MES_概算御見積（内部用）'!L4</f>
        <v>12</v>
      </c>
      <c r="H3" s="107">
        <f>'MES_概算御見積（内部用）'!M4</f>
        <v>4</v>
      </c>
      <c r="I3" s="107">
        <f>'MES_概算御見積（内部用）'!N4</f>
        <v>3</v>
      </c>
      <c r="J3" s="107">
        <f>'MES_概算御見積（内部用）'!O4</f>
        <v>2</v>
      </c>
      <c r="K3" s="107">
        <f>'MES_概算御見積（内部用）'!P4</f>
        <v>0</v>
      </c>
      <c r="L3" s="107">
        <f>'MES_概算御見積（内部用）'!Q4</f>
        <v>25</v>
      </c>
      <c r="M3" s="116">
        <f>L3</f>
        <v>25</v>
      </c>
      <c r="N3" s="107">
        <f>M3+'MES_概算御見積（内部用）'!AC4</f>
        <v>28.75</v>
      </c>
      <c r="P3" s="117">
        <f>R2</f>
        <v>45915</v>
      </c>
      <c r="Q3" s="117">
        <v>46031</v>
      </c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7"/>
    </row>
    <row r="4" spans="1:57" ht="110" customHeight="1" x14ac:dyDescent="0.2">
      <c r="A4" s="114">
        <v>2</v>
      </c>
      <c r="B4" s="201"/>
      <c r="C4" s="80" t="str">
        <f>'MES_概算御見積（内部用）'!C5</f>
        <v>製造指示書の印刷フォーマット改修と入力項目追加</v>
      </c>
      <c r="D4" s="84" t="str">
        <f>'MES_概算御見積（内部用）'!F5</f>
        <v>・原料品目数増加により、他項目の印刷位置等を見直す。
・備考欄が1項目のみで文字数制限がある。欄を3～4項目に増やして、手書きをなくす。
・工程№の上に課内で使用しているFAの工程№を自動反映で印字させる。
※起案資料には3～4項目に増やしてとあるが、6項目として対応する</v>
      </c>
      <c r="E4" s="115">
        <f>'MES_概算御見積（内部用）'!D5</f>
        <v>46031</v>
      </c>
      <c r="F4" s="107">
        <f>'MES_概算御見積（内部用）'!K5</f>
        <v>4</v>
      </c>
      <c r="G4" s="107">
        <f>'MES_概算御見積（内部用）'!L5</f>
        <v>12</v>
      </c>
      <c r="H4" s="107">
        <f>'MES_概算御見積（内部用）'!M5</f>
        <v>4</v>
      </c>
      <c r="I4" s="107">
        <f>'MES_概算御見積（内部用）'!N5</f>
        <v>3</v>
      </c>
      <c r="J4" s="107">
        <f>'MES_概算御見積（内部用）'!O5</f>
        <v>2</v>
      </c>
      <c r="K4" s="107">
        <f>'MES_概算御見積（内部用）'!P5</f>
        <v>0</v>
      </c>
      <c r="L4" s="107">
        <f>'MES_概算御見積（内部用）'!Q5</f>
        <v>25</v>
      </c>
      <c r="M4" s="116">
        <f t="shared" ref="M4:M5" si="1">L4</f>
        <v>25</v>
      </c>
      <c r="N4" s="107">
        <f>M4+'MES_概算御見積（内部用）'!AC5</f>
        <v>28.75</v>
      </c>
      <c r="P4" s="118">
        <f>U2</f>
        <v>45936</v>
      </c>
      <c r="Q4" s="118">
        <v>46031</v>
      </c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</row>
    <row r="5" spans="1:57" ht="110" customHeight="1" x14ac:dyDescent="0.2">
      <c r="A5" s="73">
        <v>3</v>
      </c>
      <c r="B5" s="201"/>
      <c r="C5" s="80" t="str">
        <f>'MES_概算御見積（内部用）'!C6</f>
        <v>一次指示書の印刷フォーマット改修と入力項目追加</v>
      </c>
      <c r="D5" s="84" t="str">
        <f>'MES_概算御見積（内部用）'!F6</f>
        <v xml:space="preserve">・備考欄が1項目のみで文字数制限がある。欄を8項目に増やして、手書きをなくす。
・工程№の上に課内で使用しているFAの工程№を自動反映で印字させる。
※起案資料には8項目とあるが、10項目として対応する
</v>
      </c>
      <c r="E5" s="83">
        <f>'MES_概算御見積（内部用）'!D6</f>
        <v>46031</v>
      </c>
      <c r="F5" s="107">
        <f>'MES_概算御見積（内部用）'!K6</f>
        <v>2</v>
      </c>
      <c r="G5" s="107">
        <f>'MES_概算御見積（内部用）'!L6</f>
        <v>3</v>
      </c>
      <c r="H5" s="107">
        <f>'MES_概算御見積（内部用）'!M6</f>
        <v>2</v>
      </c>
      <c r="I5" s="107">
        <f>'MES_概算御見積（内部用）'!N6</f>
        <v>1</v>
      </c>
      <c r="J5" s="107">
        <f>'MES_概算御見積（内部用）'!O6</f>
        <v>2</v>
      </c>
      <c r="K5" s="107">
        <f>'MES_概算御見積（内部用）'!P6</f>
        <v>2</v>
      </c>
      <c r="L5" s="107">
        <f>'MES_概算御見積（内部用）'!Q6</f>
        <v>12</v>
      </c>
      <c r="M5" s="107">
        <f t="shared" si="1"/>
        <v>12</v>
      </c>
      <c r="N5" s="107">
        <f>M5+'MES_概算御見積（内部用）'!AC6</f>
        <v>13.8</v>
      </c>
      <c r="P5" s="119">
        <f>X2</f>
        <v>45957</v>
      </c>
      <c r="Q5" s="119">
        <v>46031</v>
      </c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</row>
    <row r="6" spans="1:57" x14ac:dyDescent="0.2">
      <c r="A6" s="69"/>
      <c r="B6" s="70"/>
      <c r="D6" s="120"/>
      <c r="E6" s="121"/>
      <c r="F6" s="122"/>
      <c r="G6" s="122"/>
      <c r="H6" s="122"/>
      <c r="I6" s="122"/>
      <c r="J6" s="122"/>
      <c r="K6" s="122"/>
      <c r="L6" s="122"/>
      <c r="M6" s="122"/>
      <c r="N6" s="122"/>
    </row>
    <row r="7" spans="1:57" x14ac:dyDescent="0.2">
      <c r="A7" s="72" t="s">
        <v>212</v>
      </c>
    </row>
    <row r="8" spans="1:57" x14ac:dyDescent="0.2">
      <c r="B8" s="69" t="s">
        <v>213</v>
      </c>
      <c r="C8" s="70" t="s">
        <v>214</v>
      </c>
    </row>
    <row r="9" spans="1:57" x14ac:dyDescent="0.2">
      <c r="B9" s="69" t="s">
        <v>215</v>
      </c>
      <c r="C9" s="69" t="s">
        <v>216</v>
      </c>
    </row>
    <row r="10" spans="1:57" x14ac:dyDescent="0.2">
      <c r="B10" s="69" t="s">
        <v>174</v>
      </c>
      <c r="C10" s="69" t="s">
        <v>217</v>
      </c>
      <c r="F10" s="123"/>
      <c r="G10" s="123"/>
    </row>
    <row r="11" spans="1:57" x14ac:dyDescent="0.2">
      <c r="F11" s="123"/>
      <c r="G11" s="123"/>
    </row>
    <row r="12" spans="1:57" x14ac:dyDescent="0.2">
      <c r="F12" s="123"/>
      <c r="G12" s="123"/>
    </row>
    <row r="13" spans="1:57" x14ac:dyDescent="0.2">
      <c r="F13" s="123"/>
      <c r="G13" s="123"/>
    </row>
    <row r="14" spans="1:57" x14ac:dyDescent="0.2">
      <c r="F14" s="123"/>
      <c r="G14" s="123"/>
    </row>
    <row r="15" spans="1:57" x14ac:dyDescent="0.2">
      <c r="F15" s="123"/>
      <c r="G15" s="123"/>
    </row>
    <row r="16" spans="1:57" x14ac:dyDescent="0.2">
      <c r="F16" s="123"/>
      <c r="G16" s="123"/>
    </row>
    <row r="17" spans="6:7" x14ac:dyDescent="0.2">
      <c r="F17" s="123"/>
      <c r="G17" s="123"/>
    </row>
    <row r="18" spans="6:7" x14ac:dyDescent="0.2">
      <c r="F18" s="123"/>
      <c r="G18" s="123"/>
    </row>
    <row r="19" spans="6:7" x14ac:dyDescent="0.2">
      <c r="F19" s="123"/>
      <c r="G19" s="123"/>
    </row>
    <row r="20" spans="6:7" x14ac:dyDescent="0.2">
      <c r="F20" s="123"/>
      <c r="G20" s="123"/>
    </row>
    <row r="21" spans="6:7" x14ac:dyDescent="0.2">
      <c r="F21" s="123"/>
      <c r="G21" s="123"/>
    </row>
    <row r="22" spans="6:7" x14ac:dyDescent="0.2">
      <c r="F22" s="123"/>
      <c r="G22" s="123"/>
    </row>
    <row r="23" spans="6:7" x14ac:dyDescent="0.2">
      <c r="F23" s="123"/>
      <c r="G23" s="123"/>
    </row>
  </sheetData>
  <mergeCells count="1">
    <mergeCell ref="B3:B5"/>
  </mergeCells>
  <phoneticPr fontId="7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841E61-4E9C-4B46-A2F6-3731895F11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46189C-3AA3-4818-8AF7-A56787DC28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46999F-13C4-4EF3-A154-5D2F28446717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2fd442da-66a9-4fa6-ba31-eb0d54ad1381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御見積詳細書 (顧客用) (2)</vt:lpstr>
      <vt:lpstr>御見積詳細書 (顧客用)</vt:lpstr>
      <vt:lpstr>御見積詳細書（社内用）</vt:lpstr>
      <vt:lpstr>MES_概算御見積（内部用）</vt:lpstr>
      <vt:lpstr>MES_概算御見積（顧客提出用）</vt:lpstr>
      <vt:lpstr>スケジュール概算</vt:lpstr>
      <vt:lpstr>'MES_概算御見積（顧客提出用）'!Print_Area</vt:lpstr>
      <vt:lpstr>'御見積詳細書 (顧客用)'!Print_Area</vt:lpstr>
      <vt:lpstr>'御見積詳細書 (顧客用) (2)'!Print_Area</vt:lpstr>
      <vt:lpstr>'御見積詳細書（社内用）'!Print_Area</vt:lpstr>
      <vt:lpstr>'MES_概算御見積（顧客提出用）'!Print_Titles</vt:lpstr>
      <vt:lpstr>'MES_概算御見積（内部用）'!Print_Titles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2025-09-01T01:49:03Z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