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39" documentId="13_ncr:1_{0C6403D6-9CC2-415C-8ED8-E62722C0699A}" xr6:coauthVersionLast="47" xr6:coauthVersionMax="47" xr10:uidLastSave="{F92A505A-D604-4082-9BA8-2FA999C496B7}"/>
  <bookViews>
    <workbookView xWindow="-28920" yWindow="-120" windowWidth="29040" windowHeight="16440" activeTab="3" xr2:uid="{00000000-000D-0000-FFFF-FFFF00000000}"/>
  </bookViews>
  <sheets>
    <sheet name="概算見積③12月～1月" sheetId="15" r:id="rId1"/>
    <sheet name="工数明細③12月～1月" sheetId="16" r:id="rId2"/>
    <sheet name="工数明細③12月～1月_bk" sheetId="19" state="hidden" r:id="rId3"/>
    <sheet name="概算見積③2月" sheetId="17" r:id="rId4"/>
    <sheet name="工数明細③2月" sheetId="18" r:id="rId5"/>
    <sheet name="工数明細 (2)" sheetId="12" state="hidden" r:id="rId6"/>
    <sheet name="社員工数" sheetId="1" state="hidden" r:id="rId7"/>
    <sheet name="外注費・経費" sheetId="2" state="hidden" r:id="rId8"/>
    <sheet name="リストマスタ" sheetId="3" state="hidden" r:id="rId9"/>
  </sheets>
  <externalReferences>
    <externalReference r:id="rId10"/>
  </externalReferences>
  <definedNames>
    <definedName name="_xlnm.Print_Area" localSheetId="0">'概算見積③12月～1月'!$A$1:$AJ$159</definedName>
    <definedName name="_xlnm.Print_Area" localSheetId="3">概算見積③2月!$A$1:$AJ$127</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5" i="15" l="1"/>
  <c r="Y46" i="15"/>
  <c r="AE9" i="16"/>
  <c r="AC10" i="18" l="1"/>
  <c r="Y44" i="17"/>
  <c r="Y42" i="17"/>
  <c r="Y47" i="17" s="1"/>
  <c r="AC7" i="18"/>
  <c r="X7" i="18"/>
  <c r="AE7" i="18"/>
  <c r="AF7" i="18" s="1"/>
  <c r="Z7" i="18"/>
  <c r="Y7" i="18"/>
  <c r="AA7" i="18"/>
  <c r="AC8" i="18"/>
  <c r="AE8" i="18" s="1"/>
  <c r="AF8" i="18" s="1"/>
  <c r="Y8" i="18"/>
  <c r="Z8" i="18" s="1"/>
  <c r="X8" i="18"/>
  <c r="AC8" i="19"/>
  <c r="AE8" i="19" s="1"/>
  <c r="AF8" i="19" s="1"/>
  <c r="AA8" i="19"/>
  <c r="Z8" i="19"/>
  <c r="Y8" i="19"/>
  <c r="X8" i="19"/>
  <c r="AC7" i="19"/>
  <c r="AD7" i="19" s="1"/>
  <c r="Y7" i="19"/>
  <c r="Z7" i="19" s="1"/>
  <c r="X7" i="19"/>
  <c r="W6" i="19"/>
  <c r="Y6" i="19" s="1"/>
  <c r="Z6" i="19" s="1"/>
  <c r="T6" i="19"/>
  <c r="U6" i="19" s="1"/>
  <c r="AC6" i="19" s="1"/>
  <c r="S6" i="19"/>
  <c r="R6" i="19"/>
  <c r="Q6" i="19"/>
  <c r="P6" i="19"/>
  <c r="N6" i="19"/>
  <c r="F6" i="19"/>
  <c r="A6" i="19"/>
  <c r="T5" i="19"/>
  <c r="S5" i="19"/>
  <c r="R5" i="19"/>
  <c r="Q5" i="19"/>
  <c r="P5" i="19"/>
  <c r="U5" i="19" s="1"/>
  <c r="AC5" i="19" s="1"/>
  <c r="N5" i="19"/>
  <c r="F5" i="19" s="1"/>
  <c r="A5" i="19"/>
  <c r="AV4" i="19"/>
  <c r="AU4" i="19"/>
  <c r="AT4" i="19"/>
  <c r="AS4" i="19"/>
  <c r="AR4" i="19"/>
  <c r="AQ4" i="19"/>
  <c r="AO4" i="19"/>
  <c r="AN4" i="19"/>
  <c r="AM4" i="19"/>
  <c r="AL4" i="19"/>
  <c r="AK4" i="19"/>
  <c r="AJ4" i="19"/>
  <c r="AI4" i="19"/>
  <c r="T4" i="19"/>
  <c r="S4" i="19"/>
  <c r="R4" i="19"/>
  <c r="Q4" i="19"/>
  <c r="P4" i="19"/>
  <c r="U4" i="19" s="1"/>
  <c r="N4" i="19"/>
  <c r="W4" i="19" s="1"/>
  <c r="F4" i="19"/>
  <c r="G4" i="19" s="1"/>
  <c r="A4" i="19"/>
  <c r="AA8" i="18" l="1"/>
  <c r="AD8" i="18"/>
  <c r="AG8" i="18" s="1"/>
  <c r="AD7" i="18"/>
  <c r="AG7" i="18" s="1"/>
  <c r="AW4" i="19"/>
  <c r="AC4" i="19"/>
  <c r="AE5" i="19"/>
  <c r="AF5" i="19" s="1"/>
  <c r="AD5" i="19"/>
  <c r="AG5" i="19" s="1"/>
  <c r="AE6" i="19"/>
  <c r="AF6" i="19" s="1"/>
  <c r="AD6" i="19"/>
  <c r="AG6" i="19" s="1"/>
  <c r="AA7" i="19"/>
  <c r="X4" i="19"/>
  <c r="Y4" i="19"/>
  <c r="Z4" i="19" s="1"/>
  <c r="AE7" i="19"/>
  <c r="AF7" i="19" s="1"/>
  <c r="AG7" i="19" s="1"/>
  <c r="AD8" i="19"/>
  <c r="AG8" i="19" s="1"/>
  <c r="X6" i="19"/>
  <c r="AA6" i="19" s="1"/>
  <c r="W5" i="19"/>
  <c r="A4" i="18"/>
  <c r="N4" i="18"/>
  <c r="F4" i="18" s="1"/>
  <c r="G4" i="18" s="1"/>
  <c r="P4" i="18"/>
  <c r="AQ4" i="18" s="1"/>
  <c r="Q4" i="18"/>
  <c r="AR4" i="18" s="1"/>
  <c r="R4" i="18"/>
  <c r="AS4" i="18" s="1"/>
  <c r="S4" i="18"/>
  <c r="AT4" i="18" s="1"/>
  <c r="T4" i="18"/>
  <c r="AU4" i="18" s="1"/>
  <c r="AI4" i="18"/>
  <c r="AJ4" i="18"/>
  <c r="AK4" i="18"/>
  <c r="AL4" i="18"/>
  <c r="AM4" i="18"/>
  <c r="AN4" i="18"/>
  <c r="AV4" i="18"/>
  <c r="A5" i="18"/>
  <c r="N5" i="18"/>
  <c r="F5" i="18" s="1"/>
  <c r="P5" i="18"/>
  <c r="Q5" i="18"/>
  <c r="R5" i="18"/>
  <c r="S5" i="18"/>
  <c r="T5" i="18"/>
  <c r="A6" i="18"/>
  <c r="N6" i="18"/>
  <c r="F6" i="18" s="1"/>
  <c r="P6" i="18"/>
  <c r="Q6" i="18"/>
  <c r="R6" i="18"/>
  <c r="S6" i="18"/>
  <c r="T6" i="18"/>
  <c r="U6" i="18"/>
  <c r="AC6" i="18" s="1"/>
  <c r="AE43" i="17" s="1"/>
  <c r="X9" i="18"/>
  <c r="Y9" i="18"/>
  <c r="Z9" i="18"/>
  <c r="AC9" i="18"/>
  <c r="AE9" i="18" s="1"/>
  <c r="AF9" i="18" s="1"/>
  <c r="X10" i="18"/>
  <c r="Y10" i="18"/>
  <c r="Z10" i="18" s="1"/>
  <c r="AA10" i="18" s="1"/>
  <c r="AE10" i="18"/>
  <c r="AD10" i="18"/>
  <c r="AE8" i="16"/>
  <c r="AC8" i="16"/>
  <c r="Y8" i="16"/>
  <c r="Z8" i="16" s="1"/>
  <c r="X8" i="16"/>
  <c r="AC7" i="16"/>
  <c r="AD7" i="16" s="1"/>
  <c r="Y7" i="16"/>
  <c r="Z7" i="16" s="1"/>
  <c r="X7" i="16"/>
  <c r="T6" i="16"/>
  <c r="S6" i="16"/>
  <c r="R6" i="16"/>
  <c r="Q6" i="16"/>
  <c r="P6" i="16"/>
  <c r="N6" i="16"/>
  <c r="W6" i="16" s="1"/>
  <c r="F6" i="16"/>
  <c r="A6" i="16"/>
  <c r="T5" i="16"/>
  <c r="S5" i="16"/>
  <c r="R5" i="16"/>
  <c r="Q5" i="16"/>
  <c r="P5" i="16"/>
  <c r="N5" i="16"/>
  <c r="F5" i="16" s="1"/>
  <c r="A5" i="16"/>
  <c r="AV4" i="16"/>
  <c r="AN4" i="16"/>
  <c r="AM4" i="16"/>
  <c r="AL4" i="16"/>
  <c r="AK4" i="16"/>
  <c r="AJ4" i="16"/>
  <c r="AI4" i="16"/>
  <c r="T4" i="16"/>
  <c r="AU4" i="16" s="1"/>
  <c r="S4" i="16"/>
  <c r="AT4" i="16" s="1"/>
  <c r="R4" i="16"/>
  <c r="AS4" i="16" s="1"/>
  <c r="Q4" i="16"/>
  <c r="AR4" i="16" s="1"/>
  <c r="P4" i="16"/>
  <c r="AQ4" i="16" s="1"/>
  <c r="N4" i="16"/>
  <c r="F4" i="16" s="1"/>
  <c r="G4" i="16" s="1"/>
  <c r="A4" i="16"/>
  <c r="B87" i="15"/>
  <c r="B80" i="15"/>
  <c r="B72" i="15"/>
  <c r="D45" i="15"/>
  <c r="D44" i="15"/>
  <c r="D43" i="15"/>
  <c r="AF9" i="12"/>
  <c r="AI9" i="12"/>
  <c r="AI4" i="12"/>
  <c r="AI5" i="12"/>
  <c r="AI6" i="12"/>
  <c r="AI7" i="12"/>
  <c r="AI8" i="12"/>
  <c r="AJ9" i="12"/>
  <c r="AH9" i="12"/>
  <c r="AE9" i="12"/>
  <c r="AE8" i="12"/>
  <c r="AC8" i="12"/>
  <c r="AC9" i="12"/>
  <c r="AH4" i="12"/>
  <c r="AG9" i="12"/>
  <c r="AH5" i="12"/>
  <c r="AH6" i="12"/>
  <c r="AH7" i="12"/>
  <c r="A4" i="12"/>
  <c r="O4" i="12"/>
  <c r="Y4" i="12" s="1"/>
  <c r="Q4" i="12"/>
  <c r="R4" i="12"/>
  <c r="S4" i="12"/>
  <c r="T4" i="12"/>
  <c r="U4" i="12"/>
  <c r="V4" i="12"/>
  <c r="W4" i="12" s="1"/>
  <c r="AL4" i="12"/>
  <c r="AM4" i="12"/>
  <c r="AN4" i="12"/>
  <c r="AO4" i="12"/>
  <c r="AP4" i="12"/>
  <c r="AQ4" i="12"/>
  <c r="A5" i="12"/>
  <c r="O5" i="12"/>
  <c r="Y5" i="12" s="1"/>
  <c r="Q5" i="12"/>
  <c r="R5" i="12"/>
  <c r="AU4" i="12" s="1"/>
  <c r="S5" i="12"/>
  <c r="AV4" i="12" s="1"/>
  <c r="T5" i="12"/>
  <c r="AW4" i="12" s="1"/>
  <c r="U5" i="12"/>
  <c r="V5" i="12"/>
  <c r="A6" i="12"/>
  <c r="O6" i="12"/>
  <c r="Q6" i="12"/>
  <c r="R6" i="12"/>
  <c r="S6" i="12"/>
  <c r="T6" i="12"/>
  <c r="U6" i="12"/>
  <c r="V6" i="12"/>
  <c r="A7" i="12"/>
  <c r="F7" i="12"/>
  <c r="O7" i="12"/>
  <c r="Y7" i="12" s="1"/>
  <c r="Q7" i="12"/>
  <c r="R7" i="12"/>
  <c r="S7" i="12"/>
  <c r="T7" i="12"/>
  <c r="U7" i="12"/>
  <c r="V7" i="12"/>
  <c r="A8" i="12"/>
  <c r="O8" i="12"/>
  <c r="F8" i="12" s="1"/>
  <c r="Q8" i="12"/>
  <c r="R8" i="12"/>
  <c r="W8" i="12" s="1"/>
  <c r="S8" i="12"/>
  <c r="T8" i="12"/>
  <c r="U8" i="12"/>
  <c r="V8" i="12"/>
  <c r="Z9" i="12"/>
  <c r="AA9" i="12"/>
  <c r="AB9" i="12"/>
  <c r="AF10" i="18" l="1"/>
  <c r="AG10" i="18" s="1"/>
  <c r="AE45" i="17"/>
  <c r="AA9" i="18"/>
  <c r="W4" i="18"/>
  <c r="AO4" i="18"/>
  <c r="AD9" i="18"/>
  <c r="W6" i="18"/>
  <c r="X6" i="18" s="1"/>
  <c r="U5" i="18"/>
  <c r="AC5" i="18" s="1"/>
  <c r="AE42" i="17" s="1"/>
  <c r="AA4" i="19"/>
  <c r="AE4" i="19"/>
  <c r="AD4" i="19"/>
  <c r="AC9" i="19"/>
  <c r="H4" i="19"/>
  <c r="Y5" i="19"/>
  <c r="Z5" i="19" s="1"/>
  <c r="X5" i="19"/>
  <c r="AA5" i="19" s="1"/>
  <c r="AG9" i="18"/>
  <c r="AE6" i="18"/>
  <c r="AF6" i="18" s="1"/>
  <c r="AD6" i="18"/>
  <c r="U4" i="18"/>
  <c r="W5" i="18"/>
  <c r="AE7" i="16"/>
  <c r="AA7" i="16"/>
  <c r="U6" i="16"/>
  <c r="AC6" i="16" s="1"/>
  <c r="W4" i="16"/>
  <c r="Y4" i="16" s="1"/>
  <c r="Z4" i="16" s="1"/>
  <c r="U5" i="16"/>
  <c r="AC5" i="16" s="1"/>
  <c r="AO4" i="16"/>
  <c r="AA8" i="16"/>
  <c r="Y44" i="15"/>
  <c r="Y6" i="16"/>
  <c r="Z6" i="16" s="1"/>
  <c r="X6" i="16"/>
  <c r="AD8" i="16"/>
  <c r="AF8" i="16"/>
  <c r="U4" i="16"/>
  <c r="W5" i="16"/>
  <c r="AA5" i="12"/>
  <c r="AB5" i="12" s="1"/>
  <c r="Z5" i="12"/>
  <c r="AX4" i="12"/>
  <c r="Y8" i="12"/>
  <c r="W7" i="12"/>
  <c r="AE7" i="12" s="1"/>
  <c r="AG7" i="12" s="1"/>
  <c r="AT4" i="12"/>
  <c r="F5" i="12"/>
  <c r="AR4" i="12"/>
  <c r="Z7" i="12"/>
  <c r="AA7" i="12"/>
  <c r="AB7" i="12" s="1"/>
  <c r="AF7" i="12"/>
  <c r="AF8" i="12"/>
  <c r="AG8" i="12"/>
  <c r="AE4" i="12"/>
  <c r="Z4" i="12"/>
  <c r="AA4" i="12"/>
  <c r="AB4" i="12" s="1"/>
  <c r="AC5" i="12"/>
  <c r="W5" i="12"/>
  <c r="AE5" i="12" s="1"/>
  <c r="AY4" i="12"/>
  <c r="F6" i="12"/>
  <c r="Y6" i="12"/>
  <c r="W6" i="12"/>
  <c r="AE6" i="12" s="1"/>
  <c r="F4" i="12"/>
  <c r="Y4" i="18" l="1"/>
  <c r="X4" i="18"/>
  <c r="AE5" i="18"/>
  <c r="AF5" i="18" s="1"/>
  <c r="AD5" i="18"/>
  <c r="Y6" i="18"/>
  <c r="Z6" i="18" s="1"/>
  <c r="AA6" i="18" s="1"/>
  <c r="AG6" i="18"/>
  <c r="AD9" i="19"/>
  <c r="AE9" i="19"/>
  <c r="AE10" i="19" s="1"/>
  <c r="AF4" i="19"/>
  <c r="AF9" i="19" s="1"/>
  <c r="AE45" i="15"/>
  <c r="AE6" i="16"/>
  <c r="AD5" i="16"/>
  <c r="AE5" i="16"/>
  <c r="AF5" i="16" s="1"/>
  <c r="AG5" i="16" s="1"/>
  <c r="Y5" i="18"/>
  <c r="Z5" i="18" s="1"/>
  <c r="X5" i="18"/>
  <c r="AC4" i="18"/>
  <c r="AW4" i="18"/>
  <c r="AE44" i="17"/>
  <c r="AG5" i="18"/>
  <c r="AF7" i="16"/>
  <c r="AG7" i="16" s="1"/>
  <c r="AD6" i="16"/>
  <c r="AF6" i="16"/>
  <c r="X4" i="16"/>
  <c r="AA4" i="16" s="1"/>
  <c r="AA6" i="16"/>
  <c r="Y5" i="16"/>
  <c r="Z5" i="16" s="1"/>
  <c r="X5" i="16"/>
  <c r="AG8" i="16"/>
  <c r="H4" i="16"/>
  <c r="AC4" i="16"/>
  <c r="AE4" i="16" s="1"/>
  <c r="AW4" i="16"/>
  <c r="I80" i="15"/>
  <c r="AE44" i="15"/>
  <c r="AH8" i="12"/>
  <c r="AH10" i="12" s="1"/>
  <c r="AZ4" i="12"/>
  <c r="AA8" i="12"/>
  <c r="AB8" i="12" s="1"/>
  <c r="Z8" i="12"/>
  <c r="G4" i="12"/>
  <c r="H4" i="12"/>
  <c r="AC4" i="12"/>
  <c r="AF6" i="12"/>
  <c r="AG6" i="12"/>
  <c r="AJ7" i="12"/>
  <c r="AF5" i="12"/>
  <c r="AG5" i="12"/>
  <c r="AF4" i="12"/>
  <c r="AG4" i="12"/>
  <c r="AJ8" i="12"/>
  <c r="Z6" i="12"/>
  <c r="AA6" i="12"/>
  <c r="AB6" i="12" s="1"/>
  <c r="AC7" i="12"/>
  <c r="I87" i="15" l="1"/>
  <c r="Z4" i="18"/>
  <c r="AA4" i="18" s="1"/>
  <c r="H4" i="18"/>
  <c r="AA5" i="18"/>
  <c r="AG4" i="19"/>
  <c r="AG9" i="19" s="1"/>
  <c r="AD4" i="18"/>
  <c r="AE4" i="18"/>
  <c r="AC11" i="18"/>
  <c r="AG6" i="16"/>
  <c r="AA5" i="16"/>
  <c r="Y43" i="15"/>
  <c r="AC9" i="16"/>
  <c r="AD4" i="16"/>
  <c r="AC6" i="12"/>
  <c r="AJ4" i="12"/>
  <c r="AJ5" i="12"/>
  <c r="AJ6" i="12"/>
  <c r="AD11" i="18" l="1"/>
  <c r="AF4" i="18"/>
  <c r="AF11" i="18" s="1"/>
  <c r="AE11" i="18"/>
  <c r="AE12" i="18" s="1"/>
  <c r="AE43" i="15"/>
  <c r="I72" i="15"/>
  <c r="Y47" i="15"/>
  <c r="AE10" i="16"/>
  <c r="AF4" i="16"/>
  <c r="AF9" i="16" s="1"/>
  <c r="AD9" i="16"/>
  <c r="AJ10" i="12"/>
  <c r="E3" i="2"/>
  <c r="AE46" i="17" l="1"/>
  <c r="AE47" i="17" s="1"/>
  <c r="AG4" i="18"/>
  <c r="AG11" i="18" s="1"/>
  <c r="AG4" i="16"/>
  <c r="AG9" i="16" s="1"/>
  <c r="AE46" i="15"/>
  <c r="AE47" i="15" s="1"/>
  <c r="F11" i="15" s="1"/>
  <c r="I100" i="15"/>
  <c r="I102" i="15" s="1"/>
  <c r="E4" i="2"/>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F11" i="17" l="1"/>
  <c r="AF59" i="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5" authorId="0" shapeId="0" xr:uid="{D47A14EF-6BF0-4E21-A804-F534ACDA529F}">
      <text>
        <r>
          <rPr>
            <sz val="9"/>
            <color indexed="81"/>
            <rFont val="MS P ゴシック"/>
            <family val="3"/>
            <charset val="128"/>
          </rPr>
          <t>概算見積追加</t>
        </r>
      </text>
    </comment>
    <comment ref="E6" authorId="0" shapeId="0" xr:uid="{4B9BB1D6-3F61-42D6-95C7-0F86E91656F0}">
      <text>
        <r>
          <rPr>
            <sz val="9"/>
            <color indexed="81"/>
            <rFont val="MS P ゴシック"/>
            <family val="3"/>
            <charset val="128"/>
          </rPr>
          <t>概算見積追加</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5" authorId="0" shapeId="0" xr:uid="{23DD8746-A548-4C89-A8EB-FB2D20CF359C}">
      <text>
        <r>
          <rPr>
            <sz val="9"/>
            <color indexed="81"/>
            <rFont val="MS P ゴシック"/>
            <family val="3"/>
            <charset val="128"/>
          </rPr>
          <t>概算見積追加</t>
        </r>
      </text>
    </comment>
    <comment ref="E6" authorId="0" shapeId="0" xr:uid="{1E5D0689-E897-4C18-8838-C0BE899DDA1A}">
      <text>
        <r>
          <rPr>
            <sz val="9"/>
            <color indexed="81"/>
            <rFont val="MS P ゴシック"/>
            <family val="3"/>
            <charset val="128"/>
          </rPr>
          <t>概算見積追加</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5" authorId="0" shapeId="0" xr:uid="{32D1956B-BB2A-4F38-AAF0-6FADFB001ACF}">
      <text>
        <r>
          <rPr>
            <sz val="9"/>
            <color indexed="81"/>
            <rFont val="MS P ゴシック"/>
            <family val="3"/>
            <charset val="128"/>
          </rPr>
          <t>概算見積追加</t>
        </r>
      </text>
    </comment>
    <comment ref="E6" authorId="0" shapeId="0" xr:uid="{6F486E8B-5ED9-40EF-BB61-AE842D8D57A1}">
      <text>
        <r>
          <rPr>
            <sz val="9"/>
            <color indexed="81"/>
            <rFont val="MS P ゴシック"/>
            <family val="3"/>
            <charset val="128"/>
          </rPr>
          <t>概算見積追加</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8" authorId="0" shapeId="0" xr:uid="{4044C471-6C00-4205-B379-54FD0F317C56}">
      <text>
        <r>
          <rPr>
            <sz val="9"/>
            <color indexed="81"/>
            <rFont val="MS P ゴシック"/>
            <family val="3"/>
            <charset val="128"/>
          </rPr>
          <t>概算見積追加</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<sst xmlns="http://schemas.openxmlformats.org/spreadsheetml/2006/main" count="741" uniqueCount="315">
  <si>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</si>
  <si>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</si>
  <si>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t>
    <phoneticPr fontId="3"/>
  </si>
  <si>
    <t>見積年月日</t>
    <rPh sb="0" eb="2">
      <t>ミツモリ</t>
    </rPh>
    <rPh sb="2" eb="5">
      <t>ネンガッピ</t>
    </rPh>
    <phoneticPr fontId="7"/>
  </si>
  <si>
    <t>出光興産株式会社　御中</t>
    <rPh sb="0" eb="2">
      <t>イデミツ</t>
    </rPh>
    <rPh sb="2" eb="4">
      <t>コウサン</t>
    </rPh>
    <rPh sb="4" eb="8">
      <t>カブシキガイシャ</t>
    </rPh>
    <rPh sb="9" eb="11">
      <t>オンチュウ</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</si>
  <si>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</si>
  <si>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</si>
  <si>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</si>
  <si>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</si>
  <si>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担当: 髙橋　裕輔</t>
    <rPh sb="0" eb="2">
      <t>タントウ</t>
    </rPh>
    <rPh sb="4" eb="6">
      <t>タカハシ</t>
    </rPh>
    <rPh sb="7" eb="9">
      <t>ユウスケ</t>
    </rPh>
    <phoneticPr fontId="7"/>
  </si>
  <si>
    <t>MAIL: yusuke.takahashi@system-exe.jp</t>
    <phoneticPr fontId="7"/>
  </si>
  <si>
    <t>件名</t>
    <rPh sb="0" eb="2">
      <t>ケンメイ</t>
    </rPh>
    <phoneticPr fontId="7"/>
  </si>
  <si>
    <t>作業形態</t>
    <rPh sb="0" eb="2">
      <t>サギョウ</t>
    </rPh>
    <rPh sb="2" eb="4">
      <t>ケイタイ</t>
    </rPh>
    <phoneticPr fontId="18"/>
  </si>
  <si>
    <t>請負契約</t>
    <rPh sb="0" eb="2">
      <t>ウケオイ</t>
    </rPh>
    <rPh sb="2" eb="4">
      <t>ケイヤク</t>
    </rPh>
    <phoneticPr fontId="18"/>
  </si>
  <si>
    <t>作業場所</t>
    <rPh sb="0" eb="2">
      <t>サギョウ</t>
    </rPh>
    <rPh sb="2" eb="4">
      <t>バショ</t>
    </rPh>
    <phoneticPr fontId="18"/>
  </si>
  <si>
    <t>弊社内（在宅勤務を含む）</t>
    <rPh sb="0" eb="2">
      <t>ヘイシャ</t>
    </rPh>
    <rPh sb="2" eb="3">
      <t>ナイ</t>
    </rPh>
    <rPh sb="4" eb="6">
      <t>ザイタク</t>
    </rPh>
    <rPh sb="6" eb="8">
      <t>キンム</t>
    </rPh>
    <rPh sb="9" eb="10">
      <t>フク</t>
    </rPh>
    <phoneticPr fontId="18"/>
  </si>
  <si>
    <t>作業期間</t>
    <rPh sb="0" eb="2">
      <t>サギョウ</t>
    </rPh>
    <rPh sb="2" eb="4">
      <t>キカン</t>
    </rPh>
    <phoneticPr fontId="18"/>
  </si>
  <si>
    <t>見積金額内訳</t>
    <rPh sb="0" eb="2">
      <t>ミツモリ</t>
    </rPh>
    <rPh sb="2" eb="4">
      <t>キンガク</t>
    </rPh>
    <rPh sb="4" eb="6">
      <t>ウチワケ</t>
    </rPh>
    <phoneticPr fontId="7"/>
  </si>
  <si>
    <t>No</t>
    <phoneticPr fontId="7"/>
  </si>
  <si>
    <t>項目</t>
    <rPh sb="0" eb="2">
      <t>コウモク</t>
    </rPh>
    <phoneticPr fontId="7"/>
  </si>
  <si>
    <t>数量</t>
    <rPh sb="0" eb="2">
      <t>スウリョウ</t>
    </rPh>
    <phoneticPr fontId="7"/>
  </si>
  <si>
    <t>金額</t>
    <rPh sb="0" eb="2">
      <t>キンガク</t>
    </rPh>
    <phoneticPr fontId="18"/>
  </si>
  <si>
    <t>単価</t>
    <rPh sb="0" eb="2">
      <t>タンカ</t>
    </rPh>
    <phoneticPr fontId="7"/>
  </si>
  <si>
    <t>人月</t>
    <rPh sb="0" eb="2">
      <t>ニンゲツ</t>
    </rPh>
    <phoneticPr fontId="18"/>
  </si>
  <si>
    <t>リリース</t>
    <phoneticPr fontId="7"/>
  </si>
  <si>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</si>
  <si>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</si>
  <si>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</si>
  <si>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</si>
  <si>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</si>
  <si>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設計書</t>
    <rPh sb="0" eb="3">
      <t>セッケイショ</t>
    </rPh>
    <phoneticPr fontId="18"/>
  </si>
  <si>
    <t>結合テスト仕様書兼結果報告書</t>
    <rPh sb="0" eb="2">
      <t>ケツゴウ</t>
    </rPh>
    <rPh sb="5" eb="7">
      <t>シヨウ</t>
    </rPh>
    <rPh sb="8" eb="9">
      <t>ケン</t>
    </rPh>
    <rPh sb="9" eb="11">
      <t>ケッカ</t>
    </rPh>
    <phoneticPr fontId="18"/>
  </si>
  <si>
    <t>ソースコード</t>
    <phoneticPr fontId="18"/>
  </si>
  <si>
    <t>システムテスト仕様書兼結果報告書</t>
    <rPh sb="7" eb="9">
      <t>シヨウ</t>
    </rPh>
    <rPh sb="10" eb="11">
      <t>ケン</t>
    </rPh>
    <rPh sb="11" eb="13">
      <t>ケッカ</t>
    </rPh>
    <phoneticPr fontId="18"/>
  </si>
  <si>
    <t>作業内容</t>
    <rPh sb="0" eb="2">
      <t>サギョウ</t>
    </rPh>
    <rPh sb="2" eb="4">
      <t>ナイヨウ</t>
    </rPh>
    <phoneticPr fontId="18"/>
  </si>
  <si>
    <t>工程</t>
    <rPh sb="0" eb="2">
      <t>コウテイ</t>
    </rPh>
    <phoneticPr fontId="7"/>
  </si>
  <si>
    <t>成果物</t>
    <phoneticPr fontId="18"/>
  </si>
  <si>
    <t>調査・設計</t>
    <rPh sb="0" eb="2">
      <t>チョウサ</t>
    </rPh>
    <rPh sb="3" eb="5">
      <t>セッケイ</t>
    </rPh>
    <phoneticPr fontId="7"/>
  </si>
  <si>
    <t>・</t>
  </si>
  <si>
    <t>対象箇所及び影響調査</t>
    <rPh sb="0" eb="4">
      <t>タイショウカショ</t>
    </rPh>
    <rPh sb="4" eb="5">
      <t>オヨ</t>
    </rPh>
    <rPh sb="6" eb="8">
      <t>エイキョウ</t>
    </rPh>
    <rPh sb="8" eb="10">
      <t>チョウサ</t>
    </rPh>
    <phoneticPr fontId="3"/>
  </si>
  <si>
    <t>基本設計書</t>
    <rPh sb="0" eb="4">
      <t>キホンセッケイ</t>
    </rPh>
    <rPh sb="4" eb="5">
      <t>ショ</t>
    </rPh>
    <phoneticPr fontId="3"/>
  </si>
  <si>
    <t>詳細設計書</t>
    <phoneticPr fontId="3"/>
  </si>
  <si>
    <t>開発・単体テスト</t>
    <phoneticPr fontId="7"/>
  </si>
  <si>
    <t>「改修対象」を参照</t>
    <rPh sb="1" eb="3">
      <t>カイシュウ</t>
    </rPh>
    <rPh sb="3" eb="5">
      <t>タイショウ</t>
    </rPh>
    <rPh sb="7" eb="9">
      <t>サンショウ</t>
    </rPh>
    <phoneticPr fontId="18"/>
  </si>
  <si>
    <t>プログラム一式</t>
    <rPh sb="5" eb="7">
      <t>イッシキ</t>
    </rPh>
    <phoneticPr fontId="18"/>
  </si>
  <si>
    <t>結合テスト</t>
    <phoneticPr fontId="7"/>
  </si>
  <si>
    <t>結合テスト実施</t>
    <rPh sb="5" eb="7">
      <t>ジッシ</t>
    </rPh>
    <phoneticPr fontId="3"/>
  </si>
  <si>
    <t>・</t>
    <phoneticPr fontId="7"/>
  </si>
  <si>
    <t>システムテスト</t>
    <phoneticPr fontId="7"/>
  </si>
  <si>
    <t>システムテスト実施</t>
    <rPh sb="7" eb="9">
      <t>ジッシ</t>
    </rPh>
    <phoneticPr fontId="3"/>
  </si>
  <si>
    <t>システムテスト仕様書</t>
    <phoneticPr fontId="3"/>
  </si>
  <si>
    <t>受入テスト</t>
    <phoneticPr fontId="7"/>
  </si>
  <si>
    <t>受入テスト対応</t>
  </si>
  <si>
    <t>スケジュール管理</t>
    <phoneticPr fontId="18"/>
  </si>
  <si>
    <t>進捗報告書</t>
    <rPh sb="0" eb="4">
      <t>シンチョクホウ</t>
    </rPh>
    <rPh sb="4" eb="5">
      <t>ショ</t>
    </rPh>
    <phoneticPr fontId="18"/>
  </si>
  <si>
    <t>レビュー、進捗管理・報告</t>
    <phoneticPr fontId="18"/>
  </si>
  <si>
    <t>課題管理表</t>
    <rPh sb="0" eb="2">
      <t>カダイ</t>
    </rPh>
    <rPh sb="2" eb="4">
      <t>カンリ</t>
    </rPh>
    <rPh sb="4" eb="5">
      <t>ヒョウ</t>
    </rPh>
    <phoneticPr fontId="18"/>
  </si>
  <si>
    <t>打ち合わせ等</t>
    <rPh sb="0" eb="1">
      <t>ウ</t>
    </rPh>
    <rPh sb="2" eb="3">
      <t>ア</t>
    </rPh>
    <rPh sb="5" eb="6">
      <t>トウ</t>
    </rPh>
    <phoneticPr fontId="4"/>
  </si>
  <si>
    <t>改修対象</t>
    <rPh sb="0" eb="2">
      <t>カイシュウ</t>
    </rPh>
    <rPh sb="2" eb="4">
      <t>タイショウ</t>
    </rPh>
    <phoneticPr fontId="18"/>
  </si>
  <si>
    <t>スケジュール</t>
    <phoneticPr fontId="7"/>
  </si>
  <si>
    <t>調査・設計</t>
    <rPh sb="0" eb="2">
      <t>チョウサ</t>
    </rPh>
    <rPh sb="3" eb="5">
      <t>セッケイ</t>
    </rPh>
    <phoneticPr fontId="18"/>
  </si>
  <si>
    <t>開発・単体テスト</t>
    <phoneticPr fontId="18"/>
  </si>
  <si>
    <t>結合テスト</t>
    <rPh sb="0" eb="2">
      <t>ケツゴウ</t>
    </rPh>
    <phoneticPr fontId="18"/>
  </si>
  <si>
    <t>システムテスト</t>
    <phoneticPr fontId="18"/>
  </si>
  <si>
    <t>受入テスト</t>
    <phoneticPr fontId="18"/>
  </si>
  <si>
    <t>凡例</t>
    <rPh sb="0" eb="2">
      <t>ハンレイ</t>
    </rPh>
    <phoneticPr fontId="18"/>
  </si>
  <si>
    <t>貴社作業</t>
    <rPh sb="0" eb="2">
      <t>キシャ</t>
    </rPh>
    <rPh sb="2" eb="4">
      <t>サギョウ</t>
    </rPh>
    <phoneticPr fontId="18"/>
  </si>
  <si>
    <t>弊社作業</t>
    <rPh sb="0" eb="2">
      <t>ヘイシャ</t>
    </rPh>
    <rPh sb="2" eb="4">
      <t>サギョウ</t>
    </rPh>
    <phoneticPr fontId="18"/>
  </si>
  <si>
    <t>体制</t>
    <rPh sb="0" eb="2">
      <t>タイセイ</t>
    </rPh>
    <phoneticPr fontId="18"/>
  </si>
  <si>
    <t xml:space="preserve"> 責任者
 川名翔太</t>
    <rPh sb="1" eb="4">
      <t>セキニンシャ</t>
    </rPh>
    <phoneticPr fontId="7"/>
  </si>
  <si>
    <t xml:space="preserve"> PM
 髙橋裕輔</t>
    <rPh sb="5" eb="7">
      <t>タカハシ</t>
    </rPh>
    <rPh sb="7" eb="9">
      <t>ユウスケ</t>
    </rPh>
    <phoneticPr fontId="18"/>
  </si>
  <si>
    <t>その他の前提条件</t>
    <rPh sb="2" eb="3">
      <t>タ</t>
    </rPh>
    <rPh sb="4" eb="6">
      <t>ゼンテイ</t>
    </rPh>
    <rPh sb="6" eb="8">
      <t>ジョウケン</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</si>
  <si>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</si>
  <si>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</si>
  <si>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</si>
  <si>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</si>
  <si>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</si>
  <si>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</si>
  <si>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</si>
  <si>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</si>
  <si>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</si>
  <si>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４．受入テストについて</t>
    <rPh sb="2" eb="4">
      <t>ウケイレ</t>
    </rPh>
    <phoneticPr fontId="18"/>
  </si>
  <si>
    <t>受入テストにつきましては、貴社にて実施をお願いいたします。</t>
    <rPh sb="0" eb="2">
      <t>ウケイレ</t>
    </rPh>
    <rPh sb="13" eb="15">
      <t>キシャ</t>
    </rPh>
    <rPh sb="17" eb="19">
      <t>ジッシ</t>
    </rPh>
    <rPh sb="21" eb="22">
      <t>ネガイ</t>
    </rPh>
    <phoneticPr fontId="18"/>
  </si>
  <si>
    <t>場合がございます。</t>
    <phoneticPr fontId="7"/>
  </si>
  <si>
    <t>IFC生産委託システム追加開発対応</t>
    <rPh sb="3" eb="5">
      <t>セイサン</t>
    </rPh>
    <rPh sb="5" eb="7">
      <t>イタク</t>
    </rPh>
    <rPh sb="11" eb="13">
      <t>ツイカ</t>
    </rPh>
    <rPh sb="13" eb="15">
      <t>カイハツ</t>
    </rPh>
    <rPh sb="15" eb="17">
      <t>タイオウ</t>
    </rPh>
    <phoneticPr fontId="3"/>
  </si>
  <si>
    <t>人日</t>
    <rPh sb="0" eb="2">
      <t>ニンニチ</t>
    </rPh>
    <phoneticPr fontId="3"/>
  </si>
  <si>
    <t>人月</t>
    <rPh sb="0" eb="2">
      <t>ニンゲツ</t>
    </rPh>
    <phoneticPr fontId="3"/>
  </si>
  <si>
    <t>工程別作業工数合算</t>
    <rPh sb="0" eb="3">
      <t>コウテイベツ</t>
    </rPh>
    <rPh sb="3" eb="7">
      <t>サギョウコウスウ</t>
    </rPh>
    <rPh sb="7" eb="9">
      <t>ガッサン</t>
    </rPh>
    <phoneticPr fontId="3"/>
  </si>
  <si>
    <t>開発</t>
    <rPh sb="0" eb="2">
      <t>カイハツ</t>
    </rPh>
    <phoneticPr fontId="3"/>
  </si>
  <si>
    <t>管理</t>
    <rPh sb="0" eb="2">
      <t>カンリ</t>
    </rPh>
    <phoneticPr fontId="3"/>
  </si>
  <si>
    <t>No.</t>
    <phoneticPr fontId="3"/>
  </si>
  <si>
    <t>案件名</t>
    <rPh sb="0" eb="2">
      <t>アンケン</t>
    </rPh>
    <rPh sb="2" eb="3">
      <t>メイ</t>
    </rPh>
    <phoneticPr fontId="3"/>
  </si>
  <si>
    <t>完成希望日</t>
    <phoneticPr fontId="3"/>
  </si>
  <si>
    <t>内容</t>
    <rPh sb="0" eb="2">
      <t>ナイヨウ</t>
    </rPh>
    <phoneticPr fontId="3"/>
  </si>
  <si>
    <t>改修内容</t>
    <rPh sb="0" eb="2">
      <t>カイシュウ</t>
    </rPh>
    <rPh sb="2" eb="4">
      <t>ナイヨウ</t>
    </rPh>
    <phoneticPr fontId="3"/>
  </si>
  <si>
    <t>概算工数
開発工数内訳（人日）</t>
    <rPh sb="0" eb="2">
      <t>ガイサン</t>
    </rPh>
    <rPh sb="2" eb="4">
      <t>コウスウ</t>
    </rPh>
    <rPh sb="5" eb="7">
      <t>カイハツ</t>
    </rPh>
    <rPh sb="7" eb="9">
      <t>コウスウ</t>
    </rPh>
    <rPh sb="9" eb="11">
      <t>ウチワケ</t>
    </rPh>
    <rPh sb="12" eb="14">
      <t>ニンニチ</t>
    </rPh>
    <phoneticPr fontId="3"/>
  </si>
  <si>
    <t>概算工数
開発工数（人日）</t>
    <rPh sb="0" eb="2">
      <t>ガイサン</t>
    </rPh>
    <rPh sb="2" eb="4">
      <t>コウスウ</t>
    </rPh>
    <rPh sb="5" eb="7">
      <t>カイハツ</t>
    </rPh>
    <rPh sb="7" eb="9">
      <t>コウスウ</t>
    </rPh>
    <rPh sb="10" eb="12">
      <t>ニンニチ</t>
    </rPh>
    <phoneticPr fontId="3"/>
  </si>
  <si>
    <t>管理工数込み（人日）</t>
    <rPh sb="0" eb="5">
      <t>カンリコウスウコ</t>
    </rPh>
    <phoneticPr fontId="3"/>
  </si>
  <si>
    <t>調査・設計</t>
    <rPh sb="0" eb="2">
      <t>チョウサ</t>
    </rPh>
    <rPh sb="3" eb="5">
      <t>セッケイ</t>
    </rPh>
    <phoneticPr fontId="3"/>
  </si>
  <si>
    <t>PG</t>
    <phoneticPr fontId="3"/>
  </si>
  <si>
    <t>IT</t>
    <phoneticPr fontId="3"/>
  </si>
  <si>
    <t>ST</t>
    <phoneticPr fontId="3"/>
  </si>
  <si>
    <t>UAT</t>
    <phoneticPr fontId="3"/>
  </si>
  <si>
    <t>リリース</t>
    <phoneticPr fontId="3"/>
  </si>
  <si>
    <t>合計</t>
    <rPh sb="0" eb="2">
      <t>ゴウケイ</t>
    </rPh>
    <phoneticPr fontId="3"/>
  </si>
  <si>
    <t>備考</t>
    <rPh sb="0" eb="2">
      <t>ビコウ</t>
    </rPh>
    <phoneticPr fontId="3"/>
  </si>
  <si>
    <t>金額</t>
    <rPh sb="0" eb="2">
      <t>キンガク</t>
    </rPh>
    <phoneticPr fontId="3"/>
  </si>
  <si>
    <t>合計金額</t>
    <rPh sb="0" eb="4">
      <t>ゴウケイキンガク</t>
    </rPh>
    <phoneticPr fontId="3"/>
  </si>
  <si>
    <t>IFC生産委託システム追加開発対応</t>
    <phoneticPr fontId="3"/>
  </si>
  <si>
    <t>御見積の前提条件</t>
    <rPh sb="0" eb="3">
      <t>オミツモリ</t>
    </rPh>
    <rPh sb="4" eb="6">
      <t>ゼンテイ</t>
    </rPh>
    <rPh sb="6" eb="8">
      <t>ジョウケン</t>
    </rPh>
    <phoneticPr fontId="3"/>
  </si>
  <si>
    <t>※リリース工数は一番上の項目に集約</t>
    <rPh sb="5" eb="7">
      <t>コウスウ</t>
    </rPh>
    <rPh sb="8" eb="11">
      <t>イチバンウエ</t>
    </rPh>
    <rPh sb="12" eb="14">
      <t>コウモク</t>
    </rPh>
    <rPh sb="15" eb="17">
      <t>シュウヤク</t>
    </rPh>
    <phoneticPr fontId="3"/>
  </si>
  <si>
    <t>リリース工数、初期流動工数を含んでおります。</t>
    <rPh sb="4" eb="6">
      <t>コウスウ</t>
    </rPh>
    <rPh sb="7" eb="11">
      <t>ショキリュウドウ</t>
    </rPh>
    <rPh sb="11" eb="13">
      <t>コウスウ</t>
    </rPh>
    <rPh sb="14" eb="15">
      <t>フク</t>
    </rPh>
    <phoneticPr fontId="3"/>
  </si>
  <si>
    <t>費用は開発業務と管理業務で算出しております。</t>
    <phoneticPr fontId="3"/>
  </si>
  <si>
    <t>弊社千葉事業所（在宅勤務を含む）での作業を前提としております。現地等遠隔地での作業が発生する場合は、工数を変更する場合があります。</t>
    <rPh sb="8" eb="10">
      <t>ザイタク</t>
    </rPh>
    <rPh sb="10" eb="12">
      <t>キンム</t>
    </rPh>
    <rPh sb="13" eb="14">
      <t>フク</t>
    </rPh>
    <phoneticPr fontId="3"/>
  </si>
  <si>
    <t>現地等遠隔地での作業が発生した場合は、交通費・宿泊費等の必要経費を別途ご請求させて頂きます。</t>
  </si>
  <si>
    <t>御見積の工数には、ハードウェア・ミドルウェア等にかかる費用は含まれておりません。</t>
  </si>
  <si>
    <t>リリース作業は2人対応といたします。</t>
    <phoneticPr fontId="3"/>
  </si>
  <si>
    <t>社員工数入力（単位：人月）</t>
    <rPh sb="7" eb="9">
      <t>タンイ</t>
    </rPh>
    <rPh sb="10" eb="12">
      <t>ニンゲツ</t>
    </rPh>
    <phoneticPr fontId="3"/>
  </si>
  <si>
    <t>見積番号</t>
    <rPh sb="0" eb="2">
      <t>ミツモリ</t>
    </rPh>
    <rPh sb="2" eb="4">
      <t>バンゴウ</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</si>
  <si>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</si>
  <si>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</si>
  <si>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</si>
  <si>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</si>
  <si>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</si>
  <si>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</si>
  <si>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</si>
  <si>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</si>
  <si>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</si>
  <si>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</si>
  <si>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2021年度4Q</t>
    <phoneticPr fontId="3"/>
  </si>
  <si>
    <t>2022年度1Q</t>
    <phoneticPr fontId="3"/>
  </si>
  <si>
    <t>2022年度2Q</t>
    <phoneticPr fontId="3"/>
  </si>
  <si>
    <t>2022年度3Q</t>
    <phoneticPr fontId="3"/>
  </si>
  <si>
    <t>2022年度4Q</t>
    <phoneticPr fontId="3"/>
  </si>
  <si>
    <t>2023年度1Q</t>
    <phoneticPr fontId="3"/>
  </si>
  <si>
    <t>2023年度2Q</t>
    <phoneticPr fontId="3"/>
  </si>
  <si>
    <t>2023年度3Q</t>
    <phoneticPr fontId="3"/>
  </si>
  <si>
    <t>2023年度4Q</t>
    <phoneticPr fontId="3"/>
  </si>
  <si>
    <t>それ以降</t>
    <rPh sb="2" eb="4">
      <t>イコウ</t>
    </rPh>
    <phoneticPr fontId="3"/>
  </si>
  <si>
    <t>外注費・経費（単位：円）</t>
    <rPh sb="0" eb="3">
      <t>ガイチュウヒ</t>
    </rPh>
    <rPh sb="4" eb="6">
      <t>ケイヒ</t>
    </rPh>
    <rPh sb="7" eb="9">
      <t>タンイ</t>
    </rPh>
    <rPh sb="10" eb="11">
      <t>エン</t>
    </rPh>
    <phoneticPr fontId="3"/>
  </si>
  <si>
    <t>-</t>
  </si>
  <si>
    <t>BPID</t>
    <phoneticPr fontId="3"/>
  </si>
  <si>
    <t>見積金額</t>
    <rPh sb="2" eb="4">
      <t>キンガク</t>
    </rPh>
    <phoneticPr fontId="3"/>
  </si>
  <si>
    <t>2021年度4Q</t>
  </si>
  <si>
    <t>2022年度1Q</t>
  </si>
  <si>
    <t>2022年度2Q</t>
  </si>
  <si>
    <t>2022年度3Q</t>
  </si>
  <si>
    <t>2022年度4Q</t>
  </si>
  <si>
    <t>2023年度1Q</t>
  </si>
  <si>
    <t>2023年度2Q</t>
  </si>
  <si>
    <t>2023年度3Q</t>
  </si>
  <si>
    <t>2023年度4Q</t>
  </si>
  <si>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</si>
  <si>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</si>
  <si>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</si>
  <si>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</si>
  <si>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</si>
  <si>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</si>
  <si>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</si>
  <si>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</si>
  <si>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</si>
  <si>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</si>
  <si>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</si>
  <si>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</si>
  <si>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</si>
  <si>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</si>
  <si>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</si>
  <si>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</si>
  <si>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</si>
  <si>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</si>
  <si>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</si>
  <si>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</si>
  <si>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</si>
  <si>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</si>
  <si>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</si>
  <si>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</si>
  <si>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</si>
  <si>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</si>
  <si>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</si>
  <si>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</si>
  <si>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</si>
  <si>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</si>
  <si>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</si>
  <si>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</si>
  <si>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</si>
  <si>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</si>
  <si>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</si>
  <si>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</si>
  <si>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</si>
  <si>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</si>
  <si>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</si>
  <si>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</si>
  <si>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基本設計作成（新規作成・既存更新）</t>
    <rPh sb="0" eb="4">
      <t>キホンセッケイ</t>
    </rPh>
    <rPh sb="4" eb="6">
      <t>サクセイ</t>
    </rPh>
    <rPh sb="7" eb="11">
      <t>シンキサクセイ</t>
    </rPh>
    <rPh sb="12" eb="14">
      <t>キゾン</t>
    </rPh>
    <rPh sb="14" eb="16">
      <t>コウシン</t>
    </rPh>
    <phoneticPr fontId="3"/>
  </si>
  <si>
    <t>詳細設計作成（新規作成・既存更新）</t>
    <rPh sb="4" eb="6">
      <t>サクセイ</t>
    </rPh>
    <phoneticPr fontId="3"/>
  </si>
  <si>
    <t>５．期間について</t>
    <rPh sb="2" eb="4">
      <t>キカン</t>
    </rPh>
    <phoneticPr fontId="18"/>
  </si>
  <si>
    <t>一部の改修を実施する場合、プロジェクト期間は短くなります。</t>
    <rPh sb="0" eb="2">
      <t>イチブ</t>
    </rPh>
    <rPh sb="3" eb="5">
      <t>カイシュウ</t>
    </rPh>
    <rPh sb="6" eb="8">
      <t>ジッシ</t>
    </rPh>
    <rPh sb="10" eb="12">
      <t>バアイ</t>
    </rPh>
    <rPh sb="19" eb="21">
      <t>キカン</t>
    </rPh>
    <rPh sb="22" eb="23">
      <t>ミジカ</t>
    </rPh>
    <phoneticPr fontId="4"/>
  </si>
  <si>
    <t>６．リリースについて</t>
    <phoneticPr fontId="18"/>
  </si>
  <si>
    <t>すべての改修を実施した後、まとめてリリース作業を実施いたします。</t>
    <rPh sb="4" eb="6">
      <t>カイシュウ</t>
    </rPh>
    <rPh sb="7" eb="9">
      <t>ジッシ</t>
    </rPh>
    <rPh sb="11" eb="12">
      <t>ノチ</t>
    </rPh>
    <rPh sb="21" eb="23">
      <t>サギョウ</t>
    </rPh>
    <rPh sb="24" eb="26">
      <t>ジッシ</t>
    </rPh>
    <phoneticPr fontId="4"/>
  </si>
  <si>
    <t>１．御見積範囲について</t>
    <rPh sb="5" eb="7">
      <t>ハンイ</t>
    </rPh>
    <phoneticPr fontId="7"/>
  </si>
  <si>
    <t>すべての改修対象を実施した場合の御見積りとなります。</t>
    <rPh sb="4" eb="6">
      <t>カイシュウ</t>
    </rPh>
    <rPh sb="6" eb="8">
      <t>タイショウ</t>
    </rPh>
    <rPh sb="9" eb="11">
      <t>ジッシ</t>
    </rPh>
    <rPh sb="13" eb="15">
      <t>バアイ</t>
    </rPh>
    <phoneticPr fontId="4"/>
  </si>
  <si>
    <t>本御見積書記載以外の作業が発生時した場合は、両社協議の上、追加見積させていただく</t>
  </si>
  <si>
    <t>上記以外での作業が発生した場合には交通費・宿泊費等を別途ご請求させていただきます。</t>
    <rPh sb="0" eb="2">
      <t>ジョウキ</t>
    </rPh>
    <rPh sb="2" eb="4">
      <t>イガイ</t>
    </rPh>
    <phoneticPr fontId="7"/>
  </si>
  <si>
    <t>受入支援</t>
    <rPh sb="2" eb="4">
      <t>シエン</t>
    </rPh>
    <phoneticPr fontId="18"/>
  </si>
  <si>
    <t>本番作業手順書</t>
    <phoneticPr fontId="4"/>
  </si>
  <si>
    <t>複数回に分けてリリースする場合、工数が増加となります。</t>
    <rPh sb="0" eb="3">
      <t>フクスウカイ</t>
    </rPh>
    <rPh sb="4" eb="5">
      <t>ワ</t>
    </rPh>
    <rPh sb="13" eb="15">
      <t>バアイ</t>
    </rPh>
    <rPh sb="16" eb="18">
      <t>コウスウ</t>
    </rPh>
    <rPh sb="19" eb="21">
      <t>ゾウカ</t>
    </rPh>
    <phoneticPr fontId="4"/>
  </si>
  <si>
    <t>初期流動</t>
    <rPh sb="0" eb="4">
      <t>ショキリュウドウ</t>
    </rPh>
    <phoneticPr fontId="3"/>
  </si>
  <si>
    <t>【プロジェクト管理】</t>
    <rPh sb="7" eb="9">
      <t>カンリ</t>
    </rPh>
    <phoneticPr fontId="18"/>
  </si>
  <si>
    <t>　プロジェクト全体の管理を行う</t>
    <rPh sb="7" eb="9">
      <t>ゼンタイ</t>
    </rPh>
    <rPh sb="10" eb="12">
      <t>カンリ</t>
    </rPh>
    <rPh sb="13" eb="14">
      <t>オコナ</t>
    </rPh>
    <phoneticPr fontId="4"/>
  </si>
  <si>
    <t>訂正区分4対応</t>
    <phoneticPr fontId="3"/>
  </si>
  <si>
    <t>お知らせ対応</t>
    <phoneticPr fontId="3"/>
  </si>
  <si>
    <t>ニュースリリース対応</t>
    <phoneticPr fontId="3"/>
  </si>
  <si>
    <t>キャンセル明細対応</t>
    <phoneticPr fontId="3"/>
  </si>
  <si>
    <t>トップページ
　・トップページ内に子画面を表示し、お知らせ情報を表示する。
　・お知らせ権限が無い場合、子画面を表示しない。</t>
    <rPh sb="15" eb="16">
      <t>ナイ</t>
    </rPh>
    <rPh sb="17" eb="20">
      <t>コガメン</t>
    </rPh>
    <rPh sb="21" eb="23">
      <t>ヒョウジ</t>
    </rPh>
    <rPh sb="26" eb="27">
      <t>シ</t>
    </rPh>
    <rPh sb="29" eb="31">
      <t>ジョウホウ</t>
    </rPh>
    <rPh sb="32" eb="34">
      <t>ヒョウジ</t>
    </rPh>
    <rPh sb="41" eb="42">
      <t>シ</t>
    </rPh>
    <rPh sb="44" eb="46">
      <t>ケンゲン</t>
    </rPh>
    <rPh sb="47" eb="48">
      <t>ナ</t>
    </rPh>
    <rPh sb="49" eb="51">
      <t>バアイ</t>
    </rPh>
    <rPh sb="52" eb="55">
      <t>コガメン</t>
    </rPh>
    <rPh sb="56" eb="58">
      <t>ヒョウジ</t>
    </rPh>
    <phoneticPr fontId="3"/>
  </si>
  <si>
    <t>トップページ
　・HTMLタグ使用可能対応（太字、色付け、URLリンク等使用可能とする。）
　・ユーザ自身（IFC品証権限）で登録、更新、削除可能とする</t>
    <rPh sb="15" eb="17">
      <t>シヨウ</t>
    </rPh>
    <rPh sb="17" eb="19">
      <t>カノウ</t>
    </rPh>
    <rPh sb="19" eb="21">
      <t>タイオウ</t>
    </rPh>
    <rPh sb="22" eb="24">
      <t>フトジ</t>
    </rPh>
    <rPh sb="25" eb="27">
      <t>イロツ</t>
    </rPh>
    <rPh sb="35" eb="36">
      <t>トウ</t>
    </rPh>
    <rPh sb="36" eb="38">
      <t>シヨウ</t>
    </rPh>
    <rPh sb="38" eb="40">
      <t>カノウ</t>
    </rPh>
    <rPh sb="51" eb="53">
      <t>ジシン</t>
    </rPh>
    <rPh sb="57" eb="59">
      <t>ヒンショウ</t>
    </rPh>
    <rPh sb="59" eb="61">
      <t>ケンゲン</t>
    </rPh>
    <rPh sb="63" eb="65">
      <t>トウロク</t>
    </rPh>
    <rPh sb="66" eb="68">
      <t>コウシン</t>
    </rPh>
    <rPh sb="69" eb="71">
      <t>サクジョ</t>
    </rPh>
    <rPh sb="71" eb="73">
      <t>カノウ</t>
    </rPh>
    <phoneticPr fontId="3"/>
  </si>
  <si>
    <t>試験結果通知
　・キャンセル明細（訂正区分3）の場合、試験結果を登録、更新しない。</t>
    <rPh sb="4" eb="6">
      <t>ツウチ</t>
    </rPh>
    <rPh sb="14" eb="16">
      <t>メイサイ</t>
    </rPh>
    <rPh sb="17" eb="21">
      <t>テイセイクブン</t>
    </rPh>
    <rPh sb="24" eb="26">
      <t>バアイ</t>
    </rPh>
    <rPh sb="27" eb="31">
      <t>シケンケッカ</t>
    </rPh>
    <rPh sb="32" eb="34">
      <t>トウロク</t>
    </rPh>
    <rPh sb="35" eb="37">
      <t>コウシン</t>
    </rPh>
    <phoneticPr fontId="3"/>
  </si>
  <si>
    <t>生産状況連携
　・OneSAPから訂正区分4で連携された場合、生産状況テーブルの納期を更新対象外とする。
　・中間テーブルにはそのまま登録し、生産状況テーブルに登録する際に条件を追加する。</t>
    <rPh sb="0" eb="4">
      <t>セイサンジョウキョウ</t>
    </rPh>
    <rPh sb="4" eb="6">
      <t>レンケイ</t>
    </rPh>
    <rPh sb="31" eb="35">
      <t>セイサンジョウキョウ</t>
    </rPh>
    <rPh sb="55" eb="57">
      <t>チュウカン</t>
    </rPh>
    <rPh sb="67" eb="69">
      <t>トウロク</t>
    </rPh>
    <rPh sb="71" eb="75">
      <t>セイサンジョウキョウ</t>
    </rPh>
    <rPh sb="80" eb="82">
      <t>トウロク</t>
    </rPh>
    <rPh sb="84" eb="85">
      <t>サイ</t>
    </rPh>
    <rPh sb="86" eb="88">
      <t>ジョウケン</t>
    </rPh>
    <rPh sb="89" eb="91">
      <t>ツイカ</t>
    </rPh>
    <phoneticPr fontId="3"/>
  </si>
  <si>
    <t>2025/12月頃</t>
    <rPh sb="6" eb="8">
      <t>ガツコロ</t>
    </rPh>
    <phoneticPr fontId="3"/>
  </si>
  <si>
    <t>IFC生産委託ポータル 2次開発対応</t>
    <rPh sb="3" eb="5">
      <t>セイサン</t>
    </rPh>
    <rPh sb="5" eb="7">
      <t>イタク</t>
    </rPh>
    <rPh sb="13" eb="14">
      <t>ジ</t>
    </rPh>
    <rPh sb="14" eb="16">
      <t>カイハツ</t>
    </rPh>
    <rPh sb="16" eb="18">
      <t>タイオウ</t>
    </rPh>
    <phoneticPr fontId="7"/>
  </si>
  <si>
    <t>生産状況連携</t>
  </si>
  <si>
    <t>1D</t>
    <phoneticPr fontId="18"/>
  </si>
  <si>
    <t>2D</t>
  </si>
  <si>
    <t>3D</t>
  </si>
  <si>
    <t>4D</t>
  </si>
  <si>
    <t>5D</t>
  </si>
  <si>
    <t>6D</t>
  </si>
  <si>
    <t>7D</t>
  </si>
  <si>
    <t>8D</t>
  </si>
  <si>
    <t>9D</t>
  </si>
  <si>
    <t>10D</t>
  </si>
  <si>
    <t>11D</t>
  </si>
  <si>
    <t>12D</t>
  </si>
  <si>
    <t>13D</t>
  </si>
  <si>
    <t>14D</t>
  </si>
  <si>
    <t>15D</t>
  </si>
  <si>
    <t>16D</t>
  </si>
  <si>
    <t>17D</t>
  </si>
  <si>
    <t>18D</t>
  </si>
  <si>
    <t>19D</t>
  </si>
  <si>
    <t>20D</t>
  </si>
  <si>
    <t>21D</t>
  </si>
  <si>
    <t>22D</t>
  </si>
  <si>
    <t>23D</t>
  </si>
  <si>
    <t>24D</t>
  </si>
  <si>
    <t>25D</t>
  </si>
  <si>
    <t>26D</t>
  </si>
  <si>
    <t>27D</t>
  </si>
  <si>
    <t>ファイル添付機能実装</t>
    <rPh sb="4" eb="8">
      <t>テンプキノウ</t>
    </rPh>
    <rPh sb="8" eb="10">
      <t>ジッソウ</t>
    </rPh>
    <phoneticPr fontId="3"/>
  </si>
  <si>
    <t>生産状況確認、納期回答、生産完了、試験結果報告（横持情報入力以外の画面）の各明細にファイル添付機能を実装する。
　・生産状況確認画面はアップロード、ダウンロード、削除機能実装
　　他画面はダウンロード機能のみ実装
　・添付ファイルはPDFのみ
　・Azure Blob Storageを使用する想定（Azure Blob Storage契約等の準備は出光DI部様対応）
　・権限によるアップロード、ダウンロード機能の表示、非表示の制御を行う
　・添付ファイル数については1明細につき1ファイルまでとする
　・添付ファイルのファイルサイズ制限を設ける（外部ファイルで設定）
　・各画面の出力ファイル（CSV）には添付ファイルのファイル名を表示する</t>
    <rPh sb="0" eb="4">
      <t>セイサンジョウキョウ</t>
    </rPh>
    <rPh sb="4" eb="6">
      <t>カクニン</t>
    </rPh>
    <rPh sb="7" eb="11">
      <t>ノウキカイトウ</t>
    </rPh>
    <rPh sb="12" eb="16">
      <t>セイサンカンリョウ</t>
    </rPh>
    <rPh sb="17" eb="23">
      <t>シケンケッカホウコク</t>
    </rPh>
    <rPh sb="24" eb="26">
      <t>ヨコモチ</t>
    </rPh>
    <rPh sb="26" eb="28">
      <t>ジョウホウ</t>
    </rPh>
    <rPh sb="28" eb="30">
      <t>ニュウリョク</t>
    </rPh>
    <rPh sb="30" eb="32">
      <t>イガイ</t>
    </rPh>
    <rPh sb="33" eb="35">
      <t>ガメン</t>
    </rPh>
    <rPh sb="37" eb="40">
      <t>カクメイサイ</t>
    </rPh>
    <rPh sb="45" eb="49">
      <t>テンプキノウ</t>
    </rPh>
    <rPh sb="50" eb="52">
      <t>ジッソウ</t>
    </rPh>
    <rPh sb="64" eb="66">
      <t>ガメン</t>
    </rPh>
    <rPh sb="81" eb="83">
      <t>サクジョ</t>
    </rPh>
    <rPh sb="83" eb="85">
      <t>キノウ</t>
    </rPh>
    <rPh sb="85" eb="87">
      <t>ジッソウ</t>
    </rPh>
    <rPh sb="90" eb="93">
      <t>ホカガメン</t>
    </rPh>
    <rPh sb="100" eb="102">
      <t>キノウ</t>
    </rPh>
    <rPh sb="104" eb="106">
      <t>ジッソウ</t>
    </rPh>
    <rPh sb="109" eb="111">
      <t>テンプ</t>
    </rPh>
    <rPh sb="143" eb="145">
      <t>シヨウ</t>
    </rPh>
    <rPh sb="147" eb="149">
      <t>ソウテイ</t>
    </rPh>
    <rPh sb="168" eb="171">
      <t>ケイヤクトウ</t>
    </rPh>
    <rPh sb="172" eb="174">
      <t>ジュンビ</t>
    </rPh>
    <rPh sb="175" eb="177">
      <t>イデミツ</t>
    </rPh>
    <rPh sb="179" eb="180">
      <t>ブ</t>
    </rPh>
    <rPh sb="180" eb="181">
      <t>サマ</t>
    </rPh>
    <rPh sb="181" eb="183">
      <t>タイオウ</t>
    </rPh>
    <rPh sb="187" eb="189">
      <t>ケンゲン</t>
    </rPh>
    <rPh sb="205" eb="207">
      <t>キノウ</t>
    </rPh>
    <rPh sb="208" eb="210">
      <t>ヒョウジ</t>
    </rPh>
    <rPh sb="211" eb="214">
      <t>ヒヒョウジ</t>
    </rPh>
    <rPh sb="215" eb="217">
      <t>セイギョ</t>
    </rPh>
    <rPh sb="218" eb="219">
      <t>オコナ</t>
    </rPh>
    <rPh sb="223" eb="225">
      <t>テンプ</t>
    </rPh>
    <rPh sb="229" eb="230">
      <t>スウ</t>
    </rPh>
    <rPh sb="236" eb="238">
      <t>メイサイ</t>
    </rPh>
    <rPh sb="254" eb="256">
      <t>テンプ</t>
    </rPh>
    <rPh sb="268" eb="270">
      <t>セイゲン</t>
    </rPh>
    <rPh sb="271" eb="272">
      <t>モウ</t>
    </rPh>
    <rPh sb="275" eb="277">
      <t>ガイブ</t>
    </rPh>
    <rPh sb="282" eb="284">
      <t>セッテイ</t>
    </rPh>
    <rPh sb="288" eb="291">
      <t>カクガメン</t>
    </rPh>
    <rPh sb="292" eb="294">
      <t>シュツリョク</t>
    </rPh>
    <rPh sb="305" eb="307">
      <t>テンプ</t>
    </rPh>
    <rPh sb="316" eb="317">
      <t>メイ</t>
    </rPh>
    <rPh sb="318" eb="320">
      <t>ヒョウジ</t>
    </rPh>
    <phoneticPr fontId="3"/>
  </si>
  <si>
    <t>人月</t>
    <phoneticPr fontId="3"/>
  </si>
  <si>
    <t>OneSAPからの連携データにおいて、IFC生産委託ポータル表示除外機能を実装する。
　・依頼Noが「x」として連携されてきた場合
　　　　生産委託ポータルの各画面に表示しない
　　　　生産委託ポータルの各出力ファイルに表示しない
　　　　連携は従来通り実施すること（生産状況テーブルに登録すること）
　・依頼Noに入力する除外文字については仮とする</t>
    <rPh sb="9" eb="11">
      <t>レンケイ</t>
    </rPh>
    <rPh sb="22" eb="26">
      <t>セイサンイタク</t>
    </rPh>
    <rPh sb="30" eb="32">
      <t>ヒョウジ</t>
    </rPh>
    <rPh sb="32" eb="36">
      <t>ジョガイキノウ</t>
    </rPh>
    <rPh sb="37" eb="39">
      <t>ジッソウ</t>
    </rPh>
    <rPh sb="56" eb="58">
      <t>レンケイ</t>
    </rPh>
    <rPh sb="63" eb="65">
      <t>バアイ</t>
    </rPh>
    <rPh sb="70" eb="74">
      <t>セイサンイタク</t>
    </rPh>
    <rPh sb="79" eb="82">
      <t>カクガメン</t>
    </rPh>
    <rPh sb="83" eb="85">
      <t>ヒョウジ</t>
    </rPh>
    <rPh sb="110" eb="112">
      <t>ヒョウジ</t>
    </rPh>
    <rPh sb="123" eb="126">
      <t>ジュウライドオ</t>
    </rPh>
    <rPh sb="127" eb="129">
      <t>ジッシ</t>
    </rPh>
    <rPh sb="134" eb="138">
      <t>セイサンジョウキョウ</t>
    </rPh>
    <rPh sb="143" eb="145">
      <t>トウロク</t>
    </rPh>
    <rPh sb="153" eb="155">
      <t>イライ</t>
    </rPh>
    <rPh sb="158" eb="160">
      <t>ニュウリョク</t>
    </rPh>
    <rPh sb="162" eb="166">
      <t>ジョガイモジ</t>
    </rPh>
    <rPh sb="171" eb="172">
      <t>カリ</t>
    </rPh>
    <phoneticPr fontId="3"/>
  </si>
  <si>
    <t>一部表示項目名の変更及び、列幅の調整を実施する。
　・表示項目名称変更
　　　　（現）希望納期→（新）（未定）
　　　　（現）回答納期→（新）生産完了予定
　　　　各画面及び、各出力ファイルの表示項目名を変更する（5画面3ファイル）
　　　　DBの定義については変更しないものとする
　　　　利用マニュアル修正（IFC読取ユーザ用を除く3ファイル）
　・列幅調整
　　　　グレード、荷姿の列幅を現状想定される最大文字数が表示される幅に調整する
　　　　DBの定義については変更しないものとする
　　　　想定桁数を超えた場合、折り返して表示する
　　　　グレード、荷姿の想定桁数はそれぞれ半角英数15文字、17文字とする</t>
    <rPh sb="8" eb="10">
      <t>ヘンコウ</t>
    </rPh>
    <rPh sb="10" eb="11">
      <t>オヨ</t>
    </rPh>
    <rPh sb="13" eb="15">
      <t>レツハバ</t>
    </rPh>
    <rPh sb="16" eb="18">
      <t>チョウセイ</t>
    </rPh>
    <rPh sb="19" eb="21">
      <t>ジッシ</t>
    </rPh>
    <rPh sb="27" eb="29">
      <t>ヒョウジ</t>
    </rPh>
    <rPh sb="29" eb="35">
      <t>コウモクメイショウヘンコウ</t>
    </rPh>
    <rPh sb="41" eb="42">
      <t>ゲン</t>
    </rPh>
    <rPh sb="43" eb="47">
      <t>キボウノウキ</t>
    </rPh>
    <rPh sb="49" eb="50">
      <t>シン</t>
    </rPh>
    <rPh sb="52" eb="54">
      <t>ミテイ</t>
    </rPh>
    <rPh sb="63" eb="65">
      <t>カイトウ</t>
    </rPh>
    <rPh sb="71" eb="75">
      <t>セイサンカンリョウ</t>
    </rPh>
    <rPh sb="75" eb="77">
      <t>ヨテイ</t>
    </rPh>
    <rPh sb="82" eb="83">
      <t>カク</t>
    </rPh>
    <rPh sb="83" eb="86">
      <t>ガメンオヨ</t>
    </rPh>
    <rPh sb="88" eb="89">
      <t>カク</t>
    </rPh>
    <rPh sb="96" eb="98">
      <t>ヒョウジ</t>
    </rPh>
    <rPh sb="98" eb="101">
      <t>コウモクメイ</t>
    </rPh>
    <rPh sb="102" eb="104">
      <t>ヘンコウ</t>
    </rPh>
    <rPh sb="108" eb="110">
      <t>ガメン</t>
    </rPh>
    <rPh sb="131" eb="133">
      <t>ヘンコウ</t>
    </rPh>
    <rPh sb="146" eb="148">
      <t>リヨウ</t>
    </rPh>
    <rPh sb="153" eb="155">
      <t>シュウセイ</t>
    </rPh>
    <rPh sb="164" eb="165">
      <t>ヨウ</t>
    </rPh>
    <rPh sb="166" eb="167">
      <t>ノゾ</t>
    </rPh>
    <rPh sb="177" eb="179">
      <t>レツハバ</t>
    </rPh>
    <rPh sb="179" eb="181">
      <t>チョウセイ</t>
    </rPh>
    <rPh sb="191" eb="193">
      <t>ニスガタ</t>
    </rPh>
    <rPh sb="194" eb="196">
      <t>レツハバ</t>
    </rPh>
    <rPh sb="236" eb="238">
      <t>ヘンコウ</t>
    </rPh>
    <rPh sb="284" eb="286">
      <t>ソウテイ</t>
    </rPh>
    <rPh sb="286" eb="288">
      <t>ケタスウ</t>
    </rPh>
    <phoneticPr fontId="3"/>
  </si>
  <si>
    <t>表示除外機能実装</t>
    <rPh sb="0" eb="2">
      <t>ヒョウジ</t>
    </rPh>
    <rPh sb="2" eb="4">
      <t>ジョガイ</t>
    </rPh>
    <rPh sb="4" eb="6">
      <t>キノウ</t>
    </rPh>
    <rPh sb="6" eb="8">
      <t>ジッソウ</t>
    </rPh>
    <phoneticPr fontId="3"/>
  </si>
  <si>
    <t>　・依頼Noが「x」として連携されてきた場合</t>
  </si>
  <si>
    <t>　　　　生産委託ポータルの各画面に表示しない</t>
  </si>
  <si>
    <t>　　　　生産委託ポータルの各出力ファイルに表示しない</t>
  </si>
  <si>
    <t>　　　　連携は従来通り実施すること（生産状況テーブルに登録すること）</t>
  </si>
  <si>
    <t>レイアウト調整対応</t>
    <rPh sb="5" eb="7">
      <t>チョウセイ</t>
    </rPh>
    <phoneticPr fontId="3"/>
  </si>
  <si>
    <t>　・表示項目名称変更</t>
  </si>
  <si>
    <t>　　　　（現）希望納期→（新）（未定）</t>
  </si>
  <si>
    <t>　　　　（現）回答納期→（新）生産完了予定</t>
  </si>
  <si>
    <t>　　　　各画面及び、各出力ファイルの表示項目名を変更する（5画面3ファイル）</t>
  </si>
  <si>
    <t>　　　　DBの定義については変更しないものとする</t>
  </si>
  <si>
    <t>　　　　利用マニュアル修正（IFC読取ユーザ用を除く3ファイル）</t>
  </si>
  <si>
    <t>　・列幅調整</t>
  </si>
  <si>
    <t>　　　　グレード、荷姿の列幅を現状想定される最大文字数が表示される幅に調整する</t>
  </si>
  <si>
    <t>　　　　想定桁数を超えた場合、折り返して表示する</t>
  </si>
  <si>
    <t>　　　　グレード、荷姿の想定桁数はそれぞれ半角英数15文字、17文字とする</t>
  </si>
  <si>
    <t>開発＋管理</t>
    <rPh sb="0" eb="2">
      <t>カイハツ</t>
    </rPh>
    <rPh sb="3" eb="5">
      <t>カンリ</t>
    </rPh>
    <phoneticPr fontId="3"/>
  </si>
  <si>
    <t xml:space="preserve"> ブリッジSE
 エグゼベトナム1名</t>
    <rPh sb="17" eb="18">
      <t>メイ</t>
    </rPh>
    <phoneticPr fontId="18"/>
  </si>
  <si>
    <t xml:space="preserve"> PG
 エグゼベトナム１名</t>
    <rPh sb="13" eb="14">
      <t>メイ</t>
    </rPh>
    <phoneticPr fontId="18"/>
  </si>
  <si>
    <t>訂正区分4、5対応</t>
    <phoneticPr fontId="3"/>
  </si>
  <si>
    <t>2026/1月末頃</t>
    <rPh sb="6" eb="7">
      <t>ガツ</t>
    </rPh>
    <rPh sb="7" eb="8">
      <t>マツ</t>
    </rPh>
    <rPh sb="8" eb="9">
      <t>コロ</t>
    </rPh>
    <phoneticPr fontId="3"/>
  </si>
  <si>
    <t>　・OneSAPから訂正区分4で連携された場合</t>
  </si>
  <si>
    <t>　　　　中間テーブルにはそのまま登録する</t>
  </si>
  <si>
    <t>　　　　生産状況テーブルには納期以外を更新対象とする</t>
  </si>
  <si>
    <t>　　　　生産状況テーブルには反映しない</t>
  </si>
  <si>
    <t>OneSAPからの連携データにおいて、IFC生産委託ポータル表示除外機能を実装する</t>
    <phoneticPr fontId="3"/>
  </si>
  <si>
    <t>一部表示項目名の変更及び、列幅の調整を実施する</t>
  </si>
  <si>
    <t>　・依頼Noに入力する　除外文字については仮とする</t>
    <phoneticPr fontId="3"/>
  </si>
  <si>
    <t>生産状況連携
　・OneSAPから訂正区分4で連携された場合
　　　　中間テーブルにはそのまま登録する
　　　　生産状況テーブルには納期以外を更新対象とする
　・OneSAPから訂正区分5で連携された場合
　　　　中間テーブルにはそのまま登録する
　　　　生産状況テーブルには反映しない</t>
    <rPh sb="0" eb="4">
      <t>セイサンジョウキョウ</t>
    </rPh>
    <rPh sb="4" eb="6">
      <t>レンケイ</t>
    </rPh>
    <rPh sb="56" eb="60">
      <t>セイサンジョウキョウ</t>
    </rPh>
    <rPh sb="68" eb="70">
      <t>イガイ</t>
    </rPh>
    <phoneticPr fontId="3"/>
  </si>
  <si>
    <t>　・OneSAPから訂正区分5で連携された場合</t>
  </si>
  <si>
    <t>訂正区分4・5対応、表示除外機能実装、レイアウト調整対応御見積</t>
    <rPh sb="28" eb="31">
      <t>オミツモリ</t>
    </rPh>
    <phoneticPr fontId="3"/>
  </si>
  <si>
    <t>７．体制について</t>
    <rPh sb="2" eb="4">
      <t>タイセイ</t>
    </rPh>
    <phoneticPr fontId="3"/>
  </si>
  <si>
    <t>開発については1月に集中させていただき、体制は2月まで維持させていただきます。</t>
    <phoneticPr fontId="3"/>
  </si>
  <si>
    <t>８．リリースについて</t>
    <phoneticPr fontId="18"/>
  </si>
  <si>
    <t>リリースについては、2月以降の契約で別途実施いたします。</t>
    <rPh sb="11" eb="14">
      <t>ガツイコウ</t>
    </rPh>
    <rPh sb="15" eb="17">
      <t>ケイヤク</t>
    </rPh>
    <rPh sb="18" eb="22">
      <t>ベットジッシ</t>
    </rPh>
    <phoneticPr fontId="3"/>
  </si>
  <si>
    <t>９．その他</t>
    <phoneticPr fontId="18"/>
  </si>
  <si>
    <t>リリース・本稼働</t>
    <rPh sb="5" eb="6">
      <t>ホン</t>
    </rPh>
    <rPh sb="6" eb="8">
      <t>カドウ</t>
    </rPh>
    <phoneticPr fontId="18"/>
  </si>
  <si>
    <t>２月以降の契約で別途実施</t>
    <rPh sb="1" eb="4">
      <t>ガツイコウ</t>
    </rPh>
    <rPh sb="5" eb="7">
      <t>ケイヤク</t>
    </rPh>
    <rPh sb="8" eb="12">
      <t>ベットジッシ</t>
    </rPh>
    <phoneticPr fontId="3"/>
  </si>
  <si>
    <t>初期流動</t>
    <phoneticPr fontId="7"/>
  </si>
  <si>
    <t>準委任契約</t>
    <rPh sb="0" eb="3">
      <t>ジュンイニン</t>
    </rPh>
    <rPh sb="3" eb="5">
      <t>ケイヤク</t>
    </rPh>
    <phoneticPr fontId="18"/>
  </si>
  <si>
    <t>作業手順書作成</t>
    <rPh sb="0" eb="5">
      <t>サギョウテジュンショ</t>
    </rPh>
    <rPh sb="5" eb="7">
      <t>サクセイ</t>
    </rPh>
    <phoneticPr fontId="3"/>
  </si>
  <si>
    <t>本番作業手順書</t>
    <phoneticPr fontId="3"/>
  </si>
  <si>
    <t>リリース作業実施</t>
    <rPh sb="4" eb="6">
      <t>サギョウ</t>
    </rPh>
    <rPh sb="6" eb="8">
      <t>ジッシ</t>
    </rPh>
    <phoneticPr fontId="3"/>
  </si>
  <si>
    <t>１２月～１月の契約で別途実施</t>
    <rPh sb="2" eb="3">
      <t>ガツ</t>
    </rPh>
    <rPh sb="5" eb="6">
      <t>ガツ</t>
    </rPh>
    <rPh sb="7" eb="9">
      <t>ケイヤク</t>
    </rPh>
    <rPh sb="10" eb="12">
      <t>ベット</t>
    </rPh>
    <rPh sb="12" eb="14">
      <t>ジッシ</t>
    </rPh>
    <phoneticPr fontId="3"/>
  </si>
  <si>
    <t>システムテスト・
リリース・本稼働</t>
    <rPh sb="14" eb="15">
      <t>ホン</t>
    </rPh>
    <rPh sb="15" eb="17">
      <t>カドウ</t>
    </rPh>
    <phoneticPr fontId="18"/>
  </si>
  <si>
    <t>本御見積書記載以外の作業が発生時した場合は、両社協議の上、追加見積させていただく</t>
    <phoneticPr fontId="3"/>
  </si>
  <si>
    <t>受入テスト</t>
    <rPh sb="0" eb="2">
      <t>ウケイレ</t>
    </rPh>
    <phoneticPr fontId="7"/>
  </si>
  <si>
    <t>システムテスト</t>
    <phoneticPr fontId="3"/>
  </si>
  <si>
    <t>受入テスト</t>
    <rPh sb="0" eb="2">
      <t>ウケイレ</t>
    </rPh>
    <phoneticPr fontId="3"/>
  </si>
  <si>
    <t>結合テスト仕様書</t>
    <phoneticPr fontId="18"/>
  </si>
  <si>
    <t>８．調査・設計～結合テストについて</t>
    <rPh sb="8" eb="10">
      <t>ケツゴウ</t>
    </rPh>
    <phoneticPr fontId="18"/>
  </si>
  <si>
    <t>調査・設計～結合テストについては、１２月～１月の契約で別途実施いたします。</t>
    <rPh sb="19" eb="20">
      <t>ガツ</t>
    </rPh>
    <rPh sb="22" eb="23">
      <t>ガツ</t>
    </rPh>
    <rPh sb="24" eb="26">
      <t>ケイヤク</t>
    </rPh>
    <rPh sb="27" eb="29">
      <t>ベット</t>
    </rPh>
    <rPh sb="29" eb="31">
      <t>ジッシ</t>
    </rPh>
    <phoneticPr fontId="3"/>
  </si>
  <si>
    <t>2月以降にSAP側の仕様変更が発生し、大幅に作業が超過する場合は増員などの相談をさせていただきます。</t>
    <rPh sb="1" eb="4">
      <t>ガツイコウ</t>
    </rPh>
    <rPh sb="8" eb="9">
      <t>ガワ</t>
    </rPh>
    <rPh sb="10" eb="14">
      <t>シヨウヘンコウ</t>
    </rPh>
    <rPh sb="15" eb="17">
      <t>ハッセイ</t>
    </rPh>
    <rPh sb="19" eb="21">
      <t>オオハバ</t>
    </rPh>
    <rPh sb="22" eb="24">
      <t>サギョウ</t>
    </rPh>
    <rPh sb="25" eb="27">
      <t>チョウカ</t>
    </rPh>
    <rPh sb="29" eb="31">
      <t>バアイ</t>
    </rPh>
    <rPh sb="32" eb="34">
      <t>ゾウイン</t>
    </rPh>
    <rPh sb="37" eb="39">
      <t>ソウダン</t>
    </rPh>
    <phoneticPr fontId="3"/>
  </si>
  <si>
    <t>【システムテスト～初期流動】</t>
    <rPh sb="9" eb="11">
      <t>ショキ</t>
    </rPh>
    <rPh sb="11" eb="13">
      <t>リュウドウ</t>
    </rPh>
    <phoneticPr fontId="3"/>
  </si>
  <si>
    <t>【設計～結合テスト】</t>
    <rPh sb="1" eb="3">
      <t>セッケイ</t>
    </rPh>
    <rPh sb="4" eb="6">
      <t>ケツゴウ</t>
    </rPh>
    <phoneticPr fontId="3"/>
  </si>
  <si>
    <t>６．検収について</t>
    <rPh sb="2" eb="4">
      <t>ケンシュウ</t>
    </rPh>
    <phoneticPr fontId="18"/>
  </si>
  <si>
    <t>結合テスト工程までの契約となりますので、</t>
    <rPh sb="0" eb="2">
      <t>ケツゴウ</t>
    </rPh>
    <rPh sb="5" eb="7">
      <t>コウテイ</t>
    </rPh>
    <rPh sb="10" eb="12">
      <t>ケイヤク</t>
    </rPh>
    <phoneticPr fontId="3"/>
  </si>
  <si>
    <t>検収は結合テストのエビデンスをもって実施させてください。</t>
    <rPh sb="0" eb="2">
      <t>ケンシュウ</t>
    </rPh>
    <rPh sb="3" eb="5">
      <t>ケツゴウ</t>
    </rPh>
    <rPh sb="18" eb="20">
      <t>ジッシ</t>
    </rPh>
    <phoneticPr fontId="3"/>
  </si>
  <si>
    <t>検収日</t>
    <rPh sb="0" eb="2">
      <t>ケンシュウ</t>
    </rPh>
    <rPh sb="2" eb="3">
      <t>ビ</t>
    </rPh>
    <phoneticPr fontId="18"/>
  </si>
  <si>
    <t>2025年12月1日 ～ 2026年1月16日</t>
    <rPh sb="4" eb="5">
      <t>ネン</t>
    </rPh>
    <rPh sb="7" eb="8">
      <t>ガツ</t>
    </rPh>
    <rPh sb="9" eb="10">
      <t>ニチ</t>
    </rPh>
    <rPh sb="17" eb="18">
      <t>ネン</t>
    </rPh>
    <rPh sb="19" eb="20">
      <t>ガツ</t>
    </rPh>
    <rPh sb="22" eb="23">
      <t>ニチ</t>
    </rPh>
    <phoneticPr fontId="18"/>
  </si>
  <si>
    <t>検収期間</t>
    <rPh sb="0" eb="2">
      <t>ケンシュウ</t>
    </rPh>
    <rPh sb="2" eb="4">
      <t>キカン</t>
    </rPh>
    <phoneticPr fontId="18"/>
  </si>
  <si>
    <t>2026年1月19日 ～ 2026年1月31日</t>
    <rPh sb="4" eb="5">
      <t>ネン</t>
    </rPh>
    <rPh sb="6" eb="7">
      <t>ガツ</t>
    </rPh>
    <rPh sb="9" eb="10">
      <t>ニチ</t>
    </rPh>
    <rPh sb="17" eb="18">
      <t>ネン</t>
    </rPh>
    <rPh sb="19" eb="20">
      <t>ガツ</t>
    </rPh>
    <rPh sb="22" eb="23">
      <t>ニチ</t>
    </rPh>
    <phoneticPr fontId="18"/>
  </si>
  <si>
    <t>2026/2/28</t>
    <phoneticPr fontId="3"/>
  </si>
  <si>
    <t>2026年1月19日 ～ 2026年2月28日</t>
    <rPh sb="4" eb="5">
      <t>ネン</t>
    </rPh>
    <rPh sb="6" eb="7">
      <t>ガツ</t>
    </rPh>
    <rPh sb="9" eb="10">
      <t>ニチ</t>
    </rPh>
    <rPh sb="17" eb="18">
      <t>ネン</t>
    </rPh>
    <rPh sb="19" eb="20">
      <t>ガツ</t>
    </rPh>
    <rPh sb="22" eb="23">
      <t>ニチ</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</si>
</sst>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0_);[Red]\(0.00\)"/>
    <numFmt numFmtId="184" formatCode="#,##0.0_ "/>
    <numFmt numFmtId="185" formatCode="0.0"/>
    <numFmt numFmtId="186" formatCode="#,##0.00_ "/>
  </numFmts>
  <fonts count="4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
      <b/>
      <sz val="14"/>
      <color theme="1"/>
      <name val="游ゴシック"/>
      <family val="3"/>
      <charset val="128"/>
      <scheme val="minor"/>
    </font>
    <font>
      <b/>
      <sz val="11"/>
      <color theme="1"/>
      <name val="游ゴシック"/>
      <family val="3"/>
      <charset val="128"/>
      <scheme val="minor"/>
    </font>
    <font>
      <b/>
      <sz val="11"/>
      <color theme="0"/>
      <name val="游ゴシック"/>
      <family val="3"/>
      <charset val="128"/>
      <scheme val="minor"/>
    </font>
    <font>
      <sz val="11"/>
      <color theme="1"/>
      <name val="游ゴシック"/>
      <family val="3"/>
      <charset val="128"/>
      <scheme val="minor"/>
    </font>
    <font>
      <sz val="10"/>
      <name val="ＭＳ 明朝"/>
      <family val="1"/>
    </font>
    <font>
      <sz val="11"/>
      <color rgb="FFFF0000"/>
      <name val="游ゴシック"/>
      <family val="2"/>
      <charset val="128"/>
      <scheme val="minor"/>
    </font>
    <font>
      <sz val="9"/>
      <color indexed="81"/>
      <name val="MS P ゴシック"/>
      <family val="3"/>
      <charset val="128"/>
    </font>
    <font>
      <sz val="9"/>
      <name val="ＭＳ 明朝"/>
      <family val="1"/>
    </font>
    <font>
      <b/>
      <sz val="10"/>
      <name val="ＭＳ 明朝"/>
      <family val="1"/>
    </font>
    <font>
      <b/>
      <sz val="26"/>
      <name val="ＭＳ 明朝"/>
      <family val="1"/>
    </font>
    <font>
      <b/>
      <sz val="9"/>
      <name val="ＭＳ 明朝"/>
      <family val="1"/>
    </font>
    <font>
      <sz val="12"/>
      <name val="ＭＳ 明朝"/>
      <family val="1"/>
    </font>
    <font>
      <b/>
      <sz val="12"/>
      <name val="ＭＳ 明朝"/>
      <family val="1"/>
    </font>
    <font>
      <sz val="20"/>
      <name val="ＭＳ 明朝"/>
      <family val="1"/>
    </font>
    <font>
      <u/>
      <sz val="10"/>
      <name val="ＭＳ 明朝"/>
      <family val="1"/>
    </font>
    <font>
      <sz val="10"/>
      <color theme="0"/>
      <name val="ＭＳ 明朝"/>
      <family val="1"/>
    </font>
  </fonts>
  <fills count="15">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s>
  <borders count="62">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bottom style="double">
        <color indexed="64"/>
      </bottom>
      <diagonal/>
    </border>
    <border>
      <left/>
      <right style="thin">
        <color indexed="64"/>
      </right>
      <top/>
      <bottom style="double">
        <color indexed="64"/>
      </bottom>
      <diagonal/>
    </border>
  </borders>
  <cellStyleXfs count="7">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xf numFmtId="6" fontId="1" fillId="0" borderId="0" applyFont="0" applyFill="0" applyBorder="0" applyAlignment="0" applyProtection="0">
      <alignment vertical="center"/>
    </xf>
  </cellStyleXfs>
  <cellXfs count="410">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0" xfId="0" applyFont="1">
      <alignment vertical="center"/>
    </xf>
    <xf numFmtId="0" fontId="15" fillId="0" borderId="0" xfId="0" applyFont="1" applyAlignment="1">
      <alignment horizontal="center" vertical="center"/>
    </xf>
    <xf numFmtId="0" fontId="21" fillId="0" borderId="0" xfId="0" applyFont="1">
      <alignment vertical="center"/>
    </xf>
    <xf numFmtId="0" fontId="14" fillId="0" borderId="24" xfId="0" applyFont="1" applyBorder="1">
      <alignment vertical="center"/>
    </xf>
    <xf numFmtId="0" fontId="14" fillId="0" borderId="0" xfId="0" applyFont="1">
      <alignment vertical="center"/>
    </xf>
    <xf numFmtId="0" fontId="25"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184" fontId="0" fillId="0" borderId="0" xfId="0" applyNumberFormat="1" applyAlignment="1">
      <alignment vertical="top"/>
    </xf>
    <xf numFmtId="0" fontId="0" fillId="0" borderId="0" xfId="0" applyAlignment="1">
      <alignment horizontal="left" vertical="top"/>
    </xf>
    <xf numFmtId="0" fontId="0" fillId="0" borderId="4" xfId="0" applyBorder="1" applyAlignment="1">
      <alignment vertical="top"/>
    </xf>
    <xf numFmtId="180" fontId="0" fillId="0" borderId="4" xfId="0" applyNumberFormat="1" applyBorder="1" applyAlignment="1">
      <alignment vertical="top"/>
    </xf>
    <xf numFmtId="0" fontId="27" fillId="11" borderId="4" xfId="0" applyFont="1" applyFill="1" applyBorder="1" applyAlignment="1">
      <alignment horizontal="left" vertical="top"/>
    </xf>
    <xf numFmtId="0" fontId="27" fillId="11" borderId="4" xfId="0" applyFont="1" applyFill="1" applyBorder="1" applyAlignment="1">
      <alignment vertical="top" wrapText="1"/>
    </xf>
    <xf numFmtId="184" fontId="27" fillId="11" borderId="4" xfId="0" applyNumberFormat="1" applyFont="1" applyFill="1" applyBorder="1" applyAlignment="1">
      <alignment horizontal="center" vertical="top" wrapText="1"/>
    </xf>
    <xf numFmtId="184" fontId="27" fillId="11" borderId="2" xfId="0" applyNumberFormat="1" applyFont="1" applyFill="1" applyBorder="1" applyAlignment="1">
      <alignment horizontal="center" vertical="top" wrapText="1"/>
    </xf>
    <xf numFmtId="0" fontId="0" fillId="0" borderId="4" xfId="0" applyBorder="1" applyAlignment="1">
      <alignment vertical="top" wrapText="1"/>
    </xf>
    <xf numFmtId="0" fontId="26" fillId="0" borderId="0" xfId="0" applyFont="1" applyAlignment="1">
      <alignment horizontal="center" vertical="center"/>
    </xf>
    <xf numFmtId="184" fontId="27" fillId="0" borderId="0" xfId="0" applyNumberFormat="1" applyFont="1" applyAlignment="1">
      <alignment horizontal="center" vertical="top" wrapText="1"/>
    </xf>
    <xf numFmtId="0" fontId="28" fillId="0" borderId="39" xfId="0" applyFont="1" applyBorder="1" applyAlignment="1">
      <alignment vertical="top" wrapText="1"/>
    </xf>
    <xf numFmtId="184" fontId="0" fillId="0" borderId="38" xfId="0" applyNumberFormat="1" applyBorder="1" applyAlignment="1">
      <alignment horizontal="right" vertical="top"/>
    </xf>
    <xf numFmtId="184" fontId="0" fillId="0" borderId="39" xfId="0" applyNumberFormat="1" applyBorder="1" applyAlignment="1">
      <alignment horizontal="right" vertical="top"/>
    </xf>
    <xf numFmtId="184" fontId="0" fillId="0" borderId="39" xfId="0" applyNumberFormat="1" applyBorder="1" applyAlignment="1">
      <alignment vertical="top"/>
    </xf>
    <xf numFmtId="184" fontId="0" fillId="0" borderId="4" xfId="0" applyNumberFormat="1" applyBorder="1" applyAlignment="1">
      <alignment horizontal="right" vertical="top"/>
    </xf>
    <xf numFmtId="185" fontId="0" fillId="0" borderId="0" xfId="0" applyNumberFormat="1" applyAlignment="1">
      <alignment vertical="top"/>
    </xf>
    <xf numFmtId="186" fontId="0" fillId="0" borderId="4" xfId="0" applyNumberFormat="1" applyBorder="1" applyAlignment="1">
      <alignment horizontal="right" vertical="top"/>
    </xf>
    <xf numFmtId="49" fontId="0" fillId="0" borderId="0" xfId="0" applyNumberFormat="1" applyAlignment="1">
      <alignment horizontal="right" vertical="top"/>
    </xf>
    <xf numFmtId="185" fontId="0" fillId="0" borderId="4" xfId="0" applyNumberFormat="1" applyBorder="1" applyAlignment="1">
      <alignment vertical="top"/>
    </xf>
    <xf numFmtId="6" fontId="0" fillId="0" borderId="4" xfId="6" applyFont="1" applyFill="1" applyBorder="1" applyAlignment="1">
      <alignment vertical="top"/>
    </xf>
    <xf numFmtId="184" fontId="0" fillId="0" borderId="40" xfId="0" applyNumberFormat="1" applyBorder="1" applyAlignment="1">
      <alignment horizontal="right" vertical="top"/>
    </xf>
    <xf numFmtId="184" fontId="0" fillId="0" borderId="40" xfId="0" applyNumberFormat="1" applyBorder="1" applyAlignment="1">
      <alignment vertical="top"/>
    </xf>
    <xf numFmtId="184" fontId="0" fillId="12" borderId="4" xfId="0" applyNumberFormat="1" applyFill="1" applyBorder="1" applyAlignment="1">
      <alignment horizontal="right" vertical="top"/>
    </xf>
    <xf numFmtId="184" fontId="0" fillId="0" borderId="38" xfId="0" applyNumberFormat="1" applyBorder="1" applyAlignment="1">
      <alignment vertical="top"/>
    </xf>
    <xf numFmtId="0" fontId="0" fillId="0" borderId="25" xfId="0" applyBorder="1" applyAlignment="1">
      <alignment horizontal="left" vertical="top"/>
    </xf>
    <xf numFmtId="0" fontId="0" fillId="0" borderId="27" xfId="0" applyBorder="1" applyAlignment="1">
      <alignment vertical="top"/>
    </xf>
    <xf numFmtId="0" fontId="0" fillId="0" borderId="27" xfId="0" applyBorder="1" applyAlignment="1">
      <alignment vertical="top" wrapText="1"/>
    </xf>
    <xf numFmtId="184" fontId="0" fillId="0" borderId="26" xfId="0" applyNumberFormat="1" applyBorder="1" applyAlignment="1">
      <alignment vertical="top"/>
    </xf>
    <xf numFmtId="0" fontId="0" fillId="0" borderId="28" xfId="0" applyBorder="1" applyAlignment="1">
      <alignment horizontal="left" vertical="top"/>
    </xf>
    <xf numFmtId="184" fontId="0" fillId="0" borderId="29" xfId="0" applyNumberFormat="1" applyBorder="1" applyAlignment="1">
      <alignment vertical="top"/>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8" xfId="0" applyFont="1" applyBorder="1">
      <alignment vertical="center"/>
    </xf>
    <xf numFmtId="0" fontId="15" fillId="8" borderId="5" xfId="0" applyFont="1" applyFill="1" applyBorder="1" applyAlignment="1">
      <alignment horizontal="centerContinuous" vertical="center"/>
    </xf>
    <xf numFmtId="0" fontId="15" fillId="8" borderId="3" xfId="0" applyFont="1" applyFill="1" applyBorder="1">
      <alignment vertical="center"/>
    </xf>
    <xf numFmtId="0" fontId="15" fillId="8" borderId="2" xfId="0" applyFont="1" applyFill="1" applyBorder="1" applyAlignment="1">
      <alignment horizontal="centerContinuous" vertical="center"/>
    </xf>
    <xf numFmtId="0" fontId="29" fillId="0" borderId="0" xfId="0" applyFont="1">
      <alignment vertical="center"/>
    </xf>
    <xf numFmtId="0" fontId="15" fillId="0" borderId="2" xfId="4" applyFont="1" applyBorder="1" applyAlignment="1">
      <alignment vertical="center"/>
    </xf>
    <xf numFmtId="0" fontId="15" fillId="0" borderId="3" xfId="4" applyFont="1" applyBorder="1" applyAlignment="1">
      <alignment vertical="center"/>
    </xf>
    <xf numFmtId="0" fontId="29" fillId="0" borderId="2" xfId="4" applyFont="1" applyBorder="1" applyAlignment="1">
      <alignment vertical="center"/>
    </xf>
    <xf numFmtId="0" fontId="29" fillId="0" borderId="5" xfId="4" applyFont="1" applyBorder="1" applyAlignment="1">
      <alignment vertical="center"/>
    </xf>
    <xf numFmtId="0" fontId="29" fillId="0" borderId="3" xfId="4" applyFont="1" applyBorder="1" applyAlignment="1">
      <alignment vertical="center"/>
    </xf>
    <xf numFmtId="0" fontId="29" fillId="0" borderId="0" xfId="4" applyFont="1" applyAlignment="1">
      <alignment vertical="center"/>
    </xf>
    <xf numFmtId="0" fontId="29" fillId="0" borderId="30" xfId="4" applyFont="1" applyBorder="1" applyAlignment="1">
      <alignment vertical="center"/>
    </xf>
    <xf numFmtId="0" fontId="29" fillId="0" borderId="24" xfId="4" applyFont="1" applyBorder="1" applyAlignment="1">
      <alignment vertical="center"/>
    </xf>
    <xf numFmtId="0" fontId="29" fillId="0" borderId="31" xfId="4" applyFont="1" applyBorder="1" applyAlignment="1">
      <alignment vertical="center"/>
    </xf>
    <xf numFmtId="2" fontId="0" fillId="0" borderId="4" xfId="0" applyNumberFormat="1" applyBorder="1" applyAlignment="1">
      <alignment vertical="top"/>
    </xf>
    <xf numFmtId="0" fontId="30" fillId="0" borderId="0" xfId="0" applyFont="1" applyAlignment="1">
      <alignment vertical="top"/>
    </xf>
    <xf numFmtId="0" fontId="0" fillId="0" borderId="0" xfId="0" applyAlignment="1">
      <alignment horizontal="right" vertical="top"/>
    </xf>
    <xf numFmtId="6" fontId="0" fillId="0" borderId="39" xfId="6" applyFont="1" applyFill="1" applyBorder="1" applyAlignment="1">
      <alignment vertical="top"/>
    </xf>
    <xf numFmtId="0" fontId="0" fillId="0" borderId="41" xfId="0" applyBorder="1" applyAlignment="1">
      <alignment horizontal="right" vertical="top"/>
    </xf>
    <xf numFmtId="185" fontId="0" fillId="13" borderId="4" xfId="0" applyNumberFormat="1" applyFill="1" applyBorder="1" applyAlignment="1">
      <alignment vertical="top"/>
    </xf>
    <xf numFmtId="6" fontId="0" fillId="13" borderId="42" xfId="0" applyNumberFormat="1" applyFill="1" applyBorder="1" applyAlignment="1">
      <alignment vertical="top"/>
    </xf>
    <xf numFmtId="0" fontId="0" fillId="0" borderId="39" xfId="0" applyBorder="1" applyAlignment="1">
      <alignment vertical="top" wrapText="1"/>
    </xf>
    <xf numFmtId="14" fontId="0" fillId="0" borderId="39" xfId="0" quotePrefix="1" applyNumberFormat="1" applyBorder="1" applyAlignment="1">
      <alignment vertical="top" wrapText="1"/>
    </xf>
    <xf numFmtId="0" fontId="0" fillId="0" borderId="40" xfId="0" applyBorder="1" applyAlignment="1">
      <alignment vertical="top" wrapText="1"/>
    </xf>
    <xf numFmtId="0" fontId="15" fillId="8" borderId="43" xfId="4" applyFont="1" applyFill="1" applyBorder="1" applyAlignment="1">
      <alignment vertical="center"/>
    </xf>
    <xf numFmtId="0" fontId="15" fillId="8" borderId="44" xfId="4" applyFont="1" applyFill="1" applyBorder="1" applyAlignment="1">
      <alignment vertical="center"/>
    </xf>
    <xf numFmtId="0" fontId="15" fillId="8" borderId="45" xfId="4" applyFont="1" applyFill="1" applyBorder="1" applyAlignment="1">
      <alignment vertical="center"/>
    </xf>
    <xf numFmtId="0" fontId="15" fillId="0" borderId="46" xfId="4" applyFont="1" applyBorder="1" applyAlignment="1">
      <alignment horizontal="centerContinuous" vertical="center"/>
    </xf>
    <xf numFmtId="0" fontId="15" fillId="0" borderId="47" xfId="4" applyFont="1" applyBorder="1" applyAlignment="1">
      <alignment horizontal="centerContinuous" vertical="center"/>
    </xf>
    <xf numFmtId="0" fontId="15" fillId="0" borderId="48" xfId="4" applyFont="1" applyBorder="1" applyAlignment="1">
      <alignment horizontal="centerContinuous" vertical="center"/>
    </xf>
    <xf numFmtId="0" fontId="15" fillId="0" borderId="49" xfId="4" applyFont="1" applyBorder="1" applyAlignment="1">
      <alignment horizontal="centerContinuous" vertical="center"/>
    </xf>
    <xf numFmtId="0" fontId="15" fillId="0" borderId="50" xfId="4" applyFont="1" applyBorder="1" applyAlignment="1">
      <alignment horizontal="centerContinuous" vertical="center"/>
    </xf>
    <xf numFmtId="0" fontId="15" fillId="0" borderId="51" xfId="4" applyFont="1" applyBorder="1" applyAlignment="1">
      <alignment horizontal="centerContinuous" vertical="center"/>
    </xf>
    <xf numFmtId="0" fontId="0" fillId="14" borderId="4" xfId="0" applyFill="1" applyBorder="1" applyAlignment="1">
      <alignment vertical="top"/>
    </xf>
    <xf numFmtId="0" fontId="0" fillId="14" borderId="40" xfId="0" applyFill="1" applyBorder="1" applyAlignment="1">
      <alignment vertical="top" wrapText="1"/>
    </xf>
    <xf numFmtId="14" fontId="0" fillId="14" borderId="38" xfId="0" quotePrefix="1" applyNumberFormat="1" applyFill="1" applyBorder="1" applyAlignment="1">
      <alignment vertical="top" wrapText="1"/>
    </xf>
    <xf numFmtId="0" fontId="0" fillId="14" borderId="4" xfId="0" applyFill="1" applyBorder="1" applyAlignment="1">
      <alignment vertical="top" wrapText="1"/>
    </xf>
    <xf numFmtId="0" fontId="28" fillId="14" borderId="39" xfId="0" applyFont="1" applyFill="1" applyBorder="1" applyAlignment="1">
      <alignment vertical="top" wrapText="1"/>
    </xf>
    <xf numFmtId="6" fontId="0" fillId="0" borderId="4" xfId="6" applyFont="1" applyBorder="1" applyAlignment="1">
      <alignment vertical="top"/>
    </xf>
    <xf numFmtId="14" fontId="0" fillId="0" borderId="40" xfId="0" applyNumberFormat="1" applyBorder="1" applyAlignment="1">
      <alignment vertical="top" wrapText="1"/>
    </xf>
    <xf numFmtId="14" fontId="0" fillId="14" borderId="38" xfId="0" applyNumberFormat="1" applyFill="1" applyBorder="1" applyAlignment="1">
      <alignment vertical="top" wrapText="1"/>
    </xf>
    <xf numFmtId="0" fontId="0" fillId="14" borderId="39" xfId="0" applyFill="1" applyBorder="1" applyAlignment="1">
      <alignment vertical="top" wrapText="1"/>
    </xf>
    <xf numFmtId="6" fontId="0" fillId="0" borderId="39" xfId="6" applyFont="1" applyBorder="1" applyAlignment="1">
      <alignment vertical="top"/>
    </xf>
    <xf numFmtId="2" fontId="0" fillId="0" borderId="0" xfId="0" applyNumberFormat="1" applyAlignment="1">
      <alignment vertical="top"/>
    </xf>
    <xf numFmtId="0" fontId="15" fillId="0" borderId="30" xfId="4" applyFont="1" applyBorder="1" applyAlignment="1">
      <alignment horizontal="left" vertical="center" indent="1"/>
    </xf>
    <xf numFmtId="5" fontId="15" fillId="0" borderId="24" xfId="4" applyNumberFormat="1" applyFont="1" applyBorder="1" applyAlignment="1">
      <alignment vertical="center"/>
    </xf>
    <xf numFmtId="5" fontId="15" fillId="0" borderId="31" xfId="4" applyNumberFormat="1" applyFont="1" applyBorder="1" applyAlignment="1">
      <alignment vertical="center"/>
    </xf>
    <xf numFmtId="0" fontId="15" fillId="0" borderId="25" xfId="4" applyFont="1" applyBorder="1" applyAlignment="1">
      <alignment horizontal="left" vertical="center" indent="1"/>
    </xf>
    <xf numFmtId="5" fontId="15" fillId="0" borderId="27" xfId="4" applyNumberFormat="1" applyFont="1" applyBorder="1" applyAlignment="1">
      <alignment vertical="center"/>
    </xf>
    <xf numFmtId="5" fontId="15" fillId="0" borderId="26" xfId="4" applyNumberFormat="1" applyFont="1" applyBorder="1" applyAlignment="1">
      <alignment vertical="center"/>
    </xf>
    <xf numFmtId="2" fontId="0" fillId="0" borderId="39" xfId="0" applyNumberFormat="1" applyBorder="1" applyAlignment="1">
      <alignment vertical="top"/>
    </xf>
    <xf numFmtId="0" fontId="0" fillId="13" borderId="56" xfId="0" applyFill="1" applyBorder="1" applyAlignment="1">
      <alignment horizontal="right" vertical="top"/>
    </xf>
    <xf numFmtId="2" fontId="0" fillId="0" borderId="57" xfId="0" applyNumberFormat="1" applyBorder="1" applyAlignment="1">
      <alignment vertical="top"/>
    </xf>
    <xf numFmtId="6" fontId="0" fillId="0" borderId="58" xfId="6" applyFont="1" applyFill="1" applyBorder="1" applyAlignment="1">
      <alignment vertical="top"/>
    </xf>
    <xf numFmtId="2" fontId="0" fillId="0" borderId="58" xfId="0" applyNumberFormat="1" applyBorder="1" applyAlignment="1">
      <alignment vertical="top"/>
    </xf>
    <xf numFmtId="6" fontId="0" fillId="13" borderId="55" xfId="0" applyNumberFormat="1" applyFill="1" applyBorder="1" applyAlignment="1">
      <alignment vertical="top"/>
    </xf>
    <xf numFmtId="0" fontId="29" fillId="0" borderId="25" xfId="4" applyFont="1" applyBorder="1" applyAlignment="1">
      <alignment horizontal="centerContinuous" vertical="center"/>
    </xf>
    <xf numFmtId="0" fontId="29" fillId="0" borderId="26" xfId="4" applyFont="1" applyBorder="1" applyAlignment="1">
      <alignment horizontal="centerContinuous" vertical="center"/>
    </xf>
    <xf numFmtId="0" fontId="29" fillId="0" borderId="46" xfId="4" applyFont="1" applyBorder="1" applyAlignment="1">
      <alignment horizontal="centerContinuous" vertical="center"/>
    </xf>
    <xf numFmtId="0" fontId="29" fillId="0" borderId="47" xfId="4" applyFont="1" applyBorder="1" applyAlignment="1">
      <alignment horizontal="centerContinuous" vertical="center"/>
    </xf>
    <xf numFmtId="0" fontId="29" fillId="0" borderId="48" xfId="4" applyFont="1" applyBorder="1" applyAlignment="1">
      <alignment horizontal="centerContinuous" vertical="center"/>
    </xf>
    <xf numFmtId="0" fontId="29" fillId="0" borderId="30" xfId="4" applyFont="1" applyBorder="1" applyAlignment="1">
      <alignment horizontal="centerContinuous" vertical="center"/>
    </xf>
    <xf numFmtId="0" fontId="29" fillId="0" borderId="31" xfId="4" applyFont="1" applyBorder="1" applyAlignment="1">
      <alignment horizontal="centerContinuous" vertical="center"/>
    </xf>
    <xf numFmtId="0" fontId="29" fillId="0" borderId="30" xfId="4" applyFont="1" applyBorder="1" applyAlignment="1">
      <alignment horizontal="left" vertical="center"/>
    </xf>
    <xf numFmtId="0" fontId="29" fillId="0" borderId="24" xfId="4" applyFont="1" applyBorder="1" applyAlignment="1">
      <alignment horizontal="left" vertical="center"/>
    </xf>
    <xf numFmtId="0" fontId="29" fillId="0" borderId="49" xfId="4" applyFont="1" applyBorder="1" applyAlignment="1">
      <alignment horizontal="centerContinuous" vertical="center"/>
    </xf>
    <xf numFmtId="0" fontId="29" fillId="0" borderId="50" xfId="4" applyFont="1" applyBorder="1" applyAlignment="1">
      <alignment horizontal="centerContinuous" vertical="center"/>
    </xf>
    <xf numFmtId="0" fontId="29" fillId="0" borderId="51" xfId="4" applyFont="1" applyBorder="1" applyAlignment="1">
      <alignment horizontal="centerContinuous" vertical="center"/>
    </xf>
    <xf numFmtId="0" fontId="32" fillId="0" borderId="0" xfId="0" applyFont="1">
      <alignment vertical="center"/>
    </xf>
    <xf numFmtId="0" fontId="29" fillId="3" borderId="25" xfId="4" applyFont="1" applyFill="1" applyBorder="1" applyAlignment="1">
      <alignment horizontal="centerContinuous" vertical="center"/>
    </xf>
    <xf numFmtId="0" fontId="29" fillId="3" borderId="26" xfId="4" applyFont="1" applyFill="1" applyBorder="1" applyAlignment="1">
      <alignment horizontal="centerContinuous" vertical="center"/>
    </xf>
    <xf numFmtId="0" fontId="29" fillId="3" borderId="30" xfId="4" applyFont="1" applyFill="1" applyBorder="1" applyAlignment="1">
      <alignment horizontal="centerContinuous" vertical="center"/>
    </xf>
    <xf numFmtId="0" fontId="29" fillId="3" borderId="31" xfId="4" applyFont="1" applyFill="1" applyBorder="1" applyAlignment="1">
      <alignment horizontal="centerContinuous" vertical="center"/>
    </xf>
    <xf numFmtId="0" fontId="29" fillId="3" borderId="30" xfId="4" applyFont="1" applyFill="1" applyBorder="1" applyAlignment="1">
      <alignment horizontal="left" vertical="center"/>
    </xf>
    <xf numFmtId="0" fontId="29" fillId="3" borderId="24" xfId="4" applyFont="1" applyFill="1" applyBorder="1" applyAlignment="1">
      <alignment horizontal="left" vertical="center"/>
    </xf>
    <xf numFmtId="0" fontId="32" fillId="0" borderId="0" xfId="4" applyFont="1" applyAlignment="1">
      <alignment vertical="center"/>
    </xf>
    <xf numFmtId="0" fontId="33" fillId="0" borderId="0" xfId="4" applyFont="1" applyAlignment="1">
      <alignment vertical="center"/>
    </xf>
    <xf numFmtId="0" fontId="29" fillId="0" borderId="22" xfId="4" applyFont="1" applyBorder="1" applyAlignment="1">
      <alignment vertical="center"/>
    </xf>
    <xf numFmtId="0" fontId="29" fillId="0" borderId="23" xfId="4" applyFont="1" applyBorder="1" applyAlignment="1">
      <alignment vertical="center"/>
    </xf>
    <xf numFmtId="0" fontId="32" fillId="0" borderId="23" xfId="4" applyFont="1" applyBorder="1" applyAlignment="1">
      <alignment vertical="center"/>
    </xf>
    <xf numFmtId="0" fontId="35" fillId="0" borderId="0" xfId="4" applyFont="1" applyAlignment="1">
      <alignment vertical="center"/>
    </xf>
    <xf numFmtId="0" fontId="29" fillId="8" borderId="2" xfId="4" applyFont="1" applyFill="1" applyBorder="1" applyAlignment="1">
      <alignment horizontal="centerContinuous" vertical="center"/>
    </xf>
    <xf numFmtId="0" fontId="29" fillId="8" borderId="3" xfId="4" applyFont="1" applyFill="1" applyBorder="1" applyAlignment="1">
      <alignment horizontal="centerContinuous" vertical="center"/>
    </xf>
    <xf numFmtId="0" fontId="29" fillId="8" borderId="5" xfId="4" applyFont="1" applyFill="1" applyBorder="1" applyAlignment="1">
      <alignment horizontal="centerContinuous" vertical="center"/>
    </xf>
    <xf numFmtId="0" fontId="29" fillId="0" borderId="2" xfId="4" applyFont="1" applyBorder="1" applyAlignment="1">
      <alignment horizontal="left" vertical="center" indent="1"/>
    </xf>
    <xf numFmtId="5" fontId="29" fillId="0" borderId="5" xfId="4" applyNumberFormat="1" applyFont="1" applyBorder="1" applyAlignment="1">
      <alignment vertical="center"/>
    </xf>
    <xf numFmtId="5" fontId="29" fillId="0" borderId="3" xfId="4" applyNumberFormat="1" applyFont="1" applyBorder="1" applyAlignment="1">
      <alignment vertical="center"/>
    </xf>
    <xf numFmtId="0" fontId="29" fillId="0" borderId="27" xfId="4" applyFont="1" applyBorder="1" applyAlignment="1">
      <alignment vertical="center"/>
    </xf>
    <xf numFmtId="0" fontId="29" fillId="0" borderId="30" xfId="4" applyFont="1" applyBorder="1" applyAlignment="1">
      <alignment horizontal="left" vertical="center" indent="1"/>
    </xf>
    <xf numFmtId="5" fontId="29" fillId="0" borderId="24" xfId="4" applyNumberFormat="1" applyFont="1" applyBorder="1" applyAlignment="1">
      <alignment vertical="center"/>
    </xf>
    <xf numFmtId="5" fontId="29" fillId="0" borderId="31" xfId="4" applyNumberFormat="1" applyFont="1" applyBorder="1" applyAlignment="1">
      <alignment vertical="center"/>
    </xf>
    <xf numFmtId="0" fontId="29" fillId="0" borderId="52" xfId="4" applyFont="1" applyBorder="1" applyAlignment="1">
      <alignment horizontal="left" vertical="center" indent="1"/>
    </xf>
    <xf numFmtId="0" fontId="29" fillId="0" borderId="54" xfId="4" applyFont="1" applyBorder="1" applyAlignment="1">
      <alignment vertical="center"/>
    </xf>
    <xf numFmtId="5" fontId="29" fillId="0" borderId="54" xfId="4" applyNumberFormat="1" applyFont="1" applyBorder="1" applyAlignment="1">
      <alignment vertical="center"/>
    </xf>
    <xf numFmtId="5" fontId="29" fillId="0" borderId="53" xfId="4" applyNumberFormat="1" applyFont="1" applyBorder="1" applyAlignment="1">
      <alignment vertical="center"/>
    </xf>
    <xf numFmtId="0" fontId="29" fillId="0" borderId="0" xfId="4" applyFont="1" applyAlignment="1">
      <alignment horizontal="left" vertical="center"/>
    </xf>
    <xf numFmtId="0" fontId="29" fillId="0" borderId="0" xfId="4" applyFont="1" applyAlignment="1">
      <alignment horizontal="center" vertical="center"/>
    </xf>
    <xf numFmtId="0" fontId="29" fillId="0" borderId="0" xfId="0" applyFont="1" applyAlignment="1">
      <alignment horizontal="center" vertical="center"/>
    </xf>
    <xf numFmtId="0" fontId="39" fillId="0" borderId="0" xfId="4" applyFont="1" applyAlignment="1">
      <alignment vertical="center"/>
    </xf>
    <xf numFmtId="0" fontId="29" fillId="8" borderId="25" xfId="4" applyFont="1" applyFill="1" applyBorder="1" applyAlignment="1">
      <alignment horizontal="centerContinuous" vertical="center"/>
    </xf>
    <xf numFmtId="0" fontId="29" fillId="8" borderId="26" xfId="4" applyFont="1" applyFill="1" applyBorder="1" applyAlignment="1">
      <alignment horizontal="centerContinuous" vertical="center"/>
    </xf>
    <xf numFmtId="0" fontId="29" fillId="8" borderId="27" xfId="4" applyFont="1" applyFill="1" applyBorder="1" applyAlignment="1">
      <alignment horizontal="centerContinuous" vertical="center"/>
    </xf>
    <xf numFmtId="0" fontId="29" fillId="8" borderId="2" xfId="0" applyFont="1" applyFill="1" applyBorder="1" applyAlignment="1">
      <alignment horizontal="centerContinuous" vertical="center"/>
    </xf>
    <xf numFmtId="0" fontId="29" fillId="8" borderId="5" xfId="0" applyFont="1" applyFill="1" applyBorder="1" applyAlignment="1">
      <alignment horizontal="centerContinuous" vertical="center"/>
    </xf>
    <xf numFmtId="0" fontId="29" fillId="8" borderId="3" xfId="0" applyFont="1" applyFill="1" applyBorder="1">
      <alignment vertical="center"/>
    </xf>
    <xf numFmtId="0" fontId="29" fillId="0" borderId="25" xfId="4" applyFont="1" applyBorder="1" applyAlignment="1">
      <alignment vertical="center"/>
    </xf>
    <xf numFmtId="0" fontId="29" fillId="0" borderId="26" xfId="4" applyFont="1" applyBorder="1" applyAlignment="1">
      <alignment vertical="center"/>
    </xf>
    <xf numFmtId="0" fontId="29" fillId="0" borderId="28" xfId="4" applyFont="1" applyBorder="1" applyAlignment="1">
      <alignment horizontal="centerContinuous" vertical="center"/>
    </xf>
    <xf numFmtId="0" fontId="29" fillId="0" borderId="29" xfId="4" applyFont="1" applyBorder="1" applyAlignment="1">
      <alignment horizontal="centerContinuous" vertical="center"/>
    </xf>
    <xf numFmtId="0" fontId="29" fillId="0" borderId="28" xfId="0" applyFont="1" applyBorder="1">
      <alignment vertical="center"/>
    </xf>
    <xf numFmtId="0" fontId="29" fillId="0" borderId="28" xfId="4" applyFont="1" applyBorder="1" applyAlignment="1">
      <alignment vertical="center"/>
    </xf>
    <xf numFmtId="0" fontId="29" fillId="0" borderId="29" xfId="4" applyFont="1" applyBorder="1" applyAlignment="1">
      <alignment vertical="center"/>
    </xf>
    <xf numFmtId="0" fontId="29" fillId="0" borderId="28" xfId="4" applyFont="1" applyBorder="1" applyAlignment="1">
      <alignment horizontal="left" vertical="center"/>
    </xf>
    <xf numFmtId="0" fontId="29" fillId="8" borderId="43" xfId="4" applyFont="1" applyFill="1" applyBorder="1" applyAlignment="1">
      <alignment vertical="center"/>
    </xf>
    <xf numFmtId="0" fontId="29" fillId="8" borderId="44" xfId="4" applyFont="1" applyFill="1" applyBorder="1" applyAlignment="1">
      <alignment vertical="center"/>
    </xf>
    <xf numFmtId="0" fontId="29" fillId="8" borderId="45" xfId="4" applyFont="1" applyFill="1" applyBorder="1" applyAlignment="1">
      <alignment vertical="center"/>
    </xf>
    <xf numFmtId="0" fontId="40" fillId="0" borderId="0" xfId="4" applyFont="1" applyAlignment="1">
      <alignment vertical="center"/>
    </xf>
    <xf numFmtId="0" fontId="33" fillId="0" borderId="0" xfId="0" applyFont="1">
      <alignment vertical="center"/>
    </xf>
    <xf numFmtId="0" fontId="32" fillId="0" borderId="24" xfId="0" applyFont="1" applyBorder="1">
      <alignment vertical="center"/>
    </xf>
    <xf numFmtId="0" fontId="29" fillId="0" borderId="0" xfId="5" applyFont="1" applyAlignment="1">
      <alignment horizontal="left" vertical="center"/>
    </xf>
    <xf numFmtId="0" fontId="29" fillId="0" borderId="0" xfId="5" applyFont="1">
      <alignment vertical="center"/>
    </xf>
    <xf numFmtId="6" fontId="0" fillId="0" borderId="58" xfId="6" applyFont="1" applyBorder="1" applyAlignment="1">
      <alignment vertical="top"/>
    </xf>
    <xf numFmtId="0" fontId="15" fillId="0" borderId="60" xfId="4" applyFont="1" applyBorder="1" applyAlignment="1">
      <alignment horizontal="left" vertical="center" indent="1"/>
    </xf>
    <xf numFmtId="0" fontId="15" fillId="0" borderId="36" xfId="4" applyFont="1" applyBorder="1" applyAlignment="1">
      <alignment vertical="center"/>
    </xf>
    <xf numFmtId="5" fontId="15" fillId="0" borderId="36" xfId="4" applyNumberFormat="1" applyFont="1" applyBorder="1" applyAlignment="1">
      <alignment vertical="center"/>
    </xf>
    <xf numFmtId="5" fontId="15" fillId="0" borderId="61" xfId="4" applyNumberFormat="1" applyFont="1" applyBorder="1" applyAlignment="1">
      <alignment vertical="center"/>
    </xf>
    <xf numFmtId="31" fontId="29" fillId="0" borderId="0" xfId="4" quotePrefix="1" applyNumberFormat="1" applyFont="1" applyAlignment="1">
      <alignment vertical="center"/>
    </xf>
    <xf numFmtId="0" fontId="15" fillId="0" borderId="30" xfId="4" applyFont="1" applyBorder="1" applyAlignment="1">
      <alignment horizontal="center" vertical="center"/>
    </xf>
    <xf numFmtId="0" fontId="15" fillId="0" borderId="31" xfId="4" applyFont="1" applyBorder="1" applyAlignment="1">
      <alignment horizontal="center" vertical="center"/>
    </xf>
    <xf numFmtId="0" fontId="13" fillId="0" borderId="0" xfId="4" applyFont="1" applyAlignment="1">
      <alignment horizontal="lef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0" fontId="29" fillId="0" borderId="2" xfId="4" applyFont="1" applyBorder="1" applyAlignment="1">
      <alignment horizontal="center" vertical="center"/>
    </xf>
    <xf numFmtId="0" fontId="29"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183" fontId="15" fillId="0" borderId="30" xfId="4" applyNumberFormat="1" applyFont="1" applyBorder="1" applyAlignment="1">
      <alignment horizontal="right" vertical="center"/>
    </xf>
    <xf numFmtId="183" fontId="15" fillId="0" borderId="24" xfId="4" applyNumberFormat="1" applyFont="1" applyBorder="1" applyAlignment="1">
      <alignment horizontal="right" vertical="center"/>
    </xf>
    <xf numFmtId="5" fontId="15" fillId="0" borderId="24" xfId="4" applyNumberFormat="1" applyFont="1" applyBorder="1" applyAlignment="1">
      <alignment horizontal="center" vertical="center"/>
    </xf>
    <xf numFmtId="5" fontId="15" fillId="0" borderId="31" xfId="4" applyNumberFormat="1" applyFont="1" applyBorder="1" applyAlignment="1">
      <alignment horizontal="center" vertical="center"/>
    </xf>
    <xf numFmtId="5" fontId="15" fillId="0" borderId="30" xfId="4" applyNumberFormat="1" applyFont="1" applyBorder="1" applyAlignment="1">
      <alignment horizontal="right" vertical="center" indent="1"/>
    </xf>
    <xf numFmtId="5" fontId="15" fillId="0" borderId="24" xfId="4" applyNumberFormat="1" applyFont="1" applyBorder="1" applyAlignment="1">
      <alignment horizontal="right" vertical="center" indent="1"/>
    </xf>
    <xf numFmtId="5" fontId="15" fillId="0" borderId="31" xfId="4" applyNumberFormat="1" applyFont="1" applyBorder="1" applyAlignment="1">
      <alignment horizontal="right" vertical="center" indent="1"/>
    </xf>
    <xf numFmtId="0" fontId="15" fillId="0" borderId="2" xfId="4" applyFont="1" applyBorder="1" applyAlignment="1">
      <alignment horizontal="center" vertical="center"/>
    </xf>
    <xf numFmtId="0" fontId="15" fillId="0" borderId="3" xfId="4" applyFont="1" applyBorder="1" applyAlignment="1">
      <alignment horizontal="center" vertical="center"/>
    </xf>
    <xf numFmtId="0" fontId="29" fillId="0" borderId="60" xfId="4" applyFont="1" applyBorder="1" applyAlignment="1">
      <alignment horizontal="center" vertical="center"/>
    </xf>
    <xf numFmtId="0" fontId="29" fillId="0" borderId="61" xfId="4" applyFont="1" applyBorder="1" applyAlignment="1">
      <alignment horizontal="center" vertical="center"/>
    </xf>
    <xf numFmtId="183" fontId="15" fillId="0" borderId="60" xfId="4" applyNumberFormat="1" applyFont="1" applyBorder="1" applyAlignment="1">
      <alignment horizontal="right" vertical="center"/>
    </xf>
    <xf numFmtId="183" fontId="15" fillId="0" borderId="36" xfId="4" applyNumberFormat="1" applyFont="1" applyBorder="1" applyAlignment="1">
      <alignment horizontal="right" vertical="center"/>
    </xf>
    <xf numFmtId="5" fontId="15" fillId="0" borderId="36" xfId="4" applyNumberFormat="1" applyFont="1" applyBorder="1" applyAlignment="1">
      <alignment horizontal="center" vertical="center"/>
    </xf>
    <xf numFmtId="5" fontId="15" fillId="0" borderId="61" xfId="4" applyNumberFormat="1" applyFont="1" applyBorder="1" applyAlignment="1">
      <alignment horizontal="center" vertical="center"/>
    </xf>
    <xf numFmtId="5" fontId="15" fillId="0" borderId="60" xfId="4" applyNumberFormat="1" applyFont="1" applyBorder="1" applyAlignment="1">
      <alignment horizontal="right" vertical="center" indent="1"/>
    </xf>
    <xf numFmtId="5" fontId="15" fillId="0" borderId="36" xfId="4" applyNumberFormat="1" applyFont="1" applyBorder="1" applyAlignment="1">
      <alignment horizontal="right" vertical="center" indent="1"/>
    </xf>
    <xf numFmtId="5" fontId="15" fillId="0" borderId="61" xfId="4" applyNumberFormat="1" applyFont="1" applyBorder="1" applyAlignment="1">
      <alignment horizontal="right" vertical="center" indent="1"/>
    </xf>
    <xf numFmtId="0" fontId="15" fillId="0" borderId="25" xfId="0" applyFont="1" applyBorder="1" applyAlignment="1">
      <alignment vertical="center" shrinkToFit="1"/>
    </xf>
    <xf numFmtId="0" fontId="15" fillId="0" borderId="27" xfId="0" applyFont="1" applyBorder="1" applyAlignment="1">
      <alignment vertical="center" shrinkToFit="1"/>
    </xf>
    <xf numFmtId="0" fontId="15" fillId="0" borderId="25" xfId="4" applyFont="1" applyBorder="1" applyAlignment="1">
      <alignment vertical="center" shrinkToFit="1"/>
    </xf>
    <xf numFmtId="0" fontId="15" fillId="0" borderId="27" xfId="4" applyFont="1" applyBorder="1" applyAlignment="1">
      <alignment vertical="center" shrinkToFit="1"/>
    </xf>
    <xf numFmtId="0" fontId="15" fillId="0" borderId="26" xfId="4" applyFont="1" applyBorder="1" applyAlignment="1">
      <alignment vertical="center" shrinkToFit="1"/>
    </xf>
    <xf numFmtId="183" fontId="29" fillId="0" borderId="2" xfId="4" applyNumberFormat="1" applyFont="1" applyBorder="1" applyAlignment="1">
      <alignment horizontal="center" vertical="center"/>
    </xf>
    <xf numFmtId="0" fontId="29" fillId="0" borderId="5" xfId="4" applyFont="1" applyBorder="1" applyAlignment="1">
      <alignment horizontal="center" vertical="center"/>
    </xf>
    <xf numFmtId="0" fontId="29" fillId="0" borderId="0" xfId="4" applyFont="1" applyAlignment="1">
      <alignment vertical="center" shrinkToFit="1"/>
    </xf>
    <xf numFmtId="0" fontId="29" fillId="0" borderId="29" xfId="4" applyFont="1" applyBorder="1" applyAlignment="1">
      <alignment vertical="center" shrinkToFit="1"/>
    </xf>
    <xf numFmtId="0" fontId="29" fillId="0" borderId="24" xfId="4" applyFont="1" applyBorder="1" applyAlignment="1">
      <alignment vertical="center" shrinkToFit="1"/>
    </xf>
    <xf numFmtId="0" fontId="29" fillId="0" borderId="31" xfId="4" applyFont="1" applyBorder="1" applyAlignment="1">
      <alignment vertical="center" shrinkToFit="1"/>
    </xf>
    <xf numFmtId="183" fontId="15" fillId="0" borderId="27" xfId="4" applyNumberFormat="1" applyFont="1" applyBorder="1" applyAlignment="1">
      <alignment horizontal="center" vertical="center"/>
    </xf>
    <xf numFmtId="0" fontId="15" fillId="0" borderId="27" xfId="4" applyFont="1" applyBorder="1" applyAlignment="1">
      <alignment horizontal="center" vertical="center"/>
    </xf>
    <xf numFmtId="0" fontId="14" fillId="0" borderId="32" xfId="0" applyFont="1" applyBorder="1" applyAlignment="1">
      <alignment horizontal="left" vertical="center" wrapText="1"/>
    </xf>
    <xf numFmtId="0" fontId="14" fillId="0" borderId="33" xfId="0" applyFont="1" applyBorder="1" applyAlignment="1">
      <alignment horizontal="left" vertical="center"/>
    </xf>
    <xf numFmtId="0" fontId="14" fillId="0" borderId="34" xfId="0" applyFont="1" applyBorder="1" applyAlignment="1">
      <alignment horizontal="left" vertical="center"/>
    </xf>
    <xf numFmtId="0" fontId="14" fillId="0" borderId="35" xfId="0" applyFont="1" applyBorder="1" applyAlignment="1">
      <alignment horizontal="left" vertical="center"/>
    </xf>
    <xf numFmtId="0" fontId="14" fillId="0" borderId="36" xfId="0" applyFont="1" applyBorder="1" applyAlignment="1">
      <alignment horizontal="left" vertical="center"/>
    </xf>
    <xf numFmtId="0" fontId="14" fillId="0" borderId="37" xfId="0" applyFont="1" applyBorder="1" applyAlignment="1">
      <alignment horizontal="left" vertical="center"/>
    </xf>
    <xf numFmtId="0" fontId="29" fillId="3" borderId="25" xfId="4" applyFont="1" applyFill="1" applyBorder="1" applyAlignment="1">
      <alignment horizontal="left" vertical="center"/>
    </xf>
    <xf numFmtId="0" fontId="29" fillId="3" borderId="27" xfId="4" applyFont="1" applyFill="1" applyBorder="1" applyAlignment="1">
      <alignment horizontal="left" vertical="center"/>
    </xf>
    <xf numFmtId="0" fontId="29" fillId="3" borderId="26" xfId="4" applyFont="1" applyFill="1" applyBorder="1" applyAlignment="1">
      <alignment horizontal="left" vertical="center"/>
    </xf>
    <xf numFmtId="0" fontId="29" fillId="3" borderId="30" xfId="4" applyFont="1" applyFill="1" applyBorder="1" applyAlignment="1">
      <alignment horizontal="left" vertical="center"/>
    </xf>
    <xf numFmtId="0" fontId="29" fillId="3" borderId="24" xfId="4" applyFont="1" applyFill="1" applyBorder="1" applyAlignment="1">
      <alignment horizontal="left" vertical="center"/>
    </xf>
    <xf numFmtId="0" fontId="29" fillId="3" borderId="31" xfId="4" applyFont="1" applyFill="1" applyBorder="1" applyAlignment="1">
      <alignment horizontal="left" vertical="center"/>
    </xf>
    <xf numFmtId="0" fontId="32" fillId="3" borderId="25" xfId="4" applyFont="1" applyFill="1" applyBorder="1" applyAlignment="1">
      <alignment horizontal="center" vertical="center" wrapText="1" shrinkToFit="1"/>
    </xf>
    <xf numFmtId="0" fontId="14" fillId="3" borderId="27" xfId="4" applyFont="1" applyFill="1" applyBorder="1" applyAlignment="1">
      <alignment horizontal="center" vertical="center" wrapText="1" shrinkToFit="1"/>
    </xf>
    <xf numFmtId="0" fontId="14" fillId="3" borderId="26" xfId="4" applyFont="1" applyFill="1" applyBorder="1" applyAlignment="1">
      <alignment horizontal="center" vertical="center" wrapText="1" shrinkToFit="1"/>
    </xf>
    <xf numFmtId="0" fontId="14" fillId="3" borderId="30" xfId="4" applyFont="1" applyFill="1" applyBorder="1" applyAlignment="1">
      <alignment horizontal="center" vertical="center" wrapText="1" shrinkToFit="1"/>
    </xf>
    <xf numFmtId="0" fontId="14" fillId="3" borderId="24" xfId="4" applyFont="1" applyFill="1" applyBorder="1" applyAlignment="1">
      <alignment horizontal="center" vertical="center" wrapText="1" shrinkToFit="1"/>
    </xf>
    <xf numFmtId="0" fontId="14" fillId="3" borderId="31" xfId="4" applyFont="1" applyFill="1" applyBorder="1" applyAlignment="1">
      <alignment horizontal="center" vertical="center" wrapText="1" shrinkToFit="1"/>
    </xf>
    <xf numFmtId="0" fontId="0" fillId="0" borderId="59" xfId="0" applyBorder="1" applyAlignment="1">
      <alignment horizontal="right" vertical="top"/>
    </xf>
    <xf numFmtId="0" fontId="0" fillId="0" borderId="58" xfId="0" applyBorder="1" applyAlignment="1">
      <alignment horizontal="right" vertical="top"/>
    </xf>
    <xf numFmtId="0" fontId="26" fillId="9" borderId="4" xfId="0" applyFont="1" applyFill="1" applyBorder="1" applyAlignment="1">
      <alignment horizontal="center" vertical="top"/>
    </xf>
    <xf numFmtId="0" fontId="26" fillId="10" borderId="4" xfId="0" applyFont="1" applyFill="1" applyBorder="1" applyAlignment="1">
      <alignment horizontal="center" vertical="top"/>
    </xf>
    <xf numFmtId="0" fontId="0" fillId="0" borderId="4" xfId="0" applyBorder="1" applyAlignment="1">
      <alignment horizontal="center" vertical="top"/>
    </xf>
    <xf numFmtId="0" fontId="26" fillId="9" borderId="38" xfId="0" applyFont="1" applyFill="1" applyBorder="1" applyAlignment="1">
      <alignment horizontal="center" vertical="top"/>
    </xf>
    <xf numFmtId="0" fontId="26" fillId="10" borderId="38" xfId="0" applyFont="1" applyFill="1" applyBorder="1" applyAlignment="1">
      <alignment horizontal="center" vertical="top"/>
    </xf>
    <xf numFmtId="5" fontId="29" fillId="0" borderId="2" xfId="4" applyNumberFormat="1" applyFont="1" applyBorder="1" applyAlignment="1">
      <alignment horizontal="right" vertical="center" indent="1"/>
    </xf>
    <xf numFmtId="5" fontId="29" fillId="0" borderId="5" xfId="4" applyNumberFormat="1" applyFont="1" applyBorder="1" applyAlignment="1">
      <alignment horizontal="right" vertical="center" indent="1"/>
    </xf>
    <xf numFmtId="5" fontId="29" fillId="0" borderId="3" xfId="4" applyNumberFormat="1" applyFont="1" applyBorder="1" applyAlignment="1">
      <alignment horizontal="right" vertical="center" indent="1"/>
    </xf>
    <xf numFmtId="0" fontId="34" fillId="0" borderId="0" xfId="4" applyFont="1" applyAlignment="1">
      <alignment horizontal="left" vertical="center"/>
    </xf>
    <xf numFmtId="14" fontId="29" fillId="0" borderId="22" xfId="4" applyNumberFormat="1" applyFont="1" applyBorder="1" applyAlignment="1">
      <alignment horizontal="right" vertical="center"/>
    </xf>
    <xf numFmtId="0" fontId="29" fillId="0" borderId="22" xfId="4" applyFont="1" applyBorder="1" applyAlignment="1">
      <alignment horizontal="right" vertical="center"/>
    </xf>
    <xf numFmtId="14" fontId="29" fillId="0" borderId="23" xfId="4" applyNumberFormat="1" applyFont="1" applyBorder="1" applyAlignment="1">
      <alignment horizontal="right" vertical="center"/>
    </xf>
    <xf numFmtId="0" fontId="29" fillId="0" borderId="23" xfId="4" applyFont="1" applyBorder="1" applyAlignment="1">
      <alignment horizontal="right" vertical="center"/>
    </xf>
    <xf numFmtId="0" fontId="36" fillId="0" borderId="0" xfId="4" applyFont="1" applyAlignment="1">
      <alignment horizontal="left" vertical="center"/>
    </xf>
    <xf numFmtId="0" fontId="36" fillId="0" borderId="24" xfId="4" applyFont="1" applyBorder="1" applyAlignment="1">
      <alignment horizontal="left" vertical="center"/>
    </xf>
    <xf numFmtId="0" fontId="37" fillId="0" borderId="0" xfId="4" applyFont="1" applyAlignment="1">
      <alignment horizontal="left" vertical="center"/>
    </xf>
    <xf numFmtId="0" fontId="37" fillId="0" borderId="24" xfId="4" applyFont="1" applyBorder="1" applyAlignment="1">
      <alignment horizontal="left" vertical="center"/>
    </xf>
    <xf numFmtId="182" fontId="38" fillId="0" borderId="0" xfId="4" applyNumberFormat="1" applyFont="1" applyAlignment="1">
      <alignment horizontal="right" vertical="center"/>
    </xf>
    <xf numFmtId="182" fontId="38" fillId="0" borderId="24" xfId="4" applyNumberFormat="1" applyFont="1" applyBorder="1" applyAlignment="1">
      <alignment horizontal="right" vertical="center"/>
    </xf>
    <xf numFmtId="0" fontId="29" fillId="0" borderId="30" xfId="4" applyFont="1" applyBorder="1" applyAlignment="1">
      <alignment horizontal="center" vertical="center"/>
    </xf>
    <xf numFmtId="0" fontId="29" fillId="0" borderId="31" xfId="4" applyFont="1" applyBorder="1" applyAlignment="1">
      <alignment horizontal="center" vertical="center"/>
    </xf>
    <xf numFmtId="183" fontId="29" fillId="0" borderId="30" xfId="4" applyNumberFormat="1" applyFont="1" applyBorder="1" applyAlignment="1">
      <alignment horizontal="right" vertical="center"/>
    </xf>
    <xf numFmtId="183" fontId="29" fillId="0" borderId="24" xfId="4" applyNumberFormat="1" applyFont="1" applyBorder="1" applyAlignment="1">
      <alignment horizontal="right" vertical="center"/>
    </xf>
    <xf numFmtId="5" fontId="29" fillId="0" borderId="24" xfId="4" applyNumberFormat="1" applyFont="1" applyBorder="1" applyAlignment="1">
      <alignment horizontal="center" vertical="center"/>
    </xf>
    <xf numFmtId="5" fontId="29" fillId="0" borderId="31" xfId="4" applyNumberFormat="1" applyFont="1" applyBorder="1" applyAlignment="1">
      <alignment horizontal="center" vertical="center"/>
    </xf>
    <xf numFmtId="5" fontId="29" fillId="0" borderId="30" xfId="4" applyNumberFormat="1" applyFont="1" applyBorder="1" applyAlignment="1">
      <alignment horizontal="right" vertical="center" indent="1"/>
    </xf>
    <xf numFmtId="5" fontId="29" fillId="0" borderId="24" xfId="4" applyNumberFormat="1" applyFont="1" applyBorder="1" applyAlignment="1">
      <alignment horizontal="right" vertical="center" indent="1"/>
    </xf>
    <xf numFmtId="5" fontId="29" fillId="0" borderId="31" xfId="4" applyNumberFormat="1" applyFont="1" applyBorder="1" applyAlignment="1">
      <alignment horizontal="right" vertical="center" indent="1"/>
    </xf>
    <xf numFmtId="5" fontId="29" fillId="0" borderId="52" xfId="4" applyNumberFormat="1" applyFont="1" applyBorder="1" applyAlignment="1">
      <alignment horizontal="right" vertical="center" indent="1"/>
    </xf>
    <xf numFmtId="5" fontId="29" fillId="0" borderId="54" xfId="4" applyNumberFormat="1" applyFont="1" applyBorder="1" applyAlignment="1">
      <alignment horizontal="right" vertical="center" indent="1"/>
    </xf>
    <xf numFmtId="5" fontId="29" fillId="0" borderId="53" xfId="4" applyNumberFormat="1" applyFont="1" applyBorder="1" applyAlignment="1">
      <alignment horizontal="right" vertical="center" indent="1"/>
    </xf>
    <xf numFmtId="0" fontId="32" fillId="0" borderId="32" xfId="0" applyFont="1" applyBorder="1" applyAlignment="1">
      <alignment horizontal="left" vertical="center" wrapText="1"/>
    </xf>
    <xf numFmtId="0" fontId="32" fillId="0" borderId="33" xfId="0" applyFont="1" applyBorder="1" applyAlignment="1">
      <alignment horizontal="left" vertical="center"/>
    </xf>
    <xf numFmtId="0" fontId="32" fillId="0" borderId="34" xfId="0" applyFont="1" applyBorder="1" applyAlignment="1">
      <alignment horizontal="left" vertical="center"/>
    </xf>
    <xf numFmtId="0" fontId="32" fillId="0" borderId="35" xfId="0" applyFont="1" applyBorder="1" applyAlignment="1">
      <alignment horizontal="left" vertical="center"/>
    </xf>
    <xf numFmtId="0" fontId="32" fillId="0" borderId="36" xfId="0" applyFont="1" applyBorder="1" applyAlignment="1">
      <alignment horizontal="left" vertical="center"/>
    </xf>
    <xf numFmtId="0" fontId="32" fillId="0" borderId="37" xfId="0" applyFont="1" applyBorder="1" applyAlignment="1">
      <alignment horizontal="left" vertical="center"/>
    </xf>
    <xf numFmtId="0" fontId="29" fillId="3" borderId="25" xfId="4" applyFont="1" applyFill="1" applyBorder="1" applyAlignment="1">
      <alignment vertical="center" shrinkToFit="1"/>
    </xf>
    <xf numFmtId="0" fontId="29" fillId="3" borderId="27" xfId="4" applyFont="1" applyFill="1" applyBorder="1" applyAlignment="1">
      <alignment vertical="center" shrinkToFit="1"/>
    </xf>
    <xf numFmtId="0" fontId="29" fillId="3" borderId="26" xfId="4" applyFont="1" applyFill="1" applyBorder="1" applyAlignment="1">
      <alignment vertical="center" shrinkToFit="1"/>
    </xf>
    <xf numFmtId="0" fontId="29" fillId="0" borderId="25" xfId="4" applyFont="1" applyBorder="1" applyAlignment="1">
      <alignment vertical="center" shrinkToFit="1"/>
    </xf>
    <xf numFmtId="0" fontId="29" fillId="0" borderId="27" xfId="4" applyFont="1" applyBorder="1" applyAlignment="1">
      <alignment vertical="center" shrinkToFit="1"/>
    </xf>
    <xf numFmtId="0" fontId="29" fillId="0" borderId="26" xfId="4" applyFont="1" applyBorder="1" applyAlignment="1">
      <alignment vertical="center" shrinkToFit="1"/>
    </xf>
    <xf numFmtId="0" fontId="29" fillId="0" borderId="30" xfId="4" applyFont="1" applyBorder="1" applyAlignment="1">
      <alignment vertical="center" shrinkToFit="1"/>
    </xf>
    <xf numFmtId="5" fontId="29" fillId="0" borderId="5" xfId="4" applyNumberFormat="1" applyFont="1" applyBorder="1" applyAlignment="1">
      <alignment horizontal="center" vertical="center"/>
    </xf>
    <xf numFmtId="5" fontId="29" fillId="0" borderId="3" xfId="4" applyNumberFormat="1" applyFont="1" applyBorder="1" applyAlignment="1">
      <alignment horizontal="center" vertical="center"/>
    </xf>
    <xf numFmtId="0" fontId="29" fillId="0" borderId="25" xfId="0" applyFont="1" applyBorder="1" applyAlignment="1">
      <alignment vertical="center" shrinkToFit="1"/>
    </xf>
    <xf numFmtId="0" fontId="29" fillId="0" borderId="27" xfId="0" applyFont="1" applyBorder="1" applyAlignment="1">
      <alignment vertical="center" shrinkToFit="1"/>
    </xf>
    <xf numFmtId="0" fontId="29" fillId="3" borderId="25" xfId="4" applyFont="1" applyFill="1" applyBorder="1" applyAlignment="1">
      <alignment horizontal="center" vertical="center"/>
    </xf>
    <xf numFmtId="0" fontId="29" fillId="3" borderId="27" xfId="4" applyFont="1" applyFill="1" applyBorder="1" applyAlignment="1">
      <alignment horizontal="center" vertical="center"/>
    </xf>
    <xf numFmtId="0" fontId="29" fillId="3" borderId="26" xfId="4" applyFont="1" applyFill="1" applyBorder="1" applyAlignment="1">
      <alignment horizontal="center" vertical="center"/>
    </xf>
    <xf numFmtId="0" fontId="29" fillId="3" borderId="28" xfId="4" applyFont="1" applyFill="1" applyBorder="1" applyAlignment="1">
      <alignment horizontal="center" vertical="center"/>
    </xf>
    <xf numFmtId="0" fontId="29" fillId="3" borderId="0" xfId="4" applyFont="1" applyFill="1" applyAlignment="1">
      <alignment horizontal="center" vertical="center"/>
    </xf>
    <xf numFmtId="0" fontId="29" fillId="3" borderId="29" xfId="4" applyFont="1" applyFill="1" applyBorder="1" applyAlignment="1">
      <alignment horizontal="center" vertical="center"/>
    </xf>
    <xf numFmtId="0" fontId="29" fillId="3" borderId="30" xfId="4" applyFont="1" applyFill="1" applyBorder="1" applyAlignment="1">
      <alignment horizontal="center" vertical="center"/>
    </xf>
    <xf numFmtId="0" fontId="29" fillId="3" borderId="24" xfId="4" applyFont="1" applyFill="1" applyBorder="1" applyAlignment="1">
      <alignment horizontal="center" vertical="center"/>
    </xf>
    <xf numFmtId="0" fontId="29" fillId="3" borderId="31" xfId="4" applyFont="1" applyFill="1" applyBorder="1" applyAlignment="1">
      <alignment horizontal="center" vertical="center"/>
    </xf>
    <xf numFmtId="0" fontId="29" fillId="0" borderId="52" xfId="4" applyFont="1" applyBorder="1" applyAlignment="1">
      <alignment horizontal="center" vertical="center"/>
    </xf>
    <xf numFmtId="0" fontId="29" fillId="0" borderId="53" xfId="4" applyFont="1" applyBorder="1" applyAlignment="1">
      <alignment horizontal="center" vertical="center"/>
    </xf>
    <xf numFmtId="183" fontId="29" fillId="0" borderId="52" xfId="4" applyNumberFormat="1" applyFont="1" applyBorder="1" applyAlignment="1">
      <alignment horizontal="right" vertical="center"/>
    </xf>
    <xf numFmtId="183" fontId="29" fillId="0" borderId="54" xfId="4" applyNumberFormat="1" applyFont="1" applyBorder="1" applyAlignment="1">
      <alignment horizontal="right" vertical="center"/>
    </xf>
    <xf numFmtId="5" fontId="29" fillId="0" borderId="54" xfId="4" applyNumberFormat="1" applyFont="1" applyBorder="1" applyAlignment="1">
      <alignment horizontal="center" vertical="center"/>
    </xf>
    <xf numFmtId="5" fontId="29" fillId="0" borderId="53" xfId="4" applyNumberFormat="1" applyFont="1" applyBorder="1" applyAlignment="1">
      <alignment horizontal="center" vertical="center"/>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0" xfId="1" applyFont="1" applyFill="1" applyBorder="1" applyAlignment="1">
      <alignment horizontal="center" vertical="center" wrapText="1"/>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0" xfId="1" applyFont="1" applyFill="1" applyBorder="1" applyAlignment="1">
      <alignment horizontal="center" vertical="center" wrapText="1"/>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7">
    <cellStyle name="桁区切り 2" xfId="2" xr:uid="{00000000-0005-0000-0000-000000000000}"/>
    <cellStyle name="通貨" xfId="6" builtinId="7"/>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30</xdr:col>
      <xdr:colOff>0</xdr:colOff>
      <xdr:row>114</xdr:row>
      <xdr:rowOff>28575</xdr:rowOff>
    </xdr:from>
    <xdr:to>
      <xdr:col>31</xdr:col>
      <xdr:colOff>169500</xdr:colOff>
      <xdr:row>114</xdr:row>
      <xdr:rowOff>172575</xdr:rowOff>
    </xdr:to>
    <xdr:sp macro="" textlink="">
      <xdr:nvSpPr>
        <xdr:cNvPr id="12" name="ホームベース 120">
          <a:extLst>
            <a:ext uri="{FF2B5EF4-FFF2-40B4-BE49-F238E27FC236}">
              <a16:creationId xmlns:a16="http://schemas.microsoft.com/office/drawing/2014/main" id="{A188260D-346A-4A61-AA37-231C67BA2330}"/>
            </a:ext>
          </a:extLst>
        </xdr:cNvPr>
        <xdr:cNvSpPr/>
      </xdr:nvSpPr>
      <xdr:spPr bwMode="auto">
        <a:xfrm>
          <a:off x="6000750" y="28028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106</xdr:row>
      <xdr:rowOff>0</xdr:rowOff>
    </xdr:from>
    <xdr:to>
      <xdr:col>10</xdr:col>
      <xdr:colOff>0</xdr:colOff>
      <xdr:row>108</xdr:row>
      <xdr:rowOff>0</xdr:rowOff>
    </xdr:to>
    <xdr:sp macro="" textlink="">
      <xdr:nvSpPr>
        <xdr:cNvPr id="3" name="ホームベース 35">
          <a:extLst>
            <a:ext uri="{FF2B5EF4-FFF2-40B4-BE49-F238E27FC236}">
              <a16:creationId xmlns:a16="http://schemas.microsoft.com/office/drawing/2014/main" id="{BFF167E3-5B3C-4D23-B7F9-64E163D30F32}"/>
            </a:ext>
          </a:extLst>
        </xdr:cNvPr>
        <xdr:cNvSpPr/>
      </xdr:nvSpPr>
      <xdr:spPr bwMode="auto">
        <a:xfrm>
          <a:off x="1600201" y="25717500"/>
          <a:ext cx="400049"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114</xdr:row>
      <xdr:rowOff>30480</xdr:rowOff>
    </xdr:from>
    <xdr:to>
      <xdr:col>25</xdr:col>
      <xdr:colOff>169500</xdr:colOff>
      <xdr:row>114</xdr:row>
      <xdr:rowOff>174480</xdr:rowOff>
    </xdr:to>
    <xdr:sp macro="" textlink="">
      <xdr:nvSpPr>
        <xdr:cNvPr id="11" name="ホームベース 13">
          <a:extLst>
            <a:ext uri="{FF2B5EF4-FFF2-40B4-BE49-F238E27FC236}">
              <a16:creationId xmlns:a16="http://schemas.microsoft.com/office/drawing/2014/main" id="{E7703D5E-7CE3-4E83-9377-3E63E83CC202}"/>
            </a:ext>
          </a:extLst>
        </xdr:cNvPr>
        <xdr:cNvSpPr/>
      </xdr:nvSpPr>
      <xdr:spPr bwMode="auto">
        <a:xfrm>
          <a:off x="4800600" y="28030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108</xdr:row>
      <xdr:rowOff>0</xdr:rowOff>
    </xdr:from>
    <xdr:to>
      <xdr:col>17</xdr:col>
      <xdr:colOff>1</xdr:colOff>
      <xdr:row>110</xdr:row>
      <xdr:rowOff>0</xdr:rowOff>
    </xdr:to>
    <xdr:sp macro="" textlink="">
      <xdr:nvSpPr>
        <xdr:cNvPr id="5" name="ホームベース 35">
          <a:extLst>
            <a:ext uri="{FF2B5EF4-FFF2-40B4-BE49-F238E27FC236}">
              <a16:creationId xmlns:a16="http://schemas.microsoft.com/office/drawing/2014/main" id="{8C0376D2-FE51-4187-8CF6-82F2B81F65CB}"/>
            </a:ext>
          </a:extLst>
        </xdr:cNvPr>
        <xdr:cNvSpPr/>
      </xdr:nvSpPr>
      <xdr:spPr bwMode="auto">
        <a:xfrm>
          <a:off x="2000252" y="26098500"/>
          <a:ext cx="140017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17</xdr:col>
      <xdr:colOff>0</xdr:colOff>
      <xdr:row>110</xdr:row>
      <xdr:rowOff>0</xdr:rowOff>
    </xdr:from>
    <xdr:to>
      <xdr:col>21</xdr:col>
      <xdr:colOff>107150</xdr:colOff>
      <xdr:row>112</xdr:row>
      <xdr:rowOff>0</xdr:rowOff>
    </xdr:to>
    <xdr:sp macro="" textlink="">
      <xdr:nvSpPr>
        <xdr:cNvPr id="6" name="ホームベース 35">
          <a:extLst>
            <a:ext uri="{FF2B5EF4-FFF2-40B4-BE49-F238E27FC236}">
              <a16:creationId xmlns:a16="http://schemas.microsoft.com/office/drawing/2014/main" id="{C2882CCB-94B2-4CD9-BB87-632E856EBC84}"/>
            </a:ext>
          </a:extLst>
        </xdr:cNvPr>
        <xdr:cNvSpPr/>
      </xdr:nvSpPr>
      <xdr:spPr bwMode="auto">
        <a:xfrm>
          <a:off x="3400425" y="26479500"/>
          <a:ext cx="90407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168520</xdr:colOff>
      <xdr:row>112</xdr:row>
      <xdr:rowOff>0</xdr:rowOff>
    </xdr:from>
    <xdr:to>
      <xdr:col>30</xdr:col>
      <xdr:colOff>0</xdr:colOff>
      <xdr:row>114</xdr:row>
      <xdr:rowOff>0</xdr:rowOff>
    </xdr:to>
    <xdr:sp macro="" textlink="">
      <xdr:nvSpPr>
        <xdr:cNvPr id="13" name="ホームベース 35">
          <a:extLst>
            <a:ext uri="{FF2B5EF4-FFF2-40B4-BE49-F238E27FC236}">
              <a16:creationId xmlns:a16="http://schemas.microsoft.com/office/drawing/2014/main" id="{8989DE65-EFA0-4A81-B930-DB43E80EB63C}"/>
            </a:ext>
          </a:extLst>
        </xdr:cNvPr>
        <xdr:cNvSpPr/>
      </xdr:nvSpPr>
      <xdr:spPr bwMode="auto">
        <a:xfrm>
          <a:off x="4322885" y="20574000"/>
          <a:ext cx="161192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81</xdr:row>
      <xdr:rowOff>28575</xdr:rowOff>
    </xdr:from>
    <xdr:to>
      <xdr:col>31</xdr:col>
      <xdr:colOff>169500</xdr:colOff>
      <xdr:row>81</xdr:row>
      <xdr:rowOff>172575</xdr:rowOff>
    </xdr:to>
    <xdr:sp macro="" textlink="">
      <xdr:nvSpPr>
        <xdr:cNvPr id="2" name="ホームベース 120">
          <a:extLst>
            <a:ext uri="{FF2B5EF4-FFF2-40B4-BE49-F238E27FC236}">
              <a16:creationId xmlns:a16="http://schemas.microsoft.com/office/drawing/2014/main" id="{90EF4B56-5073-4EB8-952D-CF684397F75A}"/>
            </a:ext>
          </a:extLst>
        </xdr:cNvPr>
        <xdr:cNvSpPr/>
      </xdr:nvSpPr>
      <xdr:spPr bwMode="auto">
        <a:xfrm>
          <a:off x="6000750" y="23075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69</xdr:row>
      <xdr:rowOff>0</xdr:rowOff>
    </xdr:from>
    <xdr:to>
      <xdr:col>10</xdr:col>
      <xdr:colOff>0</xdr:colOff>
      <xdr:row>71</xdr:row>
      <xdr:rowOff>0</xdr:rowOff>
    </xdr:to>
    <xdr:sp macro="" textlink="">
      <xdr:nvSpPr>
        <xdr:cNvPr id="14" name="ホームベース 35">
          <a:extLst>
            <a:ext uri="{FF2B5EF4-FFF2-40B4-BE49-F238E27FC236}">
              <a16:creationId xmlns:a16="http://schemas.microsoft.com/office/drawing/2014/main" id="{D155F027-1F67-442C-B058-BF9921CBA570}"/>
            </a:ext>
          </a:extLst>
        </xdr:cNvPr>
        <xdr:cNvSpPr/>
      </xdr:nvSpPr>
      <xdr:spPr bwMode="auto">
        <a:xfrm>
          <a:off x="1600201" y="20764500"/>
          <a:ext cx="400049" cy="381000"/>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24</xdr:col>
      <xdr:colOff>0</xdr:colOff>
      <xdr:row>81</xdr:row>
      <xdr:rowOff>30480</xdr:rowOff>
    </xdr:from>
    <xdr:to>
      <xdr:col>25</xdr:col>
      <xdr:colOff>169500</xdr:colOff>
      <xdr:row>81</xdr:row>
      <xdr:rowOff>174480</xdr:rowOff>
    </xdr:to>
    <xdr:sp macro="" textlink="">
      <xdr:nvSpPr>
        <xdr:cNvPr id="4" name="ホームベース 13">
          <a:extLst>
            <a:ext uri="{FF2B5EF4-FFF2-40B4-BE49-F238E27FC236}">
              <a16:creationId xmlns:a16="http://schemas.microsoft.com/office/drawing/2014/main" id="{2EEA360F-8B5D-46E6-A0DC-B4B80A17E999}"/>
            </a:ext>
          </a:extLst>
        </xdr:cNvPr>
        <xdr:cNvSpPr/>
      </xdr:nvSpPr>
      <xdr:spPr bwMode="auto">
        <a:xfrm>
          <a:off x="4800600" y="23077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71</xdr:row>
      <xdr:rowOff>0</xdr:rowOff>
    </xdr:from>
    <xdr:to>
      <xdr:col>17</xdr:col>
      <xdr:colOff>1</xdr:colOff>
      <xdr:row>73</xdr:row>
      <xdr:rowOff>0</xdr:rowOff>
    </xdr:to>
    <xdr:sp macro="" textlink="">
      <xdr:nvSpPr>
        <xdr:cNvPr id="13" name="ホームベース 35">
          <a:extLst>
            <a:ext uri="{FF2B5EF4-FFF2-40B4-BE49-F238E27FC236}">
              <a16:creationId xmlns:a16="http://schemas.microsoft.com/office/drawing/2014/main" id="{F6148D94-6D2A-4E51-8004-99EAA1D1504E}"/>
            </a:ext>
          </a:extLst>
        </xdr:cNvPr>
        <xdr:cNvSpPr/>
      </xdr:nvSpPr>
      <xdr:spPr bwMode="auto">
        <a:xfrm>
          <a:off x="2000252" y="21145500"/>
          <a:ext cx="1400174" cy="381000"/>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17</xdr:col>
      <xdr:colOff>0</xdr:colOff>
      <xdr:row>73</xdr:row>
      <xdr:rowOff>0</xdr:rowOff>
    </xdr:from>
    <xdr:to>
      <xdr:col>21</xdr:col>
      <xdr:colOff>107150</xdr:colOff>
      <xdr:row>75</xdr:row>
      <xdr:rowOff>0</xdr:rowOff>
    </xdr:to>
    <xdr:sp macro="" textlink="">
      <xdr:nvSpPr>
        <xdr:cNvPr id="12" name="ホームベース 35">
          <a:extLst>
            <a:ext uri="{FF2B5EF4-FFF2-40B4-BE49-F238E27FC236}">
              <a16:creationId xmlns:a16="http://schemas.microsoft.com/office/drawing/2014/main" id="{63B50CA9-4A2F-4223-BCAA-9D8777CFA7C6}"/>
            </a:ext>
          </a:extLst>
        </xdr:cNvPr>
        <xdr:cNvSpPr/>
      </xdr:nvSpPr>
      <xdr:spPr bwMode="auto">
        <a:xfrm>
          <a:off x="3400425" y="21526500"/>
          <a:ext cx="904075" cy="381000"/>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101607</xdr:colOff>
      <xdr:row>75</xdr:row>
      <xdr:rowOff>0</xdr:rowOff>
    </xdr:from>
    <xdr:to>
      <xdr:col>24</xdr:col>
      <xdr:colOff>0</xdr:colOff>
      <xdr:row>77</xdr:row>
      <xdr:rowOff>0</xdr:rowOff>
    </xdr:to>
    <xdr:sp macro="" textlink="">
      <xdr:nvSpPr>
        <xdr:cNvPr id="16" name="ホームベース 35">
          <a:extLst>
            <a:ext uri="{FF2B5EF4-FFF2-40B4-BE49-F238E27FC236}">
              <a16:creationId xmlns:a16="http://schemas.microsoft.com/office/drawing/2014/main" id="{B683A7A3-955D-404C-A1A7-437E0F0F43CD}"/>
            </a:ext>
          </a:extLst>
        </xdr:cNvPr>
        <xdr:cNvSpPr/>
      </xdr:nvSpPr>
      <xdr:spPr bwMode="auto">
        <a:xfrm>
          <a:off x="4305307" y="21907500"/>
          <a:ext cx="495293" cy="381000"/>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24</xdr:col>
      <xdr:colOff>0</xdr:colOff>
      <xdr:row>77</xdr:row>
      <xdr:rowOff>0</xdr:rowOff>
    </xdr:from>
    <xdr:to>
      <xdr:col>28</xdr:col>
      <xdr:colOff>0</xdr:colOff>
      <xdr:row>78</xdr:row>
      <xdr:rowOff>0</xdr:rowOff>
    </xdr:to>
    <xdr:sp macro="" textlink="">
      <xdr:nvSpPr>
        <xdr:cNvPr id="8" name="ホームベース 35">
          <a:extLst>
            <a:ext uri="{FF2B5EF4-FFF2-40B4-BE49-F238E27FC236}">
              <a16:creationId xmlns:a16="http://schemas.microsoft.com/office/drawing/2014/main" id="{FA507017-6A6C-4724-ACAA-18DB75514982}"/>
            </a:ext>
          </a:extLst>
        </xdr:cNvPr>
        <xdr:cNvSpPr/>
      </xdr:nvSpPr>
      <xdr:spPr bwMode="auto">
        <a:xfrm>
          <a:off x="4800600" y="22288500"/>
          <a:ext cx="800100"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24</xdr:col>
      <xdr:colOff>0</xdr:colOff>
      <xdr:row>78</xdr:row>
      <xdr:rowOff>2</xdr:rowOff>
    </xdr:from>
    <xdr:to>
      <xdr:col>28</xdr:col>
      <xdr:colOff>0</xdr:colOff>
      <xdr:row>79</xdr:row>
      <xdr:rowOff>0</xdr:rowOff>
    </xdr:to>
    <xdr:sp macro="" textlink="">
      <xdr:nvSpPr>
        <xdr:cNvPr id="9" name="ホームベース 35">
          <a:extLst>
            <a:ext uri="{FF2B5EF4-FFF2-40B4-BE49-F238E27FC236}">
              <a16:creationId xmlns:a16="http://schemas.microsoft.com/office/drawing/2014/main" id="{B4809A5E-F055-460B-9497-D3A6B5EEF1FF}"/>
            </a:ext>
          </a:extLst>
        </xdr:cNvPr>
        <xdr:cNvSpPr/>
      </xdr:nvSpPr>
      <xdr:spPr bwMode="auto">
        <a:xfrm>
          <a:off x="4800600" y="22479002"/>
          <a:ext cx="800100" cy="190498"/>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79</xdr:row>
      <xdr:rowOff>0</xdr:rowOff>
    </xdr:from>
    <xdr:to>
      <xdr:col>30</xdr:col>
      <xdr:colOff>0</xdr:colOff>
      <xdr:row>81</xdr:row>
      <xdr:rowOff>0</xdr:rowOff>
    </xdr:to>
    <xdr:sp macro="" textlink="">
      <xdr:nvSpPr>
        <xdr:cNvPr id="10" name="ホームベース 35">
          <a:extLst>
            <a:ext uri="{FF2B5EF4-FFF2-40B4-BE49-F238E27FC236}">
              <a16:creationId xmlns:a16="http://schemas.microsoft.com/office/drawing/2014/main" id="{B32EE089-3BB4-4F2B-809D-616698733FFE}"/>
            </a:ext>
          </a:extLst>
        </xdr:cNvPr>
        <xdr:cNvSpPr/>
      </xdr:nvSpPr>
      <xdr:spPr bwMode="auto">
        <a:xfrm>
          <a:off x="5788269" y="15430500"/>
          <a:ext cx="39565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78</xdr:row>
      <xdr:rowOff>2</xdr:rowOff>
    </xdr:from>
    <xdr:to>
      <xdr:col>28</xdr:col>
      <xdr:colOff>0</xdr:colOff>
      <xdr:row>79</xdr:row>
      <xdr:rowOff>1</xdr:rowOff>
    </xdr:to>
    <xdr:sp macro="" textlink="">
      <xdr:nvSpPr>
        <xdr:cNvPr id="15" name="ホームベース 35">
          <a:extLst>
            <a:ext uri="{FF2B5EF4-FFF2-40B4-BE49-F238E27FC236}">
              <a16:creationId xmlns:a16="http://schemas.microsoft.com/office/drawing/2014/main" id="{5A634F66-AE9C-4F5F-95A8-4ED647ED2683}"/>
            </a:ext>
          </a:extLst>
        </xdr:cNvPr>
        <xdr:cNvSpPr/>
      </xdr:nvSpPr>
      <xdr:spPr bwMode="auto">
        <a:xfrm>
          <a:off x="4800600" y="22479002"/>
          <a:ext cx="800100" cy="190499"/>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77B2-29E8-4905-8279-E746AC066A81}">
  <dimension ref="A1:AQ157"/>
  <sheetViews>
    <sheetView showGridLines="0" topLeftCell="A31" zoomScale="130" zoomScaleNormal="130" zoomScaleSheetLayoutView="115" workbookViewId="0">
      <selection activeCell="O54" sqref="O54"/>
    </sheetView>
  </sheetViews>
  <sheetFormatPr defaultColWidth="2.58203125" defaultRowHeight="15" customHeight="1"/>
  <cols>
    <col min="1" max="1" width="2.58203125" style="30"/>
    <col min="2" max="2" width="2.58203125" style="27" customWidth="1"/>
    <col min="3" max="30" width="2.58203125" style="27"/>
    <col min="31" max="31" width="6.75" style="27" bestFit="1" customWidth="1"/>
    <col min="32" max="16384" width="2.58203125" style="27"/>
  </cols>
  <sheetData>
    <row r="1" spans="1:36" s="25" customFormat="1" ht="15" customHeight="1">
      <c r="A1" s="233" t="s">
        <v>0</v>
      </c>
      <c r="B1" s="233"/>
      <c r="C1" s="233"/>
      <c r="D1" s="233"/>
      <c r="E1" s="233"/>
      <c r="F1" s="233"/>
      <c r="G1" s="233"/>
      <c r="H1" s="233"/>
      <c r="I1" s="233"/>
      <c r="J1" s="233"/>
      <c r="K1" s="233"/>
      <c r="L1" s="233"/>
      <c r="M1" s="233"/>
      <c r="N1" s="233"/>
      <c r="O1" s="233"/>
      <c r="P1" s="233"/>
      <c r="Q1" s="233"/>
      <c r="X1" s="26" t="s">
        <v>1</v>
      </c>
      <c r="Z1" s="26"/>
      <c r="AA1" s="26"/>
      <c r="AB1" s="26"/>
      <c r="AC1" s="26"/>
      <c r="AD1" s="26"/>
      <c r="AE1" s="26"/>
      <c r="AF1" s="234" t="s">
        <v>2</v>
      </c>
      <c r="AG1" s="235"/>
      <c r="AH1" s="235"/>
      <c r="AI1" s="235"/>
      <c r="AJ1" s="235"/>
    </row>
    <row r="2" spans="1:36" s="25" customFormat="1" ht="15" customHeight="1">
      <c r="A2" s="233"/>
      <c r="B2" s="233"/>
      <c r="C2" s="233"/>
      <c r="D2" s="233"/>
      <c r="E2" s="233"/>
      <c r="F2" s="233"/>
      <c r="G2" s="233"/>
      <c r="H2" s="233"/>
      <c r="I2" s="233"/>
      <c r="J2" s="233"/>
      <c r="K2" s="233"/>
      <c r="L2" s="233"/>
      <c r="M2" s="233"/>
      <c r="N2" s="233"/>
      <c r="O2" s="233"/>
      <c r="P2" s="233"/>
      <c r="Q2" s="233"/>
      <c r="X2" s="28" t="s">
        <v>3</v>
      </c>
      <c r="Y2" s="60"/>
      <c r="Z2" s="28"/>
      <c r="AA2" s="28"/>
      <c r="AB2" s="28"/>
      <c r="AC2" s="28"/>
      <c r="AD2" s="28"/>
      <c r="AE2" s="28"/>
      <c r="AF2" s="236">
        <v>45971</v>
      </c>
      <c r="AG2" s="237"/>
      <c r="AH2" s="237"/>
      <c r="AI2" s="237"/>
      <c r="AJ2" s="237"/>
    </row>
    <row r="3" spans="1:36" s="25" customFormat="1" ht="15" customHeight="1">
      <c r="A3" s="29"/>
      <c r="Z3" s="27"/>
      <c r="AA3" s="27"/>
      <c r="AB3" s="27"/>
      <c r="AC3" s="27"/>
      <c r="AD3" s="27"/>
      <c r="AE3" s="27"/>
      <c r="AF3" s="27"/>
      <c r="AG3" s="27"/>
      <c r="AH3" s="27"/>
      <c r="AI3" s="27"/>
      <c r="AJ3" s="27"/>
    </row>
    <row r="4" spans="1:36" s="25" customFormat="1" ht="15" customHeight="1">
      <c r="A4" s="29"/>
      <c r="Z4" s="27"/>
      <c r="AA4" s="27"/>
      <c r="AB4" s="27"/>
      <c r="AC4" s="27"/>
      <c r="AD4" s="27"/>
      <c r="AE4" s="27"/>
      <c r="AF4" s="27"/>
      <c r="AG4" s="27"/>
      <c r="AH4" s="27"/>
      <c r="AI4" s="27"/>
      <c r="AJ4" s="27"/>
    </row>
    <row r="5" spans="1:36" s="25" customFormat="1" ht="15" customHeight="1">
      <c r="A5" s="238" t="s">
        <v>4</v>
      </c>
      <c r="B5" s="238"/>
      <c r="C5" s="238"/>
      <c r="D5" s="238"/>
      <c r="E5" s="238"/>
      <c r="F5" s="238"/>
      <c r="G5" s="238"/>
      <c r="H5" s="238"/>
      <c r="I5" s="238"/>
      <c r="J5" s="238"/>
      <c r="K5" s="238"/>
      <c r="L5" s="238"/>
      <c r="M5" s="238"/>
      <c r="N5" s="238"/>
      <c r="O5" s="238"/>
      <c r="P5" s="238"/>
      <c r="Q5" s="238"/>
      <c r="Z5" s="27"/>
      <c r="AA5" s="27"/>
      <c r="AB5" s="27"/>
      <c r="AC5" s="27"/>
      <c r="AD5" s="27"/>
      <c r="AE5" s="27"/>
      <c r="AF5" s="27"/>
      <c r="AG5" s="27"/>
      <c r="AH5" s="27"/>
      <c r="AI5" s="27"/>
      <c r="AJ5" s="27"/>
    </row>
    <row r="6" spans="1:36" s="25" customFormat="1" ht="15" customHeight="1">
      <c r="A6" s="239"/>
      <c r="B6" s="239"/>
      <c r="C6" s="239"/>
      <c r="D6" s="239"/>
      <c r="E6" s="239"/>
      <c r="F6" s="239"/>
      <c r="G6" s="239"/>
      <c r="H6" s="239"/>
      <c r="I6" s="239"/>
      <c r="J6" s="239"/>
      <c r="K6" s="239"/>
      <c r="L6" s="239"/>
      <c r="M6" s="239"/>
      <c r="N6" s="239"/>
      <c r="O6" s="239"/>
      <c r="P6" s="239"/>
      <c r="Q6" s="239"/>
      <c r="Z6" s="27"/>
      <c r="AA6" s="27"/>
      <c r="AB6" s="27"/>
      <c r="AC6" s="27"/>
      <c r="AD6" s="27"/>
      <c r="AE6" s="27"/>
      <c r="AF6" s="27"/>
      <c r="AG6" s="27"/>
      <c r="AH6" s="27"/>
      <c r="AI6" s="27"/>
      <c r="AJ6" s="27"/>
    </row>
    <row r="7" spans="1:36" s="25" customFormat="1" ht="15" customHeight="1">
      <c r="A7" s="29"/>
      <c r="AA7" s="27"/>
      <c r="AB7" s="27"/>
      <c r="AC7" s="27"/>
      <c r="AD7" s="27"/>
      <c r="AE7" s="27"/>
      <c r="AF7" s="27"/>
      <c r="AG7" s="27"/>
      <c r="AH7" s="27"/>
      <c r="AI7" s="27"/>
      <c r="AJ7" s="27"/>
    </row>
    <row r="8" spans="1:36" s="25" customFormat="1" ht="15" customHeight="1">
      <c r="A8" s="29"/>
      <c r="X8" s="27" t="s">
        <v>5</v>
      </c>
      <c r="AA8" s="27"/>
      <c r="AB8" s="27"/>
      <c r="AC8" s="27"/>
      <c r="AD8" s="27"/>
      <c r="AE8" s="27"/>
      <c r="AF8" s="27"/>
      <c r="AG8" s="27"/>
      <c r="AH8" s="27"/>
      <c r="AI8" s="27"/>
      <c r="AJ8" s="27"/>
    </row>
    <row r="9" spans="1:36" s="25" customFormat="1" ht="15" customHeight="1">
      <c r="A9" s="29"/>
      <c r="X9" s="27" t="s">
        <v>6</v>
      </c>
      <c r="AA9" s="27"/>
      <c r="AB9" s="27"/>
      <c r="AC9" s="27"/>
      <c r="AD9" s="27"/>
      <c r="AE9" s="27"/>
      <c r="AF9" s="27"/>
      <c r="AG9" s="27"/>
      <c r="AH9" s="27"/>
      <c r="AI9" s="27"/>
      <c r="AJ9" s="27"/>
    </row>
    <row r="10" spans="1:36" s="25" customFormat="1" ht="15" customHeight="1">
      <c r="A10" s="29"/>
      <c r="X10" s="27" t="s">
        <v>7</v>
      </c>
      <c r="AA10" s="27"/>
      <c r="AB10" s="27"/>
      <c r="AC10" s="27"/>
      <c r="AD10" s="27"/>
      <c r="AE10" s="27"/>
      <c r="AF10" s="27"/>
      <c r="AG10" s="27"/>
      <c r="AH10" s="27"/>
      <c r="AI10" s="27"/>
      <c r="AJ10" s="27"/>
    </row>
    <row r="11" spans="1:36" s="25" customFormat="1" ht="15" customHeight="1">
      <c r="A11" s="240" t="s">
        <v>8</v>
      </c>
      <c r="B11" s="240"/>
      <c r="C11" s="240"/>
      <c r="D11" s="240"/>
      <c r="E11" s="240"/>
      <c r="F11" s="242">
        <f>AE47</f>
        <v>684000</v>
      </c>
      <c r="G11" s="242"/>
      <c r="H11" s="242"/>
      <c r="I11" s="242"/>
      <c r="J11" s="242"/>
      <c r="K11" s="242"/>
      <c r="L11" s="242"/>
      <c r="M11" s="242"/>
      <c r="N11" s="242"/>
      <c r="O11" s="242"/>
      <c r="P11" s="242"/>
      <c r="Q11" s="242"/>
      <c r="X11" s="27" t="s">
        <v>9</v>
      </c>
      <c r="AA11" s="27"/>
      <c r="AB11" s="27"/>
      <c r="AC11" s="27"/>
      <c r="AD11" s="27"/>
      <c r="AE11" s="27"/>
      <c r="AF11" s="27"/>
      <c r="AG11" s="27"/>
      <c r="AH11" s="27"/>
      <c r="AI11" s="27"/>
      <c r="AJ11" s="27"/>
    </row>
    <row r="12" spans="1:36" s="25" customFormat="1" ht="15" customHeight="1">
      <c r="A12" s="241"/>
      <c r="B12" s="241"/>
      <c r="C12" s="241"/>
      <c r="D12" s="241"/>
      <c r="E12" s="241"/>
      <c r="F12" s="243"/>
      <c r="G12" s="243"/>
      <c r="H12" s="243"/>
      <c r="I12" s="243"/>
      <c r="J12" s="243"/>
      <c r="K12" s="243"/>
      <c r="L12" s="243"/>
      <c r="M12" s="243"/>
      <c r="N12" s="243"/>
      <c r="O12" s="243"/>
      <c r="P12" s="243"/>
      <c r="Q12" s="243"/>
      <c r="X12" s="27" t="s">
        <v>10</v>
      </c>
      <c r="AA12" s="27"/>
      <c r="AB12" s="27"/>
      <c r="AC12" s="27"/>
      <c r="AD12" s="27"/>
      <c r="AE12" s="27"/>
      <c r="AF12" s="27"/>
      <c r="AG12" s="27"/>
      <c r="AH12" s="27"/>
      <c r="AI12" s="27"/>
      <c r="AJ12" s="27"/>
    </row>
    <row r="13" spans="1:36" s="25" customFormat="1" ht="15" customHeight="1">
      <c r="A13" s="29"/>
    </row>
    <row r="14" spans="1:36" s="25" customFormat="1" ht="15" customHeight="1">
      <c r="A14" s="29"/>
    </row>
    <row r="15" spans="1:36" s="25" customFormat="1" ht="15" customHeight="1">
      <c r="A15" s="29"/>
    </row>
    <row r="16" spans="1:36" ht="15" customHeight="1">
      <c r="A16" s="30" t="s">
        <v>11</v>
      </c>
    </row>
    <row r="17" spans="1:16" ht="15" customHeight="1">
      <c r="B17" s="27" t="s">
        <v>305</v>
      </c>
    </row>
    <row r="18" spans="1:16" ht="15" customHeight="1">
      <c r="B18" s="27" t="s">
        <v>217</v>
      </c>
    </row>
    <row r="19" spans="1:16" ht="15" customHeight="1">
      <c r="B19" s="27" t="s">
        <v>281</v>
      </c>
    </row>
    <row r="20" spans="1:16" ht="15" customHeight="1">
      <c r="A20" s="27"/>
    </row>
    <row r="21" spans="1:16" ht="15" customHeight="1">
      <c r="A21" s="30" t="s">
        <v>12</v>
      </c>
      <c r="P21" s="30"/>
    </row>
    <row r="22" spans="1:16" ht="15" customHeight="1">
      <c r="A22" s="27"/>
    </row>
    <row r="23" spans="1:16" ht="15" customHeight="1">
      <c r="A23" s="27"/>
      <c r="B23" s="27" t="s">
        <v>13</v>
      </c>
    </row>
    <row r="24" spans="1:16" ht="15" customHeight="1">
      <c r="A24" s="27"/>
    </row>
    <row r="25" spans="1:16" ht="15" customHeight="1">
      <c r="A25" s="27"/>
    </row>
    <row r="26" spans="1:16" ht="15" customHeight="1">
      <c r="A26" s="30" t="s">
        <v>14</v>
      </c>
    </row>
    <row r="27" spans="1:16" ht="15" customHeight="1">
      <c r="A27" s="27"/>
    </row>
    <row r="28" spans="1:16" ht="15" customHeight="1">
      <c r="A28" s="27"/>
      <c r="B28" s="27" t="s">
        <v>15</v>
      </c>
    </row>
    <row r="29" spans="1:16" ht="15" customHeight="1">
      <c r="A29" s="27"/>
    </row>
    <row r="30" spans="1:16" ht="15" customHeight="1">
      <c r="A30" s="27"/>
    </row>
    <row r="31" spans="1:16" ht="15" customHeight="1">
      <c r="A31" s="30" t="s">
        <v>16</v>
      </c>
    </row>
    <row r="33" spans="1:43" ht="15" customHeight="1">
      <c r="A33" s="27"/>
      <c r="B33" s="27" t="s">
        <v>310</v>
      </c>
    </row>
    <row r="34" spans="1:43" ht="15" customHeight="1">
      <c r="A34" s="27"/>
    </row>
    <row r="35" spans="1:43" ht="15" customHeight="1">
      <c r="A35" s="30" t="s">
        <v>311</v>
      </c>
    </row>
    <row r="37" spans="1:43" ht="15" customHeight="1">
      <c r="A37" s="27"/>
      <c r="B37" s="27" t="s">
        <v>312</v>
      </c>
    </row>
    <row r="38" spans="1:43" ht="15" customHeight="1">
      <c r="A38" s="27"/>
    </row>
    <row r="39" spans="1:43" ht="15" customHeight="1">
      <c r="A39" s="27"/>
    </row>
    <row r="40" spans="1:43" ht="15" customHeight="1">
      <c r="A40" s="30" t="s">
        <v>17</v>
      </c>
    </row>
    <row r="41" spans="1:43" ht="15" customHeight="1">
      <c r="A41" s="27"/>
    </row>
    <row r="42" spans="1:43" ht="15" customHeight="1">
      <c r="A42" s="27"/>
      <c r="B42" s="31" t="s">
        <v>18</v>
      </c>
      <c r="C42" s="32"/>
      <c r="D42" s="31" t="s">
        <v>19</v>
      </c>
      <c r="E42" s="33"/>
      <c r="F42" s="33"/>
      <c r="G42" s="33"/>
      <c r="H42" s="33"/>
      <c r="I42" s="33"/>
      <c r="J42" s="33"/>
      <c r="K42" s="33"/>
      <c r="L42" s="33"/>
      <c r="M42" s="33"/>
      <c r="N42" s="33"/>
      <c r="O42" s="33"/>
      <c r="P42" s="33"/>
      <c r="Q42" s="33"/>
      <c r="R42" s="33"/>
      <c r="S42" s="33"/>
      <c r="T42" s="31"/>
      <c r="U42" s="33"/>
      <c r="V42" s="33"/>
      <c r="W42" s="33"/>
      <c r="X42" s="32"/>
      <c r="Y42" s="31" t="s">
        <v>20</v>
      </c>
      <c r="Z42" s="33"/>
      <c r="AA42" s="33"/>
      <c r="AB42" s="33"/>
      <c r="AC42" s="33"/>
      <c r="AD42" s="33"/>
      <c r="AE42" s="31" t="s">
        <v>21</v>
      </c>
      <c r="AF42" s="33"/>
      <c r="AG42" s="33"/>
      <c r="AH42" s="33"/>
      <c r="AI42" s="33"/>
      <c r="AJ42" s="32"/>
      <c r="AM42" s="31" t="s">
        <v>22</v>
      </c>
      <c r="AN42" s="33"/>
      <c r="AO42" s="33"/>
      <c r="AP42" s="33"/>
      <c r="AQ42" s="32"/>
    </row>
    <row r="43" spans="1:43" ht="15" customHeight="1">
      <c r="A43" s="27"/>
      <c r="B43" s="260">
        <v>1</v>
      </c>
      <c r="C43" s="261"/>
      <c r="D43" s="34" t="str">
        <f>'工数明細③12月～1月'!D4</f>
        <v>訂正区分4、5対応</v>
      </c>
      <c r="E43" s="35"/>
      <c r="F43" s="35"/>
      <c r="G43" s="35"/>
      <c r="H43" s="35"/>
      <c r="I43" s="35"/>
      <c r="J43" s="35"/>
      <c r="K43" s="35"/>
      <c r="L43" s="35"/>
      <c r="M43" s="35"/>
      <c r="N43" s="35"/>
      <c r="O43" s="35"/>
      <c r="P43" s="35"/>
      <c r="Q43" s="35"/>
      <c r="R43" s="35"/>
      <c r="S43" s="35"/>
      <c r="T43" s="61"/>
      <c r="U43" s="61"/>
      <c r="V43" s="61"/>
      <c r="W43" s="61"/>
      <c r="X43" s="62"/>
      <c r="Y43" s="246">
        <f>'工数明細③12月～1月'!AC4</f>
        <v>0.18000000000000002</v>
      </c>
      <c r="Z43" s="247"/>
      <c r="AA43" s="247"/>
      <c r="AB43" s="247"/>
      <c r="AC43" s="248" t="s">
        <v>23</v>
      </c>
      <c r="AD43" s="249"/>
      <c r="AE43" s="250">
        <f>AM43*Y43</f>
        <v>180000.00000000003</v>
      </c>
      <c r="AF43" s="251"/>
      <c r="AG43" s="251"/>
      <c r="AH43" s="251"/>
      <c r="AI43" s="251"/>
      <c r="AJ43" s="252"/>
      <c r="AM43" s="250">
        <v>1000000</v>
      </c>
      <c r="AN43" s="251"/>
      <c r="AO43" s="251"/>
      <c r="AP43" s="251"/>
      <c r="AQ43" s="252"/>
    </row>
    <row r="44" spans="1:43" ht="15" customHeight="1">
      <c r="A44" s="27"/>
      <c r="B44" s="244">
        <v>2</v>
      </c>
      <c r="C44" s="245"/>
      <c r="D44" s="151" t="str">
        <f>'工数明細③12月～1月'!D5</f>
        <v>表示除外機能実装</v>
      </c>
      <c r="E44" s="48"/>
      <c r="F44" s="48"/>
      <c r="G44" s="48"/>
      <c r="H44" s="48"/>
      <c r="I44" s="48"/>
      <c r="J44" s="48"/>
      <c r="K44" s="48"/>
      <c r="L44" s="48"/>
      <c r="M44" s="48"/>
      <c r="N44" s="48"/>
      <c r="O44" s="48"/>
      <c r="P44" s="48"/>
      <c r="Q44" s="48"/>
      <c r="R44" s="48"/>
      <c r="S44" s="48"/>
      <c r="T44" s="152"/>
      <c r="U44" s="152"/>
      <c r="V44" s="152"/>
      <c r="W44" s="152"/>
      <c r="X44" s="153"/>
      <c r="Y44" s="246">
        <f>'工数明細③12月～1月'!AC5</f>
        <v>0.2</v>
      </c>
      <c r="Z44" s="247"/>
      <c r="AA44" s="247"/>
      <c r="AB44" s="247"/>
      <c r="AC44" s="248" t="s">
        <v>23</v>
      </c>
      <c r="AD44" s="249"/>
      <c r="AE44" s="250">
        <f t="shared" ref="AE44:AE46" si="0">AM44*Y44</f>
        <v>200000</v>
      </c>
      <c r="AF44" s="251"/>
      <c r="AG44" s="251"/>
      <c r="AH44" s="251"/>
      <c r="AI44" s="251"/>
      <c r="AJ44" s="252"/>
      <c r="AM44" s="250">
        <v>1000000</v>
      </c>
      <c r="AN44" s="251"/>
      <c r="AO44" s="251"/>
      <c r="AP44" s="251"/>
      <c r="AQ44" s="252"/>
    </row>
    <row r="45" spans="1:43" ht="15" customHeight="1">
      <c r="A45" s="27"/>
      <c r="B45" s="244">
        <v>3</v>
      </c>
      <c r="C45" s="245"/>
      <c r="D45" s="34" t="str">
        <f>'工数明細③12月～1月'!D6</f>
        <v>レイアウト調整対応</v>
      </c>
      <c r="E45" s="35"/>
      <c r="F45" s="35"/>
      <c r="G45" s="35"/>
      <c r="H45" s="35"/>
      <c r="I45" s="35"/>
      <c r="J45" s="35"/>
      <c r="K45" s="35"/>
      <c r="L45" s="35"/>
      <c r="M45" s="35"/>
      <c r="N45" s="35"/>
      <c r="O45" s="35"/>
      <c r="P45" s="35"/>
      <c r="Q45" s="35"/>
      <c r="R45" s="35"/>
      <c r="S45" s="35"/>
      <c r="T45" s="61"/>
      <c r="U45" s="61"/>
      <c r="V45" s="61"/>
      <c r="W45" s="61"/>
      <c r="X45" s="62"/>
      <c r="Y45" s="246">
        <f>'工数明細③12月～1月'!AC6</f>
        <v>0.15</v>
      </c>
      <c r="Z45" s="247"/>
      <c r="AA45" s="247"/>
      <c r="AB45" s="247"/>
      <c r="AC45" s="248" t="s">
        <v>23</v>
      </c>
      <c r="AD45" s="249"/>
      <c r="AE45" s="250">
        <f t="shared" si="0"/>
        <v>150000</v>
      </c>
      <c r="AF45" s="251"/>
      <c r="AG45" s="251"/>
      <c r="AH45" s="251"/>
      <c r="AI45" s="251"/>
      <c r="AJ45" s="252"/>
      <c r="AM45" s="250">
        <v>1000000</v>
      </c>
      <c r="AN45" s="251"/>
      <c r="AO45" s="251"/>
      <c r="AP45" s="251"/>
      <c r="AQ45" s="252"/>
    </row>
    <row r="46" spans="1:43" ht="15" customHeight="1" thickBot="1">
      <c r="A46" s="27"/>
      <c r="B46" s="262">
        <v>4</v>
      </c>
      <c r="C46" s="263"/>
      <c r="D46" s="226" t="s">
        <v>25</v>
      </c>
      <c r="E46" s="227"/>
      <c r="F46" s="227"/>
      <c r="G46" s="227"/>
      <c r="H46" s="227"/>
      <c r="I46" s="227"/>
      <c r="J46" s="227"/>
      <c r="K46" s="227"/>
      <c r="L46" s="227"/>
      <c r="M46" s="227"/>
      <c r="N46" s="227"/>
      <c r="O46" s="227"/>
      <c r="P46" s="227"/>
      <c r="Q46" s="227"/>
      <c r="R46" s="227"/>
      <c r="S46" s="227"/>
      <c r="T46" s="228"/>
      <c r="U46" s="228"/>
      <c r="V46" s="228"/>
      <c r="W46" s="228"/>
      <c r="X46" s="229"/>
      <c r="Y46" s="264">
        <f>SUM('工数明細③12月～1月'!AE4:AE8)</f>
        <v>0.11</v>
      </c>
      <c r="Z46" s="265"/>
      <c r="AA46" s="265"/>
      <c r="AB46" s="265"/>
      <c r="AC46" s="266" t="s">
        <v>23</v>
      </c>
      <c r="AD46" s="267"/>
      <c r="AE46" s="268">
        <f t="shared" si="0"/>
        <v>154000</v>
      </c>
      <c r="AF46" s="269"/>
      <c r="AG46" s="269"/>
      <c r="AH46" s="269"/>
      <c r="AI46" s="269"/>
      <c r="AJ46" s="270"/>
      <c r="AM46" s="250">
        <v>1400000</v>
      </c>
      <c r="AN46" s="251"/>
      <c r="AO46" s="251"/>
      <c r="AP46" s="251"/>
      <c r="AQ46" s="252"/>
    </row>
    <row r="47" spans="1:43" ht="15" customHeight="1" thickTop="1">
      <c r="A47" s="27"/>
      <c r="B47" s="231"/>
      <c r="C47" s="232"/>
      <c r="D47" s="148" t="s">
        <v>26</v>
      </c>
      <c r="E47" s="55"/>
      <c r="F47" s="55"/>
      <c r="G47" s="55"/>
      <c r="H47" s="55"/>
      <c r="I47" s="55"/>
      <c r="J47" s="55"/>
      <c r="K47" s="55"/>
      <c r="L47" s="55"/>
      <c r="M47" s="55"/>
      <c r="N47" s="55"/>
      <c r="O47" s="55"/>
      <c r="P47" s="55"/>
      <c r="Q47" s="55"/>
      <c r="R47" s="55"/>
      <c r="S47" s="55"/>
      <c r="T47" s="149"/>
      <c r="U47" s="149"/>
      <c r="V47" s="149"/>
      <c r="W47" s="149"/>
      <c r="X47" s="150"/>
      <c r="Y47" s="253">
        <f>SUM(Y43:AB46)</f>
        <v>0.64</v>
      </c>
      <c r="Z47" s="254"/>
      <c r="AA47" s="254"/>
      <c r="AB47" s="254"/>
      <c r="AC47" s="255" t="s">
        <v>23</v>
      </c>
      <c r="AD47" s="256"/>
      <c r="AE47" s="257">
        <f>SUM(AE43:AJ46)</f>
        <v>684000</v>
      </c>
      <c r="AF47" s="258"/>
      <c r="AG47" s="258"/>
      <c r="AH47" s="258"/>
      <c r="AI47" s="258"/>
      <c r="AJ47" s="259"/>
      <c r="AM47" s="250" t="s">
        <v>27</v>
      </c>
      <c r="AN47" s="251"/>
      <c r="AO47" s="251"/>
      <c r="AP47" s="251"/>
      <c r="AQ47" s="252"/>
    </row>
    <row r="48" spans="1:43" ht="15" customHeight="1">
      <c r="A48" s="27"/>
      <c r="AE48" s="114"/>
      <c r="AF48" s="114"/>
      <c r="AG48" s="114"/>
      <c r="AH48" s="114"/>
      <c r="AI48" s="114"/>
      <c r="AJ48" s="114"/>
    </row>
    <row r="49" spans="1:36" ht="15" customHeight="1">
      <c r="A49" s="30" t="s">
        <v>28</v>
      </c>
      <c r="T49" s="46"/>
      <c r="AE49" s="114"/>
      <c r="AF49" s="114"/>
      <c r="AG49" s="114"/>
      <c r="AH49" s="114"/>
      <c r="AI49" s="114"/>
      <c r="AJ49" s="114"/>
    </row>
    <row r="50" spans="1:36" ht="15" customHeight="1">
      <c r="A50" s="27"/>
    </row>
    <row r="51" spans="1:36" ht="15" customHeight="1">
      <c r="A51" s="27"/>
      <c r="B51" s="36" t="s">
        <v>29</v>
      </c>
      <c r="C51" s="63" t="s">
        <v>30</v>
      </c>
      <c r="D51" s="63"/>
      <c r="E51" s="63"/>
      <c r="F51" s="63"/>
      <c r="G51" s="63"/>
      <c r="H51" s="63"/>
      <c r="I51" s="63"/>
      <c r="J51" s="63"/>
      <c r="K51" s="63"/>
      <c r="L51" s="63"/>
      <c r="M51" s="63"/>
      <c r="N51" s="63"/>
      <c r="O51" s="63"/>
      <c r="P51" s="63"/>
      <c r="Q51" s="63"/>
      <c r="R51" s="63"/>
      <c r="S51" s="63"/>
      <c r="T51" s="64" t="s">
        <v>29</v>
      </c>
      <c r="U51" s="63" t="s">
        <v>31</v>
      </c>
    </row>
    <row r="52" spans="1:36" ht="15" customHeight="1">
      <c r="A52" s="27"/>
      <c r="B52" s="36" t="s">
        <v>29</v>
      </c>
      <c r="C52" s="63" t="s">
        <v>32</v>
      </c>
      <c r="D52" s="63"/>
      <c r="E52" s="63"/>
      <c r="F52" s="63"/>
      <c r="G52" s="63"/>
      <c r="H52" s="63"/>
      <c r="I52" s="63"/>
      <c r="J52" s="63"/>
      <c r="K52" s="63"/>
      <c r="L52" s="63"/>
      <c r="M52" s="63"/>
      <c r="N52" s="63"/>
      <c r="O52" s="63"/>
      <c r="P52" s="63"/>
      <c r="Q52" s="63"/>
      <c r="R52" s="63"/>
      <c r="S52" s="63"/>
      <c r="T52" s="64"/>
      <c r="U52" s="63"/>
    </row>
    <row r="53" spans="1:36" ht="15" customHeight="1">
      <c r="A53" s="27"/>
      <c r="B53" s="36"/>
      <c r="C53" s="63"/>
      <c r="D53" s="63"/>
      <c r="E53" s="63"/>
      <c r="F53" s="63"/>
      <c r="G53" s="63"/>
      <c r="H53" s="63"/>
      <c r="I53" s="63"/>
      <c r="J53" s="63"/>
      <c r="K53" s="63"/>
      <c r="L53" s="63"/>
      <c r="M53" s="63"/>
      <c r="N53" s="63"/>
      <c r="O53" s="63"/>
      <c r="P53" s="63"/>
      <c r="Q53" s="63"/>
      <c r="R53" s="63"/>
      <c r="S53" s="63"/>
      <c r="T53" s="64"/>
      <c r="U53" s="63"/>
    </row>
    <row r="54" spans="1:36" ht="15" customHeight="1">
      <c r="A54" s="27"/>
      <c r="B54" s="37"/>
    </row>
    <row r="55" spans="1:36" ht="15" customHeight="1">
      <c r="A55" s="30" t="s">
        <v>34</v>
      </c>
    </row>
    <row r="56" spans="1:36" ht="15" customHeight="1">
      <c r="A56" s="27"/>
    </row>
    <row r="57" spans="1:36" ht="15" customHeight="1">
      <c r="A57" s="27"/>
      <c r="B57" s="38" t="s">
        <v>18</v>
      </c>
      <c r="C57" s="39"/>
      <c r="D57" s="38" t="s">
        <v>35</v>
      </c>
      <c r="E57" s="40"/>
      <c r="F57" s="40"/>
      <c r="G57" s="40"/>
      <c r="H57" s="40"/>
      <c r="I57" s="107" t="s">
        <v>34</v>
      </c>
      <c r="J57" s="105"/>
      <c r="K57" s="105"/>
      <c r="L57" s="105"/>
      <c r="M57" s="105"/>
      <c r="N57" s="105"/>
      <c r="O57" s="105"/>
      <c r="P57" s="105"/>
      <c r="Q57" s="105"/>
      <c r="R57" s="105"/>
      <c r="S57" s="105"/>
      <c r="T57" s="106"/>
      <c r="U57" s="107" t="s">
        <v>36</v>
      </c>
      <c r="V57" s="105"/>
      <c r="W57" s="105"/>
      <c r="X57" s="105"/>
      <c r="Y57" s="105"/>
      <c r="Z57" s="105"/>
      <c r="AA57" s="105"/>
      <c r="AB57" s="105"/>
      <c r="AC57" s="105"/>
      <c r="AD57" s="105"/>
      <c r="AE57" s="105"/>
      <c r="AF57" s="106"/>
    </row>
    <row r="58" spans="1:36" ht="15" customHeight="1">
      <c r="A58" s="27"/>
      <c r="B58" s="41">
        <v>1</v>
      </c>
      <c r="C58" s="42"/>
      <c r="D58" s="271" t="s">
        <v>37</v>
      </c>
      <c r="E58" s="272"/>
      <c r="F58" s="272"/>
      <c r="G58" s="272"/>
      <c r="H58" s="272"/>
      <c r="I58" s="47" t="s">
        <v>38</v>
      </c>
      <c r="J58" s="48" t="s">
        <v>39</v>
      </c>
      <c r="K58" s="48"/>
      <c r="L58" s="48"/>
      <c r="M58" s="48"/>
      <c r="N58" s="48"/>
      <c r="O58" s="48"/>
      <c r="P58" s="48"/>
      <c r="Q58" s="48"/>
      <c r="R58" s="48"/>
      <c r="S58" s="48"/>
      <c r="T58" s="49"/>
      <c r="U58" s="48" t="s">
        <v>38</v>
      </c>
      <c r="V58" s="48" t="s">
        <v>40</v>
      </c>
      <c r="W58" s="48"/>
      <c r="X58" s="48"/>
      <c r="Y58" s="48"/>
      <c r="Z58" s="48"/>
      <c r="AA58" s="48"/>
      <c r="AB58" s="48"/>
      <c r="AC58" s="48"/>
      <c r="AD58" s="48"/>
      <c r="AE58" s="48"/>
      <c r="AF58" s="49"/>
    </row>
    <row r="59" spans="1:36" ht="15" customHeight="1">
      <c r="A59" s="27"/>
      <c r="B59" s="102"/>
      <c r="C59" s="103"/>
      <c r="D59" s="104"/>
      <c r="E59" s="46"/>
      <c r="F59" s="46"/>
      <c r="G59" s="46"/>
      <c r="H59" s="46"/>
      <c r="I59" s="43" t="s">
        <v>38</v>
      </c>
      <c r="J59" s="278" t="s">
        <v>192</v>
      </c>
      <c r="K59" s="278"/>
      <c r="L59" s="278"/>
      <c r="M59" s="278"/>
      <c r="N59" s="278"/>
      <c r="O59" s="278"/>
      <c r="P59" s="278"/>
      <c r="Q59" s="278"/>
      <c r="R59" s="278"/>
      <c r="S59" s="278"/>
      <c r="T59" s="279"/>
      <c r="U59" s="27" t="s">
        <v>38</v>
      </c>
      <c r="V59" s="27" t="s">
        <v>41</v>
      </c>
      <c r="AF59" s="44"/>
    </row>
    <row r="60" spans="1:36" ht="15" customHeight="1">
      <c r="A60" s="27"/>
      <c r="B60" s="50"/>
      <c r="C60" s="51"/>
      <c r="D60" s="52"/>
      <c r="E60" s="53"/>
      <c r="F60" s="53"/>
      <c r="G60" s="53"/>
      <c r="H60" s="53"/>
      <c r="I60" s="54" t="s">
        <v>38</v>
      </c>
      <c r="J60" s="280" t="s">
        <v>193</v>
      </c>
      <c r="K60" s="280"/>
      <c r="L60" s="280"/>
      <c r="M60" s="280"/>
      <c r="N60" s="280"/>
      <c r="O60" s="280"/>
      <c r="P60" s="280"/>
      <c r="Q60" s="280"/>
      <c r="R60" s="280"/>
      <c r="S60" s="280"/>
      <c r="T60" s="281"/>
      <c r="U60" s="55"/>
      <c r="V60" s="55"/>
      <c r="W60" s="55"/>
      <c r="X60" s="55"/>
      <c r="Y60" s="55"/>
      <c r="Z60" s="55"/>
      <c r="AA60" s="55"/>
      <c r="AB60" s="55"/>
      <c r="AC60" s="55"/>
      <c r="AD60" s="55"/>
      <c r="AE60" s="55"/>
      <c r="AF60" s="56"/>
    </row>
    <row r="61" spans="1:36" ht="15" customHeight="1">
      <c r="A61" s="27"/>
      <c r="B61" s="41">
        <v>2</v>
      </c>
      <c r="C61" s="42"/>
      <c r="D61" s="271" t="s">
        <v>42</v>
      </c>
      <c r="E61" s="272"/>
      <c r="F61" s="272"/>
      <c r="G61" s="272"/>
      <c r="H61" s="272"/>
      <c r="I61" s="43" t="s">
        <v>43</v>
      </c>
      <c r="T61" s="44"/>
      <c r="U61" s="47" t="s">
        <v>29</v>
      </c>
      <c r="V61" s="27" t="s">
        <v>44</v>
      </c>
      <c r="AF61" s="44"/>
    </row>
    <row r="62" spans="1:36" ht="15" customHeight="1">
      <c r="A62" s="27"/>
      <c r="B62" s="50"/>
      <c r="C62" s="51"/>
      <c r="D62" s="52"/>
      <c r="E62" s="53"/>
      <c r="F62" s="53"/>
      <c r="G62" s="53"/>
      <c r="H62" s="53"/>
      <c r="I62" s="54"/>
      <c r="T62" s="44"/>
      <c r="U62" s="54"/>
      <c r="AF62" s="44"/>
    </row>
    <row r="63" spans="1:36" ht="15" customHeight="1">
      <c r="A63" s="27"/>
      <c r="B63" s="41">
        <v>3</v>
      </c>
      <c r="C63" s="42"/>
      <c r="D63" s="271" t="s">
        <v>45</v>
      </c>
      <c r="E63" s="272"/>
      <c r="F63" s="272"/>
      <c r="G63" s="272"/>
      <c r="H63" s="272"/>
      <c r="I63" s="47" t="s">
        <v>29</v>
      </c>
      <c r="J63" s="48" t="s">
        <v>46</v>
      </c>
      <c r="K63" s="48"/>
      <c r="L63" s="48"/>
      <c r="M63" s="48"/>
      <c r="N63" s="48"/>
      <c r="O63" s="48"/>
      <c r="P63" s="48"/>
      <c r="Q63" s="48"/>
      <c r="R63" s="48"/>
      <c r="S63" s="48"/>
      <c r="T63" s="49"/>
      <c r="U63" s="47" t="s">
        <v>29</v>
      </c>
      <c r="V63" s="48" t="s">
        <v>300</v>
      </c>
      <c r="W63" s="48"/>
      <c r="X63" s="48"/>
      <c r="Y63" s="48"/>
      <c r="Z63" s="48"/>
      <c r="AA63" s="48"/>
      <c r="AB63" s="48"/>
      <c r="AC63" s="48"/>
      <c r="AD63" s="48"/>
      <c r="AE63" s="48"/>
      <c r="AF63" s="49"/>
    </row>
    <row r="64" spans="1:36" ht="15" customHeight="1">
      <c r="A64" s="27"/>
      <c r="B64" s="50"/>
      <c r="C64" s="51"/>
      <c r="D64" s="104"/>
      <c r="E64" s="53"/>
      <c r="F64" s="53"/>
      <c r="G64" s="53"/>
      <c r="H64" s="53"/>
      <c r="I64" s="54"/>
      <c r="J64" s="55"/>
      <c r="K64" s="55"/>
      <c r="L64" s="55"/>
      <c r="M64" s="55"/>
      <c r="N64" s="55"/>
      <c r="O64" s="55"/>
      <c r="P64" s="55"/>
      <c r="Q64" s="55"/>
      <c r="R64" s="55"/>
      <c r="S64" s="55"/>
      <c r="T64" s="56"/>
      <c r="U64" s="54"/>
      <c r="V64" s="55"/>
      <c r="W64" s="55"/>
      <c r="X64" s="55"/>
      <c r="Y64" s="55"/>
      <c r="Z64" s="55"/>
      <c r="AA64" s="55"/>
      <c r="AB64" s="55"/>
      <c r="AC64" s="55"/>
      <c r="AD64" s="55"/>
      <c r="AE64" s="55"/>
      <c r="AF64" s="56"/>
    </row>
    <row r="65" spans="1:35" ht="15" customHeight="1">
      <c r="A65" s="27"/>
      <c r="B65" s="41">
        <v>4</v>
      </c>
      <c r="C65" s="42"/>
      <c r="D65" s="271" t="s">
        <v>25</v>
      </c>
      <c r="E65" s="272"/>
      <c r="F65" s="272"/>
      <c r="G65" s="272"/>
      <c r="H65" s="272"/>
      <c r="I65" s="43" t="s">
        <v>29</v>
      </c>
      <c r="J65" s="27" t="s">
        <v>53</v>
      </c>
      <c r="T65" s="44"/>
      <c r="U65" s="43" t="s">
        <v>29</v>
      </c>
      <c r="V65" s="27" t="s">
        <v>54</v>
      </c>
      <c r="AF65" s="44"/>
    </row>
    <row r="66" spans="1:35" ht="15" customHeight="1">
      <c r="A66" s="27"/>
      <c r="B66" s="102"/>
      <c r="C66" s="103"/>
      <c r="D66" s="45"/>
      <c r="E66" s="46"/>
      <c r="F66" s="46"/>
      <c r="G66" s="46"/>
      <c r="H66" s="46"/>
      <c r="I66" s="43" t="s">
        <v>29</v>
      </c>
      <c r="J66" s="27" t="s">
        <v>55</v>
      </c>
      <c r="T66" s="44"/>
      <c r="U66" s="43" t="s">
        <v>29</v>
      </c>
      <c r="V66" s="27" t="s">
        <v>56</v>
      </c>
      <c r="AF66" s="44"/>
    </row>
    <row r="67" spans="1:35" ht="15" customHeight="1">
      <c r="A67" s="27"/>
      <c r="B67" s="50"/>
      <c r="C67" s="51"/>
      <c r="D67" s="52"/>
      <c r="E67" s="53"/>
      <c r="F67" s="53"/>
      <c r="G67" s="53"/>
      <c r="H67" s="53"/>
      <c r="I67" s="54" t="s">
        <v>38</v>
      </c>
      <c r="J67" s="55" t="s">
        <v>57</v>
      </c>
      <c r="K67" s="55"/>
      <c r="L67" s="55"/>
      <c r="M67" s="55"/>
      <c r="N67" s="55"/>
      <c r="O67" s="55"/>
      <c r="P67" s="55"/>
      <c r="Q67" s="55"/>
      <c r="R67" s="55"/>
      <c r="S67" s="55"/>
      <c r="T67" s="56"/>
      <c r="U67" s="54"/>
      <c r="V67" s="55"/>
      <c r="W67" s="55"/>
      <c r="X67" s="55"/>
      <c r="Y67" s="55"/>
      <c r="Z67" s="55"/>
      <c r="AA67" s="55"/>
      <c r="AB67" s="55"/>
      <c r="AC67" s="55"/>
      <c r="AD67" s="55"/>
      <c r="AE67" s="55"/>
      <c r="AF67" s="56"/>
    </row>
    <row r="68" spans="1:35" ht="15" customHeight="1">
      <c r="A68" s="27"/>
    </row>
    <row r="69" spans="1:35" ht="15" customHeight="1">
      <c r="A69" s="27"/>
    </row>
    <row r="70" spans="1:35" ht="15" customHeight="1">
      <c r="A70" s="30" t="s">
        <v>58</v>
      </c>
    </row>
    <row r="71" spans="1:35" ht="15" customHeight="1">
      <c r="A71" s="27"/>
    </row>
    <row r="72" spans="1:35" ht="15" customHeight="1">
      <c r="A72" s="27"/>
      <c r="B72" s="109" t="str">
        <f>'工数明細③12月～1月'!D4</f>
        <v>訂正区分4、5対応</v>
      </c>
      <c r="C72" s="35"/>
      <c r="D72" s="35"/>
      <c r="E72" s="35"/>
      <c r="F72" s="35"/>
      <c r="G72" s="35"/>
      <c r="H72" s="110"/>
      <c r="I72" s="276">
        <f>Y43</f>
        <v>0.18000000000000002</v>
      </c>
      <c r="J72" s="277"/>
      <c r="K72" s="112" t="s">
        <v>248</v>
      </c>
      <c r="L72" s="35"/>
      <c r="M72" s="35"/>
      <c r="N72" s="35"/>
      <c r="O72" s="35"/>
      <c r="P72" s="35"/>
      <c r="Q72" s="35"/>
      <c r="R72" s="35"/>
      <c r="S72" s="35"/>
      <c r="T72" s="35"/>
      <c r="U72" s="35"/>
      <c r="V72" s="35"/>
      <c r="W72" s="35"/>
      <c r="X72" s="35"/>
      <c r="Y72" s="35"/>
      <c r="Z72" s="35"/>
      <c r="AA72" s="35"/>
      <c r="AB72" s="35"/>
      <c r="AC72" s="35"/>
      <c r="AD72" s="35"/>
      <c r="AE72" s="35"/>
      <c r="AF72" s="35"/>
      <c r="AG72" s="35"/>
      <c r="AH72" s="35"/>
      <c r="AI72" s="110"/>
    </row>
    <row r="73" spans="1:35" ht="15" customHeight="1">
      <c r="A73" s="27"/>
      <c r="B73" s="43" t="s">
        <v>218</v>
      </c>
      <c r="AI73" s="44"/>
    </row>
    <row r="74" spans="1:35" ht="15" customHeight="1">
      <c r="A74" s="27"/>
      <c r="B74" s="43" t="s">
        <v>272</v>
      </c>
      <c r="AI74" s="44"/>
    </row>
    <row r="75" spans="1:35" ht="15" customHeight="1">
      <c r="A75" s="27"/>
      <c r="B75" s="43" t="s">
        <v>273</v>
      </c>
      <c r="AI75" s="44"/>
    </row>
    <row r="76" spans="1:35" ht="15" customHeight="1">
      <c r="A76" s="27"/>
      <c r="B76" s="43" t="s">
        <v>274</v>
      </c>
      <c r="AI76" s="44"/>
    </row>
    <row r="77" spans="1:35" ht="15" customHeight="1">
      <c r="A77" s="27"/>
      <c r="B77" s="43" t="s">
        <v>280</v>
      </c>
      <c r="AI77" s="44"/>
    </row>
    <row r="78" spans="1:35" ht="15" customHeight="1">
      <c r="A78" s="27"/>
      <c r="B78" s="43" t="s">
        <v>273</v>
      </c>
      <c r="AI78" s="44"/>
    </row>
    <row r="79" spans="1:35" ht="15" customHeight="1">
      <c r="A79" s="27"/>
      <c r="B79" s="43" t="s">
        <v>275</v>
      </c>
      <c r="AI79" s="44"/>
    </row>
    <row r="80" spans="1:35" ht="15" customHeight="1">
      <c r="A80" s="27"/>
      <c r="B80" s="111" t="str">
        <f>'工数明細③12月～1月'!D5</f>
        <v>表示除外機能実装</v>
      </c>
      <c r="C80" s="112"/>
      <c r="D80" s="112"/>
      <c r="E80" s="112"/>
      <c r="F80" s="112"/>
      <c r="G80" s="112"/>
      <c r="H80" s="113"/>
      <c r="I80" s="276">
        <f>Y44</f>
        <v>0.2</v>
      </c>
      <c r="J80" s="277"/>
      <c r="K80" s="112" t="s">
        <v>248</v>
      </c>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3"/>
    </row>
    <row r="81" spans="1:35" ht="15" customHeight="1">
      <c r="A81" s="27"/>
      <c r="B81" s="43" t="s">
        <v>276</v>
      </c>
      <c r="AI81" s="44"/>
    </row>
    <row r="82" spans="1:35" ht="15" customHeight="1">
      <c r="A82" s="27"/>
      <c r="B82" s="43" t="s">
        <v>252</v>
      </c>
      <c r="AI82" s="44"/>
    </row>
    <row r="83" spans="1:35" ht="15" customHeight="1">
      <c r="A83" s="27"/>
      <c r="B83" s="43" t="s">
        <v>253</v>
      </c>
      <c r="AI83" s="44"/>
    </row>
    <row r="84" spans="1:35" ht="15" customHeight="1">
      <c r="A84" s="27"/>
      <c r="B84" s="43" t="s">
        <v>254</v>
      </c>
      <c r="AI84" s="44"/>
    </row>
    <row r="85" spans="1:35" ht="15" customHeight="1">
      <c r="A85" s="27"/>
      <c r="B85" s="43" t="s">
        <v>255</v>
      </c>
      <c r="AI85" s="44"/>
    </row>
    <row r="86" spans="1:35" ht="15" customHeight="1">
      <c r="A86" s="27"/>
      <c r="B86" s="43" t="s">
        <v>278</v>
      </c>
      <c r="AI86" s="44"/>
    </row>
    <row r="87" spans="1:35" ht="15" customHeight="1">
      <c r="A87" s="27"/>
      <c r="B87" s="111" t="str">
        <f>'工数明細③12月～1月'!D6</f>
        <v>レイアウト調整対応</v>
      </c>
      <c r="C87" s="112"/>
      <c r="D87" s="112"/>
      <c r="E87" s="112"/>
      <c r="F87" s="112"/>
      <c r="G87" s="112"/>
      <c r="H87" s="113"/>
      <c r="I87" s="276">
        <f>Y45</f>
        <v>0.15</v>
      </c>
      <c r="J87" s="277"/>
      <c r="K87" s="112" t="s">
        <v>248</v>
      </c>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3"/>
    </row>
    <row r="88" spans="1:35" ht="15" customHeight="1">
      <c r="A88" s="27"/>
      <c r="B88" s="43" t="s">
        <v>277</v>
      </c>
      <c r="AI88" s="44"/>
    </row>
    <row r="89" spans="1:35" ht="15" customHeight="1">
      <c r="A89" s="27"/>
      <c r="B89" s="43" t="s">
        <v>257</v>
      </c>
      <c r="AI89" s="44"/>
    </row>
    <row r="90" spans="1:35" ht="15" customHeight="1">
      <c r="A90" s="27"/>
      <c r="B90" s="43" t="s">
        <v>258</v>
      </c>
      <c r="AI90" s="44"/>
    </row>
    <row r="91" spans="1:35" ht="15" customHeight="1">
      <c r="A91" s="27"/>
      <c r="B91" s="43" t="s">
        <v>259</v>
      </c>
      <c r="AI91" s="44"/>
    </row>
    <row r="92" spans="1:35" ht="15" customHeight="1">
      <c r="A92" s="27"/>
      <c r="B92" s="43" t="s">
        <v>260</v>
      </c>
      <c r="AI92" s="44"/>
    </row>
    <row r="93" spans="1:35" ht="15" customHeight="1">
      <c r="A93" s="27"/>
      <c r="B93" s="43" t="s">
        <v>261</v>
      </c>
      <c r="AI93" s="44"/>
    </row>
    <row r="94" spans="1:35" ht="15" customHeight="1">
      <c r="A94" s="27"/>
      <c r="B94" s="43" t="s">
        <v>262</v>
      </c>
      <c r="AI94" s="44"/>
    </row>
    <row r="95" spans="1:35" ht="15" customHeight="1">
      <c r="A95" s="27"/>
      <c r="B95" s="43" t="s">
        <v>263</v>
      </c>
      <c r="AI95" s="44"/>
    </row>
    <row r="96" spans="1:35" ht="15" customHeight="1">
      <c r="A96" s="27"/>
      <c r="B96" s="43" t="s">
        <v>264</v>
      </c>
      <c r="AI96" s="44"/>
    </row>
    <row r="97" spans="1:36" ht="15" customHeight="1">
      <c r="A97" s="27"/>
      <c r="B97" s="43" t="s">
        <v>261</v>
      </c>
      <c r="AI97" s="44"/>
    </row>
    <row r="98" spans="1:36" ht="15" customHeight="1">
      <c r="A98" s="27"/>
      <c r="B98" s="43" t="s">
        <v>265</v>
      </c>
      <c r="AI98" s="44"/>
    </row>
    <row r="99" spans="1:36" ht="15" customHeight="1">
      <c r="A99" s="27"/>
      <c r="B99" s="43" t="s">
        <v>266</v>
      </c>
      <c r="AI99" s="44"/>
    </row>
    <row r="100" spans="1:36" ht="15" customHeight="1">
      <c r="A100" s="114"/>
      <c r="B100" s="111" t="s">
        <v>206</v>
      </c>
      <c r="C100" s="112"/>
      <c r="D100" s="112"/>
      <c r="E100" s="112"/>
      <c r="F100" s="112"/>
      <c r="G100" s="112"/>
      <c r="H100" s="113"/>
      <c r="I100" s="276">
        <f>Y46</f>
        <v>0.11</v>
      </c>
      <c r="J100" s="277"/>
      <c r="K100" s="112" t="s">
        <v>248</v>
      </c>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3"/>
      <c r="AJ100" s="114"/>
    </row>
    <row r="101" spans="1:36" ht="15" customHeight="1">
      <c r="A101" s="114"/>
      <c r="B101" s="115" t="s">
        <v>207</v>
      </c>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7"/>
      <c r="AJ101" s="114"/>
    </row>
    <row r="102" spans="1:36" ht="15" customHeight="1">
      <c r="A102" s="27"/>
      <c r="I102" s="282">
        <f>SUM(I72,I100,I80,I87)</f>
        <v>0.64</v>
      </c>
      <c r="J102" s="283"/>
    </row>
    <row r="103" spans="1:36" ht="15" customHeight="1">
      <c r="A103" s="27"/>
    </row>
    <row r="104" spans="1:36" ht="15" customHeight="1">
      <c r="A104" s="30" t="s">
        <v>59</v>
      </c>
    </row>
    <row r="105" spans="1:36" ht="15" customHeight="1">
      <c r="B105" s="37"/>
    </row>
    <row r="106" spans="1:36" ht="15" customHeight="1">
      <c r="A106" s="27"/>
      <c r="B106" s="38" t="s">
        <v>18</v>
      </c>
      <c r="C106" s="39"/>
      <c r="D106" s="38" t="s">
        <v>35</v>
      </c>
      <c r="E106" s="40"/>
      <c r="F106" s="40"/>
      <c r="G106" s="40"/>
      <c r="H106" s="40"/>
      <c r="I106" s="128" t="s">
        <v>219</v>
      </c>
      <c r="J106" s="129" t="s">
        <v>220</v>
      </c>
      <c r="K106" s="129" t="s">
        <v>221</v>
      </c>
      <c r="L106" s="129" t="s">
        <v>222</v>
      </c>
      <c r="M106" s="129" t="s">
        <v>223</v>
      </c>
      <c r="N106" s="129" t="s">
        <v>224</v>
      </c>
      <c r="O106" s="129" t="s">
        <v>225</v>
      </c>
      <c r="P106" s="129" t="s">
        <v>226</v>
      </c>
      <c r="Q106" s="129" t="s">
        <v>227</v>
      </c>
      <c r="R106" s="129" t="s">
        <v>228</v>
      </c>
      <c r="S106" s="129" t="s">
        <v>229</v>
      </c>
      <c r="T106" s="129" t="s">
        <v>230</v>
      </c>
      <c r="U106" s="129" t="s">
        <v>231</v>
      </c>
      <c r="V106" s="129" t="s">
        <v>232</v>
      </c>
      <c r="W106" s="129" t="s">
        <v>233</v>
      </c>
      <c r="X106" s="129" t="s">
        <v>234</v>
      </c>
      <c r="Y106" s="129" t="s">
        <v>235</v>
      </c>
      <c r="Z106" s="129" t="s">
        <v>236</v>
      </c>
      <c r="AA106" s="129" t="s">
        <v>237</v>
      </c>
      <c r="AB106" s="129" t="s">
        <v>238</v>
      </c>
      <c r="AC106" s="129" t="s">
        <v>239</v>
      </c>
      <c r="AD106" s="129" t="s">
        <v>240</v>
      </c>
      <c r="AE106" s="129" t="s">
        <v>241</v>
      </c>
      <c r="AF106" s="129" t="s">
        <v>242</v>
      </c>
      <c r="AG106" s="129" t="s">
        <v>243</v>
      </c>
      <c r="AH106" s="129" t="s">
        <v>244</v>
      </c>
      <c r="AI106" s="130" t="s">
        <v>245</v>
      </c>
    </row>
    <row r="107" spans="1:36" ht="15" customHeight="1">
      <c r="A107" s="27"/>
      <c r="B107" s="41">
        <v>1</v>
      </c>
      <c r="C107" s="42"/>
      <c r="D107" s="273" t="s">
        <v>60</v>
      </c>
      <c r="E107" s="274"/>
      <c r="F107" s="274"/>
      <c r="G107" s="274"/>
      <c r="H107" s="275"/>
      <c r="I107" s="131"/>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3"/>
    </row>
    <row r="108" spans="1:36" ht="15" customHeight="1">
      <c r="A108" s="27"/>
      <c r="B108" s="50"/>
      <c r="C108" s="51"/>
      <c r="D108" s="52"/>
      <c r="E108" s="53"/>
      <c r="F108" s="53"/>
      <c r="G108" s="53"/>
      <c r="H108" s="53"/>
      <c r="I108" s="134"/>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6"/>
    </row>
    <row r="109" spans="1:36" ht="15" customHeight="1">
      <c r="A109" s="27"/>
      <c r="B109" s="41">
        <v>2</v>
      </c>
      <c r="C109" s="42"/>
      <c r="D109" s="273" t="s">
        <v>61</v>
      </c>
      <c r="E109" s="274"/>
      <c r="F109" s="274"/>
      <c r="G109" s="274"/>
      <c r="H109" s="275"/>
      <c r="I109" s="131"/>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3"/>
    </row>
    <row r="110" spans="1:36" ht="15" customHeight="1">
      <c r="A110" s="27"/>
      <c r="B110" s="50"/>
      <c r="C110" s="51"/>
      <c r="D110" s="52"/>
      <c r="E110" s="53"/>
      <c r="F110" s="53"/>
      <c r="G110" s="53"/>
      <c r="H110" s="53"/>
      <c r="I110" s="134"/>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6"/>
    </row>
    <row r="111" spans="1:36" ht="15" customHeight="1">
      <c r="A111" s="27"/>
      <c r="B111" s="41">
        <v>3</v>
      </c>
      <c r="C111" s="42"/>
      <c r="D111" s="273" t="s">
        <v>62</v>
      </c>
      <c r="E111" s="274"/>
      <c r="F111" s="274"/>
      <c r="G111" s="274"/>
      <c r="H111" s="275"/>
      <c r="I111" s="131"/>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3"/>
    </row>
    <row r="112" spans="1:36" ht="15" customHeight="1">
      <c r="A112" s="27"/>
      <c r="B112" s="50"/>
      <c r="C112" s="51"/>
      <c r="D112" s="52"/>
      <c r="E112" s="53"/>
      <c r="F112" s="53"/>
      <c r="G112" s="53"/>
      <c r="H112" s="53"/>
      <c r="I112" s="134"/>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6"/>
    </row>
    <row r="113" spans="1:36" ht="15" customHeight="1">
      <c r="A113" s="114"/>
      <c r="B113" s="173">
        <v>6</v>
      </c>
      <c r="C113" s="174"/>
      <c r="D113" s="296" t="s">
        <v>295</v>
      </c>
      <c r="E113" s="297"/>
      <c r="F113" s="297"/>
      <c r="G113" s="297"/>
      <c r="H113" s="298"/>
      <c r="I113" s="290" t="s">
        <v>288</v>
      </c>
      <c r="J113" s="291"/>
      <c r="K113" s="291"/>
      <c r="L113" s="291"/>
      <c r="M113" s="291"/>
      <c r="N113" s="291"/>
      <c r="O113" s="291"/>
      <c r="P113" s="291"/>
      <c r="Q113" s="291"/>
      <c r="R113" s="291"/>
      <c r="S113" s="291"/>
      <c r="T113" s="291"/>
      <c r="U113" s="291"/>
      <c r="V113" s="291"/>
      <c r="W113" s="291"/>
      <c r="X113" s="291"/>
      <c r="Y113" s="291"/>
      <c r="Z113" s="291"/>
      <c r="AA113" s="291"/>
      <c r="AB113" s="291"/>
      <c r="AC113" s="291"/>
      <c r="AD113" s="291"/>
      <c r="AE113" s="291"/>
      <c r="AF113" s="291"/>
      <c r="AG113" s="291"/>
      <c r="AH113" s="291"/>
      <c r="AI113" s="292"/>
      <c r="AJ113" s="114"/>
    </row>
    <row r="114" spans="1:36" ht="15" customHeight="1">
      <c r="A114" s="114"/>
      <c r="B114" s="175"/>
      <c r="C114" s="176"/>
      <c r="D114" s="299"/>
      <c r="E114" s="300"/>
      <c r="F114" s="300"/>
      <c r="G114" s="300"/>
      <c r="H114" s="301"/>
      <c r="I114" s="293"/>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I114" s="295"/>
      <c r="AJ114" s="114"/>
    </row>
    <row r="115" spans="1:36" ht="15" customHeight="1">
      <c r="A115" s="27"/>
      <c r="I115" s="57"/>
      <c r="J115" s="57"/>
      <c r="K115" s="57"/>
      <c r="L115" s="57"/>
      <c r="M115" s="57"/>
      <c r="N115" s="57"/>
      <c r="O115" s="57"/>
      <c r="P115" s="57"/>
      <c r="Q115" s="57"/>
      <c r="R115" s="57"/>
      <c r="S115" s="57"/>
      <c r="T115" s="57"/>
      <c r="V115" s="57"/>
      <c r="W115" s="27" t="s">
        <v>65</v>
      </c>
      <c r="X115" s="57"/>
      <c r="Z115" s="57"/>
      <c r="AA115" s="27" t="s">
        <v>66</v>
      </c>
      <c r="AC115" s="57"/>
      <c r="AD115" s="57"/>
      <c r="AG115" s="27" t="s">
        <v>67</v>
      </c>
    </row>
    <row r="116" spans="1:36" ht="15" customHeight="1">
      <c r="A116" s="2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row>
    <row r="117" spans="1:36" ht="15" customHeight="1">
      <c r="A117" s="30" t="s">
        <v>68</v>
      </c>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row>
    <row r="118" spans="1:36" ht="15" customHeight="1" thickBot="1">
      <c r="A118" s="2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row>
    <row r="119" spans="1:36" s="63" customFormat="1" ht="15" customHeight="1" thickTop="1">
      <c r="A119" s="65"/>
      <c r="C119" s="284" t="s">
        <v>69</v>
      </c>
      <c r="D119" s="285"/>
      <c r="E119" s="285"/>
      <c r="F119" s="285"/>
      <c r="G119" s="285"/>
      <c r="H119" s="286"/>
      <c r="I119" s="66"/>
      <c r="J119" s="66"/>
      <c r="K119" s="66"/>
      <c r="L119" s="284" t="s">
        <v>70</v>
      </c>
      <c r="M119" s="285"/>
      <c r="N119" s="285"/>
      <c r="O119" s="285"/>
      <c r="P119" s="285"/>
      <c r="Q119" s="286"/>
      <c r="R119" s="66"/>
      <c r="S119" s="66"/>
      <c r="T119" s="66"/>
      <c r="U119" s="284" t="s">
        <v>268</v>
      </c>
      <c r="V119" s="285"/>
      <c r="W119" s="285"/>
      <c r="X119" s="285"/>
      <c r="Y119" s="285"/>
      <c r="Z119" s="286"/>
      <c r="AA119" s="66"/>
      <c r="AB119" s="66"/>
      <c r="AC119" s="66"/>
      <c r="AD119" s="284" t="s">
        <v>269</v>
      </c>
      <c r="AE119" s="285"/>
      <c r="AF119" s="285"/>
      <c r="AG119" s="285"/>
      <c r="AH119" s="285"/>
      <c r="AI119" s="286"/>
    </row>
    <row r="120" spans="1:36" s="63" customFormat="1" ht="15" customHeight="1" thickBot="1">
      <c r="C120" s="287"/>
      <c r="D120" s="288"/>
      <c r="E120" s="288"/>
      <c r="F120" s="288"/>
      <c r="G120" s="288"/>
      <c r="H120" s="289"/>
      <c r="I120" s="67"/>
      <c r="J120" s="67"/>
      <c r="K120" s="67"/>
      <c r="L120" s="287"/>
      <c r="M120" s="288"/>
      <c r="N120" s="288"/>
      <c r="O120" s="288"/>
      <c r="P120" s="288"/>
      <c r="Q120" s="289"/>
      <c r="R120" s="67"/>
      <c r="S120" s="67"/>
      <c r="T120" s="67"/>
      <c r="U120" s="287"/>
      <c r="V120" s="288"/>
      <c r="W120" s="288"/>
      <c r="X120" s="288"/>
      <c r="Y120" s="288"/>
      <c r="Z120" s="289"/>
      <c r="AA120" s="67"/>
      <c r="AB120" s="67"/>
      <c r="AC120" s="67"/>
      <c r="AD120" s="287"/>
      <c r="AE120" s="288"/>
      <c r="AF120" s="288"/>
      <c r="AG120" s="288"/>
      <c r="AH120" s="288"/>
      <c r="AI120" s="289"/>
    </row>
    <row r="121" spans="1:36" ht="15" customHeight="1" thickTop="1">
      <c r="A121" s="2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row>
    <row r="122" spans="1:36" ht="15" customHeight="1">
      <c r="A122" s="27"/>
      <c r="I122" s="57"/>
      <c r="J122" s="57"/>
      <c r="K122" s="57"/>
      <c r="L122" s="57"/>
      <c r="M122" s="57"/>
      <c r="N122" s="57"/>
      <c r="O122" s="57"/>
      <c r="P122" s="57"/>
      <c r="Q122" s="57"/>
      <c r="R122" s="57"/>
      <c r="S122" s="57"/>
      <c r="T122" s="57"/>
      <c r="U122" s="57"/>
      <c r="V122" s="57"/>
      <c r="AC122" s="57"/>
      <c r="AD122" s="57"/>
      <c r="AE122" s="57"/>
      <c r="AF122" s="57"/>
      <c r="AG122" s="57"/>
    </row>
    <row r="123" spans="1:36" ht="15" customHeight="1">
      <c r="A123" s="30" t="s">
        <v>71</v>
      </c>
    </row>
    <row r="125" spans="1:36" ht="15" customHeight="1">
      <c r="B125" s="27" t="s">
        <v>198</v>
      </c>
    </row>
    <row r="126" spans="1:36" ht="15" customHeight="1">
      <c r="C126" s="27" t="s">
        <v>72</v>
      </c>
    </row>
    <row r="127" spans="1:36" ht="15" customHeight="1">
      <c r="C127" s="27" t="s">
        <v>73</v>
      </c>
    </row>
    <row r="128" spans="1:36" ht="15" customHeight="1">
      <c r="C128" s="27" t="s">
        <v>74</v>
      </c>
    </row>
    <row r="129" spans="1:3" ht="15" customHeight="1">
      <c r="B129" s="58" t="s">
        <v>75</v>
      </c>
      <c r="C129" s="59"/>
    </row>
    <row r="130" spans="1:3" ht="15" customHeight="1">
      <c r="B130" s="27" t="s">
        <v>76</v>
      </c>
      <c r="C130" s="58"/>
    </row>
    <row r="131" spans="1:3" ht="15" customHeight="1">
      <c r="C131" s="58" t="s">
        <v>77</v>
      </c>
    </row>
    <row r="132" spans="1:3" ht="15" customHeight="1">
      <c r="C132" s="27" t="s">
        <v>201</v>
      </c>
    </row>
    <row r="134" spans="1:3" ht="15" customHeight="1">
      <c r="A134" s="27"/>
      <c r="B134" s="27" t="s">
        <v>78</v>
      </c>
    </row>
    <row r="135" spans="1:3" ht="15" customHeight="1">
      <c r="A135" s="27"/>
      <c r="C135" s="27" t="s">
        <v>79</v>
      </c>
    </row>
    <row r="136" spans="1:3" ht="15" customHeight="1">
      <c r="A136" s="27"/>
      <c r="C136" s="27" t="s">
        <v>80</v>
      </c>
    </row>
    <row r="137" spans="1:3" ht="15" customHeight="1">
      <c r="A137" s="27"/>
    </row>
    <row r="138" spans="1:3" ht="15" customHeight="1">
      <c r="A138" s="27"/>
      <c r="B138" s="27" t="s">
        <v>81</v>
      </c>
    </row>
    <row r="139" spans="1:3" ht="15" customHeight="1">
      <c r="A139" s="27"/>
      <c r="C139" s="27" t="s">
        <v>82</v>
      </c>
    </row>
    <row r="140" spans="1:3" ht="15" customHeight="1">
      <c r="A140" s="27"/>
    </row>
    <row r="141" spans="1:3" ht="15" customHeight="1">
      <c r="A141" s="27"/>
      <c r="B141" s="108" t="s">
        <v>194</v>
      </c>
    </row>
    <row r="142" spans="1:3" ht="15" customHeight="1">
      <c r="A142" s="27"/>
      <c r="C142" s="27" t="s">
        <v>199</v>
      </c>
    </row>
    <row r="143" spans="1:3" ht="15" customHeight="1">
      <c r="A143" s="27"/>
      <c r="C143" s="27" t="s">
        <v>195</v>
      </c>
    </row>
    <row r="144" spans="1:3" ht="15" customHeight="1">
      <c r="A144" s="27"/>
    </row>
    <row r="145" spans="1:4" ht="15" customHeight="1">
      <c r="A145" s="27"/>
      <c r="B145" s="108" t="s">
        <v>306</v>
      </c>
    </row>
    <row r="146" spans="1:4" ht="15" customHeight="1">
      <c r="A146" s="27"/>
      <c r="C146" s="27" t="s">
        <v>307</v>
      </c>
    </row>
    <row r="147" spans="1:4" ht="15" customHeight="1">
      <c r="A147" s="27"/>
      <c r="C147" s="27" t="s">
        <v>308</v>
      </c>
    </row>
    <row r="148" spans="1:4" ht="15" customHeight="1">
      <c r="A148" s="27"/>
    </row>
    <row r="149" spans="1:4" ht="15" customHeight="1">
      <c r="A149" s="27"/>
      <c r="B149" s="27" t="s">
        <v>282</v>
      </c>
    </row>
    <row r="150" spans="1:4" ht="15" customHeight="1">
      <c r="A150" s="27"/>
      <c r="C150" s="27" t="s">
        <v>283</v>
      </c>
    </row>
    <row r="151" spans="1:4" ht="15" customHeight="1">
      <c r="A151" s="27"/>
    </row>
    <row r="152" spans="1:4" ht="15" customHeight="1">
      <c r="A152" s="27"/>
      <c r="B152" s="108" t="s">
        <v>284</v>
      </c>
    </row>
    <row r="153" spans="1:4" ht="15" customHeight="1">
      <c r="A153" s="27"/>
      <c r="C153" s="27" t="s">
        <v>285</v>
      </c>
    </row>
    <row r="154" spans="1:4" ht="15" customHeight="1">
      <c r="A154" s="27"/>
    </row>
    <row r="155" spans="1:4" ht="15" customHeight="1">
      <c r="A155" s="27"/>
      <c r="B155" s="63" t="s">
        <v>286</v>
      </c>
      <c r="C155" s="63"/>
      <c r="D155" s="63"/>
    </row>
    <row r="156" spans="1:4" ht="15" customHeight="1">
      <c r="A156" s="27"/>
      <c r="B156" s="63"/>
      <c r="C156" s="63" t="s">
        <v>200</v>
      </c>
      <c r="D156" s="63"/>
    </row>
    <row r="157" spans="1:4" ht="15" customHeight="1">
      <c r="A157" s="27"/>
      <c r="B157" s="63"/>
      <c r="C157" s="63" t="s">
        <v>83</v>
      </c>
      <c r="D157" s="63"/>
    </row>
  </sheetData>
  <mergeCells count="51">
    <mergeCell ref="C119:H120"/>
    <mergeCell ref="L119:Q120"/>
    <mergeCell ref="U119:Z120"/>
    <mergeCell ref="I113:AI114"/>
    <mergeCell ref="D113:H114"/>
    <mergeCell ref="AD119:AI120"/>
    <mergeCell ref="AM47:AQ47"/>
    <mergeCell ref="D58:H58"/>
    <mergeCell ref="D109:H109"/>
    <mergeCell ref="D111:H111"/>
    <mergeCell ref="D65:H65"/>
    <mergeCell ref="I72:J72"/>
    <mergeCell ref="J59:T59"/>
    <mergeCell ref="J60:T60"/>
    <mergeCell ref="D61:H61"/>
    <mergeCell ref="D63:H63"/>
    <mergeCell ref="I80:J80"/>
    <mergeCell ref="I87:J87"/>
    <mergeCell ref="I100:J100"/>
    <mergeCell ref="I102:J102"/>
    <mergeCell ref="D107:H107"/>
    <mergeCell ref="AM45:AQ45"/>
    <mergeCell ref="B46:C46"/>
    <mergeCell ref="Y46:AB46"/>
    <mergeCell ref="AC46:AD46"/>
    <mergeCell ref="AE46:AJ46"/>
    <mergeCell ref="AM46:AQ46"/>
    <mergeCell ref="AM43:AQ43"/>
    <mergeCell ref="B44:C44"/>
    <mergeCell ref="Y44:AB44"/>
    <mergeCell ref="AC44:AD44"/>
    <mergeCell ref="AE44:AJ44"/>
    <mergeCell ref="AM44:AQ44"/>
    <mergeCell ref="B43:C43"/>
    <mergeCell ref="Y43:AB43"/>
    <mergeCell ref="AC43:AD43"/>
    <mergeCell ref="AE43:AJ43"/>
    <mergeCell ref="B47:C47"/>
    <mergeCell ref="A1:Q2"/>
    <mergeCell ref="AF1:AJ1"/>
    <mergeCell ref="AF2:AJ2"/>
    <mergeCell ref="A5:Q6"/>
    <mergeCell ref="A11:E12"/>
    <mergeCell ref="F11:Q12"/>
    <mergeCell ref="B45:C45"/>
    <mergeCell ref="Y45:AB45"/>
    <mergeCell ref="AC45:AD45"/>
    <mergeCell ref="AE45:AJ45"/>
    <mergeCell ref="Y47:AB47"/>
    <mergeCell ref="AC47:AD47"/>
    <mergeCell ref="AE47:AJ47"/>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4" max="35" man="1"/>
    <brk id="101" max="35"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B876-A5F2-4DE3-9009-E7CBA3A162AE}">
  <sheetPr>
    <tabColor rgb="FFFF0000"/>
  </sheetPr>
  <dimension ref="A1:AX14"/>
  <sheetViews>
    <sheetView showGridLines="0" zoomScale="70" zoomScaleNormal="70" workbookViewId="0">
      <pane xSplit="5" ySplit="3" topLeftCell="V4" activePane="bottomRight" state="frozen"/>
      <selection activeCell="AI32" sqref="AI32"/>
      <selection pane="topRight" activeCell="AI32" sqref="AI32"/>
      <selection pane="bottomLeft" activeCell="AI32" sqref="AI32"/>
      <selection pane="bottomRight" activeCell="AF9" sqref="AF9"/>
    </sheetView>
  </sheetViews>
  <sheetFormatPr defaultRowHeight="18" outlineLevelCol="1"/>
  <cols>
    <col min="1" max="1" width="4.33203125" style="72" bestFit="1" customWidth="1"/>
    <col min="2" max="2" width="19.83203125" style="69" customWidth="1"/>
    <col min="3" max="3" width="17.58203125" style="70" customWidth="1"/>
    <col min="4" max="4" width="27.5" style="70" bestFit="1" customWidth="1"/>
    <col min="5" max="5" width="112.5" style="70" customWidth="1"/>
    <col min="6" max="8" width="9.58203125" style="71" customWidth="1"/>
    <col min="9" max="14" width="9.58203125" style="69" customWidth="1" outlineLevel="1"/>
    <col min="15" max="15" width="1.58203125" style="69" customWidth="1"/>
    <col min="16" max="21" width="9.58203125" style="69" customWidth="1" outlineLevel="1"/>
    <col min="22" max="22" width="13.83203125" style="69" customWidth="1"/>
    <col min="23" max="23" width="9.58203125" style="69" customWidth="1" outlineLevel="1"/>
    <col min="24" max="24" width="14.08203125" style="69" customWidth="1" outlineLevel="1"/>
    <col min="25" max="25" width="9.58203125" style="69" customWidth="1" outlineLevel="1"/>
    <col min="26" max="27" width="14.08203125" style="69" customWidth="1" outlineLevel="1"/>
    <col min="28" max="28" width="2.58203125" style="69" customWidth="1"/>
    <col min="29" max="29" width="9.58203125" style="69" customWidth="1" outlineLevel="1"/>
    <col min="30" max="30" width="14.08203125" style="69" customWidth="1" outlineLevel="1"/>
    <col min="31" max="31" width="9.58203125" style="69" customWidth="1" outlineLevel="1"/>
    <col min="32" max="33" width="14.08203125" style="69" customWidth="1" outlineLevel="1"/>
    <col min="34" max="34" width="5" style="69" customWidth="1"/>
    <col min="35" max="41" width="9.58203125" style="69" hidden="1" customWidth="1" outlineLevel="1"/>
    <col min="42" max="42" width="3.58203125" style="69" customWidth="1" collapsed="1"/>
    <col min="43" max="49" width="9" style="69" hidden="1" customWidth="1" outlineLevel="1"/>
    <col min="50" max="50" width="8.58203125" collapsed="1"/>
  </cols>
  <sheetData>
    <row r="1" spans="1:49" ht="22.5">
      <c r="A1" s="68" t="s">
        <v>84</v>
      </c>
      <c r="W1" s="304" t="s">
        <v>85</v>
      </c>
      <c r="X1" s="304"/>
      <c r="Y1" s="304"/>
      <c r="Z1" s="304"/>
      <c r="AA1" s="304"/>
      <c r="AC1" s="305" t="s">
        <v>86</v>
      </c>
      <c r="AD1" s="305"/>
      <c r="AE1" s="305"/>
      <c r="AF1" s="305"/>
      <c r="AG1" s="305"/>
      <c r="AI1" s="306" t="s">
        <v>87</v>
      </c>
      <c r="AJ1" s="306"/>
      <c r="AK1" s="306"/>
      <c r="AL1" s="306"/>
      <c r="AM1" s="306"/>
      <c r="AN1" s="306"/>
      <c r="AO1" s="306"/>
      <c r="AP1" s="306"/>
      <c r="AQ1" s="306"/>
      <c r="AR1" s="306"/>
      <c r="AS1" s="306"/>
      <c r="AT1" s="306"/>
      <c r="AU1" s="306"/>
      <c r="AV1" s="306"/>
      <c r="AW1" s="306"/>
    </row>
    <row r="2" spans="1:49">
      <c r="I2" s="304" t="s">
        <v>85</v>
      </c>
      <c r="J2" s="304"/>
      <c r="K2" s="304"/>
      <c r="L2" s="304"/>
      <c r="M2" s="304"/>
      <c r="N2" s="304"/>
      <c r="P2" s="305" t="s">
        <v>86</v>
      </c>
      <c r="Q2" s="305"/>
      <c r="R2" s="305"/>
      <c r="S2" s="305"/>
      <c r="T2" s="305"/>
      <c r="U2" s="305"/>
      <c r="W2" s="73" t="s">
        <v>88</v>
      </c>
      <c r="X2" s="74">
        <v>50000</v>
      </c>
      <c r="Y2" s="73" t="s">
        <v>89</v>
      </c>
      <c r="Z2" s="74">
        <v>70000</v>
      </c>
      <c r="AA2" s="73"/>
      <c r="AC2" s="73" t="s">
        <v>88</v>
      </c>
      <c r="AD2" s="74">
        <v>1000000</v>
      </c>
      <c r="AE2" s="73" t="s">
        <v>89</v>
      </c>
      <c r="AF2" s="74">
        <v>1400000</v>
      </c>
      <c r="AG2" s="73"/>
      <c r="AI2" s="307" t="s">
        <v>85</v>
      </c>
      <c r="AJ2" s="307"/>
      <c r="AK2" s="307"/>
      <c r="AL2" s="307"/>
      <c r="AM2" s="307"/>
      <c r="AN2" s="307"/>
      <c r="AO2" s="307"/>
      <c r="AQ2" s="308" t="s">
        <v>86</v>
      </c>
      <c r="AR2" s="308"/>
      <c r="AS2" s="308"/>
      <c r="AT2" s="308"/>
      <c r="AU2" s="308"/>
      <c r="AV2" s="308"/>
      <c r="AW2" s="308"/>
    </row>
    <row r="3" spans="1:49" ht="72">
      <c r="A3" s="75" t="s">
        <v>90</v>
      </c>
      <c r="B3" s="76" t="s">
        <v>91</v>
      </c>
      <c r="C3" s="76" t="s">
        <v>92</v>
      </c>
      <c r="D3" s="76" t="s">
        <v>93</v>
      </c>
      <c r="E3" s="76" t="s">
        <v>94</v>
      </c>
      <c r="F3" s="77" t="s">
        <v>95</v>
      </c>
      <c r="G3" s="78" t="s">
        <v>96</v>
      </c>
      <c r="H3" s="78" t="s">
        <v>97</v>
      </c>
      <c r="I3" s="79" t="s">
        <v>98</v>
      </c>
      <c r="J3" s="73" t="s">
        <v>99</v>
      </c>
      <c r="K3" s="73" t="s">
        <v>100</v>
      </c>
      <c r="L3" s="73" t="s">
        <v>101</v>
      </c>
      <c r="M3" s="73" t="s">
        <v>102</v>
      </c>
      <c r="N3" s="73" t="s">
        <v>104</v>
      </c>
      <c r="P3" s="79" t="s">
        <v>98</v>
      </c>
      <c r="Q3" s="73" t="s">
        <v>99</v>
      </c>
      <c r="R3" s="73" t="s">
        <v>100</v>
      </c>
      <c r="S3" s="73" t="s">
        <v>101</v>
      </c>
      <c r="T3" s="73" t="s">
        <v>102</v>
      </c>
      <c r="U3" s="73" t="s">
        <v>104</v>
      </c>
      <c r="V3" s="80" t="s">
        <v>105</v>
      </c>
      <c r="W3" s="77" t="s">
        <v>85</v>
      </c>
      <c r="X3" s="77" t="s">
        <v>106</v>
      </c>
      <c r="Y3" s="77" t="s">
        <v>85</v>
      </c>
      <c r="Z3" s="77" t="s">
        <v>106</v>
      </c>
      <c r="AA3" s="77" t="s">
        <v>107</v>
      </c>
      <c r="AB3" s="81"/>
      <c r="AC3" s="77" t="s">
        <v>86</v>
      </c>
      <c r="AD3" s="77" t="s">
        <v>106</v>
      </c>
      <c r="AE3" s="77" t="s">
        <v>86</v>
      </c>
      <c r="AF3" s="77" t="s">
        <v>106</v>
      </c>
      <c r="AG3" s="77" t="s">
        <v>107</v>
      </c>
      <c r="AI3" s="79" t="s">
        <v>98</v>
      </c>
      <c r="AJ3" s="73" t="s">
        <v>99</v>
      </c>
      <c r="AK3" s="73" t="s">
        <v>100</v>
      </c>
      <c r="AL3" s="73" t="s">
        <v>101</v>
      </c>
      <c r="AM3" s="73" t="s">
        <v>102</v>
      </c>
      <c r="AN3" s="73" t="s">
        <v>103</v>
      </c>
      <c r="AO3" s="73" t="s">
        <v>104</v>
      </c>
      <c r="AQ3" s="79" t="s">
        <v>98</v>
      </c>
      <c r="AR3" s="73" t="s">
        <v>99</v>
      </c>
      <c r="AS3" s="73" t="s">
        <v>100</v>
      </c>
      <c r="AT3" s="73" t="s">
        <v>101</v>
      </c>
      <c r="AU3" s="73" t="s">
        <v>102</v>
      </c>
      <c r="AV3" s="73" t="s">
        <v>103</v>
      </c>
      <c r="AW3" s="73" t="s">
        <v>104</v>
      </c>
    </row>
    <row r="4" spans="1:49" ht="126">
      <c r="A4" s="73">
        <f>ROW()-3</f>
        <v>1</v>
      </c>
      <c r="B4" s="125" t="s">
        <v>108</v>
      </c>
      <c r="C4" s="126" t="s">
        <v>271</v>
      </c>
      <c r="D4" s="79" t="s">
        <v>270</v>
      </c>
      <c r="E4" s="82" t="s">
        <v>279</v>
      </c>
      <c r="F4" s="83">
        <f>N4</f>
        <v>3.5</v>
      </c>
      <c r="G4" s="84">
        <f>SUM(F4:F4)</f>
        <v>3.5</v>
      </c>
      <c r="H4" s="85">
        <f>SUM(W4:W4)+SUM(Y4:Y4)</f>
        <v>4.2</v>
      </c>
      <c r="I4" s="86">
        <v>0.5</v>
      </c>
      <c r="J4" s="86">
        <v>1</v>
      </c>
      <c r="K4" s="86">
        <v>2</v>
      </c>
      <c r="L4" s="86"/>
      <c r="M4" s="86"/>
      <c r="N4" s="86">
        <f>SUM(I4:M4)</f>
        <v>3.5</v>
      </c>
      <c r="O4" s="87"/>
      <c r="P4" s="88">
        <f t="shared" ref="P4:T6" si="0">ROUNDUP(I4/20,3)</f>
        <v>2.5000000000000001E-2</v>
      </c>
      <c r="Q4" s="88">
        <f t="shared" si="0"/>
        <v>0.05</v>
      </c>
      <c r="R4" s="88">
        <f t="shared" si="0"/>
        <v>0.1</v>
      </c>
      <c r="S4" s="88">
        <f t="shared" si="0"/>
        <v>0</v>
      </c>
      <c r="T4" s="88">
        <f t="shared" si="0"/>
        <v>0</v>
      </c>
      <c r="U4" s="88">
        <f>SUM(P4:T4)</f>
        <v>0.17500000000000002</v>
      </c>
      <c r="V4" s="89"/>
      <c r="W4" s="90">
        <f>N4</f>
        <v>3.5</v>
      </c>
      <c r="X4" s="91">
        <f>W4*$X$2</f>
        <v>175000</v>
      </c>
      <c r="Y4" s="90">
        <f t="shared" ref="Y4:Y8" si="1">ROUNDUP(W4*0.2,2)</f>
        <v>0.7</v>
      </c>
      <c r="Z4" s="91">
        <f>ROUNDUP(Y4*$Z$2,-3)</f>
        <v>49000</v>
      </c>
      <c r="AA4" s="91">
        <f>SUM(X4,Z4)</f>
        <v>224000</v>
      </c>
      <c r="AC4" s="118">
        <f>ROUNDUP(U4,2)</f>
        <v>0.18000000000000002</v>
      </c>
      <c r="AD4" s="91">
        <f>AC4*$AD$2</f>
        <v>180000.00000000003</v>
      </c>
      <c r="AE4" s="118">
        <f>ROUNDUP(AC4*0.2,2)</f>
        <v>0.04</v>
      </c>
      <c r="AF4" s="91">
        <f>AE4*$AF$2</f>
        <v>56000</v>
      </c>
      <c r="AG4" s="91">
        <f>SUM(AD4,AF4)</f>
        <v>236000.00000000003</v>
      </c>
      <c r="AI4" s="90">
        <f>SUM(I4:I4)</f>
        <v>0.5</v>
      </c>
      <c r="AJ4" s="90">
        <f>SUM(J4:J4)</f>
        <v>1</v>
      </c>
      <c r="AK4" s="90">
        <f>SUM(K4:K4)</f>
        <v>2</v>
      </c>
      <c r="AL4" s="90">
        <f>SUM(L4:L4)</f>
        <v>0</v>
      </c>
      <c r="AM4" s="90">
        <f>SUM(M4:M4)</f>
        <v>0</v>
      </c>
      <c r="AN4" s="90" t="e">
        <f>SUM(#REF!)</f>
        <v>#REF!</v>
      </c>
      <c r="AO4" s="90">
        <f>SUM(N4:N4)</f>
        <v>3.5</v>
      </c>
      <c r="AQ4" s="90">
        <f>SUM(P4:P4)</f>
        <v>2.5000000000000001E-2</v>
      </c>
      <c r="AR4" s="90">
        <f>SUM(Q4:Q4)</f>
        <v>0.05</v>
      </c>
      <c r="AS4" s="90">
        <f>SUM(R4:R4)</f>
        <v>0.1</v>
      </c>
      <c r="AT4" s="90">
        <f>SUM(S4:S4)</f>
        <v>0</v>
      </c>
      <c r="AU4" s="90">
        <f>SUM(T4:T4)</f>
        <v>0</v>
      </c>
      <c r="AV4" s="90" t="e">
        <f>SUM(#REF!)</f>
        <v>#REF!</v>
      </c>
      <c r="AW4" s="90">
        <f>SUM(U4:U4)</f>
        <v>0.17500000000000002</v>
      </c>
    </row>
    <row r="5" spans="1:49" ht="108">
      <c r="A5" s="137">
        <f t="shared" ref="A5:A6" si="2">ROW()-3</f>
        <v>2</v>
      </c>
      <c r="B5" s="138"/>
      <c r="C5" s="139"/>
      <c r="D5" s="140" t="s">
        <v>251</v>
      </c>
      <c r="E5" s="141" t="s">
        <v>249</v>
      </c>
      <c r="F5" s="83">
        <f t="shared" ref="F5:F6" si="3">N5</f>
        <v>4</v>
      </c>
      <c r="G5" s="83"/>
      <c r="H5" s="95"/>
      <c r="I5" s="86">
        <v>0.5</v>
      </c>
      <c r="J5" s="86">
        <v>2</v>
      </c>
      <c r="K5" s="86">
        <v>1.5</v>
      </c>
      <c r="L5" s="86"/>
      <c r="M5" s="86"/>
      <c r="N5" s="86">
        <f>SUM(I5:M5)</f>
        <v>4</v>
      </c>
      <c r="O5" s="87"/>
      <c r="P5" s="88">
        <f t="shared" si="0"/>
        <v>2.5000000000000001E-2</v>
      </c>
      <c r="Q5" s="88">
        <f t="shared" si="0"/>
        <v>0.1</v>
      </c>
      <c r="R5" s="88">
        <f t="shared" si="0"/>
        <v>7.4999999999999997E-2</v>
      </c>
      <c r="S5" s="88">
        <f t="shared" si="0"/>
        <v>0</v>
      </c>
      <c r="T5" s="88">
        <f t="shared" si="0"/>
        <v>0</v>
      </c>
      <c r="U5" s="88">
        <f>SUM(P5:T5)</f>
        <v>0.2</v>
      </c>
      <c r="V5" s="89"/>
      <c r="W5" s="90">
        <f>N5</f>
        <v>4</v>
      </c>
      <c r="X5" s="91">
        <f t="shared" ref="X5:X7" si="4">W5*$X$2</f>
        <v>200000</v>
      </c>
      <c r="Y5" s="90">
        <f t="shared" si="1"/>
        <v>0.8</v>
      </c>
      <c r="Z5" s="91">
        <f t="shared" ref="Z5:Z8" si="5">ROUNDUP(Y5*$Z$2,-3)</f>
        <v>56000</v>
      </c>
      <c r="AA5" s="91">
        <f t="shared" ref="AA5:AA8" si="6">SUM(X5,Z5)</f>
        <v>256000</v>
      </c>
      <c r="AC5" s="118">
        <f t="shared" ref="AC5:AC6" si="7">U5</f>
        <v>0.2</v>
      </c>
      <c r="AD5" s="91">
        <f t="shared" ref="AD5:AD8" si="8">AC5*$AD$2</f>
        <v>200000</v>
      </c>
      <c r="AE5" s="118">
        <f>ROUNDUP(AC5*0.2,2)</f>
        <v>0.04</v>
      </c>
      <c r="AF5" s="91">
        <f t="shared" ref="AF5:AF6" si="9">AE5*$AF$2</f>
        <v>56000</v>
      </c>
      <c r="AG5" s="91">
        <f t="shared" ref="AG5:AG6" si="10">ROUNDUP(SUM(AD5,AF5),-3)</f>
        <v>256000</v>
      </c>
      <c r="AI5" s="90"/>
      <c r="AJ5" s="90"/>
      <c r="AK5" s="90"/>
      <c r="AL5" s="90"/>
      <c r="AM5" s="90"/>
      <c r="AN5" s="90"/>
      <c r="AO5" s="90"/>
      <c r="AQ5" s="90"/>
      <c r="AR5" s="90"/>
      <c r="AS5" s="90"/>
      <c r="AT5" s="90"/>
      <c r="AU5" s="90"/>
      <c r="AV5" s="90"/>
      <c r="AW5" s="90"/>
    </row>
    <row r="6" spans="1:49" ht="216">
      <c r="A6" s="137">
        <f t="shared" si="2"/>
        <v>3</v>
      </c>
      <c r="B6" s="138"/>
      <c r="C6" s="139"/>
      <c r="D6" s="140" t="s">
        <v>256</v>
      </c>
      <c r="E6" s="141" t="s">
        <v>250</v>
      </c>
      <c r="F6" s="83">
        <f t="shared" si="3"/>
        <v>3</v>
      </c>
      <c r="G6" s="83"/>
      <c r="H6" s="95"/>
      <c r="I6" s="86">
        <v>0.5</v>
      </c>
      <c r="J6" s="86">
        <v>2</v>
      </c>
      <c r="K6" s="86">
        <v>0.5</v>
      </c>
      <c r="L6" s="86"/>
      <c r="M6" s="86"/>
      <c r="N6" s="86">
        <f>SUM(I6:M6)</f>
        <v>3</v>
      </c>
      <c r="O6" s="87"/>
      <c r="P6" s="88">
        <f t="shared" si="0"/>
        <v>2.5000000000000001E-2</v>
      </c>
      <c r="Q6" s="88">
        <f t="shared" si="0"/>
        <v>0.1</v>
      </c>
      <c r="R6" s="88">
        <f t="shared" si="0"/>
        <v>2.5000000000000001E-2</v>
      </c>
      <c r="S6" s="88">
        <f t="shared" si="0"/>
        <v>0</v>
      </c>
      <c r="T6" s="88">
        <f t="shared" si="0"/>
        <v>0</v>
      </c>
      <c r="U6" s="88">
        <f>SUM(P6:T6)</f>
        <v>0.15</v>
      </c>
      <c r="V6" s="89"/>
      <c r="W6" s="90">
        <f>N6</f>
        <v>3</v>
      </c>
      <c r="X6" s="91">
        <f t="shared" si="4"/>
        <v>150000</v>
      </c>
      <c r="Y6" s="90">
        <f t="shared" si="1"/>
        <v>0.6</v>
      </c>
      <c r="Z6" s="91">
        <f t="shared" si="5"/>
        <v>42000</v>
      </c>
      <c r="AA6" s="91">
        <f t="shared" si="6"/>
        <v>192000</v>
      </c>
      <c r="AC6" s="118">
        <f t="shared" si="7"/>
        <v>0.15</v>
      </c>
      <c r="AD6" s="91">
        <f t="shared" si="8"/>
        <v>150000</v>
      </c>
      <c r="AE6" s="118">
        <f>ROUNDUP(AC6*0.2,2)</f>
        <v>0.03</v>
      </c>
      <c r="AF6" s="91">
        <f t="shared" si="9"/>
        <v>42000</v>
      </c>
      <c r="AG6" s="91">
        <f t="shared" si="10"/>
        <v>192000</v>
      </c>
      <c r="AI6" s="90"/>
      <c r="AJ6" s="90"/>
      <c r="AK6" s="90"/>
      <c r="AL6" s="90"/>
      <c r="AM6" s="90"/>
      <c r="AN6" s="90"/>
      <c r="AO6" s="90"/>
      <c r="AQ6" s="90"/>
      <c r="AR6" s="90"/>
      <c r="AS6" s="90"/>
      <c r="AT6" s="90"/>
      <c r="AU6" s="90"/>
      <c r="AV6" s="90"/>
      <c r="AW6" s="90"/>
    </row>
    <row r="7" spans="1:49">
      <c r="A7" s="96" t="s">
        <v>109</v>
      </c>
      <c r="B7" s="97"/>
      <c r="C7" s="98"/>
      <c r="D7" s="98"/>
      <c r="E7" s="98"/>
      <c r="F7" s="99"/>
      <c r="V7" s="89" t="s">
        <v>103</v>
      </c>
      <c r="W7" s="90">
        <v>0</v>
      </c>
      <c r="X7" s="91">
        <f t="shared" si="4"/>
        <v>0</v>
      </c>
      <c r="Y7" s="90">
        <f t="shared" si="1"/>
        <v>0</v>
      </c>
      <c r="Z7" s="91">
        <f t="shared" si="5"/>
        <v>0</v>
      </c>
      <c r="AA7" s="91">
        <f t="shared" si="6"/>
        <v>0</v>
      </c>
      <c r="AC7" s="118">
        <f>ROUNDUP(W7/20,3)</f>
        <v>0</v>
      </c>
      <c r="AD7" s="91">
        <f t="shared" si="8"/>
        <v>0</v>
      </c>
      <c r="AE7" s="118">
        <f>ROUNDUP(AC7*0.2,2)</f>
        <v>0</v>
      </c>
      <c r="AF7" s="121">
        <f t="shared" ref="AF7:AF8" si="11">AE7*$AF$2</f>
        <v>0</v>
      </c>
      <c r="AG7" s="91">
        <f t="shared" ref="AG7:AG8" si="12">SUM(AD7,AF7)</f>
        <v>0</v>
      </c>
    </row>
    <row r="8" spans="1:49" ht="18.5" thickBot="1">
      <c r="A8" s="100"/>
      <c r="F8" s="101"/>
      <c r="V8" s="120" t="s">
        <v>205</v>
      </c>
      <c r="W8" s="123">
        <v>0</v>
      </c>
      <c r="X8" s="91">
        <f>W8*$X$2</f>
        <v>0</v>
      </c>
      <c r="Y8" s="90">
        <f t="shared" si="1"/>
        <v>0</v>
      </c>
      <c r="Z8" s="91">
        <f t="shared" si="5"/>
        <v>0</v>
      </c>
      <c r="AA8" s="121">
        <f t="shared" si="6"/>
        <v>0</v>
      </c>
      <c r="AC8" s="154">
        <f>ROUNDUP(W8/20,3)</f>
        <v>0</v>
      </c>
      <c r="AD8" s="121">
        <f t="shared" si="8"/>
        <v>0</v>
      </c>
      <c r="AE8" s="154">
        <f>ROUNDUP(AC8*0.2,2)</f>
        <v>0</v>
      </c>
      <c r="AF8" s="121">
        <f t="shared" si="11"/>
        <v>0</v>
      </c>
      <c r="AG8" s="121">
        <f t="shared" si="12"/>
        <v>0</v>
      </c>
    </row>
    <row r="9" spans="1:49" ht="18.5" thickBot="1">
      <c r="A9" s="100"/>
      <c r="B9" s="72" t="s">
        <v>111</v>
      </c>
      <c r="F9" s="101"/>
      <c r="AA9" s="302" t="s">
        <v>104</v>
      </c>
      <c r="AB9" s="303"/>
      <c r="AC9" s="158">
        <f>SUM(AC4:AC8)</f>
        <v>0.53</v>
      </c>
      <c r="AD9" s="157">
        <f>SUM(AD4:AD8)</f>
        <v>530000</v>
      </c>
      <c r="AE9" s="158">
        <f>ROUNDUP(SUM(AE4:AE8),2)</f>
        <v>0.11</v>
      </c>
      <c r="AF9" s="157">
        <f>SUM(AF4:AF8)</f>
        <v>154000</v>
      </c>
      <c r="AG9" s="159">
        <f>SUM(AG4:AG8)</f>
        <v>684000</v>
      </c>
    </row>
    <row r="10" spans="1:49" ht="18.5" thickBot="1">
      <c r="A10" s="100"/>
      <c r="B10" s="72" t="s">
        <v>112</v>
      </c>
      <c r="F10" s="101"/>
      <c r="W10" s="119"/>
      <c r="AD10" s="155" t="s">
        <v>267</v>
      </c>
      <c r="AE10" s="156">
        <f>SUM(AC9,AE9)</f>
        <v>0.64</v>
      </c>
    </row>
    <row r="11" spans="1:49">
      <c r="A11" s="100"/>
      <c r="B11" s="72" t="s">
        <v>113</v>
      </c>
      <c r="F11" s="101"/>
    </row>
    <row r="12" spans="1:49">
      <c r="A12" s="100"/>
      <c r="B12" s="69" t="s">
        <v>114</v>
      </c>
      <c r="F12" s="101"/>
    </row>
    <row r="13" spans="1:49" s="69" customFormat="1">
      <c r="A13" s="100"/>
      <c r="B13" s="69" t="s">
        <v>115</v>
      </c>
      <c r="C13" s="70"/>
      <c r="D13" s="70"/>
      <c r="E13" s="70"/>
      <c r="F13" s="101"/>
      <c r="G13" s="71"/>
      <c r="H13" s="71"/>
    </row>
    <row r="14" spans="1:49" s="69" customFormat="1">
      <c r="A14" s="100"/>
      <c r="B14" s="69" t="s">
        <v>116</v>
      </c>
      <c r="C14" s="70"/>
      <c r="D14" s="70"/>
      <c r="E14" s="70"/>
      <c r="F14" s="101"/>
      <c r="H14" s="71"/>
      <c r="I14" s="71"/>
    </row>
  </sheetData>
  <mergeCells count="8">
    <mergeCell ref="AA9:AB9"/>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829EA-3B4A-426A-BB9D-68B76BA2AE90}">
  <sheetPr>
    <tabColor rgb="FFFF0000"/>
  </sheetPr>
  <dimension ref="A1:AX14"/>
  <sheetViews>
    <sheetView showGridLines="0" zoomScale="85" zoomScaleNormal="85" workbookViewId="0">
      <pane xSplit="5" ySplit="3" topLeftCell="Y5" activePane="bottomRight" state="frozen"/>
      <selection activeCell="AI32" sqref="AI32"/>
      <selection pane="topRight" activeCell="AI32" sqref="AI32"/>
      <selection pane="bottomLeft" activeCell="AI32" sqref="AI32"/>
      <selection pane="bottomRight" activeCell="AG7" sqref="Z6:AG7"/>
    </sheetView>
  </sheetViews>
  <sheetFormatPr defaultRowHeight="18" outlineLevelCol="1"/>
  <cols>
    <col min="1" max="1" width="4.33203125" style="72" bestFit="1" customWidth="1"/>
    <col min="2" max="2" width="19.83203125" style="69" customWidth="1"/>
    <col min="3" max="3" width="17.58203125" style="70" customWidth="1"/>
    <col min="4" max="4" width="27.5" style="70" bestFit="1" customWidth="1"/>
    <col min="5" max="5" width="112.5" style="70" customWidth="1"/>
    <col min="6" max="8" width="9.58203125" style="71" customWidth="1"/>
    <col min="9" max="14" width="9.58203125" style="69" customWidth="1" outlineLevel="1"/>
    <col min="15" max="15" width="1.58203125" style="69" customWidth="1"/>
    <col min="16" max="21" width="9.58203125" style="69" customWidth="1" outlineLevel="1"/>
    <col min="22" max="22" width="13.83203125" style="69" customWidth="1"/>
    <col min="23" max="23" width="9.58203125" style="69" customWidth="1" outlineLevel="1"/>
    <col min="24" max="24" width="14.08203125" style="69" customWidth="1" outlineLevel="1"/>
    <col min="25" max="25" width="9.58203125" style="69" customWidth="1" outlineLevel="1"/>
    <col min="26" max="27" width="14.08203125" style="69" customWidth="1" outlineLevel="1"/>
    <col min="28" max="28" width="2.58203125" style="69" customWidth="1"/>
    <col min="29" max="29" width="9.58203125" style="69" customWidth="1" outlineLevel="1"/>
    <col min="30" max="30" width="14.08203125" style="69" customWidth="1" outlineLevel="1"/>
    <col min="31" max="31" width="9.58203125" style="69" customWidth="1" outlineLevel="1"/>
    <col min="32" max="33" width="14.08203125" style="69" customWidth="1" outlineLevel="1"/>
    <col min="34" max="34" width="5" style="69" customWidth="1"/>
    <col min="35" max="41" width="9.58203125" style="69" hidden="1" customWidth="1" outlineLevel="1"/>
    <col min="42" max="42" width="3.58203125" style="69" customWidth="1" collapsed="1"/>
    <col min="43" max="49" width="9" style="69" hidden="1" customWidth="1" outlineLevel="1"/>
    <col min="50" max="50" width="9" collapsed="1"/>
  </cols>
  <sheetData>
    <row r="1" spans="1:49" ht="22.5">
      <c r="A1" s="68" t="s">
        <v>84</v>
      </c>
      <c r="W1" s="304" t="s">
        <v>85</v>
      </c>
      <c r="X1" s="304"/>
      <c r="Y1" s="304"/>
      <c r="Z1" s="304"/>
      <c r="AA1" s="304"/>
      <c r="AC1" s="305" t="s">
        <v>86</v>
      </c>
      <c r="AD1" s="305"/>
      <c r="AE1" s="305"/>
      <c r="AF1" s="305"/>
      <c r="AG1" s="305"/>
      <c r="AI1" s="306" t="s">
        <v>87</v>
      </c>
      <c r="AJ1" s="306"/>
      <c r="AK1" s="306"/>
      <c r="AL1" s="306"/>
      <c r="AM1" s="306"/>
      <c r="AN1" s="306"/>
      <c r="AO1" s="306"/>
      <c r="AP1" s="306"/>
      <c r="AQ1" s="306"/>
      <c r="AR1" s="306"/>
      <c r="AS1" s="306"/>
      <c r="AT1" s="306"/>
      <c r="AU1" s="306"/>
      <c r="AV1" s="306"/>
      <c r="AW1" s="306"/>
    </row>
    <row r="2" spans="1:49">
      <c r="I2" s="304" t="s">
        <v>85</v>
      </c>
      <c r="J2" s="304"/>
      <c r="K2" s="304"/>
      <c r="L2" s="304"/>
      <c r="M2" s="304"/>
      <c r="N2" s="304"/>
      <c r="P2" s="305" t="s">
        <v>86</v>
      </c>
      <c r="Q2" s="305"/>
      <c r="R2" s="305"/>
      <c r="S2" s="305"/>
      <c r="T2" s="305"/>
      <c r="U2" s="305"/>
      <c r="W2" s="73" t="s">
        <v>88</v>
      </c>
      <c r="X2" s="74">
        <v>50000</v>
      </c>
      <c r="Y2" s="73" t="s">
        <v>89</v>
      </c>
      <c r="Z2" s="74">
        <v>70000</v>
      </c>
      <c r="AA2" s="73"/>
      <c r="AC2" s="73" t="s">
        <v>88</v>
      </c>
      <c r="AD2" s="74">
        <v>1000000</v>
      </c>
      <c r="AE2" s="73" t="s">
        <v>89</v>
      </c>
      <c r="AF2" s="74">
        <v>1400000</v>
      </c>
      <c r="AG2" s="73"/>
      <c r="AI2" s="307" t="s">
        <v>85</v>
      </c>
      <c r="AJ2" s="307"/>
      <c r="AK2" s="307"/>
      <c r="AL2" s="307"/>
      <c r="AM2" s="307"/>
      <c r="AN2" s="307"/>
      <c r="AO2" s="307"/>
      <c r="AQ2" s="308" t="s">
        <v>86</v>
      </c>
      <c r="AR2" s="308"/>
      <c r="AS2" s="308"/>
      <c r="AT2" s="308"/>
      <c r="AU2" s="308"/>
      <c r="AV2" s="308"/>
      <c r="AW2" s="308"/>
    </row>
    <row r="3" spans="1:49" ht="72">
      <c r="A3" s="75" t="s">
        <v>90</v>
      </c>
      <c r="B3" s="76" t="s">
        <v>91</v>
      </c>
      <c r="C3" s="76" t="s">
        <v>92</v>
      </c>
      <c r="D3" s="76" t="s">
        <v>93</v>
      </c>
      <c r="E3" s="76" t="s">
        <v>94</v>
      </c>
      <c r="F3" s="77" t="s">
        <v>95</v>
      </c>
      <c r="G3" s="78" t="s">
        <v>96</v>
      </c>
      <c r="H3" s="78" t="s">
        <v>97</v>
      </c>
      <c r="I3" s="79" t="s">
        <v>98</v>
      </c>
      <c r="J3" s="73" t="s">
        <v>99</v>
      </c>
      <c r="K3" s="73" t="s">
        <v>100</v>
      </c>
      <c r="L3" s="73" t="s">
        <v>101</v>
      </c>
      <c r="M3" s="73" t="s">
        <v>102</v>
      </c>
      <c r="N3" s="73" t="s">
        <v>104</v>
      </c>
      <c r="P3" s="79" t="s">
        <v>98</v>
      </c>
      <c r="Q3" s="73" t="s">
        <v>99</v>
      </c>
      <c r="R3" s="73" t="s">
        <v>100</v>
      </c>
      <c r="S3" s="73" t="s">
        <v>101</v>
      </c>
      <c r="T3" s="73" t="s">
        <v>102</v>
      </c>
      <c r="U3" s="73" t="s">
        <v>104</v>
      </c>
      <c r="V3" s="80" t="s">
        <v>105</v>
      </c>
      <c r="W3" s="77" t="s">
        <v>85</v>
      </c>
      <c r="X3" s="77" t="s">
        <v>106</v>
      </c>
      <c r="Y3" s="77" t="s">
        <v>85</v>
      </c>
      <c r="Z3" s="77" t="s">
        <v>106</v>
      </c>
      <c r="AA3" s="77" t="s">
        <v>107</v>
      </c>
      <c r="AB3" s="81"/>
      <c r="AC3" s="77" t="s">
        <v>86</v>
      </c>
      <c r="AD3" s="77" t="s">
        <v>106</v>
      </c>
      <c r="AE3" s="77" t="s">
        <v>86</v>
      </c>
      <c r="AF3" s="77" t="s">
        <v>106</v>
      </c>
      <c r="AG3" s="77" t="s">
        <v>107</v>
      </c>
      <c r="AI3" s="79" t="s">
        <v>98</v>
      </c>
      <c r="AJ3" s="73" t="s">
        <v>99</v>
      </c>
      <c r="AK3" s="73" t="s">
        <v>100</v>
      </c>
      <c r="AL3" s="73" t="s">
        <v>101</v>
      </c>
      <c r="AM3" s="73" t="s">
        <v>102</v>
      </c>
      <c r="AN3" s="73" t="s">
        <v>103</v>
      </c>
      <c r="AO3" s="73" t="s">
        <v>104</v>
      </c>
      <c r="AQ3" s="79" t="s">
        <v>98</v>
      </c>
      <c r="AR3" s="73" t="s">
        <v>99</v>
      </c>
      <c r="AS3" s="73" t="s">
        <v>100</v>
      </c>
      <c r="AT3" s="73" t="s">
        <v>101</v>
      </c>
      <c r="AU3" s="73" t="s">
        <v>102</v>
      </c>
      <c r="AV3" s="73" t="s">
        <v>103</v>
      </c>
      <c r="AW3" s="73" t="s">
        <v>104</v>
      </c>
    </row>
    <row r="4" spans="1:49" ht="126">
      <c r="A4" s="73">
        <f>ROW()-3</f>
        <v>1</v>
      </c>
      <c r="B4" s="125" t="s">
        <v>108</v>
      </c>
      <c r="C4" s="126" t="s">
        <v>271</v>
      </c>
      <c r="D4" s="79" t="s">
        <v>270</v>
      </c>
      <c r="E4" s="82" t="s">
        <v>279</v>
      </c>
      <c r="F4" s="83">
        <f>N4</f>
        <v>5</v>
      </c>
      <c r="G4" s="84">
        <f>SUM(F4:F4)</f>
        <v>5</v>
      </c>
      <c r="H4" s="85">
        <f>SUM(W4:W4)+SUM(Y4:Y4)</f>
        <v>6</v>
      </c>
      <c r="I4" s="86">
        <v>0.5</v>
      </c>
      <c r="J4" s="86">
        <v>1</v>
      </c>
      <c r="K4" s="86">
        <v>2</v>
      </c>
      <c r="L4" s="86">
        <v>1</v>
      </c>
      <c r="M4" s="86">
        <v>0.5</v>
      </c>
      <c r="N4" s="86">
        <f>SUM(I4:M4)</f>
        <v>5</v>
      </c>
      <c r="O4" s="87"/>
      <c r="P4" s="88">
        <f t="shared" ref="P4:T6" si="0">ROUNDUP(I4/20,3)</f>
        <v>2.5000000000000001E-2</v>
      </c>
      <c r="Q4" s="88">
        <f t="shared" si="0"/>
        <v>0.05</v>
      </c>
      <c r="R4" s="88">
        <f t="shared" si="0"/>
        <v>0.1</v>
      </c>
      <c r="S4" s="88">
        <f t="shared" si="0"/>
        <v>0.05</v>
      </c>
      <c r="T4" s="88">
        <f t="shared" si="0"/>
        <v>2.5000000000000001E-2</v>
      </c>
      <c r="U4" s="88">
        <f>SUM(P4:T4)</f>
        <v>0.25000000000000006</v>
      </c>
      <c r="V4" s="89"/>
      <c r="W4" s="90">
        <f>N4</f>
        <v>5</v>
      </c>
      <c r="X4" s="91">
        <f>W4*$X$2</f>
        <v>250000</v>
      </c>
      <c r="Y4" s="90">
        <f t="shared" ref="Y4:Y8" si="1">ROUNDUP(W4*0.2,2)</f>
        <v>1</v>
      </c>
      <c r="Z4" s="91">
        <f>ROUNDUP(Y4*$Z$2,-3)</f>
        <v>70000</v>
      </c>
      <c r="AA4" s="91">
        <f>SUM(X4,Z4)</f>
        <v>320000</v>
      </c>
      <c r="AC4" s="118">
        <f>ROUNDUP(U4,2)</f>
        <v>0.25</v>
      </c>
      <c r="AD4" s="91">
        <f>AC4*$AD$2</f>
        <v>250000</v>
      </c>
      <c r="AE4" s="118">
        <f>ROUNDUP(AC4*0.2,2)</f>
        <v>0.05</v>
      </c>
      <c r="AF4" s="91">
        <f>AE4*$AF$2</f>
        <v>70000</v>
      </c>
      <c r="AG4" s="91">
        <f>SUM(AD4,AF4)</f>
        <v>320000</v>
      </c>
      <c r="AI4" s="90">
        <f>SUM(I4:I4)</f>
        <v>0.5</v>
      </c>
      <c r="AJ4" s="90">
        <f>SUM(J4:J4)</f>
        <v>1</v>
      </c>
      <c r="AK4" s="90">
        <f>SUM(K4:K4)</f>
        <v>2</v>
      </c>
      <c r="AL4" s="90">
        <f>SUM(L4:L4)</f>
        <v>1</v>
      </c>
      <c r="AM4" s="90">
        <f>SUM(M4:M4)</f>
        <v>0.5</v>
      </c>
      <c r="AN4" s="90" t="e">
        <f>SUM(#REF!)</f>
        <v>#REF!</v>
      </c>
      <c r="AO4" s="90">
        <f>SUM(N4:N4)</f>
        <v>5</v>
      </c>
      <c r="AQ4" s="90">
        <f>SUM(P4:P4)</f>
        <v>2.5000000000000001E-2</v>
      </c>
      <c r="AR4" s="90">
        <f>SUM(Q4:Q4)</f>
        <v>0.05</v>
      </c>
      <c r="AS4" s="90">
        <f>SUM(R4:R4)</f>
        <v>0.1</v>
      </c>
      <c r="AT4" s="90">
        <f>SUM(S4:S4)</f>
        <v>0.05</v>
      </c>
      <c r="AU4" s="90">
        <f>SUM(T4:T4)</f>
        <v>2.5000000000000001E-2</v>
      </c>
      <c r="AV4" s="90" t="e">
        <f>SUM(#REF!)</f>
        <v>#REF!</v>
      </c>
      <c r="AW4" s="90">
        <f>SUM(U4:U4)</f>
        <v>0.25000000000000006</v>
      </c>
    </row>
    <row r="5" spans="1:49" ht="108">
      <c r="A5" s="137">
        <f t="shared" ref="A5:A6" si="2">ROW()-3</f>
        <v>2</v>
      </c>
      <c r="B5" s="138"/>
      <c r="C5" s="139"/>
      <c r="D5" s="140" t="s">
        <v>251</v>
      </c>
      <c r="E5" s="141" t="s">
        <v>249</v>
      </c>
      <c r="F5" s="83">
        <f t="shared" ref="F5:F6" si="3">N5</f>
        <v>5</v>
      </c>
      <c r="G5" s="83"/>
      <c r="H5" s="95"/>
      <c r="I5" s="86">
        <v>0.5</v>
      </c>
      <c r="J5" s="86">
        <v>2</v>
      </c>
      <c r="K5" s="86">
        <v>1.5</v>
      </c>
      <c r="L5" s="86">
        <v>0.5</v>
      </c>
      <c r="M5" s="86">
        <v>0.5</v>
      </c>
      <c r="N5" s="86">
        <f>SUM(I5:M5)</f>
        <v>5</v>
      </c>
      <c r="O5" s="87"/>
      <c r="P5" s="88">
        <f t="shared" si="0"/>
        <v>2.5000000000000001E-2</v>
      </c>
      <c r="Q5" s="88">
        <f t="shared" si="0"/>
        <v>0.1</v>
      </c>
      <c r="R5" s="88">
        <f t="shared" si="0"/>
        <v>7.4999999999999997E-2</v>
      </c>
      <c r="S5" s="88">
        <f t="shared" si="0"/>
        <v>2.5000000000000001E-2</v>
      </c>
      <c r="T5" s="88">
        <f t="shared" si="0"/>
        <v>2.5000000000000001E-2</v>
      </c>
      <c r="U5" s="88">
        <f>SUM(P5:T5)</f>
        <v>0.25</v>
      </c>
      <c r="V5" s="89"/>
      <c r="W5" s="90">
        <f>N5</f>
        <v>5</v>
      </c>
      <c r="X5" s="91">
        <f t="shared" ref="X5:X7" si="4">W5*$X$2</f>
        <v>250000</v>
      </c>
      <c r="Y5" s="90">
        <f t="shared" si="1"/>
        <v>1</v>
      </c>
      <c r="Z5" s="91">
        <f t="shared" ref="Z5:Z8" si="5">ROUNDUP(Y5*$Z$2,-3)</f>
        <v>70000</v>
      </c>
      <c r="AA5" s="91">
        <f t="shared" ref="AA5:AA8" si="6">SUM(X5,Z5)</f>
        <v>320000</v>
      </c>
      <c r="AC5" s="118">
        <f t="shared" ref="AC5:AC6" si="7">U5</f>
        <v>0.25</v>
      </c>
      <c r="AD5" s="91">
        <f t="shared" ref="AD5:AD8" si="8">AC5*$AD$2</f>
        <v>250000</v>
      </c>
      <c r="AE5" s="118">
        <f>ROUNDUP(AC5*0.2,2)</f>
        <v>0.05</v>
      </c>
      <c r="AF5" s="91">
        <f t="shared" ref="AF5:AF8" si="9">AE5*$AF$2</f>
        <v>70000</v>
      </c>
      <c r="AG5" s="91">
        <f t="shared" ref="AG5:AG6" si="10">ROUNDUP(SUM(AD5,AF5),-3)</f>
        <v>320000</v>
      </c>
      <c r="AI5" s="90"/>
      <c r="AJ5" s="90"/>
      <c r="AK5" s="90"/>
      <c r="AL5" s="90"/>
      <c r="AM5" s="90"/>
      <c r="AN5" s="90"/>
      <c r="AO5" s="90"/>
      <c r="AQ5" s="90"/>
      <c r="AR5" s="90"/>
      <c r="AS5" s="90"/>
      <c r="AT5" s="90"/>
      <c r="AU5" s="90"/>
      <c r="AV5" s="90"/>
      <c r="AW5" s="90"/>
    </row>
    <row r="6" spans="1:49" ht="216">
      <c r="A6" s="137">
        <f t="shared" si="2"/>
        <v>3</v>
      </c>
      <c r="B6" s="138"/>
      <c r="C6" s="139"/>
      <c r="D6" s="140" t="s">
        <v>256</v>
      </c>
      <c r="E6" s="141" t="s">
        <v>250</v>
      </c>
      <c r="F6" s="83">
        <f t="shared" si="3"/>
        <v>4</v>
      </c>
      <c r="G6" s="83"/>
      <c r="H6" s="95"/>
      <c r="I6" s="86">
        <v>0.5</v>
      </c>
      <c r="J6" s="86">
        <v>2</v>
      </c>
      <c r="K6" s="86">
        <v>0.5</v>
      </c>
      <c r="L6" s="86">
        <v>0.5</v>
      </c>
      <c r="M6" s="86">
        <v>0.5</v>
      </c>
      <c r="N6" s="86">
        <f>SUM(I6:M6)</f>
        <v>4</v>
      </c>
      <c r="O6" s="87"/>
      <c r="P6" s="88">
        <f t="shared" si="0"/>
        <v>2.5000000000000001E-2</v>
      </c>
      <c r="Q6" s="88">
        <f t="shared" si="0"/>
        <v>0.1</v>
      </c>
      <c r="R6" s="88">
        <f t="shared" si="0"/>
        <v>2.5000000000000001E-2</v>
      </c>
      <c r="S6" s="88">
        <f t="shared" si="0"/>
        <v>2.5000000000000001E-2</v>
      </c>
      <c r="T6" s="88">
        <f t="shared" si="0"/>
        <v>2.5000000000000001E-2</v>
      </c>
      <c r="U6" s="88">
        <f>SUM(P6:T6)</f>
        <v>0.19999999999999998</v>
      </c>
      <c r="V6" s="89"/>
      <c r="W6" s="90">
        <f>N6</f>
        <v>4</v>
      </c>
      <c r="X6" s="91">
        <f t="shared" si="4"/>
        <v>200000</v>
      </c>
      <c r="Y6" s="90">
        <f t="shared" si="1"/>
        <v>0.8</v>
      </c>
      <c r="Z6" s="91">
        <f t="shared" si="5"/>
        <v>56000</v>
      </c>
      <c r="AA6" s="91">
        <f t="shared" si="6"/>
        <v>256000</v>
      </c>
      <c r="AC6" s="118">
        <f t="shared" si="7"/>
        <v>0.19999999999999998</v>
      </c>
      <c r="AD6" s="91">
        <f t="shared" si="8"/>
        <v>199999.99999999997</v>
      </c>
      <c r="AE6" s="118">
        <f>ROUNDUP(AC6*0.2,2)</f>
        <v>0.04</v>
      </c>
      <c r="AF6" s="91">
        <f t="shared" si="9"/>
        <v>56000</v>
      </c>
      <c r="AG6" s="91">
        <f t="shared" si="10"/>
        <v>256000</v>
      </c>
      <c r="AI6" s="90"/>
      <c r="AJ6" s="90"/>
      <c r="AK6" s="90"/>
      <c r="AL6" s="90"/>
      <c r="AM6" s="90"/>
      <c r="AN6" s="90"/>
      <c r="AO6" s="90"/>
      <c r="AQ6" s="90"/>
      <c r="AR6" s="90"/>
      <c r="AS6" s="90"/>
      <c r="AT6" s="90"/>
      <c r="AU6" s="90"/>
      <c r="AV6" s="90"/>
      <c r="AW6" s="90"/>
    </row>
    <row r="7" spans="1:49">
      <c r="A7" s="96" t="s">
        <v>109</v>
      </c>
      <c r="B7" s="97"/>
      <c r="C7" s="98"/>
      <c r="D7" s="98"/>
      <c r="E7" s="98"/>
      <c r="F7" s="99"/>
      <c r="V7" s="89" t="s">
        <v>103</v>
      </c>
      <c r="W7" s="90">
        <v>0</v>
      </c>
      <c r="X7" s="91">
        <f t="shared" si="4"/>
        <v>0</v>
      </c>
      <c r="Y7" s="90">
        <f t="shared" si="1"/>
        <v>0</v>
      </c>
      <c r="Z7" s="91">
        <f t="shared" si="5"/>
        <v>0</v>
      </c>
      <c r="AA7" s="91">
        <f t="shared" si="6"/>
        <v>0</v>
      </c>
      <c r="AC7" s="118">
        <f>ROUNDUP(W7/20,3)</f>
        <v>0</v>
      </c>
      <c r="AD7" s="91">
        <f t="shared" si="8"/>
        <v>0</v>
      </c>
      <c r="AE7" s="118">
        <f>ROUNDUP(AC7*0.2,2)</f>
        <v>0</v>
      </c>
      <c r="AF7" s="121">
        <f t="shared" si="9"/>
        <v>0</v>
      </c>
      <c r="AG7" s="91">
        <f t="shared" ref="AG7:AG8" si="11">SUM(AD7,AF7)</f>
        <v>0</v>
      </c>
    </row>
    <row r="8" spans="1:49" ht="18.5" thickBot="1">
      <c r="A8" s="100"/>
      <c r="F8" s="101"/>
      <c r="V8" s="120" t="s">
        <v>205</v>
      </c>
      <c r="W8" s="123">
        <v>0</v>
      </c>
      <c r="X8" s="91">
        <f>W8*$X$2</f>
        <v>0</v>
      </c>
      <c r="Y8" s="90">
        <f t="shared" si="1"/>
        <v>0</v>
      </c>
      <c r="Z8" s="91">
        <f t="shared" si="5"/>
        <v>0</v>
      </c>
      <c r="AA8" s="121">
        <f t="shared" si="6"/>
        <v>0</v>
      </c>
      <c r="AC8" s="154">
        <f>ROUNDUP(W8/20,3)</f>
        <v>0</v>
      </c>
      <c r="AD8" s="121">
        <f t="shared" si="8"/>
        <v>0</v>
      </c>
      <c r="AE8" s="154">
        <f>ROUNDUP(AC8*0.2,2)</f>
        <v>0</v>
      </c>
      <c r="AF8" s="121">
        <f t="shared" si="9"/>
        <v>0</v>
      </c>
      <c r="AG8" s="121">
        <f t="shared" si="11"/>
        <v>0</v>
      </c>
    </row>
    <row r="9" spans="1:49" ht="18.5" thickBot="1">
      <c r="A9" s="100"/>
      <c r="B9" s="72" t="s">
        <v>111</v>
      </c>
      <c r="F9" s="101"/>
      <c r="AA9" s="302" t="s">
        <v>104</v>
      </c>
      <c r="AB9" s="303"/>
      <c r="AC9" s="158">
        <f>SUM(AC4:AC8)</f>
        <v>0.7</v>
      </c>
      <c r="AD9" s="157">
        <f>SUM(AD4:AD8)</f>
        <v>700000</v>
      </c>
      <c r="AE9" s="158">
        <f>ROUNDUP(SUM(AE4:AE8),2)</f>
        <v>0.14000000000000001</v>
      </c>
      <c r="AF9" s="157">
        <f>SUM(AF4:AF8)</f>
        <v>196000</v>
      </c>
      <c r="AG9" s="159">
        <f>SUM(AG4:AG8)</f>
        <v>896000</v>
      </c>
    </row>
    <row r="10" spans="1:49" ht="18.5" thickBot="1">
      <c r="A10" s="100"/>
      <c r="B10" s="72" t="s">
        <v>112</v>
      </c>
      <c r="F10" s="101"/>
      <c r="W10" s="119"/>
      <c r="AD10" s="155" t="s">
        <v>267</v>
      </c>
      <c r="AE10" s="156">
        <f>SUM(AC9,AE9)</f>
        <v>0.84</v>
      </c>
    </row>
    <row r="11" spans="1:49">
      <c r="A11" s="100"/>
      <c r="B11" s="72" t="s">
        <v>113</v>
      </c>
      <c r="F11" s="101"/>
    </row>
    <row r="12" spans="1:49">
      <c r="A12" s="100"/>
      <c r="B12" s="69" t="s">
        <v>114</v>
      </c>
      <c r="F12" s="101"/>
    </row>
    <row r="13" spans="1:49" s="69" customFormat="1">
      <c r="A13" s="100"/>
      <c r="B13" s="69" t="s">
        <v>115</v>
      </c>
      <c r="C13" s="70"/>
      <c r="D13" s="70"/>
      <c r="E13" s="70"/>
      <c r="F13" s="101"/>
      <c r="G13" s="71"/>
      <c r="H13" s="71"/>
    </row>
    <row r="14" spans="1:49" s="69" customFormat="1">
      <c r="A14" s="100"/>
      <c r="B14" s="69" t="s">
        <v>116</v>
      </c>
      <c r="C14" s="70"/>
      <c r="D14" s="70"/>
      <c r="E14" s="70"/>
      <c r="F14" s="101"/>
      <c r="H14" s="71"/>
      <c r="I14" s="71"/>
    </row>
  </sheetData>
  <mergeCells count="8">
    <mergeCell ref="AA9:AB9"/>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2EDF9-0F9C-41AE-81AA-BD7E57746A0B}">
  <dimension ref="A1:AQ125"/>
  <sheetViews>
    <sheetView showGridLines="0" tabSelected="1" topLeftCell="A40" zoomScale="130" zoomScaleNormal="130" zoomScaleSheetLayoutView="115" workbookViewId="0">
      <selection activeCell="Q54" sqref="Q54"/>
    </sheetView>
  </sheetViews>
  <sheetFormatPr defaultColWidth="2.58203125" defaultRowHeight="15" customHeight="1"/>
  <cols>
    <col min="1" max="1" width="2.58203125" style="180"/>
    <col min="2" max="2" width="2.58203125" style="114" customWidth="1"/>
    <col min="3" max="8" width="2.58203125" style="114"/>
    <col min="9" max="9" width="5.83203125" style="114" bestFit="1" customWidth="1"/>
    <col min="10" max="38" width="2.58203125" style="114"/>
    <col min="39" max="39" width="4.75" style="114" bestFit="1" customWidth="1"/>
    <col min="40" max="16384" width="2.58203125" style="114"/>
  </cols>
  <sheetData>
    <row r="1" spans="1:36" s="179" customFormat="1" ht="15" customHeight="1">
      <c r="A1" s="312" t="s">
        <v>0</v>
      </c>
      <c r="B1" s="312"/>
      <c r="C1" s="312"/>
      <c r="D1" s="312"/>
      <c r="E1" s="312"/>
      <c r="F1" s="312"/>
      <c r="G1" s="312"/>
      <c r="H1" s="312"/>
      <c r="I1" s="312"/>
      <c r="J1" s="312"/>
      <c r="K1" s="312"/>
      <c r="L1" s="312"/>
      <c r="M1" s="312"/>
      <c r="N1" s="312"/>
      <c r="O1" s="312"/>
      <c r="P1" s="312"/>
      <c r="Q1" s="312"/>
      <c r="X1" s="181" t="s">
        <v>1</v>
      </c>
      <c r="Z1" s="181"/>
      <c r="AA1" s="181"/>
      <c r="AB1" s="181"/>
      <c r="AC1" s="181"/>
      <c r="AD1" s="181"/>
      <c r="AE1" s="181"/>
      <c r="AF1" s="313" t="s">
        <v>2</v>
      </c>
      <c r="AG1" s="314"/>
      <c r="AH1" s="314"/>
      <c r="AI1" s="314"/>
      <c r="AJ1" s="314"/>
    </row>
    <row r="2" spans="1:36" s="179" customFormat="1" ht="15" customHeight="1">
      <c r="A2" s="312"/>
      <c r="B2" s="312"/>
      <c r="C2" s="312"/>
      <c r="D2" s="312"/>
      <c r="E2" s="312"/>
      <c r="F2" s="312"/>
      <c r="G2" s="312"/>
      <c r="H2" s="312"/>
      <c r="I2" s="312"/>
      <c r="J2" s="312"/>
      <c r="K2" s="312"/>
      <c r="L2" s="312"/>
      <c r="M2" s="312"/>
      <c r="N2" s="312"/>
      <c r="O2" s="312"/>
      <c r="P2" s="312"/>
      <c r="Q2" s="312"/>
      <c r="X2" s="182" t="s">
        <v>3</v>
      </c>
      <c r="Y2" s="183"/>
      <c r="Z2" s="182"/>
      <c r="AA2" s="182"/>
      <c r="AB2" s="182"/>
      <c r="AC2" s="182"/>
      <c r="AD2" s="182"/>
      <c r="AE2" s="182"/>
      <c r="AF2" s="315">
        <v>45971</v>
      </c>
      <c r="AG2" s="316"/>
      <c r="AH2" s="316"/>
      <c r="AI2" s="316"/>
      <c r="AJ2" s="316"/>
    </row>
    <row r="3" spans="1:36" s="179" customFormat="1" ht="15" customHeight="1">
      <c r="A3" s="184"/>
      <c r="Z3" s="114"/>
      <c r="AA3" s="114"/>
      <c r="AB3" s="114"/>
      <c r="AC3" s="114"/>
      <c r="AD3" s="114"/>
      <c r="AE3" s="114"/>
      <c r="AF3" s="114"/>
      <c r="AG3" s="114"/>
      <c r="AH3" s="114"/>
      <c r="AI3" s="114"/>
      <c r="AJ3" s="114"/>
    </row>
    <row r="4" spans="1:36" s="179" customFormat="1" ht="15" customHeight="1">
      <c r="A4" s="184"/>
      <c r="Z4" s="114"/>
      <c r="AA4" s="114"/>
      <c r="AB4" s="114"/>
      <c r="AC4" s="114"/>
      <c r="AD4" s="114"/>
      <c r="AE4" s="114"/>
      <c r="AF4" s="114"/>
      <c r="AG4" s="114"/>
      <c r="AH4" s="114"/>
      <c r="AI4" s="114"/>
      <c r="AJ4" s="114"/>
    </row>
    <row r="5" spans="1:36" s="179" customFormat="1" ht="15" customHeight="1">
      <c r="A5" s="317" t="s">
        <v>4</v>
      </c>
      <c r="B5" s="317"/>
      <c r="C5" s="317"/>
      <c r="D5" s="317"/>
      <c r="E5" s="317"/>
      <c r="F5" s="317"/>
      <c r="G5" s="317"/>
      <c r="H5" s="317"/>
      <c r="I5" s="317"/>
      <c r="J5" s="317"/>
      <c r="K5" s="317"/>
      <c r="L5" s="317"/>
      <c r="M5" s="317"/>
      <c r="N5" s="317"/>
      <c r="O5" s="317"/>
      <c r="P5" s="317"/>
      <c r="Q5" s="317"/>
      <c r="Z5" s="114"/>
      <c r="AA5" s="114"/>
      <c r="AB5" s="114"/>
      <c r="AC5" s="114"/>
      <c r="AD5" s="114"/>
      <c r="AE5" s="114"/>
      <c r="AF5" s="114"/>
      <c r="AG5" s="114"/>
      <c r="AH5" s="114"/>
      <c r="AI5" s="114"/>
      <c r="AJ5" s="114"/>
    </row>
    <row r="6" spans="1:36" s="179" customFormat="1" ht="15" customHeight="1">
      <c r="A6" s="318"/>
      <c r="B6" s="318"/>
      <c r="C6" s="318"/>
      <c r="D6" s="318"/>
      <c r="E6" s="318"/>
      <c r="F6" s="318"/>
      <c r="G6" s="318"/>
      <c r="H6" s="318"/>
      <c r="I6" s="318"/>
      <c r="J6" s="318"/>
      <c r="K6" s="318"/>
      <c r="L6" s="318"/>
      <c r="M6" s="318"/>
      <c r="N6" s="318"/>
      <c r="O6" s="318"/>
      <c r="P6" s="318"/>
      <c r="Q6" s="318"/>
      <c r="Z6" s="114"/>
      <c r="AA6" s="114"/>
      <c r="AB6" s="114"/>
      <c r="AC6" s="114"/>
      <c r="AD6" s="114"/>
      <c r="AE6" s="114"/>
      <c r="AF6" s="114"/>
      <c r="AG6" s="114"/>
      <c r="AH6" s="114"/>
      <c r="AI6" s="114"/>
      <c r="AJ6" s="114"/>
    </row>
    <row r="7" spans="1:36" s="179" customFormat="1" ht="15" customHeight="1">
      <c r="A7" s="184"/>
      <c r="AA7" s="114"/>
      <c r="AB7" s="114"/>
      <c r="AC7" s="114"/>
      <c r="AD7" s="114"/>
      <c r="AE7" s="114"/>
      <c r="AF7" s="114"/>
      <c r="AG7" s="114"/>
      <c r="AH7" s="114"/>
      <c r="AI7" s="114"/>
      <c r="AJ7" s="114"/>
    </row>
    <row r="8" spans="1:36" s="179" customFormat="1" ht="15" customHeight="1">
      <c r="A8" s="184"/>
      <c r="X8" s="114" t="s">
        <v>5</v>
      </c>
      <c r="AA8" s="114"/>
      <c r="AB8" s="114"/>
      <c r="AC8" s="114"/>
      <c r="AD8" s="114"/>
      <c r="AE8" s="114"/>
      <c r="AF8" s="114"/>
      <c r="AG8" s="114"/>
      <c r="AH8" s="114"/>
      <c r="AI8" s="114"/>
      <c r="AJ8" s="114"/>
    </row>
    <row r="9" spans="1:36" s="179" customFormat="1" ht="15" customHeight="1">
      <c r="A9" s="184"/>
      <c r="X9" s="114" t="s">
        <v>6</v>
      </c>
      <c r="AA9" s="114"/>
      <c r="AB9" s="114"/>
      <c r="AC9" s="114"/>
      <c r="AD9" s="114"/>
      <c r="AE9" s="114"/>
      <c r="AF9" s="114"/>
      <c r="AG9" s="114"/>
      <c r="AH9" s="114"/>
      <c r="AI9" s="114"/>
      <c r="AJ9" s="114"/>
    </row>
    <row r="10" spans="1:36" s="179" customFormat="1" ht="15" customHeight="1">
      <c r="A10" s="184"/>
      <c r="X10" s="114" t="s">
        <v>7</v>
      </c>
      <c r="AA10" s="114"/>
      <c r="AB10" s="114"/>
      <c r="AC10" s="114"/>
      <c r="AD10" s="114"/>
      <c r="AE10" s="114"/>
      <c r="AF10" s="114"/>
      <c r="AG10" s="114"/>
      <c r="AH10" s="114"/>
      <c r="AI10" s="114"/>
      <c r="AJ10" s="114"/>
    </row>
    <row r="11" spans="1:36" s="179" customFormat="1" ht="15" customHeight="1">
      <c r="A11" s="319" t="s">
        <v>8</v>
      </c>
      <c r="B11" s="319"/>
      <c r="C11" s="319"/>
      <c r="D11" s="319"/>
      <c r="E11" s="319"/>
      <c r="F11" s="321">
        <f>AE47</f>
        <v>660000</v>
      </c>
      <c r="G11" s="321"/>
      <c r="H11" s="321"/>
      <c r="I11" s="321"/>
      <c r="J11" s="321"/>
      <c r="K11" s="321"/>
      <c r="L11" s="321"/>
      <c r="M11" s="321"/>
      <c r="N11" s="321"/>
      <c r="O11" s="321"/>
      <c r="P11" s="321"/>
      <c r="Q11" s="321"/>
      <c r="X11" s="114" t="s">
        <v>9</v>
      </c>
      <c r="AA11" s="114"/>
      <c r="AB11" s="114"/>
      <c r="AC11" s="114"/>
      <c r="AD11" s="114"/>
      <c r="AE11" s="114"/>
      <c r="AF11" s="114"/>
      <c r="AG11" s="114"/>
      <c r="AH11" s="114"/>
      <c r="AI11" s="114"/>
      <c r="AJ11" s="114"/>
    </row>
    <row r="12" spans="1:36" s="179" customFormat="1" ht="15" customHeight="1">
      <c r="A12" s="320"/>
      <c r="B12" s="320"/>
      <c r="C12" s="320"/>
      <c r="D12" s="320"/>
      <c r="E12" s="320"/>
      <c r="F12" s="322"/>
      <c r="G12" s="322"/>
      <c r="H12" s="322"/>
      <c r="I12" s="322"/>
      <c r="J12" s="322"/>
      <c r="K12" s="322"/>
      <c r="L12" s="322"/>
      <c r="M12" s="322"/>
      <c r="N12" s="322"/>
      <c r="O12" s="322"/>
      <c r="P12" s="322"/>
      <c r="Q12" s="322"/>
      <c r="X12" s="114" t="s">
        <v>10</v>
      </c>
      <c r="AA12" s="114"/>
      <c r="AB12" s="114"/>
      <c r="AC12" s="114"/>
      <c r="AD12" s="114"/>
      <c r="AE12" s="114"/>
      <c r="AF12" s="114"/>
      <c r="AG12" s="114"/>
      <c r="AH12" s="114"/>
      <c r="AI12" s="114"/>
      <c r="AJ12" s="114"/>
    </row>
    <row r="13" spans="1:36" s="179" customFormat="1" ht="15" customHeight="1">
      <c r="A13" s="184"/>
    </row>
    <row r="14" spans="1:36" s="179" customFormat="1" ht="15" customHeight="1">
      <c r="A14" s="184"/>
    </row>
    <row r="15" spans="1:36" s="179" customFormat="1" ht="15" customHeight="1">
      <c r="A15" s="184"/>
    </row>
    <row r="16" spans="1:36" ht="15" customHeight="1">
      <c r="A16" s="180" t="s">
        <v>11</v>
      </c>
    </row>
    <row r="17" spans="1:16" ht="15" customHeight="1">
      <c r="B17" s="114" t="s">
        <v>304</v>
      </c>
    </row>
    <row r="18" spans="1:16" ht="15" customHeight="1">
      <c r="B18" s="114" t="s">
        <v>217</v>
      </c>
    </row>
    <row r="19" spans="1:16" ht="15" customHeight="1">
      <c r="B19" s="114" t="s">
        <v>281</v>
      </c>
    </row>
    <row r="20" spans="1:16" ht="15" customHeight="1">
      <c r="A20" s="114"/>
    </row>
    <row r="21" spans="1:16" ht="15" customHeight="1">
      <c r="A21" s="180" t="s">
        <v>12</v>
      </c>
      <c r="P21" s="180"/>
    </row>
    <row r="22" spans="1:16" ht="15" customHeight="1">
      <c r="A22" s="114"/>
    </row>
    <row r="23" spans="1:16" ht="15" customHeight="1">
      <c r="A23" s="114"/>
      <c r="B23" s="114" t="s">
        <v>290</v>
      </c>
    </row>
    <row r="24" spans="1:16" ht="15" customHeight="1">
      <c r="A24" s="114"/>
    </row>
    <row r="25" spans="1:16" ht="15" customHeight="1">
      <c r="A25" s="114"/>
    </row>
    <row r="26" spans="1:16" ht="15" customHeight="1">
      <c r="A26" s="180" t="s">
        <v>14</v>
      </c>
    </row>
    <row r="27" spans="1:16" ht="15" customHeight="1">
      <c r="A27" s="114"/>
    </row>
    <row r="28" spans="1:16" ht="15" customHeight="1">
      <c r="A28" s="114"/>
      <c r="B28" s="114" t="s">
        <v>15</v>
      </c>
    </row>
    <row r="29" spans="1:16" ht="15" customHeight="1">
      <c r="A29" s="114"/>
    </row>
    <row r="30" spans="1:16" ht="15" customHeight="1">
      <c r="A30" s="114"/>
    </row>
    <row r="31" spans="1:16" ht="15" customHeight="1">
      <c r="A31" s="180" t="s">
        <v>16</v>
      </c>
    </row>
    <row r="33" spans="1:43" ht="15" customHeight="1">
      <c r="A33" s="114"/>
      <c r="B33" s="114" t="s">
        <v>314</v>
      </c>
    </row>
    <row r="34" spans="1:43" ht="15" customHeight="1">
      <c r="A34" s="114"/>
    </row>
    <row r="35" spans="1:43" s="27" customFormat="1" ht="15" customHeight="1">
      <c r="A35" s="30" t="s">
        <v>309</v>
      </c>
    </row>
    <row r="36" spans="1:43" s="27" customFormat="1" ht="15" customHeight="1">
      <c r="A36" s="30"/>
    </row>
    <row r="37" spans="1:43" s="27" customFormat="1" ht="15" customHeight="1">
      <c r="B37" s="230" t="s">
        <v>313</v>
      </c>
    </row>
    <row r="38" spans="1:43" ht="15" customHeight="1">
      <c r="A38" s="114"/>
    </row>
    <row r="39" spans="1:43" ht="15" customHeight="1">
      <c r="A39" s="180" t="s">
        <v>17</v>
      </c>
    </row>
    <row r="40" spans="1:43" ht="15" customHeight="1">
      <c r="A40" s="114"/>
    </row>
    <row r="41" spans="1:43" ht="15" customHeight="1">
      <c r="A41" s="114"/>
      <c r="B41" s="185" t="s">
        <v>18</v>
      </c>
      <c r="C41" s="186"/>
      <c r="D41" s="187" t="s">
        <v>19</v>
      </c>
      <c r="E41" s="187"/>
      <c r="F41" s="187"/>
      <c r="G41" s="187"/>
      <c r="H41" s="187"/>
      <c r="I41" s="187"/>
      <c r="J41" s="187"/>
      <c r="K41" s="187"/>
      <c r="L41" s="187"/>
      <c r="M41" s="187"/>
      <c r="N41" s="187"/>
      <c r="O41" s="187"/>
      <c r="P41" s="187"/>
      <c r="Q41" s="187"/>
      <c r="R41" s="187"/>
      <c r="S41" s="187"/>
      <c r="T41" s="185"/>
      <c r="U41" s="187"/>
      <c r="V41" s="187"/>
      <c r="W41" s="187"/>
      <c r="X41" s="186"/>
      <c r="Y41" s="185" t="s">
        <v>20</v>
      </c>
      <c r="Z41" s="187"/>
      <c r="AA41" s="187"/>
      <c r="AB41" s="187"/>
      <c r="AC41" s="187"/>
      <c r="AD41" s="187"/>
      <c r="AE41" s="185" t="s">
        <v>21</v>
      </c>
      <c r="AF41" s="187"/>
      <c r="AG41" s="187"/>
      <c r="AH41" s="187"/>
      <c r="AI41" s="187"/>
      <c r="AJ41" s="186"/>
      <c r="AM41" s="185" t="s">
        <v>22</v>
      </c>
      <c r="AN41" s="187"/>
      <c r="AO41" s="187"/>
      <c r="AP41" s="187"/>
      <c r="AQ41" s="186"/>
    </row>
    <row r="42" spans="1:43" ht="15" customHeight="1">
      <c r="A42" s="114"/>
      <c r="B42" s="323">
        <v>1</v>
      </c>
      <c r="C42" s="324"/>
      <c r="D42" s="192" t="s">
        <v>48</v>
      </c>
      <c r="E42" s="116"/>
      <c r="F42" s="116"/>
      <c r="G42" s="116"/>
      <c r="H42" s="116"/>
      <c r="I42" s="116"/>
      <c r="J42" s="116"/>
      <c r="K42" s="116"/>
      <c r="L42" s="116"/>
      <c r="M42" s="116"/>
      <c r="N42" s="116"/>
      <c r="O42" s="116"/>
      <c r="P42" s="116"/>
      <c r="Q42" s="116"/>
      <c r="R42" s="116"/>
      <c r="S42" s="116"/>
      <c r="T42" s="193"/>
      <c r="U42" s="193"/>
      <c r="V42" s="193"/>
      <c r="W42" s="193"/>
      <c r="X42" s="194"/>
      <c r="Y42" s="325">
        <f>工数明細③2月!AC7</f>
        <v>0.1</v>
      </c>
      <c r="Z42" s="326"/>
      <c r="AA42" s="326"/>
      <c r="AB42" s="326"/>
      <c r="AC42" s="327" t="s">
        <v>23</v>
      </c>
      <c r="AD42" s="328"/>
      <c r="AE42" s="329">
        <f>AM42*Y42</f>
        <v>100000</v>
      </c>
      <c r="AF42" s="330"/>
      <c r="AG42" s="330"/>
      <c r="AH42" s="330"/>
      <c r="AI42" s="330"/>
      <c r="AJ42" s="331"/>
      <c r="AM42" s="309">
        <v>1000000</v>
      </c>
      <c r="AN42" s="310"/>
      <c r="AO42" s="310"/>
      <c r="AP42" s="310"/>
      <c r="AQ42" s="311"/>
    </row>
    <row r="43" spans="1:43" ht="15" customHeight="1">
      <c r="A43" s="114"/>
      <c r="B43" s="323">
        <v>2</v>
      </c>
      <c r="C43" s="324"/>
      <c r="D43" s="192" t="s">
        <v>297</v>
      </c>
      <c r="E43" s="116"/>
      <c r="F43" s="116"/>
      <c r="G43" s="116"/>
      <c r="H43" s="116"/>
      <c r="I43" s="116"/>
      <c r="J43" s="116"/>
      <c r="K43" s="116"/>
      <c r="L43" s="116"/>
      <c r="M43" s="116"/>
      <c r="N43" s="116"/>
      <c r="O43" s="116"/>
      <c r="P43" s="116"/>
      <c r="Q43" s="116"/>
      <c r="R43" s="116"/>
      <c r="S43" s="116"/>
      <c r="T43" s="193"/>
      <c r="U43" s="193"/>
      <c r="V43" s="193"/>
      <c r="W43" s="193"/>
      <c r="X43" s="194"/>
      <c r="Y43" s="325">
        <v>0.09</v>
      </c>
      <c r="Z43" s="326"/>
      <c r="AA43" s="326"/>
      <c r="AB43" s="326"/>
      <c r="AC43" s="327" t="s">
        <v>23</v>
      </c>
      <c r="AD43" s="328"/>
      <c r="AE43" s="329">
        <f>AM43*Y43</f>
        <v>90000</v>
      </c>
      <c r="AF43" s="330"/>
      <c r="AG43" s="330"/>
      <c r="AH43" s="330"/>
      <c r="AI43" s="330"/>
      <c r="AJ43" s="331"/>
      <c r="AM43" s="309">
        <v>1000000</v>
      </c>
      <c r="AN43" s="310"/>
      <c r="AO43" s="310"/>
      <c r="AP43" s="310"/>
      <c r="AQ43" s="311"/>
    </row>
    <row r="44" spans="1:43" ht="15" customHeight="1">
      <c r="A44" s="114"/>
      <c r="B44" s="323">
        <v>3</v>
      </c>
      <c r="C44" s="324"/>
      <c r="D44" s="192" t="s">
        <v>24</v>
      </c>
      <c r="E44" s="116"/>
      <c r="F44" s="116"/>
      <c r="G44" s="116"/>
      <c r="H44" s="116"/>
      <c r="I44" s="116"/>
      <c r="J44" s="116"/>
      <c r="K44" s="116"/>
      <c r="L44" s="116"/>
      <c r="M44" s="116"/>
      <c r="N44" s="116"/>
      <c r="O44" s="116"/>
      <c r="P44" s="116"/>
      <c r="Q44" s="116"/>
      <c r="R44" s="116"/>
      <c r="S44" s="116"/>
      <c r="T44" s="193"/>
      <c r="U44" s="193"/>
      <c r="V44" s="193"/>
      <c r="W44" s="193"/>
      <c r="X44" s="194"/>
      <c r="Y44" s="325">
        <f>工数明細③2月!AC9</f>
        <v>0.1</v>
      </c>
      <c r="Z44" s="326"/>
      <c r="AA44" s="326"/>
      <c r="AB44" s="326"/>
      <c r="AC44" s="327" t="s">
        <v>23</v>
      </c>
      <c r="AD44" s="328"/>
      <c r="AE44" s="329">
        <f>AM44*Y44</f>
        <v>100000</v>
      </c>
      <c r="AF44" s="330"/>
      <c r="AG44" s="330"/>
      <c r="AH44" s="330"/>
      <c r="AI44" s="330"/>
      <c r="AJ44" s="331"/>
      <c r="AM44" s="309">
        <v>1000000</v>
      </c>
      <c r="AN44" s="310"/>
      <c r="AO44" s="310"/>
      <c r="AP44" s="310"/>
      <c r="AQ44" s="311"/>
    </row>
    <row r="45" spans="1:43" ht="15" customHeight="1">
      <c r="A45" s="114"/>
      <c r="B45" s="244">
        <v>4</v>
      </c>
      <c r="C45" s="245"/>
      <c r="D45" s="188" t="s">
        <v>289</v>
      </c>
      <c r="E45" s="112"/>
      <c r="F45" s="112"/>
      <c r="G45" s="112"/>
      <c r="H45" s="112"/>
      <c r="I45" s="112"/>
      <c r="J45" s="112"/>
      <c r="K45" s="112"/>
      <c r="L45" s="112"/>
      <c r="M45" s="112"/>
      <c r="N45" s="112"/>
      <c r="O45" s="112"/>
      <c r="P45" s="112"/>
      <c r="Q45" s="112"/>
      <c r="R45" s="112"/>
      <c r="S45" s="112"/>
      <c r="T45" s="189"/>
      <c r="U45" s="189"/>
      <c r="V45" s="189"/>
      <c r="W45" s="189"/>
      <c r="X45" s="190"/>
      <c r="Y45" s="325">
        <v>0.23</v>
      </c>
      <c r="Z45" s="326"/>
      <c r="AA45" s="326"/>
      <c r="AB45" s="326"/>
      <c r="AC45" s="348" t="s">
        <v>23</v>
      </c>
      <c r="AD45" s="349"/>
      <c r="AE45" s="309">
        <f>AM45*Y45</f>
        <v>230000</v>
      </c>
      <c r="AF45" s="310"/>
      <c r="AG45" s="310"/>
      <c r="AH45" s="310"/>
      <c r="AI45" s="310"/>
      <c r="AJ45" s="311"/>
      <c r="AM45" s="309">
        <v>1000000</v>
      </c>
      <c r="AN45" s="310"/>
      <c r="AO45" s="310"/>
      <c r="AP45" s="310"/>
      <c r="AQ45" s="311"/>
    </row>
    <row r="46" spans="1:43" ht="15" customHeight="1" thickBot="1">
      <c r="A46" s="114"/>
      <c r="B46" s="361">
        <v>5</v>
      </c>
      <c r="C46" s="362"/>
      <c r="D46" s="195" t="s">
        <v>25</v>
      </c>
      <c r="E46" s="196"/>
      <c r="F46" s="196"/>
      <c r="G46" s="196"/>
      <c r="H46" s="196"/>
      <c r="I46" s="196"/>
      <c r="J46" s="196"/>
      <c r="K46" s="196"/>
      <c r="L46" s="196"/>
      <c r="M46" s="196"/>
      <c r="N46" s="196"/>
      <c r="O46" s="196"/>
      <c r="P46" s="196"/>
      <c r="Q46" s="196"/>
      <c r="R46" s="196"/>
      <c r="S46" s="196"/>
      <c r="T46" s="197"/>
      <c r="U46" s="197"/>
      <c r="V46" s="197"/>
      <c r="W46" s="197"/>
      <c r="X46" s="198"/>
      <c r="Y46" s="363">
        <v>0.1</v>
      </c>
      <c r="Z46" s="364"/>
      <c r="AA46" s="364"/>
      <c r="AB46" s="364"/>
      <c r="AC46" s="365" t="s">
        <v>23</v>
      </c>
      <c r="AD46" s="366"/>
      <c r="AE46" s="332">
        <f>AM46*Y46</f>
        <v>140000</v>
      </c>
      <c r="AF46" s="333"/>
      <c r="AG46" s="333"/>
      <c r="AH46" s="333"/>
      <c r="AI46" s="333"/>
      <c r="AJ46" s="334"/>
      <c r="AM46" s="309">
        <v>1400000</v>
      </c>
      <c r="AN46" s="310"/>
      <c r="AO46" s="310"/>
      <c r="AP46" s="310"/>
      <c r="AQ46" s="311"/>
    </row>
    <row r="47" spans="1:43" ht="15" customHeight="1" thickTop="1">
      <c r="A47" s="114"/>
      <c r="B47" s="323"/>
      <c r="C47" s="324"/>
      <c r="D47" s="192" t="s">
        <v>26</v>
      </c>
      <c r="E47" s="116"/>
      <c r="F47" s="116"/>
      <c r="G47" s="116"/>
      <c r="H47" s="116"/>
      <c r="I47" s="116"/>
      <c r="J47" s="116"/>
      <c r="K47" s="116"/>
      <c r="L47" s="116"/>
      <c r="M47" s="116"/>
      <c r="N47" s="116"/>
      <c r="O47" s="116"/>
      <c r="P47" s="116"/>
      <c r="Q47" s="116"/>
      <c r="R47" s="116"/>
      <c r="S47" s="116"/>
      <c r="T47" s="193"/>
      <c r="U47" s="193"/>
      <c r="V47" s="193"/>
      <c r="W47" s="193"/>
      <c r="X47" s="194"/>
      <c r="Y47" s="325">
        <f>SUM(Y42:AB46)</f>
        <v>0.62</v>
      </c>
      <c r="Z47" s="326"/>
      <c r="AA47" s="326"/>
      <c r="AB47" s="326"/>
      <c r="AC47" s="327" t="s">
        <v>23</v>
      </c>
      <c r="AD47" s="328"/>
      <c r="AE47" s="329">
        <f>SUM(AE42:AJ46)</f>
        <v>660000</v>
      </c>
      <c r="AF47" s="330"/>
      <c r="AG47" s="330"/>
      <c r="AH47" s="330"/>
      <c r="AI47" s="330"/>
      <c r="AJ47" s="331"/>
      <c r="AM47" s="309" t="s">
        <v>27</v>
      </c>
      <c r="AN47" s="310"/>
      <c r="AO47" s="310"/>
      <c r="AP47" s="310"/>
      <c r="AQ47" s="311"/>
    </row>
    <row r="48" spans="1:43" ht="15" customHeight="1">
      <c r="A48" s="114"/>
    </row>
    <row r="49" spans="1:32" ht="15" customHeight="1">
      <c r="A49" s="180" t="s">
        <v>28</v>
      </c>
      <c r="T49" s="199"/>
    </row>
    <row r="50" spans="1:32" ht="15" customHeight="1">
      <c r="A50" s="114"/>
    </row>
    <row r="51" spans="1:32" ht="15" customHeight="1">
      <c r="A51" s="114"/>
      <c r="B51" s="200" t="s">
        <v>29</v>
      </c>
      <c r="C51" s="108" t="s">
        <v>32</v>
      </c>
      <c r="D51" s="108"/>
      <c r="E51" s="108"/>
      <c r="F51" s="108"/>
      <c r="G51" s="108"/>
      <c r="H51" s="108"/>
      <c r="I51" s="108"/>
      <c r="J51" s="108"/>
      <c r="K51" s="108"/>
      <c r="L51" s="108"/>
      <c r="M51" s="108"/>
      <c r="N51" s="108"/>
      <c r="O51" s="108"/>
      <c r="P51" s="108"/>
      <c r="Q51" s="108"/>
      <c r="R51" s="108"/>
      <c r="S51" s="108"/>
      <c r="T51" s="201" t="s">
        <v>29</v>
      </c>
      <c r="U51" s="108" t="s">
        <v>33</v>
      </c>
    </row>
    <row r="52" spans="1:32" ht="15" customHeight="1">
      <c r="A52" s="114"/>
      <c r="B52" s="200" t="s">
        <v>29</v>
      </c>
      <c r="C52" s="108" t="s">
        <v>203</v>
      </c>
      <c r="D52" s="108"/>
      <c r="E52" s="108"/>
      <c r="F52" s="108"/>
      <c r="G52" s="108"/>
      <c r="H52" s="108"/>
      <c r="I52" s="108"/>
      <c r="J52" s="108"/>
      <c r="K52" s="108"/>
      <c r="L52" s="108"/>
      <c r="M52" s="108"/>
      <c r="N52" s="108"/>
      <c r="O52" s="108"/>
      <c r="P52" s="108"/>
      <c r="Q52" s="108"/>
      <c r="R52" s="108"/>
      <c r="S52" s="108"/>
      <c r="T52" s="201"/>
      <c r="U52" s="108"/>
    </row>
    <row r="53" spans="1:32" ht="15" customHeight="1">
      <c r="A53" s="114"/>
      <c r="B53" s="202"/>
    </row>
    <row r="54" spans="1:32" ht="15" customHeight="1">
      <c r="A54" s="180" t="s">
        <v>34</v>
      </c>
    </row>
    <row r="55" spans="1:32" ht="15" customHeight="1">
      <c r="A55" s="114"/>
    </row>
    <row r="56" spans="1:32" ht="15" customHeight="1">
      <c r="A56" s="114"/>
      <c r="B56" s="203" t="s">
        <v>18</v>
      </c>
      <c r="C56" s="204"/>
      <c r="D56" s="203" t="s">
        <v>35</v>
      </c>
      <c r="E56" s="205"/>
      <c r="F56" s="205"/>
      <c r="G56" s="205"/>
      <c r="H56" s="205"/>
      <c r="I56" s="206" t="s">
        <v>34</v>
      </c>
      <c r="J56" s="207"/>
      <c r="K56" s="207"/>
      <c r="L56" s="207"/>
      <c r="M56" s="207"/>
      <c r="N56" s="207"/>
      <c r="O56" s="207"/>
      <c r="P56" s="207"/>
      <c r="Q56" s="207"/>
      <c r="R56" s="207"/>
      <c r="S56" s="207"/>
      <c r="T56" s="208"/>
      <c r="U56" s="206" t="s">
        <v>36</v>
      </c>
      <c r="V56" s="207"/>
      <c r="W56" s="207"/>
      <c r="X56" s="207"/>
      <c r="Y56" s="207"/>
      <c r="Z56" s="207"/>
      <c r="AA56" s="207"/>
      <c r="AB56" s="207"/>
      <c r="AC56" s="207"/>
      <c r="AD56" s="207"/>
      <c r="AE56" s="207"/>
      <c r="AF56" s="208"/>
    </row>
    <row r="57" spans="1:32" s="27" customFormat="1" ht="15" customHeight="1">
      <c r="B57" s="41">
        <v>1</v>
      </c>
      <c r="C57" s="42"/>
      <c r="D57" s="271" t="s">
        <v>48</v>
      </c>
      <c r="E57" s="272"/>
      <c r="F57" s="272"/>
      <c r="G57" s="272"/>
      <c r="H57" s="272"/>
      <c r="I57" s="47" t="s">
        <v>38</v>
      </c>
      <c r="J57" s="48" t="s">
        <v>49</v>
      </c>
      <c r="K57" s="48"/>
      <c r="L57" s="48"/>
      <c r="M57" s="48"/>
      <c r="N57" s="48"/>
      <c r="O57" s="48"/>
      <c r="P57" s="48"/>
      <c r="Q57" s="48"/>
      <c r="R57" s="48"/>
      <c r="S57" s="48"/>
      <c r="T57" s="49"/>
      <c r="U57" s="47" t="s">
        <v>47</v>
      </c>
      <c r="V57" s="48" t="s">
        <v>50</v>
      </c>
      <c r="W57" s="48"/>
      <c r="X57" s="48"/>
      <c r="Y57" s="48"/>
      <c r="Z57" s="48"/>
      <c r="AA57" s="48"/>
      <c r="AB57" s="48"/>
      <c r="AC57" s="48"/>
      <c r="AD57" s="48"/>
      <c r="AE57" s="48"/>
      <c r="AF57" s="49"/>
    </row>
    <row r="58" spans="1:32" s="27" customFormat="1" ht="15" customHeight="1">
      <c r="B58" s="50"/>
      <c r="C58" s="51"/>
      <c r="D58" s="104"/>
      <c r="E58" s="53"/>
      <c r="F58" s="53"/>
      <c r="G58" s="53"/>
      <c r="H58" s="53"/>
      <c r="I58" s="54"/>
      <c r="J58" s="55"/>
      <c r="K58" s="55"/>
      <c r="L58" s="55"/>
      <c r="M58" s="55"/>
      <c r="N58" s="55"/>
      <c r="O58" s="55"/>
      <c r="P58" s="55"/>
      <c r="Q58" s="55"/>
      <c r="R58" s="55"/>
      <c r="S58" s="55"/>
      <c r="T58" s="56"/>
      <c r="U58" s="54"/>
      <c r="V58" s="55"/>
      <c r="W58" s="55"/>
      <c r="X58" s="55"/>
      <c r="Y58" s="55"/>
      <c r="Z58" s="55"/>
      <c r="AA58" s="55"/>
      <c r="AB58" s="55"/>
      <c r="AC58" s="55"/>
      <c r="AD58" s="55"/>
      <c r="AE58" s="55"/>
      <c r="AF58" s="56"/>
    </row>
    <row r="59" spans="1:32" s="27" customFormat="1" ht="15" customHeight="1">
      <c r="B59" s="41">
        <v>2</v>
      </c>
      <c r="C59" s="42"/>
      <c r="D59" s="271" t="s">
        <v>51</v>
      </c>
      <c r="E59" s="272"/>
      <c r="F59" s="272"/>
      <c r="G59" s="272"/>
      <c r="H59" s="272"/>
      <c r="I59" s="47" t="s">
        <v>38</v>
      </c>
      <c r="J59" s="48" t="s">
        <v>52</v>
      </c>
      <c r="K59" s="48"/>
      <c r="L59" s="48"/>
      <c r="M59" s="48"/>
      <c r="N59" s="48"/>
      <c r="O59" s="48"/>
      <c r="P59" s="48"/>
      <c r="Q59" s="48"/>
      <c r="R59" s="48"/>
      <c r="S59" s="48"/>
      <c r="T59" s="49"/>
      <c r="U59" s="47"/>
      <c r="V59" s="48"/>
      <c r="W59" s="48"/>
      <c r="X59" s="48"/>
      <c r="Y59" s="48"/>
      <c r="Z59" s="48"/>
      <c r="AA59" s="48"/>
      <c r="AB59" s="48"/>
      <c r="AC59" s="48"/>
      <c r="AD59" s="48"/>
      <c r="AE59" s="48"/>
      <c r="AF59" s="49"/>
    </row>
    <row r="60" spans="1:32" s="27" customFormat="1" ht="15" customHeight="1">
      <c r="B60" s="50"/>
      <c r="C60" s="51"/>
      <c r="D60" s="104"/>
      <c r="E60" s="53"/>
      <c r="F60" s="53"/>
      <c r="G60" s="53"/>
      <c r="H60" s="53"/>
      <c r="I60" s="54"/>
      <c r="J60" s="55"/>
      <c r="K60" s="55"/>
      <c r="L60" s="55"/>
      <c r="M60" s="55"/>
      <c r="N60" s="55"/>
      <c r="O60" s="55"/>
      <c r="P60" s="55"/>
      <c r="Q60" s="55"/>
      <c r="R60" s="55"/>
      <c r="S60" s="55"/>
      <c r="T60" s="56"/>
      <c r="U60" s="54"/>
      <c r="V60" s="55"/>
      <c r="W60" s="55"/>
      <c r="X60" s="55"/>
      <c r="Y60" s="55"/>
      <c r="Z60" s="55"/>
      <c r="AA60" s="55"/>
      <c r="AB60" s="55"/>
      <c r="AC60" s="55"/>
      <c r="AD60" s="55"/>
      <c r="AE60" s="55"/>
      <c r="AF60" s="56"/>
    </row>
    <row r="61" spans="1:32" ht="15" customHeight="1">
      <c r="A61" s="114"/>
      <c r="B61" s="160">
        <v>3</v>
      </c>
      <c r="C61" s="161"/>
      <c r="D61" s="350" t="s">
        <v>24</v>
      </c>
      <c r="E61" s="351"/>
      <c r="F61" s="351"/>
      <c r="G61" s="351"/>
      <c r="H61" s="351"/>
      <c r="I61" s="209" t="s">
        <v>38</v>
      </c>
      <c r="J61" s="191" t="s">
        <v>291</v>
      </c>
      <c r="K61" s="191"/>
      <c r="L61" s="191"/>
      <c r="M61" s="191"/>
      <c r="N61" s="191"/>
      <c r="O61" s="191"/>
      <c r="P61" s="191"/>
      <c r="Q61" s="191"/>
      <c r="R61" s="191"/>
      <c r="S61" s="191"/>
      <c r="T61" s="210"/>
      <c r="U61" s="209" t="s">
        <v>47</v>
      </c>
      <c r="V61" s="191" t="s">
        <v>292</v>
      </c>
      <c r="W61" s="191"/>
      <c r="X61" s="191"/>
      <c r="Y61" s="191"/>
      <c r="Z61" s="191"/>
      <c r="AA61" s="191"/>
      <c r="AB61" s="191"/>
      <c r="AC61" s="191"/>
      <c r="AD61" s="191"/>
      <c r="AE61" s="191"/>
      <c r="AF61" s="210"/>
    </row>
    <row r="62" spans="1:32" ht="15" customHeight="1">
      <c r="A62" s="114"/>
      <c r="B62" s="165"/>
      <c r="C62" s="166"/>
      <c r="D62" s="213"/>
      <c r="E62" s="168"/>
      <c r="F62" s="168"/>
      <c r="G62" s="168"/>
      <c r="H62" s="168"/>
      <c r="I62" s="115" t="s">
        <v>38</v>
      </c>
      <c r="J62" s="116" t="s">
        <v>293</v>
      </c>
      <c r="K62" s="116"/>
      <c r="L62" s="116"/>
      <c r="M62" s="116"/>
      <c r="N62" s="116"/>
      <c r="O62" s="116"/>
      <c r="P62" s="116"/>
      <c r="Q62" s="116"/>
      <c r="R62" s="116"/>
      <c r="S62" s="116"/>
      <c r="T62" s="117"/>
      <c r="U62" s="115"/>
      <c r="V62" s="116"/>
      <c r="W62" s="116"/>
      <c r="X62" s="116"/>
      <c r="Y62" s="116"/>
      <c r="Z62" s="116"/>
      <c r="AA62" s="116"/>
      <c r="AB62" s="116"/>
      <c r="AC62" s="116"/>
      <c r="AD62" s="116"/>
      <c r="AE62" s="116"/>
      <c r="AF62" s="117"/>
    </row>
    <row r="63" spans="1:32" ht="15" customHeight="1">
      <c r="A63" s="114"/>
      <c r="B63" s="160">
        <v>4</v>
      </c>
      <c r="C63" s="161"/>
      <c r="D63" s="350" t="s">
        <v>25</v>
      </c>
      <c r="E63" s="351"/>
      <c r="F63" s="351"/>
      <c r="G63" s="351"/>
      <c r="H63" s="351"/>
      <c r="I63" s="214" t="s">
        <v>29</v>
      </c>
      <c r="J63" s="114" t="s">
        <v>53</v>
      </c>
      <c r="T63" s="215"/>
      <c r="U63" s="214" t="s">
        <v>29</v>
      </c>
      <c r="V63" s="114" t="s">
        <v>54</v>
      </c>
      <c r="AF63" s="215"/>
    </row>
    <row r="64" spans="1:32" ht="15" customHeight="1">
      <c r="A64" s="114"/>
      <c r="B64" s="211"/>
      <c r="C64" s="212"/>
      <c r="D64" s="216"/>
      <c r="E64" s="199"/>
      <c r="F64" s="199"/>
      <c r="G64" s="199"/>
      <c r="H64" s="199"/>
      <c r="I64" s="214" t="s">
        <v>29</v>
      </c>
      <c r="J64" s="114" t="s">
        <v>55</v>
      </c>
      <c r="T64" s="215"/>
      <c r="U64" s="214" t="s">
        <v>29</v>
      </c>
      <c r="V64" s="114" t="s">
        <v>56</v>
      </c>
      <c r="AF64" s="215"/>
    </row>
    <row r="65" spans="1:35" ht="15" customHeight="1">
      <c r="A65" s="114"/>
      <c r="B65" s="165"/>
      <c r="C65" s="166"/>
      <c r="D65" s="167"/>
      <c r="E65" s="168"/>
      <c r="F65" s="168"/>
      <c r="G65" s="168"/>
      <c r="H65" s="168"/>
      <c r="I65" s="115" t="s">
        <v>38</v>
      </c>
      <c r="J65" s="116" t="s">
        <v>57</v>
      </c>
      <c r="K65" s="116"/>
      <c r="L65" s="116"/>
      <c r="M65" s="116"/>
      <c r="N65" s="116"/>
      <c r="O65" s="116"/>
      <c r="P65" s="116"/>
      <c r="Q65" s="116"/>
      <c r="R65" s="116"/>
      <c r="S65" s="116"/>
      <c r="T65" s="117"/>
      <c r="U65" s="115"/>
      <c r="V65" s="116"/>
      <c r="W65" s="116"/>
      <c r="X65" s="116"/>
      <c r="Y65" s="116"/>
      <c r="Z65" s="116"/>
      <c r="AA65" s="116"/>
      <c r="AB65" s="116"/>
      <c r="AC65" s="116"/>
      <c r="AD65" s="116"/>
      <c r="AE65" s="116"/>
      <c r="AF65" s="117"/>
    </row>
    <row r="66" spans="1:35" ht="15" customHeight="1">
      <c r="A66" s="114"/>
    </row>
    <row r="67" spans="1:35" ht="15" customHeight="1">
      <c r="A67" s="180" t="s">
        <v>59</v>
      </c>
    </row>
    <row r="68" spans="1:35" ht="15" customHeight="1">
      <c r="B68" s="202"/>
    </row>
    <row r="69" spans="1:35" ht="15" customHeight="1">
      <c r="A69" s="114"/>
      <c r="B69" s="203" t="s">
        <v>18</v>
      </c>
      <c r="C69" s="204"/>
      <c r="D69" s="203" t="s">
        <v>35</v>
      </c>
      <c r="E69" s="205"/>
      <c r="F69" s="205"/>
      <c r="G69" s="205"/>
      <c r="H69" s="205"/>
      <c r="I69" s="217" t="s">
        <v>219</v>
      </c>
      <c r="J69" s="218" t="s">
        <v>220</v>
      </c>
      <c r="K69" s="218" t="s">
        <v>221</v>
      </c>
      <c r="L69" s="218" t="s">
        <v>222</v>
      </c>
      <c r="M69" s="218" t="s">
        <v>223</v>
      </c>
      <c r="N69" s="218" t="s">
        <v>224</v>
      </c>
      <c r="O69" s="218" t="s">
        <v>225</v>
      </c>
      <c r="P69" s="218" t="s">
        <v>226</v>
      </c>
      <c r="Q69" s="218" t="s">
        <v>227</v>
      </c>
      <c r="R69" s="218" t="s">
        <v>228</v>
      </c>
      <c r="S69" s="218" t="s">
        <v>229</v>
      </c>
      <c r="T69" s="218" t="s">
        <v>230</v>
      </c>
      <c r="U69" s="218" t="s">
        <v>231</v>
      </c>
      <c r="V69" s="218" t="s">
        <v>232</v>
      </c>
      <c r="W69" s="218" t="s">
        <v>233</v>
      </c>
      <c r="X69" s="218" t="s">
        <v>234</v>
      </c>
      <c r="Y69" s="218" t="s">
        <v>235</v>
      </c>
      <c r="Z69" s="218" t="s">
        <v>236</v>
      </c>
      <c r="AA69" s="218" t="s">
        <v>237</v>
      </c>
      <c r="AB69" s="218" t="s">
        <v>238</v>
      </c>
      <c r="AC69" s="218" t="s">
        <v>239</v>
      </c>
      <c r="AD69" s="218" t="s">
        <v>240</v>
      </c>
      <c r="AE69" s="218" t="s">
        <v>241</v>
      </c>
      <c r="AF69" s="218" t="s">
        <v>242</v>
      </c>
      <c r="AG69" s="218" t="s">
        <v>243</v>
      </c>
      <c r="AH69" s="218" t="s">
        <v>244</v>
      </c>
      <c r="AI69" s="219" t="s">
        <v>245</v>
      </c>
    </row>
    <row r="70" spans="1:35" ht="15" customHeight="1">
      <c r="A70" s="114"/>
      <c r="B70" s="173">
        <v>1</v>
      </c>
      <c r="C70" s="174"/>
      <c r="D70" s="341" t="s">
        <v>60</v>
      </c>
      <c r="E70" s="342"/>
      <c r="F70" s="342"/>
      <c r="G70" s="342"/>
      <c r="H70" s="343"/>
      <c r="I70" s="352" t="s">
        <v>294</v>
      </c>
      <c r="J70" s="353"/>
      <c r="K70" s="353"/>
      <c r="L70" s="353"/>
      <c r="M70" s="353"/>
      <c r="N70" s="353"/>
      <c r="O70" s="353"/>
      <c r="P70" s="353"/>
      <c r="Q70" s="353"/>
      <c r="R70" s="353"/>
      <c r="S70" s="353"/>
      <c r="T70" s="353"/>
      <c r="U70" s="353"/>
      <c r="V70" s="353"/>
      <c r="W70" s="353"/>
      <c r="X70" s="353"/>
      <c r="Y70" s="353"/>
      <c r="Z70" s="353"/>
      <c r="AA70" s="353"/>
      <c r="AB70" s="353"/>
      <c r="AC70" s="353"/>
      <c r="AD70" s="353"/>
      <c r="AE70" s="353"/>
      <c r="AF70" s="353"/>
      <c r="AG70" s="353"/>
      <c r="AH70" s="353"/>
      <c r="AI70" s="354"/>
    </row>
    <row r="71" spans="1:35" ht="15" customHeight="1">
      <c r="A71" s="114"/>
      <c r="B71" s="175"/>
      <c r="C71" s="176"/>
      <c r="D71" s="177"/>
      <c r="E71" s="178"/>
      <c r="F71" s="178"/>
      <c r="G71" s="178"/>
      <c r="H71" s="178"/>
      <c r="I71" s="355"/>
      <c r="J71" s="356"/>
      <c r="K71" s="356"/>
      <c r="L71" s="356"/>
      <c r="M71" s="356"/>
      <c r="N71" s="356"/>
      <c r="O71" s="356"/>
      <c r="P71" s="356"/>
      <c r="Q71" s="356"/>
      <c r="R71" s="356"/>
      <c r="S71" s="356"/>
      <c r="T71" s="356"/>
      <c r="U71" s="356"/>
      <c r="V71" s="356"/>
      <c r="W71" s="356"/>
      <c r="X71" s="356"/>
      <c r="Y71" s="356"/>
      <c r="Z71" s="356"/>
      <c r="AA71" s="356"/>
      <c r="AB71" s="356"/>
      <c r="AC71" s="356"/>
      <c r="AD71" s="356"/>
      <c r="AE71" s="356"/>
      <c r="AF71" s="356"/>
      <c r="AG71" s="356"/>
      <c r="AH71" s="356"/>
      <c r="AI71" s="357"/>
    </row>
    <row r="72" spans="1:35" ht="15" customHeight="1">
      <c r="A72" s="114"/>
      <c r="B72" s="173">
        <v>2</v>
      </c>
      <c r="C72" s="174"/>
      <c r="D72" s="341" t="s">
        <v>61</v>
      </c>
      <c r="E72" s="342"/>
      <c r="F72" s="342"/>
      <c r="G72" s="342"/>
      <c r="H72" s="343"/>
      <c r="I72" s="355"/>
      <c r="J72" s="356"/>
      <c r="K72" s="356"/>
      <c r="L72" s="356"/>
      <c r="M72" s="356"/>
      <c r="N72" s="356"/>
      <c r="O72" s="356"/>
      <c r="P72" s="356"/>
      <c r="Q72" s="356"/>
      <c r="R72" s="356"/>
      <c r="S72" s="356"/>
      <c r="T72" s="356"/>
      <c r="U72" s="356"/>
      <c r="V72" s="356"/>
      <c r="W72" s="356"/>
      <c r="X72" s="356"/>
      <c r="Y72" s="356"/>
      <c r="Z72" s="356"/>
      <c r="AA72" s="356"/>
      <c r="AB72" s="356"/>
      <c r="AC72" s="356"/>
      <c r="AD72" s="356"/>
      <c r="AE72" s="356"/>
      <c r="AF72" s="356"/>
      <c r="AG72" s="356"/>
      <c r="AH72" s="356"/>
      <c r="AI72" s="357"/>
    </row>
    <row r="73" spans="1:35" ht="15" customHeight="1">
      <c r="A73" s="114"/>
      <c r="B73" s="175"/>
      <c r="C73" s="176"/>
      <c r="D73" s="177"/>
      <c r="E73" s="178"/>
      <c r="F73" s="178"/>
      <c r="G73" s="178"/>
      <c r="H73" s="178"/>
      <c r="I73" s="355"/>
      <c r="J73" s="356"/>
      <c r="K73" s="356"/>
      <c r="L73" s="356"/>
      <c r="M73" s="356"/>
      <c r="N73" s="356"/>
      <c r="O73" s="356"/>
      <c r="P73" s="356"/>
      <c r="Q73" s="356"/>
      <c r="R73" s="356"/>
      <c r="S73" s="356"/>
      <c r="T73" s="356"/>
      <c r="U73" s="356"/>
      <c r="V73" s="356"/>
      <c r="W73" s="356"/>
      <c r="X73" s="356"/>
      <c r="Y73" s="356"/>
      <c r="Z73" s="356"/>
      <c r="AA73" s="356"/>
      <c r="AB73" s="356"/>
      <c r="AC73" s="356"/>
      <c r="AD73" s="356"/>
      <c r="AE73" s="356"/>
      <c r="AF73" s="356"/>
      <c r="AG73" s="356"/>
      <c r="AH73" s="356"/>
      <c r="AI73" s="357"/>
    </row>
    <row r="74" spans="1:35" ht="15" customHeight="1">
      <c r="A74" s="114"/>
      <c r="B74" s="173">
        <v>3</v>
      </c>
      <c r="C74" s="174"/>
      <c r="D74" s="341" t="s">
        <v>62</v>
      </c>
      <c r="E74" s="342"/>
      <c r="F74" s="342"/>
      <c r="G74" s="342"/>
      <c r="H74" s="343"/>
      <c r="I74" s="355"/>
      <c r="J74" s="356"/>
      <c r="K74" s="356"/>
      <c r="L74" s="356"/>
      <c r="M74" s="356"/>
      <c r="N74" s="356"/>
      <c r="O74" s="356"/>
      <c r="P74" s="356"/>
      <c r="Q74" s="356"/>
      <c r="R74" s="356"/>
      <c r="S74" s="356"/>
      <c r="T74" s="356"/>
      <c r="U74" s="356"/>
      <c r="V74" s="356"/>
      <c r="W74" s="356"/>
      <c r="X74" s="356"/>
      <c r="Y74" s="356"/>
      <c r="Z74" s="356"/>
      <c r="AA74" s="356"/>
      <c r="AB74" s="356"/>
      <c r="AC74" s="356"/>
      <c r="AD74" s="356"/>
      <c r="AE74" s="356"/>
      <c r="AF74" s="356"/>
      <c r="AG74" s="356"/>
      <c r="AH74" s="356"/>
      <c r="AI74" s="357"/>
    </row>
    <row r="75" spans="1:35" ht="15" customHeight="1">
      <c r="A75" s="114"/>
      <c r="B75" s="175"/>
      <c r="C75" s="176"/>
      <c r="D75" s="177"/>
      <c r="E75" s="178"/>
      <c r="F75" s="178"/>
      <c r="G75" s="178"/>
      <c r="H75" s="178"/>
      <c r="I75" s="358"/>
      <c r="J75" s="359"/>
      <c r="K75" s="359"/>
      <c r="L75" s="359"/>
      <c r="M75" s="359"/>
      <c r="N75" s="359"/>
      <c r="O75" s="359"/>
      <c r="P75" s="359"/>
      <c r="Q75" s="359"/>
      <c r="R75" s="359"/>
      <c r="S75" s="359"/>
      <c r="T75" s="359"/>
      <c r="U75" s="359"/>
      <c r="V75" s="359"/>
      <c r="W75" s="359"/>
      <c r="X75" s="359"/>
      <c r="Y75" s="359"/>
      <c r="Z75" s="359"/>
      <c r="AA75" s="359"/>
      <c r="AB75" s="359"/>
      <c r="AC75" s="359"/>
      <c r="AD75" s="359"/>
      <c r="AE75" s="359"/>
      <c r="AF75" s="359"/>
      <c r="AG75" s="359"/>
      <c r="AH75" s="359"/>
      <c r="AI75" s="360"/>
    </row>
    <row r="76" spans="1:35" ht="15" customHeight="1">
      <c r="A76" s="114"/>
      <c r="B76" s="160">
        <v>4</v>
      </c>
      <c r="C76" s="161"/>
      <c r="D76" s="344" t="s">
        <v>63</v>
      </c>
      <c r="E76" s="345"/>
      <c r="F76" s="345"/>
      <c r="G76" s="345"/>
      <c r="H76" s="346"/>
      <c r="I76" s="162"/>
      <c r="J76" s="163"/>
      <c r="K76" s="163"/>
      <c r="L76" s="163"/>
      <c r="M76" s="163"/>
      <c r="N76" s="163"/>
      <c r="O76" s="163"/>
      <c r="P76" s="163"/>
      <c r="Q76" s="163"/>
      <c r="R76" s="163"/>
      <c r="S76" s="163"/>
      <c r="T76" s="163"/>
      <c r="U76" s="163"/>
      <c r="V76" s="163"/>
      <c r="W76" s="163"/>
      <c r="X76" s="163"/>
      <c r="Y76" s="163"/>
      <c r="Z76" s="163"/>
      <c r="AA76" s="163"/>
      <c r="AB76" s="163"/>
      <c r="AC76" s="163"/>
      <c r="AD76" s="163"/>
      <c r="AE76" s="163"/>
      <c r="AF76" s="163"/>
      <c r="AG76" s="163"/>
      <c r="AH76" s="163"/>
      <c r="AI76" s="164"/>
    </row>
    <row r="77" spans="1:35" ht="15" customHeight="1">
      <c r="A77" s="114"/>
      <c r="B77" s="165"/>
      <c r="C77" s="166"/>
      <c r="D77" s="167"/>
      <c r="E77" s="168"/>
      <c r="F77" s="168"/>
      <c r="G77" s="168"/>
      <c r="H77" s="168"/>
      <c r="I77" s="169"/>
      <c r="J77" s="170"/>
      <c r="K77" s="170"/>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1"/>
    </row>
    <row r="78" spans="1:35" ht="15" customHeight="1">
      <c r="A78" s="114"/>
      <c r="B78" s="160">
        <v>5</v>
      </c>
      <c r="C78" s="161"/>
      <c r="D78" s="344" t="s">
        <v>64</v>
      </c>
      <c r="E78" s="345"/>
      <c r="F78" s="345"/>
      <c r="G78" s="345"/>
      <c r="H78" s="346"/>
      <c r="I78" s="162"/>
      <c r="J78" s="163"/>
      <c r="K78" s="163"/>
      <c r="L78" s="163"/>
      <c r="M78" s="163"/>
      <c r="N78" s="163"/>
      <c r="O78" s="163"/>
      <c r="P78" s="163"/>
      <c r="Q78" s="163"/>
      <c r="R78" s="163"/>
      <c r="S78" s="163"/>
      <c r="T78" s="163"/>
      <c r="U78" s="163"/>
      <c r="V78" s="163"/>
      <c r="W78" s="163"/>
      <c r="X78" s="163"/>
      <c r="Y78" s="163"/>
      <c r="Z78" s="163"/>
      <c r="AA78" s="163"/>
      <c r="AB78" s="163"/>
      <c r="AC78" s="163"/>
      <c r="AD78" s="163"/>
      <c r="AE78" s="163"/>
      <c r="AF78" s="163"/>
      <c r="AG78" s="163"/>
      <c r="AH78" s="163"/>
      <c r="AI78" s="164"/>
    </row>
    <row r="79" spans="1:35" ht="15" customHeight="1">
      <c r="A79" s="114"/>
      <c r="B79" s="165"/>
      <c r="C79" s="166"/>
      <c r="D79" s="347" t="s">
        <v>202</v>
      </c>
      <c r="E79" s="280"/>
      <c r="F79" s="280"/>
      <c r="G79" s="280"/>
      <c r="H79" s="281"/>
      <c r="I79" s="169"/>
      <c r="J79" s="170"/>
      <c r="K79" s="170"/>
      <c r="L79" s="170"/>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1"/>
    </row>
    <row r="80" spans="1:35" ht="15" customHeight="1">
      <c r="A80" s="114"/>
      <c r="B80" s="160">
        <v>6</v>
      </c>
      <c r="C80" s="161"/>
      <c r="D80" s="344" t="s">
        <v>287</v>
      </c>
      <c r="E80" s="345"/>
      <c r="F80" s="345"/>
      <c r="G80" s="345"/>
      <c r="H80" s="346"/>
      <c r="I80" s="162"/>
      <c r="J80" s="163"/>
      <c r="K80" s="163"/>
      <c r="L80" s="163"/>
      <c r="M80" s="163"/>
      <c r="N80" s="163"/>
      <c r="O80" s="163"/>
      <c r="P80" s="163"/>
      <c r="Q80" s="163"/>
      <c r="R80" s="163"/>
      <c r="S80" s="163"/>
      <c r="T80" s="163"/>
      <c r="U80" s="163"/>
      <c r="V80" s="163"/>
      <c r="W80" s="163"/>
      <c r="X80" s="163"/>
      <c r="Y80" s="163"/>
      <c r="Z80" s="163"/>
      <c r="AA80" s="163"/>
      <c r="AB80" s="163"/>
      <c r="AC80" s="163"/>
      <c r="AD80" s="163"/>
      <c r="AE80" s="163"/>
      <c r="AF80" s="163"/>
      <c r="AG80" s="163"/>
      <c r="AH80" s="163"/>
      <c r="AI80" s="164"/>
    </row>
    <row r="81" spans="1:35" ht="15" customHeight="1">
      <c r="A81" s="114"/>
      <c r="B81" s="165"/>
      <c r="C81" s="166"/>
      <c r="D81" s="167"/>
      <c r="E81" s="168"/>
      <c r="F81" s="168"/>
      <c r="G81" s="168"/>
      <c r="H81" s="168"/>
      <c r="I81" s="169"/>
      <c r="J81" s="170"/>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1"/>
    </row>
    <row r="82" spans="1:35" ht="15" customHeight="1">
      <c r="A82" s="114"/>
      <c r="I82" s="220"/>
      <c r="J82" s="220"/>
      <c r="K82" s="220"/>
      <c r="L82" s="220"/>
      <c r="M82" s="220"/>
      <c r="N82" s="220"/>
      <c r="O82" s="220"/>
      <c r="P82" s="220"/>
      <c r="Q82" s="220"/>
      <c r="R82" s="220"/>
      <c r="S82" s="220"/>
      <c r="T82" s="220"/>
      <c r="V82" s="220"/>
      <c r="W82" s="114" t="s">
        <v>65</v>
      </c>
      <c r="X82" s="220"/>
      <c r="Z82" s="220"/>
      <c r="AA82" s="114" t="s">
        <v>66</v>
      </c>
      <c r="AC82" s="220"/>
      <c r="AD82" s="220"/>
      <c r="AG82" s="114" t="s">
        <v>67</v>
      </c>
    </row>
    <row r="83" spans="1:35" ht="15" customHeight="1">
      <c r="A83" s="114"/>
      <c r="I83" s="220"/>
      <c r="J83" s="220"/>
      <c r="K83" s="220"/>
      <c r="L83" s="220"/>
      <c r="M83" s="220"/>
      <c r="N83" s="220"/>
      <c r="O83" s="220"/>
      <c r="P83" s="220"/>
      <c r="Q83" s="220"/>
      <c r="R83" s="220"/>
      <c r="S83" s="220"/>
      <c r="T83" s="220"/>
      <c r="U83" s="220"/>
      <c r="V83" s="220"/>
      <c r="W83" s="220"/>
      <c r="X83" s="220"/>
      <c r="Y83" s="220"/>
      <c r="Z83" s="220"/>
      <c r="AA83" s="220"/>
      <c r="AB83" s="220"/>
      <c r="AC83" s="220"/>
      <c r="AD83" s="220"/>
      <c r="AE83" s="220"/>
      <c r="AF83" s="220"/>
      <c r="AG83" s="220"/>
    </row>
    <row r="84" spans="1:35" ht="15" customHeight="1">
      <c r="A84" s="180" t="s">
        <v>68</v>
      </c>
      <c r="I84" s="220"/>
      <c r="J84" s="220"/>
      <c r="K84" s="220"/>
      <c r="L84" s="220"/>
      <c r="M84" s="220"/>
      <c r="N84" s="220"/>
      <c r="O84" s="220"/>
      <c r="P84" s="220"/>
      <c r="Q84" s="220"/>
      <c r="R84" s="220"/>
      <c r="S84" s="220"/>
      <c r="T84" s="220"/>
      <c r="U84" s="220"/>
      <c r="V84" s="220"/>
      <c r="W84" s="220"/>
      <c r="X84" s="220"/>
      <c r="Y84" s="220"/>
      <c r="Z84" s="220"/>
      <c r="AA84" s="220"/>
      <c r="AB84" s="220"/>
      <c r="AC84" s="220"/>
      <c r="AD84" s="220"/>
      <c r="AE84" s="220"/>
      <c r="AF84" s="220"/>
      <c r="AG84" s="220"/>
    </row>
    <row r="85" spans="1:35" ht="15" customHeight="1" thickBot="1">
      <c r="A85" s="114"/>
      <c r="I85" s="220"/>
      <c r="J85" s="220"/>
      <c r="K85" s="220"/>
      <c r="L85" s="220"/>
      <c r="M85" s="220"/>
      <c r="N85" s="220"/>
      <c r="O85" s="220"/>
      <c r="P85" s="220"/>
      <c r="Q85" s="220"/>
      <c r="R85" s="220"/>
      <c r="S85" s="220"/>
      <c r="T85" s="220"/>
      <c r="U85" s="220"/>
      <c r="V85" s="220"/>
      <c r="W85" s="220"/>
      <c r="X85" s="220"/>
      <c r="Y85" s="220"/>
      <c r="Z85" s="220"/>
      <c r="AA85" s="220"/>
      <c r="AB85" s="220"/>
      <c r="AC85" s="220"/>
      <c r="AD85" s="220"/>
      <c r="AE85" s="220"/>
      <c r="AF85" s="220"/>
      <c r="AG85" s="220"/>
    </row>
    <row r="86" spans="1:35" s="108" customFormat="1" ht="15" customHeight="1" thickTop="1">
      <c r="A86" s="221"/>
      <c r="C86" s="335" t="s">
        <v>69</v>
      </c>
      <c r="D86" s="336"/>
      <c r="E86" s="336"/>
      <c r="F86" s="336"/>
      <c r="G86" s="336"/>
      <c r="H86" s="337"/>
      <c r="I86" s="222"/>
      <c r="J86" s="222"/>
      <c r="K86" s="222"/>
      <c r="L86" s="335" t="s">
        <v>70</v>
      </c>
      <c r="M86" s="336"/>
      <c r="N86" s="336"/>
      <c r="O86" s="336"/>
      <c r="P86" s="336"/>
      <c r="Q86" s="337"/>
      <c r="R86" s="222"/>
      <c r="S86" s="222"/>
      <c r="T86" s="222"/>
      <c r="U86" s="335" t="s">
        <v>268</v>
      </c>
      <c r="V86" s="336"/>
      <c r="W86" s="336"/>
      <c r="X86" s="336"/>
      <c r="Y86" s="336"/>
      <c r="Z86" s="337"/>
      <c r="AA86" s="222"/>
      <c r="AB86" s="222"/>
      <c r="AC86" s="222"/>
      <c r="AD86" s="335" t="s">
        <v>269</v>
      </c>
      <c r="AE86" s="336"/>
      <c r="AF86" s="336"/>
      <c r="AG86" s="336"/>
      <c r="AH86" s="336"/>
      <c r="AI86" s="337"/>
    </row>
    <row r="87" spans="1:35" s="108" customFormat="1" ht="15" customHeight="1" thickBot="1">
      <c r="C87" s="338"/>
      <c r="D87" s="339"/>
      <c r="E87" s="339"/>
      <c r="F87" s="339"/>
      <c r="G87" s="339"/>
      <c r="H87" s="340"/>
      <c r="I87" s="172"/>
      <c r="J87" s="172"/>
      <c r="K87" s="172"/>
      <c r="L87" s="338"/>
      <c r="M87" s="339"/>
      <c r="N87" s="339"/>
      <c r="O87" s="339"/>
      <c r="P87" s="339"/>
      <c r="Q87" s="340"/>
      <c r="R87" s="172"/>
      <c r="S87" s="172"/>
      <c r="T87" s="172"/>
      <c r="U87" s="338"/>
      <c r="V87" s="339"/>
      <c r="W87" s="339"/>
      <c r="X87" s="339"/>
      <c r="Y87" s="339"/>
      <c r="Z87" s="340"/>
      <c r="AA87" s="172"/>
      <c r="AB87" s="172"/>
      <c r="AC87" s="172"/>
      <c r="AD87" s="338"/>
      <c r="AE87" s="339"/>
      <c r="AF87" s="339"/>
      <c r="AG87" s="339"/>
      <c r="AH87" s="339"/>
      <c r="AI87" s="340"/>
    </row>
    <row r="88" spans="1:35" ht="15" customHeight="1" thickTop="1">
      <c r="A88" s="114"/>
      <c r="I88" s="220"/>
      <c r="J88" s="220"/>
      <c r="K88" s="220"/>
      <c r="L88" s="220"/>
      <c r="M88" s="220"/>
      <c r="N88" s="220"/>
      <c r="O88" s="220"/>
      <c r="P88" s="220"/>
      <c r="Q88" s="220"/>
      <c r="R88" s="220"/>
      <c r="S88" s="220"/>
      <c r="T88" s="220"/>
      <c r="U88" s="220"/>
      <c r="V88" s="220"/>
      <c r="W88" s="220"/>
      <c r="X88" s="220"/>
      <c r="Y88" s="220"/>
      <c r="Z88" s="220"/>
      <c r="AA88" s="220"/>
      <c r="AB88" s="220"/>
      <c r="AC88" s="220"/>
      <c r="AD88" s="220"/>
      <c r="AE88" s="220"/>
      <c r="AF88" s="220"/>
      <c r="AG88" s="220"/>
    </row>
    <row r="89" spans="1:35" ht="15" customHeight="1">
      <c r="A89" s="114"/>
      <c r="I89" s="220"/>
      <c r="J89" s="220"/>
      <c r="K89" s="220"/>
      <c r="L89" s="220"/>
      <c r="M89" s="220"/>
      <c r="N89" s="220"/>
      <c r="O89" s="220"/>
      <c r="P89" s="220"/>
      <c r="Q89" s="220"/>
      <c r="R89" s="220"/>
      <c r="S89" s="220"/>
      <c r="T89" s="220"/>
      <c r="U89" s="220"/>
      <c r="V89" s="220"/>
      <c r="AC89" s="220"/>
      <c r="AD89" s="220"/>
      <c r="AE89" s="220"/>
      <c r="AF89" s="220"/>
      <c r="AG89" s="220"/>
    </row>
    <row r="90" spans="1:35" ht="15" customHeight="1">
      <c r="A90" s="180" t="s">
        <v>71</v>
      </c>
    </row>
    <row r="92" spans="1:35" ht="15" customHeight="1">
      <c r="B92" s="114" t="s">
        <v>198</v>
      </c>
    </row>
    <row r="93" spans="1:35" ht="15" customHeight="1">
      <c r="C93" s="114" t="s">
        <v>72</v>
      </c>
    </row>
    <row r="94" spans="1:35" ht="15" customHeight="1">
      <c r="C94" s="114" t="s">
        <v>73</v>
      </c>
    </row>
    <row r="95" spans="1:35" ht="15" customHeight="1">
      <c r="C95" s="114" t="s">
        <v>74</v>
      </c>
    </row>
    <row r="96" spans="1:35" ht="15" customHeight="1">
      <c r="B96" s="223" t="s">
        <v>75</v>
      </c>
      <c r="C96" s="224"/>
    </row>
    <row r="97" spans="1:3" ht="15" customHeight="1">
      <c r="B97" s="114" t="s">
        <v>76</v>
      </c>
      <c r="C97" s="223"/>
    </row>
    <row r="98" spans="1:3" ht="15" customHeight="1">
      <c r="C98" s="223" t="s">
        <v>77</v>
      </c>
    </row>
    <row r="99" spans="1:3" ht="15" customHeight="1">
      <c r="C99" s="114" t="s">
        <v>201</v>
      </c>
    </row>
    <row r="101" spans="1:3" ht="15" customHeight="1">
      <c r="A101" s="114"/>
      <c r="B101" s="114" t="s">
        <v>78</v>
      </c>
    </row>
    <row r="102" spans="1:3" ht="15" customHeight="1">
      <c r="A102" s="114"/>
      <c r="C102" s="114" t="s">
        <v>79</v>
      </c>
    </row>
    <row r="103" spans="1:3" ht="15" customHeight="1">
      <c r="A103" s="114"/>
      <c r="C103" s="114" t="s">
        <v>80</v>
      </c>
    </row>
    <row r="104" spans="1:3" ht="15" customHeight="1">
      <c r="A104" s="114"/>
    </row>
    <row r="105" spans="1:3" ht="15" customHeight="1">
      <c r="A105" s="114"/>
      <c r="B105" s="114" t="s">
        <v>81</v>
      </c>
    </row>
    <row r="106" spans="1:3" ht="15" customHeight="1">
      <c r="A106" s="114"/>
      <c r="C106" s="114" t="s">
        <v>82</v>
      </c>
    </row>
    <row r="107" spans="1:3" ht="15" customHeight="1">
      <c r="A107" s="114"/>
    </row>
    <row r="108" spans="1:3" ht="15" customHeight="1">
      <c r="A108" s="114"/>
      <c r="B108" s="108" t="s">
        <v>194</v>
      </c>
    </row>
    <row r="109" spans="1:3" ht="15" customHeight="1">
      <c r="A109" s="114"/>
      <c r="C109" s="114" t="s">
        <v>199</v>
      </c>
    </row>
    <row r="110" spans="1:3" ht="15" customHeight="1">
      <c r="A110" s="114"/>
      <c r="C110" s="114" t="s">
        <v>195</v>
      </c>
    </row>
    <row r="111" spans="1:3" ht="15" customHeight="1">
      <c r="A111" s="114"/>
    </row>
    <row r="112" spans="1:3" ht="15" customHeight="1">
      <c r="A112" s="114"/>
      <c r="B112" s="108" t="s">
        <v>196</v>
      </c>
    </row>
    <row r="113" spans="1:4" ht="15" customHeight="1">
      <c r="A113" s="114"/>
      <c r="C113" s="114" t="s">
        <v>197</v>
      </c>
    </row>
    <row r="114" spans="1:4" ht="15" customHeight="1">
      <c r="A114" s="114"/>
      <c r="C114" s="114" t="s">
        <v>204</v>
      </c>
    </row>
    <row r="115" spans="1:4" ht="15" customHeight="1">
      <c r="A115" s="114"/>
    </row>
    <row r="116" spans="1:4" ht="15" customHeight="1">
      <c r="A116" s="114"/>
      <c r="B116" s="114" t="s">
        <v>282</v>
      </c>
    </row>
    <row r="117" spans="1:4" ht="15" customHeight="1">
      <c r="A117" s="114"/>
      <c r="C117" s="114" t="s">
        <v>283</v>
      </c>
    </row>
    <row r="118" spans="1:4" ht="15" customHeight="1">
      <c r="A118" s="114"/>
      <c r="C118" s="114" t="s">
        <v>303</v>
      </c>
    </row>
    <row r="119" spans="1:4" ht="15" customHeight="1">
      <c r="A119" s="114"/>
    </row>
    <row r="120" spans="1:4" ht="15" customHeight="1">
      <c r="A120" s="114"/>
      <c r="B120" s="108" t="s">
        <v>301</v>
      </c>
    </row>
    <row r="121" spans="1:4" ht="15" customHeight="1">
      <c r="A121" s="114"/>
      <c r="C121" s="114" t="s">
        <v>302</v>
      </c>
    </row>
    <row r="122" spans="1:4" ht="15" customHeight="1">
      <c r="A122" s="114"/>
    </row>
    <row r="123" spans="1:4" ht="15" customHeight="1">
      <c r="A123" s="114"/>
      <c r="B123" s="108" t="s">
        <v>286</v>
      </c>
      <c r="C123" s="108"/>
      <c r="D123" s="108"/>
    </row>
    <row r="124" spans="1:4" ht="15" customHeight="1">
      <c r="A124" s="114"/>
      <c r="C124" s="114" t="s">
        <v>296</v>
      </c>
    </row>
    <row r="125" spans="1:4" ht="15" customHeight="1">
      <c r="A125" s="114"/>
      <c r="C125" s="114" t="s">
        <v>83</v>
      </c>
    </row>
  </sheetData>
  <mergeCells count="52">
    <mergeCell ref="D61:H61"/>
    <mergeCell ref="I70:AI75"/>
    <mergeCell ref="B42:C42"/>
    <mergeCell ref="Y42:AB42"/>
    <mergeCell ref="AC42:AD42"/>
    <mergeCell ref="AE42:AJ42"/>
    <mergeCell ref="D63:H63"/>
    <mergeCell ref="D59:H59"/>
    <mergeCell ref="B43:C43"/>
    <mergeCell ref="Y43:AB43"/>
    <mergeCell ref="AC43:AD43"/>
    <mergeCell ref="AE43:AJ43"/>
    <mergeCell ref="D57:H57"/>
    <mergeCell ref="B46:C46"/>
    <mergeCell ref="Y46:AB46"/>
    <mergeCell ref="AC46:AD46"/>
    <mergeCell ref="AM44:AQ44"/>
    <mergeCell ref="B45:C45"/>
    <mergeCell ref="Y45:AB45"/>
    <mergeCell ref="AC45:AD45"/>
    <mergeCell ref="AE45:AJ45"/>
    <mergeCell ref="AM45:AQ45"/>
    <mergeCell ref="B44:C44"/>
    <mergeCell ref="Y44:AB44"/>
    <mergeCell ref="AC44:AD44"/>
    <mergeCell ref="AE44:AJ44"/>
    <mergeCell ref="U86:Z87"/>
    <mergeCell ref="AD86:AI87"/>
    <mergeCell ref="D70:H70"/>
    <mergeCell ref="D72:H72"/>
    <mergeCell ref="D74:H74"/>
    <mergeCell ref="D76:H76"/>
    <mergeCell ref="D78:H78"/>
    <mergeCell ref="D79:H79"/>
    <mergeCell ref="D80:H80"/>
    <mergeCell ref="C86:H87"/>
    <mergeCell ref="L86:Q87"/>
    <mergeCell ref="AM46:AQ46"/>
    <mergeCell ref="B47:C47"/>
    <mergeCell ref="Y47:AB47"/>
    <mergeCell ref="AC47:AD47"/>
    <mergeCell ref="AE47:AJ47"/>
    <mergeCell ref="AM47:AQ47"/>
    <mergeCell ref="AE46:AJ46"/>
    <mergeCell ref="AM43:AQ43"/>
    <mergeCell ref="A1:Q2"/>
    <mergeCell ref="AF1:AJ1"/>
    <mergeCell ref="AF2:AJ2"/>
    <mergeCell ref="A5:Q6"/>
    <mergeCell ref="A11:E12"/>
    <mergeCell ref="F11:Q12"/>
    <mergeCell ref="AM42:AQ42"/>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1" manualBreakCount="1">
    <brk id="53" max="35"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89D66-D9C2-4EFB-9347-3F9DEFFCBAF5}">
  <sheetPr>
    <tabColor rgb="FFFF0000"/>
  </sheetPr>
  <dimension ref="A1:AX16"/>
  <sheetViews>
    <sheetView showGridLines="0" zoomScale="70" zoomScaleNormal="70" workbookViewId="0">
      <pane xSplit="5" ySplit="3" topLeftCell="S4" activePane="bottomRight" state="frozen"/>
      <selection activeCell="AI32" sqref="AI32"/>
      <selection pane="topRight" activeCell="AI32" sqref="AI32"/>
      <selection pane="bottomLeft" activeCell="AI32" sqref="AI32"/>
      <selection pane="bottomRight" activeCell="Y15" sqref="Y15"/>
    </sheetView>
  </sheetViews>
  <sheetFormatPr defaultRowHeight="18" outlineLevelCol="1"/>
  <cols>
    <col min="1" max="1" width="4.33203125" style="72" bestFit="1" customWidth="1"/>
    <col min="2" max="2" width="19.83203125" style="69" customWidth="1"/>
    <col min="3" max="3" width="17.58203125" style="70" customWidth="1"/>
    <col min="4" max="4" width="27.5" style="70" bestFit="1" customWidth="1"/>
    <col min="5" max="5" width="112.5" style="70" customWidth="1"/>
    <col min="6" max="8" width="9.58203125" style="71" customWidth="1"/>
    <col min="9" max="14" width="9.58203125" style="69" customWidth="1" outlineLevel="1"/>
    <col min="15" max="15" width="1.58203125" style="69" customWidth="1"/>
    <col min="16" max="21" width="9.58203125" style="69" customWidth="1" outlineLevel="1"/>
    <col min="22" max="22" width="13.83203125" style="69" customWidth="1"/>
    <col min="23" max="23" width="9.58203125" style="69" customWidth="1" outlineLevel="1"/>
    <col min="24" max="24" width="14.08203125" style="69" customWidth="1" outlineLevel="1"/>
    <col min="25" max="25" width="9.58203125" style="69" customWidth="1" outlineLevel="1"/>
    <col min="26" max="27" width="14.08203125" style="69" customWidth="1" outlineLevel="1"/>
    <col min="28" max="28" width="2.58203125" style="69" customWidth="1"/>
    <col min="29" max="29" width="9.58203125" style="69" customWidth="1" outlineLevel="1"/>
    <col min="30" max="30" width="14.08203125" style="69" customWidth="1" outlineLevel="1"/>
    <col min="31" max="31" width="9.58203125" style="69" customWidth="1" outlineLevel="1"/>
    <col min="32" max="33" width="14.08203125" style="69" customWidth="1" outlineLevel="1"/>
    <col min="34" max="34" width="5" style="69" customWidth="1"/>
    <col min="35" max="41" width="9.58203125" style="69" hidden="1" customWidth="1" outlineLevel="1"/>
    <col min="42" max="42" width="3.58203125" style="69" customWidth="1" collapsed="1"/>
    <col min="43" max="49" width="9" style="69" hidden="1" customWidth="1" outlineLevel="1"/>
    <col min="50" max="50" width="8.58203125" bestFit="1" customWidth="1" collapsed="1"/>
  </cols>
  <sheetData>
    <row r="1" spans="1:49" ht="24" customHeight="1">
      <c r="A1" s="68" t="s">
        <v>84</v>
      </c>
      <c r="W1" s="304" t="s">
        <v>85</v>
      </c>
      <c r="X1" s="304"/>
      <c r="Y1" s="304"/>
      <c r="Z1" s="304"/>
      <c r="AA1" s="304"/>
      <c r="AC1" s="305" t="s">
        <v>86</v>
      </c>
      <c r="AD1" s="305"/>
      <c r="AE1" s="305"/>
      <c r="AF1" s="305"/>
      <c r="AG1" s="305"/>
      <c r="AI1" s="306" t="s">
        <v>87</v>
      </c>
      <c r="AJ1" s="306"/>
      <c r="AK1" s="306"/>
      <c r="AL1" s="306"/>
      <c r="AM1" s="306"/>
      <c r="AN1" s="306"/>
      <c r="AO1" s="306"/>
      <c r="AP1" s="306"/>
      <c r="AQ1" s="306"/>
      <c r="AR1" s="306"/>
      <c r="AS1" s="306"/>
      <c r="AT1" s="306"/>
      <c r="AU1" s="306"/>
      <c r="AV1" s="306"/>
      <c r="AW1" s="306"/>
    </row>
    <row r="2" spans="1:49">
      <c r="I2" s="304" t="s">
        <v>85</v>
      </c>
      <c r="J2" s="304"/>
      <c r="K2" s="304"/>
      <c r="L2" s="304"/>
      <c r="M2" s="304"/>
      <c r="N2" s="304"/>
      <c r="P2" s="305" t="s">
        <v>86</v>
      </c>
      <c r="Q2" s="305"/>
      <c r="R2" s="305"/>
      <c r="S2" s="305"/>
      <c r="T2" s="305"/>
      <c r="U2" s="305"/>
      <c r="W2" s="73" t="s">
        <v>88</v>
      </c>
      <c r="X2" s="74">
        <v>50000</v>
      </c>
      <c r="Y2" s="73" t="s">
        <v>89</v>
      </c>
      <c r="Z2" s="74">
        <v>70000</v>
      </c>
      <c r="AA2" s="73"/>
      <c r="AC2" s="73" t="s">
        <v>88</v>
      </c>
      <c r="AD2" s="74">
        <v>1000000</v>
      </c>
      <c r="AE2" s="73" t="s">
        <v>89</v>
      </c>
      <c r="AF2" s="74">
        <v>1400000</v>
      </c>
      <c r="AG2" s="73"/>
      <c r="AI2" s="307" t="s">
        <v>85</v>
      </c>
      <c r="AJ2" s="307"/>
      <c r="AK2" s="307"/>
      <c r="AL2" s="307"/>
      <c r="AM2" s="307"/>
      <c r="AN2" s="307"/>
      <c r="AO2" s="307"/>
      <c r="AQ2" s="308" t="s">
        <v>86</v>
      </c>
      <c r="AR2" s="308"/>
      <c r="AS2" s="308"/>
      <c r="AT2" s="308"/>
      <c r="AU2" s="308"/>
      <c r="AV2" s="308"/>
      <c r="AW2" s="308"/>
    </row>
    <row r="3" spans="1:49" ht="72">
      <c r="A3" s="75" t="s">
        <v>90</v>
      </c>
      <c r="B3" s="76" t="s">
        <v>91</v>
      </c>
      <c r="C3" s="76" t="s">
        <v>92</v>
      </c>
      <c r="D3" s="76" t="s">
        <v>93</v>
      </c>
      <c r="E3" s="76" t="s">
        <v>94</v>
      </c>
      <c r="F3" s="77" t="s">
        <v>95</v>
      </c>
      <c r="G3" s="78" t="s">
        <v>96</v>
      </c>
      <c r="H3" s="78" t="s">
        <v>97</v>
      </c>
      <c r="I3" s="79" t="s">
        <v>98</v>
      </c>
      <c r="J3" s="73" t="s">
        <v>99</v>
      </c>
      <c r="K3" s="73" t="s">
        <v>100</v>
      </c>
      <c r="L3" s="73" t="s">
        <v>101</v>
      </c>
      <c r="M3" s="73" t="s">
        <v>102</v>
      </c>
      <c r="N3" s="73" t="s">
        <v>104</v>
      </c>
      <c r="P3" s="79" t="s">
        <v>98</v>
      </c>
      <c r="Q3" s="73" t="s">
        <v>99</v>
      </c>
      <c r="R3" s="73" t="s">
        <v>100</v>
      </c>
      <c r="S3" s="73" t="s">
        <v>101</v>
      </c>
      <c r="T3" s="73" t="s">
        <v>102</v>
      </c>
      <c r="U3" s="73" t="s">
        <v>104</v>
      </c>
      <c r="V3" s="80" t="s">
        <v>105</v>
      </c>
      <c r="W3" s="77" t="s">
        <v>85</v>
      </c>
      <c r="X3" s="77" t="s">
        <v>106</v>
      </c>
      <c r="Y3" s="77" t="s">
        <v>85</v>
      </c>
      <c r="Z3" s="77" t="s">
        <v>106</v>
      </c>
      <c r="AA3" s="77" t="s">
        <v>107</v>
      </c>
      <c r="AB3" s="81"/>
      <c r="AC3" s="77" t="s">
        <v>86</v>
      </c>
      <c r="AD3" s="77" t="s">
        <v>106</v>
      </c>
      <c r="AE3" s="77" t="s">
        <v>86</v>
      </c>
      <c r="AF3" s="77" t="s">
        <v>106</v>
      </c>
      <c r="AG3" s="77" t="s">
        <v>107</v>
      </c>
      <c r="AI3" s="79" t="s">
        <v>98</v>
      </c>
      <c r="AJ3" s="73" t="s">
        <v>99</v>
      </c>
      <c r="AK3" s="73" t="s">
        <v>100</v>
      </c>
      <c r="AL3" s="73" t="s">
        <v>101</v>
      </c>
      <c r="AM3" s="73" t="s">
        <v>102</v>
      </c>
      <c r="AN3" s="73" t="s">
        <v>103</v>
      </c>
      <c r="AO3" s="73" t="s">
        <v>104</v>
      </c>
      <c r="AQ3" s="79" t="s">
        <v>98</v>
      </c>
      <c r="AR3" s="73" t="s">
        <v>99</v>
      </c>
      <c r="AS3" s="73" t="s">
        <v>100</v>
      </c>
      <c r="AT3" s="73" t="s">
        <v>101</v>
      </c>
      <c r="AU3" s="73" t="s">
        <v>102</v>
      </c>
      <c r="AV3" s="73" t="s">
        <v>103</v>
      </c>
      <c r="AW3" s="73" t="s">
        <v>104</v>
      </c>
    </row>
    <row r="4" spans="1:49" ht="126">
      <c r="A4" s="73">
        <f>ROW()-3</f>
        <v>1</v>
      </c>
      <c r="B4" s="125" t="s">
        <v>108</v>
      </c>
      <c r="C4" s="126" t="s">
        <v>271</v>
      </c>
      <c r="D4" s="79" t="s">
        <v>270</v>
      </c>
      <c r="E4" s="125" t="s">
        <v>279</v>
      </c>
      <c r="F4" s="83">
        <f>N4</f>
        <v>1.5</v>
      </c>
      <c r="G4" s="84">
        <f>SUM(F4:F4)</f>
        <v>1.5</v>
      </c>
      <c r="H4" s="85">
        <f>SUM(W4:W4)+SUM(Y4:Y4)</f>
        <v>1.8</v>
      </c>
      <c r="I4" s="86"/>
      <c r="J4" s="86"/>
      <c r="K4" s="86"/>
      <c r="L4" s="86">
        <v>1</v>
      </c>
      <c r="M4" s="86">
        <v>0.5</v>
      </c>
      <c r="N4" s="86">
        <f>SUM(I4:M4)</f>
        <v>1.5</v>
      </c>
      <c r="O4" s="87"/>
      <c r="P4" s="88">
        <f t="shared" ref="P4:T6" si="0">ROUNDUP(I4/20,3)</f>
        <v>0</v>
      </c>
      <c r="Q4" s="88">
        <f t="shared" si="0"/>
        <v>0</v>
      </c>
      <c r="R4" s="88">
        <f t="shared" si="0"/>
        <v>0</v>
      </c>
      <c r="S4" s="88">
        <f t="shared" si="0"/>
        <v>0.05</v>
      </c>
      <c r="T4" s="88">
        <f t="shared" si="0"/>
        <v>2.5000000000000001E-2</v>
      </c>
      <c r="U4" s="88">
        <f>SUM(P4:T4)</f>
        <v>7.5000000000000011E-2</v>
      </c>
      <c r="V4" s="89"/>
      <c r="W4" s="90">
        <f>N4</f>
        <v>1.5</v>
      </c>
      <c r="X4" s="142">
        <f t="shared" ref="X4:X10" si="1">W4*$X$2</f>
        <v>75000</v>
      </c>
      <c r="Y4" s="90">
        <f t="shared" ref="Y4:Y10" si="2">ROUNDUP(W4*0.2,2)</f>
        <v>0.3</v>
      </c>
      <c r="Z4" s="142">
        <f t="shared" ref="Z4:Z10" si="3">ROUNDUP(Y4*$Z$2,-3)</f>
        <v>21000</v>
      </c>
      <c r="AA4" s="142">
        <f t="shared" ref="AA4:AA10" si="4">SUM(X4,Z4)</f>
        <v>96000</v>
      </c>
      <c r="AC4" s="118">
        <f>ROUNDUP(U4,2)</f>
        <v>0.08</v>
      </c>
      <c r="AD4" s="142">
        <f t="shared" ref="AD4:AD10" si="5">AC4*$AD$2</f>
        <v>80000</v>
      </c>
      <c r="AE4" s="118">
        <f t="shared" ref="AE4:AE10" si="6">ROUNDUP(AC4*0.2,2)</f>
        <v>0.02</v>
      </c>
      <c r="AF4" s="142">
        <f t="shared" ref="AF4:AF10" si="7">AE4*$AF$2</f>
        <v>28000</v>
      </c>
      <c r="AG4" s="142">
        <f>SUM(AD4,AF4)</f>
        <v>108000</v>
      </c>
      <c r="AI4" s="90">
        <f>SUM(I4:I4)</f>
        <v>0</v>
      </c>
      <c r="AJ4" s="90">
        <f>SUM(J4:J4)</f>
        <v>0</v>
      </c>
      <c r="AK4" s="90">
        <f>SUM(K4:K4)</f>
        <v>0</v>
      </c>
      <c r="AL4" s="90">
        <f>SUM(L4:L4)</f>
        <v>1</v>
      </c>
      <c r="AM4" s="90">
        <f>SUM(M4:M4)</f>
        <v>0.5</v>
      </c>
      <c r="AN4" s="90" t="e">
        <f>SUM(#REF!)</f>
        <v>#REF!</v>
      </c>
      <c r="AO4" s="90">
        <f>SUM(N4:N4)</f>
        <v>1.5</v>
      </c>
      <c r="AQ4" s="90">
        <f>SUM(P4:P4)</f>
        <v>0</v>
      </c>
      <c r="AR4" s="90">
        <f>SUM(Q4:Q4)</f>
        <v>0</v>
      </c>
      <c r="AS4" s="90">
        <f>SUM(R4:R4)</f>
        <v>0</v>
      </c>
      <c r="AT4" s="90">
        <f>SUM(S4:S4)</f>
        <v>0.05</v>
      </c>
      <c r="AU4" s="90">
        <f>SUM(T4:T4)</f>
        <v>2.5000000000000001E-2</v>
      </c>
      <c r="AV4" s="90" t="e">
        <f>SUM(#REF!)</f>
        <v>#REF!</v>
      </c>
      <c r="AW4" s="90">
        <f>SUM(U4:U4)</f>
        <v>7.5000000000000011E-2</v>
      </c>
    </row>
    <row r="5" spans="1:49" ht="108">
      <c r="A5" s="137">
        <f>ROW()-3</f>
        <v>2</v>
      </c>
      <c r="B5" s="138"/>
      <c r="C5" s="144"/>
      <c r="D5" s="140" t="s">
        <v>251</v>
      </c>
      <c r="E5" s="145" t="s">
        <v>249</v>
      </c>
      <c r="F5" s="83">
        <f>N5</f>
        <v>1</v>
      </c>
      <c r="G5" s="83"/>
      <c r="H5" s="95"/>
      <c r="I5" s="86"/>
      <c r="J5" s="86"/>
      <c r="K5" s="86"/>
      <c r="L5" s="86">
        <v>0.5</v>
      </c>
      <c r="M5" s="86">
        <v>0.5</v>
      </c>
      <c r="N5" s="86">
        <f>SUM(I5:M5)</f>
        <v>1</v>
      </c>
      <c r="O5" s="87"/>
      <c r="P5" s="88">
        <f t="shared" si="0"/>
        <v>0</v>
      </c>
      <c r="Q5" s="88">
        <f t="shared" si="0"/>
        <v>0</v>
      </c>
      <c r="R5" s="88">
        <f t="shared" si="0"/>
        <v>0</v>
      </c>
      <c r="S5" s="88">
        <f t="shared" si="0"/>
        <v>2.5000000000000001E-2</v>
      </c>
      <c r="T5" s="88">
        <f t="shared" si="0"/>
        <v>2.5000000000000001E-2</v>
      </c>
      <c r="U5" s="88">
        <f>SUM(P5:T5)</f>
        <v>0.05</v>
      </c>
      <c r="V5" s="89"/>
      <c r="W5" s="90">
        <f>N5</f>
        <v>1</v>
      </c>
      <c r="X5" s="142">
        <f t="shared" si="1"/>
        <v>50000</v>
      </c>
      <c r="Y5" s="90">
        <f t="shared" si="2"/>
        <v>0.2</v>
      </c>
      <c r="Z5" s="142">
        <f t="shared" si="3"/>
        <v>14000</v>
      </c>
      <c r="AA5" s="142">
        <f t="shared" si="4"/>
        <v>64000</v>
      </c>
      <c r="AC5" s="118">
        <f>U5</f>
        <v>0.05</v>
      </c>
      <c r="AD5" s="142">
        <f t="shared" si="5"/>
        <v>50000</v>
      </c>
      <c r="AE5" s="118">
        <f t="shared" si="6"/>
        <v>0.01</v>
      </c>
      <c r="AF5" s="142">
        <f t="shared" si="7"/>
        <v>14000</v>
      </c>
      <c r="AG5" s="142">
        <f>ROUNDUP(SUM(AD5,AF5),-3)</f>
        <v>64000</v>
      </c>
      <c r="AI5" s="90"/>
      <c r="AJ5" s="90"/>
      <c r="AK5" s="90"/>
      <c r="AL5" s="90"/>
      <c r="AM5" s="90"/>
      <c r="AN5" s="90"/>
      <c r="AO5" s="90"/>
      <c r="AQ5" s="90"/>
      <c r="AR5" s="90"/>
      <c r="AS5" s="90"/>
      <c r="AT5" s="90"/>
      <c r="AU5" s="90"/>
      <c r="AV5" s="90"/>
      <c r="AW5" s="90"/>
    </row>
    <row r="6" spans="1:49" ht="216">
      <c r="A6" s="137">
        <f>ROW()-3</f>
        <v>3</v>
      </c>
      <c r="B6" s="138"/>
      <c r="C6" s="144"/>
      <c r="D6" s="140" t="s">
        <v>256</v>
      </c>
      <c r="E6" s="145" t="s">
        <v>250</v>
      </c>
      <c r="F6" s="83">
        <f>N6</f>
        <v>1</v>
      </c>
      <c r="G6" s="83"/>
      <c r="H6" s="95"/>
      <c r="I6" s="86"/>
      <c r="J6" s="86"/>
      <c r="K6" s="86"/>
      <c r="L6" s="86">
        <v>0.5</v>
      </c>
      <c r="M6" s="86">
        <v>0.5</v>
      </c>
      <c r="N6" s="86">
        <f>SUM(I6:M6)</f>
        <v>1</v>
      </c>
      <c r="O6" s="87"/>
      <c r="P6" s="88">
        <f t="shared" si="0"/>
        <v>0</v>
      </c>
      <c r="Q6" s="88">
        <f t="shared" si="0"/>
        <v>0</v>
      </c>
      <c r="R6" s="88">
        <f t="shared" si="0"/>
        <v>0</v>
      </c>
      <c r="S6" s="88">
        <f t="shared" si="0"/>
        <v>2.5000000000000001E-2</v>
      </c>
      <c r="T6" s="88">
        <f t="shared" si="0"/>
        <v>2.5000000000000001E-2</v>
      </c>
      <c r="U6" s="88">
        <f>SUM(P6:T6)</f>
        <v>0.05</v>
      </c>
      <c r="V6" s="89"/>
      <c r="W6" s="90">
        <f>N6</f>
        <v>1</v>
      </c>
      <c r="X6" s="142">
        <f t="shared" si="1"/>
        <v>50000</v>
      </c>
      <c r="Y6" s="90">
        <f t="shared" si="2"/>
        <v>0.2</v>
      </c>
      <c r="Z6" s="142">
        <f t="shared" si="3"/>
        <v>14000</v>
      </c>
      <c r="AA6" s="142">
        <f t="shared" si="4"/>
        <v>64000</v>
      </c>
      <c r="AC6" s="118">
        <f>U6</f>
        <v>0.05</v>
      </c>
      <c r="AD6" s="142">
        <f t="shared" si="5"/>
        <v>50000</v>
      </c>
      <c r="AE6" s="118">
        <f t="shared" si="6"/>
        <v>0.01</v>
      </c>
      <c r="AF6" s="142">
        <f t="shared" si="7"/>
        <v>14000</v>
      </c>
      <c r="AG6" s="142">
        <f>ROUNDUP(SUM(AD6,AF6),-3)</f>
        <v>64000</v>
      </c>
      <c r="AI6" s="90"/>
      <c r="AJ6" s="90"/>
      <c r="AK6" s="90"/>
      <c r="AL6" s="90"/>
      <c r="AM6" s="90"/>
      <c r="AN6" s="90"/>
      <c r="AO6" s="90"/>
      <c r="AQ6" s="90"/>
      <c r="AR6" s="90"/>
      <c r="AS6" s="90"/>
      <c r="AT6" s="90"/>
      <c r="AU6" s="90"/>
      <c r="AV6" s="90"/>
      <c r="AW6" s="90"/>
    </row>
    <row r="7" spans="1:49">
      <c r="A7" s="96" t="s">
        <v>109</v>
      </c>
      <c r="B7" s="97"/>
      <c r="C7" s="98"/>
      <c r="D7" s="98"/>
      <c r="E7" s="98"/>
      <c r="F7" s="99"/>
      <c r="V7" s="89" t="s">
        <v>298</v>
      </c>
      <c r="W7" s="90">
        <v>2</v>
      </c>
      <c r="X7" s="142">
        <f t="shared" si="1"/>
        <v>100000</v>
      </c>
      <c r="Y7" s="90">
        <f t="shared" si="2"/>
        <v>0.4</v>
      </c>
      <c r="Z7" s="142">
        <f t="shared" si="3"/>
        <v>28000</v>
      </c>
      <c r="AA7" s="142">
        <f t="shared" si="4"/>
        <v>128000</v>
      </c>
      <c r="AC7" s="118">
        <f>ROUNDUP(W7/20,3)</f>
        <v>0.1</v>
      </c>
      <c r="AD7" s="142">
        <f t="shared" si="5"/>
        <v>100000</v>
      </c>
      <c r="AE7" s="118">
        <f t="shared" si="6"/>
        <v>0.02</v>
      </c>
      <c r="AF7" s="146">
        <f t="shared" si="7"/>
        <v>28000</v>
      </c>
      <c r="AG7" s="142">
        <f>SUM(AD7,AF7)</f>
        <v>128000</v>
      </c>
    </row>
    <row r="8" spans="1:49">
      <c r="A8" s="96" t="s">
        <v>109</v>
      </c>
      <c r="B8" s="97"/>
      <c r="C8" s="98"/>
      <c r="D8" s="98"/>
      <c r="E8" s="98"/>
      <c r="F8" s="99"/>
      <c r="V8" s="89" t="s">
        <v>299</v>
      </c>
      <c r="W8" s="90">
        <v>1.5</v>
      </c>
      <c r="X8" s="142">
        <f t="shared" si="1"/>
        <v>75000</v>
      </c>
      <c r="Y8" s="90">
        <f t="shared" si="2"/>
        <v>0.3</v>
      </c>
      <c r="Z8" s="142">
        <f t="shared" si="3"/>
        <v>21000</v>
      </c>
      <c r="AA8" s="142">
        <f t="shared" si="4"/>
        <v>96000</v>
      </c>
      <c r="AC8" s="118">
        <f>ROUNDUP(W8/20,3)</f>
        <v>7.4999999999999997E-2</v>
      </c>
      <c r="AD8" s="142">
        <f t="shared" si="5"/>
        <v>75000</v>
      </c>
      <c r="AE8" s="118">
        <f t="shared" si="6"/>
        <v>0.02</v>
      </c>
      <c r="AF8" s="146">
        <f t="shared" si="7"/>
        <v>28000</v>
      </c>
      <c r="AG8" s="142">
        <f>SUM(AD8,AF8)</f>
        <v>103000</v>
      </c>
    </row>
    <row r="9" spans="1:49">
      <c r="A9" s="96" t="s">
        <v>109</v>
      </c>
      <c r="B9" s="97"/>
      <c r="C9" s="98"/>
      <c r="D9" s="98"/>
      <c r="E9" s="98"/>
      <c r="F9" s="99"/>
      <c r="V9" s="89" t="s">
        <v>103</v>
      </c>
      <c r="W9" s="90">
        <v>2</v>
      </c>
      <c r="X9" s="142">
        <f t="shared" si="1"/>
        <v>100000</v>
      </c>
      <c r="Y9" s="90">
        <f t="shared" si="2"/>
        <v>0.4</v>
      </c>
      <c r="Z9" s="142">
        <f t="shared" si="3"/>
        <v>28000</v>
      </c>
      <c r="AA9" s="142">
        <f t="shared" si="4"/>
        <v>128000</v>
      </c>
      <c r="AC9" s="118">
        <f>ROUNDUP(W9/20,3)</f>
        <v>0.1</v>
      </c>
      <c r="AD9" s="142">
        <f t="shared" si="5"/>
        <v>100000</v>
      </c>
      <c r="AE9" s="118">
        <f t="shared" si="6"/>
        <v>0.02</v>
      </c>
      <c r="AF9" s="146">
        <f t="shared" si="7"/>
        <v>28000</v>
      </c>
      <c r="AG9" s="142">
        <f>SUM(AD9,AF9)</f>
        <v>128000</v>
      </c>
    </row>
    <row r="10" spans="1:49" ht="18.5" thickBot="1">
      <c r="A10" s="100"/>
      <c r="F10" s="101"/>
      <c r="V10" s="120" t="s">
        <v>205</v>
      </c>
      <c r="W10" s="123">
        <v>5</v>
      </c>
      <c r="X10" s="142">
        <f t="shared" si="1"/>
        <v>250000</v>
      </c>
      <c r="Y10" s="90">
        <f t="shared" si="2"/>
        <v>1</v>
      </c>
      <c r="Z10" s="142">
        <f t="shared" si="3"/>
        <v>70000</v>
      </c>
      <c r="AA10" s="146">
        <f t="shared" si="4"/>
        <v>320000</v>
      </c>
      <c r="AC10" s="154">
        <f>ROUNDUP(W10/20,3)</f>
        <v>0.25</v>
      </c>
      <c r="AD10" s="146">
        <f t="shared" si="5"/>
        <v>250000</v>
      </c>
      <c r="AE10" s="154">
        <f t="shared" si="6"/>
        <v>0.05</v>
      </c>
      <c r="AF10" s="146">
        <f t="shared" si="7"/>
        <v>70000</v>
      </c>
      <c r="AG10" s="146">
        <f>SUM(AD10,AF10)</f>
        <v>320000</v>
      </c>
    </row>
    <row r="11" spans="1:49" ht="19.5" customHeight="1" thickBot="1">
      <c r="A11" s="100"/>
      <c r="B11" s="72" t="s">
        <v>111</v>
      </c>
      <c r="F11" s="101"/>
      <c r="AA11" s="302" t="s">
        <v>104</v>
      </c>
      <c r="AB11" s="303"/>
      <c r="AC11" s="158">
        <f>SUM(AC4:AC10)</f>
        <v>0.70500000000000007</v>
      </c>
      <c r="AD11" s="225">
        <f>SUM(AD4:AD10)</f>
        <v>705000</v>
      </c>
      <c r="AE11" s="158">
        <f>ROUNDUP(SUM(AE4:AE10),2)</f>
        <v>0.15</v>
      </c>
      <c r="AF11" s="225">
        <f>SUM(AF4:AF10)</f>
        <v>210000</v>
      </c>
      <c r="AG11" s="159">
        <f>SUM(AG4:AG10)</f>
        <v>915000</v>
      </c>
    </row>
    <row r="12" spans="1:49" ht="18.5" thickBot="1">
      <c r="A12" s="100"/>
      <c r="B12" s="72" t="s">
        <v>112</v>
      </c>
      <c r="F12" s="101"/>
      <c r="W12" s="119"/>
      <c r="AD12" s="155" t="s">
        <v>267</v>
      </c>
      <c r="AE12" s="156">
        <f>SUM(AC11,AE11)</f>
        <v>0.85500000000000009</v>
      </c>
    </row>
    <row r="13" spans="1:49">
      <c r="A13" s="100"/>
      <c r="B13" s="72" t="s">
        <v>113</v>
      </c>
      <c r="F13" s="101"/>
    </row>
    <row r="14" spans="1:49">
      <c r="A14" s="100"/>
      <c r="B14" s="69" t="s">
        <v>114</v>
      </c>
      <c r="F14" s="101"/>
    </row>
    <row r="15" spans="1:49" s="69" customFormat="1">
      <c r="A15" s="100"/>
      <c r="B15" s="69" t="s">
        <v>115</v>
      </c>
      <c r="C15" s="70"/>
      <c r="D15" s="70"/>
      <c r="E15" s="70"/>
      <c r="F15" s="101"/>
      <c r="G15" s="71"/>
      <c r="H15" s="71"/>
    </row>
    <row r="16" spans="1:49" s="69" customFormat="1">
      <c r="A16" s="100"/>
      <c r="B16" s="69" t="s">
        <v>116</v>
      </c>
      <c r="C16" s="70"/>
      <c r="D16" s="70"/>
      <c r="E16" s="70"/>
      <c r="F16" s="101"/>
      <c r="H16" s="71"/>
      <c r="I16" s="71"/>
    </row>
  </sheetData>
  <mergeCells count="8">
    <mergeCell ref="AA11:AB11"/>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C4F9-FCA0-4E6D-B614-9875C3B5DD0A}">
  <sheetPr>
    <tabColor rgb="FFFF0000"/>
  </sheetPr>
  <dimension ref="A1:BA16"/>
  <sheetViews>
    <sheetView showGridLines="0" zoomScale="70" zoomScaleNormal="70" workbookViewId="0">
      <pane xSplit="5" ySplit="3" topLeftCell="F4" activePane="bottomRight" state="frozen"/>
      <selection pane="topRight" activeCell="F1" sqref="F1"/>
      <selection pane="bottomLeft" activeCell="A4" sqref="A4"/>
      <selection pane="bottomRight" activeCell="AI19" sqref="AI19"/>
    </sheetView>
  </sheetViews>
  <sheetFormatPr defaultRowHeight="18" outlineLevelCol="1"/>
  <cols>
    <col min="1" max="1" width="4.33203125" style="72" bestFit="1" customWidth="1"/>
    <col min="2" max="2" width="19.83203125" style="69" customWidth="1"/>
    <col min="3" max="3" width="17.58203125" style="70" customWidth="1"/>
    <col min="4" max="4" width="27.5" style="70" bestFit="1" customWidth="1"/>
    <col min="5" max="5" width="112.5" style="70" customWidth="1"/>
    <col min="6" max="8" width="9.58203125" style="71" customWidth="1"/>
    <col min="9" max="15" width="9.58203125" style="69" customWidth="1" outlineLevel="1"/>
    <col min="16" max="16" width="1.58203125" style="69" customWidth="1"/>
    <col min="17" max="23" width="9.58203125" style="69" customWidth="1" outlineLevel="1"/>
    <col min="24" max="24" width="13.83203125" style="69" customWidth="1"/>
    <col min="25" max="25" width="9.58203125" style="69" customWidth="1" outlineLevel="1"/>
    <col min="26" max="26" width="14.08203125" style="69" customWidth="1" outlineLevel="1"/>
    <col min="27" max="27" width="9.58203125" style="69" customWidth="1" outlineLevel="1"/>
    <col min="28" max="29" width="14.08203125" style="69" customWidth="1" outlineLevel="1"/>
    <col min="30" max="30" width="2.58203125" style="69" customWidth="1"/>
    <col min="31" max="31" width="9.58203125" style="69" customWidth="1" outlineLevel="1"/>
    <col min="32" max="32" width="14.08203125" style="69" customWidth="1" outlineLevel="1"/>
    <col min="33" max="34" width="9.58203125" style="69" customWidth="1" outlineLevel="1"/>
    <col min="35" max="36" width="14.08203125" style="69" customWidth="1" outlineLevel="1"/>
    <col min="37" max="37" width="5" style="69" customWidth="1"/>
    <col min="38" max="44" width="9.58203125" style="69" hidden="1" customWidth="1" outlineLevel="1"/>
    <col min="45" max="45" width="3.58203125" style="69" customWidth="1" collapsed="1"/>
    <col min="46" max="52" width="9" style="69" hidden="1" customWidth="1" outlineLevel="1"/>
    <col min="53" max="53" width="9" bestFit="1" customWidth="1" collapsed="1"/>
  </cols>
  <sheetData>
    <row r="1" spans="1:52" ht="22.5" customHeight="1">
      <c r="A1" s="68" t="s">
        <v>84</v>
      </c>
      <c r="Y1" s="304" t="s">
        <v>85</v>
      </c>
      <c r="Z1" s="304"/>
      <c r="AA1" s="304"/>
      <c r="AB1" s="304"/>
      <c r="AC1" s="304"/>
      <c r="AE1" s="305" t="s">
        <v>86</v>
      </c>
      <c r="AF1" s="305"/>
      <c r="AG1" s="305"/>
      <c r="AH1" s="305"/>
      <c r="AI1" s="305"/>
      <c r="AJ1" s="305"/>
      <c r="AL1" s="306" t="s">
        <v>87</v>
      </c>
      <c r="AM1" s="306"/>
      <c r="AN1" s="306"/>
      <c r="AO1" s="306"/>
      <c r="AP1" s="306"/>
      <c r="AQ1" s="306"/>
      <c r="AR1" s="306"/>
      <c r="AS1" s="306"/>
      <c r="AT1" s="306"/>
      <c r="AU1" s="306"/>
      <c r="AV1" s="306"/>
      <c r="AW1" s="306"/>
      <c r="AX1" s="306"/>
      <c r="AY1" s="306"/>
      <c r="AZ1" s="306"/>
    </row>
    <row r="2" spans="1:52">
      <c r="I2" s="304" t="s">
        <v>85</v>
      </c>
      <c r="J2" s="304"/>
      <c r="K2" s="304"/>
      <c r="L2" s="304"/>
      <c r="M2" s="304"/>
      <c r="N2" s="304"/>
      <c r="O2" s="304"/>
      <c r="Q2" s="305" t="s">
        <v>86</v>
      </c>
      <c r="R2" s="305"/>
      <c r="S2" s="305"/>
      <c r="T2" s="305"/>
      <c r="U2" s="305"/>
      <c r="V2" s="305"/>
      <c r="W2" s="305"/>
      <c r="Y2" s="73" t="s">
        <v>88</v>
      </c>
      <c r="Z2" s="74">
        <v>50000</v>
      </c>
      <c r="AA2" s="73" t="s">
        <v>89</v>
      </c>
      <c r="AB2" s="74">
        <v>70000</v>
      </c>
      <c r="AC2" s="73"/>
      <c r="AE2" s="73" t="s">
        <v>88</v>
      </c>
      <c r="AF2" s="74">
        <v>1000000</v>
      </c>
      <c r="AG2" s="73" t="s">
        <v>89</v>
      </c>
      <c r="AH2" s="73"/>
      <c r="AI2" s="74">
        <v>1400000</v>
      </c>
      <c r="AJ2" s="73"/>
      <c r="AL2" s="307" t="s">
        <v>85</v>
      </c>
      <c r="AM2" s="307"/>
      <c r="AN2" s="307"/>
      <c r="AO2" s="307"/>
      <c r="AP2" s="307"/>
      <c r="AQ2" s="307"/>
      <c r="AR2" s="307"/>
      <c r="AT2" s="308" t="s">
        <v>86</v>
      </c>
      <c r="AU2" s="308"/>
      <c r="AV2" s="308"/>
      <c r="AW2" s="308"/>
      <c r="AX2" s="308"/>
      <c r="AY2" s="308"/>
      <c r="AZ2" s="308"/>
    </row>
    <row r="3" spans="1:52" ht="72">
      <c r="A3" s="75" t="s">
        <v>90</v>
      </c>
      <c r="B3" s="76" t="s">
        <v>91</v>
      </c>
      <c r="C3" s="76" t="s">
        <v>92</v>
      </c>
      <c r="D3" s="76" t="s">
        <v>93</v>
      </c>
      <c r="E3" s="76" t="s">
        <v>94</v>
      </c>
      <c r="F3" s="77" t="s">
        <v>95</v>
      </c>
      <c r="G3" s="78" t="s">
        <v>96</v>
      </c>
      <c r="H3" s="78" t="s">
        <v>97</v>
      </c>
      <c r="I3" s="79" t="s">
        <v>98</v>
      </c>
      <c r="J3" s="73" t="s">
        <v>99</v>
      </c>
      <c r="K3" s="73" t="s">
        <v>100</v>
      </c>
      <c r="L3" s="73" t="s">
        <v>101</v>
      </c>
      <c r="M3" s="73" t="s">
        <v>102</v>
      </c>
      <c r="N3" s="73" t="s">
        <v>103</v>
      </c>
      <c r="O3" s="73" t="s">
        <v>104</v>
      </c>
      <c r="Q3" s="79" t="s">
        <v>98</v>
      </c>
      <c r="R3" s="73" t="s">
        <v>99</v>
      </c>
      <c r="S3" s="73" t="s">
        <v>100</v>
      </c>
      <c r="T3" s="73" t="s">
        <v>101</v>
      </c>
      <c r="U3" s="73" t="s">
        <v>102</v>
      </c>
      <c r="V3" s="73" t="s">
        <v>103</v>
      </c>
      <c r="W3" s="73" t="s">
        <v>104</v>
      </c>
      <c r="X3" s="80" t="s">
        <v>105</v>
      </c>
      <c r="Y3" s="77" t="s">
        <v>85</v>
      </c>
      <c r="Z3" s="77" t="s">
        <v>106</v>
      </c>
      <c r="AA3" s="77" t="s">
        <v>85</v>
      </c>
      <c r="AB3" s="77" t="s">
        <v>106</v>
      </c>
      <c r="AC3" s="77" t="s">
        <v>107</v>
      </c>
      <c r="AD3" s="81"/>
      <c r="AE3" s="77" t="s">
        <v>86</v>
      </c>
      <c r="AF3" s="77" t="s">
        <v>106</v>
      </c>
      <c r="AG3" s="77" t="s">
        <v>86</v>
      </c>
      <c r="AH3" s="77"/>
      <c r="AI3" s="77" t="s">
        <v>106</v>
      </c>
      <c r="AJ3" s="77" t="s">
        <v>107</v>
      </c>
      <c r="AL3" s="79" t="s">
        <v>98</v>
      </c>
      <c r="AM3" s="73" t="s">
        <v>99</v>
      </c>
      <c r="AN3" s="73" t="s">
        <v>100</v>
      </c>
      <c r="AO3" s="73" t="s">
        <v>101</v>
      </c>
      <c r="AP3" s="73" t="s">
        <v>102</v>
      </c>
      <c r="AQ3" s="73" t="s">
        <v>103</v>
      </c>
      <c r="AR3" s="73" t="s">
        <v>104</v>
      </c>
      <c r="AT3" s="79" t="s">
        <v>98</v>
      </c>
      <c r="AU3" s="73" t="s">
        <v>99</v>
      </c>
      <c r="AV3" s="73" t="s">
        <v>100</v>
      </c>
      <c r="AW3" s="73" t="s">
        <v>101</v>
      </c>
      <c r="AX3" s="73" t="s">
        <v>102</v>
      </c>
      <c r="AY3" s="73" t="s">
        <v>103</v>
      </c>
      <c r="AZ3" s="73" t="s">
        <v>104</v>
      </c>
    </row>
    <row r="4" spans="1:52" ht="54">
      <c r="A4" s="73">
        <f>ROW()-3</f>
        <v>1</v>
      </c>
      <c r="B4" s="125" t="s">
        <v>108</v>
      </c>
      <c r="C4" s="126" t="s">
        <v>216</v>
      </c>
      <c r="D4" s="79" t="s">
        <v>208</v>
      </c>
      <c r="E4" s="125" t="s">
        <v>215</v>
      </c>
      <c r="F4" s="83">
        <f>O4</f>
        <v>7</v>
      </c>
      <c r="G4" s="84">
        <f>SUM(F4:F8)</f>
        <v>26.5</v>
      </c>
      <c r="H4" s="85">
        <f>SUM(Y4:Y7)+SUM(AA4:AA7)</f>
        <v>19.8</v>
      </c>
      <c r="I4" s="86">
        <v>0.5</v>
      </c>
      <c r="J4" s="86">
        <v>1</v>
      </c>
      <c r="K4" s="86">
        <v>2</v>
      </c>
      <c r="L4" s="86">
        <v>1</v>
      </c>
      <c r="M4" s="86">
        <v>0.5</v>
      </c>
      <c r="N4" s="86">
        <v>2</v>
      </c>
      <c r="O4" s="86">
        <f>SUM(I4:N4)</f>
        <v>7</v>
      </c>
      <c r="P4" s="87"/>
      <c r="Q4" s="88">
        <f t="shared" ref="Q4:V8" si="0">ROUNDUP(I4/20,3)</f>
        <v>2.5000000000000001E-2</v>
      </c>
      <c r="R4" s="88">
        <f t="shared" si="0"/>
        <v>0.05</v>
      </c>
      <c r="S4" s="88">
        <f t="shared" si="0"/>
        <v>0.1</v>
      </c>
      <c r="T4" s="88">
        <f t="shared" si="0"/>
        <v>0.05</v>
      </c>
      <c r="U4" s="88">
        <f t="shared" si="0"/>
        <v>2.5000000000000001E-2</v>
      </c>
      <c r="V4" s="88">
        <f t="shared" si="0"/>
        <v>0.1</v>
      </c>
      <c r="W4" s="88">
        <f>SUM(Q4:V4)</f>
        <v>0.35000000000000009</v>
      </c>
      <c r="X4" s="89"/>
      <c r="Y4" s="90">
        <f>O4</f>
        <v>7</v>
      </c>
      <c r="Z4" s="142">
        <f t="shared" ref="Z4:Z9" si="1">Y4*$Z$2</f>
        <v>350000</v>
      </c>
      <c r="AA4" s="90">
        <f t="shared" ref="AA4:AA9" si="2">ROUNDUP(Y4*0.2,2)</f>
        <v>1.4</v>
      </c>
      <c r="AB4" s="142">
        <f t="shared" ref="AB4:AB9" si="3">ROUNDUP(AA4*$AB$2,-3)</f>
        <v>98000</v>
      </c>
      <c r="AC4" s="142">
        <f t="shared" ref="AC4:AC9" si="4">SUM(Z4,AB4)</f>
        <v>448000</v>
      </c>
      <c r="AE4" s="118">
        <f>ROUNDUP(W4,2)</f>
        <v>0.35</v>
      </c>
      <c r="AF4" s="142">
        <f t="shared" ref="AF4:AF9" si="5">AE4*$AF$2</f>
        <v>350000</v>
      </c>
      <c r="AG4" s="118">
        <f t="shared" ref="AG4:AG9" si="6">ROUNDUP(AE4*0.2,3)</f>
        <v>7.0000000000000007E-2</v>
      </c>
      <c r="AH4" s="118">
        <f t="shared" ref="AH4:AH9" si="7">SUM(AE4,AG4)</f>
        <v>0.42</v>
      </c>
      <c r="AI4" s="142">
        <f t="shared" ref="AI4:AI9" si="8">AG4*$AI$2</f>
        <v>98000.000000000015</v>
      </c>
      <c r="AJ4" s="142">
        <f t="shared" ref="AJ4:AJ9" si="9">ROUNDUP(SUM(AF4,AI4),-3)</f>
        <v>448000</v>
      </c>
      <c r="AL4" s="90">
        <f t="shared" ref="AL4:AR4" si="10">SUM(I4:I7)</f>
        <v>2</v>
      </c>
      <c r="AM4" s="90">
        <f t="shared" si="10"/>
        <v>3.5</v>
      </c>
      <c r="AN4" s="90">
        <f t="shared" si="10"/>
        <v>4.5</v>
      </c>
      <c r="AO4" s="90">
        <f t="shared" si="10"/>
        <v>2.5</v>
      </c>
      <c r="AP4" s="90">
        <f t="shared" si="10"/>
        <v>2</v>
      </c>
      <c r="AQ4" s="90">
        <f t="shared" si="10"/>
        <v>2</v>
      </c>
      <c r="AR4" s="90">
        <f t="shared" si="10"/>
        <v>16.5</v>
      </c>
      <c r="AT4" s="90">
        <f t="shared" ref="AT4:AZ4" si="11">SUM(Q4:Q7)</f>
        <v>0.1</v>
      </c>
      <c r="AU4" s="90">
        <f t="shared" si="11"/>
        <v>0.17500000000000002</v>
      </c>
      <c r="AV4" s="90">
        <f t="shared" si="11"/>
        <v>0.22500000000000001</v>
      </c>
      <c r="AW4" s="90">
        <f t="shared" si="11"/>
        <v>0.125</v>
      </c>
      <c r="AX4" s="90">
        <f t="shared" si="11"/>
        <v>0.1</v>
      </c>
      <c r="AY4" s="90">
        <f t="shared" si="11"/>
        <v>0.1</v>
      </c>
      <c r="AZ4" s="90">
        <f t="shared" si="11"/>
        <v>0.82500000000000018</v>
      </c>
    </row>
    <row r="5" spans="1:52" ht="54">
      <c r="A5" s="73">
        <f>ROW()-3</f>
        <v>2</v>
      </c>
      <c r="B5" s="127"/>
      <c r="C5" s="143"/>
      <c r="D5" s="79" t="s">
        <v>209</v>
      </c>
      <c r="E5" s="125" t="s">
        <v>212</v>
      </c>
      <c r="F5" s="83">
        <f>O5</f>
        <v>3.5</v>
      </c>
      <c r="G5" s="92"/>
      <c r="H5" s="93"/>
      <c r="I5" s="86">
        <v>0.5</v>
      </c>
      <c r="J5" s="86">
        <v>1</v>
      </c>
      <c r="K5" s="86">
        <v>1</v>
      </c>
      <c r="L5" s="86">
        <v>0.5</v>
      </c>
      <c r="M5" s="86">
        <v>0.5</v>
      </c>
      <c r="N5" s="94">
        <v>0</v>
      </c>
      <c r="O5" s="86">
        <f>SUM(I5:N5)</f>
        <v>3.5</v>
      </c>
      <c r="P5" s="87"/>
      <c r="Q5" s="88">
        <f t="shared" si="0"/>
        <v>2.5000000000000001E-2</v>
      </c>
      <c r="R5" s="88">
        <f t="shared" si="0"/>
        <v>0.05</v>
      </c>
      <c r="S5" s="88">
        <f t="shared" si="0"/>
        <v>0.05</v>
      </c>
      <c r="T5" s="88">
        <f t="shared" si="0"/>
        <v>2.5000000000000001E-2</v>
      </c>
      <c r="U5" s="88">
        <f t="shared" si="0"/>
        <v>2.5000000000000001E-2</v>
      </c>
      <c r="V5" s="88">
        <f t="shared" si="0"/>
        <v>0</v>
      </c>
      <c r="W5" s="88">
        <f>SUM(Q5:V5)</f>
        <v>0.17499999999999999</v>
      </c>
      <c r="X5" s="89"/>
      <c r="Y5" s="90">
        <f>O5</f>
        <v>3.5</v>
      </c>
      <c r="Z5" s="142">
        <f t="shared" si="1"/>
        <v>175000</v>
      </c>
      <c r="AA5" s="90">
        <f t="shared" si="2"/>
        <v>0.7</v>
      </c>
      <c r="AB5" s="142">
        <f t="shared" si="3"/>
        <v>49000</v>
      </c>
      <c r="AC5" s="142">
        <f t="shared" si="4"/>
        <v>224000</v>
      </c>
      <c r="AE5" s="118">
        <f>ROUNDUP(W5,2)</f>
        <v>0.18000000000000002</v>
      </c>
      <c r="AF5" s="142">
        <f t="shared" si="5"/>
        <v>180000.00000000003</v>
      </c>
      <c r="AG5" s="118">
        <f t="shared" si="6"/>
        <v>3.5999999999999997E-2</v>
      </c>
      <c r="AH5" s="118">
        <f t="shared" si="7"/>
        <v>0.21600000000000003</v>
      </c>
      <c r="AI5" s="142">
        <f t="shared" si="8"/>
        <v>50399.999999999993</v>
      </c>
      <c r="AJ5" s="142">
        <f t="shared" si="9"/>
        <v>231000</v>
      </c>
      <c r="AL5" s="90"/>
      <c r="AM5" s="90"/>
      <c r="AN5" s="90"/>
      <c r="AO5" s="90"/>
      <c r="AP5" s="90"/>
      <c r="AQ5" s="90"/>
      <c r="AR5" s="90"/>
      <c r="AT5" s="90"/>
      <c r="AU5" s="90"/>
      <c r="AV5" s="90"/>
      <c r="AW5" s="90"/>
      <c r="AX5" s="90"/>
      <c r="AY5" s="90"/>
      <c r="AZ5" s="90"/>
    </row>
    <row r="6" spans="1:52" ht="54">
      <c r="A6" s="73">
        <f>ROW()-3</f>
        <v>3</v>
      </c>
      <c r="B6" s="127"/>
      <c r="C6" s="143"/>
      <c r="D6" s="79" t="s">
        <v>210</v>
      </c>
      <c r="E6" s="125" t="s">
        <v>213</v>
      </c>
      <c r="F6" s="83">
        <f>O6</f>
        <v>3.5</v>
      </c>
      <c r="G6" s="92"/>
      <c r="H6" s="93"/>
      <c r="I6" s="86">
        <v>0.5</v>
      </c>
      <c r="J6" s="86">
        <v>1</v>
      </c>
      <c r="K6" s="86">
        <v>1</v>
      </c>
      <c r="L6" s="86">
        <v>0.5</v>
      </c>
      <c r="M6" s="86">
        <v>0.5</v>
      </c>
      <c r="N6" s="94">
        <v>0</v>
      </c>
      <c r="O6" s="86">
        <f>SUM(I6:N6)</f>
        <v>3.5</v>
      </c>
      <c r="P6" s="87"/>
      <c r="Q6" s="88">
        <f t="shared" si="0"/>
        <v>2.5000000000000001E-2</v>
      </c>
      <c r="R6" s="88">
        <f t="shared" si="0"/>
        <v>0.05</v>
      </c>
      <c r="S6" s="88">
        <f t="shared" si="0"/>
        <v>0.05</v>
      </c>
      <c r="T6" s="88">
        <f t="shared" si="0"/>
        <v>2.5000000000000001E-2</v>
      </c>
      <c r="U6" s="88">
        <f t="shared" si="0"/>
        <v>2.5000000000000001E-2</v>
      </c>
      <c r="V6" s="88">
        <f t="shared" si="0"/>
        <v>0</v>
      </c>
      <c r="W6" s="88">
        <f>SUM(Q6:V6)</f>
        <v>0.17499999999999999</v>
      </c>
      <c r="X6" s="89"/>
      <c r="Y6" s="90">
        <f>O6</f>
        <v>3.5</v>
      </c>
      <c r="Z6" s="142">
        <f t="shared" si="1"/>
        <v>175000</v>
      </c>
      <c r="AA6" s="90">
        <f t="shared" si="2"/>
        <v>0.7</v>
      </c>
      <c r="AB6" s="142">
        <f t="shared" si="3"/>
        <v>49000</v>
      </c>
      <c r="AC6" s="142">
        <f t="shared" si="4"/>
        <v>224000</v>
      </c>
      <c r="AE6" s="118">
        <f>ROUNDUP(W6,2)</f>
        <v>0.18000000000000002</v>
      </c>
      <c r="AF6" s="142">
        <f t="shared" si="5"/>
        <v>180000.00000000003</v>
      </c>
      <c r="AG6" s="118">
        <f t="shared" si="6"/>
        <v>3.5999999999999997E-2</v>
      </c>
      <c r="AH6" s="118">
        <f t="shared" si="7"/>
        <v>0.21600000000000003</v>
      </c>
      <c r="AI6" s="142">
        <f t="shared" si="8"/>
        <v>50399.999999999993</v>
      </c>
      <c r="AJ6" s="142">
        <f t="shared" si="9"/>
        <v>231000</v>
      </c>
      <c r="AL6" s="90"/>
      <c r="AM6" s="90"/>
      <c r="AN6" s="90"/>
      <c r="AO6" s="90"/>
      <c r="AP6" s="90"/>
      <c r="AQ6" s="90"/>
      <c r="AR6" s="90"/>
      <c r="AT6" s="90"/>
      <c r="AU6" s="90"/>
      <c r="AV6" s="90"/>
      <c r="AW6" s="90"/>
      <c r="AX6" s="90"/>
      <c r="AY6" s="90"/>
      <c r="AZ6" s="90"/>
    </row>
    <row r="7" spans="1:52" ht="36">
      <c r="A7" s="73">
        <f>ROW()-3</f>
        <v>4</v>
      </c>
      <c r="B7" s="127"/>
      <c r="C7" s="143"/>
      <c r="D7" s="79" t="s">
        <v>211</v>
      </c>
      <c r="E7" s="125" t="s">
        <v>214</v>
      </c>
      <c r="F7" s="83">
        <f>O7</f>
        <v>2.5</v>
      </c>
      <c r="G7" s="92"/>
      <c r="H7" s="93"/>
      <c r="I7" s="86">
        <v>0.5</v>
      </c>
      <c r="J7" s="86">
        <v>0.5</v>
      </c>
      <c r="K7" s="86">
        <v>0.5</v>
      </c>
      <c r="L7" s="86">
        <v>0.5</v>
      </c>
      <c r="M7" s="86">
        <v>0.5</v>
      </c>
      <c r="N7" s="94">
        <v>0</v>
      </c>
      <c r="O7" s="86">
        <f>SUM(I7:N7)</f>
        <v>2.5</v>
      </c>
      <c r="P7" s="87"/>
      <c r="Q7" s="88">
        <f t="shared" si="0"/>
        <v>2.5000000000000001E-2</v>
      </c>
      <c r="R7" s="88">
        <f t="shared" si="0"/>
        <v>2.5000000000000001E-2</v>
      </c>
      <c r="S7" s="88">
        <f t="shared" si="0"/>
        <v>2.5000000000000001E-2</v>
      </c>
      <c r="T7" s="88">
        <f t="shared" si="0"/>
        <v>2.5000000000000001E-2</v>
      </c>
      <c r="U7" s="88">
        <f t="shared" si="0"/>
        <v>2.5000000000000001E-2</v>
      </c>
      <c r="V7" s="88">
        <f t="shared" si="0"/>
        <v>0</v>
      </c>
      <c r="W7" s="88">
        <f>SUM(Q7:V7)</f>
        <v>0.125</v>
      </c>
      <c r="X7" s="89"/>
      <c r="Y7" s="90">
        <f>O7</f>
        <v>2.5</v>
      </c>
      <c r="Z7" s="142">
        <f t="shared" si="1"/>
        <v>125000</v>
      </c>
      <c r="AA7" s="90">
        <f t="shared" si="2"/>
        <v>0.5</v>
      </c>
      <c r="AB7" s="142">
        <f t="shared" si="3"/>
        <v>35000</v>
      </c>
      <c r="AC7" s="142">
        <f t="shared" si="4"/>
        <v>160000</v>
      </c>
      <c r="AE7" s="118">
        <f>ROUNDUP(W7,2)</f>
        <v>0.13</v>
      </c>
      <c r="AF7" s="142">
        <f t="shared" si="5"/>
        <v>130000</v>
      </c>
      <c r="AG7" s="118">
        <f t="shared" si="6"/>
        <v>2.5999999999999999E-2</v>
      </c>
      <c r="AH7" s="118">
        <f t="shared" si="7"/>
        <v>0.156</v>
      </c>
      <c r="AI7" s="142">
        <f t="shared" si="8"/>
        <v>36400</v>
      </c>
      <c r="AJ7" s="142">
        <f t="shared" si="9"/>
        <v>167000</v>
      </c>
      <c r="AL7" s="90"/>
      <c r="AM7" s="90"/>
      <c r="AN7" s="90"/>
      <c r="AO7" s="90"/>
      <c r="AP7" s="90"/>
      <c r="AQ7" s="90"/>
      <c r="AR7" s="90"/>
      <c r="AT7" s="90"/>
      <c r="AU7" s="90"/>
      <c r="AV7" s="90"/>
      <c r="AW7" s="90"/>
      <c r="AX7" s="90"/>
      <c r="AY7" s="90"/>
      <c r="AZ7" s="90"/>
    </row>
    <row r="8" spans="1:52" ht="162">
      <c r="A8" s="137">
        <f>ROW()-3</f>
        <v>5</v>
      </c>
      <c r="B8" s="138"/>
      <c r="C8" s="144"/>
      <c r="D8" s="140" t="s">
        <v>246</v>
      </c>
      <c r="E8" s="145" t="s">
        <v>247</v>
      </c>
      <c r="F8" s="83">
        <f>O8</f>
        <v>10</v>
      </c>
      <c r="G8" s="83"/>
      <c r="H8" s="95"/>
      <c r="I8" s="86">
        <v>3</v>
      </c>
      <c r="J8" s="86">
        <v>5</v>
      </c>
      <c r="K8" s="86">
        <v>1</v>
      </c>
      <c r="L8" s="86">
        <v>0.5</v>
      </c>
      <c r="M8" s="86">
        <v>0.5</v>
      </c>
      <c r="N8" s="94">
        <v>0</v>
      </c>
      <c r="O8" s="86">
        <f>SUM(I8:N8)</f>
        <v>10</v>
      </c>
      <c r="P8" s="87"/>
      <c r="Q8" s="88">
        <f t="shared" si="0"/>
        <v>0.15</v>
      </c>
      <c r="R8" s="88">
        <f t="shared" si="0"/>
        <v>0.25</v>
      </c>
      <c r="S8" s="88">
        <f t="shared" si="0"/>
        <v>0.05</v>
      </c>
      <c r="T8" s="88">
        <f t="shared" si="0"/>
        <v>2.5000000000000001E-2</v>
      </c>
      <c r="U8" s="88">
        <f t="shared" si="0"/>
        <v>2.5000000000000001E-2</v>
      </c>
      <c r="V8" s="88">
        <f t="shared" si="0"/>
        <v>0</v>
      </c>
      <c r="W8" s="88">
        <f>SUM(Q8:V8)</f>
        <v>0.5</v>
      </c>
      <c r="X8" s="89"/>
      <c r="Y8" s="90">
        <f>O8</f>
        <v>10</v>
      </c>
      <c r="Z8" s="142">
        <f t="shared" si="1"/>
        <v>500000</v>
      </c>
      <c r="AA8" s="90">
        <f t="shared" si="2"/>
        <v>2</v>
      </c>
      <c r="AB8" s="142">
        <f t="shared" si="3"/>
        <v>140000</v>
      </c>
      <c r="AC8" s="142">
        <f t="shared" si="4"/>
        <v>640000</v>
      </c>
      <c r="AE8" s="118">
        <f>ROUNDUP(W8,2)</f>
        <v>0.5</v>
      </c>
      <c r="AF8" s="142">
        <f t="shared" si="5"/>
        <v>500000</v>
      </c>
      <c r="AG8" s="118">
        <f t="shared" si="6"/>
        <v>0.1</v>
      </c>
      <c r="AH8" s="118">
        <f t="shared" si="7"/>
        <v>0.6</v>
      </c>
      <c r="AI8" s="142">
        <f t="shared" si="8"/>
        <v>140000</v>
      </c>
      <c r="AJ8" s="142">
        <f t="shared" si="9"/>
        <v>640000</v>
      </c>
      <c r="AL8" s="90"/>
      <c r="AM8" s="90"/>
      <c r="AN8" s="90"/>
      <c r="AO8" s="90"/>
      <c r="AP8" s="90"/>
      <c r="AQ8" s="90"/>
      <c r="AR8" s="90"/>
      <c r="AT8" s="90"/>
      <c r="AU8" s="90"/>
      <c r="AV8" s="90"/>
      <c r="AW8" s="90"/>
      <c r="AX8" s="90"/>
      <c r="AY8" s="90"/>
      <c r="AZ8" s="90"/>
    </row>
    <row r="9" spans="1:52" ht="18.5" thickBot="1">
      <c r="A9" s="96" t="s">
        <v>109</v>
      </c>
      <c r="B9" s="97"/>
      <c r="C9" s="98"/>
      <c r="D9" s="98"/>
      <c r="E9" s="98"/>
      <c r="F9" s="99"/>
      <c r="N9" s="69" t="s">
        <v>110</v>
      </c>
      <c r="X9" s="120" t="s">
        <v>205</v>
      </c>
      <c r="Y9" s="123">
        <v>5</v>
      </c>
      <c r="Z9" s="142">
        <f t="shared" si="1"/>
        <v>250000</v>
      </c>
      <c r="AA9" s="90">
        <f t="shared" si="2"/>
        <v>1</v>
      </c>
      <c r="AB9" s="142">
        <f t="shared" si="3"/>
        <v>70000</v>
      </c>
      <c r="AC9" s="142">
        <f t="shared" si="4"/>
        <v>320000</v>
      </c>
      <c r="AE9" s="118">
        <f>ROUNDUP(Y9/20,3)</f>
        <v>0.25</v>
      </c>
      <c r="AF9" s="142">
        <f t="shared" si="5"/>
        <v>250000</v>
      </c>
      <c r="AG9" s="118">
        <f t="shared" si="6"/>
        <v>0.05</v>
      </c>
      <c r="AH9" s="118">
        <f t="shared" si="7"/>
        <v>0.3</v>
      </c>
      <c r="AI9" s="146">
        <f t="shared" si="8"/>
        <v>70000</v>
      </c>
      <c r="AJ9" s="146">
        <f t="shared" si="9"/>
        <v>320000</v>
      </c>
    </row>
    <row r="10" spans="1:52" ht="18.5" thickBot="1">
      <c r="A10" s="100"/>
      <c r="F10" s="101"/>
      <c r="AH10" s="147">
        <f>SUM(AH4:AH9)</f>
        <v>1.9080000000000001</v>
      </c>
      <c r="AI10" s="122" t="s">
        <v>104</v>
      </c>
      <c r="AJ10" s="124">
        <f>SUM(AJ4:AJ9)</f>
        <v>2037000</v>
      </c>
    </row>
    <row r="11" spans="1:52">
      <c r="A11" s="100"/>
      <c r="B11" s="72" t="s">
        <v>111</v>
      </c>
      <c r="F11" s="101"/>
      <c r="Y11" s="119"/>
    </row>
    <row r="12" spans="1:52">
      <c r="A12" s="100"/>
      <c r="B12" s="72" t="s">
        <v>112</v>
      </c>
      <c r="F12" s="101"/>
    </row>
    <row r="13" spans="1:52">
      <c r="A13" s="100"/>
      <c r="B13" s="72" t="s">
        <v>113</v>
      </c>
      <c r="F13" s="101"/>
    </row>
    <row r="14" spans="1:52">
      <c r="A14" s="100"/>
      <c r="B14" s="69" t="s">
        <v>114</v>
      </c>
      <c r="F14" s="101"/>
    </row>
    <row r="15" spans="1:52">
      <c r="A15" s="100"/>
      <c r="B15" s="69" t="s">
        <v>115</v>
      </c>
      <c r="F15" s="101"/>
    </row>
    <row r="16" spans="1:52" s="69" customFormat="1">
      <c r="A16" s="100"/>
      <c r="B16" s="69" t="s">
        <v>116</v>
      </c>
      <c r="C16" s="70"/>
      <c r="D16" s="70"/>
      <c r="E16" s="70"/>
      <c r="F16" s="101"/>
      <c r="H16" s="71"/>
      <c r="I16" s="71"/>
    </row>
  </sheetData>
  <mergeCells count="7">
    <mergeCell ref="Y1:AC1"/>
    <mergeCell ref="AE1:AJ1"/>
    <mergeCell ref="AL1:AZ1"/>
    <mergeCell ref="I2:O2"/>
    <mergeCell ref="Q2:W2"/>
    <mergeCell ref="AL2:AR2"/>
    <mergeCell ref="AT2:AZ2"/>
  </mergeCells>
  <phoneticPr fontId="3"/>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08203125" defaultRowHeight="12.5"/>
  <cols>
    <col min="1" max="1" width="14.58203125" style="2" customWidth="1"/>
    <col min="2" max="2" width="7.83203125" style="2" bestFit="1" customWidth="1"/>
    <col min="3" max="3" width="14.58203125" style="2" customWidth="1"/>
    <col min="4" max="31" width="7" style="2" customWidth="1"/>
    <col min="32" max="32" width="7.83203125" style="2" customWidth="1"/>
    <col min="33" max="16384" width="8.08203125" style="2"/>
  </cols>
  <sheetData>
    <row r="1" spans="1:32" ht="19.5">
      <c r="A1" s="1" t="s">
        <v>117</v>
      </c>
      <c r="D1" s="3"/>
    </row>
    <row r="2" spans="1:32" ht="5.25" customHeight="1">
      <c r="A2" s="1"/>
    </row>
    <row r="3" spans="1:32">
      <c r="A3" s="4" t="s">
        <v>118</v>
      </c>
      <c r="B3" s="367"/>
      <c r="C3" s="368"/>
      <c r="D3" s="5" t="s">
        <v>91</v>
      </c>
      <c r="E3" s="367"/>
      <c r="F3" s="369"/>
      <c r="G3" s="369"/>
      <c r="H3" s="369"/>
      <c r="I3" s="369"/>
      <c r="J3" s="369"/>
      <c r="K3" s="369"/>
      <c r="L3" s="369"/>
      <c r="M3" s="369"/>
      <c r="N3" s="369"/>
      <c r="O3" s="368"/>
    </row>
    <row r="4" spans="1:32">
      <c r="A4" s="5" t="s">
        <v>119</v>
      </c>
      <c r="B4" s="367" t="s">
        <v>120</v>
      </c>
      <c r="C4" s="368"/>
      <c r="D4" s="5" t="s">
        <v>121</v>
      </c>
      <c r="E4" s="370"/>
      <c r="F4" s="370"/>
      <c r="G4" s="5" t="s">
        <v>122</v>
      </c>
      <c r="H4" s="371">
        <f>AF59</f>
        <v>0</v>
      </c>
      <c r="I4" s="371"/>
      <c r="J4" s="5" t="s">
        <v>123</v>
      </c>
      <c r="K4" s="372">
        <f>外注費・経費!K4</f>
        <v>0</v>
      </c>
      <c r="L4" s="372"/>
      <c r="M4" s="5" t="s">
        <v>124</v>
      </c>
      <c r="N4" s="372">
        <v>0</v>
      </c>
      <c r="O4" s="372"/>
    </row>
    <row r="5" spans="1:32" ht="6" customHeight="1"/>
    <row r="6" spans="1:32" s="6" customFormat="1">
      <c r="A6" s="382" t="s">
        <v>125</v>
      </c>
      <c r="B6" s="385" t="s">
        <v>126</v>
      </c>
      <c r="C6" s="385" t="s">
        <v>127</v>
      </c>
      <c r="D6" s="388" t="s">
        <v>128</v>
      </c>
      <c r="E6" s="388"/>
      <c r="F6" s="388"/>
      <c r="G6" s="388"/>
      <c r="H6" s="388"/>
      <c r="I6" s="388"/>
      <c r="J6" s="388"/>
      <c r="K6" s="388"/>
      <c r="L6" s="388"/>
      <c r="M6" s="388"/>
      <c r="N6" s="388"/>
      <c r="O6" s="388"/>
      <c r="P6" s="388"/>
      <c r="Q6" s="388"/>
      <c r="R6" s="388"/>
      <c r="S6" s="388"/>
      <c r="T6" s="388"/>
      <c r="U6" s="388"/>
      <c r="V6" s="388"/>
      <c r="W6" s="388"/>
      <c r="X6" s="388"/>
      <c r="Y6" s="388"/>
      <c r="Z6" s="388"/>
      <c r="AA6" s="388"/>
      <c r="AB6" s="388"/>
      <c r="AC6" s="388"/>
      <c r="AD6" s="388"/>
      <c r="AE6" s="388"/>
      <c r="AF6" s="373" t="s">
        <v>104</v>
      </c>
    </row>
    <row r="7" spans="1:32" s="6" customFormat="1" ht="12" customHeight="1">
      <c r="A7" s="383"/>
      <c r="B7" s="386"/>
      <c r="C7" s="386"/>
      <c r="D7" s="376" t="s">
        <v>129</v>
      </c>
      <c r="E7" s="377"/>
      <c r="F7" s="378"/>
      <c r="G7" s="376" t="s">
        <v>130</v>
      </c>
      <c r="H7" s="377"/>
      <c r="I7" s="378"/>
      <c r="J7" s="376" t="s">
        <v>131</v>
      </c>
      <c r="K7" s="377"/>
      <c r="L7" s="378"/>
      <c r="M7" s="376" t="s">
        <v>132</v>
      </c>
      <c r="N7" s="377"/>
      <c r="O7" s="378"/>
      <c r="P7" s="376" t="s">
        <v>133</v>
      </c>
      <c r="Q7" s="377"/>
      <c r="R7" s="378"/>
      <c r="S7" s="376" t="s">
        <v>134</v>
      </c>
      <c r="T7" s="377"/>
      <c r="U7" s="378"/>
      <c r="V7" s="376" t="s">
        <v>135</v>
      </c>
      <c r="W7" s="377"/>
      <c r="X7" s="378"/>
      <c r="Y7" s="376" t="s">
        <v>136</v>
      </c>
      <c r="Z7" s="377"/>
      <c r="AA7" s="378"/>
      <c r="AB7" s="376" t="s">
        <v>137</v>
      </c>
      <c r="AC7" s="377"/>
      <c r="AD7" s="378"/>
      <c r="AE7" s="389" t="s">
        <v>138</v>
      </c>
      <c r="AF7" s="374"/>
    </row>
    <row r="8" spans="1:32" s="6" customFormat="1">
      <c r="A8" s="384"/>
      <c r="B8" s="387"/>
      <c r="C8" s="387"/>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387"/>
      <c r="AF8" s="375"/>
    </row>
    <row r="9" spans="1:32">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c r="A59" s="379" t="s">
        <v>104</v>
      </c>
      <c r="B59" s="380"/>
      <c r="C59" s="381"/>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08203125" defaultRowHeight="12.5"/>
  <cols>
    <col min="1" max="1" width="14.58203125" style="2" customWidth="1"/>
    <col min="2" max="2" width="7.83203125" style="2" customWidth="1"/>
    <col min="3" max="3" width="14.58203125" style="2" customWidth="1"/>
    <col min="4" max="31" width="8.33203125" style="2" customWidth="1"/>
    <col min="32" max="32" width="11.08203125" style="2" customWidth="1"/>
    <col min="33" max="16384" width="8.08203125" style="2"/>
  </cols>
  <sheetData>
    <row r="1" spans="1:32" ht="19.5">
      <c r="A1" s="1" t="s">
        <v>139</v>
      </c>
    </row>
    <row r="2" spans="1:32" ht="5.25" customHeight="1">
      <c r="A2" s="1"/>
    </row>
    <row r="3" spans="1:32">
      <c r="A3" s="12" t="s">
        <v>118</v>
      </c>
      <c r="B3" s="367"/>
      <c r="C3" s="368"/>
      <c r="D3" s="13" t="s">
        <v>91</v>
      </c>
      <c r="E3" s="367">
        <f>社員工数!E3</f>
        <v>0</v>
      </c>
      <c r="F3" s="369"/>
      <c r="G3" s="369"/>
      <c r="H3" s="369"/>
      <c r="I3" s="369"/>
      <c r="J3" s="369"/>
      <c r="K3" s="369"/>
      <c r="L3" s="369"/>
      <c r="M3" s="369"/>
      <c r="N3" s="369"/>
      <c r="O3" s="368"/>
    </row>
    <row r="4" spans="1:32">
      <c r="A4" s="12" t="s">
        <v>119</v>
      </c>
      <c r="B4" s="367" t="s">
        <v>140</v>
      </c>
      <c r="C4" s="368"/>
      <c r="D4" s="14" t="s">
        <v>121</v>
      </c>
      <c r="E4" s="390">
        <f>社員工数!E4</f>
        <v>0</v>
      </c>
      <c r="F4" s="390"/>
      <c r="G4" s="14" t="s">
        <v>122</v>
      </c>
      <c r="H4" s="391">
        <f>社員工数!H4</f>
        <v>0</v>
      </c>
      <c r="I4" s="391"/>
      <c r="J4" s="14" t="s">
        <v>123</v>
      </c>
      <c r="K4" s="392">
        <f>AF59</f>
        <v>0</v>
      </c>
      <c r="L4" s="392"/>
      <c r="M4" s="14" t="s">
        <v>124</v>
      </c>
      <c r="N4" s="392">
        <f>SUMIF(A:A,"経費",AF:AF)</f>
        <v>0</v>
      </c>
      <c r="O4" s="392"/>
    </row>
    <row r="5" spans="1:32" ht="6" customHeight="1"/>
    <row r="6" spans="1:32" s="6" customFormat="1">
      <c r="A6" s="399" t="s">
        <v>125</v>
      </c>
      <c r="B6" s="402" t="s">
        <v>141</v>
      </c>
      <c r="C6" s="402" t="s">
        <v>127</v>
      </c>
      <c r="D6" s="405" t="s">
        <v>142</v>
      </c>
      <c r="E6" s="405"/>
      <c r="F6" s="405"/>
      <c r="G6" s="405"/>
      <c r="H6" s="405"/>
      <c r="I6" s="405"/>
      <c r="J6" s="405"/>
      <c r="K6" s="405"/>
      <c r="L6" s="405"/>
      <c r="M6" s="405"/>
      <c r="N6" s="405"/>
      <c r="O6" s="405"/>
      <c r="P6" s="405"/>
      <c r="Q6" s="405"/>
      <c r="R6" s="405"/>
      <c r="S6" s="405"/>
      <c r="T6" s="405"/>
      <c r="U6" s="405"/>
      <c r="V6" s="405"/>
      <c r="W6" s="405"/>
      <c r="X6" s="405"/>
      <c r="Y6" s="405"/>
      <c r="Z6" s="405"/>
      <c r="AA6" s="405"/>
      <c r="AB6" s="405"/>
      <c r="AC6" s="405"/>
      <c r="AD6" s="405"/>
      <c r="AE6" s="405"/>
      <c r="AF6" s="393" t="s">
        <v>104</v>
      </c>
    </row>
    <row r="7" spans="1:32" s="6" customFormat="1" ht="12" customHeight="1">
      <c r="A7" s="400"/>
      <c r="B7" s="403"/>
      <c r="C7" s="403"/>
      <c r="D7" s="396" t="s">
        <v>143</v>
      </c>
      <c r="E7" s="397"/>
      <c r="F7" s="398"/>
      <c r="G7" s="396" t="s">
        <v>144</v>
      </c>
      <c r="H7" s="397"/>
      <c r="I7" s="398"/>
      <c r="J7" s="396" t="s">
        <v>145</v>
      </c>
      <c r="K7" s="397"/>
      <c r="L7" s="398"/>
      <c r="M7" s="396" t="s">
        <v>146</v>
      </c>
      <c r="N7" s="397"/>
      <c r="O7" s="398"/>
      <c r="P7" s="396" t="s">
        <v>147</v>
      </c>
      <c r="Q7" s="397"/>
      <c r="R7" s="398"/>
      <c r="S7" s="396" t="s">
        <v>148</v>
      </c>
      <c r="T7" s="397"/>
      <c r="U7" s="398"/>
      <c r="V7" s="396" t="s">
        <v>149</v>
      </c>
      <c r="W7" s="397"/>
      <c r="X7" s="398"/>
      <c r="Y7" s="396" t="s">
        <v>150</v>
      </c>
      <c r="Z7" s="397"/>
      <c r="AA7" s="398"/>
      <c r="AB7" s="396" t="s">
        <v>151</v>
      </c>
      <c r="AC7" s="397"/>
      <c r="AD7" s="398"/>
      <c r="AE7" s="406" t="s">
        <v>138</v>
      </c>
      <c r="AF7" s="394"/>
    </row>
    <row r="8" spans="1:32" s="6" customFormat="1">
      <c r="A8" s="401"/>
      <c r="B8" s="404"/>
      <c r="C8" s="404"/>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404"/>
      <c r="AF8" s="395"/>
    </row>
    <row r="9" spans="1:32">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c r="A59" s="379" t="s">
        <v>104</v>
      </c>
      <c r="B59" s="380"/>
      <c r="C59" s="381"/>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58203125" defaultRowHeight="18"/>
  <cols>
    <col min="1" max="1" width="4.58203125" style="21" customWidth="1"/>
    <col min="2" max="2" width="10.5" style="21" customWidth="1"/>
    <col min="3" max="3" width="22" style="21" customWidth="1"/>
    <col min="4" max="4" width="15.08203125" style="21" customWidth="1"/>
    <col min="5" max="5" width="11.08203125" style="21" customWidth="1"/>
    <col min="6" max="6" width="58.33203125" style="21" bestFit="1" customWidth="1"/>
    <col min="7" max="7" width="11.08203125" style="21" customWidth="1"/>
    <col min="8" max="8" width="5.83203125" style="21" customWidth="1"/>
    <col min="9" max="9" width="11.83203125" style="21" customWidth="1"/>
    <col min="10" max="10" width="11.08203125" style="21" customWidth="1"/>
    <col min="11" max="11" width="17.08203125" style="21" bestFit="1" customWidth="1"/>
    <col min="12" max="12" width="11.08203125" style="21" customWidth="1"/>
    <col min="13" max="16384" width="8.58203125" style="21"/>
  </cols>
  <sheetData>
    <row r="1" spans="1:12">
      <c r="A1" s="409" t="s">
        <v>18</v>
      </c>
      <c r="B1" s="20" t="s">
        <v>152</v>
      </c>
      <c r="C1" s="409" t="s">
        <v>153</v>
      </c>
      <c r="D1" s="409" t="s">
        <v>154</v>
      </c>
      <c r="E1" s="409" t="s">
        <v>155</v>
      </c>
      <c r="F1" s="409" t="s">
        <v>156</v>
      </c>
      <c r="G1" s="409" t="s">
        <v>157</v>
      </c>
      <c r="H1" s="407" t="s">
        <v>158</v>
      </c>
      <c r="I1" s="408"/>
      <c r="J1" s="409" t="s">
        <v>159</v>
      </c>
      <c r="K1" s="409" t="s">
        <v>160</v>
      </c>
      <c r="L1" s="409" t="s">
        <v>161</v>
      </c>
    </row>
    <row r="2" spans="1:12">
      <c r="A2" s="409"/>
      <c r="B2" s="20" t="s">
        <v>162</v>
      </c>
      <c r="C2" s="409"/>
      <c r="D2" s="409"/>
      <c r="E2" s="409"/>
      <c r="F2" s="409"/>
      <c r="G2" s="409"/>
      <c r="H2" s="20" t="s">
        <v>18</v>
      </c>
      <c r="I2" s="20" t="s">
        <v>163</v>
      </c>
      <c r="J2" s="409"/>
      <c r="K2" s="409"/>
      <c r="L2" s="409"/>
    </row>
    <row r="3" spans="1:12">
      <c r="A3" s="22">
        <v>1</v>
      </c>
      <c r="B3" s="23">
        <v>0.1</v>
      </c>
      <c r="C3" s="22" t="s">
        <v>164</v>
      </c>
      <c r="D3" s="22" t="s">
        <v>165</v>
      </c>
      <c r="E3" s="22" t="s">
        <v>166</v>
      </c>
      <c r="F3" s="22" t="s">
        <v>167</v>
      </c>
      <c r="G3" s="22" t="s">
        <v>168</v>
      </c>
      <c r="H3" s="22">
        <v>1</v>
      </c>
      <c r="I3" s="22" t="s">
        <v>169</v>
      </c>
      <c r="J3" s="22" t="s">
        <v>170</v>
      </c>
      <c r="K3" s="22" t="s">
        <v>171</v>
      </c>
      <c r="L3" s="22" t="s">
        <v>172</v>
      </c>
    </row>
    <row r="4" spans="1:12">
      <c r="A4" s="22">
        <v>2</v>
      </c>
      <c r="B4" s="23"/>
      <c r="C4" s="22"/>
      <c r="D4" s="22"/>
      <c r="E4" s="22" t="s">
        <v>173</v>
      </c>
      <c r="F4" s="22" t="s">
        <v>174</v>
      </c>
      <c r="G4" s="22" t="s">
        <v>175</v>
      </c>
      <c r="H4" s="22">
        <v>2</v>
      </c>
      <c r="I4" s="22" t="s">
        <v>176</v>
      </c>
      <c r="J4" s="22" t="s">
        <v>177</v>
      </c>
      <c r="K4" s="22" t="s">
        <v>178</v>
      </c>
      <c r="L4" s="22" t="s">
        <v>179</v>
      </c>
    </row>
    <row r="5" spans="1:12">
      <c r="A5" s="22">
        <v>3</v>
      </c>
      <c r="B5" s="22"/>
      <c r="C5" s="22"/>
      <c r="D5" s="22"/>
      <c r="E5" s="22"/>
      <c r="F5" s="22" t="s">
        <v>180</v>
      </c>
      <c r="G5" s="22" t="s">
        <v>181</v>
      </c>
      <c r="H5" s="22">
        <v>3</v>
      </c>
      <c r="I5" s="22" t="s">
        <v>182</v>
      </c>
      <c r="J5" s="22" t="s">
        <v>183</v>
      </c>
      <c r="K5" s="22" t="s">
        <v>184</v>
      </c>
      <c r="L5" s="22"/>
    </row>
    <row r="6" spans="1:12">
      <c r="A6" s="22">
        <v>4</v>
      </c>
      <c r="B6" s="22"/>
      <c r="C6" s="22"/>
      <c r="D6" s="22"/>
      <c r="E6" s="22"/>
      <c r="F6" s="22"/>
      <c r="G6" s="22"/>
      <c r="H6" s="22"/>
      <c r="I6" s="22"/>
      <c r="J6" s="22"/>
      <c r="K6" s="22" t="s">
        <v>185</v>
      </c>
      <c r="L6" s="22"/>
    </row>
    <row r="7" spans="1:12">
      <c r="A7" s="22">
        <v>5</v>
      </c>
      <c r="B7" s="22"/>
      <c r="C7" s="22"/>
      <c r="D7" s="22"/>
      <c r="E7" s="22"/>
      <c r="F7" s="22"/>
      <c r="G7" s="22"/>
      <c r="H7" s="22"/>
      <c r="I7" s="22"/>
      <c r="J7" s="22"/>
      <c r="K7" s="22" t="s">
        <v>186</v>
      </c>
      <c r="L7" s="22"/>
    </row>
    <row r="8" spans="1:12">
      <c r="A8" s="22">
        <v>6</v>
      </c>
      <c r="B8" s="22"/>
      <c r="C8" s="22"/>
      <c r="D8" s="22"/>
      <c r="E8" s="22"/>
      <c r="F8" s="22"/>
      <c r="G8" s="22"/>
      <c r="H8" s="22"/>
      <c r="I8" s="22"/>
      <c r="J8" s="22"/>
      <c r="K8" s="22" t="s">
        <v>187</v>
      </c>
      <c r="L8" s="22"/>
    </row>
    <row r="9" spans="1:12">
      <c r="A9" s="22">
        <v>7</v>
      </c>
      <c r="B9" s="22"/>
      <c r="C9" s="22"/>
      <c r="D9" s="22"/>
      <c r="E9" s="22"/>
      <c r="F9" s="22"/>
      <c r="G9" s="22"/>
      <c r="H9" s="22"/>
      <c r="I9" s="22"/>
      <c r="J9" s="22"/>
      <c r="K9" s="22" t="s">
        <v>188</v>
      </c>
      <c r="L9" s="22"/>
    </row>
    <row r="10" spans="1:12">
      <c r="A10" s="22">
        <v>8</v>
      </c>
      <c r="B10" s="22"/>
      <c r="C10" s="22"/>
      <c r="D10" s="22"/>
      <c r="E10" s="22"/>
      <c r="F10" s="22"/>
      <c r="G10" s="22"/>
      <c r="H10" s="22"/>
      <c r="I10" s="22"/>
      <c r="J10" s="22"/>
      <c r="K10" s="22" t="s">
        <v>189</v>
      </c>
      <c r="L10" s="22"/>
    </row>
    <row r="11" spans="1:12">
      <c r="A11" s="22">
        <v>9</v>
      </c>
      <c r="B11" s="22"/>
      <c r="C11" s="22"/>
      <c r="D11" s="22"/>
      <c r="E11" s="22"/>
      <c r="F11" s="22"/>
      <c r="G11" s="22"/>
      <c r="H11" s="22"/>
      <c r="I11" s="22"/>
      <c r="J11" s="22"/>
      <c r="K11" s="22" t="s">
        <v>190</v>
      </c>
      <c r="L11" s="22"/>
    </row>
    <row r="12" spans="1:12">
      <c r="A12" s="22">
        <v>10</v>
      </c>
      <c r="B12" s="22"/>
      <c r="C12" s="22"/>
      <c r="D12" s="22"/>
      <c r="E12" s="22"/>
      <c r="F12" s="22"/>
      <c r="G12" s="22"/>
      <c r="H12" s="22"/>
      <c r="I12" s="22"/>
      <c r="J12" s="22"/>
      <c r="K12" s="22" t="s">
        <v>191</v>
      </c>
      <c r="L12" s="22"/>
    </row>
    <row r="13" spans="1:12">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cd2f88ee6a2934efb41cd9289b91e144">
  <xsd:schema xmlns:xsd="http://www.w3.org/2001/XMLSchema" xmlns:xs="http://www.w3.org/2001/XMLSchema" xmlns:p="http://schemas.microsoft.com/office/2006/metadata/properties" xmlns:ns2="2fd442da-66a9-4fa6-ba31-eb0d54ad1381" targetNamespace="http://schemas.microsoft.com/office/2006/metadata/properties" ma:root="true" ma:fieldsID="a4c4fd50c0b00be67728f9d39ce10164"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9F6D62-890C-4F99-9EFD-D76DA9D640DE}">
  <ds:schemaRefs>
    <ds:schemaRef ds:uri="http://schemas.microsoft.com/sharepoint/v3/contenttype/forms"/>
  </ds:schemaRefs>
</ds:datastoreItem>
</file>

<file path=customXml/itemProps2.xml><?xml version="1.0" encoding="utf-8"?>
<ds:datastoreItem xmlns:ds="http://schemas.openxmlformats.org/officeDocument/2006/customXml" ds:itemID="{A13212D3-11F9-44D2-BE9D-7CF6575E4C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881CCC-D800-4BA5-B75D-17201FC3BAE4}">
  <ds:schemaRefs>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2fd442da-66a9-4fa6-ba31-eb0d54ad1381"/>
    <ds:schemaRef ds:uri="http://purl.org/dc/terms/"/>
    <ds:schemaRef ds:uri="http://purl.org/dc/elements/1.1/"/>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2</vt:i4>
      </vt:variant>
    </vt:vector>
  </HeadingPairs>
  <TitlesOfParts>
    <vt:vector size="11" baseType="lpstr">
      <vt:lpstr>概算見積③12月～1月</vt:lpstr>
      <vt:lpstr>工数明細③12月～1月</vt:lpstr>
      <vt:lpstr>工数明細③12月～1月_bk</vt:lpstr>
      <vt:lpstr>概算見積③2月</vt:lpstr>
      <vt:lpstr>工数明細③2月</vt:lpstr>
      <vt:lpstr>工数明細 (2)</vt:lpstr>
      <vt:lpstr>社員工数</vt:lpstr>
      <vt:lpstr>外注費・経費</vt:lpstr>
      <vt:lpstr>リストマスタ</vt:lpstr>
      <vt:lpstr>'概算見積③12月～1月'!Print_Area</vt:lpstr>
      <vt:lpstr>概算見積③2月!Print_Area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髙浦 祐朗</dc:creator>
  <cp:keywords/>
  <dc:description/>
  <cp:lastModifiedBy>髙浦祐朗</cp:lastModifiedBy>
  <cp:revision/>
  <dcterms:created xsi:type="dcterms:W3CDTF">2021-04-22T09:34:49Z</dcterms:created>
  <dcterms:modified xsi:type="dcterms:W3CDTF">2025-11-10T10:32:06Z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