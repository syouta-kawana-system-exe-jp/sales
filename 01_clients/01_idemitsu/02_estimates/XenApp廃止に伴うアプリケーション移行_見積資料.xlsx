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DataFile\02.業務\01.出光興産\64.XeApp廃止に伴うAPL移行\10.見積関連\03.アプリケーション移行\"/>
    </mc:Choice>
  </mc:AlternateContent>
  <xr:revisionPtr revIDLastSave="0" documentId="13_ncr:1_{EF9D1656-A154-41F3-81B9-535BA14142AC}" xr6:coauthVersionLast="47" xr6:coauthVersionMax="47" xr10:uidLastSave="{00000000-0000-0000-0000-000000000000}"/>
  <bookViews>
    <workbookView xWindow="-110" yWindow="-110" windowWidth="19420" windowHeight="10560" firstSheet="3" activeTab="3" xr2:uid="{00000000-000D-0000-FFFF-FFFF00000000}"/>
  </bookViews>
  <sheets>
    <sheet name="サマリ" sheetId="3" state="hidden" r:id="rId1"/>
    <sheet name="サマリ (丸め調整)" sheetId="4" state="hidden" r:id="rId2"/>
    <sheet name="サマリ (丸め調整) (修正後)" sheetId="7" state="hidden" r:id="rId3"/>
    <sheet name="サマリ（最終版）" sheetId="8" r:id="rId4"/>
    <sheet name="公開AP" sheetId="5" r:id="rId5"/>
    <sheet name="Excel" sheetId="1" r:id="rId6"/>
    <sheet name="Excel (修正後)" sheetId="6" r:id="rId7"/>
    <sheet name="ファイルサーバ・その他" sheetId="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8" l="1"/>
  <c r="F11" i="8"/>
  <c r="D10" i="8"/>
  <c r="E10" i="8" s="1"/>
  <c r="B10" i="8"/>
  <c r="C10" i="8" s="1"/>
  <c r="Q9" i="8"/>
  <c r="P9" i="8"/>
  <c r="O9" i="8"/>
  <c r="N9" i="8"/>
  <c r="I9" i="8"/>
  <c r="H9" i="8"/>
  <c r="E9" i="8"/>
  <c r="D9" i="8"/>
  <c r="C9" i="8"/>
  <c r="B9" i="8"/>
  <c r="Q8" i="8"/>
  <c r="P8" i="8"/>
  <c r="O8" i="8"/>
  <c r="N8" i="8"/>
  <c r="M8" i="8"/>
  <c r="L8" i="8"/>
  <c r="L11" i="8" s="1"/>
  <c r="I8" i="8"/>
  <c r="H8" i="8"/>
  <c r="C8" i="8"/>
  <c r="B8" i="8"/>
  <c r="R7" i="8"/>
  <c r="Q7" i="8"/>
  <c r="O7" i="8"/>
  <c r="M7" i="8"/>
  <c r="K7" i="8"/>
  <c r="K11" i="8" s="1"/>
  <c r="I7" i="8"/>
  <c r="G7" i="8"/>
  <c r="G11" i="8" s="1"/>
  <c r="E7" i="8"/>
  <c r="C7" i="8"/>
  <c r="M11" i="7"/>
  <c r="F7" i="6"/>
  <c r="G11" i="7"/>
  <c r="K9" i="7"/>
  <c r="G9" i="7"/>
  <c r="G13" i="7" s="1"/>
  <c r="E9" i="7"/>
  <c r="E11" i="7" s="1"/>
  <c r="F11" i="7" s="1"/>
  <c r="E8" i="7"/>
  <c r="F8" i="7" s="1"/>
  <c r="F9" i="7" s="1"/>
  <c r="C8" i="7"/>
  <c r="D8" i="7" s="1"/>
  <c r="T8" i="7" s="1"/>
  <c r="R7" i="7"/>
  <c r="Q7" i="7"/>
  <c r="Q9" i="7" s="1"/>
  <c r="P7" i="7"/>
  <c r="O7" i="7"/>
  <c r="J7" i="7"/>
  <c r="I7" i="7"/>
  <c r="F7" i="7"/>
  <c r="E7" i="7"/>
  <c r="D7" i="7"/>
  <c r="T7" i="7" s="1"/>
  <c r="C7" i="7"/>
  <c r="C9" i="7" s="1"/>
  <c r="R6" i="7"/>
  <c r="Q6" i="7"/>
  <c r="P6" i="7"/>
  <c r="O6" i="7"/>
  <c r="O9" i="7" s="1"/>
  <c r="D6" i="7"/>
  <c r="C6" i="7"/>
  <c r="S5" i="7"/>
  <c r="R5" i="7"/>
  <c r="R9" i="7" s="1"/>
  <c r="P5" i="7"/>
  <c r="P9" i="7" s="1"/>
  <c r="N5" i="7"/>
  <c r="L5" i="7"/>
  <c r="L9" i="7" s="1"/>
  <c r="J5" i="7"/>
  <c r="H5" i="7"/>
  <c r="H9" i="7" s="1"/>
  <c r="F5" i="7"/>
  <c r="D5" i="7"/>
  <c r="D9" i="7" s="1"/>
  <c r="K7" i="6"/>
  <c r="P13" i="6"/>
  <c r="I13" i="6"/>
  <c r="Q12" i="6"/>
  <c r="Q11" i="6"/>
  <c r="P11" i="6"/>
  <c r="R9" i="6"/>
  <c r="O9" i="6"/>
  <c r="L9" i="6"/>
  <c r="I9" i="6"/>
  <c r="N8" i="6"/>
  <c r="O8" i="6" s="1"/>
  <c r="H8" i="6"/>
  <c r="I7" i="6"/>
  <c r="E2" i="6"/>
  <c r="D7" i="6" s="1"/>
  <c r="I7" i="1"/>
  <c r="D16" i="4"/>
  <c r="C16" i="4"/>
  <c r="D17" i="4"/>
  <c r="C17" i="4"/>
  <c r="U6" i="4"/>
  <c r="N12" i="4"/>
  <c r="M12" i="4"/>
  <c r="M11" i="4"/>
  <c r="E11" i="4"/>
  <c r="S11" i="4"/>
  <c r="K11" i="4"/>
  <c r="O11" i="4"/>
  <c r="R5" i="3"/>
  <c r="P5" i="3"/>
  <c r="N5" i="3"/>
  <c r="L5" i="3"/>
  <c r="J5" i="3"/>
  <c r="H5" i="3"/>
  <c r="F5" i="3"/>
  <c r="D5" i="3"/>
  <c r="N11" i="8" l="1"/>
  <c r="R9" i="8"/>
  <c r="B11" i="8"/>
  <c r="B13" i="8" s="1"/>
  <c r="B16" i="8" s="1"/>
  <c r="S7" i="8"/>
  <c r="S8" i="8"/>
  <c r="E11" i="8"/>
  <c r="M11" i="8"/>
  <c r="R8" i="8"/>
  <c r="P11" i="8"/>
  <c r="D11" i="8"/>
  <c r="D13" i="8" s="1"/>
  <c r="E13" i="8" s="1"/>
  <c r="E16" i="8" s="1"/>
  <c r="S10" i="8"/>
  <c r="O11" i="8"/>
  <c r="S9" i="8"/>
  <c r="I11" i="8"/>
  <c r="Q11" i="8"/>
  <c r="H11" i="8"/>
  <c r="H13" i="8" s="1"/>
  <c r="I13" i="8" s="1"/>
  <c r="L13" i="8"/>
  <c r="M13" i="8" s="1"/>
  <c r="P13" i="8"/>
  <c r="Q13" i="8" s="1"/>
  <c r="C11" i="8"/>
  <c r="R10" i="8"/>
  <c r="F13" i="8"/>
  <c r="J13" i="8"/>
  <c r="K13" i="8" s="1"/>
  <c r="K16" i="8" s="1"/>
  <c r="N13" i="8"/>
  <c r="N7" i="6"/>
  <c r="O7" i="6" s="1"/>
  <c r="O10" i="6" s="1"/>
  <c r="F13" i="7"/>
  <c r="O13" i="7"/>
  <c r="O11" i="7"/>
  <c r="C11" i="7"/>
  <c r="Q13" i="7"/>
  <c r="Q11" i="7"/>
  <c r="R11" i="7" s="1"/>
  <c r="R13" i="7" s="1"/>
  <c r="L13" i="7"/>
  <c r="S8" i="7"/>
  <c r="C16" i="7"/>
  <c r="D16" i="7" s="1"/>
  <c r="H11" i="7"/>
  <c r="E13" i="7"/>
  <c r="T5" i="7"/>
  <c r="S7" i="7"/>
  <c r="K11" i="7"/>
  <c r="L11" i="7" s="1"/>
  <c r="Q13" i="6"/>
  <c r="R7" i="6"/>
  <c r="L7" i="6"/>
  <c r="D8" i="6"/>
  <c r="K8" i="6" s="1"/>
  <c r="L8" i="6" s="1"/>
  <c r="I8" i="6"/>
  <c r="I10" i="6" s="1"/>
  <c r="I11" i="6" s="1"/>
  <c r="O12" i="1"/>
  <c r="Q6" i="4" s="1"/>
  <c r="Q9" i="4" s="1"/>
  <c r="Q11" i="4" s="1"/>
  <c r="E8" i="3"/>
  <c r="F8" i="3" s="1"/>
  <c r="C8" i="3"/>
  <c r="D8" i="3" s="1"/>
  <c r="E8" i="4"/>
  <c r="C8" i="4"/>
  <c r="F9" i="2"/>
  <c r="D9" i="2"/>
  <c r="L11" i="4"/>
  <c r="G11" i="4"/>
  <c r="H11" i="4" s="1"/>
  <c r="K9" i="4"/>
  <c r="G9" i="4"/>
  <c r="G13" i="4" s="1"/>
  <c r="S8" i="4"/>
  <c r="F8" i="4"/>
  <c r="D8" i="4"/>
  <c r="T8" i="4" s="1"/>
  <c r="R7" i="4"/>
  <c r="Q7" i="4"/>
  <c r="P7" i="4"/>
  <c r="O7" i="4"/>
  <c r="J7" i="4"/>
  <c r="I7" i="4"/>
  <c r="F7" i="4"/>
  <c r="E7" i="4"/>
  <c r="D7" i="4"/>
  <c r="C7" i="4"/>
  <c r="S7" i="4" s="1"/>
  <c r="O6" i="4"/>
  <c r="O9" i="4" s="1"/>
  <c r="M6" i="4"/>
  <c r="M9" i="4" s="1"/>
  <c r="I6" i="4"/>
  <c r="I9" i="4" s="1"/>
  <c r="C6" i="4"/>
  <c r="C9" i="4" s="1"/>
  <c r="C11" i="4" s="1"/>
  <c r="S5" i="4"/>
  <c r="R5" i="4"/>
  <c r="P5" i="4"/>
  <c r="N5" i="4"/>
  <c r="L5" i="4"/>
  <c r="L9" i="4" s="1"/>
  <c r="J5" i="4"/>
  <c r="H5" i="4"/>
  <c r="H9" i="4" s="1"/>
  <c r="H13" i="4" s="1"/>
  <c r="F5" i="4"/>
  <c r="F9" i="4" s="1"/>
  <c r="D5" i="4"/>
  <c r="P12" i="1"/>
  <c r="O11" i="1"/>
  <c r="N11" i="1"/>
  <c r="G13" i="1"/>
  <c r="D6" i="4" s="1"/>
  <c r="R7" i="3"/>
  <c r="P7" i="3"/>
  <c r="O7" i="3"/>
  <c r="J2" i="2"/>
  <c r="Q7" i="3"/>
  <c r="L2" i="2"/>
  <c r="I7" i="3"/>
  <c r="O6" i="3"/>
  <c r="Q6" i="3"/>
  <c r="O13" i="1"/>
  <c r="R6" i="3" s="1"/>
  <c r="S8" i="3"/>
  <c r="S5" i="3"/>
  <c r="T5" i="3"/>
  <c r="L9" i="3"/>
  <c r="H9" i="3"/>
  <c r="G9" i="3"/>
  <c r="K9" i="3"/>
  <c r="K11" i="3" s="1"/>
  <c r="L11" i="3" s="1"/>
  <c r="L13" i="3" s="1"/>
  <c r="E7" i="3"/>
  <c r="H2" i="2"/>
  <c r="J7" i="3" s="1"/>
  <c r="F2" i="2"/>
  <c r="F7" i="3" s="1"/>
  <c r="D2" i="2"/>
  <c r="D7" i="3" s="1"/>
  <c r="C7" i="3"/>
  <c r="M9" i="1"/>
  <c r="J9" i="1"/>
  <c r="G9" i="1"/>
  <c r="G7" i="1"/>
  <c r="Q16" i="8" l="1"/>
  <c r="R11" i="8"/>
  <c r="M16" i="8"/>
  <c r="S11" i="8"/>
  <c r="I16" i="8"/>
  <c r="J16" i="8"/>
  <c r="G13" i="8"/>
  <c r="L14" i="8"/>
  <c r="O13" i="8"/>
  <c r="P14" i="8"/>
  <c r="H16" i="8"/>
  <c r="D16" i="8"/>
  <c r="C17" i="8" s="1"/>
  <c r="L16" i="8"/>
  <c r="C13" i="8"/>
  <c r="E14" i="8" s="1"/>
  <c r="D14" i="8"/>
  <c r="N16" i="8"/>
  <c r="F16" i="8"/>
  <c r="P16" i="8"/>
  <c r="O11" i="6"/>
  <c r="O12" i="6"/>
  <c r="L10" i="6"/>
  <c r="E12" i="7"/>
  <c r="D11" i="7"/>
  <c r="Q14" i="7"/>
  <c r="C13" i="7"/>
  <c r="E14" i="7" s="1"/>
  <c r="H13" i="7"/>
  <c r="Q12" i="7"/>
  <c r="P11" i="7"/>
  <c r="K13" i="7"/>
  <c r="R8" i="6"/>
  <c r="R10" i="6" s="1"/>
  <c r="R11" i="6" s="1"/>
  <c r="G11" i="3"/>
  <c r="H11" i="3" s="1"/>
  <c r="H13" i="3" s="1"/>
  <c r="K13" i="3"/>
  <c r="T5" i="4"/>
  <c r="T8" i="3"/>
  <c r="S6" i="4"/>
  <c r="S9" i="4" s="1"/>
  <c r="T7" i="4"/>
  <c r="R6" i="4"/>
  <c r="R9" i="4" s="1"/>
  <c r="K13" i="4"/>
  <c r="L13" i="4"/>
  <c r="R11" i="4"/>
  <c r="J11" i="4"/>
  <c r="P11" i="4"/>
  <c r="O13" i="4"/>
  <c r="N11" i="4"/>
  <c r="C13" i="4"/>
  <c r="D9" i="4"/>
  <c r="E9" i="4"/>
  <c r="S7" i="3"/>
  <c r="O9" i="3"/>
  <c r="R9" i="3"/>
  <c r="T7" i="3"/>
  <c r="F9" i="3"/>
  <c r="E9" i="3"/>
  <c r="E11" i="3" s="1"/>
  <c r="E13" i="3" s="1"/>
  <c r="Q9" i="3"/>
  <c r="P9" i="1"/>
  <c r="L7" i="1"/>
  <c r="M7" i="1" s="1"/>
  <c r="L8" i="1"/>
  <c r="M8" i="1" s="1"/>
  <c r="F8" i="1"/>
  <c r="E2" i="1"/>
  <c r="D7" i="1" s="1"/>
  <c r="K17" i="8" l="1"/>
  <c r="O17" i="8"/>
  <c r="C16" i="8"/>
  <c r="E17" i="8" s="1"/>
  <c r="M14" i="8"/>
  <c r="G16" i="8"/>
  <c r="M17" i="8" s="1"/>
  <c r="R17" i="8"/>
  <c r="Q14" i="8"/>
  <c r="O16" i="8"/>
  <c r="Q17" i="8" s="1"/>
  <c r="L11" i="6"/>
  <c r="L12" i="6"/>
  <c r="O13" i="6"/>
  <c r="N6" i="7" s="1"/>
  <c r="N9" i="7" s="1"/>
  <c r="M6" i="7"/>
  <c r="M9" i="7" s="1"/>
  <c r="F12" i="7"/>
  <c r="D13" i="7"/>
  <c r="F14" i="7" s="1"/>
  <c r="R12" i="7"/>
  <c r="P13" i="7"/>
  <c r="R14" i="7" s="1"/>
  <c r="G13" i="3"/>
  <c r="Q12" i="4"/>
  <c r="R12" i="4"/>
  <c r="O11" i="3"/>
  <c r="P11" i="3" s="1"/>
  <c r="M10" i="1"/>
  <c r="M11" i="1" s="1"/>
  <c r="R13" i="4"/>
  <c r="Q11" i="3"/>
  <c r="R11" i="3" s="1"/>
  <c r="R13" i="3" s="1"/>
  <c r="R14" i="3" s="1"/>
  <c r="D11" i="4"/>
  <c r="D13" i="4" s="1"/>
  <c r="E12" i="4"/>
  <c r="M13" i="4"/>
  <c r="T11" i="4"/>
  <c r="S13" i="4"/>
  <c r="F11" i="4"/>
  <c r="F13" i="4" s="1"/>
  <c r="I13" i="4"/>
  <c r="Q13" i="4"/>
  <c r="Q14" i="4" s="1"/>
  <c r="F11" i="3"/>
  <c r="F13" i="3" s="1"/>
  <c r="G8" i="1"/>
  <c r="G10" i="1" s="1"/>
  <c r="G11" i="1" s="1"/>
  <c r="N13" i="1"/>
  <c r="P7" i="1"/>
  <c r="J7" i="1"/>
  <c r="D8" i="1"/>
  <c r="I8" i="1" s="1"/>
  <c r="Q19" i="8" l="1"/>
  <c r="P19" i="8"/>
  <c r="S17" i="8"/>
  <c r="N11" i="7"/>
  <c r="N13" i="7" s="1"/>
  <c r="R12" i="6"/>
  <c r="R13" i="6" s="1"/>
  <c r="I6" i="7"/>
  <c r="L13" i="6"/>
  <c r="J6" i="7" s="1"/>
  <c r="M14" i="4"/>
  <c r="O13" i="3"/>
  <c r="O14" i="3" s="1"/>
  <c r="P6" i="3"/>
  <c r="P9" i="3" s="1"/>
  <c r="P13" i="3" s="1"/>
  <c r="P14" i="3" s="1"/>
  <c r="P6" i="4"/>
  <c r="P9" i="4" s="1"/>
  <c r="P13" i="4" s="1"/>
  <c r="R14" i="4" s="1"/>
  <c r="Q13" i="3"/>
  <c r="Q14" i="3" s="1"/>
  <c r="F14" i="4"/>
  <c r="F12" i="4"/>
  <c r="E13" i="4"/>
  <c r="E14" i="4" s="1"/>
  <c r="M13" i="1"/>
  <c r="M6" i="3"/>
  <c r="M9" i="3" s="1"/>
  <c r="D6" i="3"/>
  <c r="C6" i="3"/>
  <c r="P8" i="1"/>
  <c r="P13" i="1" s="1"/>
  <c r="J8" i="1"/>
  <c r="J10" i="1" s="1"/>
  <c r="J11" i="1" s="1"/>
  <c r="M13" i="7" l="1"/>
  <c r="S6" i="7"/>
  <c r="S9" i="7" s="1"/>
  <c r="I9" i="7"/>
  <c r="C17" i="7"/>
  <c r="D17" i="7" s="1"/>
  <c r="J9" i="7"/>
  <c r="T6" i="7"/>
  <c r="S14" i="4"/>
  <c r="N6" i="3"/>
  <c r="N9" i="3" s="1"/>
  <c r="N6" i="4"/>
  <c r="N9" i="4" s="1"/>
  <c r="N13" i="4" s="1"/>
  <c r="P10" i="1"/>
  <c r="P11" i="1" s="1"/>
  <c r="M11" i="3"/>
  <c r="D9" i="3"/>
  <c r="J13" i="1"/>
  <c r="I6" i="3"/>
  <c r="I9" i="3" s="1"/>
  <c r="C9" i="3"/>
  <c r="C11" i="3" s="1"/>
  <c r="I11" i="7" l="1"/>
  <c r="I13" i="7" s="1"/>
  <c r="M14" i="7" s="1"/>
  <c r="S14" i="7" s="1"/>
  <c r="U6" i="7"/>
  <c r="T9" i="7"/>
  <c r="S11" i="7"/>
  <c r="T11" i="7" s="1"/>
  <c r="I11" i="3"/>
  <c r="J11" i="3" s="1"/>
  <c r="J6" i="3"/>
  <c r="J9" i="3" s="1"/>
  <c r="J6" i="4"/>
  <c r="N11" i="3"/>
  <c r="M12" i="3"/>
  <c r="M13" i="3"/>
  <c r="C13" i="3"/>
  <c r="E14" i="3" s="1"/>
  <c r="E12" i="3"/>
  <c r="D11" i="3"/>
  <c r="S6" i="3"/>
  <c r="S9" i="3" s="1"/>
  <c r="S11" i="3" s="1"/>
  <c r="T6" i="3"/>
  <c r="T9" i="3" s="1"/>
  <c r="T13" i="7" l="1"/>
  <c r="S13" i="7"/>
  <c r="J11" i="7"/>
  <c r="M12" i="7"/>
  <c r="J13" i="3"/>
  <c r="T6" i="4"/>
  <c r="T9" i="4" s="1"/>
  <c r="T13" i="4" s="1"/>
  <c r="J9" i="4"/>
  <c r="J13" i="4" s="1"/>
  <c r="N14" i="4" s="1"/>
  <c r="T14" i="4" s="1"/>
  <c r="I13" i="3"/>
  <c r="M14" i="3" s="1"/>
  <c r="S14" i="3" s="1"/>
  <c r="N12" i="3"/>
  <c r="N13" i="3"/>
  <c r="N14" i="3" s="1"/>
  <c r="T11" i="3"/>
  <c r="T13" i="3" s="1"/>
  <c r="D13" i="3"/>
  <c r="F14" i="3" s="1"/>
  <c r="F12" i="3"/>
  <c r="N12" i="7" l="1"/>
  <c r="J13" i="7"/>
  <c r="N14" i="7" s="1"/>
  <c r="T14" i="7" s="1"/>
  <c r="T14" i="3"/>
  <c r="S13" i="3"/>
</calcChain>
</file>

<file path=xl/sharedStrings.xml><?xml version="1.0" encoding="utf-8"?>
<sst xmlns="http://schemas.openxmlformats.org/spreadsheetml/2006/main" count="242" uniqueCount="62">
  <si>
    <t>iris_cps</t>
    <phoneticPr fontId="1"/>
  </si>
  <si>
    <t>IRIS_LocalSystem</t>
    <phoneticPr fontId="1"/>
  </si>
  <si>
    <t>修正</t>
    <rPh sb="0" eb="2">
      <t>シュウセイ</t>
    </rPh>
    <phoneticPr fontId="1"/>
  </si>
  <si>
    <t>調査</t>
    <rPh sb="0" eb="2">
      <t>チョウサ</t>
    </rPh>
    <phoneticPr fontId="1"/>
  </si>
  <si>
    <t>テスト</t>
    <phoneticPr fontId="1"/>
  </si>
  <si>
    <t>IRIS_SouHin</t>
    <phoneticPr fontId="1"/>
  </si>
  <si>
    <t>対象フォルダ</t>
    <rPh sb="0" eb="2">
      <t>タイショウ</t>
    </rPh>
    <phoneticPr fontId="1"/>
  </si>
  <si>
    <t>対象数</t>
    <rPh sb="0" eb="3">
      <t>タイショウスウ</t>
    </rPh>
    <phoneticPr fontId="1"/>
  </si>
  <si>
    <t>要件定義</t>
    <rPh sb="0" eb="4">
      <t>ヨウケンテイギ</t>
    </rPh>
    <phoneticPr fontId="1"/>
  </si>
  <si>
    <t>修正・単体テスト</t>
    <rPh sb="0" eb="2">
      <t>シュウセイ</t>
    </rPh>
    <rPh sb="3" eb="5">
      <t>タンタイ</t>
    </rPh>
    <phoneticPr fontId="1"/>
  </si>
  <si>
    <t>システムテスト</t>
    <phoneticPr fontId="1"/>
  </si>
  <si>
    <t>工数</t>
    <rPh sb="0" eb="2">
      <t>コウスウ</t>
    </rPh>
    <phoneticPr fontId="1"/>
  </si>
  <si>
    <t>金額</t>
    <rPh sb="0" eb="2">
      <t>キンガク</t>
    </rPh>
    <phoneticPr fontId="1"/>
  </si>
  <si>
    <t>技術検証時修正割合</t>
    <phoneticPr fontId="1"/>
  </si>
  <si>
    <t>要修正数</t>
    <rPh sb="0" eb="4">
      <t>ヨウシュウセイスウ</t>
    </rPh>
    <phoneticPr fontId="1"/>
  </si>
  <si>
    <t>割合</t>
    <rPh sb="0" eb="2">
      <t>ワリアイ</t>
    </rPh>
    <phoneticPr fontId="1"/>
  </si>
  <si>
    <t>合計</t>
    <rPh sb="0" eb="2">
      <t>ゴウケイ</t>
    </rPh>
    <phoneticPr fontId="1"/>
  </si>
  <si>
    <t>設計</t>
    <rPh sb="0" eb="2">
      <t>セッケイ</t>
    </rPh>
    <phoneticPr fontId="1"/>
  </si>
  <si>
    <t>・権限</t>
    <rPh sb="1" eb="3">
      <t>ケンゲン</t>
    </rPh>
    <phoneticPr fontId="1"/>
  </si>
  <si>
    <t>・フォルダ構成</t>
    <rPh sb="5" eb="7">
      <t>コウセイ</t>
    </rPh>
    <phoneticPr fontId="1"/>
  </si>
  <si>
    <t>・スペック</t>
    <phoneticPr fontId="1"/>
  </si>
  <si>
    <t>構築</t>
    <rPh sb="0" eb="2">
      <t>コウチク</t>
    </rPh>
    <phoneticPr fontId="1"/>
  </si>
  <si>
    <t>ファイルサーバ構築</t>
    <rPh sb="7" eb="9">
      <t>コウチク</t>
    </rPh>
    <phoneticPr fontId="1"/>
  </si>
  <si>
    <t>公開AP</t>
    <rPh sb="0" eb="2">
      <t>コウカイ</t>
    </rPh>
    <phoneticPr fontId="1"/>
  </si>
  <si>
    <t>Excel</t>
    <phoneticPr fontId="1"/>
  </si>
  <si>
    <t>ファイルサーバ</t>
    <phoneticPr fontId="1"/>
  </si>
  <si>
    <t>その他</t>
    <phoneticPr fontId="1"/>
  </si>
  <si>
    <t>基本設計</t>
    <rPh sb="0" eb="4">
      <t>キホンセッケイ</t>
    </rPh>
    <phoneticPr fontId="1"/>
  </si>
  <si>
    <t>詳細設計</t>
    <rPh sb="0" eb="4">
      <t>ショウサイセッケイ</t>
    </rPh>
    <phoneticPr fontId="1"/>
  </si>
  <si>
    <t>開発・単体</t>
    <rPh sb="0" eb="2">
      <t>カイハツ</t>
    </rPh>
    <rPh sb="3" eb="5">
      <t>タンタイ</t>
    </rPh>
    <phoneticPr fontId="1"/>
  </si>
  <si>
    <t>IT</t>
    <phoneticPr fontId="1"/>
  </si>
  <si>
    <t>ST</t>
    <phoneticPr fontId="1"/>
  </si>
  <si>
    <t>OT</t>
    <phoneticPr fontId="1"/>
  </si>
  <si>
    <t>小計</t>
    <rPh sb="0" eb="2">
      <t>ショウケイ</t>
    </rPh>
    <phoneticPr fontId="1"/>
  </si>
  <si>
    <t>RL</t>
    <phoneticPr fontId="1"/>
  </si>
  <si>
    <t>管理工数</t>
    <rPh sb="0" eb="4">
      <t>カンリコウスウ</t>
    </rPh>
    <phoneticPr fontId="1"/>
  </si>
  <si>
    <t>合計</t>
    <rPh sb="0" eb="2">
      <t>ゴウケイ</t>
    </rPh>
    <phoneticPr fontId="1"/>
  </si>
  <si>
    <t>2月～4月</t>
    <rPh sb="1" eb="2">
      <t>ガツ</t>
    </rPh>
    <rPh sb="4" eb="5">
      <t>ガツ</t>
    </rPh>
    <phoneticPr fontId="1"/>
  </si>
  <si>
    <t>5月～10月</t>
    <rPh sb="1" eb="2">
      <t>ガツ</t>
    </rPh>
    <rPh sb="5" eb="6">
      <t>ガツ</t>
    </rPh>
    <phoneticPr fontId="1"/>
  </si>
  <si>
    <t>11 月～1月</t>
    <rPh sb="3" eb="4">
      <t>ガツ</t>
    </rPh>
    <rPh sb="6" eb="7">
      <t>ガツ</t>
    </rPh>
    <phoneticPr fontId="1"/>
  </si>
  <si>
    <t>2月～3月</t>
    <rPh sb="1" eb="2">
      <t>ガツ</t>
    </rPh>
    <rPh sb="4" eb="5">
      <t>ガツ</t>
    </rPh>
    <phoneticPr fontId="1"/>
  </si>
  <si>
    <t>別紙「SP-02-01 SS-ST工程工数見積（XenApp廃止に伴うアプリケーション移行）Ver.4.2.xlsx」参照</t>
    <rPh sb="0" eb="2">
      <t>ベッシ</t>
    </rPh>
    <rPh sb="59" eb="61">
      <t>サンショウ</t>
    </rPh>
    <phoneticPr fontId="1"/>
  </si>
  <si>
    <t>修正数</t>
    <rPh sb="0" eb="3">
      <t>シュウセイスウ</t>
    </rPh>
    <phoneticPr fontId="1"/>
  </si>
  <si>
    <t>数ファイル</t>
    <rPh sb="0" eb="1">
      <t>スウ</t>
    </rPh>
    <phoneticPr fontId="1"/>
  </si>
  <si>
    <t>数/H</t>
    <phoneticPr fontId="1"/>
  </si>
  <si>
    <t>人日</t>
    <rPh sb="0" eb="2">
      <t>ニンニチ</t>
    </rPh>
    <phoneticPr fontId="1"/>
  </si>
  <si>
    <t>人月</t>
    <rPh sb="0" eb="2">
      <t>ニンゲツ</t>
    </rPh>
    <phoneticPr fontId="1"/>
  </si>
  <si>
    <t>その他</t>
    <rPh sb="2" eb="3">
      <t>タ</t>
    </rPh>
    <phoneticPr fontId="1"/>
  </si>
  <si>
    <t>（XenAppその他調査）</t>
    <phoneticPr fontId="1"/>
  </si>
  <si>
    <t>調査</t>
    <rPh sb="0" eb="2">
      <t>チョウサ</t>
    </rPh>
    <phoneticPr fontId="1"/>
  </si>
  <si>
    <t>テスト計画作成</t>
    <rPh sb="3" eb="7">
      <t>ケイカクサクセイ</t>
    </rPh>
    <phoneticPr fontId="1"/>
  </si>
  <si>
    <t>実質修正数</t>
    <rPh sb="0" eb="2">
      <t>ジッシツ</t>
    </rPh>
    <rPh sb="2" eb="4">
      <t>シュウセイ</t>
    </rPh>
    <rPh sb="4" eb="5">
      <t>スウ</t>
    </rPh>
    <phoneticPr fontId="1"/>
  </si>
  <si>
    <t>エラーなし</t>
    <phoneticPr fontId="1"/>
  </si>
  <si>
    <t>2月～5月</t>
    <rPh sb="1" eb="2">
      <t>ガツ</t>
    </rPh>
    <rPh sb="4" eb="5">
      <t>ガツ</t>
    </rPh>
    <phoneticPr fontId="1"/>
  </si>
  <si>
    <t>契約毎の合計</t>
    <rPh sb="0" eb="2">
      <t>ケイヤク</t>
    </rPh>
    <rPh sb="2" eb="3">
      <t>ゴト</t>
    </rPh>
    <rPh sb="4" eb="6">
      <t>ゴウケイ</t>
    </rPh>
    <phoneticPr fontId="1"/>
  </si>
  <si>
    <t>総合計</t>
    <rPh sb="0" eb="3">
      <t>ソウゴウケイ</t>
    </rPh>
    <phoneticPr fontId="1"/>
  </si>
  <si>
    <t>準委任契約</t>
    <rPh sb="0" eb="5">
      <t>ジュンイニンケイヤク</t>
    </rPh>
    <phoneticPr fontId="1"/>
  </si>
  <si>
    <t>請負契約</t>
    <rPh sb="0" eb="4">
      <t>ウケオイケイヤク</t>
    </rPh>
    <phoneticPr fontId="1"/>
  </si>
  <si>
    <t>契約種別</t>
    <rPh sb="0" eb="4">
      <t>ケイヤクシュベツ</t>
    </rPh>
    <phoneticPr fontId="1"/>
  </si>
  <si>
    <t>XenApp廃止に伴うアプリケーション移行（御見積内訳）</t>
    <rPh sb="6" eb="8">
      <t>ハイシ</t>
    </rPh>
    <rPh sb="22" eb="27">
      <t>オミツモリウチワケ</t>
    </rPh>
    <phoneticPr fontId="1"/>
  </si>
  <si>
    <t>株式会社システムエグゼ</t>
    <rPh sb="0" eb="4">
      <t>カブシキガイシャ</t>
    </rPh>
    <phoneticPr fontId="1"/>
  </si>
  <si>
    <t>システムソリューション本部</t>
    <rPh sb="11" eb="13">
      <t>ホンブ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</si>
</sst>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0.0_ "/>
    <numFmt numFmtId="178" formatCode="0.00_);[Red]\(0.00\)"/>
  </numFmts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0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b/>
      <sz val="11"/>
      <name val="Yu Gothic"/>
      <family val="3"/>
      <charset val="128"/>
      <scheme val="minor"/>
    </font>
    <font>
      <b/>
      <sz val="14"/>
      <name val="Yu Gothic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57">
    <xf numFmtId="0" fontId="0" fillId="0" borderId="0" xfId="0"/>
    <xf numFmtId="176" fontId="0" fillId="0" borderId="0" xfId="0" applyNumberFormat="1"/>
    <xf numFmtId="0" fontId="0" fillId="0" borderId="1" xfId="0" applyBorder="1"/>
    <xf numFmtId="176" fontId="0" fillId="0" borderId="1" xfId="0" applyNumberFormat="1" applyBorder="1"/>
    <xf numFmtId="177" fontId="0" fillId="0" borderId="0" xfId="0" applyNumberFormat="1"/>
    <xf numFmtId="178" fontId="0" fillId="0" borderId="0" xfId="0" applyNumberFormat="1"/>
    <xf numFmtId="0" fontId="0" fillId="0" borderId="3" xfId="0" applyBorder="1"/>
    <xf numFmtId="0" fontId="0" fillId="0" borderId="4" xfId="0" applyBorder="1"/>
    <xf numFmtId="0" fontId="0" fillId="2" borderId="2" xfId="0" applyFill="1" applyBorder="1"/>
    <xf numFmtId="0" fontId="0" fillId="2" borderId="3" xfId="0" applyFill="1" applyBorder="1"/>
    <xf numFmtId="178" fontId="0" fillId="0" borderId="5" xfId="0" applyNumberFormat="1" applyBorder="1"/>
    <xf numFmtId="176" fontId="0" fillId="0" borderId="5" xfId="0" applyNumberFormat="1" applyBorder="1"/>
    <xf numFmtId="176" fontId="0" fillId="0" borderId="6" xfId="0" applyNumberFormat="1" applyBorder="1"/>
    <xf numFmtId="0" fontId="0" fillId="0" borderId="7" xfId="0" applyBorder="1"/>
    <xf numFmtId="178" fontId="2" fillId="3" borderId="7" xfId="0" applyNumberFormat="1" applyFont="1" applyFill="1" applyBorder="1"/>
    <xf numFmtId="176" fontId="2" fillId="3" borderId="8" xfId="0" applyNumberFormat="1" applyFont="1" applyFill="1" applyBorder="1"/>
    <xf numFmtId="178" fontId="3" fillId="0" borderId="7" xfId="0" applyNumberFormat="1" applyFont="1" applyBorder="1"/>
    <xf numFmtId="176" fontId="3" fillId="0" borderId="8" xfId="0" applyNumberFormat="1" applyFont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178" fontId="0" fillId="0" borderId="1" xfId="0" applyNumberFormat="1" applyBorder="1"/>
    <xf numFmtId="178" fontId="0" fillId="0" borderId="10" xfId="0" applyNumberFormat="1" applyBorder="1"/>
    <xf numFmtId="176" fontId="0" fillId="0" borderId="10" xfId="0" applyNumberFormat="1" applyBorder="1"/>
    <xf numFmtId="176" fontId="0" fillId="0" borderId="11" xfId="0" applyNumberFormat="1" applyBorder="1"/>
    <xf numFmtId="176" fontId="0" fillId="0" borderId="19" xfId="0" applyNumberFormat="1" applyBorder="1"/>
    <xf numFmtId="178" fontId="3" fillId="4" borderId="13" xfId="0" applyNumberFormat="1" applyFont="1" applyFill="1" applyBorder="1"/>
    <xf numFmtId="176" fontId="3" fillId="4" borderId="13" xfId="0" applyNumberFormat="1" applyFont="1" applyFill="1" applyBorder="1"/>
    <xf numFmtId="176" fontId="3" fillId="4" borderId="14" xfId="0" applyNumberFormat="1" applyFont="1" applyFill="1" applyBorder="1"/>
    <xf numFmtId="0" fontId="0" fillId="2" borderId="20" xfId="0" applyFill="1" applyBorder="1"/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0" fillId="2" borderId="24" xfId="0" applyFill="1" applyBorder="1"/>
    <xf numFmtId="178" fontId="0" fillId="0" borderId="23" xfId="0" applyNumberFormat="1" applyBorder="1"/>
    <xf numFmtId="178" fontId="0" fillId="0" borderId="25" xfId="0" applyNumberFormat="1" applyBorder="1"/>
    <xf numFmtId="178" fontId="3" fillId="4" borderId="26" xfId="0" applyNumberFormat="1" applyFont="1" applyFill="1" applyBorder="1"/>
    <xf numFmtId="178" fontId="0" fillId="0" borderId="9" xfId="0" applyNumberFormat="1" applyBorder="1"/>
    <xf numFmtId="178" fontId="0" fillId="0" borderId="18" xfId="0" applyNumberFormat="1" applyBorder="1"/>
    <xf numFmtId="178" fontId="3" fillId="4" borderId="12" xfId="0" applyNumberFormat="1" applyFont="1" applyFill="1" applyBorder="1"/>
    <xf numFmtId="0" fontId="0" fillId="0" borderId="25" xfId="0" applyBorder="1"/>
    <xf numFmtId="0" fontId="0" fillId="0" borderId="18" xfId="0" applyBorder="1"/>
    <xf numFmtId="0" fontId="0" fillId="0" borderId="19" xfId="0" applyBorder="1"/>
    <xf numFmtId="0" fontId="0" fillId="2" borderId="27" xfId="0" applyFill="1" applyBorder="1"/>
    <xf numFmtId="0" fontId="0" fillId="2" borderId="28" xfId="0" applyFill="1" applyBorder="1"/>
    <xf numFmtId="176" fontId="0" fillId="0" borderId="27" xfId="0" applyNumberFormat="1" applyBorder="1"/>
    <xf numFmtId="176" fontId="0" fillId="0" borderId="29" xfId="0" applyNumberFormat="1" applyBorder="1"/>
    <xf numFmtId="0" fontId="0" fillId="0" borderId="29" xfId="0" applyBorder="1"/>
    <xf numFmtId="176" fontId="3" fillId="4" borderId="30" xfId="0" applyNumberFormat="1" applyFont="1" applyFill="1" applyBorder="1"/>
    <xf numFmtId="0" fontId="0" fillId="5" borderId="9" xfId="0" applyFill="1" applyBorder="1"/>
    <xf numFmtId="0" fontId="0" fillId="5" borderId="11" xfId="0" applyFill="1" applyBorder="1"/>
    <xf numFmtId="0" fontId="0" fillId="5" borderId="15" xfId="0" applyFill="1" applyBorder="1"/>
    <xf numFmtId="0" fontId="0" fillId="5" borderId="17" xfId="0" applyFill="1" applyBorder="1"/>
    <xf numFmtId="178" fontId="0" fillId="6" borderId="5" xfId="0" applyNumberFormat="1" applyFill="1" applyBorder="1"/>
    <xf numFmtId="176" fontId="0" fillId="0" borderId="34" xfId="0" applyNumberFormat="1" applyBorder="1"/>
    <xf numFmtId="176" fontId="3" fillId="0" borderId="35" xfId="0" applyNumberFormat="1" applyFont="1" applyBorder="1"/>
    <xf numFmtId="176" fontId="2" fillId="3" borderId="35" xfId="0" applyNumberFormat="1" applyFont="1" applyFill="1" applyBorder="1"/>
    <xf numFmtId="0" fontId="0" fillId="0" borderId="36" xfId="0" applyBorder="1"/>
    <xf numFmtId="0" fontId="0" fillId="0" borderId="37" xfId="0" applyBorder="1"/>
    <xf numFmtId="178" fontId="0" fillId="0" borderId="38" xfId="0" applyNumberFormat="1" applyBorder="1"/>
    <xf numFmtId="0" fontId="0" fillId="5" borderId="24" xfId="0" applyFill="1" applyBorder="1"/>
    <xf numFmtId="178" fontId="2" fillId="7" borderId="7" xfId="0" applyNumberFormat="1" applyFont="1" applyFill="1" applyBorder="1"/>
    <xf numFmtId="176" fontId="2" fillId="7" borderId="35" xfId="0" applyNumberFormat="1" applyFont="1" applyFill="1" applyBorder="1"/>
    <xf numFmtId="0" fontId="3" fillId="2" borderId="9" xfId="0" applyFont="1" applyFill="1" applyBorder="1"/>
    <xf numFmtId="0" fontId="3" fillId="2" borderId="23" xfId="0" applyFont="1" applyFill="1" applyBorder="1"/>
    <xf numFmtId="0" fontId="3" fillId="2" borderId="10" xfId="0" applyFont="1" applyFill="1" applyBorder="1"/>
    <xf numFmtId="0" fontId="3" fillId="5" borderId="23" xfId="0" applyFont="1" applyFill="1" applyBorder="1"/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0" fillId="8" borderId="29" xfId="0" applyFill="1" applyBorder="1"/>
    <xf numFmtId="0" fontId="0" fillId="8" borderId="39" xfId="0" applyFill="1" applyBorder="1"/>
    <xf numFmtId="0" fontId="0" fillId="8" borderId="25" xfId="0" applyFill="1" applyBorder="1"/>
    <xf numFmtId="0" fontId="0" fillId="9" borderId="1" xfId="0" applyFill="1" applyBorder="1"/>
    <xf numFmtId="177" fontId="0" fillId="9" borderId="1" xfId="0" applyNumberFormat="1" applyFill="1" applyBorder="1"/>
    <xf numFmtId="176" fontId="0" fillId="9" borderId="1" xfId="0" applyNumberFormat="1" applyFill="1" applyBorder="1"/>
    <xf numFmtId="0" fontId="3" fillId="9" borderId="1" xfId="0" applyFont="1" applyFill="1" applyBorder="1"/>
    <xf numFmtId="177" fontId="3" fillId="9" borderId="1" xfId="0" applyNumberFormat="1" applyFont="1" applyFill="1" applyBorder="1"/>
    <xf numFmtId="176" fontId="3" fillId="9" borderId="1" xfId="0" applyNumberFormat="1" applyFont="1" applyFill="1" applyBorder="1"/>
    <xf numFmtId="178" fontId="0" fillId="10" borderId="18" xfId="0" applyNumberFormat="1" applyFill="1" applyBorder="1"/>
    <xf numFmtId="176" fontId="0" fillId="10" borderId="19" xfId="0" applyNumberFormat="1" applyFill="1" applyBorder="1"/>
    <xf numFmtId="178" fontId="0" fillId="10" borderId="25" xfId="0" applyNumberFormat="1" applyFill="1" applyBorder="1"/>
    <xf numFmtId="0" fontId="0" fillId="10" borderId="1" xfId="0" applyFill="1" applyBorder="1"/>
    <xf numFmtId="0" fontId="0" fillId="0" borderId="40" xfId="0" applyBorder="1"/>
    <xf numFmtId="176" fontId="3" fillId="0" borderId="14" xfId="0" applyNumberFormat="1" applyFont="1" applyBorder="1"/>
    <xf numFmtId="0" fontId="0" fillId="11" borderId="36" xfId="0" applyFill="1" applyBorder="1"/>
    <xf numFmtId="0" fontId="0" fillId="11" borderId="37" xfId="0" applyFill="1" applyBorder="1"/>
    <xf numFmtId="0" fontId="0" fillId="2" borderId="42" xfId="0" applyFill="1" applyBorder="1"/>
    <xf numFmtId="178" fontId="0" fillId="0" borderId="41" xfId="0" applyNumberFormat="1" applyBorder="1"/>
    <xf numFmtId="178" fontId="0" fillId="0" borderId="43" xfId="0" applyNumberFormat="1" applyBorder="1"/>
    <xf numFmtId="178" fontId="3" fillId="4" borderId="44" xfId="0" applyNumberFormat="1" applyFont="1" applyFill="1" applyBorder="1"/>
    <xf numFmtId="0" fontId="0" fillId="11" borderId="45" xfId="0" applyFill="1" applyBorder="1"/>
    <xf numFmtId="0" fontId="0" fillId="11" borderId="0" xfId="0" applyFill="1"/>
    <xf numFmtId="0" fontId="0" fillId="0" borderId="44" xfId="0" applyBorder="1"/>
    <xf numFmtId="0" fontId="0" fillId="2" borderId="50" xfId="0" applyFill="1" applyBorder="1"/>
    <xf numFmtId="176" fontId="0" fillId="0" borderId="49" xfId="0" applyNumberFormat="1" applyBorder="1"/>
    <xf numFmtId="176" fontId="0" fillId="0" borderId="51" xfId="0" applyNumberFormat="1" applyBorder="1"/>
    <xf numFmtId="176" fontId="3" fillId="4" borderId="52" xfId="0" applyNumberFormat="1" applyFont="1" applyFill="1" applyBorder="1"/>
    <xf numFmtId="0" fontId="0" fillId="11" borderId="53" xfId="0" applyFill="1" applyBorder="1"/>
    <xf numFmtId="0" fontId="0" fillId="0" borderId="43" xfId="0" applyBorder="1"/>
    <xf numFmtId="0" fontId="0" fillId="0" borderId="51" xfId="0" applyBorder="1"/>
    <xf numFmtId="0" fontId="0" fillId="0" borderId="54" xfId="0" applyBorder="1"/>
    <xf numFmtId="0" fontId="0" fillId="0" borderId="14" xfId="0" applyBorder="1"/>
    <xf numFmtId="178" fontId="3" fillId="0" borderId="55" xfId="0" applyNumberFormat="1" applyFont="1" applyBorder="1"/>
    <xf numFmtId="176" fontId="3" fillId="0" borderId="56" xfId="0" applyNumberFormat="1" applyFont="1" applyBorder="1"/>
    <xf numFmtId="178" fontId="3" fillId="0" borderId="57" xfId="0" applyNumberFormat="1" applyFont="1" applyBorder="1"/>
    <xf numFmtId="176" fontId="3" fillId="0" borderId="58" xfId="0" applyNumberFormat="1" applyFont="1" applyBorder="1"/>
    <xf numFmtId="0" fontId="0" fillId="0" borderId="59" xfId="0" applyBorder="1"/>
    <xf numFmtId="176" fontId="3" fillId="0" borderId="60" xfId="0" applyNumberFormat="1" applyFont="1" applyBorder="1"/>
    <xf numFmtId="178" fontId="3" fillId="0" borderId="12" xfId="0" applyNumberFormat="1" applyFont="1" applyBorder="1"/>
    <xf numFmtId="178" fontId="3" fillId="0" borderId="61" xfId="0" applyNumberFormat="1" applyFont="1" applyBorder="1"/>
    <xf numFmtId="0" fontId="0" fillId="3" borderId="66" xfId="0" applyFill="1" applyBorder="1"/>
    <xf numFmtId="0" fontId="0" fillId="3" borderId="67" xfId="0" applyFill="1" applyBorder="1"/>
    <xf numFmtId="178" fontId="2" fillId="3" borderId="67" xfId="0" applyNumberFormat="1" applyFont="1" applyFill="1" applyBorder="1"/>
    <xf numFmtId="176" fontId="2" fillId="3" borderId="68" xfId="0" applyNumberFormat="1" applyFont="1" applyFill="1" applyBorder="1"/>
    <xf numFmtId="176" fontId="2" fillId="7" borderId="68" xfId="0" applyNumberFormat="1" applyFont="1" applyFill="1" applyBorder="1"/>
    <xf numFmtId="178" fontId="2" fillId="7" borderId="69" xfId="0" applyNumberFormat="1" applyFont="1" applyFill="1" applyBorder="1"/>
    <xf numFmtId="0" fontId="2" fillId="3" borderId="73" xfId="0" applyFont="1" applyFill="1" applyBorder="1"/>
    <xf numFmtId="178" fontId="2" fillId="3" borderId="74" xfId="0" applyNumberFormat="1" applyFont="1" applyFill="1" applyBorder="1"/>
    <xf numFmtId="176" fontId="2" fillId="3" borderId="75" xfId="0" applyNumberFormat="1" applyFont="1" applyFill="1" applyBorder="1"/>
    <xf numFmtId="0" fontId="0" fillId="2" borderId="76" xfId="0" applyFill="1" applyBorder="1"/>
    <xf numFmtId="0" fontId="0" fillId="2" borderId="77" xfId="0" applyFill="1" applyBorder="1"/>
    <xf numFmtId="0" fontId="0" fillId="2" borderId="54" xfId="0" applyFill="1" applyBorder="1"/>
    <xf numFmtId="0" fontId="0" fillId="2" borderId="78" xfId="0" applyFill="1" applyBorder="1"/>
    <xf numFmtId="0" fontId="0" fillId="2" borderId="79" xfId="0" applyFill="1" applyBorder="1"/>
    <xf numFmtId="0" fontId="3" fillId="2" borderId="80" xfId="0" applyFont="1" applyFill="1" applyBorder="1"/>
    <xf numFmtId="0" fontId="2" fillId="12" borderId="66" xfId="0" applyFont="1" applyFill="1" applyBorder="1"/>
    <xf numFmtId="178" fontId="2" fillId="7" borderId="0" xfId="0" applyNumberFormat="1" applyFont="1" applyFill="1"/>
    <xf numFmtId="176" fontId="2" fillId="7" borderId="0" xfId="0" applyNumberFormat="1" applyFont="1" applyFill="1"/>
    <xf numFmtId="0" fontId="2" fillId="13" borderId="65" xfId="0" applyFont="1" applyFill="1" applyBorder="1"/>
    <xf numFmtId="178" fontId="2" fillId="7" borderId="82" xfId="0" applyNumberFormat="1" applyFont="1" applyFill="1" applyBorder="1"/>
    <xf numFmtId="176" fontId="2" fillId="7" borderId="83" xfId="0" applyNumberFormat="1" applyFont="1" applyFill="1" applyBorder="1"/>
    <xf numFmtId="0" fontId="5" fillId="0" borderId="0" xfId="0" applyFont="1"/>
    <xf numFmtId="0" fontId="0" fillId="0" borderId="0" xfId="0" applyAlignment="1">
      <alignment horizontal="right"/>
    </xf>
    <xf numFmtId="31" fontId="0" fillId="0" borderId="0" xfId="0" applyNumberFormat="1" applyAlignment="1">
      <alignment horizontal="right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72" xfId="0" applyFont="1" applyFill="1" applyBorder="1" applyAlignment="1">
      <alignment horizontal="center"/>
    </xf>
    <xf numFmtId="0" fontId="3" fillId="2" borderId="81" xfId="0" applyFont="1" applyFill="1" applyBorder="1" applyAlignment="1">
      <alignment horizontal="center"/>
    </xf>
    <xf numFmtId="0" fontId="3" fillId="2" borderId="71" xfId="0" applyFont="1" applyFill="1" applyBorder="1" applyAlignment="1">
      <alignment horizontal="center"/>
    </xf>
    <xf numFmtId="0" fontId="4" fillId="0" borderId="66" xfId="0" applyFont="1" applyBorder="1" applyAlignment="1">
      <alignment horizontal="center"/>
    </xf>
    <xf numFmtId="0" fontId="4" fillId="0" borderId="67" xfId="0" applyFont="1" applyBorder="1" applyAlignment="1">
      <alignment horizontal="center"/>
    </xf>
    <xf numFmtId="0" fontId="4" fillId="0" borderId="64" xfId="0" applyFont="1" applyBorder="1" applyAlignment="1">
      <alignment horizontal="center"/>
    </xf>
    <xf numFmtId="0" fontId="3" fillId="0" borderId="66" xfId="0" applyFont="1" applyBorder="1" applyAlignment="1">
      <alignment horizontal="center"/>
    </xf>
    <xf numFmtId="0" fontId="3" fillId="0" borderId="67" xfId="0" applyFont="1" applyBorder="1" applyAlignment="1">
      <alignment horizontal="center"/>
    </xf>
    <xf numFmtId="0" fontId="3" fillId="0" borderId="64" xfId="0" applyFont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  <xf numFmtId="0" fontId="3" fillId="2" borderId="70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612B-979C-417C-9750-473DB1B77146}">
  <dimension ref="B1:T14"/>
  <sheetViews>
    <sheetView topLeftCell="F1" workbookViewId="0">
      <selection activeCell="P4" sqref="P4:Q4"/>
    </sheetView>
  </sheetViews>
  <sheetFormatPr defaultRowHeight="18"/>
  <cols>
    <col min="2" max="2" width="14.33203125" bestFit="1" customWidth="1"/>
    <col min="4" max="4" width="11.5" bestFit="1" customWidth="1"/>
    <col min="6" max="6" width="11.5" bestFit="1" customWidth="1"/>
    <col min="8" max="8" width="11.5" bestFit="1" customWidth="1"/>
    <col min="9" max="9" width="10.4140625" bestFit="1" customWidth="1"/>
    <col min="10" max="10" width="10.4140625" customWidth="1"/>
    <col min="12" max="12" width="11.5" bestFit="1" customWidth="1"/>
    <col min="13" max="13" width="9.1640625" bestFit="1" customWidth="1"/>
    <col min="14" max="14" width="11.58203125" bestFit="1" customWidth="1"/>
    <col min="16" max="16" width="11.58203125" bestFit="1" customWidth="1"/>
    <col min="18" max="18" width="11.58203125" bestFit="1" customWidth="1"/>
    <col min="20" max="20" width="11.58203125" bestFit="1" customWidth="1"/>
  </cols>
  <sheetData>
    <row r="1" spans="2:20" ht="18.5" thickBot="1"/>
    <row r="2" spans="2:20" ht="18.5" thickBot="1">
      <c r="C2" s="137" t="s">
        <v>37</v>
      </c>
      <c r="D2" s="138"/>
      <c r="E2" s="138"/>
      <c r="F2" s="139"/>
      <c r="G2" s="137" t="s">
        <v>38</v>
      </c>
      <c r="H2" s="138"/>
      <c r="I2" s="138"/>
      <c r="J2" s="138"/>
      <c r="K2" s="138"/>
      <c r="L2" s="138"/>
      <c r="M2" s="138"/>
      <c r="N2" s="139"/>
      <c r="O2" s="137" t="s">
        <v>39</v>
      </c>
      <c r="P2" s="139"/>
      <c r="Q2" s="137" t="s">
        <v>40</v>
      </c>
      <c r="R2" s="139"/>
    </row>
    <row r="3" spans="2:20">
      <c r="C3" s="18" t="s">
        <v>8</v>
      </c>
      <c r="D3" s="20"/>
      <c r="E3" s="18" t="s">
        <v>27</v>
      </c>
      <c r="F3" s="20"/>
      <c r="G3" s="18" t="s">
        <v>28</v>
      </c>
      <c r="H3" s="20"/>
      <c r="I3" s="18" t="s">
        <v>29</v>
      </c>
      <c r="J3" s="20"/>
      <c r="K3" s="18" t="s">
        <v>30</v>
      </c>
      <c r="L3" s="20"/>
      <c r="M3" s="35" t="s">
        <v>31</v>
      </c>
      <c r="N3" s="19"/>
      <c r="O3" s="19" t="s">
        <v>32</v>
      </c>
      <c r="P3" s="19"/>
      <c r="Q3" s="19" t="s">
        <v>34</v>
      </c>
      <c r="R3" s="46"/>
      <c r="S3" s="52" t="s">
        <v>16</v>
      </c>
      <c r="T3" s="53"/>
    </row>
    <row r="4" spans="2:20" ht="18.5" thickBot="1">
      <c r="C4" s="21" t="s">
        <v>11</v>
      </c>
      <c r="D4" s="23" t="s">
        <v>12</v>
      </c>
      <c r="E4" s="21" t="s">
        <v>11</v>
      </c>
      <c r="F4" s="23" t="s">
        <v>12</v>
      </c>
      <c r="G4" s="21"/>
      <c r="H4" s="23"/>
      <c r="I4" s="21"/>
      <c r="J4" s="23"/>
      <c r="K4" s="21"/>
      <c r="L4" s="23"/>
      <c r="M4" s="36"/>
      <c r="N4" s="22"/>
      <c r="O4" s="22"/>
      <c r="P4" s="22"/>
      <c r="Q4" s="22"/>
      <c r="R4" s="47"/>
      <c r="S4" s="54"/>
      <c r="T4" s="55"/>
    </row>
    <row r="5" spans="2:20">
      <c r="B5" s="32" t="s">
        <v>23</v>
      </c>
      <c r="C5" s="40">
        <v>2</v>
      </c>
      <c r="D5" s="27">
        <f>C5*1000000</f>
        <v>2000000</v>
      </c>
      <c r="E5" s="40">
        <v>2</v>
      </c>
      <c r="F5" s="48">
        <f>E5*1000000</f>
        <v>2000000</v>
      </c>
      <c r="G5" s="40">
        <v>2</v>
      </c>
      <c r="H5" s="27">
        <f>G5*1000000</f>
        <v>2000000</v>
      </c>
      <c r="I5" s="40">
        <v>3.5</v>
      </c>
      <c r="J5" s="27">
        <f>I5*1000000</f>
        <v>3500000</v>
      </c>
      <c r="K5" s="40">
        <v>3.5</v>
      </c>
      <c r="L5" s="27">
        <f>K5*1000000</f>
        <v>3500000</v>
      </c>
      <c r="M5" s="37">
        <v>10</v>
      </c>
      <c r="N5" s="27">
        <f>M5*1000000</f>
        <v>10000000</v>
      </c>
      <c r="O5" s="40">
        <v>5.5</v>
      </c>
      <c r="P5" s="26">
        <f>O5*1000000</f>
        <v>5500000</v>
      </c>
      <c r="Q5" s="25">
        <v>2.5</v>
      </c>
      <c r="R5" s="27">
        <f>Q5*1000000</f>
        <v>2500000</v>
      </c>
      <c r="S5" s="40">
        <f>SUM(C5,E5,G5,I5,K5,M5,O5,Q5)</f>
        <v>31</v>
      </c>
      <c r="T5" s="27">
        <f>SUM(D5,F5,H5,J5,L5,N5,P5,R5)</f>
        <v>31000000</v>
      </c>
    </row>
    <row r="6" spans="2:20">
      <c r="B6" s="33" t="s">
        <v>24</v>
      </c>
      <c r="C6" s="41">
        <f>Excel!G12</f>
        <v>3.5</v>
      </c>
      <c r="D6" s="28">
        <f>Excel!G13</f>
        <v>3500000</v>
      </c>
      <c r="E6" s="41"/>
      <c r="F6" s="28"/>
      <c r="G6" s="41"/>
      <c r="H6" s="28"/>
      <c r="I6" s="41">
        <f>Excel!J12</f>
        <v>5</v>
      </c>
      <c r="J6" s="28">
        <f>Excel!J13</f>
        <v>5000000</v>
      </c>
      <c r="K6" s="41"/>
      <c r="L6" s="28"/>
      <c r="M6" s="38">
        <f>Excel!M12</f>
        <v>16</v>
      </c>
      <c r="N6" s="3">
        <f>Excel!M13</f>
        <v>16000000</v>
      </c>
      <c r="O6" s="24">
        <f>Excel!N12</f>
        <v>3</v>
      </c>
      <c r="P6" s="3">
        <f>Excel!N13</f>
        <v>3000000</v>
      </c>
      <c r="Q6" s="24">
        <f>Excel!O12</f>
        <v>2.5</v>
      </c>
      <c r="R6" s="49">
        <f>Excel!O13</f>
        <v>2500000</v>
      </c>
      <c r="S6" s="41">
        <f t="shared" ref="S6:S8" si="0">SUM(C6,E6,G6,I6,K6,M6,O6,Q6)</f>
        <v>30</v>
      </c>
      <c r="T6" s="28">
        <f t="shared" ref="T6:T8" si="1">SUM(D6,F6,H6,J6,L6,N6,P6,R6)</f>
        <v>30000000</v>
      </c>
    </row>
    <row r="7" spans="2:20">
      <c r="B7" s="33" t="s">
        <v>25</v>
      </c>
      <c r="C7" s="41">
        <f>ファイルサーバ・その他!C2</f>
        <v>1</v>
      </c>
      <c r="D7" s="28">
        <f>ファイルサーバ・その他!D2</f>
        <v>1000000</v>
      </c>
      <c r="E7" s="41">
        <f>ファイルサーバ・その他!E2</f>
        <v>1</v>
      </c>
      <c r="F7" s="28">
        <f>ファイルサーバ・その他!F2</f>
        <v>1000000</v>
      </c>
      <c r="G7" s="41"/>
      <c r="H7" s="28"/>
      <c r="I7" s="41">
        <f>ファイルサーバ・その他!G2</f>
        <v>1</v>
      </c>
      <c r="J7" s="28">
        <f>ファイルサーバ・その他!H2</f>
        <v>1000000</v>
      </c>
      <c r="K7" s="41"/>
      <c r="L7" s="28"/>
      <c r="M7" s="38"/>
      <c r="N7" s="3"/>
      <c r="O7" s="24">
        <f>ファイルサーバ・その他!I2</f>
        <v>0.5</v>
      </c>
      <c r="P7" s="3">
        <f>ファイルサーバ・その他!J2</f>
        <v>500000</v>
      </c>
      <c r="Q7" s="24">
        <f>ファイルサーバ・その他!K2</f>
        <v>1</v>
      </c>
      <c r="R7" s="49">
        <f>ファイルサーバ・その他!L2</f>
        <v>1000000</v>
      </c>
      <c r="S7" s="41">
        <f t="shared" si="0"/>
        <v>4.5</v>
      </c>
      <c r="T7" s="28">
        <f t="shared" si="1"/>
        <v>4500000</v>
      </c>
    </row>
    <row r="8" spans="2:20">
      <c r="B8" s="33" t="s">
        <v>26</v>
      </c>
      <c r="C8" s="41">
        <f>ファイルサーバ・その他!C9</f>
        <v>2</v>
      </c>
      <c r="D8" s="28">
        <f>C8*1000000</f>
        <v>2000000</v>
      </c>
      <c r="E8" s="41">
        <f>ファイルサーバ・その他!E9</f>
        <v>1</v>
      </c>
      <c r="F8" s="28">
        <f>E8*1000000</f>
        <v>1000000</v>
      </c>
      <c r="G8" s="44"/>
      <c r="H8" s="45"/>
      <c r="I8" s="44"/>
      <c r="J8" s="45"/>
      <c r="K8" s="44"/>
      <c r="L8" s="45"/>
      <c r="M8" s="43"/>
      <c r="N8" s="2"/>
      <c r="O8" s="2"/>
      <c r="P8" s="2"/>
      <c r="Q8" s="2"/>
      <c r="R8" s="50"/>
      <c r="S8" s="41">
        <f t="shared" si="0"/>
        <v>3</v>
      </c>
      <c r="T8" s="28">
        <f t="shared" si="1"/>
        <v>3000000</v>
      </c>
    </row>
    <row r="9" spans="2:20" ht="18.5" thickBot="1">
      <c r="B9" s="34" t="s">
        <v>33</v>
      </c>
      <c r="C9" s="42">
        <f>SUM(C5:C8)</f>
        <v>8.5</v>
      </c>
      <c r="D9" s="31">
        <f t="shared" ref="D9:R9" si="2">SUM(D5:D8)</f>
        <v>8500000</v>
      </c>
      <c r="E9" s="42">
        <f t="shared" si="2"/>
        <v>4</v>
      </c>
      <c r="F9" s="31">
        <f t="shared" si="2"/>
        <v>4000000</v>
      </c>
      <c r="G9" s="42">
        <f t="shared" si="2"/>
        <v>2</v>
      </c>
      <c r="H9" s="31">
        <f t="shared" si="2"/>
        <v>2000000</v>
      </c>
      <c r="I9" s="42">
        <f t="shared" si="2"/>
        <v>9.5</v>
      </c>
      <c r="J9" s="31">
        <f t="shared" si="2"/>
        <v>9500000</v>
      </c>
      <c r="K9" s="42">
        <f t="shared" si="2"/>
        <v>3.5</v>
      </c>
      <c r="L9" s="31">
        <f t="shared" si="2"/>
        <v>3500000</v>
      </c>
      <c r="M9" s="39">
        <f t="shared" si="2"/>
        <v>26</v>
      </c>
      <c r="N9" s="30">
        <f t="shared" si="2"/>
        <v>26000000</v>
      </c>
      <c r="O9" s="29">
        <f t="shared" si="2"/>
        <v>9</v>
      </c>
      <c r="P9" s="30">
        <f t="shared" si="2"/>
        <v>9000000</v>
      </c>
      <c r="Q9" s="29">
        <f t="shared" si="2"/>
        <v>6</v>
      </c>
      <c r="R9" s="51">
        <f t="shared" si="2"/>
        <v>6000000</v>
      </c>
      <c r="S9" s="42">
        <f t="shared" ref="S9" si="3">SUM(S5:S8)</f>
        <v>68.5</v>
      </c>
      <c r="T9" s="31">
        <f t="shared" ref="T9" si="4">SUM(T5:T8)</f>
        <v>68500000</v>
      </c>
    </row>
    <row r="10" spans="2:20" ht="18.5" thickBot="1"/>
    <row r="11" spans="2:20">
      <c r="B11" s="8" t="s">
        <v>35</v>
      </c>
      <c r="C11" s="10">
        <f>ROUNDUP(C9*0.15,2)</f>
        <v>1.28</v>
      </c>
      <c r="D11" s="11">
        <f>C11*1400000</f>
        <v>1792000</v>
      </c>
      <c r="E11" s="10">
        <f>ROUNDUP(E9*0.15,2)</f>
        <v>0.6</v>
      </c>
      <c r="F11" s="12">
        <f>E11*1400000</f>
        <v>840000</v>
      </c>
      <c r="G11" s="10">
        <f>ROUNDUP(G9*0.15,2)</f>
        <v>0.3</v>
      </c>
      <c r="H11" s="11">
        <f>G11*1400000</f>
        <v>420000</v>
      </c>
      <c r="I11" s="10">
        <f>ROUNDUP(I9*0.15,2)</f>
        <v>1.43</v>
      </c>
      <c r="J11" s="12">
        <f>I11*1400000</f>
        <v>2002000</v>
      </c>
      <c r="K11" s="10">
        <f>ROUNDUP(K9*0.15,2)</f>
        <v>0.53</v>
      </c>
      <c r="L11" s="11">
        <f>K11*1400000</f>
        <v>742000</v>
      </c>
      <c r="M11" s="10">
        <f>ROUNDUP(M9*0.15,2)</f>
        <v>3.9</v>
      </c>
      <c r="N11" s="12">
        <f>M11*1400000</f>
        <v>5460000</v>
      </c>
      <c r="O11" s="10">
        <f>ROUNDUP(O9*0.15,2)</f>
        <v>1.35</v>
      </c>
      <c r="P11" s="11">
        <f>O11*1400000</f>
        <v>1890000.0000000002</v>
      </c>
      <c r="Q11" s="10">
        <f>ROUNDUP(Q9*0.15,2)</f>
        <v>0.9</v>
      </c>
      <c r="R11" s="12">
        <f>Q11*1400000</f>
        <v>1260000</v>
      </c>
      <c r="S11" s="5">
        <f>ROUNDUP(S9*0.15,1)</f>
        <v>10.299999999999999</v>
      </c>
      <c r="T11" s="1">
        <f>S11*1400000</f>
        <v>14419999.999999998</v>
      </c>
    </row>
    <row r="12" spans="2:20" ht="18.5" thickBot="1">
      <c r="B12" s="9"/>
      <c r="C12" s="13"/>
      <c r="D12" s="13"/>
      <c r="E12" s="16">
        <f>C11+E11</f>
        <v>1.88</v>
      </c>
      <c r="F12" s="17">
        <f>D11+F11</f>
        <v>2632000</v>
      </c>
      <c r="M12" s="16">
        <f>G11+I11+K11+M11</f>
        <v>6.16</v>
      </c>
      <c r="N12" s="17">
        <f>H11+J11+L11+N11</f>
        <v>8624000</v>
      </c>
    </row>
    <row r="13" spans="2:20">
      <c r="B13" s="8" t="s">
        <v>36</v>
      </c>
      <c r="C13" s="10">
        <f t="shared" ref="C13:T13" si="5">C9+C11</f>
        <v>9.7799999999999994</v>
      </c>
      <c r="D13" s="11">
        <f t="shared" si="5"/>
        <v>10292000</v>
      </c>
      <c r="E13" s="10">
        <f t="shared" si="5"/>
        <v>4.5999999999999996</v>
      </c>
      <c r="F13" s="12">
        <f t="shared" si="5"/>
        <v>4840000</v>
      </c>
      <c r="G13" s="10">
        <f t="shared" si="5"/>
        <v>2.2999999999999998</v>
      </c>
      <c r="H13" s="11">
        <f t="shared" si="5"/>
        <v>2420000</v>
      </c>
      <c r="I13" s="10">
        <f t="shared" si="5"/>
        <v>10.93</v>
      </c>
      <c r="J13" s="12">
        <f t="shared" si="5"/>
        <v>11502000</v>
      </c>
      <c r="K13" s="10">
        <f t="shared" si="5"/>
        <v>4.03</v>
      </c>
      <c r="L13" s="11">
        <f t="shared" si="5"/>
        <v>4242000</v>
      </c>
      <c r="M13" s="10">
        <f t="shared" si="5"/>
        <v>29.9</v>
      </c>
      <c r="N13" s="12">
        <f t="shared" si="5"/>
        <v>31460000</v>
      </c>
      <c r="O13" s="10">
        <f t="shared" si="5"/>
        <v>10.35</v>
      </c>
      <c r="P13" s="11">
        <f t="shared" si="5"/>
        <v>10890000</v>
      </c>
      <c r="Q13" s="10">
        <f t="shared" si="5"/>
        <v>6.9</v>
      </c>
      <c r="R13" s="12">
        <f t="shared" si="5"/>
        <v>7260000</v>
      </c>
      <c r="S13" s="5">
        <f t="shared" si="5"/>
        <v>78.8</v>
      </c>
      <c r="T13" s="1">
        <f t="shared" si="5"/>
        <v>82920000</v>
      </c>
    </row>
    <row r="14" spans="2:20" ht="18.5" thickBot="1">
      <c r="B14" s="9"/>
      <c r="C14" s="13"/>
      <c r="D14" s="13"/>
      <c r="E14" s="14">
        <f>C13+E13</f>
        <v>14.379999999999999</v>
      </c>
      <c r="F14" s="15">
        <f>D13+F13</f>
        <v>15132000</v>
      </c>
      <c r="M14" s="14">
        <f>G13+I13+K13+M13</f>
        <v>47.16</v>
      </c>
      <c r="N14" s="15">
        <f>H13+J13+L13+N13</f>
        <v>49624000</v>
      </c>
      <c r="O14" s="14">
        <f>O13</f>
        <v>10.35</v>
      </c>
      <c r="P14" s="15">
        <f>P13</f>
        <v>10890000</v>
      </c>
      <c r="Q14" s="14">
        <f>Q13</f>
        <v>6.9</v>
      </c>
      <c r="R14" s="15">
        <f>R13</f>
        <v>7260000</v>
      </c>
      <c r="S14" s="5">
        <f>SUM(E14,M14,O14,Q14)</f>
        <v>78.789999999999992</v>
      </c>
      <c r="T14" s="1">
        <f>SUM(F14,N14,P14,R14)</f>
        <v>82906000</v>
      </c>
    </row>
  </sheetData>
  <mergeCells count="4">
    <mergeCell ref="C2:F2"/>
    <mergeCell ref="G2:N2"/>
    <mergeCell ref="O2:P2"/>
    <mergeCell ref="Q2:R2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737BF-B840-4DEE-A794-5A52AAC5CE77}">
  <dimension ref="B1:U17"/>
  <sheetViews>
    <sheetView workbookViewId="0">
      <selection activeCell="P4" sqref="P4:Q4"/>
    </sheetView>
  </sheetViews>
  <sheetFormatPr defaultRowHeight="18"/>
  <cols>
    <col min="2" max="2" width="14.33203125" bestFit="1" customWidth="1"/>
    <col min="3" max="3" width="10.75" bestFit="1" customWidth="1"/>
    <col min="4" max="4" width="11.5" bestFit="1" customWidth="1"/>
    <col min="6" max="6" width="11.5" bestFit="1" customWidth="1"/>
    <col min="8" max="8" width="11.5" bestFit="1" customWidth="1"/>
    <col min="9" max="9" width="10.4140625" bestFit="1" customWidth="1"/>
    <col min="10" max="10" width="10.4140625" customWidth="1"/>
    <col min="12" max="12" width="11.5" bestFit="1" customWidth="1"/>
    <col min="13" max="13" width="9.4140625" bestFit="1" customWidth="1"/>
    <col min="14" max="14" width="11.58203125" bestFit="1" customWidth="1"/>
    <col min="16" max="16" width="11.58203125" bestFit="1" customWidth="1"/>
    <col min="18" max="18" width="11.58203125" bestFit="1" customWidth="1"/>
    <col min="20" max="20" width="11.58203125" bestFit="1" customWidth="1"/>
  </cols>
  <sheetData>
    <row r="1" spans="2:21" ht="18.5" thickBot="1"/>
    <row r="2" spans="2:21" ht="18.5" thickBot="1">
      <c r="C2" s="137" t="s">
        <v>37</v>
      </c>
      <c r="D2" s="138"/>
      <c r="E2" s="138"/>
      <c r="F2" s="138"/>
      <c r="G2" s="137" t="s">
        <v>38</v>
      </c>
      <c r="H2" s="138"/>
      <c r="I2" s="138"/>
      <c r="J2" s="138"/>
      <c r="K2" s="138"/>
      <c r="L2" s="138"/>
      <c r="M2" s="138"/>
      <c r="N2" s="139"/>
      <c r="O2" s="137" t="s">
        <v>39</v>
      </c>
      <c r="P2" s="139"/>
      <c r="Q2" s="137" t="s">
        <v>40</v>
      </c>
      <c r="R2" s="139"/>
    </row>
    <row r="3" spans="2:21">
      <c r="C3" s="66" t="s">
        <v>8</v>
      </c>
      <c r="D3" s="20"/>
      <c r="E3" s="66" t="s">
        <v>27</v>
      </c>
      <c r="F3" s="46"/>
      <c r="G3" s="66" t="s">
        <v>28</v>
      </c>
      <c r="H3" s="20"/>
      <c r="I3" s="66" t="s">
        <v>29</v>
      </c>
      <c r="J3" s="20"/>
      <c r="K3" s="66" t="s">
        <v>30</v>
      </c>
      <c r="L3" s="20"/>
      <c r="M3" s="67" t="s">
        <v>31</v>
      </c>
      <c r="N3" s="20"/>
      <c r="O3" s="66" t="s">
        <v>32</v>
      </c>
      <c r="P3" s="19"/>
      <c r="Q3" s="68" t="s">
        <v>34</v>
      </c>
      <c r="R3" s="20"/>
      <c r="S3" s="69" t="s">
        <v>16</v>
      </c>
      <c r="T3" s="53"/>
    </row>
    <row r="4" spans="2:21" ht="18.5" thickBot="1">
      <c r="C4" s="21" t="s">
        <v>11</v>
      </c>
      <c r="D4" s="23" t="s">
        <v>12</v>
      </c>
      <c r="E4" s="21" t="s">
        <v>11</v>
      </c>
      <c r="F4" s="47" t="s">
        <v>12</v>
      </c>
      <c r="G4" s="21" t="s">
        <v>11</v>
      </c>
      <c r="H4" s="23" t="s">
        <v>12</v>
      </c>
      <c r="I4" s="21" t="s">
        <v>11</v>
      </c>
      <c r="J4" s="23" t="s">
        <v>12</v>
      </c>
      <c r="K4" s="21" t="s">
        <v>11</v>
      </c>
      <c r="L4" s="23" t="s">
        <v>12</v>
      </c>
      <c r="M4" s="36" t="s">
        <v>11</v>
      </c>
      <c r="N4" s="23" t="s">
        <v>12</v>
      </c>
      <c r="O4" s="21" t="s">
        <v>11</v>
      </c>
      <c r="P4" s="22" t="s">
        <v>12</v>
      </c>
      <c r="Q4" s="22" t="s">
        <v>11</v>
      </c>
      <c r="R4" s="23" t="s">
        <v>12</v>
      </c>
      <c r="S4" s="63" t="s">
        <v>11</v>
      </c>
      <c r="T4" s="55" t="s">
        <v>12</v>
      </c>
    </row>
    <row r="5" spans="2:21">
      <c r="B5" s="32" t="s">
        <v>23</v>
      </c>
      <c r="C5" s="40">
        <v>2</v>
      </c>
      <c r="D5" s="27">
        <f>C5*1000000</f>
        <v>2000000</v>
      </c>
      <c r="E5" s="40">
        <v>2</v>
      </c>
      <c r="F5" s="48">
        <f>E5*1000000</f>
        <v>2000000</v>
      </c>
      <c r="G5" s="40">
        <v>2</v>
      </c>
      <c r="H5" s="27">
        <f>G5*1000000</f>
        <v>2000000</v>
      </c>
      <c r="I5" s="40">
        <v>3.5</v>
      </c>
      <c r="J5" s="27">
        <f>I5*1000000</f>
        <v>3500000</v>
      </c>
      <c r="K5" s="40">
        <v>3.5</v>
      </c>
      <c r="L5" s="27">
        <f>K5*1000000</f>
        <v>3500000</v>
      </c>
      <c r="M5" s="37">
        <v>10</v>
      </c>
      <c r="N5" s="27">
        <f>M5*1000000</f>
        <v>10000000</v>
      </c>
      <c r="O5" s="40">
        <v>5.5</v>
      </c>
      <c r="P5" s="26">
        <f>O5*1000000</f>
        <v>5500000</v>
      </c>
      <c r="Q5" s="25">
        <v>2.5</v>
      </c>
      <c r="R5" s="27">
        <f>Q5*1000000</f>
        <v>2500000</v>
      </c>
      <c r="S5" s="37">
        <f>SUM(C5,E5,G5,I5,K5,M5,O5,Q5)</f>
        <v>31</v>
      </c>
      <c r="T5" s="27">
        <f>SUM(D5,F5,H5,J5,L5,N5,P5,R5)</f>
        <v>31000000</v>
      </c>
    </row>
    <row r="6" spans="2:21">
      <c r="B6" s="33" t="s">
        <v>24</v>
      </c>
      <c r="C6" s="41">
        <f>Excel!G12</f>
        <v>3.5</v>
      </c>
      <c r="D6" s="28">
        <f>Excel!G13</f>
        <v>3500000</v>
      </c>
      <c r="E6" s="41"/>
      <c r="F6" s="49"/>
      <c r="G6" s="41"/>
      <c r="H6" s="28"/>
      <c r="I6" s="41">
        <f>Excel!J12</f>
        <v>5</v>
      </c>
      <c r="J6" s="28">
        <f>Excel!J13</f>
        <v>5000000</v>
      </c>
      <c r="K6" s="41"/>
      <c r="L6" s="28"/>
      <c r="M6" s="38">
        <f>Excel!M12</f>
        <v>16</v>
      </c>
      <c r="N6" s="28">
        <f>Excel!M13</f>
        <v>16000000</v>
      </c>
      <c r="O6" s="41">
        <f>Excel!N12</f>
        <v>3</v>
      </c>
      <c r="P6" s="3">
        <f>Excel!N13</f>
        <v>3000000</v>
      </c>
      <c r="Q6" s="24">
        <f>Excel!O12</f>
        <v>2.5</v>
      </c>
      <c r="R6" s="28">
        <f>Excel!O13</f>
        <v>2500000</v>
      </c>
      <c r="S6" s="38">
        <f t="shared" ref="S6:T8" si="0">SUM(C6,E6,G6,I6,K6,M6,O6,Q6)</f>
        <v>30</v>
      </c>
      <c r="T6" s="28">
        <f t="shared" si="0"/>
        <v>30000000</v>
      </c>
      <c r="U6">
        <f>T6/1642</f>
        <v>18270.401948842875</v>
      </c>
    </row>
    <row r="7" spans="2:21">
      <c r="B7" s="33" t="s">
        <v>25</v>
      </c>
      <c r="C7" s="41">
        <f>ファイルサーバ・その他!C2</f>
        <v>1</v>
      </c>
      <c r="D7" s="28">
        <f>ファイルサーバ・その他!D2</f>
        <v>1000000</v>
      </c>
      <c r="E7" s="41">
        <f>ファイルサーバ・その他!E2</f>
        <v>1</v>
      </c>
      <c r="F7" s="49">
        <f>ファイルサーバ・その他!F2</f>
        <v>1000000</v>
      </c>
      <c r="G7" s="41"/>
      <c r="H7" s="28"/>
      <c r="I7" s="41">
        <f>ファイルサーバ・その他!G2</f>
        <v>1</v>
      </c>
      <c r="J7" s="28">
        <f>ファイルサーバ・その他!H2</f>
        <v>1000000</v>
      </c>
      <c r="K7" s="41"/>
      <c r="L7" s="28"/>
      <c r="M7" s="38"/>
      <c r="N7" s="28"/>
      <c r="O7" s="41">
        <f>ファイルサーバ・その他!I2</f>
        <v>0.5</v>
      </c>
      <c r="P7" s="3">
        <f>ファイルサーバ・その他!J2</f>
        <v>500000</v>
      </c>
      <c r="Q7" s="24">
        <f>ファイルサーバ・その他!K2</f>
        <v>1</v>
      </c>
      <c r="R7" s="28">
        <f>ファイルサーバ・その他!L2</f>
        <v>1000000</v>
      </c>
      <c r="S7" s="38">
        <f t="shared" si="0"/>
        <v>4.5</v>
      </c>
      <c r="T7" s="28">
        <f t="shared" si="0"/>
        <v>4500000</v>
      </c>
    </row>
    <row r="8" spans="2:21">
      <c r="B8" s="33" t="s">
        <v>26</v>
      </c>
      <c r="C8" s="41">
        <f>ファイルサーバ・その他!C9</f>
        <v>2</v>
      </c>
      <c r="D8" s="28">
        <f>C8*1000000</f>
        <v>2000000</v>
      </c>
      <c r="E8" s="41">
        <f>ファイルサーバ・その他!E9</f>
        <v>1</v>
      </c>
      <c r="F8" s="49">
        <f>E8*1000000</f>
        <v>1000000</v>
      </c>
      <c r="G8" s="44"/>
      <c r="H8" s="45"/>
      <c r="I8" s="44"/>
      <c r="J8" s="45"/>
      <c r="K8" s="44"/>
      <c r="L8" s="45"/>
      <c r="M8" s="43"/>
      <c r="N8" s="45"/>
      <c r="O8" s="44"/>
      <c r="P8" s="2"/>
      <c r="Q8" s="2"/>
      <c r="R8" s="45"/>
      <c r="S8" s="38">
        <f t="shared" si="0"/>
        <v>3</v>
      </c>
      <c r="T8" s="28">
        <f t="shared" si="0"/>
        <v>3000000</v>
      </c>
    </row>
    <row r="9" spans="2:21" ht="18.5" thickBot="1">
      <c r="B9" s="34" t="s">
        <v>33</v>
      </c>
      <c r="C9" s="42">
        <f>SUM(C5:C8)</f>
        <v>8.5</v>
      </c>
      <c r="D9" s="31">
        <f t="shared" ref="D9:T9" si="1">SUM(D5:D8)</f>
        <v>8500000</v>
      </c>
      <c r="E9" s="42">
        <f t="shared" si="1"/>
        <v>4</v>
      </c>
      <c r="F9" s="51">
        <f t="shared" si="1"/>
        <v>4000000</v>
      </c>
      <c r="G9" s="42">
        <f t="shared" si="1"/>
        <v>2</v>
      </c>
      <c r="H9" s="31">
        <f t="shared" si="1"/>
        <v>2000000</v>
      </c>
      <c r="I9" s="42">
        <f t="shared" si="1"/>
        <v>9.5</v>
      </c>
      <c r="J9" s="31">
        <f t="shared" si="1"/>
        <v>9500000</v>
      </c>
      <c r="K9" s="42">
        <f t="shared" si="1"/>
        <v>3.5</v>
      </c>
      <c r="L9" s="31">
        <f t="shared" si="1"/>
        <v>3500000</v>
      </c>
      <c r="M9" s="39">
        <f t="shared" si="1"/>
        <v>26</v>
      </c>
      <c r="N9" s="31">
        <f t="shared" si="1"/>
        <v>26000000</v>
      </c>
      <c r="O9" s="42">
        <f t="shared" si="1"/>
        <v>9</v>
      </c>
      <c r="P9" s="30">
        <f t="shared" si="1"/>
        <v>9000000</v>
      </c>
      <c r="Q9" s="29">
        <f t="shared" si="1"/>
        <v>6</v>
      </c>
      <c r="R9" s="31">
        <f t="shared" si="1"/>
        <v>6000000</v>
      </c>
      <c r="S9" s="39">
        <f t="shared" si="1"/>
        <v>68.5</v>
      </c>
      <c r="T9" s="31">
        <f t="shared" si="1"/>
        <v>68500000</v>
      </c>
    </row>
    <row r="10" spans="2:21" ht="18.5" thickBot="1">
      <c r="G10" s="60"/>
      <c r="N10" s="61"/>
      <c r="O10" s="60"/>
      <c r="R10" s="61"/>
    </row>
    <row r="11" spans="2:21">
      <c r="B11" s="8" t="s">
        <v>35</v>
      </c>
      <c r="C11" s="56">
        <f>ROUNDUP(C9*0.15,1)</f>
        <v>1.3</v>
      </c>
      <c r="D11" s="11">
        <f>C11*1400000</f>
        <v>1820000</v>
      </c>
      <c r="E11" s="10">
        <f>ROUNDUP(E9*0.15,2)</f>
        <v>0.6</v>
      </c>
      <c r="F11" s="57">
        <f>E11*1400000</f>
        <v>840000</v>
      </c>
      <c r="G11" s="62">
        <f>ROUNDUP(G9*0.15,2)</f>
        <v>0.3</v>
      </c>
      <c r="H11" s="11">
        <f>G11*1400000</f>
        <v>420000</v>
      </c>
      <c r="I11" s="56">
        <v>1.5</v>
      </c>
      <c r="J11" s="12">
        <f>I11*1400000</f>
        <v>2100000</v>
      </c>
      <c r="K11" s="56">
        <f>ROUNDUP(K9*0.15,1)</f>
        <v>0.6</v>
      </c>
      <c r="L11" s="11">
        <f>K11*1400000</f>
        <v>840000</v>
      </c>
      <c r="M11" s="56">
        <f>ROUNDUP(M9*0.15,1)</f>
        <v>3.9</v>
      </c>
      <c r="N11" s="12">
        <f>M11*1400000</f>
        <v>5460000</v>
      </c>
      <c r="O11" s="62">
        <f>ROUNDUP(O9*0.15,1)</f>
        <v>1.4000000000000001</v>
      </c>
      <c r="P11" s="11">
        <f>O11*1400000</f>
        <v>1960000.0000000002</v>
      </c>
      <c r="Q11" s="56">
        <f>ROUNDUP(Q9*0.15,1)</f>
        <v>0.9</v>
      </c>
      <c r="R11" s="12">
        <f>Q11*1400000</f>
        <v>1260000</v>
      </c>
      <c r="S11" s="5">
        <f>ROUNDUP(S9*0.15,1)</f>
        <v>10.299999999999999</v>
      </c>
      <c r="T11" s="1">
        <f>S11*1400000</f>
        <v>14419999.999999998</v>
      </c>
    </row>
    <row r="12" spans="2:21" ht="18.5" thickBot="1">
      <c r="B12" s="9"/>
      <c r="C12" s="13"/>
      <c r="D12" s="13"/>
      <c r="E12" s="16">
        <f>C11+E11</f>
        <v>1.9</v>
      </c>
      <c r="F12" s="58">
        <f>D11+F11</f>
        <v>2660000</v>
      </c>
      <c r="G12" s="60"/>
      <c r="K12" s="16"/>
      <c r="L12" s="17"/>
      <c r="M12" s="16">
        <f>G11+I11+K11+M11</f>
        <v>6.3</v>
      </c>
      <c r="N12" s="17">
        <f>H11+J11+L11+N11</f>
        <v>8820000</v>
      </c>
      <c r="O12" s="60"/>
      <c r="Q12" s="16">
        <f>O11+Q11</f>
        <v>2.3000000000000003</v>
      </c>
      <c r="R12" s="58">
        <f>P11+R11</f>
        <v>3220000</v>
      </c>
    </row>
    <row r="13" spans="2:21">
      <c r="B13" s="8" t="s">
        <v>36</v>
      </c>
      <c r="C13" s="10">
        <f t="shared" ref="C13:T13" si="2">C9+C11</f>
        <v>9.8000000000000007</v>
      </c>
      <c r="D13" s="11">
        <f t="shared" si="2"/>
        <v>10320000</v>
      </c>
      <c r="E13" s="10">
        <f t="shared" si="2"/>
        <v>4.5999999999999996</v>
      </c>
      <c r="F13" s="57">
        <f t="shared" si="2"/>
        <v>4840000</v>
      </c>
      <c r="G13" s="62">
        <f t="shared" si="2"/>
        <v>2.2999999999999998</v>
      </c>
      <c r="H13" s="11">
        <f t="shared" si="2"/>
        <v>2420000</v>
      </c>
      <c r="I13" s="10">
        <f t="shared" si="2"/>
        <v>11</v>
      </c>
      <c r="J13" s="12">
        <f t="shared" si="2"/>
        <v>11600000</v>
      </c>
      <c r="K13" s="10">
        <f t="shared" si="2"/>
        <v>4.0999999999999996</v>
      </c>
      <c r="L13" s="11">
        <f t="shared" si="2"/>
        <v>4340000</v>
      </c>
      <c r="M13" s="10">
        <f t="shared" si="2"/>
        <v>29.9</v>
      </c>
      <c r="N13" s="12">
        <f t="shared" si="2"/>
        <v>31460000</v>
      </c>
      <c r="O13" s="62">
        <f t="shared" si="2"/>
        <v>10.4</v>
      </c>
      <c r="P13" s="11">
        <f t="shared" si="2"/>
        <v>10960000</v>
      </c>
      <c r="Q13" s="10">
        <f t="shared" si="2"/>
        <v>6.9</v>
      </c>
      <c r="R13" s="12">
        <f t="shared" si="2"/>
        <v>7260000</v>
      </c>
      <c r="S13" s="5">
        <f t="shared" si="2"/>
        <v>78.8</v>
      </c>
      <c r="T13" s="1">
        <f t="shared" si="2"/>
        <v>82920000</v>
      </c>
    </row>
    <row r="14" spans="2:21" ht="18.5" thickBot="1">
      <c r="B14" s="9"/>
      <c r="C14" s="13"/>
      <c r="D14" s="13"/>
      <c r="E14" s="14">
        <f>C13+E13</f>
        <v>14.4</v>
      </c>
      <c r="F14" s="59">
        <f>D13+F13</f>
        <v>15160000</v>
      </c>
      <c r="G14" s="6"/>
      <c r="H14" s="7"/>
      <c r="I14" s="7"/>
      <c r="J14" s="7"/>
      <c r="K14" s="7"/>
      <c r="L14" s="7"/>
      <c r="M14" s="14">
        <f>G13+I13+K13+M13</f>
        <v>47.3</v>
      </c>
      <c r="N14" s="15">
        <f>H13+J13+L13+N13</f>
        <v>49820000</v>
      </c>
      <c r="O14" s="7"/>
      <c r="P14" s="7"/>
      <c r="Q14" s="14">
        <f>O13+Q13</f>
        <v>17.3</v>
      </c>
      <c r="R14" s="59">
        <f>P13+R13</f>
        <v>18220000</v>
      </c>
      <c r="S14" s="64">
        <f>SUM(E14,M14,Q14)</f>
        <v>79</v>
      </c>
      <c r="T14" s="65">
        <f>SUM(F14,L14,N14,R14)</f>
        <v>83200000</v>
      </c>
    </row>
    <row r="16" spans="2:21">
      <c r="C16" s="1">
        <f>D5+J5+N5</f>
        <v>15500000</v>
      </c>
      <c r="D16">
        <f>C16/121</f>
        <v>128099.17355371901</v>
      </c>
    </row>
    <row r="17" spans="3:4">
      <c r="C17" s="1">
        <f>D6+J6+N6</f>
        <v>24500000</v>
      </c>
      <c r="D17">
        <f>C17/1642</f>
        <v>14920.828258221682</v>
      </c>
    </row>
  </sheetData>
  <mergeCells count="4">
    <mergeCell ref="C2:F2"/>
    <mergeCell ref="G2:N2"/>
    <mergeCell ref="O2:P2"/>
    <mergeCell ref="Q2:R2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AB25-EF95-422E-9294-48885D50FCF2}">
  <sheetPr>
    <tabColor rgb="FFFFFF00"/>
  </sheetPr>
  <dimension ref="B1:U17"/>
  <sheetViews>
    <sheetView topLeftCell="G1" workbookViewId="0">
      <selection activeCell="P4" sqref="P4:Q4"/>
    </sheetView>
  </sheetViews>
  <sheetFormatPr defaultRowHeight="18"/>
  <cols>
    <col min="2" max="2" width="14.33203125" bestFit="1" customWidth="1"/>
    <col min="3" max="3" width="10.75" bestFit="1" customWidth="1"/>
    <col min="4" max="4" width="11.5" bestFit="1" customWidth="1"/>
    <col min="6" max="6" width="11.5" bestFit="1" customWidth="1"/>
    <col min="8" max="8" width="11.5" bestFit="1" customWidth="1"/>
    <col min="9" max="9" width="10.4140625" bestFit="1" customWidth="1"/>
    <col min="10" max="10" width="10.4140625" customWidth="1"/>
    <col min="12" max="12" width="11.5" bestFit="1" customWidth="1"/>
    <col min="13" max="13" width="9.4140625" bestFit="1" customWidth="1"/>
    <col min="14" max="14" width="11.58203125" bestFit="1" customWidth="1"/>
    <col min="16" max="16" width="11.58203125" bestFit="1" customWidth="1"/>
    <col min="18" max="18" width="11.58203125" bestFit="1" customWidth="1"/>
    <col min="20" max="20" width="11.58203125" bestFit="1" customWidth="1"/>
  </cols>
  <sheetData>
    <row r="1" spans="2:21" ht="18.5" thickBot="1"/>
    <row r="2" spans="2:21" ht="18.5" thickBot="1">
      <c r="C2" s="137" t="s">
        <v>53</v>
      </c>
      <c r="D2" s="138"/>
      <c r="E2" s="138"/>
      <c r="F2" s="138"/>
      <c r="G2" s="137" t="s">
        <v>38</v>
      </c>
      <c r="H2" s="138"/>
      <c r="I2" s="138"/>
      <c r="J2" s="138"/>
      <c r="K2" s="138"/>
      <c r="L2" s="138"/>
      <c r="M2" s="138"/>
      <c r="N2" s="139"/>
      <c r="O2" s="137" t="s">
        <v>39</v>
      </c>
      <c r="P2" s="139"/>
      <c r="Q2" s="137" t="s">
        <v>40</v>
      </c>
      <c r="R2" s="139"/>
    </row>
    <row r="3" spans="2:21">
      <c r="C3" s="66" t="s">
        <v>8</v>
      </c>
      <c r="D3" s="20"/>
      <c r="E3" s="66" t="s">
        <v>27</v>
      </c>
      <c r="F3" s="46"/>
      <c r="G3" s="66" t="s">
        <v>28</v>
      </c>
      <c r="H3" s="20"/>
      <c r="I3" s="66" t="s">
        <v>29</v>
      </c>
      <c r="J3" s="20"/>
      <c r="K3" s="66" t="s">
        <v>30</v>
      </c>
      <c r="L3" s="20"/>
      <c r="M3" s="67" t="s">
        <v>31</v>
      </c>
      <c r="N3" s="20"/>
      <c r="O3" s="66" t="s">
        <v>32</v>
      </c>
      <c r="P3" s="19"/>
      <c r="Q3" s="68" t="s">
        <v>34</v>
      </c>
      <c r="R3" s="20"/>
      <c r="S3" s="69" t="s">
        <v>16</v>
      </c>
      <c r="T3" s="53"/>
    </row>
    <row r="4" spans="2:21" ht="18.5" thickBot="1">
      <c r="C4" s="21" t="s">
        <v>11</v>
      </c>
      <c r="D4" s="23" t="s">
        <v>12</v>
      </c>
      <c r="E4" s="21" t="s">
        <v>11</v>
      </c>
      <c r="F4" s="47" t="s">
        <v>12</v>
      </c>
      <c r="G4" s="21" t="s">
        <v>11</v>
      </c>
      <c r="H4" s="23" t="s">
        <v>12</v>
      </c>
      <c r="I4" s="21" t="s">
        <v>11</v>
      </c>
      <c r="J4" s="23" t="s">
        <v>12</v>
      </c>
      <c r="K4" s="21" t="s">
        <v>11</v>
      </c>
      <c r="L4" s="23" t="s">
        <v>12</v>
      </c>
      <c r="M4" s="36" t="s">
        <v>11</v>
      </c>
      <c r="N4" s="23" t="s">
        <v>12</v>
      </c>
      <c r="O4" s="21" t="s">
        <v>11</v>
      </c>
      <c r="P4" s="22" t="s">
        <v>12</v>
      </c>
      <c r="Q4" s="22" t="s">
        <v>11</v>
      </c>
      <c r="R4" s="23" t="s">
        <v>12</v>
      </c>
      <c r="S4" s="63" t="s">
        <v>11</v>
      </c>
      <c r="T4" s="55" t="s">
        <v>12</v>
      </c>
    </row>
    <row r="5" spans="2:21">
      <c r="B5" s="32" t="s">
        <v>23</v>
      </c>
      <c r="C5" s="40">
        <v>2</v>
      </c>
      <c r="D5" s="27">
        <f>C5*1000000</f>
        <v>2000000</v>
      </c>
      <c r="E5" s="40">
        <v>2</v>
      </c>
      <c r="F5" s="48">
        <f>E5*1000000</f>
        <v>2000000</v>
      </c>
      <c r="G5" s="40">
        <v>2</v>
      </c>
      <c r="H5" s="27">
        <f>G5*1000000</f>
        <v>2000000</v>
      </c>
      <c r="I5" s="40">
        <v>3.5</v>
      </c>
      <c r="J5" s="27">
        <f>I5*1000000</f>
        <v>3500000</v>
      </c>
      <c r="K5" s="40">
        <v>3.5</v>
      </c>
      <c r="L5" s="27">
        <f>K5*1000000</f>
        <v>3500000</v>
      </c>
      <c r="M5" s="37">
        <v>10</v>
      </c>
      <c r="N5" s="27">
        <f>M5*1000000</f>
        <v>10000000</v>
      </c>
      <c r="O5" s="40">
        <v>5.5</v>
      </c>
      <c r="P5" s="26">
        <f>O5*1000000</f>
        <v>5500000</v>
      </c>
      <c r="Q5" s="25">
        <v>2.5</v>
      </c>
      <c r="R5" s="27">
        <f>Q5*1000000</f>
        <v>2500000</v>
      </c>
      <c r="S5" s="37">
        <f>SUM(C5,E5,G5,I5,K5,M5,O5,Q5)</f>
        <v>31</v>
      </c>
      <c r="T5" s="27">
        <f>SUM(D5,F5,H5,J5,L5,N5,P5,R5)</f>
        <v>31000000</v>
      </c>
    </row>
    <row r="6" spans="2:21">
      <c r="B6" s="33" t="s">
        <v>24</v>
      </c>
      <c r="C6" s="41">
        <f>Excel!G12</f>
        <v>3.5</v>
      </c>
      <c r="D6" s="28">
        <f>Excel!G13</f>
        <v>3500000</v>
      </c>
      <c r="E6" s="41"/>
      <c r="F6" s="49"/>
      <c r="G6" s="41"/>
      <c r="H6" s="28"/>
      <c r="I6" s="81">
        <f>'Excel (修正後)'!L12</f>
        <v>4.1999999999999993</v>
      </c>
      <c r="J6" s="82">
        <f>'Excel (修正後)'!L13</f>
        <v>4199999.9999999991</v>
      </c>
      <c r="K6" s="41"/>
      <c r="L6" s="28"/>
      <c r="M6" s="83">
        <f>'Excel (修正後)'!O12</f>
        <v>10.4</v>
      </c>
      <c r="N6" s="82">
        <f>'Excel (修正後)'!O13</f>
        <v>10400000</v>
      </c>
      <c r="O6" s="41">
        <f>Excel!N12</f>
        <v>3</v>
      </c>
      <c r="P6" s="3">
        <f>Excel!N13</f>
        <v>3000000</v>
      </c>
      <c r="Q6" s="24">
        <f>Excel!O12</f>
        <v>2.5</v>
      </c>
      <c r="R6" s="28">
        <f>Excel!O13</f>
        <v>2500000</v>
      </c>
      <c r="S6" s="38">
        <f t="shared" ref="S6:T8" si="0">SUM(C6,E6,G6,I6,K6,M6,O6,Q6)</f>
        <v>23.6</v>
      </c>
      <c r="T6" s="28">
        <f t="shared" si="0"/>
        <v>23600000</v>
      </c>
      <c r="U6">
        <f>T6/1642</f>
        <v>14372.716199756394</v>
      </c>
    </row>
    <row r="7" spans="2:21">
      <c r="B7" s="33" t="s">
        <v>25</v>
      </c>
      <c r="C7" s="41">
        <f>ファイルサーバ・その他!C2</f>
        <v>1</v>
      </c>
      <c r="D7" s="28">
        <f>ファイルサーバ・その他!D2</f>
        <v>1000000</v>
      </c>
      <c r="E7" s="41">
        <f>ファイルサーバ・その他!E2</f>
        <v>1</v>
      </c>
      <c r="F7" s="49">
        <f>ファイルサーバ・その他!F2</f>
        <v>1000000</v>
      </c>
      <c r="G7" s="41"/>
      <c r="H7" s="28"/>
      <c r="I7" s="41">
        <f>ファイルサーバ・その他!G2</f>
        <v>1</v>
      </c>
      <c r="J7" s="28">
        <f>ファイルサーバ・その他!H2</f>
        <v>1000000</v>
      </c>
      <c r="K7" s="41"/>
      <c r="L7" s="28"/>
      <c r="M7" s="38"/>
      <c r="N7" s="28"/>
      <c r="O7" s="41">
        <f>ファイルサーバ・その他!I2</f>
        <v>0.5</v>
      </c>
      <c r="P7" s="3">
        <f>ファイルサーバ・その他!J2</f>
        <v>500000</v>
      </c>
      <c r="Q7" s="24">
        <f>ファイルサーバ・その他!K2</f>
        <v>1</v>
      </c>
      <c r="R7" s="28">
        <f>ファイルサーバ・その他!L2</f>
        <v>1000000</v>
      </c>
      <c r="S7" s="38">
        <f t="shared" si="0"/>
        <v>4.5</v>
      </c>
      <c r="T7" s="28">
        <f t="shared" si="0"/>
        <v>4500000</v>
      </c>
    </row>
    <row r="8" spans="2:21">
      <c r="B8" s="33" t="s">
        <v>26</v>
      </c>
      <c r="C8" s="41">
        <f>ファイルサーバ・その他!C9</f>
        <v>2</v>
      </c>
      <c r="D8" s="28">
        <f>C8*1000000</f>
        <v>2000000</v>
      </c>
      <c r="E8" s="41">
        <f>ファイルサーバ・その他!E9</f>
        <v>1</v>
      </c>
      <c r="F8" s="49">
        <f>E8*1000000</f>
        <v>1000000</v>
      </c>
      <c r="G8" s="44"/>
      <c r="H8" s="45"/>
      <c r="I8" s="44"/>
      <c r="J8" s="45"/>
      <c r="K8" s="44"/>
      <c r="L8" s="45"/>
      <c r="M8" s="43"/>
      <c r="N8" s="45"/>
      <c r="O8" s="44"/>
      <c r="P8" s="2"/>
      <c r="Q8" s="2"/>
      <c r="R8" s="45"/>
      <c r="S8" s="38">
        <f t="shared" si="0"/>
        <v>3</v>
      </c>
      <c r="T8" s="28">
        <f t="shared" si="0"/>
        <v>3000000</v>
      </c>
    </row>
    <row r="9" spans="2:21" ht="18.5" thickBot="1">
      <c r="B9" s="34" t="s">
        <v>33</v>
      </c>
      <c r="C9" s="42">
        <f>SUM(C5:C8)</f>
        <v>8.5</v>
      </c>
      <c r="D9" s="31">
        <f t="shared" ref="D9:T9" si="1">SUM(D5:D8)</f>
        <v>8500000</v>
      </c>
      <c r="E9" s="42">
        <f t="shared" si="1"/>
        <v>4</v>
      </c>
      <c r="F9" s="51">
        <f t="shared" si="1"/>
        <v>4000000</v>
      </c>
      <c r="G9" s="42">
        <f t="shared" si="1"/>
        <v>2</v>
      </c>
      <c r="H9" s="31">
        <f t="shared" si="1"/>
        <v>2000000</v>
      </c>
      <c r="I9" s="42">
        <f t="shared" si="1"/>
        <v>8.6999999999999993</v>
      </c>
      <c r="J9" s="31">
        <f t="shared" si="1"/>
        <v>8700000</v>
      </c>
      <c r="K9" s="42">
        <f t="shared" si="1"/>
        <v>3.5</v>
      </c>
      <c r="L9" s="31">
        <f t="shared" si="1"/>
        <v>3500000</v>
      </c>
      <c r="M9" s="39">
        <f t="shared" si="1"/>
        <v>20.399999999999999</v>
      </c>
      <c r="N9" s="31">
        <f t="shared" si="1"/>
        <v>20400000</v>
      </c>
      <c r="O9" s="42">
        <f t="shared" si="1"/>
        <v>9</v>
      </c>
      <c r="P9" s="30">
        <f t="shared" si="1"/>
        <v>9000000</v>
      </c>
      <c r="Q9" s="29">
        <f t="shared" si="1"/>
        <v>6</v>
      </c>
      <c r="R9" s="31">
        <f t="shared" si="1"/>
        <v>6000000</v>
      </c>
      <c r="S9" s="39">
        <f t="shared" si="1"/>
        <v>62.1</v>
      </c>
      <c r="T9" s="31">
        <f t="shared" si="1"/>
        <v>62100000</v>
      </c>
    </row>
    <row r="10" spans="2:21" ht="18.5" thickBot="1">
      <c r="G10" s="60"/>
      <c r="N10" s="61"/>
      <c r="O10" s="60"/>
      <c r="R10" s="61"/>
    </row>
    <row r="11" spans="2:21">
      <c r="B11" s="8" t="s">
        <v>35</v>
      </c>
      <c r="C11" s="56">
        <f>ROUNDUP(C9*0.15,1)</f>
        <v>1.3</v>
      </c>
      <c r="D11" s="11">
        <f>C11*1400000</f>
        <v>1820000</v>
      </c>
      <c r="E11" s="10">
        <f>ROUNDUP(E9*0.15,2)</f>
        <v>0.6</v>
      </c>
      <c r="F11" s="57">
        <f>E11*1400000</f>
        <v>840000</v>
      </c>
      <c r="G11" s="62">
        <f>ROUNDUP(G9*0.15,2)</f>
        <v>0.3</v>
      </c>
      <c r="H11" s="11">
        <f>G11*1400000</f>
        <v>420000</v>
      </c>
      <c r="I11" s="56">
        <f>ROUNDUP(I9*0.15,1)</f>
        <v>1.4000000000000001</v>
      </c>
      <c r="J11" s="12">
        <f>I11*1400000</f>
        <v>1960000.0000000002</v>
      </c>
      <c r="K11" s="56">
        <f>ROUNDUP(K9*0.15,1)</f>
        <v>0.6</v>
      </c>
      <c r="L11" s="11">
        <f>K11*1400000</f>
        <v>840000</v>
      </c>
      <c r="M11" s="10">
        <f>ROUNDUP(M9*0.15,1)</f>
        <v>3.1</v>
      </c>
      <c r="N11" s="12">
        <f>M11*1400000</f>
        <v>4340000</v>
      </c>
      <c r="O11" s="62">
        <f>ROUNDUP(O9*0.15,1)</f>
        <v>1.4000000000000001</v>
      </c>
      <c r="P11" s="11">
        <f>O11*1400000</f>
        <v>1960000.0000000002</v>
      </c>
      <c r="Q11" s="56">
        <f>ROUNDUP(Q9*0.15,1)</f>
        <v>0.9</v>
      </c>
      <c r="R11" s="12">
        <f>Q11*1400000</f>
        <v>1260000</v>
      </c>
      <c r="S11" s="5">
        <f>ROUNDUP(S9*0.15,1)</f>
        <v>9.4</v>
      </c>
      <c r="T11" s="1">
        <f>S11*1400000</f>
        <v>13160000</v>
      </c>
    </row>
    <row r="12" spans="2:21" ht="18.5" thickBot="1">
      <c r="B12" s="9"/>
      <c r="C12" s="13"/>
      <c r="D12" s="13"/>
      <c r="E12" s="16">
        <f>C11+E11</f>
        <v>1.9</v>
      </c>
      <c r="F12" s="58">
        <f>D11+F11</f>
        <v>2660000</v>
      </c>
      <c r="G12" s="60"/>
      <c r="K12" s="16"/>
      <c r="L12" s="17"/>
      <c r="M12" s="16">
        <f>G11+I11+K11+M11</f>
        <v>5.4</v>
      </c>
      <c r="N12" s="17">
        <f>H11+J11+L11+N11</f>
        <v>7560000</v>
      </c>
      <c r="O12" s="60"/>
      <c r="Q12" s="16">
        <f>O11+Q11</f>
        <v>2.3000000000000003</v>
      </c>
      <c r="R12" s="58">
        <f>P11+R11</f>
        <v>3220000</v>
      </c>
    </row>
    <row r="13" spans="2:21">
      <c r="B13" s="8" t="s">
        <v>16</v>
      </c>
      <c r="C13" s="10">
        <f t="shared" ref="C13:T13" si="2">C9+C11</f>
        <v>9.8000000000000007</v>
      </c>
      <c r="D13" s="11">
        <f t="shared" si="2"/>
        <v>10320000</v>
      </c>
      <c r="E13" s="10">
        <f t="shared" si="2"/>
        <v>4.5999999999999996</v>
      </c>
      <c r="F13" s="57">
        <f t="shared" si="2"/>
        <v>4840000</v>
      </c>
      <c r="G13" s="62">
        <f t="shared" si="2"/>
        <v>2.2999999999999998</v>
      </c>
      <c r="H13" s="11">
        <f t="shared" si="2"/>
        <v>2420000</v>
      </c>
      <c r="I13" s="10">
        <f t="shared" si="2"/>
        <v>10.1</v>
      </c>
      <c r="J13" s="12">
        <f t="shared" si="2"/>
        <v>10660000</v>
      </c>
      <c r="K13" s="10">
        <f t="shared" si="2"/>
        <v>4.0999999999999996</v>
      </c>
      <c r="L13" s="11">
        <f t="shared" si="2"/>
        <v>4340000</v>
      </c>
      <c r="M13" s="10">
        <f t="shared" si="2"/>
        <v>23.5</v>
      </c>
      <c r="N13" s="12">
        <f>N9+N11</f>
        <v>24740000</v>
      </c>
      <c r="O13" s="62">
        <f t="shared" si="2"/>
        <v>10.4</v>
      </c>
      <c r="P13" s="11">
        <f t="shared" si="2"/>
        <v>10960000</v>
      </c>
      <c r="Q13" s="10">
        <f t="shared" si="2"/>
        <v>6.9</v>
      </c>
      <c r="R13" s="12">
        <f t="shared" si="2"/>
        <v>7260000</v>
      </c>
      <c r="S13" s="5">
        <f t="shared" si="2"/>
        <v>71.5</v>
      </c>
      <c r="T13" s="1">
        <f t="shared" si="2"/>
        <v>75260000</v>
      </c>
    </row>
    <row r="14" spans="2:21" ht="18.5" thickBot="1">
      <c r="B14" s="9"/>
      <c r="C14" s="13"/>
      <c r="D14" s="13"/>
      <c r="E14" s="14">
        <f>C13+E13</f>
        <v>14.4</v>
      </c>
      <c r="F14" s="59">
        <f>D13+F13</f>
        <v>15160000</v>
      </c>
      <c r="G14" s="6"/>
      <c r="H14" s="7"/>
      <c r="I14" s="7"/>
      <c r="J14" s="7"/>
      <c r="K14" s="7"/>
      <c r="L14" s="7"/>
      <c r="M14" s="14">
        <f>G13+I13+K13+M13</f>
        <v>40</v>
      </c>
      <c r="N14" s="15">
        <f>H13+J13+L13+N13</f>
        <v>42160000</v>
      </c>
      <c r="O14" s="7"/>
      <c r="P14" s="7"/>
      <c r="Q14" s="14">
        <f>O13+Q13</f>
        <v>17.3</v>
      </c>
      <c r="R14" s="59">
        <f>P13+R13</f>
        <v>18220000</v>
      </c>
      <c r="S14" s="64">
        <f>SUM(E14,M14,Q14)</f>
        <v>71.7</v>
      </c>
      <c r="T14" s="65">
        <f>SUM(F14,L14,N14,R14)</f>
        <v>75540000</v>
      </c>
    </row>
    <row r="16" spans="2:21">
      <c r="C16" s="1">
        <f>D5+J5+N5</f>
        <v>15500000</v>
      </c>
      <c r="D16">
        <f>C16/121</f>
        <v>128099.17355371901</v>
      </c>
    </row>
    <row r="17" spans="3:4">
      <c r="C17" s="1">
        <f>D6+J6+N6</f>
        <v>18100000</v>
      </c>
      <c r="D17">
        <f>C17/1642</f>
        <v>11023.142509135201</v>
      </c>
    </row>
  </sheetData>
  <mergeCells count="4">
    <mergeCell ref="C2:F2"/>
    <mergeCell ref="G2:N2"/>
    <mergeCell ref="O2:P2"/>
    <mergeCell ref="Q2:R2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00A76-31B4-446A-8588-84ADBE9B2311}">
  <sheetPr>
    <tabColor rgb="FFFFFF00"/>
    <pageSetUpPr fitToPage="1"/>
  </sheetPr>
  <dimension ref="A1:S20"/>
  <sheetViews>
    <sheetView tabSelected="1" workbookViewId="0">
      <selection activeCell="F19" sqref="F19"/>
    </sheetView>
  </sheetViews>
  <sheetFormatPr defaultRowHeight="18"/>
  <cols>
    <col min="1" max="1" width="14.33203125" bestFit="1" customWidth="1"/>
    <col min="2" max="2" width="5.83203125" bestFit="1" customWidth="1"/>
    <col min="3" max="3" width="11.5" bestFit="1" customWidth="1"/>
    <col min="4" max="4" width="5.83203125" bestFit="1" customWidth="1"/>
    <col min="5" max="5" width="11.5" bestFit="1" customWidth="1"/>
    <col min="6" max="6" width="5.83203125" bestFit="1" customWidth="1"/>
    <col min="7" max="7" width="11.5" bestFit="1" customWidth="1"/>
    <col min="8" max="8" width="6.9140625" bestFit="1" customWidth="1"/>
    <col min="9" max="9" width="11.58203125" bestFit="1" customWidth="1"/>
    <col min="10" max="10" width="5.83203125" bestFit="1" customWidth="1"/>
    <col min="11" max="11" width="11.5" bestFit="1" customWidth="1"/>
    <col min="12" max="12" width="6.9140625" bestFit="1" customWidth="1"/>
    <col min="13" max="13" width="11.58203125" bestFit="1" customWidth="1"/>
    <col min="14" max="14" width="6.9140625" bestFit="1" customWidth="1"/>
    <col min="15" max="15" width="11.58203125" bestFit="1" customWidth="1"/>
    <col min="16" max="16" width="6.9140625" bestFit="1" customWidth="1"/>
    <col min="17" max="17" width="12.9140625" bestFit="1" customWidth="1"/>
    <col min="18" max="18" width="0" hidden="1" customWidth="1"/>
    <col min="19" max="19" width="11.58203125" hidden="1" customWidth="1"/>
  </cols>
  <sheetData>
    <row r="1" spans="1:19" ht="22.5">
      <c r="A1" s="134" t="s">
        <v>59</v>
      </c>
      <c r="Q1" s="136">
        <v>45694</v>
      </c>
    </row>
    <row r="2" spans="1:19">
      <c r="Q2" s="135" t="s">
        <v>60</v>
      </c>
    </row>
    <row r="3" spans="1:19" ht="18.5" thickBot="1">
      <c r="Q3" s="135" t="s">
        <v>61</v>
      </c>
    </row>
    <row r="4" spans="1:19" ht="19" thickTop="1" thickBot="1">
      <c r="B4" s="150" t="s">
        <v>53</v>
      </c>
      <c r="C4" s="151"/>
      <c r="D4" s="151"/>
      <c r="E4" s="152"/>
      <c r="F4" s="150" t="s">
        <v>38</v>
      </c>
      <c r="G4" s="151"/>
      <c r="H4" s="151"/>
      <c r="I4" s="151"/>
      <c r="J4" s="151"/>
      <c r="K4" s="151"/>
      <c r="L4" s="151"/>
      <c r="M4" s="152"/>
      <c r="N4" s="151" t="s">
        <v>39</v>
      </c>
      <c r="O4" s="153"/>
      <c r="P4" s="154" t="s">
        <v>40</v>
      </c>
      <c r="Q4" s="152"/>
    </row>
    <row r="5" spans="1:19">
      <c r="B5" s="155" t="s">
        <v>8</v>
      </c>
      <c r="C5" s="143"/>
      <c r="D5" s="140" t="s">
        <v>27</v>
      </c>
      <c r="E5" s="141"/>
      <c r="F5" s="155" t="s">
        <v>28</v>
      </c>
      <c r="G5" s="143"/>
      <c r="H5" s="140" t="s">
        <v>29</v>
      </c>
      <c r="I5" s="143"/>
      <c r="J5" s="140" t="s">
        <v>30</v>
      </c>
      <c r="K5" s="143"/>
      <c r="L5" s="140" t="s">
        <v>31</v>
      </c>
      <c r="M5" s="141"/>
      <c r="N5" s="142" t="s">
        <v>32</v>
      </c>
      <c r="O5" s="143"/>
      <c r="P5" s="140" t="s">
        <v>34</v>
      </c>
      <c r="Q5" s="141"/>
      <c r="R5" s="69" t="s">
        <v>16</v>
      </c>
      <c r="S5" s="53"/>
    </row>
    <row r="6" spans="1:19" ht="18.5" thickBot="1">
      <c r="B6" s="89" t="s">
        <v>11</v>
      </c>
      <c r="C6" s="23" t="s">
        <v>12</v>
      </c>
      <c r="D6" s="36" t="s">
        <v>11</v>
      </c>
      <c r="E6" s="96" t="s">
        <v>12</v>
      </c>
      <c r="F6" s="89" t="s">
        <v>11</v>
      </c>
      <c r="G6" s="23" t="s">
        <v>12</v>
      </c>
      <c r="H6" s="36" t="s">
        <v>11</v>
      </c>
      <c r="I6" s="23" t="s">
        <v>12</v>
      </c>
      <c r="J6" s="21" t="s">
        <v>11</v>
      </c>
      <c r="K6" s="23" t="s">
        <v>12</v>
      </c>
      <c r="L6" s="36" t="s">
        <v>11</v>
      </c>
      <c r="M6" s="96" t="s">
        <v>12</v>
      </c>
      <c r="N6" s="36" t="s">
        <v>11</v>
      </c>
      <c r="O6" s="23" t="s">
        <v>12</v>
      </c>
      <c r="P6" s="21" t="s">
        <v>11</v>
      </c>
      <c r="Q6" s="96" t="s">
        <v>12</v>
      </c>
      <c r="R6" s="63" t="s">
        <v>11</v>
      </c>
      <c r="S6" s="55" t="s">
        <v>12</v>
      </c>
    </row>
    <row r="7" spans="1:19" ht="18.5" thickTop="1">
      <c r="A7" s="122" t="s">
        <v>23</v>
      </c>
      <c r="B7" s="90">
        <v>2</v>
      </c>
      <c r="C7" s="27">
        <f>B7*1000000</f>
        <v>2000000</v>
      </c>
      <c r="D7" s="37">
        <v>2</v>
      </c>
      <c r="E7" s="97">
        <f>D7*1000000</f>
        <v>2000000</v>
      </c>
      <c r="F7" s="90">
        <v>2</v>
      </c>
      <c r="G7" s="27">
        <f>F7*1000000</f>
        <v>2000000</v>
      </c>
      <c r="H7" s="37">
        <v>3.5</v>
      </c>
      <c r="I7" s="27">
        <f>H7*1000000</f>
        <v>3500000</v>
      </c>
      <c r="J7" s="40">
        <v>3.5</v>
      </c>
      <c r="K7" s="27">
        <f>J7*1000000</f>
        <v>3500000</v>
      </c>
      <c r="L7" s="37">
        <v>10</v>
      </c>
      <c r="M7" s="97">
        <f>L7*1000000</f>
        <v>10000000</v>
      </c>
      <c r="N7" s="37">
        <v>5.5</v>
      </c>
      <c r="O7" s="27">
        <f>N7*1000000</f>
        <v>5500000</v>
      </c>
      <c r="P7" s="40">
        <v>2.5</v>
      </c>
      <c r="Q7" s="97">
        <f>P7*1000000</f>
        <v>2500000</v>
      </c>
      <c r="R7" s="37">
        <f>SUM(B7,D7,F7,H7,J7,L7,N7,P7)</f>
        <v>31</v>
      </c>
      <c r="S7" s="27">
        <f>SUM(C7,E7,G7,I7,K7,M7,O7,Q7)</f>
        <v>31000000</v>
      </c>
    </row>
    <row r="8" spans="1:19">
      <c r="A8" s="123" t="s">
        <v>24</v>
      </c>
      <c r="B8" s="91">
        <f>Excel!G12</f>
        <v>3.5</v>
      </c>
      <c r="C8" s="28">
        <f>Excel!G13</f>
        <v>3500000</v>
      </c>
      <c r="D8" s="38"/>
      <c r="E8" s="98"/>
      <c r="F8" s="91"/>
      <c r="G8" s="28"/>
      <c r="H8" s="38">
        <f>'Excel (修正後)'!L12</f>
        <v>4.1999999999999993</v>
      </c>
      <c r="I8" s="28">
        <f>'Excel (修正後)'!L13</f>
        <v>4199999.9999999991</v>
      </c>
      <c r="J8" s="41"/>
      <c r="K8" s="28"/>
      <c r="L8" s="38">
        <f>'Excel (修正後)'!O12</f>
        <v>10.4</v>
      </c>
      <c r="M8" s="98">
        <f>'Excel (修正後)'!O13</f>
        <v>10400000</v>
      </c>
      <c r="N8" s="38">
        <f>Excel!N12</f>
        <v>3</v>
      </c>
      <c r="O8" s="28">
        <f>Excel!N13</f>
        <v>3000000</v>
      </c>
      <c r="P8" s="41">
        <f>Excel!O12</f>
        <v>2.5</v>
      </c>
      <c r="Q8" s="98">
        <f>Excel!O13</f>
        <v>2500000</v>
      </c>
      <c r="R8" s="38">
        <f t="shared" ref="R8:S10" si="0">SUM(B8,D8,F8,H8,J8,L8,N8,P8)</f>
        <v>23.6</v>
      </c>
      <c r="S8" s="28">
        <f t="shared" si="0"/>
        <v>23600000</v>
      </c>
    </row>
    <row r="9" spans="1:19">
      <c r="A9" s="123" t="s">
        <v>25</v>
      </c>
      <c r="B9" s="91">
        <f>ファイルサーバ・その他!C2</f>
        <v>1</v>
      </c>
      <c r="C9" s="28">
        <f>ファイルサーバ・その他!D2</f>
        <v>1000000</v>
      </c>
      <c r="D9" s="38">
        <f>ファイルサーバ・その他!E2</f>
        <v>1</v>
      </c>
      <c r="E9" s="98">
        <f>ファイルサーバ・その他!F2</f>
        <v>1000000</v>
      </c>
      <c r="F9" s="91"/>
      <c r="G9" s="28"/>
      <c r="H9" s="38">
        <f>ファイルサーバ・その他!G2</f>
        <v>1</v>
      </c>
      <c r="I9" s="28">
        <f>ファイルサーバ・その他!H2</f>
        <v>1000000</v>
      </c>
      <c r="J9" s="41"/>
      <c r="K9" s="28"/>
      <c r="L9" s="38"/>
      <c r="M9" s="98"/>
      <c r="N9" s="38">
        <f>ファイルサーバ・その他!I2</f>
        <v>0.5</v>
      </c>
      <c r="O9" s="28">
        <f>ファイルサーバ・その他!J2</f>
        <v>500000</v>
      </c>
      <c r="P9" s="41">
        <f>ファイルサーバ・その他!K2</f>
        <v>1</v>
      </c>
      <c r="Q9" s="98">
        <f>ファイルサーバ・その他!L2</f>
        <v>1000000</v>
      </c>
      <c r="R9" s="38">
        <f t="shared" si="0"/>
        <v>4.5</v>
      </c>
      <c r="S9" s="28">
        <f t="shared" si="0"/>
        <v>4500000</v>
      </c>
    </row>
    <row r="10" spans="1:19">
      <c r="A10" s="123" t="s">
        <v>26</v>
      </c>
      <c r="B10" s="91">
        <f>ファイルサーバ・その他!C9</f>
        <v>2</v>
      </c>
      <c r="C10" s="28">
        <f>B10*1000000</f>
        <v>2000000</v>
      </c>
      <c r="D10" s="38">
        <f>ファイルサーバ・その他!E9</f>
        <v>1</v>
      </c>
      <c r="E10" s="98">
        <f>D10*1000000</f>
        <v>1000000</v>
      </c>
      <c r="F10" s="101"/>
      <c r="G10" s="45"/>
      <c r="H10" s="43"/>
      <c r="I10" s="45"/>
      <c r="J10" s="44"/>
      <c r="K10" s="45"/>
      <c r="L10" s="43"/>
      <c r="M10" s="102"/>
      <c r="N10" s="43"/>
      <c r="O10" s="45"/>
      <c r="P10" s="44"/>
      <c r="Q10" s="102"/>
      <c r="R10" s="38">
        <f t="shared" si="0"/>
        <v>3</v>
      </c>
      <c r="S10" s="28">
        <f t="shared" si="0"/>
        <v>3000000</v>
      </c>
    </row>
    <row r="11" spans="1:19" ht="18.5" thickBot="1">
      <c r="A11" s="124" t="s">
        <v>33</v>
      </c>
      <c r="B11" s="92">
        <f>SUM(B7:B10)</f>
        <v>8.5</v>
      </c>
      <c r="C11" s="31">
        <f t="shared" ref="C11:S11" si="1">SUM(C7:C10)</f>
        <v>8500000</v>
      </c>
      <c r="D11" s="39">
        <f t="shared" si="1"/>
        <v>4</v>
      </c>
      <c r="E11" s="99">
        <f t="shared" si="1"/>
        <v>4000000</v>
      </c>
      <c r="F11" s="92">
        <f t="shared" si="1"/>
        <v>2</v>
      </c>
      <c r="G11" s="31">
        <f t="shared" si="1"/>
        <v>2000000</v>
      </c>
      <c r="H11" s="39">
        <f t="shared" si="1"/>
        <v>8.6999999999999993</v>
      </c>
      <c r="I11" s="31">
        <f t="shared" si="1"/>
        <v>8700000</v>
      </c>
      <c r="J11" s="42">
        <f t="shared" si="1"/>
        <v>3.5</v>
      </c>
      <c r="K11" s="31">
        <f t="shared" si="1"/>
        <v>3500000</v>
      </c>
      <c r="L11" s="39">
        <f t="shared" si="1"/>
        <v>20.399999999999999</v>
      </c>
      <c r="M11" s="99">
        <f t="shared" si="1"/>
        <v>20400000</v>
      </c>
      <c r="N11" s="39">
        <f t="shared" si="1"/>
        <v>9</v>
      </c>
      <c r="O11" s="31">
        <f t="shared" si="1"/>
        <v>9000000</v>
      </c>
      <c r="P11" s="42">
        <f t="shared" si="1"/>
        <v>6</v>
      </c>
      <c r="Q11" s="99">
        <f t="shared" si="1"/>
        <v>6000000</v>
      </c>
      <c r="R11" s="39">
        <f t="shared" si="1"/>
        <v>62.1</v>
      </c>
      <c r="S11" s="31">
        <f t="shared" si="1"/>
        <v>62100000</v>
      </c>
    </row>
    <row r="12" spans="1:19" ht="9.5" customHeight="1" thickBot="1">
      <c r="A12" s="93"/>
      <c r="B12" s="93"/>
      <c r="C12" s="88"/>
      <c r="D12" s="94"/>
      <c r="E12" s="100"/>
      <c r="F12" s="93"/>
      <c r="G12" s="88"/>
      <c r="H12" s="94"/>
      <c r="I12" s="94"/>
      <c r="J12" s="94"/>
      <c r="K12" s="94"/>
      <c r="L12" s="94"/>
      <c r="M12" s="100"/>
      <c r="N12" s="94"/>
      <c r="O12" s="94"/>
      <c r="P12" s="94"/>
      <c r="Q12" s="100"/>
    </row>
    <row r="13" spans="1:19">
      <c r="A13" s="125" t="s">
        <v>35</v>
      </c>
      <c r="B13" s="90">
        <f>ROUNDUP(B11*0.15,1)</f>
        <v>1.3</v>
      </c>
      <c r="C13" s="27">
        <f>B13*1400000</f>
        <v>1820000</v>
      </c>
      <c r="D13" s="37">
        <f>ROUNDUP(D11*0.15,2)</f>
        <v>0.6</v>
      </c>
      <c r="E13" s="97">
        <f>D13*1400000</f>
        <v>840000</v>
      </c>
      <c r="F13" s="90">
        <f>ROUNDUP(F11*0.15,2)</f>
        <v>0.3</v>
      </c>
      <c r="G13" s="27">
        <f>F13*1400000</f>
        <v>420000</v>
      </c>
      <c r="H13" s="37">
        <f>ROUNDUP(H11*0.15,1)</f>
        <v>1.4000000000000001</v>
      </c>
      <c r="I13" s="48">
        <f>H13*1400000</f>
        <v>1960000.0000000002</v>
      </c>
      <c r="J13" s="40">
        <f>ROUNDUP(J11*0.15,1)</f>
        <v>0.6</v>
      </c>
      <c r="K13" s="27">
        <f>J13*1400000</f>
        <v>840000</v>
      </c>
      <c r="L13" s="37">
        <f>ROUNDUP(L11*0.15,1)</f>
        <v>3.1</v>
      </c>
      <c r="M13" s="97">
        <f>L13*1400000</f>
        <v>4340000</v>
      </c>
      <c r="N13" s="37">
        <f>ROUNDUP(N11*0.15,1)</f>
        <v>1.4000000000000001</v>
      </c>
      <c r="O13" s="27">
        <f>N13*1400000</f>
        <v>1960000.0000000002</v>
      </c>
      <c r="P13" s="40">
        <f>ROUNDUP(P11*0.15,1)</f>
        <v>0.9</v>
      </c>
      <c r="Q13" s="97">
        <f>P13*1400000</f>
        <v>1260000</v>
      </c>
      <c r="R13" s="5"/>
      <c r="S13" s="1"/>
    </row>
    <row r="14" spans="1:19" ht="18.5" thickBot="1">
      <c r="A14" s="126"/>
      <c r="B14" s="95"/>
      <c r="C14" s="104"/>
      <c r="D14" s="39">
        <f>B13+D13</f>
        <v>1.9</v>
      </c>
      <c r="E14" s="99">
        <f>C13+E13</f>
        <v>2660000</v>
      </c>
      <c r="F14" s="103"/>
      <c r="G14" s="109"/>
      <c r="H14" s="85"/>
      <c r="I14" s="85"/>
      <c r="J14" s="111"/>
      <c r="K14" s="86"/>
      <c r="L14" s="39">
        <f>F13+H13+J13+L13</f>
        <v>5.4</v>
      </c>
      <c r="M14" s="99">
        <f>G13+I13+K13+M13</f>
        <v>7560000</v>
      </c>
      <c r="N14" s="85"/>
      <c r="O14" s="109"/>
      <c r="P14" s="42">
        <f>N13+P13</f>
        <v>2.3000000000000003</v>
      </c>
      <c r="Q14" s="99">
        <f>O13+Q13</f>
        <v>3220000</v>
      </c>
    </row>
    <row r="15" spans="1:19" ht="9.5" customHeight="1" thickBot="1">
      <c r="A15" s="93"/>
      <c r="B15" s="93"/>
      <c r="C15" s="88"/>
      <c r="D15" s="94"/>
      <c r="E15" s="100"/>
      <c r="F15" s="93"/>
      <c r="G15" s="88"/>
      <c r="H15" s="94"/>
      <c r="I15" s="94"/>
      <c r="J15" s="87"/>
      <c r="K15" s="88"/>
      <c r="L15" s="94"/>
      <c r="M15" s="100"/>
      <c r="N15" s="94"/>
      <c r="O15" s="88"/>
      <c r="P15" s="87"/>
      <c r="Q15" s="100"/>
    </row>
    <row r="16" spans="1:19" ht="18.5" thickBot="1">
      <c r="A16" s="127" t="s">
        <v>16</v>
      </c>
      <c r="B16" s="105">
        <f t="shared" ref="B16:Q16" si="2">B11+B13</f>
        <v>9.8000000000000007</v>
      </c>
      <c r="C16" s="106">
        <f t="shared" si="2"/>
        <v>10320000</v>
      </c>
      <c r="D16" s="107">
        <f t="shared" si="2"/>
        <v>4.5999999999999996</v>
      </c>
      <c r="E16" s="108">
        <f t="shared" si="2"/>
        <v>4840000</v>
      </c>
      <c r="F16" s="105">
        <f t="shared" si="2"/>
        <v>2.2999999999999998</v>
      </c>
      <c r="G16" s="106">
        <f t="shared" si="2"/>
        <v>2420000</v>
      </c>
      <c r="H16" s="107">
        <f t="shared" si="2"/>
        <v>10.1</v>
      </c>
      <c r="I16" s="110">
        <f t="shared" si="2"/>
        <v>10660000</v>
      </c>
      <c r="J16" s="112">
        <f t="shared" si="2"/>
        <v>4.0999999999999996</v>
      </c>
      <c r="K16" s="106">
        <f t="shared" si="2"/>
        <v>4340000</v>
      </c>
      <c r="L16" s="107">
        <f t="shared" si="2"/>
        <v>23.5</v>
      </c>
      <c r="M16" s="108">
        <f>M11+M13</f>
        <v>24740000</v>
      </c>
      <c r="N16" s="107">
        <f t="shared" si="2"/>
        <v>10.4</v>
      </c>
      <c r="O16" s="106">
        <f t="shared" si="2"/>
        <v>10960000</v>
      </c>
      <c r="P16" s="112">
        <f t="shared" si="2"/>
        <v>6.9</v>
      </c>
      <c r="Q16" s="108">
        <f t="shared" si="2"/>
        <v>7260000</v>
      </c>
      <c r="R16" s="5"/>
      <c r="S16" s="1"/>
    </row>
    <row r="17" spans="1:19" ht="19" thickTop="1" thickBot="1">
      <c r="A17" s="128" t="s">
        <v>54</v>
      </c>
      <c r="B17" s="119" t="s">
        <v>11</v>
      </c>
      <c r="C17" s="120">
        <f>B16+D16</f>
        <v>14.4</v>
      </c>
      <c r="D17" s="120" t="s">
        <v>12</v>
      </c>
      <c r="E17" s="121">
        <f>C16+E16</f>
        <v>15160000</v>
      </c>
      <c r="F17" s="113"/>
      <c r="G17" s="114"/>
      <c r="H17" s="114"/>
      <c r="I17" s="114"/>
      <c r="J17" s="119" t="s">
        <v>11</v>
      </c>
      <c r="K17" s="120">
        <f>F16+H16+J16+L16</f>
        <v>40</v>
      </c>
      <c r="L17" s="120" t="s">
        <v>12</v>
      </c>
      <c r="M17" s="121">
        <f>G16+I16+K16+M16</f>
        <v>42160000</v>
      </c>
      <c r="N17" s="119" t="s">
        <v>11</v>
      </c>
      <c r="O17" s="115">
        <f>N16+P16</f>
        <v>17.3</v>
      </c>
      <c r="P17" s="120" t="s">
        <v>12</v>
      </c>
      <c r="Q17" s="116">
        <f>O16+Q16</f>
        <v>18220000</v>
      </c>
      <c r="R17" s="118">
        <f>SUM(D17,L17,P17)</f>
        <v>0</v>
      </c>
      <c r="S17" s="117">
        <f>SUM(E17,K17,M17,Q17)</f>
        <v>75540040</v>
      </c>
    </row>
    <row r="18" spans="1:19" ht="19" thickTop="1" thickBot="1">
      <c r="A18" s="128" t="s">
        <v>58</v>
      </c>
      <c r="B18" s="144" t="s">
        <v>56</v>
      </c>
      <c r="C18" s="145"/>
      <c r="D18" s="145"/>
      <c r="E18" s="146"/>
      <c r="F18" s="147" t="s">
        <v>57</v>
      </c>
      <c r="G18" s="148"/>
      <c r="H18" s="148"/>
      <c r="I18" s="148"/>
      <c r="J18" s="148"/>
      <c r="K18" s="148"/>
      <c r="L18" s="148"/>
      <c r="M18" s="149"/>
      <c r="N18" s="144" t="s">
        <v>56</v>
      </c>
      <c r="O18" s="145"/>
      <c r="P18" s="145"/>
      <c r="Q18" s="146"/>
      <c r="R18" s="129"/>
      <c r="S18" s="130"/>
    </row>
    <row r="19" spans="1:19" ht="19" thickTop="1" thickBot="1">
      <c r="O19" s="131" t="s">
        <v>55</v>
      </c>
      <c r="P19" s="132">
        <f>SUM(C17,K17,O17)</f>
        <v>71.7</v>
      </c>
      <c r="Q19" s="133">
        <f>SUM(E17,K17,M17,Q17)</f>
        <v>75540040</v>
      </c>
    </row>
    <row r="20" spans="1:19" ht="18.5" thickTop="1"/>
  </sheetData>
  <mergeCells count="15">
    <mergeCell ref="B4:E4"/>
    <mergeCell ref="F4:M4"/>
    <mergeCell ref="N4:O4"/>
    <mergeCell ref="P4:Q4"/>
    <mergeCell ref="B5:C5"/>
    <mergeCell ref="D5:E5"/>
    <mergeCell ref="F5:G5"/>
    <mergeCell ref="H5:I5"/>
    <mergeCell ref="J5:K5"/>
    <mergeCell ref="L5:M5"/>
    <mergeCell ref="N5:O5"/>
    <mergeCell ref="P5:Q5"/>
    <mergeCell ref="B18:E18"/>
    <mergeCell ref="F18:M18"/>
    <mergeCell ref="N18:Q18"/>
  </mergeCells>
  <phoneticPr fontId="1"/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466F6-4B53-4278-8E4A-F57FDDE5CE7E}">
  <dimension ref="A1"/>
  <sheetViews>
    <sheetView workbookViewId="0"/>
  </sheetViews>
  <sheetFormatPr defaultRowHeight="18"/>
  <sheetData>
    <row r="1" spans="1:1">
      <c r="A1" t="s">
        <v>41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3"/>
  <sheetViews>
    <sheetView workbookViewId="0">
      <selection activeCell="I7" sqref="I7"/>
    </sheetView>
  </sheetViews>
  <sheetFormatPr defaultRowHeight="18"/>
  <cols>
    <col min="2" max="2" width="26.08203125" customWidth="1"/>
    <col min="7" max="7" width="10.4140625" bestFit="1" customWidth="1"/>
    <col min="10" max="10" width="10.4140625" bestFit="1" customWidth="1"/>
    <col min="13" max="13" width="11.58203125" bestFit="1" customWidth="1"/>
    <col min="14" max="14" width="10.75" bestFit="1" customWidth="1"/>
    <col min="15" max="15" width="10.75" customWidth="1"/>
    <col min="16" max="16" width="11.58203125" bestFit="1" customWidth="1"/>
    <col min="17" max="17" width="10.75" bestFit="1" customWidth="1"/>
  </cols>
  <sheetData>
    <row r="1" spans="2:17">
      <c r="B1" t="s">
        <v>13</v>
      </c>
      <c r="C1" t="s">
        <v>7</v>
      </c>
      <c r="D1" t="s">
        <v>14</v>
      </c>
      <c r="E1" t="s">
        <v>15</v>
      </c>
    </row>
    <row r="2" spans="2:17">
      <c r="C2">
        <v>1558</v>
      </c>
      <c r="D2">
        <v>1143</v>
      </c>
      <c r="E2">
        <f>D2/C2</f>
        <v>0.73363286264441596</v>
      </c>
    </row>
    <row r="4" spans="2:17">
      <c r="B4" s="70"/>
      <c r="C4" s="70"/>
      <c r="D4" s="70"/>
      <c r="E4" s="156" t="s">
        <v>8</v>
      </c>
      <c r="F4" s="156"/>
      <c r="G4" s="156"/>
      <c r="H4" s="156" t="s">
        <v>9</v>
      </c>
      <c r="I4" s="156"/>
      <c r="J4" s="156"/>
      <c r="K4" s="156" t="s">
        <v>10</v>
      </c>
      <c r="L4" s="156"/>
      <c r="M4" s="156"/>
      <c r="N4" s="71" t="s">
        <v>32</v>
      </c>
      <c r="O4" s="71" t="s">
        <v>34</v>
      </c>
      <c r="P4" s="70" t="s">
        <v>16</v>
      </c>
    </row>
    <row r="5" spans="2:17">
      <c r="B5" s="70" t="s">
        <v>6</v>
      </c>
      <c r="C5" s="70"/>
      <c r="D5" s="70"/>
      <c r="E5" s="72" t="s">
        <v>3</v>
      </c>
      <c r="F5" s="73"/>
      <c r="G5" s="74"/>
      <c r="H5" s="72" t="s">
        <v>2</v>
      </c>
      <c r="I5" s="73"/>
      <c r="J5" s="74"/>
      <c r="K5" s="72" t="s">
        <v>4</v>
      </c>
      <c r="L5" s="73"/>
      <c r="M5" s="74"/>
      <c r="N5" s="70"/>
      <c r="O5" s="70"/>
      <c r="P5" s="70"/>
    </row>
    <row r="6" spans="2:17">
      <c r="B6" s="70"/>
      <c r="C6" s="70" t="s">
        <v>7</v>
      </c>
      <c r="D6" s="70" t="s">
        <v>42</v>
      </c>
      <c r="E6" s="70" t="s">
        <v>44</v>
      </c>
      <c r="F6" s="70" t="s">
        <v>45</v>
      </c>
      <c r="G6" s="70" t="s">
        <v>46</v>
      </c>
      <c r="H6" s="70" t="s">
        <v>44</v>
      </c>
      <c r="I6" s="70" t="s">
        <v>45</v>
      </c>
      <c r="J6" s="70" t="s">
        <v>46</v>
      </c>
      <c r="K6" s="70" t="s">
        <v>44</v>
      </c>
      <c r="L6" s="70" t="s">
        <v>45</v>
      </c>
      <c r="M6" s="70" t="s">
        <v>46</v>
      </c>
      <c r="N6" s="70"/>
      <c r="O6" s="70"/>
      <c r="P6" s="70"/>
    </row>
    <row r="7" spans="2:17">
      <c r="B7" s="70" t="s">
        <v>0</v>
      </c>
      <c r="C7" s="2">
        <v>2000</v>
      </c>
      <c r="D7" s="2">
        <f>ROUNDUP(C7*E2,0)</f>
        <v>1468</v>
      </c>
      <c r="E7" s="2"/>
      <c r="F7" s="2"/>
      <c r="G7" s="2">
        <f>F7/20</f>
        <v>0</v>
      </c>
      <c r="H7" s="2">
        <v>32</v>
      </c>
      <c r="I7" s="2">
        <f>ROUNDUP(D7/H7,0)</f>
        <v>46</v>
      </c>
      <c r="J7" s="2">
        <f>I7/20</f>
        <v>2.2999999999999998</v>
      </c>
      <c r="K7" s="2">
        <v>8</v>
      </c>
      <c r="L7" s="2">
        <f>ROUNDUP(C7/K7,0)</f>
        <v>250</v>
      </c>
      <c r="M7" s="2">
        <f>L7/20</f>
        <v>12.5</v>
      </c>
      <c r="N7" s="2"/>
      <c r="O7" s="2"/>
      <c r="P7" s="2">
        <f>SUM((F7+I7+L7)/20)</f>
        <v>14.8</v>
      </c>
    </row>
    <row r="8" spans="2:17">
      <c r="B8" s="70" t="s">
        <v>1</v>
      </c>
      <c r="C8" s="2">
        <v>237</v>
      </c>
      <c r="D8" s="2">
        <f>ROUNDUP(C8*E2,0)</f>
        <v>174</v>
      </c>
      <c r="E8" s="2">
        <v>4</v>
      </c>
      <c r="F8" s="2">
        <f>ROUNDUP(C8/E8,0)</f>
        <v>60</v>
      </c>
      <c r="G8" s="2">
        <f>F8/20</f>
        <v>3</v>
      </c>
      <c r="H8" s="2">
        <v>4</v>
      </c>
      <c r="I8" s="2">
        <f>ROUNDUP(D8/H8,0)</f>
        <v>44</v>
      </c>
      <c r="J8" s="2">
        <f>I8/20</f>
        <v>2.2000000000000002</v>
      </c>
      <c r="K8" s="2">
        <v>4</v>
      </c>
      <c r="L8" s="2">
        <f>ROUNDUP(C8/K8,0)</f>
        <v>60</v>
      </c>
      <c r="M8" s="2">
        <f>L8/20</f>
        <v>3</v>
      </c>
      <c r="N8" s="2"/>
      <c r="O8" s="2"/>
      <c r="P8" s="2">
        <f>SUM((F8+I8+L8)/20)</f>
        <v>8.1999999999999993</v>
      </c>
    </row>
    <row r="9" spans="2:17">
      <c r="B9" s="70" t="s">
        <v>5</v>
      </c>
      <c r="C9" s="2" t="s">
        <v>43</v>
      </c>
      <c r="D9" s="2"/>
      <c r="E9" s="2"/>
      <c r="F9" s="2">
        <v>2</v>
      </c>
      <c r="G9" s="2">
        <f>F9/20</f>
        <v>0.1</v>
      </c>
      <c r="H9" s="2"/>
      <c r="I9" s="2">
        <v>2</v>
      </c>
      <c r="J9" s="2">
        <f>I9/20</f>
        <v>0.1</v>
      </c>
      <c r="K9" s="2"/>
      <c r="L9" s="2">
        <v>2</v>
      </c>
      <c r="M9" s="2">
        <f>L9/20</f>
        <v>0.1</v>
      </c>
      <c r="N9" s="2"/>
      <c r="O9" s="2"/>
      <c r="P9" s="2">
        <f>SUM((F9+I9+L9)/20)</f>
        <v>0.3</v>
      </c>
    </row>
    <row r="10" spans="2:17">
      <c r="B10" s="75"/>
      <c r="C10" s="75"/>
      <c r="D10" s="75"/>
      <c r="E10" s="75"/>
      <c r="F10" s="75"/>
      <c r="G10" s="75">
        <f>SUM(G7:G9)</f>
        <v>3.1</v>
      </c>
      <c r="H10" s="75"/>
      <c r="I10" s="75"/>
      <c r="J10" s="75">
        <f>SUM(J7:J9)</f>
        <v>4.5999999999999996</v>
      </c>
      <c r="K10" s="75"/>
      <c r="L10" s="75"/>
      <c r="M10" s="75">
        <f>SUM(M7:M9)</f>
        <v>15.6</v>
      </c>
      <c r="N10" s="76">
        <v>3</v>
      </c>
      <c r="O10" s="76">
        <v>2.5</v>
      </c>
      <c r="P10" s="76">
        <f>SUM(P7:P9)+N12+O12</f>
        <v>28.8</v>
      </c>
    </row>
    <row r="11" spans="2:17">
      <c r="B11" s="75"/>
      <c r="C11" s="75"/>
      <c r="D11" s="75"/>
      <c r="E11" s="75"/>
      <c r="F11" s="75"/>
      <c r="G11" s="77">
        <f>G10*1000000</f>
        <v>3100000</v>
      </c>
      <c r="H11" s="75"/>
      <c r="I11" s="75"/>
      <c r="J11" s="77">
        <f>J10*1000000</f>
        <v>4600000</v>
      </c>
      <c r="K11" s="75"/>
      <c r="L11" s="75"/>
      <c r="M11" s="77">
        <f>M10*1000000</f>
        <v>15600000</v>
      </c>
      <c r="N11" s="77">
        <f>N10*1000000</f>
        <v>3000000</v>
      </c>
      <c r="O11" s="77">
        <f>O10*1000000</f>
        <v>2500000</v>
      </c>
      <c r="P11" s="77">
        <f>P10*1000000</f>
        <v>28800000</v>
      </c>
    </row>
    <row r="12" spans="2:17">
      <c r="B12" s="75"/>
      <c r="C12" s="75"/>
      <c r="D12" s="75"/>
      <c r="E12" s="75"/>
      <c r="F12" s="78" t="s">
        <v>11</v>
      </c>
      <c r="G12" s="78">
        <v>3.5</v>
      </c>
      <c r="H12" s="78"/>
      <c r="I12" s="78" t="s">
        <v>11</v>
      </c>
      <c r="J12" s="78">
        <v>5</v>
      </c>
      <c r="K12" s="78"/>
      <c r="L12" s="78" t="s">
        <v>11</v>
      </c>
      <c r="M12" s="78">
        <v>16</v>
      </c>
      <c r="N12" s="79">
        <v>3</v>
      </c>
      <c r="O12" s="79">
        <f>O10</f>
        <v>2.5</v>
      </c>
      <c r="P12" s="79">
        <f>SUM(G12,J12,M12,N12,O12)</f>
        <v>30</v>
      </c>
      <c r="Q12" s="1"/>
    </row>
    <row r="13" spans="2:17">
      <c r="B13" s="75"/>
      <c r="C13" s="75"/>
      <c r="D13" s="75"/>
      <c r="E13" s="75"/>
      <c r="F13" s="78" t="s">
        <v>12</v>
      </c>
      <c r="G13" s="80">
        <f>G12*1000000</f>
        <v>3500000</v>
      </c>
      <c r="H13" s="78"/>
      <c r="I13" s="78" t="s">
        <v>12</v>
      </c>
      <c r="J13" s="80">
        <f>J12*1000000</f>
        <v>5000000</v>
      </c>
      <c r="K13" s="78"/>
      <c r="L13" s="78" t="s">
        <v>12</v>
      </c>
      <c r="M13" s="80">
        <f>M12*1000000</f>
        <v>16000000</v>
      </c>
      <c r="N13" s="80">
        <f>N12*1000000</f>
        <v>3000000</v>
      </c>
      <c r="O13" s="80">
        <f>O12*1000000</f>
        <v>2500000</v>
      </c>
      <c r="P13" s="80">
        <f>P12*1000000</f>
        <v>30000000</v>
      </c>
    </row>
  </sheetData>
  <mergeCells count="3">
    <mergeCell ref="E4:G4"/>
    <mergeCell ref="H4:J4"/>
    <mergeCell ref="K4:M4"/>
  </mergeCells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9E9EF-E951-42A0-AE48-47028CC7720A}">
  <sheetPr>
    <tabColor rgb="FFFFFF00"/>
  </sheetPr>
  <dimension ref="B1:S13"/>
  <sheetViews>
    <sheetView workbookViewId="0"/>
  </sheetViews>
  <sheetFormatPr defaultRowHeight="18"/>
  <cols>
    <col min="2" max="2" width="26.08203125" customWidth="1"/>
    <col min="5" max="6" width="10.25" customWidth="1"/>
    <col min="9" max="9" width="10.4140625" bestFit="1" customWidth="1"/>
    <col min="12" max="12" width="10.4140625" bestFit="1" customWidth="1"/>
    <col min="15" max="15" width="11.58203125" bestFit="1" customWidth="1"/>
    <col min="16" max="16" width="10.75" bestFit="1" customWidth="1"/>
    <col min="17" max="17" width="10.75" customWidth="1"/>
    <col min="18" max="18" width="11.58203125" bestFit="1" customWidth="1"/>
    <col min="19" max="19" width="10.75" bestFit="1" customWidth="1"/>
  </cols>
  <sheetData>
    <row r="1" spans="2:19">
      <c r="B1" t="s">
        <v>13</v>
      </c>
      <c r="C1" t="s">
        <v>7</v>
      </c>
      <c r="D1" t="s">
        <v>14</v>
      </c>
      <c r="E1" t="s">
        <v>15</v>
      </c>
    </row>
    <row r="2" spans="2:19">
      <c r="C2">
        <v>1558</v>
      </c>
      <c r="D2">
        <v>1143</v>
      </c>
      <c r="E2">
        <f>D2/C2</f>
        <v>0.73363286264441596</v>
      </c>
    </row>
    <row r="4" spans="2:19">
      <c r="B4" s="70"/>
      <c r="C4" s="70"/>
      <c r="D4" s="70"/>
      <c r="E4" s="70"/>
      <c r="F4" s="70"/>
      <c r="G4" s="156" t="s">
        <v>8</v>
      </c>
      <c r="H4" s="156"/>
      <c r="I4" s="156"/>
      <c r="J4" s="156" t="s">
        <v>9</v>
      </c>
      <c r="K4" s="156"/>
      <c r="L4" s="156"/>
      <c r="M4" s="156" t="s">
        <v>10</v>
      </c>
      <c r="N4" s="156"/>
      <c r="O4" s="156"/>
      <c r="P4" s="71" t="s">
        <v>32</v>
      </c>
      <c r="Q4" s="71" t="s">
        <v>34</v>
      </c>
      <c r="R4" s="70" t="s">
        <v>16</v>
      </c>
    </row>
    <row r="5" spans="2:19">
      <c r="B5" s="70" t="s">
        <v>6</v>
      </c>
      <c r="C5" s="70"/>
      <c r="D5" s="70"/>
      <c r="E5" s="72"/>
      <c r="F5" s="72"/>
      <c r="G5" s="72" t="s">
        <v>3</v>
      </c>
      <c r="H5" s="73"/>
      <c r="I5" s="74"/>
      <c r="J5" s="72" t="s">
        <v>2</v>
      </c>
      <c r="K5" s="73"/>
      <c r="L5" s="74"/>
      <c r="M5" s="72" t="s">
        <v>4</v>
      </c>
      <c r="N5" s="73"/>
      <c r="O5" s="74"/>
      <c r="P5" s="70"/>
      <c r="Q5" s="70"/>
      <c r="R5" s="70"/>
    </row>
    <row r="6" spans="2:19">
      <c r="B6" s="70"/>
      <c r="C6" s="70" t="s">
        <v>7</v>
      </c>
      <c r="D6" s="70" t="s">
        <v>42</v>
      </c>
      <c r="E6" s="70" t="s">
        <v>52</v>
      </c>
      <c r="F6" s="70" t="s">
        <v>51</v>
      </c>
      <c r="G6" s="70" t="s">
        <v>44</v>
      </c>
      <c r="H6" s="70" t="s">
        <v>45</v>
      </c>
      <c r="I6" s="70" t="s">
        <v>46</v>
      </c>
      <c r="J6" s="70" t="s">
        <v>44</v>
      </c>
      <c r="K6" s="70" t="s">
        <v>45</v>
      </c>
      <c r="L6" s="70" t="s">
        <v>46</v>
      </c>
      <c r="M6" s="70" t="s">
        <v>44</v>
      </c>
      <c r="N6" s="70" t="s">
        <v>45</v>
      </c>
      <c r="O6" s="70" t="s">
        <v>46</v>
      </c>
      <c r="P6" s="70"/>
      <c r="Q6" s="70"/>
      <c r="R6" s="70"/>
    </row>
    <row r="7" spans="2:19">
      <c r="B7" s="70" t="s">
        <v>0</v>
      </c>
      <c r="C7" s="2">
        <v>2000</v>
      </c>
      <c r="D7" s="2">
        <f>ROUNDUP(C7*E2,0)</f>
        <v>1468</v>
      </c>
      <c r="E7" s="84">
        <v>312</v>
      </c>
      <c r="F7" s="84">
        <f>D7-E7</f>
        <v>1156</v>
      </c>
      <c r="G7" s="2"/>
      <c r="H7" s="2"/>
      <c r="I7" s="2">
        <f>H7/20</f>
        <v>0</v>
      </c>
      <c r="J7" s="2">
        <v>32</v>
      </c>
      <c r="K7" s="2">
        <f>ROUNDUP(F7/J7,0)</f>
        <v>37</v>
      </c>
      <c r="L7" s="2">
        <f>K7/20</f>
        <v>1.85</v>
      </c>
      <c r="M7" s="2">
        <v>8</v>
      </c>
      <c r="N7" s="2">
        <f>ROUNDUP(F7/M7,0)</f>
        <v>145</v>
      </c>
      <c r="O7" s="2">
        <f>N7/20</f>
        <v>7.25</v>
      </c>
      <c r="P7" s="2"/>
      <c r="Q7" s="2"/>
      <c r="R7" s="2">
        <f>SUM((H7+K7+N7)/20)</f>
        <v>9.1</v>
      </c>
    </row>
    <row r="8" spans="2:19">
      <c r="B8" s="70" t="s">
        <v>1</v>
      </c>
      <c r="C8" s="2">
        <v>237</v>
      </c>
      <c r="D8" s="2">
        <f>ROUNDUP(C8*E2,0)</f>
        <v>174</v>
      </c>
      <c r="E8" s="2"/>
      <c r="F8" s="2">
        <v>174</v>
      </c>
      <c r="G8" s="2">
        <v>4</v>
      </c>
      <c r="H8" s="2">
        <f>ROUNDUP(C8/G8,0)</f>
        <v>60</v>
      </c>
      <c r="I8" s="2">
        <f>H8/20</f>
        <v>3</v>
      </c>
      <c r="J8" s="2">
        <v>4</v>
      </c>
      <c r="K8" s="2">
        <f>ROUNDUP(D8/J8,0)</f>
        <v>44</v>
      </c>
      <c r="L8" s="2">
        <f>K8/20</f>
        <v>2.2000000000000002</v>
      </c>
      <c r="M8" s="2">
        <v>4</v>
      </c>
      <c r="N8" s="2">
        <f>ROUNDUP(C8/M8,0)</f>
        <v>60</v>
      </c>
      <c r="O8" s="2">
        <f>N8/20</f>
        <v>3</v>
      </c>
      <c r="P8" s="2"/>
      <c r="Q8" s="2"/>
      <c r="R8" s="2">
        <f>SUM((H8+K8+N8)/20)</f>
        <v>8.1999999999999993</v>
      </c>
    </row>
    <row r="9" spans="2:19">
      <c r="B9" s="70" t="s">
        <v>5</v>
      </c>
      <c r="C9" s="2" t="s">
        <v>43</v>
      </c>
      <c r="D9" s="2"/>
      <c r="E9" s="2"/>
      <c r="F9" s="2"/>
      <c r="G9" s="2"/>
      <c r="H9" s="2">
        <v>2</v>
      </c>
      <c r="I9" s="2">
        <f>H9/20</f>
        <v>0.1</v>
      </c>
      <c r="J9" s="2"/>
      <c r="K9" s="2">
        <v>2</v>
      </c>
      <c r="L9" s="2">
        <f>K9/20</f>
        <v>0.1</v>
      </c>
      <c r="M9" s="2"/>
      <c r="N9" s="2">
        <v>2</v>
      </c>
      <c r="O9" s="2">
        <f>N9/20</f>
        <v>0.1</v>
      </c>
      <c r="P9" s="2"/>
      <c r="Q9" s="2"/>
      <c r="R9" s="2">
        <f>SUM((H9+K9+N9)/20)</f>
        <v>0.3</v>
      </c>
    </row>
    <row r="10" spans="2:19">
      <c r="B10" s="75"/>
      <c r="C10" s="75"/>
      <c r="D10" s="75"/>
      <c r="E10" s="75"/>
      <c r="F10" s="75"/>
      <c r="G10" s="75"/>
      <c r="H10" s="75"/>
      <c r="I10" s="75">
        <f>SUM(I7:I9)</f>
        <v>3.1</v>
      </c>
      <c r="J10" s="75"/>
      <c r="K10" s="75"/>
      <c r="L10" s="75">
        <f>SUM(L7:L9)</f>
        <v>4.1500000000000004</v>
      </c>
      <c r="M10" s="75"/>
      <c r="N10" s="75"/>
      <c r="O10" s="75">
        <f>SUM(O7:O9)</f>
        <v>10.35</v>
      </c>
      <c r="P10" s="76">
        <v>3</v>
      </c>
      <c r="Q10" s="76">
        <v>2.5</v>
      </c>
      <c r="R10" s="76">
        <f>SUM(R7:R9)+P12+Q12</f>
        <v>23.099999999999998</v>
      </c>
    </row>
    <row r="11" spans="2:19">
      <c r="B11" s="75"/>
      <c r="C11" s="75"/>
      <c r="D11" s="75"/>
      <c r="E11" s="75"/>
      <c r="F11" s="75"/>
      <c r="G11" s="75"/>
      <c r="H11" s="75"/>
      <c r="I11" s="77">
        <f>I10*1000000</f>
        <v>3100000</v>
      </c>
      <c r="J11" s="75"/>
      <c r="K11" s="75"/>
      <c r="L11" s="77">
        <f>L10*1000000</f>
        <v>4150000.0000000005</v>
      </c>
      <c r="M11" s="75"/>
      <c r="N11" s="75"/>
      <c r="O11" s="77">
        <f>O10*1000000</f>
        <v>10350000</v>
      </c>
      <c r="P11" s="77">
        <f>P10*1000000</f>
        <v>3000000</v>
      </c>
      <c r="Q11" s="77">
        <f>Q10*1000000</f>
        <v>2500000</v>
      </c>
      <c r="R11" s="77">
        <f>R10*1000000</f>
        <v>23099999.999999996</v>
      </c>
    </row>
    <row r="12" spans="2:19">
      <c r="B12" s="75"/>
      <c r="C12" s="75"/>
      <c r="D12" s="75"/>
      <c r="E12" s="75"/>
      <c r="F12" s="75"/>
      <c r="G12" s="75"/>
      <c r="H12" s="78" t="s">
        <v>11</v>
      </c>
      <c r="I12" s="78">
        <v>3.5</v>
      </c>
      <c r="J12" s="78"/>
      <c r="K12" s="78" t="s">
        <v>11</v>
      </c>
      <c r="L12" s="78">
        <f>ROUNDUP(L10,1)</f>
        <v>4.1999999999999993</v>
      </c>
      <c r="M12" s="78"/>
      <c r="N12" s="78" t="s">
        <v>11</v>
      </c>
      <c r="O12" s="78">
        <f>ROUNDUP(O10,1)</f>
        <v>10.4</v>
      </c>
      <c r="P12" s="79">
        <v>3</v>
      </c>
      <c r="Q12" s="79">
        <f>Q10</f>
        <v>2.5</v>
      </c>
      <c r="R12" s="79">
        <f>SUM(I12,L12,O12,P12,Q12)</f>
        <v>23.6</v>
      </c>
      <c r="S12" s="1"/>
    </row>
    <row r="13" spans="2:19">
      <c r="B13" s="75"/>
      <c r="C13" s="75"/>
      <c r="D13" s="75"/>
      <c r="E13" s="75"/>
      <c r="F13" s="75"/>
      <c r="G13" s="75"/>
      <c r="H13" s="78" t="s">
        <v>12</v>
      </c>
      <c r="I13" s="80">
        <f>I12*1000000</f>
        <v>3500000</v>
      </c>
      <c r="J13" s="78"/>
      <c r="K13" s="78" t="s">
        <v>12</v>
      </c>
      <c r="L13" s="80">
        <f>L12*1000000</f>
        <v>4199999.9999999991</v>
      </c>
      <c r="M13" s="78"/>
      <c r="N13" s="78" t="s">
        <v>12</v>
      </c>
      <c r="O13" s="80">
        <f>O12*1000000</f>
        <v>10400000</v>
      </c>
      <c r="P13" s="80">
        <f>P12*1000000</f>
        <v>3000000</v>
      </c>
      <c r="Q13" s="80">
        <f>Q12*1000000</f>
        <v>2500000</v>
      </c>
      <c r="R13" s="80">
        <f>R12*1000000</f>
        <v>23600000</v>
      </c>
    </row>
  </sheetData>
  <mergeCells count="3">
    <mergeCell ref="G4:I4"/>
    <mergeCell ref="J4:L4"/>
    <mergeCell ref="M4:O4"/>
  </mergeCells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61B6A-88F4-4170-987F-D86FA5482128}">
  <dimension ref="B1:L10"/>
  <sheetViews>
    <sheetView workbookViewId="0">
      <selection activeCell="C9" sqref="C9"/>
    </sheetView>
  </sheetViews>
  <sheetFormatPr defaultRowHeight="18"/>
  <cols>
    <col min="2" max="2" width="21" customWidth="1"/>
  </cols>
  <sheetData>
    <row r="1" spans="2:12">
      <c r="C1" t="s">
        <v>8</v>
      </c>
      <c r="E1" t="s">
        <v>17</v>
      </c>
      <c r="G1" t="s">
        <v>21</v>
      </c>
      <c r="I1" t="s">
        <v>32</v>
      </c>
      <c r="K1" t="s">
        <v>34</v>
      </c>
    </row>
    <row r="2" spans="2:12">
      <c r="B2" t="s">
        <v>22</v>
      </c>
      <c r="C2" s="4">
        <v>1</v>
      </c>
      <c r="D2">
        <f>C2*1000000</f>
        <v>1000000</v>
      </c>
      <c r="E2" s="4">
        <v>1</v>
      </c>
      <c r="F2">
        <f>E2*1000000</f>
        <v>1000000</v>
      </c>
      <c r="G2" s="4">
        <v>1</v>
      </c>
      <c r="H2">
        <f>G2*1000000</f>
        <v>1000000</v>
      </c>
      <c r="I2">
        <v>0.5</v>
      </c>
      <c r="J2">
        <f>I2*1000000</f>
        <v>500000</v>
      </c>
      <c r="K2" s="4">
        <v>1</v>
      </c>
      <c r="L2">
        <f>K2*1000000</f>
        <v>1000000</v>
      </c>
    </row>
    <row r="3" spans="2:12">
      <c r="C3" t="s">
        <v>3</v>
      </c>
    </row>
    <row r="4" spans="2:12">
      <c r="C4" t="s">
        <v>20</v>
      </c>
    </row>
    <row r="5" spans="2:12">
      <c r="C5" t="s">
        <v>19</v>
      </c>
    </row>
    <row r="6" spans="2:12">
      <c r="C6" t="s">
        <v>18</v>
      </c>
    </row>
    <row r="8" spans="2:12">
      <c r="B8" t="s">
        <v>47</v>
      </c>
      <c r="C8" t="s">
        <v>8</v>
      </c>
      <c r="E8" t="s">
        <v>17</v>
      </c>
    </row>
    <row r="9" spans="2:12">
      <c r="B9" t="s">
        <v>48</v>
      </c>
      <c r="C9" s="4">
        <v>2</v>
      </c>
      <c r="D9">
        <f>C9*1000000</f>
        <v>2000000</v>
      </c>
      <c r="E9" s="4">
        <v>1</v>
      </c>
      <c r="F9">
        <f>E9*1000000</f>
        <v>1000000</v>
      </c>
      <c r="G9" s="4"/>
      <c r="K9" s="4"/>
    </row>
    <row r="10" spans="2:12">
      <c r="C10" t="s">
        <v>49</v>
      </c>
      <c r="E10" t="s">
        <v>50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4" ma:contentTypeDescription="新しいドキュメントを作成します。" ma:contentTypeScope="" ma:versionID="8d136f6bca879cb90346a66279902dfa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b8a779dc52d08a32251a6f3465a5e55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C519CA-331D-441E-A784-959603EFC2B7}"/>
</file>

<file path=customXml/itemProps2.xml><?xml version="1.0" encoding="utf-8"?>
<ds:datastoreItem xmlns:ds="http://schemas.openxmlformats.org/officeDocument/2006/customXml" ds:itemID="{8041FCF3-A49B-4404-AF00-8B44846A54F5}"/>
</file>

<file path=customXml/itemProps3.xml><?xml version="1.0" encoding="utf-8"?>
<ds:datastoreItem xmlns:ds="http://schemas.openxmlformats.org/officeDocument/2006/customXml" ds:itemID="{B63D276F-38D9-4A10-8CA6-C0EFA65FA1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サマリ</vt:lpstr>
      <vt:lpstr>サマリ (丸め調整)</vt:lpstr>
      <vt:lpstr>サマリ (丸め調整) (修正後)</vt:lpstr>
      <vt:lpstr>サマリ（最終版）</vt:lpstr>
      <vt:lpstr>公開AP</vt:lpstr>
      <vt:lpstr>Excel</vt:lpstr>
      <vt:lpstr>Excel (修正後)</vt:lpstr>
      <vt:lpstr>ファイルサーバ・その他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遠矢成洋</dc:creator>
  <cp:lastModifiedBy>遠矢成洋</cp:lastModifiedBy>
  <cp:lastPrinted>2025-02-06T04:49:27Z</cp:lastPrinted>
  <dcterms:created xsi:type="dcterms:W3CDTF">2015-06-05T18:19:34Z</dcterms:created>
  <dcterms:modified xsi:type="dcterms:W3CDTF">2025-03-13T09:25:32Z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</Properties>
</file>