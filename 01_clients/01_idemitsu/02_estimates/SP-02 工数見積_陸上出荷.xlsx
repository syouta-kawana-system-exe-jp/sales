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5"/>
  <workbookPr/>
  <mc:AlternateContent xmlns:mc="http://schemas.openxmlformats.org/markup-compatibility/2006">
    <mc:Choice Requires="x15">
      <x15ac:absPath xmlns:x15ac="http://schemas.microsoft.com/office/spreadsheetml/2010/11/ac" url="C:\Users\s-date.SYSTEM-EXE\Downloads\"/>
    </mc:Choice>
  </mc:AlternateContent>
  <xr:revisionPtr revIDLastSave="27" documentId="11_B7A708CA59E8BEE9213F31176A6EA12621495862" xr6:coauthVersionLast="47" xr6:coauthVersionMax="47" xr10:uidLastSave="{634D0543-E9CA-4DDF-B8FB-7FE6E350CA80}"/>
  <bookViews>
    <workbookView xWindow="0" yWindow="0" windowWidth="28800" windowHeight="12010" firstSheet="1" activeTab="1" xr2:uid="{00000000-000D-0000-FFFF-FFFF00000000}"/>
  </bookViews>
  <sheets>
    <sheet name="サマリ" sheetId="19" r:id="rId1"/>
    <sheet name="工数算出" sheetId="18" r:id="rId2"/>
    <sheet name="Sheet1" sheetId="20" r:id="rId3"/>
    <sheet name="積算基準" sheetId="17" r:id="rId4"/>
  </sheets>
  <definedNames>
    <definedName name="_xlnm._FilterDatabase" localSheetId="1" hidden="1">工数算出!$A$7:$AE$39</definedName>
    <definedName name="その他係数">積算基準!$L$35</definedName>
    <definedName name="バッチ係数">積算基準!$F$29</definedName>
    <definedName name="移行切替係数">積算基準!$K$35</definedName>
    <definedName name="画面係数">積算基準!$D$29</definedName>
    <definedName name="基本設計係数">積算基準!$E$35</definedName>
    <definedName name="結合テスト係数">積算基準!$H$35</definedName>
    <definedName name="高係数">積算基準!$E$41</definedName>
    <definedName name="参照上限高">積算基準!$E$17</definedName>
    <definedName name="参照上限中">積算基準!$F$17</definedName>
    <definedName name="参照上限低">積算基準!$G$17</definedName>
    <definedName name="参照上限特高">積算基準!$D$17</definedName>
    <definedName name="参照上限特低">積算基準!$H$17</definedName>
    <definedName name="受入支援係数">積算基準!$J$35</definedName>
    <definedName name="詳細設計係数">積算基準!$F$35</definedName>
    <definedName name="製作係数">積算基準!$G$35</definedName>
    <definedName name="総合テスト係数">積算基準!$I$35</definedName>
    <definedName name="中係数">積算基準!$F$41</definedName>
    <definedName name="帳票係数">積算基準!$E$29</definedName>
    <definedName name="低係数">積算基準!$G$41</definedName>
    <definedName name="登録上限高">積算基準!$E$16</definedName>
    <definedName name="登録上限中">積算基準!$F$16</definedName>
    <definedName name="登録上限低">積算基準!$G$16</definedName>
    <definedName name="登録上限特高">積算基準!$D$16</definedName>
    <definedName name="登録上限特低">積算基準!$H$16</definedName>
    <definedName name="特高係数">積算基準!$D$41</definedName>
    <definedName name="特低係数">積算基準!$H$41</definedName>
    <definedName name="要件定義係数">積算基準!$D$35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8" l="1"/>
  <c r="M4" i="18"/>
  <c r="P4" i="18"/>
  <c r="O4" i="18"/>
  <c r="T4" i="18"/>
  <c r="S4" i="18"/>
  <c r="R4" i="18"/>
  <c r="Q4" i="18"/>
  <c r="N4" i="18"/>
  <c r="K4" i="18"/>
  <c r="J4" i="18"/>
  <c r="U34" i="17"/>
  <c r="T34" i="17"/>
  <c r="S34" i="17"/>
  <c r="R34" i="17"/>
  <c r="Q34" i="17"/>
  <c r="P34" i="17"/>
  <c r="I34" i="17"/>
  <c r="H34" i="17"/>
  <c r="G34" i="17"/>
  <c r="F34" i="17"/>
  <c r="E34" i="17"/>
  <c r="D34" i="17"/>
  <c r="F29" i="17"/>
  <c r="E29" i="17"/>
  <c r="D29" i="17"/>
  <c r="U23" i="17"/>
  <c r="I23" i="17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R19" i="20" s="1"/>
  <c r="P5" i="20"/>
  <c r="O5" i="20"/>
  <c r="M5" i="20"/>
  <c r="K5" i="20"/>
  <c r="H5" i="20"/>
  <c r="G5" i="20"/>
  <c r="E5" i="20"/>
  <c r="C5" i="20"/>
  <c r="R5" i="20" s="1"/>
  <c r="R4" i="20"/>
  <c r="I39" i="18"/>
  <c r="W37" i="18"/>
  <c r="U37" i="18"/>
  <c r="V37" i="18" s="1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S2" i="18"/>
  <c r="S3" i="18" s="1"/>
  <c r="S5" i="18" s="1"/>
  <c r="C20" i="19" s="1"/>
  <c r="A1" i="18"/>
  <c r="K34" i="17" l="1"/>
  <c r="J34" i="17"/>
  <c r="W34" i="17"/>
  <c r="V34" i="17"/>
  <c r="Y34" i="17" l="1"/>
  <c r="W35" i="17"/>
  <c r="M34" i="17"/>
  <c r="K35" i="17"/>
  <c r="Q38" i="18" l="1"/>
  <c r="Q14" i="18"/>
  <c r="Q16" i="18"/>
  <c r="Q19" i="18"/>
  <c r="Q28" i="18"/>
  <c r="Q30" i="18"/>
  <c r="Q32" i="18"/>
  <c r="Q34" i="18"/>
  <c r="Q36" i="18"/>
  <c r="Q12" i="18"/>
  <c r="Q26" i="18"/>
  <c r="Q18" i="18"/>
  <c r="Q10" i="18"/>
  <c r="Q11" i="18"/>
  <c r="Q17" i="18"/>
  <c r="Q13" i="18"/>
  <c r="Q15" i="18"/>
  <c r="Q25" i="18"/>
  <c r="Q27" i="18"/>
  <c r="Q29" i="18"/>
  <c r="Q31" i="18"/>
  <c r="Q33" i="18"/>
  <c r="Q35" i="18"/>
  <c r="Q39" i="18"/>
  <c r="Q23" i="18"/>
  <c r="Q24" i="18"/>
  <c r="Q22" i="18"/>
  <c r="Q21" i="18"/>
  <c r="Q20" i="18"/>
  <c r="L35" i="17"/>
  <c r="D35" i="17"/>
  <c r="E35" i="17"/>
  <c r="F35" i="17"/>
  <c r="G35" i="17"/>
  <c r="H35" i="17"/>
  <c r="I35" i="17"/>
  <c r="J35" i="17"/>
  <c r="X35" i="17"/>
  <c r="P35" i="17"/>
  <c r="Q35" i="17"/>
  <c r="R35" i="17"/>
  <c r="S35" i="17"/>
  <c r="T35" i="17"/>
  <c r="U35" i="17"/>
  <c r="V35" i="17"/>
  <c r="Y35" i="17" l="1"/>
  <c r="P38" i="18"/>
  <c r="P15" i="18"/>
  <c r="P18" i="18"/>
  <c r="P21" i="18"/>
  <c r="P23" i="18"/>
  <c r="P35" i="18"/>
  <c r="P33" i="18"/>
  <c r="P27" i="18"/>
  <c r="P29" i="18"/>
  <c r="P25" i="18"/>
  <c r="P31" i="18"/>
  <c r="P39" i="18"/>
  <c r="P17" i="18"/>
  <c r="P10" i="18"/>
  <c r="P26" i="18"/>
  <c r="P11" i="18"/>
  <c r="P12" i="18"/>
  <c r="P13" i="18"/>
  <c r="P14" i="18"/>
  <c r="P16" i="18"/>
  <c r="P19" i="18"/>
  <c r="P28" i="18"/>
  <c r="P30" i="18"/>
  <c r="P32" i="18"/>
  <c r="P34" i="18"/>
  <c r="P36" i="18"/>
  <c r="P24" i="18"/>
  <c r="P22" i="18"/>
  <c r="P20" i="18"/>
  <c r="O38" i="18"/>
  <c r="O39" i="18"/>
  <c r="O31" i="18"/>
  <c r="O35" i="18"/>
  <c r="O27" i="18"/>
  <c r="O25" i="18"/>
  <c r="O29" i="18"/>
  <c r="O33" i="18"/>
  <c r="O12" i="18"/>
  <c r="O14" i="18"/>
  <c r="O16" i="18"/>
  <c r="O19" i="18"/>
  <c r="O11" i="18"/>
  <c r="O26" i="18"/>
  <c r="O10" i="18"/>
  <c r="O13" i="18"/>
  <c r="O18" i="18"/>
  <c r="O17" i="18"/>
  <c r="O15" i="18"/>
  <c r="O28" i="18"/>
  <c r="O30" i="18"/>
  <c r="O32" i="18"/>
  <c r="O34" i="18"/>
  <c r="O36" i="18"/>
  <c r="O24" i="18"/>
  <c r="O23" i="18"/>
  <c r="O22" i="18"/>
  <c r="O20" i="18"/>
  <c r="O21" i="18"/>
  <c r="N38" i="18"/>
  <c r="N30" i="18"/>
  <c r="N28" i="18"/>
  <c r="N32" i="18"/>
  <c r="N34" i="18"/>
  <c r="N36" i="18"/>
  <c r="N14" i="18"/>
  <c r="N16" i="18"/>
  <c r="N19" i="18"/>
  <c r="N10" i="18"/>
  <c r="N11" i="18"/>
  <c r="N13" i="18"/>
  <c r="N18" i="18"/>
  <c r="N12" i="18"/>
  <c r="N17" i="18"/>
  <c r="N15" i="18"/>
  <c r="N26" i="18"/>
  <c r="N25" i="18"/>
  <c r="N27" i="18"/>
  <c r="N29" i="18"/>
  <c r="N31" i="18"/>
  <c r="N33" i="18"/>
  <c r="N35" i="18"/>
  <c r="N39" i="18"/>
  <c r="N23" i="18"/>
  <c r="N24" i="18"/>
  <c r="N22" i="18"/>
  <c r="N21" i="18"/>
  <c r="N20" i="18"/>
  <c r="M38" i="18"/>
  <c r="M13" i="18"/>
  <c r="M17" i="18"/>
  <c r="M12" i="18"/>
  <c r="M15" i="18"/>
  <c r="M26" i="18"/>
  <c r="M10" i="18"/>
  <c r="M11" i="18"/>
  <c r="M18" i="18"/>
  <c r="M25" i="18"/>
  <c r="M27" i="18"/>
  <c r="M29" i="18"/>
  <c r="M31" i="18"/>
  <c r="M33" i="18"/>
  <c r="M35" i="18"/>
  <c r="M39" i="18"/>
  <c r="M14" i="18"/>
  <c r="M16" i="18"/>
  <c r="M19" i="18"/>
  <c r="M28" i="18"/>
  <c r="M30" i="18"/>
  <c r="M32" i="18"/>
  <c r="M34" i="18"/>
  <c r="M36" i="18"/>
  <c r="M23" i="18"/>
  <c r="M24" i="18"/>
  <c r="M22" i="18"/>
  <c r="M20" i="18"/>
  <c r="M21" i="18"/>
  <c r="L38" i="18"/>
  <c r="L25" i="18"/>
  <c r="L31" i="18"/>
  <c r="L29" i="18"/>
  <c r="L33" i="18"/>
  <c r="L39" i="18"/>
  <c r="L27" i="18"/>
  <c r="L35" i="18"/>
  <c r="L15" i="18"/>
  <c r="L17" i="18"/>
  <c r="L10" i="18"/>
  <c r="L26" i="18"/>
  <c r="L11" i="18"/>
  <c r="L12" i="18"/>
  <c r="L18" i="18"/>
  <c r="L13" i="18"/>
  <c r="L14" i="18"/>
  <c r="L16" i="18"/>
  <c r="L19" i="18"/>
  <c r="L28" i="18"/>
  <c r="L30" i="18"/>
  <c r="L32" i="18"/>
  <c r="L34" i="18"/>
  <c r="L36" i="18"/>
  <c r="L24" i="18"/>
  <c r="L23" i="18"/>
  <c r="L22" i="18"/>
  <c r="L20" i="18"/>
  <c r="L21" i="18"/>
  <c r="K38" i="18"/>
  <c r="K31" i="18"/>
  <c r="K25" i="18"/>
  <c r="K35" i="18"/>
  <c r="K33" i="18"/>
  <c r="K27" i="18"/>
  <c r="K29" i="18"/>
  <c r="K16" i="18"/>
  <c r="K14" i="18"/>
  <c r="K12" i="18"/>
  <c r="K19" i="18"/>
  <c r="K24" i="18"/>
  <c r="K26" i="18"/>
  <c r="K11" i="18"/>
  <c r="K18" i="18"/>
  <c r="K10" i="18"/>
  <c r="K13" i="18"/>
  <c r="K17" i="18"/>
  <c r="K15" i="18"/>
  <c r="K28" i="18"/>
  <c r="K30" i="18"/>
  <c r="K32" i="18"/>
  <c r="K34" i="18"/>
  <c r="K36" i="18"/>
  <c r="K39" i="18"/>
  <c r="K23" i="18"/>
  <c r="K22" i="18"/>
  <c r="K20" i="18"/>
  <c r="K21" i="18"/>
  <c r="M35" i="17"/>
  <c r="J38" i="18"/>
  <c r="J30" i="18"/>
  <c r="J34" i="18"/>
  <c r="J32" i="18"/>
  <c r="J28" i="18"/>
  <c r="J36" i="18"/>
  <c r="J16" i="18"/>
  <c r="J12" i="18"/>
  <c r="J19" i="18"/>
  <c r="J14" i="18"/>
  <c r="J11" i="18"/>
  <c r="J10" i="18"/>
  <c r="J13" i="18"/>
  <c r="J18" i="18"/>
  <c r="J26" i="18"/>
  <c r="J17" i="18"/>
  <c r="J15" i="18"/>
  <c r="J25" i="18"/>
  <c r="J27" i="18"/>
  <c r="J29" i="18"/>
  <c r="J31" i="18"/>
  <c r="J33" i="18"/>
  <c r="J35" i="18"/>
  <c r="J39" i="18"/>
  <c r="J23" i="18"/>
  <c r="J24" i="18"/>
  <c r="J22" i="18"/>
  <c r="J21" i="18"/>
  <c r="J20" i="18"/>
  <c r="R38" i="18"/>
  <c r="R12" i="18"/>
  <c r="R20" i="18"/>
  <c r="R22" i="18"/>
  <c r="R24" i="18"/>
  <c r="R25" i="18"/>
  <c r="R27" i="18"/>
  <c r="R29" i="18"/>
  <c r="R31" i="18"/>
  <c r="R33" i="18"/>
  <c r="R35" i="18"/>
  <c r="R30" i="18"/>
  <c r="R34" i="18"/>
  <c r="R36" i="18"/>
  <c r="R28" i="18"/>
  <c r="R32" i="18"/>
  <c r="R16" i="18"/>
  <c r="R19" i="18"/>
  <c r="R14" i="18"/>
  <c r="R11" i="18"/>
  <c r="R13" i="18"/>
  <c r="R18" i="18"/>
  <c r="R26" i="18"/>
  <c r="R17" i="18"/>
  <c r="R10" i="18"/>
  <c r="R15" i="18"/>
  <c r="R39" i="18"/>
  <c r="R23" i="18"/>
  <c r="R21" i="18"/>
  <c r="Q2" i="18"/>
  <c r="Q3" i="18" s="1"/>
  <c r="Q5" i="18" s="1"/>
  <c r="C18" i="19" s="1"/>
  <c r="R2" i="18" l="1"/>
  <c r="R3" i="18" s="1"/>
  <c r="R5" i="18" s="1"/>
  <c r="C19" i="19" s="1"/>
  <c r="T20" i="18"/>
  <c r="W20" i="18" s="1"/>
  <c r="U20" i="18"/>
  <c r="V20" i="18" s="1"/>
  <c r="T21" i="18"/>
  <c r="U21" i="18" s="1"/>
  <c r="V21" i="18" s="1"/>
  <c r="W21" i="18"/>
  <c r="T22" i="18"/>
  <c r="W22" i="18" s="1"/>
  <c r="U22" i="18"/>
  <c r="V22" i="18" s="1"/>
  <c r="T24" i="18"/>
  <c r="W24" i="18" s="1"/>
  <c r="U24" i="18"/>
  <c r="V24" i="18" s="1"/>
  <c r="T23" i="18"/>
  <c r="W23" i="18" s="1"/>
  <c r="U23" i="18"/>
  <c r="V23" i="18" s="1"/>
  <c r="T39" i="18"/>
  <c r="W39" i="18" s="1"/>
  <c r="U39" i="18"/>
  <c r="V39" i="18" s="1"/>
  <c r="T35" i="18"/>
  <c r="W35" i="18" s="1"/>
  <c r="U35" i="18"/>
  <c r="V35" i="18" s="1"/>
  <c r="T33" i="18"/>
  <c r="U33" i="18" s="1"/>
  <c r="V33" i="18" s="1"/>
  <c r="W33" i="18"/>
  <c r="T31" i="18"/>
  <c r="U31" i="18" s="1"/>
  <c r="V31" i="18" s="1"/>
  <c r="W31" i="18"/>
  <c r="T29" i="18"/>
  <c r="W29" i="18" s="1"/>
  <c r="U29" i="18"/>
  <c r="V29" i="18" s="1"/>
  <c r="T27" i="18"/>
  <c r="W27" i="18" s="1"/>
  <c r="U27" i="18"/>
  <c r="V27" i="18" s="1"/>
  <c r="T25" i="18"/>
  <c r="W25" i="18" s="1"/>
  <c r="U25" i="18"/>
  <c r="V25" i="18" s="1"/>
  <c r="T15" i="18"/>
  <c r="W15" i="18" s="1"/>
  <c r="U15" i="18"/>
  <c r="V15" i="18" s="1"/>
  <c r="T17" i="18"/>
  <c r="U17" i="18" s="1"/>
  <c r="V17" i="18" s="1"/>
  <c r="W17" i="18"/>
  <c r="T26" i="18"/>
  <c r="W26" i="18" s="1"/>
  <c r="U26" i="18"/>
  <c r="V26" i="18" s="1"/>
  <c r="T18" i="18"/>
  <c r="W18" i="18" s="1"/>
  <c r="U18" i="18"/>
  <c r="V18" i="18" s="1"/>
  <c r="T13" i="18"/>
  <c r="W13" i="18" s="1"/>
  <c r="U13" i="18"/>
  <c r="V13" i="18" s="1"/>
  <c r="T10" i="18"/>
  <c r="J2" i="18"/>
  <c r="W10" i="18"/>
  <c r="T11" i="18"/>
  <c r="W11" i="18" s="1"/>
  <c r="U11" i="18"/>
  <c r="V11" i="18" s="1"/>
  <c r="T14" i="18"/>
  <c r="U14" i="18" s="1"/>
  <c r="V14" i="18" s="1"/>
  <c r="W14" i="18"/>
  <c r="T19" i="18"/>
  <c r="U19" i="18" s="1"/>
  <c r="V19" i="18" s="1"/>
  <c r="W19" i="18"/>
  <c r="T12" i="18"/>
  <c r="U12" i="18" s="1"/>
  <c r="V12" i="18" s="1"/>
  <c r="W12" i="18"/>
  <c r="T16" i="18"/>
  <c r="W16" i="18" s="1"/>
  <c r="U16" i="18"/>
  <c r="V16" i="18" s="1"/>
  <c r="T36" i="18"/>
  <c r="W36" i="18" s="1"/>
  <c r="U36" i="18"/>
  <c r="V36" i="18" s="1"/>
  <c r="T28" i="18"/>
  <c r="W28" i="18" s="1"/>
  <c r="U28" i="18"/>
  <c r="V28" i="18" s="1"/>
  <c r="T32" i="18"/>
  <c r="U32" i="18" s="1"/>
  <c r="V32" i="18" s="1"/>
  <c r="W32" i="18"/>
  <c r="T34" i="18"/>
  <c r="W34" i="18" s="1"/>
  <c r="U34" i="18"/>
  <c r="V34" i="18" s="1"/>
  <c r="T30" i="18"/>
  <c r="W30" i="18" s="1"/>
  <c r="U30" i="18"/>
  <c r="V30" i="18" s="1"/>
  <c r="T38" i="18"/>
  <c r="U38" i="18" s="1"/>
  <c r="V38" i="18" s="1"/>
  <c r="W38" i="18"/>
  <c r="K2" i="18"/>
  <c r="K3" i="18" s="1"/>
  <c r="K5" i="18" s="1"/>
  <c r="C12" i="19" s="1"/>
  <c r="L2" i="18"/>
  <c r="L3" i="18" s="1"/>
  <c r="L5" i="18" s="1"/>
  <c r="C13" i="19" s="1"/>
  <c r="M2" i="18"/>
  <c r="M3" i="18" s="1"/>
  <c r="M5" i="18" s="1"/>
  <c r="C14" i="19" s="1"/>
  <c r="N2" i="18"/>
  <c r="N3" i="18" s="1"/>
  <c r="N5" i="18" s="1"/>
  <c r="C15" i="19" s="1"/>
  <c r="O2" i="18"/>
  <c r="O3" i="18" s="1"/>
  <c r="O5" i="18" s="1"/>
  <c r="C16" i="19" s="1"/>
  <c r="P2" i="18"/>
  <c r="P3" i="18" s="1"/>
  <c r="P5" i="18" s="1"/>
  <c r="C17" i="19" s="1"/>
  <c r="J3" i="18" l="1"/>
  <c r="U10" i="18"/>
  <c r="V10" i="18" s="1"/>
  <c r="T2" i="18"/>
  <c r="T3" i="18" l="1"/>
  <c r="U3" i="18" s="1"/>
  <c r="U2" i="18"/>
  <c r="J5" i="18"/>
  <c r="T5" i="18"/>
  <c r="C21" i="19" s="1"/>
  <c r="U4" i="18"/>
  <c r="F6" i="19" s="1"/>
  <c r="F16" i="19" l="1"/>
  <c r="F18" i="19"/>
  <c r="F12" i="19"/>
  <c r="F15" i="19"/>
  <c r="F13" i="19"/>
  <c r="F14" i="19"/>
  <c r="F17" i="19"/>
  <c r="F11" i="19"/>
  <c r="C11" i="19"/>
  <c r="U5" i="18"/>
  <c r="C4" i="18" s="1"/>
  <c r="C6" i="19" s="1"/>
</calcChain>
</file>

<file path=xl/sharedStrings.xml><?xml version="1.0" encoding="utf-8"?>
<sst xmlns="http://schemas.openxmlformats.org/spreadsheetml/2006/main" count="256" uniqueCount="162">
  <si>
    <t>プロジェクト名</t>
    <rPh sb="6" eb="7">
      <t>メイ</t>
    </rPh>
    <phoneticPr fontId="1"/>
  </si>
  <si>
    <t>■御見積金額</t>
    <rPh sb="1" eb="4">
      <t>オミツモリ</t>
    </rPh>
    <rPh sb="4" eb="6">
      <t>キンガク</t>
    </rPh>
    <phoneticPr fontId="1"/>
  </si>
  <si>
    <t>■最適工期</t>
    <rPh sb="1" eb="3">
      <t>サイテキ</t>
    </rPh>
    <rPh sb="3" eb="5">
      <t>コウキ</t>
    </rPh>
    <phoneticPr fontId="1"/>
  </si>
  <si>
    <t>見積金額合計</t>
    <rPh sb="0" eb="2">
      <t>ミツモリ</t>
    </rPh>
    <rPh sb="2" eb="4">
      <t>キンガク</t>
    </rPh>
    <rPh sb="4" eb="6">
      <t>ゴウケイ</t>
    </rPh>
    <phoneticPr fontId="1"/>
  </si>
  <si>
    <t>全体工期</t>
    <rPh sb="0" eb="2">
      <t>ゼンタイ</t>
    </rPh>
    <rPh sb="2" eb="4">
      <t>コウキ</t>
    </rPh>
    <phoneticPr fontId="1"/>
  </si>
  <si>
    <t>■御見積内訳</t>
    <rPh sb="1" eb="4">
      <t>オミツモリ</t>
    </rPh>
    <rPh sb="4" eb="6">
      <t>ウチワケ</t>
    </rPh>
    <phoneticPr fontId="1"/>
  </si>
  <si>
    <t>要件定義（SA）</t>
    <rPh sb="0" eb="2">
      <t>ヨウケン</t>
    </rPh>
    <rPh sb="2" eb="4">
      <t>テイギ</t>
    </rPh>
    <phoneticPr fontId="1"/>
  </si>
  <si>
    <t>基本設計（UI）</t>
    <rPh sb="0" eb="2">
      <t>キホン</t>
    </rPh>
    <rPh sb="2" eb="4">
      <t>セッケイ</t>
    </rPh>
    <phoneticPr fontId="1"/>
  </si>
  <si>
    <t>詳細設計（SS）</t>
    <rPh sb="0" eb="2">
      <t>ショウサイ</t>
    </rPh>
    <rPh sb="2" eb="4">
      <t>セッケイ</t>
    </rPh>
    <phoneticPr fontId="1"/>
  </si>
  <si>
    <t>開発（PS/PG/PT）</t>
    <rPh sb="0" eb="2">
      <t>カイハツ</t>
    </rPh>
    <phoneticPr fontId="1"/>
  </si>
  <si>
    <t>結合テスト（IT）</t>
    <rPh sb="0" eb="2">
      <t>ケツゴウ</t>
    </rPh>
    <phoneticPr fontId="1"/>
  </si>
  <si>
    <t>システムテスト（ST）</t>
    <phoneticPr fontId="1"/>
  </si>
  <si>
    <t>運用テスト（OT）</t>
    <rPh sb="0" eb="2">
      <t>ウンヨウ</t>
    </rPh>
    <phoneticPr fontId="1"/>
  </si>
  <si>
    <t>本番移行・初期流動（RL）</t>
    <rPh sb="0" eb="2">
      <t>ホンバン</t>
    </rPh>
    <rPh sb="2" eb="4">
      <t>イコウ</t>
    </rPh>
    <rPh sb="5" eb="7">
      <t>ショキ</t>
    </rPh>
    <rPh sb="7" eb="9">
      <t>リュウドウ</t>
    </rPh>
    <phoneticPr fontId="1"/>
  </si>
  <si>
    <t>その他</t>
    <rPh sb="2" eb="3">
      <t>タ</t>
    </rPh>
    <phoneticPr fontId="1"/>
  </si>
  <si>
    <t>-</t>
    <phoneticPr fontId="1"/>
  </si>
  <si>
    <t>調整</t>
    <rPh sb="0" eb="2">
      <t>チョウセイ</t>
    </rPh>
    <phoneticPr fontId="1"/>
  </si>
  <si>
    <t>プロジェクト管理（PM）</t>
    <rPh sb="6" eb="8">
      <t>カンリ</t>
    </rPh>
    <phoneticPr fontId="1"/>
  </si>
  <si>
    <t>SA</t>
    <phoneticPr fontId="1"/>
  </si>
  <si>
    <t>UI</t>
    <phoneticPr fontId="1"/>
  </si>
  <si>
    <t>SS</t>
    <phoneticPr fontId="1"/>
  </si>
  <si>
    <t>PS/PG/PT</t>
    <phoneticPr fontId="1"/>
  </si>
  <si>
    <t>IT</t>
    <phoneticPr fontId="1"/>
  </si>
  <si>
    <t>ST</t>
    <phoneticPr fontId="1"/>
  </si>
  <si>
    <t>OT</t>
    <phoneticPr fontId="1"/>
  </si>
  <si>
    <t>RL</t>
    <phoneticPr fontId="1"/>
  </si>
  <si>
    <t>PM</t>
    <phoneticPr fontId="1"/>
  </si>
  <si>
    <t>合計</t>
    <rPh sb="0" eb="2">
      <t>ゴウケイ</t>
    </rPh>
    <phoneticPr fontId="1"/>
  </si>
  <si>
    <t>工数（人日）</t>
    <rPh sb="0" eb="2">
      <t>コウスウ</t>
    </rPh>
    <rPh sb="3" eb="4">
      <t>ニン</t>
    </rPh>
    <rPh sb="4" eb="5">
      <t>ニチ</t>
    </rPh>
    <phoneticPr fontId="1"/>
  </si>
  <si>
    <t>工数（人月）</t>
    <rPh sb="0" eb="2">
      <t>コウスウ</t>
    </rPh>
    <rPh sb="3" eb="4">
      <t>ニン</t>
    </rPh>
    <rPh sb="4" eb="5">
      <t>ゲツ</t>
    </rPh>
    <phoneticPr fontId="1"/>
  </si>
  <si>
    <t>見積金額</t>
    <rPh sb="0" eb="2">
      <t>ミツモリ</t>
    </rPh>
    <rPh sb="2" eb="4">
      <t>キンガク</t>
    </rPh>
    <phoneticPr fontId="1"/>
  </si>
  <si>
    <t>調整後工数（人月）</t>
    <rPh sb="0" eb="2">
      <t>チョウセイ</t>
    </rPh>
    <rPh sb="2" eb="3">
      <t>ゴ</t>
    </rPh>
    <rPh sb="3" eb="5">
      <t>コウスウ</t>
    </rPh>
    <rPh sb="6" eb="8">
      <t>ニンゲツ</t>
    </rPh>
    <phoneticPr fontId="1"/>
  </si>
  <si>
    <t>金額</t>
    <rPh sb="0" eb="2">
      <t>キンガク</t>
    </rPh>
    <phoneticPr fontId="1"/>
  </si>
  <si>
    <t>：削除・集約候補</t>
    <rPh sb="1" eb="3">
      <t>サクジョ</t>
    </rPh>
    <rPh sb="4" eb="6">
      <t>シュウヤク</t>
    </rPh>
    <rPh sb="6" eb="8">
      <t>コウホ</t>
    </rPh>
    <phoneticPr fontId="1"/>
  </si>
  <si>
    <t>No,</t>
    <phoneticPr fontId="1"/>
  </si>
  <si>
    <t>分類</t>
    <rPh sb="0" eb="2">
      <t>ブンルイ</t>
    </rPh>
    <phoneticPr fontId="1"/>
  </si>
  <si>
    <t>項目</t>
    <rPh sb="0" eb="2">
      <t>コウモク</t>
    </rPh>
    <phoneticPr fontId="1"/>
  </si>
  <si>
    <t>種別</t>
    <rPh sb="0" eb="2">
      <t>シュベツ</t>
    </rPh>
    <phoneticPr fontId="1"/>
  </si>
  <si>
    <t>登録</t>
    <rPh sb="0" eb="2">
      <t>トウロク</t>
    </rPh>
    <phoneticPr fontId="1"/>
  </si>
  <si>
    <t>項目数</t>
    <rPh sb="0" eb="3">
      <t>コウモクスウ</t>
    </rPh>
    <phoneticPr fontId="1"/>
  </si>
  <si>
    <t>難易度（手動）</t>
    <rPh sb="0" eb="3">
      <t>ナンイド</t>
    </rPh>
    <rPh sb="4" eb="6">
      <t>シュドウ</t>
    </rPh>
    <phoneticPr fontId="1"/>
  </si>
  <si>
    <t>難易度（計算）</t>
    <rPh sb="0" eb="3">
      <t>ナンイド</t>
    </rPh>
    <rPh sb="4" eb="6">
      <t>ケイサン</t>
    </rPh>
    <phoneticPr fontId="1"/>
  </si>
  <si>
    <t>難易度（採用）</t>
    <rPh sb="0" eb="3">
      <t>ナンイド</t>
    </rPh>
    <rPh sb="4" eb="6">
      <t>サイヨウ</t>
    </rPh>
    <phoneticPr fontId="1"/>
  </si>
  <si>
    <t>合計（人日）</t>
    <rPh sb="0" eb="2">
      <t>ゴウケイ</t>
    </rPh>
    <rPh sb="3" eb="4">
      <t>ニン</t>
    </rPh>
    <rPh sb="4" eb="5">
      <t>ニチ</t>
    </rPh>
    <phoneticPr fontId="1"/>
  </si>
  <si>
    <t>合計（人月）</t>
    <rPh sb="0" eb="2">
      <t>ゴウケイ</t>
    </rPh>
    <rPh sb="3" eb="5">
      <t>ニンゲツ</t>
    </rPh>
    <phoneticPr fontId="1"/>
  </si>
  <si>
    <t>備考</t>
    <rPh sb="0" eb="2">
      <t>ビコウ</t>
    </rPh>
    <phoneticPr fontId="1"/>
  </si>
  <si>
    <t>1</t>
    <phoneticPr fontId="1"/>
  </si>
  <si>
    <t>メニュー</t>
    <phoneticPr fontId="1"/>
  </si>
  <si>
    <t>画面</t>
  </si>
  <si>
    <t>有</t>
  </si>
  <si>
    <t>4</t>
  </si>
  <si>
    <t>MEKローリー予約送信(ファイル出力)</t>
    <rPh sb="16" eb="18">
      <t>シュツリョク</t>
    </rPh>
    <phoneticPr fontId="1"/>
  </si>
  <si>
    <t>バッチ</t>
  </si>
  <si>
    <t>5</t>
  </si>
  <si>
    <t>MEKローリー予約送信(監視ジョブ)</t>
    <rPh sb="12" eb="14">
      <t>カンシ</t>
    </rPh>
    <phoneticPr fontId="1"/>
  </si>
  <si>
    <t>無</t>
  </si>
  <si>
    <t>6</t>
  </si>
  <si>
    <t>MEKローリー予約送信(OWFT)</t>
    <phoneticPr fontId="1"/>
  </si>
  <si>
    <t>7</t>
  </si>
  <si>
    <t>MEKドラム出荷予約送信(ファイル出力)</t>
    <rPh sb="17" eb="19">
      <t>シュツリョク</t>
    </rPh>
    <phoneticPr fontId="1"/>
  </si>
  <si>
    <t>8</t>
  </si>
  <si>
    <t>MEKドラム出荷予約送信(監視ジョブ)</t>
    <rPh sb="13" eb="15">
      <t>カンシ</t>
    </rPh>
    <phoneticPr fontId="1"/>
  </si>
  <si>
    <t>9</t>
  </si>
  <si>
    <t>MEKドラム出荷予約送信(OWFT)</t>
    <phoneticPr fontId="1"/>
  </si>
  <si>
    <t>10</t>
  </si>
  <si>
    <t>MEKローリー実績受信(ファイル取込)</t>
    <rPh sb="16" eb="18">
      <t>トリコミ</t>
    </rPh>
    <phoneticPr fontId="1"/>
  </si>
  <si>
    <t>12</t>
  </si>
  <si>
    <t>MEKローリー実績受信(OWFT)</t>
    <phoneticPr fontId="1"/>
  </si>
  <si>
    <t>13</t>
  </si>
  <si>
    <t>MEKドラム出荷実績受信(ファイル取込)</t>
    <phoneticPr fontId="1"/>
  </si>
  <si>
    <t>15</t>
  </si>
  <si>
    <t>MEKドラム出荷実績受信(OWFT)</t>
    <phoneticPr fontId="1"/>
  </si>
  <si>
    <t>16</t>
  </si>
  <si>
    <t>ログ処理</t>
    <rPh sb="2" eb="4">
      <t>ショリ</t>
    </rPh>
    <phoneticPr fontId="1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</si>
  <si>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</si>
  <si>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</si>
  <si>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</si>
  <si>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</si>
  <si>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</si>
  <si>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</si>
  <si>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</si>
  <si>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</si>
  <si>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</si>
  <si>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</si>
  <si>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</si>
  <si>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</si>
  <si>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</si>
  <si>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</si>
  <si>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</si>
  <si>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45</t>
  </si>
  <si>
    <t>会議</t>
  </si>
  <si>
    <t>会議費（週次定例、工程レビュー）</t>
  </si>
  <si>
    <t>低</t>
    <phoneticPr fontId="1"/>
  </si>
  <si>
    <t>46</t>
  </si>
  <si>
    <t>他システム調整（陸上システム、SAP）</t>
    <rPh sb="8" eb="10">
      <t>リクジョウ</t>
    </rPh>
    <phoneticPr fontId="1"/>
  </si>
  <si>
    <t>帳票</t>
  </si>
  <si>
    <t>47</t>
  </si>
  <si>
    <t>M月</t>
  </si>
  <si>
    <t>+1月</t>
  </si>
  <si>
    <t>+2月</t>
  </si>
  <si>
    <t>+3月</t>
  </si>
  <si>
    <t>+4月</t>
  </si>
  <si>
    <t>+5月</t>
  </si>
  <si>
    <t>+6月</t>
  </si>
  <si>
    <t>+7月</t>
  </si>
  <si>
    <t>+8月</t>
  </si>
  <si>
    <t>+9月</t>
  </si>
  <si>
    <t>+10月</t>
  </si>
  <si>
    <t>+11月</t>
  </si>
  <si>
    <t>+12月</t>
  </si>
  <si>
    <t>+13月</t>
  </si>
  <si>
    <t>+14月</t>
  </si>
  <si>
    <t>要件定義</t>
  </si>
  <si>
    <t>基本設計/詳細設計</t>
  </si>
  <si>
    <t>開発</t>
  </si>
  <si>
    <t>結合テスト</t>
  </si>
  <si>
    <t>システムテスト</t>
  </si>
  <si>
    <t>運用テスト</t>
  </si>
  <si>
    <t>導入・初期流動</t>
  </si>
  <si>
    <t>合計</t>
  </si>
  <si>
    <t>見積工数</t>
  </si>
  <si>
    <t>要員（管理者除く）</t>
  </si>
  <si>
    <t>単価</t>
  </si>
  <si>
    <t>PM</t>
  </si>
  <si>
    <t>PL</t>
  </si>
  <si>
    <t>メンバー</t>
  </si>
  <si>
    <t>積算基準</t>
    <rPh sb="0" eb="2">
      <t>セキサン</t>
    </rPh>
    <rPh sb="2" eb="4">
      <t>キジュン</t>
    </rPh>
    <phoneticPr fontId="1"/>
  </si>
  <si>
    <t>１．難易度を「特高」～「特低」までの５段階に分類する。</t>
    <rPh sb="2" eb="5">
      <t>ナンイド</t>
    </rPh>
    <rPh sb="7" eb="8">
      <t>トク</t>
    </rPh>
    <rPh sb="8" eb="9">
      <t>コウ</t>
    </rPh>
    <rPh sb="12" eb="13">
      <t>トク</t>
    </rPh>
    <rPh sb="13" eb="14">
      <t>テイ</t>
    </rPh>
    <rPh sb="19" eb="21">
      <t>ダンカイ</t>
    </rPh>
    <rPh sb="22" eb="24">
      <t>ブンルイ</t>
    </rPh>
    <phoneticPr fontId="1"/>
  </si>
  <si>
    <t>難易度</t>
    <rPh sb="0" eb="3">
      <t>ナンイド</t>
    </rPh>
    <phoneticPr fontId="1"/>
  </si>
  <si>
    <t>特高</t>
    <rPh sb="0" eb="1">
      <t>トク</t>
    </rPh>
    <rPh sb="1" eb="2">
      <t>コウ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</si>
  <si>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</si>
  <si>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</si>
  <si>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低</t>
    <rPh sb="0" eb="1">
      <t>テイ</t>
    </rPh>
    <phoneticPr fontId="1"/>
  </si>
  <si>
    <t>特低</t>
    <rPh sb="0" eb="1">
      <t>トク</t>
    </rPh>
    <rPh sb="1" eb="2">
      <t>テイ</t>
    </rPh>
    <phoneticPr fontId="1"/>
  </si>
  <si>
    <t>２．難易度の判断基準は、項目数により、区別する。</t>
    <rPh sb="2" eb="5">
      <t>ナンイド</t>
    </rPh>
    <rPh sb="6" eb="8">
      <t>ハンダン</t>
    </rPh>
    <rPh sb="8" eb="10">
      <t>キジュン</t>
    </rPh>
    <rPh sb="12" eb="14">
      <t>コウモク</t>
    </rPh>
    <rPh sb="14" eb="15">
      <t>スウ</t>
    </rPh>
    <rPh sb="19" eb="21">
      <t>クベツ</t>
    </rPh>
    <phoneticPr fontId="1"/>
  </si>
  <si>
    <t>難易度判定：基準項目数</t>
    <rPh sb="0" eb="3">
      <t>ナンイド</t>
    </rPh>
    <rPh sb="3" eb="5">
      <t>ハンテイ</t>
    </rPh>
    <rPh sb="6" eb="8">
      <t>キジュン</t>
    </rPh>
    <rPh sb="8" eb="11">
      <t>コウモクスウ</t>
    </rPh>
    <phoneticPr fontId="1"/>
  </si>
  <si>
    <t>参照</t>
    <rPh sb="0" eb="2">
      <t>サンショウ</t>
    </rPh>
    <phoneticPr fontId="1"/>
  </si>
  <si>
    <t>３．IPA発行「ソフトウェア開発データ白書」に基づく、各工程の工数比率を使用する。</t>
    <rPh sb="5" eb="7">
      <t>ハッコウ</t>
    </rPh>
    <rPh sb="14" eb="16">
      <t>カイハツ</t>
    </rPh>
    <rPh sb="19" eb="21">
      <t>ハクショ</t>
    </rPh>
    <rPh sb="23" eb="24">
      <t>モト</t>
    </rPh>
    <rPh sb="27" eb="28">
      <t>カク</t>
    </rPh>
    <rPh sb="28" eb="30">
      <t>コウテイ</t>
    </rPh>
    <rPh sb="31" eb="33">
      <t>コウスウ</t>
    </rPh>
    <rPh sb="33" eb="35">
      <t>ヒリツ</t>
    </rPh>
    <rPh sb="36" eb="38">
      <t>シヨウ</t>
    </rPh>
    <phoneticPr fontId="1"/>
  </si>
  <si>
    <t>工数比率（IPA　ソフトウェア開発データ白書 2016-2017より）</t>
    <rPh sb="0" eb="2">
      <t>コウスウ</t>
    </rPh>
    <rPh sb="2" eb="4">
      <t>ヒリツ</t>
    </rPh>
    <phoneticPr fontId="1"/>
  </si>
  <si>
    <t>工期比率（IPA　ソフトウェア開発データ白書 2016-2017より）</t>
    <rPh sb="0" eb="2">
      <t>コウキ</t>
    </rPh>
    <rPh sb="2" eb="4">
      <t>ヒリツ</t>
    </rPh>
    <phoneticPr fontId="1"/>
  </si>
  <si>
    <t>工程</t>
    <rPh sb="0" eb="2">
      <t>コウテイ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</si>
  <si>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</si>
  <si>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</si>
  <si>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製作</t>
    <rPh sb="0" eb="2">
      <t>セイサク</t>
    </rPh>
    <phoneticPr fontId="1"/>
  </si>
  <si>
    <t>結合テスト</t>
    <rPh sb="0" eb="2">
      <t>ケツゴウ</t>
    </rPh>
    <phoneticPr fontId="1"/>
  </si>
  <si>
    <t>総合テスト</t>
    <rPh sb="0" eb="2">
      <t>ソウゴウ</t>
    </rPh>
    <phoneticPr fontId="1"/>
  </si>
  <si>
    <t>計</t>
    <rPh sb="0" eb="1">
      <t>ケイ</t>
    </rPh>
    <phoneticPr fontId="1"/>
  </si>
  <si>
    <t>工数比率</t>
    <rPh sb="0" eb="2">
      <t>コウスウ</t>
    </rPh>
    <rPh sb="2" eb="4">
      <t>ヒリツ</t>
    </rPh>
    <phoneticPr fontId="1"/>
  </si>
  <si>
    <t>工期比率</t>
    <rPh sb="0" eb="2">
      <t>コウキ</t>
    </rPh>
    <rPh sb="2" eb="4">
      <t>ヒリツ</t>
    </rPh>
    <phoneticPr fontId="1"/>
  </si>
  <si>
    <t>４．難易度「中」の基本設計～システムテストまでの標準工数を以下とする。</t>
    <rPh sb="2" eb="5">
      <t>ナンイド</t>
    </rPh>
    <rPh sb="6" eb="7">
      <t>チュウ</t>
    </rPh>
    <rPh sb="9" eb="11">
      <t>キホン</t>
    </rPh>
    <rPh sb="11" eb="13">
      <t>セッケイ</t>
    </rPh>
    <rPh sb="29" eb="31">
      <t>イカ</t>
    </rPh>
    <phoneticPr fontId="1"/>
  </si>
  <si>
    <t>標準工数（JUASソフトウェアメトリックス調査より）</t>
    <rPh sb="0" eb="2">
      <t>ヒョウジュン</t>
    </rPh>
    <rPh sb="2" eb="4">
      <t>コウスウ</t>
    </rPh>
    <rPh sb="21" eb="23">
      <t>チョウサ</t>
    </rPh>
    <phoneticPr fontId="1"/>
  </si>
  <si>
    <t>画面</t>
    <rPh sb="0" eb="2">
      <t>ガメン</t>
    </rPh>
    <phoneticPr fontId="1"/>
  </si>
  <si>
    <t>帳票</t>
    <rPh sb="0" eb="2">
      <t>チョウヒョウ</t>
    </rPh>
    <phoneticPr fontId="1"/>
  </si>
  <si>
    <t>バッチ</t>
    <phoneticPr fontId="1"/>
  </si>
  <si>
    <t>５．他の工程の工数を下記の基準により算出する。</t>
    <rPh sb="2" eb="3">
      <t>タ</t>
    </rPh>
    <rPh sb="4" eb="6">
      <t>コウテイ</t>
    </rPh>
    <rPh sb="7" eb="9">
      <t>コウスウ</t>
    </rPh>
    <rPh sb="10" eb="12">
      <t>カキ</t>
    </rPh>
    <rPh sb="13" eb="15">
      <t>キジュン</t>
    </rPh>
    <rPh sb="18" eb="20">
      <t>サンシュツ</t>
    </rPh>
    <phoneticPr fontId="1"/>
  </si>
  <si>
    <t>要件定義</t>
    <rPh sb="0" eb="2">
      <t>ヨウケン</t>
    </rPh>
    <rPh sb="2" eb="4">
      <t>テイギ</t>
    </rPh>
    <phoneticPr fontId="1"/>
  </si>
  <si>
    <t>受入支援</t>
    <rPh sb="0" eb="2">
      <t>ウケイレ</t>
    </rPh>
    <rPh sb="2" eb="4">
      <t>シエン</t>
    </rPh>
    <phoneticPr fontId="1"/>
  </si>
  <si>
    <t>移行切替</t>
    <rPh sb="0" eb="2">
      <t>イコウ</t>
    </rPh>
    <rPh sb="2" eb="4">
      <t>キリカエ</t>
    </rPh>
    <phoneticPr fontId="1"/>
  </si>
  <si>
    <t>5工程基準</t>
    <rPh sb="1" eb="3">
      <t>コウテイ</t>
    </rPh>
    <rPh sb="3" eb="5">
      <t>キジュン</t>
    </rPh>
    <phoneticPr fontId="1"/>
  </si>
  <si>
    <t>全体比率</t>
    <rPh sb="0" eb="2">
      <t>ゼンタイ</t>
    </rPh>
    <rPh sb="2" eb="4">
      <t>ヒリツ</t>
    </rPh>
    <phoneticPr fontId="1"/>
  </si>
  <si>
    <t>６．他の難易度の工数は、下記の係数に基づき、積算する。</t>
    <rPh sb="2" eb="3">
      <t>タ</t>
    </rPh>
    <rPh sb="4" eb="7">
      <t>ナンイド</t>
    </rPh>
    <rPh sb="8" eb="10">
      <t>コウスウ</t>
    </rPh>
    <rPh sb="12" eb="14">
      <t>カキ</t>
    </rPh>
    <rPh sb="15" eb="17">
      <t>ケイスウ</t>
    </rPh>
    <rPh sb="18" eb="19">
      <t>モト</t>
    </rPh>
    <rPh sb="22" eb="24">
      <t>セキサン</t>
    </rPh>
    <phoneticPr fontId="1"/>
  </si>
  <si>
    <t>難易度別の工数係数</t>
    <rPh sb="0" eb="3">
      <t>ナンイド</t>
    </rPh>
    <rPh sb="3" eb="4">
      <t>ベツ</t>
    </rPh>
    <rPh sb="5" eb="7">
      <t>コウスウ</t>
    </rPh>
    <rPh sb="7" eb="9">
      <t>ケイスウ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</si>
</sst>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.0_ "/>
    <numFmt numFmtId="177" formatCode="0.00_);[Red]\(0.00\)"/>
    <numFmt numFmtId="178" formatCode="0.00_ "/>
    <numFmt numFmtId="179" formatCode="&quot;¥&quot;#,##0_);[Red]\(&quot;¥&quot;#,##0\)"/>
    <numFmt numFmtId="180" formatCode="0_ "/>
    <numFmt numFmtId="181" formatCode="0.000_);[Red]\(0.000\)"/>
    <numFmt numFmtId="182" formatCode="0.0_);[Red]\(0.0\)"/>
    <numFmt numFmtId="183" formatCode="#,##0.0_);[Red]\(#,##0.0\)"/>
    <numFmt numFmtId="184" formatCode="0.000_ "/>
    <numFmt numFmtId="185" formatCode="#,##0.000_ "/>
    <numFmt numFmtId="186" formatCode="#,##0.0_ ;[Red]\-#,##0.0\ "/>
    <numFmt numFmtId="187" formatCode="0.00\ &quot;ヶ&quot;&quot;月&quot;"/>
    <numFmt numFmtId="188" formatCode="_-[$¥-411]* #,##0_-;\-[$¥-411]* #,##0_-;_-[$¥-411]* &quot;-&quot;??_-;_-@_-"/>
    <numFmt numFmtId="189" formatCode="0.000"/>
  </numFmts>
  <fonts count="1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0" tint="-0.499984740745262"/>
      <name val="ＭＳ 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8"/>
      <name val="Arial"/>
      <family val="2"/>
    </font>
    <font>
      <b/>
      <sz val="14"/>
      <color rgb="FFFFFFFF"/>
      <name val="游ゴシック"/>
      <family val="3"/>
      <charset val="128"/>
    </font>
    <font>
      <sz val="16"/>
      <color rgb="FF000000"/>
      <name val="游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AF2D4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0" fontId="5" fillId="0" borderId="0">
      <alignment vertical="center"/>
    </xf>
  </cellStyleXfs>
  <cellXfs count="111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81" fontId="0" fillId="4" borderId="1" xfId="0" applyNumberFormat="1" applyFill="1" applyBorder="1" applyAlignment="1">
      <alignment horizontal="right" vertical="center"/>
    </xf>
    <xf numFmtId="0" fontId="2" fillId="0" borderId="0" xfId="0" applyFont="1">
      <alignment vertical="center"/>
    </xf>
    <xf numFmtId="183" fontId="0" fillId="5" borderId="1" xfId="0" applyNumberFormat="1" applyFill="1" applyBorder="1" applyAlignment="1">
      <alignment horizontal="right" vertical="center"/>
    </xf>
    <xf numFmtId="176" fontId="0" fillId="5" borderId="6" xfId="0" applyNumberFormat="1" applyFill="1" applyBorder="1" applyAlignment="1">
      <alignment horizontal="center" vertical="center"/>
    </xf>
    <xf numFmtId="183" fontId="0" fillId="5" borderId="6" xfId="0" applyNumberFormat="1" applyFill="1" applyBorder="1" applyAlignment="1">
      <alignment horizontal="right" vertical="center"/>
    </xf>
    <xf numFmtId="176" fontId="0" fillId="5" borderId="1" xfId="0" applyNumberForma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3" applyFont="1">
      <alignment vertical="center"/>
    </xf>
    <xf numFmtId="0" fontId="7" fillId="4" borderId="1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6" fillId="0" borderId="0" xfId="3" applyNumberFormat="1" applyFont="1">
      <alignment vertical="center"/>
    </xf>
    <xf numFmtId="0" fontId="6" fillId="4" borderId="1" xfId="0" applyFont="1" applyFill="1" applyBorder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180" fontId="6" fillId="0" borderId="1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184" fontId="6" fillId="0" borderId="1" xfId="0" applyNumberFormat="1" applyFont="1" applyBorder="1">
      <alignment vertical="center"/>
    </xf>
    <xf numFmtId="184" fontId="6" fillId="3" borderId="1" xfId="0" applyNumberFormat="1" applyFont="1" applyFill="1" applyBorder="1">
      <alignment vertical="center"/>
    </xf>
    <xf numFmtId="0" fontId="6" fillId="2" borderId="14" xfId="0" applyFont="1" applyFill="1" applyBorder="1" applyAlignment="1">
      <alignment horizontal="center" vertical="center"/>
    </xf>
    <xf numFmtId="184" fontId="8" fillId="3" borderId="5" xfId="0" applyNumberFormat="1" applyFont="1" applyFill="1" applyBorder="1">
      <alignment vertical="center"/>
    </xf>
    <xf numFmtId="184" fontId="8" fillId="3" borderId="2" xfId="0" applyNumberFormat="1" applyFont="1" applyFill="1" applyBorder="1">
      <alignment vertical="center"/>
    </xf>
    <xf numFmtId="184" fontId="8" fillId="3" borderId="3" xfId="0" applyNumberFormat="1" applyFont="1" applyFill="1" applyBorder="1">
      <alignment vertical="center"/>
    </xf>
    <xf numFmtId="184" fontId="8" fillId="3" borderId="10" xfId="0" applyNumberFormat="1" applyFont="1" applyFill="1" applyBorder="1">
      <alignment vertical="center"/>
    </xf>
    <xf numFmtId="184" fontId="8" fillId="3" borderId="4" xfId="0" applyNumberFormat="1" applyFont="1" applyFill="1" applyBorder="1">
      <alignment vertical="center"/>
    </xf>
    <xf numFmtId="184" fontId="8" fillId="3" borderId="1" xfId="0" applyNumberFormat="1" applyFont="1" applyFill="1" applyBorder="1">
      <alignment vertical="center"/>
    </xf>
    <xf numFmtId="185" fontId="6" fillId="3" borderId="1" xfId="0" applyNumberFormat="1" applyFont="1" applyFill="1" applyBorder="1">
      <alignment vertical="center"/>
    </xf>
    <xf numFmtId="185" fontId="6" fillId="3" borderId="6" xfId="0" applyNumberFormat="1" applyFont="1" applyFill="1" applyBorder="1">
      <alignment vertical="center"/>
    </xf>
    <xf numFmtId="184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82" fontId="0" fillId="4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9" fontId="0" fillId="4" borderId="1" xfId="0" applyNumberFormat="1" applyFill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center" vertical="center"/>
    </xf>
    <xf numFmtId="180" fontId="2" fillId="5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right" vertical="center"/>
    </xf>
    <xf numFmtId="9" fontId="0" fillId="5" borderId="1" xfId="0" applyNumberFormat="1" applyFill="1" applyBorder="1" applyAlignment="1">
      <alignment horizontal="right" vertical="center"/>
    </xf>
    <xf numFmtId="177" fontId="0" fillId="5" borderId="1" xfId="0" applyNumberFormat="1" applyFill="1" applyBorder="1" applyAlignment="1">
      <alignment horizontal="right" vertical="center"/>
    </xf>
    <xf numFmtId="179" fontId="0" fillId="5" borderId="1" xfId="0" applyNumberFormat="1" applyFill="1" applyBorder="1" applyAlignment="1">
      <alignment horizontal="right" vertical="center"/>
    </xf>
    <xf numFmtId="177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86" fontId="0" fillId="0" borderId="1" xfId="0" applyNumberFormat="1" applyBorder="1" applyAlignment="1">
      <alignment horizontal="right" vertical="center"/>
    </xf>
    <xf numFmtId="183" fontId="0" fillId="4" borderId="1" xfId="0" applyNumberFormat="1" applyFill="1" applyBorder="1" applyAlignment="1">
      <alignment horizontal="right" vertical="center"/>
    </xf>
    <xf numFmtId="177" fontId="0" fillId="4" borderId="1" xfId="0" applyNumberFormat="1" applyFill="1" applyBorder="1" applyAlignment="1">
      <alignment horizontal="left" vertical="center"/>
    </xf>
    <xf numFmtId="186" fontId="0" fillId="0" borderId="6" xfId="0" applyNumberFormat="1" applyBorder="1" applyAlignment="1">
      <alignment horizontal="right" vertical="center"/>
    </xf>
    <xf numFmtId="183" fontId="0" fillId="4" borderId="6" xfId="0" applyNumberFormat="1" applyFill="1" applyBorder="1" applyAlignment="1">
      <alignment horizontal="right" vertical="center"/>
    </xf>
    <xf numFmtId="181" fontId="0" fillId="4" borderId="6" xfId="0" applyNumberFormat="1" applyFill="1" applyBorder="1" applyAlignment="1">
      <alignment horizontal="right" vertical="center"/>
    </xf>
    <xf numFmtId="179" fontId="0" fillId="4" borderId="6" xfId="0" applyNumberFormat="1" applyFill="1" applyBorder="1" applyAlignment="1">
      <alignment horizontal="right" vertical="center"/>
    </xf>
    <xf numFmtId="177" fontId="0" fillId="4" borderId="6" xfId="0" applyNumberFormat="1" applyFill="1" applyBorder="1" applyAlignment="1">
      <alignment horizontal="left" vertical="center"/>
    </xf>
    <xf numFmtId="49" fontId="2" fillId="5" borderId="15" xfId="0" applyNumberFormat="1" applyFont="1" applyFill="1" applyBorder="1" applyAlignment="1">
      <alignment horizontal="center" vertical="center"/>
    </xf>
    <xf numFmtId="176" fontId="2" fillId="5" borderId="15" xfId="0" applyNumberFormat="1" applyFont="1" applyFill="1" applyBorder="1" applyAlignment="1">
      <alignment horizontal="left" vertical="center"/>
    </xf>
    <xf numFmtId="176" fontId="2" fillId="5" borderId="15" xfId="0" applyNumberFormat="1" applyFont="1" applyFill="1" applyBorder="1" applyAlignment="1">
      <alignment horizontal="center" vertical="center"/>
    </xf>
    <xf numFmtId="180" fontId="2" fillId="5" borderId="15" xfId="0" applyNumberFormat="1" applyFont="1" applyFill="1" applyBorder="1" applyAlignment="1">
      <alignment horizontal="center" vertical="center"/>
    </xf>
    <xf numFmtId="176" fontId="0" fillId="5" borderId="15" xfId="0" applyNumberFormat="1" applyFill="1" applyBorder="1" applyAlignment="1">
      <alignment horizontal="center" vertical="center"/>
    </xf>
    <xf numFmtId="179" fontId="0" fillId="0" borderId="15" xfId="0" applyNumberFormat="1" applyBorder="1" applyAlignment="1">
      <alignment horizontal="right" vertical="center"/>
    </xf>
    <xf numFmtId="177" fontId="0" fillId="5" borderId="15" xfId="0" applyNumberFormat="1" applyFill="1" applyBorder="1" applyAlignment="1">
      <alignment horizontal="right" vertical="center"/>
    </xf>
    <xf numFmtId="179" fontId="0" fillId="5" borderId="15" xfId="0" applyNumberFormat="1" applyFill="1" applyBorder="1" applyAlignment="1">
      <alignment horizontal="right" vertical="center"/>
    </xf>
    <xf numFmtId="177" fontId="0" fillId="5" borderId="15" xfId="0" applyNumberForma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179" fontId="0" fillId="0" borderId="1" xfId="0" applyNumberFormat="1" applyBorder="1">
      <alignment vertical="center"/>
    </xf>
    <xf numFmtId="49" fontId="9" fillId="2" borderId="2" xfId="0" applyNumberFormat="1" applyFont="1" applyFill="1" applyBorder="1" applyAlignment="1">
      <alignment horizontal="left" vertical="center"/>
    </xf>
    <xf numFmtId="179" fontId="9" fillId="0" borderId="10" xfId="0" applyNumberFormat="1" applyFont="1" applyBorder="1">
      <alignment vertical="center"/>
    </xf>
    <xf numFmtId="0" fontId="9" fillId="0" borderId="16" xfId="0" applyFont="1" applyBorder="1" applyAlignment="1">
      <alignment horizontal="left" vertical="top"/>
    </xf>
    <xf numFmtId="187" fontId="9" fillId="5" borderId="10" xfId="0" applyNumberFormat="1" applyFont="1" applyFill="1" applyBorder="1">
      <alignment vertical="center"/>
    </xf>
    <xf numFmtId="187" fontId="2" fillId="5" borderId="1" xfId="0" applyNumberFormat="1" applyFont="1" applyFill="1" applyBorder="1" applyAlignment="1">
      <alignment horizontal="right" vertical="center"/>
    </xf>
    <xf numFmtId="179" fontId="11" fillId="5" borderId="1" xfId="0" applyNumberFormat="1" applyFont="1" applyFill="1" applyBorder="1" applyAlignment="1">
      <alignment horizontal="right" vertical="center"/>
    </xf>
    <xf numFmtId="176" fontId="0" fillId="0" borderId="6" xfId="0" applyNumberFormat="1" applyBorder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176" fontId="0" fillId="0" borderId="0" xfId="0" quotePrefix="1" applyNumberFormat="1">
      <alignment vertical="center"/>
    </xf>
    <xf numFmtId="0" fontId="12" fillId="7" borderId="17" xfId="0" applyFont="1" applyFill="1" applyBorder="1" applyAlignment="1">
      <alignment vertical="center" readingOrder="1"/>
    </xf>
    <xf numFmtId="0" fontId="13" fillId="8" borderId="17" xfId="0" applyFont="1" applyFill="1" applyBorder="1" applyAlignment="1">
      <alignment vertical="center" readingOrder="1"/>
    </xf>
    <xf numFmtId="0" fontId="13" fillId="8" borderId="17" xfId="0" quotePrefix="1" applyFont="1" applyFill="1" applyBorder="1" applyAlignment="1">
      <alignment vertical="center" readingOrder="1"/>
    </xf>
    <xf numFmtId="0" fontId="14" fillId="9" borderId="17" xfId="0" applyFont="1" applyFill="1" applyBorder="1" applyAlignment="1">
      <alignment vertical="center" readingOrder="1"/>
    </xf>
    <xf numFmtId="0" fontId="12" fillId="10" borderId="17" xfId="0" applyFont="1" applyFill="1" applyBorder="1" applyAlignment="1">
      <alignment vertical="center" readingOrder="1"/>
    </xf>
    <xf numFmtId="0" fontId="12" fillId="0" borderId="17" xfId="0" applyFont="1" applyBorder="1" applyAlignment="1">
      <alignment vertical="center" readingOrder="1"/>
    </xf>
    <xf numFmtId="188" fontId="0" fillId="0" borderId="0" xfId="0" applyNumberFormat="1">
      <alignment vertical="center"/>
    </xf>
    <xf numFmtId="189" fontId="0" fillId="0" borderId="0" xfId="0" applyNumberFormat="1" applyAlignment="1">
      <alignment horizontal="right" vertical="center"/>
    </xf>
    <xf numFmtId="49" fontId="9" fillId="2" borderId="7" xfId="0" applyNumberFormat="1" applyFont="1" applyFill="1" applyBorder="1" applyAlignment="1">
      <alignment horizontal="left" vertical="center"/>
    </xf>
    <xf numFmtId="49" fontId="9" fillId="2" borderId="8" xfId="0" applyNumberFormat="1" applyFont="1" applyFill="1" applyBorder="1" applyAlignment="1">
      <alignment horizontal="left" vertical="center"/>
    </xf>
    <xf numFmtId="49" fontId="9" fillId="2" borderId="12" xfId="0" applyNumberFormat="1" applyFont="1" applyFill="1" applyBorder="1" applyAlignment="1">
      <alignment horizontal="left" vertical="center"/>
    </xf>
    <xf numFmtId="49" fontId="9" fillId="2" borderId="11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180" fontId="0" fillId="2" borderId="1" xfId="0" applyNumberFormat="1" applyFill="1" applyBorder="1" applyAlignment="1">
      <alignment horizontal="center" vertical="center"/>
    </xf>
    <xf numFmtId="180" fontId="0" fillId="5" borderId="1" xfId="0" applyNumberFormat="1" applyFill="1" applyBorder="1" applyAlignment="1">
      <alignment horizontal="left" vertical="center"/>
    </xf>
    <xf numFmtId="0" fontId="14" fillId="9" borderId="18" xfId="0" applyFont="1" applyFill="1" applyBorder="1" applyAlignment="1">
      <alignment horizontal="center" vertical="center" readingOrder="1"/>
    </xf>
    <xf numFmtId="0" fontId="14" fillId="9" borderId="19" xfId="0" applyFont="1" applyFill="1" applyBorder="1" applyAlignment="1">
      <alignment horizontal="center" vertical="center" readingOrder="1"/>
    </xf>
    <xf numFmtId="0" fontId="14" fillId="9" borderId="20" xfId="0" applyFont="1" applyFill="1" applyBorder="1" applyAlignment="1">
      <alignment horizontal="center" vertical="center" readingOrder="1"/>
    </xf>
    <xf numFmtId="178" fontId="0" fillId="0" borderId="0" xfId="0" applyNumberFormat="1" applyAlignment="1">
      <alignment horizontal="right" vertical="center"/>
    </xf>
    <xf numFmtId="0" fontId="3" fillId="0" borderId="0" xfId="0" applyFont="1" applyAlignment="1">
      <alignment vertical="center"/>
    </xf>
    <xf numFmtId="179" fontId="9" fillId="0" borderId="8" xfId="0" applyNumberFormat="1" applyFont="1" applyBorder="1" applyAlignment="1">
      <alignment vertical="center"/>
    </xf>
    <xf numFmtId="179" fontId="9" fillId="0" borderId="9" xfId="0" applyNumberFormat="1" applyFont="1" applyBorder="1" applyAlignment="1">
      <alignment vertical="center"/>
    </xf>
    <xf numFmtId="179" fontId="9" fillId="0" borderId="11" xfId="0" applyNumberFormat="1" applyFont="1" applyBorder="1" applyAlignment="1">
      <alignment vertical="center"/>
    </xf>
    <xf numFmtId="179" fontId="9" fillId="0" borderId="13" xfId="0" applyNumberFormat="1" applyFont="1" applyBorder="1" applyAlignment="1">
      <alignment vertical="center"/>
    </xf>
  </cellXfs>
  <cellStyles count="4">
    <cellStyle name="標準" xfId="0" builtinId="0"/>
    <cellStyle name="標準 2" xfId="1" xr:uid="{00000000-0005-0000-0000-000001000000}"/>
    <cellStyle name="標準 2 2" xfId="2" xr:uid="{00000000-0005-0000-0000-000002000000}"/>
    <cellStyle name="標準 6" xfId="3" xr:uid="{00000000-0005-0000-0000-000003000000}"/>
  </cellStyles>
  <dxfs count="0"/>
  <tableStyles count="0" defaultTableStyle="TableStyleMedium2" defaultPivotStyle="PivotStyleLight16"/>
  <colors>
    <mruColors>
      <color rgb="FFFFC8C8"/>
      <color rgb="FFC8C8F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21"/>
  <sheetViews>
    <sheetView workbookViewId="0">
      <selection activeCell="F11" sqref="F11"/>
    </sheetView>
  </sheetViews>
  <sheetFormatPr defaultRowHeight="15" customHeight="1"/>
  <cols>
    <col min="1" max="1" width="2.42578125" customWidth="1"/>
    <col min="2" max="2" width="25" bestFit="1" customWidth="1"/>
    <col min="3" max="3" width="25" customWidth="1"/>
    <col min="4" max="4" width="2.42578125" customWidth="1"/>
    <col min="5" max="5" width="25" bestFit="1" customWidth="1"/>
    <col min="6" max="6" width="25" customWidth="1"/>
  </cols>
  <sheetData>
    <row r="1" spans="2:6" ht="15" customHeight="1">
      <c r="B1" s="106" t="s">
        <v>0</v>
      </c>
      <c r="C1" s="106"/>
    </row>
    <row r="2" spans="2:6" ht="15" customHeight="1">
      <c r="B2" s="106"/>
      <c r="C2" s="106"/>
    </row>
    <row r="4" spans="2:6" ht="15" customHeight="1">
      <c r="B4" s="11" t="s">
        <v>1</v>
      </c>
      <c r="E4" s="11" t="s">
        <v>2</v>
      </c>
    </row>
    <row r="5" spans="2:6" ht="15" customHeight="1" thickBot="1"/>
    <row r="6" spans="2:6" ht="30" customHeight="1" thickBot="1">
      <c r="B6" s="77" t="s">
        <v>3</v>
      </c>
      <c r="C6" s="78">
        <f>工数算出!C4</f>
        <v>7381000</v>
      </c>
      <c r="E6" s="77" t="s">
        <v>4</v>
      </c>
      <c r="F6" s="80">
        <f>(工数算出!U4^(1/3))*2.4</f>
        <v>4.5943118096726101</v>
      </c>
    </row>
    <row r="9" spans="2:6" ht="15" customHeight="1">
      <c r="B9" s="11" t="s">
        <v>5</v>
      </c>
    </row>
    <row r="11" spans="2:6" ht="30" customHeight="1">
      <c r="B11" s="75" t="s">
        <v>6</v>
      </c>
      <c r="C11" s="76">
        <f>工数算出!J5</f>
        <v>500000</v>
      </c>
      <c r="E11" s="75" t="s">
        <v>6</v>
      </c>
      <c r="F11" s="81">
        <f>F6*積算基準!P35</f>
        <v>0.36754494477380883</v>
      </c>
    </row>
    <row r="12" spans="2:6" ht="30" customHeight="1">
      <c r="B12" s="75" t="s">
        <v>7</v>
      </c>
      <c r="C12" s="76">
        <f>工数算出!K5</f>
        <v>700000</v>
      </c>
      <c r="E12" s="75" t="s">
        <v>7</v>
      </c>
      <c r="F12" s="81">
        <f>F6*積算基準!Q35</f>
        <v>0.78011123441959418</v>
      </c>
    </row>
    <row r="13" spans="2:6" ht="30" customHeight="1">
      <c r="B13" s="75" t="s">
        <v>8</v>
      </c>
      <c r="C13" s="76">
        <f>工数算出!L5</f>
        <v>799999.99999999988</v>
      </c>
      <c r="E13" s="75" t="s">
        <v>8</v>
      </c>
      <c r="F13" s="81">
        <f>F6*積算基準!R35</f>
        <v>0.71413167727962845</v>
      </c>
    </row>
    <row r="14" spans="2:6" ht="30" customHeight="1">
      <c r="B14" s="75" t="s">
        <v>9</v>
      </c>
      <c r="C14" s="76">
        <f>工数算出!M5</f>
        <v>1600000</v>
      </c>
      <c r="E14" s="75" t="s">
        <v>9</v>
      </c>
      <c r="F14" s="81">
        <f>F6*積算基準!S35</f>
        <v>0.96252530415949922</v>
      </c>
    </row>
    <row r="15" spans="2:6" ht="30" customHeight="1">
      <c r="B15" s="75" t="s">
        <v>10</v>
      </c>
      <c r="C15" s="76">
        <f>工数算出!N5</f>
        <v>799999.99999999988</v>
      </c>
      <c r="E15" s="75" t="s">
        <v>10</v>
      </c>
      <c r="F15" s="81">
        <f>F6*積算基準!T35</f>
        <v>0.64038981929966687</v>
      </c>
    </row>
    <row r="16" spans="2:6" ht="30" customHeight="1">
      <c r="B16" s="75" t="s">
        <v>11</v>
      </c>
      <c r="C16" s="76">
        <f>工数算出!O5</f>
        <v>900000</v>
      </c>
      <c r="E16" s="75" t="s">
        <v>11</v>
      </c>
      <c r="F16" s="81">
        <f>F6*積算基準!U35</f>
        <v>0.57829141257969918</v>
      </c>
    </row>
    <row r="17" spans="2:6" ht="30" customHeight="1">
      <c r="B17" s="75" t="s">
        <v>12</v>
      </c>
      <c r="C17" s="76">
        <f>工数算出!P5</f>
        <v>300000.00000000006</v>
      </c>
      <c r="E17" s="75" t="s">
        <v>12</v>
      </c>
      <c r="F17" s="81">
        <f>F6*積算基準!V35</f>
        <v>0.18377247238690442</v>
      </c>
    </row>
    <row r="18" spans="2:6" ht="30" customHeight="1">
      <c r="B18" s="75" t="s">
        <v>13</v>
      </c>
      <c r="C18" s="76">
        <f>工数算出!Q5</f>
        <v>500000</v>
      </c>
      <c r="E18" s="75" t="s">
        <v>13</v>
      </c>
      <c r="F18" s="81">
        <f>サマリ!F6*積算基準!W35</f>
        <v>0.36754494477380883</v>
      </c>
    </row>
    <row r="19" spans="2:6" ht="30" customHeight="1">
      <c r="B19" s="75" t="s">
        <v>14</v>
      </c>
      <c r="C19" s="76">
        <f>工数算出!R5</f>
        <v>0</v>
      </c>
      <c r="E19" s="75" t="s">
        <v>14</v>
      </c>
      <c r="F19" s="81" t="s">
        <v>15</v>
      </c>
    </row>
    <row r="20" spans="2:6" ht="30" customHeight="1">
      <c r="B20" s="75" t="s">
        <v>16</v>
      </c>
      <c r="C20" s="76">
        <f>工数算出!S5</f>
        <v>0</v>
      </c>
      <c r="E20" s="75" t="s">
        <v>16</v>
      </c>
      <c r="F20" s="82" t="s">
        <v>15</v>
      </c>
    </row>
    <row r="21" spans="2:6" ht="30" customHeight="1">
      <c r="B21" s="75" t="s">
        <v>17</v>
      </c>
      <c r="C21" s="76">
        <f>工数算出!T5</f>
        <v>1281000</v>
      </c>
      <c r="E21" s="75" t="s">
        <v>17</v>
      </c>
      <c r="F21" s="82" t="s">
        <v>15</v>
      </c>
    </row>
  </sheetData>
  <mergeCells count="1">
    <mergeCell ref="B1:C2"/>
  </mergeCells>
  <phoneticPr fontId="1"/>
  <printOptions horizontalCentered="1"/>
  <pageMargins left="0.39370078740157483" right="0.39370078740157483" top="0.59055118110236227" bottom="0.39370078740157483" header="0.31496062992125984" footer="0.31496062992125984"/>
  <pageSetup paperSize="9" scale="9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9"/>
  <sheetViews>
    <sheetView tabSelected="1" zoomScale="90" zoomScaleNormal="90" workbookViewId="0">
      <pane ySplit="9" topLeftCell="B10" activePane="bottomLeft" state="frozen"/>
      <selection pane="bottomLeft" activeCell="C15" sqref="C15:F16"/>
    </sheetView>
  </sheetViews>
  <sheetFormatPr defaultColWidth="9" defaultRowHeight="18.75" customHeight="1"/>
  <cols>
    <col min="1" max="1" width="7.5703125" style="4" customWidth="1"/>
    <col min="2" max="2" width="16.5703125" style="8" customWidth="1"/>
    <col min="3" max="3" width="33" style="8" bestFit="1" customWidth="1"/>
    <col min="4" max="4" width="7.42578125" style="2" bestFit="1" customWidth="1"/>
    <col min="5" max="5" width="5.85546875" style="2" bestFit="1" customWidth="1"/>
    <col min="6" max="6" width="8" style="5" bestFit="1" customWidth="1"/>
    <col min="7" max="7" width="20.42578125" style="5" bestFit="1" customWidth="1"/>
    <col min="8" max="9" width="20.42578125" style="2" bestFit="1" customWidth="1"/>
    <col min="10" max="12" width="11.28515625" style="1" customWidth="1"/>
    <col min="13" max="13" width="13.28515625" style="1" customWidth="1"/>
    <col min="14" max="20" width="11.28515625" style="1" customWidth="1"/>
    <col min="21" max="21" width="13.28515625" style="1" customWidth="1"/>
    <col min="22" max="22" width="11.140625" style="1" customWidth="1"/>
    <col min="23" max="23" width="11.140625" style="7" customWidth="1"/>
    <col min="24" max="24" width="54.28515625" style="3" bestFit="1" customWidth="1"/>
    <col min="25" max="26" width="8.28515625" style="8" customWidth="1"/>
    <col min="27" max="31" width="8.7109375" style="8" customWidth="1"/>
    <col min="32" max="16384" width="9" style="8"/>
  </cols>
  <sheetData>
    <row r="1" spans="1:24" ht="18.75" customHeight="1">
      <c r="A1" s="98" t="str">
        <f>サマリ!B1</f>
        <v>プロジェクト名</v>
      </c>
      <c r="B1" s="98"/>
      <c r="C1" s="98"/>
      <c r="D1" s="98"/>
      <c r="F1" s="100"/>
      <c r="G1" s="100"/>
      <c r="H1" s="100"/>
      <c r="I1" s="100"/>
      <c r="J1" s="38" t="s">
        <v>18</v>
      </c>
      <c r="K1" s="38" t="s">
        <v>19</v>
      </c>
      <c r="L1" s="38" t="s">
        <v>20</v>
      </c>
      <c r="M1" s="38" t="s">
        <v>21</v>
      </c>
      <c r="N1" s="38" t="s">
        <v>22</v>
      </c>
      <c r="O1" s="38" t="s">
        <v>23</v>
      </c>
      <c r="P1" s="38" t="s">
        <v>24</v>
      </c>
      <c r="Q1" s="38" t="s">
        <v>25</v>
      </c>
      <c r="R1" s="38" t="s">
        <v>14</v>
      </c>
      <c r="S1" s="38" t="s">
        <v>16</v>
      </c>
      <c r="T1" s="38" t="s">
        <v>26</v>
      </c>
      <c r="U1" s="38" t="s">
        <v>27</v>
      </c>
      <c r="V1" s="7"/>
    </row>
    <row r="2" spans="1:24" ht="18.75" customHeight="1">
      <c r="A2" s="99"/>
      <c r="B2" s="99"/>
      <c r="C2" s="99"/>
      <c r="D2" s="99"/>
      <c r="F2" s="101" t="s">
        <v>28</v>
      </c>
      <c r="G2" s="101"/>
      <c r="H2" s="101"/>
      <c r="I2" s="101"/>
      <c r="J2" s="39">
        <f>SUM(J10:J39)</f>
        <v>9.1</v>
      </c>
      <c r="K2" s="39">
        <f>SUM(K10:K39)</f>
        <v>14</v>
      </c>
      <c r="L2" s="39">
        <f>SUM(L10:L39)</f>
        <v>15.3</v>
      </c>
      <c r="M2" s="39">
        <f>SUM(M10:M39)</f>
        <v>30.1</v>
      </c>
      <c r="N2" s="39">
        <f>SUM(N10:N39)</f>
        <v>15.3</v>
      </c>
      <c r="O2" s="39">
        <f>SUM(O10:O39)</f>
        <v>16.299999999999997</v>
      </c>
      <c r="P2" s="39">
        <f>SUM(P10:P39)</f>
        <v>4.9000000000000012</v>
      </c>
      <c r="Q2" s="39">
        <f>SUM(Q10:Q39)</f>
        <v>9.1</v>
      </c>
      <c r="R2" s="39">
        <f>SUM(R10:R39)</f>
        <v>0</v>
      </c>
      <c r="S2" s="39">
        <f>SUM(S10:S39)</f>
        <v>0</v>
      </c>
      <c r="T2" s="39">
        <f>SUM(T10:T39)</f>
        <v>34</v>
      </c>
      <c r="U2" s="40">
        <f>SUM(J2:T2)</f>
        <v>148.1</v>
      </c>
    </row>
    <row r="3" spans="1:24" ht="18.75" customHeight="1" thickBot="1">
      <c r="A3" s="79"/>
      <c r="B3" s="79"/>
      <c r="C3" s="79"/>
      <c r="D3" s="79"/>
      <c r="F3" s="101" t="s">
        <v>29</v>
      </c>
      <c r="G3" s="101"/>
      <c r="H3" s="101"/>
      <c r="I3" s="101"/>
      <c r="J3" s="10">
        <f>J2/20</f>
        <v>0.45499999999999996</v>
      </c>
      <c r="K3" s="10">
        <f t="shared" ref="K3:T3" si="0">K2/20</f>
        <v>0.7</v>
      </c>
      <c r="L3" s="10">
        <f t="shared" si="0"/>
        <v>0.76500000000000001</v>
      </c>
      <c r="M3" s="10">
        <f t="shared" si="0"/>
        <v>1.5050000000000001</v>
      </c>
      <c r="N3" s="10">
        <f t="shared" si="0"/>
        <v>0.76500000000000001</v>
      </c>
      <c r="O3" s="10">
        <f t="shared" si="0"/>
        <v>0.81499999999999984</v>
      </c>
      <c r="P3" s="10">
        <f t="shared" si="0"/>
        <v>0.24500000000000005</v>
      </c>
      <c r="Q3" s="10">
        <f t="shared" si="0"/>
        <v>0.45499999999999996</v>
      </c>
      <c r="R3" s="10">
        <f t="shared" si="0"/>
        <v>0</v>
      </c>
      <c r="S3" s="10">
        <f t="shared" si="0"/>
        <v>0</v>
      </c>
      <c r="T3" s="10">
        <f t="shared" si="0"/>
        <v>1.7</v>
      </c>
      <c r="U3" s="41">
        <f>SUM(J3:T3)</f>
        <v>7.4049999999999994</v>
      </c>
    </row>
    <row r="4" spans="1:24" ht="18.75" customHeight="1">
      <c r="A4" s="94" t="s">
        <v>30</v>
      </c>
      <c r="B4" s="95"/>
      <c r="C4" s="107">
        <f>U5</f>
        <v>7381000</v>
      </c>
      <c r="D4" s="108"/>
      <c r="F4" s="101" t="s">
        <v>31</v>
      </c>
      <c r="G4" s="101"/>
      <c r="H4" s="101"/>
      <c r="I4" s="101"/>
      <c r="J4" s="10">
        <f>ROUNDUP(J3,1)</f>
        <v>0.5</v>
      </c>
      <c r="K4" s="10">
        <f>ROUNDUP(K3,1)</f>
        <v>0.7</v>
      </c>
      <c r="L4" s="10">
        <f>ROUNDUP(L3,1)</f>
        <v>0.79999999999999993</v>
      </c>
      <c r="M4" s="10">
        <f>ROUNDUP(M3,1)</f>
        <v>1.6</v>
      </c>
      <c r="N4" s="10">
        <f>ROUNDUP(N3,1)</f>
        <v>0.79999999999999993</v>
      </c>
      <c r="O4" s="10">
        <f>ROUNDUP(O3,1)</f>
        <v>0.9</v>
      </c>
      <c r="P4" s="10">
        <f>ROUNDUP(P3,1)</f>
        <v>0.30000000000000004</v>
      </c>
      <c r="Q4" s="10">
        <f>ROUNDUP(Q3,1)</f>
        <v>0.5</v>
      </c>
      <c r="R4" s="10">
        <f>ROUNDUP(R3,1)</f>
        <v>0</v>
      </c>
      <c r="S4" s="10">
        <f>ROUNDUP(S3,1)</f>
        <v>0</v>
      </c>
      <c r="T4" s="10">
        <f>SUM(J4:S4)*T8</f>
        <v>0.91500000000000004</v>
      </c>
      <c r="U4" s="41">
        <f>SUM(J4:T4)</f>
        <v>7.0150000000000006</v>
      </c>
      <c r="V4" s="105"/>
    </row>
    <row r="5" spans="1:24" ht="18.75" customHeight="1" thickBot="1">
      <c r="A5" s="96"/>
      <c r="B5" s="97"/>
      <c r="C5" s="109"/>
      <c r="D5" s="110"/>
      <c r="F5" s="101" t="s">
        <v>32</v>
      </c>
      <c r="G5" s="101"/>
      <c r="H5" s="101"/>
      <c r="I5" s="101"/>
      <c r="J5" s="42">
        <f>J4*J9</f>
        <v>500000</v>
      </c>
      <c r="K5" s="42">
        <f t="shared" ref="K5:S5" si="1">K4*K9</f>
        <v>700000</v>
      </c>
      <c r="L5" s="42">
        <f t="shared" si="1"/>
        <v>799999.99999999988</v>
      </c>
      <c r="M5" s="42">
        <f t="shared" si="1"/>
        <v>1600000</v>
      </c>
      <c r="N5" s="42">
        <f t="shared" si="1"/>
        <v>799999.99999999988</v>
      </c>
      <c r="O5" s="42">
        <f t="shared" si="1"/>
        <v>900000</v>
      </c>
      <c r="P5" s="42">
        <f t="shared" si="1"/>
        <v>300000.00000000006</v>
      </c>
      <c r="Q5" s="42">
        <f t="shared" si="1"/>
        <v>500000</v>
      </c>
      <c r="R5" s="42">
        <f t="shared" si="1"/>
        <v>0</v>
      </c>
      <c r="S5" s="42">
        <f t="shared" si="1"/>
        <v>0</v>
      </c>
      <c r="T5" s="42">
        <f>T4*T9</f>
        <v>1281000</v>
      </c>
      <c r="U5" s="43">
        <f>SUM(J5:T5)</f>
        <v>7381000</v>
      </c>
      <c r="W5" s="93"/>
    </row>
    <row r="6" spans="1:24" ht="18.75" customHeight="1">
      <c r="A6" s="84"/>
      <c r="B6" s="8" t="s">
        <v>33</v>
      </c>
      <c r="C6" s="85"/>
    </row>
    <row r="7" spans="1:24" s="2" customFormat="1" ht="18.75" customHeight="1">
      <c r="A7" s="44" t="s">
        <v>34</v>
      </c>
      <c r="B7" s="38" t="s">
        <v>35</v>
      </c>
      <c r="C7" s="38" t="s">
        <v>36</v>
      </c>
      <c r="D7" s="38" t="s">
        <v>37</v>
      </c>
      <c r="E7" s="38" t="s">
        <v>38</v>
      </c>
      <c r="F7" s="45" t="s">
        <v>39</v>
      </c>
      <c r="G7" s="45" t="s">
        <v>40</v>
      </c>
      <c r="H7" s="45" t="s">
        <v>41</v>
      </c>
      <c r="I7" s="45" t="s">
        <v>42</v>
      </c>
      <c r="J7" s="38" t="s">
        <v>18</v>
      </c>
      <c r="K7" s="38" t="s">
        <v>19</v>
      </c>
      <c r="L7" s="38" t="s">
        <v>20</v>
      </c>
      <c r="M7" s="38" t="s">
        <v>21</v>
      </c>
      <c r="N7" s="38" t="s">
        <v>22</v>
      </c>
      <c r="O7" s="38" t="s">
        <v>23</v>
      </c>
      <c r="P7" s="38" t="s">
        <v>24</v>
      </c>
      <c r="Q7" s="38" t="s">
        <v>25</v>
      </c>
      <c r="R7" s="38" t="s">
        <v>14</v>
      </c>
      <c r="S7" s="38" t="s">
        <v>16</v>
      </c>
      <c r="T7" s="38" t="s">
        <v>26</v>
      </c>
      <c r="U7" s="38" t="s">
        <v>43</v>
      </c>
      <c r="V7" s="38" t="s">
        <v>44</v>
      </c>
      <c r="W7" s="46" t="s">
        <v>32</v>
      </c>
      <c r="X7" s="38" t="s">
        <v>45</v>
      </c>
    </row>
    <row r="8" spans="1:24" s="2" customFormat="1" ht="18.75" customHeight="1">
      <c r="A8" s="47"/>
      <c r="B8" s="48"/>
      <c r="C8" s="48"/>
      <c r="D8" s="49"/>
      <c r="E8" s="49"/>
      <c r="F8" s="50"/>
      <c r="G8" s="50"/>
      <c r="H8" s="15"/>
      <c r="I8" s="15"/>
      <c r="J8" s="51">
        <v>1</v>
      </c>
      <c r="K8" s="51">
        <v>1</v>
      </c>
      <c r="L8" s="51">
        <v>1</v>
      </c>
      <c r="M8" s="51">
        <v>1</v>
      </c>
      <c r="N8" s="51">
        <v>1</v>
      </c>
      <c r="O8" s="51">
        <v>1</v>
      </c>
      <c r="P8" s="51">
        <v>1</v>
      </c>
      <c r="Q8" s="51">
        <v>1</v>
      </c>
      <c r="R8" s="51">
        <v>1</v>
      </c>
      <c r="S8" s="52"/>
      <c r="T8" s="51">
        <v>0.15</v>
      </c>
      <c r="U8" s="53"/>
      <c r="V8" s="53"/>
      <c r="W8" s="54"/>
      <c r="X8" s="55"/>
    </row>
    <row r="9" spans="1:24" s="2" customFormat="1" ht="18.75" customHeight="1" thickBot="1">
      <c r="A9" s="66"/>
      <c r="B9" s="67"/>
      <c r="C9" s="67"/>
      <c r="D9" s="68"/>
      <c r="E9" s="68"/>
      <c r="F9" s="69"/>
      <c r="G9" s="69"/>
      <c r="H9" s="70"/>
      <c r="I9" s="70"/>
      <c r="J9" s="71">
        <v>1000000</v>
      </c>
      <c r="K9" s="71">
        <v>1000000</v>
      </c>
      <c r="L9" s="71">
        <v>1000000</v>
      </c>
      <c r="M9" s="71">
        <v>1000000</v>
      </c>
      <c r="N9" s="71">
        <v>1000000</v>
      </c>
      <c r="O9" s="71">
        <v>1000000</v>
      </c>
      <c r="P9" s="71">
        <v>1000000</v>
      </c>
      <c r="Q9" s="71">
        <v>1000000</v>
      </c>
      <c r="R9" s="71">
        <v>1000000</v>
      </c>
      <c r="S9" s="71">
        <v>900000</v>
      </c>
      <c r="T9" s="71">
        <v>1400000</v>
      </c>
      <c r="U9" s="72"/>
      <c r="V9" s="72"/>
      <c r="W9" s="73"/>
      <c r="X9" s="74"/>
    </row>
    <row r="10" spans="1:24" ht="13.5" thickTop="1">
      <c r="A10" s="56" t="s">
        <v>46</v>
      </c>
      <c r="B10" s="9"/>
      <c r="C10" s="9" t="s">
        <v>47</v>
      </c>
      <c r="D10" s="83" t="s">
        <v>48</v>
      </c>
      <c r="E10" s="57" t="s">
        <v>49</v>
      </c>
      <c r="F10" s="6">
        <v>15</v>
      </c>
      <c r="G10" s="13"/>
      <c r="H10" s="13"/>
      <c r="I10" s="13" t="str">
        <f t="shared" ref="I10:I39" si="2">IF(OR(E10="",F10=""),"",
IF(E10="有",IF(F10&lt;=登録上限特低,"特低",IF(F10&lt;=登録上限低,"低",IF(F10&lt;=登録上限中,"中",IF(F10&lt;=登録上限高,"高","特高")))),
 IF(E10="無",IF(F10&lt;=参照上限特低,"特低",IF(F10&lt;=参照上限低,"低",IF(F10&lt;=参照上限中,"中",IF(F10&lt;=参照上限高,"高","特高")))),"")))</f>
        <v>中</v>
      </c>
      <c r="J10" s="14">
        <f t="shared" ref="J10:R10" si="3">ROUNDUP(IF($D10="画面",画面係数,IF($D10="帳票",帳票係数,IF($D10="バッチ",バッチ係数,0))) *
 IF($I10="特高",特高係数,IF($I10="高",高係数,IF($I10="中",中係数,IF($I10="低",低係数,IF($I10="特低",特低係数,0)))))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2.2000000000000002</v>
      </c>
      <c r="K10" s="14">
        <f t="shared" si="3"/>
        <v>3.3000000000000003</v>
      </c>
      <c r="L10" s="14">
        <f t="shared" si="3"/>
        <v>3.7</v>
      </c>
      <c r="M10" s="14">
        <f t="shared" si="3"/>
        <v>7.3</v>
      </c>
      <c r="N10" s="14">
        <f t="shared" si="3"/>
        <v>3.7</v>
      </c>
      <c r="O10" s="14">
        <f t="shared" si="3"/>
        <v>3.9</v>
      </c>
      <c r="P10" s="14">
        <f t="shared" si="3"/>
        <v>1.1000000000000001</v>
      </c>
      <c r="Q10" s="14">
        <f t="shared" si="3"/>
        <v>2.2000000000000002</v>
      </c>
      <c r="R10" s="14">
        <f t="shared" si="3"/>
        <v>0</v>
      </c>
      <c r="S10" s="61"/>
      <c r="T10" s="14">
        <f>ROUNDUP(SUM(J10:S10)*T$8,1)</f>
        <v>4.1999999999999993</v>
      </c>
      <c r="U10" s="62">
        <f>SUM(J10:T10)</f>
        <v>31.599999999999998</v>
      </c>
      <c r="V10" s="63">
        <f>U10/20</f>
        <v>1.5799999999999998</v>
      </c>
      <c r="W10" s="64">
        <f>((J10*J$9) + (K10*K$9) + (L10*L$9) + (M10*M$9) + (N10*N$9) + (O10*O$9) + (P10*P$9) + (Q10*Q$9) + (R10*R$9) + (S10*S$9) + (T10*T$9))/20</f>
        <v>1664000</v>
      </c>
      <c r="X10" s="65"/>
    </row>
    <row r="11" spans="1:24" ht="12.95">
      <c r="A11" s="56" t="s">
        <v>50</v>
      </c>
      <c r="B11" s="9"/>
      <c r="C11" s="9" t="s">
        <v>51</v>
      </c>
      <c r="D11" s="83" t="s">
        <v>52</v>
      </c>
      <c r="E11" s="57" t="s">
        <v>49</v>
      </c>
      <c r="F11" s="6">
        <v>30</v>
      </c>
      <c r="G11" s="15"/>
      <c r="H11" s="15"/>
      <c r="I11" s="15" t="str">
        <f t="shared" si="2"/>
        <v>高</v>
      </c>
      <c r="J11" s="12">
        <f t="shared" ref="J11:R18" si="4">ROUNDUP(IF($D11="画面",画面係数,IF($D11="帳票",帳票係数,IF($D11="バッチ",バッチ係数,0))) *
 IF($I11="特高",特高係数,IF($I11="高",高係数,IF($I11="中",中係数,IF($I11="低",低係数,IF($I11="特低",特低係数,0)))))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0.7</v>
      </c>
      <c r="K11" s="12">
        <f t="shared" si="4"/>
        <v>1.1000000000000001</v>
      </c>
      <c r="L11" s="12">
        <f t="shared" si="4"/>
        <v>1.2000000000000002</v>
      </c>
      <c r="M11" s="12">
        <f t="shared" si="4"/>
        <v>2.3000000000000003</v>
      </c>
      <c r="N11" s="12">
        <f t="shared" si="4"/>
        <v>1.2000000000000002</v>
      </c>
      <c r="O11" s="12">
        <f t="shared" si="4"/>
        <v>1.2000000000000002</v>
      </c>
      <c r="P11" s="12">
        <f t="shared" si="4"/>
        <v>0.4</v>
      </c>
      <c r="Q11" s="12">
        <f t="shared" si="4"/>
        <v>0.7</v>
      </c>
      <c r="R11" s="12">
        <f t="shared" si="4"/>
        <v>0</v>
      </c>
      <c r="S11" s="58"/>
      <c r="T11" s="12">
        <f t="shared" ref="T11:T36" si="5">ROUNDUP(SUM(J11:S11)*T$8,1)</f>
        <v>1.4000000000000001</v>
      </c>
      <c r="U11" s="59">
        <f t="shared" ref="U11:U36" si="6">SUM(J11:T11)</f>
        <v>10.200000000000001</v>
      </c>
      <c r="V11" s="10">
        <f t="shared" ref="V11:V36" si="7">U11/20</f>
        <v>0.51</v>
      </c>
      <c r="W11" s="42">
        <f t="shared" ref="W11:W36" si="8">((J11*J$9) + (K11*K$9) + (L11*L$9) + (M11*M$9) + (N11*N$9) + (O11*O$9) + (P11*P$9) + (Q11*Q$9) + (R11*R$9) + (S11*S$9) + (T11*T$9))/20</f>
        <v>538000</v>
      </c>
      <c r="X11" s="60"/>
    </row>
    <row r="12" spans="1:24" ht="12.95">
      <c r="A12" s="56" t="s">
        <v>53</v>
      </c>
      <c r="B12" s="9"/>
      <c r="C12" s="9" t="s">
        <v>54</v>
      </c>
      <c r="D12" s="83" t="s">
        <v>52</v>
      </c>
      <c r="E12" s="57" t="s">
        <v>55</v>
      </c>
      <c r="F12" s="6">
        <v>15</v>
      </c>
      <c r="G12" s="15"/>
      <c r="H12" s="15"/>
      <c r="I12" s="15" t="str">
        <f t="shared" si="2"/>
        <v>低</v>
      </c>
      <c r="J12" s="12">
        <f t="shared" si="4"/>
        <v>0.30000000000000004</v>
      </c>
      <c r="K12" s="12">
        <f t="shared" si="4"/>
        <v>0.5</v>
      </c>
      <c r="L12" s="12">
        <f t="shared" si="4"/>
        <v>0.5</v>
      </c>
      <c r="M12" s="12">
        <f t="shared" si="4"/>
        <v>1</v>
      </c>
      <c r="N12" s="12">
        <f t="shared" si="4"/>
        <v>0.5</v>
      </c>
      <c r="O12" s="12">
        <f t="shared" si="4"/>
        <v>0.6</v>
      </c>
      <c r="P12" s="12">
        <f t="shared" si="4"/>
        <v>0.2</v>
      </c>
      <c r="Q12" s="12">
        <f t="shared" si="4"/>
        <v>0.30000000000000004</v>
      </c>
      <c r="R12" s="12">
        <f t="shared" si="4"/>
        <v>0</v>
      </c>
      <c r="S12" s="58"/>
      <c r="T12" s="12">
        <f t="shared" si="5"/>
        <v>0.6</v>
      </c>
      <c r="U12" s="59">
        <f t="shared" si="6"/>
        <v>4.5</v>
      </c>
      <c r="V12" s="10">
        <f t="shared" si="7"/>
        <v>0.22500000000000001</v>
      </c>
      <c r="W12" s="42">
        <f t="shared" si="8"/>
        <v>237000</v>
      </c>
      <c r="X12" s="60"/>
    </row>
    <row r="13" spans="1:24" ht="12.95">
      <c r="A13" s="56" t="s">
        <v>56</v>
      </c>
      <c r="B13" s="9"/>
      <c r="C13" s="9" t="s">
        <v>57</v>
      </c>
      <c r="D13" s="83" t="s">
        <v>52</v>
      </c>
      <c r="E13" s="57" t="s">
        <v>49</v>
      </c>
      <c r="F13" s="6">
        <v>20</v>
      </c>
      <c r="G13" s="15"/>
      <c r="H13" s="15"/>
      <c r="I13" s="15" t="str">
        <f t="shared" si="2"/>
        <v>中</v>
      </c>
      <c r="J13" s="12">
        <f t="shared" si="4"/>
        <v>0.6</v>
      </c>
      <c r="K13" s="12">
        <f t="shared" si="4"/>
        <v>0.9</v>
      </c>
      <c r="L13" s="12">
        <f t="shared" si="4"/>
        <v>1</v>
      </c>
      <c r="M13" s="12">
        <f t="shared" si="4"/>
        <v>2</v>
      </c>
      <c r="N13" s="12">
        <f t="shared" si="4"/>
        <v>1</v>
      </c>
      <c r="O13" s="12">
        <f t="shared" si="4"/>
        <v>1.1000000000000001</v>
      </c>
      <c r="P13" s="12">
        <f t="shared" si="4"/>
        <v>0.30000000000000004</v>
      </c>
      <c r="Q13" s="12">
        <f t="shared" si="4"/>
        <v>0.6</v>
      </c>
      <c r="R13" s="12">
        <f t="shared" si="4"/>
        <v>0</v>
      </c>
      <c r="S13" s="58"/>
      <c r="T13" s="12">
        <f t="shared" si="5"/>
        <v>1.2000000000000002</v>
      </c>
      <c r="U13" s="59">
        <f t="shared" si="6"/>
        <v>8.6999999999999993</v>
      </c>
      <c r="V13" s="10">
        <f t="shared" si="7"/>
        <v>0.43499999999999994</v>
      </c>
      <c r="W13" s="42">
        <f t="shared" si="8"/>
        <v>459000</v>
      </c>
      <c r="X13" s="60"/>
    </row>
    <row r="14" spans="1:24" ht="12.95">
      <c r="A14" s="56" t="s">
        <v>58</v>
      </c>
      <c r="B14" s="9"/>
      <c r="C14" s="9" t="s">
        <v>59</v>
      </c>
      <c r="D14" s="83" t="s">
        <v>52</v>
      </c>
      <c r="E14" s="57" t="s">
        <v>49</v>
      </c>
      <c r="F14" s="6">
        <v>30</v>
      </c>
      <c r="G14" s="15"/>
      <c r="H14" s="15"/>
      <c r="I14" s="15" t="str">
        <f t="shared" si="2"/>
        <v>高</v>
      </c>
      <c r="J14" s="12">
        <f t="shared" si="4"/>
        <v>0.7</v>
      </c>
      <c r="K14" s="12">
        <f t="shared" si="4"/>
        <v>1.1000000000000001</v>
      </c>
      <c r="L14" s="12">
        <f t="shared" si="4"/>
        <v>1.2000000000000002</v>
      </c>
      <c r="M14" s="12">
        <f t="shared" si="4"/>
        <v>2.3000000000000003</v>
      </c>
      <c r="N14" s="12">
        <f t="shared" si="4"/>
        <v>1.2000000000000002</v>
      </c>
      <c r="O14" s="12">
        <f t="shared" si="4"/>
        <v>1.2000000000000002</v>
      </c>
      <c r="P14" s="12">
        <f t="shared" si="4"/>
        <v>0.4</v>
      </c>
      <c r="Q14" s="12">
        <f t="shared" si="4"/>
        <v>0.7</v>
      </c>
      <c r="R14" s="12">
        <f t="shared" si="4"/>
        <v>0</v>
      </c>
      <c r="S14" s="58"/>
      <c r="T14" s="12">
        <f t="shared" si="5"/>
        <v>1.4000000000000001</v>
      </c>
      <c r="U14" s="59">
        <f t="shared" si="6"/>
        <v>10.200000000000001</v>
      </c>
      <c r="V14" s="10">
        <f t="shared" si="7"/>
        <v>0.51</v>
      </c>
      <c r="W14" s="42">
        <f t="shared" si="8"/>
        <v>538000</v>
      </c>
      <c r="X14" s="60"/>
    </row>
    <row r="15" spans="1:24" ht="12.95">
      <c r="A15" s="56" t="s">
        <v>60</v>
      </c>
      <c r="B15" s="9"/>
      <c r="C15" s="9" t="s">
        <v>61</v>
      </c>
      <c r="D15" s="83" t="s">
        <v>52</v>
      </c>
      <c r="E15" s="57" t="s">
        <v>55</v>
      </c>
      <c r="F15" s="6">
        <v>15</v>
      </c>
      <c r="G15" s="15"/>
      <c r="H15" s="15"/>
      <c r="I15" s="15" t="str">
        <f t="shared" si="2"/>
        <v>低</v>
      </c>
      <c r="J15" s="12">
        <f t="shared" si="4"/>
        <v>0.30000000000000004</v>
      </c>
      <c r="K15" s="12">
        <f t="shared" si="4"/>
        <v>0.5</v>
      </c>
      <c r="L15" s="12">
        <f t="shared" si="4"/>
        <v>0.5</v>
      </c>
      <c r="M15" s="12">
        <f t="shared" si="4"/>
        <v>1</v>
      </c>
      <c r="N15" s="12">
        <f t="shared" si="4"/>
        <v>0.5</v>
      </c>
      <c r="O15" s="12">
        <f t="shared" si="4"/>
        <v>0.6</v>
      </c>
      <c r="P15" s="12">
        <f t="shared" si="4"/>
        <v>0.2</v>
      </c>
      <c r="Q15" s="12">
        <f t="shared" si="4"/>
        <v>0.30000000000000004</v>
      </c>
      <c r="R15" s="12">
        <f t="shared" si="4"/>
        <v>0</v>
      </c>
      <c r="S15" s="58"/>
      <c r="T15" s="12">
        <f t="shared" si="5"/>
        <v>0.6</v>
      </c>
      <c r="U15" s="59">
        <f t="shared" si="6"/>
        <v>4.5</v>
      </c>
      <c r="V15" s="10">
        <f t="shared" si="7"/>
        <v>0.22500000000000001</v>
      </c>
      <c r="W15" s="42">
        <f t="shared" si="8"/>
        <v>237000</v>
      </c>
      <c r="X15" s="60"/>
    </row>
    <row r="16" spans="1:24" ht="12.95">
      <c r="A16" s="56" t="s">
        <v>62</v>
      </c>
      <c r="B16" s="9"/>
      <c r="C16" s="9" t="s">
        <v>63</v>
      </c>
      <c r="D16" s="83" t="s">
        <v>52</v>
      </c>
      <c r="E16" s="57" t="s">
        <v>49</v>
      </c>
      <c r="F16" s="6">
        <v>20</v>
      </c>
      <c r="G16" s="15"/>
      <c r="H16" s="15"/>
      <c r="I16" s="15" t="str">
        <f t="shared" si="2"/>
        <v>中</v>
      </c>
      <c r="J16" s="12">
        <f t="shared" si="4"/>
        <v>0.6</v>
      </c>
      <c r="K16" s="12">
        <f t="shared" si="4"/>
        <v>0.9</v>
      </c>
      <c r="L16" s="12">
        <f t="shared" si="4"/>
        <v>1</v>
      </c>
      <c r="M16" s="12">
        <f t="shared" si="4"/>
        <v>2</v>
      </c>
      <c r="N16" s="12">
        <f t="shared" si="4"/>
        <v>1</v>
      </c>
      <c r="O16" s="12">
        <f t="shared" si="4"/>
        <v>1.1000000000000001</v>
      </c>
      <c r="P16" s="12">
        <f t="shared" si="4"/>
        <v>0.30000000000000004</v>
      </c>
      <c r="Q16" s="12">
        <f t="shared" si="4"/>
        <v>0.6</v>
      </c>
      <c r="R16" s="12">
        <f t="shared" si="4"/>
        <v>0</v>
      </c>
      <c r="S16" s="58"/>
      <c r="T16" s="12">
        <f t="shared" si="5"/>
        <v>1.2000000000000002</v>
      </c>
      <c r="U16" s="59">
        <f t="shared" si="6"/>
        <v>8.6999999999999993</v>
      </c>
      <c r="V16" s="10">
        <f t="shared" si="7"/>
        <v>0.43499999999999994</v>
      </c>
      <c r="W16" s="42">
        <f t="shared" si="8"/>
        <v>459000</v>
      </c>
      <c r="X16" s="60"/>
    </row>
    <row r="17" spans="1:24" ht="12.95">
      <c r="A17" s="56" t="s">
        <v>64</v>
      </c>
      <c r="B17" s="9"/>
      <c r="C17" s="9" t="s">
        <v>65</v>
      </c>
      <c r="D17" s="83" t="s">
        <v>52</v>
      </c>
      <c r="E17" s="57" t="s">
        <v>49</v>
      </c>
      <c r="F17" s="6">
        <v>30</v>
      </c>
      <c r="G17" s="15"/>
      <c r="H17" s="15"/>
      <c r="I17" s="15" t="str">
        <f t="shared" si="2"/>
        <v>高</v>
      </c>
      <c r="J17" s="12">
        <f t="shared" si="4"/>
        <v>0.7</v>
      </c>
      <c r="K17" s="12">
        <f t="shared" si="4"/>
        <v>1.1000000000000001</v>
      </c>
      <c r="L17" s="12">
        <f t="shared" si="4"/>
        <v>1.2000000000000002</v>
      </c>
      <c r="M17" s="12">
        <f t="shared" si="4"/>
        <v>2.3000000000000003</v>
      </c>
      <c r="N17" s="12">
        <f t="shared" si="4"/>
        <v>1.2000000000000002</v>
      </c>
      <c r="O17" s="12">
        <f t="shared" si="4"/>
        <v>1.2000000000000002</v>
      </c>
      <c r="P17" s="12">
        <f t="shared" si="4"/>
        <v>0.4</v>
      </c>
      <c r="Q17" s="12">
        <f t="shared" si="4"/>
        <v>0.7</v>
      </c>
      <c r="R17" s="12">
        <f t="shared" si="4"/>
        <v>0</v>
      </c>
      <c r="S17" s="58"/>
      <c r="T17" s="12">
        <f t="shared" si="5"/>
        <v>1.4000000000000001</v>
      </c>
      <c r="U17" s="59">
        <f t="shared" si="6"/>
        <v>10.200000000000001</v>
      </c>
      <c r="V17" s="10">
        <f t="shared" si="7"/>
        <v>0.51</v>
      </c>
      <c r="W17" s="42">
        <f t="shared" si="8"/>
        <v>538000</v>
      </c>
      <c r="X17" s="60"/>
    </row>
    <row r="18" spans="1:24" ht="12.95">
      <c r="A18" s="56" t="s">
        <v>66</v>
      </c>
      <c r="B18" s="9"/>
      <c r="C18" s="9" t="s">
        <v>67</v>
      </c>
      <c r="D18" s="83" t="s">
        <v>52</v>
      </c>
      <c r="E18" s="57" t="s">
        <v>49</v>
      </c>
      <c r="F18" s="6">
        <v>20</v>
      </c>
      <c r="G18" s="15"/>
      <c r="H18" s="15"/>
      <c r="I18" s="15" t="str">
        <f t="shared" si="2"/>
        <v>中</v>
      </c>
      <c r="J18" s="12">
        <f t="shared" si="4"/>
        <v>0.6</v>
      </c>
      <c r="K18" s="12">
        <f t="shared" si="4"/>
        <v>0.9</v>
      </c>
      <c r="L18" s="12">
        <f t="shared" si="4"/>
        <v>1</v>
      </c>
      <c r="M18" s="12">
        <f t="shared" si="4"/>
        <v>2</v>
      </c>
      <c r="N18" s="12">
        <f t="shared" si="4"/>
        <v>1</v>
      </c>
      <c r="O18" s="12">
        <f t="shared" si="4"/>
        <v>1.1000000000000001</v>
      </c>
      <c r="P18" s="12">
        <f t="shared" si="4"/>
        <v>0.30000000000000004</v>
      </c>
      <c r="Q18" s="12">
        <f t="shared" si="4"/>
        <v>0.6</v>
      </c>
      <c r="R18" s="12">
        <f t="shared" si="4"/>
        <v>0</v>
      </c>
      <c r="S18" s="58"/>
      <c r="T18" s="12">
        <f t="shared" si="5"/>
        <v>1.2000000000000002</v>
      </c>
      <c r="U18" s="59">
        <f t="shared" si="6"/>
        <v>8.6999999999999993</v>
      </c>
      <c r="V18" s="10">
        <f t="shared" si="7"/>
        <v>0.43499999999999994</v>
      </c>
      <c r="W18" s="42">
        <f t="shared" si="8"/>
        <v>459000</v>
      </c>
      <c r="X18" s="60"/>
    </row>
    <row r="19" spans="1:24" ht="12.95">
      <c r="A19" s="56" t="s">
        <v>68</v>
      </c>
      <c r="B19" s="9"/>
      <c r="C19" s="9" t="s">
        <v>69</v>
      </c>
      <c r="D19" s="83" t="s">
        <v>52</v>
      </c>
      <c r="E19" s="57" t="s">
        <v>49</v>
      </c>
      <c r="F19" s="6">
        <v>30</v>
      </c>
      <c r="G19" s="15"/>
      <c r="H19" s="15"/>
      <c r="I19" s="15" t="str">
        <f t="shared" si="2"/>
        <v>高</v>
      </c>
      <c r="J19" s="12">
        <f t="shared" ref="J19:R25" si="9">ROUNDUP(IF($D19="画面",画面係数,IF($D19="帳票",帳票係数,IF($D19="バッチ",バッチ係数,0))) *
 IF($I19="特高",特高係数,IF($I19="高",高係数,IF($I19="中",中係数,IF($I19="低",低係数,IF($I19="特低",特低係数,0)))))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0.7</v>
      </c>
      <c r="K19" s="12">
        <f t="shared" si="9"/>
        <v>1.1000000000000001</v>
      </c>
      <c r="L19" s="12">
        <f t="shared" si="9"/>
        <v>1.2000000000000002</v>
      </c>
      <c r="M19" s="12">
        <f t="shared" si="9"/>
        <v>2.3000000000000003</v>
      </c>
      <c r="N19" s="12">
        <f t="shared" si="9"/>
        <v>1.2000000000000002</v>
      </c>
      <c r="O19" s="12">
        <f t="shared" si="9"/>
        <v>1.2000000000000002</v>
      </c>
      <c r="P19" s="12">
        <f t="shared" si="9"/>
        <v>0.4</v>
      </c>
      <c r="Q19" s="12">
        <f t="shared" si="9"/>
        <v>0.7</v>
      </c>
      <c r="R19" s="12">
        <f t="shared" si="9"/>
        <v>0</v>
      </c>
      <c r="S19" s="58"/>
      <c r="T19" s="12">
        <f t="shared" si="5"/>
        <v>1.4000000000000001</v>
      </c>
      <c r="U19" s="59">
        <f t="shared" si="6"/>
        <v>10.200000000000001</v>
      </c>
      <c r="V19" s="10">
        <f t="shared" si="7"/>
        <v>0.51</v>
      </c>
      <c r="W19" s="42">
        <f t="shared" si="8"/>
        <v>538000</v>
      </c>
      <c r="X19" s="60"/>
    </row>
    <row r="20" spans="1:24" ht="12.95">
      <c r="A20" s="56" t="s">
        <v>70</v>
      </c>
      <c r="B20" s="9"/>
      <c r="C20" s="9" t="s">
        <v>71</v>
      </c>
      <c r="D20" s="83" t="s">
        <v>52</v>
      </c>
      <c r="E20" s="57" t="s">
        <v>49</v>
      </c>
      <c r="F20" s="6">
        <v>20</v>
      </c>
      <c r="G20" s="15"/>
      <c r="H20" s="15"/>
      <c r="I20" s="15" t="str">
        <f t="shared" si="2"/>
        <v>中</v>
      </c>
      <c r="J20" s="12">
        <f t="shared" si="9"/>
        <v>0.6</v>
      </c>
      <c r="K20" s="12">
        <f t="shared" si="9"/>
        <v>0.9</v>
      </c>
      <c r="L20" s="12">
        <f t="shared" si="9"/>
        <v>1</v>
      </c>
      <c r="M20" s="12">
        <f t="shared" si="9"/>
        <v>2</v>
      </c>
      <c r="N20" s="12">
        <f t="shared" si="9"/>
        <v>1</v>
      </c>
      <c r="O20" s="12">
        <f t="shared" si="9"/>
        <v>1.1000000000000001</v>
      </c>
      <c r="P20" s="12">
        <f t="shared" si="9"/>
        <v>0.30000000000000004</v>
      </c>
      <c r="Q20" s="12">
        <f t="shared" si="9"/>
        <v>0.6</v>
      </c>
      <c r="R20" s="12">
        <f t="shared" si="9"/>
        <v>0</v>
      </c>
      <c r="S20" s="58"/>
      <c r="T20" s="12">
        <f t="shared" si="5"/>
        <v>1.2000000000000002</v>
      </c>
      <c r="U20" s="59">
        <f t="shared" si="6"/>
        <v>8.6999999999999993</v>
      </c>
      <c r="V20" s="10">
        <f t="shared" si="7"/>
        <v>0.43499999999999994</v>
      </c>
      <c r="W20" s="42">
        <f t="shared" si="8"/>
        <v>459000</v>
      </c>
      <c r="X20" s="60"/>
    </row>
    <row r="21" spans="1:24" ht="12.95">
      <c r="A21" s="56" t="s">
        <v>72</v>
      </c>
      <c r="B21" s="9"/>
      <c r="C21" s="9" t="s">
        <v>73</v>
      </c>
      <c r="D21" s="83" t="s">
        <v>52</v>
      </c>
      <c r="E21" s="57" t="s">
        <v>55</v>
      </c>
      <c r="F21" s="6">
        <v>15</v>
      </c>
      <c r="G21" s="15"/>
      <c r="H21" s="15"/>
      <c r="I21" s="15" t="str">
        <f t="shared" si="2"/>
        <v>低</v>
      </c>
      <c r="J21" s="12">
        <f t="shared" si="9"/>
        <v>0.30000000000000004</v>
      </c>
      <c r="K21" s="12">
        <f t="shared" si="9"/>
        <v>0.5</v>
      </c>
      <c r="L21" s="12">
        <f t="shared" si="9"/>
        <v>0.5</v>
      </c>
      <c r="M21" s="12">
        <f t="shared" si="9"/>
        <v>1</v>
      </c>
      <c r="N21" s="12">
        <f t="shared" si="9"/>
        <v>0.5</v>
      </c>
      <c r="O21" s="12">
        <f t="shared" si="9"/>
        <v>0.6</v>
      </c>
      <c r="P21" s="12">
        <f t="shared" si="9"/>
        <v>0.2</v>
      </c>
      <c r="Q21" s="12">
        <f t="shared" si="9"/>
        <v>0.30000000000000004</v>
      </c>
      <c r="R21" s="12">
        <f t="shared" si="9"/>
        <v>0</v>
      </c>
      <c r="S21" s="58"/>
      <c r="T21" s="12">
        <f t="shared" si="5"/>
        <v>0.6</v>
      </c>
      <c r="U21" s="59">
        <f t="shared" si="6"/>
        <v>4.5</v>
      </c>
      <c r="V21" s="10">
        <f t="shared" si="7"/>
        <v>0.22500000000000001</v>
      </c>
      <c r="W21" s="42">
        <f t="shared" si="8"/>
        <v>237000</v>
      </c>
      <c r="X21" s="60"/>
    </row>
    <row r="22" spans="1:24" ht="12.95">
      <c r="A22" s="56" t="s">
        <v>74</v>
      </c>
      <c r="B22" s="9"/>
      <c r="C22" s="9"/>
      <c r="D22" s="83"/>
      <c r="E22" s="57"/>
      <c r="F22" s="6"/>
      <c r="G22" s="15"/>
      <c r="H22" s="15"/>
      <c r="I22" s="15" t="str">
        <f t="shared" si="2"/>
        <v/>
      </c>
      <c r="J22" s="12">
        <f t="shared" si="9"/>
        <v>0</v>
      </c>
      <c r="K22" s="12">
        <f t="shared" si="9"/>
        <v>0</v>
      </c>
      <c r="L22" s="12">
        <f t="shared" si="9"/>
        <v>0</v>
      </c>
      <c r="M22" s="12">
        <f t="shared" si="9"/>
        <v>0</v>
      </c>
      <c r="N22" s="12">
        <f t="shared" si="9"/>
        <v>0</v>
      </c>
      <c r="O22" s="12">
        <f t="shared" si="9"/>
        <v>0</v>
      </c>
      <c r="P22" s="12">
        <f t="shared" si="9"/>
        <v>0</v>
      </c>
      <c r="Q22" s="12">
        <f t="shared" si="9"/>
        <v>0</v>
      </c>
      <c r="R22" s="12">
        <f t="shared" si="9"/>
        <v>0</v>
      </c>
      <c r="S22" s="58"/>
      <c r="T22" s="12">
        <f t="shared" si="5"/>
        <v>0</v>
      </c>
      <c r="U22" s="59">
        <f t="shared" si="6"/>
        <v>0</v>
      </c>
      <c r="V22" s="10">
        <f t="shared" si="7"/>
        <v>0</v>
      </c>
      <c r="W22" s="42">
        <f t="shared" si="8"/>
        <v>0</v>
      </c>
      <c r="X22" s="60"/>
    </row>
    <row r="23" spans="1:24" ht="12.95">
      <c r="A23" s="56" t="s">
        <v>75</v>
      </c>
      <c r="B23" s="9"/>
      <c r="C23" s="9"/>
      <c r="D23" s="83"/>
      <c r="E23" s="57"/>
      <c r="F23" s="6"/>
      <c r="G23" s="15"/>
      <c r="H23" s="15"/>
      <c r="I23" s="15" t="str">
        <f t="shared" si="2"/>
        <v/>
      </c>
      <c r="J23" s="12">
        <f t="shared" si="9"/>
        <v>0</v>
      </c>
      <c r="K23" s="12">
        <f t="shared" si="9"/>
        <v>0</v>
      </c>
      <c r="L23" s="12">
        <f t="shared" si="9"/>
        <v>0</v>
      </c>
      <c r="M23" s="12">
        <f t="shared" si="9"/>
        <v>0</v>
      </c>
      <c r="N23" s="12">
        <f t="shared" si="9"/>
        <v>0</v>
      </c>
      <c r="O23" s="12">
        <f t="shared" si="9"/>
        <v>0</v>
      </c>
      <c r="P23" s="12">
        <f t="shared" si="9"/>
        <v>0</v>
      </c>
      <c r="Q23" s="12">
        <f t="shared" si="9"/>
        <v>0</v>
      </c>
      <c r="R23" s="12">
        <f t="shared" si="9"/>
        <v>0</v>
      </c>
      <c r="S23" s="58"/>
      <c r="T23" s="12">
        <f t="shared" si="5"/>
        <v>0</v>
      </c>
      <c r="U23" s="59">
        <f t="shared" si="6"/>
        <v>0</v>
      </c>
      <c r="V23" s="10">
        <f t="shared" si="7"/>
        <v>0</v>
      </c>
      <c r="W23" s="42">
        <f t="shared" si="8"/>
        <v>0</v>
      </c>
      <c r="X23" s="60"/>
    </row>
    <row r="24" spans="1:24" ht="12.95">
      <c r="A24" s="56" t="s">
        <v>76</v>
      </c>
      <c r="B24" s="9"/>
      <c r="C24" s="9"/>
      <c r="D24" s="83"/>
      <c r="E24" s="57"/>
      <c r="F24" s="6"/>
      <c r="G24" s="15"/>
      <c r="H24" s="15"/>
      <c r="I24" s="15" t="str">
        <f t="shared" si="2"/>
        <v/>
      </c>
      <c r="J24" s="12">
        <f t="shared" si="9"/>
        <v>0</v>
      </c>
      <c r="K24" s="12">
        <f t="shared" si="9"/>
        <v>0</v>
      </c>
      <c r="L24" s="12">
        <f t="shared" si="9"/>
        <v>0</v>
      </c>
      <c r="M24" s="12">
        <f t="shared" si="9"/>
        <v>0</v>
      </c>
      <c r="N24" s="12">
        <f t="shared" si="9"/>
        <v>0</v>
      </c>
      <c r="O24" s="12">
        <f t="shared" si="9"/>
        <v>0</v>
      </c>
      <c r="P24" s="12">
        <f t="shared" si="9"/>
        <v>0</v>
      </c>
      <c r="Q24" s="12">
        <f t="shared" si="9"/>
        <v>0</v>
      </c>
      <c r="R24" s="12">
        <f t="shared" si="9"/>
        <v>0</v>
      </c>
      <c r="S24" s="58"/>
      <c r="T24" s="12">
        <f t="shared" si="5"/>
        <v>0</v>
      </c>
      <c r="U24" s="59">
        <f t="shared" si="6"/>
        <v>0</v>
      </c>
      <c r="V24" s="10">
        <f t="shared" si="7"/>
        <v>0</v>
      </c>
      <c r="W24" s="42">
        <f t="shared" si="8"/>
        <v>0</v>
      </c>
      <c r="X24" s="60"/>
    </row>
    <row r="25" spans="1:24" ht="12.95">
      <c r="A25" s="56" t="s">
        <v>77</v>
      </c>
      <c r="B25" s="9"/>
      <c r="C25" s="9"/>
      <c r="D25" s="57"/>
      <c r="E25" s="57"/>
      <c r="F25" s="6"/>
      <c r="G25" s="15"/>
      <c r="H25" s="15"/>
      <c r="I25" s="15" t="str">
        <f t="shared" si="2"/>
        <v/>
      </c>
      <c r="J25" s="12">
        <f t="shared" si="9"/>
        <v>0</v>
      </c>
      <c r="K25" s="12">
        <f t="shared" si="9"/>
        <v>0</v>
      </c>
      <c r="L25" s="12">
        <f t="shared" si="9"/>
        <v>0</v>
      </c>
      <c r="M25" s="12">
        <f t="shared" si="9"/>
        <v>0</v>
      </c>
      <c r="N25" s="12">
        <f t="shared" si="9"/>
        <v>0</v>
      </c>
      <c r="O25" s="12">
        <f t="shared" si="9"/>
        <v>0</v>
      </c>
      <c r="P25" s="12">
        <f t="shared" si="9"/>
        <v>0</v>
      </c>
      <c r="Q25" s="12">
        <f t="shared" si="9"/>
        <v>0</v>
      </c>
      <c r="R25" s="12">
        <f t="shared" si="9"/>
        <v>0</v>
      </c>
      <c r="S25" s="58"/>
      <c r="T25" s="12">
        <f t="shared" si="5"/>
        <v>0</v>
      </c>
      <c r="U25" s="59">
        <f t="shared" si="6"/>
        <v>0</v>
      </c>
      <c r="V25" s="10">
        <f t="shared" si="7"/>
        <v>0</v>
      </c>
      <c r="W25" s="42">
        <f t="shared" si="8"/>
        <v>0</v>
      </c>
      <c r="X25" s="60"/>
    </row>
    <row r="26" spans="1:24" ht="12.95">
      <c r="A26" s="56" t="s">
        <v>78</v>
      </c>
      <c r="B26" s="9"/>
      <c r="C26" s="9"/>
      <c r="D26" s="57"/>
      <c r="E26" s="57"/>
      <c r="F26" s="6"/>
      <c r="G26" s="15"/>
      <c r="H26" s="15"/>
      <c r="I26" s="15" t="str">
        <f t="shared" si="2"/>
        <v/>
      </c>
      <c r="J26" s="12">
        <f t="shared" ref="J26:R35" si="10">ROUNDUP(IF($D26="画面",画面係数,IF($D26="帳票",帳票係数,IF($D26="バッチ",バッチ係数,0))) *
 IF($I26="特高",特高係数,IF($I26="高",高係数,IF($I26="中",中係数,IF($I26="低",低係数,IF($I26="特低",特低係数,0)))))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</v>
      </c>
      <c r="K26" s="12">
        <f t="shared" si="10"/>
        <v>0</v>
      </c>
      <c r="L26" s="12">
        <f t="shared" si="10"/>
        <v>0</v>
      </c>
      <c r="M26" s="12">
        <f t="shared" si="10"/>
        <v>0</v>
      </c>
      <c r="N26" s="12">
        <f t="shared" si="10"/>
        <v>0</v>
      </c>
      <c r="O26" s="12">
        <f t="shared" si="10"/>
        <v>0</v>
      </c>
      <c r="P26" s="12">
        <f t="shared" si="10"/>
        <v>0</v>
      </c>
      <c r="Q26" s="12">
        <f t="shared" si="10"/>
        <v>0</v>
      </c>
      <c r="R26" s="12">
        <f t="shared" si="10"/>
        <v>0</v>
      </c>
      <c r="S26" s="58"/>
      <c r="T26" s="12">
        <f t="shared" si="5"/>
        <v>0</v>
      </c>
      <c r="U26" s="59">
        <f t="shared" si="6"/>
        <v>0</v>
      </c>
      <c r="V26" s="10">
        <f t="shared" si="7"/>
        <v>0</v>
      </c>
      <c r="W26" s="42">
        <f t="shared" si="8"/>
        <v>0</v>
      </c>
      <c r="X26" s="60"/>
    </row>
    <row r="27" spans="1:24" ht="12.95">
      <c r="A27" s="56" t="s">
        <v>79</v>
      </c>
      <c r="B27" s="9"/>
      <c r="C27" s="9"/>
      <c r="D27" s="57"/>
      <c r="E27" s="57"/>
      <c r="F27" s="6"/>
      <c r="G27" s="15"/>
      <c r="H27" s="15"/>
      <c r="I27" s="15" t="str">
        <f t="shared" si="2"/>
        <v/>
      </c>
      <c r="J27" s="12">
        <f t="shared" si="10"/>
        <v>0</v>
      </c>
      <c r="K27" s="12">
        <f t="shared" si="10"/>
        <v>0</v>
      </c>
      <c r="L27" s="12">
        <f t="shared" si="10"/>
        <v>0</v>
      </c>
      <c r="M27" s="12">
        <f t="shared" si="10"/>
        <v>0</v>
      </c>
      <c r="N27" s="12">
        <f t="shared" si="10"/>
        <v>0</v>
      </c>
      <c r="O27" s="12">
        <f t="shared" si="10"/>
        <v>0</v>
      </c>
      <c r="P27" s="12">
        <f t="shared" si="10"/>
        <v>0</v>
      </c>
      <c r="Q27" s="12">
        <f t="shared" si="10"/>
        <v>0</v>
      </c>
      <c r="R27" s="12">
        <f t="shared" si="10"/>
        <v>0</v>
      </c>
      <c r="S27" s="58"/>
      <c r="T27" s="12">
        <f t="shared" si="5"/>
        <v>0</v>
      </c>
      <c r="U27" s="59">
        <f t="shared" si="6"/>
        <v>0</v>
      </c>
      <c r="V27" s="10">
        <f t="shared" si="7"/>
        <v>0</v>
      </c>
      <c r="W27" s="42">
        <f t="shared" si="8"/>
        <v>0</v>
      </c>
      <c r="X27" s="60"/>
    </row>
    <row r="28" spans="1:24" ht="12.95">
      <c r="A28" s="56" t="s">
        <v>80</v>
      </c>
      <c r="B28" s="9"/>
      <c r="C28" s="9"/>
      <c r="D28" s="83"/>
      <c r="E28" s="57"/>
      <c r="F28" s="6"/>
      <c r="G28" s="15"/>
      <c r="H28" s="15"/>
      <c r="I28" s="15" t="str">
        <f t="shared" si="2"/>
        <v/>
      </c>
      <c r="J28" s="12">
        <f t="shared" si="10"/>
        <v>0</v>
      </c>
      <c r="K28" s="12">
        <f t="shared" si="10"/>
        <v>0</v>
      </c>
      <c r="L28" s="12">
        <f t="shared" si="10"/>
        <v>0</v>
      </c>
      <c r="M28" s="12">
        <f t="shared" si="10"/>
        <v>0</v>
      </c>
      <c r="N28" s="12">
        <f t="shared" si="10"/>
        <v>0</v>
      </c>
      <c r="O28" s="12">
        <f t="shared" si="10"/>
        <v>0</v>
      </c>
      <c r="P28" s="12">
        <f t="shared" si="10"/>
        <v>0</v>
      </c>
      <c r="Q28" s="12">
        <f t="shared" si="10"/>
        <v>0</v>
      </c>
      <c r="R28" s="12">
        <f t="shared" si="10"/>
        <v>0</v>
      </c>
      <c r="S28" s="58"/>
      <c r="T28" s="12">
        <f t="shared" si="5"/>
        <v>0</v>
      </c>
      <c r="U28" s="59">
        <f t="shared" si="6"/>
        <v>0</v>
      </c>
      <c r="V28" s="10">
        <f t="shared" si="7"/>
        <v>0</v>
      </c>
      <c r="W28" s="42">
        <f t="shared" si="8"/>
        <v>0</v>
      </c>
      <c r="X28" s="60"/>
    </row>
    <row r="29" spans="1:24" ht="12.95">
      <c r="A29" s="56" t="s">
        <v>81</v>
      </c>
      <c r="B29" s="9"/>
      <c r="C29" s="9"/>
      <c r="D29" s="83"/>
      <c r="E29" s="57"/>
      <c r="F29" s="6"/>
      <c r="G29" s="15"/>
      <c r="H29" s="15"/>
      <c r="I29" s="15" t="str">
        <f t="shared" si="2"/>
        <v/>
      </c>
      <c r="J29" s="12">
        <f t="shared" si="10"/>
        <v>0</v>
      </c>
      <c r="K29" s="12">
        <f t="shared" si="10"/>
        <v>0</v>
      </c>
      <c r="L29" s="12">
        <f t="shared" si="10"/>
        <v>0</v>
      </c>
      <c r="M29" s="12">
        <f t="shared" si="10"/>
        <v>0</v>
      </c>
      <c r="N29" s="12">
        <f t="shared" si="10"/>
        <v>0</v>
      </c>
      <c r="O29" s="12">
        <f t="shared" si="10"/>
        <v>0</v>
      </c>
      <c r="P29" s="12">
        <f t="shared" si="10"/>
        <v>0</v>
      </c>
      <c r="Q29" s="12">
        <f t="shared" si="10"/>
        <v>0</v>
      </c>
      <c r="R29" s="12">
        <f t="shared" si="10"/>
        <v>0</v>
      </c>
      <c r="S29" s="58"/>
      <c r="T29" s="12">
        <f t="shared" si="5"/>
        <v>0</v>
      </c>
      <c r="U29" s="59">
        <f t="shared" si="6"/>
        <v>0</v>
      </c>
      <c r="V29" s="10">
        <f t="shared" si="7"/>
        <v>0</v>
      </c>
      <c r="W29" s="42">
        <f t="shared" si="8"/>
        <v>0</v>
      </c>
      <c r="X29" s="60"/>
    </row>
    <row r="30" spans="1:24" ht="12.95">
      <c r="A30" s="56" t="s">
        <v>82</v>
      </c>
      <c r="B30" s="9"/>
      <c r="C30" s="9"/>
      <c r="D30" s="83"/>
      <c r="E30" s="57"/>
      <c r="F30" s="6"/>
      <c r="G30" s="15"/>
      <c r="H30" s="15"/>
      <c r="I30" s="15" t="str">
        <f t="shared" si="2"/>
        <v/>
      </c>
      <c r="J30" s="12">
        <f t="shared" si="10"/>
        <v>0</v>
      </c>
      <c r="K30" s="12">
        <f t="shared" si="10"/>
        <v>0</v>
      </c>
      <c r="L30" s="12">
        <f t="shared" si="10"/>
        <v>0</v>
      </c>
      <c r="M30" s="12">
        <f t="shared" si="10"/>
        <v>0</v>
      </c>
      <c r="N30" s="12">
        <f t="shared" si="10"/>
        <v>0</v>
      </c>
      <c r="O30" s="12">
        <f t="shared" si="10"/>
        <v>0</v>
      </c>
      <c r="P30" s="12">
        <f t="shared" si="10"/>
        <v>0</v>
      </c>
      <c r="Q30" s="12">
        <f t="shared" si="10"/>
        <v>0</v>
      </c>
      <c r="R30" s="12">
        <f t="shared" si="10"/>
        <v>0</v>
      </c>
      <c r="S30" s="58"/>
      <c r="T30" s="12">
        <f t="shared" si="5"/>
        <v>0</v>
      </c>
      <c r="U30" s="59">
        <f t="shared" si="6"/>
        <v>0</v>
      </c>
      <c r="V30" s="10">
        <f t="shared" si="7"/>
        <v>0</v>
      </c>
      <c r="W30" s="42">
        <f t="shared" si="8"/>
        <v>0</v>
      </c>
      <c r="X30" s="60"/>
    </row>
    <row r="31" spans="1:24" ht="12.95">
      <c r="A31" s="56" t="s">
        <v>83</v>
      </c>
      <c r="B31" s="9"/>
      <c r="C31" s="9"/>
      <c r="D31" s="83"/>
      <c r="E31" s="57"/>
      <c r="F31" s="6"/>
      <c r="G31" s="15"/>
      <c r="H31" s="15"/>
      <c r="I31" s="15" t="str">
        <f t="shared" si="2"/>
        <v/>
      </c>
      <c r="J31" s="12">
        <f t="shared" si="10"/>
        <v>0</v>
      </c>
      <c r="K31" s="12">
        <f t="shared" si="10"/>
        <v>0</v>
      </c>
      <c r="L31" s="12">
        <f t="shared" si="10"/>
        <v>0</v>
      </c>
      <c r="M31" s="12">
        <f t="shared" si="10"/>
        <v>0</v>
      </c>
      <c r="N31" s="12">
        <f t="shared" si="10"/>
        <v>0</v>
      </c>
      <c r="O31" s="12">
        <f t="shared" si="10"/>
        <v>0</v>
      </c>
      <c r="P31" s="12">
        <f t="shared" si="10"/>
        <v>0</v>
      </c>
      <c r="Q31" s="12">
        <f t="shared" si="10"/>
        <v>0</v>
      </c>
      <c r="R31" s="12">
        <f t="shared" si="10"/>
        <v>0</v>
      </c>
      <c r="S31" s="58"/>
      <c r="T31" s="12">
        <f t="shared" si="5"/>
        <v>0</v>
      </c>
      <c r="U31" s="59">
        <f t="shared" si="6"/>
        <v>0</v>
      </c>
      <c r="V31" s="10">
        <f t="shared" si="7"/>
        <v>0</v>
      </c>
      <c r="W31" s="42">
        <f t="shared" si="8"/>
        <v>0</v>
      </c>
      <c r="X31" s="60"/>
    </row>
    <row r="32" spans="1:24" ht="12.95">
      <c r="A32" s="56" t="s">
        <v>84</v>
      </c>
      <c r="B32" s="9"/>
      <c r="C32" s="9"/>
      <c r="D32" s="83"/>
      <c r="E32" s="57"/>
      <c r="F32" s="6"/>
      <c r="G32" s="15"/>
      <c r="H32" s="15"/>
      <c r="I32" s="15" t="str">
        <f t="shared" si="2"/>
        <v/>
      </c>
      <c r="J32" s="12">
        <f t="shared" si="10"/>
        <v>0</v>
      </c>
      <c r="K32" s="12">
        <f t="shared" si="10"/>
        <v>0</v>
      </c>
      <c r="L32" s="12">
        <f t="shared" si="10"/>
        <v>0</v>
      </c>
      <c r="M32" s="12">
        <f t="shared" si="10"/>
        <v>0</v>
      </c>
      <c r="N32" s="12">
        <f t="shared" si="10"/>
        <v>0</v>
      </c>
      <c r="O32" s="12">
        <f t="shared" si="10"/>
        <v>0</v>
      </c>
      <c r="P32" s="12">
        <f t="shared" si="10"/>
        <v>0</v>
      </c>
      <c r="Q32" s="12">
        <f t="shared" si="10"/>
        <v>0</v>
      </c>
      <c r="R32" s="12">
        <f t="shared" si="10"/>
        <v>0</v>
      </c>
      <c r="S32" s="58"/>
      <c r="T32" s="12">
        <f t="shared" si="5"/>
        <v>0</v>
      </c>
      <c r="U32" s="59">
        <f t="shared" si="6"/>
        <v>0</v>
      </c>
      <c r="V32" s="10">
        <f t="shared" si="7"/>
        <v>0</v>
      </c>
      <c r="W32" s="42">
        <f t="shared" si="8"/>
        <v>0</v>
      </c>
      <c r="X32" s="60"/>
    </row>
    <row r="33" spans="1:24" ht="12.95">
      <c r="A33" s="56" t="s">
        <v>85</v>
      </c>
      <c r="B33" s="9"/>
      <c r="C33" s="9"/>
      <c r="D33" s="57"/>
      <c r="E33" s="57"/>
      <c r="F33" s="6"/>
      <c r="G33" s="15"/>
      <c r="H33" s="15"/>
      <c r="I33" s="15" t="str">
        <f t="shared" si="2"/>
        <v/>
      </c>
      <c r="J33" s="12">
        <f t="shared" si="10"/>
        <v>0</v>
      </c>
      <c r="K33" s="12">
        <f t="shared" si="10"/>
        <v>0</v>
      </c>
      <c r="L33" s="12">
        <f t="shared" si="10"/>
        <v>0</v>
      </c>
      <c r="M33" s="12">
        <f t="shared" si="10"/>
        <v>0</v>
      </c>
      <c r="N33" s="12">
        <f t="shared" si="10"/>
        <v>0</v>
      </c>
      <c r="O33" s="12">
        <f t="shared" si="10"/>
        <v>0</v>
      </c>
      <c r="P33" s="12">
        <f t="shared" si="10"/>
        <v>0</v>
      </c>
      <c r="Q33" s="12">
        <f t="shared" si="10"/>
        <v>0</v>
      </c>
      <c r="R33" s="12">
        <f t="shared" si="10"/>
        <v>0</v>
      </c>
      <c r="S33" s="58"/>
      <c r="T33" s="12">
        <f t="shared" si="5"/>
        <v>0</v>
      </c>
      <c r="U33" s="59">
        <f t="shared" si="6"/>
        <v>0</v>
      </c>
      <c r="V33" s="10">
        <f t="shared" si="7"/>
        <v>0</v>
      </c>
      <c r="W33" s="42">
        <f t="shared" si="8"/>
        <v>0</v>
      </c>
      <c r="X33" s="60"/>
    </row>
    <row r="34" spans="1:24" ht="12.95">
      <c r="A34" s="56" t="s">
        <v>86</v>
      </c>
      <c r="B34" s="9"/>
      <c r="C34" s="9"/>
      <c r="D34" s="57"/>
      <c r="E34" s="57"/>
      <c r="F34" s="6"/>
      <c r="G34" s="15"/>
      <c r="H34" s="15"/>
      <c r="I34" s="15" t="str">
        <f t="shared" si="2"/>
        <v/>
      </c>
      <c r="J34" s="12">
        <f t="shared" si="10"/>
        <v>0</v>
      </c>
      <c r="K34" s="12">
        <f t="shared" si="10"/>
        <v>0</v>
      </c>
      <c r="L34" s="12">
        <f t="shared" si="10"/>
        <v>0</v>
      </c>
      <c r="M34" s="12">
        <f t="shared" si="10"/>
        <v>0</v>
      </c>
      <c r="N34" s="12">
        <f t="shared" si="10"/>
        <v>0</v>
      </c>
      <c r="O34" s="12">
        <f t="shared" si="10"/>
        <v>0</v>
      </c>
      <c r="P34" s="12">
        <f t="shared" si="10"/>
        <v>0</v>
      </c>
      <c r="Q34" s="12">
        <f t="shared" si="10"/>
        <v>0</v>
      </c>
      <c r="R34" s="12">
        <f t="shared" si="10"/>
        <v>0</v>
      </c>
      <c r="S34" s="58"/>
      <c r="T34" s="12">
        <f t="shared" si="5"/>
        <v>0</v>
      </c>
      <c r="U34" s="59">
        <f t="shared" si="6"/>
        <v>0</v>
      </c>
      <c r="V34" s="10">
        <f t="shared" si="7"/>
        <v>0</v>
      </c>
      <c r="W34" s="42">
        <f t="shared" si="8"/>
        <v>0</v>
      </c>
      <c r="X34" s="60"/>
    </row>
    <row r="35" spans="1:24" ht="12.95">
      <c r="A35" s="56" t="s">
        <v>87</v>
      </c>
      <c r="B35" s="9"/>
      <c r="C35" s="9"/>
      <c r="D35" s="57"/>
      <c r="E35" s="57"/>
      <c r="F35" s="6"/>
      <c r="G35" s="15"/>
      <c r="H35" s="15"/>
      <c r="I35" s="15" t="str">
        <f t="shared" si="2"/>
        <v/>
      </c>
      <c r="J35" s="12">
        <f t="shared" si="10"/>
        <v>0</v>
      </c>
      <c r="K35" s="12">
        <f t="shared" si="10"/>
        <v>0</v>
      </c>
      <c r="L35" s="12">
        <f t="shared" si="10"/>
        <v>0</v>
      </c>
      <c r="M35" s="12">
        <f t="shared" si="10"/>
        <v>0</v>
      </c>
      <c r="N35" s="12">
        <f t="shared" si="10"/>
        <v>0</v>
      </c>
      <c r="O35" s="12">
        <f t="shared" si="10"/>
        <v>0</v>
      </c>
      <c r="P35" s="12">
        <f t="shared" si="10"/>
        <v>0</v>
      </c>
      <c r="Q35" s="12">
        <f t="shared" si="10"/>
        <v>0</v>
      </c>
      <c r="R35" s="12">
        <f t="shared" si="10"/>
        <v>0</v>
      </c>
      <c r="S35" s="58"/>
      <c r="T35" s="12">
        <f t="shared" si="5"/>
        <v>0</v>
      </c>
      <c r="U35" s="59">
        <f t="shared" si="6"/>
        <v>0</v>
      </c>
      <c r="V35" s="10">
        <f t="shared" si="7"/>
        <v>0</v>
      </c>
      <c r="W35" s="42">
        <f t="shared" si="8"/>
        <v>0</v>
      </c>
      <c r="X35" s="60"/>
    </row>
    <row r="36" spans="1:24" ht="12.95">
      <c r="A36" s="56" t="s">
        <v>88</v>
      </c>
      <c r="B36" s="9"/>
      <c r="C36" s="9"/>
      <c r="D36" s="57"/>
      <c r="E36" s="57"/>
      <c r="F36" s="6"/>
      <c r="G36" s="15"/>
      <c r="H36" s="15"/>
      <c r="I36" s="15" t="str">
        <f t="shared" si="2"/>
        <v/>
      </c>
      <c r="J36" s="12">
        <f t="shared" ref="J36:R36" si="11">ROUNDUP(IF($D36="画面",画面係数,IF($D36="帳票",帳票係数,IF($D36="バッチ",バッチ係数,0))) *
 IF($I36="特高",特高係数,IF($I36="高",高係数,IF($I36="中",中係数,IF($I36="低",低係数,IF($I36="特低",特低係数,0)))))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</v>
      </c>
      <c r="K36" s="12">
        <f t="shared" si="11"/>
        <v>0</v>
      </c>
      <c r="L36" s="12">
        <f t="shared" si="11"/>
        <v>0</v>
      </c>
      <c r="M36" s="12">
        <f t="shared" si="11"/>
        <v>0</v>
      </c>
      <c r="N36" s="12">
        <f t="shared" si="11"/>
        <v>0</v>
      </c>
      <c r="O36" s="12">
        <f t="shared" si="11"/>
        <v>0</v>
      </c>
      <c r="P36" s="12">
        <f t="shared" si="11"/>
        <v>0</v>
      </c>
      <c r="Q36" s="12">
        <f t="shared" si="11"/>
        <v>0</v>
      </c>
      <c r="R36" s="12">
        <f t="shared" si="11"/>
        <v>0</v>
      </c>
      <c r="S36" s="58"/>
      <c r="T36" s="12">
        <f t="shared" si="5"/>
        <v>0</v>
      </c>
      <c r="U36" s="59">
        <f t="shared" si="6"/>
        <v>0</v>
      </c>
      <c r="V36" s="10">
        <f t="shared" si="7"/>
        <v>0</v>
      </c>
      <c r="W36" s="42">
        <f t="shared" si="8"/>
        <v>0</v>
      </c>
      <c r="X36" s="60"/>
    </row>
    <row r="37" spans="1:24" ht="12.95">
      <c r="A37" s="56" t="s">
        <v>89</v>
      </c>
      <c r="B37" s="9" t="s">
        <v>90</v>
      </c>
      <c r="C37" s="9" t="s">
        <v>91</v>
      </c>
      <c r="D37" s="57" t="s">
        <v>48</v>
      </c>
      <c r="E37" s="57"/>
      <c r="F37" s="6"/>
      <c r="G37" s="15"/>
      <c r="H37" s="15"/>
      <c r="I37" s="15" t="s">
        <v>92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58"/>
      <c r="T37" s="12">
        <v>16.100000000000001</v>
      </c>
      <c r="U37" s="59">
        <f t="shared" ref="U37:U39" si="12">SUM(J37:T37)</f>
        <v>16.100000000000001</v>
      </c>
      <c r="V37" s="10">
        <f t="shared" ref="V37:V39" si="13">U37/20</f>
        <v>0.80500000000000005</v>
      </c>
      <c r="W37" s="42">
        <f t="shared" ref="W37:W39" si="14">((J37*J$9) + (K37*K$9) + (L37*L$9) + (M37*M$9) + (N37*N$9) + (O37*O$9) + (P37*P$9) + (Q37*Q$9) + (R37*R$9) + (S37*S$9) + (T37*T$9))/20</f>
        <v>1127000.0000000002</v>
      </c>
      <c r="X37" s="60"/>
    </row>
    <row r="38" spans="1:24" ht="12.95">
      <c r="A38" s="56" t="s">
        <v>93</v>
      </c>
      <c r="B38" s="9" t="s">
        <v>90</v>
      </c>
      <c r="C38" s="9" t="s">
        <v>94</v>
      </c>
      <c r="D38" s="57" t="s">
        <v>95</v>
      </c>
      <c r="E38" s="57"/>
      <c r="F38" s="6"/>
      <c r="G38" s="15"/>
      <c r="H38" s="15"/>
      <c r="I38" s="15" t="s">
        <v>92</v>
      </c>
      <c r="J38" s="12">
        <f t="shared" ref="J38:R39" si="15">ROUNDUP(IF($D38="画面",画面係数,IF($D38="帳票",帳票係数,IF($D38="バッチ",バッチ係数,0))) *
 IF($I38="特高",特高係数,IF($I38="高",高係数,IF($I38="中",中係数,IF($I38="低",低係数,IF($I38="特低",特低係数,0))))) *
 IF(J$7="SA",要件定義係数,IF(J$7="UI",基本設計係数,IF(J$7="SS",詳細設計係数,IF(J$7="PS/PG/PT",製作係数,IF(J$7="IT",結合テスト係数,IF(J$7="ST",総合テスト係数,IF(J$7="OT",受入支援係数,IF(J$7="RL",移行切替係数,IF(J$7="その他",その他係数,0))))))))) *
 J$8,1)</f>
        <v>0.79999999999999993</v>
      </c>
      <c r="K38" s="12">
        <f t="shared" si="15"/>
        <v>1.2000000000000002</v>
      </c>
      <c r="L38" s="12">
        <f t="shared" si="15"/>
        <v>1.3</v>
      </c>
      <c r="M38" s="12">
        <f t="shared" si="15"/>
        <v>2.6</v>
      </c>
      <c r="N38" s="12">
        <f t="shared" si="15"/>
        <v>1.3</v>
      </c>
      <c r="O38" s="12">
        <f t="shared" si="15"/>
        <v>1.4000000000000001</v>
      </c>
      <c r="P38" s="12">
        <f t="shared" si="15"/>
        <v>0.4</v>
      </c>
      <c r="Q38" s="12">
        <f t="shared" si="15"/>
        <v>0.79999999999999993</v>
      </c>
      <c r="R38" s="12">
        <f t="shared" si="15"/>
        <v>0</v>
      </c>
      <c r="S38" s="58"/>
      <c r="T38" s="12">
        <f t="shared" ref="T38:T39" si="16">ROUNDUP(SUM(J38:S38)*T$8,1)</f>
        <v>1.5</v>
      </c>
      <c r="U38" s="59">
        <f t="shared" si="12"/>
        <v>11.3</v>
      </c>
      <c r="V38" s="10">
        <f t="shared" si="13"/>
        <v>0.56500000000000006</v>
      </c>
      <c r="W38" s="42">
        <f t="shared" si="14"/>
        <v>595000</v>
      </c>
      <c r="X38" s="60"/>
    </row>
    <row r="39" spans="1:24" ht="12.95">
      <c r="A39" s="56" t="s">
        <v>96</v>
      </c>
      <c r="B39" s="9"/>
      <c r="C39" s="9"/>
      <c r="D39" s="57"/>
      <c r="E39" s="57"/>
      <c r="F39" s="6"/>
      <c r="G39" s="15"/>
      <c r="H39" s="15"/>
      <c r="I39" s="15" t="str">
        <f t="shared" si="2"/>
        <v/>
      </c>
      <c r="J39" s="12">
        <f t="shared" si="15"/>
        <v>0</v>
      </c>
      <c r="K39" s="12">
        <f t="shared" si="15"/>
        <v>0</v>
      </c>
      <c r="L39" s="12">
        <f t="shared" si="15"/>
        <v>0</v>
      </c>
      <c r="M39" s="12">
        <f t="shared" si="15"/>
        <v>0</v>
      </c>
      <c r="N39" s="12">
        <f t="shared" si="15"/>
        <v>0</v>
      </c>
      <c r="O39" s="12">
        <f t="shared" si="15"/>
        <v>0</v>
      </c>
      <c r="P39" s="12">
        <f t="shared" si="15"/>
        <v>0</v>
      </c>
      <c r="Q39" s="12">
        <f t="shared" si="15"/>
        <v>0</v>
      </c>
      <c r="R39" s="12">
        <f t="shared" si="15"/>
        <v>0</v>
      </c>
      <c r="S39" s="58"/>
      <c r="T39" s="12">
        <f t="shared" si="16"/>
        <v>0</v>
      </c>
      <c r="U39" s="59">
        <f t="shared" si="12"/>
        <v>0</v>
      </c>
      <c r="V39" s="10">
        <f t="shared" si="13"/>
        <v>0</v>
      </c>
      <c r="W39" s="42">
        <f t="shared" si="14"/>
        <v>0</v>
      </c>
      <c r="X39" s="60"/>
    </row>
  </sheetData>
  <autoFilter ref="A7:AE39" xr:uid="{00000000-0009-0000-0000-000001000000}"/>
  <mergeCells count="9">
    <mergeCell ref="C4:D5"/>
    <mergeCell ref="A4:B5"/>
    <mergeCell ref="A1:D1"/>
    <mergeCell ref="A2:D2"/>
    <mergeCell ref="F1:I1"/>
    <mergeCell ref="F2:I2"/>
    <mergeCell ref="F3:I3"/>
    <mergeCell ref="F4:I4"/>
    <mergeCell ref="F5:I5"/>
  </mergeCells>
  <phoneticPr fontId="1"/>
  <dataValidations count="2">
    <dataValidation type="list" allowBlank="1" showInputMessage="1" showErrorMessage="1" sqref="E10:E39" xr:uid="{00000000-0002-0000-0100-000000000000}">
      <formula1>"有,無"</formula1>
    </dataValidation>
    <dataValidation type="list" allowBlank="1" showInputMessage="1" showErrorMessage="1" sqref="D10:D39" xr:uid="{00000000-0002-0000-0100-000001000000}">
      <formula1>"画面,帳票,バッチ,その他"</formula1>
    </dataValidation>
  </dataValidations>
  <printOptions horizontalCentered="1"/>
  <pageMargins left="0.19685039370078741" right="0.19685039370078741" top="0.39370078740157483" bottom="0.19685039370078741" header="0.31496062992125984" footer="0.31496062992125984"/>
  <pageSetup paperSize="9"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19"/>
  <sheetViews>
    <sheetView workbookViewId="0">
      <selection activeCell="A5" sqref="A5"/>
    </sheetView>
  </sheetViews>
  <sheetFormatPr defaultRowHeight="12.95"/>
  <cols>
    <col min="1" max="2" width="20" customWidth="1"/>
    <col min="3" max="17" width="13.7109375" customWidth="1"/>
    <col min="18" max="18" width="14.28515625" customWidth="1"/>
  </cols>
  <sheetData>
    <row r="2" spans="1:18" ht="22.5">
      <c r="A2" s="86"/>
      <c r="B2" s="86"/>
      <c r="C2" s="87" t="s">
        <v>97</v>
      </c>
      <c r="D2" s="88" t="s">
        <v>98</v>
      </c>
      <c r="E2" s="88" t="s">
        <v>99</v>
      </c>
      <c r="F2" s="88" t="s">
        <v>100</v>
      </c>
      <c r="G2" s="88" t="s">
        <v>101</v>
      </c>
      <c r="H2" s="88" t="s">
        <v>102</v>
      </c>
      <c r="I2" s="88" t="s">
        <v>103</v>
      </c>
      <c r="J2" s="88" t="s">
        <v>104</v>
      </c>
      <c r="K2" s="88" t="s">
        <v>105</v>
      </c>
      <c r="L2" s="88" t="s">
        <v>106</v>
      </c>
      <c r="M2" s="88" t="s">
        <v>107</v>
      </c>
      <c r="N2" s="88" t="s">
        <v>108</v>
      </c>
      <c r="O2" s="88" t="s">
        <v>109</v>
      </c>
      <c r="P2" s="88" t="s">
        <v>110</v>
      </c>
      <c r="Q2" s="88" t="s">
        <v>111</v>
      </c>
    </row>
    <row r="3" spans="1:18" ht="25.5" customHeight="1">
      <c r="A3" s="86"/>
      <c r="B3" s="86"/>
      <c r="C3" s="102" t="s">
        <v>112</v>
      </c>
      <c r="D3" s="103"/>
      <c r="E3" s="102" t="s">
        <v>113</v>
      </c>
      <c r="F3" s="104"/>
      <c r="G3" s="103"/>
      <c r="H3" s="102" t="s">
        <v>114</v>
      </c>
      <c r="I3" s="104"/>
      <c r="J3" s="103"/>
      <c r="K3" s="102" t="s">
        <v>115</v>
      </c>
      <c r="L3" s="103"/>
      <c r="M3" s="102" t="s">
        <v>116</v>
      </c>
      <c r="N3" s="103"/>
      <c r="O3" s="89" t="s">
        <v>117</v>
      </c>
      <c r="P3" s="102" t="s">
        <v>118</v>
      </c>
      <c r="Q3" s="103"/>
      <c r="R3" t="s">
        <v>119</v>
      </c>
    </row>
    <row r="4" spans="1:18" ht="26.45">
      <c r="A4" s="86"/>
      <c r="B4" s="86" t="s">
        <v>120</v>
      </c>
      <c r="C4" s="102">
        <v>11.32</v>
      </c>
      <c r="D4" s="103"/>
      <c r="E4" s="102">
        <v>16.64</v>
      </c>
      <c r="F4" s="103"/>
      <c r="G4" s="89">
        <v>18</v>
      </c>
      <c r="H4" s="102">
        <v>32.909999999999997</v>
      </c>
      <c r="I4" s="104"/>
      <c r="J4" s="103"/>
      <c r="K4" s="102">
        <v>16.350000000000001</v>
      </c>
      <c r="L4" s="103"/>
      <c r="M4" s="102">
        <v>17.09</v>
      </c>
      <c r="N4" s="103"/>
      <c r="O4" s="89">
        <v>5.0199999999999996</v>
      </c>
      <c r="P4" s="102">
        <v>9.81</v>
      </c>
      <c r="Q4" s="103"/>
      <c r="R4">
        <f>SUM(C4:Q4)</f>
        <v>127.14</v>
      </c>
    </row>
    <row r="5" spans="1:18" ht="26.45">
      <c r="A5" s="86"/>
      <c r="B5" s="86" t="s">
        <v>121</v>
      </c>
      <c r="C5" s="102">
        <f>SUM(C17:D18)</f>
        <v>10</v>
      </c>
      <c r="D5" s="103"/>
      <c r="E5" s="102">
        <f>SUM(E17:F18)</f>
        <v>22</v>
      </c>
      <c r="F5" s="103"/>
      <c r="G5" s="89">
        <f>SUM(G17:G18)</f>
        <v>11</v>
      </c>
      <c r="H5" s="102">
        <f>SUM(H17:J18)</f>
        <v>33</v>
      </c>
      <c r="I5" s="104"/>
      <c r="J5" s="103"/>
      <c r="K5" s="102">
        <f>SUM(K17:L18)</f>
        <v>16</v>
      </c>
      <c r="L5" s="103"/>
      <c r="M5" s="102">
        <f>SUM(M17:N18)</f>
        <v>16</v>
      </c>
      <c r="N5" s="103"/>
      <c r="O5" s="89">
        <f>SUM(O17:O18)</f>
        <v>5</v>
      </c>
      <c r="P5" s="102">
        <f>SUM(P17:Q18)</f>
        <v>10</v>
      </c>
      <c r="Q5" s="103"/>
      <c r="R5">
        <f>SUM(C5:Q5)</f>
        <v>123</v>
      </c>
    </row>
    <row r="6" spans="1:18" ht="26.45">
      <c r="A6" s="89"/>
      <c r="B6" s="89"/>
      <c r="C6" s="90"/>
      <c r="D6" s="90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</row>
    <row r="7" spans="1:18" ht="26.45">
      <c r="A7" s="89"/>
      <c r="B7" s="89"/>
      <c r="C7" s="91"/>
      <c r="D7" s="91"/>
      <c r="E7" s="90"/>
      <c r="F7" s="90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</row>
    <row r="8" spans="1:18" ht="26.45">
      <c r="A8" s="89"/>
      <c r="B8" s="89"/>
      <c r="C8" s="91"/>
      <c r="D8" s="91"/>
      <c r="E8" s="91"/>
      <c r="F8" s="91"/>
      <c r="G8" s="90"/>
      <c r="H8" s="91"/>
      <c r="I8" s="91"/>
      <c r="J8" s="91"/>
      <c r="K8" s="91"/>
      <c r="L8" s="91"/>
      <c r="M8" s="91"/>
      <c r="N8" s="91"/>
      <c r="O8" s="91"/>
      <c r="P8" s="91"/>
      <c r="Q8" s="91"/>
    </row>
    <row r="9" spans="1:18" ht="26.45">
      <c r="A9" s="89"/>
      <c r="B9" s="89"/>
      <c r="C9" s="91"/>
      <c r="D9" s="91"/>
      <c r="E9" s="91"/>
      <c r="F9" s="91"/>
      <c r="G9" s="91"/>
      <c r="H9" s="90"/>
      <c r="I9" s="90"/>
      <c r="J9" s="90"/>
      <c r="K9" s="91"/>
      <c r="L9" s="91"/>
      <c r="M9" s="91"/>
      <c r="N9" s="91"/>
      <c r="O9" s="91"/>
      <c r="P9" s="91"/>
      <c r="Q9" s="91"/>
    </row>
    <row r="10" spans="1:18" ht="26.45">
      <c r="A10" s="89"/>
      <c r="B10" s="89"/>
      <c r="C10" s="91"/>
      <c r="D10" s="91"/>
      <c r="E10" s="91"/>
      <c r="F10" s="91"/>
      <c r="G10" s="91"/>
      <c r="H10" s="91"/>
      <c r="I10" s="91"/>
      <c r="J10" s="91"/>
      <c r="K10" s="90"/>
      <c r="L10" s="90"/>
      <c r="M10" s="91"/>
      <c r="N10" s="91"/>
      <c r="O10" s="91"/>
      <c r="P10" s="91"/>
      <c r="Q10" s="91"/>
    </row>
    <row r="11" spans="1:18" ht="26.45">
      <c r="A11" s="89"/>
      <c r="B11" s="89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0"/>
      <c r="N11" s="90"/>
      <c r="O11" s="91"/>
      <c r="P11" s="91"/>
      <c r="Q11" s="91"/>
    </row>
    <row r="12" spans="1:18" ht="26.45">
      <c r="A12" s="89"/>
      <c r="B12" s="89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0"/>
      <c r="P12" s="91"/>
      <c r="Q12" s="91"/>
    </row>
    <row r="13" spans="1:18" ht="26.45">
      <c r="A13" s="89"/>
      <c r="B13" s="89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0"/>
      <c r="Q13" s="90"/>
    </row>
    <row r="15" spans="1:18">
      <c r="B15" t="s">
        <v>122</v>
      </c>
    </row>
    <row r="16" spans="1:18">
      <c r="A16" t="s">
        <v>123</v>
      </c>
      <c r="B16" s="92">
        <v>1400000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8">
      <c r="A17" t="s">
        <v>124</v>
      </c>
      <c r="B17" s="92">
        <v>1200000</v>
      </c>
      <c r="C17">
        <v>2</v>
      </c>
      <c r="D17">
        <v>2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2</v>
      </c>
      <c r="P17">
        <v>2</v>
      </c>
      <c r="Q17">
        <v>2</v>
      </c>
    </row>
    <row r="18" spans="1:18">
      <c r="A18" t="s">
        <v>125</v>
      </c>
      <c r="B18" s="92">
        <v>1000000</v>
      </c>
      <c r="C18">
        <v>3</v>
      </c>
      <c r="D18">
        <v>3</v>
      </c>
      <c r="E18">
        <v>8</v>
      </c>
      <c r="F18">
        <v>8</v>
      </c>
      <c r="G18">
        <v>8</v>
      </c>
      <c r="H18">
        <v>8</v>
      </c>
      <c r="I18">
        <v>8</v>
      </c>
      <c r="J18">
        <v>8</v>
      </c>
      <c r="K18">
        <v>5</v>
      </c>
      <c r="L18">
        <v>5</v>
      </c>
      <c r="M18">
        <v>5</v>
      </c>
      <c r="N18">
        <v>5</v>
      </c>
      <c r="O18">
        <v>3</v>
      </c>
      <c r="P18">
        <v>3</v>
      </c>
      <c r="Q18">
        <v>3</v>
      </c>
    </row>
    <row r="19" spans="1:18">
      <c r="C19" s="92">
        <f>($B$16*C16)+($B$17*C17)+($B$18*C18)</f>
        <v>6800000</v>
      </c>
      <c r="D19" s="92">
        <f t="shared" ref="D19:Q19" si="0">($B$16*D16)+($B$17*D17)+($B$18*D18)</f>
        <v>6800000</v>
      </c>
      <c r="E19" s="92">
        <f t="shared" si="0"/>
        <v>13000000</v>
      </c>
      <c r="F19" s="92">
        <f t="shared" si="0"/>
        <v>13000000</v>
      </c>
      <c r="G19" s="92">
        <f t="shared" si="0"/>
        <v>13000000</v>
      </c>
      <c r="H19" s="92">
        <f t="shared" si="0"/>
        <v>13000000</v>
      </c>
      <c r="I19" s="92">
        <f t="shared" si="0"/>
        <v>13000000</v>
      </c>
      <c r="J19" s="92">
        <f t="shared" si="0"/>
        <v>13000000</v>
      </c>
      <c r="K19" s="92">
        <f t="shared" si="0"/>
        <v>10000000</v>
      </c>
      <c r="L19" s="92">
        <f t="shared" si="0"/>
        <v>10000000</v>
      </c>
      <c r="M19" s="92">
        <f t="shared" si="0"/>
        <v>10000000</v>
      </c>
      <c r="N19" s="92">
        <f t="shared" si="0"/>
        <v>10000000</v>
      </c>
      <c r="O19" s="92">
        <f t="shared" si="0"/>
        <v>6800000</v>
      </c>
      <c r="P19" s="92">
        <f t="shared" si="0"/>
        <v>6800000</v>
      </c>
      <c r="Q19" s="92">
        <f t="shared" si="0"/>
        <v>6800000</v>
      </c>
      <c r="R19" s="92">
        <f>SUM(C19:Q19)</f>
        <v>152000000</v>
      </c>
    </row>
  </sheetData>
  <mergeCells count="18">
    <mergeCell ref="C4:D4"/>
    <mergeCell ref="E3:G3"/>
    <mergeCell ref="C5:D5"/>
    <mergeCell ref="E5:F5"/>
    <mergeCell ref="H5:J5"/>
    <mergeCell ref="C3:D3"/>
    <mergeCell ref="E4:F4"/>
    <mergeCell ref="H3:J3"/>
    <mergeCell ref="H4:J4"/>
    <mergeCell ref="K5:L5"/>
    <mergeCell ref="P3:Q3"/>
    <mergeCell ref="P4:Q4"/>
    <mergeCell ref="P5:Q5"/>
    <mergeCell ref="M3:N3"/>
    <mergeCell ref="M4:N4"/>
    <mergeCell ref="M5:N5"/>
    <mergeCell ref="K3:L3"/>
    <mergeCell ref="K4:L4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1"/>
  <sheetViews>
    <sheetView topLeftCell="A16" workbookViewId="0">
      <selection activeCell="D42" sqref="D42"/>
    </sheetView>
  </sheetViews>
  <sheetFormatPr defaultColWidth="9" defaultRowHeight="15" customHeight="1"/>
  <cols>
    <col min="1" max="2" width="3.7109375" style="16" customWidth="1"/>
    <col min="3" max="16384" width="9" style="16"/>
  </cols>
  <sheetData>
    <row r="1" spans="1:8" ht="15" customHeight="1">
      <c r="A1" s="37" t="s">
        <v>126</v>
      </c>
    </row>
    <row r="3" spans="1:8" ht="15" customHeight="1">
      <c r="B3" s="17" t="s">
        <v>127</v>
      </c>
      <c r="C3" s="17"/>
    </row>
    <row r="4" spans="1:8" ht="15" customHeight="1">
      <c r="B4" s="17"/>
      <c r="C4" s="17"/>
    </row>
    <row r="5" spans="1:8" ht="15" customHeight="1">
      <c r="B5" s="17"/>
      <c r="C5" s="18" t="s">
        <v>128</v>
      </c>
    </row>
    <row r="6" spans="1:8" ht="15" customHeight="1">
      <c r="B6" s="17"/>
      <c r="C6" s="19" t="s">
        <v>129</v>
      </c>
    </row>
    <row r="7" spans="1:8" ht="15" customHeight="1">
      <c r="B7" s="17"/>
      <c r="C7" s="19" t="s">
        <v>130</v>
      </c>
    </row>
    <row r="8" spans="1:8" ht="15" customHeight="1">
      <c r="B8" s="17"/>
      <c r="C8" s="19" t="s">
        <v>131</v>
      </c>
    </row>
    <row r="9" spans="1:8" ht="15" customHeight="1">
      <c r="B9" s="17"/>
      <c r="C9" s="19" t="s">
        <v>132</v>
      </c>
    </row>
    <row r="10" spans="1:8" ht="15" customHeight="1">
      <c r="B10" s="17"/>
      <c r="C10" s="19" t="s">
        <v>133</v>
      </c>
    </row>
    <row r="12" spans="1:8" ht="15" customHeight="1">
      <c r="B12" s="17" t="s">
        <v>134</v>
      </c>
    </row>
    <row r="14" spans="1:8" ht="15" customHeight="1">
      <c r="C14" s="20" t="s">
        <v>135</v>
      </c>
    </row>
    <row r="15" spans="1:8" ht="15" customHeight="1">
      <c r="C15" s="21" t="s">
        <v>128</v>
      </c>
      <c r="D15" s="22" t="s">
        <v>129</v>
      </c>
      <c r="E15" s="22" t="s">
        <v>130</v>
      </c>
      <c r="F15" s="22" t="s">
        <v>131</v>
      </c>
      <c r="G15" s="22" t="s">
        <v>132</v>
      </c>
      <c r="H15" s="22" t="s">
        <v>133</v>
      </c>
    </row>
    <row r="16" spans="1:8" ht="15" customHeight="1">
      <c r="C16" s="21" t="s">
        <v>38</v>
      </c>
      <c r="D16" s="23">
        <v>40</v>
      </c>
      <c r="E16" s="23">
        <v>30</v>
      </c>
      <c r="F16" s="23">
        <v>20</v>
      </c>
      <c r="G16" s="23">
        <v>10</v>
      </c>
      <c r="H16" s="23">
        <v>0</v>
      </c>
    </row>
    <row r="17" spans="2:21" ht="15" customHeight="1">
      <c r="C17" s="21" t="s">
        <v>136</v>
      </c>
      <c r="D17" s="23">
        <v>50</v>
      </c>
      <c r="E17" s="23">
        <v>40</v>
      </c>
      <c r="F17" s="23">
        <v>30</v>
      </c>
      <c r="G17" s="23">
        <v>20</v>
      </c>
      <c r="H17" s="23">
        <v>10</v>
      </c>
    </row>
    <row r="19" spans="2:21" ht="15" customHeight="1">
      <c r="B19" s="17" t="s">
        <v>137</v>
      </c>
    </row>
    <row r="21" spans="2:21" ht="15" customHeight="1">
      <c r="C21" s="17" t="s">
        <v>138</v>
      </c>
      <c r="O21" s="17" t="s">
        <v>139</v>
      </c>
    </row>
    <row r="22" spans="2:21" ht="15" customHeight="1">
      <c r="C22" s="21" t="s">
        <v>140</v>
      </c>
      <c r="D22" s="24" t="s">
        <v>141</v>
      </c>
      <c r="E22" s="24" t="s">
        <v>142</v>
      </c>
      <c r="F22" s="24" t="s">
        <v>143</v>
      </c>
      <c r="G22" s="24" t="s">
        <v>144</v>
      </c>
      <c r="H22" s="24" t="s">
        <v>145</v>
      </c>
      <c r="I22" s="24" t="s">
        <v>146</v>
      </c>
      <c r="O22" s="21" t="s">
        <v>140</v>
      </c>
      <c r="P22" s="24" t="s">
        <v>141</v>
      </c>
      <c r="Q22" s="24" t="s">
        <v>142</v>
      </c>
      <c r="R22" s="24" t="s">
        <v>143</v>
      </c>
      <c r="S22" s="24" t="s">
        <v>144</v>
      </c>
      <c r="T22" s="24" t="s">
        <v>145</v>
      </c>
      <c r="U22" s="24" t="s">
        <v>146</v>
      </c>
    </row>
    <row r="23" spans="2:21" ht="15" customHeight="1">
      <c r="C23" s="21" t="s">
        <v>147</v>
      </c>
      <c r="D23" s="25">
        <v>0.152</v>
      </c>
      <c r="E23" s="25">
        <v>0.16900000000000001</v>
      </c>
      <c r="F23" s="25">
        <v>0.33700000000000002</v>
      </c>
      <c r="G23" s="25">
        <v>0.16900000000000001</v>
      </c>
      <c r="H23" s="25">
        <v>0.17699999999999999</v>
      </c>
      <c r="I23" s="26">
        <f>SUM(D23:H23)</f>
        <v>1.004</v>
      </c>
      <c r="O23" s="21" t="s">
        <v>148</v>
      </c>
      <c r="P23" s="25">
        <v>0.20100000000000001</v>
      </c>
      <c r="Q23" s="25">
        <v>0.184</v>
      </c>
      <c r="R23" s="25">
        <v>0.248</v>
      </c>
      <c r="S23" s="25">
        <v>0.16500000000000001</v>
      </c>
      <c r="T23" s="25">
        <v>0.14899999999999999</v>
      </c>
      <c r="U23" s="26">
        <f>SUM(P23:T23)</f>
        <v>0.94700000000000006</v>
      </c>
    </row>
    <row r="25" spans="2:21" ht="15" customHeight="1">
      <c r="B25" s="17" t="s">
        <v>149</v>
      </c>
      <c r="C25" s="17"/>
    </row>
    <row r="26" spans="2:21" ht="15" customHeight="1">
      <c r="B26" s="17"/>
      <c r="C26" s="17"/>
    </row>
    <row r="27" spans="2:21" ht="15" customHeight="1">
      <c r="B27" s="17"/>
      <c r="C27" s="17" t="s">
        <v>150</v>
      </c>
    </row>
    <row r="28" spans="2:21" ht="15" customHeight="1">
      <c r="C28" s="21" t="s">
        <v>37</v>
      </c>
      <c r="D28" s="24" t="s">
        <v>151</v>
      </c>
      <c r="E28" s="24" t="s">
        <v>152</v>
      </c>
      <c r="F28" s="24" t="s">
        <v>153</v>
      </c>
    </row>
    <row r="29" spans="2:21" ht="15" customHeight="1">
      <c r="C29" s="21" t="s">
        <v>38</v>
      </c>
      <c r="D29" s="25">
        <f>0.97*20</f>
        <v>19.399999999999999</v>
      </c>
      <c r="E29" s="25">
        <f>0.97*0.7*20</f>
        <v>13.579999999999998</v>
      </c>
      <c r="F29" s="25">
        <f>0.26*20</f>
        <v>5.2</v>
      </c>
    </row>
    <row r="31" spans="2:21" ht="15" customHeight="1">
      <c r="B31" s="17" t="s">
        <v>154</v>
      </c>
      <c r="C31" s="17"/>
    </row>
    <row r="32" spans="2:21" ht="15" customHeight="1">
      <c r="B32" s="17"/>
      <c r="C32" s="17"/>
    </row>
    <row r="33" spans="2:25" ht="15" customHeight="1" thickBot="1">
      <c r="B33" s="17"/>
      <c r="C33" s="21" t="s">
        <v>140</v>
      </c>
      <c r="D33" s="24" t="s">
        <v>155</v>
      </c>
      <c r="E33" s="27" t="s">
        <v>141</v>
      </c>
      <c r="F33" s="27" t="s">
        <v>142</v>
      </c>
      <c r="G33" s="27" t="s">
        <v>143</v>
      </c>
      <c r="H33" s="27" t="s">
        <v>144</v>
      </c>
      <c r="I33" s="27" t="s">
        <v>145</v>
      </c>
      <c r="J33" s="24" t="s">
        <v>156</v>
      </c>
      <c r="K33" s="24" t="s">
        <v>157</v>
      </c>
      <c r="L33" s="24" t="s">
        <v>14</v>
      </c>
      <c r="M33" s="24" t="s">
        <v>146</v>
      </c>
      <c r="O33" s="21" t="s">
        <v>140</v>
      </c>
      <c r="P33" s="24" t="s">
        <v>155</v>
      </c>
      <c r="Q33" s="27" t="s">
        <v>141</v>
      </c>
      <c r="R33" s="27" t="s">
        <v>142</v>
      </c>
      <c r="S33" s="27" t="s">
        <v>143</v>
      </c>
      <c r="T33" s="27" t="s">
        <v>144</v>
      </c>
      <c r="U33" s="27" t="s">
        <v>145</v>
      </c>
      <c r="V33" s="24" t="s">
        <v>156</v>
      </c>
      <c r="W33" s="24" t="s">
        <v>157</v>
      </c>
      <c r="X33" s="24" t="s">
        <v>14</v>
      </c>
      <c r="Y33" s="24" t="s">
        <v>146</v>
      </c>
    </row>
    <row r="34" spans="2:25" ht="15" customHeight="1" thickBot="1">
      <c r="C34" s="21" t="s">
        <v>158</v>
      </c>
      <c r="D34" s="28">
        <f>SUM(E34:I34)*0.1</f>
        <v>0.1004</v>
      </c>
      <c r="E34" s="29">
        <f>D23</f>
        <v>0.152</v>
      </c>
      <c r="F34" s="30">
        <f>E23</f>
        <v>0.16900000000000001</v>
      </c>
      <c r="G34" s="30">
        <f>F23</f>
        <v>0.33700000000000002</v>
      </c>
      <c r="H34" s="30">
        <f>G23</f>
        <v>0.16900000000000001</v>
      </c>
      <c r="I34" s="31">
        <f>H23</f>
        <v>0.17699999999999999</v>
      </c>
      <c r="J34" s="32">
        <f>SUM(E34:I34)*0.05</f>
        <v>5.0200000000000002E-2</v>
      </c>
      <c r="K34" s="33">
        <f>SUM(E34:I34)*0.1</f>
        <v>0.1004</v>
      </c>
      <c r="L34" s="33">
        <v>0</v>
      </c>
      <c r="M34" s="33">
        <f>SUM(D34:L34)</f>
        <v>1.2550000000000001</v>
      </c>
      <c r="O34" s="21" t="s">
        <v>158</v>
      </c>
      <c r="P34" s="28">
        <f>SUM(Q34:U34)*0.1</f>
        <v>9.4700000000000006E-2</v>
      </c>
      <c r="Q34" s="29">
        <f>P23</f>
        <v>0.20100000000000001</v>
      </c>
      <c r="R34" s="30">
        <f>Q23</f>
        <v>0.184</v>
      </c>
      <c r="S34" s="30">
        <f>R23</f>
        <v>0.248</v>
      </c>
      <c r="T34" s="30">
        <f>S23</f>
        <v>0.16500000000000001</v>
      </c>
      <c r="U34" s="31">
        <f>T23</f>
        <v>0.14899999999999999</v>
      </c>
      <c r="V34" s="32">
        <f>SUM(Q34:U34)*0.05</f>
        <v>4.7350000000000003E-2</v>
      </c>
      <c r="W34" s="33">
        <f>SUM(Q34:U34)*0.1</f>
        <v>9.4700000000000006E-2</v>
      </c>
      <c r="X34" s="33">
        <v>0</v>
      </c>
      <c r="Y34" s="33">
        <f>SUM(P34:X34)</f>
        <v>1.1837500000000001</v>
      </c>
    </row>
    <row r="35" spans="2:25" ht="15" customHeight="1">
      <c r="C35" s="21" t="s">
        <v>159</v>
      </c>
      <c r="D35" s="34">
        <f t="shared" ref="D35:L35" si="0">D34/$M34</f>
        <v>0.08</v>
      </c>
      <c r="E35" s="35">
        <f t="shared" si="0"/>
        <v>0.12111553784860557</v>
      </c>
      <c r="F35" s="35">
        <f t="shared" si="0"/>
        <v>0.1346613545816733</v>
      </c>
      <c r="G35" s="35">
        <f t="shared" si="0"/>
        <v>0.2685258964143426</v>
      </c>
      <c r="H35" s="35">
        <f t="shared" si="0"/>
        <v>0.1346613545816733</v>
      </c>
      <c r="I35" s="35">
        <f t="shared" si="0"/>
        <v>0.14103585657370515</v>
      </c>
      <c r="J35" s="34">
        <f t="shared" si="0"/>
        <v>0.04</v>
      </c>
      <c r="K35" s="34">
        <f t="shared" si="0"/>
        <v>0.08</v>
      </c>
      <c r="L35" s="34">
        <f t="shared" si="0"/>
        <v>0</v>
      </c>
      <c r="M35" s="26">
        <f>SUM(D35:L35)</f>
        <v>0.99999999999999989</v>
      </c>
      <c r="O35" s="21" t="s">
        <v>159</v>
      </c>
      <c r="P35" s="34">
        <f>P34/$Y34</f>
        <v>0.08</v>
      </c>
      <c r="Q35" s="34">
        <f t="shared" ref="Q35:X35" si="1">Q34/$Y34</f>
        <v>0.16979936642027454</v>
      </c>
      <c r="R35" s="34">
        <f t="shared" si="1"/>
        <v>0.15543822597676873</v>
      </c>
      <c r="S35" s="34">
        <f t="shared" si="1"/>
        <v>0.20950369588173176</v>
      </c>
      <c r="T35" s="34">
        <f t="shared" si="1"/>
        <v>0.13938753959873285</v>
      </c>
      <c r="U35" s="34">
        <f t="shared" si="1"/>
        <v>0.12587117212249208</v>
      </c>
      <c r="V35" s="34">
        <f t="shared" si="1"/>
        <v>0.04</v>
      </c>
      <c r="W35" s="34">
        <f t="shared" si="1"/>
        <v>0.08</v>
      </c>
      <c r="X35" s="34">
        <f t="shared" si="1"/>
        <v>0</v>
      </c>
      <c r="Y35" s="26">
        <f>SUM(P35:X35)</f>
        <v>1</v>
      </c>
    </row>
    <row r="37" spans="2:25" ht="15" customHeight="1">
      <c r="B37" s="17" t="s">
        <v>160</v>
      </c>
    </row>
    <row r="39" spans="2:25" ht="15" customHeight="1">
      <c r="C39" s="20" t="s">
        <v>161</v>
      </c>
    </row>
    <row r="40" spans="2:25" ht="15" customHeight="1">
      <c r="C40" s="21" t="s">
        <v>128</v>
      </c>
      <c r="D40" s="22" t="s">
        <v>129</v>
      </c>
      <c r="E40" s="22" t="s">
        <v>130</v>
      </c>
      <c r="F40" s="22" t="s">
        <v>131</v>
      </c>
      <c r="G40" s="22" t="s">
        <v>132</v>
      </c>
      <c r="H40" s="22" t="s">
        <v>133</v>
      </c>
    </row>
    <row r="41" spans="2:25" ht="15" customHeight="1">
      <c r="C41" s="21" t="s">
        <v>147</v>
      </c>
      <c r="D41" s="36">
        <v>2</v>
      </c>
      <c r="E41" s="36">
        <v>1.6</v>
      </c>
      <c r="F41" s="36">
        <v>1.4</v>
      </c>
      <c r="G41" s="36">
        <v>0.7</v>
      </c>
      <c r="H41" s="36">
        <v>0.4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DC4E5E-81C0-498F-AFCC-188E0586BF3D}"/>
</file>

<file path=customXml/itemProps2.xml><?xml version="1.0" encoding="utf-8"?>
<ds:datastoreItem xmlns:ds="http://schemas.openxmlformats.org/officeDocument/2006/customXml" ds:itemID="{3DB97C79-504D-4CED-981E-3FD410BDA2C1}"/>
</file>

<file path=customXml/itemProps3.xml><?xml version="1.0" encoding="utf-8"?>
<ds:datastoreItem xmlns:ds="http://schemas.openxmlformats.org/officeDocument/2006/customXml" ds:itemID="{5B697C39-A397-445F-B047-05EE9381E4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(株)システムエグゼ　金児</dc:creator>
  <cp:keywords/>
  <dc:description/>
  <cp:lastModifiedBy>伊達翔互</cp:lastModifiedBy>
  <cp:revision/>
  <dcterms:created xsi:type="dcterms:W3CDTF">2015-10-06T03:03:08Z</dcterms:created>
  <dcterms:modified xsi:type="dcterms:W3CDTF">2025-03-24T04:27:30Z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