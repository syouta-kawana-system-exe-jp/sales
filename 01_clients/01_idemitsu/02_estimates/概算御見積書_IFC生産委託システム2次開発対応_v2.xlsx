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152" documentId="13_ncr:1_{A49524D0-5704-4ECC-A1E0-14FB9725C9BC}" xr6:coauthVersionLast="47" xr6:coauthVersionMax="47" xr10:uidLastSave="{90B53EC4-6332-421D-8DFD-C7869AFB763B}"/>
  <bookViews>
    <workbookView xWindow="-28920" yWindow="-120" windowWidth="29040" windowHeight="15720" xr2:uid="{00000000-000D-0000-FFFF-FFFF00000000}"/>
  </bookViews>
  <sheets>
    <sheet name="概算見積" sheetId="11" r:id="rId1"/>
    <sheet name="工数明細" sheetId="10" r:id="rId2"/>
    <sheet name="工数明細 (2)" sheetId="12" r:id="rId3"/>
    <sheet name="社員工数" sheetId="1" state="hidden" r:id="rId4"/>
    <sheet name="外注費・経費" sheetId="2" state="hidden" r:id="rId5"/>
    <sheet name="リストマスタ" sheetId="3" state="hidden" r:id="rId6"/>
  </sheets>
  <externalReferences>
    <externalReference r:id="rId7"/>
  </externalReferences>
  <definedNames>
    <definedName name="_xlnm.Print_Area" localSheetId="0">概算見積!$A$1:$AJ$165</definedName>
    <definedName name="作業ステータス">[1]コード内訳!$A$125:$A$132</definedName>
    <definedName name="発生場所">[1]コード内訳!$A$115:$A$120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1" l="1"/>
  <c r="AI5" i="10"/>
  <c r="AI6" i="10"/>
  <c r="AI7" i="10"/>
  <c r="AI8" i="10"/>
  <c r="AI9" i="10"/>
  <c r="AI10" i="10"/>
  <c r="AI4" i="10"/>
  <c r="AE47" i="11"/>
  <c r="Y39" i="11"/>
  <c r="AF9" i="12"/>
  <c r="AI9" i="12"/>
  <c r="AI4" i="12"/>
  <c r="AI5" i="12"/>
  <c r="AI6" i="12"/>
  <c r="AI7" i="12"/>
  <c r="AI8" i="12"/>
  <c r="AH9" i="10"/>
  <c r="AG9" i="10"/>
  <c r="AF9" i="10"/>
  <c r="AJ9" i="12"/>
  <c r="AH9" i="12"/>
  <c r="AE9" i="12"/>
  <c r="AE8" i="12"/>
  <c r="AC8" i="12"/>
  <c r="AC9" i="12"/>
  <c r="AH4" i="12"/>
  <c r="AG9" i="12"/>
  <c r="Y45" i="11"/>
  <c r="AE45" i="11" s="1"/>
  <c r="AE44" i="11"/>
  <c r="D40" i="11"/>
  <c r="D41" i="11"/>
  <c r="D42" i="11"/>
  <c r="D43" i="11"/>
  <c r="D39" i="11"/>
  <c r="AH5" i="12"/>
  <c r="AH6" i="12"/>
  <c r="AH7" i="12"/>
  <c r="A4" i="12"/>
  <c r="O4" i="12"/>
  <c r="Y4" i="12" s="1"/>
  <c r="Q4" i="12"/>
  <c r="R4" i="12"/>
  <c r="S4" i="12"/>
  <c r="T4" i="12"/>
  <c r="U4" i="12"/>
  <c r="V4" i="12"/>
  <c r="W4" i="12" s="1"/>
  <c r="AL4" i="12"/>
  <c r="AM4" i="12"/>
  <c r="AN4" i="12"/>
  <c r="AO4" i="12"/>
  <c r="AP4" i="12"/>
  <c r="AQ4" i="12"/>
  <c r="A5" i="12"/>
  <c r="O5" i="12"/>
  <c r="Y5" i="12" s="1"/>
  <c r="Q5" i="12"/>
  <c r="R5" i="12"/>
  <c r="AU4" i="12" s="1"/>
  <c r="S5" i="12"/>
  <c r="AV4" i="12" s="1"/>
  <c r="T5" i="12"/>
  <c r="AW4" i="12" s="1"/>
  <c r="U5" i="12"/>
  <c r="V5" i="12"/>
  <c r="A6" i="12"/>
  <c r="O6" i="12"/>
  <c r="Q6" i="12"/>
  <c r="R6" i="12"/>
  <c r="S6" i="12"/>
  <c r="T6" i="12"/>
  <c r="U6" i="12"/>
  <c r="V6" i="12"/>
  <c r="A7" i="12"/>
  <c r="F7" i="12"/>
  <c r="O7" i="12"/>
  <c r="Y7" i="12" s="1"/>
  <c r="Q7" i="12"/>
  <c r="R7" i="12"/>
  <c r="S7" i="12"/>
  <c r="T7" i="12"/>
  <c r="U7" i="12"/>
  <c r="V7" i="12"/>
  <c r="A8" i="12"/>
  <c r="O8" i="12"/>
  <c r="F8" i="12" s="1"/>
  <c r="Q8" i="12"/>
  <c r="R8" i="12"/>
  <c r="W8" i="12" s="1"/>
  <c r="S8" i="12"/>
  <c r="T8" i="12"/>
  <c r="U8" i="12"/>
  <c r="V8" i="12"/>
  <c r="Z9" i="12"/>
  <c r="AA9" i="12"/>
  <c r="AB9" i="12"/>
  <c r="AE10" i="10"/>
  <c r="AG10" i="10" s="1"/>
  <c r="AH10" i="10" s="1"/>
  <c r="I109" i="11"/>
  <c r="B93" i="11"/>
  <c r="B90" i="11"/>
  <c r="Z10" i="10"/>
  <c r="V8" i="10"/>
  <c r="U8" i="10"/>
  <c r="T8" i="10"/>
  <c r="S8" i="10"/>
  <c r="R8" i="10"/>
  <c r="Q8" i="10"/>
  <c r="O8" i="10"/>
  <c r="F8" i="10" s="1"/>
  <c r="A8" i="10"/>
  <c r="B86" i="11"/>
  <c r="B82" i="11"/>
  <c r="B78" i="11"/>
  <c r="AA10" i="10"/>
  <c r="AB10" i="10" s="1"/>
  <c r="R7" i="10"/>
  <c r="S7" i="10"/>
  <c r="T7" i="10"/>
  <c r="U7" i="10"/>
  <c r="V7" i="10"/>
  <c r="Q7" i="10"/>
  <c r="R6" i="10"/>
  <c r="S6" i="10"/>
  <c r="T6" i="10"/>
  <c r="U6" i="10"/>
  <c r="V6" i="10"/>
  <c r="Q6" i="10"/>
  <c r="R5" i="10"/>
  <c r="S5" i="10"/>
  <c r="T5" i="10"/>
  <c r="U5" i="10"/>
  <c r="V5" i="10"/>
  <c r="Q5" i="10"/>
  <c r="U4" i="10"/>
  <c r="T4" i="10"/>
  <c r="S4" i="10"/>
  <c r="R4" i="10"/>
  <c r="V4" i="10"/>
  <c r="Q4" i="10"/>
  <c r="O7" i="10"/>
  <c r="A7" i="10"/>
  <c r="O6" i="10"/>
  <c r="F6" i="10" s="1"/>
  <c r="A6" i="10"/>
  <c r="O5" i="10"/>
  <c r="F5" i="10" s="1"/>
  <c r="A5" i="10"/>
  <c r="AP4" i="10"/>
  <c r="AO4" i="10"/>
  <c r="AN4" i="10"/>
  <c r="AM4" i="10"/>
  <c r="AL4" i="10"/>
  <c r="AK4" i="10"/>
  <c r="O4" i="10"/>
  <c r="A4" i="10"/>
  <c r="AA5" i="12" l="1"/>
  <c r="AB5" i="12" s="1"/>
  <c r="Z5" i="12"/>
  <c r="AX4" i="12"/>
  <c r="Y8" i="12"/>
  <c r="W7" i="12"/>
  <c r="AE7" i="12" s="1"/>
  <c r="AG7" i="12" s="1"/>
  <c r="AT4" i="12"/>
  <c r="F5" i="12"/>
  <c r="AR4" i="12"/>
  <c r="Z7" i="12"/>
  <c r="AA7" i="12"/>
  <c r="AB7" i="12" s="1"/>
  <c r="AF7" i="12"/>
  <c r="AF8" i="12"/>
  <c r="AG8" i="12"/>
  <c r="AE4" i="12"/>
  <c r="Z4" i="12"/>
  <c r="AA4" i="12"/>
  <c r="AB4" i="12" s="1"/>
  <c r="AC5" i="12"/>
  <c r="W5" i="12"/>
  <c r="AE5" i="12" s="1"/>
  <c r="AY4" i="12"/>
  <c r="F6" i="12"/>
  <c r="Y6" i="12"/>
  <c r="W6" i="12"/>
  <c r="AE6" i="12" s="1"/>
  <c r="F4" i="12"/>
  <c r="Y8" i="10"/>
  <c r="AA8" i="10" s="1"/>
  <c r="AB8" i="10" s="1"/>
  <c r="W8" i="10"/>
  <c r="Y5" i="10"/>
  <c r="AA5" i="10" s="1"/>
  <c r="AB5" i="10" s="1"/>
  <c r="AC10" i="10"/>
  <c r="W5" i="10"/>
  <c r="AF10" i="10"/>
  <c r="W7" i="10"/>
  <c r="W6" i="10"/>
  <c r="AE6" i="10" s="1"/>
  <c r="Y41" i="11" s="1"/>
  <c r="AE41" i="11" s="1"/>
  <c r="AX4" i="10"/>
  <c r="AW4" i="10"/>
  <c r="W4" i="10"/>
  <c r="AE4" i="10" s="1"/>
  <c r="AS4" i="10"/>
  <c r="Y4" i="10"/>
  <c r="AT4" i="10"/>
  <c r="AV4" i="10"/>
  <c r="AU4" i="10"/>
  <c r="Y7" i="10"/>
  <c r="AA7" i="10" s="1"/>
  <c r="F7" i="10"/>
  <c r="AQ4" i="10"/>
  <c r="F4" i="10"/>
  <c r="G4" i="10" s="1"/>
  <c r="Y6" i="10"/>
  <c r="AA6" i="10" s="1"/>
  <c r="AE5" i="10" l="1"/>
  <c r="Y40" i="11" s="1"/>
  <c r="AE40" i="11" s="1"/>
  <c r="AE7" i="10"/>
  <c r="Y42" i="11" s="1"/>
  <c r="AE42" i="11" s="1"/>
  <c r="AA4" i="10"/>
  <c r="AB4" i="10" s="1"/>
  <c r="H4" i="10"/>
  <c r="AE8" i="10"/>
  <c r="Y43" i="11" s="1"/>
  <c r="AE43" i="11" s="1"/>
  <c r="AF4" i="10"/>
  <c r="AH8" i="12"/>
  <c r="AH10" i="12" s="1"/>
  <c r="AZ4" i="12"/>
  <c r="AA8" i="12"/>
  <c r="AB8" i="12" s="1"/>
  <c r="Z8" i="12"/>
  <c r="G4" i="12"/>
  <c r="H4" i="12"/>
  <c r="AC4" i="12"/>
  <c r="AF6" i="12"/>
  <c r="AG6" i="12"/>
  <c r="AJ7" i="12"/>
  <c r="AF5" i="12"/>
  <c r="AG5" i="12"/>
  <c r="AF4" i="12"/>
  <c r="AG4" i="12"/>
  <c r="AJ8" i="12"/>
  <c r="Z6" i="12"/>
  <c r="AA6" i="12"/>
  <c r="AB6" i="12" s="1"/>
  <c r="AC7" i="12"/>
  <c r="Z8" i="10"/>
  <c r="AC8" i="10" s="1"/>
  <c r="Z5" i="10"/>
  <c r="AC5" i="10" s="1"/>
  <c r="AF5" i="10"/>
  <c r="AG6" i="10"/>
  <c r="AH6" i="10" s="1"/>
  <c r="AG4" i="10"/>
  <c r="AF6" i="10"/>
  <c r="AB7" i="10"/>
  <c r="Z4" i="10"/>
  <c r="Z7" i="10"/>
  <c r="Z6" i="10"/>
  <c r="AB6" i="10"/>
  <c r="AY4" i="10"/>
  <c r="AH4" i="10" l="1"/>
  <c r="AE39" i="11"/>
  <c r="AG8" i="10"/>
  <c r="AH8" i="10" s="1"/>
  <c r="AG7" i="10"/>
  <c r="AH7" i="10" s="1"/>
  <c r="AF8" i="10"/>
  <c r="AF7" i="10"/>
  <c r="AG5" i="10"/>
  <c r="AH5" i="10" s="1"/>
  <c r="AC6" i="12"/>
  <c r="AJ4" i="12"/>
  <c r="AJ5" i="12"/>
  <c r="AJ6" i="12"/>
  <c r="AC7" i="10"/>
  <c r="AC4" i="10"/>
  <c r="AC6" i="10"/>
  <c r="AJ10" i="12" l="1"/>
  <c r="Y46" i="11"/>
  <c r="AI11" i="10"/>
  <c r="E3" i="2"/>
  <c r="AE46" i="11" l="1"/>
  <c r="Y47" i="11"/>
  <c r="E4" i="2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髙橋裕輔</author>
  </authors>
  <commentList>
    <comment ref="E8" authorId="0" shapeId="0" xr:uid="{5CFC512F-4380-4255-B8FA-CF3BC1229180}">
      <text>
        <r>
          <rPr>
            <sz val="9"/>
            <color indexed="81"/>
            <rFont val="MS P ゴシック"/>
            <family val="3"/>
            <charset val="128"/>
          </rPr>
          <t>概算見積追加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髙橋裕輔</author>
  </authors>
  <commentList>
    <comment ref="E8" authorId="0" shapeId="0" xr:uid="{4044C471-6C00-4205-B379-54FD0F317C56}">
      <text>
        <r>
          <rPr>
            <sz val="9"/>
            <color indexed="81"/>
            <rFont val="MS P ゴシック"/>
            <family val="3"/>
            <charset val="128"/>
          </rPr>
          <t>概算見積追加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<sst xmlns="http://schemas.openxmlformats.org/spreadsheetml/2006/main" count="459" uniqueCount="281">
  <si>
    <t>概 算 御 見 積 書</t>
    <rPh sb="0" eb="1">
      <t>ガイ</t>
    </rPh>
    <rPh sb="2" eb="3">
      <t>サン</t>
    </rPh>
    <rPh sb="4" eb="5">
      <t>ゴ</t>
    </rPh>
    <rPh sb="6" eb="7">
      <t>ミ</t>
    </rPh>
    <rPh sb="8" eb="9">
      <t>セキ</t>
    </rPh>
    <rPh sb="10" eb="11">
      <t>ショ</t>
    </rPh>
    <phoneticPr fontId="7"/>
  </si>
  <si>
    <t>見積番号　</t>
    <rPh sb="0" eb="2">
      <t>ミツ</t>
    </rPh>
    <rPh sb="2" eb="4">
      <t>バンゴウ</t>
    </rPh>
    <phoneticPr fontId="7"/>
  </si>
  <si>
    <t>-</t>
    <phoneticPr fontId="3"/>
  </si>
  <si>
    <t>見積年月日</t>
    <rPh sb="0" eb="2">
      <t>ミツモリ</t>
    </rPh>
    <rPh sb="2" eb="5">
      <t>ネンガッピ</t>
    </rPh>
    <phoneticPr fontId="7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</si>
  <si>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7"/>
  </si>
  <si>
    <t>株式会社システムエグゼ</t>
    <rPh sb="0" eb="4">
      <t>カブシキガイシャ</t>
    </rPh>
    <phoneticPr fontId="7"/>
  </si>
  <si>
    <t>東京都中央区日本橋室町三丁目4番4号</t>
    <rPh sb="0" eb="3">
      <t>トウキョウト</t>
    </rPh>
    <rPh sb="3" eb="6">
      <t>チュウオウク</t>
    </rPh>
    <rPh sb="6" eb="11">
      <t>ニホンバシムロマチ</t>
    </rPh>
    <rPh sb="11" eb="12">
      <t>ミ</t>
    </rPh>
    <rPh sb="12" eb="14">
      <t>チョウメ</t>
    </rPh>
    <rPh sb="15" eb="16">
      <t>バン</t>
    </rPh>
    <rPh sb="17" eb="18">
      <t>ゴウ</t>
    </rPh>
    <phoneticPr fontId="18"/>
  </si>
  <si>
    <t>OVOL日本橋ビル7階</t>
    <phoneticPr fontId="18"/>
  </si>
  <si>
    <t>見積金額</t>
    <rPh sb="0" eb="2">
      <t>ミツモリ</t>
    </rPh>
    <rPh sb="2" eb="4">
      <t>キンガク</t>
    </rPh>
    <phoneticPr fontId="18"/>
  </si>
  <si>
    <t>担当: 髙橋　裕輔</t>
    <rPh sb="0" eb="2">
      <t>タントウ</t>
    </rPh>
    <rPh sb="4" eb="6">
      <t>タカハシ</t>
    </rPh>
    <rPh sb="7" eb="9">
      <t>ユウスケ</t>
    </rPh>
    <phoneticPr fontId="7"/>
  </si>
  <si>
    <t>MAIL: yusuke.takahashi@system-exe.jp</t>
    <phoneticPr fontId="7"/>
  </si>
  <si>
    <t>件名</t>
    <rPh sb="0" eb="2">
      <t>ケンメイ</t>
    </rPh>
    <phoneticPr fontId="7"/>
  </si>
  <si>
    <t>作業形態</t>
    <rPh sb="0" eb="2">
      <t>サギョウ</t>
    </rPh>
    <rPh sb="2" eb="4">
      <t>ケイタイ</t>
    </rPh>
    <phoneticPr fontId="18"/>
  </si>
  <si>
    <t>請負契約</t>
    <rPh sb="0" eb="2">
      <t>ウケオイ</t>
    </rPh>
    <rPh sb="2" eb="4">
      <t>ケイヤク</t>
    </rPh>
    <phoneticPr fontId="18"/>
  </si>
  <si>
    <t>作業場所</t>
    <rPh sb="0" eb="2">
      <t>サギョウ</t>
    </rPh>
    <rPh sb="2" eb="4">
      <t>バショ</t>
    </rPh>
    <phoneticPr fontId="18"/>
  </si>
  <si>
    <t>弊社内（在宅勤務を含む）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phoneticPr fontId="18"/>
  </si>
  <si>
    <t>作業期間</t>
    <rPh sb="0" eb="2">
      <t>サギョウ</t>
    </rPh>
    <rPh sb="2" eb="4">
      <t>キカン</t>
    </rPh>
    <phoneticPr fontId="18"/>
  </si>
  <si>
    <t>見積金額内訳</t>
    <rPh sb="0" eb="2">
      <t>ミツモリ</t>
    </rPh>
    <rPh sb="2" eb="4">
      <t>キンガク</t>
    </rPh>
    <rPh sb="4" eb="6">
      <t>ウチワケ</t>
    </rPh>
    <phoneticPr fontId="7"/>
  </si>
  <si>
    <t>No</t>
    <phoneticPr fontId="7"/>
  </si>
  <si>
    <t>項目</t>
    <rPh sb="0" eb="2">
      <t>コウモク</t>
    </rPh>
    <phoneticPr fontId="7"/>
  </si>
  <si>
    <t>数量</t>
    <rPh sb="0" eb="2">
      <t>スウリョウ</t>
    </rPh>
    <phoneticPr fontId="7"/>
  </si>
  <si>
    <t>金額</t>
    <rPh sb="0" eb="2">
      <t>キンガク</t>
    </rPh>
    <phoneticPr fontId="18"/>
  </si>
  <si>
    <t>単価</t>
    <rPh sb="0" eb="2">
      <t>タンカ</t>
    </rPh>
    <phoneticPr fontId="7"/>
  </si>
  <si>
    <t>人月</t>
    <rPh sb="0" eb="2">
      <t>ニンゲツ</t>
    </rPh>
    <phoneticPr fontId="18"/>
  </si>
  <si>
    <t>リリース</t>
    <phoneticPr fontId="7"/>
  </si>
  <si>
    <t>初期流動</t>
    <phoneticPr fontId="7"/>
  </si>
  <si>
    <t>プロジェクト管理</t>
    <rPh sb="6" eb="8">
      <t>カンリ</t>
    </rPh>
    <phoneticPr fontId="7"/>
  </si>
  <si>
    <t>合計</t>
    <rPh sb="0" eb="2">
      <t>ゴウケイ</t>
    </rPh>
    <phoneticPr fontId="7"/>
  </si>
  <si>
    <t>-</t>
    <phoneticPr fontId="18"/>
  </si>
  <si>
    <t>納品物</t>
    <rPh sb="0" eb="2">
      <t>ノウヒン</t>
    </rPh>
    <rPh sb="2" eb="3">
      <t>ブツ</t>
    </rPh>
    <phoneticPr fontId="7"/>
  </si>
  <si>
    <t>・</t>
    <phoneticPr fontId="18"/>
  </si>
  <si>
    <t>設計書</t>
    <rPh sb="0" eb="3">
      <t>セッケイショ</t>
    </rPh>
    <phoneticPr fontId="18"/>
  </si>
  <si>
    <t>結合テスト仕様書兼結果報告書</t>
    <rPh sb="0" eb="2">
      <t>ケツゴウ</t>
    </rPh>
    <rPh sb="5" eb="7">
      <t>シヨウ</t>
    </rPh>
    <rPh sb="8" eb="9">
      <t>ケン</t>
    </rPh>
    <rPh sb="9" eb="11">
      <t>ケッカ</t>
    </rPh>
    <phoneticPr fontId="18"/>
  </si>
  <si>
    <t>ソースコード</t>
    <phoneticPr fontId="18"/>
  </si>
  <si>
    <t>システムテスト仕様書兼結果報告書</t>
    <rPh sb="7" eb="9">
      <t>シヨウ</t>
    </rPh>
    <rPh sb="10" eb="11">
      <t>ケン</t>
    </rPh>
    <rPh sb="11" eb="13">
      <t>ケッカ</t>
    </rPh>
    <phoneticPr fontId="18"/>
  </si>
  <si>
    <t>作業内容</t>
    <rPh sb="0" eb="2">
      <t>サギョウ</t>
    </rPh>
    <rPh sb="2" eb="4">
      <t>ナイヨウ</t>
    </rPh>
    <phoneticPr fontId="18"/>
  </si>
  <si>
    <t>工程</t>
    <rPh sb="0" eb="2">
      <t>コウテイ</t>
    </rPh>
    <phoneticPr fontId="7"/>
  </si>
  <si>
    <t>成果物</t>
    <phoneticPr fontId="18"/>
  </si>
  <si>
    <t>調査・設計</t>
    <rPh sb="0" eb="2">
      <t>チョウサ</t>
    </rPh>
    <rPh sb="3" eb="5">
      <t>セッケイ</t>
    </rPh>
    <phoneticPr fontId="7"/>
  </si>
  <si>
    <t>・</t>
  </si>
  <si>
    <t>対象箇所及び影響調査</t>
    <rPh sb="0" eb="4">
      <t>タイショウカショ</t>
    </rPh>
    <rPh sb="4" eb="5">
      <t>オヨ</t>
    </rPh>
    <rPh sb="6" eb="8">
      <t>エイキョウ</t>
    </rPh>
    <rPh sb="8" eb="10">
      <t>チョウサ</t>
    </rPh>
    <phoneticPr fontId="3"/>
  </si>
  <si>
    <t>基本設計書</t>
    <rPh sb="0" eb="4">
      <t>キホンセッケイ</t>
    </rPh>
    <rPh sb="4" eb="5">
      <t>ショ</t>
    </rPh>
    <phoneticPr fontId="3"/>
  </si>
  <si>
    <t>詳細設計書</t>
    <phoneticPr fontId="3"/>
  </si>
  <si>
    <t>開発・単体テスト</t>
    <phoneticPr fontId="7"/>
  </si>
  <si>
    <t>「改修対象」を参照</t>
    <rPh sb="1" eb="3">
      <t>カイシュウ</t>
    </rPh>
    <rPh sb="3" eb="5">
      <t>タイショウ</t>
    </rPh>
    <rPh sb="7" eb="9">
      <t>サンショウ</t>
    </rPh>
    <phoneticPr fontId="18"/>
  </si>
  <si>
    <t>プログラム一式</t>
    <rPh sb="5" eb="7">
      <t>イッシキ</t>
    </rPh>
    <phoneticPr fontId="18"/>
  </si>
  <si>
    <t>結合テスト</t>
    <phoneticPr fontId="7"/>
  </si>
  <si>
    <t>結合テスト実施</t>
    <rPh sb="5" eb="7">
      <t>ジッシ</t>
    </rPh>
    <phoneticPr fontId="3"/>
  </si>
  <si>
    <t>・</t>
    <phoneticPr fontId="7"/>
  </si>
  <si>
    <t>結合テスト仕様書</t>
    <phoneticPr fontId="3"/>
  </si>
  <si>
    <t>システムテスト</t>
    <phoneticPr fontId="7"/>
  </si>
  <si>
    <t>システムテスト実施</t>
    <rPh sb="7" eb="9">
      <t>ジッシ</t>
    </rPh>
    <phoneticPr fontId="3"/>
  </si>
  <si>
    <t>システムテスト仕様書</t>
    <phoneticPr fontId="3"/>
  </si>
  <si>
    <t>受入テスト</t>
    <phoneticPr fontId="7"/>
  </si>
  <si>
    <t>受入テスト対応</t>
  </si>
  <si>
    <t>作業手順書作成</t>
    <rPh sb="0" eb="5">
      <t>サギョウテジュンショ</t>
    </rPh>
    <rPh sb="5" eb="7">
      <t>サクセイ</t>
    </rPh>
    <phoneticPr fontId="3"/>
  </si>
  <si>
    <t>本番作業手順書</t>
    <phoneticPr fontId="3"/>
  </si>
  <si>
    <t>リリース作業実施</t>
    <rPh sb="4" eb="6">
      <t>サギョウ</t>
    </rPh>
    <rPh sb="6" eb="8">
      <t>ジッシ</t>
    </rPh>
    <phoneticPr fontId="3"/>
  </si>
  <si>
    <t>スケジュール管理</t>
    <phoneticPr fontId="18"/>
  </si>
  <si>
    <t>進捗報告書</t>
    <rPh sb="0" eb="4">
      <t>シンチョクホウ</t>
    </rPh>
    <rPh sb="4" eb="5">
      <t>ショ</t>
    </rPh>
    <phoneticPr fontId="18"/>
  </si>
  <si>
    <t>レビュー、進捗管理・報告</t>
    <phoneticPr fontId="18"/>
  </si>
  <si>
    <t>課題管理表</t>
    <rPh sb="0" eb="2">
      <t>カダイ</t>
    </rPh>
    <rPh sb="2" eb="4">
      <t>カンリ</t>
    </rPh>
    <rPh sb="4" eb="5">
      <t>ヒョウ</t>
    </rPh>
    <phoneticPr fontId="18"/>
  </si>
  <si>
    <t>打ち合わせ等</t>
    <rPh sb="0" eb="1">
      <t>ウ</t>
    </rPh>
    <rPh sb="2" eb="3">
      <t>ア</t>
    </rPh>
    <rPh sb="5" eb="6">
      <t>トウ</t>
    </rPh>
    <phoneticPr fontId="4"/>
  </si>
  <si>
    <t>改修対象</t>
    <rPh sb="0" eb="2">
      <t>カイシュウ</t>
    </rPh>
    <rPh sb="2" eb="4">
      <t>タイショウ</t>
    </rPh>
    <phoneticPr fontId="18"/>
  </si>
  <si>
    <t>スケジュール</t>
    <phoneticPr fontId="7"/>
  </si>
  <si>
    <t>調査・設計</t>
    <rPh sb="0" eb="2">
      <t>チョウサ</t>
    </rPh>
    <rPh sb="3" eb="5">
      <t>セッケイ</t>
    </rPh>
    <phoneticPr fontId="18"/>
  </si>
  <si>
    <t>開発・単体テスト</t>
    <phoneticPr fontId="18"/>
  </si>
  <si>
    <t>結合テスト</t>
    <rPh sb="0" eb="2">
      <t>ケツゴウ</t>
    </rPh>
    <phoneticPr fontId="18"/>
  </si>
  <si>
    <t>システムテスト</t>
    <phoneticPr fontId="18"/>
  </si>
  <si>
    <t>受入テスト</t>
    <phoneticPr fontId="18"/>
  </si>
  <si>
    <t>リリース・本稼働</t>
    <rPh sb="5" eb="6">
      <t>ホン</t>
    </rPh>
    <rPh sb="6" eb="8">
      <t>カドウ</t>
    </rPh>
    <phoneticPr fontId="18"/>
  </si>
  <si>
    <t>凡例</t>
    <rPh sb="0" eb="2">
      <t>ハンレイ</t>
    </rPh>
    <phoneticPr fontId="18"/>
  </si>
  <si>
    <t>貴社作業</t>
    <rPh sb="0" eb="2">
      <t>キシャ</t>
    </rPh>
    <rPh sb="2" eb="4">
      <t>サギョウ</t>
    </rPh>
    <phoneticPr fontId="18"/>
  </si>
  <si>
    <t>弊社作業</t>
    <rPh sb="0" eb="2">
      <t>ヘイシャ</t>
    </rPh>
    <rPh sb="2" eb="4">
      <t>サギョウ</t>
    </rPh>
    <phoneticPr fontId="18"/>
  </si>
  <si>
    <t>体制</t>
    <rPh sb="0" eb="2">
      <t>タイセイ</t>
    </rPh>
    <phoneticPr fontId="18"/>
  </si>
  <si>
    <t xml:space="preserve"> 責任者
 川名翔太</t>
    <rPh sb="1" eb="4">
      <t>セキニンシャ</t>
    </rPh>
    <phoneticPr fontId="7"/>
  </si>
  <si>
    <t xml:space="preserve"> PM
 髙橋裕輔</t>
    <rPh sb="5" eb="7">
      <t>タカハシ</t>
    </rPh>
    <rPh sb="7" eb="9">
      <t>ユウスケ</t>
    </rPh>
    <phoneticPr fontId="18"/>
  </si>
  <si>
    <t>その他の前提条件</t>
    <rPh sb="2" eb="3">
      <t>タ</t>
    </rPh>
    <rPh sb="4" eb="6">
      <t>ゼンテイ</t>
    </rPh>
    <rPh sb="6" eb="8">
      <t>ジョウケン</t>
    </rPh>
    <phoneticPr fontId="7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</si>
  <si>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18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</si>
  <si>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7"/>
  </si>
  <si>
    <t>・ネットワーク費用およびネットワークの設置やセットアップ等に係る作業費用</t>
    <phoneticPr fontId="7"/>
  </si>
  <si>
    <t>　　</t>
    <phoneticPr fontId="7"/>
  </si>
  <si>
    <t>２．作業場所について</t>
    <rPh sb="2" eb="4">
      <t>サギョウ</t>
    </rPh>
    <rPh sb="4" eb="6">
      <t>バショ</t>
    </rPh>
    <phoneticPr fontId="7"/>
  </si>
  <si>
    <t>作業場所は打合せを除き弊社内にて実施します。お打合せは、WEB会議を想定します。</t>
    <rPh sb="0" eb="2">
      <t>サギョウ</t>
    </rPh>
    <rPh sb="2" eb="4">
      <t>バショ</t>
    </rPh>
    <rPh sb="5" eb="7">
      <t>ウチアワ</t>
    </rPh>
    <rPh sb="9" eb="10">
      <t>ノゾ</t>
    </rPh>
    <rPh sb="11" eb="13">
      <t>ヘイシャ</t>
    </rPh>
    <rPh sb="13" eb="14">
      <t>ナイ</t>
    </rPh>
    <rPh sb="16" eb="18">
      <t>ジッシ</t>
    </rPh>
    <rPh sb="31" eb="33">
      <t>カイギ</t>
    </rPh>
    <phoneticPr fontId="7"/>
  </si>
  <si>
    <t>３．瑕疵担保期間について</t>
    <rPh sb="2" eb="4">
      <t>カシ</t>
    </rPh>
    <rPh sb="4" eb="6">
      <t>タンポ</t>
    </rPh>
    <rPh sb="6" eb="8">
      <t>キカン</t>
    </rPh>
    <phoneticPr fontId="18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</si>
  <si>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18"/>
  </si>
  <si>
    <t>（検収日より1年間に限り契約不適合責任を追及できることとします。）</t>
    <phoneticPr fontId="18"/>
  </si>
  <si>
    <t>４．受入テストについて</t>
    <rPh sb="2" eb="4">
      <t>ウケイレ</t>
    </rPh>
    <phoneticPr fontId="18"/>
  </si>
  <si>
    <t>受入テストにつきましては、貴社にて実施をお願いいたします。</t>
    <rPh sb="0" eb="2">
      <t>ウケイレ</t>
    </rPh>
    <rPh sb="13" eb="15">
      <t>キシャ</t>
    </rPh>
    <rPh sb="17" eb="19">
      <t>ジッシ</t>
    </rPh>
    <rPh sb="21" eb="22">
      <t>ネガイ</t>
    </rPh>
    <phoneticPr fontId="18"/>
  </si>
  <si>
    <t>場合がございます。</t>
    <phoneticPr fontId="7"/>
  </si>
  <si>
    <t>IFC生産委託システム追加開発対応</t>
    <rPh sb="3" eb="5">
      <t>セイサン</t>
    </rPh>
    <rPh sb="5" eb="7">
      <t>イタク</t>
    </rPh>
    <rPh sb="11" eb="13">
      <t>ツイカ</t>
    </rPh>
    <rPh sb="13" eb="15">
      <t>カイハツ</t>
    </rPh>
    <rPh sb="15" eb="17">
      <t>タイオウ</t>
    </rPh>
    <phoneticPr fontId="3"/>
  </si>
  <si>
    <t>人日</t>
    <rPh sb="0" eb="2">
      <t>ニンニチ</t>
    </rPh>
    <phoneticPr fontId="3"/>
  </si>
  <si>
    <t>人月</t>
    <rPh sb="0" eb="2">
      <t>ニンゲツ</t>
    </rPh>
    <phoneticPr fontId="3"/>
  </si>
  <si>
    <t>工程別作業工数合算</t>
    <rPh sb="0" eb="3">
      <t>コウテイベツ</t>
    </rPh>
    <rPh sb="3" eb="7">
      <t>サギョウコウスウ</t>
    </rPh>
    <rPh sb="7" eb="9">
      <t>ガッサン</t>
    </rPh>
    <phoneticPr fontId="3"/>
  </si>
  <si>
    <t>開発</t>
    <rPh sb="0" eb="2">
      <t>カイハツ</t>
    </rPh>
    <phoneticPr fontId="3"/>
  </si>
  <si>
    <t>管理</t>
    <rPh sb="0" eb="2">
      <t>カンリ</t>
    </rPh>
    <phoneticPr fontId="3"/>
  </si>
  <si>
    <t>No.</t>
    <phoneticPr fontId="3"/>
  </si>
  <si>
    <t>案件名</t>
    <rPh sb="0" eb="2">
      <t>アンケン</t>
    </rPh>
    <rPh sb="2" eb="3">
      <t>メイ</t>
    </rPh>
    <phoneticPr fontId="3"/>
  </si>
  <si>
    <t>完成希望日</t>
    <phoneticPr fontId="3"/>
  </si>
  <si>
    <t>内容</t>
    <rPh sb="0" eb="2">
      <t>ナイヨウ</t>
    </rPh>
    <phoneticPr fontId="3"/>
  </si>
  <si>
    <t>改修内容</t>
    <rPh sb="0" eb="2">
      <t>カイシュウ</t>
    </rPh>
    <rPh sb="2" eb="4">
      <t>ナイヨウ</t>
    </rPh>
    <phoneticPr fontId="3"/>
  </si>
  <si>
    <t>概算工数
開発工数内訳（人日）</t>
    <rPh sb="0" eb="2">
      <t>ガイサン</t>
    </rPh>
    <rPh sb="2" eb="4">
      <t>コウスウ</t>
    </rPh>
    <rPh sb="5" eb="7">
      <t>カイハツ</t>
    </rPh>
    <rPh sb="7" eb="9">
      <t>コウスウ</t>
    </rPh>
    <rPh sb="9" eb="11">
      <t>ウチワケ</t>
    </rPh>
    <rPh sb="12" eb="14">
      <t>ニンニチ</t>
    </rPh>
    <phoneticPr fontId="3"/>
  </si>
  <si>
    <t>概算工数
開発工数（人日）</t>
    <rPh sb="0" eb="2">
      <t>ガイサン</t>
    </rPh>
    <rPh sb="2" eb="4">
      <t>コウスウ</t>
    </rPh>
    <rPh sb="5" eb="7">
      <t>カイハツ</t>
    </rPh>
    <rPh sb="7" eb="9">
      <t>コウスウ</t>
    </rPh>
    <rPh sb="10" eb="12">
      <t>ニンニチ</t>
    </rPh>
    <phoneticPr fontId="3"/>
  </si>
  <si>
    <t>管理工数込み（人日）</t>
    <rPh sb="0" eb="5">
      <t>カンリコウスウコ</t>
    </rPh>
    <phoneticPr fontId="3"/>
  </si>
  <si>
    <t>調査・設計</t>
    <rPh sb="0" eb="2">
      <t>チョウサ</t>
    </rPh>
    <rPh sb="3" eb="5">
      <t>セッケイ</t>
    </rPh>
    <phoneticPr fontId="3"/>
  </si>
  <si>
    <t>PG</t>
    <phoneticPr fontId="3"/>
  </si>
  <si>
    <t>IT</t>
    <phoneticPr fontId="3"/>
  </si>
  <si>
    <t>ST</t>
    <phoneticPr fontId="3"/>
  </si>
  <si>
    <t>UAT</t>
    <phoneticPr fontId="3"/>
  </si>
  <si>
    <t>リリース</t>
    <phoneticPr fontId="3"/>
  </si>
  <si>
    <t>合計</t>
    <rPh sb="0" eb="2">
      <t>ゴウケイ</t>
    </rPh>
    <phoneticPr fontId="3"/>
  </si>
  <si>
    <t>備考</t>
    <rPh sb="0" eb="2">
      <t>ビコウ</t>
    </rPh>
    <phoneticPr fontId="3"/>
  </si>
  <si>
    <t>金額</t>
    <rPh sb="0" eb="2">
      <t>キンガク</t>
    </rPh>
    <phoneticPr fontId="3"/>
  </si>
  <si>
    <t>合計金額</t>
    <rPh sb="0" eb="4">
      <t>ゴウケイキンガク</t>
    </rPh>
    <phoneticPr fontId="3"/>
  </si>
  <si>
    <t>IFC生産委託システム追加開発対応</t>
    <phoneticPr fontId="3"/>
  </si>
  <si>
    <t>御見積の前提条件</t>
    <rPh sb="0" eb="3">
      <t>オミツモリ</t>
    </rPh>
    <rPh sb="4" eb="6">
      <t>ゼンテイ</t>
    </rPh>
    <rPh sb="6" eb="8">
      <t>ジョウケン</t>
    </rPh>
    <phoneticPr fontId="3"/>
  </si>
  <si>
    <t>※リリース工数は一番上の項目に集約</t>
    <rPh sb="5" eb="7">
      <t>コウスウ</t>
    </rPh>
    <rPh sb="8" eb="11">
      <t>イチバンウエ</t>
    </rPh>
    <rPh sb="12" eb="14">
      <t>コウモク</t>
    </rPh>
    <rPh sb="15" eb="17">
      <t>シュウヤク</t>
    </rPh>
    <phoneticPr fontId="3"/>
  </si>
  <si>
    <t>リリース工数、初期流動工数を含んでおります。</t>
    <rPh sb="4" eb="6">
      <t>コウスウ</t>
    </rPh>
    <rPh sb="7" eb="11">
      <t>ショキリュウドウ</t>
    </rPh>
    <rPh sb="11" eb="13">
      <t>コウスウ</t>
    </rPh>
    <rPh sb="14" eb="15">
      <t>フク</t>
    </rPh>
    <phoneticPr fontId="3"/>
  </si>
  <si>
    <t>費用は開発業務と管理業務で算出しております。</t>
    <phoneticPr fontId="3"/>
  </si>
  <si>
    <t>弊社千葉事業所（在宅勤務を含む）での作業を前提としております。現地等遠隔地での作業が発生する場合は、工数を変更する場合があります。</t>
    <rPh sb="8" eb="10">
      <t>ザイタク</t>
    </rPh>
    <rPh sb="10" eb="12">
      <t>キンム</t>
    </rPh>
    <rPh sb="13" eb="14">
      <t>フク</t>
    </rPh>
    <phoneticPr fontId="3"/>
  </si>
  <si>
    <t>現地等遠隔地での作業が発生した場合は、交通費・宿泊費等の必要経費を別途ご請求させて頂きます。</t>
  </si>
  <si>
    <t>御見積の工数には、ハードウェア・ミドルウェア等にかかる費用は含まれておりません。</t>
  </si>
  <si>
    <t>リリース作業は2人対応といたします。</t>
    <phoneticPr fontId="3"/>
  </si>
  <si>
    <t>社員工数入力（単位：人月）</t>
    <rPh sb="7" eb="9">
      <t>タンイ</t>
    </rPh>
    <rPh sb="10" eb="12">
      <t>ニンゲツ</t>
    </rPh>
    <phoneticPr fontId="3"/>
  </si>
  <si>
    <t>見積番号</t>
    <rPh sb="0" eb="2">
      <t>ミツモリ</t>
    </rPh>
    <rPh sb="2" eb="4">
      <t>バンゴウ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</si>
  <si>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</si>
  <si>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</si>
  <si>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</si>
  <si>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</si>
  <si>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</si>
  <si>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</si>
  <si>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</si>
  <si>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</si>
  <si>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</si>
  <si>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</si>
  <si>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2021年度4Q</t>
    <phoneticPr fontId="3"/>
  </si>
  <si>
    <t>2022年度1Q</t>
    <phoneticPr fontId="3"/>
  </si>
  <si>
    <t>2022年度2Q</t>
    <phoneticPr fontId="3"/>
  </si>
  <si>
    <t>2022年度3Q</t>
    <phoneticPr fontId="3"/>
  </si>
  <si>
    <t>2022年度4Q</t>
    <phoneticPr fontId="3"/>
  </si>
  <si>
    <t>2023年度1Q</t>
    <phoneticPr fontId="3"/>
  </si>
  <si>
    <t>2023年度2Q</t>
    <phoneticPr fontId="3"/>
  </si>
  <si>
    <t>2023年度3Q</t>
    <phoneticPr fontId="3"/>
  </si>
  <si>
    <t>2023年度4Q</t>
    <phoneticPr fontId="3"/>
  </si>
  <si>
    <t>それ以降</t>
    <rPh sb="2" eb="4">
      <t>イコウ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</si>
  <si>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</si>
  <si>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</si>
  <si>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</si>
  <si>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</si>
  <si>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2021年度4Q</t>
  </si>
  <si>
    <t>2022年度1Q</t>
  </si>
  <si>
    <t>2022年度2Q</t>
  </si>
  <si>
    <t>2022年度3Q</t>
  </si>
  <si>
    <t>2022年度4Q</t>
  </si>
  <si>
    <t>2023年度1Q</t>
  </si>
  <si>
    <t>2023年度2Q</t>
  </si>
  <si>
    <t>2023年度3Q</t>
  </si>
  <si>
    <t>2023年度4Q</t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</si>
  <si>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</si>
  <si>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</si>
  <si>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</si>
  <si>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</si>
  <si>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</si>
  <si>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</si>
  <si>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</si>
  <si>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</si>
  <si>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</si>
  <si>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</si>
  <si>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</si>
  <si>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</si>
  <si>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</si>
  <si>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</si>
  <si>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</si>
  <si>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</si>
  <si>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</si>
  <si>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</si>
  <si>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</si>
  <si>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入社済社員</t>
    <rPh sb="0" eb="2">
      <t>ニュウシャ</t>
    </rPh>
    <rPh sb="2" eb="3">
      <t>ズ</t>
    </rPh>
    <rPh sb="3" eb="5">
      <t>シャイン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</si>
  <si>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</si>
  <si>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</si>
  <si>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</si>
  <si>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</si>
  <si>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</si>
  <si>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</si>
  <si>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</si>
  <si>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</si>
  <si>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</si>
  <si>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</si>
  <si>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</si>
  <si>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</si>
  <si>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</si>
  <si>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</si>
  <si>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</si>
  <si>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</si>
  <si>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</si>
  <si>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</si>
  <si>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</si>
  <si>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</si>
  <si>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基本設計作成（新規作成・既存更新）</t>
    <rPh sb="0" eb="4">
      <t>キホンセッケイ</t>
    </rPh>
    <rPh sb="4" eb="6">
      <t>サクセイ</t>
    </rPh>
    <rPh sb="7" eb="11">
      <t>シンキサクセイ</t>
    </rPh>
    <rPh sb="12" eb="14">
      <t>キゾン</t>
    </rPh>
    <rPh sb="14" eb="16">
      <t>コウシン</t>
    </rPh>
    <phoneticPr fontId="3"/>
  </si>
  <si>
    <t>詳細設計作成（新規作成・既存更新）</t>
    <rPh sb="4" eb="6">
      <t>サクセイ</t>
    </rPh>
    <phoneticPr fontId="3"/>
  </si>
  <si>
    <t>５．期間について</t>
    <rPh sb="2" eb="4">
      <t>キカン</t>
    </rPh>
    <phoneticPr fontId="18"/>
  </si>
  <si>
    <t>一部の改修を実施する場合、プロジェクト期間は短くなります。</t>
    <rPh sb="0" eb="2">
      <t>イチブ</t>
    </rPh>
    <rPh sb="3" eb="5">
      <t>カイシュウ</t>
    </rPh>
    <rPh sb="6" eb="8">
      <t>ジッシ</t>
    </rPh>
    <rPh sb="10" eb="12">
      <t>バアイ</t>
    </rPh>
    <rPh sb="19" eb="21">
      <t>キカン</t>
    </rPh>
    <rPh sb="22" eb="23">
      <t>ミジカ</t>
    </rPh>
    <phoneticPr fontId="4"/>
  </si>
  <si>
    <t>６．リリースについて</t>
    <phoneticPr fontId="18"/>
  </si>
  <si>
    <t>すべての改修を実施した後、まとめてリリース作業を実施いたします。</t>
    <rPh sb="4" eb="6">
      <t>カイシュウ</t>
    </rPh>
    <rPh sb="7" eb="9">
      <t>ジッシ</t>
    </rPh>
    <rPh sb="11" eb="12">
      <t>ノチ</t>
    </rPh>
    <rPh sb="21" eb="23">
      <t>サギョウ</t>
    </rPh>
    <rPh sb="24" eb="26">
      <t>ジッシ</t>
    </rPh>
    <phoneticPr fontId="4"/>
  </si>
  <si>
    <t>７．その他</t>
    <phoneticPr fontId="18"/>
  </si>
  <si>
    <t>１．御見積範囲について</t>
    <rPh sb="5" eb="7">
      <t>ハンイ</t>
    </rPh>
    <phoneticPr fontId="7"/>
  </si>
  <si>
    <t>すべての改修対象を実施した場合の御見積りとなります。</t>
    <rPh sb="4" eb="6">
      <t>カイシュウ</t>
    </rPh>
    <rPh sb="6" eb="8">
      <t>タイショウ</t>
    </rPh>
    <rPh sb="9" eb="11">
      <t>ジッシ</t>
    </rPh>
    <rPh sb="13" eb="15">
      <t>バアイ</t>
    </rPh>
    <phoneticPr fontId="4"/>
  </si>
  <si>
    <t>本御見積書記載以外の作業が発生時した場合は、両社協議の上、追加見積させていただく</t>
  </si>
  <si>
    <t>上記以外での作業が発生した場合には交通費・宿泊費等を別途ご請求させていただきます。</t>
    <rPh sb="0" eb="2">
      <t>ジョウキ</t>
    </rPh>
    <rPh sb="2" eb="4">
      <t>イガイ</t>
    </rPh>
    <phoneticPr fontId="7"/>
  </si>
  <si>
    <t>受入支援</t>
    <rPh sb="2" eb="4">
      <t>シエン</t>
    </rPh>
    <phoneticPr fontId="18"/>
  </si>
  <si>
    <t>本番作業手順書</t>
    <phoneticPr fontId="4"/>
  </si>
  <si>
    <t>複数回に分けてリリースする場合、工数が増加となります。</t>
    <rPh sb="0" eb="3">
      <t>フクスウカイ</t>
    </rPh>
    <rPh sb="4" eb="5">
      <t>ワ</t>
    </rPh>
    <rPh sb="13" eb="15">
      <t>バアイ</t>
    </rPh>
    <rPh sb="16" eb="18">
      <t>コウスウ</t>
    </rPh>
    <rPh sb="19" eb="21">
      <t>ゾウカ</t>
    </rPh>
    <phoneticPr fontId="4"/>
  </si>
  <si>
    <t>【リリース関連】</t>
    <rPh sb="5" eb="7">
      <t>カンレン</t>
    </rPh>
    <phoneticPr fontId="18"/>
  </si>
  <si>
    <t>　全案件改修後、まとめてリリースを行う</t>
    <rPh sb="1" eb="4">
      <t>ゼンアンケン</t>
    </rPh>
    <rPh sb="4" eb="7">
      <t>カイシュウゴ</t>
    </rPh>
    <rPh sb="17" eb="18">
      <t>オコナ</t>
    </rPh>
    <phoneticPr fontId="4"/>
  </si>
  <si>
    <t>初期流動</t>
    <rPh sb="0" eb="4">
      <t>ショキリュウドウ</t>
    </rPh>
    <phoneticPr fontId="3"/>
  </si>
  <si>
    <t>【初期流動対応】</t>
    <rPh sb="1" eb="7">
      <t>ショキリュウドウタイオウ</t>
    </rPh>
    <phoneticPr fontId="18"/>
  </si>
  <si>
    <t>　全案件を対象とした初期流動対応を行う</t>
    <rPh sb="1" eb="4">
      <t>ゼンアンケン</t>
    </rPh>
    <rPh sb="5" eb="7">
      <t>タイショウ</t>
    </rPh>
    <rPh sb="10" eb="16">
      <t>ショキリュウドウタイオウ</t>
    </rPh>
    <rPh sb="17" eb="18">
      <t>オコナ</t>
    </rPh>
    <phoneticPr fontId="4"/>
  </si>
  <si>
    <t>【プロジェクト管理】</t>
    <rPh sb="7" eb="9">
      <t>カンリ</t>
    </rPh>
    <phoneticPr fontId="18"/>
  </si>
  <si>
    <t>　プロジェクト全体の管理を行う</t>
    <rPh sb="7" eb="9">
      <t>ゼンタイ</t>
    </rPh>
    <rPh sb="10" eb="12">
      <t>カンリ</t>
    </rPh>
    <rPh sb="13" eb="14">
      <t>オコナ</t>
    </rPh>
    <phoneticPr fontId="4"/>
  </si>
  <si>
    <t>訂正区分4対応</t>
    <phoneticPr fontId="3"/>
  </si>
  <si>
    <t>お知らせ対応</t>
    <phoneticPr fontId="3"/>
  </si>
  <si>
    <t>ニュースリリース対応</t>
    <phoneticPr fontId="3"/>
  </si>
  <si>
    <t>キャンセル明細対応</t>
    <phoneticPr fontId="3"/>
  </si>
  <si>
    <t>トップページ
　・トップページ内に子画面を表示し、お知らせ情報を表示する。
　・お知らせ権限が無い場合、子画面を表示しない。</t>
    <rPh sb="15" eb="16">
      <t>ナイ</t>
    </rPh>
    <rPh sb="17" eb="20">
      <t>コガメン</t>
    </rPh>
    <rPh sb="21" eb="23">
      <t>ヒョウジ</t>
    </rPh>
    <rPh sb="26" eb="27">
      <t>シ</t>
    </rPh>
    <rPh sb="29" eb="31">
      <t>ジョウホウ</t>
    </rPh>
    <rPh sb="32" eb="34">
      <t>ヒョウジ</t>
    </rPh>
    <rPh sb="41" eb="42">
      <t>シ</t>
    </rPh>
    <rPh sb="44" eb="46">
      <t>ケンゲン</t>
    </rPh>
    <rPh sb="47" eb="48">
      <t>ナ</t>
    </rPh>
    <rPh sb="49" eb="51">
      <t>バアイ</t>
    </rPh>
    <rPh sb="52" eb="55">
      <t>コガメン</t>
    </rPh>
    <rPh sb="56" eb="58">
      <t>ヒョウジ</t>
    </rPh>
    <phoneticPr fontId="3"/>
  </si>
  <si>
    <t>トップページ
　・HTMLタグ使用可能対応（太字、色付け、URLリンク等使用可能とする。）
　・ユーザ自身（IFC品証権限）で登録、更新、削除可能とする</t>
    <rPh sb="15" eb="17">
      <t>シヨウ</t>
    </rPh>
    <rPh sb="17" eb="19">
      <t>カノウ</t>
    </rPh>
    <rPh sb="19" eb="21">
      <t>タイオウ</t>
    </rPh>
    <rPh sb="22" eb="24">
      <t>フトジ</t>
    </rPh>
    <rPh sb="25" eb="27">
      <t>イロツ</t>
    </rPh>
    <rPh sb="35" eb="36">
      <t>トウ</t>
    </rPh>
    <rPh sb="36" eb="38">
      <t>シヨウ</t>
    </rPh>
    <rPh sb="38" eb="40">
      <t>カノウ</t>
    </rPh>
    <rPh sb="51" eb="53">
      <t>ジシン</t>
    </rPh>
    <rPh sb="57" eb="59">
      <t>ヒンショウ</t>
    </rPh>
    <rPh sb="59" eb="61">
      <t>ケンゲン</t>
    </rPh>
    <rPh sb="63" eb="65">
      <t>トウロク</t>
    </rPh>
    <rPh sb="66" eb="68">
      <t>コウシン</t>
    </rPh>
    <rPh sb="69" eb="71">
      <t>サクジョ</t>
    </rPh>
    <rPh sb="71" eb="73">
      <t>カノウ</t>
    </rPh>
    <phoneticPr fontId="3"/>
  </si>
  <si>
    <t>試験結果通知
　・キャンセル明細（訂正区分3）の場合、試験結果を登録、更新しない。</t>
    <rPh sb="4" eb="6">
      <t>ツウチ</t>
    </rPh>
    <rPh sb="14" eb="16">
      <t>メイサイ</t>
    </rPh>
    <rPh sb="17" eb="21">
      <t>テイセイクブン</t>
    </rPh>
    <rPh sb="24" eb="26">
      <t>バアイ</t>
    </rPh>
    <rPh sb="27" eb="31">
      <t>シケンケッカ</t>
    </rPh>
    <rPh sb="32" eb="34">
      <t>トウロク</t>
    </rPh>
    <rPh sb="35" eb="37">
      <t>コウシン</t>
    </rPh>
    <phoneticPr fontId="3"/>
  </si>
  <si>
    <t>生産状況連携
　・OneSAPから訂正区分4で連携された場合、生産状況テーブルの納期を更新対象外とする。
　・中間テーブルにはそのまま登録し、生産状況テーブルに登録する際に条件を追加する。</t>
    <rPh sb="0" eb="4">
      <t>セイサンジョウキョウ</t>
    </rPh>
    <rPh sb="4" eb="6">
      <t>レンケイ</t>
    </rPh>
    <rPh sb="31" eb="35">
      <t>セイサンジョウキョウ</t>
    </rPh>
    <rPh sb="55" eb="57">
      <t>チュウカン</t>
    </rPh>
    <rPh sb="67" eb="69">
      <t>トウロク</t>
    </rPh>
    <rPh sb="71" eb="75">
      <t>セイサンジョウキョウ</t>
    </rPh>
    <rPh sb="80" eb="82">
      <t>トウロク</t>
    </rPh>
    <rPh sb="84" eb="85">
      <t>サイ</t>
    </rPh>
    <rPh sb="86" eb="88">
      <t>ジョウケン</t>
    </rPh>
    <rPh sb="89" eb="91">
      <t>ツイカ</t>
    </rPh>
    <phoneticPr fontId="3"/>
  </si>
  <si>
    <t>2025/12月頃</t>
    <rPh sb="6" eb="8">
      <t>ガツコロ</t>
    </rPh>
    <phoneticPr fontId="3"/>
  </si>
  <si>
    <t>IFC生産委託ポータル 2次開発対応</t>
    <rPh sb="3" eb="5">
      <t>セイサン</t>
    </rPh>
    <rPh sb="5" eb="7">
      <t>イタク</t>
    </rPh>
    <rPh sb="13" eb="14">
      <t>ジ</t>
    </rPh>
    <rPh sb="14" eb="16">
      <t>カイハツ</t>
    </rPh>
    <rPh sb="16" eb="18">
      <t>タイオウ</t>
    </rPh>
    <phoneticPr fontId="7"/>
  </si>
  <si>
    <t>生産状況連携</t>
  </si>
  <si>
    <t>　・OneSAPから訂正区分4で連携された場合、生産状況テーブルの納期を更新対象外とする。</t>
  </si>
  <si>
    <t>　・中間テーブルにはそのまま登録し、生産状況テーブルに登録する際に条件を追加する。</t>
  </si>
  <si>
    <t>トップページ</t>
  </si>
  <si>
    <t>　・トップページ内に子画面を表示し、お知らせ情報を表示する。</t>
  </si>
  <si>
    <t>　・お知らせ権限が無い場合、子画面を表示しない。</t>
  </si>
  <si>
    <t>　・HTMLタグ使用可能対応（太字、色付け、URLリンク等使用可能とする。）</t>
  </si>
  <si>
    <t>　・ユーザ自身（IFC品証権限）で登録、更新、削除可能とする</t>
  </si>
  <si>
    <t>試験結果通知</t>
  </si>
  <si>
    <t>　・キャンセル明細（訂正区分3）の場合、試験結果を登録、更新しない。</t>
  </si>
  <si>
    <t>1D</t>
    <phoneticPr fontId="18"/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</si>
  <si>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</si>
  <si>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</si>
  <si>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</si>
  <si>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</si>
  <si>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</si>
  <si>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</si>
  <si>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</si>
  <si>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</si>
  <si>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</si>
  <si>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11D</t>
  </si>
  <si>
    <t>12D</t>
  </si>
  <si>
    <t>13D</t>
  </si>
  <si>
    <t>14D</t>
  </si>
  <si>
    <t>15D</t>
  </si>
  <si>
    <t>16D</t>
  </si>
  <si>
    <t>17D</t>
  </si>
  <si>
    <t>18D</t>
  </si>
  <si>
    <t>19D</t>
  </si>
  <si>
    <t>20D</t>
  </si>
  <si>
    <t>21D</t>
  </si>
  <si>
    <t>22D</t>
  </si>
  <si>
    <t>23D</t>
  </si>
  <si>
    <t>24D</t>
  </si>
  <si>
    <t>25D</t>
  </si>
  <si>
    <t>26D</t>
  </si>
  <si>
    <t>27D</t>
  </si>
  <si>
    <t>28D</t>
  </si>
  <si>
    <t>ファイル添付機能実装</t>
    <rPh sb="4" eb="8">
      <t>テンプキノウ</t>
    </rPh>
    <rPh sb="8" eb="10">
      <t>ジッソウ</t>
    </rPh>
    <phoneticPr fontId="3"/>
  </si>
  <si>
    <t>生産状況確認、納期回答、生産完了、試験結果報告（横持情報入力以外の画面）の各明細にファイル添付機能を実装する。
　・生産状況確認画面はアップロード、ダウンロード、削除機能実装
　　他画面はダウンロード機能のみ実装
　・添付ファイルはPDFのみ
　・Azure Blob Storageを使用する想定（Azure Blob Storage契約等の準備は出光DI部様対応）
　・権限によるアップロード、ダウンロード機能の表示、非表示の制御を行う
　・添付ファイル数については1明細につき1ファイルまでとする
　・添付ファイルのファイルサイズ制限を設ける（外部ファイルで設定）
　・各画面の出力ファイル（CSV）には添付ファイルのファイル名を表示する</t>
    <rPh sb="0" eb="4">
      <t>セイサンジョウキョウ</t>
    </rPh>
    <rPh sb="4" eb="6">
      <t>カクニン</t>
    </rPh>
    <rPh sb="7" eb="11">
      <t>ノウキカイトウ</t>
    </rPh>
    <rPh sb="12" eb="16">
      <t>セイサンカンリョウ</t>
    </rPh>
    <rPh sb="17" eb="23">
      <t>シケンケッカホウコク</t>
    </rPh>
    <rPh sb="24" eb="26">
      <t>ヨコモチ</t>
    </rPh>
    <rPh sb="26" eb="28">
      <t>ジョウホウ</t>
    </rPh>
    <rPh sb="28" eb="30">
      <t>ニュウリョク</t>
    </rPh>
    <rPh sb="30" eb="32">
      <t>イガイ</t>
    </rPh>
    <rPh sb="33" eb="35">
      <t>ガメン</t>
    </rPh>
    <rPh sb="37" eb="40">
      <t>カクメイサイ</t>
    </rPh>
    <rPh sb="45" eb="49">
      <t>テンプキノウ</t>
    </rPh>
    <rPh sb="50" eb="52">
      <t>ジッソウ</t>
    </rPh>
    <rPh sb="64" eb="66">
      <t>ガメン</t>
    </rPh>
    <rPh sb="81" eb="83">
      <t>サクジョ</t>
    </rPh>
    <rPh sb="83" eb="85">
      <t>キノウ</t>
    </rPh>
    <rPh sb="85" eb="87">
      <t>ジッソウ</t>
    </rPh>
    <rPh sb="90" eb="93">
      <t>ホカガメン</t>
    </rPh>
    <rPh sb="100" eb="102">
      <t>キノウ</t>
    </rPh>
    <rPh sb="104" eb="106">
      <t>ジッソウ</t>
    </rPh>
    <rPh sb="109" eb="111">
      <t>テンプ</t>
    </rPh>
    <rPh sb="143" eb="145">
      <t>シヨウ</t>
    </rPh>
    <rPh sb="147" eb="149">
      <t>ソウテイ</t>
    </rPh>
    <rPh sb="168" eb="171">
      <t>ケイヤクトウ</t>
    </rPh>
    <rPh sb="172" eb="174">
      <t>ジュンビ</t>
    </rPh>
    <rPh sb="175" eb="177">
      <t>イデミツ</t>
    </rPh>
    <rPh sb="179" eb="180">
      <t>ブ</t>
    </rPh>
    <rPh sb="180" eb="181">
      <t>サマ</t>
    </rPh>
    <rPh sb="181" eb="183">
      <t>タイオウ</t>
    </rPh>
    <rPh sb="187" eb="189">
      <t>ケンゲン</t>
    </rPh>
    <rPh sb="205" eb="207">
      <t>キノウ</t>
    </rPh>
    <rPh sb="208" eb="210">
      <t>ヒョウジ</t>
    </rPh>
    <rPh sb="211" eb="214">
      <t>ヒヒョウジ</t>
    </rPh>
    <rPh sb="215" eb="217">
      <t>セイギョ</t>
    </rPh>
    <rPh sb="218" eb="219">
      <t>オコナ</t>
    </rPh>
    <rPh sb="223" eb="225">
      <t>テンプ</t>
    </rPh>
    <rPh sb="229" eb="230">
      <t>スウ</t>
    </rPh>
    <rPh sb="236" eb="238">
      <t>メイサイ</t>
    </rPh>
    <rPh sb="254" eb="256">
      <t>テンプ</t>
    </rPh>
    <rPh sb="268" eb="270">
      <t>セイゲン</t>
    </rPh>
    <rPh sb="271" eb="272">
      <t>モウ</t>
    </rPh>
    <rPh sb="275" eb="277">
      <t>ガイブ</t>
    </rPh>
    <rPh sb="282" eb="284">
      <t>セッテイ</t>
    </rPh>
    <rPh sb="288" eb="291">
      <t>カクガメン</t>
    </rPh>
    <rPh sb="292" eb="294">
      <t>シュツリョク</t>
    </rPh>
    <rPh sb="305" eb="307">
      <t>テンプ</t>
    </rPh>
    <rPh sb="316" eb="317">
      <t>メイ</t>
    </rPh>
    <rPh sb="318" eb="320">
      <t>ヒョウジ</t>
    </rPh>
    <phoneticPr fontId="3"/>
  </si>
  <si>
    <t>　・生産状況確認画面はアップロード、ダウンロード、削除機能実装</t>
  </si>
  <si>
    <t>　　他画面はダウンロード機能のみ実装</t>
  </si>
  <si>
    <t>　・添付ファイルはPDFのみ</t>
  </si>
  <si>
    <t>　・Azure Blob Storageを使用する想定（Azure Blob Storage契約等の準備は出光DI部様対応）</t>
  </si>
  <si>
    <t>　・権限によるアップロード、ダウンロード機能の表示、非表示の制御を行う</t>
  </si>
  <si>
    <t>　・添付ファイル数については1明細につき1ファイルまでとする</t>
  </si>
  <si>
    <t>　・添付ファイルのファイルサイズ制限を設ける（外部ファイルで設定）</t>
  </si>
  <si>
    <t>　・各画面の出力ファイル（CSV）には添付ファイルのファイル名を表示する</t>
  </si>
  <si>
    <t>生産状況確認、納期回答、生産完了、試験結果報告（横持情報入力以外）の各明細にファイル添付機能を実装する。</t>
    <phoneticPr fontId="3"/>
  </si>
  <si>
    <t xml:space="preserve"> PG
 エグゼベトナム</t>
    <phoneticPr fontId="18"/>
  </si>
  <si>
    <t>人月</t>
    <phoneticPr fontId="3"/>
  </si>
  <si>
    <t>（仮）2025年10月20日 ～ 2025年12月31日</t>
    <rPh sb="7" eb="8">
      <t>ネン</t>
    </rPh>
    <rPh sb="10" eb="11">
      <t>ガツ</t>
    </rPh>
    <rPh sb="13" eb="14">
      <t>ニチ</t>
    </rPh>
    <rPh sb="21" eb="22">
      <t>ネン</t>
    </rPh>
    <rPh sb="24" eb="25">
      <t>ガツ</t>
    </rPh>
    <rPh sb="27" eb="28">
      <t>ニチ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</si>
</sst>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¥&quot;#,##0;&quot;¥&quot;\-#,##0"/>
    <numFmt numFmtId="6" formatCode="&quot;¥&quot;#,##0;[Red]&quot;¥&quot;\-#,##0"/>
    <numFmt numFmtId="176" formatCode="0.000&quot;人&quot;&quot;月&quot;"/>
    <numFmt numFmtId="177" formatCode="m&quot;月&quot;"/>
    <numFmt numFmtId="178" formatCode="0.000_ "/>
    <numFmt numFmtId="179" formatCode="0.00&quot;人&quot;&quot;月&quot;"/>
    <numFmt numFmtId="180" formatCode="&quot;¥&quot;#,##0_);[Red]\(&quot;¥&quot;#,##0\)"/>
    <numFmt numFmtId="181" formatCode="#,##0_ "/>
    <numFmt numFmtId="182" formatCode="&quot;¥&quot;#,##0.\-"/>
    <numFmt numFmtId="183" formatCode="0.00_);[Red]\(0.00\)"/>
    <numFmt numFmtId="184" formatCode="#,##0.0_ "/>
    <numFmt numFmtId="185" formatCode="0.0"/>
    <numFmt numFmtId="186" formatCode="#,##0.00_ "/>
  </numFmts>
  <fonts count="3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  <font>
      <sz val="11"/>
      <color theme="1"/>
      <name val="游ゴシック"/>
      <family val="2"/>
      <scheme val="minor"/>
    </font>
    <font>
      <b/>
      <sz val="26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游ゴシック"/>
      <family val="3"/>
      <charset val="128"/>
      <scheme val="minor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ＭＳ 明朝"/>
      <family val="1"/>
    </font>
    <font>
      <sz val="11"/>
      <color rgb="FFFF0000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24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286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7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178" fontId="4" fillId="4" borderId="4" xfId="1" applyNumberFormat="1" applyFont="1" applyFill="1" applyBorder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178" fontId="4" fillId="4" borderId="0" xfId="1" applyNumberFormat="1" applyFont="1" applyFill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7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81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0" fontId="14" fillId="0" borderId="0" xfId="4" applyFont="1" applyAlignment="1">
      <alignment vertical="center"/>
    </xf>
    <xf numFmtId="0" fontId="15" fillId="0" borderId="22" xfId="4" applyFont="1" applyBorder="1" applyAlignment="1">
      <alignment vertical="center"/>
    </xf>
    <xf numFmtId="0" fontId="15" fillId="0" borderId="0" xfId="4" applyFont="1" applyAlignment="1">
      <alignment vertical="center"/>
    </xf>
    <xf numFmtId="0" fontId="15" fillId="0" borderId="23" xfId="4" applyFont="1" applyBorder="1" applyAlignment="1">
      <alignment vertical="center"/>
    </xf>
    <xf numFmtId="0" fontId="16" fillId="0" borderId="0" xfId="4" applyFont="1" applyAlignment="1">
      <alignment vertical="center"/>
    </xf>
    <xf numFmtId="0" fontId="21" fillId="0" borderId="0" xfId="4" applyFont="1" applyAlignment="1">
      <alignment vertical="center"/>
    </xf>
    <xf numFmtId="0" fontId="15" fillId="8" borderId="2" xfId="4" applyFont="1" applyFill="1" applyBorder="1" applyAlignment="1">
      <alignment horizontal="centerContinuous" vertical="center"/>
    </xf>
    <xf numFmtId="0" fontId="15" fillId="8" borderId="3" xfId="4" applyFont="1" applyFill="1" applyBorder="1" applyAlignment="1">
      <alignment horizontal="centerContinuous" vertical="center"/>
    </xf>
    <xf numFmtId="0" fontId="15" fillId="8" borderId="5" xfId="4" applyFont="1" applyFill="1" applyBorder="1" applyAlignment="1">
      <alignment horizontal="centerContinuous" vertical="center"/>
    </xf>
    <xf numFmtId="0" fontId="15" fillId="0" borderId="2" xfId="4" applyFont="1" applyBorder="1" applyAlignment="1">
      <alignment horizontal="left" vertical="center" indent="1"/>
    </xf>
    <xf numFmtId="0" fontId="15" fillId="0" borderId="5" xfId="4" applyFont="1" applyBorder="1" applyAlignment="1">
      <alignment vertical="center"/>
    </xf>
    <xf numFmtId="0" fontId="15" fillId="0" borderId="0" xfId="4" applyFont="1" applyAlignment="1">
      <alignment horizontal="center" vertical="center"/>
    </xf>
    <xf numFmtId="0" fontId="22" fillId="0" borderId="0" xfId="4" applyFont="1" applyAlignment="1">
      <alignment vertical="center"/>
    </xf>
    <xf numFmtId="0" fontId="15" fillId="8" borderId="25" xfId="4" applyFont="1" applyFill="1" applyBorder="1" applyAlignment="1">
      <alignment horizontal="centerContinuous" vertical="center"/>
    </xf>
    <xf numFmtId="0" fontId="15" fillId="8" borderId="26" xfId="4" applyFont="1" applyFill="1" applyBorder="1" applyAlignment="1">
      <alignment horizontal="centerContinuous" vertical="center"/>
    </xf>
    <xf numFmtId="0" fontId="15" fillId="8" borderId="27" xfId="4" applyFont="1" applyFill="1" applyBorder="1" applyAlignment="1">
      <alignment horizontal="centerContinuous" vertical="center"/>
    </xf>
    <xf numFmtId="0" fontId="15" fillId="0" borderId="25" xfId="4" applyFont="1" applyBorder="1" applyAlignment="1">
      <alignment horizontal="centerContinuous" vertical="center"/>
    </xf>
    <xf numFmtId="0" fontId="15" fillId="0" borderId="26" xfId="4" applyFont="1" applyBorder="1" applyAlignment="1">
      <alignment horizontal="centerContinuous" vertical="center"/>
    </xf>
    <xf numFmtId="0" fontId="15" fillId="0" borderId="28" xfId="4" applyFont="1" applyBorder="1" applyAlignment="1">
      <alignment vertical="center"/>
    </xf>
    <xf numFmtId="0" fontId="15" fillId="0" borderId="29" xfId="4" applyFont="1" applyBorder="1" applyAlignment="1">
      <alignment vertical="center"/>
    </xf>
    <xf numFmtId="0" fontId="15" fillId="0" borderId="28" xfId="4" applyFont="1" applyBorder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5" fillId="0" borderId="25" xfId="4" applyFont="1" applyBorder="1" applyAlignment="1">
      <alignment vertical="center"/>
    </xf>
    <xf numFmtId="0" fontId="15" fillId="0" borderId="27" xfId="4" applyFont="1" applyBorder="1" applyAlignment="1">
      <alignment vertical="center"/>
    </xf>
    <xf numFmtId="0" fontId="15" fillId="0" borderId="26" xfId="4" applyFont="1" applyBorder="1" applyAlignment="1">
      <alignment vertical="center"/>
    </xf>
    <xf numFmtId="0" fontId="15" fillId="0" borderId="30" xfId="4" applyFont="1" applyBorder="1" applyAlignment="1">
      <alignment horizontal="centerContinuous" vertical="center"/>
    </xf>
    <xf numFmtId="0" fontId="15" fillId="0" borderId="31" xfId="4" applyFont="1" applyBorder="1" applyAlignment="1">
      <alignment horizontal="centerContinuous" vertical="center"/>
    </xf>
    <xf numFmtId="0" fontId="15" fillId="0" borderId="30" xfId="4" applyFont="1" applyBorder="1" applyAlignment="1">
      <alignment horizontal="left" vertical="center"/>
    </xf>
    <xf numFmtId="0" fontId="15" fillId="0" borderId="24" xfId="4" applyFont="1" applyBorder="1" applyAlignment="1">
      <alignment horizontal="left" vertical="center"/>
    </xf>
    <xf numFmtId="0" fontId="15" fillId="0" borderId="30" xfId="4" applyFont="1" applyBorder="1" applyAlignment="1">
      <alignment vertical="center"/>
    </xf>
    <xf numFmtId="0" fontId="15" fillId="0" borderId="24" xfId="4" applyFont="1" applyBorder="1" applyAlignment="1">
      <alignment vertical="center"/>
    </xf>
    <xf numFmtId="0" fontId="15" fillId="0" borderId="31" xfId="4" applyFont="1" applyBorder="1" applyAlignment="1">
      <alignment vertical="center"/>
    </xf>
    <xf numFmtId="0" fontId="23" fillId="0" borderId="0" xfId="4" applyFont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0" xfId="5" applyFont="1">
      <alignment vertical="center"/>
    </xf>
    <xf numFmtId="0" fontId="14" fillId="0" borderId="23" xfId="4" applyFont="1" applyBorder="1" applyAlignment="1">
      <alignment vertical="center"/>
    </xf>
    <xf numFmtId="5" fontId="15" fillId="0" borderId="5" xfId="4" applyNumberFormat="1" applyFont="1" applyBorder="1" applyAlignment="1">
      <alignment vertical="center"/>
    </xf>
    <xf numFmtId="5" fontId="15" fillId="0" borderId="3" xfId="4" applyNumberFormat="1" applyFont="1" applyBorder="1" applyAlignme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4" fillId="0" borderId="24" xfId="0" applyFont="1" applyBorder="1">
      <alignment vertical="center"/>
    </xf>
    <xf numFmtId="0" fontId="14" fillId="0" borderId="0" xfId="0" applyFont="1">
      <alignment vertical="center"/>
    </xf>
    <xf numFmtId="0" fontId="23" fillId="0" borderId="0" xfId="0" applyFont="1">
      <alignment vertical="center"/>
    </xf>
    <xf numFmtId="0" fontId="14" fillId="0" borderId="27" xfId="0" applyFont="1" applyBorder="1">
      <alignment vertical="center"/>
    </xf>
    <xf numFmtId="0" fontId="14" fillId="0" borderId="37" xfId="0" applyFont="1" applyBorder="1">
      <alignment vertical="center"/>
    </xf>
    <xf numFmtId="0" fontId="25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84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vertical="top"/>
    </xf>
    <xf numFmtId="180" fontId="0" fillId="0" borderId="4" xfId="0" applyNumberFormat="1" applyBorder="1" applyAlignment="1">
      <alignment vertical="top"/>
    </xf>
    <xf numFmtId="0" fontId="27" fillId="11" borderId="4" xfId="0" applyFont="1" applyFill="1" applyBorder="1" applyAlignment="1">
      <alignment horizontal="left" vertical="top"/>
    </xf>
    <xf numFmtId="0" fontId="27" fillId="11" borderId="4" xfId="0" applyFont="1" applyFill="1" applyBorder="1" applyAlignment="1">
      <alignment vertical="top" wrapText="1"/>
    </xf>
    <xf numFmtId="184" fontId="27" fillId="11" borderId="4" xfId="0" applyNumberFormat="1" applyFont="1" applyFill="1" applyBorder="1" applyAlignment="1">
      <alignment horizontal="center" vertical="top" wrapText="1"/>
    </xf>
    <xf numFmtId="184" fontId="27" fillId="11" borderId="2" xfId="0" applyNumberFormat="1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26" fillId="0" borderId="0" xfId="0" applyFont="1" applyAlignment="1">
      <alignment horizontal="center" vertical="center"/>
    </xf>
    <xf numFmtId="184" fontId="27" fillId="0" borderId="0" xfId="0" applyNumberFormat="1" applyFont="1" applyAlignment="1">
      <alignment horizontal="center" vertical="top" wrapText="1"/>
    </xf>
    <xf numFmtId="0" fontId="28" fillId="0" borderId="42" xfId="0" applyFont="1" applyBorder="1" applyAlignment="1">
      <alignment vertical="top" wrapText="1"/>
    </xf>
    <xf numFmtId="184" fontId="0" fillId="0" borderId="41" xfId="0" applyNumberFormat="1" applyBorder="1" applyAlignment="1">
      <alignment horizontal="right" vertical="top"/>
    </xf>
    <xf numFmtId="184" fontId="0" fillId="0" borderId="42" xfId="0" applyNumberFormat="1" applyBorder="1" applyAlignment="1">
      <alignment horizontal="right" vertical="top"/>
    </xf>
    <xf numFmtId="184" fontId="0" fillId="0" borderId="42" xfId="0" applyNumberFormat="1" applyBorder="1" applyAlignment="1">
      <alignment vertical="top"/>
    </xf>
    <xf numFmtId="184" fontId="0" fillId="0" borderId="4" xfId="0" applyNumberFormat="1" applyBorder="1" applyAlignment="1">
      <alignment horizontal="right" vertical="top"/>
    </xf>
    <xf numFmtId="185" fontId="0" fillId="0" borderId="0" xfId="0" applyNumberFormat="1" applyAlignment="1">
      <alignment vertical="top"/>
    </xf>
    <xf numFmtId="186" fontId="0" fillId="0" borderId="4" xfId="0" applyNumberFormat="1" applyBorder="1" applyAlignment="1">
      <alignment horizontal="right" vertical="top"/>
    </xf>
    <xf numFmtId="49" fontId="0" fillId="0" borderId="0" xfId="0" applyNumberFormat="1" applyAlignment="1">
      <alignment horizontal="right" vertical="top"/>
    </xf>
    <xf numFmtId="185" fontId="0" fillId="0" borderId="4" xfId="0" applyNumberFormat="1" applyBorder="1" applyAlignment="1">
      <alignment vertical="top"/>
    </xf>
    <xf numFmtId="6" fontId="0" fillId="0" borderId="4" xfId="6" applyFont="1" applyFill="1" applyBorder="1" applyAlignment="1">
      <alignment vertical="top"/>
    </xf>
    <xf numFmtId="184" fontId="0" fillId="0" borderId="43" xfId="0" applyNumberFormat="1" applyBorder="1" applyAlignment="1">
      <alignment horizontal="right" vertical="top"/>
    </xf>
    <xf numFmtId="184" fontId="0" fillId="0" borderId="43" xfId="0" applyNumberFormat="1" applyBorder="1" applyAlignment="1">
      <alignment vertical="top"/>
    </xf>
    <xf numFmtId="184" fontId="0" fillId="12" borderId="4" xfId="0" applyNumberFormat="1" applyFill="1" applyBorder="1" applyAlignment="1">
      <alignment horizontal="right" vertical="top"/>
    </xf>
    <xf numFmtId="184" fontId="0" fillId="0" borderId="41" xfId="0" applyNumberFormat="1" applyBorder="1" applyAlignment="1">
      <alignment vertical="top"/>
    </xf>
    <xf numFmtId="0" fontId="0" fillId="0" borderId="25" xfId="0" applyBorder="1" applyAlignment="1">
      <alignment horizontal="left" vertical="top"/>
    </xf>
    <xf numFmtId="0" fontId="0" fillId="0" borderId="27" xfId="0" applyBorder="1" applyAlignment="1">
      <alignment vertical="top"/>
    </xf>
    <xf numFmtId="0" fontId="0" fillId="0" borderId="27" xfId="0" applyBorder="1" applyAlignment="1">
      <alignment vertical="top" wrapText="1"/>
    </xf>
    <xf numFmtId="184" fontId="0" fillId="0" borderId="26" xfId="0" applyNumberFormat="1" applyBorder="1" applyAlignment="1">
      <alignment vertical="top"/>
    </xf>
    <xf numFmtId="0" fontId="0" fillId="0" borderId="28" xfId="0" applyBorder="1" applyAlignment="1">
      <alignment horizontal="left" vertical="top"/>
    </xf>
    <xf numFmtId="184" fontId="0" fillId="0" borderId="29" xfId="0" applyNumberFormat="1" applyBorder="1" applyAlignment="1">
      <alignment vertical="top"/>
    </xf>
    <xf numFmtId="0" fontId="0" fillId="0" borderId="30" xfId="0" applyBorder="1" applyAlignment="1">
      <alignment horizontal="left" vertical="top"/>
    </xf>
    <xf numFmtId="0" fontId="0" fillId="0" borderId="24" xfId="0" applyBorder="1" applyAlignment="1">
      <alignment vertical="top"/>
    </xf>
    <xf numFmtId="0" fontId="0" fillId="0" borderId="24" xfId="0" applyBorder="1" applyAlignment="1">
      <alignment vertical="top" wrapText="1"/>
    </xf>
    <xf numFmtId="184" fontId="0" fillId="0" borderId="31" xfId="0" applyNumberFormat="1" applyBorder="1" applyAlignment="1">
      <alignment vertical="top"/>
    </xf>
    <xf numFmtId="0" fontId="15" fillId="0" borderId="28" xfId="4" applyFont="1" applyBorder="1" applyAlignment="1">
      <alignment horizontal="centerContinuous" vertical="center"/>
    </xf>
    <xf numFmtId="0" fontId="15" fillId="0" borderId="29" xfId="4" applyFont="1" applyBorder="1" applyAlignment="1">
      <alignment horizontal="centerContinuous" vertical="center"/>
    </xf>
    <xf numFmtId="0" fontId="15" fillId="0" borderId="28" xfId="0" applyFont="1" applyBorder="1">
      <alignment vertical="center"/>
    </xf>
    <xf numFmtId="0" fontId="15" fillId="8" borderId="5" xfId="0" applyFont="1" applyFill="1" applyBorder="1" applyAlignment="1">
      <alignment horizontal="centerContinuous" vertical="center"/>
    </xf>
    <xf numFmtId="0" fontId="15" fillId="8" borderId="3" xfId="0" applyFont="1" applyFill="1" applyBorder="1">
      <alignment vertical="center"/>
    </xf>
    <xf numFmtId="0" fontId="15" fillId="8" borderId="2" xfId="0" applyFont="1" applyFill="1" applyBorder="1" applyAlignment="1">
      <alignment horizontal="centerContinuous" vertical="center"/>
    </xf>
    <xf numFmtId="0" fontId="29" fillId="0" borderId="0" xfId="0" applyFont="1">
      <alignment vertical="center"/>
    </xf>
    <xf numFmtId="0" fontId="15" fillId="0" borderId="2" xfId="4" applyFont="1" applyBorder="1" applyAlignment="1">
      <alignment vertical="center"/>
    </xf>
    <xf numFmtId="0" fontId="15" fillId="0" borderId="3" xfId="4" applyFont="1" applyBorder="1" applyAlignment="1">
      <alignment vertical="center"/>
    </xf>
    <xf numFmtId="0" fontId="29" fillId="0" borderId="2" xfId="4" applyFont="1" applyBorder="1" applyAlignment="1">
      <alignment vertical="center"/>
    </xf>
    <xf numFmtId="0" fontId="29" fillId="0" borderId="5" xfId="4" applyFont="1" applyBorder="1" applyAlignment="1">
      <alignment vertical="center"/>
    </xf>
    <xf numFmtId="0" fontId="29" fillId="0" borderId="3" xfId="4" applyFont="1" applyBorder="1" applyAlignment="1">
      <alignment vertical="center"/>
    </xf>
    <xf numFmtId="0" fontId="29" fillId="0" borderId="0" xfId="4" applyFont="1" applyAlignment="1">
      <alignment vertical="center"/>
    </xf>
    <xf numFmtId="0" fontId="29" fillId="0" borderId="30" xfId="4" applyFont="1" applyBorder="1" applyAlignment="1">
      <alignment vertical="center"/>
    </xf>
    <xf numFmtId="0" fontId="29" fillId="0" borderId="24" xfId="4" applyFont="1" applyBorder="1" applyAlignment="1">
      <alignment vertical="center"/>
    </xf>
    <xf numFmtId="0" fontId="29" fillId="0" borderId="31" xfId="4" applyFont="1" applyBorder="1" applyAlignment="1">
      <alignment vertical="center"/>
    </xf>
    <xf numFmtId="2" fontId="0" fillId="0" borderId="4" xfId="0" applyNumberFormat="1" applyBorder="1" applyAlignment="1">
      <alignment vertical="top"/>
    </xf>
    <xf numFmtId="0" fontId="30" fillId="0" borderId="0" xfId="0" applyFont="1" applyAlignment="1">
      <alignment vertical="top"/>
    </xf>
    <xf numFmtId="0" fontId="0" fillId="0" borderId="0" xfId="0" applyAlignment="1">
      <alignment horizontal="right" vertical="top"/>
    </xf>
    <xf numFmtId="6" fontId="0" fillId="0" borderId="42" xfId="6" applyFont="1" applyFill="1" applyBorder="1" applyAlignment="1">
      <alignment vertical="top"/>
    </xf>
    <xf numFmtId="0" fontId="0" fillId="0" borderId="44" xfId="0" applyBorder="1" applyAlignment="1">
      <alignment horizontal="right" vertical="top"/>
    </xf>
    <xf numFmtId="185" fontId="0" fillId="13" borderId="4" xfId="0" applyNumberFormat="1" applyFill="1" applyBorder="1" applyAlignment="1">
      <alignment vertical="top"/>
    </xf>
    <xf numFmtId="6" fontId="0" fillId="13" borderId="45" xfId="0" applyNumberFormat="1" applyFill="1" applyBorder="1" applyAlignment="1">
      <alignment vertical="top"/>
    </xf>
    <xf numFmtId="0" fontId="0" fillId="0" borderId="42" xfId="0" applyBorder="1" applyAlignment="1">
      <alignment vertical="top" wrapText="1"/>
    </xf>
    <xf numFmtId="14" fontId="0" fillId="0" borderId="42" xfId="0" quotePrefix="1" applyNumberFormat="1" applyBorder="1" applyAlignment="1">
      <alignment vertical="top" wrapText="1"/>
    </xf>
    <xf numFmtId="0" fontId="0" fillId="0" borderId="43" xfId="0" applyBorder="1" applyAlignment="1">
      <alignment vertical="top" wrapText="1"/>
    </xf>
    <xf numFmtId="14" fontId="0" fillId="0" borderId="43" xfId="0" quotePrefix="1" applyNumberFormat="1" applyBorder="1" applyAlignment="1">
      <alignment vertical="top" wrapText="1"/>
    </xf>
    <xf numFmtId="0" fontId="15" fillId="8" borderId="46" xfId="4" applyFont="1" applyFill="1" applyBorder="1" applyAlignment="1">
      <alignment vertical="center"/>
    </xf>
    <xf numFmtId="0" fontId="15" fillId="8" borderId="47" xfId="4" applyFont="1" applyFill="1" applyBorder="1" applyAlignment="1">
      <alignment vertical="center"/>
    </xf>
    <xf numFmtId="0" fontId="15" fillId="8" borderId="48" xfId="4" applyFont="1" applyFill="1" applyBorder="1" applyAlignment="1">
      <alignment vertical="center"/>
    </xf>
    <xf numFmtId="0" fontId="15" fillId="0" borderId="49" xfId="4" applyFont="1" applyBorder="1" applyAlignment="1">
      <alignment horizontal="centerContinuous" vertical="center"/>
    </xf>
    <xf numFmtId="0" fontId="15" fillId="0" borderId="50" xfId="4" applyFont="1" applyBorder="1" applyAlignment="1">
      <alignment horizontal="centerContinuous" vertical="center"/>
    </xf>
    <xf numFmtId="0" fontId="15" fillId="0" borderId="51" xfId="4" applyFont="1" applyBorder="1" applyAlignment="1">
      <alignment horizontal="centerContinuous" vertical="center"/>
    </xf>
    <xf numFmtId="0" fontId="15" fillId="0" borderId="52" xfId="4" applyFont="1" applyBorder="1" applyAlignment="1">
      <alignment horizontal="centerContinuous" vertical="center"/>
    </xf>
    <xf numFmtId="0" fontId="15" fillId="0" borderId="53" xfId="4" applyFont="1" applyBorder="1" applyAlignment="1">
      <alignment horizontal="centerContinuous" vertical="center"/>
    </xf>
    <xf numFmtId="0" fontId="15" fillId="0" borderId="54" xfId="4" applyFont="1" applyBorder="1" applyAlignment="1">
      <alignment horizontal="centerContinuous" vertical="center"/>
    </xf>
    <xf numFmtId="0" fontId="0" fillId="14" borderId="4" xfId="0" applyFill="1" applyBorder="1" applyAlignment="1">
      <alignment vertical="top"/>
    </xf>
    <xf numFmtId="0" fontId="0" fillId="14" borderId="43" xfId="0" applyFill="1" applyBorder="1" applyAlignment="1">
      <alignment vertical="top" wrapText="1"/>
    </xf>
    <xf numFmtId="14" fontId="0" fillId="14" borderId="41" xfId="0" quotePrefix="1" applyNumberFormat="1" applyFill="1" applyBorder="1" applyAlignment="1">
      <alignment vertical="top" wrapText="1"/>
    </xf>
    <xf numFmtId="0" fontId="0" fillId="14" borderId="4" xfId="0" applyFill="1" applyBorder="1" applyAlignment="1">
      <alignment vertical="top" wrapText="1"/>
    </xf>
    <xf numFmtId="0" fontId="28" fillId="14" borderId="42" xfId="0" applyFont="1" applyFill="1" applyBorder="1" applyAlignment="1">
      <alignment vertical="top" wrapText="1"/>
    </xf>
    <xf numFmtId="6" fontId="0" fillId="0" borderId="4" xfId="6" applyFont="1" applyBorder="1" applyAlignment="1">
      <alignment vertical="top"/>
    </xf>
    <xf numFmtId="14" fontId="0" fillId="0" borderId="43" xfId="0" applyNumberFormat="1" applyBorder="1" applyAlignment="1">
      <alignment vertical="top" wrapText="1"/>
    </xf>
    <xf numFmtId="14" fontId="0" fillId="14" borderId="41" xfId="0" applyNumberFormat="1" applyFill="1" applyBorder="1" applyAlignment="1">
      <alignment vertical="top" wrapText="1"/>
    </xf>
    <xf numFmtId="0" fontId="0" fillId="14" borderId="42" xfId="0" applyFill="1" applyBorder="1" applyAlignment="1">
      <alignment vertical="top" wrapText="1"/>
    </xf>
    <xf numFmtId="6" fontId="0" fillId="0" borderId="42" xfId="6" applyFont="1" applyBorder="1" applyAlignment="1">
      <alignment vertical="top"/>
    </xf>
    <xf numFmtId="2" fontId="0" fillId="0" borderId="0" xfId="0" applyNumberFormat="1" applyAlignment="1">
      <alignment vertical="top"/>
    </xf>
    <xf numFmtId="0" fontId="15" fillId="0" borderId="30" xfId="4" applyFont="1" applyBorder="1" applyAlignment="1">
      <alignment horizontal="left" vertical="center" indent="1"/>
    </xf>
    <xf numFmtId="5" fontId="15" fillId="0" borderId="24" xfId="4" applyNumberFormat="1" applyFont="1" applyBorder="1" applyAlignment="1">
      <alignment vertical="center"/>
    </xf>
    <xf numFmtId="5" fontId="15" fillId="0" borderId="31" xfId="4" applyNumberFormat="1" applyFont="1" applyBorder="1" applyAlignment="1">
      <alignment vertical="center"/>
    </xf>
    <xf numFmtId="0" fontId="15" fillId="0" borderId="55" xfId="4" applyFont="1" applyBorder="1" applyAlignment="1">
      <alignment horizontal="left" vertical="center" indent="1"/>
    </xf>
    <xf numFmtId="0" fontId="15" fillId="0" borderId="57" xfId="4" applyFont="1" applyBorder="1" applyAlignment="1">
      <alignment vertical="center"/>
    </xf>
    <xf numFmtId="5" fontId="15" fillId="0" borderId="57" xfId="4" applyNumberFormat="1" applyFont="1" applyBorder="1" applyAlignment="1">
      <alignment vertical="center"/>
    </xf>
    <xf numFmtId="5" fontId="15" fillId="0" borderId="56" xfId="4" applyNumberFormat="1" applyFont="1" applyBorder="1" applyAlignment="1">
      <alignment vertical="center"/>
    </xf>
    <xf numFmtId="0" fontId="15" fillId="0" borderId="58" xfId="4" applyFont="1" applyBorder="1" applyAlignment="1">
      <alignment horizontal="left" vertical="center" indent="1"/>
    </xf>
    <xf numFmtId="0" fontId="15" fillId="0" borderId="60" xfId="4" applyFont="1" applyBorder="1" applyAlignment="1">
      <alignment vertical="center"/>
    </xf>
    <xf numFmtId="5" fontId="15" fillId="0" borderId="60" xfId="4" applyNumberFormat="1" applyFont="1" applyBorder="1" applyAlignment="1">
      <alignment vertical="center"/>
    </xf>
    <xf numFmtId="5" fontId="15" fillId="0" borderId="59" xfId="4" applyNumberFormat="1" applyFont="1" applyBorder="1" applyAlignment="1">
      <alignment vertical="center"/>
    </xf>
    <xf numFmtId="0" fontId="15" fillId="0" borderId="25" xfId="4" applyFont="1" applyBorder="1" applyAlignment="1">
      <alignment vertical="center" shrinkToFit="1"/>
    </xf>
    <xf numFmtId="0" fontId="15" fillId="0" borderId="27" xfId="4" applyFont="1" applyBorder="1" applyAlignment="1">
      <alignment vertical="center" shrinkToFit="1"/>
    </xf>
    <xf numFmtId="0" fontId="15" fillId="0" borderId="26" xfId="4" applyFont="1" applyBorder="1" applyAlignment="1">
      <alignment vertical="center" shrinkToFit="1"/>
    </xf>
    <xf numFmtId="0" fontId="15" fillId="0" borderId="30" xfId="4" applyFont="1" applyBorder="1" applyAlignment="1">
      <alignment vertical="center" shrinkToFit="1"/>
    </xf>
    <xf numFmtId="0" fontId="15" fillId="0" borderId="24" xfId="4" applyFont="1" applyBorder="1" applyAlignment="1">
      <alignment vertical="center" shrinkToFit="1"/>
    </xf>
    <xf numFmtId="0" fontId="15" fillId="0" borderId="31" xfId="4" applyFont="1" applyBorder="1" applyAlignment="1">
      <alignment vertical="center" shrinkToFit="1"/>
    </xf>
    <xf numFmtId="0" fontId="14" fillId="0" borderId="32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4" fillId="0" borderId="35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0" borderId="36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14" fontId="15" fillId="0" borderId="22" xfId="4" applyNumberFormat="1" applyFont="1" applyBorder="1" applyAlignment="1">
      <alignment horizontal="right" vertical="center"/>
    </xf>
    <xf numFmtId="0" fontId="15" fillId="0" borderId="22" xfId="4" applyFont="1" applyBorder="1" applyAlignment="1">
      <alignment horizontal="right" vertical="center"/>
    </xf>
    <xf numFmtId="14" fontId="15" fillId="0" borderId="23" xfId="4" applyNumberFormat="1" applyFont="1" applyBorder="1" applyAlignment="1">
      <alignment horizontal="right" vertical="center"/>
    </xf>
    <xf numFmtId="0" fontId="15" fillId="0" borderId="23" xfId="4" applyFont="1" applyBorder="1" applyAlignment="1">
      <alignment horizontal="right" vertical="center"/>
    </xf>
    <xf numFmtId="0" fontId="17" fillId="0" borderId="0" xfId="4" applyFont="1" applyAlignment="1">
      <alignment horizontal="left" vertical="center"/>
    </xf>
    <xf numFmtId="0" fontId="17" fillId="0" borderId="24" xfId="4" applyFont="1" applyBorder="1" applyAlignment="1">
      <alignment horizontal="left" vertical="center"/>
    </xf>
    <xf numFmtId="0" fontId="19" fillId="0" borderId="0" xfId="4" applyFont="1" applyAlignment="1">
      <alignment horizontal="left" vertical="center"/>
    </xf>
    <xf numFmtId="0" fontId="19" fillId="0" borderId="24" xfId="4" applyFont="1" applyBorder="1" applyAlignment="1">
      <alignment horizontal="left" vertical="center"/>
    </xf>
    <xf numFmtId="182" fontId="20" fillId="0" borderId="0" xfId="4" applyNumberFormat="1" applyFont="1" applyAlignment="1">
      <alignment horizontal="right" vertical="center"/>
    </xf>
    <xf numFmtId="182" fontId="20" fillId="0" borderId="24" xfId="4" applyNumberFormat="1" applyFont="1" applyBorder="1" applyAlignment="1">
      <alignment horizontal="right" vertical="center"/>
    </xf>
    <xf numFmtId="0" fontId="29" fillId="0" borderId="2" xfId="4" applyFont="1" applyBorder="1" applyAlignment="1">
      <alignment horizontal="center" vertical="center"/>
    </xf>
    <xf numFmtId="0" fontId="29" fillId="0" borderId="5" xfId="4" applyFont="1" applyBorder="1" applyAlignment="1">
      <alignment horizontal="center" vertical="center"/>
    </xf>
    <xf numFmtId="0" fontId="13" fillId="0" borderId="0" xfId="4" applyFont="1" applyAlignment="1">
      <alignment horizontal="left" vertical="center"/>
    </xf>
    <xf numFmtId="0" fontId="15" fillId="0" borderId="25" xfId="0" applyFont="1" applyBorder="1" applyAlignment="1">
      <alignment vertical="center" shrinkToFit="1"/>
    </xf>
    <xf numFmtId="0" fontId="15" fillId="0" borderId="27" xfId="0" applyFont="1" applyBorder="1" applyAlignment="1">
      <alignment vertical="center" shrinkToFit="1"/>
    </xf>
    <xf numFmtId="0" fontId="29" fillId="0" borderId="0" xfId="4" applyFont="1" applyAlignment="1">
      <alignment vertical="center" shrinkToFit="1"/>
    </xf>
    <xf numFmtId="0" fontId="29" fillId="0" borderId="29" xfId="4" applyFont="1" applyBorder="1" applyAlignment="1">
      <alignment vertical="center" shrinkToFit="1"/>
    </xf>
    <xf numFmtId="0" fontId="29" fillId="0" borderId="24" xfId="4" applyFont="1" applyBorder="1" applyAlignment="1">
      <alignment vertical="center" shrinkToFit="1"/>
    </xf>
    <xf numFmtId="0" fontId="29" fillId="0" borderId="31" xfId="4" applyFont="1" applyBorder="1" applyAlignment="1">
      <alignment vertical="center" shrinkToFit="1"/>
    </xf>
    <xf numFmtId="0" fontId="15" fillId="0" borderId="27" xfId="4" applyFont="1" applyBorder="1" applyAlignment="1">
      <alignment horizontal="center" vertical="center"/>
    </xf>
    <xf numFmtId="0" fontId="15" fillId="0" borderId="2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183" fontId="15" fillId="0" borderId="2" xfId="4" applyNumberFormat="1" applyFont="1" applyBorder="1" applyAlignment="1">
      <alignment horizontal="right" vertical="center"/>
    </xf>
    <xf numFmtId="183" fontId="15" fillId="0" borderId="5" xfId="4" applyNumberFormat="1" applyFont="1" applyBorder="1" applyAlignment="1">
      <alignment horizontal="right" vertical="center"/>
    </xf>
    <xf numFmtId="5" fontId="15" fillId="0" borderId="5" xfId="4" applyNumberFormat="1" applyFont="1" applyBorder="1" applyAlignment="1">
      <alignment horizontal="center" vertical="center"/>
    </xf>
    <xf numFmtId="5" fontId="15" fillId="0" borderId="3" xfId="4" applyNumberFormat="1" applyFont="1" applyBorder="1" applyAlignment="1">
      <alignment horizontal="center" vertical="center"/>
    </xf>
    <xf numFmtId="5" fontId="15" fillId="0" borderId="2" xfId="4" applyNumberFormat="1" applyFont="1" applyBorder="1" applyAlignment="1">
      <alignment horizontal="right" vertical="center" indent="1"/>
    </xf>
    <xf numFmtId="5" fontId="15" fillId="0" borderId="5" xfId="4" applyNumberFormat="1" applyFont="1" applyBorder="1" applyAlignment="1">
      <alignment horizontal="right" vertical="center" indent="1"/>
    </xf>
    <xf numFmtId="5" fontId="15" fillId="0" borderId="3" xfId="4" applyNumberFormat="1" applyFont="1" applyBorder="1" applyAlignment="1">
      <alignment horizontal="right" vertical="center" indent="1"/>
    </xf>
    <xf numFmtId="0" fontId="15" fillId="0" borderId="55" xfId="4" applyFont="1" applyBorder="1" applyAlignment="1">
      <alignment horizontal="center" vertical="center"/>
    </xf>
    <xf numFmtId="0" fontId="15" fillId="0" borderId="56" xfId="4" applyFont="1" applyBorder="1" applyAlignment="1">
      <alignment horizontal="center" vertical="center"/>
    </xf>
    <xf numFmtId="183" fontId="15" fillId="0" borderId="55" xfId="4" applyNumberFormat="1" applyFont="1" applyBorder="1" applyAlignment="1">
      <alignment horizontal="right" vertical="center"/>
    </xf>
    <xf numFmtId="183" fontId="15" fillId="0" borderId="57" xfId="4" applyNumberFormat="1" applyFont="1" applyBorder="1" applyAlignment="1">
      <alignment horizontal="right" vertical="center"/>
    </xf>
    <xf numFmtId="5" fontId="15" fillId="0" borderId="57" xfId="4" applyNumberFormat="1" applyFont="1" applyBorder="1" applyAlignment="1">
      <alignment horizontal="center" vertical="center"/>
    </xf>
    <xf numFmtId="5" fontId="15" fillId="0" borderId="56" xfId="4" applyNumberFormat="1" applyFont="1" applyBorder="1" applyAlignment="1">
      <alignment horizontal="center" vertical="center"/>
    </xf>
    <xf numFmtId="5" fontId="15" fillId="0" borderId="55" xfId="4" applyNumberFormat="1" applyFont="1" applyBorder="1" applyAlignment="1">
      <alignment horizontal="right" vertical="center" indent="1"/>
    </xf>
    <xf numFmtId="5" fontId="15" fillId="0" borderId="57" xfId="4" applyNumberFormat="1" applyFont="1" applyBorder="1" applyAlignment="1">
      <alignment horizontal="right" vertical="center" indent="1"/>
    </xf>
    <xf numFmtId="5" fontId="15" fillId="0" borderId="56" xfId="4" applyNumberFormat="1" applyFont="1" applyBorder="1" applyAlignment="1">
      <alignment horizontal="right" vertical="center" indent="1"/>
    </xf>
    <xf numFmtId="0" fontId="15" fillId="0" borderId="30" xfId="4" applyFont="1" applyBorder="1" applyAlignment="1">
      <alignment horizontal="center" vertical="center"/>
    </xf>
    <xf numFmtId="0" fontId="15" fillId="0" borderId="31" xfId="4" applyFont="1" applyBorder="1" applyAlignment="1">
      <alignment horizontal="center" vertical="center"/>
    </xf>
    <xf numFmtId="183" fontId="15" fillId="0" borderId="30" xfId="4" applyNumberFormat="1" applyFont="1" applyBorder="1" applyAlignment="1">
      <alignment horizontal="right" vertical="center"/>
    </xf>
    <xf numFmtId="183" fontId="15" fillId="0" borderId="24" xfId="4" applyNumberFormat="1" applyFont="1" applyBorder="1" applyAlignment="1">
      <alignment horizontal="right" vertical="center"/>
    </xf>
    <xf numFmtId="5" fontId="15" fillId="0" borderId="24" xfId="4" applyNumberFormat="1" applyFont="1" applyBorder="1" applyAlignment="1">
      <alignment horizontal="center" vertical="center"/>
    </xf>
    <xf numFmtId="5" fontId="15" fillId="0" borderId="31" xfId="4" applyNumberFormat="1" applyFont="1" applyBorder="1" applyAlignment="1">
      <alignment horizontal="center" vertical="center"/>
    </xf>
    <xf numFmtId="5" fontId="15" fillId="0" borderId="30" xfId="4" applyNumberFormat="1" applyFont="1" applyBorder="1" applyAlignment="1">
      <alignment horizontal="right" vertical="center" indent="1"/>
    </xf>
    <xf numFmtId="5" fontId="15" fillId="0" borderId="24" xfId="4" applyNumberFormat="1" applyFont="1" applyBorder="1" applyAlignment="1">
      <alignment horizontal="right" vertical="center" indent="1"/>
    </xf>
    <xf numFmtId="5" fontId="15" fillId="0" borderId="31" xfId="4" applyNumberFormat="1" applyFont="1" applyBorder="1" applyAlignment="1">
      <alignment horizontal="right" vertical="center" indent="1"/>
    </xf>
    <xf numFmtId="0" fontId="15" fillId="0" borderId="58" xfId="4" applyFont="1" applyBorder="1" applyAlignment="1">
      <alignment horizontal="center" vertical="center"/>
    </xf>
    <xf numFmtId="0" fontId="15" fillId="0" borderId="59" xfId="4" applyFont="1" applyBorder="1" applyAlignment="1">
      <alignment horizontal="center" vertical="center"/>
    </xf>
    <xf numFmtId="183" fontId="15" fillId="0" borderId="58" xfId="4" applyNumberFormat="1" applyFont="1" applyBorder="1" applyAlignment="1">
      <alignment horizontal="right" vertical="center"/>
    </xf>
    <xf numFmtId="183" fontId="15" fillId="0" borderId="60" xfId="4" applyNumberFormat="1" applyFont="1" applyBorder="1" applyAlignment="1">
      <alignment horizontal="right" vertical="center"/>
    </xf>
    <xf numFmtId="5" fontId="15" fillId="0" borderId="60" xfId="4" applyNumberFormat="1" applyFont="1" applyBorder="1" applyAlignment="1">
      <alignment horizontal="center" vertical="center"/>
    </xf>
    <xf numFmtId="5" fontId="15" fillId="0" borderId="59" xfId="4" applyNumberFormat="1" applyFont="1" applyBorder="1" applyAlignment="1">
      <alignment horizontal="center" vertical="center"/>
    </xf>
    <xf numFmtId="5" fontId="15" fillId="0" borderId="58" xfId="4" applyNumberFormat="1" applyFont="1" applyBorder="1" applyAlignment="1">
      <alignment horizontal="right" vertical="center" indent="1"/>
    </xf>
    <xf numFmtId="5" fontId="15" fillId="0" borderId="60" xfId="4" applyNumberFormat="1" applyFont="1" applyBorder="1" applyAlignment="1">
      <alignment horizontal="right" vertical="center" indent="1"/>
    </xf>
    <xf numFmtId="5" fontId="15" fillId="0" borderId="59" xfId="4" applyNumberFormat="1" applyFont="1" applyBorder="1" applyAlignment="1">
      <alignment horizontal="right" vertical="center" indent="1"/>
    </xf>
    <xf numFmtId="0" fontId="26" fillId="9" borderId="4" xfId="0" applyFont="1" applyFill="1" applyBorder="1" applyAlignment="1">
      <alignment horizontal="center" vertical="top"/>
    </xf>
    <xf numFmtId="0" fontId="26" fillId="10" borderId="4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26" fillId="9" borderId="41" xfId="0" applyFont="1" applyFill="1" applyBorder="1" applyAlignment="1">
      <alignment horizontal="center" vertical="top"/>
    </xf>
    <xf numFmtId="0" fontId="26" fillId="10" borderId="41" xfId="0" applyFont="1" applyFill="1" applyBorder="1" applyAlignment="1">
      <alignment horizontal="center" vertical="top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6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9" fontId="4" fillId="3" borderId="4" xfId="1" applyNumberFormat="1" applyFont="1" applyFill="1" applyBorder="1">
      <alignment vertical="center"/>
    </xf>
    <xf numFmtId="180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7">
    <cellStyle name="桁区切り 2" xfId="2" xr:uid="{00000000-0005-0000-0000-000000000000}"/>
    <cellStyle name="通貨" xfId="6" builtinId="7"/>
    <cellStyle name="標準" xfId="0" builtinId="0"/>
    <cellStyle name="標準 2" xfId="1" xr:uid="{00000000-0005-0000-0000-000002000000}"/>
    <cellStyle name="標準 2 2" xfId="3" xr:uid="{00000000-0005-0000-0000-000003000000}"/>
    <cellStyle name="標準 2 3" xfId="5" xr:uid="{E5FBA960-A250-48E9-A1AE-46A451B0EE3A}"/>
    <cellStyle name="標準 3" xfId="4" xr:uid="{FF83E7BF-8BED-4E42-A740-53CF93C38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125</xdr:row>
      <xdr:rowOff>28575</xdr:rowOff>
    </xdr:from>
    <xdr:to>
      <xdr:col>31</xdr:col>
      <xdr:colOff>169500</xdr:colOff>
      <xdr:row>125</xdr:row>
      <xdr:rowOff>172575</xdr:rowOff>
    </xdr:to>
    <xdr:sp macro="" textlink="">
      <xdr:nvSpPr>
        <xdr:cNvPr id="2" name="ホームベース 120">
          <a:extLst>
            <a:ext uri="{FF2B5EF4-FFF2-40B4-BE49-F238E27FC236}">
              <a16:creationId xmlns:a16="http://schemas.microsoft.com/office/drawing/2014/main" id="{BAAAFC0A-5FC0-46A5-9193-20ABF022D7B7}"/>
            </a:ext>
          </a:extLst>
        </xdr:cNvPr>
        <xdr:cNvSpPr/>
      </xdr:nvSpPr>
      <xdr:spPr bwMode="auto">
        <a:xfrm>
          <a:off x="6000750" y="26504900"/>
          <a:ext cx="369525" cy="14717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</xdr:colOff>
      <xdr:row>113</xdr:row>
      <xdr:rowOff>0</xdr:rowOff>
    </xdr:from>
    <xdr:to>
      <xdr:col>10</xdr:col>
      <xdr:colOff>0</xdr:colOff>
      <xdr:row>115</xdr:row>
      <xdr:rowOff>0</xdr:rowOff>
    </xdr:to>
    <xdr:sp macro="" textlink="">
      <xdr:nvSpPr>
        <xdr:cNvPr id="3" name="ホームベース 35">
          <a:extLst>
            <a:ext uri="{FF2B5EF4-FFF2-40B4-BE49-F238E27FC236}">
              <a16:creationId xmlns:a16="http://schemas.microsoft.com/office/drawing/2014/main" id="{04B1A521-A7F4-418C-B988-2DC929C9545B}"/>
            </a:ext>
          </a:extLst>
        </xdr:cNvPr>
        <xdr:cNvSpPr/>
      </xdr:nvSpPr>
      <xdr:spPr bwMode="auto">
        <a:xfrm>
          <a:off x="1619251" y="19431000"/>
          <a:ext cx="404812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125</xdr:row>
      <xdr:rowOff>30480</xdr:rowOff>
    </xdr:from>
    <xdr:to>
      <xdr:col>25</xdr:col>
      <xdr:colOff>169500</xdr:colOff>
      <xdr:row>125</xdr:row>
      <xdr:rowOff>174480</xdr:rowOff>
    </xdr:to>
    <xdr:sp macro="" textlink="">
      <xdr:nvSpPr>
        <xdr:cNvPr id="4" name="ホームベース 13">
          <a:extLst>
            <a:ext uri="{FF2B5EF4-FFF2-40B4-BE49-F238E27FC236}">
              <a16:creationId xmlns:a16="http://schemas.microsoft.com/office/drawing/2014/main" id="{A3693AE3-5DD7-4E35-996F-8FF40888EF76}"/>
            </a:ext>
          </a:extLst>
        </xdr:cNvPr>
        <xdr:cNvSpPr/>
      </xdr:nvSpPr>
      <xdr:spPr bwMode="auto">
        <a:xfrm>
          <a:off x="4800600" y="26506805"/>
          <a:ext cx="369525" cy="147175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2</xdr:colOff>
      <xdr:row>115</xdr:row>
      <xdr:rowOff>0</xdr:rowOff>
    </xdr:from>
    <xdr:to>
      <xdr:col>17</xdr:col>
      <xdr:colOff>1</xdr:colOff>
      <xdr:row>117</xdr:row>
      <xdr:rowOff>0</xdr:rowOff>
    </xdr:to>
    <xdr:sp macro="" textlink="">
      <xdr:nvSpPr>
        <xdr:cNvPr id="5" name="ホームベース 35">
          <a:extLst>
            <a:ext uri="{FF2B5EF4-FFF2-40B4-BE49-F238E27FC236}">
              <a16:creationId xmlns:a16="http://schemas.microsoft.com/office/drawing/2014/main" id="{9A7C9F62-05BB-4065-814E-198451756903}"/>
            </a:ext>
          </a:extLst>
        </xdr:cNvPr>
        <xdr:cNvSpPr/>
      </xdr:nvSpPr>
      <xdr:spPr bwMode="auto">
        <a:xfrm>
          <a:off x="2024065" y="19812000"/>
          <a:ext cx="1416842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0</xdr:colOff>
      <xdr:row>117</xdr:row>
      <xdr:rowOff>0</xdr:rowOff>
    </xdr:from>
    <xdr:to>
      <xdr:col>21</xdr:col>
      <xdr:colOff>107150</xdr:colOff>
      <xdr:row>119</xdr:row>
      <xdr:rowOff>0</xdr:rowOff>
    </xdr:to>
    <xdr:sp macro="" textlink="">
      <xdr:nvSpPr>
        <xdr:cNvPr id="6" name="ホームベース 35">
          <a:extLst>
            <a:ext uri="{FF2B5EF4-FFF2-40B4-BE49-F238E27FC236}">
              <a16:creationId xmlns:a16="http://schemas.microsoft.com/office/drawing/2014/main" id="{A6D97281-875C-4470-97D0-F39952A985DC}"/>
            </a:ext>
          </a:extLst>
        </xdr:cNvPr>
        <xdr:cNvSpPr/>
      </xdr:nvSpPr>
      <xdr:spPr bwMode="auto">
        <a:xfrm>
          <a:off x="3440906" y="20193000"/>
          <a:ext cx="916775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101607</xdr:colOff>
      <xdr:row>119</xdr:row>
      <xdr:rowOff>0</xdr:rowOff>
    </xdr:from>
    <xdr:to>
      <xdr:col>24</xdr:col>
      <xdr:colOff>0</xdr:colOff>
      <xdr:row>121</xdr:row>
      <xdr:rowOff>0</xdr:rowOff>
    </xdr:to>
    <xdr:sp macro="" textlink="">
      <xdr:nvSpPr>
        <xdr:cNvPr id="7" name="ホームベース 35">
          <a:extLst>
            <a:ext uri="{FF2B5EF4-FFF2-40B4-BE49-F238E27FC236}">
              <a16:creationId xmlns:a16="http://schemas.microsoft.com/office/drawing/2014/main" id="{7FD75E46-0DE0-4C09-B229-D80F3A2C4CF9}"/>
            </a:ext>
          </a:extLst>
        </xdr:cNvPr>
        <xdr:cNvSpPr/>
      </xdr:nvSpPr>
      <xdr:spPr bwMode="auto">
        <a:xfrm>
          <a:off x="4352138" y="20574000"/>
          <a:ext cx="505612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121</xdr:row>
      <xdr:rowOff>0</xdr:rowOff>
    </xdr:from>
    <xdr:to>
      <xdr:col>28</xdr:col>
      <xdr:colOff>0</xdr:colOff>
      <xdr:row>122</xdr:row>
      <xdr:rowOff>0</xdr:rowOff>
    </xdr:to>
    <xdr:sp macro="" textlink="">
      <xdr:nvSpPr>
        <xdr:cNvPr id="8" name="ホームベース 35">
          <a:extLst>
            <a:ext uri="{FF2B5EF4-FFF2-40B4-BE49-F238E27FC236}">
              <a16:creationId xmlns:a16="http://schemas.microsoft.com/office/drawing/2014/main" id="{C72E064F-1555-44AA-B43C-210241191C38}"/>
            </a:ext>
          </a:extLst>
        </xdr:cNvPr>
        <xdr:cNvSpPr/>
      </xdr:nvSpPr>
      <xdr:spPr bwMode="auto">
        <a:xfrm>
          <a:off x="4857750" y="20955000"/>
          <a:ext cx="809625" cy="1905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marL="0" indent="0" algn="ctr"/>
          <a:endParaRPr kumimoji="1" lang="en-US" altLang="ja-JP" sz="800">
            <a:solidFill>
              <a:schemeClr val="dk1"/>
            </a:solidFill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28</xdr:col>
      <xdr:colOff>0</xdr:colOff>
      <xdr:row>123</xdr:row>
      <xdr:rowOff>0</xdr:rowOff>
    </xdr:from>
    <xdr:to>
      <xdr:col>30</xdr:col>
      <xdr:colOff>0</xdr:colOff>
      <xdr:row>125</xdr:row>
      <xdr:rowOff>0</xdr:rowOff>
    </xdr:to>
    <xdr:sp macro="" textlink="">
      <xdr:nvSpPr>
        <xdr:cNvPr id="9" name="ホームベース 35">
          <a:extLst>
            <a:ext uri="{FF2B5EF4-FFF2-40B4-BE49-F238E27FC236}">
              <a16:creationId xmlns:a16="http://schemas.microsoft.com/office/drawing/2014/main" id="{BED5E403-165A-4025-A953-568428C2C219}"/>
            </a:ext>
          </a:extLst>
        </xdr:cNvPr>
        <xdr:cNvSpPr/>
      </xdr:nvSpPr>
      <xdr:spPr bwMode="auto">
        <a:xfrm>
          <a:off x="5667375" y="21336000"/>
          <a:ext cx="404813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122</xdr:row>
      <xdr:rowOff>2</xdr:rowOff>
    </xdr:from>
    <xdr:to>
      <xdr:col>28</xdr:col>
      <xdr:colOff>0</xdr:colOff>
      <xdr:row>123</xdr:row>
      <xdr:rowOff>1</xdr:rowOff>
    </xdr:to>
    <xdr:sp macro="" textlink="">
      <xdr:nvSpPr>
        <xdr:cNvPr id="10" name="ホームベース 35">
          <a:extLst>
            <a:ext uri="{FF2B5EF4-FFF2-40B4-BE49-F238E27FC236}">
              <a16:creationId xmlns:a16="http://schemas.microsoft.com/office/drawing/2014/main" id="{A2D8FB7D-F209-47E4-BFE2-E587284BD74D}"/>
            </a:ext>
          </a:extLst>
        </xdr:cNvPr>
        <xdr:cNvSpPr/>
      </xdr:nvSpPr>
      <xdr:spPr bwMode="auto">
        <a:xfrm>
          <a:off x="4857750" y="21145502"/>
          <a:ext cx="809625" cy="190499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ypresscorporation.sharepoint.com/sites/msteams_474cc0/Shared%20Documents/General/17%20&#35211;&#31309;/20230406_&#35211;&#31309;&#26360;_&#24859;&#30693;_&#21271;&#28023;&#36947;_&#23637;&#38283;/&#21271;&#28023;&#36947;&#12539;&#24859;&#30693;&#12408;&#12398;&#21453;&#26144;&#26908;&#35342;&#21315;&#33865;&#27531;&#35506;&#38988;_20230713.xlsx" TargetMode="External"/><Relationship Id="rId1" Type="http://schemas.openxmlformats.org/officeDocument/2006/relationships/externalLinkPath" Target="https://cypresscorporation.sharepoint.com/sites/msteams_474cc0/Shared%20Documents/General/17%20&#35211;&#31309;/20241108_&#35211;&#31309;_&#21271;&#28023;&#36947;_&#24859;&#30693;_&#36861;&#21152;/&#21271;&#28023;&#36947;&#12539;&#24859;&#30693;&#12408;&#12398;&#21453;&#26144;&#26908;&#35342;&#21315;&#33865;&#27531;&#35506;&#38988;_202307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障害課題一覧 (検討優先度高のもの)"/>
      <sheetName val="障害課題一覧 (それ以外)"/>
      <sheetName val="コード内訳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49CB-CCD1-46F9-9F76-40E7B85EF739}">
  <dimension ref="A1:AQ163"/>
  <sheetViews>
    <sheetView showGridLines="0" tabSelected="1" zoomScaleNormal="100" zoomScaleSheetLayoutView="115" workbookViewId="0">
      <selection activeCell="Y33" sqref="Y33"/>
    </sheetView>
  </sheetViews>
  <sheetFormatPr defaultColWidth="2.58203125" defaultRowHeight="15" customHeight="1"/>
  <cols>
    <col min="1" max="1" width="2.58203125" style="30"/>
    <col min="2" max="16384" width="2.58203125" style="27"/>
  </cols>
  <sheetData>
    <row r="1" spans="1:37" s="25" customFormat="1" ht="15" customHeight="1">
      <c r="A1" s="194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X1" s="26" t="s">
        <v>1</v>
      </c>
      <c r="Z1" s="26"/>
      <c r="AA1" s="26"/>
      <c r="AB1" s="26"/>
      <c r="AC1" s="26"/>
      <c r="AD1" s="26"/>
      <c r="AE1" s="26"/>
      <c r="AF1" s="182" t="s">
        <v>2</v>
      </c>
      <c r="AG1" s="183"/>
      <c r="AH1" s="183"/>
      <c r="AI1" s="183"/>
      <c r="AJ1" s="183"/>
      <c r="AK1" s="27"/>
    </row>
    <row r="2" spans="1:37" s="25" customFormat="1" ht="15" customHeight="1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X2" s="28" t="s">
        <v>3</v>
      </c>
      <c r="Y2" s="60"/>
      <c r="Z2" s="28"/>
      <c r="AA2" s="28"/>
      <c r="AB2" s="28"/>
      <c r="AC2" s="28"/>
      <c r="AD2" s="28"/>
      <c r="AE2" s="28"/>
      <c r="AF2" s="184">
        <v>45924</v>
      </c>
      <c r="AG2" s="185"/>
      <c r="AH2" s="185"/>
      <c r="AI2" s="185"/>
      <c r="AJ2" s="185"/>
      <c r="AK2" s="27"/>
    </row>
    <row r="3" spans="1:37" s="25" customFormat="1" ht="15" customHeight="1">
      <c r="A3" s="29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25" customFormat="1" ht="15" customHeight="1">
      <c r="A4" s="29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1:37" s="25" customFormat="1" ht="15" customHeight="1">
      <c r="A5" s="186" t="s">
        <v>4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1:37" s="25" customFormat="1" ht="15" customHeight="1">
      <c r="A6" s="187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1:37" s="25" customFormat="1" ht="15" customHeight="1">
      <c r="A7" s="29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1:37" s="25" customFormat="1" ht="15" customHeight="1">
      <c r="A8" s="29"/>
      <c r="X8" s="27" t="s">
        <v>5</v>
      </c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1:37" s="25" customFormat="1" ht="15" customHeight="1">
      <c r="A9" s="29"/>
      <c r="X9" s="27" t="s">
        <v>6</v>
      </c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37" s="25" customFormat="1" ht="15" customHeight="1">
      <c r="A10" s="29"/>
      <c r="X10" s="27" t="s">
        <v>7</v>
      </c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1:37" s="25" customFormat="1" ht="15" customHeight="1">
      <c r="A11" s="188" t="s">
        <v>8</v>
      </c>
      <c r="B11" s="188"/>
      <c r="C11" s="188"/>
      <c r="D11" s="188"/>
      <c r="E11" s="188"/>
      <c r="F11" s="190">
        <f>AE47</f>
        <v>2035200</v>
      </c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X11" s="27" t="s">
        <v>9</v>
      </c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1:37" s="25" customFormat="1" ht="15" customHeight="1">
      <c r="A12" s="189"/>
      <c r="B12" s="189"/>
      <c r="C12" s="189"/>
      <c r="D12" s="189"/>
      <c r="E12" s="189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X12" s="27" t="s">
        <v>10</v>
      </c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1:37" s="25" customFormat="1" ht="15" customHeight="1">
      <c r="A13" s="29"/>
    </row>
    <row r="14" spans="1:37" s="25" customFormat="1" ht="15" customHeight="1">
      <c r="A14" s="29"/>
    </row>
    <row r="15" spans="1:37" s="25" customFormat="1" ht="15" customHeight="1">
      <c r="A15" s="29"/>
    </row>
    <row r="16" spans="1:37" ht="15" customHeight="1">
      <c r="A16" s="30" t="s">
        <v>11</v>
      </c>
    </row>
    <row r="18" spans="1:16" ht="15" customHeight="1">
      <c r="B18" s="27" t="s">
        <v>228</v>
      </c>
    </row>
    <row r="20" spans="1:16" ht="15" customHeight="1">
      <c r="A20" s="27"/>
    </row>
    <row r="21" spans="1:16" ht="15" customHeight="1">
      <c r="A21" s="30" t="s">
        <v>12</v>
      </c>
      <c r="P21" s="30"/>
    </row>
    <row r="22" spans="1:16" ht="15" customHeight="1">
      <c r="A22" s="27"/>
    </row>
    <row r="23" spans="1:16" ht="15" customHeight="1">
      <c r="A23" s="27"/>
      <c r="B23" s="27" t="s">
        <v>13</v>
      </c>
    </row>
    <row r="24" spans="1:16" ht="15" customHeight="1">
      <c r="A24" s="27"/>
    </row>
    <row r="25" spans="1:16" ht="15" customHeight="1">
      <c r="A25" s="27"/>
    </row>
    <row r="26" spans="1:16" ht="15" customHeight="1">
      <c r="A26" s="30" t="s">
        <v>14</v>
      </c>
    </row>
    <row r="27" spans="1:16" ht="15" customHeight="1">
      <c r="A27" s="27"/>
    </row>
    <row r="28" spans="1:16" ht="15" customHeight="1">
      <c r="A28" s="27"/>
      <c r="B28" s="27" t="s">
        <v>15</v>
      </c>
    </row>
    <row r="29" spans="1:16" ht="15" customHeight="1">
      <c r="A29" s="27"/>
    </row>
    <row r="30" spans="1:16" ht="15" customHeight="1">
      <c r="A30" s="27"/>
    </row>
    <row r="31" spans="1:16" ht="15" customHeight="1">
      <c r="A31" s="30" t="s">
        <v>16</v>
      </c>
    </row>
    <row r="33" spans="1:43" ht="15" customHeight="1">
      <c r="A33" s="27"/>
      <c r="B33" s="27" t="s">
        <v>280</v>
      </c>
    </row>
    <row r="34" spans="1:43" ht="15" customHeight="1">
      <c r="A34" s="27"/>
    </row>
    <row r="35" spans="1:43" ht="15" customHeight="1">
      <c r="A35" s="27"/>
    </row>
    <row r="36" spans="1:43" ht="15" customHeight="1">
      <c r="A36" s="30" t="s">
        <v>17</v>
      </c>
    </row>
    <row r="37" spans="1:43" ht="15" customHeight="1">
      <c r="A37" s="27"/>
    </row>
    <row r="38" spans="1:43" ht="15" customHeight="1">
      <c r="A38" s="27"/>
      <c r="B38" s="31" t="s">
        <v>18</v>
      </c>
      <c r="C38" s="32"/>
      <c r="D38" s="31" t="s">
        <v>19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1"/>
      <c r="U38" s="33"/>
      <c r="V38" s="33"/>
      <c r="W38" s="33"/>
      <c r="X38" s="32"/>
      <c r="Y38" s="31" t="s">
        <v>20</v>
      </c>
      <c r="Z38" s="33"/>
      <c r="AA38" s="33"/>
      <c r="AB38" s="33"/>
      <c r="AC38" s="33"/>
      <c r="AD38" s="33"/>
      <c r="AE38" s="31" t="s">
        <v>21</v>
      </c>
      <c r="AF38" s="33"/>
      <c r="AG38" s="33"/>
      <c r="AH38" s="33"/>
      <c r="AI38" s="33"/>
      <c r="AJ38" s="32"/>
      <c r="AM38" s="31" t="s">
        <v>22</v>
      </c>
      <c r="AN38" s="33"/>
      <c r="AO38" s="33"/>
      <c r="AP38" s="33"/>
      <c r="AQ38" s="32"/>
    </row>
    <row r="39" spans="1:43" ht="15" customHeight="1">
      <c r="A39" s="27"/>
      <c r="B39" s="202">
        <v>1</v>
      </c>
      <c r="C39" s="203"/>
      <c r="D39" s="34" t="str">
        <f>工数明細!D4</f>
        <v>訂正区分4対応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61"/>
      <c r="U39" s="61"/>
      <c r="V39" s="61"/>
      <c r="W39" s="61"/>
      <c r="X39" s="62"/>
      <c r="Y39" s="204">
        <f>工数明細!AE4</f>
        <v>0.25</v>
      </c>
      <c r="Z39" s="205"/>
      <c r="AA39" s="205"/>
      <c r="AB39" s="205"/>
      <c r="AC39" s="206" t="s">
        <v>23</v>
      </c>
      <c r="AD39" s="207"/>
      <c r="AE39" s="208">
        <f>AM39*Y39</f>
        <v>250000</v>
      </c>
      <c r="AF39" s="209"/>
      <c r="AG39" s="209"/>
      <c r="AH39" s="209"/>
      <c r="AI39" s="209"/>
      <c r="AJ39" s="210"/>
      <c r="AM39" s="208">
        <v>1000000</v>
      </c>
      <c r="AN39" s="209"/>
      <c r="AO39" s="209"/>
      <c r="AP39" s="209"/>
      <c r="AQ39" s="210"/>
    </row>
    <row r="40" spans="1:43" ht="15" customHeight="1">
      <c r="A40" s="27"/>
      <c r="B40" s="202">
        <v>2</v>
      </c>
      <c r="C40" s="203"/>
      <c r="D40" s="34" t="str">
        <f>工数明細!D5</f>
        <v>お知らせ対応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61"/>
      <c r="U40" s="61"/>
      <c r="V40" s="61"/>
      <c r="W40" s="61"/>
      <c r="X40" s="62"/>
      <c r="Y40" s="204">
        <f>工数明細!AE5</f>
        <v>0.18000000000000002</v>
      </c>
      <c r="Z40" s="205"/>
      <c r="AA40" s="205"/>
      <c r="AB40" s="205"/>
      <c r="AC40" s="206" t="s">
        <v>23</v>
      </c>
      <c r="AD40" s="207"/>
      <c r="AE40" s="208">
        <f t="shared" ref="AE40:AE46" si="0">AM40*Y40</f>
        <v>180000.00000000003</v>
      </c>
      <c r="AF40" s="209"/>
      <c r="AG40" s="209"/>
      <c r="AH40" s="209"/>
      <c r="AI40" s="209"/>
      <c r="AJ40" s="210"/>
      <c r="AM40" s="208">
        <v>1000000</v>
      </c>
      <c r="AN40" s="209"/>
      <c r="AO40" s="209"/>
      <c r="AP40" s="209"/>
      <c r="AQ40" s="210"/>
    </row>
    <row r="41" spans="1:43" ht="15" customHeight="1">
      <c r="A41" s="27"/>
      <c r="B41" s="202">
        <v>3</v>
      </c>
      <c r="C41" s="203"/>
      <c r="D41" s="34" t="str">
        <f>工数明細!D6</f>
        <v>ニュースリリース対応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61"/>
      <c r="U41" s="61"/>
      <c r="V41" s="61"/>
      <c r="W41" s="61"/>
      <c r="X41" s="62"/>
      <c r="Y41" s="204">
        <f>工数明細!AE6</f>
        <v>0.18000000000000002</v>
      </c>
      <c r="Z41" s="205"/>
      <c r="AA41" s="205"/>
      <c r="AB41" s="205"/>
      <c r="AC41" s="206" t="s">
        <v>23</v>
      </c>
      <c r="AD41" s="207"/>
      <c r="AE41" s="208">
        <f t="shared" si="0"/>
        <v>180000.00000000003</v>
      </c>
      <c r="AF41" s="209"/>
      <c r="AG41" s="209"/>
      <c r="AH41" s="209"/>
      <c r="AI41" s="209"/>
      <c r="AJ41" s="210"/>
      <c r="AM41" s="208">
        <v>1000000</v>
      </c>
      <c r="AN41" s="209"/>
      <c r="AO41" s="209"/>
      <c r="AP41" s="209"/>
      <c r="AQ41" s="210"/>
    </row>
    <row r="42" spans="1:43" ht="15" customHeight="1">
      <c r="A42" s="27"/>
      <c r="B42" s="202">
        <v>4</v>
      </c>
      <c r="C42" s="203"/>
      <c r="D42" s="34" t="str">
        <f>工数明細!D7</f>
        <v>キャンセル明細対応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61"/>
      <c r="U42" s="61"/>
      <c r="V42" s="61"/>
      <c r="W42" s="61"/>
      <c r="X42" s="62"/>
      <c r="Y42" s="204">
        <f>工数明細!AE7</f>
        <v>0.13</v>
      </c>
      <c r="Z42" s="205"/>
      <c r="AA42" s="205"/>
      <c r="AB42" s="205"/>
      <c r="AC42" s="206" t="s">
        <v>23</v>
      </c>
      <c r="AD42" s="207"/>
      <c r="AE42" s="208">
        <f t="shared" si="0"/>
        <v>130000</v>
      </c>
      <c r="AF42" s="209"/>
      <c r="AG42" s="209"/>
      <c r="AH42" s="209"/>
      <c r="AI42" s="209"/>
      <c r="AJ42" s="210"/>
      <c r="AM42" s="208">
        <v>1000000</v>
      </c>
      <c r="AN42" s="209"/>
      <c r="AO42" s="209"/>
      <c r="AP42" s="209"/>
      <c r="AQ42" s="210"/>
    </row>
    <row r="43" spans="1:43" ht="15" customHeight="1" thickBot="1">
      <c r="A43" s="27"/>
      <c r="B43" s="211">
        <v>5</v>
      </c>
      <c r="C43" s="212"/>
      <c r="D43" s="159" t="str">
        <f>工数明細!D8</f>
        <v>ファイル添付機能実装</v>
      </c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1"/>
      <c r="U43" s="161"/>
      <c r="V43" s="161"/>
      <c r="W43" s="161"/>
      <c r="X43" s="162"/>
      <c r="Y43" s="213">
        <f>工数明細!AE8</f>
        <v>0.5</v>
      </c>
      <c r="Z43" s="214"/>
      <c r="AA43" s="214"/>
      <c r="AB43" s="214"/>
      <c r="AC43" s="215" t="s">
        <v>23</v>
      </c>
      <c r="AD43" s="216"/>
      <c r="AE43" s="217">
        <f t="shared" si="0"/>
        <v>500000</v>
      </c>
      <c r="AF43" s="218"/>
      <c r="AG43" s="218"/>
      <c r="AH43" s="218"/>
      <c r="AI43" s="218"/>
      <c r="AJ43" s="219"/>
      <c r="AM43" s="208">
        <v>1000000</v>
      </c>
      <c r="AN43" s="209"/>
      <c r="AO43" s="209"/>
      <c r="AP43" s="209"/>
      <c r="AQ43" s="210"/>
    </row>
    <row r="44" spans="1:43" ht="15" customHeight="1">
      <c r="A44" s="27"/>
      <c r="B44" s="220">
        <v>6</v>
      </c>
      <c r="C44" s="221"/>
      <c r="D44" s="156" t="s">
        <v>24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157"/>
      <c r="U44" s="157"/>
      <c r="V44" s="157"/>
      <c r="W44" s="157"/>
      <c r="X44" s="158"/>
      <c r="Y44" s="222">
        <v>0.1</v>
      </c>
      <c r="Z44" s="223"/>
      <c r="AA44" s="223"/>
      <c r="AB44" s="223"/>
      <c r="AC44" s="224" t="s">
        <v>23</v>
      </c>
      <c r="AD44" s="225"/>
      <c r="AE44" s="226">
        <f t="shared" si="0"/>
        <v>100000</v>
      </c>
      <c r="AF44" s="227"/>
      <c r="AG44" s="227"/>
      <c r="AH44" s="227"/>
      <c r="AI44" s="227"/>
      <c r="AJ44" s="228"/>
      <c r="AM44" s="208">
        <v>1000000</v>
      </c>
      <c r="AN44" s="209"/>
      <c r="AO44" s="209"/>
      <c r="AP44" s="209"/>
      <c r="AQ44" s="210"/>
    </row>
    <row r="45" spans="1:43" ht="15" customHeight="1">
      <c r="A45" s="27"/>
      <c r="B45" s="202">
        <v>7</v>
      </c>
      <c r="C45" s="203"/>
      <c r="D45" s="34" t="s">
        <v>25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61"/>
      <c r="U45" s="61"/>
      <c r="V45" s="61"/>
      <c r="W45" s="61"/>
      <c r="X45" s="62"/>
      <c r="Y45" s="204">
        <f>工数明細!AE10</f>
        <v>0.25</v>
      </c>
      <c r="Z45" s="205"/>
      <c r="AA45" s="205"/>
      <c r="AB45" s="205"/>
      <c r="AC45" s="206" t="s">
        <v>23</v>
      </c>
      <c r="AD45" s="207"/>
      <c r="AE45" s="208">
        <f t="shared" si="0"/>
        <v>250000</v>
      </c>
      <c r="AF45" s="209"/>
      <c r="AG45" s="209"/>
      <c r="AH45" s="209"/>
      <c r="AI45" s="209"/>
      <c r="AJ45" s="210"/>
      <c r="AM45" s="208">
        <v>1000000</v>
      </c>
      <c r="AN45" s="209"/>
      <c r="AO45" s="209"/>
      <c r="AP45" s="209"/>
      <c r="AQ45" s="210"/>
    </row>
    <row r="46" spans="1:43" ht="15" customHeight="1" thickBot="1">
      <c r="A46" s="27"/>
      <c r="B46" s="229">
        <v>8</v>
      </c>
      <c r="C46" s="230"/>
      <c r="D46" s="163" t="s">
        <v>26</v>
      </c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5"/>
      <c r="U46" s="165"/>
      <c r="V46" s="165"/>
      <c r="W46" s="165"/>
      <c r="X46" s="166"/>
      <c r="Y46" s="231">
        <f>SUM(工数明細!AG4:AG10)</f>
        <v>0.318</v>
      </c>
      <c r="Z46" s="232"/>
      <c r="AA46" s="232"/>
      <c r="AB46" s="232"/>
      <c r="AC46" s="233" t="s">
        <v>23</v>
      </c>
      <c r="AD46" s="234"/>
      <c r="AE46" s="235">
        <f t="shared" si="0"/>
        <v>445200</v>
      </c>
      <c r="AF46" s="236"/>
      <c r="AG46" s="236"/>
      <c r="AH46" s="236"/>
      <c r="AI46" s="236"/>
      <c r="AJ46" s="237"/>
      <c r="AM46" s="208">
        <v>1400000</v>
      </c>
      <c r="AN46" s="209"/>
      <c r="AO46" s="209"/>
      <c r="AP46" s="209"/>
      <c r="AQ46" s="210"/>
    </row>
    <row r="47" spans="1:43" ht="15" customHeight="1" thickTop="1">
      <c r="A47" s="27"/>
      <c r="B47" s="220"/>
      <c r="C47" s="221"/>
      <c r="D47" s="156" t="s">
        <v>27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157"/>
      <c r="U47" s="157"/>
      <c r="V47" s="157"/>
      <c r="W47" s="157"/>
      <c r="X47" s="158"/>
      <c r="Y47" s="222">
        <f>SUM(Y39:AB46)</f>
        <v>1.9080000000000004</v>
      </c>
      <c r="Z47" s="223"/>
      <c r="AA47" s="223"/>
      <c r="AB47" s="223"/>
      <c r="AC47" s="224" t="s">
        <v>23</v>
      </c>
      <c r="AD47" s="225"/>
      <c r="AE47" s="226">
        <f>SUM(AE39:AJ46)</f>
        <v>2035200</v>
      </c>
      <c r="AF47" s="227"/>
      <c r="AG47" s="227"/>
      <c r="AH47" s="227"/>
      <c r="AI47" s="227"/>
      <c r="AJ47" s="228"/>
      <c r="AM47" s="208" t="s">
        <v>28</v>
      </c>
      <c r="AN47" s="209"/>
      <c r="AO47" s="209"/>
      <c r="AP47" s="209"/>
      <c r="AQ47" s="210"/>
    </row>
    <row r="48" spans="1:43" ht="15" customHeight="1">
      <c r="A48" s="27"/>
    </row>
    <row r="49" spans="1:32" ht="15" customHeight="1">
      <c r="A49" s="30" t="s">
        <v>29</v>
      </c>
      <c r="T49" s="46"/>
    </row>
    <row r="50" spans="1:32" ht="15" customHeight="1">
      <c r="A50" s="27"/>
    </row>
    <row r="51" spans="1:32" ht="15" customHeight="1">
      <c r="A51" s="27"/>
      <c r="B51" s="36" t="s">
        <v>30</v>
      </c>
      <c r="C51" s="63" t="s">
        <v>31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4" t="s">
        <v>30</v>
      </c>
      <c r="U51" s="63" t="s">
        <v>32</v>
      </c>
    </row>
    <row r="52" spans="1:32" ht="15" customHeight="1">
      <c r="A52" s="27"/>
      <c r="B52" s="36" t="s">
        <v>30</v>
      </c>
      <c r="C52" s="63" t="s">
        <v>33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4" t="s">
        <v>30</v>
      </c>
      <c r="U52" s="63" t="s">
        <v>34</v>
      </c>
    </row>
    <row r="53" spans="1:32" ht="15" customHeight="1">
      <c r="A53" s="27"/>
      <c r="B53" s="36" t="s">
        <v>30</v>
      </c>
      <c r="C53" s="63" t="s">
        <v>210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4"/>
      <c r="U53" s="63"/>
    </row>
    <row r="54" spans="1:32" ht="15" customHeight="1">
      <c r="A54" s="27"/>
      <c r="B54" s="37"/>
    </row>
    <row r="55" spans="1:32" ht="15" customHeight="1">
      <c r="A55" s="30" t="s">
        <v>35</v>
      </c>
    </row>
    <row r="56" spans="1:32" ht="15" customHeight="1">
      <c r="A56" s="27"/>
    </row>
    <row r="57" spans="1:32" ht="15" customHeight="1">
      <c r="A57" s="27"/>
      <c r="B57" s="38" t="s">
        <v>18</v>
      </c>
      <c r="C57" s="39"/>
      <c r="D57" s="38" t="s">
        <v>36</v>
      </c>
      <c r="E57" s="40"/>
      <c r="F57" s="40"/>
      <c r="G57" s="40"/>
      <c r="H57" s="40"/>
      <c r="I57" s="114" t="s">
        <v>35</v>
      </c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3"/>
      <c r="U57" s="114" t="s">
        <v>37</v>
      </c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3"/>
    </row>
    <row r="58" spans="1:32" ht="15" customHeight="1">
      <c r="A58" s="27"/>
      <c r="B58" s="41">
        <v>1</v>
      </c>
      <c r="C58" s="42"/>
      <c r="D58" s="195" t="s">
        <v>38</v>
      </c>
      <c r="E58" s="196"/>
      <c r="F58" s="196"/>
      <c r="G58" s="196"/>
      <c r="H58" s="196"/>
      <c r="I58" s="47" t="s">
        <v>39</v>
      </c>
      <c r="J58" s="48" t="s">
        <v>40</v>
      </c>
      <c r="K58" s="48"/>
      <c r="L58" s="48"/>
      <c r="M58" s="48"/>
      <c r="N58" s="48"/>
      <c r="O58" s="48"/>
      <c r="P58" s="48"/>
      <c r="Q58" s="48"/>
      <c r="R58" s="48"/>
      <c r="S58" s="48"/>
      <c r="T58" s="49"/>
      <c r="U58" s="48" t="s">
        <v>39</v>
      </c>
      <c r="V58" s="48" t="s">
        <v>41</v>
      </c>
      <c r="W58" s="48"/>
      <c r="X58" s="48"/>
      <c r="Y58" s="48"/>
      <c r="Z58" s="48"/>
      <c r="AA58" s="48"/>
      <c r="AB58" s="48"/>
      <c r="AC58" s="48"/>
      <c r="AD58" s="48"/>
      <c r="AE58" s="48"/>
      <c r="AF58" s="49"/>
    </row>
    <row r="59" spans="1:32" ht="15" customHeight="1">
      <c r="A59" s="27"/>
      <c r="B59" s="109"/>
      <c r="C59" s="110"/>
      <c r="D59" s="111"/>
      <c r="E59" s="46"/>
      <c r="F59" s="46"/>
      <c r="G59" s="46"/>
      <c r="H59" s="46"/>
      <c r="I59" s="43" t="s">
        <v>39</v>
      </c>
      <c r="J59" s="197" t="s">
        <v>198</v>
      </c>
      <c r="K59" s="197"/>
      <c r="L59" s="197"/>
      <c r="M59" s="197"/>
      <c r="N59" s="197"/>
      <c r="O59" s="197"/>
      <c r="P59" s="197"/>
      <c r="Q59" s="197"/>
      <c r="R59" s="197"/>
      <c r="S59" s="197"/>
      <c r="T59" s="198"/>
      <c r="U59" s="27" t="s">
        <v>39</v>
      </c>
      <c r="V59" s="27" t="s">
        <v>42</v>
      </c>
      <c r="AF59" s="44"/>
    </row>
    <row r="60" spans="1:32" ht="15" customHeight="1">
      <c r="A60" s="27"/>
      <c r="B60" s="50"/>
      <c r="C60" s="51"/>
      <c r="D60" s="52"/>
      <c r="E60" s="53"/>
      <c r="F60" s="53"/>
      <c r="G60" s="53"/>
      <c r="H60" s="53"/>
      <c r="I60" s="54" t="s">
        <v>39</v>
      </c>
      <c r="J60" s="199" t="s">
        <v>199</v>
      </c>
      <c r="K60" s="199"/>
      <c r="L60" s="199"/>
      <c r="M60" s="199"/>
      <c r="N60" s="199"/>
      <c r="O60" s="199"/>
      <c r="P60" s="199"/>
      <c r="Q60" s="199"/>
      <c r="R60" s="199"/>
      <c r="S60" s="199"/>
      <c r="T60" s="200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6"/>
    </row>
    <row r="61" spans="1:32" ht="15" customHeight="1">
      <c r="A61" s="27"/>
      <c r="B61" s="41">
        <v>2</v>
      </c>
      <c r="C61" s="42"/>
      <c r="D61" s="195" t="s">
        <v>43</v>
      </c>
      <c r="E61" s="196"/>
      <c r="F61" s="196"/>
      <c r="G61" s="196"/>
      <c r="H61" s="196"/>
      <c r="I61" s="43" t="s">
        <v>44</v>
      </c>
      <c r="T61" s="44"/>
      <c r="U61" s="47" t="s">
        <v>30</v>
      </c>
      <c r="V61" s="27" t="s">
        <v>45</v>
      </c>
      <c r="AF61" s="44"/>
    </row>
    <row r="62" spans="1:32" ht="15" customHeight="1">
      <c r="A62" s="27"/>
      <c r="B62" s="50"/>
      <c r="C62" s="51"/>
      <c r="D62" s="52"/>
      <c r="E62" s="53"/>
      <c r="F62" s="53"/>
      <c r="G62" s="53"/>
      <c r="H62" s="53"/>
      <c r="I62" s="54"/>
      <c r="T62" s="44"/>
      <c r="U62" s="54"/>
      <c r="AF62" s="44"/>
    </row>
    <row r="63" spans="1:32" ht="15" customHeight="1">
      <c r="A63" s="27"/>
      <c r="B63" s="41">
        <v>3</v>
      </c>
      <c r="C63" s="42"/>
      <c r="D63" s="195" t="s">
        <v>46</v>
      </c>
      <c r="E63" s="196"/>
      <c r="F63" s="196"/>
      <c r="G63" s="196"/>
      <c r="H63" s="196"/>
      <c r="I63" s="43" t="s">
        <v>39</v>
      </c>
      <c r="J63" s="48" t="s">
        <v>47</v>
      </c>
      <c r="K63" s="48"/>
      <c r="L63" s="48"/>
      <c r="M63" s="48"/>
      <c r="N63" s="48"/>
      <c r="O63" s="48"/>
      <c r="P63" s="48"/>
      <c r="Q63" s="48"/>
      <c r="R63" s="48"/>
      <c r="S63" s="48"/>
      <c r="T63" s="49"/>
      <c r="U63" s="43" t="s">
        <v>48</v>
      </c>
      <c r="V63" s="48" t="s">
        <v>49</v>
      </c>
      <c r="W63" s="48"/>
      <c r="X63" s="48"/>
      <c r="Y63" s="48"/>
      <c r="Z63" s="48"/>
      <c r="AA63" s="48"/>
      <c r="AB63" s="48"/>
      <c r="AC63" s="48"/>
      <c r="AD63" s="48"/>
      <c r="AE63" s="48"/>
      <c r="AF63" s="49"/>
    </row>
    <row r="64" spans="1:32" ht="15" customHeight="1">
      <c r="A64" s="27"/>
      <c r="B64" s="50"/>
      <c r="C64" s="51"/>
      <c r="D64" s="111"/>
      <c r="E64" s="53"/>
      <c r="F64" s="53"/>
      <c r="G64" s="53"/>
      <c r="H64" s="53"/>
      <c r="I64" s="43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6"/>
      <c r="U64" s="43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6"/>
    </row>
    <row r="65" spans="1:35" ht="15" customHeight="1">
      <c r="A65" s="27"/>
      <c r="B65" s="41">
        <v>4</v>
      </c>
      <c r="C65" s="42"/>
      <c r="D65" s="195" t="s">
        <v>50</v>
      </c>
      <c r="E65" s="196"/>
      <c r="F65" s="196"/>
      <c r="G65" s="196"/>
      <c r="H65" s="196"/>
      <c r="I65" s="47" t="s">
        <v>39</v>
      </c>
      <c r="J65" s="48" t="s">
        <v>51</v>
      </c>
      <c r="K65" s="48"/>
      <c r="L65" s="48"/>
      <c r="M65" s="48"/>
      <c r="N65" s="48"/>
      <c r="O65" s="48"/>
      <c r="P65" s="48"/>
      <c r="Q65" s="48"/>
      <c r="R65" s="48"/>
      <c r="S65" s="48"/>
      <c r="T65" s="49"/>
      <c r="U65" s="47" t="s">
        <v>48</v>
      </c>
      <c r="V65" s="48" t="s">
        <v>52</v>
      </c>
      <c r="W65" s="48"/>
      <c r="X65" s="48"/>
      <c r="Y65" s="48"/>
      <c r="Z65" s="48"/>
      <c r="AA65" s="48"/>
      <c r="AB65" s="48"/>
      <c r="AC65" s="48"/>
      <c r="AD65" s="48"/>
      <c r="AE65" s="48"/>
      <c r="AF65" s="49"/>
    </row>
    <row r="66" spans="1:35" ht="15" customHeight="1">
      <c r="A66" s="27"/>
      <c r="B66" s="50"/>
      <c r="C66" s="51"/>
      <c r="D66" s="111"/>
      <c r="E66" s="53"/>
      <c r="F66" s="53"/>
      <c r="G66" s="53"/>
      <c r="H66" s="53"/>
      <c r="I66" s="54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6"/>
      <c r="U66" s="54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6"/>
    </row>
    <row r="67" spans="1:35" ht="15" customHeight="1">
      <c r="A67" s="27"/>
      <c r="B67" s="41">
        <v>5</v>
      </c>
      <c r="C67" s="42"/>
      <c r="D67" s="195" t="s">
        <v>53</v>
      </c>
      <c r="E67" s="196"/>
      <c r="F67" s="196"/>
      <c r="G67" s="196"/>
      <c r="H67" s="196"/>
      <c r="I67" s="47" t="s">
        <v>39</v>
      </c>
      <c r="J67" s="48" t="s">
        <v>54</v>
      </c>
      <c r="K67" s="48"/>
      <c r="L67" s="48"/>
      <c r="M67" s="48"/>
      <c r="N67" s="48"/>
      <c r="O67" s="48"/>
      <c r="P67" s="48"/>
      <c r="Q67" s="48"/>
      <c r="R67" s="48"/>
      <c r="S67" s="48"/>
      <c r="T67" s="49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9"/>
    </row>
    <row r="68" spans="1:35" ht="15" customHeight="1">
      <c r="A68" s="27"/>
      <c r="B68" s="50"/>
      <c r="C68" s="51"/>
      <c r="D68" s="111"/>
      <c r="E68" s="53"/>
      <c r="F68" s="53"/>
      <c r="G68" s="53"/>
      <c r="H68" s="53"/>
      <c r="I68" s="54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6"/>
      <c r="U68" s="54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6"/>
    </row>
    <row r="69" spans="1:35" ht="15" customHeight="1">
      <c r="A69" s="27"/>
      <c r="B69" s="41">
        <v>6</v>
      </c>
      <c r="C69" s="42"/>
      <c r="D69" s="195" t="s">
        <v>24</v>
      </c>
      <c r="E69" s="196"/>
      <c r="F69" s="196"/>
      <c r="G69" s="196"/>
      <c r="H69" s="196"/>
      <c r="I69" s="47" t="s">
        <v>39</v>
      </c>
      <c r="J69" s="48" t="s">
        <v>55</v>
      </c>
      <c r="K69" s="48"/>
      <c r="L69" s="48"/>
      <c r="M69" s="48"/>
      <c r="N69" s="48"/>
      <c r="O69" s="48"/>
      <c r="P69" s="48"/>
      <c r="Q69" s="48"/>
      <c r="R69" s="48"/>
      <c r="S69" s="48"/>
      <c r="T69" s="49"/>
      <c r="U69" s="47" t="s">
        <v>48</v>
      </c>
      <c r="V69" s="48" t="s">
        <v>56</v>
      </c>
      <c r="W69" s="48"/>
      <c r="X69" s="48"/>
      <c r="Y69" s="48"/>
      <c r="Z69" s="48"/>
      <c r="AA69" s="48"/>
      <c r="AB69" s="48"/>
      <c r="AC69" s="48"/>
      <c r="AD69" s="48"/>
      <c r="AE69" s="48"/>
      <c r="AF69" s="49"/>
    </row>
    <row r="70" spans="1:35" ht="15" customHeight="1">
      <c r="A70" s="27"/>
      <c r="B70" s="50"/>
      <c r="C70" s="51"/>
      <c r="D70" s="111"/>
      <c r="E70" s="53"/>
      <c r="F70" s="53"/>
      <c r="G70" s="53"/>
      <c r="H70" s="53"/>
      <c r="I70" s="54" t="s">
        <v>39</v>
      </c>
      <c r="J70" s="55" t="s">
        <v>57</v>
      </c>
      <c r="K70" s="55"/>
      <c r="L70" s="55"/>
      <c r="M70" s="55"/>
      <c r="N70" s="55"/>
      <c r="O70" s="55"/>
      <c r="P70" s="55"/>
      <c r="Q70" s="55"/>
      <c r="R70" s="55"/>
      <c r="S70" s="55"/>
      <c r="T70" s="56"/>
      <c r="U70" s="54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6"/>
    </row>
    <row r="71" spans="1:35" ht="15" customHeight="1">
      <c r="A71" s="27"/>
      <c r="B71" s="41">
        <v>7</v>
      </c>
      <c r="C71" s="42"/>
      <c r="D71" s="195" t="s">
        <v>26</v>
      </c>
      <c r="E71" s="196"/>
      <c r="F71" s="196"/>
      <c r="G71" s="196"/>
      <c r="H71" s="196"/>
      <c r="I71" s="43" t="s">
        <v>30</v>
      </c>
      <c r="J71" s="27" t="s">
        <v>58</v>
      </c>
      <c r="T71" s="44"/>
      <c r="U71" s="43" t="s">
        <v>30</v>
      </c>
      <c r="V71" s="27" t="s">
        <v>59</v>
      </c>
      <c r="AF71" s="44"/>
    </row>
    <row r="72" spans="1:35" ht="15" customHeight="1">
      <c r="A72" s="27"/>
      <c r="B72" s="109"/>
      <c r="C72" s="110"/>
      <c r="D72" s="45"/>
      <c r="E72" s="46"/>
      <c r="F72" s="46"/>
      <c r="G72" s="46"/>
      <c r="H72" s="46"/>
      <c r="I72" s="43" t="s">
        <v>30</v>
      </c>
      <c r="J72" s="27" t="s">
        <v>60</v>
      </c>
      <c r="T72" s="44"/>
      <c r="U72" s="43" t="s">
        <v>30</v>
      </c>
      <c r="V72" s="27" t="s">
        <v>61</v>
      </c>
      <c r="AF72" s="44"/>
    </row>
    <row r="73" spans="1:35" ht="15" customHeight="1">
      <c r="A73" s="27"/>
      <c r="B73" s="50"/>
      <c r="C73" s="51"/>
      <c r="D73" s="52"/>
      <c r="E73" s="53"/>
      <c r="F73" s="53"/>
      <c r="G73" s="53"/>
      <c r="H73" s="53"/>
      <c r="I73" s="54" t="s">
        <v>39</v>
      </c>
      <c r="J73" s="55" t="s">
        <v>62</v>
      </c>
      <c r="K73" s="55"/>
      <c r="L73" s="55"/>
      <c r="M73" s="55"/>
      <c r="N73" s="55"/>
      <c r="O73" s="55"/>
      <c r="P73" s="55"/>
      <c r="Q73" s="55"/>
      <c r="R73" s="55"/>
      <c r="S73" s="55"/>
      <c r="T73" s="56"/>
      <c r="U73" s="54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6"/>
    </row>
    <row r="74" spans="1:35" ht="15" customHeight="1">
      <c r="A74" s="27"/>
    </row>
    <row r="75" spans="1:35" ht="15" customHeight="1">
      <c r="A75" s="27"/>
    </row>
    <row r="76" spans="1:35" ht="15" customHeight="1">
      <c r="A76" s="30" t="s">
        <v>63</v>
      </c>
    </row>
    <row r="77" spans="1:35" ht="15" customHeight="1">
      <c r="A77" s="27"/>
    </row>
    <row r="78" spans="1:35" ht="15" customHeight="1">
      <c r="A78" s="27"/>
      <c r="B78" s="116" t="str">
        <f>工数明細!D4</f>
        <v>訂正区分4対応</v>
      </c>
      <c r="C78" s="35"/>
      <c r="D78" s="35"/>
      <c r="E78" s="35"/>
      <c r="F78" s="35"/>
      <c r="G78" s="35"/>
      <c r="H78" s="117"/>
      <c r="I78" s="192">
        <v>0.25</v>
      </c>
      <c r="J78" s="193"/>
      <c r="K78" s="119" t="s">
        <v>279</v>
      </c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117"/>
    </row>
    <row r="79" spans="1:35" ht="15" customHeight="1">
      <c r="A79" s="27"/>
      <c r="B79" s="43" t="s">
        <v>229</v>
      </c>
      <c r="AI79" s="44"/>
    </row>
    <row r="80" spans="1:35" ht="15" customHeight="1">
      <c r="A80" s="27"/>
      <c r="B80" s="43" t="s">
        <v>230</v>
      </c>
      <c r="AI80" s="44"/>
    </row>
    <row r="81" spans="1:35" ht="15" customHeight="1">
      <c r="A81" s="27"/>
      <c r="B81" s="43" t="s">
        <v>231</v>
      </c>
      <c r="AI81" s="44"/>
    </row>
    <row r="82" spans="1:35" ht="15" customHeight="1">
      <c r="A82" s="27"/>
      <c r="B82" s="118" t="str">
        <f>工数明細!D5</f>
        <v>お知らせ対応</v>
      </c>
      <c r="C82" s="119"/>
      <c r="D82" s="119"/>
      <c r="E82" s="119"/>
      <c r="F82" s="119"/>
      <c r="G82" s="119"/>
      <c r="H82" s="120"/>
      <c r="I82" s="192">
        <v>0.18</v>
      </c>
      <c r="J82" s="193"/>
      <c r="K82" s="119" t="s">
        <v>279</v>
      </c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20"/>
    </row>
    <row r="83" spans="1:35" ht="15" customHeight="1">
      <c r="A83" s="27"/>
      <c r="B83" s="43" t="s">
        <v>232</v>
      </c>
      <c r="AI83" s="44"/>
    </row>
    <row r="84" spans="1:35" ht="15" customHeight="1">
      <c r="A84" s="27"/>
      <c r="B84" s="43" t="s">
        <v>233</v>
      </c>
      <c r="AI84" s="44"/>
    </row>
    <row r="85" spans="1:35" ht="15" customHeight="1">
      <c r="A85" s="27"/>
      <c r="B85" s="43" t="s">
        <v>234</v>
      </c>
      <c r="AI85" s="44"/>
    </row>
    <row r="86" spans="1:35" ht="15" customHeight="1">
      <c r="A86" s="27"/>
      <c r="B86" s="118" t="str">
        <f>工数明細!D6</f>
        <v>ニュースリリース対応</v>
      </c>
      <c r="C86" s="119"/>
      <c r="D86" s="119"/>
      <c r="E86" s="119"/>
      <c r="F86" s="119"/>
      <c r="G86" s="119"/>
      <c r="H86" s="120"/>
      <c r="I86" s="192">
        <v>0.18</v>
      </c>
      <c r="J86" s="193"/>
      <c r="K86" s="119" t="s">
        <v>279</v>
      </c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20"/>
    </row>
    <row r="87" spans="1:35" ht="15" customHeight="1">
      <c r="A87" s="27"/>
      <c r="B87" s="43" t="s">
        <v>232</v>
      </c>
      <c r="AI87" s="44"/>
    </row>
    <row r="88" spans="1:35" ht="15" customHeight="1">
      <c r="A88" s="27"/>
      <c r="B88" s="43" t="s">
        <v>235</v>
      </c>
      <c r="AI88" s="44"/>
    </row>
    <row r="89" spans="1:35" ht="15" customHeight="1">
      <c r="A89" s="27"/>
      <c r="B89" s="43" t="s">
        <v>236</v>
      </c>
      <c r="AI89" s="44"/>
    </row>
    <row r="90" spans="1:35" ht="15" customHeight="1">
      <c r="A90" s="27"/>
      <c r="B90" s="118" t="str">
        <f>工数明細!D7</f>
        <v>キャンセル明細対応</v>
      </c>
      <c r="C90" s="119"/>
      <c r="D90" s="119"/>
      <c r="E90" s="119"/>
      <c r="F90" s="119"/>
      <c r="G90" s="119"/>
      <c r="H90" s="120"/>
      <c r="I90" s="192">
        <v>0.13</v>
      </c>
      <c r="J90" s="193"/>
      <c r="K90" s="119" t="s">
        <v>279</v>
      </c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20"/>
    </row>
    <row r="91" spans="1:35" ht="15" customHeight="1">
      <c r="A91" s="27"/>
      <c r="B91" s="43" t="s">
        <v>237</v>
      </c>
      <c r="AI91" s="44"/>
    </row>
    <row r="92" spans="1:35" ht="15" customHeight="1">
      <c r="A92" s="27"/>
      <c r="B92" s="43" t="s">
        <v>238</v>
      </c>
      <c r="AI92" s="44"/>
    </row>
    <row r="93" spans="1:35" ht="15" customHeight="1">
      <c r="A93" s="27"/>
      <c r="B93" s="118" t="str">
        <f>工数明細!D8</f>
        <v>ファイル添付機能実装</v>
      </c>
      <c r="C93" s="119"/>
      <c r="D93" s="119"/>
      <c r="E93" s="119"/>
      <c r="F93" s="119"/>
      <c r="G93" s="119"/>
      <c r="H93" s="120"/>
      <c r="I93" s="192">
        <v>0.5</v>
      </c>
      <c r="J93" s="193"/>
      <c r="K93" s="119" t="s">
        <v>279</v>
      </c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20"/>
    </row>
    <row r="94" spans="1:35" ht="15" customHeight="1">
      <c r="A94" s="27"/>
      <c r="B94" s="43" t="s">
        <v>277</v>
      </c>
      <c r="AI94" s="44"/>
    </row>
    <row r="95" spans="1:35" ht="15" customHeight="1">
      <c r="A95" s="27"/>
      <c r="B95" s="43" t="s">
        <v>269</v>
      </c>
      <c r="AI95" s="44"/>
    </row>
    <row r="96" spans="1:35" ht="15" customHeight="1">
      <c r="A96" s="27"/>
      <c r="B96" s="43" t="s">
        <v>270</v>
      </c>
      <c r="AI96" s="44"/>
    </row>
    <row r="97" spans="1:43" ht="15" customHeight="1">
      <c r="A97" s="27"/>
      <c r="B97" s="43" t="s">
        <v>271</v>
      </c>
      <c r="AI97" s="44"/>
    </row>
    <row r="98" spans="1:43" ht="15" customHeight="1">
      <c r="A98" s="27"/>
      <c r="B98" s="43" t="s">
        <v>272</v>
      </c>
      <c r="AI98" s="44"/>
    </row>
    <row r="99" spans="1:43" ht="15" customHeight="1">
      <c r="A99" s="27"/>
      <c r="B99" s="43" t="s">
        <v>273</v>
      </c>
      <c r="AI99" s="44"/>
    </row>
    <row r="100" spans="1:43" ht="15" customHeight="1">
      <c r="A100" s="27"/>
      <c r="B100" s="43" t="s">
        <v>274</v>
      </c>
      <c r="AI100" s="44"/>
    </row>
    <row r="101" spans="1:43" ht="15" customHeight="1">
      <c r="A101" s="27"/>
      <c r="B101" s="43" t="s">
        <v>275</v>
      </c>
      <c r="AI101" s="44"/>
    </row>
    <row r="102" spans="1:43" ht="15" customHeight="1">
      <c r="A102" s="27"/>
      <c r="B102" s="43" t="s">
        <v>276</v>
      </c>
      <c r="AI102" s="44"/>
    </row>
    <row r="103" spans="1:43" ht="15" customHeight="1">
      <c r="A103" s="121"/>
      <c r="B103" s="118" t="s">
        <v>212</v>
      </c>
      <c r="C103" s="119"/>
      <c r="D103" s="119"/>
      <c r="E103" s="119"/>
      <c r="F103" s="119"/>
      <c r="G103" s="119"/>
      <c r="H103" s="120"/>
      <c r="I103" s="192">
        <v>0.1</v>
      </c>
      <c r="J103" s="193"/>
      <c r="K103" s="119" t="s">
        <v>279</v>
      </c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20"/>
      <c r="AJ103" s="121"/>
      <c r="AK103" s="121"/>
      <c r="AL103" s="121"/>
      <c r="AM103" s="121"/>
      <c r="AN103" s="121"/>
      <c r="AO103" s="121"/>
      <c r="AP103" s="121"/>
      <c r="AQ103" s="121"/>
    </row>
    <row r="104" spans="1:43" ht="15" customHeight="1">
      <c r="A104" s="121"/>
      <c r="B104" s="122" t="s">
        <v>213</v>
      </c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4"/>
      <c r="AJ104" s="121"/>
      <c r="AK104" s="121"/>
      <c r="AL104" s="121"/>
      <c r="AM104" s="121"/>
      <c r="AN104" s="121"/>
      <c r="AO104" s="121"/>
      <c r="AP104" s="121"/>
      <c r="AQ104" s="121"/>
    </row>
    <row r="105" spans="1:43" ht="15" customHeight="1">
      <c r="A105" s="121"/>
      <c r="B105" s="118" t="s">
        <v>215</v>
      </c>
      <c r="C105" s="119"/>
      <c r="D105" s="119"/>
      <c r="E105" s="119"/>
      <c r="F105" s="119"/>
      <c r="G105" s="119"/>
      <c r="H105" s="120"/>
      <c r="I105" s="192">
        <v>0.25</v>
      </c>
      <c r="J105" s="193"/>
      <c r="K105" s="119" t="s">
        <v>279</v>
      </c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20"/>
      <c r="AJ105" s="121"/>
      <c r="AK105" s="121"/>
      <c r="AL105" s="121"/>
      <c r="AM105" s="121"/>
      <c r="AN105" s="121"/>
      <c r="AO105" s="121"/>
      <c r="AP105" s="121"/>
      <c r="AQ105" s="121"/>
    </row>
    <row r="106" spans="1:43" ht="15" customHeight="1">
      <c r="A106" s="121"/>
      <c r="B106" s="122" t="s">
        <v>216</v>
      </c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4"/>
      <c r="AJ106" s="121"/>
      <c r="AK106" s="121"/>
      <c r="AL106" s="121"/>
      <c r="AM106" s="121"/>
      <c r="AN106" s="121"/>
      <c r="AO106" s="121"/>
      <c r="AP106" s="121"/>
      <c r="AQ106" s="121"/>
    </row>
    <row r="107" spans="1:43" ht="15" customHeight="1">
      <c r="A107" s="121"/>
      <c r="B107" s="118" t="s">
        <v>217</v>
      </c>
      <c r="C107" s="119"/>
      <c r="D107" s="119"/>
      <c r="E107" s="119"/>
      <c r="F107" s="119"/>
      <c r="G107" s="119"/>
      <c r="H107" s="120"/>
      <c r="I107" s="192">
        <v>0.32</v>
      </c>
      <c r="J107" s="193"/>
      <c r="K107" s="119" t="s">
        <v>279</v>
      </c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20"/>
      <c r="AJ107" s="121"/>
      <c r="AK107" s="121"/>
      <c r="AL107" s="121"/>
      <c r="AM107" s="121"/>
      <c r="AN107" s="121"/>
      <c r="AO107" s="121"/>
      <c r="AP107" s="121"/>
      <c r="AQ107" s="121"/>
    </row>
    <row r="108" spans="1:43" ht="15" customHeight="1">
      <c r="A108" s="121"/>
      <c r="B108" s="122" t="s">
        <v>218</v>
      </c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3"/>
      <c r="AH108" s="123"/>
      <c r="AI108" s="124"/>
      <c r="AJ108" s="121"/>
      <c r="AK108" s="121"/>
      <c r="AL108" s="121"/>
      <c r="AM108" s="121"/>
      <c r="AN108" s="121"/>
      <c r="AO108" s="121"/>
      <c r="AP108" s="121"/>
      <c r="AQ108" s="121"/>
    </row>
    <row r="109" spans="1:43" ht="15" customHeight="1">
      <c r="A109" s="27"/>
      <c r="I109" s="201">
        <f>SUM(I78,I82,I86,I90,I93,I103,I105,I107)</f>
        <v>1.9100000000000001</v>
      </c>
      <c r="J109" s="201"/>
    </row>
    <row r="110" spans="1:43" ht="15" customHeight="1">
      <c r="A110" s="27"/>
    </row>
    <row r="111" spans="1:43" ht="15" customHeight="1">
      <c r="A111" s="30" t="s">
        <v>64</v>
      </c>
    </row>
    <row r="112" spans="1:43" ht="15" customHeight="1">
      <c r="B112" s="37"/>
    </row>
    <row r="113" spans="1:36" ht="15" customHeight="1">
      <c r="A113" s="27"/>
      <c r="B113" s="38" t="s">
        <v>18</v>
      </c>
      <c r="C113" s="39"/>
      <c r="D113" s="38" t="s">
        <v>36</v>
      </c>
      <c r="E113" s="40"/>
      <c r="F113" s="40"/>
      <c r="G113" s="40"/>
      <c r="H113" s="40"/>
      <c r="I113" s="136" t="s">
        <v>239</v>
      </c>
      <c r="J113" s="137" t="s">
        <v>240</v>
      </c>
      <c r="K113" s="137" t="s">
        <v>241</v>
      </c>
      <c r="L113" s="137" t="s">
        <v>242</v>
      </c>
      <c r="M113" s="137" t="s">
        <v>243</v>
      </c>
      <c r="N113" s="137" t="s">
        <v>244</v>
      </c>
      <c r="O113" s="137" t="s">
        <v>245</v>
      </c>
      <c r="P113" s="137" t="s">
        <v>246</v>
      </c>
      <c r="Q113" s="137" t="s">
        <v>247</v>
      </c>
      <c r="R113" s="137" t="s">
        <v>248</v>
      </c>
      <c r="S113" s="137" t="s">
        <v>249</v>
      </c>
      <c r="T113" s="137" t="s">
        <v>250</v>
      </c>
      <c r="U113" s="137" t="s">
        <v>251</v>
      </c>
      <c r="V113" s="137" t="s">
        <v>252</v>
      </c>
      <c r="W113" s="137" t="s">
        <v>253</v>
      </c>
      <c r="X113" s="137" t="s">
        <v>254</v>
      </c>
      <c r="Y113" s="137" t="s">
        <v>255</v>
      </c>
      <c r="Z113" s="137" t="s">
        <v>256</v>
      </c>
      <c r="AA113" s="137" t="s">
        <v>257</v>
      </c>
      <c r="AB113" s="137" t="s">
        <v>258</v>
      </c>
      <c r="AC113" s="137" t="s">
        <v>259</v>
      </c>
      <c r="AD113" s="137" t="s">
        <v>260</v>
      </c>
      <c r="AE113" s="137" t="s">
        <v>261</v>
      </c>
      <c r="AF113" s="137" t="s">
        <v>262</v>
      </c>
      <c r="AG113" s="137" t="s">
        <v>263</v>
      </c>
      <c r="AH113" s="137" t="s">
        <v>264</v>
      </c>
      <c r="AI113" s="137" t="s">
        <v>265</v>
      </c>
      <c r="AJ113" s="138" t="s">
        <v>266</v>
      </c>
    </row>
    <row r="114" spans="1:36" ht="15" customHeight="1">
      <c r="A114" s="27"/>
      <c r="B114" s="41">
        <v>1</v>
      </c>
      <c r="C114" s="42"/>
      <c r="D114" s="167" t="s">
        <v>65</v>
      </c>
      <c r="E114" s="168"/>
      <c r="F114" s="168"/>
      <c r="G114" s="168"/>
      <c r="H114" s="169"/>
      <c r="I114" s="139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1"/>
    </row>
    <row r="115" spans="1:36" ht="15" customHeight="1">
      <c r="A115" s="27"/>
      <c r="B115" s="50"/>
      <c r="C115" s="51"/>
      <c r="D115" s="52"/>
      <c r="E115" s="53"/>
      <c r="F115" s="53"/>
      <c r="G115" s="53"/>
      <c r="H115" s="53"/>
      <c r="I115" s="142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4"/>
    </row>
    <row r="116" spans="1:36" ht="15" customHeight="1">
      <c r="A116" s="27"/>
      <c r="B116" s="41">
        <v>2</v>
      </c>
      <c r="C116" s="42"/>
      <c r="D116" s="167" t="s">
        <v>66</v>
      </c>
      <c r="E116" s="168"/>
      <c r="F116" s="168"/>
      <c r="G116" s="168"/>
      <c r="H116" s="169"/>
      <c r="I116" s="139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1"/>
    </row>
    <row r="117" spans="1:36" ht="15" customHeight="1">
      <c r="A117" s="27"/>
      <c r="B117" s="50"/>
      <c r="C117" s="51"/>
      <c r="D117" s="52"/>
      <c r="E117" s="53"/>
      <c r="F117" s="53"/>
      <c r="G117" s="53"/>
      <c r="H117" s="53"/>
      <c r="I117" s="142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4"/>
    </row>
    <row r="118" spans="1:36" ht="15" customHeight="1">
      <c r="A118" s="27"/>
      <c r="B118" s="41">
        <v>3</v>
      </c>
      <c r="C118" s="42"/>
      <c r="D118" s="167" t="s">
        <v>67</v>
      </c>
      <c r="E118" s="168"/>
      <c r="F118" s="168"/>
      <c r="G118" s="168"/>
      <c r="H118" s="169"/>
      <c r="I118" s="139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1"/>
    </row>
    <row r="119" spans="1:36" ht="15" customHeight="1">
      <c r="A119" s="27"/>
      <c r="B119" s="50"/>
      <c r="C119" s="51"/>
      <c r="D119" s="52"/>
      <c r="E119" s="53"/>
      <c r="F119" s="53"/>
      <c r="G119" s="53"/>
      <c r="H119" s="53"/>
      <c r="I119" s="142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4"/>
    </row>
    <row r="120" spans="1:36" ht="15" customHeight="1">
      <c r="A120" s="27"/>
      <c r="B120" s="41">
        <v>4</v>
      </c>
      <c r="C120" s="42"/>
      <c r="D120" s="167" t="s">
        <v>68</v>
      </c>
      <c r="E120" s="168"/>
      <c r="F120" s="168"/>
      <c r="G120" s="168"/>
      <c r="H120" s="169"/>
      <c r="I120" s="139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1"/>
    </row>
    <row r="121" spans="1:36" ht="15" customHeight="1">
      <c r="A121" s="27"/>
      <c r="B121" s="50"/>
      <c r="C121" s="51"/>
      <c r="D121" s="52"/>
      <c r="E121" s="53"/>
      <c r="F121" s="53"/>
      <c r="G121" s="53"/>
      <c r="H121" s="53"/>
      <c r="I121" s="142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4"/>
    </row>
    <row r="122" spans="1:36" ht="15" customHeight="1">
      <c r="A122" s="27"/>
      <c r="B122" s="41">
        <v>5</v>
      </c>
      <c r="C122" s="42"/>
      <c r="D122" s="167" t="s">
        <v>69</v>
      </c>
      <c r="E122" s="168"/>
      <c r="F122" s="168"/>
      <c r="G122" s="168"/>
      <c r="H122" s="169"/>
      <c r="I122" s="139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1"/>
    </row>
    <row r="123" spans="1:36" ht="15" customHeight="1">
      <c r="A123" s="27"/>
      <c r="B123" s="50"/>
      <c r="C123" s="51"/>
      <c r="D123" s="170" t="s">
        <v>209</v>
      </c>
      <c r="E123" s="171"/>
      <c r="F123" s="171"/>
      <c r="G123" s="171"/>
      <c r="H123" s="172"/>
      <c r="I123" s="142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4"/>
    </row>
    <row r="124" spans="1:36" ht="15" customHeight="1">
      <c r="A124" s="27"/>
      <c r="B124" s="41">
        <v>6</v>
      </c>
      <c r="C124" s="42"/>
      <c r="D124" s="167" t="s">
        <v>70</v>
      </c>
      <c r="E124" s="168"/>
      <c r="F124" s="168"/>
      <c r="G124" s="168"/>
      <c r="H124" s="169"/>
      <c r="I124" s="139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1"/>
    </row>
    <row r="125" spans="1:36" ht="15" customHeight="1">
      <c r="A125" s="27"/>
      <c r="B125" s="50"/>
      <c r="C125" s="51"/>
      <c r="D125" s="52"/>
      <c r="E125" s="53"/>
      <c r="F125" s="53"/>
      <c r="G125" s="53"/>
      <c r="H125" s="53"/>
      <c r="I125" s="142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4"/>
    </row>
    <row r="126" spans="1:36" ht="15" customHeight="1">
      <c r="A126" s="2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V126" s="57"/>
      <c r="W126" s="27" t="s">
        <v>71</v>
      </c>
      <c r="X126" s="57"/>
      <c r="Z126" s="57"/>
      <c r="AA126" s="27" t="s">
        <v>72</v>
      </c>
      <c r="AC126" s="57"/>
      <c r="AD126" s="57"/>
      <c r="AG126" s="27" t="s">
        <v>73</v>
      </c>
    </row>
    <row r="127" spans="1:36" ht="15" customHeight="1">
      <c r="A127" s="2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</row>
    <row r="128" spans="1:36" ht="15" customHeight="1">
      <c r="A128" s="30" t="s">
        <v>74</v>
      </c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</row>
    <row r="129" spans="1:33" ht="15" customHeight="1" thickBot="1">
      <c r="A129" s="2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</row>
    <row r="130" spans="1:33" s="63" customFormat="1" ht="15" customHeight="1" thickTop="1">
      <c r="A130" s="65"/>
      <c r="C130" s="173" t="s">
        <v>75</v>
      </c>
      <c r="D130" s="174"/>
      <c r="E130" s="174"/>
      <c r="F130" s="174"/>
      <c r="G130" s="174"/>
      <c r="H130" s="175"/>
      <c r="I130" s="66"/>
      <c r="J130" s="66"/>
      <c r="K130" s="66"/>
      <c r="L130" s="66"/>
      <c r="M130" s="173" t="s">
        <v>76</v>
      </c>
      <c r="N130" s="174"/>
      <c r="O130" s="174"/>
      <c r="P130" s="174"/>
      <c r="Q130" s="174"/>
      <c r="R130" s="175"/>
      <c r="S130" s="66"/>
      <c r="T130" s="66"/>
      <c r="U130" s="66"/>
      <c r="V130" s="66"/>
      <c r="W130" s="173" t="s">
        <v>278</v>
      </c>
      <c r="X130" s="174"/>
      <c r="Y130" s="174"/>
      <c r="Z130" s="174"/>
      <c r="AA130" s="174"/>
      <c r="AB130" s="175"/>
      <c r="AC130" s="68"/>
      <c r="AD130" s="68"/>
      <c r="AE130" s="68"/>
      <c r="AF130" s="68"/>
      <c r="AG130" s="68"/>
    </row>
    <row r="131" spans="1:33" s="63" customFormat="1" ht="15" customHeight="1">
      <c r="A131" s="65"/>
      <c r="C131" s="176"/>
      <c r="D131" s="177"/>
      <c r="E131" s="177"/>
      <c r="F131" s="177"/>
      <c r="G131" s="177"/>
      <c r="H131" s="178"/>
      <c r="I131" s="67"/>
      <c r="J131" s="67"/>
      <c r="K131" s="69"/>
      <c r="L131" s="70"/>
      <c r="M131" s="176"/>
      <c r="N131" s="177"/>
      <c r="O131" s="177"/>
      <c r="P131" s="177"/>
      <c r="Q131" s="177"/>
      <c r="R131" s="178"/>
      <c r="S131" s="67"/>
      <c r="T131" s="67"/>
      <c r="U131" s="69"/>
      <c r="V131" s="70"/>
      <c r="W131" s="176"/>
      <c r="X131" s="177"/>
      <c r="Y131" s="177"/>
      <c r="Z131" s="177"/>
      <c r="AA131" s="177"/>
      <c r="AB131" s="178"/>
      <c r="AC131" s="68"/>
      <c r="AD131" s="68"/>
      <c r="AE131" s="68"/>
      <c r="AF131" s="68"/>
      <c r="AG131" s="68"/>
    </row>
    <row r="132" spans="1:33" s="63" customFormat="1" ht="15" customHeight="1" thickBot="1">
      <c r="C132" s="179"/>
      <c r="D132" s="180"/>
      <c r="E132" s="180"/>
      <c r="F132" s="180"/>
      <c r="G132" s="180"/>
      <c r="H132" s="181"/>
      <c r="I132" s="67"/>
      <c r="J132" s="67"/>
      <c r="K132" s="67"/>
      <c r="L132" s="67"/>
      <c r="M132" s="179"/>
      <c r="N132" s="180"/>
      <c r="O132" s="180"/>
      <c r="P132" s="180"/>
      <c r="Q132" s="180"/>
      <c r="R132" s="181"/>
      <c r="S132" s="67"/>
      <c r="T132" s="67"/>
      <c r="U132" s="67"/>
      <c r="V132" s="67"/>
      <c r="W132" s="179"/>
      <c r="X132" s="180"/>
      <c r="Y132" s="180"/>
      <c r="Z132" s="180"/>
      <c r="AA132" s="180"/>
      <c r="AB132" s="181"/>
      <c r="AC132" s="68"/>
      <c r="AD132" s="68"/>
      <c r="AE132" s="68"/>
      <c r="AF132" s="68"/>
      <c r="AG132" s="68"/>
    </row>
    <row r="133" spans="1:33" ht="15" customHeight="1" thickTop="1">
      <c r="A133" s="2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</row>
    <row r="134" spans="1:33" ht="15" customHeight="1">
      <c r="A134" s="2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AC134" s="57"/>
      <c r="AD134" s="57"/>
      <c r="AE134" s="57"/>
      <c r="AF134" s="57"/>
      <c r="AG134" s="57"/>
    </row>
    <row r="135" spans="1:33" ht="15" customHeight="1">
      <c r="A135" s="30" t="s">
        <v>77</v>
      </c>
    </row>
    <row r="137" spans="1:33" ht="15" customHeight="1">
      <c r="B137" s="27" t="s">
        <v>205</v>
      </c>
    </row>
    <row r="138" spans="1:33" ht="15" customHeight="1">
      <c r="C138" s="27" t="s">
        <v>78</v>
      </c>
    </row>
    <row r="139" spans="1:33" ht="15" customHeight="1">
      <c r="C139" s="27" t="s">
        <v>79</v>
      </c>
    </row>
    <row r="140" spans="1:33" ht="15" customHeight="1">
      <c r="C140" s="27" t="s">
        <v>80</v>
      </c>
    </row>
    <row r="141" spans="1:33" ht="15" customHeight="1">
      <c r="B141" s="58" t="s">
        <v>81</v>
      </c>
      <c r="C141" s="59"/>
    </row>
    <row r="142" spans="1:33" ht="15" customHeight="1">
      <c r="B142" s="27" t="s">
        <v>82</v>
      </c>
      <c r="C142" s="58"/>
    </row>
    <row r="143" spans="1:33" ht="15" customHeight="1">
      <c r="C143" s="58" t="s">
        <v>83</v>
      </c>
    </row>
    <row r="144" spans="1:33" ht="15" customHeight="1">
      <c r="C144" s="27" t="s">
        <v>208</v>
      </c>
    </row>
    <row r="146" spans="1:3" ht="15" customHeight="1">
      <c r="A146" s="27"/>
      <c r="B146" s="27" t="s">
        <v>84</v>
      </c>
    </row>
    <row r="147" spans="1:3" ht="15" customHeight="1">
      <c r="A147" s="27"/>
      <c r="C147" s="27" t="s">
        <v>85</v>
      </c>
    </row>
    <row r="148" spans="1:3" ht="15" customHeight="1">
      <c r="A148" s="27"/>
      <c r="C148" s="27" t="s">
        <v>86</v>
      </c>
    </row>
    <row r="149" spans="1:3" ht="15" customHeight="1">
      <c r="A149" s="27"/>
    </row>
    <row r="150" spans="1:3" ht="15" customHeight="1">
      <c r="A150" s="27"/>
      <c r="B150" s="27" t="s">
        <v>87</v>
      </c>
    </row>
    <row r="151" spans="1:3" ht="15" customHeight="1">
      <c r="A151" s="27"/>
      <c r="C151" s="27" t="s">
        <v>88</v>
      </c>
    </row>
    <row r="152" spans="1:3" ht="15" customHeight="1">
      <c r="A152" s="27"/>
    </row>
    <row r="153" spans="1:3" ht="15" customHeight="1">
      <c r="A153" s="27"/>
      <c r="B153" s="115" t="s">
        <v>200</v>
      </c>
    </row>
    <row r="154" spans="1:3" ht="15" customHeight="1">
      <c r="A154" s="27"/>
      <c r="C154" s="27" t="s">
        <v>206</v>
      </c>
    </row>
    <row r="155" spans="1:3" ht="15" customHeight="1">
      <c r="A155" s="27"/>
      <c r="C155" s="27" t="s">
        <v>201</v>
      </c>
    </row>
    <row r="156" spans="1:3" ht="15" customHeight="1">
      <c r="A156" s="27"/>
    </row>
    <row r="157" spans="1:3" ht="15" customHeight="1">
      <c r="A157" s="27"/>
      <c r="B157" s="115" t="s">
        <v>202</v>
      </c>
    </row>
    <row r="158" spans="1:3" ht="15" customHeight="1">
      <c r="A158" s="27"/>
      <c r="C158" s="27" t="s">
        <v>203</v>
      </c>
    </row>
    <row r="159" spans="1:3" ht="15" customHeight="1">
      <c r="A159" s="27"/>
      <c r="C159" s="27" t="s">
        <v>211</v>
      </c>
    </row>
    <row r="160" spans="1:3" ht="15" customHeight="1">
      <c r="A160" s="27"/>
    </row>
    <row r="161" spans="1:4" ht="15" customHeight="1">
      <c r="A161" s="27"/>
      <c r="B161" s="63" t="s">
        <v>204</v>
      </c>
      <c r="C161" s="63"/>
      <c r="D161" s="63"/>
    </row>
    <row r="162" spans="1:4" ht="15" customHeight="1">
      <c r="A162" s="27"/>
      <c r="B162" s="63"/>
      <c r="C162" s="63" t="s">
        <v>207</v>
      </c>
      <c r="D162" s="63"/>
    </row>
    <row r="163" spans="1:4" ht="15" customHeight="1">
      <c r="A163" s="27"/>
      <c r="B163" s="63"/>
      <c r="C163" s="63" t="s">
        <v>89</v>
      </c>
      <c r="D163" s="63"/>
    </row>
  </sheetData>
  <mergeCells count="79">
    <mergeCell ref="B46:C46"/>
    <mergeCell ref="Y46:AB46"/>
    <mergeCell ref="AC46:AD46"/>
    <mergeCell ref="AE46:AJ46"/>
    <mergeCell ref="AM46:AQ46"/>
    <mergeCell ref="B45:C45"/>
    <mergeCell ref="Y45:AB45"/>
    <mergeCell ref="AC45:AD45"/>
    <mergeCell ref="AE45:AJ45"/>
    <mergeCell ref="AM45:AQ45"/>
    <mergeCell ref="B47:C47"/>
    <mergeCell ref="Y47:AB47"/>
    <mergeCell ref="AC47:AD47"/>
    <mergeCell ref="AE47:AJ47"/>
    <mergeCell ref="AM47:AQ47"/>
    <mergeCell ref="B44:C44"/>
    <mergeCell ref="Y44:AB44"/>
    <mergeCell ref="AC44:AD44"/>
    <mergeCell ref="AE44:AJ44"/>
    <mergeCell ref="AM44:AQ44"/>
    <mergeCell ref="B43:C43"/>
    <mergeCell ref="Y43:AB43"/>
    <mergeCell ref="AC43:AD43"/>
    <mergeCell ref="AE43:AJ43"/>
    <mergeCell ref="AM43:AQ43"/>
    <mergeCell ref="Y41:AB41"/>
    <mergeCell ref="AC41:AD41"/>
    <mergeCell ref="AE41:AJ41"/>
    <mergeCell ref="AM41:AQ41"/>
    <mergeCell ref="B42:C42"/>
    <mergeCell ref="Y42:AB42"/>
    <mergeCell ref="AC42:AD42"/>
    <mergeCell ref="AE42:AJ42"/>
    <mergeCell ref="AM42:AQ42"/>
    <mergeCell ref="Y39:AB39"/>
    <mergeCell ref="AC39:AD39"/>
    <mergeCell ref="AE39:AJ39"/>
    <mergeCell ref="AM39:AQ39"/>
    <mergeCell ref="B40:C40"/>
    <mergeCell ref="Y40:AB40"/>
    <mergeCell ref="AC40:AD40"/>
    <mergeCell ref="AE40:AJ40"/>
    <mergeCell ref="AM40:AQ40"/>
    <mergeCell ref="I93:J93"/>
    <mergeCell ref="I103:J103"/>
    <mergeCell ref="I105:J105"/>
    <mergeCell ref="I107:J107"/>
    <mergeCell ref="I109:J109"/>
    <mergeCell ref="I78:J78"/>
    <mergeCell ref="I82:J82"/>
    <mergeCell ref="I86:J86"/>
    <mergeCell ref="I90:J90"/>
    <mergeCell ref="A1:Q2"/>
    <mergeCell ref="D65:H65"/>
    <mergeCell ref="D58:H58"/>
    <mergeCell ref="J59:T59"/>
    <mergeCell ref="J60:T60"/>
    <mergeCell ref="D61:H61"/>
    <mergeCell ref="D63:H63"/>
    <mergeCell ref="D67:H67"/>
    <mergeCell ref="D69:H69"/>
    <mergeCell ref="D71:H71"/>
    <mergeCell ref="B39:C39"/>
    <mergeCell ref="B41:C41"/>
    <mergeCell ref="AF1:AJ1"/>
    <mergeCell ref="AF2:AJ2"/>
    <mergeCell ref="A5:Q6"/>
    <mergeCell ref="A11:E12"/>
    <mergeCell ref="F11:Q12"/>
    <mergeCell ref="D123:H123"/>
    <mergeCell ref="D124:H124"/>
    <mergeCell ref="W130:AB132"/>
    <mergeCell ref="C130:H132"/>
    <mergeCell ref="M130:R132"/>
    <mergeCell ref="D114:H114"/>
    <mergeCell ref="D116:H116"/>
    <mergeCell ref="D118:H118"/>
    <mergeCell ref="D120:H120"/>
    <mergeCell ref="D122:H122"/>
  </mergeCells>
  <phoneticPr fontId="3"/>
  <printOptions horizontalCentered="1"/>
  <pageMargins left="0.39370078740157483" right="0.39370078740157483" top="0.78740157480314965" bottom="0.39370078740157483" header="0.31496062992125984" footer="0.31496062992125984"/>
  <pageSetup paperSize="9" scale="86" orientation="portrait" r:id="rId1"/>
  <headerFooter>
    <oddFooter>&amp;C&amp;10&amp;P / &amp;N</oddFooter>
  </headerFooter>
  <rowBreaks count="2" manualBreakCount="2">
    <brk id="54" max="35" man="1"/>
    <brk id="108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6177-DEAC-46AF-B9DE-B0EEE2B2EBAA}">
  <sheetPr>
    <tabColor rgb="FFFF0000"/>
  </sheetPr>
  <dimension ref="A1:AZ17"/>
  <sheetViews>
    <sheetView showGridLines="0" zoomScale="70" zoomScaleNormal="70" workbookViewId="0">
      <pane xSplit="5" ySplit="3" topLeftCell="X4" activePane="bottomRight" state="frozen"/>
      <selection pane="topRight" activeCell="F1" sqref="F1"/>
      <selection pane="bottomLeft" activeCell="A4" sqref="A4"/>
      <selection pane="bottomRight" activeCell="AJ17" sqref="AJ17"/>
    </sheetView>
  </sheetViews>
  <sheetFormatPr defaultRowHeight="18" outlineLevelCol="1"/>
  <cols>
    <col min="1" max="1" width="4.33203125" style="75" bestFit="1" customWidth="1"/>
    <col min="2" max="2" width="19.83203125" style="72" customWidth="1"/>
    <col min="3" max="3" width="17.58203125" style="73" customWidth="1"/>
    <col min="4" max="4" width="27.5" style="73" bestFit="1" customWidth="1"/>
    <col min="5" max="5" width="112.5" style="73" customWidth="1"/>
    <col min="6" max="8" width="9.58203125" style="74" customWidth="1"/>
    <col min="9" max="15" width="9.58203125" style="72" customWidth="1" outlineLevel="1"/>
    <col min="16" max="16" width="1.58203125" style="72" customWidth="1"/>
    <col min="17" max="23" width="9.58203125" style="72" customWidth="1" outlineLevel="1"/>
    <col min="24" max="24" width="13.83203125" style="72" customWidth="1"/>
    <col min="25" max="25" width="9.58203125" style="72" customWidth="1" outlineLevel="1"/>
    <col min="26" max="26" width="14.08203125" style="72" customWidth="1" outlineLevel="1"/>
    <col min="27" max="27" width="9.58203125" style="72" customWidth="1" outlineLevel="1"/>
    <col min="28" max="29" width="14.08203125" style="72" customWidth="1" outlineLevel="1"/>
    <col min="30" max="30" width="2.58203125" style="72" customWidth="1"/>
    <col min="31" max="31" width="9.58203125" style="72" customWidth="1" outlineLevel="1"/>
    <col min="32" max="32" width="14.08203125" style="72" customWidth="1" outlineLevel="1"/>
    <col min="33" max="33" width="9.58203125" style="72" customWidth="1" outlineLevel="1"/>
    <col min="34" max="35" width="14.08203125" style="72" customWidth="1" outlineLevel="1"/>
    <col min="36" max="36" width="5" style="72" customWidth="1"/>
    <col min="37" max="43" width="9.58203125" style="72" hidden="1" customWidth="1" outlineLevel="1"/>
    <col min="44" max="44" width="3.58203125" style="72" customWidth="1" collapsed="1"/>
    <col min="45" max="51" width="9" style="72" hidden="1" customWidth="1" outlineLevel="1"/>
    <col min="52" max="52" width="8.58203125" collapsed="1"/>
  </cols>
  <sheetData>
    <row r="1" spans="1:51" ht="22.5">
      <c r="A1" s="71" t="s">
        <v>90</v>
      </c>
      <c r="Y1" s="238" t="s">
        <v>91</v>
      </c>
      <c r="Z1" s="238"/>
      <c r="AA1" s="238"/>
      <c r="AB1" s="238"/>
      <c r="AC1" s="238"/>
      <c r="AE1" s="239" t="s">
        <v>92</v>
      </c>
      <c r="AF1" s="239"/>
      <c r="AG1" s="239"/>
      <c r="AH1" s="239"/>
      <c r="AI1" s="239"/>
      <c r="AK1" s="240" t="s">
        <v>93</v>
      </c>
      <c r="AL1" s="240"/>
      <c r="AM1" s="240"/>
      <c r="AN1" s="240"/>
      <c r="AO1" s="240"/>
      <c r="AP1" s="240"/>
      <c r="AQ1" s="240"/>
      <c r="AR1" s="240"/>
      <c r="AS1" s="240"/>
      <c r="AT1" s="240"/>
      <c r="AU1" s="240"/>
      <c r="AV1" s="240"/>
      <c r="AW1" s="240"/>
      <c r="AX1" s="240"/>
      <c r="AY1" s="240"/>
    </row>
    <row r="2" spans="1:51">
      <c r="I2" s="238" t="s">
        <v>91</v>
      </c>
      <c r="J2" s="238"/>
      <c r="K2" s="238"/>
      <c r="L2" s="238"/>
      <c r="M2" s="238"/>
      <c r="N2" s="238"/>
      <c r="O2" s="238"/>
      <c r="Q2" s="239" t="s">
        <v>92</v>
      </c>
      <c r="R2" s="239"/>
      <c r="S2" s="239"/>
      <c r="T2" s="239"/>
      <c r="U2" s="239"/>
      <c r="V2" s="239"/>
      <c r="W2" s="239"/>
      <c r="Y2" s="76" t="s">
        <v>94</v>
      </c>
      <c r="Z2" s="77">
        <v>50000</v>
      </c>
      <c r="AA2" s="76" t="s">
        <v>95</v>
      </c>
      <c r="AB2" s="77">
        <v>70000</v>
      </c>
      <c r="AC2" s="76"/>
      <c r="AE2" s="76" t="s">
        <v>94</v>
      </c>
      <c r="AF2" s="77">
        <v>1000000</v>
      </c>
      <c r="AG2" s="76" t="s">
        <v>95</v>
      </c>
      <c r="AH2" s="77">
        <v>1400000</v>
      </c>
      <c r="AI2" s="76"/>
      <c r="AK2" s="241" t="s">
        <v>91</v>
      </c>
      <c r="AL2" s="241"/>
      <c r="AM2" s="241"/>
      <c r="AN2" s="241"/>
      <c r="AO2" s="241"/>
      <c r="AP2" s="241"/>
      <c r="AQ2" s="241"/>
      <c r="AS2" s="242" t="s">
        <v>92</v>
      </c>
      <c r="AT2" s="242"/>
      <c r="AU2" s="242"/>
      <c r="AV2" s="242"/>
      <c r="AW2" s="242"/>
      <c r="AX2" s="242"/>
      <c r="AY2" s="242"/>
    </row>
    <row r="3" spans="1:51" ht="72">
      <c r="A3" s="78" t="s">
        <v>96</v>
      </c>
      <c r="B3" s="79" t="s">
        <v>97</v>
      </c>
      <c r="C3" s="79" t="s">
        <v>98</v>
      </c>
      <c r="D3" s="79" t="s">
        <v>99</v>
      </c>
      <c r="E3" s="79" t="s">
        <v>100</v>
      </c>
      <c r="F3" s="80" t="s">
        <v>101</v>
      </c>
      <c r="G3" s="81" t="s">
        <v>102</v>
      </c>
      <c r="H3" s="81" t="s">
        <v>103</v>
      </c>
      <c r="I3" s="82" t="s">
        <v>104</v>
      </c>
      <c r="J3" s="76" t="s">
        <v>105</v>
      </c>
      <c r="K3" s="76" t="s">
        <v>106</v>
      </c>
      <c r="L3" s="76" t="s">
        <v>107</v>
      </c>
      <c r="M3" s="76" t="s">
        <v>108</v>
      </c>
      <c r="N3" s="76" t="s">
        <v>109</v>
      </c>
      <c r="O3" s="76" t="s">
        <v>110</v>
      </c>
      <c r="Q3" s="82" t="s">
        <v>104</v>
      </c>
      <c r="R3" s="76" t="s">
        <v>105</v>
      </c>
      <c r="S3" s="76" t="s">
        <v>106</v>
      </c>
      <c r="T3" s="76" t="s">
        <v>107</v>
      </c>
      <c r="U3" s="76" t="s">
        <v>108</v>
      </c>
      <c r="V3" s="76" t="s">
        <v>109</v>
      </c>
      <c r="W3" s="76" t="s">
        <v>110</v>
      </c>
      <c r="X3" s="83" t="s">
        <v>111</v>
      </c>
      <c r="Y3" s="80" t="s">
        <v>91</v>
      </c>
      <c r="Z3" s="80" t="s">
        <v>112</v>
      </c>
      <c r="AA3" s="80" t="s">
        <v>91</v>
      </c>
      <c r="AB3" s="80" t="s">
        <v>112</v>
      </c>
      <c r="AC3" s="80" t="s">
        <v>113</v>
      </c>
      <c r="AD3" s="84"/>
      <c r="AE3" s="80" t="s">
        <v>92</v>
      </c>
      <c r="AF3" s="80" t="s">
        <v>112</v>
      </c>
      <c r="AG3" s="80" t="s">
        <v>92</v>
      </c>
      <c r="AH3" s="80" t="s">
        <v>112</v>
      </c>
      <c r="AI3" s="80" t="s">
        <v>113</v>
      </c>
      <c r="AK3" s="82" t="s">
        <v>104</v>
      </c>
      <c r="AL3" s="76" t="s">
        <v>105</v>
      </c>
      <c r="AM3" s="76" t="s">
        <v>106</v>
      </c>
      <c r="AN3" s="76" t="s">
        <v>107</v>
      </c>
      <c r="AO3" s="76" t="s">
        <v>108</v>
      </c>
      <c r="AP3" s="76" t="s">
        <v>109</v>
      </c>
      <c r="AQ3" s="76" t="s">
        <v>110</v>
      </c>
      <c r="AS3" s="82" t="s">
        <v>104</v>
      </c>
      <c r="AT3" s="76" t="s">
        <v>105</v>
      </c>
      <c r="AU3" s="76" t="s">
        <v>106</v>
      </c>
      <c r="AV3" s="76" t="s">
        <v>107</v>
      </c>
      <c r="AW3" s="76" t="s">
        <v>108</v>
      </c>
      <c r="AX3" s="76" t="s">
        <v>109</v>
      </c>
      <c r="AY3" s="76" t="s">
        <v>110</v>
      </c>
    </row>
    <row r="4" spans="1:51" ht="54">
      <c r="A4" s="76">
        <f>ROW()-3</f>
        <v>1</v>
      </c>
      <c r="B4" s="132" t="s">
        <v>114</v>
      </c>
      <c r="C4" s="133" t="s">
        <v>227</v>
      </c>
      <c r="D4" s="82" t="s">
        <v>219</v>
      </c>
      <c r="E4" s="85" t="s">
        <v>226</v>
      </c>
      <c r="F4" s="86">
        <f>O4</f>
        <v>5</v>
      </c>
      <c r="G4" s="87">
        <f>SUM(F4:F8)</f>
        <v>24.5</v>
      </c>
      <c r="H4" s="88">
        <f>SUM(Y4:Y7)+SUM(AA4:AA7)</f>
        <v>17.399999999999999</v>
      </c>
      <c r="I4" s="89">
        <v>0.5</v>
      </c>
      <c r="J4" s="89">
        <v>1</v>
      </c>
      <c r="K4" s="89">
        <v>2</v>
      </c>
      <c r="L4" s="89">
        <v>1</v>
      </c>
      <c r="M4" s="89">
        <v>0.5</v>
      </c>
      <c r="N4" s="89">
        <v>0</v>
      </c>
      <c r="O4" s="89">
        <f>SUM(I4:N4)</f>
        <v>5</v>
      </c>
      <c r="P4" s="90"/>
      <c r="Q4" s="91">
        <f>ROUNDUP(I4/20,3)</f>
        <v>2.5000000000000001E-2</v>
      </c>
      <c r="R4" s="91">
        <f>ROUNDUP(J4/20,3)</f>
        <v>0.05</v>
      </c>
      <c r="S4" s="91">
        <f>ROUNDUP(K4/20,3)</f>
        <v>0.1</v>
      </c>
      <c r="T4" s="91">
        <f>ROUNDUP(L4/20,3)</f>
        <v>0.05</v>
      </c>
      <c r="U4" s="91">
        <f>ROUNDUP(M4/20,3)</f>
        <v>2.5000000000000001E-2</v>
      </c>
      <c r="V4" s="91">
        <f t="shared" ref="V4:V7" si="0">ROUNDUP(N4/20,3)</f>
        <v>0</v>
      </c>
      <c r="W4" s="91">
        <f>SUM(Q4:V4)</f>
        <v>0.25000000000000006</v>
      </c>
      <c r="X4" s="92"/>
      <c r="Y4" s="93">
        <f>O4</f>
        <v>5</v>
      </c>
      <c r="Z4" s="94">
        <f>Y4*$Z$2</f>
        <v>250000</v>
      </c>
      <c r="AA4" s="93">
        <f t="shared" ref="AA4:AA10" si="1">ROUNDUP(Y4*0.2,2)</f>
        <v>1</v>
      </c>
      <c r="AB4" s="94">
        <f>ROUNDUP(AA4*$AB$2,-3)</f>
        <v>70000</v>
      </c>
      <c r="AC4" s="94">
        <f>SUM(Z4,AB4)</f>
        <v>320000</v>
      </c>
      <c r="AE4" s="125">
        <f>ROUNDUP(W4,2)</f>
        <v>0.25</v>
      </c>
      <c r="AF4" s="94">
        <f>AE4*$AF$2</f>
        <v>250000</v>
      </c>
      <c r="AG4" s="125">
        <f t="shared" ref="AG4:AG7" si="2">ROUNDUP(AE4*0.2,3)</f>
        <v>0.05</v>
      </c>
      <c r="AH4" s="94">
        <f>AG4*$AH$2</f>
        <v>70000</v>
      </c>
      <c r="AI4" s="94">
        <f>SUM(AF4,AH4)</f>
        <v>320000</v>
      </c>
      <c r="AK4" s="93">
        <f t="shared" ref="AK4:AQ4" si="3">SUM(I4:I7)</f>
        <v>2</v>
      </c>
      <c r="AL4" s="93">
        <f t="shared" si="3"/>
        <v>3.5</v>
      </c>
      <c r="AM4" s="93">
        <f t="shared" si="3"/>
        <v>4.5</v>
      </c>
      <c r="AN4" s="93">
        <f t="shared" si="3"/>
        <v>2.5</v>
      </c>
      <c r="AO4" s="93">
        <f t="shared" si="3"/>
        <v>2</v>
      </c>
      <c r="AP4" s="93">
        <f t="shared" si="3"/>
        <v>0</v>
      </c>
      <c r="AQ4" s="93">
        <f t="shared" si="3"/>
        <v>14.5</v>
      </c>
      <c r="AS4" s="93">
        <f t="shared" ref="AS4:AY4" si="4">SUM(Q4:Q7)</f>
        <v>0.1</v>
      </c>
      <c r="AT4" s="93">
        <f t="shared" si="4"/>
        <v>0.17500000000000002</v>
      </c>
      <c r="AU4" s="93">
        <f t="shared" si="4"/>
        <v>0.22500000000000001</v>
      </c>
      <c r="AV4" s="93">
        <f t="shared" si="4"/>
        <v>0.125</v>
      </c>
      <c r="AW4" s="93">
        <f t="shared" si="4"/>
        <v>0.1</v>
      </c>
      <c r="AX4" s="93">
        <f t="shared" si="4"/>
        <v>0</v>
      </c>
      <c r="AY4" s="93">
        <f t="shared" si="4"/>
        <v>0.72500000000000009</v>
      </c>
    </row>
    <row r="5" spans="1:51" ht="54">
      <c r="A5" s="76">
        <f t="shared" ref="A5:A8" si="5">ROW()-3</f>
        <v>2</v>
      </c>
      <c r="B5" s="134"/>
      <c r="C5" s="135"/>
      <c r="D5" s="82" t="s">
        <v>220</v>
      </c>
      <c r="E5" s="85" t="s">
        <v>223</v>
      </c>
      <c r="F5" s="86">
        <f t="shared" ref="F5:F7" si="6">O5</f>
        <v>3.5</v>
      </c>
      <c r="G5" s="95"/>
      <c r="H5" s="96"/>
      <c r="I5" s="89">
        <v>0.5</v>
      </c>
      <c r="J5" s="89">
        <v>1</v>
      </c>
      <c r="K5" s="89">
        <v>1</v>
      </c>
      <c r="L5" s="89">
        <v>0.5</v>
      </c>
      <c r="M5" s="89">
        <v>0.5</v>
      </c>
      <c r="N5" s="97">
        <v>0</v>
      </c>
      <c r="O5" s="89">
        <f>SUM(I5:N5)</f>
        <v>3.5</v>
      </c>
      <c r="P5" s="90"/>
      <c r="Q5" s="91">
        <f>ROUNDUP(I5/20,3)</f>
        <v>2.5000000000000001E-2</v>
      </c>
      <c r="R5" s="91">
        <f t="shared" ref="R5:U7" si="7">ROUNDUP(J5/20,3)</f>
        <v>0.05</v>
      </c>
      <c r="S5" s="91">
        <f t="shared" si="7"/>
        <v>0.05</v>
      </c>
      <c r="T5" s="91">
        <f t="shared" si="7"/>
        <v>2.5000000000000001E-2</v>
      </c>
      <c r="U5" s="91">
        <f t="shared" si="7"/>
        <v>2.5000000000000001E-2</v>
      </c>
      <c r="V5" s="91">
        <f t="shared" si="0"/>
        <v>0</v>
      </c>
      <c r="W5" s="91">
        <f t="shared" ref="W5:W7" si="8">SUM(Q5:V5)</f>
        <v>0.17499999999999999</v>
      </c>
      <c r="X5" s="92"/>
      <c r="Y5" s="93">
        <f t="shared" ref="Y5:Y7" si="9">O5</f>
        <v>3.5</v>
      </c>
      <c r="Z5" s="94">
        <f t="shared" ref="Z5:Z7" si="10">Y5*$Z$2</f>
        <v>175000</v>
      </c>
      <c r="AA5" s="93">
        <f t="shared" si="1"/>
        <v>0.7</v>
      </c>
      <c r="AB5" s="94">
        <f t="shared" ref="AB5:AB7" si="11">ROUNDUP(AA5*$AB$2,-3)</f>
        <v>49000</v>
      </c>
      <c r="AC5" s="94">
        <f t="shared" ref="AC5:AC7" si="12">SUM(Z5,AB5)</f>
        <v>224000</v>
      </c>
      <c r="AE5" s="125">
        <f t="shared" ref="AE5:AE8" si="13">ROUNDUP(W5,2)</f>
        <v>0.18000000000000002</v>
      </c>
      <c r="AF5" s="94">
        <f t="shared" ref="AF5:AF10" si="14">AE5*$AF$2</f>
        <v>180000.00000000003</v>
      </c>
      <c r="AG5" s="125">
        <f t="shared" si="2"/>
        <v>3.5999999999999997E-2</v>
      </c>
      <c r="AH5" s="94">
        <f t="shared" ref="AH5:AH10" si="15">AG5*$AH$2</f>
        <v>50399.999999999993</v>
      </c>
      <c r="AI5" s="94">
        <f t="shared" ref="AI5:AI10" si="16">SUM(AF5,AH5)</f>
        <v>230400.00000000003</v>
      </c>
      <c r="AK5" s="93"/>
      <c r="AL5" s="93"/>
      <c r="AM5" s="93"/>
      <c r="AN5" s="93"/>
      <c r="AO5" s="93"/>
      <c r="AP5" s="93"/>
      <c r="AQ5" s="93"/>
      <c r="AS5" s="93"/>
      <c r="AT5" s="93"/>
      <c r="AU5" s="93"/>
      <c r="AV5" s="93"/>
      <c r="AW5" s="93"/>
      <c r="AX5" s="93"/>
      <c r="AY5" s="93"/>
    </row>
    <row r="6" spans="1:51" ht="54">
      <c r="A6" s="76">
        <f t="shared" si="5"/>
        <v>3</v>
      </c>
      <c r="B6" s="134"/>
      <c r="C6" s="135"/>
      <c r="D6" s="82" t="s">
        <v>221</v>
      </c>
      <c r="E6" s="85" t="s">
        <v>224</v>
      </c>
      <c r="F6" s="86">
        <f t="shared" si="6"/>
        <v>3.5</v>
      </c>
      <c r="G6" s="95"/>
      <c r="H6" s="96"/>
      <c r="I6" s="89">
        <v>0.5</v>
      </c>
      <c r="J6" s="89">
        <v>1</v>
      </c>
      <c r="K6" s="89">
        <v>1</v>
      </c>
      <c r="L6" s="89">
        <v>0.5</v>
      </c>
      <c r="M6" s="89">
        <v>0.5</v>
      </c>
      <c r="N6" s="97">
        <v>0</v>
      </c>
      <c r="O6" s="89">
        <f>SUM(I6:N6)</f>
        <v>3.5</v>
      </c>
      <c r="P6" s="90"/>
      <c r="Q6" s="91">
        <f>ROUNDUP(I6/20,3)</f>
        <v>2.5000000000000001E-2</v>
      </c>
      <c r="R6" s="91">
        <f t="shared" si="7"/>
        <v>0.05</v>
      </c>
      <c r="S6" s="91">
        <f t="shared" si="7"/>
        <v>0.05</v>
      </c>
      <c r="T6" s="91">
        <f t="shared" si="7"/>
        <v>2.5000000000000001E-2</v>
      </c>
      <c r="U6" s="91">
        <f t="shared" si="7"/>
        <v>2.5000000000000001E-2</v>
      </c>
      <c r="V6" s="91">
        <f t="shared" si="0"/>
        <v>0</v>
      </c>
      <c r="W6" s="91">
        <f t="shared" si="8"/>
        <v>0.17499999999999999</v>
      </c>
      <c r="X6" s="92"/>
      <c r="Y6" s="93">
        <f t="shared" si="9"/>
        <v>3.5</v>
      </c>
      <c r="Z6" s="94">
        <f t="shared" si="10"/>
        <v>175000</v>
      </c>
      <c r="AA6" s="93">
        <f t="shared" si="1"/>
        <v>0.7</v>
      </c>
      <c r="AB6" s="94">
        <f t="shared" si="11"/>
        <v>49000</v>
      </c>
      <c r="AC6" s="94">
        <f t="shared" si="12"/>
        <v>224000</v>
      </c>
      <c r="AE6" s="125">
        <f t="shared" si="13"/>
        <v>0.18000000000000002</v>
      </c>
      <c r="AF6" s="94">
        <f t="shared" si="14"/>
        <v>180000.00000000003</v>
      </c>
      <c r="AG6" s="125">
        <f t="shared" si="2"/>
        <v>3.5999999999999997E-2</v>
      </c>
      <c r="AH6" s="94">
        <f t="shared" si="15"/>
        <v>50399.999999999993</v>
      </c>
      <c r="AI6" s="94">
        <f t="shared" si="16"/>
        <v>230400.00000000003</v>
      </c>
      <c r="AK6" s="93"/>
      <c r="AL6" s="93"/>
      <c r="AM6" s="93"/>
      <c r="AN6" s="93"/>
      <c r="AO6" s="93"/>
      <c r="AP6" s="93"/>
      <c r="AQ6" s="93"/>
      <c r="AS6" s="93"/>
      <c r="AT6" s="93"/>
      <c r="AU6" s="93"/>
      <c r="AV6" s="93"/>
      <c r="AW6" s="93"/>
      <c r="AX6" s="93"/>
      <c r="AY6" s="93"/>
    </row>
    <row r="7" spans="1:51" ht="36">
      <c r="A7" s="76">
        <f t="shared" si="5"/>
        <v>4</v>
      </c>
      <c r="B7" s="134"/>
      <c r="C7" s="135"/>
      <c r="D7" s="82" t="s">
        <v>222</v>
      </c>
      <c r="E7" s="85" t="s">
        <v>225</v>
      </c>
      <c r="F7" s="86">
        <f t="shared" si="6"/>
        <v>2.5</v>
      </c>
      <c r="G7" s="95"/>
      <c r="H7" s="96"/>
      <c r="I7" s="89">
        <v>0.5</v>
      </c>
      <c r="J7" s="89">
        <v>0.5</v>
      </c>
      <c r="K7" s="89">
        <v>0.5</v>
      </c>
      <c r="L7" s="89">
        <v>0.5</v>
      </c>
      <c r="M7" s="89">
        <v>0.5</v>
      </c>
      <c r="N7" s="97">
        <v>0</v>
      </c>
      <c r="O7" s="89">
        <f>SUM(I7:N7)</f>
        <v>2.5</v>
      </c>
      <c r="P7" s="90"/>
      <c r="Q7" s="91">
        <f>ROUNDUP(I7/20,3)</f>
        <v>2.5000000000000001E-2</v>
      </c>
      <c r="R7" s="91">
        <f t="shared" si="7"/>
        <v>2.5000000000000001E-2</v>
      </c>
      <c r="S7" s="91">
        <f t="shared" si="7"/>
        <v>2.5000000000000001E-2</v>
      </c>
      <c r="T7" s="91">
        <f t="shared" si="7"/>
        <v>2.5000000000000001E-2</v>
      </c>
      <c r="U7" s="91">
        <f t="shared" si="7"/>
        <v>2.5000000000000001E-2</v>
      </c>
      <c r="V7" s="91">
        <f t="shared" si="0"/>
        <v>0</v>
      </c>
      <c r="W7" s="91">
        <f t="shared" si="8"/>
        <v>0.125</v>
      </c>
      <c r="X7" s="92"/>
      <c r="Y7" s="93">
        <f t="shared" si="9"/>
        <v>2.5</v>
      </c>
      <c r="Z7" s="94">
        <f t="shared" si="10"/>
        <v>125000</v>
      </c>
      <c r="AA7" s="93">
        <f t="shared" si="1"/>
        <v>0.5</v>
      </c>
      <c r="AB7" s="94">
        <f t="shared" si="11"/>
        <v>35000</v>
      </c>
      <c r="AC7" s="94">
        <f t="shared" si="12"/>
        <v>160000</v>
      </c>
      <c r="AE7" s="125">
        <f t="shared" si="13"/>
        <v>0.13</v>
      </c>
      <c r="AF7" s="94">
        <f t="shared" si="14"/>
        <v>130000</v>
      </c>
      <c r="AG7" s="125">
        <f t="shared" si="2"/>
        <v>2.5999999999999999E-2</v>
      </c>
      <c r="AH7" s="94">
        <f t="shared" si="15"/>
        <v>36400</v>
      </c>
      <c r="AI7" s="94">
        <f t="shared" si="16"/>
        <v>166400</v>
      </c>
      <c r="AK7" s="93"/>
      <c r="AL7" s="93"/>
      <c r="AM7" s="93"/>
      <c r="AN7" s="93"/>
      <c r="AO7" s="93"/>
      <c r="AP7" s="93"/>
      <c r="AQ7" s="93"/>
      <c r="AS7" s="93"/>
      <c r="AT7" s="93"/>
      <c r="AU7" s="93"/>
      <c r="AV7" s="93"/>
      <c r="AW7" s="93"/>
      <c r="AX7" s="93"/>
      <c r="AY7" s="93"/>
    </row>
    <row r="8" spans="1:51" ht="162">
      <c r="A8" s="145">
        <f t="shared" si="5"/>
        <v>5</v>
      </c>
      <c r="B8" s="146"/>
      <c r="C8" s="147"/>
      <c r="D8" s="148" t="s">
        <v>267</v>
      </c>
      <c r="E8" s="149" t="s">
        <v>268</v>
      </c>
      <c r="F8" s="86">
        <f t="shared" ref="F8" si="17">O8</f>
        <v>10</v>
      </c>
      <c r="G8" s="86"/>
      <c r="H8" s="98"/>
      <c r="I8" s="89">
        <v>3</v>
      </c>
      <c r="J8" s="89">
        <v>5</v>
      </c>
      <c r="K8" s="89">
        <v>1</v>
      </c>
      <c r="L8" s="89">
        <v>0.5</v>
      </c>
      <c r="M8" s="89">
        <v>0.5</v>
      </c>
      <c r="N8" s="97">
        <v>0</v>
      </c>
      <c r="O8" s="89">
        <f>SUM(I8:N8)</f>
        <v>10</v>
      </c>
      <c r="P8" s="90"/>
      <c r="Q8" s="91">
        <f>ROUNDUP(I8/20,3)</f>
        <v>0.15</v>
      </c>
      <c r="R8" s="91">
        <f t="shared" ref="R8" si="18">ROUNDUP(J8/20,3)</f>
        <v>0.25</v>
      </c>
      <c r="S8" s="91">
        <f t="shared" ref="S8" si="19">ROUNDUP(K8/20,3)</f>
        <v>0.05</v>
      </c>
      <c r="T8" s="91">
        <f t="shared" ref="T8" si="20">ROUNDUP(L8/20,3)</f>
        <v>2.5000000000000001E-2</v>
      </c>
      <c r="U8" s="91">
        <f t="shared" ref="U8" si="21">ROUNDUP(M8/20,3)</f>
        <v>2.5000000000000001E-2</v>
      </c>
      <c r="V8" s="91">
        <f t="shared" ref="V8" si="22">ROUNDUP(N8/20,3)</f>
        <v>0</v>
      </c>
      <c r="W8" s="91">
        <f t="shared" ref="W8" si="23">SUM(Q8:V8)</f>
        <v>0.5</v>
      </c>
      <c r="X8" s="92"/>
      <c r="Y8" s="93">
        <f t="shared" ref="Y8" si="24">O8</f>
        <v>10</v>
      </c>
      <c r="Z8" s="94">
        <f t="shared" ref="Z8" si="25">Y8*$Z$2</f>
        <v>500000</v>
      </c>
      <c r="AA8" s="93">
        <f t="shared" ref="AA8" si="26">ROUNDUP(Y8*0.2,2)</f>
        <v>2</v>
      </c>
      <c r="AB8" s="94">
        <f t="shared" ref="AB8" si="27">ROUNDUP(AA8*$AB$2,-3)</f>
        <v>140000</v>
      </c>
      <c r="AC8" s="94">
        <f t="shared" ref="AC8" si="28">SUM(Z8,AB8)</f>
        <v>640000</v>
      </c>
      <c r="AE8" s="125">
        <f t="shared" si="13"/>
        <v>0.5</v>
      </c>
      <c r="AF8" s="94">
        <f t="shared" ref="AF8" si="29">AE8*$AF$2</f>
        <v>500000</v>
      </c>
      <c r="AG8" s="125">
        <f t="shared" ref="AG8" si="30">ROUNDUP(AE8*0.2,3)</f>
        <v>0.1</v>
      </c>
      <c r="AH8" s="94">
        <f>AG8*$AH$2</f>
        <v>140000</v>
      </c>
      <c r="AI8" s="94">
        <f t="shared" si="16"/>
        <v>640000</v>
      </c>
      <c r="AK8" s="93"/>
      <c r="AL8" s="93"/>
      <c r="AM8" s="93"/>
      <c r="AN8" s="93"/>
      <c r="AO8" s="93"/>
      <c r="AP8" s="93"/>
      <c r="AQ8" s="93"/>
      <c r="AS8" s="93"/>
      <c r="AT8" s="93"/>
      <c r="AU8" s="93"/>
      <c r="AV8" s="93"/>
      <c r="AW8" s="93"/>
      <c r="AX8" s="93"/>
      <c r="AY8" s="93"/>
    </row>
    <row r="9" spans="1:51">
      <c r="A9" s="99" t="s">
        <v>115</v>
      </c>
      <c r="B9" s="100"/>
      <c r="C9" s="101"/>
      <c r="D9" s="101"/>
      <c r="E9" s="101"/>
      <c r="F9" s="102"/>
      <c r="N9" s="72" t="s">
        <v>116</v>
      </c>
      <c r="X9" s="92" t="s">
        <v>109</v>
      </c>
      <c r="Y9" s="93"/>
      <c r="Z9" s="94"/>
      <c r="AA9" s="93"/>
      <c r="AB9" s="94"/>
      <c r="AC9" s="94"/>
      <c r="AE9" s="125">
        <v>0.1</v>
      </c>
      <c r="AF9" s="94">
        <f t="shared" si="14"/>
        <v>100000</v>
      </c>
      <c r="AG9" s="125">
        <f>ROUNDUP(AE9*0.2,3)</f>
        <v>0.02</v>
      </c>
      <c r="AH9" s="128">
        <f t="shared" si="15"/>
        <v>28000</v>
      </c>
      <c r="AI9" s="94">
        <f t="shared" si="16"/>
        <v>128000</v>
      </c>
    </row>
    <row r="10" spans="1:51" ht="18.5" thickBot="1">
      <c r="A10" s="103"/>
      <c r="F10" s="104"/>
      <c r="X10" s="127" t="s">
        <v>214</v>
      </c>
      <c r="Y10" s="130">
        <v>5</v>
      </c>
      <c r="Z10" s="94">
        <f>Y10*$Z$2</f>
        <v>250000</v>
      </c>
      <c r="AA10" s="93">
        <f t="shared" si="1"/>
        <v>1</v>
      </c>
      <c r="AB10" s="94">
        <f t="shared" ref="AB10" si="31">ROUNDUP(AA10*$AB$2,-3)</f>
        <v>70000</v>
      </c>
      <c r="AC10" s="94">
        <f t="shared" ref="AC10" si="32">SUM(Z10,AB10)</f>
        <v>320000</v>
      </c>
      <c r="AE10" s="125">
        <f>ROUNDUP(Y10/20,3)</f>
        <v>0.25</v>
      </c>
      <c r="AF10" s="94">
        <f t="shared" si="14"/>
        <v>250000</v>
      </c>
      <c r="AG10" s="125">
        <f>ROUNDUP(AE10*0.2,3)</f>
        <v>0.05</v>
      </c>
      <c r="AH10" s="128">
        <f t="shared" si="15"/>
        <v>70000</v>
      </c>
      <c r="AI10" s="94">
        <f t="shared" si="16"/>
        <v>320000</v>
      </c>
    </row>
    <row r="11" spans="1:51" ht="18.5" thickBot="1">
      <c r="A11" s="103"/>
      <c r="B11" s="75" t="s">
        <v>117</v>
      </c>
      <c r="F11" s="104"/>
      <c r="AH11" s="129" t="s">
        <v>110</v>
      </c>
      <c r="AI11" s="131">
        <f>SUM(AI4:AI10)</f>
        <v>2035200</v>
      </c>
    </row>
    <row r="12" spans="1:51">
      <c r="A12" s="103"/>
      <c r="B12" s="75" t="s">
        <v>118</v>
      </c>
      <c r="F12" s="104"/>
      <c r="Y12" s="126"/>
    </row>
    <row r="13" spans="1:51">
      <c r="A13" s="103"/>
      <c r="B13" s="75" t="s">
        <v>119</v>
      </c>
      <c r="F13" s="104"/>
    </row>
    <row r="14" spans="1:51">
      <c r="A14" s="103"/>
      <c r="B14" s="72" t="s">
        <v>120</v>
      </c>
      <c r="F14" s="104"/>
    </row>
    <row r="15" spans="1:51">
      <c r="A15" s="103"/>
      <c r="B15" s="72" t="s">
        <v>121</v>
      </c>
      <c r="F15" s="104"/>
    </row>
    <row r="16" spans="1:51" s="72" customFormat="1">
      <c r="A16" s="103"/>
      <c r="B16" s="72" t="s">
        <v>122</v>
      </c>
      <c r="C16" s="73"/>
      <c r="D16" s="73"/>
      <c r="E16" s="73"/>
      <c r="F16" s="104"/>
      <c r="H16" s="74"/>
      <c r="I16" s="74"/>
    </row>
    <row r="17" spans="1:6">
      <c r="A17" s="105"/>
      <c r="B17" s="106"/>
      <c r="C17" s="107"/>
      <c r="D17" s="107"/>
      <c r="E17" s="107"/>
      <c r="F17" s="108"/>
    </row>
  </sheetData>
  <mergeCells count="7">
    <mergeCell ref="Y1:AC1"/>
    <mergeCell ref="AE1:AI1"/>
    <mergeCell ref="AK1:AY1"/>
    <mergeCell ref="I2:O2"/>
    <mergeCell ref="Q2:W2"/>
    <mergeCell ref="AK2:AQ2"/>
    <mergeCell ref="AS2:AY2"/>
  </mergeCells>
  <phoneticPr fontId="3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C4F9-FCA0-4E6D-B614-9875C3B5DD0A}">
  <sheetPr>
    <tabColor rgb="FFFF0000"/>
  </sheetPr>
  <dimension ref="A1:BA17"/>
  <sheetViews>
    <sheetView showGridLines="0" zoomScale="70" zoomScaleNormal="70" workbookViewId="0">
      <pane xSplit="5" ySplit="3" topLeftCell="Y4" activePane="bottomRight" state="frozen"/>
      <selection pane="topRight" activeCell="F1" sqref="F1"/>
      <selection pane="bottomLeft" activeCell="A4" sqref="A4"/>
      <selection pane="bottomRight" activeCell="AI19" sqref="AI19"/>
    </sheetView>
  </sheetViews>
  <sheetFormatPr defaultRowHeight="18" outlineLevelCol="1"/>
  <cols>
    <col min="1" max="1" width="4.33203125" style="75" bestFit="1" customWidth="1"/>
    <col min="2" max="2" width="19.83203125" style="72" customWidth="1"/>
    <col min="3" max="3" width="17.58203125" style="73" customWidth="1"/>
    <col min="4" max="4" width="27.5" style="73" bestFit="1" customWidth="1"/>
    <col min="5" max="5" width="112.5" style="73" customWidth="1"/>
    <col min="6" max="8" width="9.58203125" style="74" customWidth="1"/>
    <col min="9" max="15" width="9.58203125" style="72" customWidth="1" outlineLevel="1"/>
    <col min="16" max="16" width="1.58203125" style="72" customWidth="1"/>
    <col min="17" max="23" width="9.58203125" style="72" customWidth="1" outlineLevel="1"/>
    <col min="24" max="24" width="13.83203125" style="72" customWidth="1"/>
    <col min="25" max="25" width="9.58203125" style="72" customWidth="1" outlineLevel="1"/>
    <col min="26" max="26" width="14.08203125" style="72" customWidth="1" outlineLevel="1"/>
    <col min="27" max="27" width="9.58203125" style="72" customWidth="1" outlineLevel="1"/>
    <col min="28" max="29" width="14.08203125" style="72" customWidth="1" outlineLevel="1"/>
    <col min="30" max="30" width="2.58203125" style="72" customWidth="1"/>
    <col min="31" max="31" width="9.58203125" style="72" customWidth="1" outlineLevel="1"/>
    <col min="32" max="32" width="14.08203125" style="72" customWidth="1" outlineLevel="1"/>
    <col min="33" max="34" width="9.58203125" style="72" customWidth="1" outlineLevel="1"/>
    <col min="35" max="36" width="14.08203125" style="72" customWidth="1" outlineLevel="1"/>
    <col min="37" max="37" width="5" style="72" customWidth="1"/>
    <col min="38" max="44" width="9.58203125" style="72" hidden="1" customWidth="1" outlineLevel="1"/>
    <col min="45" max="45" width="3.58203125" style="72" customWidth="1" collapsed="1"/>
    <col min="46" max="52" width="9" style="72" hidden="1" customWidth="1" outlineLevel="1"/>
    <col min="53" max="53" width="9" bestFit="1" customWidth="1" collapsed="1"/>
  </cols>
  <sheetData>
    <row r="1" spans="1:52" ht="22.5" customHeight="1">
      <c r="A1" s="71" t="s">
        <v>90</v>
      </c>
      <c r="Y1" s="238" t="s">
        <v>91</v>
      </c>
      <c r="Z1" s="238"/>
      <c r="AA1" s="238"/>
      <c r="AB1" s="238"/>
      <c r="AC1" s="238"/>
      <c r="AE1" s="239" t="s">
        <v>92</v>
      </c>
      <c r="AF1" s="239"/>
      <c r="AG1" s="239"/>
      <c r="AH1" s="239"/>
      <c r="AI1" s="239"/>
      <c r="AJ1" s="239"/>
      <c r="AL1" s="240" t="s">
        <v>93</v>
      </c>
      <c r="AM1" s="240"/>
      <c r="AN1" s="240"/>
      <c r="AO1" s="240"/>
      <c r="AP1" s="240"/>
      <c r="AQ1" s="240"/>
      <c r="AR1" s="240"/>
      <c r="AS1" s="240"/>
      <c r="AT1" s="240"/>
      <c r="AU1" s="240"/>
      <c r="AV1" s="240"/>
      <c r="AW1" s="240"/>
      <c r="AX1" s="240"/>
      <c r="AY1" s="240"/>
      <c r="AZ1" s="240"/>
    </row>
    <row r="2" spans="1:52">
      <c r="I2" s="238" t="s">
        <v>91</v>
      </c>
      <c r="J2" s="238"/>
      <c r="K2" s="238"/>
      <c r="L2" s="238"/>
      <c r="M2" s="238"/>
      <c r="N2" s="238"/>
      <c r="O2" s="238"/>
      <c r="Q2" s="239" t="s">
        <v>92</v>
      </c>
      <c r="R2" s="239"/>
      <c r="S2" s="239"/>
      <c r="T2" s="239"/>
      <c r="U2" s="239"/>
      <c r="V2" s="239"/>
      <c r="W2" s="239"/>
      <c r="Y2" s="76" t="s">
        <v>94</v>
      </c>
      <c r="Z2" s="77">
        <v>50000</v>
      </c>
      <c r="AA2" s="76" t="s">
        <v>95</v>
      </c>
      <c r="AB2" s="77">
        <v>70000</v>
      </c>
      <c r="AC2" s="76"/>
      <c r="AE2" s="76" t="s">
        <v>94</v>
      </c>
      <c r="AF2" s="77">
        <v>1000000</v>
      </c>
      <c r="AG2" s="76" t="s">
        <v>95</v>
      </c>
      <c r="AH2" s="76"/>
      <c r="AI2" s="77">
        <v>1400000</v>
      </c>
      <c r="AJ2" s="76"/>
      <c r="AL2" s="241" t="s">
        <v>91</v>
      </c>
      <c r="AM2" s="241"/>
      <c r="AN2" s="241"/>
      <c r="AO2" s="241"/>
      <c r="AP2" s="241"/>
      <c r="AQ2" s="241"/>
      <c r="AR2" s="241"/>
      <c r="AT2" s="242" t="s">
        <v>92</v>
      </c>
      <c r="AU2" s="242"/>
      <c r="AV2" s="242"/>
      <c r="AW2" s="242"/>
      <c r="AX2" s="242"/>
      <c r="AY2" s="242"/>
      <c r="AZ2" s="242"/>
    </row>
    <row r="3" spans="1:52" ht="72">
      <c r="A3" s="78" t="s">
        <v>96</v>
      </c>
      <c r="B3" s="79" t="s">
        <v>97</v>
      </c>
      <c r="C3" s="79" t="s">
        <v>98</v>
      </c>
      <c r="D3" s="79" t="s">
        <v>99</v>
      </c>
      <c r="E3" s="79" t="s">
        <v>100</v>
      </c>
      <c r="F3" s="80" t="s">
        <v>101</v>
      </c>
      <c r="G3" s="81" t="s">
        <v>102</v>
      </c>
      <c r="H3" s="81" t="s">
        <v>103</v>
      </c>
      <c r="I3" s="82" t="s">
        <v>104</v>
      </c>
      <c r="J3" s="76" t="s">
        <v>105</v>
      </c>
      <c r="K3" s="76" t="s">
        <v>106</v>
      </c>
      <c r="L3" s="76" t="s">
        <v>107</v>
      </c>
      <c r="M3" s="76" t="s">
        <v>108</v>
      </c>
      <c r="N3" s="76" t="s">
        <v>109</v>
      </c>
      <c r="O3" s="76" t="s">
        <v>110</v>
      </c>
      <c r="Q3" s="82" t="s">
        <v>104</v>
      </c>
      <c r="R3" s="76" t="s">
        <v>105</v>
      </c>
      <c r="S3" s="76" t="s">
        <v>106</v>
      </c>
      <c r="T3" s="76" t="s">
        <v>107</v>
      </c>
      <c r="U3" s="76" t="s">
        <v>108</v>
      </c>
      <c r="V3" s="76" t="s">
        <v>109</v>
      </c>
      <c r="W3" s="76" t="s">
        <v>110</v>
      </c>
      <c r="X3" s="83" t="s">
        <v>111</v>
      </c>
      <c r="Y3" s="80" t="s">
        <v>91</v>
      </c>
      <c r="Z3" s="80" t="s">
        <v>112</v>
      </c>
      <c r="AA3" s="80" t="s">
        <v>91</v>
      </c>
      <c r="AB3" s="80" t="s">
        <v>112</v>
      </c>
      <c r="AC3" s="80" t="s">
        <v>113</v>
      </c>
      <c r="AD3" s="84"/>
      <c r="AE3" s="80" t="s">
        <v>92</v>
      </c>
      <c r="AF3" s="80" t="s">
        <v>112</v>
      </c>
      <c r="AG3" s="80" t="s">
        <v>92</v>
      </c>
      <c r="AH3" s="80"/>
      <c r="AI3" s="80" t="s">
        <v>112</v>
      </c>
      <c r="AJ3" s="80" t="s">
        <v>113</v>
      </c>
      <c r="AL3" s="82" t="s">
        <v>104</v>
      </c>
      <c r="AM3" s="76" t="s">
        <v>105</v>
      </c>
      <c r="AN3" s="76" t="s">
        <v>106</v>
      </c>
      <c r="AO3" s="76" t="s">
        <v>107</v>
      </c>
      <c r="AP3" s="76" t="s">
        <v>108</v>
      </c>
      <c r="AQ3" s="76" t="s">
        <v>109</v>
      </c>
      <c r="AR3" s="76" t="s">
        <v>110</v>
      </c>
      <c r="AT3" s="82" t="s">
        <v>104</v>
      </c>
      <c r="AU3" s="76" t="s">
        <v>105</v>
      </c>
      <c r="AV3" s="76" t="s">
        <v>106</v>
      </c>
      <c r="AW3" s="76" t="s">
        <v>107</v>
      </c>
      <c r="AX3" s="76" t="s">
        <v>108</v>
      </c>
      <c r="AY3" s="76" t="s">
        <v>109</v>
      </c>
      <c r="AZ3" s="76" t="s">
        <v>110</v>
      </c>
    </row>
    <row r="4" spans="1:52" ht="54">
      <c r="A4" s="76">
        <f>ROW()-3</f>
        <v>1</v>
      </c>
      <c r="B4" s="132" t="s">
        <v>114</v>
      </c>
      <c r="C4" s="133" t="s">
        <v>227</v>
      </c>
      <c r="D4" s="82" t="s">
        <v>219</v>
      </c>
      <c r="E4" s="132" t="s">
        <v>226</v>
      </c>
      <c r="F4" s="86">
        <f>O4</f>
        <v>7</v>
      </c>
      <c r="G4" s="87">
        <f>SUM(F4:F8)</f>
        <v>26.5</v>
      </c>
      <c r="H4" s="88">
        <f>SUM(Y4:Y7)+SUM(AA4:AA7)</f>
        <v>19.8</v>
      </c>
      <c r="I4" s="89">
        <v>0.5</v>
      </c>
      <c r="J4" s="89">
        <v>1</v>
      </c>
      <c r="K4" s="89">
        <v>2</v>
      </c>
      <c r="L4" s="89">
        <v>1</v>
      </c>
      <c r="M4" s="89">
        <v>0.5</v>
      </c>
      <c r="N4" s="89">
        <v>2</v>
      </c>
      <c r="O4" s="89">
        <f>SUM(I4:N4)</f>
        <v>7</v>
      </c>
      <c r="P4" s="90"/>
      <c r="Q4" s="91">
        <f t="shared" ref="Q4:V8" si="0">ROUNDUP(I4/20,3)</f>
        <v>2.5000000000000001E-2</v>
      </c>
      <c r="R4" s="91">
        <f t="shared" si="0"/>
        <v>0.05</v>
      </c>
      <c r="S4" s="91">
        <f t="shared" si="0"/>
        <v>0.1</v>
      </c>
      <c r="T4" s="91">
        <f t="shared" si="0"/>
        <v>0.05</v>
      </c>
      <c r="U4" s="91">
        <f t="shared" si="0"/>
        <v>2.5000000000000001E-2</v>
      </c>
      <c r="V4" s="91">
        <f t="shared" si="0"/>
        <v>0.1</v>
      </c>
      <c r="W4" s="91">
        <f>SUM(Q4:V4)</f>
        <v>0.35000000000000009</v>
      </c>
      <c r="X4" s="92"/>
      <c r="Y4" s="93">
        <f>O4</f>
        <v>7</v>
      </c>
      <c r="Z4" s="150">
        <f t="shared" ref="Z4:Z9" si="1">Y4*$Z$2</f>
        <v>350000</v>
      </c>
      <c r="AA4" s="93">
        <f t="shared" ref="AA4:AA9" si="2">ROUNDUP(Y4*0.2,2)</f>
        <v>1.4</v>
      </c>
      <c r="AB4" s="150">
        <f t="shared" ref="AB4:AB9" si="3">ROUNDUP(AA4*$AB$2,-3)</f>
        <v>98000</v>
      </c>
      <c r="AC4" s="150">
        <f t="shared" ref="AC4:AC9" si="4">SUM(Z4,AB4)</f>
        <v>448000</v>
      </c>
      <c r="AE4" s="125">
        <f>ROUNDUP(W4,2)</f>
        <v>0.35</v>
      </c>
      <c r="AF4" s="150">
        <f t="shared" ref="AF4:AF9" si="5">AE4*$AF$2</f>
        <v>350000</v>
      </c>
      <c r="AG4" s="125">
        <f t="shared" ref="AG4:AG9" si="6">ROUNDUP(AE4*0.2,3)</f>
        <v>7.0000000000000007E-2</v>
      </c>
      <c r="AH4" s="125">
        <f t="shared" ref="AH4:AH9" si="7">SUM(AE4,AG4)</f>
        <v>0.42</v>
      </c>
      <c r="AI4" s="150">
        <f t="shared" ref="AI4:AI9" si="8">AG4*$AI$2</f>
        <v>98000.000000000015</v>
      </c>
      <c r="AJ4" s="150">
        <f t="shared" ref="AJ4:AJ9" si="9">ROUNDUP(SUM(AF4,AI4),-3)</f>
        <v>448000</v>
      </c>
      <c r="AL4" s="93">
        <f t="shared" ref="AL4:AR4" si="10">SUM(I4:I7)</f>
        <v>2</v>
      </c>
      <c r="AM4" s="93">
        <f t="shared" si="10"/>
        <v>3.5</v>
      </c>
      <c r="AN4" s="93">
        <f t="shared" si="10"/>
        <v>4.5</v>
      </c>
      <c r="AO4" s="93">
        <f t="shared" si="10"/>
        <v>2.5</v>
      </c>
      <c r="AP4" s="93">
        <f t="shared" si="10"/>
        <v>2</v>
      </c>
      <c r="AQ4" s="93">
        <f t="shared" si="10"/>
        <v>2</v>
      </c>
      <c r="AR4" s="93">
        <f t="shared" si="10"/>
        <v>16.5</v>
      </c>
      <c r="AT4" s="93">
        <f t="shared" ref="AT4:AZ4" si="11">SUM(Q4:Q7)</f>
        <v>0.1</v>
      </c>
      <c r="AU4" s="93">
        <f t="shared" si="11"/>
        <v>0.17500000000000002</v>
      </c>
      <c r="AV4" s="93">
        <f t="shared" si="11"/>
        <v>0.22500000000000001</v>
      </c>
      <c r="AW4" s="93">
        <f t="shared" si="11"/>
        <v>0.125</v>
      </c>
      <c r="AX4" s="93">
        <f t="shared" si="11"/>
        <v>0.1</v>
      </c>
      <c r="AY4" s="93">
        <f t="shared" si="11"/>
        <v>0.1</v>
      </c>
      <c r="AZ4" s="93">
        <f t="shared" si="11"/>
        <v>0.82500000000000018</v>
      </c>
    </row>
    <row r="5" spans="1:52" ht="54">
      <c r="A5" s="76">
        <f>ROW()-3</f>
        <v>2</v>
      </c>
      <c r="B5" s="134"/>
      <c r="C5" s="151"/>
      <c r="D5" s="82" t="s">
        <v>220</v>
      </c>
      <c r="E5" s="132" t="s">
        <v>223</v>
      </c>
      <c r="F5" s="86">
        <f>O5</f>
        <v>3.5</v>
      </c>
      <c r="G5" s="95"/>
      <c r="H5" s="96"/>
      <c r="I5" s="89">
        <v>0.5</v>
      </c>
      <c r="J5" s="89">
        <v>1</v>
      </c>
      <c r="K5" s="89">
        <v>1</v>
      </c>
      <c r="L5" s="89">
        <v>0.5</v>
      </c>
      <c r="M5" s="89">
        <v>0.5</v>
      </c>
      <c r="N5" s="97">
        <v>0</v>
      </c>
      <c r="O5" s="89">
        <f>SUM(I5:N5)</f>
        <v>3.5</v>
      </c>
      <c r="P5" s="90"/>
      <c r="Q5" s="91">
        <f t="shared" si="0"/>
        <v>2.5000000000000001E-2</v>
      </c>
      <c r="R5" s="91">
        <f t="shared" si="0"/>
        <v>0.05</v>
      </c>
      <c r="S5" s="91">
        <f t="shared" si="0"/>
        <v>0.05</v>
      </c>
      <c r="T5" s="91">
        <f t="shared" si="0"/>
        <v>2.5000000000000001E-2</v>
      </c>
      <c r="U5" s="91">
        <f t="shared" si="0"/>
        <v>2.5000000000000001E-2</v>
      </c>
      <c r="V5" s="91">
        <f t="shared" si="0"/>
        <v>0</v>
      </c>
      <c r="W5" s="91">
        <f>SUM(Q5:V5)</f>
        <v>0.17499999999999999</v>
      </c>
      <c r="X5" s="92"/>
      <c r="Y5" s="93">
        <f>O5</f>
        <v>3.5</v>
      </c>
      <c r="Z5" s="150">
        <f t="shared" si="1"/>
        <v>175000</v>
      </c>
      <c r="AA5" s="93">
        <f t="shared" si="2"/>
        <v>0.7</v>
      </c>
      <c r="AB5" s="150">
        <f t="shared" si="3"/>
        <v>49000</v>
      </c>
      <c r="AC5" s="150">
        <f t="shared" si="4"/>
        <v>224000</v>
      </c>
      <c r="AE5" s="125">
        <f>ROUNDUP(W5,2)</f>
        <v>0.18000000000000002</v>
      </c>
      <c r="AF5" s="150">
        <f t="shared" si="5"/>
        <v>180000.00000000003</v>
      </c>
      <c r="AG5" s="125">
        <f t="shared" si="6"/>
        <v>3.5999999999999997E-2</v>
      </c>
      <c r="AH5" s="125">
        <f t="shared" si="7"/>
        <v>0.21600000000000003</v>
      </c>
      <c r="AI5" s="150">
        <f t="shared" si="8"/>
        <v>50399.999999999993</v>
      </c>
      <c r="AJ5" s="150">
        <f t="shared" si="9"/>
        <v>231000</v>
      </c>
      <c r="AL5" s="93"/>
      <c r="AM5" s="93"/>
      <c r="AN5" s="93"/>
      <c r="AO5" s="93"/>
      <c r="AP5" s="93"/>
      <c r="AQ5" s="93"/>
      <c r="AR5" s="93"/>
      <c r="AT5" s="93"/>
      <c r="AU5" s="93"/>
      <c r="AV5" s="93"/>
      <c r="AW5" s="93"/>
      <c r="AX5" s="93"/>
      <c r="AY5" s="93"/>
      <c r="AZ5" s="93"/>
    </row>
    <row r="6" spans="1:52" ht="54">
      <c r="A6" s="76">
        <f>ROW()-3</f>
        <v>3</v>
      </c>
      <c r="B6" s="134"/>
      <c r="C6" s="151"/>
      <c r="D6" s="82" t="s">
        <v>221</v>
      </c>
      <c r="E6" s="132" t="s">
        <v>224</v>
      </c>
      <c r="F6" s="86">
        <f>O6</f>
        <v>3.5</v>
      </c>
      <c r="G6" s="95"/>
      <c r="H6" s="96"/>
      <c r="I6" s="89">
        <v>0.5</v>
      </c>
      <c r="J6" s="89">
        <v>1</v>
      </c>
      <c r="K6" s="89">
        <v>1</v>
      </c>
      <c r="L6" s="89">
        <v>0.5</v>
      </c>
      <c r="M6" s="89">
        <v>0.5</v>
      </c>
      <c r="N6" s="97">
        <v>0</v>
      </c>
      <c r="O6" s="89">
        <f>SUM(I6:N6)</f>
        <v>3.5</v>
      </c>
      <c r="P6" s="90"/>
      <c r="Q6" s="91">
        <f t="shared" si="0"/>
        <v>2.5000000000000001E-2</v>
      </c>
      <c r="R6" s="91">
        <f t="shared" si="0"/>
        <v>0.05</v>
      </c>
      <c r="S6" s="91">
        <f t="shared" si="0"/>
        <v>0.05</v>
      </c>
      <c r="T6" s="91">
        <f t="shared" si="0"/>
        <v>2.5000000000000001E-2</v>
      </c>
      <c r="U6" s="91">
        <f t="shared" si="0"/>
        <v>2.5000000000000001E-2</v>
      </c>
      <c r="V6" s="91">
        <f t="shared" si="0"/>
        <v>0</v>
      </c>
      <c r="W6" s="91">
        <f>SUM(Q6:V6)</f>
        <v>0.17499999999999999</v>
      </c>
      <c r="X6" s="92"/>
      <c r="Y6" s="93">
        <f>O6</f>
        <v>3.5</v>
      </c>
      <c r="Z6" s="150">
        <f t="shared" si="1"/>
        <v>175000</v>
      </c>
      <c r="AA6" s="93">
        <f t="shared" si="2"/>
        <v>0.7</v>
      </c>
      <c r="AB6" s="150">
        <f t="shared" si="3"/>
        <v>49000</v>
      </c>
      <c r="AC6" s="150">
        <f t="shared" si="4"/>
        <v>224000</v>
      </c>
      <c r="AE6" s="125">
        <f>ROUNDUP(W6,2)</f>
        <v>0.18000000000000002</v>
      </c>
      <c r="AF6" s="150">
        <f t="shared" si="5"/>
        <v>180000.00000000003</v>
      </c>
      <c r="AG6" s="125">
        <f t="shared" si="6"/>
        <v>3.5999999999999997E-2</v>
      </c>
      <c r="AH6" s="125">
        <f t="shared" si="7"/>
        <v>0.21600000000000003</v>
      </c>
      <c r="AI6" s="150">
        <f t="shared" si="8"/>
        <v>50399.999999999993</v>
      </c>
      <c r="AJ6" s="150">
        <f t="shared" si="9"/>
        <v>231000</v>
      </c>
      <c r="AL6" s="93"/>
      <c r="AM6" s="93"/>
      <c r="AN6" s="93"/>
      <c r="AO6" s="93"/>
      <c r="AP6" s="93"/>
      <c r="AQ6" s="93"/>
      <c r="AR6" s="93"/>
      <c r="AT6" s="93"/>
      <c r="AU6" s="93"/>
      <c r="AV6" s="93"/>
      <c r="AW6" s="93"/>
      <c r="AX6" s="93"/>
      <c r="AY6" s="93"/>
      <c r="AZ6" s="93"/>
    </row>
    <row r="7" spans="1:52" ht="36">
      <c r="A7" s="76">
        <f>ROW()-3</f>
        <v>4</v>
      </c>
      <c r="B7" s="134"/>
      <c r="C7" s="151"/>
      <c r="D7" s="82" t="s">
        <v>222</v>
      </c>
      <c r="E7" s="132" t="s">
        <v>225</v>
      </c>
      <c r="F7" s="86">
        <f>O7</f>
        <v>2.5</v>
      </c>
      <c r="G7" s="95"/>
      <c r="H7" s="96"/>
      <c r="I7" s="89">
        <v>0.5</v>
      </c>
      <c r="J7" s="89">
        <v>0.5</v>
      </c>
      <c r="K7" s="89">
        <v>0.5</v>
      </c>
      <c r="L7" s="89">
        <v>0.5</v>
      </c>
      <c r="M7" s="89">
        <v>0.5</v>
      </c>
      <c r="N7" s="97">
        <v>0</v>
      </c>
      <c r="O7" s="89">
        <f>SUM(I7:N7)</f>
        <v>2.5</v>
      </c>
      <c r="P7" s="90"/>
      <c r="Q7" s="91">
        <f t="shared" si="0"/>
        <v>2.5000000000000001E-2</v>
      </c>
      <c r="R7" s="91">
        <f t="shared" si="0"/>
        <v>2.5000000000000001E-2</v>
      </c>
      <c r="S7" s="91">
        <f t="shared" si="0"/>
        <v>2.5000000000000001E-2</v>
      </c>
      <c r="T7" s="91">
        <f t="shared" si="0"/>
        <v>2.5000000000000001E-2</v>
      </c>
      <c r="U7" s="91">
        <f t="shared" si="0"/>
        <v>2.5000000000000001E-2</v>
      </c>
      <c r="V7" s="91">
        <f t="shared" si="0"/>
        <v>0</v>
      </c>
      <c r="W7" s="91">
        <f>SUM(Q7:V7)</f>
        <v>0.125</v>
      </c>
      <c r="X7" s="92"/>
      <c r="Y7" s="93">
        <f>O7</f>
        <v>2.5</v>
      </c>
      <c r="Z7" s="150">
        <f t="shared" si="1"/>
        <v>125000</v>
      </c>
      <c r="AA7" s="93">
        <f t="shared" si="2"/>
        <v>0.5</v>
      </c>
      <c r="AB7" s="150">
        <f t="shared" si="3"/>
        <v>35000</v>
      </c>
      <c r="AC7" s="150">
        <f t="shared" si="4"/>
        <v>160000</v>
      </c>
      <c r="AE7" s="125">
        <f>ROUNDUP(W7,2)</f>
        <v>0.13</v>
      </c>
      <c r="AF7" s="150">
        <f t="shared" si="5"/>
        <v>130000</v>
      </c>
      <c r="AG7" s="125">
        <f t="shared" si="6"/>
        <v>2.5999999999999999E-2</v>
      </c>
      <c r="AH7" s="125">
        <f t="shared" si="7"/>
        <v>0.156</v>
      </c>
      <c r="AI7" s="150">
        <f t="shared" si="8"/>
        <v>36400</v>
      </c>
      <c r="AJ7" s="150">
        <f t="shared" si="9"/>
        <v>167000</v>
      </c>
      <c r="AL7" s="93"/>
      <c r="AM7" s="93"/>
      <c r="AN7" s="93"/>
      <c r="AO7" s="93"/>
      <c r="AP7" s="93"/>
      <c r="AQ7" s="93"/>
      <c r="AR7" s="93"/>
      <c r="AT7" s="93"/>
      <c r="AU7" s="93"/>
      <c r="AV7" s="93"/>
      <c r="AW7" s="93"/>
      <c r="AX7" s="93"/>
      <c r="AY7" s="93"/>
      <c r="AZ7" s="93"/>
    </row>
    <row r="8" spans="1:52" ht="162">
      <c r="A8" s="145">
        <f>ROW()-3</f>
        <v>5</v>
      </c>
      <c r="B8" s="146"/>
      <c r="C8" s="152"/>
      <c r="D8" s="148" t="s">
        <v>267</v>
      </c>
      <c r="E8" s="153" t="s">
        <v>268</v>
      </c>
      <c r="F8" s="86">
        <f>O8</f>
        <v>10</v>
      </c>
      <c r="G8" s="86"/>
      <c r="H8" s="98"/>
      <c r="I8" s="89">
        <v>3</v>
      </c>
      <c r="J8" s="89">
        <v>5</v>
      </c>
      <c r="K8" s="89">
        <v>1</v>
      </c>
      <c r="L8" s="89">
        <v>0.5</v>
      </c>
      <c r="M8" s="89">
        <v>0.5</v>
      </c>
      <c r="N8" s="97">
        <v>0</v>
      </c>
      <c r="O8" s="89">
        <f>SUM(I8:N8)</f>
        <v>10</v>
      </c>
      <c r="P8" s="90"/>
      <c r="Q8" s="91">
        <f t="shared" si="0"/>
        <v>0.15</v>
      </c>
      <c r="R8" s="91">
        <f t="shared" si="0"/>
        <v>0.25</v>
      </c>
      <c r="S8" s="91">
        <f t="shared" si="0"/>
        <v>0.05</v>
      </c>
      <c r="T8" s="91">
        <f t="shared" si="0"/>
        <v>2.5000000000000001E-2</v>
      </c>
      <c r="U8" s="91">
        <f t="shared" si="0"/>
        <v>2.5000000000000001E-2</v>
      </c>
      <c r="V8" s="91">
        <f t="shared" si="0"/>
        <v>0</v>
      </c>
      <c r="W8" s="91">
        <f>SUM(Q8:V8)</f>
        <v>0.5</v>
      </c>
      <c r="X8" s="92"/>
      <c r="Y8" s="93">
        <f>O8</f>
        <v>10</v>
      </c>
      <c r="Z8" s="150">
        <f t="shared" si="1"/>
        <v>500000</v>
      </c>
      <c r="AA8" s="93">
        <f t="shared" si="2"/>
        <v>2</v>
      </c>
      <c r="AB8" s="150">
        <f t="shared" si="3"/>
        <v>140000</v>
      </c>
      <c r="AC8" s="150">
        <f t="shared" si="4"/>
        <v>640000</v>
      </c>
      <c r="AE8" s="125">
        <f>ROUNDUP(W8,2)</f>
        <v>0.5</v>
      </c>
      <c r="AF8" s="150">
        <f t="shared" si="5"/>
        <v>500000</v>
      </c>
      <c r="AG8" s="125">
        <f t="shared" si="6"/>
        <v>0.1</v>
      </c>
      <c r="AH8" s="125">
        <f t="shared" si="7"/>
        <v>0.6</v>
      </c>
      <c r="AI8" s="150">
        <f t="shared" si="8"/>
        <v>140000</v>
      </c>
      <c r="AJ8" s="150">
        <f t="shared" si="9"/>
        <v>640000</v>
      </c>
      <c r="AL8" s="93"/>
      <c r="AM8" s="93"/>
      <c r="AN8" s="93"/>
      <c r="AO8" s="93"/>
      <c r="AP8" s="93"/>
      <c r="AQ8" s="93"/>
      <c r="AR8" s="93"/>
      <c r="AT8" s="93"/>
      <c r="AU8" s="93"/>
      <c r="AV8" s="93"/>
      <c r="AW8" s="93"/>
      <c r="AX8" s="93"/>
      <c r="AY8" s="93"/>
      <c r="AZ8" s="93"/>
    </row>
    <row r="9" spans="1:52" ht="18.5" thickBot="1">
      <c r="A9" s="99" t="s">
        <v>115</v>
      </c>
      <c r="B9" s="100"/>
      <c r="C9" s="101"/>
      <c r="D9" s="101"/>
      <c r="E9" s="101"/>
      <c r="F9" s="102"/>
      <c r="N9" s="72" t="s">
        <v>116</v>
      </c>
      <c r="X9" s="127" t="s">
        <v>214</v>
      </c>
      <c r="Y9" s="130">
        <v>5</v>
      </c>
      <c r="Z9" s="150">
        <f t="shared" si="1"/>
        <v>250000</v>
      </c>
      <c r="AA9" s="93">
        <f t="shared" si="2"/>
        <v>1</v>
      </c>
      <c r="AB9" s="150">
        <f t="shared" si="3"/>
        <v>70000</v>
      </c>
      <c r="AC9" s="150">
        <f t="shared" si="4"/>
        <v>320000</v>
      </c>
      <c r="AE9" s="125">
        <f>ROUNDUP(Y9/20,3)</f>
        <v>0.25</v>
      </c>
      <c r="AF9" s="150">
        <f t="shared" si="5"/>
        <v>250000</v>
      </c>
      <c r="AG9" s="125">
        <f t="shared" si="6"/>
        <v>0.05</v>
      </c>
      <c r="AH9" s="125">
        <f t="shared" si="7"/>
        <v>0.3</v>
      </c>
      <c r="AI9" s="154">
        <f t="shared" si="8"/>
        <v>70000</v>
      </c>
      <c r="AJ9" s="154">
        <f t="shared" si="9"/>
        <v>320000</v>
      </c>
    </row>
    <row r="10" spans="1:52" ht="18.5" thickBot="1">
      <c r="A10" s="103"/>
      <c r="F10" s="104"/>
      <c r="AH10" s="155">
        <f>SUM(AH4:AH9)</f>
        <v>1.9080000000000001</v>
      </c>
      <c r="AI10" s="129" t="s">
        <v>110</v>
      </c>
      <c r="AJ10" s="131">
        <f>SUM(AJ4:AJ9)</f>
        <v>2037000</v>
      </c>
    </row>
    <row r="11" spans="1:52">
      <c r="A11" s="103"/>
      <c r="B11" s="75" t="s">
        <v>117</v>
      </c>
      <c r="F11" s="104"/>
      <c r="Y11" s="126"/>
    </row>
    <row r="12" spans="1:52">
      <c r="A12" s="103"/>
      <c r="B12" s="75" t="s">
        <v>118</v>
      </c>
      <c r="F12" s="104"/>
    </row>
    <row r="13" spans="1:52">
      <c r="A13" s="103"/>
      <c r="B13" s="75" t="s">
        <v>119</v>
      </c>
      <c r="F13" s="104"/>
    </row>
    <row r="14" spans="1:52">
      <c r="A14" s="103"/>
      <c r="B14" s="72" t="s">
        <v>120</v>
      </c>
      <c r="F14" s="104"/>
    </row>
    <row r="15" spans="1:52">
      <c r="A15" s="103"/>
      <c r="B15" s="72" t="s">
        <v>121</v>
      </c>
      <c r="F15" s="104"/>
    </row>
    <row r="16" spans="1:52" s="72" customFormat="1">
      <c r="A16" s="103"/>
      <c r="B16" s="72" t="s">
        <v>122</v>
      </c>
      <c r="C16" s="73"/>
      <c r="D16" s="73"/>
      <c r="E16" s="73"/>
      <c r="F16" s="104"/>
      <c r="H16" s="74"/>
      <c r="I16" s="74"/>
    </row>
    <row r="17" spans="1:6">
      <c r="A17" s="105"/>
      <c r="B17" s="106"/>
      <c r="C17" s="107"/>
      <c r="D17" s="107"/>
      <c r="E17" s="107"/>
      <c r="F17" s="108"/>
    </row>
  </sheetData>
  <mergeCells count="7">
    <mergeCell ref="Y1:AC1"/>
    <mergeCell ref="AE1:AJ1"/>
    <mergeCell ref="AL1:AZ1"/>
    <mergeCell ref="I2:O2"/>
    <mergeCell ref="Q2:W2"/>
    <mergeCell ref="AL2:AR2"/>
    <mergeCell ref="AT2:AZ2"/>
  </mergeCells>
  <phoneticPr fontId="3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9" sqref="A9"/>
    </sheetView>
  </sheetViews>
  <sheetFormatPr defaultColWidth="8.08203125" defaultRowHeight="12.5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>
      <c r="A1" s="1" t="s">
        <v>123</v>
      </c>
      <c r="D1" s="3"/>
    </row>
    <row r="2" spans="1:32" ht="5.25" customHeight="1">
      <c r="A2" s="1"/>
    </row>
    <row r="3" spans="1:32">
      <c r="A3" s="4" t="s">
        <v>124</v>
      </c>
      <c r="B3" s="260"/>
      <c r="C3" s="261"/>
      <c r="D3" s="5" t="s">
        <v>97</v>
      </c>
      <c r="E3" s="260"/>
      <c r="F3" s="262"/>
      <c r="G3" s="262"/>
      <c r="H3" s="262"/>
      <c r="I3" s="262"/>
      <c r="J3" s="262"/>
      <c r="K3" s="262"/>
      <c r="L3" s="262"/>
      <c r="M3" s="262"/>
      <c r="N3" s="262"/>
      <c r="O3" s="261"/>
    </row>
    <row r="4" spans="1:32">
      <c r="A4" s="5" t="s">
        <v>125</v>
      </c>
      <c r="B4" s="260" t="s">
        <v>126</v>
      </c>
      <c r="C4" s="261"/>
      <c r="D4" s="5" t="s">
        <v>127</v>
      </c>
      <c r="E4" s="263"/>
      <c r="F4" s="263"/>
      <c r="G4" s="5" t="s">
        <v>128</v>
      </c>
      <c r="H4" s="264">
        <f>AF59</f>
        <v>0</v>
      </c>
      <c r="I4" s="264"/>
      <c r="J4" s="5" t="s">
        <v>129</v>
      </c>
      <c r="K4" s="265">
        <f>外注費・経費!K4</f>
        <v>0</v>
      </c>
      <c r="L4" s="265"/>
      <c r="M4" s="5" t="s">
        <v>130</v>
      </c>
      <c r="N4" s="265">
        <v>0</v>
      </c>
      <c r="O4" s="265"/>
    </row>
    <row r="5" spans="1:32" ht="6" customHeight="1"/>
    <row r="6" spans="1:32" s="6" customFormat="1">
      <c r="A6" s="246" t="s">
        <v>131</v>
      </c>
      <c r="B6" s="249" t="s">
        <v>132</v>
      </c>
      <c r="C6" s="249" t="s">
        <v>133</v>
      </c>
      <c r="D6" s="252" t="s">
        <v>134</v>
      </c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7" t="s">
        <v>110</v>
      </c>
    </row>
    <row r="7" spans="1:32" s="6" customFormat="1" ht="12" customHeight="1">
      <c r="A7" s="247"/>
      <c r="B7" s="250"/>
      <c r="C7" s="250"/>
      <c r="D7" s="253" t="s">
        <v>135</v>
      </c>
      <c r="E7" s="254"/>
      <c r="F7" s="255"/>
      <c r="G7" s="253" t="s">
        <v>136</v>
      </c>
      <c r="H7" s="254"/>
      <c r="I7" s="255"/>
      <c r="J7" s="253" t="s">
        <v>137</v>
      </c>
      <c r="K7" s="254"/>
      <c r="L7" s="255"/>
      <c r="M7" s="253" t="s">
        <v>138</v>
      </c>
      <c r="N7" s="254"/>
      <c r="O7" s="255"/>
      <c r="P7" s="253" t="s">
        <v>139</v>
      </c>
      <c r="Q7" s="254"/>
      <c r="R7" s="255"/>
      <c r="S7" s="253" t="s">
        <v>140</v>
      </c>
      <c r="T7" s="254"/>
      <c r="U7" s="255"/>
      <c r="V7" s="253" t="s">
        <v>141</v>
      </c>
      <c r="W7" s="254"/>
      <c r="X7" s="255"/>
      <c r="Y7" s="253" t="s">
        <v>142</v>
      </c>
      <c r="Z7" s="254"/>
      <c r="AA7" s="255"/>
      <c r="AB7" s="253" t="s">
        <v>143</v>
      </c>
      <c r="AC7" s="254"/>
      <c r="AD7" s="255"/>
      <c r="AE7" s="256" t="s">
        <v>144</v>
      </c>
      <c r="AF7" s="258"/>
    </row>
    <row r="8" spans="1:32" s="6" customFormat="1">
      <c r="A8" s="248"/>
      <c r="B8" s="251"/>
      <c r="C8" s="251"/>
      <c r="D8" s="7">
        <v>44197</v>
      </c>
      <c r="E8" s="7">
        <v>44228</v>
      </c>
      <c r="F8" s="7">
        <v>44256</v>
      </c>
      <c r="G8" s="7">
        <v>44287</v>
      </c>
      <c r="H8" s="7">
        <v>44317</v>
      </c>
      <c r="I8" s="7">
        <v>44348</v>
      </c>
      <c r="J8" s="7">
        <v>44378</v>
      </c>
      <c r="K8" s="7">
        <v>44409</v>
      </c>
      <c r="L8" s="7">
        <v>44440</v>
      </c>
      <c r="M8" s="7">
        <v>44470</v>
      </c>
      <c r="N8" s="7">
        <v>44501</v>
      </c>
      <c r="O8" s="7">
        <v>44531</v>
      </c>
      <c r="P8" s="7">
        <v>44562</v>
      </c>
      <c r="Q8" s="7">
        <v>44593</v>
      </c>
      <c r="R8" s="7">
        <v>44621</v>
      </c>
      <c r="S8" s="7">
        <v>44652</v>
      </c>
      <c r="T8" s="7">
        <v>44682</v>
      </c>
      <c r="U8" s="7">
        <v>44713</v>
      </c>
      <c r="V8" s="7">
        <v>44743</v>
      </c>
      <c r="W8" s="7">
        <v>44774</v>
      </c>
      <c r="X8" s="7">
        <v>44805</v>
      </c>
      <c r="Y8" s="7">
        <v>44835</v>
      </c>
      <c r="Z8" s="7">
        <v>44866</v>
      </c>
      <c r="AA8" s="7">
        <v>44896</v>
      </c>
      <c r="AB8" s="7">
        <v>44927</v>
      </c>
      <c r="AC8" s="7">
        <v>44958</v>
      </c>
      <c r="AD8" s="7">
        <v>44986</v>
      </c>
      <c r="AE8" s="251"/>
      <c r="AF8" s="259"/>
    </row>
    <row r="9" spans="1:32">
      <c r="A9" s="24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>
        <f>SUM(D9:AE9)</f>
        <v>0</v>
      </c>
    </row>
    <row r="10" spans="1:32">
      <c r="A10" s="8"/>
      <c r="B10" s="8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>
        <f t="shared" ref="AF10:AF58" si="0">SUM(D10:AE10)</f>
        <v>0</v>
      </c>
    </row>
    <row r="11" spans="1:32">
      <c r="A11" s="8"/>
      <c r="B11" s="8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>
        <f t="shared" si="0"/>
        <v>0</v>
      </c>
    </row>
    <row r="12" spans="1:32">
      <c r="A12" s="8"/>
      <c r="B12" s="8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>
        <f t="shared" si="0"/>
        <v>0</v>
      </c>
    </row>
    <row r="13" spans="1:32">
      <c r="A13" s="8"/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>
        <f t="shared" si="0"/>
        <v>0</v>
      </c>
    </row>
    <row r="14" spans="1:32">
      <c r="A14" s="8"/>
      <c r="B14" s="8"/>
      <c r="C14" s="8"/>
      <c r="D14" s="9"/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f t="shared" si="0"/>
        <v>0</v>
      </c>
    </row>
    <row r="15" spans="1:32">
      <c r="A15" s="8"/>
      <c r="B15" s="8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>
        <f t="shared" si="0"/>
        <v>0</v>
      </c>
    </row>
    <row r="16" spans="1:32">
      <c r="A16" s="8"/>
      <c r="B16" s="8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>
        <f t="shared" si="0"/>
        <v>0</v>
      </c>
    </row>
    <row r="17" spans="1:32">
      <c r="A17" s="8"/>
      <c r="B17" s="8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>
        <f t="shared" si="0"/>
        <v>0</v>
      </c>
    </row>
    <row r="18" spans="1:32">
      <c r="A18" s="8"/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>
        <f t="shared" si="0"/>
        <v>0</v>
      </c>
    </row>
    <row r="19" spans="1:32">
      <c r="A19" s="8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>
        <f t="shared" si="0"/>
        <v>0</v>
      </c>
    </row>
    <row r="20" spans="1:32">
      <c r="A20" s="8"/>
      <c r="B20" s="8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>
        <f t="shared" si="0"/>
        <v>0</v>
      </c>
    </row>
    <row r="21" spans="1:32">
      <c r="A21" s="8"/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>
        <f t="shared" si="0"/>
        <v>0</v>
      </c>
    </row>
    <row r="22" spans="1:32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>
        <f t="shared" si="0"/>
        <v>0</v>
      </c>
    </row>
    <row r="23" spans="1:32">
      <c r="A23" s="8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>
        <f t="shared" si="0"/>
        <v>0</v>
      </c>
    </row>
    <row r="24" spans="1:32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>
        <f t="shared" si="0"/>
        <v>0</v>
      </c>
    </row>
    <row r="25" spans="1:32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>
        <f t="shared" si="0"/>
        <v>0</v>
      </c>
    </row>
    <row r="26" spans="1:32">
      <c r="A26" s="8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>
        <f t="shared" si="0"/>
        <v>0</v>
      </c>
    </row>
    <row r="27" spans="1:32">
      <c r="A27" s="8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>
        <f t="shared" si="0"/>
        <v>0</v>
      </c>
    </row>
    <row r="28" spans="1:32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>
        <f t="shared" si="0"/>
        <v>0</v>
      </c>
    </row>
    <row r="29" spans="1:32">
      <c r="A29" s="8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>
        <f t="shared" si="0"/>
        <v>0</v>
      </c>
    </row>
    <row r="30" spans="1:32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>
        <f t="shared" si="0"/>
        <v>0</v>
      </c>
    </row>
    <row r="31" spans="1:32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>
        <f t="shared" si="0"/>
        <v>0</v>
      </c>
    </row>
    <row r="32" spans="1:32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>
        <f t="shared" si="0"/>
        <v>0</v>
      </c>
    </row>
    <row r="33" spans="1:32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>
        <f t="shared" si="0"/>
        <v>0</v>
      </c>
    </row>
    <row r="34" spans="1:32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>
        <f t="shared" si="0"/>
        <v>0</v>
      </c>
    </row>
    <row r="35" spans="1:32">
      <c r="A35" s="8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>
        <f t="shared" si="0"/>
        <v>0</v>
      </c>
    </row>
    <row r="36" spans="1:32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>
        <f t="shared" si="0"/>
        <v>0</v>
      </c>
    </row>
    <row r="37" spans="1:32">
      <c r="A37" s="8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>
        <f t="shared" si="0"/>
        <v>0</v>
      </c>
    </row>
    <row r="38" spans="1:32">
      <c r="A38" s="8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>
        <f t="shared" si="0"/>
        <v>0</v>
      </c>
    </row>
    <row r="39" spans="1:32">
      <c r="A39" s="8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>
        <f t="shared" si="0"/>
        <v>0</v>
      </c>
    </row>
    <row r="40" spans="1:32">
      <c r="A40" s="8"/>
      <c r="B40" s="8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>
        <f t="shared" si="0"/>
        <v>0</v>
      </c>
    </row>
    <row r="41" spans="1:32">
      <c r="A41" s="8"/>
      <c r="B41" s="8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0">
        <f t="shared" si="0"/>
        <v>0</v>
      </c>
    </row>
    <row r="42" spans="1:32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0">
        <f t="shared" si="0"/>
        <v>0</v>
      </c>
    </row>
    <row r="43" spans="1:32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0">
        <f t="shared" si="0"/>
        <v>0</v>
      </c>
    </row>
    <row r="44" spans="1:32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0">
        <f t="shared" si="0"/>
        <v>0</v>
      </c>
    </row>
    <row r="45" spans="1:32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0">
        <f t="shared" si="0"/>
        <v>0</v>
      </c>
    </row>
    <row r="46" spans="1:32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0">
        <f t="shared" si="0"/>
        <v>0</v>
      </c>
    </row>
    <row r="47" spans="1:32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0">
        <f t="shared" si="0"/>
        <v>0</v>
      </c>
    </row>
    <row r="48" spans="1:32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0">
        <f t="shared" si="0"/>
        <v>0</v>
      </c>
    </row>
    <row r="49" spans="1:32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0">
        <f t="shared" si="0"/>
        <v>0</v>
      </c>
    </row>
    <row r="50" spans="1:32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0">
        <f t="shared" si="0"/>
        <v>0</v>
      </c>
    </row>
    <row r="51" spans="1:32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0">
        <f t="shared" si="0"/>
        <v>0</v>
      </c>
    </row>
    <row r="52" spans="1:32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>
        <f t="shared" si="0"/>
        <v>0</v>
      </c>
    </row>
    <row r="53" spans="1:32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0">
        <f t="shared" si="0"/>
        <v>0</v>
      </c>
    </row>
    <row r="54" spans="1:32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10">
        <f t="shared" si="0"/>
        <v>0</v>
      </c>
    </row>
    <row r="55" spans="1:32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0">
        <f t="shared" si="0"/>
        <v>0</v>
      </c>
    </row>
    <row r="56" spans="1:32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0">
        <f t="shared" si="0"/>
        <v>0</v>
      </c>
    </row>
    <row r="57" spans="1:32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0">
        <f t="shared" si="0"/>
        <v>0</v>
      </c>
    </row>
    <row r="58" spans="1:32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>
        <f t="shared" si="0"/>
        <v>0</v>
      </c>
    </row>
    <row r="59" spans="1:32">
      <c r="A59" s="243" t="s">
        <v>110</v>
      </c>
      <c r="B59" s="244"/>
      <c r="C59" s="245"/>
      <c r="D59" s="10">
        <f>SUM(D9:D58)</f>
        <v>0</v>
      </c>
      <c r="E59" s="10">
        <f t="shared" ref="E59:AF59" si="1">SUM(E9:E58)</f>
        <v>0</v>
      </c>
      <c r="F59" s="10">
        <f t="shared" si="1"/>
        <v>0</v>
      </c>
      <c r="G59" s="10">
        <f t="shared" si="1"/>
        <v>0</v>
      </c>
      <c r="H59" s="10">
        <f t="shared" si="1"/>
        <v>0</v>
      </c>
      <c r="I59" s="10">
        <f t="shared" si="1"/>
        <v>0</v>
      </c>
      <c r="J59" s="10">
        <f t="shared" si="1"/>
        <v>0</v>
      </c>
      <c r="K59" s="10">
        <f t="shared" si="1"/>
        <v>0</v>
      </c>
      <c r="L59" s="10">
        <f t="shared" si="1"/>
        <v>0</v>
      </c>
      <c r="M59" s="10">
        <f t="shared" si="1"/>
        <v>0</v>
      </c>
      <c r="N59" s="10">
        <f t="shared" si="1"/>
        <v>0</v>
      </c>
      <c r="O59" s="10">
        <f t="shared" si="1"/>
        <v>0</v>
      </c>
      <c r="P59" s="10">
        <f t="shared" si="1"/>
        <v>0</v>
      </c>
      <c r="Q59" s="10">
        <f t="shared" si="1"/>
        <v>0</v>
      </c>
      <c r="R59" s="10">
        <f t="shared" si="1"/>
        <v>0</v>
      </c>
      <c r="S59" s="10">
        <f t="shared" si="1"/>
        <v>0</v>
      </c>
      <c r="T59" s="10">
        <f t="shared" si="1"/>
        <v>0</v>
      </c>
      <c r="U59" s="10">
        <f t="shared" si="1"/>
        <v>0</v>
      </c>
      <c r="V59" s="10">
        <f t="shared" si="1"/>
        <v>0</v>
      </c>
      <c r="W59" s="10">
        <f t="shared" si="1"/>
        <v>0</v>
      </c>
      <c r="X59" s="10">
        <f t="shared" si="1"/>
        <v>0</v>
      </c>
      <c r="Y59" s="10">
        <f t="shared" si="1"/>
        <v>0</v>
      </c>
      <c r="Z59" s="10">
        <f t="shared" si="1"/>
        <v>0</v>
      </c>
      <c r="AA59" s="10">
        <f t="shared" si="1"/>
        <v>0</v>
      </c>
      <c r="AB59" s="10">
        <f t="shared" si="1"/>
        <v>0</v>
      </c>
      <c r="AC59" s="10">
        <f t="shared" si="1"/>
        <v>0</v>
      </c>
      <c r="AD59" s="10">
        <f t="shared" si="1"/>
        <v>0</v>
      </c>
      <c r="AE59" s="10">
        <f t="shared" si="1"/>
        <v>0</v>
      </c>
      <c r="AF59" s="10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C13" sqref="C13"/>
    </sheetView>
  </sheetViews>
  <sheetFormatPr defaultColWidth="8.08203125" defaultRowHeight="12.5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>
      <c r="A1" s="1" t="s">
        <v>145</v>
      </c>
    </row>
    <row r="2" spans="1:32" ht="5.25" customHeight="1">
      <c r="A2" s="1"/>
    </row>
    <row r="3" spans="1:32">
      <c r="A3" s="12" t="s">
        <v>124</v>
      </c>
      <c r="B3" s="260"/>
      <c r="C3" s="261"/>
      <c r="D3" s="13" t="s">
        <v>97</v>
      </c>
      <c r="E3" s="260">
        <f>社員工数!E3</f>
        <v>0</v>
      </c>
      <c r="F3" s="262"/>
      <c r="G3" s="262"/>
      <c r="H3" s="262"/>
      <c r="I3" s="262"/>
      <c r="J3" s="262"/>
      <c r="K3" s="262"/>
      <c r="L3" s="262"/>
      <c r="M3" s="262"/>
      <c r="N3" s="262"/>
      <c r="O3" s="261"/>
    </row>
    <row r="4" spans="1:32">
      <c r="A4" s="12" t="s">
        <v>125</v>
      </c>
      <c r="B4" s="260" t="s">
        <v>146</v>
      </c>
      <c r="C4" s="261"/>
      <c r="D4" s="14" t="s">
        <v>127</v>
      </c>
      <c r="E4" s="280">
        <f>社員工数!E4</f>
        <v>0</v>
      </c>
      <c r="F4" s="280"/>
      <c r="G4" s="14" t="s">
        <v>128</v>
      </c>
      <c r="H4" s="281">
        <f>社員工数!H4</f>
        <v>0</v>
      </c>
      <c r="I4" s="281"/>
      <c r="J4" s="14" t="s">
        <v>129</v>
      </c>
      <c r="K4" s="282">
        <f>AF59</f>
        <v>0</v>
      </c>
      <c r="L4" s="282"/>
      <c r="M4" s="14" t="s">
        <v>130</v>
      </c>
      <c r="N4" s="282">
        <f>SUMIF(A:A,"経費",AF:AF)</f>
        <v>0</v>
      </c>
      <c r="O4" s="282"/>
    </row>
    <row r="5" spans="1:32" ht="6" customHeight="1"/>
    <row r="6" spans="1:32" s="6" customFormat="1">
      <c r="A6" s="266" t="s">
        <v>131</v>
      </c>
      <c r="B6" s="269" t="s">
        <v>147</v>
      </c>
      <c r="C6" s="269" t="s">
        <v>133</v>
      </c>
      <c r="D6" s="272" t="s">
        <v>148</v>
      </c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  <c r="AA6" s="272"/>
      <c r="AB6" s="272"/>
      <c r="AC6" s="272"/>
      <c r="AD6" s="272"/>
      <c r="AE6" s="272"/>
      <c r="AF6" s="277" t="s">
        <v>110</v>
      </c>
    </row>
    <row r="7" spans="1:32" s="6" customFormat="1" ht="12" customHeight="1">
      <c r="A7" s="267"/>
      <c r="B7" s="270"/>
      <c r="C7" s="270"/>
      <c r="D7" s="273" t="s">
        <v>149</v>
      </c>
      <c r="E7" s="274"/>
      <c r="F7" s="275"/>
      <c r="G7" s="273" t="s">
        <v>150</v>
      </c>
      <c r="H7" s="274"/>
      <c r="I7" s="275"/>
      <c r="J7" s="273" t="s">
        <v>151</v>
      </c>
      <c r="K7" s="274"/>
      <c r="L7" s="275"/>
      <c r="M7" s="273" t="s">
        <v>152</v>
      </c>
      <c r="N7" s="274"/>
      <c r="O7" s="275"/>
      <c r="P7" s="273" t="s">
        <v>153</v>
      </c>
      <c r="Q7" s="274"/>
      <c r="R7" s="275"/>
      <c r="S7" s="273" t="s">
        <v>154</v>
      </c>
      <c r="T7" s="274"/>
      <c r="U7" s="275"/>
      <c r="V7" s="273" t="s">
        <v>155</v>
      </c>
      <c r="W7" s="274"/>
      <c r="X7" s="275"/>
      <c r="Y7" s="273" t="s">
        <v>156</v>
      </c>
      <c r="Z7" s="274"/>
      <c r="AA7" s="275"/>
      <c r="AB7" s="273" t="s">
        <v>157</v>
      </c>
      <c r="AC7" s="274"/>
      <c r="AD7" s="275"/>
      <c r="AE7" s="276" t="s">
        <v>144</v>
      </c>
      <c r="AF7" s="278"/>
    </row>
    <row r="8" spans="1:32" s="6" customFormat="1">
      <c r="A8" s="268"/>
      <c r="B8" s="271"/>
      <c r="C8" s="271"/>
      <c r="D8" s="15">
        <v>44197</v>
      </c>
      <c r="E8" s="15">
        <v>44228</v>
      </c>
      <c r="F8" s="15">
        <v>44256</v>
      </c>
      <c r="G8" s="15">
        <v>44287</v>
      </c>
      <c r="H8" s="15">
        <v>44317</v>
      </c>
      <c r="I8" s="15">
        <v>44348</v>
      </c>
      <c r="J8" s="15">
        <v>44378</v>
      </c>
      <c r="K8" s="15">
        <v>44409</v>
      </c>
      <c r="L8" s="15">
        <v>44440</v>
      </c>
      <c r="M8" s="15">
        <v>44470</v>
      </c>
      <c r="N8" s="15">
        <v>44501</v>
      </c>
      <c r="O8" s="15">
        <v>44531</v>
      </c>
      <c r="P8" s="15">
        <v>44562</v>
      </c>
      <c r="Q8" s="15">
        <v>44593</v>
      </c>
      <c r="R8" s="15">
        <v>44621</v>
      </c>
      <c r="S8" s="15">
        <v>44652</v>
      </c>
      <c r="T8" s="15">
        <v>44682</v>
      </c>
      <c r="U8" s="15">
        <v>44713</v>
      </c>
      <c r="V8" s="15">
        <v>44743</v>
      </c>
      <c r="W8" s="15">
        <v>44774</v>
      </c>
      <c r="X8" s="15">
        <v>44805</v>
      </c>
      <c r="Y8" s="15">
        <v>44835</v>
      </c>
      <c r="Z8" s="15">
        <v>44866</v>
      </c>
      <c r="AA8" s="15">
        <v>44896</v>
      </c>
      <c r="AB8" s="15">
        <v>44927</v>
      </c>
      <c r="AC8" s="15">
        <v>44958</v>
      </c>
      <c r="AD8" s="15">
        <v>44986</v>
      </c>
      <c r="AE8" s="271"/>
      <c r="AF8" s="279"/>
    </row>
    <row r="9" spans="1:32">
      <c r="A9" s="16"/>
      <c r="B9" s="1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8">
        <f>SUM(D9:AE9)</f>
        <v>0</v>
      </c>
    </row>
    <row r="10" spans="1:32">
      <c r="A10" s="16"/>
      <c r="B10" s="17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>
        <f t="shared" ref="AF10:AF58" si="0">SUM(D10:AE10)</f>
        <v>0</v>
      </c>
    </row>
    <row r="11" spans="1:32">
      <c r="A11" s="16"/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>
        <f t="shared" si="0"/>
        <v>0</v>
      </c>
    </row>
    <row r="12" spans="1:32">
      <c r="A12" s="16"/>
      <c r="B12" s="17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>
        <f t="shared" si="0"/>
        <v>0</v>
      </c>
    </row>
    <row r="13" spans="1:32">
      <c r="A13" s="16"/>
      <c r="B13" s="17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>
        <f t="shared" si="0"/>
        <v>0</v>
      </c>
    </row>
    <row r="14" spans="1:32">
      <c r="A14" s="16"/>
      <c r="B14" s="17"/>
      <c r="C14" s="16"/>
      <c r="D14" s="16"/>
      <c r="E14" s="19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8">
        <f t="shared" si="0"/>
        <v>0</v>
      </c>
    </row>
    <row r="15" spans="1:32">
      <c r="A15" s="16"/>
      <c r="B15" s="17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8">
        <f t="shared" si="0"/>
        <v>0</v>
      </c>
    </row>
    <row r="16" spans="1:32">
      <c r="A16" s="16"/>
      <c r="B16" s="17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8">
        <f t="shared" si="0"/>
        <v>0</v>
      </c>
    </row>
    <row r="17" spans="1:32">
      <c r="A17" s="16"/>
      <c r="B17" s="17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8">
        <f t="shared" si="0"/>
        <v>0</v>
      </c>
    </row>
    <row r="18" spans="1:32">
      <c r="A18" s="16"/>
      <c r="B18" s="17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8">
        <f t="shared" si="0"/>
        <v>0</v>
      </c>
    </row>
    <row r="19" spans="1:32">
      <c r="A19" s="16"/>
      <c r="B19" s="17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8">
        <f t="shared" si="0"/>
        <v>0</v>
      </c>
    </row>
    <row r="20" spans="1:32">
      <c r="A20" s="16"/>
      <c r="B20" s="1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8">
        <f t="shared" si="0"/>
        <v>0</v>
      </c>
    </row>
    <row r="21" spans="1:32">
      <c r="A21" s="16"/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8">
        <f t="shared" si="0"/>
        <v>0</v>
      </c>
    </row>
    <row r="22" spans="1:32">
      <c r="A22" s="16"/>
      <c r="B22" s="17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8">
        <f t="shared" si="0"/>
        <v>0</v>
      </c>
    </row>
    <row r="23" spans="1:32">
      <c r="A23" s="16"/>
      <c r="B23" s="1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8">
        <f t="shared" si="0"/>
        <v>0</v>
      </c>
    </row>
    <row r="24" spans="1:32">
      <c r="A24" s="16"/>
      <c r="B24" s="17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8">
        <f t="shared" si="0"/>
        <v>0</v>
      </c>
    </row>
    <row r="25" spans="1:32">
      <c r="A25" s="16"/>
      <c r="B25" s="17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8">
        <f t="shared" si="0"/>
        <v>0</v>
      </c>
    </row>
    <row r="26" spans="1:32">
      <c r="A26" s="16"/>
      <c r="B26" s="17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8">
        <f t="shared" si="0"/>
        <v>0</v>
      </c>
    </row>
    <row r="27" spans="1:32">
      <c r="A27" s="16"/>
      <c r="B27" s="17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8">
        <f t="shared" si="0"/>
        <v>0</v>
      </c>
    </row>
    <row r="28" spans="1:32">
      <c r="A28" s="16"/>
      <c r="B28" s="1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8">
        <f t="shared" si="0"/>
        <v>0</v>
      </c>
    </row>
    <row r="29" spans="1:32">
      <c r="A29" s="16"/>
      <c r="B29" s="17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8">
        <f t="shared" si="0"/>
        <v>0</v>
      </c>
    </row>
    <row r="30" spans="1:32">
      <c r="A30" s="16"/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8">
        <f t="shared" si="0"/>
        <v>0</v>
      </c>
    </row>
    <row r="31" spans="1:32">
      <c r="A31" s="16"/>
      <c r="B31" s="17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8">
        <f t="shared" si="0"/>
        <v>0</v>
      </c>
    </row>
    <row r="32" spans="1:32">
      <c r="A32" s="16"/>
      <c r="B32" s="17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8">
        <f t="shared" si="0"/>
        <v>0</v>
      </c>
    </row>
    <row r="33" spans="1:32">
      <c r="A33" s="16"/>
      <c r="B33" s="17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8">
        <f t="shared" si="0"/>
        <v>0</v>
      </c>
    </row>
    <row r="34" spans="1:32">
      <c r="A34" s="16"/>
      <c r="B34" s="17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8">
        <f t="shared" si="0"/>
        <v>0</v>
      </c>
    </row>
    <row r="35" spans="1:32">
      <c r="A35" s="16"/>
      <c r="B35" s="17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8">
        <f t="shared" si="0"/>
        <v>0</v>
      </c>
    </row>
    <row r="36" spans="1:32">
      <c r="A36" s="16"/>
      <c r="B36" s="17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8">
        <f t="shared" si="0"/>
        <v>0</v>
      </c>
    </row>
    <row r="37" spans="1:32">
      <c r="A37" s="16"/>
      <c r="B37" s="17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8">
        <f t="shared" si="0"/>
        <v>0</v>
      </c>
    </row>
    <row r="38" spans="1:32">
      <c r="A38" s="16"/>
      <c r="B38" s="17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8">
        <f t="shared" si="0"/>
        <v>0</v>
      </c>
    </row>
    <row r="39" spans="1:32">
      <c r="A39" s="16"/>
      <c r="B39" s="17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8">
        <f t="shared" si="0"/>
        <v>0</v>
      </c>
    </row>
    <row r="40" spans="1:32">
      <c r="A40" s="16"/>
      <c r="B40" s="17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8">
        <f t="shared" si="0"/>
        <v>0</v>
      </c>
    </row>
    <row r="41" spans="1:32">
      <c r="A41" s="16"/>
      <c r="B41" s="17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8">
        <f t="shared" si="0"/>
        <v>0</v>
      </c>
    </row>
    <row r="42" spans="1:32">
      <c r="A42" s="16"/>
      <c r="B42" s="17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8">
        <f t="shared" si="0"/>
        <v>0</v>
      </c>
    </row>
    <row r="43" spans="1:32">
      <c r="A43" s="16"/>
      <c r="B43" s="17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8">
        <f t="shared" si="0"/>
        <v>0</v>
      </c>
    </row>
    <row r="44" spans="1:32">
      <c r="A44" s="16"/>
      <c r="B44" s="17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8">
        <f t="shared" si="0"/>
        <v>0</v>
      </c>
    </row>
    <row r="45" spans="1:32">
      <c r="A45" s="16"/>
      <c r="B45" s="17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8">
        <f t="shared" si="0"/>
        <v>0</v>
      </c>
    </row>
    <row r="46" spans="1:32">
      <c r="A46" s="16"/>
      <c r="B46" s="17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8">
        <f t="shared" si="0"/>
        <v>0</v>
      </c>
    </row>
    <row r="47" spans="1:32">
      <c r="A47" s="16"/>
      <c r="B47" s="17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8">
        <f t="shared" si="0"/>
        <v>0</v>
      </c>
    </row>
    <row r="48" spans="1:32">
      <c r="A48" s="16"/>
      <c r="B48" s="17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8">
        <f t="shared" si="0"/>
        <v>0</v>
      </c>
    </row>
    <row r="49" spans="1:32">
      <c r="A49" s="16"/>
      <c r="B49" s="17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8">
        <f t="shared" si="0"/>
        <v>0</v>
      </c>
    </row>
    <row r="50" spans="1:32">
      <c r="A50" s="16"/>
      <c r="B50" s="17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8">
        <f t="shared" si="0"/>
        <v>0</v>
      </c>
    </row>
    <row r="51" spans="1:32">
      <c r="A51" s="16"/>
      <c r="B51" s="17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8">
        <f t="shared" si="0"/>
        <v>0</v>
      </c>
    </row>
    <row r="52" spans="1:32">
      <c r="A52" s="16"/>
      <c r="B52" s="17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8">
        <f t="shared" si="0"/>
        <v>0</v>
      </c>
    </row>
    <row r="53" spans="1:32">
      <c r="A53" s="16"/>
      <c r="B53" s="17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8">
        <f t="shared" si="0"/>
        <v>0</v>
      </c>
    </row>
    <row r="54" spans="1:32">
      <c r="A54" s="16"/>
      <c r="B54" s="17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8">
        <f t="shared" si="0"/>
        <v>0</v>
      </c>
    </row>
    <row r="55" spans="1:32">
      <c r="A55" s="16"/>
      <c r="B55" s="17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8">
        <f t="shared" si="0"/>
        <v>0</v>
      </c>
    </row>
    <row r="56" spans="1:32">
      <c r="A56" s="16"/>
      <c r="B56" s="17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8">
        <f t="shared" si="0"/>
        <v>0</v>
      </c>
    </row>
    <row r="57" spans="1:32">
      <c r="A57" s="16"/>
      <c r="B57" s="17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8">
        <f t="shared" si="0"/>
        <v>0</v>
      </c>
    </row>
    <row r="58" spans="1:32">
      <c r="A58" s="16"/>
      <c r="B58" s="17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8">
        <f t="shared" si="0"/>
        <v>0</v>
      </c>
    </row>
    <row r="59" spans="1:32">
      <c r="A59" s="243" t="s">
        <v>110</v>
      </c>
      <c r="B59" s="244"/>
      <c r="C59" s="245"/>
      <c r="D59" s="18">
        <f>SUM(D9:D58)</f>
        <v>0</v>
      </c>
      <c r="E59" s="18">
        <f t="shared" ref="E59:AF59" si="1">SUM(E9:E58)</f>
        <v>0</v>
      </c>
      <c r="F59" s="18">
        <f t="shared" si="1"/>
        <v>0</v>
      </c>
      <c r="G59" s="18">
        <f t="shared" si="1"/>
        <v>0</v>
      </c>
      <c r="H59" s="18">
        <f t="shared" si="1"/>
        <v>0</v>
      </c>
      <c r="I59" s="18">
        <f t="shared" si="1"/>
        <v>0</v>
      </c>
      <c r="J59" s="18">
        <f t="shared" si="1"/>
        <v>0</v>
      </c>
      <c r="K59" s="18">
        <f t="shared" si="1"/>
        <v>0</v>
      </c>
      <c r="L59" s="18">
        <f t="shared" si="1"/>
        <v>0</v>
      </c>
      <c r="M59" s="18">
        <f t="shared" si="1"/>
        <v>0</v>
      </c>
      <c r="N59" s="18">
        <f t="shared" si="1"/>
        <v>0</v>
      </c>
      <c r="O59" s="18">
        <f t="shared" si="1"/>
        <v>0</v>
      </c>
      <c r="P59" s="18">
        <f t="shared" si="1"/>
        <v>0</v>
      </c>
      <c r="Q59" s="18">
        <f t="shared" si="1"/>
        <v>0</v>
      </c>
      <c r="R59" s="18">
        <f t="shared" si="1"/>
        <v>0</v>
      </c>
      <c r="S59" s="18">
        <f t="shared" si="1"/>
        <v>0</v>
      </c>
      <c r="T59" s="18">
        <f t="shared" si="1"/>
        <v>0</v>
      </c>
      <c r="U59" s="18">
        <f t="shared" si="1"/>
        <v>0</v>
      </c>
      <c r="V59" s="18">
        <f t="shared" si="1"/>
        <v>0</v>
      </c>
      <c r="W59" s="18">
        <f t="shared" si="1"/>
        <v>0</v>
      </c>
      <c r="X59" s="18">
        <f t="shared" si="1"/>
        <v>0</v>
      </c>
      <c r="Y59" s="18">
        <f t="shared" si="1"/>
        <v>0</v>
      </c>
      <c r="Z59" s="18">
        <f t="shared" si="1"/>
        <v>0</v>
      </c>
      <c r="AA59" s="18">
        <f t="shared" si="1"/>
        <v>0</v>
      </c>
      <c r="AB59" s="18">
        <f t="shared" si="1"/>
        <v>0</v>
      </c>
      <c r="AC59" s="18">
        <f t="shared" si="1"/>
        <v>0</v>
      </c>
      <c r="AD59" s="18">
        <f t="shared" si="1"/>
        <v>0</v>
      </c>
      <c r="AE59" s="18">
        <f t="shared" si="1"/>
        <v>0</v>
      </c>
      <c r="AF59" s="18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リストマスタ!$L$3:$L$4</xm:f>
          </x14:formula1>
          <xm:sqref>A9:A58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F16" sqref="F16"/>
    </sheetView>
  </sheetViews>
  <sheetFormatPr defaultColWidth="8.58203125" defaultRowHeight="18"/>
  <cols>
    <col min="1" max="1" width="4.58203125" style="21" customWidth="1"/>
    <col min="2" max="2" width="10.5" style="21" customWidth="1"/>
    <col min="3" max="3" width="22" style="21" customWidth="1"/>
    <col min="4" max="4" width="15.08203125" style="21" customWidth="1"/>
    <col min="5" max="5" width="11.08203125" style="21" customWidth="1"/>
    <col min="6" max="6" width="58.33203125" style="21" bestFit="1" customWidth="1"/>
    <col min="7" max="7" width="11.08203125" style="21" customWidth="1"/>
    <col min="8" max="8" width="5.83203125" style="21" customWidth="1"/>
    <col min="9" max="9" width="11.83203125" style="21" customWidth="1"/>
    <col min="10" max="10" width="11.08203125" style="21" customWidth="1"/>
    <col min="11" max="11" width="17.08203125" style="21" bestFit="1" customWidth="1"/>
    <col min="12" max="12" width="11.08203125" style="21" customWidth="1"/>
    <col min="13" max="16384" width="8.58203125" style="21"/>
  </cols>
  <sheetData>
    <row r="1" spans="1:12">
      <c r="A1" s="285" t="s">
        <v>18</v>
      </c>
      <c r="B1" s="20" t="s">
        <v>158</v>
      </c>
      <c r="C1" s="285" t="s">
        <v>159</v>
      </c>
      <c r="D1" s="285" t="s">
        <v>160</v>
      </c>
      <c r="E1" s="285" t="s">
        <v>161</v>
      </c>
      <c r="F1" s="285" t="s">
        <v>162</v>
      </c>
      <c r="G1" s="285" t="s">
        <v>163</v>
      </c>
      <c r="H1" s="283" t="s">
        <v>164</v>
      </c>
      <c r="I1" s="284"/>
      <c r="J1" s="285" t="s">
        <v>165</v>
      </c>
      <c r="K1" s="285" t="s">
        <v>166</v>
      </c>
      <c r="L1" s="285" t="s">
        <v>167</v>
      </c>
    </row>
    <row r="2" spans="1:12">
      <c r="A2" s="285"/>
      <c r="B2" s="20" t="s">
        <v>168</v>
      </c>
      <c r="C2" s="285"/>
      <c r="D2" s="285"/>
      <c r="E2" s="285"/>
      <c r="F2" s="285"/>
      <c r="G2" s="285"/>
      <c r="H2" s="20" t="s">
        <v>18</v>
      </c>
      <c r="I2" s="20" t="s">
        <v>169</v>
      </c>
      <c r="J2" s="285"/>
      <c r="K2" s="285"/>
      <c r="L2" s="285"/>
    </row>
    <row r="3" spans="1:12">
      <c r="A3" s="22">
        <v>1</v>
      </c>
      <c r="B3" s="23">
        <v>0.1</v>
      </c>
      <c r="C3" s="22" t="s">
        <v>170</v>
      </c>
      <c r="D3" s="22" t="s">
        <v>171</v>
      </c>
      <c r="E3" s="22" t="s">
        <v>172</v>
      </c>
      <c r="F3" s="22" t="s">
        <v>173</v>
      </c>
      <c r="G3" s="22" t="s">
        <v>174</v>
      </c>
      <c r="H3" s="22">
        <v>1</v>
      </c>
      <c r="I3" s="22" t="s">
        <v>175</v>
      </c>
      <c r="J3" s="22" t="s">
        <v>176</v>
      </c>
      <c r="K3" s="22" t="s">
        <v>177</v>
      </c>
      <c r="L3" s="22" t="s">
        <v>178</v>
      </c>
    </row>
    <row r="4" spans="1:12">
      <c r="A4" s="22">
        <v>2</v>
      </c>
      <c r="B4" s="23"/>
      <c r="C4" s="22"/>
      <c r="D4" s="22"/>
      <c r="E4" s="22" t="s">
        <v>179</v>
      </c>
      <c r="F4" s="22" t="s">
        <v>180</v>
      </c>
      <c r="G4" s="22" t="s">
        <v>181</v>
      </c>
      <c r="H4" s="22">
        <v>2</v>
      </c>
      <c r="I4" s="22" t="s">
        <v>182</v>
      </c>
      <c r="J4" s="22" t="s">
        <v>183</v>
      </c>
      <c r="K4" s="22" t="s">
        <v>184</v>
      </c>
      <c r="L4" s="22" t="s">
        <v>185</v>
      </c>
    </row>
    <row r="5" spans="1:12">
      <c r="A5" s="22">
        <v>3</v>
      </c>
      <c r="B5" s="22"/>
      <c r="C5" s="22"/>
      <c r="D5" s="22"/>
      <c r="E5" s="22"/>
      <c r="F5" s="22" t="s">
        <v>186</v>
      </c>
      <c r="G5" s="22" t="s">
        <v>187</v>
      </c>
      <c r="H5" s="22">
        <v>3</v>
      </c>
      <c r="I5" s="22" t="s">
        <v>188</v>
      </c>
      <c r="J5" s="22" t="s">
        <v>189</v>
      </c>
      <c r="K5" s="22" t="s">
        <v>190</v>
      </c>
      <c r="L5" s="22"/>
    </row>
    <row r="6" spans="1:12">
      <c r="A6" s="22">
        <v>4</v>
      </c>
      <c r="B6" s="22"/>
      <c r="C6" s="22"/>
      <c r="D6" s="22"/>
      <c r="E6" s="22"/>
      <c r="F6" s="22"/>
      <c r="G6" s="22"/>
      <c r="H6" s="22"/>
      <c r="I6" s="22"/>
      <c r="J6" s="22"/>
      <c r="K6" s="22" t="s">
        <v>191</v>
      </c>
      <c r="L6" s="22"/>
    </row>
    <row r="7" spans="1:12">
      <c r="A7" s="22">
        <v>5</v>
      </c>
      <c r="B7" s="22"/>
      <c r="C7" s="22"/>
      <c r="D7" s="22"/>
      <c r="E7" s="22"/>
      <c r="F7" s="22"/>
      <c r="G7" s="22"/>
      <c r="H7" s="22"/>
      <c r="I7" s="22"/>
      <c r="J7" s="22"/>
      <c r="K7" s="22" t="s">
        <v>192</v>
      </c>
      <c r="L7" s="22"/>
    </row>
    <row r="8" spans="1:12">
      <c r="A8" s="22">
        <v>6</v>
      </c>
      <c r="B8" s="22"/>
      <c r="C8" s="22"/>
      <c r="D8" s="22"/>
      <c r="E8" s="22"/>
      <c r="F8" s="22"/>
      <c r="G8" s="22"/>
      <c r="H8" s="22"/>
      <c r="I8" s="22"/>
      <c r="J8" s="22"/>
      <c r="K8" s="22" t="s">
        <v>193</v>
      </c>
      <c r="L8" s="22"/>
    </row>
    <row r="9" spans="1:12">
      <c r="A9" s="22">
        <v>7</v>
      </c>
      <c r="B9" s="22"/>
      <c r="C9" s="22"/>
      <c r="D9" s="22"/>
      <c r="E9" s="22"/>
      <c r="F9" s="22"/>
      <c r="G9" s="22"/>
      <c r="H9" s="22"/>
      <c r="I9" s="22"/>
      <c r="J9" s="22"/>
      <c r="K9" s="22" t="s">
        <v>194</v>
      </c>
      <c r="L9" s="22"/>
    </row>
    <row r="10" spans="1:12">
      <c r="A10" s="22">
        <v>8</v>
      </c>
      <c r="B10" s="22"/>
      <c r="C10" s="22"/>
      <c r="D10" s="22"/>
      <c r="E10" s="22"/>
      <c r="F10" s="22"/>
      <c r="G10" s="22"/>
      <c r="H10" s="22"/>
      <c r="I10" s="22"/>
      <c r="J10" s="22"/>
      <c r="K10" s="22" t="s">
        <v>195</v>
      </c>
      <c r="L10" s="22"/>
    </row>
    <row r="11" spans="1:12">
      <c r="A11" s="22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 t="s">
        <v>196</v>
      </c>
      <c r="L11" s="22"/>
    </row>
    <row r="12" spans="1:12">
      <c r="A12" s="22">
        <v>10</v>
      </c>
      <c r="B12" s="22"/>
      <c r="C12" s="22"/>
      <c r="D12" s="22"/>
      <c r="E12" s="22"/>
      <c r="F12" s="22"/>
      <c r="G12" s="22"/>
      <c r="H12" s="22"/>
      <c r="I12" s="22"/>
      <c r="J12" s="22"/>
      <c r="K12" s="22" t="s">
        <v>197</v>
      </c>
      <c r="L12" s="22"/>
    </row>
    <row r="13" spans="1:12">
      <c r="A13" s="22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F6D62-890C-4F99-9EFD-D76DA9D640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881CCC-D800-4BA5-B75D-17201FC3BAE4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2fd442da-66a9-4fa6-ba31-eb0d54ad1381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C03EBC9-F139-467A-9DA4-B42C97F14D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概算見積</vt:lpstr>
      <vt:lpstr>工数明細</vt:lpstr>
      <vt:lpstr>工数明細 (2)</vt:lpstr>
      <vt:lpstr>社員工数</vt:lpstr>
      <vt:lpstr>外注費・経費</vt:lpstr>
      <vt:lpstr>リストマスタ</vt:lpstr>
      <vt:lpstr>概算見積!Print_Area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髙橋裕輔</cp:lastModifiedBy>
  <cp:revision/>
  <dcterms:created xsi:type="dcterms:W3CDTF">2021-04-22T09:34:49Z</dcterms:created>
  <dcterms:modified xsi:type="dcterms:W3CDTF">2025-09-25T01:34:23Z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