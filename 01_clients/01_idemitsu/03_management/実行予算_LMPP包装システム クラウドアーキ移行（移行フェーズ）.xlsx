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ru.ishii.SYSTEM-EXE\Desktop\新しいフォルダー\"/>
    </mc:Choice>
  </mc:AlternateContent>
  <xr:revisionPtr revIDLastSave="0" documentId="13_ncr:1_{214BBF0D-E2F8-4DE9-AF0C-88F468106A5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" l="1"/>
  <c r="AF9" i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<sst xmlns="http://schemas.openxmlformats.org/spreadsheetml/2006/main" count="101" uniqueCount="85">
  <si>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</si>
  <si>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</si>
  <si>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</si>
  <si>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</si>
  <si>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LMPP包装管理システム クラウドアーキ移行（開発フェーズ）</t>
    <rPh sb="4" eb="6">
      <t>ホウソウ</t>
    </rPh>
    <rPh sb="6" eb="8">
      <t>カンリ</t>
    </rPh>
    <rPh sb="20" eb="22">
      <t>イコウ</t>
    </rPh>
    <rPh sb="23" eb="25">
      <t>カイハツ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</si>
  <si>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</si>
  <si>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</si>
  <si>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</si>
  <si>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</si>
  <si>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</si>
  <si>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</si>
  <si>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</si>
  <si>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</si>
  <si>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</si>
  <si>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</si>
  <si>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</si>
  <si>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</si>
  <si>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</si>
  <si>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</si>
  <si>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</si>
  <si>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</si>
  <si>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</si>
  <si>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</si>
  <si>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</si>
  <si>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</si>
  <si>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</si>
  <si>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</si>
  <si>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黒田智之</t>
    <rPh sb="0" eb="2">
      <t>クロダ</t>
    </rPh>
    <rPh sb="2" eb="4">
      <t>トモユキ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</si>
  <si>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</si>
  <si>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LMPP包装管理システム クラウドアーキ移行（開発フェーズ）</t>
    <rPh sb="4" eb="6">
      <t>ホウソウ</t>
    </rPh>
    <rPh sb="6" eb="8">
      <t>カンリ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</si>
  <si>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</si>
  <si>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</si>
  <si>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</si>
  <si>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</si>
  <si>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</si>
  <si>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</si>
  <si>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</si>
  <si>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</si>
  <si>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</si>
  <si>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</si>
  <si>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</si>
  <si>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</si>
  <si>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</si>
  <si>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</si>
  <si>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</si>
  <si>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</si>
  <si>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</si>
  <si>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</si>
  <si>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</si>
  <si>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</si>
  <si>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</si>
  <si>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</si>
  <si>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</si>
  <si>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</si>
  <si>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</si>
  <si>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</si>
  <si>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</si>
  <si>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</si>
  <si>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</si>
  <si>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</si>
  <si>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</si>
  <si>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</si>
  <si>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</si>
  <si>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</si>
  <si>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</si>
  <si>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</si>
  <si>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</si>
  <si>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</si>
  <si>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</si>
  <si>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</si>
  <si>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</si>
  <si>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</si>
  <si>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</si>
  <si>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</si>
  <si>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</si>
  <si>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</si>
  <si>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</si>
  <si>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</si>
  <si>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</si>
  <si>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</si>
  <si>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</si>
  <si>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</si>
  <si>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</si>
  <si>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ﾌﾞｲｸｱﾝﾃｨｴﾝ</t>
  </si>
  <si>
    <t>TranQuocDuy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</si>
</sst>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5"/>
      <c r="C3" s="26"/>
      <c r="D3" s="5" t="s">
        <v>3</v>
      </c>
      <c r="E3" s="25" t="s">
        <v>4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5</v>
      </c>
      <c r="B4" s="25" t="s">
        <v>6</v>
      </c>
      <c r="C4" s="26"/>
      <c r="D4" s="5" t="s">
        <v>7</v>
      </c>
      <c r="E4" s="28"/>
      <c r="F4" s="28"/>
      <c r="G4" s="5" t="s">
        <v>8</v>
      </c>
      <c r="H4" s="29">
        <f>AF59</f>
        <v>200</v>
      </c>
      <c r="I4" s="29"/>
      <c r="J4" s="5" t="s">
        <v>9</v>
      </c>
      <c r="K4" s="30">
        <f>外注費・経費!K4</f>
        <v>875000</v>
      </c>
      <c r="L4" s="30"/>
      <c r="M4" s="5" t="s">
        <v>10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11</v>
      </c>
      <c r="B6" s="43" t="s">
        <v>12</v>
      </c>
      <c r="C6" s="43" t="s">
        <v>13</v>
      </c>
      <c r="D6" s="46" t="s">
        <v>14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15</v>
      </c>
    </row>
    <row r="7" spans="1:32" s="6" customFormat="1" ht="12" customHeight="1" x14ac:dyDescent="0.55000000000000004">
      <c r="A7" s="41"/>
      <c r="B7" s="44"/>
      <c r="C7" s="44"/>
      <c r="D7" s="34" t="s">
        <v>16</v>
      </c>
      <c r="E7" s="35"/>
      <c r="F7" s="36"/>
      <c r="G7" s="34" t="s">
        <v>17</v>
      </c>
      <c r="H7" s="35"/>
      <c r="I7" s="36"/>
      <c r="J7" s="34" t="s">
        <v>18</v>
      </c>
      <c r="K7" s="35"/>
      <c r="L7" s="36"/>
      <c r="M7" s="34" t="s">
        <v>19</v>
      </c>
      <c r="N7" s="35"/>
      <c r="O7" s="36"/>
      <c r="P7" s="34" t="s">
        <v>20</v>
      </c>
      <c r="Q7" s="35"/>
      <c r="R7" s="36"/>
      <c r="S7" s="34" t="s">
        <v>21</v>
      </c>
      <c r="T7" s="35"/>
      <c r="U7" s="36"/>
      <c r="V7" s="34" t="s">
        <v>22</v>
      </c>
      <c r="W7" s="35"/>
      <c r="X7" s="36"/>
      <c r="Y7" s="34" t="s">
        <v>23</v>
      </c>
      <c r="Z7" s="35"/>
      <c r="AA7" s="36"/>
      <c r="AB7" s="34" t="s">
        <v>24</v>
      </c>
      <c r="AC7" s="35"/>
      <c r="AD7" s="36"/>
      <c r="AE7" s="47" t="s">
        <v>25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26</v>
      </c>
      <c r="B9" s="8">
        <v>1675</v>
      </c>
      <c r="C9" s="8" t="s">
        <v>27</v>
      </c>
      <c r="D9" s="22"/>
      <c r="E9" s="22"/>
      <c r="F9" s="22"/>
      <c r="G9" s="22"/>
      <c r="H9" s="22"/>
      <c r="I9" s="22"/>
      <c r="J9" s="22"/>
      <c r="K9" s="22"/>
      <c r="L9" s="22">
        <v>40</v>
      </c>
      <c r="M9" s="22">
        <v>40</v>
      </c>
      <c r="N9" s="22">
        <v>40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 x14ac:dyDescent="0.55000000000000004">
      <c r="A10" s="21" t="s">
        <v>26</v>
      </c>
      <c r="B10" s="8">
        <v>1725</v>
      </c>
      <c r="C10" s="8" t="s">
        <v>83</v>
      </c>
      <c r="D10" s="22"/>
      <c r="E10" s="22"/>
      <c r="F10" s="22"/>
      <c r="G10" s="22"/>
      <c r="H10" s="22"/>
      <c r="I10" s="22"/>
      <c r="J10" s="22"/>
      <c r="K10" s="22"/>
      <c r="L10" s="22"/>
      <c r="M10" s="22">
        <v>40</v>
      </c>
      <c r="N10" s="22">
        <v>40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" si="0">SUM(D10:AE10)</f>
        <v>80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ref="AF11:AF58" si="1">SUM(D11:AE11)</f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1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1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1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1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1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1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1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1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1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1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1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1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1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1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1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1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1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1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1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1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1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1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1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1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1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1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1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1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1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1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1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1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1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1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1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1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1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1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1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1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1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1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1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1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1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1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1"/>
        <v>0</v>
      </c>
    </row>
    <row r="59" spans="1:32" x14ac:dyDescent="0.55000000000000004">
      <c r="A59" s="37" t="s">
        <v>15</v>
      </c>
      <c r="B59" s="38"/>
      <c r="C59" s="39"/>
      <c r="D59" s="23">
        <f>SUM(D9:D58)</f>
        <v>0</v>
      </c>
      <c r="E59" s="23">
        <f t="shared" ref="E59:AF59" si="2">SUM(E9:E58)</f>
        <v>0</v>
      </c>
      <c r="F59" s="23">
        <f t="shared" si="2"/>
        <v>0</v>
      </c>
      <c r="G59" s="23">
        <f t="shared" si="2"/>
        <v>0</v>
      </c>
      <c r="H59" s="23">
        <f t="shared" si="2"/>
        <v>0</v>
      </c>
      <c r="I59" s="23">
        <f t="shared" si="2"/>
        <v>0</v>
      </c>
      <c r="J59" s="23">
        <f t="shared" si="2"/>
        <v>0</v>
      </c>
      <c r="K59" s="23">
        <f t="shared" si="2"/>
        <v>0</v>
      </c>
      <c r="L59" s="23">
        <f t="shared" si="2"/>
        <v>40</v>
      </c>
      <c r="M59" s="23">
        <f t="shared" si="2"/>
        <v>80</v>
      </c>
      <c r="N59" s="23">
        <f t="shared" si="2"/>
        <v>80</v>
      </c>
      <c r="O59" s="23">
        <f t="shared" si="2"/>
        <v>0</v>
      </c>
      <c r="P59" s="23">
        <f t="shared" si="2"/>
        <v>0</v>
      </c>
      <c r="Q59" s="23">
        <f t="shared" si="2"/>
        <v>0</v>
      </c>
      <c r="R59" s="23">
        <f t="shared" si="2"/>
        <v>0</v>
      </c>
      <c r="S59" s="23">
        <f t="shared" si="2"/>
        <v>0</v>
      </c>
      <c r="T59" s="23">
        <f t="shared" si="2"/>
        <v>0</v>
      </c>
      <c r="U59" s="23">
        <f t="shared" si="2"/>
        <v>0</v>
      </c>
      <c r="V59" s="23">
        <f t="shared" si="2"/>
        <v>0</v>
      </c>
      <c r="W59" s="23">
        <f t="shared" si="2"/>
        <v>0</v>
      </c>
      <c r="X59" s="23">
        <f t="shared" si="2"/>
        <v>0</v>
      </c>
      <c r="Y59" s="23">
        <f t="shared" si="2"/>
        <v>0</v>
      </c>
      <c r="Z59" s="23">
        <f t="shared" si="2"/>
        <v>0</v>
      </c>
      <c r="AA59" s="23">
        <f t="shared" si="2"/>
        <v>0</v>
      </c>
      <c r="AB59" s="23">
        <f t="shared" si="2"/>
        <v>0</v>
      </c>
      <c r="AC59" s="23">
        <f t="shared" si="2"/>
        <v>0</v>
      </c>
      <c r="AD59" s="23">
        <f t="shared" si="2"/>
        <v>0</v>
      </c>
      <c r="AE59" s="23">
        <f t="shared" si="2"/>
        <v>0</v>
      </c>
      <c r="AF59" s="23">
        <f t="shared" si="2"/>
        <v>200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zoomScale="130" zoomScaleNormal="13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28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5"/>
      <c r="C3" s="26"/>
      <c r="D3" s="10" t="s">
        <v>3</v>
      </c>
      <c r="E3" s="25" t="s">
        <v>29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5</v>
      </c>
      <c r="B4" s="25" t="s">
        <v>30</v>
      </c>
      <c r="C4" s="26"/>
      <c r="D4" s="11" t="s">
        <v>7</v>
      </c>
      <c r="E4" s="48">
        <f>社員工数!E4</f>
        <v>0</v>
      </c>
      <c r="F4" s="48"/>
      <c r="G4" s="11" t="s">
        <v>8</v>
      </c>
      <c r="H4" s="29">
        <f>社員工数!H4</f>
        <v>200</v>
      </c>
      <c r="I4" s="29"/>
      <c r="J4" s="11" t="s">
        <v>9</v>
      </c>
      <c r="K4" s="49">
        <f>AF59</f>
        <v>875000</v>
      </c>
      <c r="L4" s="49"/>
      <c r="M4" s="11" t="s">
        <v>10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11</v>
      </c>
      <c r="B6" s="59" t="s">
        <v>31</v>
      </c>
      <c r="C6" s="59" t="s">
        <v>13</v>
      </c>
      <c r="D6" s="62" t="s">
        <v>32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15</v>
      </c>
    </row>
    <row r="7" spans="1:32" s="6" customFormat="1" ht="12" customHeight="1" x14ac:dyDescent="0.55000000000000004">
      <c r="A7" s="57"/>
      <c r="B7" s="60"/>
      <c r="C7" s="60"/>
      <c r="D7" s="53" t="s">
        <v>33</v>
      </c>
      <c r="E7" s="54"/>
      <c r="F7" s="55"/>
      <c r="G7" s="53" t="s">
        <v>34</v>
      </c>
      <c r="H7" s="54"/>
      <c r="I7" s="55"/>
      <c r="J7" s="53" t="s">
        <v>35</v>
      </c>
      <c r="K7" s="54"/>
      <c r="L7" s="55"/>
      <c r="M7" s="53" t="s">
        <v>36</v>
      </c>
      <c r="N7" s="54"/>
      <c r="O7" s="55"/>
      <c r="P7" s="53" t="s">
        <v>37</v>
      </c>
      <c r="Q7" s="54"/>
      <c r="R7" s="55"/>
      <c r="S7" s="53" t="s">
        <v>38</v>
      </c>
      <c r="T7" s="54"/>
      <c r="U7" s="55"/>
      <c r="V7" s="53" t="s">
        <v>39</v>
      </c>
      <c r="W7" s="54"/>
      <c r="X7" s="55"/>
      <c r="Y7" s="53" t="s">
        <v>40</v>
      </c>
      <c r="Z7" s="54"/>
      <c r="AA7" s="55"/>
      <c r="AB7" s="53" t="s">
        <v>41</v>
      </c>
      <c r="AC7" s="54"/>
      <c r="AD7" s="55"/>
      <c r="AE7" s="63" t="s">
        <v>25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42</v>
      </c>
      <c r="B9" s="14">
        <v>4949</v>
      </c>
      <c r="C9" s="13" t="s">
        <v>84</v>
      </c>
      <c r="D9" s="13"/>
      <c r="E9" s="13"/>
      <c r="F9" s="13"/>
      <c r="G9" s="13"/>
      <c r="H9" s="13"/>
      <c r="I9" s="13"/>
      <c r="J9" s="13"/>
      <c r="K9" s="13"/>
      <c r="L9" s="13">
        <v>175000</v>
      </c>
      <c r="M9" s="13">
        <v>350000</v>
      </c>
      <c r="N9" s="13">
        <v>350000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875000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15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175000</v>
      </c>
      <c r="M59" s="15">
        <f t="shared" si="1"/>
        <v>350000</v>
      </c>
      <c r="N59" s="15">
        <f t="shared" si="1"/>
        <v>350000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875000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A14:A58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08203125" style="18" bestFit="1" customWidth="1"/>
    <col min="7" max="7" width="11.08203125" style="18" customWidth="1"/>
    <col min="8" max="8" width="5.58203125" style="18" customWidth="1"/>
    <col min="9" max="9" width="11.58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43</v>
      </c>
      <c r="B1" s="17" t="s">
        <v>44</v>
      </c>
      <c r="C1" s="66" t="s">
        <v>45</v>
      </c>
      <c r="D1" s="66" t="s">
        <v>46</v>
      </c>
      <c r="E1" s="66" t="s">
        <v>47</v>
      </c>
      <c r="F1" s="66" t="s">
        <v>48</v>
      </c>
      <c r="G1" s="66" t="s">
        <v>49</v>
      </c>
      <c r="H1" s="64" t="s">
        <v>50</v>
      </c>
      <c r="I1" s="65"/>
      <c r="J1" s="66" t="s">
        <v>51</v>
      </c>
      <c r="K1" s="66" t="s">
        <v>52</v>
      </c>
      <c r="L1" s="66" t="s">
        <v>53</v>
      </c>
    </row>
    <row r="2" spans="1:12" x14ac:dyDescent="0.55000000000000004">
      <c r="A2" s="66"/>
      <c r="B2" s="17" t="s">
        <v>54</v>
      </c>
      <c r="C2" s="66"/>
      <c r="D2" s="66"/>
      <c r="E2" s="66"/>
      <c r="F2" s="66"/>
      <c r="G2" s="66"/>
      <c r="H2" s="17" t="s">
        <v>43</v>
      </c>
      <c r="I2" s="17" t="s">
        <v>55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>
        <v>1</v>
      </c>
      <c r="I3" s="19" t="s">
        <v>61</v>
      </c>
      <c r="J3" s="19" t="s">
        <v>62</v>
      </c>
      <c r="K3" s="19" t="s">
        <v>26</v>
      </c>
      <c r="L3" s="19" t="s">
        <v>63</v>
      </c>
    </row>
    <row r="4" spans="1:12" x14ac:dyDescent="0.55000000000000004">
      <c r="A4" s="19">
        <v>2</v>
      </c>
      <c r="B4" s="20"/>
      <c r="C4" s="19"/>
      <c r="D4" s="19"/>
      <c r="E4" s="19" t="s">
        <v>64</v>
      </c>
      <c r="F4" s="19" t="s">
        <v>65</v>
      </c>
      <c r="G4" s="19" t="s">
        <v>66</v>
      </c>
      <c r="H4" s="19">
        <v>2</v>
      </c>
      <c r="I4" s="19" t="s">
        <v>67</v>
      </c>
      <c r="J4" s="19" t="s">
        <v>68</v>
      </c>
      <c r="K4" s="19" t="s">
        <v>69</v>
      </c>
      <c r="L4" s="19" t="s">
        <v>70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71</v>
      </c>
      <c r="G5" s="19" t="s">
        <v>72</v>
      </c>
      <c r="H5" s="19">
        <v>3</v>
      </c>
      <c r="I5" s="19" t="s">
        <v>73</v>
      </c>
      <c r="J5" s="19" t="s">
        <v>74</v>
      </c>
      <c r="K5" s="19" t="s">
        <v>75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76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77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78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79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80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81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82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83182A-C66B-4400-9A01-81D2A0302922}"/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2025-12-04T08:30:30Z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