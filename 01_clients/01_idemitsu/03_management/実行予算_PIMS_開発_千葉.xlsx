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32" documentId="13_ncr:1_{691ADDC3-AE0A-49E0-A32D-8FEE0169258E}" xr6:coauthVersionLast="47" xr6:coauthVersionMax="47" xr10:uidLastSave="{87975FB2-7D6F-4B36-8F63-330EB9C88CB7}"/>
  <bookViews>
    <workbookView xWindow="-110" yWindow="-110" windowWidth="19420" windowHeight="104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<sst xmlns="http://schemas.openxmlformats.org/spreadsheetml/2006/main" count="107" uniqueCount="84">
  <si>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</si>
  <si>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</si>
  <si>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</si>
  <si>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</si>
  <si>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</si>
  <si>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</si>
  <si>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</si>
  <si>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</si>
  <si>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</si>
  <si>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</si>
  <si>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</si>
  <si>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</si>
  <si>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</si>
  <si>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</si>
  <si>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</si>
  <si>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</si>
  <si>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</si>
  <si>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</si>
  <si>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</si>
  <si>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</si>
  <si>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</si>
  <si>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</si>
  <si>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</si>
  <si>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</si>
  <si>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</si>
  <si>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</si>
  <si>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</si>
  <si>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</si>
  <si>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</si>
  <si>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</si>
  <si>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</si>
  <si>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</si>
  <si>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</si>
  <si>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</si>
  <si>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</si>
  <si>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</si>
  <si>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</si>
  <si>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</si>
  <si>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</si>
  <si>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</si>
  <si>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</si>
  <si>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</si>
  <si>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</si>
  <si>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</si>
  <si>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</si>
  <si>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</si>
  <si>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</si>
  <si>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</si>
  <si>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</si>
  <si>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</si>
  <si>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</si>
  <si>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</si>
  <si>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</si>
  <si>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</si>
  <si>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</si>
  <si>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</si>
  <si>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</si>
  <si>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</si>
  <si>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</si>
  <si>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</si>
  <si>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</si>
  <si>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</si>
  <si>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</si>
  <si>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</si>
  <si>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</si>
  <si>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</si>
  <si>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</si>
  <si>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</si>
  <si>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</si>
  <si>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</si>
  <si>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</si>
  <si>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</si>
  <si>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</si>
  <si>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</si>
  <si>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</si>
  <si>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</si>
  <si>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</si>
  <si>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</si>
  <si>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</si>
  <si>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</si>
  <si>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矢野幸代</t>
    <rPh sb="0" eb="2">
      <t>ヤノ</t>
    </rPh>
    <rPh sb="2" eb="4">
      <t>ユキヨ</t>
    </rPh>
    <phoneticPr fontId="3"/>
  </si>
  <si>
    <t>石井徹</t>
    <rPh sb="0" eb="2">
      <t>イシイ</t>
    </rPh>
    <rPh sb="2" eb="3">
      <t>トオル</t>
    </rPh>
    <phoneticPr fontId="3"/>
  </si>
  <si>
    <t>↓移行フェーズ</t>
    <rPh sb="1" eb="3">
      <t>イコウ</t>
    </rPh>
    <phoneticPr fontId="3"/>
  </si>
  <si>
    <t>木村俊介</t>
    <rPh sb="0" eb="2">
      <t>キムラ</t>
    </rPh>
    <rPh sb="2" eb="4">
      <t>シュンスケ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</si>
</sst>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/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304</v>
      </c>
      <c r="I4" s="29"/>
      <c r="J4" s="5" t="s">
        <v>6</v>
      </c>
      <c r="K4" s="30">
        <f>外注費・経費!K4</f>
        <v>1800000</v>
      </c>
      <c r="L4" s="30"/>
      <c r="M4" s="5" t="s">
        <v>7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5500000000000000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14</v>
      </c>
      <c r="B9" s="8">
        <v>1081</v>
      </c>
      <c r="C9" s="8" t="s">
        <v>80</v>
      </c>
      <c r="D9" s="22"/>
      <c r="E9" s="22"/>
      <c r="F9" s="22"/>
      <c r="G9" s="22"/>
      <c r="H9" s="22">
        <v>56</v>
      </c>
      <c r="I9" s="22">
        <v>80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136</v>
      </c>
    </row>
    <row r="10" spans="1:32" x14ac:dyDescent="0.55000000000000004">
      <c r="A10" s="8" t="s">
        <v>14</v>
      </c>
      <c r="B10" s="8">
        <v>397</v>
      </c>
      <c r="C10" s="8" t="s">
        <v>81</v>
      </c>
      <c r="D10" s="22"/>
      <c r="E10" s="22"/>
      <c r="F10" s="22"/>
      <c r="G10" s="22">
        <v>8</v>
      </c>
      <c r="H10" s="22">
        <v>24</v>
      </c>
      <c r="I10" s="22">
        <v>24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56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13" t="s">
        <v>82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21" t="s">
        <v>14</v>
      </c>
      <c r="B13" s="8">
        <v>1081</v>
      </c>
      <c r="C13" s="8" t="s">
        <v>80</v>
      </c>
      <c r="D13" s="22"/>
      <c r="E13" s="22"/>
      <c r="F13" s="22"/>
      <c r="G13" s="22"/>
      <c r="H13" s="22"/>
      <c r="I13" s="22"/>
      <c r="J13" s="22"/>
      <c r="K13" s="22">
        <v>32</v>
      </c>
      <c r="L13" s="22">
        <v>32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64</v>
      </c>
    </row>
    <row r="14" spans="1:32" x14ac:dyDescent="0.55000000000000004">
      <c r="A14" s="8" t="s">
        <v>14</v>
      </c>
      <c r="B14" s="8">
        <v>397</v>
      </c>
      <c r="C14" s="8" t="s">
        <v>81</v>
      </c>
      <c r="D14" s="22"/>
      <c r="E14" s="24"/>
      <c r="F14" s="22"/>
      <c r="G14" s="22"/>
      <c r="H14" s="22"/>
      <c r="I14" s="22"/>
      <c r="J14" s="22"/>
      <c r="K14" s="22">
        <v>24</v>
      </c>
      <c r="L14" s="22">
        <v>24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48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/>
    </row>
    <row r="20" spans="1:32" x14ac:dyDescent="0.55000000000000004">
      <c r="A20" s="21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/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/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2" x14ac:dyDescent="0.55000000000000004">
      <c r="A23" s="8"/>
      <c r="B23" s="8"/>
      <c r="C23" s="1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/>
    </row>
    <row r="24" spans="1:32" x14ac:dyDescent="0.55000000000000004">
      <c r="A24" s="21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/>
    </row>
    <row r="25" spans="1:32" x14ac:dyDescent="0.55000000000000004">
      <c r="A25" s="8"/>
      <c r="B25" s="8"/>
      <c r="C25" s="8"/>
      <c r="D25" s="22"/>
      <c r="E25" s="2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/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/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/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8</v>
      </c>
      <c r="H59" s="23">
        <f t="shared" si="1"/>
        <v>80</v>
      </c>
      <c r="I59" s="23">
        <f t="shared" si="1"/>
        <v>104</v>
      </c>
      <c r="J59" s="23">
        <f t="shared" si="1"/>
        <v>0</v>
      </c>
      <c r="K59" s="23">
        <f t="shared" si="1"/>
        <v>56</v>
      </c>
      <c r="L59" s="23">
        <f t="shared" si="1"/>
        <v>56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304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A15:A58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A9" sqref="A9:XFD12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304</v>
      </c>
      <c r="I4" s="29"/>
      <c r="J4" s="11" t="s">
        <v>6</v>
      </c>
      <c r="K4" s="49">
        <f>AF59</f>
        <v>1800000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5500000000000000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19</v>
      </c>
      <c r="B9" s="14"/>
      <c r="C9" s="13" t="s">
        <v>83</v>
      </c>
      <c r="D9" s="13"/>
      <c r="E9" s="13"/>
      <c r="F9" s="13"/>
      <c r="G9" s="13"/>
      <c r="H9" s="13">
        <v>900000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900000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 t="s">
        <v>82</v>
      </c>
      <c r="D11" s="13"/>
      <c r="E11" s="13"/>
      <c r="F11" s="13"/>
      <c r="G11" s="13"/>
      <c r="H11" s="13"/>
      <c r="I11" s="13"/>
      <c r="J11" s="13"/>
      <c r="K11" s="13">
        <v>900000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900000</v>
      </c>
    </row>
    <row r="12" spans="1:32" x14ac:dyDescent="0.55000000000000004">
      <c r="A12" s="13" t="s">
        <v>19</v>
      </c>
      <c r="B12" s="14"/>
      <c r="C12" s="13" t="s">
        <v>83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/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/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/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/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/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/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900000</v>
      </c>
      <c r="I59" s="15">
        <f t="shared" si="1"/>
        <v>0</v>
      </c>
      <c r="J59" s="15">
        <f t="shared" si="1"/>
        <v>0</v>
      </c>
      <c r="K59" s="15">
        <f t="shared" si="1"/>
        <v>900000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1800000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A13:A58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9AD02-49E9-4A87-A702-ADA56BADC7BA}">
  <ds:schemaRefs>
    <ds:schemaRef ds:uri="http://www.w3.org/XML/1998/namespace"/>
    <ds:schemaRef ds:uri="2fd442da-66a9-4fa6-ba31-eb0d54ad1381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40051B4-F469-4F48-AEB9-BB451D4759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CDC7E5-0DF0-41AE-9E13-6496AE147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2025-07-16T00:07:32Z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