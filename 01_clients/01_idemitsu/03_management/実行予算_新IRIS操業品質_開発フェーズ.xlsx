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3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92" documentId="13_ncr:1_{691ADDC3-AE0A-49E0-A32D-8FEE0169258E}" xr6:coauthVersionLast="47" xr6:coauthVersionMax="47" xr10:uidLastSave="{9D01EDD1-6DD6-4EEB-936B-23EFC267A623}"/>
  <bookViews>
    <workbookView xWindow="28680" yWindow="-120" windowWidth="29040" windowHeight="16440" firstSheet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<sst xmlns="http://schemas.openxmlformats.org/spreadsheetml/2006/main" count="113" uniqueCount="90">
  <si>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</si>
  <si>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</si>
  <si>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</si>
  <si>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</si>
  <si>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</si>
  <si>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</si>
  <si>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</si>
  <si>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</si>
  <si>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</si>
  <si>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</si>
  <si>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</si>
  <si>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</si>
  <si>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</si>
  <si>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</si>
  <si>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</si>
  <si>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</si>
  <si>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</si>
  <si>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</si>
  <si>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</si>
  <si>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</si>
  <si>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</si>
  <si>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</si>
  <si>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</si>
  <si>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</si>
  <si>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</si>
  <si>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</si>
  <si>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福田一希</t>
  </si>
  <si>
    <t>関谷亮</t>
  </si>
  <si>
    <t>ﾁｬﾝﾃｨﾎﾝﾆｭﾝ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</si>
  <si>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</si>
  <si>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</si>
  <si>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</si>
  <si>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</si>
  <si>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</si>
  <si>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</si>
  <si>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</si>
  <si>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</si>
  <si>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</si>
  <si>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</si>
  <si>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</si>
  <si>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</si>
  <si>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</si>
  <si>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</si>
  <si>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五石真人</t>
  </si>
  <si>
    <t>森田泰博</t>
  </si>
  <si>
    <t>篠塚正裕</t>
  </si>
  <si>
    <t>オフショア1</t>
  </si>
  <si>
    <t>オフショア2</t>
  </si>
  <si>
    <t>オフショア3</t>
  </si>
  <si>
    <t>オフショア4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</si>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</sst>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A6" sqref="A6:A8"/>
    </sheetView>
  </sheetViews>
  <sheetFormatPr defaultColWidth="8.125" defaultRowHeight="12.6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/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4</v>
      </c>
      <c r="B4" s="61" t="s">
        <v>5</v>
      </c>
      <c r="C4" s="62"/>
      <c r="D4" s="5" t="s">
        <v>6</v>
      </c>
      <c r="E4" s="25"/>
      <c r="F4" s="25"/>
      <c r="G4" s="5" t="s">
        <v>7</v>
      </c>
      <c r="H4" s="64">
        <f>AF59</f>
        <v>700</v>
      </c>
      <c r="I4" s="64"/>
      <c r="J4" s="5" t="s">
        <v>8</v>
      </c>
      <c r="K4" s="65">
        <f>外注費・経費!K4</f>
        <v>9450000</v>
      </c>
      <c r="L4" s="65"/>
      <c r="M4" s="5" t="s">
        <v>9</v>
      </c>
      <c r="N4" s="65">
        <v>0</v>
      </c>
      <c r="O4" s="65"/>
    </row>
    <row r="5" spans="1:32" ht="6" customHeight="1"/>
    <row r="6" spans="1:32" s="6" customFormat="1">
      <c r="A6" s="35" t="s">
        <v>10</v>
      </c>
      <c r="B6" s="38" t="s">
        <v>11</v>
      </c>
      <c r="C6" s="38" t="s">
        <v>12</v>
      </c>
      <c r="D6" s="41" t="s">
        <v>13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14</v>
      </c>
    </row>
    <row r="7" spans="1:32" s="6" customFormat="1" ht="12" customHeight="1">
      <c r="A7" s="36"/>
      <c r="B7" s="39"/>
      <c r="C7" s="39"/>
      <c r="D7" s="29" t="s">
        <v>15</v>
      </c>
      <c r="E7" s="30"/>
      <c r="F7" s="31"/>
      <c r="G7" s="29" t="s">
        <v>16</v>
      </c>
      <c r="H7" s="30"/>
      <c r="I7" s="31"/>
      <c r="J7" s="29" t="s">
        <v>17</v>
      </c>
      <c r="K7" s="30"/>
      <c r="L7" s="31"/>
      <c r="M7" s="29" t="s">
        <v>18</v>
      </c>
      <c r="N7" s="30"/>
      <c r="O7" s="31"/>
      <c r="P7" s="29" t="s">
        <v>19</v>
      </c>
      <c r="Q7" s="30"/>
      <c r="R7" s="31"/>
      <c r="S7" s="29" t="s">
        <v>20</v>
      </c>
      <c r="T7" s="30"/>
      <c r="U7" s="31"/>
      <c r="V7" s="29" t="s">
        <v>21</v>
      </c>
      <c r="W7" s="30"/>
      <c r="X7" s="31"/>
      <c r="Y7" s="29" t="s">
        <v>22</v>
      </c>
      <c r="Z7" s="30"/>
      <c r="AA7" s="31"/>
      <c r="AB7" s="29" t="s">
        <v>23</v>
      </c>
      <c r="AC7" s="30"/>
      <c r="AD7" s="31"/>
      <c r="AE7" s="42" t="s">
        <v>24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25</v>
      </c>
      <c r="B9" s="8">
        <v>1161</v>
      </c>
      <c r="C9" s="8" t="s">
        <v>26</v>
      </c>
      <c r="D9" s="22"/>
      <c r="E9" s="22"/>
      <c r="F9" s="22"/>
      <c r="G9" s="22">
        <v>24</v>
      </c>
      <c r="H9" s="22">
        <v>80</v>
      </c>
      <c r="I9" s="22">
        <v>80</v>
      </c>
      <c r="J9" s="22">
        <v>80</v>
      </c>
      <c r="K9" s="22">
        <v>80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344</v>
      </c>
    </row>
    <row r="10" spans="1:32">
      <c r="A10" s="8" t="s">
        <v>25</v>
      </c>
      <c r="B10" s="8">
        <v>1678</v>
      </c>
      <c r="C10" s="8" t="s">
        <v>27</v>
      </c>
      <c r="D10" s="22"/>
      <c r="E10" s="22"/>
      <c r="F10" s="22"/>
      <c r="G10" s="22">
        <v>8</v>
      </c>
      <c r="H10" s="22">
        <v>24</v>
      </c>
      <c r="I10" s="22">
        <v>24</v>
      </c>
      <c r="J10" s="22">
        <v>24</v>
      </c>
      <c r="K10" s="22">
        <v>24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104</v>
      </c>
    </row>
    <row r="11" spans="1:32">
      <c r="A11" s="8" t="s">
        <v>25</v>
      </c>
      <c r="B11" s="8">
        <v>1126</v>
      </c>
      <c r="C11" s="8" t="s">
        <v>28</v>
      </c>
      <c r="D11" s="22"/>
      <c r="E11" s="22"/>
      <c r="F11" s="22"/>
      <c r="G11" s="22">
        <v>12</v>
      </c>
      <c r="H11" s="22">
        <v>80</v>
      </c>
      <c r="I11" s="22">
        <v>80</v>
      </c>
      <c r="J11" s="22">
        <v>80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252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14</v>
      </c>
      <c r="B59" s="33"/>
      <c r="C59" s="34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44</v>
      </c>
      <c r="H59" s="23">
        <f t="shared" si="1"/>
        <v>184</v>
      </c>
      <c r="I59" s="23">
        <f t="shared" si="1"/>
        <v>184</v>
      </c>
      <c r="J59" s="23">
        <f t="shared" si="1"/>
        <v>184</v>
      </c>
      <c r="K59" s="23">
        <f t="shared" si="1"/>
        <v>104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700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A6" sqref="A6:A8"/>
    </sheetView>
  </sheetViews>
  <sheetFormatPr defaultColWidth="8.125" defaultRowHeight="12.6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>
      <c r="A1" s="1" t="s">
        <v>29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>
        <f>社員工数!E3</f>
        <v>0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4</v>
      </c>
      <c r="B4" s="61" t="s">
        <v>30</v>
      </c>
      <c r="C4" s="62"/>
      <c r="D4" s="11" t="s">
        <v>6</v>
      </c>
      <c r="E4" s="43">
        <f>社員工数!E4</f>
        <v>0</v>
      </c>
      <c r="F4" s="43"/>
      <c r="G4" s="11" t="s">
        <v>7</v>
      </c>
      <c r="H4" s="64">
        <f>社員工数!H4</f>
        <v>700</v>
      </c>
      <c r="I4" s="64"/>
      <c r="J4" s="11" t="s">
        <v>8</v>
      </c>
      <c r="K4" s="66">
        <f>AF59</f>
        <v>9450000</v>
      </c>
      <c r="L4" s="66"/>
      <c r="M4" s="11" t="s">
        <v>9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10</v>
      </c>
      <c r="B6" s="53" t="s">
        <v>31</v>
      </c>
      <c r="C6" s="53" t="s">
        <v>12</v>
      </c>
      <c r="D6" s="56" t="s">
        <v>32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14</v>
      </c>
    </row>
    <row r="7" spans="1:32" s="6" customFormat="1" ht="12" customHeight="1">
      <c r="A7" s="51"/>
      <c r="B7" s="54"/>
      <c r="C7" s="54"/>
      <c r="D7" s="47" t="s">
        <v>33</v>
      </c>
      <c r="E7" s="48"/>
      <c r="F7" s="49"/>
      <c r="G7" s="47" t="s">
        <v>34</v>
      </c>
      <c r="H7" s="48"/>
      <c r="I7" s="49"/>
      <c r="J7" s="47" t="s">
        <v>35</v>
      </c>
      <c r="K7" s="48"/>
      <c r="L7" s="49"/>
      <c r="M7" s="47" t="s">
        <v>36</v>
      </c>
      <c r="N7" s="48"/>
      <c r="O7" s="49"/>
      <c r="P7" s="47" t="s">
        <v>37</v>
      </c>
      <c r="Q7" s="48"/>
      <c r="R7" s="49"/>
      <c r="S7" s="47" t="s">
        <v>38</v>
      </c>
      <c r="T7" s="48"/>
      <c r="U7" s="49"/>
      <c r="V7" s="47" t="s">
        <v>39</v>
      </c>
      <c r="W7" s="48"/>
      <c r="X7" s="49"/>
      <c r="Y7" s="47" t="s">
        <v>40</v>
      </c>
      <c r="Z7" s="48"/>
      <c r="AA7" s="49"/>
      <c r="AB7" s="47" t="s">
        <v>41</v>
      </c>
      <c r="AC7" s="48"/>
      <c r="AD7" s="49"/>
      <c r="AE7" s="57" t="s">
        <v>24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>
      <c r="A9" s="13" t="s">
        <v>42</v>
      </c>
      <c r="B9" s="14">
        <v>3571</v>
      </c>
      <c r="C9" s="13" t="s">
        <v>43</v>
      </c>
      <c r="D9" s="13"/>
      <c r="E9" s="13"/>
      <c r="F9" s="13"/>
      <c r="G9" s="13"/>
      <c r="H9" s="13">
        <v>500000</v>
      </c>
      <c r="I9" s="13">
        <v>500000</v>
      </c>
      <c r="J9" s="13">
        <v>500000</v>
      </c>
      <c r="K9" s="13">
        <v>500000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2000000</v>
      </c>
    </row>
    <row r="10" spans="1:32">
      <c r="A10" s="13" t="s">
        <v>42</v>
      </c>
      <c r="B10" s="14">
        <v>3457</v>
      </c>
      <c r="C10" s="13" t="s">
        <v>44</v>
      </c>
      <c r="D10" s="13"/>
      <c r="E10" s="13"/>
      <c r="F10" s="13"/>
      <c r="G10" s="13"/>
      <c r="H10" s="13">
        <v>200000</v>
      </c>
      <c r="I10" s="13">
        <v>200000</v>
      </c>
      <c r="J10" s="13">
        <v>200000</v>
      </c>
      <c r="K10" s="13">
        <v>200000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800000</v>
      </c>
    </row>
    <row r="11" spans="1:32">
      <c r="A11" s="13" t="s">
        <v>42</v>
      </c>
      <c r="B11" s="14">
        <v>4724</v>
      </c>
      <c r="C11" s="13" t="s">
        <v>45</v>
      </c>
      <c r="D11" s="13"/>
      <c r="E11" s="13"/>
      <c r="F11" s="13"/>
      <c r="G11" s="13"/>
      <c r="H11" s="13">
        <v>500000</v>
      </c>
      <c r="I11" s="13">
        <v>500000</v>
      </c>
      <c r="J11" s="13">
        <v>500000</v>
      </c>
      <c r="K11" s="13">
        <v>500000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2000000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 t="s">
        <v>42</v>
      </c>
      <c r="B13" s="14"/>
      <c r="C13" s="13" t="s">
        <v>46</v>
      </c>
      <c r="D13" s="13"/>
      <c r="E13" s="13"/>
      <c r="F13" s="13"/>
      <c r="G13" s="13">
        <v>150000</v>
      </c>
      <c r="H13" s="13">
        <v>450000</v>
      </c>
      <c r="I13" s="13">
        <v>450000</v>
      </c>
      <c r="J13" s="13">
        <v>450000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1500000</v>
      </c>
    </row>
    <row r="14" spans="1:32">
      <c r="A14" s="13" t="s">
        <v>42</v>
      </c>
      <c r="B14" s="14"/>
      <c r="C14" s="13" t="s">
        <v>47</v>
      </c>
      <c r="D14" s="13"/>
      <c r="E14" s="16"/>
      <c r="F14" s="13"/>
      <c r="G14" s="13"/>
      <c r="H14" s="13">
        <v>350000</v>
      </c>
      <c r="I14" s="13">
        <v>350000</v>
      </c>
      <c r="J14" s="13">
        <v>350000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1050000</v>
      </c>
    </row>
    <row r="15" spans="1:32">
      <c r="A15" s="13" t="s">
        <v>42</v>
      </c>
      <c r="B15" s="14"/>
      <c r="C15" s="13" t="s">
        <v>48</v>
      </c>
      <c r="D15" s="13"/>
      <c r="E15" s="13"/>
      <c r="F15" s="13"/>
      <c r="G15" s="13"/>
      <c r="H15" s="13">
        <v>350000</v>
      </c>
      <c r="I15" s="13">
        <v>350000</v>
      </c>
      <c r="J15" s="13">
        <v>350000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1050000</v>
      </c>
    </row>
    <row r="16" spans="1:32">
      <c r="A16" s="13" t="s">
        <v>42</v>
      </c>
      <c r="B16" s="14"/>
      <c r="C16" s="13" t="s">
        <v>49</v>
      </c>
      <c r="D16" s="13"/>
      <c r="E16" s="13"/>
      <c r="F16" s="13"/>
      <c r="G16" s="13"/>
      <c r="H16" s="13">
        <v>350000</v>
      </c>
      <c r="I16" s="13">
        <v>350000</v>
      </c>
      <c r="J16" s="13">
        <v>350000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1050000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14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150000</v>
      </c>
      <c r="H59" s="15">
        <f t="shared" si="1"/>
        <v>2700000</v>
      </c>
      <c r="I59" s="15">
        <f t="shared" si="1"/>
        <v>2700000</v>
      </c>
      <c r="J59" s="15">
        <f t="shared" si="1"/>
        <v>2700000</v>
      </c>
      <c r="K59" s="15">
        <f t="shared" si="1"/>
        <v>1200000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9450000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50</v>
      </c>
      <c r="B1" s="17" t="s">
        <v>51</v>
      </c>
      <c r="C1" s="60" t="s">
        <v>52</v>
      </c>
      <c r="D1" s="60" t="s">
        <v>53</v>
      </c>
      <c r="E1" s="60" t="s">
        <v>54</v>
      </c>
      <c r="F1" s="60" t="s">
        <v>55</v>
      </c>
      <c r="G1" s="60" t="s">
        <v>56</v>
      </c>
      <c r="H1" s="58" t="s">
        <v>57</v>
      </c>
      <c r="I1" s="59"/>
      <c r="J1" s="60" t="s">
        <v>58</v>
      </c>
      <c r="K1" s="60" t="s">
        <v>59</v>
      </c>
      <c r="L1" s="60" t="s">
        <v>60</v>
      </c>
    </row>
    <row r="2" spans="1:12">
      <c r="A2" s="60"/>
      <c r="B2" s="17" t="s">
        <v>61</v>
      </c>
      <c r="C2" s="60"/>
      <c r="D2" s="60"/>
      <c r="E2" s="60"/>
      <c r="F2" s="60"/>
      <c r="G2" s="60"/>
      <c r="H2" s="17" t="s">
        <v>50</v>
      </c>
      <c r="I2" s="17" t="s">
        <v>62</v>
      </c>
      <c r="J2" s="60"/>
      <c r="K2" s="60"/>
      <c r="L2" s="60"/>
    </row>
    <row r="3" spans="1:12">
      <c r="A3" s="19">
        <v>1</v>
      </c>
      <c r="B3" s="20">
        <v>0.1</v>
      </c>
      <c r="C3" s="19" t="s">
        <v>63</v>
      </c>
      <c r="D3" s="19" t="s">
        <v>64</v>
      </c>
      <c r="E3" s="19" t="s">
        <v>65</v>
      </c>
      <c r="F3" s="19" t="s">
        <v>66</v>
      </c>
      <c r="G3" s="19" t="s">
        <v>67</v>
      </c>
      <c r="H3" s="19">
        <v>1</v>
      </c>
      <c r="I3" s="19" t="s">
        <v>68</v>
      </c>
      <c r="J3" s="19" t="s">
        <v>69</v>
      </c>
      <c r="K3" s="19" t="s">
        <v>25</v>
      </c>
      <c r="L3" s="19" t="s">
        <v>70</v>
      </c>
    </row>
    <row r="4" spans="1:12">
      <c r="A4" s="19">
        <v>2</v>
      </c>
      <c r="B4" s="20"/>
      <c r="C4" s="19"/>
      <c r="D4" s="19"/>
      <c r="E4" s="19" t="s">
        <v>71</v>
      </c>
      <c r="F4" s="19" t="s">
        <v>72</v>
      </c>
      <c r="G4" s="19" t="s">
        <v>73</v>
      </c>
      <c r="H4" s="19">
        <v>2</v>
      </c>
      <c r="I4" s="19" t="s">
        <v>74</v>
      </c>
      <c r="J4" s="19" t="s">
        <v>75</v>
      </c>
      <c r="K4" s="19" t="s">
        <v>76</v>
      </c>
      <c r="L4" s="19" t="s">
        <v>77</v>
      </c>
    </row>
    <row r="5" spans="1:12">
      <c r="A5" s="19">
        <v>3</v>
      </c>
      <c r="B5" s="19"/>
      <c r="C5" s="19"/>
      <c r="D5" s="19"/>
      <c r="E5" s="19"/>
      <c r="F5" s="19" t="s">
        <v>78</v>
      </c>
      <c r="G5" s="19" t="s">
        <v>79</v>
      </c>
      <c r="H5" s="19">
        <v>3</v>
      </c>
      <c r="I5" s="19" t="s">
        <v>80</v>
      </c>
      <c r="J5" s="19" t="s">
        <v>81</v>
      </c>
      <c r="K5" s="19" t="s">
        <v>82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83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84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85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86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87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88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89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62F0AD-6D40-4DDD-99CC-DAAABB355ED0}"/>
</file>

<file path=customXml/itemProps2.xml><?xml version="1.0" encoding="utf-8"?>
<ds:datastoreItem xmlns:ds="http://schemas.openxmlformats.org/officeDocument/2006/customXml" ds:itemID="{54A13E58-386F-4222-A996-EEF7C7CE7DC2}"/>
</file>

<file path=customXml/itemProps3.xml><?xml version="1.0" encoding="utf-8"?>
<ds:datastoreItem xmlns:ds="http://schemas.openxmlformats.org/officeDocument/2006/customXml" ds:itemID="{BF8B1BB6-A9A6-4960-BFDE-673DD4D80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福田一希</cp:lastModifiedBy>
  <cp:revision/>
  <dcterms:created xsi:type="dcterms:W3CDTF">2021-04-22T09:34:49Z</dcterms:created>
  <dcterms:modified xsi:type="dcterms:W3CDTF">2025-07-09T05:04:34Z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