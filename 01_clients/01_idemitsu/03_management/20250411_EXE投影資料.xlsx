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5" documentId="13_ncr:1_{B4411AAC-4508-4FF2-8D2E-041F200E68A6}" xr6:coauthVersionLast="47" xr6:coauthVersionMax="47" xr10:uidLastSave="{BA51E855-0244-4E1E-9DC6-DA8BC0AAE78B}"/>
  <bookViews>
    <workbookView xWindow="28680" yWindow="-120" windowWidth="29040" windowHeight="16440" activeTab="2" xr2:uid="{6B3BA763-6C25-4D11-B505-1B4199C0AD3C}"/>
  </bookViews>
  <sheets>
    <sheet name="人別" sheetId="1" r:id="rId1"/>
    <sheet name="JCC担当機能_規模" sheetId="2" r:id="rId2"/>
    <sheet name="JCC担当機能_規模_EXE"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_g1">'[1]８ (2)'!#REF!</definedName>
    <definedName name="__g10">'[1]８ (2)'!#REF!</definedName>
    <definedName name="__g11">'[1]８ (2)'!#REF!</definedName>
    <definedName name="__g12">'[1]８ (2)'!#REF!</definedName>
    <definedName name="__g13">'[1]８ (2)'!#REF!</definedName>
    <definedName name="__g14">'[1]８ (2)'!#REF!</definedName>
    <definedName name="__g15">'[1]８ (2)'!#REF!</definedName>
    <definedName name="__g2">'[1]８ (2)'!#REF!</definedName>
    <definedName name="__g3">'[1]８ (2)'!#REF!</definedName>
    <definedName name="__g4">'[1]８ (2)'!#REF!</definedName>
    <definedName name="__g5">'[1]８ (2)'!#REF!</definedName>
    <definedName name="__g6">'[1]８ (2)'!#REF!</definedName>
    <definedName name="__g7">'[1]８ (2)'!#REF!</definedName>
    <definedName name="__g8">'[1]８ (2)'!#REF!</definedName>
    <definedName name="__g9">'[1]８ (2)'!#REF!</definedName>
    <definedName name="_105g9_">#REF!</definedName>
    <definedName name="_12g11_">'[1]８ (2)'!#REF!</definedName>
    <definedName name="_14g10_">#REF!</definedName>
    <definedName name="_16g12_">'[1]８ (2)'!#REF!</definedName>
    <definedName name="_20g13_">'[1]８ (2)'!#REF!</definedName>
    <definedName name="_21g11_">#REF!</definedName>
    <definedName name="_24g14_">'[1]８ (2)'!#REF!</definedName>
    <definedName name="_28g12_">#REF!</definedName>
    <definedName name="_28g15_">'[1]８ (2)'!#REF!</definedName>
    <definedName name="_32g2_">'[1]８ (2)'!#REF!</definedName>
    <definedName name="_35g13_">#REF!</definedName>
    <definedName name="_36g3_">'[1]８ (2)'!#REF!</definedName>
    <definedName name="_40g4_">'[1]８ (2)'!#REF!</definedName>
    <definedName name="_42g14_">#REF!</definedName>
    <definedName name="_44g5_">'[1]８ (2)'!#REF!</definedName>
    <definedName name="_48g6_">'[1]８ (2)'!#REF!</definedName>
    <definedName name="_49g15_">#REF!</definedName>
    <definedName name="_4g1_">'[1]８ (2)'!#REF!</definedName>
    <definedName name="_52g7_">'[1]８ (2)'!#REF!</definedName>
    <definedName name="_56g2_">#REF!</definedName>
    <definedName name="_56g8_">'[1]８ (2)'!#REF!</definedName>
    <definedName name="_60g9_">'[1]８ (2)'!#REF!</definedName>
    <definedName name="_63g3_">#REF!</definedName>
    <definedName name="_70g4_">#REF!</definedName>
    <definedName name="_77g5_">#REF!</definedName>
    <definedName name="_7g1_">#REF!</definedName>
    <definedName name="_84g6_">#REF!</definedName>
    <definedName name="_8g10_">'[1]８ (2)'!#REF!</definedName>
    <definedName name="_91g7_">#REF!</definedName>
    <definedName name="_98g8_">#REF!</definedName>
    <definedName name="_xlnm._FilterDatabase" localSheetId="1" hidden="1">JCC担当機能_規模!$A$1:$DI$82</definedName>
    <definedName name="_xlnm._FilterDatabase" localSheetId="2" hidden="1">JCC担当機能_規模_EXE!$C$1:$DW$82</definedName>
    <definedName name="_QQU5">[2]ｼｽﾃﾑ全体概要!#REF!</definedName>
    <definedName name="_WCK1">[3]基礎!$A$10</definedName>
    <definedName name="_WCK2">[3]基礎!$B$10</definedName>
    <definedName name="_WK01">[3]基礎!$A$14</definedName>
    <definedName name="_WK02">[3]基礎!$B$14</definedName>
    <definedName name="_WK03">[3]基礎!$C$14</definedName>
    <definedName name="_WK04">[3]基礎!$D$14</definedName>
    <definedName name="_WK05">[3]基礎!$E$14</definedName>
    <definedName name="_WK06">[3]基礎!$F$14</definedName>
    <definedName name="_WK07">[3]基礎!$G$14</definedName>
    <definedName name="_WK08">[3]基礎!$H$14</definedName>
    <definedName name="_WK09">[3]基礎!$I$14</definedName>
    <definedName name="_WK10">[3]基礎!$J$14</definedName>
    <definedName name="_WK11">[3]基礎!$K$14</definedName>
    <definedName name="_WK12">[3]基礎!$L$14</definedName>
    <definedName name="_WK13">[3]基礎!$M$14</definedName>
    <definedName name="_WK14">[3]基礎!$N$14</definedName>
    <definedName name="_WK15">[3]基礎!$O$14</definedName>
    <definedName name="_WK16">[3]基礎!$P$14</definedName>
    <definedName name="_WK17">[3]基礎!$Q$14</definedName>
    <definedName name="a" hidden="1">{"'札幌'!$A$1:$J$22"}</definedName>
    <definedName name="aaaa">#REF!</definedName>
    <definedName name="all">#REF!</definedName>
    <definedName name="all3m">#REF!</definedName>
    <definedName name="all3n">#REF!</definedName>
    <definedName name="all4m">#REF!</definedName>
    <definedName name="all4mm">#REF!</definedName>
    <definedName name="all5m">#REF!</definedName>
    <definedName name="ａｌｌｔｏｕｃｈ３">#REF!</definedName>
    <definedName name="alltouch33">#REF!</definedName>
    <definedName name="ａｌｌｔｏｕｃｈ４">#REF!</definedName>
    <definedName name="Cdate">[4]変要001添付!#REF!</definedName>
    <definedName name="chkNg01">#REF!</definedName>
    <definedName name="chkNg02">#REF!</definedName>
    <definedName name="chkNg03">#REF!</definedName>
    <definedName name="chkNg04">#REF!</definedName>
    <definedName name="chkNg05">#REF!</definedName>
    <definedName name="chkNg06">#REF!</definedName>
    <definedName name="chkNg07">#REF!</definedName>
    <definedName name="chkNg08">#REF!</definedName>
    <definedName name="chkNg09">#REF!</definedName>
    <definedName name="chkNg10">#REF!</definedName>
    <definedName name="chkNg11">#REF!</definedName>
    <definedName name="chkNg12">#REF!</definedName>
    <definedName name="chkNg13">#REF!</definedName>
    <definedName name="chkNg14">#REF!</definedName>
    <definedName name="chkNg15">#REF!</definedName>
    <definedName name="chkNg16">#REF!</definedName>
    <definedName name="chkNg17">#REF!</definedName>
    <definedName name="chkNg18">#REF!</definedName>
    <definedName name="chkNg19">#REF!</definedName>
    <definedName name="chkNg20">#REF!</definedName>
    <definedName name="chkNg21">#REF!</definedName>
    <definedName name="chkNg22">#REF!</definedName>
    <definedName name="chkNg23">#REF!</definedName>
    <definedName name="chkNg24">#REF!</definedName>
    <definedName name="chkNg25">#REF!</definedName>
    <definedName name="chkOk01">#REF!</definedName>
    <definedName name="chkOk02">#REF!</definedName>
    <definedName name="chkOk03">#REF!</definedName>
    <definedName name="chkOk04">#REF!</definedName>
    <definedName name="chkOk05">#REF!</definedName>
    <definedName name="chkOk06">#REF!</definedName>
    <definedName name="chkOk07">#REF!</definedName>
    <definedName name="chkOk08">#REF!</definedName>
    <definedName name="chkOk09">#REF!</definedName>
    <definedName name="chkOk10">#REF!</definedName>
    <definedName name="chkOk11">#REF!</definedName>
    <definedName name="chkOk12">#REF!</definedName>
    <definedName name="chkOk13">#REF!</definedName>
    <definedName name="chkOk14">#REF!</definedName>
    <definedName name="chkOk15">#REF!</definedName>
    <definedName name="chkOk16">#REF!</definedName>
    <definedName name="chkOk17">#REF!</definedName>
    <definedName name="chkOk18">#REF!</definedName>
    <definedName name="chkOk19">#REF!</definedName>
    <definedName name="chkOk20">#REF!</definedName>
    <definedName name="chkOk21">#REF!</definedName>
    <definedName name="chkOk22">#REF!</definedName>
    <definedName name="chkOk23">#REF!</definedName>
    <definedName name="chkOk24">#REF!</definedName>
    <definedName name="chkOk25">#REF!</definedName>
    <definedName name="chkOut01">#REF!</definedName>
    <definedName name="chkOut02">#REF!</definedName>
    <definedName name="chkOut03">#REF!</definedName>
    <definedName name="chkOut04">#REF!</definedName>
    <definedName name="chkOut05">#REF!</definedName>
    <definedName name="chkOut06">#REF!</definedName>
    <definedName name="chkOut07">#REF!</definedName>
    <definedName name="chkOut08">#REF!</definedName>
    <definedName name="chkOut09">#REF!</definedName>
    <definedName name="chkOut1">#REF!</definedName>
    <definedName name="chkOut10">#REF!</definedName>
    <definedName name="chkOut11">#REF!</definedName>
    <definedName name="chkOut12">#REF!</definedName>
    <definedName name="chkOut13">#REF!</definedName>
    <definedName name="chkOut14">#REF!</definedName>
    <definedName name="chkOut15">#REF!</definedName>
    <definedName name="chkOut16">#REF!</definedName>
    <definedName name="chkOut17">#REF!</definedName>
    <definedName name="chkOut18">#REF!</definedName>
    <definedName name="chkOut19">#REF!</definedName>
    <definedName name="chkOut2">#REF!</definedName>
    <definedName name="chkOut20">#REF!</definedName>
    <definedName name="chkOut21">#REF!</definedName>
    <definedName name="chkOut22">#REF!</definedName>
    <definedName name="chkOut23">#REF!</definedName>
    <definedName name="chkOut24">#REF!</definedName>
    <definedName name="chkOut25">#REF!</definedName>
    <definedName name="chkOut3">#REF!</definedName>
    <definedName name="chkOut4">#REF!</definedName>
    <definedName name="chkOut5">#REF!</definedName>
    <definedName name="chkOut6">#REF!</definedName>
    <definedName name="chkOut7">#REF!</definedName>
    <definedName name="chkOut8">#REF!</definedName>
    <definedName name="chkOut9">#REF!</definedName>
    <definedName name="Cname">[4]変要001添付!#REF!</definedName>
    <definedName name="Cont">#REF!</definedName>
    <definedName name="COSTTable">[5]Tables!$B$2:$C$17</definedName>
    <definedName name="dAb">#REF!</definedName>
    <definedName name="_xlnm.Database">[6]DB2!#REF!</definedName>
    <definedName name="date1">#REF!</definedName>
    <definedName name="date2">#REF!</definedName>
    <definedName name="date3">#REF!</definedName>
    <definedName name="DVD">#REF!</definedName>
    <definedName name="GMD">#REF!</definedName>
    <definedName name="GP">#REF!</definedName>
    <definedName name="ｇｐX">#REF!</definedName>
    <definedName name="HTML_CodePage" hidden="1">932</definedName>
    <definedName name="HTML_Control" hidden="1">{"'札幌'!$A$1:$J$22"}</definedName>
    <definedName name="HTML_Description" hidden="1">""</definedName>
    <definedName name="HTML_Email" hidden="1">""</definedName>
    <definedName name="HTML_Header" hidden="1">"札幌"</definedName>
    <definedName name="HTML_LastUpdate" hidden="1">"00/04/04"</definedName>
    <definedName name="HTML_LineAfter" hidden="1">FALSE</definedName>
    <definedName name="HTML_LineBefore" hidden="1">FALSE</definedName>
    <definedName name="HTML_Name" hidden="1">"マルチメディアビジネス開発部"</definedName>
    <definedName name="HTML_OBDlg2" hidden="1">TRUE</definedName>
    <definedName name="HTML_OBDlg4" hidden="1">TRUE</definedName>
    <definedName name="HTML_OS" hidden="1">0</definedName>
    <definedName name="HTML_PathFile" hidden="1">"C:\My Documents\hikari\Html\Dsu\sapporo.htm"</definedName>
    <definedName name="HTML_Title" hidden="1">""</definedName>
    <definedName name="JTB">#REF!</definedName>
    <definedName name="Kcdate">#REF!</definedName>
    <definedName name="Kname">#REF!</definedName>
    <definedName name="Kudate">#REF!</definedName>
    <definedName name="LTD">#REF!</definedName>
    <definedName name="namex">#REF!</definedName>
    <definedName name="PG2T">'[1]８ (2)'!#REF!</definedName>
    <definedName name="PG3T">'[1]８ (2)'!#REF!</definedName>
    <definedName name="_xlnm.Print_Area">#REF!</definedName>
    <definedName name="Print_Area2">#REF!</definedName>
    <definedName name="_xlnm.Print_Titles">#N/A</definedName>
    <definedName name="QQQU5">[7]ｼｽﾃﾑ全体概要!#REF!</definedName>
    <definedName name="SG1T">'[1]８ (2)'!#REF!</definedName>
    <definedName name="SG2T">'[1]８ (2)'!#REF!</definedName>
    <definedName name="SG3T">'[1]８ (2)'!#REF!</definedName>
    <definedName name="SG4T">'[1]８ (2)'!#REF!</definedName>
    <definedName name="t_tbl">#REF!</definedName>
    <definedName name="ｔｅｎｐｏ">#REF!</definedName>
    <definedName name="TitleAA">"テキスト 1"</definedName>
    <definedName name="TODAY">[3]基礎!$A$6</definedName>
    <definedName name="Udate">[4]変要001添付!#REF!</definedName>
    <definedName name="YHD">#REF!</definedName>
    <definedName name="あ">#REF!</definedName>
    <definedName name="あああ">#REF!</definedName>
    <definedName name="ああああ">#REF!</definedName>
    <definedName name="あおき">#REF!</definedName>
    <definedName name="いいい">#REF!</definedName>
    <definedName name="ｽﾃｰﾀｽ">#REF!</definedName>
    <definedName name="ﾚﾋﾞｭｰ密度基準値">#REF!</definedName>
    <definedName name="ﾚﾋﾞｭｰ密度目標値">#REF!</definedName>
    <definedName name="わわわわU5">#REF!</definedName>
    <definedName name="一般">#REF!</definedName>
    <definedName name="基盤_Ａ.材料･工法">#REF!</definedName>
    <definedName name="基盤_Ｂ.インフラ・防災">#REF!</definedName>
    <definedName name="基盤_Ｃ.新エネルギー">#REF!</definedName>
    <definedName name="基盤_Ｄ.環境">#REF!</definedName>
    <definedName name="基盤_Ｅ.建設ＩＣＴ利用技術">#REF!</definedName>
    <definedName name="技術分野">#REF!</definedName>
    <definedName name="技術分野_1">#REF!</definedName>
    <definedName name="技術分野_2">#REF!</definedName>
    <definedName name="技術分野_3">#REF!</definedName>
    <definedName name="技術分野_A">#REF!</definedName>
    <definedName name="技術分野_B">#REF!</definedName>
    <definedName name="技術分野_C">#REF!</definedName>
    <definedName name="技術分野_D">#REF!</definedName>
    <definedName name="技術分野_E">#REF!</definedName>
    <definedName name="繰り返し係数">#REF!</definedName>
    <definedName name="最大ﾚﾋﾞｭｰ密度">#REF!</definedName>
    <definedName name="最大指摘率">#REF!</definedName>
    <definedName name="暫定">[8]仕訳情報!$A$1:$D$162</definedName>
    <definedName name="仕訳情報">[9]仕訳情報!$A$1:$D$162</definedName>
    <definedName name="指摘率基準値">#REF!</definedName>
    <definedName name="指摘率目標値">#REF!</definedName>
    <definedName name="事業直結_1.地下構造物構築技術">#REF!</definedName>
    <definedName name="事業直結_2.高性能ＵＦＣ構築技術">#REF!</definedName>
    <definedName name="事業直結_3.放射性廃棄物処分技術">#REF!</definedName>
    <definedName name="辞書範囲">[10]データ辞書!$B$9:$Q$2000</definedName>
    <definedName name="辞書範囲_">[11]データ辞書!$B$9:$Q$2000</definedName>
    <definedName name="受注失注">#REF!</definedName>
    <definedName name="周期">[12]Sheet2!$B$2:$B$7</definedName>
    <definedName name="青木">#REF!</definedName>
    <definedName name="伝送手段">[12]Sheet2!$A$2:$A$10</definedName>
    <definedName name="費用合計">#REF!</definedName>
    <definedName name="本社値入">#REF!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4" i="3" l="1"/>
  <c r="W84" i="3"/>
  <c r="AA84" i="3"/>
  <c r="Z84" i="3"/>
  <c r="Z85" i="3" s="1"/>
  <c r="W85" i="3" l="1"/>
  <c r="AB85" i="3" s="1"/>
  <c r="X81" i="3" l="1"/>
  <c r="W81" i="3"/>
  <c r="U82" i="2"/>
  <c r="U81" i="2"/>
  <c r="Z81" i="2"/>
  <c r="Z82" i="2" s="1"/>
  <c r="W82" i="3" l="1"/>
  <c r="W88" i="3" s="1"/>
</calcChain>
</file>

<file path=xl/sharedStrings.xml><?xml version="1.0" encoding="utf-8"?>
<sst xmlns="http://schemas.openxmlformats.org/spreadsheetml/2006/main" count="1092" uniqueCount="254">
  <si>
    <t>セルイン</t>
    <phoneticPr fontId="1"/>
  </si>
  <si>
    <t>規模</t>
    <rPh sb="0" eb="2">
      <t>キボ</t>
    </rPh>
    <phoneticPr fontId="1"/>
  </si>
  <si>
    <t>1W</t>
    <phoneticPr fontId="1"/>
  </si>
  <si>
    <t>2W</t>
    <phoneticPr fontId="1"/>
  </si>
  <si>
    <t>3W</t>
    <phoneticPr fontId="1"/>
  </si>
  <si>
    <t>4W</t>
    <phoneticPr fontId="1"/>
  </si>
  <si>
    <t>セルアウト</t>
    <phoneticPr fontId="1"/>
  </si>
  <si>
    <t>販売計画処理</t>
    <phoneticPr fontId="1"/>
  </si>
  <si>
    <t>成長確認</t>
    <rPh sb="0" eb="4">
      <t>セイチョウカクニン</t>
    </rPh>
    <phoneticPr fontId="1"/>
  </si>
  <si>
    <t>処理センター17時</t>
    <rPh sb="8" eb="9">
      <t>ジ</t>
    </rPh>
    <phoneticPr fontId="1"/>
  </si>
  <si>
    <t>自動仕入</t>
    <rPh sb="0" eb="2">
      <t>ジドウ</t>
    </rPh>
    <rPh sb="2" eb="4">
      <t>シイレ</t>
    </rPh>
    <phoneticPr fontId="1"/>
  </si>
  <si>
    <t>POS処理料・利用料</t>
    <phoneticPr fontId="1"/>
  </si>
  <si>
    <t>出光カード効果分析</t>
    <phoneticPr fontId="1"/>
  </si>
  <si>
    <t>エントリ向け_まいどプラス発券</t>
    <phoneticPr fontId="1"/>
  </si>
  <si>
    <t>ｱｽﾄﾓｽ入出荷</t>
    <phoneticPr fontId="1"/>
  </si>
  <si>
    <t>全国版SS更新</t>
    <phoneticPr fontId="1"/>
  </si>
  <si>
    <t>企業情報</t>
    <rPh sb="0" eb="2">
      <t>キギョウ</t>
    </rPh>
    <rPh sb="2" eb="4">
      <t>ジョウホウ</t>
    </rPh>
    <phoneticPr fontId="1"/>
  </si>
  <si>
    <t>処理用SSマスタ作成</t>
    <rPh sb="2" eb="3">
      <t>ヨウ</t>
    </rPh>
    <rPh sb="8" eb="10">
      <t>サクセイ</t>
    </rPh>
    <phoneticPr fontId="1"/>
  </si>
  <si>
    <t>Exe様</t>
    <rPh sb="3" eb="4">
      <t>サマ</t>
    </rPh>
    <phoneticPr fontId="1"/>
  </si>
  <si>
    <t>JCC</t>
    <phoneticPr fontId="1"/>
  </si>
  <si>
    <t>UI/SS</t>
    <phoneticPr fontId="1"/>
  </si>
  <si>
    <t>PG/PT</t>
    <phoneticPr fontId="1"/>
  </si>
  <si>
    <t>IT</t>
    <phoneticPr fontId="1"/>
  </si>
  <si>
    <t>DashBoards</t>
    <phoneticPr fontId="1"/>
  </si>
  <si>
    <t>No</t>
    <phoneticPr fontId="1"/>
  </si>
  <si>
    <t>大機能</t>
    <rPh sb="0" eb="3">
      <t>ダイキノウ</t>
    </rPh>
    <phoneticPr fontId="1"/>
  </si>
  <si>
    <t>製造単体工数</t>
    <rPh sb="0" eb="2">
      <t>セイゾウ</t>
    </rPh>
    <rPh sb="2" eb="4">
      <t>タンタイ</t>
    </rPh>
    <rPh sb="4" eb="6">
      <t>コウスウ</t>
    </rPh>
    <phoneticPr fontId="1"/>
  </si>
  <si>
    <t>結合試験工数</t>
    <rPh sb="0" eb="2">
      <t>ケツゴウ</t>
    </rPh>
    <rPh sb="2" eb="4">
      <t>シケン</t>
    </rPh>
    <rPh sb="4" eb="6">
      <t>コウスウ</t>
    </rPh>
    <phoneticPr fontId="1"/>
  </si>
  <si>
    <t>作成対象</t>
    <rPh sb="0" eb="2">
      <t>サクセイ</t>
    </rPh>
    <rPh sb="2" eb="4">
      <t>タイショウ</t>
    </rPh>
    <phoneticPr fontId="1"/>
  </si>
  <si>
    <t>連携ID,TBL名,ファイル名</t>
    <rPh sb="0" eb="2">
      <t>レンケイ</t>
    </rPh>
    <rPh sb="8" eb="9">
      <t>メイ</t>
    </rPh>
    <rPh sb="14" eb="15">
      <t>メイ</t>
    </rPh>
    <phoneticPr fontId="1"/>
  </si>
  <si>
    <t>分類</t>
    <rPh sb="0" eb="2">
      <t>ブンルイ</t>
    </rPh>
    <phoneticPr fontId="1"/>
  </si>
  <si>
    <t>連携先</t>
    <rPh sb="0" eb="2">
      <t>レンケイ</t>
    </rPh>
    <rPh sb="2" eb="3">
      <t>サキ</t>
    </rPh>
    <phoneticPr fontId="1"/>
  </si>
  <si>
    <t>項目定義</t>
    <rPh sb="0" eb="2">
      <t>コウモク</t>
    </rPh>
    <rPh sb="2" eb="4">
      <t>テイギ</t>
    </rPh>
    <phoneticPr fontId="1"/>
  </si>
  <si>
    <t>備考</t>
    <rPh sb="0" eb="2">
      <t>ビコウ</t>
    </rPh>
    <phoneticPr fontId="1"/>
  </si>
  <si>
    <t>3.セルイン作成</t>
    <phoneticPr fontId="1"/>
  </si>
  <si>
    <t>D</t>
    <phoneticPr fontId="1"/>
  </si>
  <si>
    <t>セルインTBL</t>
    <phoneticPr fontId="1"/>
  </si>
  <si>
    <t>SELLIN_DAILY_TBL</t>
    <phoneticPr fontId="1"/>
  </si>
  <si>
    <t>DB</t>
    <phoneticPr fontId="1"/>
  </si>
  <si>
    <t>内部TBL</t>
    <phoneticPr fontId="1"/>
  </si>
  <si>
    <t>項目定義_セルインTBL.xlsx</t>
    <phoneticPr fontId="1"/>
  </si>
  <si>
    <t>売上原価伝送データ</t>
    <rPh sb="4" eb="6">
      <t>デンソウ</t>
    </rPh>
    <phoneticPr fontId="1"/>
  </si>
  <si>
    <t>QH0S0620</t>
    <phoneticPr fontId="1"/>
  </si>
  <si>
    <t>BO</t>
    <phoneticPr fontId="1"/>
  </si>
  <si>
    <t>データ活用基盤</t>
    <phoneticPr fontId="1"/>
  </si>
  <si>
    <t>項目定義_売上原価 .xlsx</t>
    <phoneticPr fontId="1"/>
  </si>
  <si>
    <t>A</t>
    <phoneticPr fontId="1"/>
  </si>
  <si>
    <t>販売実績数量価格推移表</t>
    <phoneticPr fontId="1"/>
  </si>
  <si>
    <t>FH000001～FH000005</t>
    <phoneticPr fontId="1"/>
  </si>
  <si>
    <t>帳票</t>
    <rPh sb="0" eb="2">
      <t>チョウヒョウ</t>
    </rPh>
    <phoneticPr fontId="1"/>
  </si>
  <si>
    <t>セルインデータ伝送</t>
    <phoneticPr fontId="1"/>
  </si>
  <si>
    <t>QH0S0250</t>
    <phoneticPr fontId="1"/>
  </si>
  <si>
    <t>X</t>
    <phoneticPr fontId="1"/>
  </si>
  <si>
    <t>セルイン月次TBL</t>
    <phoneticPr fontId="1"/>
  </si>
  <si>
    <t>SELLIN_MONTHLY_TBL</t>
    <phoneticPr fontId="1"/>
  </si>
  <si>
    <t>作成対象外</t>
    <rPh sb="0" eb="2">
      <t>サクセイ</t>
    </rPh>
    <rPh sb="2" eb="5">
      <t>タイショウガイ</t>
    </rPh>
    <phoneticPr fontId="1"/>
  </si>
  <si>
    <t>4.セルアウト作成</t>
    <phoneticPr fontId="1"/>
  </si>
  <si>
    <t>セルアウト日別過去データ伝送</t>
    <phoneticPr fontId="1"/>
  </si>
  <si>
    <t>QH0S0240</t>
    <phoneticPr fontId="1"/>
  </si>
  <si>
    <t>セルアウト日毎テーブル伝送</t>
    <phoneticPr fontId="1"/>
  </si>
  <si>
    <t>QH0S0540</t>
    <phoneticPr fontId="1"/>
  </si>
  <si>
    <t>項目定義_各種セルアウトTBL.xlsx</t>
    <phoneticPr fontId="1"/>
  </si>
  <si>
    <t>QH0S0600</t>
    <phoneticPr fontId="1"/>
  </si>
  <si>
    <t>セルアウト月次テーブル伝送</t>
    <phoneticPr fontId="1"/>
  </si>
  <si>
    <t>QH0S0550</t>
    <phoneticPr fontId="1"/>
  </si>
  <si>
    <t>C</t>
    <phoneticPr fontId="1"/>
  </si>
  <si>
    <t>ｍｙｄｏ情報データ伝送</t>
    <phoneticPr fontId="1"/>
  </si>
  <si>
    <t>QH0S0270</t>
    <phoneticPr fontId="1"/>
  </si>
  <si>
    <t>5.販売計画処理</t>
    <phoneticPr fontId="1"/>
  </si>
  <si>
    <t>売上計画（情報系）</t>
    <rPh sb="5" eb="8">
      <t>ジョウホウケイ</t>
    </rPh>
    <phoneticPr fontId="1"/>
  </si>
  <si>
    <t>QH0S0340</t>
    <phoneticPr fontId="1"/>
  </si>
  <si>
    <t>E</t>
    <phoneticPr fontId="1"/>
  </si>
  <si>
    <t>売上計画（内部）</t>
    <rPh sb="5" eb="7">
      <t>ナイブ</t>
    </rPh>
    <phoneticPr fontId="1"/>
  </si>
  <si>
    <t>URIAGE_KEIKAKU_TBL</t>
    <phoneticPr fontId="1"/>
  </si>
  <si>
    <t>DashBoardsへ</t>
    <phoneticPr fontId="1"/>
  </si>
  <si>
    <t>B</t>
    <phoneticPr fontId="1"/>
  </si>
  <si>
    <t>販売計画売上見込（情報系）</t>
    <phoneticPr fontId="1"/>
  </si>
  <si>
    <t>連携ID無し</t>
    <rPh sb="0" eb="2">
      <t>レンケイ</t>
    </rPh>
    <rPh sb="4" eb="5">
      <t>ナ</t>
    </rPh>
    <phoneticPr fontId="1"/>
  </si>
  <si>
    <t>販売計画売上見込</t>
    <phoneticPr fontId="1"/>
  </si>
  <si>
    <t>販売計画売上見込（内部）</t>
    <rPh sb="9" eb="11">
      <t>ナイブ</t>
    </rPh>
    <phoneticPr fontId="1"/>
  </si>
  <si>
    <t>URIAGE_MIKOMI_TBL</t>
    <phoneticPr fontId="1"/>
  </si>
  <si>
    <t>販売計画ファイル（物流）</t>
    <rPh sb="9" eb="11">
      <t>ブツリュウ</t>
    </rPh>
    <phoneticPr fontId="1"/>
  </si>
  <si>
    <t>FH_FB_FHE51120.csv</t>
    <phoneticPr fontId="1"/>
  </si>
  <si>
    <t>必要かどうか確認</t>
    <rPh sb="0" eb="2">
      <t>ヒツヨウ</t>
    </rPh>
    <rPh sb="6" eb="8">
      <t>カクニン</t>
    </rPh>
    <phoneticPr fontId="1"/>
  </si>
  <si>
    <t>6.成長確認</t>
    <phoneticPr fontId="1"/>
  </si>
  <si>
    <t>成長確認ファイル（C&amp;P）累積</t>
    <phoneticPr fontId="1"/>
  </si>
  <si>
    <t>PH_PH201610.csv</t>
    <phoneticPr fontId="1"/>
  </si>
  <si>
    <t>PH000005,PH000006,PH000007,PH000008,PH000017,PH000018</t>
    <phoneticPr fontId="1"/>
  </si>
  <si>
    <t>成長確認表ファイル累積</t>
    <phoneticPr fontId="1"/>
  </si>
  <si>
    <t>PH_PH20036A.csv</t>
    <phoneticPr fontId="1"/>
  </si>
  <si>
    <t>その他</t>
    <rPh sb="2" eb="3">
      <t>タ</t>
    </rPh>
    <phoneticPr fontId="1"/>
  </si>
  <si>
    <t>QH0004P1用データ</t>
    <rPh sb="8" eb="9">
      <t>ヨウ</t>
    </rPh>
    <phoneticPr fontId="1"/>
  </si>
  <si>
    <t>成長確認伝送データ（ICC)</t>
    <rPh sb="4" eb="6">
      <t>デンソウ</t>
    </rPh>
    <phoneticPr fontId="1"/>
  </si>
  <si>
    <t>PH0S0280</t>
    <phoneticPr fontId="1"/>
  </si>
  <si>
    <t>ICC</t>
    <phoneticPr fontId="1"/>
  </si>
  <si>
    <t>連携</t>
    <rPh sb="0" eb="2">
      <t>レンケイ</t>
    </rPh>
    <phoneticPr fontId="1"/>
  </si>
  <si>
    <t>成長確認伝送データ（ITC)</t>
    <rPh sb="4" eb="6">
      <t>デンソウ</t>
    </rPh>
    <phoneticPr fontId="1"/>
  </si>
  <si>
    <t>PH0S0320</t>
    <phoneticPr fontId="1"/>
  </si>
  <si>
    <t>ITC</t>
    <phoneticPr fontId="1"/>
  </si>
  <si>
    <t>成長確認伝送データ（CRC)</t>
    <rPh sb="4" eb="6">
      <t>デンソウ</t>
    </rPh>
    <phoneticPr fontId="1"/>
  </si>
  <si>
    <t>PH0S0040</t>
    <phoneticPr fontId="1"/>
  </si>
  <si>
    <t>CRC</t>
    <phoneticPr fontId="1"/>
  </si>
  <si>
    <t>キャッシュプリカ成長確認</t>
    <phoneticPr fontId="1"/>
  </si>
  <si>
    <t>QH0S0680</t>
    <phoneticPr fontId="1"/>
  </si>
  <si>
    <t>7.DashBoardsデータ処理</t>
    <phoneticPr fontId="1"/>
  </si>
  <si>
    <t>販売店販売実績分析(集約)・全店一覧</t>
    <phoneticPr fontId="1"/>
  </si>
  <si>
    <t>QH00T_DS_HAN_JSK_ZEN_TBL</t>
    <phoneticPr fontId="1"/>
  </si>
  <si>
    <t>データ活用基盤DWHで作成する予定</t>
    <rPh sb="3" eb="7">
      <t>カツヨウキバン</t>
    </rPh>
    <rPh sb="11" eb="13">
      <t>サクセイ</t>
    </rPh>
    <rPh sb="15" eb="17">
      <t>ヨテイ</t>
    </rPh>
    <phoneticPr fontId="1"/>
  </si>
  <si>
    <t>販売店販売実績分析(集約)・エリア指定</t>
    <phoneticPr fontId="1"/>
  </si>
  <si>
    <t>QH00T_DS_HAN_JSK_AREA_TBL</t>
    <phoneticPr fontId="1"/>
  </si>
  <si>
    <t>販売店販売実績分析(明細)・ＳＳ詳細</t>
    <phoneticPr fontId="1"/>
  </si>
  <si>
    <t>QH00T_DS_HAN_JSK_SHOSAI_TBL</t>
    <phoneticPr fontId="1"/>
  </si>
  <si>
    <t>販売店販売実績分析(集約)・全店一覧・小計用</t>
    <phoneticPr fontId="1"/>
  </si>
  <si>
    <t>QH00T_DS_HAN_JSK_ZEN_SUM_TBL</t>
    <phoneticPr fontId="1"/>
  </si>
  <si>
    <t>販売店販売実績分析(集約)・エリア指定・小計用</t>
    <phoneticPr fontId="1"/>
  </si>
  <si>
    <t>QH00T_DS_HAN_JSK_AREA_SUM_TBL</t>
    <phoneticPr fontId="1"/>
  </si>
  <si>
    <t>セルフＳＳ実績分析(集約)　月別</t>
    <phoneticPr fontId="1"/>
  </si>
  <si>
    <t>QH00T_DS_SELF_BUN_M_TBL</t>
    <phoneticPr fontId="1"/>
  </si>
  <si>
    <t>セルフＳＳ実績分析(明細)　日別</t>
    <phoneticPr fontId="1"/>
  </si>
  <si>
    <t>QH00T_DS_SELF_BUN_D_TBL</t>
    <phoneticPr fontId="1"/>
  </si>
  <si>
    <t>セルフＳＳ実績分析(SS詳細)</t>
    <phoneticPr fontId="1"/>
  </si>
  <si>
    <t>QH00T_DS_SELF_BUN_SHOSAI_TBL</t>
    <phoneticPr fontId="1"/>
  </si>
  <si>
    <t>まいどプラス発券実績(明細)　月別</t>
    <phoneticPr fontId="1"/>
  </si>
  <si>
    <t>QH00T_DS_MYDO_HAKKEN_M_TBL</t>
    <phoneticPr fontId="1"/>
  </si>
  <si>
    <t>まいどプラス発券実績(明細)　日別</t>
    <phoneticPr fontId="1"/>
  </si>
  <si>
    <t>QH00T_DS_MYDO_HAKKEN_D_TBL</t>
    <phoneticPr fontId="1"/>
  </si>
  <si>
    <t>まいどプラス発券実績(集約)　月別</t>
    <phoneticPr fontId="1"/>
  </si>
  <si>
    <t>QH00T_DS_MYDO_HAKKEN_M_SUM_TBL</t>
    <phoneticPr fontId="1"/>
  </si>
  <si>
    <t>まいどプラス発券実績(集約)　日別</t>
    <phoneticPr fontId="1"/>
  </si>
  <si>
    <t>QH00T_DS_MYDO_HAKKEN_D_SUM_TBL</t>
    <phoneticPr fontId="1"/>
  </si>
  <si>
    <t>販売見込みテーブル</t>
    <phoneticPr fontId="1"/>
  </si>
  <si>
    <t>QH00T_DS_HAN_MIKOMI_TBL</t>
    <phoneticPr fontId="1"/>
  </si>
  <si>
    <t>取引先NO2(セルフ)テーブル</t>
    <rPh sb="0" eb="2">
      <t>トリヒキ</t>
    </rPh>
    <rPh sb="2" eb="3">
      <t>サキ</t>
    </rPh>
    <phoneticPr fontId="1"/>
  </si>
  <si>
    <t>QH00M_DS_TORI_NO2SELF_TBL</t>
    <phoneticPr fontId="1"/>
  </si>
  <si>
    <t>セルアウト実績</t>
    <rPh sb="5" eb="7">
      <t>ジッセキ</t>
    </rPh>
    <phoneticPr fontId="1"/>
  </si>
  <si>
    <t>QH0004P1</t>
    <phoneticPr fontId="1"/>
  </si>
  <si>
    <t>apollostationPortal</t>
    <phoneticPr fontId="1"/>
  </si>
  <si>
    <t>セルアウト日別</t>
    <rPh sb="5" eb="7">
      <t>ヒベツ</t>
    </rPh>
    <phoneticPr fontId="1"/>
  </si>
  <si>
    <t>RED_SELLOUT_DAILY_TBL</t>
    <phoneticPr fontId="1"/>
  </si>
  <si>
    <t>販売計画実績</t>
    <rPh sb="0" eb="2">
      <t>ハンバイ</t>
    </rPh>
    <rPh sb="2" eb="4">
      <t>ケイカク</t>
    </rPh>
    <rPh sb="4" eb="6">
      <t>ジッセキ</t>
    </rPh>
    <phoneticPr fontId="1"/>
  </si>
  <si>
    <t>RED_HANBAI_KEIKAKU_TBL</t>
    <phoneticPr fontId="1"/>
  </si>
  <si>
    <t>取引先NO1テーブル</t>
    <rPh sb="0" eb="3">
      <t>トリヒキサキ</t>
    </rPh>
    <phoneticPr fontId="1"/>
  </si>
  <si>
    <t>RED_TORIHIKISAKI_NO1_TBL</t>
    <phoneticPr fontId="1"/>
  </si>
  <si>
    <t>取引先NO２テーブル</t>
    <rPh sb="0" eb="3">
      <t>トリヒキサキ</t>
    </rPh>
    <phoneticPr fontId="1"/>
  </si>
  <si>
    <t>RED_TORIHIKISAKI_NO2_TBL</t>
    <phoneticPr fontId="1"/>
  </si>
  <si>
    <t>地区推進会別市況テーブル</t>
    <phoneticPr fontId="1"/>
  </si>
  <si>
    <t>RED_CHIKUSUISINKAI_SIKYO_TBL</t>
    <phoneticPr fontId="1"/>
  </si>
  <si>
    <t>Mydo出クレ発券テーブル</t>
    <rPh sb="4" eb="5">
      <t>デ</t>
    </rPh>
    <rPh sb="7" eb="9">
      <t>ハッケン</t>
    </rPh>
    <phoneticPr fontId="1"/>
  </si>
  <si>
    <t>RED_MYDO_IDECRE_HAKKEN_TBL</t>
    <phoneticPr fontId="1"/>
  </si>
  <si>
    <t>広域店テーブル</t>
    <rPh sb="0" eb="2">
      <t>コウイキ</t>
    </rPh>
    <rPh sb="2" eb="3">
      <t>テン</t>
    </rPh>
    <phoneticPr fontId="1"/>
  </si>
  <si>
    <t>QH00M_DS_KOUIKI_HANBAITEN_TBL</t>
    <phoneticPr fontId="1"/>
  </si>
  <si>
    <t>固定値？</t>
    <rPh sb="0" eb="3">
      <t>コテイチ</t>
    </rPh>
    <phoneticPr fontId="1"/>
  </si>
  <si>
    <t>品名テーブル</t>
    <rPh sb="0" eb="2">
      <t>ヒンメイ</t>
    </rPh>
    <phoneticPr fontId="1"/>
  </si>
  <si>
    <t>RED_HINMEI_TBL</t>
    <phoneticPr fontId="1"/>
  </si>
  <si>
    <t>PCV品名テーブル</t>
    <rPh sb="3" eb="5">
      <t>ヒンメイ</t>
    </rPh>
    <phoneticPr fontId="1"/>
  </si>
  <si>
    <t>RED_PCV_HINMEI_TBL</t>
    <phoneticPr fontId="1"/>
  </si>
  <si>
    <t>エリア営業所テーブル</t>
    <rPh sb="3" eb="5">
      <t>エイギョウ</t>
    </rPh>
    <rPh sb="5" eb="6">
      <t>ジョ</t>
    </rPh>
    <phoneticPr fontId="1"/>
  </si>
  <si>
    <t>QH00M_DS_AREA_EIGYO_TBL</t>
    <phoneticPr fontId="1"/>
  </si>
  <si>
    <t>取引先NO2Sテーブル</t>
    <phoneticPr fontId="1"/>
  </si>
  <si>
    <t>RED_TORIHIKISAKI_NO2S_TBL</t>
    <phoneticPr fontId="1"/>
  </si>
  <si>
    <t>8.出光カード効果分析</t>
    <phoneticPr fontId="1"/>
  </si>
  <si>
    <t>出クレ会員</t>
    <phoneticPr fontId="1"/>
  </si>
  <si>
    <t>QH_IDECRE_KAIIN_TBL</t>
    <phoneticPr fontId="1"/>
  </si>
  <si>
    <t>現金会員情報</t>
    <rPh sb="0" eb="2">
      <t>ゲンキン</t>
    </rPh>
    <rPh sb="2" eb="4">
      <t>カイイン</t>
    </rPh>
    <rPh sb="4" eb="6">
      <t>ジョウホウ</t>
    </rPh>
    <phoneticPr fontId="1"/>
  </si>
  <si>
    <t>RED_GENKIN_CARD_KAIIN_JOHO_TBL</t>
    <phoneticPr fontId="1"/>
  </si>
  <si>
    <t>出クレ実績</t>
    <phoneticPr fontId="1"/>
  </si>
  <si>
    <t>RED_IDECRE_JISSEKI_TBL</t>
    <phoneticPr fontId="1"/>
  </si>
  <si>
    <t>出光カード支払形態別実績</t>
    <phoneticPr fontId="1"/>
  </si>
  <si>
    <t>RED_IDE_CARD_SIHA_KEITAI_TBL</t>
    <phoneticPr fontId="1"/>
  </si>
  <si>
    <t>09_処理センター17時</t>
    <phoneticPr fontId="1"/>
  </si>
  <si>
    <t>販売店請求データ作成</t>
    <rPh sb="0" eb="2">
      <t>ハンバイ</t>
    </rPh>
    <rPh sb="2" eb="3">
      <t>テン</t>
    </rPh>
    <rPh sb="3" eb="5">
      <t>セイキュウ</t>
    </rPh>
    <rPh sb="8" eb="10">
      <t>サクセイ</t>
    </rPh>
    <phoneticPr fontId="1"/>
  </si>
  <si>
    <t>機能</t>
    <rPh sb="0" eb="2">
      <t>キノウ</t>
    </rPh>
    <phoneticPr fontId="1"/>
  </si>
  <si>
    <t>GAS00100</t>
    <phoneticPr fontId="1"/>
  </si>
  <si>
    <t>○</t>
    <phoneticPr fontId="1"/>
  </si>
  <si>
    <t>POS配信1回目(CRC)</t>
    <phoneticPr fontId="1"/>
  </si>
  <si>
    <t>PH0S0150</t>
    <phoneticPr fontId="1"/>
  </si>
  <si>
    <t>POS配信1回目(ICC)</t>
    <phoneticPr fontId="1"/>
  </si>
  <si>
    <t>PH0S0270</t>
    <phoneticPr fontId="1"/>
  </si>
  <si>
    <t>POS配信1回目(ITC)</t>
    <phoneticPr fontId="1"/>
  </si>
  <si>
    <t>PH0S0170</t>
    <phoneticPr fontId="1"/>
  </si>
  <si>
    <t>PH0S0360</t>
    <phoneticPr fontId="1"/>
  </si>
  <si>
    <t>GST</t>
    <phoneticPr fontId="1"/>
  </si>
  <si>
    <t>10.自動仕入処理</t>
    <phoneticPr fontId="1"/>
  </si>
  <si>
    <t>自動仕入連携（ICC）</t>
    <rPh sb="0" eb="2">
      <t>ジドウ</t>
    </rPh>
    <rPh sb="2" eb="4">
      <t>シイレ</t>
    </rPh>
    <rPh sb="4" eb="6">
      <t>レンケイ</t>
    </rPh>
    <phoneticPr fontId="1"/>
  </si>
  <si>
    <t>PH0S0330</t>
    <phoneticPr fontId="1"/>
  </si>
  <si>
    <t>自動仕入連携（ITC）</t>
    <rPh sb="0" eb="2">
      <t>ジドウ</t>
    </rPh>
    <rPh sb="2" eb="4">
      <t>シイレ</t>
    </rPh>
    <rPh sb="4" eb="6">
      <t>レンケイ</t>
    </rPh>
    <phoneticPr fontId="1"/>
  </si>
  <si>
    <t>PH0S0200</t>
    <phoneticPr fontId="1"/>
  </si>
  <si>
    <t>自動仕入連携（CRC）</t>
    <rPh sb="0" eb="2">
      <t>ジドウ</t>
    </rPh>
    <rPh sb="2" eb="4">
      <t>シイレ</t>
    </rPh>
    <rPh sb="4" eb="6">
      <t>レンケイ</t>
    </rPh>
    <phoneticPr fontId="1"/>
  </si>
  <si>
    <t>PH0S0190</t>
    <phoneticPr fontId="1"/>
  </si>
  <si>
    <t>自動仕入連携（GST）</t>
    <rPh sb="0" eb="2">
      <t>ジドウ</t>
    </rPh>
    <rPh sb="2" eb="4">
      <t>シイレ</t>
    </rPh>
    <rPh sb="4" eb="6">
      <t>レンケイ</t>
    </rPh>
    <phoneticPr fontId="1"/>
  </si>
  <si>
    <t>PH0S0370</t>
    <phoneticPr fontId="1"/>
  </si>
  <si>
    <t>11.POS処理料・利用料</t>
    <rPh sb="6" eb="9">
      <t>ショリリョウ</t>
    </rPh>
    <rPh sb="10" eb="13">
      <t>リヨウリョウ</t>
    </rPh>
    <phoneticPr fontId="1"/>
  </si>
  <si>
    <t>POS処理料出クレ決済用データ</t>
    <rPh sb="3" eb="5">
      <t>ショリ</t>
    </rPh>
    <rPh sb="5" eb="6">
      <t>リョウ</t>
    </rPh>
    <rPh sb="6" eb="7">
      <t>デ</t>
    </rPh>
    <rPh sb="9" eb="12">
      <t>ケッサイヨウ</t>
    </rPh>
    <phoneticPr fontId="1"/>
  </si>
  <si>
    <t>PH0S0900</t>
    <phoneticPr fontId="1"/>
  </si>
  <si>
    <t>出クレ</t>
    <phoneticPr fontId="1"/>
  </si>
  <si>
    <t>POS利用料機伝</t>
    <rPh sb="3" eb="6">
      <t>リヨウリョウ</t>
    </rPh>
    <rPh sb="6" eb="7">
      <t>キ</t>
    </rPh>
    <rPh sb="7" eb="8">
      <t>デン</t>
    </rPh>
    <phoneticPr fontId="1"/>
  </si>
  <si>
    <t>GER00127</t>
    <phoneticPr fontId="1"/>
  </si>
  <si>
    <t>OneSAP</t>
    <phoneticPr fontId="1"/>
  </si>
  <si>
    <t>POS処理料機伝</t>
    <rPh sb="3" eb="5">
      <t>ショリ</t>
    </rPh>
    <rPh sb="5" eb="6">
      <t>リョウ</t>
    </rPh>
    <rPh sb="6" eb="7">
      <t>キ</t>
    </rPh>
    <rPh sb="7" eb="8">
      <t>デン</t>
    </rPh>
    <phoneticPr fontId="1"/>
  </si>
  <si>
    <t>ＰＯＳ処理料各種確認リスト</t>
    <rPh sb="3" eb="5">
      <t>ショリ</t>
    </rPh>
    <rPh sb="5" eb="6">
      <t>リョウ</t>
    </rPh>
    <rPh sb="6" eb="8">
      <t>カクシュ</t>
    </rPh>
    <rPh sb="8" eb="10">
      <t>カクニン</t>
    </rPh>
    <phoneticPr fontId="1"/>
  </si>
  <si>
    <t>PH000013</t>
    <phoneticPr fontId="1"/>
  </si>
  <si>
    <t>13.POSエントリ向け_まいどプラス発券</t>
    <phoneticPr fontId="1"/>
  </si>
  <si>
    <t>Mydoプラス発券実績</t>
    <phoneticPr fontId="1"/>
  </si>
  <si>
    <t>RED_MYDOPLUS_HAKKEN_TBL</t>
    <phoneticPr fontId="1"/>
  </si>
  <si>
    <t>エラーリストだけで良いか？</t>
    <rPh sb="9" eb="10">
      <t>ヨ</t>
    </rPh>
    <phoneticPr fontId="1"/>
  </si>
  <si>
    <t>MYDOPlus発券実績</t>
    <phoneticPr fontId="1"/>
  </si>
  <si>
    <t>QH0S0220</t>
    <phoneticPr fontId="1"/>
  </si>
  <si>
    <t>エントリシステム</t>
    <phoneticPr fontId="1"/>
  </si>
  <si>
    <t>15.ｱｽﾄﾓｽ入出荷</t>
    <phoneticPr fontId="1"/>
  </si>
  <si>
    <t>入出荷共通入力（日次）OneSAP向け</t>
    <phoneticPr fontId="1"/>
  </si>
  <si>
    <t>GBR00490</t>
    <phoneticPr fontId="1"/>
  </si>
  <si>
    <t>商品入荷エラーリスト</t>
    <phoneticPr fontId="1"/>
  </si>
  <si>
    <t>FS000002</t>
    <phoneticPr fontId="1"/>
  </si>
  <si>
    <t>複合伝票（LPG)</t>
    <phoneticPr fontId="1"/>
  </si>
  <si>
    <t>FS000004</t>
    <phoneticPr fontId="1"/>
  </si>
  <si>
    <t>在庫受払日報</t>
    <phoneticPr fontId="1"/>
  </si>
  <si>
    <t>FS000007</t>
    <phoneticPr fontId="1"/>
  </si>
  <si>
    <t>在庫受払月報</t>
    <rPh sb="4" eb="6">
      <t>ゲッポウ</t>
    </rPh>
    <phoneticPr fontId="1"/>
  </si>
  <si>
    <t>FS000008</t>
    <phoneticPr fontId="1"/>
  </si>
  <si>
    <t>17. 全国版SS更新</t>
    <phoneticPr fontId="1"/>
  </si>
  <si>
    <t>ＰＯＳ給油所マスタ更新</t>
    <rPh sb="9" eb="11">
      <t>コウシン</t>
    </rPh>
    <phoneticPr fontId="1"/>
  </si>
  <si>
    <t>PSV_PMPS1500.dat</t>
    <phoneticPr fontId="1"/>
  </si>
  <si>
    <t>PH0R0260（ICC）、PH0R0250（ICT）、PH0R0240（CRC）</t>
    <phoneticPr fontId="1"/>
  </si>
  <si>
    <t>CTC向け全国版SSﾏｽﾀ</t>
    <phoneticPr fontId="1"/>
  </si>
  <si>
    <t>PH0S0220</t>
    <phoneticPr fontId="1"/>
  </si>
  <si>
    <t>全国版SSﾏｽﾀ差分</t>
    <rPh sb="8" eb="10">
      <t>サブン</t>
    </rPh>
    <phoneticPr fontId="1"/>
  </si>
  <si>
    <t>17時連携で利用する</t>
    <rPh sb="2" eb="3">
      <t>ジ</t>
    </rPh>
    <rPh sb="3" eb="5">
      <t>レンケイ</t>
    </rPh>
    <rPh sb="6" eb="8">
      <t>リヨウ</t>
    </rPh>
    <phoneticPr fontId="1"/>
  </si>
  <si>
    <t>SS台帳、給油所マスタ更新</t>
    <rPh sb="2" eb="4">
      <t>ダイチョウ</t>
    </rPh>
    <rPh sb="5" eb="8">
      <t>キュウユショ</t>
    </rPh>
    <rPh sb="11" eb="13">
      <t>コウシン</t>
    </rPh>
    <phoneticPr fontId="1"/>
  </si>
  <si>
    <t>新マスタ更新仕様</t>
    <rPh sb="0" eb="1">
      <t>シン</t>
    </rPh>
    <rPh sb="4" eb="6">
      <t>コウシン</t>
    </rPh>
    <rPh sb="6" eb="8">
      <t>シヨウ</t>
    </rPh>
    <phoneticPr fontId="1"/>
  </si>
  <si>
    <t>21.企業情報</t>
    <phoneticPr fontId="1"/>
  </si>
  <si>
    <t>企業情報検索</t>
    <rPh sb="0" eb="2">
      <t>キギョウ</t>
    </rPh>
    <rPh sb="2" eb="4">
      <t>ジョウホウ</t>
    </rPh>
    <rPh sb="4" eb="6">
      <t>ケンサク</t>
    </rPh>
    <phoneticPr fontId="1"/>
  </si>
  <si>
    <t>QHI_KIGYOJYOHO_KENSAKU_TBL</t>
    <phoneticPr fontId="1"/>
  </si>
  <si>
    <t>外部接続</t>
    <rPh sb="0" eb="2">
      <t>ガイブ</t>
    </rPh>
    <rPh sb="2" eb="4">
      <t>セツゾク</t>
    </rPh>
    <phoneticPr fontId="1"/>
  </si>
  <si>
    <t>営業支援サーバーから販売DBを直接参照していりる。</t>
    <rPh sb="0" eb="2">
      <t>エイギョウ</t>
    </rPh>
    <rPh sb="2" eb="4">
      <t>シエン</t>
    </rPh>
    <rPh sb="10" eb="12">
      <t>ハンバイ</t>
    </rPh>
    <rPh sb="15" eb="17">
      <t>チョクセツ</t>
    </rPh>
    <rPh sb="17" eb="19">
      <t>サンショウ</t>
    </rPh>
    <phoneticPr fontId="1"/>
  </si>
  <si>
    <t>販売情報管理アラーム</t>
    <rPh sb="0" eb="2">
      <t>ハンバイ</t>
    </rPh>
    <rPh sb="2" eb="4">
      <t>ジョウホウ</t>
    </rPh>
    <rPh sb="4" eb="6">
      <t>カンリ</t>
    </rPh>
    <phoneticPr fontId="1"/>
  </si>
  <si>
    <t>アラーム対象</t>
    <rPh sb="4" eb="6">
      <t>タイショウ</t>
    </rPh>
    <phoneticPr fontId="1"/>
  </si>
  <si>
    <t>QH_ALM_TARGET_TBL</t>
    <phoneticPr fontId="1"/>
  </si>
  <si>
    <t>データ活用基盤で作成する方針</t>
    <rPh sb="3" eb="7">
      <t>カツヨウキバン</t>
    </rPh>
    <rPh sb="8" eb="10">
      <t>サクセイ</t>
    </rPh>
    <rPh sb="12" eb="14">
      <t>ホウシン</t>
    </rPh>
    <phoneticPr fontId="1"/>
  </si>
  <si>
    <t>処理用SS台帳の作成</t>
    <rPh sb="0" eb="3">
      <t>ショリヨウ</t>
    </rPh>
    <rPh sb="5" eb="7">
      <t>ダイチョウ</t>
    </rPh>
    <rPh sb="8" eb="10">
      <t>サクセイ</t>
    </rPh>
    <phoneticPr fontId="1"/>
  </si>
  <si>
    <t>新SS台帳から処理用SS台帳の作成（バッチ処理）</t>
    <rPh sb="0" eb="1">
      <t>シン</t>
    </rPh>
    <rPh sb="3" eb="5">
      <t>ダイチョウ</t>
    </rPh>
    <rPh sb="7" eb="9">
      <t>ショリ</t>
    </rPh>
    <rPh sb="9" eb="10">
      <t>ヨウ</t>
    </rPh>
    <rPh sb="12" eb="14">
      <t>ダイチョウ</t>
    </rPh>
    <rPh sb="15" eb="17">
      <t>サクセイ</t>
    </rPh>
    <rPh sb="21" eb="23">
      <t>ショリ</t>
    </rPh>
    <phoneticPr fontId="1"/>
  </si>
  <si>
    <t>新規機能</t>
    <rPh sb="0" eb="2">
      <t>シンキ</t>
    </rPh>
    <rPh sb="2" eb="4">
      <t>キノウ</t>
    </rPh>
    <phoneticPr fontId="1"/>
  </si>
  <si>
    <t>人日</t>
    <rPh sb="0" eb="2">
      <t>ニンニチ</t>
    </rPh>
    <phoneticPr fontId="1"/>
  </si>
  <si>
    <t>担当</t>
    <rPh sb="0" eb="2">
      <t>タントウ</t>
    </rPh>
    <phoneticPr fontId="1"/>
  </si>
  <si>
    <t>EXE</t>
  </si>
  <si>
    <t>EXE</t>
    <phoneticPr fontId="1"/>
  </si>
  <si>
    <t>JCC様</t>
    <rPh sb="3" eb="4">
      <t>サマ</t>
    </rPh>
    <phoneticPr fontId="1"/>
  </si>
  <si>
    <t>設計書有無</t>
    <rPh sb="0" eb="5">
      <t>セッケイショウム</t>
    </rPh>
    <phoneticPr fontId="1"/>
  </si>
  <si>
    <t>EXE分工数</t>
    <phoneticPr fontId="1"/>
  </si>
  <si>
    <t>有</t>
    <rPh sb="0" eb="1">
      <t>アリ</t>
    </rPh>
    <phoneticPr fontId="1"/>
  </si>
  <si>
    <t>EXE分工数
(設計書受領分)</t>
    <rPh sb="8" eb="14">
      <t>セッケイショジュリョウブン</t>
    </rPh>
    <phoneticPr fontId="1"/>
  </si>
  <si>
    <t>(人月・合計)</t>
    <rPh sb="1" eb="3">
      <t>ニンゲツ</t>
    </rPh>
    <rPh sb="4" eb="6">
      <t>ゴウケイ</t>
    </rPh>
    <phoneticPr fontId="1"/>
  </si>
  <si>
    <t>製造単体工数
（EXE見積）</t>
    <rPh sb="0" eb="2">
      <t>セイゾウ</t>
    </rPh>
    <rPh sb="2" eb="4">
      <t>タンタイ</t>
    </rPh>
    <rPh sb="4" eb="6">
      <t>コウスウ</t>
    </rPh>
    <rPh sb="11" eb="13">
      <t>ミツモリ</t>
    </rPh>
    <phoneticPr fontId="1"/>
  </si>
  <si>
    <t>結合試験工数
（EXE見積）</t>
    <rPh sb="0" eb="2">
      <t>ケツゴウ</t>
    </rPh>
    <rPh sb="2" eb="4">
      <t>シケン</t>
    </rPh>
    <rPh sb="4" eb="6">
      <t>コウスウ</t>
    </rPh>
    <phoneticPr fontId="1"/>
  </si>
  <si>
    <t>想定作業工数
(全体)</t>
    <rPh sb="0" eb="6">
      <t>ソウテイサギョウコウスウ</t>
    </rPh>
    <rPh sb="8" eb="10">
      <t>ゼンタイ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</si>
</sst>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3" x14ac:knownFonts="1">
    <font>
      <sz val="11"/>
      <color theme="1"/>
      <name val="游ゴシック"/>
      <family val="2"/>
      <charset val="128"/>
      <scheme val="minor"/>
    </font>
    <font>
      <sz val="6"/>
      <name val="游ゴシック"/>
      <family val="2"/>
      <charset val="128"/>
      <scheme val="minor"/>
    </font>
    <font>
      <sz val="14"/>
      <color rgb="FFFF0000"/>
      <name val="游ゴシック"/>
      <family val="2"/>
      <charset val="128"/>
      <scheme val="minor"/>
    </font>
  </fonts>
  <fills count="8">
    <fill>
      <patternFill patternType="none"/>
    </fill>
    <fill>
      <patternFill patternType="gray125"/>
    </fill>
    <fill>
      <patternFill patternType="solid">
        <fgColor theme="4"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s>
  <cellStyleXfs count="1">
    <xf numFmtId="0" fontId="0" fillId="0" borderId="0">
      <alignment vertical="center"/>
    </xf>
  </cellStyleXfs>
  <cellXfs count="30">
    <xf numFmtId="0" fontId="0" fillId="0" borderId="0" xfId="0">
      <alignment vertical="center"/>
    </xf>
    <xf numFmtId="0" fontId="0" fillId="0" borderId="1" xfId="0" applyBorder="1">
      <alignment vertical="center"/>
    </xf>
    <xf numFmtId="0" fontId="0" fillId="3" borderId="1" xfId="0" applyFill="1" applyBorder="1">
      <alignment vertical="center"/>
    </xf>
    <xf numFmtId="0" fontId="0" fillId="2" borderId="1" xfId="0" applyFill="1" applyBorder="1">
      <alignment vertical="center"/>
    </xf>
    <xf numFmtId="0" fontId="0" fillId="4" borderId="1" xfId="0" applyFill="1" applyBorder="1">
      <alignment vertical="center"/>
    </xf>
    <xf numFmtId="49" fontId="0" fillId="0" borderId="0" xfId="0" applyNumberFormat="1">
      <alignment vertical="center"/>
    </xf>
    <xf numFmtId="176" fontId="0" fillId="0" borderId="0" xfId="0" applyNumberForma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49" fontId="0" fillId="4" borderId="1" xfId="0" applyNumberFormat="1" applyFill="1" applyBorder="1" applyAlignment="1">
      <alignment horizontal="center" vertical="center"/>
    </xf>
    <xf numFmtId="49" fontId="0" fillId="4" borderId="2" xfId="0" applyNumberFormat="1" applyFill="1" applyBorder="1" applyAlignment="1">
      <alignment horizontal="center" vertical="center"/>
    </xf>
    <xf numFmtId="49" fontId="0" fillId="4" borderId="1" xfId="0" applyNumberForma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49" fontId="0" fillId="5" borderId="1" xfId="0" applyNumberFormat="1" applyFill="1" applyBorder="1" applyAlignment="1">
      <alignment horizontal="center" vertical="center"/>
    </xf>
    <xf numFmtId="49" fontId="0" fillId="0" borderId="2" xfId="0" applyNumberFormat="1" applyBorder="1" applyAlignment="1">
      <alignment horizontal="center" vertical="center"/>
    </xf>
    <xf numFmtId="49" fontId="0" fillId="0" borderId="4" xfId="0" applyNumberFormat="1" applyBorder="1" applyAlignment="1">
      <alignment horizontal="center" vertical="center"/>
    </xf>
    <xf numFmtId="49" fontId="0" fillId="0" borderId="3" xfId="0" applyNumberFormat="1" applyBorder="1" applyAlignment="1">
      <alignment horizontal="center" vertical="center"/>
    </xf>
    <xf numFmtId="49" fontId="0" fillId="4" borderId="1" xfId="0" applyNumberFormat="1" applyFill="1" applyBorder="1" applyAlignment="1">
      <alignment horizontal="center" vertical="center"/>
    </xf>
    <xf numFmtId="49" fontId="0" fillId="0" borderId="0" xfId="0" applyNumberFormat="1" applyAlignment="1">
      <alignment vertical="center" wrapText="1"/>
    </xf>
    <xf numFmtId="49" fontId="0" fillId="0" borderId="0" xfId="0" applyNumberFormat="1">
      <alignment vertical="center"/>
    </xf>
    <xf numFmtId="49" fontId="0" fillId="0" borderId="6" xfId="0" applyNumberFormat="1" applyBorder="1">
      <alignment vertical="center"/>
    </xf>
    <xf numFmtId="0" fontId="0" fillId="0" borderId="5" xfId="0" applyBorder="1" applyAlignment="1">
      <alignment horizontal="center" vertical="center"/>
    </xf>
    <xf numFmtId="0" fontId="0" fillId="6" borderId="5" xfId="0" applyFill="1" applyBorder="1" applyAlignment="1">
      <alignment horizontal="center" vertical="center"/>
    </xf>
    <xf numFmtId="0" fontId="0" fillId="7" borderId="1" xfId="0" applyFill="1" applyBorder="1" applyAlignment="1">
      <alignment horizontal="center" vertical="center"/>
    </xf>
    <xf numFmtId="9" fontId="2" fillId="0" borderId="0" xfId="0" applyNumberFormat="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23</xdr:col>
      <xdr:colOff>8283</xdr:colOff>
      <xdr:row>90</xdr:row>
      <xdr:rowOff>0</xdr:rowOff>
    </xdr:from>
    <xdr:to>
      <xdr:col>25</xdr:col>
      <xdr:colOff>687457</xdr:colOff>
      <xdr:row>95</xdr:row>
      <xdr:rowOff>140805</xdr:rowOff>
    </xdr:to>
    <xdr:sp macro="" textlink="">
      <xdr:nvSpPr>
        <xdr:cNvPr id="2" name="吹き出し: 四角形 1">
          <a:extLst>
            <a:ext uri="{FF2B5EF4-FFF2-40B4-BE49-F238E27FC236}">
              <a16:creationId xmlns:a16="http://schemas.microsoft.com/office/drawing/2014/main" id="{5B52823F-4153-B832-BD0A-64D2A1BB6EE7}"/>
            </a:ext>
          </a:extLst>
        </xdr:cNvPr>
        <xdr:cNvSpPr/>
      </xdr:nvSpPr>
      <xdr:spPr>
        <a:xfrm>
          <a:off x="7793935" y="22495565"/>
          <a:ext cx="2816087" cy="1341783"/>
        </a:xfrm>
        <a:prstGeom prst="wedgeRectCallout">
          <a:avLst>
            <a:gd name="adj1" fmla="val -40832"/>
            <a:gd name="adj2" fmla="val -9070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乖離率を元に計算</a:t>
          </a:r>
          <a:endParaRPr kumimoji="1" lang="en-US" altLang="ja-JP" sz="1100"/>
        </a:p>
        <a:p>
          <a:pPr algn="l"/>
          <a:endParaRPr kumimoji="1" lang="en-US" altLang="ja-JP" sz="1100"/>
        </a:p>
        <a:p>
          <a:pPr algn="l"/>
          <a:r>
            <a:rPr kumimoji="1" lang="ja-JP" altLang="en-US" sz="1100"/>
            <a:t>管理工数、仕様把握、ローカル</a:t>
          </a:r>
          <a:r>
            <a:rPr kumimoji="1" lang="en-US" altLang="ja-JP" sz="1100"/>
            <a:t>PC</a:t>
          </a:r>
          <a:r>
            <a:rPr kumimoji="1" lang="ja-JP" altLang="en-US" sz="1100"/>
            <a:t>への開発環境構築などの工数が含まれていないのでもう少し増える見込み</a:t>
          </a:r>
        </a:p>
      </xdr:txBody>
    </xdr:sp>
    <xdr:clientData/>
  </xdr:twoCellAnchor>
  <xdr:twoCellAnchor>
    <xdr:from>
      <xdr:col>25</xdr:col>
      <xdr:colOff>795131</xdr:colOff>
      <xdr:row>86</xdr:row>
      <xdr:rowOff>223631</xdr:rowOff>
    </xdr:from>
    <xdr:to>
      <xdr:col>27</xdr:col>
      <xdr:colOff>1027044</xdr:colOff>
      <xdr:row>89</xdr:row>
      <xdr:rowOff>182217</xdr:rowOff>
    </xdr:to>
    <xdr:sp macro="" textlink="">
      <xdr:nvSpPr>
        <xdr:cNvPr id="3" name="吹き出し: 四角形 2">
          <a:extLst>
            <a:ext uri="{FF2B5EF4-FFF2-40B4-BE49-F238E27FC236}">
              <a16:creationId xmlns:a16="http://schemas.microsoft.com/office/drawing/2014/main" id="{E9BB171B-9236-4CA0-A911-DFC8E1166875}"/>
            </a:ext>
          </a:extLst>
        </xdr:cNvPr>
        <xdr:cNvSpPr/>
      </xdr:nvSpPr>
      <xdr:spPr>
        <a:xfrm>
          <a:off x="10717696" y="21468522"/>
          <a:ext cx="2816087" cy="969065"/>
        </a:xfrm>
        <a:prstGeom prst="wedgeRectCallout">
          <a:avLst>
            <a:gd name="adj1" fmla="val -39950"/>
            <a:gd name="adj2" fmla="val -9427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設計書を受領できた個所のみ</a:t>
          </a:r>
          <a:endParaRPr kumimoji="1" lang="en-US" altLang="ja-JP" sz="1100"/>
        </a:p>
        <a:p>
          <a:pPr algn="l"/>
          <a:r>
            <a:rPr kumimoji="1" lang="ja-JP" altLang="en-US" sz="1100"/>
            <a:t>製造と結合テストにかかる工数を概算で算出しています。</a:t>
          </a:r>
        </a:p>
      </xdr:txBody>
    </xdr:sp>
    <xdr:clientData/>
  </xdr:twoCellAnchor>
  <xdr:twoCellAnchor>
    <xdr:from>
      <xdr:col>27</xdr:col>
      <xdr:colOff>1432891</xdr:colOff>
      <xdr:row>87</xdr:row>
      <xdr:rowOff>82826</xdr:rowOff>
    </xdr:from>
    <xdr:to>
      <xdr:col>40</xdr:col>
      <xdr:colOff>157369</xdr:colOff>
      <xdr:row>90</xdr:row>
      <xdr:rowOff>41413</xdr:rowOff>
    </xdr:to>
    <xdr:sp macro="" textlink="">
      <xdr:nvSpPr>
        <xdr:cNvPr id="4" name="吹き出し: 四角形 3">
          <a:extLst>
            <a:ext uri="{FF2B5EF4-FFF2-40B4-BE49-F238E27FC236}">
              <a16:creationId xmlns:a16="http://schemas.microsoft.com/office/drawing/2014/main" id="{9DFD513B-EC14-4949-900E-4648A262FB33}"/>
            </a:ext>
          </a:extLst>
        </xdr:cNvPr>
        <xdr:cNvSpPr/>
      </xdr:nvSpPr>
      <xdr:spPr>
        <a:xfrm>
          <a:off x="13939630" y="21567913"/>
          <a:ext cx="2816087" cy="969065"/>
        </a:xfrm>
        <a:prstGeom prst="wedgeRectCallout">
          <a:avLst>
            <a:gd name="adj1" fmla="val -39950"/>
            <a:gd name="adj2" fmla="val -9427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JCC</a:t>
          </a:r>
          <a:r>
            <a:rPr kumimoji="1" lang="ja-JP" altLang="en-US" sz="1100"/>
            <a:t>様と乖離率</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n6221\&#21697;&#36074;&#31649;&#29702;&#23460;\WINDOWS\TEMP\d.Lotus.Notes.Data\&#24037;&#25968;&#36027;&#29992;&#31649;&#2970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NGIMMS0\&#65325;&#65325;&#65331;&#36939;&#29992;\DOCUME~1\ADMINI~1\LOCALS~1\Temp\NSMAILM\TEMP\NSMAILM\TEMP\&#26989;&#21209;&#25913;&#38761;&#36039;&#26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_syski\d\&#12503;&#12525;&#12472;&#12455;&#12463;&#12488;&#65313;\e&#65419;&#65438;&#65404;&#65438;&#65416;&#65405;\&#65408;&#65438;&#65394;&#65396;&#65392;OMC\05&#65411;&#65405;&#65412;\ST-&#19981;&#20855;&#21512;&#31649;&#297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p101\sugano\docs\1999docs\hori\Prbch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msc\cresco\WINDOWS\TEMP\LAWSON-IT&#25903;&#25588;-L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KAO\&#22266;&#23450;&#36039;&#29987;\&#31649;&#29702;\KAO\&#22266;&#23450;&#36039;&#29987;\&#22806;&#37096;&#35373;&#35336;\3_&#19968;&#3523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NGISRV1\LawsonLETSS\&#65321;&#65331;&#65327;&#38306;&#36899;\&#12458;&#12540;&#12503;&#12531;&#38306;&#36899;\&#23436;&#25104;&#29256;\005_&#25104;&#26524;&#29289;\NSMAILM\TEMP\NSMAILM\TEMP\&#26989;&#21209;&#25913;&#38761;&#36039;&#26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usr\@PLANCM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usr\TMC\&#20181;&#35379;\&#65402;&#65419;&#65439;&#65392;%20&#65374;%20&#20840;&#20181;&#35379;&#12522;&#12473;&#12488;040600WI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71.12.1\work\EnterNet\MyWork\TableDef\990625\&#12487;&#12540;&#12479;&#36766;&#2636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91.1.11\work\EnterNet\MyWork\TableDef\990625\&#12487;&#12540;&#12479;&#36766;&#2636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res\pj\point\01&#35201;&#20214;&#23450;&#32681;&#25104;&#26524;&#29289;\0101&#35201;&#20214;&#23450;&#32681;&#26360;\xIF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数管理"/>
      <sheetName val="８"/>
      <sheetName val="８ (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ｼｽﾃﾑ全体概要"/>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礎"/>
      <sheetName val="問題一覧"/>
      <sheetName val="ﾋﾟﾎﾟｯﾄ"/>
      <sheetName val="ﾌｫｰﾑ"/>
    </sheetNames>
    <sheetDataSet>
      <sheetData sheetId="0">
        <row r="6">
          <cell r="A6">
            <v>36627</v>
          </cell>
        </row>
        <row r="10">
          <cell r="A10">
            <v>3</v>
          </cell>
          <cell r="B10">
            <v>5</v>
          </cell>
        </row>
        <row r="14">
          <cell r="A14">
            <v>36626</v>
          </cell>
          <cell r="B14">
            <v>36627</v>
          </cell>
          <cell r="C14">
            <v>36628</v>
          </cell>
          <cell r="D14">
            <v>36629</v>
          </cell>
          <cell r="E14">
            <v>36630</v>
          </cell>
          <cell r="F14">
            <v>36631</v>
          </cell>
          <cell r="G14">
            <v>36632</v>
          </cell>
          <cell r="H14">
            <v>36633</v>
          </cell>
          <cell r="I14">
            <v>36634</v>
          </cell>
          <cell r="J14">
            <v>36635</v>
          </cell>
          <cell r="K14">
            <v>36636</v>
          </cell>
          <cell r="L14">
            <v>36637</v>
          </cell>
          <cell r="M14">
            <v>36638</v>
          </cell>
          <cell r="N14">
            <v>36639</v>
          </cell>
          <cell r="O14">
            <v>36640</v>
          </cell>
          <cell r="P14">
            <v>36641</v>
          </cell>
          <cell r="Q14">
            <v>36642</v>
          </cell>
        </row>
      </sheetData>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要001添付"/>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s"/>
      <sheetName val="OtherCost"/>
    </sheetNames>
    <sheetDataSet>
      <sheetData sheetId="0"/>
      <sheetData sheetId="1">
        <row r="2">
          <cell r="B2" t="str">
            <v>ITPS-COST-Table</v>
          </cell>
        </row>
        <row r="3">
          <cell r="B3" t="str">
            <v>A</v>
          </cell>
          <cell r="C3">
            <v>0</v>
          </cell>
        </row>
        <row r="4">
          <cell r="B4" t="str">
            <v>ADUP</v>
          </cell>
          <cell r="C4">
            <v>2190000</v>
          </cell>
        </row>
        <row r="5">
          <cell r="B5" t="str">
            <v>AIT(MGR)</v>
          </cell>
          <cell r="C5">
            <v>1350000</v>
          </cell>
        </row>
        <row r="6">
          <cell r="B6" t="str">
            <v>AIT(OP)</v>
          </cell>
          <cell r="C6">
            <v>900000</v>
          </cell>
        </row>
        <row r="7">
          <cell r="B7" t="str">
            <v>AIT(SE1)</v>
          </cell>
          <cell r="C7">
            <v>1150000</v>
          </cell>
        </row>
        <row r="8">
          <cell r="B8" t="str">
            <v>AIT(SE2)</v>
          </cell>
          <cell r="C8">
            <v>1100000</v>
          </cell>
        </row>
        <row r="9">
          <cell r="B9" t="str">
            <v>AIT(TEC)</v>
          </cell>
          <cell r="C9">
            <v>2000000</v>
          </cell>
        </row>
        <row r="10">
          <cell r="B10" t="str">
            <v>ASE</v>
          </cell>
          <cell r="C10">
            <v>975000</v>
          </cell>
        </row>
        <row r="11">
          <cell r="B11" t="str">
            <v>ITS</v>
          </cell>
          <cell r="C11">
            <v>1680000</v>
          </cell>
        </row>
        <row r="12">
          <cell r="B12" t="str">
            <v>PM/ICP</v>
          </cell>
          <cell r="C12">
            <v>2790000</v>
          </cell>
        </row>
        <row r="13">
          <cell r="B13" t="str">
            <v>PSC</v>
          </cell>
          <cell r="C13">
            <v>1200000</v>
          </cell>
        </row>
        <row r="14">
          <cell r="B14" t="str">
            <v>S&amp;I</v>
          </cell>
          <cell r="C14">
            <v>1600000</v>
          </cell>
        </row>
        <row r="15">
          <cell r="B15" t="str">
            <v>SSO</v>
          </cell>
          <cell r="C15">
            <v>1000000</v>
          </cell>
        </row>
        <row r="16">
          <cell r="B16" t="str">
            <v>ZEST1</v>
          </cell>
          <cell r="C16">
            <v>1300000</v>
          </cell>
        </row>
        <row r="17">
          <cell r="B17" t="str">
            <v>ZEST2</v>
          </cell>
          <cell r="C17">
            <v>1200000</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2"/>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ｼｽﾃﾑ全体概要"/>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訳情報"/>
      <sheetName val="@PLANCMP"/>
    </sheet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_Japan (2)"/>
      <sheetName val="form_Japan"/>
      <sheetName val="Japan仕訳コントロール"/>
      <sheetName val="form_CA_CH_UA_US JH"/>
      <sheetName val="CA_CH_UA_US JH"/>
      <sheetName val="仕訳情報"/>
    </sheetNames>
    <sheetDataSet>
      <sheetData sheetId="0" refreshError="1"/>
      <sheetData sheetId="1" refreshError="1"/>
      <sheetData sheetId="2" refreshError="1"/>
      <sheetData sheetId="3" refreshError="1"/>
      <sheetData sheetId="4" refreshError="1"/>
      <sheetData sheetId="5" refreshError="1">
        <row r="1">
          <cell r="A1" t="str">
            <v>仕訳種別コード</v>
          </cell>
          <cell r="B1" t="str">
            <v>仕訳種別名称</v>
          </cell>
          <cell r="C1" t="str">
            <v>繰越区分</v>
          </cell>
          <cell r="D1" t="str">
            <v>区分</v>
          </cell>
        </row>
        <row r="2">
          <cell r="A2" t="str">
            <v>100</v>
          </cell>
          <cell r="B2" t="str">
            <v xml:space="preserve">100_個別財務諸表                        </v>
          </cell>
          <cell r="C2" t="str">
            <v>対象外</v>
          </cell>
          <cell r="D2" t="str">
            <v>9</v>
          </cell>
        </row>
        <row r="3">
          <cell r="A3" t="str">
            <v>210</v>
          </cell>
          <cell r="B3" t="str">
            <v xml:space="preserve">210_無形固定資産(費用処理)              </v>
          </cell>
          <cell r="C3" t="str">
            <v>洗替</v>
          </cell>
          <cell r="D3" t="str">
            <v>1</v>
          </cell>
        </row>
        <row r="4">
          <cell r="A4" t="str">
            <v>211</v>
          </cell>
          <cell r="B4" t="str">
            <v xml:space="preserve">211_無形固定資産(費用処理)の税効果      </v>
          </cell>
          <cell r="C4" t="str">
            <v>洗替</v>
          </cell>
          <cell r="D4" t="str">
            <v>1</v>
          </cell>
        </row>
        <row r="5">
          <cell r="A5" t="str">
            <v>215</v>
          </cell>
          <cell r="B5" t="str">
            <v xml:space="preserve">215_無形固定資産(償却費組替)            </v>
          </cell>
          <cell r="C5" t="str">
            <v>洗替</v>
          </cell>
          <cell r="D5" t="str">
            <v>1</v>
          </cell>
        </row>
        <row r="6">
          <cell r="A6" t="str">
            <v>220</v>
          </cell>
          <cell r="B6" t="str">
            <v xml:space="preserve">220_繰延資産(費用処理)                  </v>
          </cell>
          <cell r="C6" t="str">
            <v>洗替</v>
          </cell>
          <cell r="D6" t="str">
            <v>1</v>
          </cell>
        </row>
        <row r="7">
          <cell r="A7" t="str">
            <v>221</v>
          </cell>
          <cell r="B7" t="str">
            <v xml:space="preserve">221_繰延資産(費用処理)の税効果          </v>
          </cell>
          <cell r="C7" t="str">
            <v>洗替</v>
          </cell>
          <cell r="D7" t="str">
            <v>1</v>
          </cell>
        </row>
        <row r="8">
          <cell r="A8" t="str">
            <v>225</v>
          </cell>
          <cell r="B8" t="str">
            <v xml:space="preserve">225_繰延資産(償却費組替)                </v>
          </cell>
          <cell r="C8" t="str">
            <v>洗替</v>
          </cell>
          <cell r="D8" t="str">
            <v>1</v>
          </cell>
        </row>
        <row r="9">
          <cell r="A9" t="str">
            <v>236</v>
          </cell>
          <cell r="B9" t="str">
            <v xml:space="preserve">236_科目組替(個別ＦＳ科目組替)          </v>
          </cell>
          <cell r="C9" t="str">
            <v>洗替</v>
          </cell>
          <cell r="D9" t="str">
            <v>1</v>
          </cell>
        </row>
        <row r="10">
          <cell r="A10" t="str">
            <v>237</v>
          </cell>
          <cell r="B10" t="str">
            <v xml:space="preserve">237_科目組替(有価証券評価減戻し)        </v>
          </cell>
          <cell r="C10" t="str">
            <v>蓄積</v>
          </cell>
          <cell r="D10" t="str">
            <v>2</v>
          </cell>
        </row>
        <row r="11">
          <cell r="A11" t="str">
            <v>238</v>
          </cell>
          <cell r="B11" t="str">
            <v xml:space="preserve">238_科目組替(譲受月賦手形修正)          </v>
          </cell>
          <cell r="C11" t="str">
            <v>対象外</v>
          </cell>
          <cell r="D11" t="str">
            <v>9</v>
          </cell>
        </row>
        <row r="12">
          <cell r="A12" t="str">
            <v>239</v>
          </cell>
          <cell r="B12" t="str">
            <v xml:space="preserve">239_科目組替(無償修理費組替)            </v>
          </cell>
          <cell r="C12" t="str">
            <v>対象外</v>
          </cell>
          <cell r="D12" t="str">
            <v>9</v>
          </cell>
        </row>
        <row r="13">
          <cell r="A13" t="str">
            <v>240</v>
          </cell>
          <cell r="B13" t="str">
            <v xml:space="preserve">240_科目組替(投資有価証券)              </v>
          </cell>
          <cell r="C13" t="str">
            <v>洗替</v>
          </cell>
          <cell r="D13" t="str">
            <v>1</v>
          </cell>
        </row>
        <row r="14">
          <cell r="A14" t="str">
            <v>246</v>
          </cell>
          <cell r="B14" t="str">
            <v xml:space="preserve">246_科目組替(広告宣伝費組替)            </v>
          </cell>
          <cell r="C14" t="str">
            <v>対象外</v>
          </cell>
          <cell r="D14" t="str">
            <v>9</v>
          </cell>
        </row>
        <row r="15">
          <cell r="A15" t="str">
            <v>247</v>
          </cell>
          <cell r="B15" t="str">
            <v xml:space="preserve">247_科目組替(公害防止債組替)            </v>
          </cell>
          <cell r="C15" t="str">
            <v>対象外</v>
          </cell>
          <cell r="D15" t="str">
            <v>9</v>
          </cell>
        </row>
        <row r="16">
          <cell r="A16" t="str">
            <v>248</v>
          </cell>
          <cell r="B16" t="str">
            <v xml:space="preserve">248_科目組替(その他固定負債組替)        </v>
          </cell>
          <cell r="C16" t="str">
            <v>対象外</v>
          </cell>
          <cell r="D16" t="str">
            <v>9</v>
          </cell>
        </row>
        <row r="17">
          <cell r="A17" t="str">
            <v>249</v>
          </cell>
          <cell r="B17" t="str">
            <v xml:space="preserve">249_科目組替(事業税)                    </v>
          </cell>
          <cell r="C17" t="str">
            <v>対象外</v>
          </cell>
          <cell r="D17" t="str">
            <v>9</v>
          </cell>
        </row>
        <row r="18">
          <cell r="A18" t="str">
            <v>256</v>
          </cell>
          <cell r="B18" t="str">
            <v xml:space="preserve">256_科目組替(役員賞与)                  </v>
          </cell>
          <cell r="C18" t="str">
            <v>対象外</v>
          </cell>
          <cell r="D18" t="str">
            <v>9</v>
          </cell>
        </row>
        <row r="19">
          <cell r="A19" t="str">
            <v>257</v>
          </cell>
          <cell r="B19" t="str">
            <v xml:space="preserve">257_科目組替(その他)-洗替               </v>
          </cell>
          <cell r="C19" t="str">
            <v>洗替</v>
          </cell>
          <cell r="D19" t="str">
            <v>1</v>
          </cell>
        </row>
        <row r="20">
          <cell r="A20" t="str">
            <v>258</v>
          </cell>
          <cell r="B20" t="str">
            <v xml:space="preserve">258_科目組替(その他)-蓄積               </v>
          </cell>
          <cell r="C20" t="str">
            <v>蓄積</v>
          </cell>
          <cell r="D20" t="str">
            <v>2</v>
          </cell>
        </row>
        <row r="21">
          <cell r="A21" t="str">
            <v>259</v>
          </cell>
          <cell r="B21" t="str">
            <v xml:space="preserve">259_科目組替(その他)-全額消去           </v>
          </cell>
          <cell r="C21" t="str">
            <v>全額消去</v>
          </cell>
          <cell r="D21" t="str">
            <v>3</v>
          </cell>
        </row>
        <row r="22">
          <cell r="A22" t="str">
            <v>266</v>
          </cell>
          <cell r="B22" t="str">
            <v xml:space="preserve">266_科目組替(その他)-対象外             </v>
          </cell>
          <cell r="C22" t="str">
            <v>対象外</v>
          </cell>
          <cell r="D22" t="str">
            <v>9</v>
          </cell>
        </row>
        <row r="23">
          <cell r="A23" t="str">
            <v>267</v>
          </cell>
          <cell r="B23" t="str">
            <v xml:space="preserve">267_税効果明細(短期)                    </v>
          </cell>
          <cell r="C23" t="str">
            <v>洗替</v>
          </cell>
          <cell r="D23" t="str">
            <v>1</v>
          </cell>
        </row>
        <row r="24">
          <cell r="A24" t="str">
            <v>268</v>
          </cell>
          <cell r="B24" t="str">
            <v xml:space="preserve">268_税効果明細(長期)                    </v>
          </cell>
          <cell r="C24" t="str">
            <v>洗替</v>
          </cell>
          <cell r="D24" t="str">
            <v>1</v>
          </cell>
        </row>
        <row r="25">
          <cell r="A25" t="str">
            <v>277</v>
          </cell>
          <cell r="B25" t="str">
            <v xml:space="preserve">277_持分法（税効果）                    </v>
          </cell>
          <cell r="C25" t="str">
            <v>洗替</v>
          </cell>
          <cell r="D25" t="str">
            <v>1</v>
          </cell>
        </row>
        <row r="26">
          <cell r="A26" t="str">
            <v>278</v>
          </cell>
          <cell r="B26" t="str">
            <v xml:space="preserve">278_持分法(時価評価へ修正)              </v>
          </cell>
          <cell r="C26" t="str">
            <v>洗替</v>
          </cell>
          <cell r="D26" t="str">
            <v>1</v>
          </cell>
        </row>
        <row r="27">
          <cell r="A27" t="str">
            <v>279</v>
          </cell>
          <cell r="B27" t="str">
            <v xml:space="preserve">279_持分法（年金会計）                  </v>
          </cell>
          <cell r="C27" t="str">
            <v>洗替</v>
          </cell>
          <cell r="D27" t="str">
            <v>1</v>
          </cell>
        </row>
        <row r="28">
          <cell r="A28" t="str">
            <v>310</v>
          </cell>
          <cell r="B28" t="str">
            <v xml:space="preserve">310_外貨建取引換算修正(外貨情報)        </v>
          </cell>
          <cell r="C28" t="str">
            <v>洗替</v>
          </cell>
          <cell r="D28" t="str">
            <v>1</v>
          </cell>
        </row>
        <row r="29">
          <cell r="A29" t="str">
            <v>311</v>
          </cell>
          <cell r="B29" t="str">
            <v>311_外貨建取引換算修正(外貨情報)の税効果</v>
          </cell>
          <cell r="C29" t="str">
            <v>洗替</v>
          </cell>
          <cell r="D29" t="str">
            <v>1</v>
          </cell>
        </row>
        <row r="30">
          <cell r="A30" t="str">
            <v>320</v>
          </cell>
          <cell r="B30" t="str">
            <v xml:space="preserve">320_外貨建取引換算修正(ﾃﾞﾘﾊﾞﾃｨﾌﾞ)       </v>
          </cell>
          <cell r="C30" t="str">
            <v>洗替</v>
          </cell>
          <cell r="D30" t="str">
            <v>1</v>
          </cell>
        </row>
        <row r="31">
          <cell r="A31" t="str">
            <v>321</v>
          </cell>
          <cell r="B31" t="str">
            <v xml:space="preserve">321_外貨建換算修正(ﾃﾞﾘﾊﾞﾃｨﾌﾞ)の税効果   </v>
          </cell>
          <cell r="C31" t="str">
            <v>洗替</v>
          </cell>
          <cell r="D31" t="str">
            <v>1</v>
          </cell>
        </row>
        <row r="32">
          <cell r="A32" t="str">
            <v>330</v>
          </cell>
          <cell r="B32" t="str">
            <v xml:space="preserve">330_ファイナンスリース                  </v>
          </cell>
          <cell r="C32" t="str">
            <v>全額消去</v>
          </cell>
          <cell r="D32" t="str">
            <v>3</v>
          </cell>
        </row>
        <row r="33">
          <cell r="A33" t="str">
            <v>331</v>
          </cell>
          <cell r="B33" t="str">
            <v xml:space="preserve">331_ファイナンスリースの税効果          </v>
          </cell>
          <cell r="C33" t="str">
            <v>蓄積</v>
          </cell>
          <cell r="D33" t="str">
            <v>2</v>
          </cell>
        </row>
        <row r="34">
          <cell r="A34" t="str">
            <v>340</v>
          </cell>
          <cell r="B34" t="str">
            <v xml:space="preserve">340_圧縮記帳戻し                        </v>
          </cell>
          <cell r="C34" t="str">
            <v>蓄積</v>
          </cell>
          <cell r="D34" t="str">
            <v>2</v>
          </cell>
        </row>
        <row r="35">
          <cell r="A35" t="str">
            <v>341</v>
          </cell>
          <cell r="B35" t="str">
            <v xml:space="preserve">341_圧縮記帳戻しの税効果                </v>
          </cell>
          <cell r="C35" t="str">
            <v>蓄積</v>
          </cell>
          <cell r="D35" t="str">
            <v>2</v>
          </cell>
        </row>
        <row r="36">
          <cell r="A36" t="str">
            <v>350</v>
          </cell>
          <cell r="B36" t="str">
            <v xml:space="preserve">350_有価証券評価修正(当期評価減戻入)    </v>
          </cell>
          <cell r="C36" t="str">
            <v>蓄積</v>
          </cell>
          <cell r="D36" t="str">
            <v>2</v>
          </cell>
        </row>
        <row r="37">
          <cell r="A37" t="str">
            <v>351</v>
          </cell>
          <cell r="B37" t="str">
            <v>351_有価証券評価(当期評価減戻入)の税効果</v>
          </cell>
          <cell r="C37" t="str">
            <v>蓄積</v>
          </cell>
          <cell r="D37" t="str">
            <v>2</v>
          </cell>
        </row>
        <row r="38">
          <cell r="A38" t="str">
            <v>360</v>
          </cell>
          <cell r="B38" t="str">
            <v xml:space="preserve">360_有価証券評価修正(時価評価へ修正)    </v>
          </cell>
          <cell r="C38" t="str">
            <v>洗替</v>
          </cell>
          <cell r="D38" t="str">
            <v>1</v>
          </cell>
        </row>
        <row r="39">
          <cell r="A39" t="str">
            <v>361</v>
          </cell>
          <cell r="B39" t="str">
            <v>361_有価証券評価(時価評価へ修正)の税効果</v>
          </cell>
          <cell r="C39" t="str">
            <v>洗替</v>
          </cell>
          <cell r="D39" t="str">
            <v>1</v>
          </cell>
        </row>
        <row r="40">
          <cell r="A40" t="str">
            <v>362</v>
          </cell>
          <cell r="B40" t="str">
            <v xml:space="preserve">362_未実現有価証券評価益の税効果        </v>
          </cell>
          <cell r="C40" t="str">
            <v>洗替</v>
          </cell>
          <cell r="D40" t="str">
            <v>1</v>
          </cell>
        </row>
        <row r="41">
          <cell r="A41" t="str">
            <v>370</v>
          </cell>
          <cell r="B41" t="str">
            <v xml:space="preserve">370_有給休暇                            </v>
          </cell>
          <cell r="C41" t="str">
            <v>洗替</v>
          </cell>
          <cell r="D41" t="str">
            <v>1</v>
          </cell>
        </row>
        <row r="42">
          <cell r="A42" t="str">
            <v>371</v>
          </cell>
          <cell r="B42" t="str">
            <v xml:space="preserve">371_有給休暇の税効果                    </v>
          </cell>
          <cell r="C42" t="str">
            <v>洗替</v>
          </cell>
          <cell r="D42" t="str">
            <v>1</v>
          </cell>
        </row>
        <row r="43">
          <cell r="A43" t="str">
            <v>380</v>
          </cell>
          <cell r="B43" t="str">
            <v xml:space="preserve">380_年金会計(年次)                      </v>
          </cell>
          <cell r="C43" t="str">
            <v>洗替</v>
          </cell>
          <cell r="D43" t="str">
            <v>1</v>
          </cell>
        </row>
        <row r="44">
          <cell r="A44" t="str">
            <v>381</v>
          </cell>
          <cell r="B44" t="str">
            <v xml:space="preserve">381_年金会計(年次)の税効果              </v>
          </cell>
          <cell r="C44" t="str">
            <v>洗替</v>
          </cell>
          <cell r="D44" t="str">
            <v>1</v>
          </cell>
        </row>
        <row r="45">
          <cell r="A45" t="str">
            <v>390</v>
          </cell>
          <cell r="B45" t="str">
            <v xml:space="preserve">390_年金会計(年次)(年金初適用分償却)    </v>
          </cell>
          <cell r="C45" t="str">
            <v>蓄積</v>
          </cell>
          <cell r="D45" t="str">
            <v>2</v>
          </cell>
        </row>
        <row r="46">
          <cell r="A46" t="str">
            <v>391</v>
          </cell>
          <cell r="B46" t="str">
            <v>391_年金会計(年次)(初適用分償却)の税効果</v>
          </cell>
          <cell r="C46" t="str">
            <v>蓄積</v>
          </cell>
          <cell r="D46" t="str">
            <v>2</v>
          </cell>
        </row>
        <row r="47">
          <cell r="A47" t="str">
            <v>400</v>
          </cell>
          <cell r="B47" t="str">
            <v xml:space="preserve">400_年金会計(年次以外)                  </v>
          </cell>
          <cell r="C47" t="str">
            <v>洗替</v>
          </cell>
          <cell r="D47" t="str">
            <v>1</v>
          </cell>
        </row>
        <row r="48">
          <cell r="A48" t="str">
            <v>401</v>
          </cell>
          <cell r="B48" t="str">
            <v xml:space="preserve">401_年金会計(年次以外)の税効果          </v>
          </cell>
          <cell r="C48" t="str">
            <v>洗替</v>
          </cell>
          <cell r="D48" t="str">
            <v>1</v>
          </cell>
        </row>
        <row r="49">
          <cell r="A49" t="str">
            <v>410</v>
          </cell>
          <cell r="B49" t="str">
            <v xml:space="preserve">410_社債発行費・社債発行差金修正        </v>
          </cell>
          <cell r="C49" t="str">
            <v>蓄積</v>
          </cell>
          <cell r="D49" t="str">
            <v>2</v>
          </cell>
        </row>
        <row r="50">
          <cell r="A50" t="str">
            <v>411</v>
          </cell>
          <cell r="B50" t="str">
            <v>411_社債発行費・社債発行差金修正の税効果</v>
          </cell>
          <cell r="C50" t="str">
            <v>蓄積</v>
          </cell>
          <cell r="D50" t="str">
            <v>2</v>
          </cell>
        </row>
        <row r="51">
          <cell r="A51" t="str">
            <v>420</v>
          </cell>
          <cell r="B51" t="str">
            <v xml:space="preserve">420_社債発行費・社債発行差金修正(償却)  </v>
          </cell>
          <cell r="C51" t="str">
            <v>蓄積</v>
          </cell>
          <cell r="D51" t="str">
            <v>2</v>
          </cell>
        </row>
        <row r="52">
          <cell r="A52" t="str">
            <v>421</v>
          </cell>
          <cell r="B52" t="str">
            <v>421_社債発行費・発行差金修正(償却)税効果</v>
          </cell>
          <cell r="C52" t="str">
            <v>蓄積</v>
          </cell>
          <cell r="D52" t="str">
            <v>2</v>
          </cell>
        </row>
        <row r="53">
          <cell r="A53" t="str">
            <v>430</v>
          </cell>
          <cell r="B53" t="str">
            <v xml:space="preserve">430_その他ＡＪＥ仕訳ー洗替              </v>
          </cell>
          <cell r="C53" t="str">
            <v>洗替</v>
          </cell>
          <cell r="D53" t="str">
            <v>1</v>
          </cell>
        </row>
        <row r="54">
          <cell r="A54" t="str">
            <v>431</v>
          </cell>
          <cell r="B54" t="str">
            <v xml:space="preserve">431_その他ＡＪＥ仕訳ー洗替の税効果      </v>
          </cell>
          <cell r="C54" t="str">
            <v>洗替</v>
          </cell>
          <cell r="D54" t="str">
            <v>1</v>
          </cell>
        </row>
        <row r="55">
          <cell r="A55" t="str">
            <v>440</v>
          </cell>
          <cell r="B55" t="str">
            <v xml:space="preserve">440_その他ＡＪＥ仕訳ー蓄積              </v>
          </cell>
          <cell r="C55" t="str">
            <v>蓄積</v>
          </cell>
          <cell r="D55" t="str">
            <v>2</v>
          </cell>
        </row>
        <row r="56">
          <cell r="A56" t="str">
            <v>441</v>
          </cell>
          <cell r="B56" t="str">
            <v xml:space="preserve">441_その他ＡＪＥ仕訳ー蓄積の税効果      </v>
          </cell>
          <cell r="C56" t="str">
            <v>蓄積</v>
          </cell>
          <cell r="D56" t="str">
            <v>2</v>
          </cell>
        </row>
        <row r="57">
          <cell r="A57" t="str">
            <v>450</v>
          </cell>
          <cell r="B57" t="str">
            <v xml:space="preserve">450_その他ＡＪＥ仕訳ー全額消去          </v>
          </cell>
          <cell r="C57" t="str">
            <v>全額消去</v>
          </cell>
          <cell r="D57" t="str">
            <v>3</v>
          </cell>
        </row>
        <row r="58">
          <cell r="A58" t="str">
            <v>451</v>
          </cell>
          <cell r="B58" t="str">
            <v xml:space="preserve">451_その他ＡＪＥ仕訳ー全額消去の税効果  </v>
          </cell>
          <cell r="C58" t="str">
            <v>蓄積</v>
          </cell>
          <cell r="D58" t="str">
            <v>2</v>
          </cell>
        </row>
        <row r="59">
          <cell r="A59" t="str">
            <v>460</v>
          </cell>
          <cell r="B59" t="str">
            <v xml:space="preserve">460_その他ＡＪＥ仕訳ー対象外            </v>
          </cell>
          <cell r="C59" t="str">
            <v>洗替</v>
          </cell>
          <cell r="D59" t="str">
            <v>1</v>
          </cell>
        </row>
        <row r="60">
          <cell r="A60" t="str">
            <v>466</v>
          </cell>
          <cell r="B60" t="str">
            <v xml:space="preserve">466_科目NET処理(連調/TA/貸引)           </v>
          </cell>
          <cell r="C60" t="str">
            <v>対象外</v>
          </cell>
          <cell r="D60" t="str">
            <v>9</v>
          </cell>
        </row>
        <row r="61">
          <cell r="A61" t="str">
            <v>467</v>
          </cell>
          <cell r="B61" t="str">
            <v xml:space="preserve">467_科目NET処理(長短繰延税金)           </v>
          </cell>
          <cell r="C61" t="str">
            <v>対象外</v>
          </cell>
          <cell r="D61" t="str">
            <v>9</v>
          </cell>
        </row>
        <row r="62">
          <cell r="A62" t="str">
            <v>468</v>
          </cell>
          <cell r="B62" t="str">
            <v xml:space="preserve">468_科目NET処理                         </v>
          </cell>
          <cell r="C62" t="str">
            <v>対象外</v>
          </cell>
          <cell r="D62" t="str">
            <v>9</v>
          </cell>
        </row>
        <row r="63">
          <cell r="A63" t="str">
            <v>469</v>
          </cell>
          <cell r="B63" t="str">
            <v xml:space="preserve">469_科目NET処理                         </v>
          </cell>
          <cell r="C63" t="str">
            <v>対象外</v>
          </cell>
          <cell r="D63" t="str">
            <v>9</v>
          </cell>
        </row>
        <row r="64">
          <cell r="A64" t="str">
            <v>470</v>
          </cell>
          <cell r="B64" t="str">
            <v xml:space="preserve">470_未実現有価証券評価益の少数株主持分  </v>
          </cell>
          <cell r="C64" t="str">
            <v>洗替</v>
          </cell>
          <cell r="D64" t="str">
            <v>1</v>
          </cell>
        </row>
        <row r="65">
          <cell r="A65" t="str">
            <v>472</v>
          </cell>
          <cell r="B65" t="str">
            <v>472_未実現有価証券評価益の税効果少株持分</v>
          </cell>
          <cell r="C65" t="str">
            <v>洗替</v>
          </cell>
          <cell r="D65" t="str">
            <v>1</v>
          </cell>
        </row>
        <row r="66">
          <cell r="A66" t="str">
            <v>506</v>
          </cell>
          <cell r="B66" t="str">
            <v xml:space="preserve">506_投資と資本消去開始仕訳(連結)        </v>
          </cell>
          <cell r="C66" t="str">
            <v>蓄積</v>
          </cell>
          <cell r="D66" t="str">
            <v>2</v>
          </cell>
        </row>
        <row r="67">
          <cell r="A67" t="str">
            <v>507</v>
          </cell>
          <cell r="B67" t="str">
            <v xml:space="preserve">507_投資と資本消去開始仕訳(持分法)      </v>
          </cell>
          <cell r="C67" t="str">
            <v>蓄積</v>
          </cell>
          <cell r="D67" t="str">
            <v>2</v>
          </cell>
        </row>
        <row r="68">
          <cell r="A68" t="str">
            <v>508</v>
          </cell>
          <cell r="B68" t="str">
            <v xml:space="preserve">508_利益処分(支払配当振替)              </v>
          </cell>
          <cell r="C68" t="str">
            <v>蓄積</v>
          </cell>
          <cell r="D68" t="str">
            <v>2</v>
          </cell>
        </row>
        <row r="69">
          <cell r="A69" t="str">
            <v>509</v>
          </cell>
          <cell r="B69" t="str">
            <v xml:space="preserve">509_利益処分(役員賞与振替)              </v>
          </cell>
          <cell r="C69" t="str">
            <v>蓄積</v>
          </cell>
          <cell r="D69" t="str">
            <v>2</v>
          </cell>
        </row>
        <row r="70">
          <cell r="A70" t="str">
            <v>515</v>
          </cell>
          <cell r="B70" t="str">
            <v xml:space="preserve">515_利益処分(利益準備金振替)            </v>
          </cell>
          <cell r="C70" t="str">
            <v>蓄積</v>
          </cell>
          <cell r="D70" t="str">
            <v>2</v>
          </cell>
        </row>
        <row r="71">
          <cell r="A71" t="str">
            <v>516</v>
          </cell>
          <cell r="B71" t="str">
            <v xml:space="preserve">516_利益処分(持分法)                    </v>
          </cell>
          <cell r="C71" t="str">
            <v>蓄積</v>
          </cell>
          <cell r="D71" t="str">
            <v>2</v>
          </cell>
        </row>
        <row r="72">
          <cell r="A72" t="str">
            <v>517</v>
          </cell>
          <cell r="B72" t="str">
            <v xml:space="preserve">517_当期利益(当期利益振替)              </v>
          </cell>
          <cell r="C72" t="str">
            <v>蓄積</v>
          </cell>
          <cell r="D72" t="str">
            <v>2</v>
          </cell>
        </row>
        <row r="73">
          <cell r="A73" t="str">
            <v>518</v>
          </cell>
          <cell r="B73" t="str">
            <v xml:space="preserve">518_当期利益(T/A-S/S振替)               </v>
          </cell>
          <cell r="C73" t="str">
            <v>蓄積</v>
          </cell>
          <cell r="D73" t="str">
            <v>2</v>
          </cell>
        </row>
        <row r="74">
          <cell r="A74" t="str">
            <v>519</v>
          </cell>
          <cell r="B74" t="str">
            <v xml:space="preserve">519_当期利益(持分法)                    </v>
          </cell>
          <cell r="C74" t="str">
            <v>蓄積</v>
          </cell>
          <cell r="D74" t="str">
            <v>2</v>
          </cell>
        </row>
        <row r="75">
          <cell r="A75" t="str">
            <v>525</v>
          </cell>
          <cell r="B75" t="str">
            <v xml:space="preserve">525_当期異動(子会社)                    </v>
          </cell>
          <cell r="C75" t="str">
            <v>全額消去</v>
          </cell>
          <cell r="D75" t="str">
            <v>3</v>
          </cell>
        </row>
        <row r="76">
          <cell r="A76" t="str">
            <v>526</v>
          </cell>
          <cell r="B76" t="str">
            <v xml:space="preserve">526_当期異動(持分法)                    </v>
          </cell>
          <cell r="C76" t="str">
            <v>全額消去</v>
          </cell>
          <cell r="D76" t="str">
            <v>3</v>
          </cell>
        </row>
        <row r="77">
          <cell r="A77" t="str">
            <v>527</v>
          </cell>
          <cell r="B77" t="str">
            <v xml:space="preserve">527_連結調整勘定償却                    </v>
          </cell>
          <cell r="C77" t="str">
            <v>蓄積</v>
          </cell>
          <cell r="D77" t="str">
            <v>2</v>
          </cell>
        </row>
        <row r="78">
          <cell r="A78" t="str">
            <v>528</v>
          </cell>
          <cell r="B78" t="str">
            <v xml:space="preserve">528_投資差額償却                        </v>
          </cell>
          <cell r="C78" t="str">
            <v>蓄積</v>
          </cell>
          <cell r="D78" t="str">
            <v>2</v>
          </cell>
        </row>
        <row r="79">
          <cell r="A79" t="str">
            <v>560</v>
          </cell>
          <cell r="B79" t="str">
            <v xml:space="preserve">560_イントランジット                    </v>
          </cell>
          <cell r="C79" t="str">
            <v>洗替</v>
          </cell>
          <cell r="D79" t="str">
            <v>1</v>
          </cell>
        </row>
        <row r="80">
          <cell r="A80" t="str">
            <v>561</v>
          </cell>
          <cell r="B80" t="str">
            <v xml:space="preserve">561_イントランジットの税効果            </v>
          </cell>
          <cell r="C80" t="str">
            <v>洗替</v>
          </cell>
          <cell r="D80" t="str">
            <v>1</v>
          </cell>
        </row>
        <row r="81">
          <cell r="A81" t="str">
            <v>576</v>
          </cell>
          <cell r="B81" t="str">
            <v xml:space="preserve">576_債権債務消去-受手・売掛金・未収入金 </v>
          </cell>
          <cell r="C81" t="str">
            <v>対象外</v>
          </cell>
          <cell r="D81" t="str">
            <v>9</v>
          </cell>
        </row>
        <row r="82">
          <cell r="A82" t="str">
            <v>577</v>
          </cell>
          <cell r="B82" t="str">
            <v xml:space="preserve">577_債権債務消去-貸付金・借入金         </v>
          </cell>
          <cell r="C82" t="str">
            <v>対象外</v>
          </cell>
          <cell r="D82" t="str">
            <v>9</v>
          </cell>
        </row>
        <row r="83">
          <cell r="A83" t="str">
            <v>578</v>
          </cell>
          <cell r="B83" t="str">
            <v xml:space="preserve">578_債権債務消去-未払クレーム           </v>
          </cell>
          <cell r="C83" t="str">
            <v>対象外</v>
          </cell>
          <cell r="D83" t="str">
            <v>9</v>
          </cell>
        </row>
        <row r="84">
          <cell r="A84" t="str">
            <v>579</v>
          </cell>
          <cell r="B84" t="str">
            <v xml:space="preserve">579_債権債務消去-未払クレーム以外       </v>
          </cell>
          <cell r="C84" t="str">
            <v>対象外</v>
          </cell>
          <cell r="D84" t="str">
            <v>9</v>
          </cell>
        </row>
        <row r="85">
          <cell r="A85" t="str">
            <v>586</v>
          </cell>
          <cell r="B85" t="str">
            <v xml:space="preserve">586_債権債務消去-販売店預り金           </v>
          </cell>
          <cell r="C85" t="str">
            <v>対象外</v>
          </cell>
          <cell r="D85" t="str">
            <v>9</v>
          </cell>
        </row>
        <row r="86">
          <cell r="A86" t="str">
            <v>587</v>
          </cell>
          <cell r="B86" t="str">
            <v>587_債権債務消去-販売店保証金/預り金ｿﾉ他</v>
          </cell>
          <cell r="C86" t="str">
            <v>対象外</v>
          </cell>
          <cell r="D86" t="str">
            <v>9</v>
          </cell>
        </row>
        <row r="87">
          <cell r="A87" t="str">
            <v>588</v>
          </cell>
          <cell r="B87" t="str">
            <v xml:space="preserve">588_債権債務消去-その他短期債権・債務   </v>
          </cell>
          <cell r="C87" t="str">
            <v>対象外</v>
          </cell>
          <cell r="D87" t="str">
            <v>9</v>
          </cell>
        </row>
        <row r="88">
          <cell r="A88" t="str">
            <v>589</v>
          </cell>
          <cell r="B88" t="str">
            <v xml:space="preserve">589_債権債務消去-その他長期債権・債務   </v>
          </cell>
          <cell r="C88" t="str">
            <v>対象外</v>
          </cell>
          <cell r="D88" t="str">
            <v>9</v>
          </cell>
        </row>
        <row r="89">
          <cell r="A89" t="str">
            <v>596</v>
          </cell>
          <cell r="B89" t="str">
            <v xml:space="preserve">596_債権債務消去-(子X子)受手･売掛･未収  </v>
          </cell>
          <cell r="C89" t="str">
            <v>対象外</v>
          </cell>
          <cell r="D89" t="str">
            <v>9</v>
          </cell>
        </row>
        <row r="90">
          <cell r="A90" t="str">
            <v>597</v>
          </cell>
          <cell r="B90" t="str">
            <v xml:space="preserve">597_債権債務消去-(子X子)貸付金・借入金  </v>
          </cell>
          <cell r="C90" t="str">
            <v>対象外</v>
          </cell>
          <cell r="D90" t="str">
            <v>9</v>
          </cell>
        </row>
        <row r="91">
          <cell r="A91" t="str">
            <v>598</v>
          </cell>
          <cell r="B91" t="str">
            <v xml:space="preserve">598_債権債務消去-(子X子)その他短期      </v>
          </cell>
          <cell r="C91" t="str">
            <v>対象外</v>
          </cell>
          <cell r="D91" t="str">
            <v>9</v>
          </cell>
        </row>
        <row r="92">
          <cell r="A92" t="str">
            <v>599</v>
          </cell>
          <cell r="B92" t="str">
            <v xml:space="preserve">599_債権債務消去-(子X子)その他長期      </v>
          </cell>
          <cell r="C92" t="str">
            <v>対象外</v>
          </cell>
          <cell r="D92" t="str">
            <v>9</v>
          </cell>
        </row>
        <row r="93">
          <cell r="A93" t="str">
            <v>606</v>
          </cell>
          <cell r="B93" t="str">
            <v>606_債権債務消去-(子X子)主要債権対他債務</v>
          </cell>
          <cell r="C93" t="str">
            <v>対象外</v>
          </cell>
          <cell r="D93" t="str">
            <v>9</v>
          </cell>
        </row>
        <row r="94">
          <cell r="A94" t="str">
            <v>607</v>
          </cell>
          <cell r="B94" t="str">
            <v>607_債権債務消去-(子X子)主要債務対他債権</v>
          </cell>
          <cell r="C94" t="str">
            <v>対象外</v>
          </cell>
          <cell r="D94" t="str">
            <v>9</v>
          </cell>
        </row>
        <row r="95">
          <cell r="A95" t="str">
            <v>608</v>
          </cell>
          <cell r="B95" t="str">
            <v xml:space="preserve">608_損益取引消去-売上・仕入(直接販売)   </v>
          </cell>
          <cell r="C95" t="str">
            <v>対象外</v>
          </cell>
          <cell r="D95" t="str">
            <v>9</v>
          </cell>
        </row>
        <row r="96">
          <cell r="A96" t="str">
            <v>609</v>
          </cell>
          <cell r="B96" t="str">
            <v xml:space="preserve">609_損益取引消去-売上・仕入(固定資産)   </v>
          </cell>
          <cell r="C96" t="str">
            <v>対象外</v>
          </cell>
          <cell r="D96" t="str">
            <v>9</v>
          </cell>
        </row>
        <row r="97">
          <cell r="A97" t="str">
            <v>616</v>
          </cell>
          <cell r="B97" t="str">
            <v xml:space="preserve">616_損益取引消去-売上・仕入(購入車体費) </v>
          </cell>
          <cell r="C97" t="str">
            <v>対象外</v>
          </cell>
          <cell r="D97" t="str">
            <v>9</v>
          </cell>
        </row>
        <row r="98">
          <cell r="A98" t="str">
            <v>617</v>
          </cell>
          <cell r="B98" t="str">
            <v xml:space="preserve">617_損益取引消去-売上・仕入(委託開発費) </v>
          </cell>
          <cell r="C98" t="str">
            <v>対象外</v>
          </cell>
          <cell r="D98" t="str">
            <v>9</v>
          </cell>
        </row>
        <row r="99">
          <cell r="A99" t="str">
            <v>618</v>
          </cell>
          <cell r="B99" t="str">
            <v xml:space="preserve">618_損益取引消去-売掛金利息             </v>
          </cell>
          <cell r="C99" t="str">
            <v>対象外</v>
          </cell>
          <cell r="D99" t="str">
            <v>9</v>
          </cell>
        </row>
        <row r="100">
          <cell r="A100" t="str">
            <v>619</v>
          </cell>
          <cell r="B100" t="str">
            <v xml:space="preserve">619_損益取引消去-貸付・借入金利息       </v>
          </cell>
          <cell r="C100" t="str">
            <v>対象外</v>
          </cell>
          <cell r="D100" t="str">
            <v>9</v>
          </cell>
        </row>
        <row r="101">
          <cell r="A101" t="str">
            <v>626</v>
          </cell>
          <cell r="B101" t="str">
            <v xml:space="preserve">626_損益取引消去-保証料利息             </v>
          </cell>
          <cell r="C101" t="str">
            <v>対象外</v>
          </cell>
          <cell r="D101" t="str">
            <v>9</v>
          </cell>
        </row>
        <row r="102">
          <cell r="A102" t="str">
            <v>627</v>
          </cell>
          <cell r="B102" t="str">
            <v xml:space="preserve">627_損益取引消去-預り金利息             </v>
          </cell>
          <cell r="C102" t="str">
            <v>対象外</v>
          </cell>
          <cell r="D102" t="str">
            <v>9</v>
          </cell>
        </row>
        <row r="103">
          <cell r="A103" t="str">
            <v>628</v>
          </cell>
          <cell r="B103" t="str">
            <v xml:space="preserve">628_損益取引消去-未収入金利息           </v>
          </cell>
          <cell r="C103" t="str">
            <v>対象外</v>
          </cell>
          <cell r="D103" t="str">
            <v>9</v>
          </cell>
        </row>
        <row r="104">
          <cell r="A104" t="str">
            <v>629</v>
          </cell>
          <cell r="B104" t="str">
            <v xml:space="preserve">629_損益取引消去-運賃                   </v>
          </cell>
          <cell r="C104" t="str">
            <v>対象外</v>
          </cell>
          <cell r="D104" t="str">
            <v>9</v>
          </cell>
        </row>
        <row r="105">
          <cell r="A105" t="str">
            <v>636</v>
          </cell>
          <cell r="B105" t="str">
            <v xml:space="preserve">636_損益取引消去-広告宣伝費             </v>
          </cell>
          <cell r="C105" t="str">
            <v>対象外</v>
          </cell>
          <cell r="D105" t="str">
            <v>9</v>
          </cell>
        </row>
        <row r="106">
          <cell r="A106" t="str">
            <v>637</v>
          </cell>
          <cell r="B106" t="str">
            <v xml:space="preserve">637_損益取引消去-販売奨励金             </v>
          </cell>
          <cell r="C106" t="str">
            <v>対象外</v>
          </cell>
          <cell r="D106" t="str">
            <v>9</v>
          </cell>
        </row>
        <row r="107">
          <cell r="A107" t="str">
            <v>638</v>
          </cell>
          <cell r="B107" t="str">
            <v xml:space="preserve">638_損益取引消去-賃貸借料               </v>
          </cell>
          <cell r="C107" t="str">
            <v>対象外</v>
          </cell>
          <cell r="D107" t="str">
            <v>9</v>
          </cell>
        </row>
        <row r="108">
          <cell r="A108" t="str">
            <v>639</v>
          </cell>
          <cell r="B108" t="str">
            <v xml:space="preserve">639_損益取引消去-技術指導料             </v>
          </cell>
          <cell r="C108" t="str">
            <v>対象外</v>
          </cell>
          <cell r="D108" t="str">
            <v>9</v>
          </cell>
        </row>
        <row r="109">
          <cell r="A109" t="str">
            <v>646</v>
          </cell>
          <cell r="B109" t="str">
            <v xml:space="preserve">646_損益取引消去-受委託業務収入・費用   </v>
          </cell>
          <cell r="C109" t="str">
            <v>対象外</v>
          </cell>
          <cell r="D109" t="str">
            <v>9</v>
          </cell>
        </row>
        <row r="110">
          <cell r="A110" t="str">
            <v>647</v>
          </cell>
          <cell r="B110" t="str">
            <v xml:space="preserve">647_損益取引消去-無償修理費             </v>
          </cell>
          <cell r="C110" t="str">
            <v>対象外</v>
          </cell>
          <cell r="D110" t="str">
            <v>9</v>
          </cell>
        </row>
        <row r="111">
          <cell r="A111" t="str">
            <v>648</v>
          </cell>
          <cell r="B111" t="str">
            <v xml:space="preserve">648_損益取引消去-調査費                 </v>
          </cell>
          <cell r="C111" t="str">
            <v>対象外</v>
          </cell>
          <cell r="D111" t="str">
            <v>9</v>
          </cell>
        </row>
        <row r="112">
          <cell r="A112" t="str">
            <v>649</v>
          </cell>
          <cell r="B112" t="str">
            <v xml:space="preserve">649_損益取引消去-試験研究費             </v>
          </cell>
          <cell r="C112" t="str">
            <v>対象外</v>
          </cell>
          <cell r="D112" t="str">
            <v>9</v>
          </cell>
        </row>
        <row r="113">
          <cell r="A113" t="str">
            <v>656</v>
          </cell>
          <cell r="B113" t="str">
            <v xml:space="preserve">656_損益取引消去-(子会社間)             </v>
          </cell>
          <cell r="C113" t="str">
            <v>対象外</v>
          </cell>
          <cell r="D113" t="str">
            <v>9</v>
          </cell>
        </row>
        <row r="114">
          <cell r="A114" t="str">
            <v>657</v>
          </cell>
          <cell r="B114" t="str">
            <v>657_損益取引消去-(子X子)主要費用対他収益</v>
          </cell>
          <cell r="C114" t="str">
            <v>対象外</v>
          </cell>
          <cell r="D114" t="str">
            <v>9</v>
          </cell>
        </row>
        <row r="115">
          <cell r="A115" t="str">
            <v>660</v>
          </cell>
          <cell r="B115" t="str">
            <v xml:space="preserve">660_配当金相殺                          </v>
          </cell>
          <cell r="C115" t="str">
            <v>洗替</v>
          </cell>
          <cell r="D115" t="str">
            <v>1</v>
          </cell>
        </row>
        <row r="116">
          <cell r="A116" t="str">
            <v>661</v>
          </cell>
          <cell r="B116" t="str">
            <v xml:space="preserve">661_配当金相殺の税効果                  </v>
          </cell>
          <cell r="C116" t="str">
            <v>洗替</v>
          </cell>
          <cell r="D116" t="str">
            <v>1</v>
          </cell>
        </row>
        <row r="117">
          <cell r="A117" t="str">
            <v>662</v>
          </cell>
          <cell r="B117" t="str">
            <v xml:space="preserve">662_受取配当消去の少数株主持分          </v>
          </cell>
          <cell r="C117" t="str">
            <v>蓄積</v>
          </cell>
          <cell r="D117" t="str">
            <v>2</v>
          </cell>
        </row>
        <row r="118">
          <cell r="A118" t="str">
            <v>670</v>
          </cell>
          <cell r="B118" t="str">
            <v xml:space="preserve">670_貸倒引当金の調整(短期)              </v>
          </cell>
          <cell r="C118" t="str">
            <v>洗替</v>
          </cell>
          <cell r="D118" t="str">
            <v>1</v>
          </cell>
        </row>
        <row r="119">
          <cell r="A119" t="str">
            <v>671</v>
          </cell>
          <cell r="B119" t="str">
            <v xml:space="preserve">671_貸倒引当金の調整(短期)の税効果      </v>
          </cell>
          <cell r="C119" t="str">
            <v>洗替</v>
          </cell>
          <cell r="D119" t="str">
            <v>1</v>
          </cell>
        </row>
        <row r="120">
          <cell r="A120" t="str">
            <v>680</v>
          </cell>
          <cell r="B120" t="str">
            <v xml:space="preserve">680_貸倒引当金の調整(長期)              </v>
          </cell>
          <cell r="C120" t="str">
            <v>洗替</v>
          </cell>
          <cell r="D120" t="str">
            <v>1</v>
          </cell>
        </row>
        <row r="121">
          <cell r="A121" t="str">
            <v>681</v>
          </cell>
          <cell r="B121" t="str">
            <v xml:space="preserve">681_貸倒引当金の調整(長期)の税効果      </v>
          </cell>
          <cell r="C121" t="str">
            <v>洗替</v>
          </cell>
          <cell r="D121" t="str">
            <v>1</v>
          </cell>
        </row>
        <row r="122">
          <cell r="A122" t="str">
            <v>690</v>
          </cell>
          <cell r="B122" t="str">
            <v xml:space="preserve">690_ｲﾝﾄﾗﾝｼﾞｯﾄ未実現損益の消去           </v>
          </cell>
          <cell r="C122" t="str">
            <v>洗替</v>
          </cell>
          <cell r="D122" t="str">
            <v>1</v>
          </cell>
        </row>
        <row r="123">
          <cell r="A123" t="str">
            <v>691</v>
          </cell>
          <cell r="B123" t="str">
            <v xml:space="preserve">691_ｲﾝﾄﾗﾝｼﾞｯﾄ未実現損益の消去の税効果   </v>
          </cell>
          <cell r="C123" t="str">
            <v>洗替</v>
          </cell>
          <cell r="D123" t="str">
            <v>1</v>
          </cell>
        </row>
        <row r="124">
          <cell r="A124" t="str">
            <v>700</v>
          </cell>
          <cell r="B124" t="str">
            <v xml:space="preserve">700_たな卸未実現損益の消去(完成車両)    </v>
          </cell>
          <cell r="C124" t="str">
            <v>洗替</v>
          </cell>
          <cell r="D124" t="str">
            <v>1</v>
          </cell>
        </row>
        <row r="125">
          <cell r="A125" t="str">
            <v>701</v>
          </cell>
          <cell r="B125" t="str">
            <v>701_たな卸未実現の消去(完成車両)の税効果</v>
          </cell>
          <cell r="C125" t="str">
            <v>洗替</v>
          </cell>
          <cell r="D125" t="str">
            <v>1</v>
          </cell>
        </row>
        <row r="126">
          <cell r="A126" t="str">
            <v>710</v>
          </cell>
          <cell r="B126" t="str">
            <v xml:space="preserve">710_たな卸未実現損益の消去(CKD/SKD)     </v>
          </cell>
          <cell r="C126" t="str">
            <v>洗替</v>
          </cell>
          <cell r="D126" t="str">
            <v>1</v>
          </cell>
        </row>
        <row r="127">
          <cell r="A127" t="str">
            <v>711</v>
          </cell>
          <cell r="B127" t="str">
            <v xml:space="preserve">711_たな卸未実現の消去(CKD/SKD)の税効果 </v>
          </cell>
          <cell r="C127" t="str">
            <v>洗替</v>
          </cell>
          <cell r="D127" t="str">
            <v>1</v>
          </cell>
        </row>
        <row r="128">
          <cell r="A128" t="str">
            <v>720</v>
          </cell>
          <cell r="B128" t="str">
            <v xml:space="preserve">720_たな卸未実現損益の消去(海生部品)    </v>
          </cell>
          <cell r="C128" t="str">
            <v>洗替</v>
          </cell>
          <cell r="D128" t="str">
            <v>1</v>
          </cell>
        </row>
        <row r="129">
          <cell r="A129" t="str">
            <v>721</v>
          </cell>
          <cell r="B129" t="str">
            <v>721_たな卸未実現の消去(海生部品)の税効果</v>
          </cell>
          <cell r="C129" t="str">
            <v>洗替</v>
          </cell>
          <cell r="D129" t="str">
            <v>1</v>
          </cell>
        </row>
        <row r="130">
          <cell r="A130" t="str">
            <v>730</v>
          </cell>
          <cell r="B130" t="str">
            <v xml:space="preserve">730_たな卸未実現損益の消去(補給部品)    </v>
          </cell>
          <cell r="C130" t="str">
            <v>洗替</v>
          </cell>
          <cell r="D130" t="str">
            <v>1</v>
          </cell>
        </row>
        <row r="131">
          <cell r="A131" t="str">
            <v>731</v>
          </cell>
          <cell r="B131" t="str">
            <v>731_たな卸未実現の消去(補給部品)の税効果</v>
          </cell>
          <cell r="C131" t="str">
            <v>洗替</v>
          </cell>
          <cell r="D131" t="str">
            <v>1</v>
          </cell>
        </row>
        <row r="132">
          <cell r="A132" t="str">
            <v>740</v>
          </cell>
          <cell r="B132" t="str">
            <v xml:space="preserve">740_固定資産未実現損益の消去(設備)      </v>
          </cell>
          <cell r="C132" t="str">
            <v>蓄積</v>
          </cell>
          <cell r="D132" t="str">
            <v>2</v>
          </cell>
        </row>
        <row r="133">
          <cell r="A133" t="str">
            <v>741</v>
          </cell>
          <cell r="B133" t="str">
            <v>741_固定資産未実現損益の消去(設備)税効果</v>
          </cell>
          <cell r="C133" t="str">
            <v>蓄積</v>
          </cell>
          <cell r="D133" t="str">
            <v>2</v>
          </cell>
        </row>
        <row r="134">
          <cell r="A134" t="str">
            <v>750</v>
          </cell>
          <cell r="B134" t="str">
            <v xml:space="preserve">750_減価償却費(設備)の未実現損益        </v>
          </cell>
          <cell r="C134" t="str">
            <v>蓄積</v>
          </cell>
          <cell r="D134" t="str">
            <v>2</v>
          </cell>
        </row>
        <row r="135">
          <cell r="A135" t="str">
            <v>751</v>
          </cell>
          <cell r="B135" t="str">
            <v>751_減価償却費(設備)の未実現損益の税効果</v>
          </cell>
          <cell r="C135" t="str">
            <v>蓄積</v>
          </cell>
          <cell r="D135" t="str">
            <v>2</v>
          </cell>
        </row>
        <row r="136">
          <cell r="A136" t="str">
            <v>760</v>
          </cell>
          <cell r="B136" t="str">
            <v xml:space="preserve">760_固定資産未実現損益の消去(車両)      </v>
          </cell>
          <cell r="C136" t="str">
            <v>蓄積</v>
          </cell>
          <cell r="D136" t="str">
            <v>2</v>
          </cell>
        </row>
        <row r="137">
          <cell r="A137" t="str">
            <v>761</v>
          </cell>
          <cell r="B137" t="str">
            <v>761_固定資産未実現損益の消去(車両)税効果</v>
          </cell>
          <cell r="C137" t="str">
            <v>蓄積</v>
          </cell>
          <cell r="D137" t="str">
            <v>2</v>
          </cell>
        </row>
        <row r="138">
          <cell r="A138" t="str">
            <v>770</v>
          </cell>
          <cell r="B138" t="str">
            <v xml:space="preserve">770_減価償却費(車両)の未実現損益        </v>
          </cell>
          <cell r="C138" t="str">
            <v>全額消去</v>
          </cell>
          <cell r="D138" t="str">
            <v>3</v>
          </cell>
        </row>
        <row r="139">
          <cell r="A139" t="str">
            <v>771</v>
          </cell>
          <cell r="B139" t="str">
            <v>771_減価償却費(車両)の未実現損益の税効果</v>
          </cell>
          <cell r="C139" t="str">
            <v>蓄積</v>
          </cell>
          <cell r="D139" t="str">
            <v>2</v>
          </cell>
        </row>
        <row r="140">
          <cell r="A140" t="str">
            <v>780</v>
          </cell>
          <cell r="B140" t="str">
            <v xml:space="preserve">780_未実現損益の消去(持分法)            </v>
          </cell>
          <cell r="C140" t="str">
            <v>洗替</v>
          </cell>
          <cell r="D140" t="str">
            <v>1</v>
          </cell>
        </row>
        <row r="141">
          <cell r="A141" t="str">
            <v>781</v>
          </cell>
          <cell r="B141" t="str">
            <v xml:space="preserve">781_未実現損益の消去(持分法)の税効果    </v>
          </cell>
          <cell r="C141" t="str">
            <v>洗替</v>
          </cell>
          <cell r="D141" t="str">
            <v>1</v>
          </cell>
        </row>
        <row r="142">
          <cell r="A142" t="str">
            <v>790</v>
          </cell>
          <cell r="B142" t="str">
            <v xml:space="preserve">790_その他ＥＬＥ仕訳ー洗替              </v>
          </cell>
          <cell r="C142" t="str">
            <v>洗替</v>
          </cell>
          <cell r="D142" t="str">
            <v>1</v>
          </cell>
        </row>
        <row r="143">
          <cell r="A143" t="str">
            <v>791</v>
          </cell>
          <cell r="B143" t="str">
            <v xml:space="preserve">791_その他ＥＬＥ仕訳ー洗替の税効果      </v>
          </cell>
          <cell r="C143" t="str">
            <v>洗替</v>
          </cell>
          <cell r="D143" t="str">
            <v>1</v>
          </cell>
        </row>
        <row r="144">
          <cell r="A144" t="str">
            <v>792</v>
          </cell>
          <cell r="B144" t="str">
            <v xml:space="preserve">792_その他ＥＬＥ仕訳ー洗替ﾀﾞｲﾊﾂ         </v>
          </cell>
          <cell r="C144" t="str">
            <v>洗替</v>
          </cell>
          <cell r="D144" t="str">
            <v>1</v>
          </cell>
        </row>
        <row r="145">
          <cell r="A145" t="str">
            <v>800</v>
          </cell>
          <cell r="B145" t="str">
            <v xml:space="preserve">800_その他ＥＬＥ仕訳ー蓄積              </v>
          </cell>
          <cell r="C145" t="str">
            <v>蓄積</v>
          </cell>
          <cell r="D145" t="str">
            <v>2</v>
          </cell>
        </row>
        <row r="146">
          <cell r="A146" t="str">
            <v>801</v>
          </cell>
          <cell r="B146" t="str">
            <v xml:space="preserve">801_その他ＥＬＥ仕訳ー蓄積の税効果      </v>
          </cell>
          <cell r="C146" t="str">
            <v>蓄積</v>
          </cell>
          <cell r="D146" t="str">
            <v>2</v>
          </cell>
        </row>
        <row r="147">
          <cell r="A147" t="str">
            <v>810</v>
          </cell>
          <cell r="B147" t="str">
            <v xml:space="preserve">810_その他ＥＬＥ仕訳ー全額消去          </v>
          </cell>
          <cell r="C147" t="str">
            <v>全額消去</v>
          </cell>
          <cell r="D147" t="str">
            <v>3</v>
          </cell>
        </row>
        <row r="148">
          <cell r="A148" t="str">
            <v>811</v>
          </cell>
          <cell r="B148" t="str">
            <v xml:space="preserve">811_その他ＥＬＥ仕訳ー全額消去の税効果  </v>
          </cell>
          <cell r="C148" t="str">
            <v>洗替</v>
          </cell>
          <cell r="D148" t="str">
            <v>1</v>
          </cell>
        </row>
        <row r="149">
          <cell r="A149" t="str">
            <v>820</v>
          </cell>
          <cell r="B149" t="str">
            <v xml:space="preserve">820_その他ＥＬＥ仕訳ー対象外            </v>
          </cell>
          <cell r="C149" t="str">
            <v>洗替</v>
          </cell>
          <cell r="D149" t="str">
            <v>1</v>
          </cell>
        </row>
        <row r="150">
          <cell r="A150" t="str">
            <v>906</v>
          </cell>
          <cell r="B150" t="str">
            <v xml:space="preserve">906_脚注相殺-担保資産(担保ﾄﾖﾀｸﾚｼﾞｯﾄ)    </v>
          </cell>
          <cell r="C150" t="str">
            <v>対象外</v>
          </cell>
          <cell r="D150" t="str">
            <v>9</v>
          </cell>
        </row>
        <row r="151">
          <cell r="A151" t="str">
            <v>907</v>
          </cell>
          <cell r="B151" t="str">
            <v xml:space="preserve">907_脚注相殺-ローン保証債務             </v>
          </cell>
          <cell r="C151" t="str">
            <v>対象外</v>
          </cell>
          <cell r="D151" t="str">
            <v>9</v>
          </cell>
        </row>
        <row r="152">
          <cell r="A152" t="str">
            <v>908</v>
          </cell>
          <cell r="B152" t="str">
            <v xml:space="preserve">908_脚注相殺-担保資産(有形固定資産)     </v>
          </cell>
          <cell r="C152" t="str">
            <v>対象外</v>
          </cell>
          <cell r="D152" t="str">
            <v>9</v>
          </cell>
        </row>
        <row r="153">
          <cell r="A153" t="str">
            <v>909</v>
          </cell>
          <cell r="B153" t="str">
            <v xml:space="preserve">909_脚注相殺-契約債務                   </v>
          </cell>
          <cell r="C153" t="str">
            <v>対象外</v>
          </cell>
          <cell r="D153" t="str">
            <v>9</v>
          </cell>
        </row>
        <row r="154">
          <cell r="A154" t="str">
            <v>910</v>
          </cell>
          <cell r="B154" t="str">
            <v xml:space="preserve">910_脚注相殺-担保資産(その他)           </v>
          </cell>
          <cell r="C154" t="str">
            <v>対象外</v>
          </cell>
          <cell r="D154" t="str">
            <v>9</v>
          </cell>
        </row>
        <row r="155">
          <cell r="A155" t="str">
            <v>911</v>
          </cell>
          <cell r="B155" t="str">
            <v xml:space="preserve">911_脚注修正-減価償却累計額             </v>
          </cell>
          <cell r="C155" t="str">
            <v>対象外</v>
          </cell>
          <cell r="D155" t="str">
            <v>9</v>
          </cell>
        </row>
        <row r="156">
          <cell r="A156" t="str">
            <v>912</v>
          </cell>
          <cell r="B156" t="str">
            <v xml:space="preserve">912_脚注相殺-割引手形                   </v>
          </cell>
          <cell r="C156" t="str">
            <v>対象外</v>
          </cell>
          <cell r="D156" t="str">
            <v>9</v>
          </cell>
        </row>
        <row r="157">
          <cell r="A157" t="str">
            <v>913</v>
          </cell>
          <cell r="B157" t="str">
            <v xml:space="preserve">913_脚注相殺-担保資産(その他)           </v>
          </cell>
          <cell r="C157" t="str">
            <v>対象外</v>
          </cell>
          <cell r="D157" t="str">
            <v>9</v>
          </cell>
        </row>
        <row r="158">
          <cell r="A158" t="str">
            <v>916</v>
          </cell>
          <cell r="B158" t="str">
            <v xml:space="preserve">916_その他セグメント区分振替            </v>
          </cell>
          <cell r="C158" t="str">
            <v>対象外</v>
          </cell>
          <cell r="D158" t="str">
            <v>9</v>
          </cell>
        </row>
        <row r="159">
          <cell r="A159" t="str">
            <v>917</v>
          </cell>
          <cell r="B159" t="str">
            <v xml:space="preserve">917_セグメント区分振替(孫復活)          </v>
          </cell>
          <cell r="C159" t="str">
            <v>対象外</v>
          </cell>
          <cell r="D159" t="str">
            <v>9</v>
          </cell>
        </row>
        <row r="160">
          <cell r="A160" t="str">
            <v>918</v>
          </cell>
          <cell r="B160" t="str">
            <v xml:space="preserve">918_単体P/L分セグメント振替             </v>
          </cell>
          <cell r="C160" t="str">
            <v>対象外</v>
          </cell>
          <cell r="D160" t="str">
            <v>9</v>
          </cell>
        </row>
        <row r="161">
          <cell r="A161" t="str">
            <v>919</v>
          </cell>
          <cell r="B161" t="str">
            <v xml:space="preserve">919_単体B/S分セグメント振替             </v>
          </cell>
          <cell r="C161" t="str">
            <v>対象外</v>
          </cell>
          <cell r="D161" t="str">
            <v>9</v>
          </cell>
        </row>
        <row r="162">
          <cell r="A162" t="str">
            <v>920</v>
          </cell>
          <cell r="B162" t="str">
            <v xml:space="preserve">920_セグメント手入力(東浦起票分）       </v>
          </cell>
          <cell r="C162" t="str">
            <v>対象外</v>
          </cell>
          <cell r="D162" t="str">
            <v>9</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
      <sheetName val="データ辞書"/>
      <sheetName val="テーブル一覧"/>
      <sheetName val="default"/>
    </sheetNames>
    <sheetDataSet>
      <sheetData sheetId="0" refreshError="1"/>
      <sheetData sheetId="1" refreshError="1">
        <row r="9">
          <cell r="B9">
            <v>1</v>
          </cell>
          <cell r="C9" t="str">
            <v>６４ＤＤマシンタイプ</v>
          </cell>
          <cell r="K9" t="str">
            <v>64MY</v>
          </cell>
          <cell r="L9" t="str">
            <v>64MY</v>
          </cell>
          <cell r="M9" t="str">
            <v>A</v>
          </cell>
          <cell r="N9">
            <v>2</v>
          </cell>
          <cell r="O9" t="str">
            <v/>
          </cell>
          <cell r="Q9" t="str">
            <v>６４ＤＤのマシンタイプ</v>
          </cell>
        </row>
        <row r="10">
          <cell r="B10">
            <v>2</v>
          </cell>
          <cell r="C10" t="str">
            <v>６４ＤＤマシンタイプ名</v>
          </cell>
          <cell r="K10" t="str">
            <v>64MN</v>
          </cell>
          <cell r="L10" t="str">
            <v>MCT64N</v>
          </cell>
          <cell r="M10" t="str">
            <v>O</v>
          </cell>
          <cell r="N10">
            <v>22</v>
          </cell>
          <cell r="O10" t="str">
            <v/>
          </cell>
          <cell r="Q10" t="str">
            <v>６４ＤＤのマシンタイプ名称</v>
          </cell>
        </row>
        <row r="11">
          <cell r="B11">
            <v>3</v>
          </cell>
          <cell r="C11" t="str">
            <v>ＡＰＩＤ</v>
          </cell>
          <cell r="K11" t="str">
            <v>APID</v>
          </cell>
          <cell r="L11" t="str">
            <v>APID</v>
          </cell>
          <cell r="M11" t="str">
            <v>A</v>
          </cell>
          <cell r="N11">
            <v>5</v>
          </cell>
          <cell r="O11" t="str">
            <v/>
          </cell>
          <cell r="Q11" t="str">
            <v>アクセスポイントＩＤ</v>
          </cell>
        </row>
        <row r="12">
          <cell r="B12">
            <v>7</v>
          </cell>
          <cell r="C12" t="str">
            <v>ＡＰＴＥＬ番号</v>
          </cell>
          <cell r="K12" t="str">
            <v>APTL</v>
          </cell>
          <cell r="L12" t="str">
            <v>APTLNO</v>
          </cell>
          <cell r="M12" t="str">
            <v>A</v>
          </cell>
          <cell r="N12">
            <v>14</v>
          </cell>
          <cell r="O12" t="str">
            <v/>
          </cell>
          <cell r="Q12" t="str">
            <v>アクセスポイント電話番号（ハイフン無し）</v>
          </cell>
        </row>
        <row r="13">
          <cell r="B13">
            <v>8</v>
          </cell>
          <cell r="C13" t="str">
            <v>ＡＰ名</v>
          </cell>
          <cell r="K13" t="str">
            <v>APNM</v>
          </cell>
          <cell r="L13" t="str">
            <v>APNM</v>
          </cell>
          <cell r="M13" t="str">
            <v>O</v>
          </cell>
          <cell r="N13">
            <v>42</v>
          </cell>
          <cell r="O13" t="str">
            <v/>
          </cell>
          <cell r="Q13" t="str">
            <v>アクセスポイント名</v>
          </cell>
        </row>
        <row r="14">
          <cell r="B14">
            <v>9</v>
          </cell>
          <cell r="C14" t="str">
            <v>ＣＤバージョン</v>
          </cell>
          <cell r="K14" t="str">
            <v>CDVR</v>
          </cell>
          <cell r="L14" t="str">
            <v>CDVR</v>
          </cell>
          <cell r="M14" t="str">
            <v>A</v>
          </cell>
          <cell r="N14">
            <v>10</v>
          </cell>
          <cell r="O14" t="str">
            <v/>
          </cell>
          <cell r="Q14" t="str">
            <v>毎月作成されるＣＤのバージョン。Ｒｙｙｙｙｍｍ０１ｎ</v>
          </cell>
        </row>
        <row r="15">
          <cell r="B15">
            <v>10</v>
          </cell>
          <cell r="C15" t="str">
            <v>ＣＤバージョン更新日時</v>
          </cell>
          <cell r="K15" t="str">
            <v>CDVT</v>
          </cell>
          <cell r="L15" t="str">
            <v>CDVUDT</v>
          </cell>
          <cell r="M15" t="str">
            <v>S</v>
          </cell>
          <cell r="N15">
            <v>14</v>
          </cell>
          <cell r="O15" t="str">
            <v/>
          </cell>
          <cell r="Q15" t="str">
            <v>ＤＤＷでＣＤが更新完了した日時。ＤＤＷの電文からセット。</v>
          </cell>
        </row>
        <row r="16">
          <cell r="B16">
            <v>11</v>
          </cell>
          <cell r="C16" t="str">
            <v>ＣＤ抽出ステータス</v>
          </cell>
          <cell r="K16" t="str">
            <v>CDCS</v>
          </cell>
          <cell r="M16" t="str">
            <v>A</v>
          </cell>
          <cell r="N16">
            <v>2</v>
          </cell>
          <cell r="O16" t="str">
            <v/>
          </cell>
          <cell r="Q16" t="str">
            <v>００：初期値、０１：抽出済、０２：ＣＤの場合仮抽出、０３：ＮＥＴの場合仮抽出、１０：再抽出待ち、２ｘ：業務エラー各種、５ｘ：システム系エラー各種</v>
          </cell>
        </row>
        <row r="17">
          <cell r="B17">
            <v>13</v>
          </cell>
          <cell r="C17" t="str">
            <v>ＣＤ抽出処理日時</v>
          </cell>
          <cell r="K17" t="str">
            <v>CDCT</v>
          </cell>
          <cell r="M17" t="str">
            <v>S</v>
          </cell>
          <cell r="N17">
            <v>14</v>
          </cell>
          <cell r="O17" t="str">
            <v/>
          </cell>
          <cell r="Q17" t="str">
            <v>抽出ステータスを更新した日時</v>
          </cell>
        </row>
        <row r="18">
          <cell r="B18">
            <v>14</v>
          </cell>
          <cell r="C18" t="str">
            <v>ＤＤＷＩＤ</v>
          </cell>
          <cell r="K18" t="str">
            <v>DDWI</v>
          </cell>
          <cell r="L18" t="str">
            <v>DDWI</v>
          </cell>
          <cell r="M18" t="str">
            <v>A</v>
          </cell>
          <cell r="N18">
            <v>7</v>
          </cell>
          <cell r="O18" t="str">
            <v/>
          </cell>
          <cell r="Q18" t="str">
            <v>ＤＤＷを認識するＩＤ。得意先店舗コード６桁＋枝番１桁</v>
          </cell>
        </row>
        <row r="19">
          <cell r="B19" t="str">
            <v>削除</v>
          </cell>
          <cell r="C19" t="str">
            <v>ＤＤＷＴＥＬ番号</v>
          </cell>
          <cell r="L19" t="str">
            <v>DDTL</v>
          </cell>
          <cell r="M19" t="str">
            <v>A</v>
          </cell>
          <cell r="N19">
            <v>14</v>
          </cell>
          <cell r="Q19" t="str">
            <v>緊急配信などの場合にセンター側で使用する電話番号：１５</v>
          </cell>
        </row>
        <row r="20">
          <cell r="B20">
            <v>16</v>
          </cell>
          <cell r="C20" t="str">
            <v>ＤＤＷ順番号</v>
          </cell>
          <cell r="K20" t="str">
            <v>DDBG</v>
          </cell>
          <cell r="L20" t="str">
            <v>DDBG</v>
          </cell>
          <cell r="M20" t="str">
            <v>A</v>
          </cell>
          <cell r="N20">
            <v>5</v>
          </cell>
          <cell r="O20" t="str">
            <v/>
          </cell>
          <cell r="Q20" t="str">
            <v>ＤＤＷに付けられる連番(１番からｎ番まで） 全ＤＤＷ単位でのシリアル№を採番</v>
          </cell>
        </row>
        <row r="21">
          <cell r="B21">
            <v>18</v>
          </cell>
          <cell r="C21" t="str">
            <v>ＤＤＷネットワークＩＤ</v>
          </cell>
          <cell r="K21" t="str">
            <v>DDNI</v>
          </cell>
          <cell r="L21" t="str">
            <v>DDNI</v>
          </cell>
          <cell r="M21" t="str">
            <v>A</v>
          </cell>
          <cell r="N21">
            <v>16</v>
          </cell>
          <cell r="O21" t="str">
            <v/>
          </cell>
          <cell r="Q21" t="str">
            <v>ＤＤＷごとにふられたＩＤ</v>
          </cell>
        </row>
        <row r="22">
          <cell r="B22">
            <v>19</v>
          </cell>
          <cell r="C22" t="str">
            <v>ＤＤＷネットワークパスワード</v>
          </cell>
          <cell r="K22" t="str">
            <v>DDNP</v>
          </cell>
          <cell r="L22" t="str">
            <v>DDNP</v>
          </cell>
          <cell r="M22" t="str">
            <v>A</v>
          </cell>
          <cell r="N22">
            <v>8</v>
          </cell>
          <cell r="O22" t="str">
            <v/>
          </cell>
          <cell r="Q22" t="str">
            <v>ネットワーク認証用パスワード</v>
          </cell>
        </row>
        <row r="23">
          <cell r="B23">
            <v>20</v>
          </cell>
          <cell r="C23" t="str">
            <v>ＤＤＷマシンタイプ</v>
          </cell>
          <cell r="K23" t="str">
            <v>DDMY</v>
          </cell>
          <cell r="L23" t="str">
            <v>DDMY</v>
          </cell>
          <cell r="M23" t="str">
            <v>A</v>
          </cell>
          <cell r="N23">
            <v>2</v>
          </cell>
          <cell r="O23" t="str">
            <v/>
          </cell>
          <cell r="Q23" t="str">
            <v>ＤＤＷのマシンタイプ</v>
          </cell>
        </row>
        <row r="24">
          <cell r="B24">
            <v>21</v>
          </cell>
          <cell r="C24" t="str">
            <v>ＤＤＷマシンタイプ名</v>
          </cell>
          <cell r="K24" t="str">
            <v>DDMN</v>
          </cell>
          <cell r="M24" t="str">
            <v>O</v>
          </cell>
          <cell r="N24">
            <v>22</v>
          </cell>
          <cell r="O24" t="str">
            <v/>
          </cell>
          <cell r="Q24" t="str">
            <v>ＤＤＷのマシンタイプ名称</v>
          </cell>
        </row>
        <row r="25">
          <cell r="B25">
            <v>22</v>
          </cell>
          <cell r="C25" t="str">
            <v>ＤＤＷ設置台数</v>
          </cell>
          <cell r="K25" t="str">
            <v>DDSS</v>
          </cell>
          <cell r="M25" t="str">
            <v>S</v>
          </cell>
          <cell r="N25">
            <v>2</v>
          </cell>
          <cell r="O25" t="str">
            <v/>
          </cell>
          <cell r="Q25" t="str">
            <v>ＤＤ－Ｗ設置台数</v>
          </cell>
        </row>
        <row r="26">
          <cell r="B26">
            <v>23</v>
          </cell>
          <cell r="C26" t="str">
            <v>ＤＤＷ配信ファイルＩＤ</v>
          </cell>
          <cell r="K26" t="str">
            <v>DHFI</v>
          </cell>
          <cell r="L26" t="str">
            <v>FILEID</v>
          </cell>
          <cell r="M26" t="str">
            <v>A</v>
          </cell>
          <cell r="N26">
            <v>5</v>
          </cell>
          <cell r="O26" t="str">
            <v/>
          </cell>
          <cell r="Q26" t="str">
            <v>ＤＤＷ集配信ファイルのＩＤ</v>
          </cell>
        </row>
        <row r="27">
          <cell r="B27">
            <v>24</v>
          </cell>
          <cell r="C27" t="str">
            <v>ＤＤＷ配信ファイル名</v>
          </cell>
          <cell r="K27" t="str">
            <v>DHFN</v>
          </cell>
          <cell r="L27" t="str">
            <v>FILENM</v>
          </cell>
          <cell r="M27" t="str">
            <v>O</v>
          </cell>
          <cell r="N27">
            <v>22</v>
          </cell>
          <cell r="O27" t="str">
            <v/>
          </cell>
          <cell r="Q27" t="str">
            <v>ＤＤＷ集配信ファイル名称</v>
          </cell>
        </row>
        <row r="28">
          <cell r="B28">
            <v>25</v>
          </cell>
          <cell r="C28" t="str">
            <v>ＤＤＷ保守ファイルＩＤ</v>
          </cell>
          <cell r="K28" t="str">
            <v>DWHI</v>
          </cell>
          <cell r="M28" t="str">
            <v>A</v>
          </cell>
          <cell r="N28">
            <v>7</v>
          </cell>
          <cell r="O28" t="str">
            <v/>
          </cell>
          <cell r="Q28" t="str">
            <v>コンテンツコード</v>
          </cell>
        </row>
        <row r="29">
          <cell r="B29">
            <v>26</v>
          </cell>
          <cell r="C29" t="str">
            <v>ＤＤＷ保守名</v>
          </cell>
          <cell r="K29" t="str">
            <v>DDHN</v>
          </cell>
          <cell r="M29" t="str">
            <v>O</v>
          </cell>
          <cell r="N29">
            <v>22</v>
          </cell>
          <cell r="O29" t="str">
            <v/>
          </cell>
          <cell r="Q29" t="str">
            <v>ＤＤＷ保守ファイルの名称</v>
          </cell>
        </row>
        <row r="30">
          <cell r="B30">
            <v>27</v>
          </cell>
          <cell r="C30" t="str">
            <v>ＤＤディスク保守ファイルＩＤ</v>
          </cell>
          <cell r="K30" t="str">
            <v>DDFI</v>
          </cell>
          <cell r="L30" t="str">
            <v>DDFI</v>
          </cell>
          <cell r="M30" t="str">
            <v>A</v>
          </cell>
          <cell r="N30">
            <v>7</v>
          </cell>
          <cell r="O30" t="str">
            <v/>
          </cell>
          <cell r="Q30" t="str">
            <v>コンテンツコード</v>
          </cell>
        </row>
        <row r="31">
          <cell r="B31">
            <v>28</v>
          </cell>
          <cell r="C31" t="str">
            <v>ＤＤディスク保守名</v>
          </cell>
          <cell r="K31" t="str">
            <v>DDFN</v>
          </cell>
          <cell r="L31" t="str">
            <v>DDFN</v>
          </cell>
          <cell r="M31" t="str">
            <v>O</v>
          </cell>
          <cell r="N31">
            <v>22</v>
          </cell>
          <cell r="O31" t="str">
            <v/>
          </cell>
          <cell r="Q31" t="str">
            <v>ＤＤディスク保守ファイルの名称</v>
          </cell>
        </row>
        <row r="32">
          <cell r="B32">
            <v>29</v>
          </cell>
          <cell r="C32" t="str">
            <v>ＤＩＳＫＩＤ</v>
          </cell>
          <cell r="K32" t="str">
            <v>DSKI</v>
          </cell>
          <cell r="L32" t="str">
            <v>DSKI</v>
          </cell>
          <cell r="M32" t="str">
            <v>A</v>
          </cell>
          <cell r="N32">
            <v>32</v>
          </cell>
          <cell r="O32" t="str">
            <v/>
          </cell>
          <cell r="Q32" t="str">
            <v>ディスクのユニークなシリアル番号</v>
          </cell>
        </row>
        <row r="33">
          <cell r="B33">
            <v>30</v>
          </cell>
          <cell r="C33" t="str">
            <v>ＤＩＳＫ無効開始日付</v>
          </cell>
          <cell r="K33" t="str">
            <v>DSMD</v>
          </cell>
          <cell r="L33" t="str">
            <v>DSMD</v>
          </cell>
          <cell r="M33" t="str">
            <v>S</v>
          </cell>
          <cell r="N33">
            <v>8</v>
          </cell>
          <cell r="O33" t="str">
            <v/>
          </cell>
          <cell r="Q33" t="str">
            <v>ＤＩＳＫを無効にした日付</v>
          </cell>
        </row>
        <row r="34">
          <cell r="B34">
            <v>31</v>
          </cell>
          <cell r="C34" t="str">
            <v>ＤＩＳＫ無効区分</v>
          </cell>
          <cell r="K34" t="str">
            <v>DSMK</v>
          </cell>
          <cell r="L34" t="str">
            <v>DSMK</v>
          </cell>
          <cell r="M34" t="str">
            <v>A</v>
          </cell>
          <cell r="N34">
            <v>1</v>
          </cell>
          <cell r="O34" t="str">
            <v/>
          </cell>
          <cell r="Q34" t="str">
            <v>１：無効</v>
          </cell>
        </row>
        <row r="35">
          <cell r="B35">
            <v>32</v>
          </cell>
          <cell r="C35" t="str">
            <v>ＤＩＳＫ無効理由区分</v>
          </cell>
          <cell r="K35" t="str">
            <v>DSMR</v>
          </cell>
          <cell r="L35" t="str">
            <v>DSMR</v>
          </cell>
          <cell r="M35" t="str">
            <v>A</v>
          </cell>
          <cell r="N35">
            <v>2</v>
          </cell>
          <cell r="O35" t="str">
            <v/>
          </cell>
          <cell r="Q35" t="str">
            <v>無効の理由</v>
          </cell>
        </row>
        <row r="36">
          <cell r="B36">
            <v>37</v>
          </cell>
          <cell r="C36" t="str">
            <v>ＦＡＸ２</v>
          </cell>
          <cell r="K36" t="str">
            <v>FAX2</v>
          </cell>
          <cell r="L36" t="str">
            <v>FAX2</v>
          </cell>
          <cell r="M36" t="str">
            <v>A</v>
          </cell>
          <cell r="N36">
            <v>4</v>
          </cell>
          <cell r="O36" t="str">
            <v/>
          </cell>
          <cell r="Q36" t="str">
            <v>ＦＡＸ番号（局番）</v>
          </cell>
        </row>
        <row r="37">
          <cell r="B37">
            <v>38</v>
          </cell>
          <cell r="C37" t="str">
            <v>ＦＡＸ３</v>
          </cell>
          <cell r="K37" t="str">
            <v>FAX3</v>
          </cell>
          <cell r="L37" t="str">
            <v>FAX3</v>
          </cell>
          <cell r="M37" t="str">
            <v>A</v>
          </cell>
          <cell r="N37">
            <v>4</v>
          </cell>
          <cell r="O37" t="str">
            <v/>
          </cell>
          <cell r="Q37" t="str">
            <v>ＦＡＸ番号（下４桁）</v>
          </cell>
        </row>
        <row r="38">
          <cell r="B38">
            <v>39</v>
          </cell>
          <cell r="C38" t="str">
            <v>ＦＡＸ市外局番</v>
          </cell>
          <cell r="K38" t="str">
            <v>FAX1</v>
          </cell>
          <cell r="L38" t="str">
            <v>FAX1</v>
          </cell>
          <cell r="M38" t="str">
            <v>A</v>
          </cell>
          <cell r="N38">
            <v>7</v>
          </cell>
          <cell r="O38" t="str">
            <v/>
          </cell>
          <cell r="Q38" t="str">
            <v>ＦＡＸ番号（市外局番）</v>
          </cell>
        </row>
        <row r="39">
          <cell r="B39">
            <v>40</v>
          </cell>
          <cell r="C39" t="str">
            <v>ＦＡＸ番号</v>
          </cell>
          <cell r="K39" t="str">
            <v>FXTL</v>
          </cell>
          <cell r="M39" t="str">
            <v>A</v>
          </cell>
          <cell r="N39">
            <v>14</v>
          </cell>
          <cell r="O39" t="str">
            <v/>
          </cell>
          <cell r="Q39" t="str">
            <v>ＦＡＸ番号</v>
          </cell>
        </row>
        <row r="40">
          <cell r="B40">
            <v>41</v>
          </cell>
          <cell r="C40" t="str">
            <v>ＦＩＬＬＥＲ</v>
          </cell>
          <cell r="K40" t="str">
            <v>FILR</v>
          </cell>
          <cell r="M40" t="str">
            <v>S</v>
          </cell>
          <cell r="N40">
            <v>6</v>
          </cell>
          <cell r="O40" t="str">
            <v/>
          </cell>
          <cell r="Q40" t="str">
            <v>クレジットＩ／Ｆの予備</v>
          </cell>
        </row>
        <row r="41">
          <cell r="B41">
            <v>42</v>
          </cell>
          <cell r="C41" t="str">
            <v>ＪＡＮコード</v>
          </cell>
          <cell r="K41" t="str">
            <v>JANC</v>
          </cell>
          <cell r="M41" t="str">
            <v>A</v>
          </cell>
          <cell r="N41">
            <v>13</v>
          </cell>
          <cell r="O41" t="str">
            <v/>
          </cell>
          <cell r="Q41" t="str">
            <v>ＪＡＮの商品コード</v>
          </cell>
        </row>
        <row r="42">
          <cell r="B42">
            <v>43</v>
          </cell>
          <cell r="C42" t="str">
            <v>ＪＡＮ区分</v>
          </cell>
          <cell r="K42" t="str">
            <v>JANK</v>
          </cell>
          <cell r="M42" t="str">
            <v>A</v>
          </cell>
          <cell r="N42">
            <v>1</v>
          </cell>
          <cell r="O42" t="str">
            <v/>
          </cell>
          <cell r="Q42" t="str">
            <v>ＪＡＮコードの種類　</v>
          </cell>
        </row>
        <row r="43">
          <cell r="B43">
            <v>44</v>
          </cell>
          <cell r="C43" t="str">
            <v>ＭＴ作成日</v>
          </cell>
          <cell r="K43" t="str">
            <v>MTAD</v>
          </cell>
          <cell r="M43" t="str">
            <v>A</v>
          </cell>
          <cell r="N43">
            <v>6</v>
          </cell>
          <cell r="O43" t="str">
            <v/>
          </cell>
          <cell r="Q43" t="str">
            <v>磁気テープを作成した日付、西暦年の下2桁と月日</v>
          </cell>
        </row>
        <row r="44">
          <cell r="B44">
            <v>45</v>
          </cell>
          <cell r="C44" t="str">
            <v>ＭＴ作成年月日</v>
          </cell>
          <cell r="K44" t="str">
            <v>MTD1</v>
          </cell>
          <cell r="M44" t="str">
            <v>A</v>
          </cell>
          <cell r="N44">
            <v>15</v>
          </cell>
          <cell r="O44" t="str">
            <v/>
          </cell>
          <cell r="Q44" t="str">
            <v>西暦（ＹＹＹＹＭＭＤＤ）</v>
          </cell>
        </row>
        <row r="45">
          <cell r="B45">
            <v>46</v>
          </cell>
          <cell r="C45" t="str">
            <v>ＭＴ処理年月日</v>
          </cell>
          <cell r="K45" t="str">
            <v>MTD2</v>
          </cell>
          <cell r="M45" t="str">
            <v>A</v>
          </cell>
          <cell r="N45">
            <v>25</v>
          </cell>
          <cell r="O45" t="str">
            <v/>
          </cell>
          <cell r="Q45" t="str">
            <v>オールＺＥＲＯ、西暦（ＹＹＹＹＭＭＤＤ）</v>
          </cell>
        </row>
        <row r="46">
          <cell r="B46">
            <v>47</v>
          </cell>
          <cell r="C46" t="str">
            <v>ＮＥＴ抽出ステータス</v>
          </cell>
          <cell r="K46" t="str">
            <v>NTST</v>
          </cell>
          <cell r="M46" t="str">
            <v>A</v>
          </cell>
          <cell r="N46">
            <v>2</v>
          </cell>
          <cell r="O46" t="str">
            <v/>
          </cell>
          <cell r="Q46" t="str">
            <v>００：初期値、０１：抽出済、０２：ＣＤの場合仮抽出、０３：ＮＥＴの場合仮抽出、１０：再抽出待ち、２ｘ：業務エラー各種、５ｘ：システム系エラー各種</v>
          </cell>
        </row>
        <row r="47">
          <cell r="B47">
            <v>48</v>
          </cell>
          <cell r="C47" t="str">
            <v>ＮＥＴ抽出処理日時</v>
          </cell>
          <cell r="K47" t="str">
            <v>NTCT</v>
          </cell>
          <cell r="M47" t="str">
            <v>S</v>
          </cell>
          <cell r="N47">
            <v>14</v>
          </cell>
          <cell r="O47" t="str">
            <v/>
          </cell>
          <cell r="Q47" t="str">
            <v>抽出ステータスを更新した日時</v>
          </cell>
        </row>
        <row r="48">
          <cell r="B48">
            <v>49</v>
          </cell>
          <cell r="C48" t="str">
            <v>ＮＧ件数</v>
          </cell>
          <cell r="K48" t="str">
            <v>NGKS</v>
          </cell>
          <cell r="M48" t="str">
            <v>S</v>
          </cell>
          <cell r="N48">
            <v>7</v>
          </cell>
          <cell r="O48" t="str">
            <v/>
          </cell>
          <cell r="Q48" t="str">
            <v>オールＺＥＲ０、有効性結果「１」件数</v>
          </cell>
        </row>
        <row r="49">
          <cell r="B49">
            <v>50</v>
          </cell>
          <cell r="C49" t="str">
            <v>ＯＫ件数</v>
          </cell>
          <cell r="K49" t="str">
            <v>OKKS</v>
          </cell>
          <cell r="M49" t="str">
            <v>S</v>
          </cell>
          <cell r="N49">
            <v>7</v>
          </cell>
          <cell r="O49" t="str">
            <v/>
          </cell>
          <cell r="Q49" t="str">
            <v>オールＺＥＲ０、有効性結果「０」件数</v>
          </cell>
        </row>
        <row r="50">
          <cell r="B50">
            <v>51</v>
          </cell>
          <cell r="C50" t="str">
            <v>ＰＯＰサーバーＩＤ</v>
          </cell>
          <cell r="K50" t="str">
            <v>PPSI</v>
          </cell>
          <cell r="L50" t="str">
            <v>PPSI</v>
          </cell>
          <cell r="M50" t="str">
            <v>A</v>
          </cell>
          <cell r="N50">
            <v>5</v>
          </cell>
          <cell r="O50" t="str">
            <v/>
          </cell>
          <cell r="Q50" t="str">
            <v>ＰＯＰサーバーＩＤ</v>
          </cell>
        </row>
        <row r="51">
          <cell r="B51">
            <v>52</v>
          </cell>
          <cell r="C51" t="str">
            <v>ＰＯＰサーバーアドレス</v>
          </cell>
          <cell r="K51" t="str">
            <v>PPSA</v>
          </cell>
          <cell r="L51" t="str">
            <v>POPSAD</v>
          </cell>
          <cell r="M51" t="str">
            <v>A</v>
          </cell>
          <cell r="N51">
            <v>64</v>
          </cell>
          <cell r="O51" t="str">
            <v/>
          </cell>
          <cell r="Q51" t="str">
            <v>ＰＯＰサーバーアドレス</v>
          </cell>
        </row>
        <row r="52">
          <cell r="B52">
            <v>53</v>
          </cell>
          <cell r="C52" t="str">
            <v>ＰＲＯＸＹサーバーＩＤ</v>
          </cell>
          <cell r="K52" t="str">
            <v>PXSI</v>
          </cell>
          <cell r="L52" t="str">
            <v>PXSVID</v>
          </cell>
          <cell r="M52" t="str">
            <v>A</v>
          </cell>
          <cell r="N52">
            <v>5</v>
          </cell>
          <cell r="O52" t="str">
            <v/>
          </cell>
          <cell r="Q52" t="str">
            <v>ＰＲＯＸＹサーバーＩＤ</v>
          </cell>
        </row>
        <row r="53">
          <cell r="B53">
            <v>54</v>
          </cell>
          <cell r="C53" t="str">
            <v>ＰＲＯＸＹサーバーアドレス</v>
          </cell>
          <cell r="K53" t="str">
            <v>PXSA</v>
          </cell>
          <cell r="L53" t="str">
            <v>PXSVAD</v>
          </cell>
          <cell r="M53" t="str">
            <v>A</v>
          </cell>
          <cell r="N53">
            <v>64</v>
          </cell>
          <cell r="O53" t="str">
            <v/>
          </cell>
          <cell r="Q53" t="str">
            <v>ＰＲＯＸＹサーバーアドレス</v>
          </cell>
        </row>
        <row r="54">
          <cell r="B54">
            <v>55</v>
          </cell>
          <cell r="C54" t="str">
            <v>ＰＲＯＸＹサーバー区分</v>
          </cell>
          <cell r="K54" t="str">
            <v>PXSK</v>
          </cell>
          <cell r="L54" t="str">
            <v>PXSVKB</v>
          </cell>
          <cell r="M54" t="str">
            <v>A</v>
          </cell>
          <cell r="N54">
            <v>2</v>
          </cell>
          <cell r="O54" t="str">
            <v/>
          </cell>
          <cell r="Q54" t="str">
            <v>１：通常、２：子供向け</v>
          </cell>
        </row>
        <row r="55">
          <cell r="B55">
            <v>56</v>
          </cell>
          <cell r="C55" t="str">
            <v>ＰＲＯＸＹ認証コード</v>
          </cell>
          <cell r="K55" t="str">
            <v>PXSC</v>
          </cell>
          <cell r="L55" t="str">
            <v>PXNSCD</v>
          </cell>
          <cell r="M55" t="str">
            <v>A</v>
          </cell>
          <cell r="N55">
            <v>50</v>
          </cell>
          <cell r="O55" t="str">
            <v/>
          </cell>
          <cell r="Q55" t="str">
            <v>ＰＲＯＸＹサーバー用認証コード</v>
          </cell>
        </row>
        <row r="56">
          <cell r="B56">
            <v>57</v>
          </cell>
          <cell r="C56" t="str">
            <v>ＲＥＣ－ＩＤ</v>
          </cell>
          <cell r="K56" t="str">
            <v>RECI</v>
          </cell>
          <cell r="M56" t="str">
            <v>A</v>
          </cell>
          <cell r="N56">
            <v>3</v>
          </cell>
          <cell r="O56" t="str">
            <v/>
          </cell>
          <cell r="Q56" t="str">
            <v>"URH"固定</v>
          </cell>
        </row>
        <row r="57">
          <cell r="B57">
            <v>58</v>
          </cell>
          <cell r="C57" t="str">
            <v>ＳＭＴＰサーバーＩＤ</v>
          </cell>
          <cell r="K57" t="str">
            <v>SMPI</v>
          </cell>
          <cell r="L57" t="str">
            <v>SMPI</v>
          </cell>
          <cell r="M57" t="str">
            <v>A</v>
          </cell>
          <cell r="N57">
            <v>5</v>
          </cell>
          <cell r="O57" t="str">
            <v/>
          </cell>
          <cell r="Q57" t="str">
            <v>ＳＭＴＰサーバーＩＤ</v>
          </cell>
        </row>
        <row r="58">
          <cell r="B58">
            <v>59</v>
          </cell>
          <cell r="C58" t="str">
            <v>ＳＭＴＰサーバーアドレス</v>
          </cell>
          <cell r="K58" t="str">
            <v>SMPA</v>
          </cell>
          <cell r="L58" t="str">
            <v>SMTPSA</v>
          </cell>
          <cell r="M58" t="str">
            <v>A</v>
          </cell>
          <cell r="N58">
            <v>64</v>
          </cell>
          <cell r="O58" t="str">
            <v/>
          </cell>
          <cell r="Q58" t="str">
            <v>ＳＭＴＰサーバーアドレス</v>
          </cell>
        </row>
        <row r="59">
          <cell r="B59">
            <v>60</v>
          </cell>
          <cell r="C59" t="str">
            <v>ＴＥＬ２</v>
          </cell>
          <cell r="K59" t="str">
            <v>TEL2</v>
          </cell>
          <cell r="L59" t="str">
            <v>TEL2</v>
          </cell>
          <cell r="M59" t="str">
            <v>A</v>
          </cell>
          <cell r="N59">
            <v>4</v>
          </cell>
          <cell r="O59" t="str">
            <v/>
          </cell>
          <cell r="Q59" t="str">
            <v>電話番号（局番）</v>
          </cell>
        </row>
        <row r="60">
          <cell r="B60">
            <v>61</v>
          </cell>
          <cell r="C60" t="str">
            <v>ＴＥＬ３</v>
          </cell>
          <cell r="K60" t="str">
            <v>TEL3</v>
          </cell>
          <cell r="L60" t="str">
            <v>TEL3</v>
          </cell>
          <cell r="M60" t="str">
            <v>A</v>
          </cell>
          <cell r="N60">
            <v>4</v>
          </cell>
          <cell r="O60" t="str">
            <v/>
          </cell>
          <cell r="Q60" t="str">
            <v>電話番号（下４桁）</v>
          </cell>
        </row>
        <row r="61">
          <cell r="B61">
            <v>62</v>
          </cell>
          <cell r="C61" t="str">
            <v>ＴＥＬ市外局番</v>
          </cell>
          <cell r="K61" t="str">
            <v>TEL1</v>
          </cell>
          <cell r="L61" t="str">
            <v>TEL1</v>
          </cell>
          <cell r="M61" t="str">
            <v>A</v>
          </cell>
          <cell r="N61">
            <v>7</v>
          </cell>
          <cell r="O61" t="str">
            <v/>
          </cell>
          <cell r="Q61" t="str">
            <v>電話番号（市外局番）</v>
          </cell>
        </row>
        <row r="62">
          <cell r="B62" t="str">
            <v>削除</v>
          </cell>
          <cell r="C62" t="str">
            <v>ＴＥＬ番号</v>
          </cell>
          <cell r="K62" t="str">
            <v>TELB</v>
          </cell>
          <cell r="L62" t="str">
            <v>TELB</v>
          </cell>
          <cell r="M62" t="str">
            <v>A</v>
          </cell>
          <cell r="N62">
            <v>14</v>
          </cell>
          <cell r="O62" t="str">
            <v/>
          </cell>
          <cell r="Q62" t="str">
            <v>電話番号（ハイフン無し）：６３</v>
          </cell>
        </row>
        <row r="63">
          <cell r="B63">
            <v>64</v>
          </cell>
          <cell r="C63" t="str">
            <v>ＴＯＰディレクトリ名</v>
          </cell>
          <cell r="K63" t="str">
            <v>DIRN</v>
          </cell>
          <cell r="L63" t="str">
            <v>TPDRNM</v>
          </cell>
          <cell r="M63" t="str">
            <v>A</v>
          </cell>
          <cell r="N63">
            <v>32</v>
          </cell>
          <cell r="O63" t="str">
            <v/>
          </cell>
          <cell r="Q63" t="str">
            <v>ディレクトリ(フルパスでファイル名を含む)</v>
          </cell>
        </row>
        <row r="64">
          <cell r="B64">
            <v>65</v>
          </cell>
          <cell r="C64" t="str">
            <v>ＵＲＬ</v>
          </cell>
          <cell r="K64" t="str">
            <v>URLN</v>
          </cell>
          <cell r="L64" t="str">
            <v>URLN</v>
          </cell>
          <cell r="M64" t="str">
            <v>A</v>
          </cell>
          <cell r="N64">
            <v>128</v>
          </cell>
          <cell r="O64" t="str">
            <v/>
          </cell>
          <cell r="Q64" t="str">
            <v>６４がアクセスするＵＲＬ 自動採番  (仮想ＵＲＬ）</v>
          </cell>
        </row>
        <row r="65">
          <cell r="B65">
            <v>66</v>
          </cell>
          <cell r="C65" t="str">
            <v>ＵＲＬ実体</v>
          </cell>
          <cell r="K65" t="str">
            <v>URLJ</v>
          </cell>
          <cell r="L65" t="str">
            <v>URLJIT</v>
          </cell>
          <cell r="M65" t="str">
            <v>A</v>
          </cell>
          <cell r="N65">
            <v>128</v>
          </cell>
          <cell r="O65" t="str">
            <v/>
          </cell>
          <cell r="Q65" t="str">
            <v>コンテンツが実際に存在するＵＲＬ</v>
          </cell>
        </row>
        <row r="66">
          <cell r="B66">
            <v>67</v>
          </cell>
          <cell r="C66" t="str">
            <v>アクセスＩＤ区分</v>
          </cell>
          <cell r="K66" t="str">
            <v>ACID</v>
          </cell>
          <cell r="L66" t="str">
            <v>ACID</v>
          </cell>
          <cell r="M66" t="str">
            <v>A</v>
          </cell>
          <cell r="N66">
            <v>1</v>
          </cell>
          <cell r="O66" t="str">
            <v/>
          </cell>
          <cell r="Q66" t="str">
            <v>１：商品コード、２：メールサービスＩＤ</v>
          </cell>
        </row>
        <row r="67">
          <cell r="B67">
            <v>70</v>
          </cell>
          <cell r="C67" t="str">
            <v>アクセス権区分</v>
          </cell>
          <cell r="K67" t="str">
            <v>ACKK</v>
          </cell>
          <cell r="L67" t="str">
            <v>ACKNKB</v>
          </cell>
          <cell r="M67" t="str">
            <v>A</v>
          </cell>
          <cell r="N67">
            <v>1</v>
          </cell>
          <cell r="O67" t="str">
            <v/>
          </cell>
          <cell r="Q67" t="str">
            <v>１：期間権、２：回数券</v>
          </cell>
        </row>
        <row r="68">
          <cell r="B68">
            <v>72</v>
          </cell>
          <cell r="C68" t="str">
            <v>エラー件数</v>
          </cell>
          <cell r="K68" t="str">
            <v>ERRS</v>
          </cell>
          <cell r="M68" t="str">
            <v>S</v>
          </cell>
          <cell r="N68">
            <v>7</v>
          </cell>
          <cell r="O68" t="str">
            <v/>
          </cell>
          <cell r="Q68" t="str">
            <v>オールＺＥＲ０、有効性結果「２」件数</v>
          </cell>
        </row>
        <row r="69">
          <cell r="B69">
            <v>73</v>
          </cell>
          <cell r="C69" t="str">
            <v>エンド番号</v>
          </cell>
          <cell r="K69" t="str">
            <v>EDBG</v>
          </cell>
          <cell r="M69" t="str">
            <v>S</v>
          </cell>
          <cell r="N69">
            <v>9</v>
          </cell>
          <cell r="O69" t="str">
            <v/>
          </cell>
          <cell r="Q69" t="str">
            <v>エンドの番号</v>
          </cell>
        </row>
        <row r="70">
          <cell r="B70">
            <v>75</v>
          </cell>
          <cell r="C70" t="str">
            <v>カード会社コード</v>
          </cell>
          <cell r="K70" t="str">
            <v>CDKC</v>
          </cell>
          <cell r="M70" t="str">
            <v>S</v>
          </cell>
          <cell r="N70">
            <v>5</v>
          </cell>
          <cell r="O70" t="str">
            <v/>
          </cell>
          <cell r="Q70" t="str">
            <v>クレジット先指定コード</v>
          </cell>
        </row>
        <row r="71">
          <cell r="B71">
            <v>76</v>
          </cell>
          <cell r="C71" t="str">
            <v>カード会社区分</v>
          </cell>
          <cell r="K71" t="str">
            <v>CDKK</v>
          </cell>
          <cell r="M71" t="str">
            <v>A</v>
          </cell>
          <cell r="N71">
            <v>3</v>
          </cell>
          <cell r="O71" t="str">
            <v/>
          </cell>
          <cell r="Q71" t="str">
            <v>カード会社を識別する区分</v>
          </cell>
        </row>
        <row r="72">
          <cell r="B72">
            <v>77</v>
          </cell>
          <cell r="C72" t="str">
            <v>カテゴリー</v>
          </cell>
          <cell r="K72" t="str">
            <v>CABU</v>
          </cell>
          <cell r="M72" t="str">
            <v>A</v>
          </cell>
          <cell r="N72">
            <v>2</v>
          </cell>
          <cell r="O72" t="str">
            <v/>
          </cell>
          <cell r="Q72" t="str">
            <v>商品情報の商品カテゴリ</v>
          </cell>
        </row>
        <row r="73">
          <cell r="B73">
            <v>78</v>
          </cell>
          <cell r="C73" t="str">
            <v>クレジットカード番号</v>
          </cell>
          <cell r="K73" t="str">
            <v>CRBG</v>
          </cell>
          <cell r="L73" t="str">
            <v>CRBG</v>
          </cell>
          <cell r="M73" t="str">
            <v>A</v>
          </cell>
          <cell r="N73">
            <v>16</v>
          </cell>
          <cell r="O73" t="str">
            <v/>
          </cell>
          <cell r="Q73" t="str">
            <v>クレジットカード番号</v>
          </cell>
        </row>
        <row r="74">
          <cell r="B74">
            <v>82</v>
          </cell>
          <cell r="C74" t="str">
            <v>クレジットカード有効期限</v>
          </cell>
          <cell r="K74" t="str">
            <v>CRYD</v>
          </cell>
          <cell r="L74" t="str">
            <v>CRYD</v>
          </cell>
          <cell r="M74" t="str">
            <v>S</v>
          </cell>
          <cell r="N74">
            <v>6</v>
          </cell>
          <cell r="O74" t="str">
            <v/>
          </cell>
          <cell r="Q74" t="str">
            <v>西暦</v>
          </cell>
        </row>
        <row r="75">
          <cell r="B75">
            <v>83</v>
          </cell>
          <cell r="C75" t="str">
            <v>クレジットパスワード</v>
          </cell>
          <cell r="K75" t="str">
            <v>CRPS</v>
          </cell>
          <cell r="L75" t="str">
            <v>CRPS</v>
          </cell>
          <cell r="M75" t="str">
            <v>A</v>
          </cell>
          <cell r="N75">
            <v>4</v>
          </cell>
          <cell r="O75" t="str">
            <v/>
          </cell>
          <cell r="Q75" t="str">
            <v>クレジットパスワード</v>
          </cell>
        </row>
        <row r="76">
          <cell r="B76">
            <v>84</v>
          </cell>
          <cell r="C76" t="str">
            <v>商品説明文２</v>
          </cell>
          <cell r="K76" t="str">
            <v>SHN2</v>
          </cell>
          <cell r="L76" t="str">
            <v>SHN2</v>
          </cell>
          <cell r="M76" t="str">
            <v>O</v>
          </cell>
          <cell r="N76">
            <v>72</v>
          </cell>
          <cell r="O76" t="str">
            <v/>
          </cell>
          <cell r="Q76" t="str">
            <v>商品説明文（ＤＤＷ用）</v>
          </cell>
        </row>
        <row r="77">
          <cell r="B77">
            <v>87</v>
          </cell>
          <cell r="C77" t="str">
            <v>コンテンツタイプ</v>
          </cell>
          <cell r="K77" t="str">
            <v>CNＴY</v>
          </cell>
          <cell r="L77" t="str">
            <v>CNＴYP</v>
          </cell>
          <cell r="M77" t="str">
            <v>A</v>
          </cell>
          <cell r="N77">
            <v>2</v>
          </cell>
          <cell r="O77" t="str">
            <v/>
          </cell>
          <cell r="Q77" t="str">
            <v>ＤＬ：ダウンロード、ＢＲ：ブラウジング、ＤＴ：通信メニュー、ＤＳ：６４ＤＤ用設定ファイル、ＤＰ：６４ＤＤ用プログラム、ＭＭ：ＤＤＷデモ、ＷＣ：ＤＤＷチケットＤＩＳＫＭＡＰ、ＷＰ：ＤＤＷプログラム</v>
          </cell>
        </row>
        <row r="78">
          <cell r="B78">
            <v>88</v>
          </cell>
          <cell r="C78" t="str">
            <v>コンテンツトランザクション№</v>
          </cell>
          <cell r="K78" t="str">
            <v>CNTN</v>
          </cell>
          <cell r="L78" t="str">
            <v>TRNSNO</v>
          </cell>
          <cell r="M78" t="str">
            <v>A</v>
          </cell>
          <cell r="N78">
            <v>10</v>
          </cell>
          <cell r="O78" t="str">
            <v/>
          </cell>
          <cell r="Q78" t="str">
            <v>商品売上利用実績Ｎｏ</v>
          </cell>
        </row>
        <row r="79">
          <cell r="B79">
            <v>90</v>
          </cell>
          <cell r="C79" t="str">
            <v>ＤＤＷ配信バージョンコンテンツ</v>
          </cell>
          <cell r="K79" t="str">
            <v>DVCN</v>
          </cell>
          <cell r="L79" t="str">
            <v>DHVCN</v>
          </cell>
          <cell r="M79" t="str">
            <v>A</v>
          </cell>
          <cell r="N79">
            <v>10</v>
          </cell>
          <cell r="O79" t="str">
            <v/>
          </cell>
          <cell r="Q79" t="str">
            <v>ＤＤＷへ配信するコンテンツのバージョン。Cyyyymmddn</v>
          </cell>
        </row>
        <row r="80">
          <cell r="B80">
            <v>91</v>
          </cell>
          <cell r="C80" t="str">
            <v>ＤＤＷ配信バージョンコンテンツ更新日時</v>
          </cell>
          <cell r="K80" t="str">
            <v>DVCD</v>
          </cell>
          <cell r="L80" t="str">
            <v>DHVCUT</v>
          </cell>
          <cell r="M80" t="str">
            <v>S</v>
          </cell>
          <cell r="N80">
            <v>14</v>
          </cell>
          <cell r="O80" t="str">
            <v/>
          </cell>
          <cell r="Q80" t="str">
            <v>ＤＤＷで更新完了した日時。ＤＤＷの電文からセット。</v>
          </cell>
        </row>
        <row r="81">
          <cell r="B81">
            <v>92</v>
          </cell>
          <cell r="C81" t="str">
            <v>コンテンツ区分</v>
          </cell>
          <cell r="K81" t="str">
            <v>CNTK</v>
          </cell>
          <cell r="M81" t="str">
            <v>A</v>
          </cell>
          <cell r="N81">
            <v>1</v>
          </cell>
          <cell r="O81" t="str">
            <v/>
          </cell>
          <cell r="Q81" t="str">
            <v>１：ＤＬ、２： ブラウジング</v>
          </cell>
        </row>
        <row r="82">
          <cell r="B82">
            <v>93</v>
          </cell>
          <cell r="C82" t="str">
            <v>コンテンツ受け入れステータス</v>
          </cell>
          <cell r="K82" t="str">
            <v>CNUS</v>
          </cell>
          <cell r="M82" t="str">
            <v>A</v>
          </cell>
          <cell r="N82">
            <v>2</v>
          </cell>
          <cell r="O82" t="str">
            <v/>
          </cell>
          <cell r="Q82" t="str">
            <v>００：初期値、０１：受け入れ済、１０：再受け入れ待ち、２ｘ：業務エラー各種、５ｘ：システム系エラー各種</v>
          </cell>
        </row>
        <row r="83">
          <cell r="B83">
            <v>94</v>
          </cell>
          <cell r="C83" t="str">
            <v>コンテンツ受け入れ処理日時</v>
          </cell>
          <cell r="K83" t="str">
            <v>CNDT</v>
          </cell>
          <cell r="M83" t="str">
            <v>S</v>
          </cell>
          <cell r="N83">
            <v>14</v>
          </cell>
          <cell r="O83" t="str">
            <v/>
          </cell>
          <cell r="Q83" t="str">
            <v>受け入れステータスを更新した日時</v>
          </cell>
        </row>
        <row r="84">
          <cell r="B84">
            <v>95</v>
          </cell>
          <cell r="C84" t="str">
            <v>コンテンツ提供者メールアドレス</v>
          </cell>
          <cell r="K84" t="str">
            <v>CNMA</v>
          </cell>
          <cell r="L84" t="str">
            <v>CTTKAD</v>
          </cell>
          <cell r="M84" t="str">
            <v>A</v>
          </cell>
          <cell r="N84">
            <v>64</v>
          </cell>
          <cell r="O84" t="str">
            <v/>
          </cell>
          <cell r="Q84" t="str">
            <v>メールコンテンツのコンテンツ提供者メールアドレス</v>
          </cell>
        </row>
        <row r="85">
          <cell r="B85">
            <v>96</v>
          </cell>
          <cell r="C85" t="str">
            <v>コンテンツ提供者会員ＩＤ１</v>
          </cell>
          <cell r="K85" t="str">
            <v>CNK1</v>
          </cell>
          <cell r="L85" t="str">
            <v>CTKID1</v>
          </cell>
          <cell r="M85" t="str">
            <v>A</v>
          </cell>
          <cell r="N85">
            <v>8</v>
          </cell>
          <cell r="O85" t="str">
            <v/>
          </cell>
          <cell r="Q85" t="str">
            <v>ブラウジングコンテンツ事前確認用ＩＤ。会員ＩＤ、枝番、カード連番</v>
          </cell>
        </row>
        <row r="86">
          <cell r="B86">
            <v>97</v>
          </cell>
          <cell r="C86" t="str">
            <v>サービスＩＤ</v>
          </cell>
          <cell r="K86" t="str">
            <v>SDID</v>
          </cell>
          <cell r="L86" t="str">
            <v>SDID</v>
          </cell>
          <cell r="M86" t="str">
            <v>A</v>
          </cell>
          <cell r="N86">
            <v>4</v>
          </cell>
          <cell r="O86" t="str">
            <v/>
          </cell>
          <cell r="Q86" t="str">
            <v>ゲームタイトルＩＤ等</v>
          </cell>
        </row>
        <row r="87">
          <cell r="B87">
            <v>99</v>
          </cell>
          <cell r="C87" t="str">
            <v>サービス開始時刻</v>
          </cell>
          <cell r="K87" t="str">
            <v>SBST</v>
          </cell>
          <cell r="L87" t="str">
            <v>SBST</v>
          </cell>
          <cell r="M87" t="str">
            <v>S</v>
          </cell>
          <cell r="N87">
            <v>6</v>
          </cell>
          <cell r="O87" t="str">
            <v/>
          </cell>
          <cell r="Q87" t="str">
            <v>期間権（特定期間）</v>
          </cell>
        </row>
        <row r="88">
          <cell r="B88">
            <v>100</v>
          </cell>
          <cell r="C88" t="str">
            <v>サービス終了時刻</v>
          </cell>
          <cell r="K88" t="str">
            <v>SBET</v>
          </cell>
          <cell r="L88" t="str">
            <v>SBET</v>
          </cell>
          <cell r="M88" t="str">
            <v>S</v>
          </cell>
          <cell r="N88">
            <v>6</v>
          </cell>
          <cell r="O88" t="str">
            <v/>
          </cell>
          <cell r="Q88" t="str">
            <v>期間権（特定期間）</v>
          </cell>
        </row>
        <row r="89">
          <cell r="B89">
            <v>101</v>
          </cell>
          <cell r="C89" t="str">
            <v>サービス無効開始日付</v>
          </cell>
          <cell r="K89" t="str">
            <v>SBMD</v>
          </cell>
          <cell r="M89" t="str">
            <v>S</v>
          </cell>
          <cell r="N89">
            <v>8</v>
          </cell>
          <cell r="O89" t="str">
            <v/>
          </cell>
          <cell r="Q89" t="str">
            <v>サービスを無効にした日付</v>
          </cell>
        </row>
        <row r="90">
          <cell r="B90">
            <v>102</v>
          </cell>
          <cell r="C90" t="str">
            <v>サービス無効区分</v>
          </cell>
          <cell r="K90" t="str">
            <v>SBMK</v>
          </cell>
          <cell r="M90" t="str">
            <v>A</v>
          </cell>
          <cell r="N90">
            <v>1</v>
          </cell>
          <cell r="O90" t="str">
            <v/>
          </cell>
          <cell r="Q90" t="str">
            <v>１：無効</v>
          </cell>
        </row>
        <row r="91">
          <cell r="B91">
            <v>103</v>
          </cell>
          <cell r="C91" t="str">
            <v>サービス無効理由区分</v>
          </cell>
          <cell r="K91" t="str">
            <v>SBMR</v>
          </cell>
          <cell r="M91" t="str">
            <v>A</v>
          </cell>
          <cell r="N91">
            <v>2</v>
          </cell>
          <cell r="O91" t="str">
            <v/>
          </cell>
          <cell r="Q91" t="str">
            <v>サービスを無効にした理由コード</v>
          </cell>
        </row>
        <row r="92">
          <cell r="B92">
            <v>104</v>
          </cell>
          <cell r="C92" t="str">
            <v>サービス名</v>
          </cell>
          <cell r="K92" t="str">
            <v>SBNM</v>
          </cell>
          <cell r="M92" t="str">
            <v>O</v>
          </cell>
          <cell r="N92">
            <v>72</v>
          </cell>
          <cell r="O92" t="str">
            <v/>
          </cell>
          <cell r="Q92" t="str">
            <v>サービスＩＤ名</v>
          </cell>
        </row>
        <row r="93">
          <cell r="B93">
            <v>105</v>
          </cell>
          <cell r="C93" t="str">
            <v>サービス料トランザクション№</v>
          </cell>
          <cell r="K93" t="str">
            <v>SBTN</v>
          </cell>
          <cell r="L93" t="str">
            <v>TRNSNO</v>
          </cell>
          <cell r="M93" t="str">
            <v>A</v>
          </cell>
          <cell r="N93">
            <v>9</v>
          </cell>
          <cell r="O93" t="str">
            <v/>
          </cell>
          <cell r="Q93" t="str">
            <v>サービス料金売上実績Ｎｏ</v>
          </cell>
        </row>
        <row r="94">
          <cell r="B94">
            <v>106</v>
          </cell>
          <cell r="C94" t="str">
            <v>サービス料金コード</v>
          </cell>
          <cell r="K94" t="str">
            <v>SBRC</v>
          </cell>
          <cell r="L94" t="str">
            <v>SVRYCD</v>
          </cell>
          <cell r="M94" t="str">
            <v>A</v>
          </cell>
          <cell r="N94">
            <v>3</v>
          </cell>
          <cell r="O94" t="str">
            <v/>
          </cell>
          <cell r="Q94" t="str">
            <v>サービス料金をユニークにするコード</v>
          </cell>
        </row>
        <row r="95">
          <cell r="B95">
            <v>107</v>
          </cell>
          <cell r="C95" t="str">
            <v>サービス料金コード３</v>
          </cell>
          <cell r="K95" t="str">
            <v>SRK3</v>
          </cell>
          <cell r="L95" t="str">
            <v>SVRYC3</v>
          </cell>
          <cell r="M95" t="str">
            <v>A</v>
          </cell>
          <cell r="N95">
            <v>3</v>
          </cell>
          <cell r="O95" t="str">
            <v/>
          </cell>
          <cell r="Q95" t="str">
            <v>サービス料金をユニークにするコード</v>
          </cell>
        </row>
        <row r="96">
          <cell r="B96">
            <v>108</v>
          </cell>
          <cell r="C96" t="str">
            <v>サービス料金コード４</v>
          </cell>
          <cell r="K96" t="str">
            <v>SRC4</v>
          </cell>
          <cell r="L96" t="str">
            <v>SVRYC4</v>
          </cell>
          <cell r="M96" t="str">
            <v>A</v>
          </cell>
          <cell r="N96">
            <v>3</v>
          </cell>
          <cell r="O96" t="str">
            <v/>
          </cell>
          <cell r="Q96" t="str">
            <v>サービス料金をユニークにするコード</v>
          </cell>
        </row>
        <row r="97">
          <cell r="B97">
            <v>109</v>
          </cell>
          <cell r="C97" t="str">
            <v>サービス料金コード５</v>
          </cell>
          <cell r="K97" t="str">
            <v>SRC5</v>
          </cell>
          <cell r="L97" t="str">
            <v>SVRYC5</v>
          </cell>
          <cell r="M97" t="str">
            <v>A</v>
          </cell>
          <cell r="N97">
            <v>3</v>
          </cell>
          <cell r="O97" t="str">
            <v/>
          </cell>
          <cell r="Q97" t="str">
            <v>サービス料金をユニークにするコード</v>
          </cell>
        </row>
        <row r="98">
          <cell r="B98">
            <v>110</v>
          </cell>
          <cell r="C98" t="str">
            <v>サービス料金名</v>
          </cell>
          <cell r="K98" t="str">
            <v>SBRN</v>
          </cell>
          <cell r="M98" t="str">
            <v>O</v>
          </cell>
          <cell r="N98">
            <v>42</v>
          </cell>
          <cell r="O98" t="str">
            <v/>
          </cell>
          <cell r="Q98" t="str">
            <v>サービス料金名</v>
          </cell>
        </row>
        <row r="99">
          <cell r="B99">
            <v>111</v>
          </cell>
          <cell r="C99" t="str">
            <v>サービス料金名カナ</v>
          </cell>
          <cell r="K99" t="str">
            <v>SBRM</v>
          </cell>
          <cell r="M99" t="str">
            <v>A</v>
          </cell>
          <cell r="N99">
            <v>20</v>
          </cell>
          <cell r="O99" t="str">
            <v/>
          </cell>
          <cell r="Q99" t="str">
            <v>サービス料金名カナ</v>
          </cell>
        </row>
        <row r="100">
          <cell r="B100">
            <v>112</v>
          </cell>
          <cell r="C100" t="str">
            <v>サービス料金略称名</v>
          </cell>
          <cell r="K100" t="str">
            <v>SBRR</v>
          </cell>
          <cell r="M100" t="str">
            <v>O</v>
          </cell>
          <cell r="N100">
            <v>22</v>
          </cell>
          <cell r="O100" t="str">
            <v/>
          </cell>
          <cell r="Q100" t="str">
            <v>料金略称名</v>
          </cell>
        </row>
        <row r="101">
          <cell r="B101">
            <v>113</v>
          </cell>
          <cell r="C101" t="str">
            <v>ジャンル区分</v>
          </cell>
          <cell r="K101" t="str">
            <v>JRNK</v>
          </cell>
          <cell r="M101" t="str">
            <v>A</v>
          </cell>
          <cell r="N101">
            <v>2</v>
          </cell>
          <cell r="O101" t="str">
            <v/>
          </cell>
          <cell r="Q101" t="str">
            <v>サービスＩＤ情報のジャンルを分類する区分。１０：ＲＰＧ、２０：バトル</v>
          </cell>
        </row>
        <row r="102">
          <cell r="B102">
            <v>114</v>
          </cell>
          <cell r="C102" t="str">
            <v>スターターキット引渡可能日付</v>
          </cell>
          <cell r="K102" t="str">
            <v>STHD</v>
          </cell>
          <cell r="M102" t="str">
            <v>S</v>
          </cell>
          <cell r="N102">
            <v>8</v>
          </cell>
          <cell r="O102" t="str">
            <v/>
          </cell>
          <cell r="Q102" t="str">
            <v>西暦 ＪＢＬ</v>
          </cell>
        </row>
        <row r="103">
          <cell r="B103">
            <v>115</v>
          </cell>
          <cell r="C103" t="str">
            <v>スタート番号</v>
          </cell>
          <cell r="K103" t="str">
            <v>STBG</v>
          </cell>
          <cell r="M103" t="str">
            <v>S</v>
          </cell>
          <cell r="N103">
            <v>9</v>
          </cell>
          <cell r="O103" t="str">
            <v/>
          </cell>
          <cell r="Q103" t="str">
            <v>スタートの番号</v>
          </cell>
        </row>
        <row r="104">
          <cell r="B104">
            <v>116</v>
          </cell>
          <cell r="C104" t="str">
            <v>ステータス</v>
          </cell>
          <cell r="K104" t="str">
            <v>STUS</v>
          </cell>
          <cell r="L104" t="str">
            <v>STATUS</v>
          </cell>
          <cell r="M104" t="str">
            <v>A</v>
          </cell>
          <cell r="N104">
            <v>256</v>
          </cell>
          <cell r="O104" t="str">
            <v/>
          </cell>
          <cell r="Q104" t="str">
            <v>ＤＤＷ周辺機器のステータス、集配信電文からセット</v>
          </cell>
        </row>
        <row r="105">
          <cell r="B105">
            <v>117</v>
          </cell>
          <cell r="C105" t="str">
            <v>ステータス更新日時</v>
          </cell>
          <cell r="K105" t="str">
            <v>STUD</v>
          </cell>
          <cell r="L105" t="str">
            <v>STUPDT</v>
          </cell>
          <cell r="M105" t="str">
            <v>S</v>
          </cell>
          <cell r="N105">
            <v>14</v>
          </cell>
          <cell r="O105" t="str">
            <v/>
          </cell>
          <cell r="Q105" t="str">
            <v>ＤＤＷでＤＤＷ周辺機器のステータスを更新した日時</v>
          </cell>
        </row>
        <row r="106">
          <cell r="B106">
            <v>136</v>
          </cell>
          <cell r="C106" t="str">
            <v>ダブリチェックフィールド</v>
          </cell>
          <cell r="K106" t="str">
            <v>WCHF</v>
          </cell>
          <cell r="M106" t="str">
            <v>A</v>
          </cell>
          <cell r="N106">
            <v>10</v>
          </cell>
          <cell r="O106" t="str">
            <v/>
          </cell>
          <cell r="Q106" t="str">
            <v>ＰＯＳデータのチェック</v>
          </cell>
        </row>
        <row r="107">
          <cell r="B107">
            <v>137</v>
          </cell>
          <cell r="C107" t="str">
            <v>チケットＩＤ</v>
          </cell>
          <cell r="K107" t="str">
            <v>CKTI</v>
          </cell>
          <cell r="L107" t="str">
            <v>CKTI</v>
          </cell>
          <cell r="M107" t="str">
            <v>A</v>
          </cell>
          <cell r="N107">
            <v>5</v>
          </cell>
          <cell r="O107" t="str">
            <v/>
          </cell>
          <cell r="Q107" t="str">
            <v>アクセス権をユニークにするコード</v>
          </cell>
        </row>
        <row r="108">
          <cell r="B108">
            <v>138</v>
          </cell>
          <cell r="C108" t="str">
            <v>ディレクトリ</v>
          </cell>
          <cell r="K108" t="str">
            <v>DRNM</v>
          </cell>
          <cell r="L108" t="str">
            <v>DIRECT</v>
          </cell>
          <cell r="M108" t="str">
            <v>A</v>
          </cell>
          <cell r="N108">
            <v>128</v>
          </cell>
          <cell r="O108" t="str">
            <v/>
          </cell>
          <cell r="Q108" t="str">
            <v>ダウンロードコンテンツのＷｅｂサーバー上のディレクトリーパス</v>
          </cell>
        </row>
        <row r="109">
          <cell r="B109">
            <v>141</v>
          </cell>
          <cell r="C109" t="str">
            <v>ディレクトリ（サービスサーバー）</v>
          </cell>
          <cell r="K109" t="str">
            <v>DRSS</v>
          </cell>
          <cell r="L109" t="str">
            <v>DSVCSV</v>
          </cell>
          <cell r="M109" t="str">
            <v>A</v>
          </cell>
          <cell r="N109">
            <v>128</v>
          </cell>
          <cell r="O109" t="str">
            <v/>
          </cell>
          <cell r="Q109" t="str">
            <v>コンテンツを置くサービスサーバー上のディレクトリ 自動採番</v>
          </cell>
        </row>
        <row r="110">
          <cell r="B110">
            <v>142</v>
          </cell>
          <cell r="C110" t="str">
            <v>データ区分</v>
          </cell>
          <cell r="K110" t="str">
            <v>DTAK</v>
          </cell>
          <cell r="M110" t="str">
            <v>S</v>
          </cell>
          <cell r="N110">
            <v>1</v>
          </cell>
          <cell r="O110" t="str">
            <v/>
          </cell>
          <cell r="Q110" t="str">
            <v>ＦＩ×１でヘッダーレコードをあらわす</v>
          </cell>
        </row>
        <row r="111">
          <cell r="B111">
            <v>143</v>
          </cell>
          <cell r="C111" t="str">
            <v>データ件数</v>
          </cell>
          <cell r="K111" t="str">
            <v>DAKS</v>
          </cell>
          <cell r="M111" t="str">
            <v>S</v>
          </cell>
          <cell r="N111">
            <v>5</v>
          </cell>
          <cell r="O111" t="str">
            <v/>
          </cell>
          <cell r="Q111" t="str">
            <v>ＰＯＳトレーラー件数</v>
          </cell>
        </row>
        <row r="112">
          <cell r="B112">
            <v>144</v>
          </cell>
          <cell r="C112" t="str">
            <v>データ作成日時</v>
          </cell>
          <cell r="K112" t="str">
            <v>DAAD</v>
          </cell>
          <cell r="M112" t="str">
            <v>S</v>
          </cell>
          <cell r="N112">
            <v>8</v>
          </cell>
          <cell r="O112" t="str">
            <v/>
          </cell>
          <cell r="Q112" t="str">
            <v>ＰＯＳ作成日時</v>
          </cell>
        </row>
        <row r="113">
          <cell r="B113">
            <v>145</v>
          </cell>
          <cell r="C113" t="str">
            <v>データ種別</v>
          </cell>
          <cell r="K113" t="str">
            <v>DASY</v>
          </cell>
          <cell r="M113" t="str">
            <v>A</v>
          </cell>
          <cell r="N113">
            <v>2</v>
          </cell>
          <cell r="O113" t="str">
            <v/>
          </cell>
          <cell r="Q113" t="str">
            <v>ＰＯＳデータ種別</v>
          </cell>
        </row>
        <row r="114">
          <cell r="B114">
            <v>146</v>
          </cell>
          <cell r="C114" t="str">
            <v>データ種類</v>
          </cell>
          <cell r="K114" t="str">
            <v>DASU</v>
          </cell>
          <cell r="M114" t="str">
            <v>A</v>
          </cell>
          <cell r="N114">
            <v>1</v>
          </cell>
          <cell r="O114" t="str">
            <v/>
          </cell>
          <cell r="Q114" t="str">
            <v>ＰＯＳデータ種類</v>
          </cell>
        </row>
        <row r="115">
          <cell r="B115">
            <v>147</v>
          </cell>
          <cell r="C115" t="str">
            <v>データ日付</v>
          </cell>
          <cell r="K115" t="str">
            <v>DATD</v>
          </cell>
          <cell r="M115" t="str">
            <v>S</v>
          </cell>
          <cell r="N115">
            <v>8</v>
          </cell>
          <cell r="O115" t="str">
            <v/>
          </cell>
          <cell r="Q115" t="str">
            <v>ＰＯＳデータ日付</v>
          </cell>
        </row>
        <row r="116">
          <cell r="B116">
            <v>148</v>
          </cell>
          <cell r="C116" t="str">
            <v>データ名</v>
          </cell>
          <cell r="K116" t="str">
            <v>DATN</v>
          </cell>
          <cell r="M116" t="str">
            <v>A</v>
          </cell>
          <cell r="N116">
            <v>7</v>
          </cell>
          <cell r="O116" t="str">
            <v/>
          </cell>
          <cell r="Q116" t="str">
            <v>「6ｼｬﾄｳｲﾂ ｶｲｲﾝﾕｳｺｳｾｲMT」固定</v>
          </cell>
        </row>
        <row r="117">
          <cell r="B117">
            <v>149</v>
          </cell>
          <cell r="C117" t="str">
            <v>デリバリーＳＥＱ№</v>
          </cell>
          <cell r="K117" t="str">
            <v>DBSQ</v>
          </cell>
          <cell r="M117" t="str">
            <v>A</v>
          </cell>
          <cell r="N117">
            <v>15</v>
          </cell>
          <cell r="O117" t="str">
            <v/>
          </cell>
          <cell r="Q117" t="str">
            <v>Ｈ／Ｗ販売情報のデリバリー番号</v>
          </cell>
        </row>
        <row r="118">
          <cell r="B118">
            <v>150</v>
          </cell>
          <cell r="C118" t="str">
            <v>トレイＣＤバージョン</v>
          </cell>
          <cell r="K118" t="str">
            <v>TCDV</v>
          </cell>
          <cell r="L118" t="str">
            <v>TCDVER</v>
          </cell>
          <cell r="M118" t="str">
            <v>A</v>
          </cell>
          <cell r="N118">
            <v>10</v>
          </cell>
          <cell r="O118" t="str">
            <v/>
          </cell>
          <cell r="Q118" t="str">
            <v>ＤＤＷのＣＤＲＯＭドライブ内のＣＤのバージョン、Ｒｙｙｙｙｍｍｄｄｎ</v>
          </cell>
        </row>
        <row r="119">
          <cell r="B119">
            <v>151</v>
          </cell>
          <cell r="C119" t="str">
            <v>トレイＣＤバージョン更新日時</v>
          </cell>
          <cell r="K119" t="str">
            <v>TCDD</v>
          </cell>
          <cell r="L119" t="str">
            <v>TCDVUT</v>
          </cell>
          <cell r="M119" t="str">
            <v>S</v>
          </cell>
          <cell r="N119">
            <v>14</v>
          </cell>
          <cell r="O119" t="str">
            <v/>
          </cell>
          <cell r="Q119" t="str">
            <v>ＤＤＷでバージョン確認した日時。ＤＤＷの電文からセット。</v>
          </cell>
        </row>
        <row r="120">
          <cell r="B120">
            <v>152</v>
          </cell>
          <cell r="C120" t="str">
            <v>ネットワークＩＤ</v>
          </cell>
          <cell r="K120" t="str">
            <v>NTID</v>
          </cell>
          <cell r="L120" t="str">
            <v>NTID</v>
          </cell>
          <cell r="M120" t="str">
            <v>A</v>
          </cell>
          <cell r="N120">
            <v>16</v>
          </cell>
          <cell r="O120" t="str">
            <v/>
          </cell>
          <cell r="Q120" t="str">
            <v>ＤＩＳＫにつける初期ＩＤ</v>
          </cell>
        </row>
        <row r="121">
          <cell r="B121">
            <v>153</v>
          </cell>
          <cell r="C121" t="str">
            <v>ネットワークパスワード</v>
          </cell>
          <cell r="K121" t="str">
            <v>NTPS</v>
          </cell>
          <cell r="L121" t="str">
            <v>NTPS</v>
          </cell>
          <cell r="M121" t="str">
            <v>A</v>
          </cell>
          <cell r="N121">
            <v>8</v>
          </cell>
          <cell r="O121" t="str">
            <v/>
          </cell>
          <cell r="Q121" t="str">
            <v>ＤＩＳＫにつける初期パスワード</v>
          </cell>
        </row>
        <row r="122">
          <cell r="B122">
            <v>154</v>
          </cell>
          <cell r="C122" t="str">
            <v>バージョン</v>
          </cell>
          <cell r="K122" t="str">
            <v>VARN</v>
          </cell>
          <cell r="L122" t="str">
            <v>VARN</v>
          </cell>
          <cell r="M122" t="str">
            <v>A</v>
          </cell>
          <cell r="N122">
            <v>4</v>
          </cell>
          <cell r="O122" t="str">
            <v/>
          </cell>
          <cell r="Q122" t="str">
            <v>コンテンツのバージョン</v>
          </cell>
        </row>
        <row r="123">
          <cell r="B123">
            <v>155</v>
          </cell>
          <cell r="C123" t="str">
            <v>ハード既取得区分</v>
          </cell>
          <cell r="K123" t="str">
            <v>HWSK</v>
          </cell>
          <cell r="M123" t="str">
            <v>A</v>
          </cell>
          <cell r="N123">
            <v>1</v>
          </cell>
          <cell r="O123" t="str">
            <v/>
          </cell>
          <cell r="Q123" t="str">
            <v>１：済、２：未</v>
          </cell>
        </row>
        <row r="124">
          <cell r="B124">
            <v>156</v>
          </cell>
          <cell r="C124" t="str">
            <v>パスワード設定可能区分</v>
          </cell>
          <cell r="K124" t="str">
            <v>PSSK</v>
          </cell>
          <cell r="L124" t="str">
            <v>PSSTKB</v>
          </cell>
          <cell r="M124" t="str">
            <v>A</v>
          </cell>
          <cell r="N124">
            <v>1</v>
          </cell>
          <cell r="O124" t="str">
            <v/>
          </cell>
          <cell r="Q124" t="str">
            <v>１：旧パスワード無しでパスワード設定可能（コールセンター）</v>
          </cell>
        </row>
        <row r="125">
          <cell r="B125">
            <v>158</v>
          </cell>
          <cell r="C125" t="str">
            <v>ファイルバージョン</v>
          </cell>
          <cell r="K125" t="str">
            <v>FIVR</v>
          </cell>
          <cell r="L125" t="str">
            <v>FIVR</v>
          </cell>
          <cell r="M125" t="str">
            <v>A</v>
          </cell>
          <cell r="N125">
            <v>4</v>
          </cell>
          <cell r="O125" t="str">
            <v/>
          </cell>
          <cell r="Q125" t="str">
            <v>バージョン情報</v>
          </cell>
        </row>
        <row r="126">
          <cell r="B126">
            <v>159</v>
          </cell>
          <cell r="C126" t="str">
            <v>ファイル区分</v>
          </cell>
          <cell r="K126" t="str">
            <v>FILK</v>
          </cell>
          <cell r="M126" t="str">
            <v>S</v>
          </cell>
          <cell r="N126">
            <v>3</v>
          </cell>
          <cell r="O126" t="str">
            <v/>
          </cell>
          <cell r="Q126" t="str">
            <v>ＦＩ×１２０で売上票情報交換テープを表す</v>
          </cell>
        </row>
        <row r="127">
          <cell r="B127">
            <v>161</v>
          </cell>
          <cell r="C127" t="str">
            <v>ファイル名</v>
          </cell>
          <cell r="K127" t="str">
            <v>FINM</v>
          </cell>
          <cell r="L127" t="str">
            <v>FINM</v>
          </cell>
          <cell r="M127" t="str">
            <v>A</v>
          </cell>
          <cell r="N127">
            <v>12</v>
          </cell>
          <cell r="O127" t="str">
            <v/>
          </cell>
          <cell r="Q127" t="str">
            <v>ファイル名</v>
          </cell>
        </row>
        <row r="128">
          <cell r="B128">
            <v>162</v>
          </cell>
          <cell r="C128" t="str">
            <v>ブラウジングサービス料金コード</v>
          </cell>
          <cell r="K128" t="str">
            <v>BSRC</v>
          </cell>
          <cell r="L128" t="str">
            <v>BRSRCD</v>
          </cell>
          <cell r="M128" t="str">
            <v>A</v>
          </cell>
          <cell r="N128">
            <v>3</v>
          </cell>
          <cell r="O128" t="str">
            <v/>
          </cell>
          <cell r="Q128" t="str">
            <v>ブラウジングサービス料金コード</v>
          </cell>
        </row>
        <row r="129">
          <cell r="B129">
            <v>163</v>
          </cell>
          <cell r="C129" t="str">
            <v>ブラウジング利用区分</v>
          </cell>
          <cell r="K129" t="str">
            <v>BRRK</v>
          </cell>
          <cell r="L129" t="str">
            <v>BRRYKB</v>
          </cell>
          <cell r="M129" t="str">
            <v>A</v>
          </cell>
          <cell r="N129">
            <v>1</v>
          </cell>
          <cell r="O129" t="str">
            <v/>
          </cell>
          <cell r="Q129" t="str">
            <v>会員区分のブラウジング利用をするかの区分。１：利用</v>
          </cell>
        </row>
        <row r="130">
          <cell r="B130">
            <v>166</v>
          </cell>
          <cell r="C130" t="str">
            <v>ＤＤＷ配信バージョンプログラム</v>
          </cell>
          <cell r="K130" t="str">
            <v>DVCP</v>
          </cell>
          <cell r="L130" t="str">
            <v>DHVPRG</v>
          </cell>
          <cell r="M130" t="str">
            <v>A</v>
          </cell>
          <cell r="N130">
            <v>10</v>
          </cell>
          <cell r="O130" t="str">
            <v/>
          </cell>
          <cell r="Q130" t="str">
            <v>ＤＤＷへ配信するプログラムのバージョン。Pyyyymmddn</v>
          </cell>
        </row>
        <row r="131">
          <cell r="B131">
            <v>167</v>
          </cell>
          <cell r="C131" t="str">
            <v>ＤＤＷ配信バージョンプログラム更新日時</v>
          </cell>
          <cell r="K131" t="str">
            <v>DVCT</v>
          </cell>
          <cell r="L131" t="str">
            <v>DHVPUT</v>
          </cell>
          <cell r="M131" t="str">
            <v>S</v>
          </cell>
          <cell r="N131">
            <v>14</v>
          </cell>
          <cell r="O131" t="str">
            <v/>
          </cell>
          <cell r="Q131" t="str">
            <v>ＤＤＷで更新完了した日時。ＤＤＷの電文からセット。</v>
          </cell>
        </row>
        <row r="132">
          <cell r="B132">
            <v>168</v>
          </cell>
          <cell r="C132" t="str">
            <v>ボーナス明細</v>
          </cell>
          <cell r="K132" t="str">
            <v>BUDT</v>
          </cell>
          <cell r="M132" t="str">
            <v>A</v>
          </cell>
          <cell r="N132">
            <v>2</v>
          </cell>
          <cell r="O132" t="str">
            <v/>
          </cell>
          <cell r="Q132" t="str">
            <v>別紙参照</v>
          </cell>
        </row>
        <row r="133">
          <cell r="B133">
            <v>169</v>
          </cell>
          <cell r="C133" t="str">
            <v>ＤＤＷ配信バージョンマスター</v>
          </cell>
          <cell r="K133" t="str">
            <v>DHVM</v>
          </cell>
          <cell r="L133" t="str">
            <v>DHVMAS</v>
          </cell>
          <cell r="M133" t="str">
            <v>A</v>
          </cell>
          <cell r="N133">
            <v>10</v>
          </cell>
          <cell r="O133" t="str">
            <v/>
          </cell>
          <cell r="Q133" t="str">
            <v>ＤＤＷへ配信するマスターのバージョン。Myyyymmddn</v>
          </cell>
        </row>
        <row r="134">
          <cell r="B134">
            <v>170</v>
          </cell>
          <cell r="C134" t="str">
            <v>ＤＤＷ配信バージョンマスター更新日時</v>
          </cell>
          <cell r="K134" t="str">
            <v>DHVT</v>
          </cell>
          <cell r="L134" t="str">
            <v>DHVMUT</v>
          </cell>
          <cell r="M134" t="str">
            <v>S</v>
          </cell>
          <cell r="N134">
            <v>14</v>
          </cell>
          <cell r="O134" t="str">
            <v/>
          </cell>
          <cell r="Q134" t="str">
            <v>ＤＤＷで更新完了した日時。ＤＤＷの電文からセット。</v>
          </cell>
        </row>
        <row r="135">
          <cell r="B135">
            <v>172</v>
          </cell>
          <cell r="C135" t="str">
            <v>メールアドレス</v>
          </cell>
          <cell r="K135" t="str">
            <v>MLAD</v>
          </cell>
          <cell r="L135" t="str">
            <v>MLAD</v>
          </cell>
          <cell r="M135" t="str">
            <v>A</v>
          </cell>
          <cell r="N135">
            <v>64</v>
          </cell>
          <cell r="O135" t="str">
            <v/>
          </cell>
          <cell r="Q135" t="str">
            <v>メールアドレス</v>
          </cell>
        </row>
        <row r="136">
          <cell r="B136">
            <v>173</v>
          </cell>
          <cell r="C136" t="str">
            <v>メールアドレス停止区分</v>
          </cell>
          <cell r="K136" t="str">
            <v>MLTK</v>
          </cell>
          <cell r="L136" t="str">
            <v>ADTSKB</v>
          </cell>
          <cell r="M136" t="str">
            <v>A</v>
          </cell>
          <cell r="N136">
            <v>1</v>
          </cell>
          <cell r="O136" t="str">
            <v/>
          </cell>
          <cell r="Q136" t="str">
            <v>１：停止</v>
          </cell>
        </row>
        <row r="137">
          <cell r="B137">
            <v>174</v>
          </cell>
          <cell r="C137" t="str">
            <v>メールアドレス無効開始日付</v>
          </cell>
          <cell r="K137" t="str">
            <v>MLMD</v>
          </cell>
          <cell r="L137" t="str">
            <v>ADMUST</v>
          </cell>
          <cell r="M137" t="str">
            <v>S</v>
          </cell>
          <cell r="N137">
            <v>8</v>
          </cell>
          <cell r="O137" t="str">
            <v/>
          </cell>
          <cell r="Q137" t="str">
            <v>メールアドレスを無効にした日付</v>
          </cell>
        </row>
        <row r="138">
          <cell r="B138">
            <v>175</v>
          </cell>
          <cell r="C138" t="str">
            <v>メールアドレス無効理由区分</v>
          </cell>
          <cell r="K138" t="str">
            <v>MLMR</v>
          </cell>
          <cell r="L138" t="str">
            <v>ADMRKB</v>
          </cell>
          <cell r="M138" t="str">
            <v>A</v>
          </cell>
          <cell r="N138">
            <v>2</v>
          </cell>
          <cell r="O138" t="str">
            <v/>
          </cell>
          <cell r="Q138" t="str">
            <v>１：解約、２：休止</v>
          </cell>
        </row>
        <row r="139">
          <cell r="B139">
            <v>176</v>
          </cell>
          <cell r="C139" t="str">
            <v>メールサービスＩＤ</v>
          </cell>
          <cell r="K139" t="str">
            <v>MLSI</v>
          </cell>
          <cell r="L139" t="str">
            <v>SRVID</v>
          </cell>
          <cell r="M139" t="str">
            <v>A</v>
          </cell>
          <cell r="N139">
            <v>5</v>
          </cell>
          <cell r="O139" t="str">
            <v/>
          </cell>
          <cell r="Q139" t="str">
            <v>メールサービスをユニークにするコード</v>
          </cell>
        </row>
        <row r="140">
          <cell r="B140">
            <v>177</v>
          </cell>
          <cell r="C140" t="str">
            <v>メールサービス名</v>
          </cell>
          <cell r="K140" t="str">
            <v>MLSN</v>
          </cell>
          <cell r="L140" t="str">
            <v>SRVNM</v>
          </cell>
          <cell r="M140" t="str">
            <v>A</v>
          </cell>
          <cell r="N140">
            <v>42</v>
          </cell>
          <cell r="O140" t="str">
            <v/>
          </cell>
          <cell r="Q140" t="str">
            <v>メールサービス名</v>
          </cell>
        </row>
        <row r="141">
          <cell r="B141">
            <v>178</v>
          </cell>
          <cell r="C141" t="str">
            <v>メールサービス料金コード</v>
          </cell>
          <cell r="K141" t="str">
            <v>MLRC</v>
          </cell>
          <cell r="L141" t="str">
            <v>MSVRCD</v>
          </cell>
          <cell r="M141" t="str">
            <v>A</v>
          </cell>
          <cell r="N141">
            <v>3</v>
          </cell>
          <cell r="O141" t="str">
            <v/>
          </cell>
          <cell r="Q141" t="str">
            <v>メールサービス料金コード</v>
          </cell>
        </row>
        <row r="142">
          <cell r="B142">
            <v>179</v>
          </cell>
          <cell r="C142" t="str">
            <v>メールパスワード</v>
          </cell>
          <cell r="K142" t="str">
            <v>MLPS</v>
          </cell>
          <cell r="L142" t="str">
            <v>MLPS</v>
          </cell>
          <cell r="M142" t="str">
            <v>A</v>
          </cell>
          <cell r="N142">
            <v>10</v>
          </cell>
          <cell r="O142" t="str">
            <v/>
          </cell>
          <cell r="Q142" t="str">
            <v>メールパスワード</v>
          </cell>
        </row>
        <row r="143">
          <cell r="B143">
            <v>180</v>
          </cell>
          <cell r="C143" t="str">
            <v>メール利用区分</v>
          </cell>
          <cell r="K143" t="str">
            <v>MLRK</v>
          </cell>
          <cell r="L143" t="str">
            <v>MRYKB</v>
          </cell>
          <cell r="M143" t="str">
            <v>A</v>
          </cell>
          <cell r="N143">
            <v>1</v>
          </cell>
          <cell r="O143" t="str">
            <v/>
          </cell>
          <cell r="Q143" t="str">
            <v>会員区分のメール利用をするかの区分。１：利用</v>
          </cell>
        </row>
        <row r="144">
          <cell r="B144">
            <v>186</v>
          </cell>
          <cell r="C144" t="str">
            <v>ライセンサーコード</v>
          </cell>
          <cell r="K144" t="str">
            <v>LISC</v>
          </cell>
          <cell r="M144" t="str">
            <v>A</v>
          </cell>
          <cell r="N144">
            <v>4</v>
          </cell>
          <cell r="O144" t="str">
            <v/>
          </cell>
          <cell r="Q144" t="str">
            <v>ライセンサーコード</v>
          </cell>
        </row>
        <row r="145">
          <cell r="B145">
            <v>187</v>
          </cell>
          <cell r="C145" t="str">
            <v>ライセンサー名</v>
          </cell>
          <cell r="K145" t="str">
            <v>LISN</v>
          </cell>
          <cell r="M145" t="str">
            <v>O</v>
          </cell>
          <cell r="N145">
            <v>42</v>
          </cell>
          <cell r="O145" t="str">
            <v/>
          </cell>
          <cell r="Q145" t="str">
            <v>ライセンサー名</v>
          </cell>
        </row>
        <row r="146">
          <cell r="B146">
            <v>188</v>
          </cell>
          <cell r="C146" t="str">
            <v>ライセンサー名カナ</v>
          </cell>
          <cell r="K146" t="str">
            <v>LISM</v>
          </cell>
          <cell r="M146" t="str">
            <v>A</v>
          </cell>
          <cell r="N146">
            <v>20</v>
          </cell>
          <cell r="O146" t="str">
            <v/>
          </cell>
          <cell r="Q146" t="str">
            <v>ライセンサー名カナ</v>
          </cell>
        </row>
        <row r="147">
          <cell r="B147">
            <v>189</v>
          </cell>
          <cell r="C147" t="str">
            <v>ライセンサー略称名</v>
          </cell>
          <cell r="K147" t="str">
            <v>LISR</v>
          </cell>
          <cell r="M147" t="str">
            <v>O</v>
          </cell>
          <cell r="N147">
            <v>22</v>
          </cell>
          <cell r="O147" t="str">
            <v/>
          </cell>
          <cell r="Q147" t="str">
            <v>ライセンサー略称名</v>
          </cell>
        </row>
        <row r="148">
          <cell r="B148">
            <v>190</v>
          </cell>
          <cell r="C148" t="str">
            <v>ライセンス対象区分</v>
          </cell>
          <cell r="K148" t="str">
            <v>LITK</v>
          </cell>
          <cell r="M148" t="str">
            <v>A</v>
          </cell>
          <cell r="N148">
            <v>1</v>
          </cell>
          <cell r="O148" t="str">
            <v/>
          </cell>
          <cell r="Q148" t="str">
            <v>１：対象、２：対象外</v>
          </cell>
        </row>
        <row r="149">
          <cell r="B149">
            <v>191</v>
          </cell>
          <cell r="C149" t="str">
            <v>ライセンス率</v>
          </cell>
          <cell r="K149" t="str">
            <v>LIRI</v>
          </cell>
          <cell r="M149" t="str">
            <v>S</v>
          </cell>
          <cell r="N149">
            <v>3</v>
          </cell>
          <cell r="O149">
            <v>2</v>
          </cell>
          <cell r="Q149" t="str">
            <v>掛け率</v>
          </cell>
        </row>
        <row r="150">
          <cell r="B150">
            <v>192</v>
          </cell>
          <cell r="C150" t="str">
            <v>レコードＩＤ</v>
          </cell>
          <cell r="K150" t="str">
            <v>REID</v>
          </cell>
          <cell r="M150" t="str">
            <v>A</v>
          </cell>
          <cell r="N150">
            <v>1</v>
          </cell>
          <cell r="O150" t="str">
            <v/>
          </cell>
          <cell r="Q150" t="str">
            <v>固定値＝「１」ヘッダーレコードをあらわす</v>
          </cell>
        </row>
        <row r="151">
          <cell r="B151">
            <v>193</v>
          </cell>
          <cell r="C151" t="str">
            <v>レコード区分</v>
          </cell>
          <cell r="K151" t="str">
            <v>RECK</v>
          </cell>
          <cell r="M151" t="str">
            <v>S</v>
          </cell>
          <cell r="N151">
            <v>1</v>
          </cell>
          <cell r="O151" t="str">
            <v/>
          </cell>
          <cell r="Q151" t="str">
            <v>「１」固定</v>
          </cell>
        </row>
        <row r="152">
          <cell r="B152" t="str">
            <v>削除</v>
          </cell>
          <cell r="C152" t="str">
            <v>ワンナンバー区分</v>
          </cell>
          <cell r="K152" t="str">
            <v>ONEK</v>
          </cell>
          <cell r="M152" t="str">
            <v>A</v>
          </cell>
          <cell r="N152">
            <v>1</v>
          </cell>
          <cell r="O152" t="str">
            <v/>
          </cell>
          <cell r="Q152" t="str">
            <v>削除　　　　　：１９５</v>
          </cell>
        </row>
        <row r="153">
          <cell r="B153">
            <v>196</v>
          </cell>
          <cell r="C153" t="str">
            <v>宛先ＴＥＬ番号</v>
          </cell>
          <cell r="K153" t="str">
            <v>ATTL</v>
          </cell>
          <cell r="M153" t="str">
            <v>A</v>
          </cell>
          <cell r="N153">
            <v>14</v>
          </cell>
          <cell r="O153" t="str">
            <v/>
          </cell>
          <cell r="Q153" t="str">
            <v>連絡先の電話番号（ハイフン無し）</v>
          </cell>
        </row>
        <row r="154">
          <cell r="B154">
            <v>198</v>
          </cell>
          <cell r="C154" t="str">
            <v>宛先氏名カナ</v>
          </cell>
          <cell r="K154" t="str">
            <v>ATSM</v>
          </cell>
          <cell r="M154" t="str">
            <v>A</v>
          </cell>
          <cell r="N154">
            <v>24</v>
          </cell>
          <cell r="O154" t="str">
            <v/>
          </cell>
          <cell r="Q154" t="str">
            <v>氏名・カナ（名字名前の間は１ブランク）</v>
          </cell>
        </row>
        <row r="155">
          <cell r="B155">
            <v>199</v>
          </cell>
          <cell r="C155" t="str">
            <v>宛先氏名漢字</v>
          </cell>
          <cell r="K155" t="str">
            <v>ATSN</v>
          </cell>
          <cell r="M155" t="str">
            <v>O</v>
          </cell>
          <cell r="N155">
            <v>32</v>
          </cell>
          <cell r="O155" t="str">
            <v/>
          </cell>
          <cell r="Q155" t="str">
            <v>氏名・漢字（名字名前の間は１ブランク）</v>
          </cell>
        </row>
        <row r="156">
          <cell r="B156">
            <v>205</v>
          </cell>
          <cell r="C156" t="str">
            <v>暗号プログラム</v>
          </cell>
          <cell r="K156" t="str">
            <v>ANPG</v>
          </cell>
          <cell r="L156" t="str">
            <v>ANGPRG</v>
          </cell>
          <cell r="M156" t="str">
            <v>B</v>
          </cell>
          <cell r="N156" t="str">
            <v>-</v>
          </cell>
          <cell r="O156" t="str">
            <v/>
          </cell>
          <cell r="Q156" t="str">
            <v>暗号プログラムファイル（バイナリ）</v>
          </cell>
        </row>
        <row r="157">
          <cell r="B157">
            <v>206</v>
          </cell>
          <cell r="C157" t="str">
            <v>暗号プログラムＩＤ</v>
          </cell>
          <cell r="K157" t="str">
            <v>ANPI</v>
          </cell>
          <cell r="L157" t="str">
            <v>PRGID</v>
          </cell>
          <cell r="M157" t="str">
            <v>A</v>
          </cell>
          <cell r="N157">
            <v>10</v>
          </cell>
          <cell r="O157" t="str">
            <v/>
          </cell>
          <cell r="Q157" t="str">
            <v>暗号プログラムＩＤ</v>
          </cell>
        </row>
        <row r="158">
          <cell r="B158">
            <v>207</v>
          </cell>
          <cell r="C158" t="str">
            <v>委託単価</v>
          </cell>
          <cell r="K158" t="str">
            <v>ITTG</v>
          </cell>
          <cell r="M158" t="str">
            <v>P</v>
          </cell>
          <cell r="N158">
            <v>7</v>
          </cell>
          <cell r="O158" t="str">
            <v/>
          </cell>
          <cell r="Q158" t="str">
            <v>委託単価（会員一人単価）</v>
          </cell>
        </row>
        <row r="159">
          <cell r="B159">
            <v>208</v>
          </cell>
          <cell r="C159" t="str">
            <v>異動依頼年月日</v>
          </cell>
          <cell r="K159" t="str">
            <v>IIRD</v>
          </cell>
          <cell r="M159" t="str">
            <v>S</v>
          </cell>
          <cell r="N159">
            <v>8</v>
          </cell>
          <cell r="O159" t="str">
            <v/>
          </cell>
          <cell r="Q159" t="str">
            <v>異動依頼の日付</v>
          </cell>
        </row>
        <row r="160">
          <cell r="B160">
            <v>209</v>
          </cell>
          <cell r="C160" t="str">
            <v>異動状況区分</v>
          </cell>
          <cell r="K160" t="str">
            <v>IJKK</v>
          </cell>
          <cell r="M160" t="str">
            <v>A</v>
          </cell>
          <cell r="N160">
            <v>2</v>
          </cell>
          <cell r="O160" t="str">
            <v/>
          </cell>
          <cell r="Q160" t="str">
            <v>異動情報の状況を区分する</v>
          </cell>
        </row>
        <row r="161">
          <cell r="B161">
            <v>210</v>
          </cell>
          <cell r="C161" t="str">
            <v>異動内容区分</v>
          </cell>
          <cell r="K161" t="str">
            <v>INIK</v>
          </cell>
          <cell r="M161" t="str">
            <v>A</v>
          </cell>
          <cell r="N161">
            <v>2</v>
          </cell>
          <cell r="O161" t="str">
            <v/>
          </cell>
          <cell r="Q161" t="str">
            <v>異動の内容を区分する。１：一般等</v>
          </cell>
        </row>
        <row r="162">
          <cell r="B162">
            <v>211</v>
          </cell>
          <cell r="C162" t="str">
            <v>異動予定年月日</v>
          </cell>
          <cell r="K162" t="str">
            <v>IYOD</v>
          </cell>
          <cell r="M162" t="str">
            <v>S</v>
          </cell>
          <cell r="N162">
            <v>8</v>
          </cell>
          <cell r="O162" t="str">
            <v/>
          </cell>
          <cell r="Q162" t="str">
            <v>異動を行う予定日付</v>
          </cell>
        </row>
        <row r="163">
          <cell r="B163">
            <v>212</v>
          </cell>
          <cell r="C163" t="str">
            <v>異動理由区分</v>
          </cell>
          <cell r="K163" t="str">
            <v>IRIK</v>
          </cell>
          <cell r="M163" t="str">
            <v>A</v>
          </cell>
          <cell r="N163">
            <v>2</v>
          </cell>
          <cell r="O163" t="str">
            <v/>
          </cell>
          <cell r="Q163" t="str">
            <v>異動の理由、１：移転等</v>
          </cell>
        </row>
        <row r="164">
          <cell r="B164">
            <v>213</v>
          </cell>
          <cell r="C164" t="str">
            <v>加盟店使用欄①</v>
          </cell>
          <cell r="K164" t="str">
            <v>KAS1</v>
          </cell>
          <cell r="M164" t="str">
            <v>A</v>
          </cell>
          <cell r="N164">
            <v>20</v>
          </cell>
          <cell r="O164" t="str">
            <v/>
          </cell>
          <cell r="Q164" t="str">
            <v>顧客管理番号等（左詰後ろブランク）</v>
          </cell>
        </row>
        <row r="165">
          <cell r="B165">
            <v>214</v>
          </cell>
          <cell r="C165" t="str">
            <v>加盟店使用欄②</v>
          </cell>
          <cell r="K165" t="str">
            <v>KAS2</v>
          </cell>
          <cell r="M165" t="str">
            <v>A</v>
          </cell>
          <cell r="N165">
            <v>15</v>
          </cell>
          <cell r="O165" t="str">
            <v/>
          </cell>
          <cell r="Q165" t="str">
            <v>会員カナ氏名等（左詰後ろブランク）</v>
          </cell>
        </row>
        <row r="166">
          <cell r="B166">
            <v>215</v>
          </cell>
          <cell r="C166" t="str">
            <v>加盟店番号</v>
          </cell>
          <cell r="K166" t="str">
            <v>KABG</v>
          </cell>
          <cell r="M166" t="str">
            <v>A</v>
          </cell>
          <cell r="N166">
            <v>15</v>
          </cell>
          <cell r="O166" t="str">
            <v/>
          </cell>
          <cell r="Q166" t="str">
            <v>会社コード（指定コード）</v>
          </cell>
        </row>
        <row r="167">
          <cell r="B167">
            <v>216</v>
          </cell>
          <cell r="C167" t="str">
            <v>加盟店名</v>
          </cell>
          <cell r="K167" t="str">
            <v>KASN</v>
          </cell>
          <cell r="M167" t="str">
            <v>A</v>
          </cell>
          <cell r="N167">
            <v>25</v>
          </cell>
          <cell r="O167" t="str">
            <v/>
          </cell>
          <cell r="Q167" t="str">
            <v>左詰で社名を記録し、あまりスペース</v>
          </cell>
        </row>
        <row r="168">
          <cell r="B168">
            <v>217</v>
          </cell>
          <cell r="C168" t="str">
            <v>稼動フラグ</v>
          </cell>
          <cell r="K168" t="str">
            <v>ACTF</v>
          </cell>
          <cell r="L168" t="str">
            <v>KADOFL</v>
          </cell>
          <cell r="M168" t="str">
            <v>A</v>
          </cell>
          <cell r="N168">
            <v>1</v>
          </cell>
          <cell r="O168" t="str">
            <v/>
          </cell>
          <cell r="Q168" t="str">
            <v>このレコードの活動状態　０：活動、１：非活動（非活動のＤＤＷシリアル№は再利用される）</v>
          </cell>
        </row>
        <row r="169">
          <cell r="B169">
            <v>218</v>
          </cell>
          <cell r="C169" t="str">
            <v>稼動開始日付</v>
          </cell>
          <cell r="K169" t="str">
            <v>ACSD</v>
          </cell>
          <cell r="L169" t="str">
            <v>ACSD</v>
          </cell>
          <cell r="M169" t="str">
            <v>S</v>
          </cell>
          <cell r="N169">
            <v>8</v>
          </cell>
          <cell r="O169" t="str">
            <v/>
          </cell>
          <cell r="Q169" t="str">
            <v>ＤＤＷの稼動開始日付</v>
          </cell>
        </row>
        <row r="170">
          <cell r="B170">
            <v>219</v>
          </cell>
          <cell r="C170" t="str">
            <v>稼動終了日付</v>
          </cell>
          <cell r="K170" t="str">
            <v>ACED</v>
          </cell>
          <cell r="L170" t="str">
            <v>ACED</v>
          </cell>
          <cell r="M170" t="str">
            <v>S</v>
          </cell>
          <cell r="N170">
            <v>8</v>
          </cell>
          <cell r="O170" t="str">
            <v/>
          </cell>
          <cell r="Q170" t="str">
            <v>ＤＤＷの稼動終了日付</v>
          </cell>
        </row>
        <row r="171">
          <cell r="B171">
            <v>220</v>
          </cell>
          <cell r="C171" t="str">
            <v>課金開始日付</v>
          </cell>
          <cell r="K171" t="str">
            <v>KASD</v>
          </cell>
          <cell r="L171" t="str">
            <v>KKKDT</v>
          </cell>
          <cell r="M171" t="str">
            <v>S</v>
          </cell>
          <cell r="N171">
            <v>8</v>
          </cell>
          <cell r="O171" t="str">
            <v/>
          </cell>
          <cell r="Q171" t="str">
            <v>会員の課金を開始する日付（会費）</v>
          </cell>
        </row>
        <row r="172">
          <cell r="B172">
            <v>221</v>
          </cell>
          <cell r="C172" t="str">
            <v>会員ＩＤ</v>
          </cell>
          <cell r="K172" t="str">
            <v>KNID</v>
          </cell>
          <cell r="L172" t="str">
            <v>KNID</v>
          </cell>
          <cell r="M172" t="str">
            <v>A</v>
          </cell>
          <cell r="N172">
            <v>8</v>
          </cell>
          <cell r="O172" t="str">
            <v/>
          </cell>
          <cell r="Q172" t="str">
            <v>会員をユニークにするキー</v>
          </cell>
        </row>
        <row r="173">
          <cell r="B173">
            <v>222</v>
          </cell>
          <cell r="C173" t="str">
            <v>会員ＩＤ枝番</v>
          </cell>
          <cell r="K173" t="str">
            <v>KNED</v>
          </cell>
          <cell r="L173" t="str">
            <v>KAIEDA</v>
          </cell>
          <cell r="M173" t="str">
            <v>A</v>
          </cell>
          <cell r="N173">
            <v>1</v>
          </cell>
          <cell r="O173" t="str">
            <v/>
          </cell>
          <cell r="Q173" t="str">
            <v>利用者をユニークにするキー</v>
          </cell>
        </row>
        <row r="174">
          <cell r="B174">
            <v>223</v>
          </cell>
          <cell r="C174" t="str">
            <v>会員クラス</v>
          </cell>
          <cell r="K174" t="str">
            <v>KNCL</v>
          </cell>
          <cell r="L174" t="str">
            <v>KNCL</v>
          </cell>
          <cell r="M174" t="str">
            <v>A</v>
          </cell>
          <cell r="N174">
            <v>6</v>
          </cell>
          <cell r="O174" t="str">
            <v/>
          </cell>
          <cell r="Q174" t="str">
            <v>利用状況や利用回数等。１：通常、２：優良、３：不良</v>
          </cell>
        </row>
        <row r="175">
          <cell r="B175">
            <v>224</v>
          </cell>
          <cell r="C175" t="str">
            <v>会員パスワード</v>
          </cell>
          <cell r="K175" t="str">
            <v>KNPS</v>
          </cell>
          <cell r="L175" t="str">
            <v>KNPS</v>
          </cell>
          <cell r="M175" t="str">
            <v>A</v>
          </cell>
          <cell r="N175">
            <v>4</v>
          </cell>
          <cell r="O175" t="str">
            <v/>
          </cell>
          <cell r="Q175" t="str">
            <v>会員パスワード（初期パスワード）</v>
          </cell>
        </row>
        <row r="176">
          <cell r="B176">
            <v>226</v>
          </cell>
          <cell r="C176" t="str">
            <v>会員区分</v>
          </cell>
          <cell r="K176" t="str">
            <v>KNKB</v>
          </cell>
          <cell r="L176" t="str">
            <v>KNKB</v>
          </cell>
          <cell r="M176" t="str">
            <v>A</v>
          </cell>
          <cell r="N176">
            <v>2</v>
          </cell>
          <cell r="O176" t="str">
            <v/>
          </cell>
          <cell r="Q176" t="str">
            <v>１：８００円、２：３００円、</v>
          </cell>
        </row>
        <row r="177">
          <cell r="B177">
            <v>227</v>
          </cell>
          <cell r="C177" t="str">
            <v>会員氏名カナ（半角）</v>
          </cell>
          <cell r="K177" t="str">
            <v>KNSM</v>
          </cell>
          <cell r="M177" t="str">
            <v>A</v>
          </cell>
          <cell r="N177">
            <v>24</v>
          </cell>
          <cell r="O177" t="str">
            <v/>
          </cell>
          <cell r="Q177" t="str">
            <v>氏名・カナ（名字名前の間は１ブランク）</v>
          </cell>
        </row>
        <row r="178">
          <cell r="B178">
            <v>228</v>
          </cell>
          <cell r="C178" t="str">
            <v>会員氏名漢字</v>
          </cell>
          <cell r="K178" t="str">
            <v>KNSN</v>
          </cell>
          <cell r="L178" t="str">
            <v>KNSN</v>
          </cell>
          <cell r="M178" t="str">
            <v>O</v>
          </cell>
          <cell r="N178">
            <v>32</v>
          </cell>
          <cell r="O178" t="str">
            <v/>
          </cell>
          <cell r="Q178" t="str">
            <v>氏名・漢字（名字名前の間は１ブランク）</v>
          </cell>
        </row>
        <row r="179">
          <cell r="B179">
            <v>231</v>
          </cell>
          <cell r="C179" t="str">
            <v>会員証発行区分</v>
          </cell>
          <cell r="K179" t="str">
            <v>KNHK</v>
          </cell>
          <cell r="L179" t="str">
            <v>KNHK</v>
          </cell>
          <cell r="M179" t="str">
            <v>A</v>
          </cell>
          <cell r="N179">
            <v>1</v>
          </cell>
          <cell r="O179" t="str">
            <v/>
          </cell>
          <cell r="Q179" t="str">
            <v>１：希望する、２：希望しない</v>
          </cell>
        </row>
        <row r="180">
          <cell r="B180">
            <v>232</v>
          </cell>
          <cell r="C180" t="str">
            <v>会員証郵送日付</v>
          </cell>
          <cell r="K180" t="str">
            <v>KSYD</v>
          </cell>
          <cell r="M180" t="str">
            <v>S</v>
          </cell>
          <cell r="N180">
            <v>8</v>
          </cell>
          <cell r="O180" t="str">
            <v/>
          </cell>
          <cell r="Q180" t="str">
            <v>西暦  ＪＢＬ</v>
          </cell>
        </row>
        <row r="181">
          <cell r="B181">
            <v>233</v>
          </cell>
          <cell r="C181" t="str">
            <v>会員状況区分</v>
          </cell>
          <cell r="K181" t="str">
            <v>KNJK</v>
          </cell>
          <cell r="L181" t="str">
            <v>KNJK</v>
          </cell>
          <cell r="M181" t="str">
            <v>A</v>
          </cell>
          <cell r="N181">
            <v>2</v>
          </cell>
          <cell r="O181" t="str">
            <v/>
          </cell>
          <cell r="Q181" t="str">
            <v>ブランク：通常・１：復帰・２：休止・３・会員解除 等</v>
          </cell>
        </row>
        <row r="182">
          <cell r="B182">
            <v>235</v>
          </cell>
          <cell r="C182" t="str">
            <v>会員番号</v>
          </cell>
          <cell r="K182" t="str">
            <v>KNBG</v>
          </cell>
          <cell r="M182" t="str">
            <v>S</v>
          </cell>
          <cell r="N182">
            <v>16</v>
          </cell>
          <cell r="O182" t="str">
            <v/>
          </cell>
          <cell r="Q182" t="str">
            <v>利用会員の会員番号を入力 ＊11桁カードは、右詰前０で記録</v>
          </cell>
        </row>
        <row r="183">
          <cell r="B183">
            <v>236</v>
          </cell>
          <cell r="C183" t="str">
            <v>会員番号更新サイン</v>
          </cell>
          <cell r="K183" t="str">
            <v>KNSI</v>
          </cell>
          <cell r="M183" t="str">
            <v>A</v>
          </cell>
          <cell r="N183">
            <v>1</v>
          </cell>
          <cell r="O183" t="str">
            <v/>
          </cell>
          <cell r="Q183" t="str">
            <v>ＳＰＡＣＥ、「０」変更なし「１」変更あり「ｂ」スペース</v>
          </cell>
        </row>
        <row r="184">
          <cell r="B184">
            <v>237</v>
          </cell>
          <cell r="C184" t="str">
            <v>会員番号更新件数</v>
          </cell>
          <cell r="K184" t="str">
            <v>KNUS</v>
          </cell>
          <cell r="M184" t="str">
            <v>S</v>
          </cell>
          <cell r="N184">
            <v>7</v>
          </cell>
          <cell r="O184" t="str">
            <v/>
          </cell>
          <cell r="Q184" t="str">
            <v>オールＺＥＲ０、会員番号更新サイン「１」件数</v>
          </cell>
        </row>
        <row r="185">
          <cell r="B185">
            <v>238</v>
          </cell>
          <cell r="C185" t="str">
            <v>回数</v>
          </cell>
          <cell r="K185" t="str">
            <v>KAIS</v>
          </cell>
          <cell r="L185" t="str">
            <v>KAIS</v>
          </cell>
          <cell r="M185" t="str">
            <v>S</v>
          </cell>
          <cell r="N185">
            <v>3</v>
          </cell>
          <cell r="O185" t="str">
            <v/>
          </cell>
          <cell r="Q185" t="str">
            <v>回数券</v>
          </cell>
        </row>
        <row r="186">
          <cell r="B186">
            <v>239</v>
          </cell>
          <cell r="C186" t="str">
            <v>回数券残高</v>
          </cell>
          <cell r="K186" t="str">
            <v>KIZG</v>
          </cell>
          <cell r="L186" t="str">
            <v>KIZG</v>
          </cell>
          <cell r="M186" t="str">
            <v>S</v>
          </cell>
          <cell r="N186">
            <v>4</v>
          </cell>
          <cell r="O186" t="str">
            <v/>
          </cell>
          <cell r="Q186" t="str">
            <v>回数券の場合のサービスを受けられる回数の残り</v>
          </cell>
        </row>
        <row r="187">
          <cell r="B187">
            <v>240</v>
          </cell>
          <cell r="C187" t="str">
            <v>開店日付</v>
          </cell>
          <cell r="K187" t="str">
            <v>ENDD</v>
          </cell>
          <cell r="M187" t="str">
            <v>S</v>
          </cell>
          <cell r="N187">
            <v>8</v>
          </cell>
          <cell r="O187" t="str">
            <v/>
          </cell>
          <cell r="Q187" t="str">
            <v>店舗の開店する日付</v>
          </cell>
        </row>
        <row r="188">
          <cell r="B188">
            <v>241</v>
          </cell>
          <cell r="C188" t="str">
            <v>外税分子</v>
          </cell>
          <cell r="K188" t="str">
            <v>GZBS</v>
          </cell>
          <cell r="M188" t="str">
            <v>S</v>
          </cell>
          <cell r="N188">
            <v>3</v>
          </cell>
          <cell r="O188" t="str">
            <v/>
          </cell>
          <cell r="Q188" t="str">
            <v>外税の時の計算用分子</v>
          </cell>
        </row>
        <row r="189">
          <cell r="B189">
            <v>242</v>
          </cell>
          <cell r="C189" t="str">
            <v>外税分母</v>
          </cell>
          <cell r="K189" t="str">
            <v>GZBU</v>
          </cell>
          <cell r="M189" t="str">
            <v>S</v>
          </cell>
          <cell r="N189">
            <v>3</v>
          </cell>
          <cell r="O189" t="str">
            <v/>
          </cell>
          <cell r="Q189" t="str">
            <v>外税の時の計算用分母</v>
          </cell>
        </row>
        <row r="190">
          <cell r="B190">
            <v>244</v>
          </cell>
          <cell r="C190" t="str">
            <v>期間（月）</v>
          </cell>
          <cell r="K190" t="str">
            <v>KIMM</v>
          </cell>
          <cell r="L190" t="str">
            <v>KIMM</v>
          </cell>
          <cell r="M190" t="str">
            <v>S</v>
          </cell>
          <cell r="N190">
            <v>2</v>
          </cell>
          <cell r="O190" t="str">
            <v/>
          </cell>
          <cell r="Q190" t="str">
            <v>期間権（月）</v>
          </cell>
        </row>
        <row r="191">
          <cell r="B191">
            <v>245</v>
          </cell>
          <cell r="C191" t="str">
            <v>期間（日）</v>
          </cell>
          <cell r="K191" t="str">
            <v>KIDD</v>
          </cell>
          <cell r="L191" t="str">
            <v>KIDD</v>
          </cell>
          <cell r="M191" t="str">
            <v>S</v>
          </cell>
          <cell r="N191">
            <v>2</v>
          </cell>
          <cell r="O191" t="str">
            <v/>
          </cell>
          <cell r="Q191" t="str">
            <v>期間権（日）</v>
          </cell>
        </row>
        <row r="192">
          <cell r="B192">
            <v>246</v>
          </cell>
          <cell r="C192" t="str">
            <v>期間満了時刻</v>
          </cell>
          <cell r="K192" t="str">
            <v>KIMT</v>
          </cell>
          <cell r="L192" t="str">
            <v>KIMT</v>
          </cell>
          <cell r="M192" t="str">
            <v>S</v>
          </cell>
          <cell r="N192">
            <v>6</v>
          </cell>
          <cell r="O192" t="str">
            <v/>
          </cell>
          <cell r="Q192" t="str">
            <v>期間権の場合のサービスを受けられる終日最終時刻</v>
          </cell>
        </row>
        <row r="193">
          <cell r="B193">
            <v>247</v>
          </cell>
          <cell r="C193" t="str">
            <v>期間満了日付</v>
          </cell>
          <cell r="K193" t="str">
            <v>KIMD</v>
          </cell>
          <cell r="L193" t="str">
            <v>KIMD</v>
          </cell>
          <cell r="M193" t="str">
            <v>S</v>
          </cell>
          <cell r="N193">
            <v>8</v>
          </cell>
          <cell r="O193" t="str">
            <v/>
          </cell>
          <cell r="Q193" t="str">
            <v>期間権の場合のサービスを受けられる最終日</v>
          </cell>
        </row>
        <row r="194">
          <cell r="B194">
            <v>249</v>
          </cell>
          <cell r="C194" t="str">
            <v>休業開始日付</v>
          </cell>
          <cell r="K194" t="str">
            <v>KYSD</v>
          </cell>
          <cell r="M194" t="str">
            <v>S</v>
          </cell>
          <cell r="N194">
            <v>8</v>
          </cell>
          <cell r="O194" t="str">
            <v/>
          </cell>
          <cell r="Q194" t="str">
            <v>店舗の休業開始日付</v>
          </cell>
        </row>
        <row r="195">
          <cell r="B195">
            <v>250</v>
          </cell>
          <cell r="C195" t="str">
            <v>休業終了日付</v>
          </cell>
          <cell r="K195" t="str">
            <v>KYED</v>
          </cell>
          <cell r="M195" t="str">
            <v>S</v>
          </cell>
          <cell r="N195">
            <v>8</v>
          </cell>
          <cell r="O195" t="str">
            <v/>
          </cell>
          <cell r="Q195" t="str">
            <v>店舗の休業終了日付</v>
          </cell>
        </row>
        <row r="196">
          <cell r="B196">
            <v>251</v>
          </cell>
          <cell r="C196" t="str">
            <v>休止開始日付</v>
          </cell>
          <cell r="K196" t="str">
            <v>KSSD</v>
          </cell>
          <cell r="L196" t="str">
            <v>KSSD</v>
          </cell>
          <cell r="M196" t="str">
            <v>S</v>
          </cell>
          <cell r="N196">
            <v>8</v>
          </cell>
          <cell r="O196" t="str">
            <v/>
          </cell>
          <cell r="Q196" t="str">
            <v>ＤＤＷの休止開始日付</v>
          </cell>
        </row>
        <row r="197">
          <cell r="B197">
            <v>252</v>
          </cell>
          <cell r="C197" t="str">
            <v>休止終了日付</v>
          </cell>
          <cell r="K197" t="str">
            <v>KSED</v>
          </cell>
          <cell r="L197" t="str">
            <v>KSED</v>
          </cell>
          <cell r="M197" t="str">
            <v>S</v>
          </cell>
          <cell r="N197">
            <v>8</v>
          </cell>
          <cell r="O197" t="str">
            <v/>
          </cell>
          <cell r="Q197" t="str">
            <v>ＤＤＷの休止終了日付</v>
          </cell>
        </row>
        <row r="198">
          <cell r="B198">
            <v>253</v>
          </cell>
          <cell r="C198" t="str">
            <v>銀行コード</v>
          </cell>
          <cell r="K198" t="str">
            <v>BANK</v>
          </cell>
          <cell r="M198" t="str">
            <v>A</v>
          </cell>
          <cell r="N198">
            <v>4</v>
          </cell>
          <cell r="O198" t="str">
            <v/>
          </cell>
          <cell r="Q198" t="str">
            <v>固定値＝スペース</v>
          </cell>
        </row>
        <row r="199">
          <cell r="B199">
            <v>254</v>
          </cell>
          <cell r="C199" t="str">
            <v>区分</v>
          </cell>
          <cell r="K199" t="str">
            <v>KUBN</v>
          </cell>
          <cell r="M199" t="str">
            <v>A</v>
          </cell>
          <cell r="N199">
            <v>1</v>
          </cell>
          <cell r="O199" t="str">
            <v/>
          </cell>
          <cell r="Q199" t="str">
            <v>"1"固定</v>
          </cell>
        </row>
        <row r="200">
          <cell r="B200">
            <v>255</v>
          </cell>
          <cell r="C200" t="str">
            <v>計算区分</v>
          </cell>
          <cell r="K200" t="str">
            <v>KISK</v>
          </cell>
          <cell r="M200" t="str">
            <v>A</v>
          </cell>
          <cell r="N200">
            <v>1</v>
          </cell>
          <cell r="O200" t="str">
            <v/>
          </cell>
          <cell r="Q200" t="str">
            <v>１：計算あり</v>
          </cell>
        </row>
        <row r="201">
          <cell r="B201">
            <v>256</v>
          </cell>
          <cell r="C201" t="str">
            <v>結果リスト出力</v>
          </cell>
          <cell r="K201" t="str">
            <v>KFLT</v>
          </cell>
          <cell r="M201" t="str">
            <v>S</v>
          </cell>
          <cell r="N201">
            <v>5</v>
          </cell>
          <cell r="O201" t="str">
            <v/>
          </cell>
          <cell r="Q201" t="str">
            <v>「１」またはＳＰＡＣＥセット</v>
          </cell>
        </row>
        <row r="202">
          <cell r="B202">
            <v>257</v>
          </cell>
          <cell r="C202" t="str">
            <v>月額会費サービス料金コード</v>
          </cell>
          <cell r="K202" t="str">
            <v>GKSC</v>
          </cell>
          <cell r="L202" t="str">
            <v>GKSC</v>
          </cell>
          <cell r="M202" t="str">
            <v>A</v>
          </cell>
          <cell r="N202">
            <v>3</v>
          </cell>
          <cell r="O202" t="str">
            <v/>
          </cell>
          <cell r="Q202" t="str">
            <v>会員区分の月額会費のサービス料金コード</v>
          </cell>
        </row>
        <row r="203">
          <cell r="B203">
            <v>258</v>
          </cell>
          <cell r="C203" t="str">
            <v>元利用№</v>
          </cell>
          <cell r="K203" t="str">
            <v>MRNO</v>
          </cell>
          <cell r="M203" t="str">
            <v>A</v>
          </cell>
          <cell r="N203">
            <v>9</v>
          </cell>
          <cell r="O203" t="str">
            <v/>
          </cell>
          <cell r="Q203" t="str">
            <v>利用情報の追加、変更、削除時の元利用Ｎｏ</v>
          </cell>
        </row>
        <row r="204">
          <cell r="B204">
            <v>272</v>
          </cell>
          <cell r="C204" t="str">
            <v>更新時刻</v>
          </cell>
          <cell r="K204" t="str">
            <v>UPTN</v>
          </cell>
          <cell r="L204" t="str">
            <v>UPTM</v>
          </cell>
          <cell r="M204" t="str">
            <v>S</v>
          </cell>
          <cell r="N204">
            <v>6</v>
          </cell>
          <cell r="O204" t="str">
            <v/>
          </cell>
          <cell r="Q204" t="str">
            <v>更新時刻</v>
          </cell>
        </row>
        <row r="205">
          <cell r="B205">
            <v>273</v>
          </cell>
          <cell r="C205" t="str">
            <v>更新日付</v>
          </cell>
          <cell r="K205" t="str">
            <v>UPDT</v>
          </cell>
          <cell r="L205" t="str">
            <v>UPDT</v>
          </cell>
          <cell r="M205" t="str">
            <v>S</v>
          </cell>
          <cell r="N205">
            <v>8</v>
          </cell>
          <cell r="O205" t="str">
            <v/>
          </cell>
          <cell r="Q205" t="str">
            <v>更新日付</v>
          </cell>
        </row>
        <row r="206">
          <cell r="B206">
            <v>277</v>
          </cell>
          <cell r="C206" t="str">
            <v>最新番号</v>
          </cell>
          <cell r="K206" t="str">
            <v>SIBG</v>
          </cell>
          <cell r="M206" t="str">
            <v>S</v>
          </cell>
          <cell r="N206">
            <v>9</v>
          </cell>
          <cell r="O206" t="str">
            <v/>
          </cell>
          <cell r="Q206" t="str">
            <v>現在の番号</v>
          </cell>
        </row>
        <row r="207">
          <cell r="B207">
            <v>278</v>
          </cell>
          <cell r="C207" t="str">
            <v>採番ＩＤ</v>
          </cell>
          <cell r="K207" t="str">
            <v>SIID</v>
          </cell>
          <cell r="M207" t="str">
            <v>A</v>
          </cell>
          <cell r="N207">
            <v>2</v>
          </cell>
          <cell r="O207" t="str">
            <v/>
          </cell>
          <cell r="Q207" t="str">
            <v>区分内で分類分けしたい時に使用する</v>
          </cell>
        </row>
        <row r="208">
          <cell r="B208">
            <v>279</v>
          </cell>
          <cell r="C208" t="str">
            <v>採番区分</v>
          </cell>
          <cell r="K208" t="str">
            <v>SIBK</v>
          </cell>
          <cell r="M208" t="str">
            <v>A</v>
          </cell>
          <cell r="N208">
            <v>4</v>
          </cell>
          <cell r="O208" t="str">
            <v/>
          </cell>
          <cell r="Q208" t="str">
            <v>採番の種類を区分する</v>
          </cell>
        </row>
        <row r="209">
          <cell r="B209">
            <v>280</v>
          </cell>
          <cell r="C209" t="str">
            <v>在庫数</v>
          </cell>
          <cell r="K209" t="str">
            <v>ZAIS</v>
          </cell>
          <cell r="M209" t="str">
            <v>P</v>
          </cell>
          <cell r="N209">
            <v>5</v>
          </cell>
          <cell r="O209" t="str">
            <v/>
          </cell>
          <cell r="Q209" t="str">
            <v>ＰＯＳデータの在庫数</v>
          </cell>
        </row>
        <row r="210">
          <cell r="B210">
            <v>281</v>
          </cell>
          <cell r="C210" t="str">
            <v>仕入先コード</v>
          </cell>
          <cell r="K210" t="str">
            <v>SIRC</v>
          </cell>
          <cell r="M210" t="str">
            <v>A</v>
          </cell>
          <cell r="N210">
            <v>4</v>
          </cell>
          <cell r="O210" t="str">
            <v/>
          </cell>
          <cell r="Q210" t="str">
            <v>仕入先コード</v>
          </cell>
        </row>
        <row r="211">
          <cell r="B211">
            <v>283</v>
          </cell>
          <cell r="C211" t="str">
            <v>仕入先名</v>
          </cell>
          <cell r="K211" t="str">
            <v>SIRN</v>
          </cell>
          <cell r="M211" t="str">
            <v>O</v>
          </cell>
          <cell r="N211">
            <v>42</v>
          </cell>
          <cell r="O211" t="str">
            <v/>
          </cell>
          <cell r="Q211" t="str">
            <v>仕入先名</v>
          </cell>
        </row>
        <row r="212">
          <cell r="B212">
            <v>284</v>
          </cell>
          <cell r="C212" t="str">
            <v>仕入先名カナ</v>
          </cell>
          <cell r="K212" t="str">
            <v>SIRM</v>
          </cell>
          <cell r="M212" t="str">
            <v>A</v>
          </cell>
          <cell r="N212">
            <v>20</v>
          </cell>
          <cell r="O212" t="str">
            <v/>
          </cell>
          <cell r="Q212" t="str">
            <v>仕入先名カナ</v>
          </cell>
        </row>
        <row r="213">
          <cell r="B213">
            <v>285</v>
          </cell>
          <cell r="C213" t="str">
            <v>仕入先略称名</v>
          </cell>
          <cell r="K213" t="str">
            <v>SIRR</v>
          </cell>
          <cell r="M213" t="str">
            <v>O</v>
          </cell>
          <cell r="N213">
            <v>22</v>
          </cell>
          <cell r="O213" t="str">
            <v/>
          </cell>
          <cell r="Q213" t="str">
            <v>仕入先略称名</v>
          </cell>
        </row>
        <row r="214">
          <cell r="B214">
            <v>286</v>
          </cell>
          <cell r="C214" t="str">
            <v>使用開始日付</v>
          </cell>
          <cell r="K214" t="str">
            <v>SISD</v>
          </cell>
          <cell r="L214" t="str">
            <v>SISTDT</v>
          </cell>
          <cell r="M214" t="str">
            <v>S</v>
          </cell>
          <cell r="N214">
            <v>8</v>
          </cell>
          <cell r="O214" t="str">
            <v/>
          </cell>
          <cell r="Q214" t="str">
            <v>データの使用開始日付</v>
          </cell>
        </row>
        <row r="215">
          <cell r="B215">
            <v>287</v>
          </cell>
          <cell r="C215" t="str">
            <v>使用終了日付</v>
          </cell>
          <cell r="K215" t="str">
            <v>SIED</v>
          </cell>
          <cell r="L215" t="str">
            <v>SIEDDT</v>
          </cell>
          <cell r="M215" t="str">
            <v>S</v>
          </cell>
          <cell r="N215">
            <v>8</v>
          </cell>
          <cell r="O215" t="str">
            <v/>
          </cell>
          <cell r="Q215" t="str">
            <v>データの使用開始日付</v>
          </cell>
        </row>
        <row r="216">
          <cell r="B216">
            <v>288</v>
          </cell>
          <cell r="C216" t="str">
            <v>市外局番</v>
          </cell>
          <cell r="K216" t="str">
            <v>STEL</v>
          </cell>
          <cell r="L216" t="str">
            <v>STEL</v>
          </cell>
          <cell r="M216" t="str">
            <v>A</v>
          </cell>
          <cell r="N216">
            <v>6</v>
          </cell>
          <cell r="O216" t="str">
            <v/>
          </cell>
          <cell r="Q216" t="str">
            <v>市外局番</v>
          </cell>
        </row>
        <row r="217">
          <cell r="B217">
            <v>289</v>
          </cell>
          <cell r="C217" t="str">
            <v>支店コード</v>
          </cell>
          <cell r="K217" t="str">
            <v>SITC</v>
          </cell>
          <cell r="M217" t="str">
            <v>A</v>
          </cell>
          <cell r="N217">
            <v>3</v>
          </cell>
          <cell r="O217" t="str">
            <v/>
          </cell>
          <cell r="Q217" t="str">
            <v>固定値＝スペース</v>
          </cell>
        </row>
        <row r="218">
          <cell r="B218">
            <v>290</v>
          </cell>
          <cell r="C218" t="str">
            <v>支払区分</v>
          </cell>
          <cell r="K218" t="str">
            <v>SITK</v>
          </cell>
          <cell r="L218" t="str">
            <v>SITK</v>
          </cell>
          <cell r="M218" t="str">
            <v>A</v>
          </cell>
          <cell r="N218">
            <v>2</v>
          </cell>
          <cell r="O218" t="str">
            <v/>
          </cell>
          <cell r="Q218" t="str">
            <v>１：現金、２：クレジット、３：プリペイド ４：アクセス権、９：事業会社</v>
          </cell>
        </row>
        <row r="219">
          <cell r="B219">
            <v>291</v>
          </cell>
          <cell r="C219" t="str">
            <v>支払先コード</v>
          </cell>
          <cell r="K219" t="str">
            <v>SISC</v>
          </cell>
          <cell r="M219" t="str">
            <v>A</v>
          </cell>
          <cell r="N219">
            <v>4</v>
          </cell>
          <cell r="O219" t="str">
            <v/>
          </cell>
          <cell r="Q219" t="str">
            <v>支払先コード</v>
          </cell>
        </row>
        <row r="220">
          <cell r="B220">
            <v>293</v>
          </cell>
          <cell r="C220" t="str">
            <v>自動更新型期間権区分</v>
          </cell>
          <cell r="K220" t="str">
            <v>JUKK</v>
          </cell>
          <cell r="L220" t="str">
            <v>JUKK</v>
          </cell>
          <cell r="M220" t="str">
            <v>A</v>
          </cell>
          <cell r="N220">
            <v>2</v>
          </cell>
          <cell r="O220" t="str">
            <v/>
          </cell>
          <cell r="Q220" t="str">
            <v>１：自動更新</v>
          </cell>
        </row>
        <row r="221">
          <cell r="B221">
            <v>294</v>
          </cell>
          <cell r="C221" t="str">
            <v>実売数量</v>
          </cell>
          <cell r="K221" t="str">
            <v>JURS</v>
          </cell>
          <cell r="M221" t="str">
            <v>P</v>
          </cell>
          <cell r="N221">
            <v>5</v>
          </cell>
          <cell r="O221" t="str">
            <v/>
          </cell>
          <cell r="Q221" t="str">
            <v>ＰＯＳデータの実売数量</v>
          </cell>
        </row>
        <row r="222">
          <cell r="B222">
            <v>295</v>
          </cell>
          <cell r="C222" t="str">
            <v>取扱年月日</v>
          </cell>
          <cell r="K222" t="str">
            <v>TRAD</v>
          </cell>
          <cell r="M222" t="str">
            <v>S</v>
          </cell>
          <cell r="N222">
            <v>6</v>
          </cell>
          <cell r="O222" t="str">
            <v/>
          </cell>
          <cell r="Q222" t="str">
            <v>磁気テープを作成した日付、西暦年の下2桁と月日</v>
          </cell>
        </row>
        <row r="223">
          <cell r="B223">
            <v>296</v>
          </cell>
          <cell r="C223" t="str">
            <v>取引コード</v>
          </cell>
          <cell r="K223" t="str">
            <v>TRAC</v>
          </cell>
          <cell r="M223" t="str">
            <v>S</v>
          </cell>
          <cell r="N223">
            <v>1</v>
          </cell>
          <cell r="O223" t="str">
            <v/>
          </cell>
          <cell r="Q223" t="str">
            <v>固定値＝スペース</v>
          </cell>
        </row>
        <row r="224">
          <cell r="B224">
            <v>297</v>
          </cell>
          <cell r="C224" t="str">
            <v>取引後プリペイド残高</v>
          </cell>
          <cell r="K224" t="str">
            <v>TRPZ</v>
          </cell>
          <cell r="L224" t="str">
            <v>TPRZAN</v>
          </cell>
          <cell r="M224" t="str">
            <v>P</v>
          </cell>
          <cell r="N224">
            <v>7</v>
          </cell>
          <cell r="O224" t="str">
            <v/>
          </cell>
          <cell r="Q224" t="str">
            <v>プリペイド支払時のプリペイド残高</v>
          </cell>
        </row>
        <row r="225">
          <cell r="B225">
            <v>298</v>
          </cell>
          <cell r="C225" t="str">
            <v>取引時刻</v>
          </cell>
          <cell r="K225" t="str">
            <v>TRAM</v>
          </cell>
          <cell r="L225" t="str">
            <v>TORTIM</v>
          </cell>
          <cell r="M225" t="str">
            <v>S</v>
          </cell>
          <cell r="N225">
            <v>6</v>
          </cell>
          <cell r="O225" t="str">
            <v/>
          </cell>
          <cell r="Q225" t="str">
            <v>取引日付</v>
          </cell>
        </row>
        <row r="226">
          <cell r="B226">
            <v>299</v>
          </cell>
          <cell r="C226" t="str">
            <v>取引種別（取引区分）</v>
          </cell>
          <cell r="K226" t="str">
            <v>TRSB</v>
          </cell>
          <cell r="M226" t="str">
            <v>S</v>
          </cell>
          <cell r="N226">
            <v>2</v>
          </cell>
          <cell r="O226" t="str">
            <v/>
          </cell>
          <cell r="Q226" t="str">
            <v>1回払い：１０、ボーナス1回：２１ 以外はエラー</v>
          </cell>
        </row>
        <row r="227">
          <cell r="B227">
            <v>301</v>
          </cell>
          <cell r="C227" t="str">
            <v>取引日付</v>
          </cell>
          <cell r="K227" t="str">
            <v>TRHD</v>
          </cell>
          <cell r="L227" t="str">
            <v>TRHD</v>
          </cell>
          <cell r="M227" t="str">
            <v>S</v>
          </cell>
          <cell r="N227">
            <v>8</v>
          </cell>
          <cell r="O227" t="str">
            <v/>
          </cell>
          <cell r="Q227" t="str">
            <v>データの発生した日付</v>
          </cell>
        </row>
        <row r="228">
          <cell r="B228">
            <v>302</v>
          </cell>
          <cell r="C228" t="str">
            <v>集計レベル</v>
          </cell>
          <cell r="K228" t="str">
            <v>SYLE</v>
          </cell>
          <cell r="M228" t="str">
            <v>S</v>
          </cell>
          <cell r="N228">
            <v>1</v>
          </cell>
          <cell r="O228" t="str">
            <v/>
          </cell>
          <cell r="Q228" t="str">
            <v>ＦＩ×４</v>
          </cell>
        </row>
        <row r="229">
          <cell r="B229">
            <v>303</v>
          </cell>
          <cell r="C229" t="str">
            <v>集計年月日</v>
          </cell>
          <cell r="K229" t="str">
            <v>SYMD</v>
          </cell>
          <cell r="M229" t="str">
            <v>S</v>
          </cell>
          <cell r="N229">
            <v>6</v>
          </cell>
          <cell r="O229" t="str">
            <v/>
          </cell>
          <cell r="Q229" t="str">
            <v>売上表を報告するための会社の締め切り日を、西暦年の下2桁と月日</v>
          </cell>
        </row>
        <row r="230">
          <cell r="B230">
            <v>304</v>
          </cell>
          <cell r="C230" t="str">
            <v>集配信抽出ステータス</v>
          </cell>
          <cell r="K230" t="str">
            <v>SHST</v>
          </cell>
          <cell r="M230" t="str">
            <v>A</v>
          </cell>
          <cell r="N230">
            <v>2</v>
          </cell>
          <cell r="O230" t="str">
            <v/>
          </cell>
          <cell r="Q230" t="str">
            <v>００：初期値、０１：抽出済、０２：ＣＤの場合仮抽出、０３：ＮＥＴの場合仮抽出、１０：再抽出待ち、２ｘ：業務エラー各種、５ｘ：システム系エラー各種</v>
          </cell>
        </row>
        <row r="231">
          <cell r="B231">
            <v>305</v>
          </cell>
          <cell r="C231" t="str">
            <v>集配信抽出処理日時</v>
          </cell>
          <cell r="K231" t="str">
            <v>SCDT</v>
          </cell>
          <cell r="M231" t="str">
            <v>S</v>
          </cell>
          <cell r="N231">
            <v>14</v>
          </cell>
          <cell r="O231" t="str">
            <v/>
          </cell>
          <cell r="Q231" t="str">
            <v>抽出ステータスを更新した日時</v>
          </cell>
        </row>
        <row r="232">
          <cell r="B232">
            <v>306</v>
          </cell>
          <cell r="C232" t="str">
            <v>住所１（都道府県）</v>
          </cell>
          <cell r="K232" t="str">
            <v>JYU1</v>
          </cell>
          <cell r="L232" t="str">
            <v>TDHK</v>
          </cell>
          <cell r="M232" t="str">
            <v>O</v>
          </cell>
          <cell r="N232">
            <v>12</v>
          </cell>
          <cell r="O232" t="str">
            <v/>
          </cell>
          <cell r="Q232" t="str">
            <v>都道府県</v>
          </cell>
        </row>
        <row r="233">
          <cell r="B233">
            <v>307</v>
          </cell>
          <cell r="C233" t="str">
            <v>住所２（市区町村）</v>
          </cell>
          <cell r="K233" t="str">
            <v>JYU2</v>
          </cell>
          <cell r="L233" t="str">
            <v>SICHSN</v>
          </cell>
          <cell r="M233" t="str">
            <v>O</v>
          </cell>
          <cell r="N233">
            <v>42</v>
          </cell>
          <cell r="O233" t="str">
            <v/>
          </cell>
          <cell r="Q233" t="str">
            <v>市区町村</v>
          </cell>
        </row>
        <row r="234">
          <cell r="B234">
            <v>308</v>
          </cell>
          <cell r="C234" t="str">
            <v>住所３（番地）</v>
          </cell>
          <cell r="K234" t="str">
            <v>JYU3</v>
          </cell>
          <cell r="L234" t="str">
            <v>BANCHI</v>
          </cell>
          <cell r="M234" t="str">
            <v>O</v>
          </cell>
          <cell r="N234">
            <v>62</v>
          </cell>
          <cell r="O234" t="str">
            <v/>
          </cell>
          <cell r="Q234" t="str">
            <v>番地 その他</v>
          </cell>
        </row>
        <row r="235">
          <cell r="B235">
            <v>309</v>
          </cell>
          <cell r="C235" t="str">
            <v>住所コード（市区町村）</v>
          </cell>
          <cell r="K235" t="str">
            <v>JYUC</v>
          </cell>
          <cell r="L235" t="str">
            <v>JYUC</v>
          </cell>
          <cell r="M235" t="str">
            <v>A</v>
          </cell>
          <cell r="N235">
            <v>3</v>
          </cell>
          <cell r="O235" t="str">
            <v/>
          </cell>
          <cell r="Q235" t="str">
            <v>日本行政区各便</v>
          </cell>
        </row>
        <row r="236">
          <cell r="B236" t="str">
            <v>削除</v>
          </cell>
          <cell r="C236" t="str">
            <v>処理区分</v>
          </cell>
          <cell r="K236" t="str">
            <v>SYRK</v>
          </cell>
          <cell r="L236" t="str">
            <v>SHOKB</v>
          </cell>
          <cell r="M236" t="str">
            <v>A</v>
          </cell>
          <cell r="N236">
            <v>1</v>
          </cell>
          <cell r="O236" t="str">
            <v/>
          </cell>
          <cell r="Q236" t="str">
            <v>１：追加、２：変更、３：削除   　　　　　　　　　　　　　　　　　　３１０</v>
          </cell>
        </row>
        <row r="237">
          <cell r="B237" t="str">
            <v>削除</v>
          </cell>
          <cell r="C237" t="str">
            <v>処理結果コード</v>
          </cell>
          <cell r="K237" t="str">
            <v xml:space="preserve"> </v>
          </cell>
          <cell r="L237" t="str">
            <v>SHKKCD</v>
          </cell>
          <cell r="M237" t="str">
            <v>A</v>
          </cell>
          <cell r="N237">
            <v>1</v>
          </cell>
          <cell r="O237" t="str">
            <v/>
          </cell>
          <cell r="Q237" t="str">
            <v>ＤＤＷで集配信処理した結果コード、電文からセット　　　　 ３１１</v>
          </cell>
        </row>
        <row r="238">
          <cell r="B238">
            <v>312</v>
          </cell>
          <cell r="C238" t="str">
            <v>処理日時</v>
          </cell>
          <cell r="K238" t="str">
            <v>SYRD</v>
          </cell>
          <cell r="L238" t="str">
            <v>SYRD</v>
          </cell>
          <cell r="M238" t="str">
            <v>S</v>
          </cell>
          <cell r="N238">
            <v>14</v>
          </cell>
          <cell r="O238" t="str">
            <v/>
          </cell>
          <cell r="Q238" t="str">
            <v>最新のステータス履歴処理日時</v>
          </cell>
        </row>
        <row r="239">
          <cell r="B239">
            <v>313</v>
          </cell>
          <cell r="C239" t="str">
            <v>初回請求年月</v>
          </cell>
          <cell r="K239" t="str">
            <v>SSED</v>
          </cell>
          <cell r="M239" t="str">
            <v>A</v>
          </cell>
          <cell r="N239">
            <v>4</v>
          </cell>
          <cell r="O239" t="str">
            <v/>
          </cell>
          <cell r="Q239" t="str">
            <v>取引種別「２１」のとき、年月がセット。以外はスペース 以外はエラー</v>
          </cell>
        </row>
        <row r="240">
          <cell r="B240">
            <v>326</v>
          </cell>
          <cell r="C240" t="str">
            <v>商品コード</v>
          </cell>
          <cell r="K240" t="str">
            <v>SHCD</v>
          </cell>
          <cell r="L240" t="str">
            <v>SHCD</v>
          </cell>
          <cell r="M240" t="str">
            <v>A</v>
          </cell>
          <cell r="N240">
            <v>5</v>
          </cell>
          <cell r="O240" t="str">
            <v/>
          </cell>
          <cell r="Q240" t="str">
            <v>商品をユニークにするコード</v>
          </cell>
        </row>
        <row r="241">
          <cell r="B241">
            <v>327</v>
          </cell>
          <cell r="C241" t="str">
            <v>商品コード区分</v>
          </cell>
          <cell r="K241" t="str">
            <v>SHCK</v>
          </cell>
          <cell r="M241" t="str">
            <v>A</v>
          </cell>
          <cell r="N241">
            <v>2</v>
          </cell>
          <cell r="O241" t="str">
            <v/>
          </cell>
          <cell r="Q241" t="str">
            <v>ＴＵＴＡＹＡの商品コード区分</v>
          </cell>
        </row>
        <row r="242">
          <cell r="B242">
            <v>328</v>
          </cell>
          <cell r="C242" t="str">
            <v>商品説明文１</v>
          </cell>
          <cell r="K242" t="str">
            <v>SHN1</v>
          </cell>
          <cell r="L242" t="str">
            <v>SHN1</v>
          </cell>
          <cell r="M242" t="str">
            <v>O</v>
          </cell>
          <cell r="N242">
            <v>72</v>
          </cell>
          <cell r="O242" t="str">
            <v/>
          </cell>
          <cell r="Q242" t="str">
            <v>商品説明文（ＤＤＷ用）</v>
          </cell>
        </row>
        <row r="243">
          <cell r="B243">
            <v>329</v>
          </cell>
          <cell r="C243" t="str">
            <v>商品番号／ＪＡＮコード</v>
          </cell>
          <cell r="K243" t="str">
            <v>SHJA</v>
          </cell>
          <cell r="M243" t="str">
            <v>S</v>
          </cell>
          <cell r="N243">
            <v>13</v>
          </cell>
          <cell r="O243" t="str">
            <v/>
          </cell>
          <cell r="Q243" t="str">
            <v>ディスクのユニークなシリアル番号</v>
          </cell>
        </row>
        <row r="244">
          <cell r="B244">
            <v>330</v>
          </cell>
          <cell r="C244" t="str">
            <v>商品名</v>
          </cell>
          <cell r="K244" t="str">
            <v>SHNN</v>
          </cell>
          <cell r="L244" t="str">
            <v>SHNN</v>
          </cell>
          <cell r="M244" t="str">
            <v>O</v>
          </cell>
          <cell r="N244">
            <v>42</v>
          </cell>
          <cell r="O244" t="str">
            <v/>
          </cell>
          <cell r="Q244" t="str">
            <v>商品名</v>
          </cell>
        </row>
        <row r="245">
          <cell r="B245">
            <v>331</v>
          </cell>
          <cell r="C245" t="str">
            <v>商品名カナ</v>
          </cell>
          <cell r="K245" t="str">
            <v>SHNM</v>
          </cell>
          <cell r="L245" t="str">
            <v>SHNM</v>
          </cell>
          <cell r="M245" t="str">
            <v>A</v>
          </cell>
          <cell r="N245">
            <v>20</v>
          </cell>
          <cell r="O245" t="str">
            <v/>
          </cell>
          <cell r="Q245" t="str">
            <v>商品名カナ</v>
          </cell>
        </row>
        <row r="246">
          <cell r="B246">
            <v>332</v>
          </cell>
          <cell r="C246" t="str">
            <v>商品略称名</v>
          </cell>
          <cell r="K246" t="str">
            <v>SHNR</v>
          </cell>
          <cell r="L246" t="str">
            <v>SHNR</v>
          </cell>
          <cell r="M246" t="str">
            <v>O</v>
          </cell>
          <cell r="N246">
            <v>22</v>
          </cell>
          <cell r="O246" t="str">
            <v/>
          </cell>
          <cell r="Q246" t="str">
            <v>商品略称名</v>
          </cell>
        </row>
        <row r="247">
          <cell r="B247">
            <v>333</v>
          </cell>
          <cell r="C247" t="str">
            <v>商品連絡先ＴＥＬ番号</v>
          </cell>
          <cell r="K247" t="str">
            <v>SHRT</v>
          </cell>
          <cell r="M247" t="str">
            <v>A</v>
          </cell>
          <cell r="N247">
            <v>15</v>
          </cell>
          <cell r="O247" t="str">
            <v/>
          </cell>
          <cell r="Q247" t="str">
            <v>商品の担当連絡先</v>
          </cell>
        </row>
        <row r="248">
          <cell r="B248">
            <v>338</v>
          </cell>
          <cell r="C248" t="str">
            <v>承認番号</v>
          </cell>
          <cell r="K248" t="str">
            <v>SNBG</v>
          </cell>
          <cell r="M248" t="str">
            <v>A</v>
          </cell>
          <cell r="N248">
            <v>6</v>
          </cell>
          <cell r="O248" t="str">
            <v/>
          </cell>
          <cell r="Q248" t="str">
            <v>英数字左詰め。6桁以下の時、余りスペース</v>
          </cell>
        </row>
        <row r="249">
          <cell r="B249">
            <v>339</v>
          </cell>
          <cell r="C249" t="str">
            <v>消費税区分</v>
          </cell>
          <cell r="K249" t="str">
            <v>SZEK</v>
          </cell>
          <cell r="M249" t="str">
            <v>A</v>
          </cell>
          <cell r="N249">
            <v>2</v>
          </cell>
          <cell r="O249" t="str">
            <v/>
          </cell>
          <cell r="Q249" t="str">
            <v>１：課税、２：非課税、３：課税対象外、４：輸入、 等</v>
          </cell>
        </row>
        <row r="250">
          <cell r="B250">
            <v>340</v>
          </cell>
          <cell r="C250" t="str">
            <v>消費税区分名称</v>
          </cell>
          <cell r="K250" t="str">
            <v>SZEN</v>
          </cell>
          <cell r="M250" t="str">
            <v>O</v>
          </cell>
          <cell r="N250">
            <v>22</v>
          </cell>
          <cell r="O250" t="str">
            <v/>
          </cell>
          <cell r="Q250" t="str">
            <v>消費税区分の名称</v>
          </cell>
        </row>
        <row r="251">
          <cell r="B251">
            <v>341</v>
          </cell>
          <cell r="C251" t="str">
            <v>消費税内外区分</v>
          </cell>
          <cell r="K251" t="str">
            <v>SZNK</v>
          </cell>
          <cell r="M251" t="str">
            <v>A</v>
          </cell>
          <cell r="N251">
            <v>2</v>
          </cell>
          <cell r="O251" t="str">
            <v/>
          </cell>
          <cell r="Q251" t="str">
            <v>１：内税、２：外税</v>
          </cell>
        </row>
        <row r="252">
          <cell r="B252">
            <v>344</v>
          </cell>
          <cell r="C252" t="str">
            <v>上限会員数</v>
          </cell>
          <cell r="K252" t="str">
            <v>MXKS</v>
          </cell>
          <cell r="M252" t="str">
            <v>P</v>
          </cell>
          <cell r="N252">
            <v>7</v>
          </cell>
          <cell r="O252" t="str">
            <v/>
          </cell>
          <cell r="Q252" t="str">
            <v>計算時の上限会員数</v>
          </cell>
        </row>
        <row r="253">
          <cell r="B253">
            <v>345</v>
          </cell>
          <cell r="C253" t="str">
            <v>上限販売数量</v>
          </cell>
          <cell r="K253" t="str">
            <v>MXUS</v>
          </cell>
          <cell r="M253" t="str">
            <v>P</v>
          </cell>
          <cell r="N253">
            <v>7</v>
          </cell>
          <cell r="O253" t="str">
            <v/>
          </cell>
          <cell r="Q253" t="str">
            <v>計算時の上限販売数量</v>
          </cell>
        </row>
        <row r="254">
          <cell r="B254">
            <v>346</v>
          </cell>
          <cell r="C254" t="str">
            <v>新会員番号</v>
          </cell>
          <cell r="K254" t="str">
            <v>SKNB</v>
          </cell>
          <cell r="M254" t="str">
            <v>S</v>
          </cell>
          <cell r="N254">
            <v>16</v>
          </cell>
          <cell r="O254" t="str">
            <v/>
          </cell>
          <cell r="Q254" t="str">
            <v>オールＺＥＲＯ、会員番号16桁（右詰前ＺＥＲＯ）</v>
          </cell>
        </row>
        <row r="255">
          <cell r="B255">
            <v>347</v>
          </cell>
          <cell r="C255" t="str">
            <v>新有効期限</v>
          </cell>
          <cell r="K255" t="str">
            <v>SYDT</v>
          </cell>
          <cell r="M255" t="str">
            <v>S</v>
          </cell>
          <cell r="N255">
            <v>4</v>
          </cell>
          <cell r="O255" t="str">
            <v/>
          </cell>
          <cell r="Q255" t="str">
            <v>オールＺＥＲＯ、有効期限4桁（ＹＹＭＭ）</v>
          </cell>
        </row>
        <row r="256">
          <cell r="B256">
            <v>348</v>
          </cell>
          <cell r="C256" t="str">
            <v>申込№</v>
          </cell>
          <cell r="K256" t="str">
            <v>MONO</v>
          </cell>
          <cell r="M256" t="str">
            <v>A</v>
          </cell>
          <cell r="N256">
            <v>8</v>
          </cell>
          <cell r="O256" t="str">
            <v/>
          </cell>
          <cell r="Q256" t="str">
            <v>申込を特定するユニークキー  連番</v>
          </cell>
        </row>
        <row r="257">
          <cell r="B257">
            <v>349</v>
          </cell>
          <cell r="C257" t="str">
            <v>申込№枝番</v>
          </cell>
          <cell r="K257" t="str">
            <v>MOED</v>
          </cell>
          <cell r="M257" t="str">
            <v>A</v>
          </cell>
          <cell r="N257">
            <v>1</v>
          </cell>
          <cell r="O257" t="str">
            <v/>
          </cell>
          <cell r="Q257" t="str">
            <v>申込Ｎｏの枝番</v>
          </cell>
        </row>
        <row r="258">
          <cell r="B258">
            <v>350</v>
          </cell>
          <cell r="C258" t="str">
            <v>申込者氏名カナ（全角）</v>
          </cell>
          <cell r="K258" t="str">
            <v>MOS2</v>
          </cell>
          <cell r="M258" t="str">
            <v>O</v>
          </cell>
          <cell r="N258">
            <v>42</v>
          </cell>
          <cell r="O258" t="str">
            <v/>
          </cell>
          <cell r="Q258" t="str">
            <v>氏名・カナ（名字名前の間は１ブランク）</v>
          </cell>
        </row>
        <row r="259">
          <cell r="B259">
            <v>351</v>
          </cell>
          <cell r="C259" t="str">
            <v>申込者氏名漢字</v>
          </cell>
          <cell r="K259" t="str">
            <v>MOSN</v>
          </cell>
          <cell r="M259" t="str">
            <v>O</v>
          </cell>
          <cell r="N259">
            <v>42</v>
          </cell>
          <cell r="O259" t="str">
            <v/>
          </cell>
          <cell r="Q259" t="str">
            <v>氏名・漢字（名字名前の間は１ブランク）</v>
          </cell>
        </row>
        <row r="260">
          <cell r="B260">
            <v>352</v>
          </cell>
          <cell r="C260" t="str">
            <v>職業</v>
          </cell>
          <cell r="K260" t="str">
            <v>MOSY</v>
          </cell>
          <cell r="L260" t="str">
            <v>MOSY</v>
          </cell>
          <cell r="M260" t="str">
            <v>A</v>
          </cell>
          <cell r="N260">
            <v>2</v>
          </cell>
          <cell r="O260" t="str">
            <v/>
          </cell>
          <cell r="Q260" t="str">
            <v>職業区分（学生、会社員、自営業等）</v>
          </cell>
        </row>
        <row r="261">
          <cell r="B261">
            <v>353</v>
          </cell>
          <cell r="C261" t="str">
            <v>申込受付日付</v>
          </cell>
          <cell r="K261" t="str">
            <v>MOUD</v>
          </cell>
          <cell r="M261" t="str">
            <v>S</v>
          </cell>
          <cell r="N261">
            <v>8</v>
          </cell>
          <cell r="O261" t="str">
            <v/>
          </cell>
          <cell r="Q261" t="str">
            <v>西暦</v>
          </cell>
        </row>
        <row r="262">
          <cell r="B262">
            <v>354</v>
          </cell>
          <cell r="C262" t="str">
            <v>申込状況区分</v>
          </cell>
          <cell r="K262" t="str">
            <v>MOJK</v>
          </cell>
          <cell r="M262" t="str">
            <v>A</v>
          </cell>
          <cell r="N262">
            <v>2</v>
          </cell>
          <cell r="O262" t="str">
            <v/>
          </cell>
          <cell r="Q262" t="str">
            <v>１：通常、２：保留</v>
          </cell>
        </row>
        <row r="263">
          <cell r="B263">
            <v>355</v>
          </cell>
          <cell r="C263" t="str">
            <v>申込利用者氏名カナ</v>
          </cell>
          <cell r="K263" t="str">
            <v>MORM</v>
          </cell>
          <cell r="M263" t="str">
            <v>A</v>
          </cell>
          <cell r="N263">
            <v>20</v>
          </cell>
          <cell r="O263" t="str">
            <v/>
          </cell>
          <cell r="Q263" t="str">
            <v>利用者氏名のカナ</v>
          </cell>
        </row>
        <row r="264">
          <cell r="B264">
            <v>356</v>
          </cell>
          <cell r="C264" t="str">
            <v>申込利用者氏名漢字</v>
          </cell>
          <cell r="K264" t="str">
            <v>KMRN</v>
          </cell>
          <cell r="M264" t="str">
            <v>O</v>
          </cell>
          <cell r="N264">
            <v>42</v>
          </cell>
          <cell r="O264" t="str">
            <v/>
          </cell>
          <cell r="Q264" t="str">
            <v>利用者氏名の漢字</v>
          </cell>
        </row>
        <row r="265">
          <cell r="B265">
            <v>357</v>
          </cell>
          <cell r="C265" t="str">
            <v>利用者状況区分</v>
          </cell>
          <cell r="K265" t="str">
            <v>MORK</v>
          </cell>
          <cell r="L265" t="str">
            <v>MORK</v>
          </cell>
          <cell r="M265" t="str">
            <v>A</v>
          </cell>
          <cell r="N265">
            <v>2</v>
          </cell>
          <cell r="O265" t="str">
            <v/>
          </cell>
          <cell r="Q265" t="str">
            <v>利用者状況区分</v>
          </cell>
        </row>
        <row r="266">
          <cell r="B266">
            <v>359</v>
          </cell>
          <cell r="C266" t="str">
            <v>数量</v>
          </cell>
          <cell r="K266" t="str">
            <v>SURY</v>
          </cell>
          <cell r="M266" t="str">
            <v>P</v>
          </cell>
          <cell r="N266">
            <v>3</v>
          </cell>
          <cell r="O266" t="str">
            <v/>
          </cell>
          <cell r="Q266" t="str">
            <v>商品数量</v>
          </cell>
        </row>
        <row r="267">
          <cell r="B267">
            <v>360</v>
          </cell>
          <cell r="C267" t="str">
            <v>性別区分</v>
          </cell>
          <cell r="K267" t="str">
            <v>SEBK</v>
          </cell>
          <cell r="L267" t="str">
            <v>SEIK</v>
          </cell>
          <cell r="M267" t="str">
            <v>A</v>
          </cell>
          <cell r="N267">
            <v>1</v>
          </cell>
          <cell r="O267" t="str">
            <v/>
          </cell>
          <cell r="Q267" t="str">
            <v>顧客の性別（1:男 2:女）</v>
          </cell>
        </row>
        <row r="268">
          <cell r="B268">
            <v>361</v>
          </cell>
          <cell r="C268" t="str">
            <v>整理番号</v>
          </cell>
          <cell r="K268" t="str">
            <v>SEBG</v>
          </cell>
          <cell r="M268" t="str">
            <v>A</v>
          </cell>
          <cell r="N268">
            <v>6</v>
          </cell>
          <cell r="O268" t="str">
            <v/>
          </cell>
          <cell r="Q268" t="str">
            <v>ＯＣＲ伝票用一連番号</v>
          </cell>
        </row>
        <row r="269">
          <cell r="B269">
            <v>362</v>
          </cell>
          <cell r="C269" t="str">
            <v>生年月日</v>
          </cell>
          <cell r="K269" t="str">
            <v>BTDT</v>
          </cell>
          <cell r="L269" t="str">
            <v>BTDT</v>
          </cell>
          <cell r="M269" t="str">
            <v>S</v>
          </cell>
          <cell r="N269">
            <v>8</v>
          </cell>
          <cell r="O269" t="str">
            <v/>
          </cell>
          <cell r="Q269" t="str">
            <v>顧客生年月日（西暦）</v>
          </cell>
        </row>
        <row r="270">
          <cell r="B270">
            <v>365</v>
          </cell>
          <cell r="C270" t="str">
            <v>請求先コード</v>
          </cell>
          <cell r="K270" t="str">
            <v>SEIC</v>
          </cell>
          <cell r="M270" t="str">
            <v>A</v>
          </cell>
          <cell r="N270">
            <v>15</v>
          </cell>
          <cell r="O270" t="str">
            <v/>
          </cell>
          <cell r="Q270" t="str">
            <v>請求先コード</v>
          </cell>
        </row>
        <row r="271">
          <cell r="B271">
            <v>366</v>
          </cell>
          <cell r="C271" t="str">
            <v>税金額</v>
          </cell>
          <cell r="K271" t="str">
            <v>ZEIG</v>
          </cell>
          <cell r="M271" t="str">
            <v>P</v>
          </cell>
          <cell r="N271">
            <v>11</v>
          </cell>
          <cell r="O271" t="str">
            <v/>
          </cell>
          <cell r="Q271" t="str">
            <v>税金額</v>
          </cell>
        </row>
        <row r="272">
          <cell r="B272">
            <v>367</v>
          </cell>
          <cell r="C272" t="str">
            <v>税込販売金額</v>
          </cell>
          <cell r="K272" t="str">
            <v>ZIHG</v>
          </cell>
          <cell r="M272" t="str">
            <v>P</v>
          </cell>
          <cell r="N272">
            <v>11</v>
          </cell>
          <cell r="O272" t="str">
            <v/>
          </cell>
          <cell r="Q272" t="str">
            <v>売上金額＋税金額</v>
          </cell>
        </row>
        <row r="273">
          <cell r="B273">
            <v>368</v>
          </cell>
          <cell r="C273" t="str">
            <v>税送料</v>
          </cell>
          <cell r="K273" t="str">
            <v>ZISG</v>
          </cell>
          <cell r="M273" t="str">
            <v>P</v>
          </cell>
          <cell r="N273">
            <v>7</v>
          </cell>
          <cell r="O273" t="str">
            <v/>
          </cell>
          <cell r="Q273" t="str">
            <v>前ゼロでサイン付数字</v>
          </cell>
        </row>
        <row r="274">
          <cell r="B274">
            <v>369</v>
          </cell>
          <cell r="C274" t="str">
            <v>接続時刻</v>
          </cell>
          <cell r="K274" t="str">
            <v>CNET</v>
          </cell>
          <cell r="L274" t="str">
            <v>SETZTM</v>
          </cell>
          <cell r="M274" t="str">
            <v>S</v>
          </cell>
          <cell r="N274">
            <v>6</v>
          </cell>
          <cell r="O274" t="str">
            <v/>
          </cell>
          <cell r="Q274" t="str">
            <v>接続時刻</v>
          </cell>
        </row>
        <row r="275">
          <cell r="B275">
            <v>370</v>
          </cell>
          <cell r="C275" t="str">
            <v>接続日付</v>
          </cell>
          <cell r="K275" t="str">
            <v>CNED</v>
          </cell>
          <cell r="L275" t="str">
            <v>CNTSID</v>
          </cell>
          <cell r="M275" t="str">
            <v>S</v>
          </cell>
          <cell r="N275">
            <v>8</v>
          </cell>
          <cell r="O275" t="str">
            <v/>
          </cell>
          <cell r="Q275" t="str">
            <v>接続時間</v>
          </cell>
        </row>
        <row r="276">
          <cell r="B276">
            <v>374</v>
          </cell>
          <cell r="C276" t="str">
            <v>前受金区分</v>
          </cell>
          <cell r="K276" t="str">
            <v>MAUK</v>
          </cell>
          <cell r="M276" t="str">
            <v>A</v>
          </cell>
          <cell r="N276">
            <v>1</v>
          </cell>
          <cell r="O276" t="str">
            <v/>
          </cell>
          <cell r="Q276" t="str">
            <v>１：対象、２：対象外</v>
          </cell>
        </row>
        <row r="277">
          <cell r="B277">
            <v>375</v>
          </cell>
          <cell r="C277" t="str">
            <v>総売上合計</v>
          </cell>
          <cell r="K277" t="str">
            <v>SURG</v>
          </cell>
          <cell r="M277" t="str">
            <v>A</v>
          </cell>
          <cell r="N277">
            <v>11</v>
          </cell>
          <cell r="O277" t="str">
            <v/>
          </cell>
          <cell r="Q277" t="str">
            <v>データレコードの売上合計の合計額</v>
          </cell>
        </row>
        <row r="278">
          <cell r="B278">
            <v>376</v>
          </cell>
          <cell r="C278" t="str">
            <v>送信元コード</v>
          </cell>
          <cell r="K278" t="str">
            <v>SNMC</v>
          </cell>
          <cell r="M278" t="str">
            <v>A</v>
          </cell>
          <cell r="N278">
            <v>8</v>
          </cell>
          <cell r="O278" t="str">
            <v/>
          </cell>
          <cell r="Q278" t="str">
            <v>ＰＯＳデータ送信元コード</v>
          </cell>
        </row>
        <row r="279">
          <cell r="B279">
            <v>377</v>
          </cell>
          <cell r="C279" t="str">
            <v>送信先コード</v>
          </cell>
          <cell r="K279" t="str">
            <v>SNSC</v>
          </cell>
          <cell r="M279" t="str">
            <v>A</v>
          </cell>
          <cell r="N279">
            <v>8</v>
          </cell>
          <cell r="O279" t="str">
            <v/>
          </cell>
          <cell r="Q279" t="str">
            <v>ＰＯＳデータ送信先コード</v>
          </cell>
        </row>
        <row r="280">
          <cell r="B280">
            <v>378</v>
          </cell>
          <cell r="C280" t="str">
            <v>対象店舗数</v>
          </cell>
          <cell r="K280" t="str">
            <v>TTNS</v>
          </cell>
          <cell r="M280" t="str">
            <v>S</v>
          </cell>
          <cell r="N280">
            <v>4</v>
          </cell>
          <cell r="O280" t="str">
            <v/>
          </cell>
          <cell r="Q280" t="str">
            <v>ＰＯＳデータの対象店舗数</v>
          </cell>
        </row>
        <row r="281">
          <cell r="B281">
            <v>379</v>
          </cell>
          <cell r="C281" t="str">
            <v>棚卸フラグ</v>
          </cell>
          <cell r="K281" t="str">
            <v>TANF</v>
          </cell>
          <cell r="M281" t="str">
            <v>A</v>
          </cell>
          <cell r="N281">
            <v>1</v>
          </cell>
          <cell r="O281" t="str">
            <v/>
          </cell>
          <cell r="Q281" t="str">
            <v>ＰＯＳデータの棚卸フラグ</v>
          </cell>
        </row>
        <row r="282">
          <cell r="B282">
            <v>380</v>
          </cell>
          <cell r="C282" t="str">
            <v>端末識別番号ＳＳコード</v>
          </cell>
          <cell r="K282" t="str">
            <v>TMSC</v>
          </cell>
          <cell r="M282" t="str">
            <v>S</v>
          </cell>
          <cell r="N282">
            <v>2</v>
          </cell>
          <cell r="O282" t="str">
            <v/>
          </cell>
          <cell r="Q282" t="str">
            <v>給油所等の識別コード</v>
          </cell>
        </row>
        <row r="283">
          <cell r="B283">
            <v>381</v>
          </cell>
          <cell r="C283" t="str">
            <v>端末識別番号仕向会社コード</v>
          </cell>
          <cell r="K283" t="str">
            <v>TMKC</v>
          </cell>
          <cell r="M283" t="str">
            <v>S</v>
          </cell>
          <cell r="N283">
            <v>1</v>
          </cell>
          <cell r="O283" t="str">
            <v/>
          </cell>
          <cell r="Q283" t="str">
            <v>業態＋企業コード</v>
          </cell>
        </row>
        <row r="284">
          <cell r="B284">
            <v>382</v>
          </cell>
          <cell r="C284" t="str">
            <v>端末識別番号支店コード</v>
          </cell>
          <cell r="K284" t="str">
            <v>TMSS</v>
          </cell>
          <cell r="M284" t="str">
            <v>S</v>
          </cell>
          <cell r="N284">
            <v>1</v>
          </cell>
          <cell r="O284" t="str">
            <v/>
          </cell>
          <cell r="Q284" t="str">
            <v>ＤＰセンターコード</v>
          </cell>
        </row>
        <row r="285">
          <cell r="B285">
            <v>383</v>
          </cell>
          <cell r="C285" t="str">
            <v>端末処理通番</v>
          </cell>
          <cell r="K285" t="str">
            <v>TMST</v>
          </cell>
          <cell r="M285" t="str">
            <v>A</v>
          </cell>
          <cell r="N285">
            <v>8</v>
          </cell>
          <cell r="O285" t="str">
            <v/>
          </cell>
          <cell r="Q285" t="str">
            <v>ＰＯＳ売上の伝票番号</v>
          </cell>
        </row>
        <row r="286">
          <cell r="B286">
            <v>389</v>
          </cell>
          <cell r="C286" t="str">
            <v>直接送信先コード</v>
          </cell>
          <cell r="K286" t="str">
            <v>CSNC</v>
          </cell>
          <cell r="M286" t="str">
            <v>A</v>
          </cell>
          <cell r="N286">
            <v>8</v>
          </cell>
          <cell r="O286" t="str">
            <v/>
          </cell>
          <cell r="Q286" t="str">
            <v>ＰＯＳデータの直接送信先コード</v>
          </cell>
        </row>
        <row r="287">
          <cell r="B287">
            <v>390</v>
          </cell>
          <cell r="C287" t="str">
            <v>締め日</v>
          </cell>
          <cell r="K287" t="str">
            <v>SEMD</v>
          </cell>
          <cell r="M287" t="str">
            <v>S</v>
          </cell>
          <cell r="N287">
            <v>2</v>
          </cell>
          <cell r="O287" t="str">
            <v/>
          </cell>
          <cell r="Q287" t="str">
            <v>締め日</v>
          </cell>
        </row>
        <row r="288">
          <cell r="B288">
            <v>392</v>
          </cell>
          <cell r="C288" t="str">
            <v>店舗ステータス</v>
          </cell>
          <cell r="K288" t="str">
            <v>TPST</v>
          </cell>
          <cell r="M288" t="str">
            <v>A</v>
          </cell>
          <cell r="N288">
            <v>2</v>
          </cell>
          <cell r="O288" t="str">
            <v/>
          </cell>
          <cell r="Q288" t="str">
            <v>店舗のステータス区分</v>
          </cell>
        </row>
        <row r="289">
          <cell r="B289">
            <v>393</v>
          </cell>
          <cell r="C289" t="str">
            <v>店舗担当者名</v>
          </cell>
          <cell r="K289" t="str">
            <v>TPTN</v>
          </cell>
          <cell r="M289" t="str">
            <v>O</v>
          </cell>
          <cell r="N289">
            <v>42</v>
          </cell>
          <cell r="O289" t="str">
            <v/>
          </cell>
          <cell r="Q289" t="str">
            <v>店舗担当者名</v>
          </cell>
        </row>
        <row r="290">
          <cell r="B290">
            <v>394</v>
          </cell>
          <cell r="C290" t="str">
            <v>伝票区分</v>
          </cell>
          <cell r="K290" t="str">
            <v>DENK</v>
          </cell>
          <cell r="M290" t="str">
            <v>A</v>
          </cell>
          <cell r="N290">
            <v>6</v>
          </cell>
          <cell r="O290" t="str">
            <v/>
          </cell>
          <cell r="Q290" t="str">
            <v>伝票なし：０、伝票あり：１</v>
          </cell>
        </row>
        <row r="291">
          <cell r="B291">
            <v>395</v>
          </cell>
          <cell r="C291" t="str">
            <v>伝票検索キー</v>
          </cell>
          <cell r="K291" t="str">
            <v>DEKI</v>
          </cell>
          <cell r="M291" t="str">
            <v>A</v>
          </cell>
          <cell r="N291">
            <v>40</v>
          </cell>
          <cell r="O291" t="str">
            <v/>
          </cell>
          <cell r="Q291" t="str">
            <v>ｘタイプ、合計４項目以内、合計１６桁以内</v>
          </cell>
        </row>
        <row r="292">
          <cell r="B292">
            <v>396</v>
          </cell>
          <cell r="C292" t="str">
            <v>電文区分</v>
          </cell>
          <cell r="K292" t="str">
            <v>DNBK</v>
          </cell>
          <cell r="L292" t="str">
            <v>DNBNKB</v>
          </cell>
          <cell r="M292" t="str">
            <v>A</v>
          </cell>
          <cell r="N292">
            <v>2</v>
          </cell>
          <cell r="O292" t="str">
            <v/>
          </cell>
          <cell r="Q292" t="str">
            <v>新規導入開始、終了、CDｺﾋﾟｰ開始、CDｺﾋﾟｰ完了,終了</v>
          </cell>
        </row>
        <row r="293">
          <cell r="B293" t="str">
            <v>削除</v>
          </cell>
          <cell r="C293" t="str">
            <v>登録可能アドレス数</v>
          </cell>
          <cell r="K293" t="str">
            <v>AKAS</v>
          </cell>
          <cell r="L293" t="str">
            <v>TRKADS</v>
          </cell>
          <cell r="M293" t="str">
            <v>P</v>
          </cell>
          <cell r="N293">
            <v>7</v>
          </cell>
          <cell r="O293" t="str">
            <v/>
          </cell>
          <cell r="Q293" t="str">
            <v>メールサーバー登録可能アドレス数　　　　　　　　　　：３９８</v>
          </cell>
        </row>
        <row r="294">
          <cell r="B294" t="str">
            <v>削除</v>
          </cell>
          <cell r="C294" t="str">
            <v>登録済アドレス数</v>
          </cell>
          <cell r="K294" t="str">
            <v>AZAS</v>
          </cell>
          <cell r="L294" t="str">
            <v>TRZADS</v>
          </cell>
          <cell r="M294" t="str">
            <v>P</v>
          </cell>
          <cell r="N294">
            <v>7</v>
          </cell>
          <cell r="O294" t="str">
            <v/>
          </cell>
          <cell r="Q294" t="str">
            <v>メールサーバー登録済アドレス数　　　　　　　　　　　：４００</v>
          </cell>
        </row>
        <row r="295">
          <cell r="B295">
            <v>401</v>
          </cell>
          <cell r="C295" t="str">
            <v>登録先得意先コード</v>
          </cell>
          <cell r="K295" t="str">
            <v>ATOC</v>
          </cell>
          <cell r="M295" t="str">
            <v>A</v>
          </cell>
          <cell r="N295">
            <v>3</v>
          </cell>
          <cell r="O295" t="str">
            <v/>
          </cell>
          <cell r="Q295" t="str">
            <v>当面はＴＵＴＡＹＡ</v>
          </cell>
        </row>
        <row r="296">
          <cell r="B296">
            <v>403</v>
          </cell>
          <cell r="C296" t="str">
            <v>登録先得意先店舗コード</v>
          </cell>
          <cell r="K296" t="str">
            <v>ATPC</v>
          </cell>
          <cell r="M296" t="str">
            <v>A</v>
          </cell>
          <cell r="N296">
            <v>6</v>
          </cell>
          <cell r="O296" t="str">
            <v/>
          </cell>
          <cell r="Q296" t="str">
            <v>会員の登録店舗</v>
          </cell>
        </row>
        <row r="297">
          <cell r="B297">
            <v>404</v>
          </cell>
          <cell r="C297" t="str">
            <v>都道府県コード</v>
          </cell>
          <cell r="K297" t="str">
            <v>TDKC</v>
          </cell>
          <cell r="L297" t="str">
            <v>TDKC</v>
          </cell>
          <cell r="M297" t="str">
            <v>A</v>
          </cell>
          <cell r="N297">
            <v>2</v>
          </cell>
          <cell r="O297" t="str">
            <v/>
          </cell>
          <cell r="Q297" t="str">
            <v>ＪＩＳ</v>
          </cell>
        </row>
        <row r="298">
          <cell r="B298">
            <v>406</v>
          </cell>
          <cell r="C298" t="str">
            <v>得意先コード</v>
          </cell>
          <cell r="K298" t="str">
            <v>TORC</v>
          </cell>
          <cell r="M298" t="str">
            <v>A</v>
          </cell>
          <cell r="N298">
            <v>4</v>
          </cell>
          <cell r="O298" t="str">
            <v/>
          </cell>
          <cell r="Q298" t="str">
            <v>ＴＵＴＡＹＡ等の販売委託先</v>
          </cell>
        </row>
        <row r="299">
          <cell r="B299">
            <v>407</v>
          </cell>
          <cell r="C299" t="str">
            <v>得意先店舗コード</v>
          </cell>
          <cell r="K299" t="str">
            <v>TTPC</v>
          </cell>
          <cell r="L299" t="str">
            <v>TTPC</v>
          </cell>
          <cell r="M299" t="str">
            <v>A</v>
          </cell>
          <cell r="N299">
            <v>6</v>
          </cell>
          <cell r="O299" t="str">
            <v/>
          </cell>
          <cell r="Q299" t="str">
            <v>販売委託先の販売店舗。連番５桁＋チェックデジット１桁（モジュラス１０）</v>
          </cell>
        </row>
        <row r="300">
          <cell r="B300">
            <v>408</v>
          </cell>
          <cell r="C300" t="str">
            <v>得意先店舗名</v>
          </cell>
          <cell r="K300" t="str">
            <v>TTPN</v>
          </cell>
          <cell r="M300" t="str">
            <v>O</v>
          </cell>
          <cell r="N300">
            <v>42</v>
          </cell>
          <cell r="O300" t="str">
            <v/>
          </cell>
          <cell r="Q300" t="str">
            <v>取引先店舗名</v>
          </cell>
        </row>
        <row r="301">
          <cell r="B301">
            <v>409</v>
          </cell>
          <cell r="C301" t="str">
            <v>得意先店舗名カナ</v>
          </cell>
          <cell r="K301" t="str">
            <v>TTPM</v>
          </cell>
          <cell r="M301" t="str">
            <v>A</v>
          </cell>
          <cell r="N301">
            <v>20</v>
          </cell>
          <cell r="O301" t="str">
            <v/>
          </cell>
          <cell r="Q301" t="str">
            <v>取引先店舗名カナ</v>
          </cell>
        </row>
        <row r="302">
          <cell r="B302">
            <v>410</v>
          </cell>
          <cell r="C302" t="str">
            <v>得意先店舗略称名</v>
          </cell>
          <cell r="K302" t="str">
            <v>TTPR</v>
          </cell>
          <cell r="M302" t="str">
            <v>O</v>
          </cell>
          <cell r="N302">
            <v>22</v>
          </cell>
          <cell r="O302" t="str">
            <v/>
          </cell>
          <cell r="Q302" t="str">
            <v>取引先店舗略称名</v>
          </cell>
        </row>
        <row r="303">
          <cell r="B303">
            <v>411</v>
          </cell>
          <cell r="C303" t="str">
            <v>得意先略称名</v>
          </cell>
          <cell r="K303" t="str">
            <v>TORR</v>
          </cell>
          <cell r="M303" t="str">
            <v>O</v>
          </cell>
          <cell r="N303">
            <v>22</v>
          </cell>
          <cell r="O303" t="str">
            <v/>
          </cell>
          <cell r="Q303" t="str">
            <v>得意先略称名</v>
          </cell>
        </row>
        <row r="304">
          <cell r="B304">
            <v>412</v>
          </cell>
          <cell r="C304" t="str">
            <v>得意名</v>
          </cell>
          <cell r="K304" t="str">
            <v>TORN</v>
          </cell>
          <cell r="M304" t="str">
            <v>O</v>
          </cell>
          <cell r="N304">
            <v>42</v>
          </cell>
          <cell r="O304" t="str">
            <v/>
          </cell>
          <cell r="Q304" t="str">
            <v>得意先名</v>
          </cell>
        </row>
        <row r="305">
          <cell r="B305">
            <v>413</v>
          </cell>
          <cell r="C305" t="str">
            <v>得意名カナ</v>
          </cell>
          <cell r="K305" t="str">
            <v>TORM</v>
          </cell>
          <cell r="M305" t="str">
            <v>A</v>
          </cell>
          <cell r="N305">
            <v>20</v>
          </cell>
          <cell r="O305" t="str">
            <v/>
          </cell>
          <cell r="Q305" t="str">
            <v>得意先名カナ</v>
          </cell>
        </row>
        <row r="306">
          <cell r="B306">
            <v>414</v>
          </cell>
          <cell r="C306" t="str">
            <v>特約店コード</v>
          </cell>
          <cell r="K306" t="str">
            <v>TOYC</v>
          </cell>
          <cell r="M306" t="str">
            <v>A</v>
          </cell>
          <cell r="N306">
            <v>8</v>
          </cell>
          <cell r="O306" t="str">
            <v/>
          </cell>
          <cell r="Q306" t="str">
            <v>ＰＯＳデータの特約店コード</v>
          </cell>
        </row>
        <row r="307">
          <cell r="B307">
            <v>416</v>
          </cell>
          <cell r="C307" t="str">
            <v>内税分子</v>
          </cell>
          <cell r="K307" t="str">
            <v>UZBI</v>
          </cell>
          <cell r="M307" t="str">
            <v>S</v>
          </cell>
          <cell r="N307">
            <v>3</v>
          </cell>
          <cell r="O307" t="str">
            <v/>
          </cell>
          <cell r="Q307" t="str">
            <v>内税の時の計算用分子</v>
          </cell>
        </row>
        <row r="308">
          <cell r="B308">
            <v>417</v>
          </cell>
          <cell r="C308" t="str">
            <v>内税分母</v>
          </cell>
          <cell r="K308" t="str">
            <v>UZBO</v>
          </cell>
          <cell r="M308" t="str">
            <v>S</v>
          </cell>
          <cell r="N308">
            <v>3</v>
          </cell>
          <cell r="O308" t="str">
            <v/>
          </cell>
          <cell r="Q308" t="str">
            <v>内税の時の計算用分母</v>
          </cell>
        </row>
        <row r="309">
          <cell r="B309">
            <v>419</v>
          </cell>
          <cell r="C309" t="str">
            <v>ハード受取済区分</v>
          </cell>
          <cell r="K309" t="str">
            <v>HWUK</v>
          </cell>
          <cell r="M309" t="str">
            <v>A</v>
          </cell>
          <cell r="N309">
            <v>1</v>
          </cell>
          <cell r="O309" t="str">
            <v/>
          </cell>
          <cell r="Q309" t="str">
            <v>会員のスターターキット受取を管理する区分。１：受取済み</v>
          </cell>
        </row>
        <row r="310">
          <cell r="B310">
            <v>420</v>
          </cell>
          <cell r="C310" t="str">
            <v>入力会員番号</v>
          </cell>
          <cell r="K310" t="str">
            <v>IKNB</v>
          </cell>
          <cell r="M310" t="str">
            <v>S</v>
          </cell>
          <cell r="N310">
            <v>16</v>
          </cell>
          <cell r="O310" t="str">
            <v/>
          </cell>
          <cell r="Q310" t="str">
            <v>会員番号16桁（右詰前ＺＥＲＯ）</v>
          </cell>
        </row>
        <row r="311">
          <cell r="B311">
            <v>421</v>
          </cell>
          <cell r="C311" t="str">
            <v>入力件数</v>
          </cell>
          <cell r="K311" t="str">
            <v>IKNS</v>
          </cell>
          <cell r="M311" t="str">
            <v>S</v>
          </cell>
          <cell r="N311">
            <v>7</v>
          </cell>
          <cell r="O311" t="str">
            <v/>
          </cell>
          <cell r="Q311" t="str">
            <v>データレコード入力件数</v>
          </cell>
        </row>
        <row r="312">
          <cell r="B312">
            <v>422</v>
          </cell>
          <cell r="C312" t="str">
            <v>入力有効期限</v>
          </cell>
          <cell r="K312" t="str">
            <v>IYUD</v>
          </cell>
          <cell r="M312" t="str">
            <v>S</v>
          </cell>
          <cell r="N312">
            <v>4</v>
          </cell>
          <cell r="O312" t="str">
            <v/>
          </cell>
          <cell r="Q312" t="str">
            <v>有効期限4桁（ＹＹＭＭ）</v>
          </cell>
        </row>
        <row r="313">
          <cell r="B313">
            <v>423</v>
          </cell>
          <cell r="C313" t="str">
            <v>認証コード（コンテンツ提供者用）</v>
          </cell>
          <cell r="K313" t="str">
            <v>SYCC</v>
          </cell>
          <cell r="L313" t="str">
            <v>SYCC</v>
          </cell>
          <cell r="M313" t="str">
            <v>A</v>
          </cell>
          <cell r="N313">
            <v>50</v>
          </cell>
          <cell r="O313" t="str">
            <v/>
          </cell>
          <cell r="Q313" t="str">
            <v>WebServerが認証するコード（コンテンツ提供者用）</v>
          </cell>
        </row>
        <row r="314">
          <cell r="B314">
            <v>427</v>
          </cell>
          <cell r="C314" t="str">
            <v>年月</v>
          </cell>
          <cell r="K314" t="str">
            <v>YMDD</v>
          </cell>
          <cell r="M314" t="str">
            <v>S</v>
          </cell>
          <cell r="N314">
            <v>6</v>
          </cell>
          <cell r="O314" t="str">
            <v/>
          </cell>
          <cell r="Q314" t="str">
            <v>年月</v>
          </cell>
        </row>
        <row r="315">
          <cell r="B315">
            <v>428</v>
          </cell>
          <cell r="C315" t="str">
            <v>納品数量</v>
          </cell>
          <cell r="K315" t="str">
            <v>NYSS</v>
          </cell>
          <cell r="M315" t="str">
            <v>P</v>
          </cell>
          <cell r="N315">
            <v>7</v>
          </cell>
          <cell r="O315" t="str">
            <v/>
          </cell>
          <cell r="Q315" t="str">
            <v>ＰＯＳデータの納品数量</v>
          </cell>
        </row>
        <row r="316">
          <cell r="B316">
            <v>429</v>
          </cell>
          <cell r="C316" t="str">
            <v>納品予定日付</v>
          </cell>
          <cell r="K316" t="str">
            <v>NYYD</v>
          </cell>
          <cell r="M316" t="str">
            <v>S</v>
          </cell>
          <cell r="N316">
            <v>8</v>
          </cell>
          <cell r="O316" t="str">
            <v/>
          </cell>
          <cell r="Q316" t="str">
            <v>コンテンツの納品予定日付</v>
          </cell>
        </row>
        <row r="317">
          <cell r="B317">
            <v>431</v>
          </cell>
          <cell r="C317" t="str">
            <v>配信バージョン</v>
          </cell>
          <cell r="K317" t="str">
            <v>HNVR</v>
          </cell>
          <cell r="L317" t="str">
            <v>HSVER</v>
          </cell>
          <cell r="M317" t="str">
            <v>A</v>
          </cell>
          <cell r="N317">
            <v>10</v>
          </cell>
          <cell r="O317" t="str">
            <v/>
          </cell>
          <cell r="Q317" t="str">
            <v>バージョン情報</v>
          </cell>
        </row>
        <row r="318">
          <cell r="B318">
            <v>434</v>
          </cell>
          <cell r="C318" t="str">
            <v>ＤＤＷ販売グループＩＤ</v>
          </cell>
          <cell r="K318" t="str">
            <v>DHGI</v>
          </cell>
          <cell r="M318" t="str">
            <v>A</v>
          </cell>
          <cell r="N318">
            <v>3</v>
          </cell>
          <cell r="O318" t="str">
            <v/>
          </cell>
          <cell r="Q318" t="str">
            <v>ＤＤＷをグルーピングしたグループのＩＤ</v>
          </cell>
        </row>
        <row r="319">
          <cell r="B319">
            <v>435</v>
          </cell>
          <cell r="C319" t="str">
            <v>ＤＤＷ販売グループ名</v>
          </cell>
          <cell r="K319" t="str">
            <v>DHGN</v>
          </cell>
          <cell r="M319" t="str">
            <v>O</v>
          </cell>
          <cell r="N319">
            <v>22</v>
          </cell>
          <cell r="O319" t="str">
            <v/>
          </cell>
          <cell r="Q319" t="str">
            <v>ＤＤＷをグルーピングしたグループ名称</v>
          </cell>
        </row>
        <row r="320">
          <cell r="B320">
            <v>437</v>
          </cell>
          <cell r="C320" t="str">
            <v>売り止め区分</v>
          </cell>
          <cell r="K320" t="str">
            <v>UREK</v>
          </cell>
          <cell r="L320" t="str">
            <v>UREK</v>
          </cell>
          <cell r="M320" t="str">
            <v>A</v>
          </cell>
          <cell r="N320">
            <v>1</v>
          </cell>
          <cell r="O320" t="str">
            <v/>
          </cell>
          <cell r="Q320" t="str">
            <v>１：売り止め</v>
          </cell>
        </row>
        <row r="321">
          <cell r="B321">
            <v>438</v>
          </cell>
          <cell r="C321" t="str">
            <v>売り止め日</v>
          </cell>
          <cell r="K321" t="str">
            <v>URED</v>
          </cell>
          <cell r="L321" t="str">
            <v>URED</v>
          </cell>
          <cell r="M321" t="str">
            <v>S</v>
          </cell>
          <cell r="N321">
            <v>8</v>
          </cell>
          <cell r="O321" t="str">
            <v/>
          </cell>
          <cell r="Q321" t="str">
            <v>売り止めにする日付</v>
          </cell>
        </row>
        <row r="322">
          <cell r="B322">
            <v>439</v>
          </cell>
          <cell r="C322" t="str">
            <v>売り止め理由区分</v>
          </cell>
          <cell r="K322" t="str">
            <v>URER</v>
          </cell>
          <cell r="L322" t="str">
            <v>URER</v>
          </cell>
          <cell r="M322" t="str">
            <v>A</v>
          </cell>
          <cell r="N322">
            <v>2</v>
          </cell>
          <cell r="O322" t="str">
            <v/>
          </cell>
          <cell r="Q322" t="str">
            <v>売り止めの理由を区分訳（緊急停止、バグ発生等）</v>
          </cell>
        </row>
        <row r="323">
          <cell r="B323">
            <v>440</v>
          </cell>
          <cell r="C323" t="str">
            <v>売り先ＤＤＷフラグ</v>
          </cell>
          <cell r="K323" t="str">
            <v>URDF</v>
          </cell>
          <cell r="M323" t="str">
            <v>A</v>
          </cell>
          <cell r="N323">
            <v>1</v>
          </cell>
          <cell r="O323" t="str">
            <v/>
          </cell>
          <cell r="Q323" t="str">
            <v>ＤＤＷ販売 ０：しない、１：する</v>
          </cell>
        </row>
        <row r="324">
          <cell r="B324">
            <v>441</v>
          </cell>
          <cell r="C324" t="str">
            <v>売り先ＮＥＴフラグ</v>
          </cell>
          <cell r="K324" t="str">
            <v>URNF</v>
          </cell>
          <cell r="M324" t="str">
            <v>A</v>
          </cell>
          <cell r="N324">
            <v>1</v>
          </cell>
          <cell r="O324" t="str">
            <v/>
          </cell>
          <cell r="Q324" t="str">
            <v>ＮＥＴ販売 ０：しない、１：する</v>
          </cell>
        </row>
        <row r="325">
          <cell r="B325">
            <v>442</v>
          </cell>
          <cell r="C325" t="str">
            <v>売上金額</v>
          </cell>
          <cell r="K325" t="str">
            <v>URIG</v>
          </cell>
          <cell r="M325" t="str">
            <v>P</v>
          </cell>
          <cell r="N325">
            <v>7</v>
          </cell>
          <cell r="O325" t="str">
            <v/>
          </cell>
          <cell r="Q325" t="str">
            <v>処理された金額</v>
          </cell>
        </row>
        <row r="326">
          <cell r="B326">
            <v>443</v>
          </cell>
          <cell r="C326" t="str">
            <v>売上金額（税抜）</v>
          </cell>
          <cell r="K326" t="str">
            <v>URSG</v>
          </cell>
          <cell r="M326" t="str">
            <v>P</v>
          </cell>
          <cell r="N326">
            <v>11</v>
          </cell>
          <cell r="O326" t="str">
            <v/>
          </cell>
          <cell r="Q326" t="str">
            <v>処理された金額</v>
          </cell>
        </row>
        <row r="327">
          <cell r="B327">
            <v>444</v>
          </cell>
          <cell r="C327" t="str">
            <v>売上金額合計</v>
          </cell>
          <cell r="K327" t="str">
            <v>URGG</v>
          </cell>
          <cell r="M327" t="str">
            <v>A</v>
          </cell>
          <cell r="N327">
            <v>11</v>
          </cell>
          <cell r="O327" t="str">
            <v/>
          </cell>
          <cell r="Q327" t="str">
            <v>データレコードの売上金額の合計額</v>
          </cell>
        </row>
        <row r="328">
          <cell r="B328">
            <v>445</v>
          </cell>
          <cell r="C328" t="str">
            <v>売上区分</v>
          </cell>
          <cell r="K328" t="str">
            <v>URIK</v>
          </cell>
          <cell r="L328" t="str">
            <v>URIK</v>
          </cell>
          <cell r="M328" t="str">
            <v>A</v>
          </cell>
          <cell r="N328">
            <v>2</v>
          </cell>
          <cell r="O328" t="str">
            <v/>
          </cell>
          <cell r="Q328" t="str">
            <v>１：売上２：返品、９：その他を判別</v>
          </cell>
        </row>
        <row r="329">
          <cell r="B329">
            <v>446</v>
          </cell>
          <cell r="C329" t="str">
            <v>売上件数</v>
          </cell>
          <cell r="K329" t="str">
            <v>URKS</v>
          </cell>
          <cell r="M329" t="str">
            <v>A</v>
          </cell>
          <cell r="N329">
            <v>6</v>
          </cell>
          <cell r="O329" t="str">
            <v/>
          </cell>
          <cell r="Q329" t="str">
            <v>売上票の報告件数（データレコード件数）</v>
          </cell>
        </row>
        <row r="330">
          <cell r="B330">
            <v>447</v>
          </cell>
          <cell r="C330" t="str">
            <v>売上合計</v>
          </cell>
          <cell r="K330" t="str">
            <v>URKG</v>
          </cell>
          <cell r="M330" t="str">
            <v>P</v>
          </cell>
          <cell r="N330">
            <v>7</v>
          </cell>
          <cell r="O330" t="str">
            <v/>
          </cell>
          <cell r="Q330" t="str">
            <v>前ゼロでサイン付数字</v>
          </cell>
        </row>
        <row r="331">
          <cell r="B331">
            <v>448</v>
          </cell>
          <cell r="C331" t="str">
            <v>売上仕入区分</v>
          </cell>
          <cell r="K331" t="str">
            <v>URSK</v>
          </cell>
          <cell r="M331" t="str">
            <v>A</v>
          </cell>
          <cell r="N331">
            <v>1</v>
          </cell>
          <cell r="O331" t="str">
            <v/>
          </cell>
          <cell r="Q331" t="str">
            <v>１:売上、２：仕入れ</v>
          </cell>
        </row>
        <row r="332">
          <cell r="B332">
            <v>449</v>
          </cell>
          <cell r="C332" t="str">
            <v>売上数量</v>
          </cell>
          <cell r="K332" t="str">
            <v>URSS</v>
          </cell>
          <cell r="M332" t="str">
            <v>P</v>
          </cell>
          <cell r="N332">
            <v>7</v>
          </cell>
          <cell r="O332" t="str">
            <v/>
          </cell>
          <cell r="Q332" t="str">
            <v>商品数量</v>
          </cell>
        </row>
        <row r="333">
          <cell r="B333">
            <v>450</v>
          </cell>
          <cell r="C333" t="str">
            <v>売上年月日</v>
          </cell>
          <cell r="K333" t="str">
            <v>URID</v>
          </cell>
          <cell r="M333" t="str">
            <v>S</v>
          </cell>
          <cell r="N333">
            <v>6</v>
          </cell>
          <cell r="O333" t="str">
            <v/>
          </cell>
          <cell r="Q333" t="str">
            <v>サービスを受けた日を、西暦年の下2桁と月日＊返品のときは元の売上日をセット</v>
          </cell>
        </row>
        <row r="334">
          <cell r="B334">
            <v>451</v>
          </cell>
          <cell r="C334" t="str">
            <v>発生元区分</v>
          </cell>
          <cell r="K334" t="str">
            <v>HTMK</v>
          </cell>
          <cell r="L334" t="str">
            <v>HTMK</v>
          </cell>
          <cell r="M334" t="str">
            <v>A</v>
          </cell>
          <cell r="N334">
            <v>2</v>
          </cell>
          <cell r="O334" t="str">
            <v/>
          </cell>
          <cell r="Q334" t="str">
            <v>１：６４、２：ＤＤＷを判別する</v>
          </cell>
        </row>
        <row r="335">
          <cell r="B335">
            <v>452</v>
          </cell>
          <cell r="C335" t="str">
            <v>販売開始時刻</v>
          </cell>
          <cell r="K335" t="str">
            <v>HNST</v>
          </cell>
          <cell r="L335" t="str">
            <v>HNST</v>
          </cell>
          <cell r="M335" t="str">
            <v>S</v>
          </cell>
          <cell r="N335">
            <v>6</v>
          </cell>
          <cell r="O335" t="str">
            <v/>
          </cell>
          <cell r="Q335" t="str">
            <v>有効期限（ＦＲＯＭ）</v>
          </cell>
        </row>
        <row r="336">
          <cell r="B336">
            <v>453</v>
          </cell>
          <cell r="C336" t="str">
            <v>販売開始日付</v>
          </cell>
          <cell r="K336" t="str">
            <v>HNSD</v>
          </cell>
          <cell r="L336" t="str">
            <v>HNSD</v>
          </cell>
          <cell r="M336" t="str">
            <v>S</v>
          </cell>
          <cell r="N336">
            <v>8</v>
          </cell>
          <cell r="O336" t="str">
            <v/>
          </cell>
          <cell r="Q336" t="str">
            <v>有効期限（ＦＲＯＭ）</v>
          </cell>
        </row>
        <row r="337">
          <cell r="B337">
            <v>456</v>
          </cell>
          <cell r="C337" t="str">
            <v>販売終了時刻</v>
          </cell>
          <cell r="K337" t="str">
            <v>HNET</v>
          </cell>
          <cell r="L337" t="str">
            <v>HNET</v>
          </cell>
          <cell r="M337" t="str">
            <v>S</v>
          </cell>
          <cell r="N337">
            <v>6</v>
          </cell>
          <cell r="O337" t="str">
            <v/>
          </cell>
          <cell r="Q337" t="str">
            <v>有効期限（ＴＯ）</v>
          </cell>
        </row>
        <row r="338">
          <cell r="B338">
            <v>457</v>
          </cell>
          <cell r="C338" t="str">
            <v>販売終了日付</v>
          </cell>
          <cell r="K338" t="str">
            <v>HNED</v>
          </cell>
          <cell r="L338" t="str">
            <v>HNED</v>
          </cell>
          <cell r="M338" t="str">
            <v>S</v>
          </cell>
          <cell r="N338">
            <v>8</v>
          </cell>
          <cell r="O338" t="str">
            <v/>
          </cell>
          <cell r="Q338" t="str">
            <v>有効期限（ＴＯ）</v>
          </cell>
        </row>
        <row r="339">
          <cell r="B339">
            <v>458</v>
          </cell>
          <cell r="C339" t="str">
            <v>販売価格</v>
          </cell>
          <cell r="K339" t="str">
            <v>HNKG</v>
          </cell>
          <cell r="L339" t="str">
            <v>HNKKTX</v>
          </cell>
          <cell r="M339" t="str">
            <v>P</v>
          </cell>
          <cell r="N339">
            <v>7</v>
          </cell>
          <cell r="O339" t="str">
            <v/>
          </cell>
          <cell r="Q339" t="str">
            <v>商品の単位単価</v>
          </cell>
        </row>
        <row r="340">
          <cell r="B340">
            <v>459</v>
          </cell>
          <cell r="C340" t="str">
            <v>販売価格（税抜）</v>
          </cell>
          <cell r="K340" t="str">
            <v>HNNG</v>
          </cell>
          <cell r="M340" t="str">
            <v>P</v>
          </cell>
          <cell r="N340">
            <v>7</v>
          </cell>
          <cell r="O340" t="str">
            <v/>
          </cell>
          <cell r="Q340" t="str">
            <v>商品の単位単価</v>
          </cell>
        </row>
        <row r="341">
          <cell r="B341">
            <v>460</v>
          </cell>
          <cell r="C341" t="str">
            <v>復号キー</v>
          </cell>
          <cell r="K341" t="str">
            <v>FUKI</v>
          </cell>
          <cell r="L341" t="str">
            <v>HKGKEY</v>
          </cell>
          <cell r="M341" t="str">
            <v>A</v>
          </cell>
          <cell r="N341">
            <v>50</v>
          </cell>
          <cell r="O341" t="str">
            <v/>
          </cell>
          <cell r="Q341" t="str">
            <v>暗号キー</v>
          </cell>
        </row>
        <row r="342">
          <cell r="B342">
            <v>461</v>
          </cell>
          <cell r="C342" t="str">
            <v>分割回数</v>
          </cell>
          <cell r="K342" t="str">
            <v>BUKS</v>
          </cell>
          <cell r="M342" t="str">
            <v>A</v>
          </cell>
          <cell r="N342">
            <v>3</v>
          </cell>
          <cell r="O342" t="str">
            <v/>
          </cell>
          <cell r="Q342" t="str">
            <v>1回払い、ボーナス1回：００１、ボーナス2回：００２、リボ払い：スペース、分割払い：分割回数</v>
          </cell>
        </row>
        <row r="343">
          <cell r="B343">
            <v>462</v>
          </cell>
          <cell r="C343" t="str">
            <v>分配区分</v>
          </cell>
          <cell r="K343" t="str">
            <v>BUIK</v>
          </cell>
          <cell r="M343" t="str">
            <v>A</v>
          </cell>
          <cell r="N343">
            <v>2</v>
          </cell>
          <cell r="O343" t="str">
            <v/>
          </cell>
          <cell r="Q343" t="str">
            <v>得意先等</v>
          </cell>
        </row>
        <row r="344">
          <cell r="B344">
            <v>463</v>
          </cell>
          <cell r="C344" t="str">
            <v>分配対象区分</v>
          </cell>
          <cell r="K344" t="str">
            <v>BUTK</v>
          </cell>
          <cell r="M344" t="str">
            <v>A</v>
          </cell>
          <cell r="N344">
            <v>1</v>
          </cell>
          <cell r="O344" t="str">
            <v/>
          </cell>
          <cell r="Q344" t="str">
            <v>１：対象、２：対象外</v>
          </cell>
        </row>
        <row r="345">
          <cell r="B345">
            <v>464</v>
          </cell>
          <cell r="C345" t="str">
            <v>分配率</v>
          </cell>
          <cell r="K345" t="str">
            <v>BURI</v>
          </cell>
          <cell r="M345" t="str">
            <v>S</v>
          </cell>
          <cell r="N345">
            <v>3</v>
          </cell>
          <cell r="O345">
            <v>2</v>
          </cell>
          <cell r="Q345" t="str">
            <v>掛け率</v>
          </cell>
        </row>
        <row r="346">
          <cell r="B346">
            <v>465</v>
          </cell>
          <cell r="C346" t="str">
            <v>閉店日付</v>
          </cell>
          <cell r="K346" t="str">
            <v>HEID</v>
          </cell>
          <cell r="M346" t="str">
            <v>S</v>
          </cell>
          <cell r="N346">
            <v>8</v>
          </cell>
          <cell r="O346" t="str">
            <v/>
          </cell>
          <cell r="Q346" t="str">
            <v>店舗の閉店日付</v>
          </cell>
        </row>
        <row r="347">
          <cell r="B347">
            <v>470</v>
          </cell>
          <cell r="C347" t="str">
            <v>本番保留フラグ</v>
          </cell>
          <cell r="K347" t="str">
            <v>HOHF</v>
          </cell>
          <cell r="L347" t="str">
            <v>HOHF</v>
          </cell>
          <cell r="M347" t="str">
            <v>A</v>
          </cell>
          <cell r="N347">
            <v>1</v>
          </cell>
          <cell r="O347" t="str">
            <v/>
          </cell>
          <cell r="Q347" t="str">
            <v>０：通常、１：保留</v>
          </cell>
        </row>
        <row r="348">
          <cell r="B348">
            <v>471</v>
          </cell>
          <cell r="C348" t="str">
            <v>保留処理日時</v>
          </cell>
          <cell r="K348" t="str">
            <v>HOSD</v>
          </cell>
          <cell r="M348" t="str">
            <v>S</v>
          </cell>
          <cell r="N348">
            <v>14</v>
          </cell>
          <cell r="O348" t="str">
            <v/>
          </cell>
          <cell r="Q348" t="str">
            <v>保留フラグを更新した日時</v>
          </cell>
        </row>
        <row r="349">
          <cell r="B349">
            <v>473</v>
          </cell>
          <cell r="C349" t="str">
            <v>本人確認区分</v>
          </cell>
          <cell r="K349" t="str">
            <v>HOKK</v>
          </cell>
          <cell r="M349" t="str">
            <v>A</v>
          </cell>
          <cell r="N349">
            <v>1</v>
          </cell>
          <cell r="O349" t="str">
            <v/>
          </cell>
          <cell r="Q349" t="str">
            <v>１：確認済み</v>
          </cell>
        </row>
        <row r="350">
          <cell r="B350">
            <v>475</v>
          </cell>
          <cell r="C350" t="str">
            <v>無償区分</v>
          </cell>
          <cell r="K350" t="str">
            <v>MSYK</v>
          </cell>
          <cell r="L350" t="str">
            <v>MSYK</v>
          </cell>
          <cell r="M350" t="str">
            <v>A</v>
          </cell>
          <cell r="N350">
            <v>1</v>
          </cell>
          <cell r="O350" t="str">
            <v/>
          </cell>
          <cell r="Q350" t="str">
            <v>１：有償、２：無償</v>
          </cell>
        </row>
        <row r="351">
          <cell r="B351">
            <v>476</v>
          </cell>
          <cell r="C351" t="str">
            <v>名称コード</v>
          </cell>
          <cell r="K351" t="str">
            <v>MEIC</v>
          </cell>
          <cell r="M351" t="str">
            <v>A</v>
          </cell>
          <cell r="N351">
            <v>10</v>
          </cell>
          <cell r="O351" t="str">
            <v/>
          </cell>
          <cell r="Q351" t="str">
            <v>名称コード</v>
          </cell>
        </row>
        <row r="352">
          <cell r="B352">
            <v>477</v>
          </cell>
          <cell r="C352" t="str">
            <v>名称識別コード</v>
          </cell>
          <cell r="K352" t="str">
            <v>MESC</v>
          </cell>
          <cell r="M352" t="str">
            <v>A</v>
          </cell>
          <cell r="N352">
            <v>4</v>
          </cell>
          <cell r="O352" t="str">
            <v/>
          </cell>
          <cell r="Q352" t="str">
            <v>名称識別コード</v>
          </cell>
        </row>
        <row r="353">
          <cell r="B353">
            <v>478</v>
          </cell>
          <cell r="C353" t="str">
            <v>名称情報１</v>
          </cell>
          <cell r="K353" t="str">
            <v>MEJ1</v>
          </cell>
          <cell r="M353" t="str">
            <v>O</v>
          </cell>
          <cell r="N353">
            <v>32</v>
          </cell>
          <cell r="O353" t="str">
            <v/>
          </cell>
          <cell r="Q353" t="str">
            <v>名称情報１</v>
          </cell>
        </row>
        <row r="354">
          <cell r="B354">
            <v>479</v>
          </cell>
          <cell r="C354" t="str">
            <v>名称情報２</v>
          </cell>
          <cell r="K354" t="str">
            <v>MEJ2</v>
          </cell>
          <cell r="M354" t="str">
            <v>O</v>
          </cell>
          <cell r="N354">
            <v>70</v>
          </cell>
          <cell r="O354" t="str">
            <v/>
          </cell>
          <cell r="Q354" t="str">
            <v>名称情報２</v>
          </cell>
        </row>
        <row r="355">
          <cell r="B355">
            <v>480</v>
          </cell>
          <cell r="C355" t="str">
            <v>名称情報カナ</v>
          </cell>
          <cell r="K355" t="str">
            <v>MEJM</v>
          </cell>
          <cell r="M355" t="str">
            <v>A</v>
          </cell>
          <cell r="N355">
            <v>24</v>
          </cell>
          <cell r="O355" t="str">
            <v/>
          </cell>
          <cell r="Q355" t="str">
            <v>名称情報カナ</v>
          </cell>
        </row>
        <row r="356">
          <cell r="B356">
            <v>481</v>
          </cell>
          <cell r="C356" t="str">
            <v>有効開始日付</v>
          </cell>
          <cell r="K356" t="str">
            <v>YUSD</v>
          </cell>
          <cell r="L356" t="str">
            <v>YUSD</v>
          </cell>
          <cell r="M356" t="str">
            <v>S</v>
          </cell>
          <cell r="N356">
            <v>8</v>
          </cell>
          <cell r="O356" t="str">
            <v/>
          </cell>
          <cell r="Q356" t="str">
            <v>有効開始日付</v>
          </cell>
        </row>
        <row r="357">
          <cell r="B357">
            <v>482</v>
          </cell>
          <cell r="C357" t="str">
            <v>有効期限</v>
          </cell>
          <cell r="K357" t="str">
            <v>YUKD</v>
          </cell>
          <cell r="M357" t="str">
            <v>A</v>
          </cell>
          <cell r="N357">
            <v>4</v>
          </cell>
          <cell r="O357" t="str">
            <v/>
          </cell>
          <cell r="Q357" t="str">
            <v>カード上の有効期限</v>
          </cell>
        </row>
        <row r="358">
          <cell r="B358">
            <v>483</v>
          </cell>
          <cell r="C358" t="str">
            <v>有効期限更新サイン</v>
          </cell>
          <cell r="K358" t="str">
            <v>YUSI</v>
          </cell>
          <cell r="M358" t="str">
            <v>A</v>
          </cell>
          <cell r="N358">
            <v>1</v>
          </cell>
          <cell r="O358" t="str">
            <v/>
          </cell>
          <cell r="Q358" t="str">
            <v>ＳＰＡＣＥ、「０」変更なし「１」変更あり「ｂ」スペース</v>
          </cell>
        </row>
        <row r="359">
          <cell r="B359">
            <v>484</v>
          </cell>
          <cell r="C359" t="str">
            <v>有効期限更新件数</v>
          </cell>
          <cell r="K359" t="str">
            <v>YUSS</v>
          </cell>
          <cell r="M359" t="str">
            <v>S</v>
          </cell>
          <cell r="N359">
            <v>7</v>
          </cell>
          <cell r="O359" t="str">
            <v/>
          </cell>
          <cell r="Q359" t="str">
            <v>オールＺＥＲ０、有効期限更新サイン「１」件数</v>
          </cell>
        </row>
        <row r="360">
          <cell r="B360">
            <v>485</v>
          </cell>
          <cell r="C360" t="str">
            <v>有効終了日付</v>
          </cell>
          <cell r="K360" t="str">
            <v>YUED</v>
          </cell>
          <cell r="L360" t="str">
            <v>YUED</v>
          </cell>
          <cell r="M360" t="str">
            <v>S</v>
          </cell>
          <cell r="N360">
            <v>8</v>
          </cell>
          <cell r="O360" t="str">
            <v/>
          </cell>
          <cell r="Q360" t="str">
            <v>有効終了日付</v>
          </cell>
        </row>
        <row r="361">
          <cell r="B361">
            <v>486</v>
          </cell>
          <cell r="C361" t="str">
            <v>有効性判定結果</v>
          </cell>
          <cell r="K361" t="str">
            <v>YUSH</v>
          </cell>
          <cell r="M361" t="str">
            <v>A</v>
          </cell>
          <cell r="N361">
            <v>1</v>
          </cell>
          <cell r="O361" t="str">
            <v/>
          </cell>
          <cell r="Q361" t="str">
            <v>ＳＰＡＣＥ、０：ＯＫ １：ＮＧ ２：エラー</v>
          </cell>
        </row>
        <row r="362">
          <cell r="B362">
            <v>487</v>
          </cell>
          <cell r="C362" t="str">
            <v>郵便番号</v>
          </cell>
          <cell r="K362" t="str">
            <v>YUBG</v>
          </cell>
          <cell r="L362" t="str">
            <v>YUBG</v>
          </cell>
          <cell r="M362" t="str">
            <v>A</v>
          </cell>
          <cell r="N362">
            <v>7</v>
          </cell>
          <cell r="O362" t="str">
            <v/>
          </cell>
          <cell r="Q362" t="str">
            <v>郵便番号</v>
          </cell>
        </row>
        <row r="363">
          <cell r="B363">
            <v>489</v>
          </cell>
          <cell r="C363" t="str">
            <v>予備</v>
          </cell>
          <cell r="K363" t="str">
            <v>YOBI</v>
          </cell>
          <cell r="M363" t="str">
            <v>A</v>
          </cell>
          <cell r="N363">
            <v>41</v>
          </cell>
          <cell r="O363" t="str">
            <v/>
          </cell>
          <cell r="Q363" t="str">
            <v>予備</v>
          </cell>
        </row>
        <row r="364">
          <cell r="B364">
            <v>490</v>
          </cell>
          <cell r="C364" t="str">
            <v>予備(１)</v>
          </cell>
          <cell r="K364" t="str">
            <v>YOBA</v>
          </cell>
          <cell r="M364" t="str">
            <v>A</v>
          </cell>
          <cell r="N364">
            <v>7</v>
          </cell>
          <cell r="O364" t="str">
            <v/>
          </cell>
          <cell r="Q364" t="str">
            <v>予備</v>
          </cell>
        </row>
        <row r="365">
          <cell r="B365">
            <v>491</v>
          </cell>
          <cell r="C365" t="str">
            <v>予備(２)</v>
          </cell>
          <cell r="K365" t="str">
            <v>YOBB</v>
          </cell>
          <cell r="M365" t="str">
            <v>A</v>
          </cell>
          <cell r="N365">
            <v>7</v>
          </cell>
          <cell r="O365" t="str">
            <v/>
          </cell>
          <cell r="Q365" t="str">
            <v>予備</v>
          </cell>
        </row>
        <row r="366">
          <cell r="B366">
            <v>492</v>
          </cell>
          <cell r="C366" t="str">
            <v>予備エリア</v>
          </cell>
          <cell r="K366" t="str">
            <v>YOBX</v>
          </cell>
          <cell r="M366" t="str">
            <v>A</v>
          </cell>
          <cell r="N366">
            <v>3</v>
          </cell>
          <cell r="O366" t="str">
            <v/>
          </cell>
          <cell r="Q366" t="str">
            <v>「000」固定</v>
          </cell>
        </row>
        <row r="367">
          <cell r="B367">
            <v>493</v>
          </cell>
          <cell r="C367" t="str">
            <v>予約№</v>
          </cell>
          <cell r="K367" t="str">
            <v>YONO</v>
          </cell>
          <cell r="M367" t="str">
            <v>A</v>
          </cell>
          <cell r="N367">
            <v>16</v>
          </cell>
          <cell r="O367" t="str">
            <v/>
          </cell>
          <cell r="Q367" t="str">
            <v>Ｈ／Ｗ販売の予約Ｎｏ</v>
          </cell>
        </row>
        <row r="368">
          <cell r="B368">
            <v>494</v>
          </cell>
          <cell r="C368" t="str">
            <v>余白</v>
          </cell>
          <cell r="K368" t="str">
            <v>YOHK</v>
          </cell>
          <cell r="M368" t="str">
            <v>A</v>
          </cell>
          <cell r="N368">
            <v>1</v>
          </cell>
          <cell r="O368" t="str">
            <v/>
          </cell>
          <cell r="Q368" t="str">
            <v>固定値＝スペース</v>
          </cell>
        </row>
        <row r="369">
          <cell r="B369">
            <v>495</v>
          </cell>
          <cell r="C369" t="str">
            <v>利用№</v>
          </cell>
          <cell r="K369" t="str">
            <v>RINO</v>
          </cell>
          <cell r="M369" t="str">
            <v>A</v>
          </cell>
          <cell r="N369">
            <v>11</v>
          </cell>
          <cell r="O369" t="str">
            <v/>
          </cell>
          <cell r="Q369" t="str">
            <v>種別＋№</v>
          </cell>
        </row>
        <row r="370">
          <cell r="B370">
            <v>496</v>
          </cell>
          <cell r="C370" t="str">
            <v>利用開始時刻</v>
          </cell>
          <cell r="K370" t="str">
            <v>RIST</v>
          </cell>
          <cell r="L370" t="str">
            <v>RIST</v>
          </cell>
          <cell r="M370" t="str">
            <v>S</v>
          </cell>
          <cell r="N370">
            <v>6</v>
          </cell>
          <cell r="O370" t="str">
            <v/>
          </cell>
          <cell r="Q370" t="str">
            <v>期間権の場合のサービス開始</v>
          </cell>
        </row>
        <row r="371">
          <cell r="B371">
            <v>497</v>
          </cell>
          <cell r="C371" t="str">
            <v>利用開始日付</v>
          </cell>
          <cell r="K371" t="str">
            <v>RISD</v>
          </cell>
          <cell r="L371" t="str">
            <v>RIYSDT</v>
          </cell>
          <cell r="M371" t="str">
            <v>S</v>
          </cell>
          <cell r="N371">
            <v>8</v>
          </cell>
          <cell r="O371" t="str">
            <v/>
          </cell>
          <cell r="Q371" t="str">
            <v>利用開始日付</v>
          </cell>
        </row>
        <row r="372">
          <cell r="B372">
            <v>498</v>
          </cell>
          <cell r="C372" t="str">
            <v>利用区分３</v>
          </cell>
          <cell r="K372" t="str">
            <v>RIK3</v>
          </cell>
          <cell r="L372" t="str">
            <v>RYKB3</v>
          </cell>
          <cell r="M372" t="str">
            <v>A</v>
          </cell>
          <cell r="N372">
            <v>1</v>
          </cell>
          <cell r="O372" t="str">
            <v/>
          </cell>
          <cell r="Q372" t="str">
            <v>会員区分の利用区分</v>
          </cell>
        </row>
        <row r="373">
          <cell r="B373">
            <v>499</v>
          </cell>
          <cell r="C373" t="str">
            <v>利用区分４</v>
          </cell>
          <cell r="K373" t="str">
            <v>RIK4</v>
          </cell>
          <cell r="L373" t="str">
            <v>RYKB4</v>
          </cell>
          <cell r="M373" t="str">
            <v>A</v>
          </cell>
          <cell r="N373">
            <v>1</v>
          </cell>
          <cell r="O373" t="str">
            <v/>
          </cell>
          <cell r="Q373" t="str">
            <v>会員区分の利用区分</v>
          </cell>
        </row>
        <row r="374">
          <cell r="B374">
            <v>500</v>
          </cell>
          <cell r="C374" t="str">
            <v>利用区分５</v>
          </cell>
          <cell r="K374" t="str">
            <v>RIK5</v>
          </cell>
          <cell r="L374" t="str">
            <v>RYKB5</v>
          </cell>
          <cell r="M374" t="str">
            <v>A</v>
          </cell>
          <cell r="N374">
            <v>1</v>
          </cell>
          <cell r="O374" t="str">
            <v/>
          </cell>
          <cell r="Q374" t="str">
            <v>会員区分の利用区分</v>
          </cell>
        </row>
        <row r="375">
          <cell r="B375">
            <v>501</v>
          </cell>
          <cell r="C375" t="str">
            <v>利用者氏名カナ</v>
          </cell>
          <cell r="K375" t="str">
            <v>RISM</v>
          </cell>
          <cell r="L375" t="str">
            <v>RISM</v>
          </cell>
          <cell r="M375" t="str">
            <v>A</v>
          </cell>
          <cell r="N375">
            <v>20</v>
          </cell>
          <cell r="O375" t="str">
            <v/>
          </cell>
          <cell r="Q375" t="str">
            <v>利用者氏名カナ</v>
          </cell>
        </row>
        <row r="376">
          <cell r="B376">
            <v>502</v>
          </cell>
          <cell r="C376" t="str">
            <v>利用者氏名漢字</v>
          </cell>
          <cell r="K376" t="str">
            <v>RISN</v>
          </cell>
          <cell r="L376" t="str">
            <v>RISN</v>
          </cell>
          <cell r="M376" t="str">
            <v>O</v>
          </cell>
          <cell r="N376">
            <v>42</v>
          </cell>
          <cell r="O376" t="str">
            <v/>
          </cell>
          <cell r="Q376" t="str">
            <v>利用者氏名漢字</v>
          </cell>
        </row>
        <row r="377">
          <cell r="B377" t="str">
            <v>削除</v>
          </cell>
          <cell r="C377" t="str">
            <v>利用者状況区分</v>
          </cell>
          <cell r="K377" t="str">
            <v>RIJK</v>
          </cell>
          <cell r="L377" t="str">
            <v>RIJK</v>
          </cell>
          <cell r="M377" t="str">
            <v>A</v>
          </cell>
          <cell r="N377">
            <v>2</v>
          </cell>
          <cell r="O377" t="str">
            <v/>
          </cell>
          <cell r="Q377" t="str">
            <v>利用者状況区分：５０３</v>
          </cell>
        </row>
        <row r="378">
          <cell r="B378">
            <v>504</v>
          </cell>
          <cell r="C378" t="str">
            <v>利用者職業</v>
          </cell>
          <cell r="K378" t="str">
            <v>RISY</v>
          </cell>
          <cell r="L378" t="str">
            <v>RISY</v>
          </cell>
          <cell r="M378" t="str">
            <v>A</v>
          </cell>
          <cell r="N378">
            <v>2</v>
          </cell>
          <cell r="O378" t="str">
            <v/>
          </cell>
          <cell r="Q378" t="str">
            <v>利用者職業</v>
          </cell>
        </row>
        <row r="379">
          <cell r="B379">
            <v>510</v>
          </cell>
          <cell r="C379" t="str">
            <v>連絡先ＴＥＬ番号</v>
          </cell>
          <cell r="K379" t="str">
            <v>RTLB</v>
          </cell>
          <cell r="M379" t="str">
            <v>A</v>
          </cell>
          <cell r="N379">
            <v>15</v>
          </cell>
          <cell r="O379" t="str">
            <v xml:space="preserve"> </v>
          </cell>
          <cell r="P379" t="str">
            <v xml:space="preserve"> </v>
          </cell>
          <cell r="Q379" t="str">
            <v>連絡先の電話番号（ハイフン無し）</v>
          </cell>
        </row>
        <row r="380">
          <cell r="B380">
            <v>512</v>
          </cell>
          <cell r="C380" t="str">
            <v>商品区分</v>
          </cell>
          <cell r="K380" t="str">
            <v>SHKB</v>
          </cell>
          <cell r="L380" t="str">
            <v>SYOKB</v>
          </cell>
          <cell r="M380" t="str">
            <v>A</v>
          </cell>
          <cell r="N380">
            <v>1</v>
          </cell>
          <cell r="O380" t="str">
            <v/>
          </cell>
          <cell r="Q380" t="str">
            <v>商品区分(サービスOR商品）</v>
          </cell>
        </row>
        <row r="381">
          <cell r="B381">
            <v>513</v>
          </cell>
          <cell r="C381" t="str">
            <v>サービス料金分類</v>
          </cell>
          <cell r="K381" t="str">
            <v>SBRB</v>
          </cell>
          <cell r="M381" t="str">
            <v>A</v>
          </cell>
          <cell r="N381">
            <v>2</v>
          </cell>
          <cell r="O381" t="str">
            <v/>
          </cell>
          <cell r="Q381" t="str">
            <v>サービス料金コードを分類するコード</v>
          </cell>
        </row>
        <row r="382">
          <cell r="B382">
            <v>514</v>
          </cell>
          <cell r="C382" t="str">
            <v>非商品区分</v>
          </cell>
          <cell r="K382" t="str">
            <v>HISK</v>
          </cell>
          <cell r="L382" t="str">
            <v>NSYOKB</v>
          </cell>
          <cell r="M382" t="str">
            <v>A</v>
          </cell>
          <cell r="N382">
            <v>1</v>
          </cell>
          <cell r="O382" t="str">
            <v/>
          </cell>
          <cell r="Q382" t="str">
            <v xml:space="preserve">単価のない商品を指す（１：価格なし、２：価格あり） </v>
          </cell>
        </row>
        <row r="383">
          <cell r="B383">
            <v>515</v>
          </cell>
          <cell r="C383" t="str">
            <v>アクセス用分類</v>
          </cell>
          <cell r="K383" t="str">
            <v>ACBU</v>
          </cell>
          <cell r="L383" t="str">
            <v>ACCBUN</v>
          </cell>
          <cell r="M383" t="str">
            <v>A</v>
          </cell>
          <cell r="N383">
            <v>2</v>
          </cell>
          <cell r="O383" t="str">
            <v/>
          </cell>
          <cell r="Q383" t="str">
            <v>５つの分類にする。１：ＨＷ、２：ソフト、３：コンテンツ、４：プリペイド、５：アクセス権</v>
          </cell>
        </row>
        <row r="384">
          <cell r="B384">
            <v>516</v>
          </cell>
          <cell r="C384" t="str">
            <v>プリペイド分類</v>
          </cell>
          <cell r="K384" t="str">
            <v>PRIB</v>
          </cell>
          <cell r="L384" t="str">
            <v>PRPBUN</v>
          </cell>
          <cell r="M384" t="str">
            <v>A</v>
          </cell>
          <cell r="N384">
            <v>2</v>
          </cell>
          <cell r="O384" t="str">
            <v/>
          </cell>
          <cell r="Q384" t="str">
            <v>プリペイド商品を分類する区分</v>
          </cell>
        </row>
        <row r="385">
          <cell r="B385">
            <v>517</v>
          </cell>
          <cell r="C385" t="str">
            <v>メーカー製品コード</v>
          </cell>
          <cell r="K385" t="str">
            <v>MASC</v>
          </cell>
          <cell r="M385" t="str">
            <v>A</v>
          </cell>
          <cell r="N385">
            <v>20</v>
          </cell>
          <cell r="O385" t="str">
            <v/>
          </cell>
          <cell r="Q385" t="str">
            <v>メーカー製品コード</v>
          </cell>
        </row>
        <row r="386">
          <cell r="B386">
            <v>518</v>
          </cell>
          <cell r="C386" t="str">
            <v>ＤＤソフト分類</v>
          </cell>
          <cell r="K386" t="str">
            <v>DDSB</v>
          </cell>
          <cell r="M386" t="str">
            <v>A</v>
          </cell>
          <cell r="N386">
            <v>2</v>
          </cell>
          <cell r="O386" t="str">
            <v/>
          </cell>
          <cell r="Q386" t="str">
            <v>ＤＤソフトを分類する区分</v>
          </cell>
        </row>
        <row r="387">
          <cell r="B387">
            <v>519</v>
          </cell>
          <cell r="C387" t="str">
            <v>度数</v>
          </cell>
          <cell r="K387" t="str">
            <v>DOSU</v>
          </cell>
          <cell r="L387" t="str">
            <v>DOSU</v>
          </cell>
          <cell r="M387" t="str">
            <v>P</v>
          </cell>
          <cell r="N387">
            <v>5</v>
          </cell>
          <cell r="O387" t="str">
            <v/>
          </cell>
          <cell r="Q387" t="str">
            <v>プリペイドの度数</v>
          </cell>
        </row>
        <row r="388">
          <cell r="B388">
            <v>521</v>
          </cell>
          <cell r="C388" t="str">
            <v>コンテンツ分類</v>
          </cell>
          <cell r="K388" t="str">
            <v>CNBU</v>
          </cell>
          <cell r="M388" t="str">
            <v>A</v>
          </cell>
          <cell r="N388">
            <v>2</v>
          </cell>
          <cell r="O388" t="str">
            <v/>
          </cell>
          <cell r="Q388" t="str">
            <v>コンテンツ商品を分類するコード</v>
          </cell>
        </row>
        <row r="389">
          <cell r="B389">
            <v>522</v>
          </cell>
          <cell r="C389" t="str">
            <v>コンテンツＩＤ</v>
          </cell>
          <cell r="K389" t="str">
            <v>CNID</v>
          </cell>
          <cell r="L389" t="str">
            <v>CNTSID</v>
          </cell>
          <cell r="M389" t="str">
            <v>A</v>
          </cell>
          <cell r="N389">
            <v>7</v>
          </cell>
          <cell r="O389" t="str">
            <v/>
          </cell>
          <cell r="Q389" t="str">
            <v>コンテンツをユニークにするコード</v>
          </cell>
        </row>
        <row r="390">
          <cell r="B390">
            <v>523</v>
          </cell>
          <cell r="C390" t="str">
            <v>アクセス権分類</v>
          </cell>
          <cell r="K390" t="str">
            <v>ACKB</v>
          </cell>
          <cell r="L390" t="str">
            <v>ACKNBN</v>
          </cell>
          <cell r="M390" t="str">
            <v>A</v>
          </cell>
          <cell r="N390">
            <v>2</v>
          </cell>
          <cell r="O390" t="str">
            <v/>
          </cell>
          <cell r="Q390" t="str">
            <v>アクセス権商品を分類するコード</v>
          </cell>
        </row>
        <row r="391">
          <cell r="B391">
            <v>524</v>
          </cell>
          <cell r="C391" t="str">
            <v>レコード識別コード</v>
          </cell>
          <cell r="K391" t="str">
            <v>RESC</v>
          </cell>
          <cell r="M391" t="str">
            <v>A</v>
          </cell>
          <cell r="N391">
            <v>1</v>
          </cell>
          <cell r="O391" t="str">
            <v/>
          </cell>
          <cell r="Q391" t="str">
            <v>クレジット認証のレコード識別</v>
          </cell>
        </row>
        <row r="392">
          <cell r="B392">
            <v>525</v>
          </cell>
          <cell r="C392" t="str">
            <v>代表加盟店番号</v>
          </cell>
          <cell r="K392" t="str">
            <v>DKBG</v>
          </cell>
          <cell r="M392" t="str">
            <v>A</v>
          </cell>
          <cell r="N392">
            <v>4</v>
          </cell>
          <cell r="O392" t="str">
            <v/>
          </cell>
          <cell r="Q392" t="str">
            <v>クレジット認証の代表加盟店番号</v>
          </cell>
        </row>
        <row r="393">
          <cell r="B393">
            <v>526</v>
          </cell>
          <cell r="C393" t="str">
            <v>リザーブ</v>
          </cell>
          <cell r="K393" t="str">
            <v>RIZB</v>
          </cell>
          <cell r="M393" t="str">
            <v>A</v>
          </cell>
          <cell r="N393">
            <v>1</v>
          </cell>
          <cell r="O393" t="str">
            <v/>
          </cell>
          <cell r="Q393" t="str">
            <v>クレジット認証の予備</v>
          </cell>
        </row>
        <row r="394">
          <cell r="B394">
            <v>527</v>
          </cell>
          <cell r="C394" t="str">
            <v>ファイル作成者ＩＤ</v>
          </cell>
          <cell r="K394" t="str">
            <v>FIAI</v>
          </cell>
          <cell r="M394" t="str">
            <v>A</v>
          </cell>
          <cell r="N394">
            <v>3</v>
          </cell>
          <cell r="O394" t="str">
            <v/>
          </cell>
          <cell r="Q394" t="str">
            <v>クレジット認証の作成者を認識する番号</v>
          </cell>
        </row>
        <row r="395">
          <cell r="B395">
            <v>528</v>
          </cell>
          <cell r="C395" t="str">
            <v>ファイルラベル番号</v>
          </cell>
          <cell r="K395" t="str">
            <v>FILB</v>
          </cell>
          <cell r="M395" t="str">
            <v>A</v>
          </cell>
          <cell r="N395">
            <v>7</v>
          </cell>
          <cell r="O395" t="str">
            <v/>
          </cell>
          <cell r="Q395" t="str">
            <v>クレジット認証のファイルラベルを認識する番号</v>
          </cell>
        </row>
        <row r="396">
          <cell r="B396">
            <v>529</v>
          </cell>
          <cell r="C396" t="str">
            <v>依頼ファイル作成日付</v>
          </cell>
          <cell r="K396" t="str">
            <v>IRAD</v>
          </cell>
          <cell r="M396" t="str">
            <v>A</v>
          </cell>
          <cell r="N396">
            <v>6</v>
          </cell>
          <cell r="O396" t="str">
            <v/>
          </cell>
          <cell r="Q396" t="str">
            <v>クレジット認証の作成日付</v>
          </cell>
        </row>
        <row r="397">
          <cell r="B397">
            <v>530</v>
          </cell>
          <cell r="C397" t="str">
            <v>依頼ファイル作成時刻</v>
          </cell>
          <cell r="K397" t="str">
            <v>IRAT</v>
          </cell>
          <cell r="M397" t="str">
            <v>A</v>
          </cell>
          <cell r="N397">
            <v>6</v>
          </cell>
          <cell r="O397" t="str">
            <v/>
          </cell>
          <cell r="Q397" t="str">
            <v>クレジット認証の作成時刻</v>
          </cell>
        </row>
        <row r="398">
          <cell r="B398">
            <v>531</v>
          </cell>
          <cell r="C398" t="str">
            <v>結果ファイル作成日付</v>
          </cell>
          <cell r="K398" t="str">
            <v>KFAD</v>
          </cell>
          <cell r="M398" t="str">
            <v>A</v>
          </cell>
          <cell r="N398">
            <v>6</v>
          </cell>
          <cell r="O398" t="str">
            <v/>
          </cell>
          <cell r="Q398" t="str">
            <v>クレジット認証の結果作成日付</v>
          </cell>
        </row>
        <row r="399">
          <cell r="B399">
            <v>532</v>
          </cell>
          <cell r="C399" t="str">
            <v>結果ファイル作成時刻</v>
          </cell>
          <cell r="K399" t="str">
            <v>KFAT</v>
          </cell>
          <cell r="M399" t="str">
            <v>A</v>
          </cell>
          <cell r="N399">
            <v>6</v>
          </cell>
          <cell r="O399" t="str">
            <v/>
          </cell>
          <cell r="Q399" t="str">
            <v>クレジット認証の結果作成時刻</v>
          </cell>
        </row>
        <row r="400">
          <cell r="B400">
            <v>533</v>
          </cell>
          <cell r="C400" t="str">
            <v>ファイル受付拒否区分</v>
          </cell>
          <cell r="K400" t="str">
            <v>FIKK</v>
          </cell>
          <cell r="M400" t="str">
            <v>A</v>
          </cell>
          <cell r="N400">
            <v>2</v>
          </cell>
          <cell r="O400" t="str">
            <v/>
          </cell>
          <cell r="Q400" t="str">
            <v>クレジット認証の受付拒否の区分</v>
          </cell>
        </row>
        <row r="401">
          <cell r="B401">
            <v>534</v>
          </cell>
          <cell r="C401" t="str">
            <v>データ部レコード総数</v>
          </cell>
          <cell r="K401" t="str">
            <v>DARS</v>
          </cell>
          <cell r="M401" t="str">
            <v>A</v>
          </cell>
          <cell r="N401">
            <v>6</v>
          </cell>
          <cell r="O401" t="str">
            <v/>
          </cell>
          <cell r="Q401" t="str">
            <v>クレジット認証のレコード総数</v>
          </cell>
        </row>
        <row r="402">
          <cell r="B402">
            <v>535</v>
          </cell>
          <cell r="C402" t="str">
            <v>レコード終端文字</v>
          </cell>
          <cell r="K402" t="str">
            <v>RESY</v>
          </cell>
          <cell r="M402" t="str">
            <v>A</v>
          </cell>
          <cell r="N402">
            <v>1</v>
          </cell>
          <cell r="O402" t="str">
            <v/>
          </cell>
          <cell r="Q402" t="str">
            <v>クレジット認証の終端文字</v>
          </cell>
        </row>
        <row r="403">
          <cell r="B403">
            <v>536</v>
          </cell>
          <cell r="C403" t="str">
            <v>レコード番号</v>
          </cell>
          <cell r="K403" t="str">
            <v>REBG</v>
          </cell>
          <cell r="M403" t="str">
            <v>A</v>
          </cell>
          <cell r="N403">
            <v>6</v>
          </cell>
          <cell r="O403" t="str">
            <v/>
          </cell>
          <cell r="Q403" t="str">
            <v>クレジット認証のレコード番号</v>
          </cell>
        </row>
        <row r="404">
          <cell r="B404">
            <v>537</v>
          </cell>
          <cell r="C404" t="str">
            <v>取扱種別</v>
          </cell>
          <cell r="K404" t="str">
            <v>TRSU</v>
          </cell>
          <cell r="M404" t="str">
            <v>A</v>
          </cell>
          <cell r="N404">
            <v>1</v>
          </cell>
          <cell r="O404" t="str">
            <v/>
          </cell>
          <cell r="Q404" t="str">
            <v>クレジット認証の取扱種別</v>
          </cell>
        </row>
        <row r="405">
          <cell r="B405">
            <v>538</v>
          </cell>
          <cell r="C405" t="str">
            <v>カード番号</v>
          </cell>
          <cell r="K405" t="str">
            <v>CDBG</v>
          </cell>
          <cell r="M405" t="str">
            <v>A</v>
          </cell>
          <cell r="N405">
            <v>16</v>
          </cell>
          <cell r="O405" t="str">
            <v/>
          </cell>
          <cell r="Q405" t="str">
            <v>クレジット認証時のカード番号</v>
          </cell>
        </row>
        <row r="406">
          <cell r="B406">
            <v>539</v>
          </cell>
          <cell r="C406" t="str">
            <v>カード暗証番号</v>
          </cell>
          <cell r="K406" t="str">
            <v>CDCN</v>
          </cell>
          <cell r="M406" t="str">
            <v>A</v>
          </cell>
          <cell r="N406">
            <v>4</v>
          </cell>
          <cell r="O406" t="str">
            <v/>
          </cell>
          <cell r="Q406" t="str">
            <v>クレジットＩ／Ｆカード暗証番号</v>
          </cell>
        </row>
        <row r="407">
          <cell r="B407">
            <v>540</v>
          </cell>
          <cell r="C407" t="str">
            <v>カード有効期限</v>
          </cell>
          <cell r="K407" t="str">
            <v>CDYD</v>
          </cell>
          <cell r="M407" t="str">
            <v>A</v>
          </cell>
          <cell r="N407">
            <v>4</v>
          </cell>
          <cell r="O407" t="str">
            <v/>
          </cell>
          <cell r="Q407" t="str">
            <v>クレジット認証時のカード番号有効期限</v>
          </cell>
        </row>
        <row r="408">
          <cell r="B408">
            <v>541</v>
          </cell>
          <cell r="C408" t="str">
            <v>カード売上金額</v>
          </cell>
          <cell r="K408" t="str">
            <v>CDKG</v>
          </cell>
          <cell r="M408" t="str">
            <v>A</v>
          </cell>
          <cell r="N408">
            <v>7</v>
          </cell>
          <cell r="O408" t="str">
            <v/>
          </cell>
          <cell r="Q408" t="str">
            <v>クレジット認証時の売上金額</v>
          </cell>
        </row>
        <row r="409">
          <cell r="B409">
            <v>542</v>
          </cell>
          <cell r="C409" t="str">
            <v>分割払回数</v>
          </cell>
          <cell r="K409" t="str">
            <v>BUHS</v>
          </cell>
          <cell r="M409" t="str">
            <v>A</v>
          </cell>
          <cell r="N409">
            <v>2</v>
          </cell>
          <cell r="O409" t="str">
            <v/>
          </cell>
          <cell r="Q409" t="str">
            <v>ＰＯＳデータの分割払回数</v>
          </cell>
        </row>
        <row r="410">
          <cell r="B410">
            <v>543</v>
          </cell>
          <cell r="C410" t="str">
            <v>計上年月日</v>
          </cell>
          <cell r="K410" t="str">
            <v>KIJD</v>
          </cell>
          <cell r="M410" t="str">
            <v>A</v>
          </cell>
          <cell r="N410">
            <v>7</v>
          </cell>
          <cell r="O410" t="str">
            <v/>
          </cell>
          <cell r="Q410" t="str">
            <v>クレジット認証の計上日付</v>
          </cell>
        </row>
        <row r="411">
          <cell r="B411">
            <v>544</v>
          </cell>
          <cell r="C411" t="str">
            <v>カード会社コード(CREPASS)</v>
          </cell>
          <cell r="K411" t="str">
            <v>CDCC</v>
          </cell>
          <cell r="M411" t="str">
            <v>A</v>
          </cell>
          <cell r="N411">
            <v>7</v>
          </cell>
          <cell r="O411" t="str">
            <v/>
          </cell>
          <cell r="Q411" t="str">
            <v>クレジット認証時のカード会社を判別するコード</v>
          </cell>
        </row>
        <row r="412">
          <cell r="B412">
            <v>545</v>
          </cell>
          <cell r="C412" t="str">
            <v>センター処理通番</v>
          </cell>
          <cell r="K412" t="str">
            <v>SIRE</v>
          </cell>
          <cell r="M412" t="str">
            <v>A</v>
          </cell>
          <cell r="N412">
            <v>5</v>
          </cell>
          <cell r="O412" t="str">
            <v/>
          </cell>
          <cell r="Q412" t="str">
            <v>クレジット認証のセンター通番</v>
          </cell>
        </row>
        <row r="413">
          <cell r="B413">
            <v>546</v>
          </cell>
          <cell r="C413" t="str">
            <v>センター処理日</v>
          </cell>
          <cell r="K413" t="str">
            <v>CNSD</v>
          </cell>
          <cell r="M413" t="str">
            <v>A</v>
          </cell>
          <cell r="N413">
            <v>6</v>
          </cell>
          <cell r="O413" t="str">
            <v/>
          </cell>
          <cell r="Q413" t="str">
            <v>クレジット認証のセンター処理日</v>
          </cell>
        </row>
        <row r="414">
          <cell r="B414">
            <v>547</v>
          </cell>
          <cell r="C414" t="str">
            <v>承認番号(CREPASS)</v>
          </cell>
          <cell r="K414" t="str">
            <v>SNBC</v>
          </cell>
          <cell r="M414" t="str">
            <v>A</v>
          </cell>
          <cell r="N414">
            <v>7</v>
          </cell>
          <cell r="O414" t="str">
            <v/>
          </cell>
          <cell r="Q414" t="str">
            <v>クレジット認証の承認番号</v>
          </cell>
        </row>
        <row r="415">
          <cell r="B415">
            <v>548</v>
          </cell>
          <cell r="C415" t="str">
            <v>エラーコード</v>
          </cell>
          <cell r="K415" t="str">
            <v>ERRC</v>
          </cell>
          <cell r="M415" t="str">
            <v>A</v>
          </cell>
          <cell r="N415">
            <v>3</v>
          </cell>
          <cell r="O415" t="str">
            <v/>
          </cell>
          <cell r="Q415" t="str">
            <v>クレジットＩ／Ｆのエラーを判別する</v>
          </cell>
        </row>
        <row r="416">
          <cell r="B416">
            <v>549</v>
          </cell>
          <cell r="C416" t="str">
            <v>売上レコード総数</v>
          </cell>
          <cell r="K416" t="str">
            <v>URRS</v>
          </cell>
          <cell r="M416" t="str">
            <v>A</v>
          </cell>
          <cell r="N416">
            <v>6</v>
          </cell>
          <cell r="O416" t="str">
            <v/>
          </cell>
          <cell r="Q416" t="str">
            <v>ＰＯＳデータの売上レコード総数</v>
          </cell>
        </row>
        <row r="417">
          <cell r="B417">
            <v>550</v>
          </cell>
          <cell r="C417" t="str">
            <v>取消レコード総数</v>
          </cell>
          <cell r="K417" t="str">
            <v>TERS</v>
          </cell>
          <cell r="M417" t="str">
            <v>A</v>
          </cell>
          <cell r="N417">
            <v>6</v>
          </cell>
          <cell r="O417" t="str">
            <v/>
          </cell>
          <cell r="Q417" t="str">
            <v>クレジット認証の取消レコード件数</v>
          </cell>
        </row>
        <row r="418">
          <cell r="B418">
            <v>551</v>
          </cell>
          <cell r="C418" t="str">
            <v>照会レコード総数</v>
          </cell>
          <cell r="K418" t="str">
            <v>SRRS</v>
          </cell>
          <cell r="M418" t="str">
            <v>A</v>
          </cell>
          <cell r="N418">
            <v>6</v>
          </cell>
          <cell r="O418" t="str">
            <v/>
          </cell>
          <cell r="Q418" t="str">
            <v>クレジット認証の照会レコード総数</v>
          </cell>
        </row>
        <row r="419">
          <cell r="B419">
            <v>552</v>
          </cell>
          <cell r="C419" t="str">
            <v>終了レコード番号</v>
          </cell>
          <cell r="K419" t="str">
            <v>ERBG</v>
          </cell>
          <cell r="M419" t="str">
            <v>A</v>
          </cell>
          <cell r="N419">
            <v>6</v>
          </cell>
          <cell r="O419" t="str">
            <v/>
          </cell>
          <cell r="Q419" t="str">
            <v>クレジット認証の終了レコード番号</v>
          </cell>
        </row>
        <row r="420">
          <cell r="B420">
            <v>553</v>
          </cell>
          <cell r="C420" t="str">
            <v>売上総額</v>
          </cell>
          <cell r="K420" t="str">
            <v>URTG</v>
          </cell>
          <cell r="M420" t="str">
            <v>A</v>
          </cell>
          <cell r="N420">
            <v>10</v>
          </cell>
          <cell r="O420" t="str">
            <v/>
          </cell>
          <cell r="Q420" t="str">
            <v>ＰＯＳデータの売上総額</v>
          </cell>
        </row>
        <row r="421">
          <cell r="B421">
            <v>554</v>
          </cell>
          <cell r="C421" t="str">
            <v>税送料総額</v>
          </cell>
          <cell r="K421" t="str">
            <v>ZSSG</v>
          </cell>
          <cell r="M421" t="str">
            <v>A</v>
          </cell>
          <cell r="N421">
            <v>10</v>
          </cell>
          <cell r="O421" t="str">
            <v/>
          </cell>
          <cell r="Q421" t="str">
            <v>クレジット認証の税送料総額</v>
          </cell>
        </row>
        <row r="422">
          <cell r="B422">
            <v>555</v>
          </cell>
          <cell r="C422" t="str">
            <v>取消総数</v>
          </cell>
          <cell r="K422" t="str">
            <v>TESS</v>
          </cell>
          <cell r="M422" t="str">
            <v>A</v>
          </cell>
          <cell r="N422">
            <v>10</v>
          </cell>
          <cell r="O422" t="str">
            <v/>
          </cell>
          <cell r="Q422" t="str">
            <v>クレジット認証の取消総数</v>
          </cell>
        </row>
        <row r="423">
          <cell r="B423">
            <v>556</v>
          </cell>
          <cell r="C423" t="str">
            <v>課金対照件数</v>
          </cell>
          <cell r="K423" t="str">
            <v>KATS</v>
          </cell>
          <cell r="M423" t="str">
            <v>A</v>
          </cell>
          <cell r="N423">
            <v>6</v>
          </cell>
          <cell r="O423" t="str">
            <v/>
          </cell>
          <cell r="Q423" t="str">
            <v>クレジット認証の課金対象件数</v>
          </cell>
        </row>
        <row r="424">
          <cell r="B424">
            <v>557</v>
          </cell>
          <cell r="C424" t="str">
            <v>非課金対照件数</v>
          </cell>
          <cell r="K424" t="str">
            <v>HITS</v>
          </cell>
          <cell r="M424" t="str">
            <v>A</v>
          </cell>
          <cell r="N424">
            <v>6</v>
          </cell>
          <cell r="O424" t="str">
            <v/>
          </cell>
          <cell r="Q424" t="str">
            <v>ＰＯＳデータの非課金対照件数</v>
          </cell>
        </row>
        <row r="425">
          <cell r="B425">
            <v>558</v>
          </cell>
          <cell r="C425" t="str">
            <v>売上エラー総数</v>
          </cell>
          <cell r="K425" t="str">
            <v>URES</v>
          </cell>
          <cell r="M425" t="str">
            <v>A</v>
          </cell>
          <cell r="N425">
            <v>6</v>
          </cell>
          <cell r="O425" t="str">
            <v/>
          </cell>
          <cell r="Q425" t="str">
            <v>ＰＯＳデータの売上エラー総数</v>
          </cell>
        </row>
        <row r="426">
          <cell r="B426">
            <v>559</v>
          </cell>
          <cell r="C426" t="str">
            <v>取消エラー総数</v>
          </cell>
          <cell r="K426" t="str">
            <v>TEES</v>
          </cell>
          <cell r="M426" t="str">
            <v>A</v>
          </cell>
          <cell r="N426">
            <v>6</v>
          </cell>
          <cell r="O426" t="str">
            <v/>
          </cell>
          <cell r="Q426" t="str">
            <v>取引時刻</v>
          </cell>
        </row>
        <row r="427">
          <cell r="B427">
            <v>560</v>
          </cell>
          <cell r="C427" t="str">
            <v>照会エラー総数</v>
          </cell>
          <cell r="K427" t="str">
            <v>SERS</v>
          </cell>
          <cell r="M427" t="str">
            <v>A</v>
          </cell>
          <cell r="N427">
            <v>6</v>
          </cell>
          <cell r="O427" t="str">
            <v/>
          </cell>
          <cell r="Q427" t="str">
            <v>クレジット認証の照会エラー総数</v>
          </cell>
        </row>
        <row r="428">
          <cell r="B428">
            <v>561</v>
          </cell>
          <cell r="C428" t="str">
            <v>無効／取扱不能レコード総数</v>
          </cell>
          <cell r="K428" t="str">
            <v>MTRS</v>
          </cell>
          <cell r="M428" t="str">
            <v>A</v>
          </cell>
          <cell r="N428">
            <v>6</v>
          </cell>
          <cell r="O428" t="str">
            <v/>
          </cell>
          <cell r="Q428" t="str">
            <v>ＰＯＳデータの無効／取扱不能レコード総数</v>
          </cell>
        </row>
        <row r="429">
          <cell r="B429">
            <v>562</v>
          </cell>
          <cell r="C429" t="str">
            <v>期間権区分</v>
          </cell>
          <cell r="K429" t="str">
            <v>KIKK</v>
          </cell>
          <cell r="L429" t="str">
            <v>KIKNKB</v>
          </cell>
          <cell r="M429" t="str">
            <v>A</v>
          </cell>
          <cell r="N429">
            <v>1</v>
          </cell>
          <cell r="O429" t="str">
            <v/>
          </cell>
          <cell r="Q429" t="str">
            <v>１：日数、２：月数、３：日数＆特定期間、４：月数＆特定期間</v>
          </cell>
        </row>
        <row r="430">
          <cell r="B430">
            <v>563</v>
          </cell>
          <cell r="C430" t="str">
            <v>回数券度数</v>
          </cell>
          <cell r="K430" t="str">
            <v>KIDG</v>
          </cell>
          <cell r="L430" t="str">
            <v>SUKDSU</v>
          </cell>
          <cell r="M430" t="str">
            <v>S</v>
          </cell>
          <cell r="N430">
            <v>4</v>
          </cell>
          <cell r="O430" t="str">
            <v/>
          </cell>
          <cell r="Q430" t="str">
            <v>回数券を複数必要とする場合の度数</v>
          </cell>
        </row>
        <row r="431">
          <cell r="B431">
            <v>564</v>
          </cell>
          <cell r="C431" t="str">
            <v>メールサービス説明文１</v>
          </cell>
          <cell r="K431" t="str">
            <v>MLN1</v>
          </cell>
          <cell r="L431" t="str">
            <v>SRVST1</v>
          </cell>
          <cell r="M431" t="str">
            <v>O</v>
          </cell>
          <cell r="N431">
            <v>72</v>
          </cell>
          <cell r="O431" t="str">
            <v/>
          </cell>
          <cell r="Q431" t="str">
            <v>商品説明文（ＤＤＷ用）</v>
          </cell>
        </row>
        <row r="432">
          <cell r="B432">
            <v>565</v>
          </cell>
          <cell r="C432" t="str">
            <v>メールサービス説明文２</v>
          </cell>
          <cell r="K432" t="str">
            <v>MLN2</v>
          </cell>
          <cell r="L432" t="str">
            <v>SRVST2</v>
          </cell>
          <cell r="M432" t="str">
            <v>O</v>
          </cell>
          <cell r="N432">
            <v>72</v>
          </cell>
          <cell r="O432" t="str">
            <v/>
          </cell>
          <cell r="Q432" t="str">
            <v>商品説明文（ＤＤＷ用）</v>
          </cell>
        </row>
        <row r="433">
          <cell r="B433">
            <v>566</v>
          </cell>
          <cell r="C433" t="str">
            <v>利用終了日付</v>
          </cell>
          <cell r="K433" t="str">
            <v>RIED</v>
          </cell>
          <cell r="L433" t="str">
            <v>RIYEDT</v>
          </cell>
          <cell r="M433" t="str">
            <v>S</v>
          </cell>
          <cell r="N433">
            <v>8</v>
          </cell>
          <cell r="O433" t="str">
            <v/>
          </cell>
          <cell r="Q433" t="str">
            <v>利用終了日付</v>
          </cell>
        </row>
        <row r="434">
          <cell r="B434">
            <v>567</v>
          </cell>
          <cell r="C434" t="str">
            <v>プリペイド残度数</v>
          </cell>
          <cell r="K434" t="str">
            <v>PRZS</v>
          </cell>
          <cell r="L434" t="str">
            <v>PRPZAN</v>
          </cell>
          <cell r="M434" t="str">
            <v>P</v>
          </cell>
          <cell r="N434">
            <v>7</v>
          </cell>
          <cell r="O434" t="str">
            <v/>
          </cell>
          <cell r="Q434" t="str">
            <v>プリペイド残高</v>
          </cell>
        </row>
        <row r="435">
          <cell r="B435">
            <v>569</v>
          </cell>
          <cell r="C435" t="str">
            <v>購入日付</v>
          </cell>
          <cell r="K435" t="str">
            <v>KOND</v>
          </cell>
          <cell r="L435" t="str">
            <v>KNYUDT</v>
          </cell>
          <cell r="M435" t="str">
            <v>S</v>
          </cell>
          <cell r="N435">
            <v>8</v>
          </cell>
          <cell r="O435" t="str">
            <v/>
          </cell>
          <cell r="Q435" t="str">
            <v>購入された日付</v>
          </cell>
        </row>
        <row r="436">
          <cell r="B436">
            <v>570</v>
          </cell>
          <cell r="C436" t="str">
            <v>６４ＤＤ製造型式</v>
          </cell>
          <cell r="K436" t="str">
            <v>64SK</v>
          </cell>
          <cell r="L436" t="str">
            <v>TYPE64</v>
          </cell>
          <cell r="M436" t="str">
            <v>A</v>
          </cell>
          <cell r="N436">
            <v>20</v>
          </cell>
          <cell r="O436" t="str">
            <v/>
          </cell>
          <cell r="Q436" t="str">
            <v>メーカでの６４ＤＤ製品番号</v>
          </cell>
        </row>
        <row r="437">
          <cell r="B437">
            <v>571</v>
          </cell>
          <cell r="C437" t="str">
            <v>６４ＤＤ内容</v>
          </cell>
          <cell r="K437" t="str">
            <v>64NI</v>
          </cell>
          <cell r="L437" t="str">
            <v>CTNT64</v>
          </cell>
          <cell r="M437" t="str">
            <v>O</v>
          </cell>
          <cell r="N437">
            <v>72</v>
          </cell>
          <cell r="O437" t="str">
            <v/>
          </cell>
          <cell r="Q437" t="str">
            <v>６４ＤＤの説明文</v>
          </cell>
        </row>
        <row r="438">
          <cell r="B438">
            <v>574</v>
          </cell>
          <cell r="C438" t="str">
            <v>ＤＤＷマシン内容</v>
          </cell>
          <cell r="K438" t="str">
            <v>DDNY</v>
          </cell>
          <cell r="M438" t="str">
            <v>O</v>
          </cell>
          <cell r="N438">
            <v>72</v>
          </cell>
          <cell r="O438" t="str">
            <v/>
          </cell>
          <cell r="Q438" t="str">
            <v>ＤＤＷマシンタイプ説明文</v>
          </cell>
        </row>
        <row r="439">
          <cell r="B439">
            <v>575</v>
          </cell>
          <cell r="C439" t="str">
            <v>有効開始時刻</v>
          </cell>
          <cell r="K439" t="str">
            <v>YUST</v>
          </cell>
          <cell r="L439" t="str">
            <v>YKSTTM</v>
          </cell>
          <cell r="M439" t="str">
            <v>S</v>
          </cell>
          <cell r="N439">
            <v>6</v>
          </cell>
          <cell r="O439" t="str">
            <v/>
          </cell>
          <cell r="Q439" t="str">
            <v>有効開始時刻</v>
          </cell>
        </row>
        <row r="440">
          <cell r="B440">
            <v>576</v>
          </cell>
          <cell r="C440" t="str">
            <v>有効終了時刻</v>
          </cell>
          <cell r="K440" t="str">
            <v>YUET</v>
          </cell>
          <cell r="L440" t="str">
            <v>YKEDTM</v>
          </cell>
          <cell r="M440" t="str">
            <v>S</v>
          </cell>
          <cell r="N440">
            <v>6</v>
          </cell>
          <cell r="O440" t="str">
            <v/>
          </cell>
          <cell r="Q440" t="str">
            <v>有効終了時刻</v>
          </cell>
        </row>
        <row r="441">
          <cell r="B441" t="str">
            <v>削除</v>
          </cell>
          <cell r="C441" t="str">
            <v>納品回数</v>
          </cell>
          <cell r="K441" t="str">
            <v>NYKS</v>
          </cell>
          <cell r="M441" t="str">
            <v>S</v>
          </cell>
          <cell r="N441">
            <v>3</v>
          </cell>
          <cell r="O441" t="str">
            <v/>
          </cell>
          <cell r="Q441" t="str">
            <v>コンテンツ納品で同じコンテンツを納品した回数：　　　　　　　　　　　５７７</v>
          </cell>
        </row>
        <row r="442">
          <cell r="B442">
            <v>580</v>
          </cell>
          <cell r="C442" t="str">
            <v>当日バージョン</v>
          </cell>
          <cell r="K442" t="str">
            <v xml:space="preserve">TVAR </v>
          </cell>
          <cell r="L442" t="str">
            <v>CURVER</v>
          </cell>
          <cell r="M442" t="str">
            <v>A</v>
          </cell>
          <cell r="N442">
            <v>10</v>
          </cell>
          <cell r="O442" t="str">
            <v/>
          </cell>
          <cell r="Q442" t="str">
            <v>集配信ファイル作成時に作成したバージョンをセット、Xyyyymmddn</v>
          </cell>
        </row>
        <row r="443">
          <cell r="B443">
            <v>581</v>
          </cell>
          <cell r="C443" t="str">
            <v>前回バージョン</v>
          </cell>
          <cell r="K443" t="str">
            <v xml:space="preserve">ZVAR </v>
          </cell>
          <cell r="L443" t="str">
            <v>LSTVER</v>
          </cell>
          <cell r="M443" t="str">
            <v>A</v>
          </cell>
          <cell r="N443">
            <v>10</v>
          </cell>
          <cell r="O443" t="str">
            <v/>
          </cell>
          <cell r="Q443" t="str">
            <v>集配信ファイル作成時に作成したバージョンをセット、Xyyyymmddn</v>
          </cell>
        </row>
        <row r="444">
          <cell r="B444">
            <v>582</v>
          </cell>
          <cell r="C444" t="str">
            <v>差分配信ファイルＩＤ</v>
          </cell>
          <cell r="K444" t="str">
            <v>SHID</v>
          </cell>
          <cell r="L444" t="str">
            <v>SBHFID</v>
          </cell>
          <cell r="M444" t="str">
            <v>A</v>
          </cell>
          <cell r="N444">
            <v>5</v>
          </cell>
          <cell r="O444" t="str">
            <v/>
          </cell>
          <cell r="Q444" t="str">
            <v>レコード作成時に自動採番</v>
          </cell>
        </row>
        <row r="445">
          <cell r="B445">
            <v>583</v>
          </cell>
          <cell r="C445" t="str">
            <v>累積差分配信ファイルＩＤ</v>
          </cell>
          <cell r="K445" t="str">
            <v>RSFI</v>
          </cell>
          <cell r="L445" t="str">
            <v>RSHFID</v>
          </cell>
          <cell r="M445" t="str">
            <v>A</v>
          </cell>
          <cell r="N445">
            <v>5</v>
          </cell>
          <cell r="O445" t="str">
            <v/>
          </cell>
          <cell r="Q445" t="str">
            <v>レコード作成時に自動採番（３世代の管理が必要）</v>
          </cell>
        </row>
        <row r="446">
          <cell r="B446">
            <v>584</v>
          </cell>
          <cell r="C446" t="str">
            <v>コンテンツ受け入れユーザーＩＤ</v>
          </cell>
          <cell r="K446" t="str">
            <v xml:space="preserve">CNUI </v>
          </cell>
          <cell r="M446" t="str">
            <v>A</v>
          </cell>
          <cell r="N446">
            <v>10</v>
          </cell>
          <cell r="O446" t="str">
            <v/>
          </cell>
          <cell r="Q446" t="str">
            <v>コンテンツ受け入れ用ユーザー、コンテンツ受け入れサーバーでユーザー登録する。</v>
          </cell>
        </row>
        <row r="447">
          <cell r="B447">
            <v>585</v>
          </cell>
          <cell r="C447" t="str">
            <v>コンテンツ受け入れユーザー名称</v>
          </cell>
          <cell r="K447" t="str">
            <v xml:space="preserve">CNUN </v>
          </cell>
          <cell r="M447" t="str">
            <v>O</v>
          </cell>
          <cell r="N447">
            <v>22</v>
          </cell>
          <cell r="O447" t="str">
            <v/>
          </cell>
          <cell r="Q447" t="str">
            <v>コンテンツ受け入れユーザー名称</v>
          </cell>
        </row>
        <row r="448">
          <cell r="B448">
            <v>586</v>
          </cell>
          <cell r="C448" t="str">
            <v>コンテンツ受け入れユーザー識別</v>
          </cell>
          <cell r="K448" t="str">
            <v xml:space="preserve">CNUB </v>
          </cell>
          <cell r="M448" t="str">
            <v>A</v>
          </cell>
          <cell r="N448">
            <v>4</v>
          </cell>
          <cell r="O448" t="str">
            <v/>
          </cell>
          <cell r="Q448" t="str">
            <v>コンテンツ受け入れ用ディレクトリー名</v>
          </cell>
        </row>
        <row r="449">
          <cell r="B449">
            <v>587</v>
          </cell>
          <cell r="C449" t="str">
            <v>担当者名</v>
          </cell>
          <cell r="K449" t="str">
            <v>TANN</v>
          </cell>
          <cell r="M449" t="str">
            <v>O</v>
          </cell>
          <cell r="N449">
            <v>22</v>
          </cell>
          <cell r="O449" t="str">
            <v/>
          </cell>
          <cell r="Q449" t="str">
            <v>担当者名</v>
          </cell>
        </row>
        <row r="450">
          <cell r="B450">
            <v>588</v>
          </cell>
          <cell r="C450" t="str">
            <v>コンテンツ環境ＩＤ</v>
          </cell>
          <cell r="K450" t="str">
            <v>CNKI</v>
          </cell>
          <cell r="M450" t="str">
            <v>A</v>
          </cell>
          <cell r="N450">
            <v>8</v>
          </cell>
          <cell r="O450" t="str">
            <v/>
          </cell>
          <cell r="Q450" t="str">
            <v>コンテンツ関連ディレクトリー情報等のキーワード</v>
          </cell>
        </row>
        <row r="451">
          <cell r="B451">
            <v>591</v>
          </cell>
          <cell r="C451" t="str">
            <v>業務共通</v>
          </cell>
          <cell r="K451" t="str">
            <v>KDIR</v>
          </cell>
          <cell r="M451" t="str">
            <v>A</v>
          </cell>
          <cell r="N451">
            <v>64</v>
          </cell>
          <cell r="O451" t="str">
            <v/>
          </cell>
          <cell r="Q451" t="str">
            <v>Ｗｅｂサーバーの業務共通ディレクトリーパス</v>
          </cell>
        </row>
        <row r="452">
          <cell r="B452">
            <v>592</v>
          </cell>
          <cell r="C452" t="str">
            <v>コンテンツ共通</v>
          </cell>
          <cell r="K452" t="str">
            <v>CNKD</v>
          </cell>
          <cell r="M452" t="str">
            <v>A</v>
          </cell>
          <cell r="N452">
            <v>64</v>
          </cell>
          <cell r="O452" t="str">
            <v/>
          </cell>
          <cell r="Q452" t="str">
            <v>Ｗｅｂサーバー上のディレクトリーパス</v>
          </cell>
        </row>
        <row r="453">
          <cell r="B453">
            <v>593</v>
          </cell>
          <cell r="C453" t="str">
            <v>ＤＤＷデモＩＤ</v>
          </cell>
          <cell r="K453" t="str">
            <v>DDDI</v>
          </cell>
          <cell r="M453" t="str">
            <v>A</v>
          </cell>
          <cell r="N453">
            <v>7</v>
          </cell>
          <cell r="O453" t="str">
            <v/>
          </cell>
          <cell r="Q453" t="str">
            <v>コンテンツコード</v>
          </cell>
        </row>
        <row r="454">
          <cell r="B454">
            <v>594</v>
          </cell>
          <cell r="C454" t="str">
            <v>ＤＤＷデモ名</v>
          </cell>
          <cell r="K454" t="str">
            <v>DDDN</v>
          </cell>
          <cell r="M454" t="str">
            <v>O</v>
          </cell>
          <cell r="N454">
            <v>22</v>
          </cell>
          <cell r="O454" t="str">
            <v/>
          </cell>
          <cell r="Q454" t="str">
            <v>ＤＤＷデモ名称</v>
          </cell>
        </row>
        <row r="455">
          <cell r="B455">
            <v>595</v>
          </cell>
          <cell r="C455" t="str">
            <v>ＣＭ区分</v>
          </cell>
          <cell r="K455" t="str">
            <v>CMCK</v>
          </cell>
          <cell r="M455" t="str">
            <v>A</v>
          </cell>
          <cell r="N455">
            <v>1</v>
          </cell>
          <cell r="O455" t="str">
            <v/>
          </cell>
          <cell r="Q455" t="str">
            <v>ＤＤＷがＤＤＷデモをＣＭ利用する区分、０：しない、１：する</v>
          </cell>
        </row>
        <row r="456">
          <cell r="B456">
            <v>596</v>
          </cell>
          <cell r="C456" t="str">
            <v>ＤＤＷデモタイプ</v>
          </cell>
          <cell r="K456" t="str">
            <v>DDDY</v>
          </cell>
          <cell r="M456" t="str">
            <v>A</v>
          </cell>
          <cell r="N456">
            <v>2</v>
          </cell>
          <cell r="O456" t="str">
            <v/>
          </cell>
          <cell r="Q456" t="str">
            <v>ＭＰ：ＭＰＥＧ</v>
          </cell>
        </row>
        <row r="457">
          <cell r="B457">
            <v>597</v>
          </cell>
          <cell r="C457" t="str">
            <v>ＤＤＷ販売グループ区分</v>
          </cell>
          <cell r="K457" t="str">
            <v>DHGK</v>
          </cell>
          <cell r="M457" t="str">
            <v>A</v>
          </cell>
          <cell r="N457">
            <v>1</v>
          </cell>
          <cell r="O457" t="str">
            <v/>
          </cell>
          <cell r="Q457" t="str">
            <v>ＤＤＷ販売グループ関連付け、０：しない、１：する</v>
          </cell>
        </row>
        <row r="458">
          <cell r="B458" t="str">
            <v>削除</v>
          </cell>
          <cell r="C458" t="str">
            <v>受け入れ回数</v>
          </cell>
          <cell r="K458" t="str">
            <v>UKRS</v>
          </cell>
          <cell r="M458" t="str">
            <v>S</v>
          </cell>
          <cell r="N458">
            <v>3</v>
          </cell>
          <cell r="O458" t="str">
            <v/>
          </cell>
          <cell r="Q458" t="str">
            <v>同じバージョンのコンテンツを受け入れた回数：　　　　　　　　　　　６０２</v>
          </cell>
        </row>
        <row r="459">
          <cell r="B459">
            <v>604</v>
          </cell>
          <cell r="C459" t="str">
            <v>外部商品情報ステータス</v>
          </cell>
          <cell r="K459" t="str">
            <v xml:space="preserve">GSST </v>
          </cell>
          <cell r="M459" t="str">
            <v>A</v>
          </cell>
          <cell r="N459">
            <v>2</v>
          </cell>
          <cell r="O459" t="str">
            <v/>
          </cell>
          <cell r="Q459" t="str">
            <v>外部引き渡し ００：不可、０１：可能、０２：転送済、０３：保留</v>
          </cell>
        </row>
        <row r="460">
          <cell r="B460">
            <v>605</v>
          </cell>
          <cell r="C460" t="str">
            <v>コンテンツ提供者会員ＩＤ２</v>
          </cell>
          <cell r="K460" t="str">
            <v>CNK2</v>
          </cell>
          <cell r="L460" t="str">
            <v>CTKID2</v>
          </cell>
          <cell r="M460" t="str">
            <v>A</v>
          </cell>
          <cell r="N460">
            <v>8</v>
          </cell>
          <cell r="O460" t="str">
            <v/>
          </cell>
          <cell r="P460" t="str">
            <v xml:space="preserve"> </v>
          </cell>
          <cell r="Q460" t="str">
            <v>コンテンツ事前確認用ＩＤ</v>
          </cell>
        </row>
        <row r="461">
          <cell r="B461">
            <v>606</v>
          </cell>
          <cell r="C461" t="str">
            <v>ＤＤＷ停止区分</v>
          </cell>
          <cell r="K461" t="str">
            <v>DDSK</v>
          </cell>
          <cell r="L461" t="str">
            <v>DWSTKB</v>
          </cell>
          <cell r="M461" t="str">
            <v>A</v>
          </cell>
          <cell r="N461">
            <v>1</v>
          </cell>
          <cell r="O461" t="str">
            <v/>
          </cell>
          <cell r="Q461" t="str">
            <v>１：停止。通信時にチェックし、停止の場合、通信不可</v>
          </cell>
        </row>
        <row r="462">
          <cell r="B462">
            <v>607</v>
          </cell>
          <cell r="C462" t="str">
            <v>ＤＤＷ停止日</v>
          </cell>
          <cell r="K462" t="str">
            <v>DDSD</v>
          </cell>
          <cell r="L462" t="str">
            <v>DWSTDT</v>
          </cell>
          <cell r="M462" t="str">
            <v>S</v>
          </cell>
          <cell r="N462">
            <v>8</v>
          </cell>
          <cell r="O462" t="str">
            <v/>
          </cell>
          <cell r="Q462" t="str">
            <v>ＤＤＷを停止にした日付</v>
          </cell>
        </row>
        <row r="463">
          <cell r="B463">
            <v>608</v>
          </cell>
          <cell r="C463" t="str">
            <v>ＤＤＷ停止理由</v>
          </cell>
          <cell r="K463" t="str">
            <v>DDSR</v>
          </cell>
          <cell r="L463" t="str">
            <v>DWSTRY</v>
          </cell>
          <cell r="M463" t="str">
            <v>A</v>
          </cell>
          <cell r="N463">
            <v>2</v>
          </cell>
          <cell r="O463" t="str">
            <v/>
          </cell>
          <cell r="Q463" t="str">
            <v>停止の理由</v>
          </cell>
        </row>
        <row r="464">
          <cell r="B464">
            <v>609</v>
          </cell>
          <cell r="C464" t="str">
            <v>ＤＤＷ集配信区分</v>
          </cell>
          <cell r="K464" t="str">
            <v>DDHK</v>
          </cell>
          <cell r="L464" t="str">
            <v>DWSSKB</v>
          </cell>
          <cell r="M464" t="str">
            <v>A</v>
          </cell>
          <cell r="N464">
            <v>1</v>
          </cell>
          <cell r="O464" t="str">
            <v/>
          </cell>
          <cell r="Q464" t="str">
            <v>ＤＤＷ集配信要求の返答処理の区分。０：通常、１：緊急</v>
          </cell>
        </row>
        <row r="465">
          <cell r="B465">
            <v>610</v>
          </cell>
          <cell r="C465" t="str">
            <v>ＤＤＷ配信ファイルＩＤ（マスター）</v>
          </cell>
          <cell r="K465" t="str">
            <v>HNY1</v>
          </cell>
          <cell r="L465" t="str">
            <v>HSY1ID</v>
          </cell>
          <cell r="M465" t="str">
            <v>A</v>
          </cell>
          <cell r="N465">
            <v>5</v>
          </cell>
          <cell r="O465" t="str">
            <v/>
          </cell>
          <cell r="Q465" t="str">
            <v>緊急時に配信するファイルＩＤ</v>
          </cell>
        </row>
        <row r="466">
          <cell r="B466">
            <v>611</v>
          </cell>
          <cell r="C466" t="str">
            <v>ＤＤＷ配信ファイルＩＤ（コンテンツ）</v>
          </cell>
          <cell r="K466" t="str">
            <v>HNY2</v>
          </cell>
          <cell r="L466" t="str">
            <v>HSY2ID</v>
          </cell>
          <cell r="M466" t="str">
            <v>A</v>
          </cell>
          <cell r="N466">
            <v>5</v>
          </cell>
          <cell r="O466" t="str">
            <v/>
          </cell>
          <cell r="Q466" t="str">
            <v>緊急時に配信するファイルＩＤ</v>
          </cell>
        </row>
        <row r="467">
          <cell r="B467">
            <v>612</v>
          </cell>
          <cell r="C467" t="str">
            <v>ＤＤＷ配信ファイルＩＤ（プログラム）</v>
          </cell>
          <cell r="K467" t="str">
            <v>HNY3</v>
          </cell>
          <cell r="L467" t="str">
            <v>HSY3ID</v>
          </cell>
          <cell r="M467" t="str">
            <v>A</v>
          </cell>
          <cell r="N467">
            <v>5</v>
          </cell>
          <cell r="O467" t="str">
            <v/>
          </cell>
          <cell r="Q467" t="str">
            <v>緊急時に配信するファイルＩＤ</v>
          </cell>
        </row>
        <row r="468">
          <cell r="B468">
            <v>613</v>
          </cell>
          <cell r="C468" t="str">
            <v>ログ集信要求日付</v>
          </cell>
          <cell r="K468" t="str">
            <v>LSRD</v>
          </cell>
          <cell r="L468" t="str">
            <v>LSSRDT</v>
          </cell>
          <cell r="M468" t="str">
            <v>S</v>
          </cell>
          <cell r="N468">
            <v>8</v>
          </cell>
          <cell r="O468" t="str">
            <v/>
          </cell>
          <cell r="Q468" t="str">
            <v>緊急時に集信するログ対象日付</v>
          </cell>
        </row>
        <row r="469">
          <cell r="B469">
            <v>614</v>
          </cell>
          <cell r="C469" t="str">
            <v>配信ファイルタイプ</v>
          </cell>
          <cell r="K469" t="str">
            <v>HNFY</v>
          </cell>
          <cell r="L469" t="str">
            <v>HSFLTP</v>
          </cell>
          <cell r="M469" t="str">
            <v>A</v>
          </cell>
          <cell r="N469">
            <v>1</v>
          </cell>
          <cell r="O469" t="str">
            <v/>
          </cell>
          <cell r="Q469" t="str">
            <v>M：マスター、C：コンテンツ、P：プログラム</v>
          </cell>
        </row>
        <row r="470">
          <cell r="B470">
            <v>615</v>
          </cell>
          <cell r="C470" t="str">
            <v>次回バージョン</v>
          </cell>
          <cell r="K470" t="str">
            <v xml:space="preserve">JVAR </v>
          </cell>
          <cell r="L470" t="str">
            <v>NXVER</v>
          </cell>
          <cell r="M470" t="str">
            <v>A</v>
          </cell>
          <cell r="N470">
            <v>4</v>
          </cell>
          <cell r="O470" t="str">
            <v/>
          </cell>
          <cell r="P470" t="str">
            <v xml:space="preserve"> </v>
          </cell>
          <cell r="Q470" t="str">
            <v>次回サービスバージョン（スタンバイ）</v>
          </cell>
        </row>
        <row r="471">
          <cell r="B471">
            <v>616</v>
          </cell>
          <cell r="C471" t="str">
            <v>次回有効開始日付</v>
          </cell>
          <cell r="K471" t="str">
            <v>JYSD</v>
          </cell>
          <cell r="L471" t="str">
            <v>NYSTDT</v>
          </cell>
          <cell r="M471" t="str">
            <v>S</v>
          </cell>
          <cell r="N471">
            <v>8</v>
          </cell>
          <cell r="O471" t="str">
            <v/>
          </cell>
          <cell r="P471" t="str">
            <v xml:space="preserve"> </v>
          </cell>
          <cell r="Q471" t="str">
            <v>次回有効開始日付</v>
          </cell>
        </row>
        <row r="472">
          <cell r="B472">
            <v>617</v>
          </cell>
          <cell r="C472" t="str">
            <v>次回有効開始時刻</v>
          </cell>
          <cell r="K472" t="str">
            <v>JYSM</v>
          </cell>
          <cell r="L472" t="str">
            <v>NYSTTM</v>
          </cell>
          <cell r="M472" t="str">
            <v>S</v>
          </cell>
          <cell r="N472">
            <v>6</v>
          </cell>
          <cell r="O472" t="str">
            <v/>
          </cell>
          <cell r="P472" t="str">
            <v xml:space="preserve"> </v>
          </cell>
          <cell r="Q472" t="str">
            <v>次回有効開始時刻</v>
          </cell>
        </row>
        <row r="473">
          <cell r="B473">
            <v>622</v>
          </cell>
          <cell r="C473" t="str">
            <v>ＤＤＷファイル抽出フラグ</v>
          </cell>
          <cell r="K473" t="str">
            <v>DDCF</v>
          </cell>
          <cell r="M473" t="str">
            <v>A</v>
          </cell>
          <cell r="N473">
            <v>1</v>
          </cell>
          <cell r="O473" t="str">
            <v/>
          </cell>
          <cell r="Q473" t="str">
            <v>コンテンツファイルを集配信で配信する指定。０：しない、１：する</v>
          </cell>
        </row>
        <row r="474">
          <cell r="B474">
            <v>625</v>
          </cell>
          <cell r="C474" t="str">
            <v>ＰＯＳ売上№</v>
          </cell>
          <cell r="K474" t="str">
            <v>PONO</v>
          </cell>
          <cell r="M474" t="str">
            <v>A</v>
          </cell>
          <cell r="N474">
            <v>8</v>
          </cell>
          <cell r="O474" t="str">
            <v/>
          </cell>
          <cell r="Q474" t="str">
            <v>ＰＯＳデータの売上Ｎｏ</v>
          </cell>
        </row>
        <row r="475">
          <cell r="B475">
            <v>626</v>
          </cell>
          <cell r="C475" t="str">
            <v>月額利用区分</v>
          </cell>
          <cell r="K475" t="str">
            <v>GKRK</v>
          </cell>
          <cell r="M475" t="str">
            <v>A</v>
          </cell>
          <cell r="N475">
            <v>1</v>
          </cell>
          <cell r="O475" t="str">
            <v/>
          </cell>
          <cell r="Q475" t="str">
            <v>会員区分の月額会費を取る区分。１：利用</v>
          </cell>
        </row>
        <row r="476">
          <cell r="B476">
            <v>627</v>
          </cell>
          <cell r="C476" t="str">
            <v>利用区分６</v>
          </cell>
          <cell r="K476" t="str">
            <v>RIK6</v>
          </cell>
          <cell r="L476" t="str">
            <v>RYKB6</v>
          </cell>
          <cell r="M476" t="str">
            <v>A</v>
          </cell>
          <cell r="N476">
            <v>1</v>
          </cell>
          <cell r="O476" t="str">
            <v/>
          </cell>
          <cell r="Q476" t="str">
            <v>会員区分の利用区分</v>
          </cell>
        </row>
        <row r="477">
          <cell r="B477">
            <v>628</v>
          </cell>
          <cell r="C477" t="str">
            <v>利用区分７</v>
          </cell>
          <cell r="K477" t="str">
            <v>RIK7</v>
          </cell>
          <cell r="L477" t="str">
            <v>RYKB7</v>
          </cell>
          <cell r="M477" t="str">
            <v>A</v>
          </cell>
          <cell r="N477">
            <v>1</v>
          </cell>
          <cell r="O477" t="str">
            <v/>
          </cell>
          <cell r="Q477" t="str">
            <v>会員区分の利用区分</v>
          </cell>
        </row>
        <row r="478">
          <cell r="B478">
            <v>629</v>
          </cell>
          <cell r="C478" t="str">
            <v>利用区分８</v>
          </cell>
          <cell r="K478" t="str">
            <v>RIK8</v>
          </cell>
          <cell r="L478" t="str">
            <v>RYKB8</v>
          </cell>
          <cell r="M478" t="str">
            <v>A</v>
          </cell>
          <cell r="N478">
            <v>1</v>
          </cell>
          <cell r="O478" t="str">
            <v/>
          </cell>
          <cell r="Q478" t="str">
            <v>会員区分の利用区分</v>
          </cell>
        </row>
        <row r="479">
          <cell r="B479">
            <v>630</v>
          </cell>
          <cell r="C479" t="str">
            <v>利用区分９</v>
          </cell>
          <cell r="K479" t="str">
            <v>RIK9</v>
          </cell>
          <cell r="L479" t="str">
            <v>RYKB9</v>
          </cell>
          <cell r="M479" t="str">
            <v>A</v>
          </cell>
          <cell r="N479">
            <v>1</v>
          </cell>
          <cell r="O479" t="str">
            <v/>
          </cell>
          <cell r="Q479" t="str">
            <v>会員区分の利用区分</v>
          </cell>
        </row>
        <row r="480">
          <cell r="B480">
            <v>631</v>
          </cell>
          <cell r="C480" t="str">
            <v>利用区分１０</v>
          </cell>
          <cell r="K480" t="str">
            <v>RIKA</v>
          </cell>
          <cell r="L480" t="str">
            <v>RYKB10</v>
          </cell>
          <cell r="M480" t="str">
            <v>A</v>
          </cell>
          <cell r="N480">
            <v>1</v>
          </cell>
          <cell r="O480" t="str">
            <v/>
          </cell>
          <cell r="Q480" t="str">
            <v>会員区分の利用区分</v>
          </cell>
        </row>
        <row r="481">
          <cell r="B481">
            <v>632</v>
          </cell>
          <cell r="C481" t="str">
            <v>サービス料金コード６</v>
          </cell>
          <cell r="K481" t="str">
            <v>SRC6</v>
          </cell>
          <cell r="L481" t="str">
            <v>SVRYC6</v>
          </cell>
          <cell r="M481" t="str">
            <v>A</v>
          </cell>
          <cell r="N481">
            <v>3</v>
          </cell>
          <cell r="O481" t="str">
            <v/>
          </cell>
          <cell r="Q481" t="str">
            <v>サービス料金をユニークにするコード</v>
          </cell>
        </row>
        <row r="482">
          <cell r="B482">
            <v>633</v>
          </cell>
          <cell r="C482" t="str">
            <v>サービス料金コード７</v>
          </cell>
          <cell r="K482" t="str">
            <v>SRC7</v>
          </cell>
          <cell r="L482" t="str">
            <v>SVRYC7</v>
          </cell>
          <cell r="M482" t="str">
            <v>A</v>
          </cell>
          <cell r="N482">
            <v>3</v>
          </cell>
          <cell r="O482" t="str">
            <v/>
          </cell>
          <cell r="Q482" t="str">
            <v>サービス料金をユニークにするコード</v>
          </cell>
        </row>
        <row r="483">
          <cell r="B483">
            <v>634</v>
          </cell>
          <cell r="C483" t="str">
            <v>サービス料金コード８</v>
          </cell>
          <cell r="K483" t="str">
            <v>SRC8</v>
          </cell>
          <cell r="L483" t="str">
            <v>SVRYC8</v>
          </cell>
          <cell r="M483" t="str">
            <v>A</v>
          </cell>
          <cell r="N483">
            <v>3</v>
          </cell>
          <cell r="O483" t="str">
            <v/>
          </cell>
          <cell r="Q483" t="str">
            <v>サービス料金をユニークにするコード</v>
          </cell>
        </row>
        <row r="484">
          <cell r="B484">
            <v>635</v>
          </cell>
          <cell r="C484" t="str">
            <v>サービス料金コード９</v>
          </cell>
          <cell r="K484" t="str">
            <v>SRC9</v>
          </cell>
          <cell r="L484" t="str">
            <v>SVRYC9</v>
          </cell>
          <cell r="M484" t="str">
            <v>A</v>
          </cell>
          <cell r="N484">
            <v>3</v>
          </cell>
          <cell r="O484" t="str">
            <v/>
          </cell>
          <cell r="Q484" t="str">
            <v>サービス料金をユニークにするコード</v>
          </cell>
        </row>
        <row r="485">
          <cell r="B485">
            <v>636</v>
          </cell>
          <cell r="C485" t="str">
            <v>サービス料金コード１０</v>
          </cell>
          <cell r="K485" t="str">
            <v>SRKA</v>
          </cell>
          <cell r="L485" t="str">
            <v>SVRY10</v>
          </cell>
          <cell r="M485" t="str">
            <v>A</v>
          </cell>
          <cell r="N485">
            <v>3</v>
          </cell>
          <cell r="O485" t="str">
            <v/>
          </cell>
          <cell r="Q485" t="str">
            <v>サービス料金をユニークにするコード</v>
          </cell>
        </row>
        <row r="486">
          <cell r="B486">
            <v>637</v>
          </cell>
          <cell r="C486" t="str">
            <v>ＤＩＳＫ登録日付</v>
          </cell>
          <cell r="K486" t="str">
            <v>DSKD</v>
          </cell>
          <cell r="L486" t="str">
            <v>DKTRDT</v>
          </cell>
          <cell r="M486" t="str">
            <v>S</v>
          </cell>
          <cell r="N486">
            <v>8</v>
          </cell>
          <cell r="O486" t="str">
            <v/>
          </cell>
          <cell r="Q486" t="str">
            <v>サービスサーバーで登録した日付</v>
          </cell>
        </row>
        <row r="487">
          <cell r="B487">
            <v>638</v>
          </cell>
          <cell r="C487" t="str">
            <v>得意先店舗経営会社名</v>
          </cell>
          <cell r="K487" t="str">
            <v>TTPI</v>
          </cell>
          <cell r="M487" t="str">
            <v>O</v>
          </cell>
          <cell r="N487">
            <v>42</v>
          </cell>
          <cell r="O487" t="str">
            <v/>
          </cell>
          <cell r="Q487" t="str">
            <v>店舗の経営会社名</v>
          </cell>
        </row>
        <row r="488">
          <cell r="B488">
            <v>639</v>
          </cell>
          <cell r="C488" t="str">
            <v>販売金額（税抜）</v>
          </cell>
          <cell r="K488" t="str">
            <v>HNZG</v>
          </cell>
          <cell r="M488" t="str">
            <v>P</v>
          </cell>
          <cell r="N488">
            <v>7</v>
          </cell>
          <cell r="O488" t="str">
            <v/>
          </cell>
          <cell r="P488" t="str">
            <v xml:space="preserve"> </v>
          </cell>
          <cell r="Q488" t="str">
            <v>販売金額（税抜）</v>
          </cell>
        </row>
        <row r="489">
          <cell r="B489">
            <v>640</v>
          </cell>
          <cell r="C489" t="str">
            <v>元取引日付</v>
          </cell>
          <cell r="K489" t="str">
            <v>MTOD</v>
          </cell>
          <cell r="M489" t="str">
            <v>S</v>
          </cell>
          <cell r="N489">
            <v>8</v>
          </cell>
          <cell r="O489" t="str">
            <v/>
          </cell>
          <cell r="Q489" t="str">
            <v>利用情報の追加、変更、削除時の元利用取引日付</v>
          </cell>
        </row>
        <row r="490">
          <cell r="B490">
            <v>641</v>
          </cell>
          <cell r="C490" t="str">
            <v>プリペイド入出区分</v>
          </cell>
          <cell r="K490" t="str">
            <v>PRIK</v>
          </cell>
          <cell r="M490" t="str">
            <v>A</v>
          </cell>
          <cell r="N490">
            <v>1</v>
          </cell>
          <cell r="O490" t="str">
            <v/>
          </cell>
          <cell r="P490" t="str">
            <v xml:space="preserve"> </v>
          </cell>
          <cell r="Q490" t="str">
            <v>プリペイド（前受金）の発生、消し込みを区分。１：発生、２：消し込み</v>
          </cell>
        </row>
        <row r="491">
          <cell r="B491">
            <v>642</v>
          </cell>
          <cell r="C491" t="str">
            <v>金額</v>
          </cell>
          <cell r="K491" t="str">
            <v>KING</v>
          </cell>
          <cell r="M491" t="str">
            <v>P</v>
          </cell>
          <cell r="N491">
            <v>11</v>
          </cell>
          <cell r="O491" t="str">
            <v/>
          </cell>
          <cell r="P491" t="str">
            <v xml:space="preserve"> </v>
          </cell>
          <cell r="Q491" t="str">
            <v>金額</v>
          </cell>
        </row>
        <row r="492">
          <cell r="B492">
            <v>643</v>
          </cell>
          <cell r="C492" t="str">
            <v>Ｈ／Ｗ分類</v>
          </cell>
          <cell r="K492" t="str">
            <v>HWHB</v>
          </cell>
          <cell r="M492" t="str">
            <v>A</v>
          </cell>
          <cell r="N492">
            <v>2</v>
          </cell>
          <cell r="O492" t="str">
            <v/>
          </cell>
          <cell r="Q492" t="str">
            <v>Ｈ／Ｗ商品を分類するコード</v>
          </cell>
        </row>
        <row r="493">
          <cell r="B493">
            <v>644</v>
          </cell>
          <cell r="C493" t="str">
            <v>連絡先カナ</v>
          </cell>
          <cell r="K493" t="str">
            <v>RESM</v>
          </cell>
          <cell r="L493" t="str">
            <v>RENKN</v>
          </cell>
          <cell r="M493" t="str">
            <v>O</v>
          </cell>
          <cell r="N493">
            <v>42</v>
          </cell>
          <cell r="O493" t="str">
            <v xml:space="preserve"> </v>
          </cell>
          <cell r="P493" t="str">
            <v xml:space="preserve"> </v>
          </cell>
          <cell r="Q493" t="str">
            <v>連絡先名称カナ</v>
          </cell>
        </row>
        <row r="494">
          <cell r="B494">
            <v>645</v>
          </cell>
          <cell r="C494" t="str">
            <v>連絡先名称</v>
          </cell>
          <cell r="K494" t="str">
            <v>RESN</v>
          </cell>
          <cell r="L494" t="str">
            <v>RENKN</v>
          </cell>
          <cell r="M494" t="str">
            <v>O</v>
          </cell>
          <cell r="N494">
            <v>42</v>
          </cell>
          <cell r="O494" t="str">
            <v xml:space="preserve"> </v>
          </cell>
          <cell r="P494" t="str">
            <v xml:space="preserve"> </v>
          </cell>
          <cell r="Q494" t="str">
            <v>会社</v>
          </cell>
        </row>
        <row r="495">
          <cell r="B495">
            <v>646</v>
          </cell>
          <cell r="C495" t="str">
            <v>異動実績日</v>
          </cell>
          <cell r="K495" t="str">
            <v>IJID</v>
          </cell>
          <cell r="M495" t="str">
            <v>S</v>
          </cell>
          <cell r="N495">
            <v>8</v>
          </cell>
          <cell r="O495" t="str">
            <v/>
          </cell>
          <cell r="Q495" t="str">
            <v>異動が実行された日付</v>
          </cell>
        </row>
        <row r="496">
          <cell r="B496">
            <v>647</v>
          </cell>
          <cell r="C496" t="str">
            <v>ＤＤＷ販売番号</v>
          </cell>
          <cell r="K496" t="str">
            <v>DHBN</v>
          </cell>
          <cell r="L496" t="str">
            <v>DWHNNO</v>
          </cell>
          <cell r="M496" t="str">
            <v>A</v>
          </cell>
          <cell r="N496">
            <v>3</v>
          </cell>
          <cell r="O496" t="str">
            <v/>
          </cell>
          <cell r="Q496" t="str">
            <v>ＤＤＷ販売番号</v>
          </cell>
        </row>
        <row r="497">
          <cell r="B497">
            <v>648</v>
          </cell>
          <cell r="C497" t="str">
            <v>Ｈ／Ｗ販売№</v>
          </cell>
          <cell r="K497" t="str">
            <v>HWNO</v>
          </cell>
          <cell r="M497" t="str">
            <v>A</v>
          </cell>
          <cell r="N497">
            <v>10</v>
          </cell>
          <cell r="O497" t="str">
            <v/>
          </cell>
          <cell r="Q497" t="str">
            <v>Ｈ／Ｗ販売情報の販売番号</v>
          </cell>
        </row>
        <row r="498">
          <cell r="B498">
            <v>649</v>
          </cell>
          <cell r="C498" t="str">
            <v>サードパーティサーバー商品区分</v>
          </cell>
          <cell r="K498" t="str">
            <v>SPSK</v>
          </cell>
          <cell r="M498" t="str">
            <v>A</v>
          </cell>
          <cell r="N498">
            <v>1</v>
          </cell>
          <cell r="O498" t="str">
            <v/>
          </cell>
          <cell r="Q498" t="str">
            <v>１：対象、２：対象外</v>
          </cell>
        </row>
        <row r="499">
          <cell r="B499">
            <v>650</v>
          </cell>
          <cell r="C499" t="str">
            <v>開始日付</v>
          </cell>
          <cell r="K499" t="str">
            <v>STRD</v>
          </cell>
          <cell r="M499" t="str">
            <v>S</v>
          </cell>
          <cell r="N499">
            <v>8</v>
          </cell>
          <cell r="O499" t="str">
            <v/>
          </cell>
          <cell r="Q499" t="str">
            <v>消費税区分が開始される日付</v>
          </cell>
        </row>
        <row r="500">
          <cell r="B500">
            <v>651</v>
          </cell>
          <cell r="C500" t="str">
            <v>終了日付</v>
          </cell>
          <cell r="K500" t="str">
            <v>ENDT</v>
          </cell>
          <cell r="M500" t="str">
            <v>S</v>
          </cell>
          <cell r="N500">
            <v>8</v>
          </cell>
          <cell r="O500" t="str">
            <v/>
          </cell>
          <cell r="Q500" t="str">
            <v>消費税区分の終了日付</v>
          </cell>
        </row>
        <row r="501">
          <cell r="B501">
            <v>652</v>
          </cell>
          <cell r="C501" t="str">
            <v>まるめ区分</v>
          </cell>
          <cell r="K501" t="str">
            <v>MERK</v>
          </cell>
          <cell r="M501" t="str">
            <v>A</v>
          </cell>
          <cell r="N501">
            <v>1</v>
          </cell>
          <cell r="O501" t="str">
            <v/>
          </cell>
          <cell r="Q501" t="str">
            <v>１：切捨て、２：切上げ、３：四捨五入</v>
          </cell>
        </row>
        <row r="502">
          <cell r="B502">
            <v>653</v>
          </cell>
          <cell r="C502" t="str">
            <v>略称</v>
          </cell>
          <cell r="K502" t="str">
            <v>RYAK</v>
          </cell>
          <cell r="M502" t="str">
            <v>O</v>
          </cell>
          <cell r="N502">
            <v>12</v>
          </cell>
          <cell r="O502" t="str">
            <v/>
          </cell>
          <cell r="Q502" t="str">
            <v>略称</v>
          </cell>
        </row>
        <row r="503">
          <cell r="B503">
            <v>654</v>
          </cell>
          <cell r="C503" t="str">
            <v>販売価格有効日付</v>
          </cell>
          <cell r="K503" t="str">
            <v>HNKD</v>
          </cell>
          <cell r="L503" t="str">
            <v>HNYKDY</v>
          </cell>
          <cell r="M503" t="str">
            <v>S</v>
          </cell>
          <cell r="N503">
            <v>8</v>
          </cell>
          <cell r="O503" t="str">
            <v/>
          </cell>
          <cell r="Q503" t="str">
            <v>販売価格（税込）が有効な日付</v>
          </cell>
        </row>
        <row r="504">
          <cell r="B504">
            <v>655</v>
          </cell>
          <cell r="C504" t="str">
            <v>次回有効販売価格</v>
          </cell>
          <cell r="K504" t="str">
            <v>JYHG</v>
          </cell>
          <cell r="L504" t="str">
            <v>NHNKKT</v>
          </cell>
          <cell r="M504" t="str">
            <v>P</v>
          </cell>
          <cell r="N504">
            <v>7</v>
          </cell>
          <cell r="O504" t="str">
            <v/>
          </cell>
          <cell r="Q504" t="str">
            <v>有効日付以外の価格</v>
          </cell>
        </row>
        <row r="505">
          <cell r="B505">
            <v>656</v>
          </cell>
          <cell r="C505" t="str">
            <v>コンテンツ提供者会員ＩＤ３</v>
          </cell>
          <cell r="K505" t="str">
            <v>CNK3</v>
          </cell>
          <cell r="L505" t="str">
            <v>CTKID3</v>
          </cell>
          <cell r="M505" t="str">
            <v>A</v>
          </cell>
          <cell r="N505">
            <v>8</v>
          </cell>
          <cell r="O505" t="str">
            <v/>
          </cell>
          <cell r="Q505" t="str">
            <v>コンテンツ事前確認用ＩＤ</v>
          </cell>
        </row>
        <row r="506">
          <cell r="B506">
            <v>659</v>
          </cell>
          <cell r="C506" t="str">
            <v>会員初期パスワード</v>
          </cell>
          <cell r="K506" t="str">
            <v>KIPS</v>
          </cell>
          <cell r="L506" t="str">
            <v>KIPS</v>
          </cell>
          <cell r="M506" t="str">
            <v>A</v>
          </cell>
          <cell r="N506">
            <v>4</v>
          </cell>
          <cell r="O506" t="str">
            <v/>
          </cell>
          <cell r="Q506" t="str">
            <v>会員の初期パスワード（ハード購入券用）</v>
          </cell>
        </row>
        <row r="507">
          <cell r="B507">
            <v>662</v>
          </cell>
          <cell r="C507" t="str">
            <v>会員状況理由区分</v>
          </cell>
          <cell r="K507" t="str">
            <v>KNJR</v>
          </cell>
          <cell r="L507" t="str">
            <v>KNJR</v>
          </cell>
          <cell r="M507" t="str">
            <v>A</v>
          </cell>
          <cell r="N507">
            <v>2</v>
          </cell>
          <cell r="O507" t="str">
            <v/>
          </cell>
          <cell r="Q507" t="str">
            <v>会員の状況が変わった理由区分</v>
          </cell>
        </row>
        <row r="508">
          <cell r="B508">
            <v>663</v>
          </cell>
          <cell r="C508" t="str">
            <v>会員状況理由登録日付</v>
          </cell>
          <cell r="K508" t="str">
            <v>KNJD</v>
          </cell>
          <cell r="L508" t="str">
            <v>KNJD</v>
          </cell>
          <cell r="M508" t="str">
            <v>S</v>
          </cell>
          <cell r="N508">
            <v>8</v>
          </cell>
          <cell r="O508" t="str">
            <v/>
          </cell>
          <cell r="Q508" t="str">
            <v>会員の状況が変わった日付</v>
          </cell>
        </row>
        <row r="509">
          <cell r="B509">
            <v>665</v>
          </cell>
          <cell r="C509" t="str">
            <v>自動更新型期間権解約日付</v>
          </cell>
          <cell r="K509" t="str">
            <v>JUKD</v>
          </cell>
          <cell r="L509" t="str">
            <v>JKKKKD</v>
          </cell>
          <cell r="M509" t="str">
            <v>S</v>
          </cell>
          <cell r="N509">
            <v>8</v>
          </cell>
          <cell r="O509" t="str">
            <v/>
          </cell>
          <cell r="Q509" t="str">
            <v>自動更新型期間権解約日付</v>
          </cell>
        </row>
        <row r="510">
          <cell r="B510">
            <v>666</v>
          </cell>
          <cell r="C510" t="str">
            <v>自動更新型期間権解約時刻</v>
          </cell>
          <cell r="K510" t="str">
            <v>JUKM</v>
          </cell>
          <cell r="L510" t="str">
            <v>JKKKKT</v>
          </cell>
          <cell r="M510" t="str">
            <v>S</v>
          </cell>
          <cell r="N510">
            <v>6</v>
          </cell>
          <cell r="O510" t="str">
            <v/>
          </cell>
          <cell r="Q510" t="str">
            <v>自動更新型期間権解約時刻</v>
          </cell>
        </row>
        <row r="511">
          <cell r="B511">
            <v>667</v>
          </cell>
          <cell r="C511" t="str">
            <v>ＵＳＥＲＩＤ</v>
          </cell>
          <cell r="K511" t="str">
            <v>USID</v>
          </cell>
          <cell r="L511" t="str">
            <v>USERID</v>
          </cell>
          <cell r="M511" t="str">
            <v>A</v>
          </cell>
          <cell r="N511">
            <v>32</v>
          </cell>
          <cell r="O511" t="str">
            <v/>
          </cell>
          <cell r="Q511" t="str">
            <v>ＰＲＯＸＹサーバーのディレクトリに設定されるＵＳＥＲＩＤ</v>
          </cell>
        </row>
        <row r="512">
          <cell r="B512">
            <v>668</v>
          </cell>
          <cell r="C512" t="str">
            <v>認証コード（会員用１）</v>
          </cell>
          <cell r="K512" t="str">
            <v>SYC1</v>
          </cell>
          <cell r="L512" t="str">
            <v>NIKCD1</v>
          </cell>
          <cell r="M512" t="str">
            <v>A</v>
          </cell>
          <cell r="N512">
            <v>50</v>
          </cell>
          <cell r="O512" t="str">
            <v/>
          </cell>
          <cell r="Q512" t="str">
            <v>コンテンツ更新時に交互に利用</v>
          </cell>
        </row>
        <row r="513">
          <cell r="B513">
            <v>669</v>
          </cell>
          <cell r="C513" t="str">
            <v>認証コード（会員用２）</v>
          </cell>
          <cell r="K513" t="str">
            <v>SYC2</v>
          </cell>
          <cell r="L513" t="str">
            <v>NIKCD2</v>
          </cell>
          <cell r="M513" t="str">
            <v>A</v>
          </cell>
          <cell r="N513">
            <v>50</v>
          </cell>
          <cell r="O513" t="str">
            <v/>
          </cell>
          <cell r="Q513" t="str">
            <v>コンテンツ更新時に交互に利用</v>
          </cell>
        </row>
        <row r="514">
          <cell r="B514">
            <v>670</v>
          </cell>
          <cell r="C514" t="str">
            <v>ＵＳＥＲＩＤ（コンテンツ提供者用）</v>
          </cell>
          <cell r="K514" t="str">
            <v>USCI</v>
          </cell>
          <cell r="L514" t="str">
            <v>UIDCTS</v>
          </cell>
          <cell r="M514" t="str">
            <v>A</v>
          </cell>
          <cell r="N514">
            <v>32</v>
          </cell>
          <cell r="O514" t="str">
            <v/>
          </cell>
          <cell r="Q514" t="str">
            <v>サービスサーバーのディレクトリに設定されるＵＳＥＲＩＤ</v>
          </cell>
        </row>
        <row r="515">
          <cell r="B515">
            <v>671</v>
          </cell>
          <cell r="C515" t="str">
            <v>ＵＳＥＲＩＤ（会員用１）</v>
          </cell>
          <cell r="K515" t="str">
            <v>USK1</v>
          </cell>
          <cell r="L515" t="str">
            <v>UIDKA1</v>
          </cell>
          <cell r="M515" t="str">
            <v>A</v>
          </cell>
          <cell r="N515">
            <v>32</v>
          </cell>
          <cell r="O515" t="str">
            <v/>
          </cell>
          <cell r="Q515" t="str">
            <v>サービスサーバーのディレクトリに設定されるＵＳＥＲＩＤ</v>
          </cell>
        </row>
        <row r="516">
          <cell r="B516">
            <v>672</v>
          </cell>
          <cell r="C516" t="str">
            <v>ＵＳＥＲＩＤ（会員用２）</v>
          </cell>
          <cell r="K516" t="str">
            <v>USK2</v>
          </cell>
          <cell r="L516" t="str">
            <v>UIDKA2</v>
          </cell>
          <cell r="M516" t="str">
            <v>A</v>
          </cell>
          <cell r="N516">
            <v>32</v>
          </cell>
          <cell r="O516" t="str">
            <v/>
          </cell>
          <cell r="Q516" t="str">
            <v>サービスサーバーのディレクトリに設定されるＵＳＥＲＩＤ</v>
          </cell>
        </row>
        <row r="517">
          <cell r="B517">
            <v>673</v>
          </cell>
          <cell r="C517" t="str">
            <v>コマンド番号</v>
          </cell>
          <cell r="K517" t="str">
            <v>CMDB</v>
          </cell>
          <cell r="L517" t="str">
            <v>COMMNO</v>
          </cell>
          <cell r="M517" t="str">
            <v>S</v>
          </cell>
          <cell r="N517">
            <v>8</v>
          </cell>
          <cell r="O517" t="str">
            <v/>
          </cell>
          <cell r="Q517" t="str">
            <v>コマンドのシークエンス番号。実行順序。</v>
          </cell>
        </row>
        <row r="518">
          <cell r="B518">
            <v>674</v>
          </cell>
          <cell r="C518" t="str">
            <v>コマンド</v>
          </cell>
          <cell r="K518" t="str">
            <v>CMD1</v>
          </cell>
          <cell r="L518" t="str">
            <v>COMND</v>
          </cell>
          <cell r="M518" t="str">
            <v>A</v>
          </cell>
          <cell r="N518">
            <v>1</v>
          </cell>
          <cell r="O518" t="str">
            <v/>
          </cell>
          <cell r="Q518" t="str">
            <v>１：delete、２：expand、３：copy、４：RScopy</v>
          </cell>
        </row>
        <row r="519">
          <cell r="B519">
            <v>675</v>
          </cell>
          <cell r="C519" t="str">
            <v>ディレクトリ（サービスサーバー１）</v>
          </cell>
          <cell r="K519" t="str">
            <v>DRS1</v>
          </cell>
          <cell r="L519" t="str">
            <v>DSCSV1</v>
          </cell>
          <cell r="M519" t="str">
            <v>A</v>
          </cell>
          <cell r="N519">
            <v>128</v>
          </cell>
          <cell r="O519" t="str">
            <v/>
          </cell>
          <cell r="Q519" t="str">
            <v>コマンドを実行するターゲットのパス</v>
          </cell>
        </row>
        <row r="520">
          <cell r="B520">
            <v>676</v>
          </cell>
          <cell r="C520" t="str">
            <v>ディレクトリ（サービスサーバー２）</v>
          </cell>
          <cell r="K520" t="str">
            <v>DRS2</v>
          </cell>
          <cell r="L520" t="str">
            <v>DSCSV2</v>
          </cell>
          <cell r="M520" t="str">
            <v>A</v>
          </cell>
          <cell r="N520">
            <v>128</v>
          </cell>
          <cell r="O520" t="str">
            <v/>
          </cell>
          <cell r="Q520" t="str">
            <v>コマンドを実行するターゲットのパス。「Rscopy」の場合のみ使用。</v>
          </cell>
        </row>
        <row r="521">
          <cell r="B521">
            <v>677</v>
          </cell>
          <cell r="C521" t="str">
            <v>ファイル</v>
          </cell>
          <cell r="K521" t="str">
            <v>FILE</v>
          </cell>
          <cell r="L521" t="str">
            <v>FILE</v>
          </cell>
          <cell r="M521" t="str">
            <v>B</v>
          </cell>
          <cell r="N521" t="str">
            <v>-</v>
          </cell>
          <cell r="O521" t="str">
            <v/>
          </cell>
          <cell r="Q521" t="str">
            <v>サービスサーバーに渡すファイルの実体</v>
          </cell>
        </row>
        <row r="522">
          <cell r="B522">
            <v>682</v>
          </cell>
          <cell r="C522" t="str">
            <v>新ＤＩＳＫＩＤ</v>
          </cell>
          <cell r="K522" t="str">
            <v>SDSK</v>
          </cell>
          <cell r="L522" t="str">
            <v>NWDKID</v>
          </cell>
          <cell r="M522" t="str">
            <v>A</v>
          </cell>
          <cell r="N522">
            <v>32</v>
          </cell>
          <cell r="O522" t="str">
            <v/>
          </cell>
          <cell r="Q522" t="str">
            <v>ＤＩＳＫ交換時に振り替えるＩＤ</v>
          </cell>
        </row>
        <row r="523">
          <cell r="B523">
            <v>686</v>
          </cell>
          <cell r="C523" t="str">
            <v>現在バージョン</v>
          </cell>
          <cell r="K523" t="str">
            <v>CVAR</v>
          </cell>
          <cell r="L523" t="str">
            <v>CVAR</v>
          </cell>
          <cell r="M523" t="str">
            <v>A</v>
          </cell>
          <cell r="N523">
            <v>4</v>
          </cell>
          <cell r="O523" t="str">
            <v/>
          </cell>
          <cell r="Q523" t="str">
            <v>現在サービスバージョン</v>
          </cell>
        </row>
        <row r="524">
          <cell r="B524">
            <v>691</v>
          </cell>
          <cell r="C524" t="str">
            <v>メール利用料</v>
          </cell>
          <cell r="K524" t="str">
            <v>MLRG</v>
          </cell>
          <cell r="L524" t="str">
            <v>MRYRYO</v>
          </cell>
          <cell r="M524" t="str">
            <v>P</v>
          </cell>
          <cell r="N524">
            <v>7</v>
          </cell>
          <cell r="O524" t="str">
            <v/>
          </cell>
          <cell r="Q524" t="str">
            <v>メールサービス料金コードの販売価格（税込）</v>
          </cell>
        </row>
        <row r="525">
          <cell r="B525">
            <v>692</v>
          </cell>
          <cell r="C525" t="str">
            <v>メール利用料有効日付</v>
          </cell>
          <cell r="K525" t="str">
            <v>MLYD</v>
          </cell>
          <cell r="L525" t="str">
            <v>MRYYDT</v>
          </cell>
          <cell r="M525" t="str">
            <v>S</v>
          </cell>
          <cell r="N525">
            <v>8</v>
          </cell>
          <cell r="O525" t="str">
            <v/>
          </cell>
          <cell r="Q525" t="str">
            <v>Ｗｅｂのメール利用料有効日付</v>
          </cell>
        </row>
        <row r="526">
          <cell r="B526">
            <v>693</v>
          </cell>
          <cell r="C526" t="str">
            <v>次回有効メール利用料</v>
          </cell>
          <cell r="K526" t="str">
            <v>JYMG</v>
          </cell>
          <cell r="L526" t="str">
            <v>NXYMRY</v>
          </cell>
          <cell r="M526" t="str">
            <v>P</v>
          </cell>
          <cell r="N526">
            <v>7</v>
          </cell>
          <cell r="O526" t="str">
            <v/>
          </cell>
          <cell r="Q526" t="str">
            <v>有効日付以降に有効になるメール利用料</v>
          </cell>
        </row>
        <row r="527">
          <cell r="B527">
            <v>694</v>
          </cell>
          <cell r="C527" t="str">
            <v>メールサービス開始日付</v>
          </cell>
          <cell r="K527" t="str">
            <v>MLSD</v>
          </cell>
          <cell r="L527" t="str">
            <v>MSVSDT</v>
          </cell>
          <cell r="M527" t="str">
            <v>S</v>
          </cell>
          <cell r="N527">
            <v>8</v>
          </cell>
          <cell r="O527" t="str">
            <v/>
          </cell>
          <cell r="Q527" t="str">
            <v>メールサービス開始日付</v>
          </cell>
        </row>
        <row r="528">
          <cell r="B528">
            <v>695</v>
          </cell>
          <cell r="C528" t="str">
            <v>メールサービス開始時刻</v>
          </cell>
          <cell r="K528" t="str">
            <v>MLST</v>
          </cell>
          <cell r="L528" t="str">
            <v>MSVSTM</v>
          </cell>
          <cell r="M528" t="str">
            <v>S</v>
          </cell>
          <cell r="N528">
            <v>6</v>
          </cell>
          <cell r="O528" t="str">
            <v/>
          </cell>
          <cell r="Q528" t="str">
            <v>メールサービス開始時刻</v>
          </cell>
        </row>
        <row r="529">
          <cell r="B529">
            <v>696</v>
          </cell>
          <cell r="C529" t="str">
            <v>メールサービス終了日付</v>
          </cell>
          <cell r="K529" t="str">
            <v>MLED</v>
          </cell>
          <cell r="L529" t="str">
            <v>MSVEDT</v>
          </cell>
          <cell r="M529" t="str">
            <v>S</v>
          </cell>
          <cell r="N529">
            <v>8</v>
          </cell>
          <cell r="O529" t="str">
            <v/>
          </cell>
          <cell r="Q529" t="str">
            <v>メールサービス終了日付</v>
          </cell>
        </row>
        <row r="530">
          <cell r="B530">
            <v>697</v>
          </cell>
          <cell r="C530" t="str">
            <v>メールサービス終了時刻</v>
          </cell>
          <cell r="K530" t="str">
            <v>MLET</v>
          </cell>
          <cell r="L530" t="str">
            <v>MSVETM</v>
          </cell>
          <cell r="M530" t="str">
            <v>S</v>
          </cell>
          <cell r="N530">
            <v>6</v>
          </cell>
          <cell r="O530" t="str">
            <v/>
          </cell>
          <cell r="Q530" t="str">
            <v>メールサービス終了時刻</v>
          </cell>
        </row>
        <row r="531">
          <cell r="B531">
            <v>698</v>
          </cell>
          <cell r="C531" t="str">
            <v>メールサービス無償区分</v>
          </cell>
          <cell r="K531" t="str">
            <v>MLSM</v>
          </cell>
          <cell r="L531" t="str">
            <v>MSFRKB</v>
          </cell>
          <cell r="M531" t="str">
            <v>A</v>
          </cell>
          <cell r="N531">
            <v>1</v>
          </cell>
          <cell r="O531" t="str">
            <v/>
          </cell>
          <cell r="Q531" t="str">
            <v>１：無償</v>
          </cell>
        </row>
        <row r="532">
          <cell r="B532">
            <v>699</v>
          </cell>
          <cell r="C532" t="str">
            <v>ブラウジング料</v>
          </cell>
          <cell r="K532" t="str">
            <v>BRRG</v>
          </cell>
          <cell r="L532" t="str">
            <v>BRSRYO</v>
          </cell>
          <cell r="M532" t="str">
            <v>P</v>
          </cell>
          <cell r="N532">
            <v>7</v>
          </cell>
          <cell r="O532" t="str">
            <v/>
          </cell>
          <cell r="Q532" t="str">
            <v>ブラウジングサービス料金コードの販売価格（税込）</v>
          </cell>
        </row>
        <row r="533">
          <cell r="B533">
            <v>700</v>
          </cell>
          <cell r="C533" t="str">
            <v>ブラウジング料有効日付</v>
          </cell>
          <cell r="K533" t="str">
            <v>BRYD</v>
          </cell>
          <cell r="L533" t="str">
            <v>BRRYDT</v>
          </cell>
          <cell r="M533" t="str">
            <v>S</v>
          </cell>
          <cell r="N533">
            <v>8</v>
          </cell>
          <cell r="O533" t="str">
            <v/>
          </cell>
          <cell r="Q533" t="str">
            <v>現在ブラウジング料の有功期限</v>
          </cell>
        </row>
        <row r="534">
          <cell r="B534">
            <v>701</v>
          </cell>
          <cell r="C534" t="str">
            <v>次回有効ブラウジング料</v>
          </cell>
          <cell r="K534" t="str">
            <v>JYBG</v>
          </cell>
          <cell r="L534" t="str">
            <v>NXYBRR</v>
          </cell>
          <cell r="M534" t="str">
            <v>P</v>
          </cell>
          <cell r="N534">
            <v>7</v>
          </cell>
          <cell r="O534" t="str">
            <v/>
          </cell>
          <cell r="Q534" t="str">
            <v>有効日付以降に有効になるブラウジング料</v>
          </cell>
        </row>
        <row r="535">
          <cell r="B535">
            <v>702</v>
          </cell>
          <cell r="C535" t="str">
            <v>ブラウジング開始日付</v>
          </cell>
          <cell r="K535" t="str">
            <v>BRSD</v>
          </cell>
          <cell r="L535" t="str">
            <v>BRSTDT</v>
          </cell>
          <cell r="M535" t="str">
            <v>S</v>
          </cell>
          <cell r="N535">
            <v>8</v>
          </cell>
          <cell r="O535" t="str">
            <v/>
          </cell>
          <cell r="Q535" t="str">
            <v>ブラウジング開始日付</v>
          </cell>
        </row>
        <row r="536">
          <cell r="B536">
            <v>703</v>
          </cell>
          <cell r="C536" t="str">
            <v>ブラウジング開始時刻</v>
          </cell>
          <cell r="K536" t="str">
            <v>BRST</v>
          </cell>
          <cell r="L536" t="str">
            <v>BRSTTM</v>
          </cell>
          <cell r="M536" t="str">
            <v>S</v>
          </cell>
          <cell r="N536">
            <v>6</v>
          </cell>
          <cell r="O536" t="str">
            <v/>
          </cell>
          <cell r="Q536" t="str">
            <v>ブラウジング開始時刻</v>
          </cell>
        </row>
        <row r="537">
          <cell r="B537">
            <v>704</v>
          </cell>
          <cell r="C537" t="str">
            <v>ブラウジング終了日付</v>
          </cell>
          <cell r="K537" t="str">
            <v>BRED</v>
          </cell>
          <cell r="L537" t="str">
            <v>BREDDT</v>
          </cell>
          <cell r="M537" t="str">
            <v>S</v>
          </cell>
          <cell r="N537">
            <v>8</v>
          </cell>
          <cell r="O537" t="str">
            <v/>
          </cell>
          <cell r="Q537" t="str">
            <v>ブラウジング終了日付</v>
          </cell>
        </row>
        <row r="538">
          <cell r="B538">
            <v>705</v>
          </cell>
          <cell r="C538" t="str">
            <v>ブラウジング終了時刻</v>
          </cell>
          <cell r="K538" t="str">
            <v>BRET</v>
          </cell>
          <cell r="L538" t="str">
            <v>BREDTM</v>
          </cell>
          <cell r="M538" t="str">
            <v>S</v>
          </cell>
          <cell r="N538">
            <v>6</v>
          </cell>
          <cell r="O538" t="str">
            <v/>
          </cell>
          <cell r="Q538" t="str">
            <v>ブラウジング終了時刻</v>
          </cell>
        </row>
        <row r="539">
          <cell r="B539">
            <v>706</v>
          </cell>
          <cell r="C539" t="str">
            <v>ブラウジング無償区分</v>
          </cell>
          <cell r="K539" t="str">
            <v>BRMK</v>
          </cell>
          <cell r="L539" t="str">
            <v>BRFRKB</v>
          </cell>
          <cell r="M539" t="str">
            <v>A</v>
          </cell>
          <cell r="N539">
            <v>1</v>
          </cell>
          <cell r="O539" t="str">
            <v/>
          </cell>
          <cell r="Q539" t="str">
            <v>１：無償</v>
          </cell>
        </row>
        <row r="540">
          <cell r="B540">
            <v>707</v>
          </cell>
          <cell r="C540" t="str">
            <v>サービス料金３</v>
          </cell>
          <cell r="K540" t="str">
            <v>SG03</v>
          </cell>
          <cell r="L540" t="str">
            <v>SVRY3</v>
          </cell>
          <cell r="M540" t="str">
            <v>P</v>
          </cell>
          <cell r="N540">
            <v>7</v>
          </cell>
          <cell r="O540" t="str">
            <v/>
          </cell>
          <cell r="Q540" t="str">
            <v>サービス料金コード３の販売価格（税込）</v>
          </cell>
        </row>
        <row r="541">
          <cell r="B541">
            <v>708</v>
          </cell>
          <cell r="C541" t="str">
            <v>サービス料金３有効日付</v>
          </cell>
          <cell r="K541" t="str">
            <v>SD03</v>
          </cell>
          <cell r="L541" t="str">
            <v>SR3YDT</v>
          </cell>
          <cell r="M541" t="str">
            <v>S</v>
          </cell>
          <cell r="N541">
            <v>8</v>
          </cell>
          <cell r="O541" t="str">
            <v/>
          </cell>
          <cell r="Q541" t="str">
            <v>現在サービス料金の有効期限</v>
          </cell>
        </row>
        <row r="542">
          <cell r="B542">
            <v>709</v>
          </cell>
          <cell r="C542" t="str">
            <v>次回有効サービス料金３</v>
          </cell>
          <cell r="K542" t="str">
            <v>JYS3</v>
          </cell>
          <cell r="L542" t="str">
            <v>NYSVR3</v>
          </cell>
          <cell r="M542" t="str">
            <v>P</v>
          </cell>
          <cell r="N542">
            <v>7</v>
          </cell>
          <cell r="O542" t="str">
            <v/>
          </cell>
          <cell r="Q542" t="str">
            <v>有効日付以降に有効になるサービス料金</v>
          </cell>
        </row>
        <row r="543">
          <cell r="B543">
            <v>710</v>
          </cell>
          <cell r="C543" t="str">
            <v>サービス料金コード３開始日付</v>
          </cell>
          <cell r="K543" t="str">
            <v>SST3</v>
          </cell>
          <cell r="L543" t="str">
            <v>SC3SDT</v>
          </cell>
          <cell r="M543" t="str">
            <v>S</v>
          </cell>
          <cell r="N543">
            <v>8</v>
          </cell>
          <cell r="O543" t="str">
            <v/>
          </cell>
          <cell r="Q543" t="str">
            <v>サービス料金コード開始日付</v>
          </cell>
        </row>
        <row r="544">
          <cell r="B544">
            <v>711</v>
          </cell>
          <cell r="C544" t="str">
            <v>サービス料金コード３開始時刻</v>
          </cell>
          <cell r="K544" t="str">
            <v>SSD3</v>
          </cell>
          <cell r="L544" t="str">
            <v>SC3STM</v>
          </cell>
          <cell r="M544" t="str">
            <v>S</v>
          </cell>
          <cell r="N544">
            <v>6</v>
          </cell>
          <cell r="O544" t="str">
            <v/>
          </cell>
          <cell r="Q544" t="str">
            <v>サービス料金コード開始時刻</v>
          </cell>
        </row>
        <row r="545">
          <cell r="B545">
            <v>712</v>
          </cell>
          <cell r="C545" t="str">
            <v>サービス料金コード３終了日付</v>
          </cell>
          <cell r="K545" t="str">
            <v>SET3</v>
          </cell>
          <cell r="L545" t="str">
            <v>SC3EDT</v>
          </cell>
          <cell r="M545" t="str">
            <v>S</v>
          </cell>
          <cell r="N545">
            <v>8</v>
          </cell>
          <cell r="O545" t="str">
            <v/>
          </cell>
          <cell r="Q545" t="str">
            <v>サービス料金コード終了日付</v>
          </cell>
        </row>
        <row r="546">
          <cell r="B546">
            <v>713</v>
          </cell>
          <cell r="C546" t="str">
            <v>サービス料金コード３終了時刻</v>
          </cell>
          <cell r="K546" t="str">
            <v>SED3</v>
          </cell>
          <cell r="L546" t="str">
            <v>SC3ETM</v>
          </cell>
          <cell r="M546" t="str">
            <v>S</v>
          </cell>
          <cell r="N546">
            <v>6</v>
          </cell>
          <cell r="O546" t="str">
            <v/>
          </cell>
          <cell r="Q546" t="str">
            <v>サービス料金コード終了時刻</v>
          </cell>
        </row>
        <row r="547">
          <cell r="B547">
            <v>714</v>
          </cell>
          <cell r="C547" t="str">
            <v>サービス料金コード３無償区分</v>
          </cell>
          <cell r="K547" t="str">
            <v>SRM3</v>
          </cell>
          <cell r="L547" t="str">
            <v>SC3FKB</v>
          </cell>
          <cell r="M547" t="str">
            <v>A</v>
          </cell>
          <cell r="N547">
            <v>1</v>
          </cell>
          <cell r="O547" t="str">
            <v/>
          </cell>
          <cell r="Q547" t="str">
            <v>１：無償</v>
          </cell>
        </row>
        <row r="548">
          <cell r="B548">
            <v>715</v>
          </cell>
          <cell r="C548" t="str">
            <v>サービス料金４</v>
          </cell>
          <cell r="K548" t="str">
            <v>SG04</v>
          </cell>
          <cell r="L548" t="str">
            <v>SVRY4</v>
          </cell>
          <cell r="M548" t="str">
            <v>P</v>
          </cell>
          <cell r="N548">
            <v>7</v>
          </cell>
          <cell r="O548" t="str">
            <v/>
          </cell>
          <cell r="Q548" t="str">
            <v>サービス料金コード４の販売価格（税込）</v>
          </cell>
        </row>
        <row r="549">
          <cell r="B549">
            <v>716</v>
          </cell>
          <cell r="C549" t="str">
            <v>サービス料金４有効日付</v>
          </cell>
          <cell r="K549" t="str">
            <v>SD04</v>
          </cell>
          <cell r="L549" t="str">
            <v>SR4YDT</v>
          </cell>
          <cell r="M549" t="str">
            <v>S</v>
          </cell>
          <cell r="N549">
            <v>8</v>
          </cell>
          <cell r="O549" t="str">
            <v/>
          </cell>
          <cell r="Q549" t="str">
            <v>現在サービス料金の有効期限</v>
          </cell>
        </row>
        <row r="550">
          <cell r="B550">
            <v>717</v>
          </cell>
          <cell r="C550" t="str">
            <v>次回有効サービス料金４</v>
          </cell>
          <cell r="K550" t="str">
            <v>JYS4</v>
          </cell>
          <cell r="L550" t="str">
            <v>NYSVR4</v>
          </cell>
          <cell r="M550" t="str">
            <v>P</v>
          </cell>
          <cell r="N550">
            <v>7</v>
          </cell>
          <cell r="O550" t="str">
            <v/>
          </cell>
          <cell r="Q550" t="str">
            <v>有効日付以降に有効になるサービス料金</v>
          </cell>
        </row>
        <row r="551">
          <cell r="B551">
            <v>718</v>
          </cell>
          <cell r="C551" t="str">
            <v>サービス料金コード４開始日付</v>
          </cell>
          <cell r="K551" t="str">
            <v>SST4</v>
          </cell>
          <cell r="L551" t="str">
            <v>SC4SDT</v>
          </cell>
          <cell r="M551" t="str">
            <v>S</v>
          </cell>
          <cell r="N551">
            <v>8</v>
          </cell>
          <cell r="O551" t="str">
            <v/>
          </cell>
          <cell r="Q551" t="str">
            <v>サービス料金コード開始日付</v>
          </cell>
        </row>
        <row r="552">
          <cell r="B552">
            <v>719</v>
          </cell>
          <cell r="C552" t="str">
            <v>サービス料金コード４開始時刻</v>
          </cell>
          <cell r="K552" t="str">
            <v>SSD4</v>
          </cell>
          <cell r="L552" t="str">
            <v>SC4STM</v>
          </cell>
          <cell r="M552" t="str">
            <v>S</v>
          </cell>
          <cell r="N552">
            <v>6</v>
          </cell>
          <cell r="O552" t="str">
            <v/>
          </cell>
          <cell r="Q552" t="str">
            <v>サービス料金コード開始時刻</v>
          </cell>
        </row>
        <row r="553">
          <cell r="B553">
            <v>720</v>
          </cell>
          <cell r="C553" t="str">
            <v>サービス料金コード４終了日付</v>
          </cell>
          <cell r="K553" t="str">
            <v>SET4</v>
          </cell>
          <cell r="L553" t="str">
            <v>SC4EDT</v>
          </cell>
          <cell r="M553" t="str">
            <v>S</v>
          </cell>
          <cell r="N553">
            <v>8</v>
          </cell>
          <cell r="O553" t="str">
            <v/>
          </cell>
          <cell r="Q553" t="str">
            <v>サービス料金コード終了日付</v>
          </cell>
        </row>
        <row r="554">
          <cell r="B554">
            <v>721</v>
          </cell>
          <cell r="C554" t="str">
            <v>サービス料金コード４終了時刻</v>
          </cell>
          <cell r="K554" t="str">
            <v>SED4</v>
          </cell>
          <cell r="L554" t="str">
            <v>SC4ETM</v>
          </cell>
          <cell r="M554" t="str">
            <v>S</v>
          </cell>
          <cell r="N554">
            <v>6</v>
          </cell>
          <cell r="O554" t="str">
            <v/>
          </cell>
          <cell r="Q554" t="str">
            <v>サービス料金コード終了時刻</v>
          </cell>
        </row>
        <row r="555">
          <cell r="B555">
            <v>722</v>
          </cell>
          <cell r="C555" t="str">
            <v>サービス料金コード４無償区分</v>
          </cell>
          <cell r="K555" t="str">
            <v>SRK4</v>
          </cell>
          <cell r="L555" t="str">
            <v>SC4FKB</v>
          </cell>
          <cell r="M555" t="str">
            <v>A</v>
          </cell>
          <cell r="N555">
            <v>1</v>
          </cell>
          <cell r="O555" t="str">
            <v/>
          </cell>
          <cell r="Q555" t="str">
            <v>１：無償</v>
          </cell>
        </row>
        <row r="556">
          <cell r="B556">
            <v>723</v>
          </cell>
          <cell r="C556" t="str">
            <v>サービス料金５</v>
          </cell>
          <cell r="K556" t="str">
            <v>SG05</v>
          </cell>
          <cell r="L556" t="str">
            <v>SVRY5</v>
          </cell>
          <cell r="M556" t="str">
            <v>P</v>
          </cell>
          <cell r="N556">
            <v>7</v>
          </cell>
          <cell r="O556" t="str">
            <v/>
          </cell>
          <cell r="Q556" t="str">
            <v>サービス料金コード５の販売価格（税込）</v>
          </cell>
        </row>
        <row r="557">
          <cell r="B557">
            <v>724</v>
          </cell>
          <cell r="C557" t="str">
            <v>サービス料金５有効日付</v>
          </cell>
          <cell r="K557" t="str">
            <v>SD05</v>
          </cell>
          <cell r="L557" t="str">
            <v>SR5YDT</v>
          </cell>
          <cell r="M557" t="str">
            <v>S</v>
          </cell>
          <cell r="N557">
            <v>8</v>
          </cell>
          <cell r="O557" t="str">
            <v/>
          </cell>
          <cell r="Q557" t="str">
            <v>現在サービス料金の有効期限</v>
          </cell>
        </row>
        <row r="558">
          <cell r="B558">
            <v>725</v>
          </cell>
          <cell r="C558" t="str">
            <v>次回有効サービス料金５</v>
          </cell>
          <cell r="K558" t="str">
            <v>JYS5</v>
          </cell>
          <cell r="L558" t="str">
            <v>NYSVR5</v>
          </cell>
          <cell r="M558" t="str">
            <v>P</v>
          </cell>
          <cell r="N558">
            <v>7</v>
          </cell>
          <cell r="O558" t="str">
            <v/>
          </cell>
          <cell r="Q558" t="str">
            <v>有効日付以降に有効になるサービス料金</v>
          </cell>
        </row>
        <row r="559">
          <cell r="B559">
            <v>726</v>
          </cell>
          <cell r="C559" t="str">
            <v>サービス料金コード５開始日付</v>
          </cell>
          <cell r="K559" t="str">
            <v>SST5</v>
          </cell>
          <cell r="L559" t="str">
            <v>SC5SDT</v>
          </cell>
          <cell r="M559" t="str">
            <v>S</v>
          </cell>
          <cell r="N559">
            <v>8</v>
          </cell>
          <cell r="O559" t="str">
            <v/>
          </cell>
          <cell r="Q559" t="str">
            <v>サービス料金コード開始日付</v>
          </cell>
        </row>
        <row r="560">
          <cell r="B560">
            <v>727</v>
          </cell>
          <cell r="C560" t="str">
            <v>サービス料金コード５開始時刻</v>
          </cell>
          <cell r="K560" t="str">
            <v>SSD5</v>
          </cell>
          <cell r="L560" t="str">
            <v>SC5STM</v>
          </cell>
          <cell r="M560" t="str">
            <v>S</v>
          </cell>
          <cell r="N560">
            <v>6</v>
          </cell>
          <cell r="O560" t="str">
            <v/>
          </cell>
          <cell r="Q560" t="str">
            <v>サービス料金コード開始時刻</v>
          </cell>
        </row>
        <row r="561">
          <cell r="B561">
            <v>728</v>
          </cell>
          <cell r="C561" t="str">
            <v>サービス料金コード５終了日付</v>
          </cell>
          <cell r="K561" t="str">
            <v>SET5</v>
          </cell>
          <cell r="L561" t="str">
            <v>SC5EDT</v>
          </cell>
          <cell r="M561" t="str">
            <v>S</v>
          </cell>
          <cell r="N561">
            <v>8</v>
          </cell>
          <cell r="O561" t="str">
            <v/>
          </cell>
          <cell r="Q561" t="str">
            <v>サービス料金コード終了日付</v>
          </cell>
        </row>
        <row r="562">
          <cell r="B562">
            <v>729</v>
          </cell>
          <cell r="C562" t="str">
            <v>サービス料金コード５終了時刻</v>
          </cell>
          <cell r="K562" t="str">
            <v>SED5</v>
          </cell>
          <cell r="L562" t="str">
            <v>SC5ETM</v>
          </cell>
          <cell r="M562" t="str">
            <v>S</v>
          </cell>
          <cell r="N562">
            <v>6</v>
          </cell>
          <cell r="O562" t="str">
            <v/>
          </cell>
          <cell r="Q562" t="str">
            <v>サービス料金コード終了時刻</v>
          </cell>
        </row>
        <row r="563">
          <cell r="B563">
            <v>730</v>
          </cell>
          <cell r="C563" t="str">
            <v>サービス料金コード５無償区分</v>
          </cell>
          <cell r="K563" t="str">
            <v>SRK5</v>
          </cell>
          <cell r="L563" t="str">
            <v>SC5FKB</v>
          </cell>
          <cell r="M563" t="str">
            <v>A</v>
          </cell>
          <cell r="N563">
            <v>1</v>
          </cell>
          <cell r="O563" t="str">
            <v/>
          </cell>
          <cell r="Q563" t="str">
            <v>１：無償</v>
          </cell>
        </row>
        <row r="564">
          <cell r="B564">
            <v>731</v>
          </cell>
          <cell r="C564" t="str">
            <v>サービス料金６</v>
          </cell>
          <cell r="K564" t="str">
            <v>SG06</v>
          </cell>
          <cell r="L564" t="str">
            <v>SVRY6</v>
          </cell>
          <cell r="M564" t="str">
            <v>P</v>
          </cell>
          <cell r="N564">
            <v>7</v>
          </cell>
          <cell r="O564" t="str">
            <v/>
          </cell>
          <cell r="Q564" t="str">
            <v>サービス料金コード６の販売価格（税込）</v>
          </cell>
        </row>
        <row r="565">
          <cell r="B565">
            <v>732</v>
          </cell>
          <cell r="C565" t="str">
            <v>サービス料金６有効日付</v>
          </cell>
          <cell r="K565" t="str">
            <v>SD06</v>
          </cell>
          <cell r="L565" t="str">
            <v>SR6YDT</v>
          </cell>
          <cell r="M565" t="str">
            <v>S</v>
          </cell>
          <cell r="N565">
            <v>8</v>
          </cell>
          <cell r="O565" t="str">
            <v/>
          </cell>
          <cell r="Q565" t="str">
            <v>現在サービス料金の有効期限</v>
          </cell>
        </row>
        <row r="566">
          <cell r="B566">
            <v>733</v>
          </cell>
          <cell r="C566" t="str">
            <v>次回有効サービス料金６</v>
          </cell>
          <cell r="K566" t="str">
            <v>JYS6</v>
          </cell>
          <cell r="L566" t="str">
            <v>NYSVR6</v>
          </cell>
          <cell r="M566" t="str">
            <v>P</v>
          </cell>
          <cell r="N566">
            <v>7</v>
          </cell>
          <cell r="O566" t="str">
            <v/>
          </cell>
          <cell r="Q566" t="str">
            <v>有効日付以降に有効になるサービス料金</v>
          </cell>
        </row>
        <row r="567">
          <cell r="B567">
            <v>734</v>
          </cell>
          <cell r="C567" t="str">
            <v>サービス料金コード６開始日付</v>
          </cell>
          <cell r="K567" t="str">
            <v>SST6</v>
          </cell>
          <cell r="L567" t="str">
            <v>SC6SDT</v>
          </cell>
          <cell r="M567" t="str">
            <v>S</v>
          </cell>
          <cell r="N567">
            <v>8</v>
          </cell>
          <cell r="O567" t="str">
            <v/>
          </cell>
          <cell r="Q567" t="str">
            <v>サービス料金コード開始日付</v>
          </cell>
        </row>
        <row r="568">
          <cell r="B568">
            <v>735</v>
          </cell>
          <cell r="C568" t="str">
            <v>サービス料金コード６開始時刻</v>
          </cell>
          <cell r="K568" t="str">
            <v>SSD6</v>
          </cell>
          <cell r="L568" t="str">
            <v>SC6STM</v>
          </cell>
          <cell r="M568" t="str">
            <v>S</v>
          </cell>
          <cell r="N568">
            <v>6</v>
          </cell>
          <cell r="O568" t="str">
            <v/>
          </cell>
          <cell r="Q568" t="str">
            <v>サービス料金コード開始時刻</v>
          </cell>
        </row>
        <row r="569">
          <cell r="B569">
            <v>736</v>
          </cell>
          <cell r="C569" t="str">
            <v>サービス料金コード６終了日付</v>
          </cell>
          <cell r="K569" t="str">
            <v>SET6</v>
          </cell>
          <cell r="L569" t="str">
            <v>SC6EDT</v>
          </cell>
          <cell r="M569" t="str">
            <v>S</v>
          </cell>
          <cell r="N569">
            <v>8</v>
          </cell>
          <cell r="O569" t="str">
            <v/>
          </cell>
          <cell r="Q569" t="str">
            <v>サービス料金コード終了日付</v>
          </cell>
        </row>
        <row r="570">
          <cell r="B570">
            <v>737</v>
          </cell>
          <cell r="C570" t="str">
            <v>サービス料金コード６終了時刻</v>
          </cell>
          <cell r="K570" t="str">
            <v>SED6</v>
          </cell>
          <cell r="L570" t="str">
            <v>SC6ETM</v>
          </cell>
          <cell r="M570" t="str">
            <v>S</v>
          </cell>
          <cell r="N570">
            <v>6</v>
          </cell>
          <cell r="O570" t="str">
            <v/>
          </cell>
          <cell r="Q570" t="str">
            <v>サービス料金コード終了時刻</v>
          </cell>
        </row>
        <row r="571">
          <cell r="B571">
            <v>738</v>
          </cell>
          <cell r="C571" t="str">
            <v>サービス料金コード６無償区分</v>
          </cell>
          <cell r="K571" t="str">
            <v>SRK6</v>
          </cell>
          <cell r="L571" t="str">
            <v>SC6FKB</v>
          </cell>
          <cell r="M571" t="str">
            <v>A</v>
          </cell>
          <cell r="N571">
            <v>1</v>
          </cell>
          <cell r="O571" t="str">
            <v/>
          </cell>
          <cell r="Q571" t="str">
            <v>１：無償</v>
          </cell>
        </row>
        <row r="572">
          <cell r="B572">
            <v>739</v>
          </cell>
          <cell r="C572" t="str">
            <v>サービス料金７</v>
          </cell>
          <cell r="K572" t="str">
            <v>SG07</v>
          </cell>
          <cell r="L572" t="str">
            <v>SVRY7</v>
          </cell>
          <cell r="M572" t="str">
            <v>P</v>
          </cell>
          <cell r="N572">
            <v>7</v>
          </cell>
          <cell r="O572" t="str">
            <v/>
          </cell>
          <cell r="Q572" t="str">
            <v>サービス料金コード７の販売価格（税込）</v>
          </cell>
        </row>
        <row r="573">
          <cell r="B573">
            <v>740</v>
          </cell>
          <cell r="C573" t="str">
            <v>サービス料金７有効日付</v>
          </cell>
          <cell r="K573" t="str">
            <v>SD07</v>
          </cell>
          <cell r="L573" t="str">
            <v>SR7YDT</v>
          </cell>
          <cell r="M573" t="str">
            <v>S</v>
          </cell>
          <cell r="N573">
            <v>8</v>
          </cell>
          <cell r="O573" t="str">
            <v/>
          </cell>
          <cell r="Q573" t="str">
            <v>現在サービス料金の有効期限</v>
          </cell>
        </row>
        <row r="574">
          <cell r="B574">
            <v>741</v>
          </cell>
          <cell r="C574" t="str">
            <v>次回有効サービス料金７</v>
          </cell>
          <cell r="K574" t="str">
            <v>JYS7</v>
          </cell>
          <cell r="L574" t="str">
            <v>NYSVR7</v>
          </cell>
          <cell r="M574" t="str">
            <v>P</v>
          </cell>
          <cell r="N574">
            <v>7</v>
          </cell>
          <cell r="O574" t="str">
            <v/>
          </cell>
          <cell r="Q574" t="str">
            <v>有効日付以降に有効になるサービス料金</v>
          </cell>
        </row>
        <row r="575">
          <cell r="B575">
            <v>742</v>
          </cell>
          <cell r="C575" t="str">
            <v>サービス料金コード７開始日付</v>
          </cell>
          <cell r="K575" t="str">
            <v>SST7</v>
          </cell>
          <cell r="L575" t="str">
            <v>SC7SDT</v>
          </cell>
          <cell r="M575" t="str">
            <v>S</v>
          </cell>
          <cell r="N575">
            <v>8</v>
          </cell>
          <cell r="O575" t="str">
            <v/>
          </cell>
          <cell r="Q575" t="str">
            <v>サービス料金コード開始日付</v>
          </cell>
        </row>
        <row r="576">
          <cell r="B576">
            <v>743</v>
          </cell>
          <cell r="C576" t="str">
            <v>サービス料金コード７開始時刻</v>
          </cell>
          <cell r="K576" t="str">
            <v>SSD7</v>
          </cell>
          <cell r="L576" t="str">
            <v>SC7STM</v>
          </cell>
          <cell r="M576" t="str">
            <v>S</v>
          </cell>
          <cell r="N576">
            <v>6</v>
          </cell>
          <cell r="O576" t="str">
            <v/>
          </cell>
          <cell r="Q576" t="str">
            <v>サービス料金コード開始時刻</v>
          </cell>
        </row>
        <row r="577">
          <cell r="B577">
            <v>744</v>
          </cell>
          <cell r="C577" t="str">
            <v>サービス料金コード７終了日付</v>
          </cell>
          <cell r="K577" t="str">
            <v>SET7</v>
          </cell>
          <cell r="L577" t="str">
            <v>SC7EDT</v>
          </cell>
          <cell r="M577" t="str">
            <v>S</v>
          </cell>
          <cell r="N577">
            <v>8</v>
          </cell>
          <cell r="O577" t="str">
            <v/>
          </cell>
          <cell r="Q577" t="str">
            <v>サービス料金コード終了日付</v>
          </cell>
        </row>
        <row r="578">
          <cell r="B578">
            <v>745</v>
          </cell>
          <cell r="C578" t="str">
            <v>サービス料金コード７終了時刻</v>
          </cell>
          <cell r="K578" t="str">
            <v>SED7</v>
          </cell>
          <cell r="L578" t="str">
            <v>SC7ETM</v>
          </cell>
          <cell r="M578" t="str">
            <v>S</v>
          </cell>
          <cell r="N578">
            <v>6</v>
          </cell>
          <cell r="O578" t="str">
            <v/>
          </cell>
          <cell r="Q578" t="str">
            <v>サービス料金コード終了時刻</v>
          </cell>
        </row>
        <row r="579">
          <cell r="B579">
            <v>746</v>
          </cell>
          <cell r="C579" t="str">
            <v>サービス料金コード７無償区分</v>
          </cell>
          <cell r="K579" t="str">
            <v>SRK7</v>
          </cell>
          <cell r="L579" t="str">
            <v>SC7FKB</v>
          </cell>
          <cell r="M579" t="str">
            <v>A</v>
          </cell>
          <cell r="N579">
            <v>1</v>
          </cell>
          <cell r="O579" t="str">
            <v/>
          </cell>
          <cell r="Q579" t="str">
            <v>１：無償</v>
          </cell>
        </row>
        <row r="580">
          <cell r="B580">
            <v>747</v>
          </cell>
          <cell r="C580" t="str">
            <v>サービス料金８</v>
          </cell>
          <cell r="K580" t="str">
            <v>SG08</v>
          </cell>
          <cell r="L580" t="str">
            <v>SVRY8</v>
          </cell>
          <cell r="M580" t="str">
            <v>P</v>
          </cell>
          <cell r="N580">
            <v>7</v>
          </cell>
          <cell r="O580" t="str">
            <v/>
          </cell>
          <cell r="Q580" t="str">
            <v>サービス料金コード８の販売価格（税込）</v>
          </cell>
        </row>
        <row r="581">
          <cell r="B581">
            <v>748</v>
          </cell>
          <cell r="C581" t="str">
            <v>サービス料金８有効日付</v>
          </cell>
          <cell r="K581" t="str">
            <v>SD08</v>
          </cell>
          <cell r="L581" t="str">
            <v>SR8YDT</v>
          </cell>
          <cell r="M581" t="str">
            <v>S</v>
          </cell>
          <cell r="N581">
            <v>8</v>
          </cell>
          <cell r="O581" t="str">
            <v/>
          </cell>
          <cell r="Q581" t="str">
            <v>現在サービス料金の有効期限</v>
          </cell>
        </row>
        <row r="582">
          <cell r="B582">
            <v>749</v>
          </cell>
          <cell r="C582" t="str">
            <v>次回有効サービス料金８</v>
          </cell>
          <cell r="K582" t="str">
            <v>JYS8</v>
          </cell>
          <cell r="L582" t="str">
            <v>NYSVR8</v>
          </cell>
          <cell r="M582" t="str">
            <v>P</v>
          </cell>
          <cell r="N582">
            <v>7</v>
          </cell>
          <cell r="O582" t="str">
            <v/>
          </cell>
          <cell r="Q582" t="str">
            <v>有効日付以降に有効になるサービス料金</v>
          </cell>
        </row>
        <row r="583">
          <cell r="B583">
            <v>750</v>
          </cell>
          <cell r="C583" t="str">
            <v>サービス料金コード８開始日付</v>
          </cell>
          <cell r="K583" t="str">
            <v>SST8</v>
          </cell>
          <cell r="L583" t="str">
            <v>SC8SDT</v>
          </cell>
          <cell r="M583" t="str">
            <v>S</v>
          </cell>
          <cell r="N583">
            <v>8</v>
          </cell>
          <cell r="O583" t="str">
            <v/>
          </cell>
          <cell r="Q583" t="str">
            <v>サービス料金コード開始日付</v>
          </cell>
        </row>
        <row r="584">
          <cell r="B584">
            <v>751</v>
          </cell>
          <cell r="C584" t="str">
            <v>サービス料金コード８開始時刻</v>
          </cell>
          <cell r="K584" t="str">
            <v>SSD8</v>
          </cell>
          <cell r="L584" t="str">
            <v>SC8STM</v>
          </cell>
          <cell r="M584" t="str">
            <v>S</v>
          </cell>
          <cell r="N584">
            <v>6</v>
          </cell>
          <cell r="O584" t="str">
            <v/>
          </cell>
          <cell r="Q584" t="str">
            <v>サービス料金コード開始時刻</v>
          </cell>
        </row>
        <row r="585">
          <cell r="B585">
            <v>752</v>
          </cell>
          <cell r="C585" t="str">
            <v>サービス料金コード８終了日付</v>
          </cell>
          <cell r="K585" t="str">
            <v>SET8</v>
          </cell>
          <cell r="L585" t="str">
            <v>SC8EDT</v>
          </cell>
          <cell r="M585" t="str">
            <v>S</v>
          </cell>
          <cell r="N585">
            <v>8</v>
          </cell>
          <cell r="O585" t="str">
            <v/>
          </cell>
          <cell r="Q585" t="str">
            <v>サービス料金コード終了日付</v>
          </cell>
        </row>
        <row r="586">
          <cell r="B586">
            <v>753</v>
          </cell>
          <cell r="C586" t="str">
            <v>サービス料金コード８終了時刻</v>
          </cell>
          <cell r="K586" t="str">
            <v>SED8</v>
          </cell>
          <cell r="L586" t="str">
            <v>SC8ETM</v>
          </cell>
          <cell r="M586" t="str">
            <v>S</v>
          </cell>
          <cell r="N586">
            <v>6</v>
          </cell>
          <cell r="O586" t="str">
            <v/>
          </cell>
          <cell r="Q586" t="str">
            <v>サービス料金コード終了時刻</v>
          </cell>
        </row>
        <row r="587">
          <cell r="B587">
            <v>754</v>
          </cell>
          <cell r="C587" t="str">
            <v>サービス料金コード８無償区分</v>
          </cell>
          <cell r="K587" t="str">
            <v>SRK8</v>
          </cell>
          <cell r="L587" t="str">
            <v>SC8FKB</v>
          </cell>
          <cell r="M587" t="str">
            <v>A</v>
          </cell>
          <cell r="N587">
            <v>1</v>
          </cell>
          <cell r="O587" t="str">
            <v/>
          </cell>
          <cell r="Q587" t="str">
            <v>１：無償</v>
          </cell>
        </row>
        <row r="588">
          <cell r="B588">
            <v>755</v>
          </cell>
          <cell r="C588" t="str">
            <v>サービス料金９</v>
          </cell>
          <cell r="K588" t="str">
            <v>SG09</v>
          </cell>
          <cell r="L588" t="str">
            <v>SVRY9</v>
          </cell>
          <cell r="M588" t="str">
            <v>P</v>
          </cell>
          <cell r="N588">
            <v>7</v>
          </cell>
          <cell r="O588" t="str">
            <v/>
          </cell>
          <cell r="Q588" t="str">
            <v>サービス料金コード９の販売価格（税込）</v>
          </cell>
        </row>
        <row r="589">
          <cell r="B589">
            <v>756</v>
          </cell>
          <cell r="C589" t="str">
            <v>サービス料金９有効日付</v>
          </cell>
          <cell r="K589" t="str">
            <v>SD09</v>
          </cell>
          <cell r="L589" t="str">
            <v>SR9YDT</v>
          </cell>
          <cell r="M589" t="str">
            <v>S</v>
          </cell>
          <cell r="N589">
            <v>8</v>
          </cell>
          <cell r="O589" t="str">
            <v/>
          </cell>
          <cell r="Q589" t="str">
            <v>現在サービス料金の有効期限</v>
          </cell>
        </row>
        <row r="590">
          <cell r="B590">
            <v>757</v>
          </cell>
          <cell r="C590" t="str">
            <v>次回有効サービス料金９</v>
          </cell>
          <cell r="K590" t="str">
            <v>JYS9</v>
          </cell>
          <cell r="L590" t="str">
            <v>NYSVR9</v>
          </cell>
          <cell r="M590" t="str">
            <v>P</v>
          </cell>
          <cell r="N590">
            <v>7</v>
          </cell>
          <cell r="O590" t="str">
            <v/>
          </cell>
          <cell r="Q590" t="str">
            <v>有効日付以降に有効になるサービス料金</v>
          </cell>
        </row>
        <row r="591">
          <cell r="B591">
            <v>758</v>
          </cell>
          <cell r="C591" t="str">
            <v>サービス料金コード９開始日付</v>
          </cell>
          <cell r="K591" t="str">
            <v>SST9</v>
          </cell>
          <cell r="L591" t="str">
            <v>SC9SDT</v>
          </cell>
          <cell r="M591" t="str">
            <v>S</v>
          </cell>
          <cell r="N591">
            <v>8</v>
          </cell>
          <cell r="O591" t="str">
            <v/>
          </cell>
          <cell r="Q591" t="str">
            <v>サービス料金コード開始日付</v>
          </cell>
        </row>
        <row r="592">
          <cell r="B592">
            <v>759</v>
          </cell>
          <cell r="C592" t="str">
            <v>サービス料金コード９開始時刻</v>
          </cell>
          <cell r="K592" t="str">
            <v>SSD9</v>
          </cell>
          <cell r="L592" t="str">
            <v>SC9STM</v>
          </cell>
          <cell r="M592" t="str">
            <v>S</v>
          </cell>
          <cell r="N592">
            <v>6</v>
          </cell>
          <cell r="O592" t="str">
            <v/>
          </cell>
          <cell r="Q592" t="str">
            <v>サービス料金コード開始時刻</v>
          </cell>
        </row>
        <row r="593">
          <cell r="B593">
            <v>760</v>
          </cell>
          <cell r="C593" t="str">
            <v>サービス料金コード９終了日付</v>
          </cell>
          <cell r="K593" t="str">
            <v>SET9</v>
          </cell>
          <cell r="L593" t="str">
            <v>SC9EDT</v>
          </cell>
          <cell r="M593" t="str">
            <v>S</v>
          </cell>
          <cell r="N593">
            <v>8</v>
          </cell>
          <cell r="O593" t="str">
            <v/>
          </cell>
          <cell r="Q593" t="str">
            <v>サービス料金コード終了日付</v>
          </cell>
        </row>
        <row r="594">
          <cell r="B594">
            <v>761</v>
          </cell>
          <cell r="C594" t="str">
            <v>サービス料金コード９終了時刻</v>
          </cell>
          <cell r="K594" t="str">
            <v>SED9</v>
          </cell>
          <cell r="L594" t="str">
            <v>SC9ETM</v>
          </cell>
          <cell r="M594" t="str">
            <v>S</v>
          </cell>
          <cell r="N594">
            <v>6</v>
          </cell>
          <cell r="O594" t="str">
            <v/>
          </cell>
          <cell r="Q594" t="str">
            <v>サービス料金コード終了時刻</v>
          </cell>
        </row>
        <row r="595">
          <cell r="B595">
            <v>762</v>
          </cell>
          <cell r="C595" t="str">
            <v>サービス料金コード９無償区分</v>
          </cell>
          <cell r="K595" t="str">
            <v>SRK9</v>
          </cell>
          <cell r="L595" t="str">
            <v>SC9FKB</v>
          </cell>
          <cell r="M595" t="str">
            <v>A</v>
          </cell>
          <cell r="N595">
            <v>1</v>
          </cell>
          <cell r="O595" t="str">
            <v/>
          </cell>
          <cell r="Q595" t="str">
            <v>１：無償</v>
          </cell>
        </row>
        <row r="596">
          <cell r="B596">
            <v>763</v>
          </cell>
          <cell r="C596" t="str">
            <v>サービス料金１０</v>
          </cell>
          <cell r="K596" t="str">
            <v>SG10</v>
          </cell>
          <cell r="L596" t="str">
            <v>SVRY10</v>
          </cell>
          <cell r="M596" t="str">
            <v>P</v>
          </cell>
          <cell r="N596">
            <v>7</v>
          </cell>
          <cell r="O596" t="str">
            <v/>
          </cell>
          <cell r="Q596" t="str">
            <v>サービス料金コード１０の販売価格（税込）</v>
          </cell>
        </row>
        <row r="597">
          <cell r="B597">
            <v>764</v>
          </cell>
          <cell r="C597" t="str">
            <v>サービス料金１０有効日付</v>
          </cell>
          <cell r="K597" t="str">
            <v>SD10</v>
          </cell>
          <cell r="L597" t="str">
            <v>SR10YD</v>
          </cell>
          <cell r="M597" t="str">
            <v>S</v>
          </cell>
          <cell r="N597">
            <v>8</v>
          </cell>
          <cell r="O597" t="str">
            <v/>
          </cell>
          <cell r="Q597" t="str">
            <v>現在サービス料金の有効期限</v>
          </cell>
        </row>
        <row r="598">
          <cell r="B598">
            <v>765</v>
          </cell>
          <cell r="C598" t="str">
            <v>次回有効サービス料金１０</v>
          </cell>
          <cell r="K598" t="str">
            <v>JYSA</v>
          </cell>
          <cell r="L598" t="str">
            <v>NYSR10</v>
          </cell>
          <cell r="M598" t="str">
            <v>P</v>
          </cell>
          <cell r="N598">
            <v>7</v>
          </cell>
          <cell r="O598" t="str">
            <v/>
          </cell>
          <cell r="Q598" t="str">
            <v>有効日付以降に有効になるサービス料金</v>
          </cell>
        </row>
        <row r="599">
          <cell r="B599">
            <v>766</v>
          </cell>
          <cell r="C599" t="str">
            <v>サービス料金コード１０開始日付</v>
          </cell>
          <cell r="K599" t="str">
            <v>SSTA</v>
          </cell>
          <cell r="L599" t="str">
            <v>SC10SD</v>
          </cell>
          <cell r="M599" t="str">
            <v>S</v>
          </cell>
          <cell r="N599">
            <v>8</v>
          </cell>
          <cell r="O599" t="str">
            <v/>
          </cell>
          <cell r="Q599" t="str">
            <v>サービス料金コード開始日付</v>
          </cell>
        </row>
        <row r="600">
          <cell r="B600">
            <v>767</v>
          </cell>
          <cell r="C600" t="str">
            <v>サービス料金コード１０開始時刻</v>
          </cell>
          <cell r="K600" t="str">
            <v>SSDA</v>
          </cell>
          <cell r="L600" t="str">
            <v>SC10ST</v>
          </cell>
          <cell r="M600" t="str">
            <v>S</v>
          </cell>
          <cell r="N600">
            <v>6</v>
          </cell>
          <cell r="O600" t="str">
            <v/>
          </cell>
          <cell r="Q600" t="str">
            <v>サービス料金コード開始時刻</v>
          </cell>
        </row>
        <row r="601">
          <cell r="B601">
            <v>768</v>
          </cell>
          <cell r="C601" t="str">
            <v>サービス料金コード１０終了日付</v>
          </cell>
          <cell r="K601" t="str">
            <v>SETA</v>
          </cell>
          <cell r="L601" t="str">
            <v>SC10ED</v>
          </cell>
          <cell r="M601" t="str">
            <v>S</v>
          </cell>
          <cell r="N601">
            <v>8</v>
          </cell>
          <cell r="O601" t="str">
            <v/>
          </cell>
          <cell r="Q601" t="str">
            <v>サービス料金コード終了日付</v>
          </cell>
        </row>
        <row r="602">
          <cell r="B602">
            <v>769</v>
          </cell>
          <cell r="C602" t="str">
            <v>サービス料金コード１０終了時刻</v>
          </cell>
          <cell r="K602" t="str">
            <v>SEDA</v>
          </cell>
          <cell r="L602" t="str">
            <v>SC10ET</v>
          </cell>
          <cell r="M602" t="str">
            <v>S</v>
          </cell>
          <cell r="N602">
            <v>6</v>
          </cell>
          <cell r="O602" t="str">
            <v/>
          </cell>
          <cell r="Q602" t="str">
            <v>サービス料金コード終了時刻</v>
          </cell>
        </row>
        <row r="603">
          <cell r="B603">
            <v>770</v>
          </cell>
          <cell r="C603" t="str">
            <v>サービス料金コード１０無償区分</v>
          </cell>
          <cell r="K603" t="str">
            <v>SRMA</v>
          </cell>
          <cell r="L603" t="str">
            <v>SC10FK</v>
          </cell>
          <cell r="M603" t="str">
            <v>A</v>
          </cell>
          <cell r="N603">
            <v>1</v>
          </cell>
          <cell r="O603" t="str">
            <v/>
          </cell>
          <cell r="Q603" t="str">
            <v>１：無償</v>
          </cell>
        </row>
        <row r="604">
          <cell r="B604">
            <v>777</v>
          </cell>
          <cell r="C604" t="str">
            <v>ディレクトリーコンテンツ管理サーバー</v>
          </cell>
          <cell r="K604" t="str">
            <v>DRCS</v>
          </cell>
          <cell r="L604" t="str">
            <v>DCMSVR</v>
          </cell>
          <cell r="M604" t="str">
            <v>A</v>
          </cell>
          <cell r="N604">
            <v>128</v>
          </cell>
          <cell r="O604" t="str">
            <v/>
          </cell>
          <cell r="Q604" t="str">
            <v>コマンドを実行するターゲットのパス</v>
          </cell>
        </row>
        <row r="605">
          <cell r="B605">
            <v>787</v>
          </cell>
          <cell r="C605" t="str">
            <v>販売金額</v>
          </cell>
          <cell r="K605" t="str">
            <v>HNSG</v>
          </cell>
          <cell r="M605" t="str">
            <v>P</v>
          </cell>
          <cell r="N605">
            <v>11</v>
          </cell>
          <cell r="O605" t="str">
            <v/>
          </cell>
          <cell r="Q605" t="str">
            <v>販売金額（会計金額）</v>
          </cell>
        </row>
        <row r="606">
          <cell r="B606">
            <v>788</v>
          </cell>
          <cell r="C606" t="str">
            <v>申込者氏名カナ（半角）</v>
          </cell>
          <cell r="K606" t="str">
            <v>MOSM</v>
          </cell>
          <cell r="M606" t="str">
            <v>A</v>
          </cell>
          <cell r="N606">
            <v>20</v>
          </cell>
          <cell r="O606" t="str">
            <v/>
          </cell>
          <cell r="Q606" t="str">
            <v>氏名・カナ（名字名前の間は１ブランク）</v>
          </cell>
        </row>
        <row r="607">
          <cell r="B607">
            <v>790</v>
          </cell>
          <cell r="C607" t="str">
            <v>会員氏名カナ（全角）</v>
          </cell>
          <cell r="K607" t="str">
            <v>KNS2</v>
          </cell>
          <cell r="L607" t="str">
            <v>KAIKNZ</v>
          </cell>
          <cell r="M607" t="str">
            <v>O</v>
          </cell>
          <cell r="N607">
            <v>42</v>
          </cell>
          <cell r="O607" t="str">
            <v/>
          </cell>
          <cell r="Q607" t="str">
            <v>氏名・カナ（名字名前の間は１ブランク）</v>
          </cell>
        </row>
        <row r="608">
          <cell r="B608">
            <v>791</v>
          </cell>
          <cell r="C608" t="str">
            <v>クレジット認証区分</v>
          </cell>
          <cell r="K608" t="str">
            <v>CRSK</v>
          </cell>
          <cell r="M608" t="str">
            <v>A</v>
          </cell>
          <cell r="N608">
            <v>1</v>
          </cell>
          <cell r="O608" t="str">
            <v/>
          </cell>
          <cell r="Q608" t="str">
            <v>会員異動情報のクレジット認証状態を表す区分。１：認証済み、２：否認</v>
          </cell>
        </row>
        <row r="609">
          <cell r="B609">
            <v>792</v>
          </cell>
          <cell r="C609" t="str">
            <v>カード会社名カナ（半角）</v>
          </cell>
          <cell r="K609" t="str">
            <v>CDKM</v>
          </cell>
          <cell r="M609" t="str">
            <v>A</v>
          </cell>
          <cell r="N609">
            <v>20</v>
          </cell>
          <cell r="O609" t="str">
            <v/>
          </cell>
          <cell r="Q609" t="str">
            <v>カード会社情報の会社名（カナ）</v>
          </cell>
        </row>
        <row r="610">
          <cell r="B610">
            <v>793</v>
          </cell>
          <cell r="C610" t="str">
            <v>カード会社名</v>
          </cell>
          <cell r="K610" t="str">
            <v>CDKN</v>
          </cell>
          <cell r="M610" t="str">
            <v>O</v>
          </cell>
          <cell r="N610">
            <v>42</v>
          </cell>
          <cell r="O610" t="str">
            <v/>
          </cell>
          <cell r="Q610" t="str">
            <v>カード会社情報の会社名（漢字）</v>
          </cell>
        </row>
        <row r="611">
          <cell r="B611">
            <v>794</v>
          </cell>
          <cell r="C611" t="str">
            <v>フロアリミット金額</v>
          </cell>
          <cell r="K611" t="str">
            <v>FLIG</v>
          </cell>
          <cell r="M611" t="str">
            <v>P</v>
          </cell>
          <cell r="N611">
            <v>11</v>
          </cell>
          <cell r="O611" t="str">
            <v/>
          </cell>
          <cell r="Q611" t="str">
            <v>カード会社情報のフロア－リミット金額</v>
          </cell>
        </row>
        <row r="612">
          <cell r="B612">
            <v>795</v>
          </cell>
          <cell r="C612" t="str">
            <v>データ状態区分</v>
          </cell>
          <cell r="K612" t="str">
            <v>DJKB</v>
          </cell>
          <cell r="L612" t="str">
            <v>DJKB</v>
          </cell>
          <cell r="M612" t="str">
            <v>A</v>
          </cell>
          <cell r="N612">
            <v>1</v>
          </cell>
          <cell r="O612" t="str">
            <v/>
          </cell>
          <cell r="Q612" t="str">
            <v>データの状態を管理する。９：削除等</v>
          </cell>
        </row>
        <row r="613">
          <cell r="B613">
            <v>796</v>
          </cell>
          <cell r="C613" t="str">
            <v>予備１</v>
          </cell>
          <cell r="K613" t="str">
            <v>YOB1</v>
          </cell>
          <cell r="M613" t="str">
            <v>A</v>
          </cell>
          <cell r="N613">
            <v>1</v>
          </cell>
          <cell r="O613" t="str">
            <v/>
          </cell>
          <cell r="Q613" t="str">
            <v>予備</v>
          </cell>
        </row>
        <row r="614">
          <cell r="B614">
            <v>797</v>
          </cell>
          <cell r="C614" t="str">
            <v>予備２</v>
          </cell>
          <cell r="K614" t="str">
            <v>YOB2</v>
          </cell>
          <cell r="M614" t="str">
            <v>A</v>
          </cell>
          <cell r="N614">
            <v>1</v>
          </cell>
          <cell r="O614" t="str">
            <v/>
          </cell>
          <cell r="Q614" t="str">
            <v>予備</v>
          </cell>
        </row>
        <row r="615">
          <cell r="B615">
            <v>798</v>
          </cell>
          <cell r="C615" t="str">
            <v>予備３</v>
          </cell>
          <cell r="K615" t="str">
            <v>YOB3</v>
          </cell>
          <cell r="M615" t="str">
            <v>A</v>
          </cell>
          <cell r="N615">
            <v>1</v>
          </cell>
          <cell r="O615" t="str">
            <v/>
          </cell>
          <cell r="Q615" t="str">
            <v>予備</v>
          </cell>
        </row>
        <row r="616">
          <cell r="B616">
            <v>799</v>
          </cell>
          <cell r="C616" t="str">
            <v>予備４</v>
          </cell>
          <cell r="K616" t="str">
            <v>YOB4</v>
          </cell>
          <cell r="M616" t="str">
            <v>A</v>
          </cell>
          <cell r="N616">
            <v>1</v>
          </cell>
          <cell r="O616" t="str">
            <v/>
          </cell>
          <cell r="Q616" t="str">
            <v>予備</v>
          </cell>
        </row>
        <row r="617">
          <cell r="B617">
            <v>800</v>
          </cell>
          <cell r="C617" t="str">
            <v>予備５</v>
          </cell>
          <cell r="K617" t="str">
            <v>YOB5</v>
          </cell>
          <cell r="M617" t="str">
            <v>A</v>
          </cell>
          <cell r="N617">
            <v>1</v>
          </cell>
          <cell r="O617" t="str">
            <v/>
          </cell>
          <cell r="Q617" t="str">
            <v>予備</v>
          </cell>
        </row>
        <row r="618">
          <cell r="B618">
            <v>801</v>
          </cell>
          <cell r="C618" t="str">
            <v>作成日付</v>
          </cell>
          <cell r="K618" t="str">
            <v>CRDT</v>
          </cell>
          <cell r="L618" t="str">
            <v>AADT</v>
          </cell>
          <cell r="M618" t="str">
            <v>S</v>
          </cell>
          <cell r="N618">
            <v>8</v>
          </cell>
          <cell r="O618" t="str">
            <v/>
          </cell>
          <cell r="Q618" t="str">
            <v>作成日付</v>
          </cell>
        </row>
        <row r="619">
          <cell r="B619">
            <v>802</v>
          </cell>
          <cell r="C619" t="str">
            <v>作成時刻</v>
          </cell>
          <cell r="K619" t="str">
            <v>AATM</v>
          </cell>
          <cell r="L619" t="str">
            <v>AATM</v>
          </cell>
          <cell r="M619" t="str">
            <v>S</v>
          </cell>
          <cell r="N619">
            <v>6</v>
          </cell>
          <cell r="O619" t="str">
            <v/>
          </cell>
          <cell r="Q619" t="str">
            <v>作成時刻</v>
          </cell>
        </row>
        <row r="620">
          <cell r="B620">
            <v>803</v>
          </cell>
          <cell r="C620" t="str">
            <v>作成ＷＳＩＤ</v>
          </cell>
          <cell r="K620" t="str">
            <v>AAWS</v>
          </cell>
          <cell r="M620" t="str">
            <v>A</v>
          </cell>
          <cell r="N620">
            <v>10</v>
          </cell>
          <cell r="O620" t="str">
            <v/>
          </cell>
          <cell r="Q620" t="str">
            <v>作成ＷＳＩＤ</v>
          </cell>
        </row>
        <row r="621">
          <cell r="B621">
            <v>804</v>
          </cell>
          <cell r="C621" t="str">
            <v>作成ユーザーＩＤ</v>
          </cell>
          <cell r="K621" t="str">
            <v>AAUS</v>
          </cell>
          <cell r="M621" t="str">
            <v>A</v>
          </cell>
          <cell r="N621">
            <v>10</v>
          </cell>
          <cell r="O621" t="str">
            <v/>
          </cell>
          <cell r="Q621" t="str">
            <v>作成ユーザーＩＤ</v>
          </cell>
        </row>
        <row r="622">
          <cell r="B622">
            <v>805</v>
          </cell>
          <cell r="C622" t="str">
            <v>作成ＰＧＭ</v>
          </cell>
          <cell r="K622" t="str">
            <v>AAPG</v>
          </cell>
          <cell r="M622" t="str">
            <v>A</v>
          </cell>
          <cell r="N622">
            <v>10</v>
          </cell>
          <cell r="O622" t="str">
            <v/>
          </cell>
          <cell r="Q622" t="str">
            <v>作成ＰＧＭ</v>
          </cell>
        </row>
        <row r="623">
          <cell r="B623">
            <v>806</v>
          </cell>
          <cell r="C623" t="str">
            <v>更新ＷＳＩＤ</v>
          </cell>
          <cell r="K623" t="str">
            <v>UPWS</v>
          </cell>
          <cell r="L623" t="str">
            <v>UPWS</v>
          </cell>
          <cell r="M623" t="str">
            <v>A</v>
          </cell>
          <cell r="N623">
            <v>10</v>
          </cell>
          <cell r="O623" t="str">
            <v/>
          </cell>
          <cell r="Q623" t="str">
            <v>更新ＷＳＩＤ</v>
          </cell>
        </row>
        <row r="624">
          <cell r="B624">
            <v>807</v>
          </cell>
          <cell r="C624" t="str">
            <v>更新ユーザーＩＤ</v>
          </cell>
          <cell r="K624" t="str">
            <v>UPUS</v>
          </cell>
          <cell r="L624" t="str">
            <v>UPUS</v>
          </cell>
          <cell r="M624" t="str">
            <v>A</v>
          </cell>
          <cell r="N624">
            <v>10</v>
          </cell>
          <cell r="O624" t="str">
            <v/>
          </cell>
          <cell r="Q624" t="str">
            <v>更新ユーザーＩＤ</v>
          </cell>
        </row>
        <row r="625">
          <cell r="B625">
            <v>808</v>
          </cell>
          <cell r="C625" t="str">
            <v>更新ＰＧＭ</v>
          </cell>
          <cell r="K625" t="str">
            <v>UPPG</v>
          </cell>
          <cell r="L625" t="str">
            <v>UPPG</v>
          </cell>
          <cell r="M625" t="str">
            <v>A</v>
          </cell>
          <cell r="N625">
            <v>10</v>
          </cell>
          <cell r="O625" t="str">
            <v/>
          </cell>
          <cell r="Q625" t="str">
            <v>更新ＰＧＭ</v>
          </cell>
        </row>
        <row r="626">
          <cell r="B626">
            <v>809</v>
          </cell>
          <cell r="C626" t="str">
            <v>更新日時</v>
          </cell>
          <cell r="K626" t="str">
            <v>UUDT</v>
          </cell>
          <cell r="L626" t="str">
            <v>UPDDT</v>
          </cell>
          <cell r="M626" t="str">
            <v>S</v>
          </cell>
          <cell r="N626">
            <v>14</v>
          </cell>
          <cell r="O626" t="str">
            <v/>
          </cell>
          <cell r="Q626" t="str">
            <v>年月日時分秒</v>
          </cell>
        </row>
        <row r="627">
          <cell r="B627">
            <v>810</v>
          </cell>
          <cell r="C627" t="str">
            <v>セッション管理データ</v>
          </cell>
          <cell r="K627" t="str">
            <v>SIDA</v>
          </cell>
          <cell r="L627" t="str">
            <v>SIDA</v>
          </cell>
          <cell r="M627" t="str">
            <v>C</v>
          </cell>
          <cell r="N627" t="str">
            <v>-</v>
          </cell>
          <cell r="O627" t="str">
            <v/>
          </cell>
          <cell r="Q627" t="str">
            <v>パラメータ、文字ラージオブジェクト（ＣＬＯＢ）</v>
          </cell>
        </row>
        <row r="628">
          <cell r="B628">
            <v>811</v>
          </cell>
          <cell r="C628" t="str">
            <v>正会員区分</v>
          </cell>
          <cell r="K628" t="str">
            <v>KSEK</v>
          </cell>
          <cell r="M628" t="str">
            <v>A</v>
          </cell>
          <cell r="N628">
            <v>1</v>
          </cell>
          <cell r="O628" t="str">
            <v/>
          </cell>
          <cell r="Q628" t="str">
            <v>１：正会員、２：待会員</v>
          </cell>
        </row>
        <row r="629">
          <cell r="B629">
            <v>812</v>
          </cell>
          <cell r="C629" t="str">
            <v>一般会員区分</v>
          </cell>
          <cell r="K629" t="str">
            <v>IKIB</v>
          </cell>
          <cell r="M629" t="str">
            <v>A</v>
          </cell>
          <cell r="N629">
            <v>1</v>
          </cell>
          <cell r="O629" t="str">
            <v/>
          </cell>
          <cell r="Q629" t="str">
            <v>１：一般、２：コンテンツ提供者</v>
          </cell>
        </row>
        <row r="630">
          <cell r="B630">
            <v>813</v>
          </cell>
          <cell r="C630" t="str">
            <v>会員ＩＤ連番</v>
          </cell>
          <cell r="K630" t="str">
            <v>KIRB</v>
          </cell>
          <cell r="M630" t="str">
            <v>S</v>
          </cell>
          <cell r="N630">
            <v>1</v>
          </cell>
          <cell r="O630" t="str">
            <v/>
          </cell>
          <cell r="Q630" t="str">
            <v>再発行回数</v>
          </cell>
        </row>
        <row r="631">
          <cell r="B631">
            <v>814</v>
          </cell>
          <cell r="C631" t="str">
            <v>異動申請№</v>
          </cell>
          <cell r="K631" t="str">
            <v>ISNO</v>
          </cell>
          <cell r="M631" t="str">
            <v>A</v>
          </cell>
          <cell r="N631">
            <v>9</v>
          </cell>
          <cell r="O631" t="str">
            <v/>
          </cell>
          <cell r="Q631" t="str">
            <v>異動を起こしたときの番号</v>
          </cell>
        </row>
        <row r="632">
          <cell r="B632">
            <v>815</v>
          </cell>
          <cell r="C632" t="str">
            <v>解除申請№</v>
          </cell>
          <cell r="K632" t="str">
            <v>KKSN</v>
          </cell>
          <cell r="M632" t="str">
            <v>A</v>
          </cell>
          <cell r="N632">
            <v>9</v>
          </cell>
          <cell r="O632" t="str">
            <v/>
          </cell>
          <cell r="Q632" t="str">
            <v>会員異動の状況解除を行うときの申請Ｎｏ</v>
          </cell>
        </row>
        <row r="633">
          <cell r="B633">
            <v>816</v>
          </cell>
          <cell r="C633" t="str">
            <v>通知書発行区分</v>
          </cell>
          <cell r="K633" t="str">
            <v>KTHK</v>
          </cell>
          <cell r="M633" t="str">
            <v>A</v>
          </cell>
          <cell r="N633">
            <v>1</v>
          </cell>
          <cell r="O633" t="str">
            <v/>
          </cell>
          <cell r="Q633" t="str">
            <v>会員異動の通知書発行を管理する区分。１：発行済み</v>
          </cell>
        </row>
        <row r="634">
          <cell r="B634">
            <v>817</v>
          </cell>
          <cell r="C634" t="str">
            <v>申請書発行区分</v>
          </cell>
          <cell r="K634" t="str">
            <v>STHK</v>
          </cell>
          <cell r="M634" t="str">
            <v>A</v>
          </cell>
          <cell r="N634">
            <v>1</v>
          </cell>
          <cell r="O634" t="str">
            <v/>
          </cell>
          <cell r="Q634" t="str">
            <v>会員異動の申請書発行を管理する区分。１：発行済み</v>
          </cell>
        </row>
        <row r="635">
          <cell r="B635">
            <v>818</v>
          </cell>
          <cell r="C635" t="str">
            <v>売上実績提供区分</v>
          </cell>
          <cell r="K635" t="str">
            <v>UJTK</v>
          </cell>
          <cell r="M635" t="str">
            <v>A</v>
          </cell>
          <cell r="N635">
            <v>1</v>
          </cell>
          <cell r="O635" t="str">
            <v/>
          </cell>
          <cell r="Q635" t="str">
            <v>１：フォルダ、２：メール</v>
          </cell>
        </row>
        <row r="636">
          <cell r="B636">
            <v>819</v>
          </cell>
          <cell r="C636" t="str">
            <v>売上実績格納フォルダ</v>
          </cell>
          <cell r="K636" t="str">
            <v>UJFO</v>
          </cell>
          <cell r="M636" t="str">
            <v>A</v>
          </cell>
          <cell r="N636">
            <v>128</v>
          </cell>
          <cell r="O636" t="str">
            <v/>
          </cell>
          <cell r="Q636" t="str">
            <v>ＣＳＶファイルを格納するフォルダー名</v>
          </cell>
        </row>
        <row r="637">
          <cell r="B637">
            <v>820</v>
          </cell>
          <cell r="C637" t="str">
            <v>サインオンプロフィール名</v>
          </cell>
          <cell r="K637" t="str">
            <v>SINP</v>
          </cell>
          <cell r="M637" t="str">
            <v>A</v>
          </cell>
          <cell r="N637">
            <v>10</v>
          </cell>
          <cell r="O637" t="str">
            <v/>
          </cell>
          <cell r="Q637" t="str">
            <v>仕入先のＡＳ／４００（コンテンツ受け入れ）のユーザープロフィール</v>
          </cell>
        </row>
        <row r="638">
          <cell r="B638">
            <v>821</v>
          </cell>
          <cell r="C638" t="str">
            <v>ＤＤ復旧区分</v>
          </cell>
          <cell r="K638" t="str">
            <v>DDFK</v>
          </cell>
          <cell r="M638" t="str">
            <v>A</v>
          </cell>
          <cell r="N638">
            <v>1</v>
          </cell>
          <cell r="O638" t="str">
            <v/>
          </cell>
          <cell r="Q638" t="str">
            <v>１：復旧する、２：復旧しない</v>
          </cell>
        </row>
        <row r="639">
          <cell r="B639">
            <v>822</v>
          </cell>
          <cell r="C639" t="str">
            <v>今回請求年月</v>
          </cell>
          <cell r="K639" t="str">
            <v>KSID</v>
          </cell>
          <cell r="M639" t="str">
            <v>S</v>
          </cell>
          <cell r="N639">
            <v>6</v>
          </cell>
          <cell r="O639" t="str">
            <v/>
          </cell>
          <cell r="Q639" t="str">
            <v>カード会社への請求年月を管理する</v>
          </cell>
        </row>
        <row r="640">
          <cell r="B640">
            <v>826</v>
          </cell>
          <cell r="C640" t="str">
            <v>会員区分有効日付</v>
          </cell>
          <cell r="K640" t="str">
            <v>KKYD</v>
          </cell>
          <cell r="L640" t="str">
            <v>KNKBYDT</v>
          </cell>
          <cell r="M640" t="str">
            <v>D</v>
          </cell>
          <cell r="N640">
            <v>8</v>
          </cell>
          <cell r="O640" t="str">
            <v xml:space="preserve"> </v>
          </cell>
          <cell r="P640" t="str">
            <v xml:space="preserve"> </v>
          </cell>
          <cell r="Q640" t="str">
            <v>現在会員区分の有効期限</v>
          </cell>
        </row>
        <row r="641">
          <cell r="B641">
            <v>827</v>
          </cell>
          <cell r="C641" t="str">
            <v>次回有効会員区分</v>
          </cell>
          <cell r="K641" t="str">
            <v>JYKK</v>
          </cell>
          <cell r="L641" t="str">
            <v>NYKNKB</v>
          </cell>
          <cell r="M641" t="str">
            <v>A</v>
          </cell>
          <cell r="N641">
            <v>2</v>
          </cell>
          <cell r="O641" t="str">
            <v xml:space="preserve"> </v>
          </cell>
          <cell r="P641" t="str">
            <v xml:space="preserve"> </v>
          </cell>
          <cell r="Q641" t="str">
            <v>有功日付以降に有効になる会員区分</v>
          </cell>
        </row>
        <row r="642">
          <cell r="B642">
            <v>829</v>
          </cell>
          <cell r="C642" t="str">
            <v>連絡先ＴＥＬ市外局番</v>
          </cell>
          <cell r="K642" t="str">
            <v>RTL1</v>
          </cell>
          <cell r="L642" t="str">
            <v>RTL1</v>
          </cell>
          <cell r="M642" t="str">
            <v>A</v>
          </cell>
          <cell r="N642">
            <v>7</v>
          </cell>
          <cell r="O642" t="str">
            <v/>
          </cell>
          <cell r="Q642" t="str">
            <v>会員連絡先電話番号</v>
          </cell>
        </row>
        <row r="643">
          <cell r="B643">
            <v>830</v>
          </cell>
          <cell r="C643" t="str">
            <v>連絡先ＴＥＬ２</v>
          </cell>
          <cell r="K643" t="str">
            <v>RTL2</v>
          </cell>
          <cell r="L643" t="str">
            <v>RTL2</v>
          </cell>
          <cell r="M643" t="str">
            <v>A</v>
          </cell>
          <cell r="N643">
            <v>4</v>
          </cell>
          <cell r="O643" t="str">
            <v/>
          </cell>
          <cell r="Q643" t="str">
            <v>会員連絡先電話番号</v>
          </cell>
        </row>
        <row r="644">
          <cell r="B644">
            <v>831</v>
          </cell>
          <cell r="C644" t="str">
            <v>連絡先ＴＥＬ３</v>
          </cell>
          <cell r="K644" t="str">
            <v>RTL3</v>
          </cell>
          <cell r="L644" t="str">
            <v>RTL3</v>
          </cell>
          <cell r="M644" t="str">
            <v>A</v>
          </cell>
          <cell r="N644">
            <v>4</v>
          </cell>
          <cell r="O644" t="str">
            <v/>
          </cell>
          <cell r="Q644" t="str">
            <v>会員連絡先電話番号</v>
          </cell>
        </row>
        <row r="645">
          <cell r="B645">
            <v>834</v>
          </cell>
          <cell r="C645" t="str">
            <v>登録日付</v>
          </cell>
          <cell r="K645" t="str">
            <v>AADT</v>
          </cell>
          <cell r="L645" t="str">
            <v>AADT</v>
          </cell>
          <cell r="M645" t="str">
            <v>S</v>
          </cell>
          <cell r="N645">
            <v>8</v>
          </cell>
          <cell r="O645" t="str">
            <v/>
          </cell>
          <cell r="Q645" t="str">
            <v>登録日付</v>
          </cell>
        </row>
        <row r="646">
          <cell r="B646">
            <v>835</v>
          </cell>
          <cell r="C646" t="str">
            <v>登録時刻</v>
          </cell>
          <cell r="K646" t="str">
            <v>AADM</v>
          </cell>
          <cell r="L646" t="str">
            <v>AADM</v>
          </cell>
          <cell r="M646" t="str">
            <v>S</v>
          </cell>
          <cell r="N646">
            <v>6</v>
          </cell>
          <cell r="O646" t="str">
            <v/>
          </cell>
          <cell r="Q646" t="str">
            <v>登録時刻</v>
          </cell>
        </row>
        <row r="647">
          <cell r="B647">
            <v>836</v>
          </cell>
          <cell r="C647" t="str">
            <v>受入メールアドレス</v>
          </cell>
          <cell r="K647" t="str">
            <v>UMLA</v>
          </cell>
          <cell r="L647" t="str">
            <v>UKMLAD</v>
          </cell>
          <cell r="M647" t="str">
            <v>A</v>
          </cell>
          <cell r="N647">
            <v>64</v>
          </cell>
          <cell r="O647" t="str">
            <v/>
          </cell>
          <cell r="Q647" t="str">
            <v>メールコンテンツ受入アドレス</v>
          </cell>
        </row>
        <row r="648">
          <cell r="B648">
            <v>837</v>
          </cell>
          <cell r="C648" t="str">
            <v>データＳＥＱ№</v>
          </cell>
          <cell r="K648" t="str">
            <v>DSEQ</v>
          </cell>
          <cell r="M648" t="str">
            <v>A</v>
          </cell>
          <cell r="N648">
            <v>8</v>
          </cell>
          <cell r="O648" t="str">
            <v/>
          </cell>
          <cell r="Q648" t="str">
            <v>データエントリー会社による入力順ＳＥＱ№</v>
          </cell>
        </row>
        <row r="649">
          <cell r="B649">
            <v>838</v>
          </cell>
          <cell r="C649" t="str">
            <v>申込№連番</v>
          </cell>
          <cell r="K649" t="str">
            <v>MORN</v>
          </cell>
          <cell r="M649" t="str">
            <v>A</v>
          </cell>
          <cell r="N649">
            <v>1</v>
          </cell>
          <cell r="O649" t="str">
            <v/>
          </cell>
          <cell r="Q649" t="str">
            <v>会員証の連番</v>
          </cell>
        </row>
        <row r="650">
          <cell r="B650">
            <v>839</v>
          </cell>
          <cell r="C650" t="str">
            <v>入会予定日付</v>
          </cell>
          <cell r="K650" t="str">
            <v>NYUD</v>
          </cell>
          <cell r="M650" t="str">
            <v>S</v>
          </cell>
          <cell r="N650">
            <v>8</v>
          </cell>
          <cell r="O650" t="str">
            <v/>
          </cell>
          <cell r="Q650" t="str">
            <v>入会予定の日付</v>
          </cell>
        </row>
        <row r="651">
          <cell r="B651">
            <v>840</v>
          </cell>
          <cell r="C651" t="str">
            <v>引換券／郵送区分</v>
          </cell>
          <cell r="K651" t="str">
            <v>HYKB</v>
          </cell>
          <cell r="M651" t="str">
            <v>A</v>
          </cell>
          <cell r="N651">
            <v>1</v>
          </cell>
          <cell r="O651" t="str">
            <v/>
          </cell>
          <cell r="Q651" t="str">
            <v>１：ハード引換可能日による入会、２：会員証郵送による入会</v>
          </cell>
        </row>
        <row r="652">
          <cell r="B652">
            <v>841</v>
          </cell>
          <cell r="C652" t="str">
            <v>会員状況・ＤＤＷステータス</v>
          </cell>
          <cell r="K652" t="str">
            <v>KNDS</v>
          </cell>
          <cell r="M652" t="str">
            <v>A</v>
          </cell>
          <cell r="N652">
            <v>1</v>
          </cell>
          <cell r="O652" t="str">
            <v/>
          </cell>
          <cell r="Q652" t="str">
            <v>１：有効、２：無効</v>
          </cell>
        </row>
        <row r="653">
          <cell r="B653">
            <v>843</v>
          </cell>
          <cell r="C653" t="str">
            <v>ＤＤＷデモ指定区分</v>
          </cell>
          <cell r="K653" t="str">
            <v>DDDK</v>
          </cell>
          <cell r="M653" t="str">
            <v>A</v>
          </cell>
          <cell r="N653">
            <v>1</v>
          </cell>
          <cell r="O653" t="str">
            <v/>
          </cell>
          <cell r="Q653" t="str">
            <v>１：通常、２：販売グループ指定</v>
          </cell>
        </row>
        <row r="654">
          <cell r="B654">
            <v>844</v>
          </cell>
          <cell r="C654" t="str">
            <v>相手先店舗コード</v>
          </cell>
          <cell r="K654" t="str">
            <v>ATTC</v>
          </cell>
          <cell r="M654" t="str">
            <v>A</v>
          </cell>
          <cell r="N654">
            <v>32</v>
          </cell>
          <cell r="O654" t="str">
            <v/>
          </cell>
          <cell r="Q654" t="str">
            <v>得意先で使用している得意先の店舗コード</v>
          </cell>
        </row>
        <row r="655">
          <cell r="B655">
            <v>845</v>
          </cell>
          <cell r="C655" t="str">
            <v>コンテンツ名称</v>
          </cell>
          <cell r="K655" t="str">
            <v>CNMN</v>
          </cell>
          <cell r="L655" t="str">
            <v>CNMN</v>
          </cell>
          <cell r="M655" t="str">
            <v>O</v>
          </cell>
          <cell r="N655">
            <v>22</v>
          </cell>
          <cell r="O655" t="str">
            <v/>
          </cell>
          <cell r="Q655" t="str">
            <v>コンテンツの名称</v>
          </cell>
        </row>
        <row r="656">
          <cell r="B656">
            <v>846</v>
          </cell>
          <cell r="C656" t="str">
            <v>リリース方法区分</v>
          </cell>
          <cell r="K656" t="str">
            <v>RSHK</v>
          </cell>
          <cell r="M656" t="str">
            <v>A</v>
          </cell>
          <cell r="N656">
            <v>1</v>
          </cell>
          <cell r="O656" t="str">
            <v/>
          </cell>
          <cell r="Q656" t="str">
            <v>１：差分、２：リプレース</v>
          </cell>
        </row>
        <row r="657">
          <cell r="B657">
            <v>847</v>
          </cell>
          <cell r="C657" t="str">
            <v>ＤＤＷ上限人数</v>
          </cell>
          <cell r="K657" t="str">
            <v>DDJS</v>
          </cell>
          <cell r="M657" t="str">
            <v>P</v>
          </cell>
          <cell r="N657">
            <v>7</v>
          </cell>
          <cell r="O657" t="str">
            <v/>
          </cell>
          <cell r="Q657" t="str">
            <v>ＤＤＷの上限人数</v>
          </cell>
        </row>
        <row r="658">
          <cell r="B658">
            <v>848</v>
          </cell>
          <cell r="C658" t="str">
            <v>請求金額（税抜）</v>
          </cell>
          <cell r="K658" t="str">
            <v>SENG</v>
          </cell>
          <cell r="M658" t="str">
            <v>P</v>
          </cell>
          <cell r="N658">
            <v>7</v>
          </cell>
          <cell r="O658" t="str">
            <v/>
          </cell>
          <cell r="Q658" t="str">
            <v>税抜の請求金額</v>
          </cell>
        </row>
        <row r="659">
          <cell r="B659">
            <v>849</v>
          </cell>
          <cell r="C659" t="str">
            <v>税込請求金額</v>
          </cell>
          <cell r="K659" t="str">
            <v>SEKG</v>
          </cell>
          <cell r="M659" t="str">
            <v>P</v>
          </cell>
          <cell r="N659">
            <v>11</v>
          </cell>
          <cell r="O659" t="str">
            <v/>
          </cell>
          <cell r="Q659" t="str">
            <v>税込の請求金額</v>
          </cell>
        </row>
        <row r="660">
          <cell r="B660">
            <v>850</v>
          </cell>
          <cell r="C660" t="str">
            <v>請求区分</v>
          </cell>
          <cell r="K660" t="str">
            <v>SEIK</v>
          </cell>
          <cell r="M660" t="str">
            <v>A</v>
          </cell>
          <cell r="N660">
            <v>1</v>
          </cell>
          <cell r="O660" t="str">
            <v/>
          </cell>
          <cell r="Q660" t="str">
            <v>１：請求済、２：未請求</v>
          </cell>
        </row>
        <row r="661">
          <cell r="B661">
            <v>851</v>
          </cell>
          <cell r="C661" t="str">
            <v>認証区分</v>
          </cell>
          <cell r="K661" t="str">
            <v>NSSK</v>
          </cell>
          <cell r="M661" t="str">
            <v>A</v>
          </cell>
          <cell r="N661">
            <v>2</v>
          </cell>
          <cell r="O661" t="str">
            <v/>
          </cell>
          <cell r="Q661" t="str">
            <v>０１：認証、０２：否認</v>
          </cell>
        </row>
        <row r="662">
          <cell r="B662">
            <v>852</v>
          </cell>
          <cell r="C662" t="str">
            <v>未請求処理区分</v>
          </cell>
          <cell r="K662" t="str">
            <v>MSSK</v>
          </cell>
          <cell r="M662" t="str">
            <v>A</v>
          </cell>
          <cell r="N662">
            <v>2</v>
          </cell>
          <cell r="O662" t="str">
            <v/>
          </cell>
          <cell r="Q662" t="str">
            <v>未請求後の処理を区分する。 １０:個人請求済</v>
          </cell>
        </row>
        <row r="663">
          <cell r="B663">
            <v>853</v>
          </cell>
          <cell r="C663" t="str">
            <v>フロアーリミット区分</v>
          </cell>
          <cell r="K663" t="str">
            <v>FWLK</v>
          </cell>
          <cell r="M663" t="str">
            <v>A</v>
          </cell>
          <cell r="N663">
            <v>1</v>
          </cell>
          <cell r="O663" t="str">
            <v/>
          </cell>
          <cell r="Q663" t="str">
            <v>１：対象</v>
          </cell>
        </row>
        <row r="664">
          <cell r="B664">
            <v>854</v>
          </cell>
          <cell r="C664" t="str">
            <v>入会者人数</v>
          </cell>
          <cell r="K664" t="str">
            <v>NUSU</v>
          </cell>
          <cell r="M664" t="str">
            <v>P</v>
          </cell>
          <cell r="N664">
            <v>7</v>
          </cell>
          <cell r="O664" t="str">
            <v/>
          </cell>
          <cell r="Q664" t="str">
            <v>会員異動情報より人数をセットする</v>
          </cell>
        </row>
        <row r="665">
          <cell r="B665">
            <v>855</v>
          </cell>
          <cell r="C665" t="str">
            <v>解約者人数</v>
          </cell>
          <cell r="K665" t="str">
            <v>TASU</v>
          </cell>
          <cell r="M665" t="str">
            <v>P</v>
          </cell>
          <cell r="N665">
            <v>7</v>
          </cell>
          <cell r="O665" t="str">
            <v/>
          </cell>
          <cell r="Q665" t="str">
            <v>会員異動情報より人数をセットする</v>
          </cell>
        </row>
        <row r="666">
          <cell r="B666">
            <v>856</v>
          </cell>
          <cell r="C666" t="str">
            <v>休止者人数</v>
          </cell>
          <cell r="K666" t="str">
            <v>KSSU</v>
          </cell>
          <cell r="M666" t="str">
            <v>P</v>
          </cell>
          <cell r="N666">
            <v>7</v>
          </cell>
          <cell r="O666" t="str">
            <v/>
          </cell>
          <cell r="Q666" t="str">
            <v>会員異動情報より人数をセットする</v>
          </cell>
        </row>
        <row r="667">
          <cell r="B667">
            <v>857</v>
          </cell>
          <cell r="C667" t="str">
            <v>カード無効者人数</v>
          </cell>
          <cell r="K667" t="str">
            <v>BKSU</v>
          </cell>
          <cell r="M667" t="str">
            <v>P</v>
          </cell>
          <cell r="N667">
            <v>7</v>
          </cell>
          <cell r="O667" t="str">
            <v/>
          </cell>
          <cell r="Q667" t="str">
            <v>会員異動情報より人数をセットする</v>
          </cell>
        </row>
        <row r="668">
          <cell r="B668">
            <v>858</v>
          </cell>
          <cell r="C668" t="str">
            <v>停止者人数</v>
          </cell>
          <cell r="K668" t="str">
            <v>STSU</v>
          </cell>
          <cell r="M668" t="str">
            <v>P</v>
          </cell>
          <cell r="N668">
            <v>7</v>
          </cell>
          <cell r="O668" t="str">
            <v/>
          </cell>
          <cell r="Q668" t="str">
            <v>会員異動情報より人数をセットする</v>
          </cell>
        </row>
        <row r="669">
          <cell r="B669">
            <v>859</v>
          </cell>
          <cell r="C669" t="str">
            <v>正会員者人数</v>
          </cell>
          <cell r="K669" t="str">
            <v>SKNS</v>
          </cell>
          <cell r="M669" t="str">
            <v>P</v>
          </cell>
          <cell r="N669">
            <v>7</v>
          </cell>
          <cell r="O669" t="str">
            <v/>
          </cell>
          <cell r="Q669" t="str">
            <v>会員情報より人数をセットする</v>
          </cell>
        </row>
        <row r="670">
          <cell r="B670">
            <v>860</v>
          </cell>
          <cell r="C670" t="str">
            <v>待会員者人数</v>
          </cell>
          <cell r="K670" t="str">
            <v>MKSU</v>
          </cell>
          <cell r="M670" t="str">
            <v>P</v>
          </cell>
          <cell r="N670">
            <v>7</v>
          </cell>
          <cell r="O670" t="str">
            <v/>
          </cell>
          <cell r="Q670" t="str">
            <v>会員情報より人数をセットする</v>
          </cell>
        </row>
        <row r="671">
          <cell r="B671">
            <v>861</v>
          </cell>
          <cell r="C671" t="str">
            <v>パスワード区分</v>
          </cell>
          <cell r="K671" t="str">
            <v>PSKK</v>
          </cell>
          <cell r="M671" t="str">
            <v>A</v>
          </cell>
          <cell r="N671">
            <v>1</v>
          </cell>
          <cell r="O671" t="str">
            <v/>
          </cell>
          <cell r="Q671" t="str">
            <v>１：会員パスワード、２：メールパスワード、３：クレジットパスワード</v>
          </cell>
        </row>
        <row r="672">
          <cell r="B672">
            <v>862</v>
          </cell>
          <cell r="C672" t="str">
            <v>発生日付</v>
          </cell>
          <cell r="K672" t="str">
            <v>HTSD</v>
          </cell>
          <cell r="M672" t="str">
            <v>S</v>
          </cell>
          <cell r="N672">
            <v>8</v>
          </cell>
          <cell r="O672" t="str">
            <v/>
          </cell>
          <cell r="Q672" t="str">
            <v>初期化の依頼日</v>
          </cell>
        </row>
        <row r="673">
          <cell r="B673">
            <v>863</v>
          </cell>
          <cell r="C673" t="str">
            <v>初期化クレジットパスワード</v>
          </cell>
          <cell r="K673" t="str">
            <v>IKPS</v>
          </cell>
          <cell r="M673" t="str">
            <v>A</v>
          </cell>
          <cell r="N673">
            <v>4</v>
          </cell>
          <cell r="O673" t="str">
            <v/>
          </cell>
          <cell r="Q673" t="str">
            <v>パスワード初期化自動設定値</v>
          </cell>
        </row>
        <row r="674">
          <cell r="B674">
            <v>864</v>
          </cell>
          <cell r="C674" t="str">
            <v>クレジットパスワード通知書発行区分</v>
          </cell>
          <cell r="K674" t="str">
            <v>KPSK</v>
          </cell>
          <cell r="M674" t="str">
            <v>A</v>
          </cell>
          <cell r="N674">
            <v>1</v>
          </cell>
          <cell r="O674" t="str">
            <v/>
          </cell>
          <cell r="Q674" t="str">
            <v>１：発行済</v>
          </cell>
        </row>
        <row r="675">
          <cell r="B675">
            <v>865</v>
          </cell>
          <cell r="C675" t="str">
            <v>ＤＤＷファイル抽出日付</v>
          </cell>
          <cell r="K675" t="str">
            <v>DWFD</v>
          </cell>
          <cell r="M675" t="str">
            <v>S</v>
          </cell>
          <cell r="N675">
            <v>8</v>
          </cell>
          <cell r="O675" t="str">
            <v/>
          </cell>
          <cell r="Q675" t="str">
            <v>ＤＤＷ配信用ファイルの抽出日付</v>
          </cell>
        </row>
        <row r="676">
          <cell r="B676">
            <v>866</v>
          </cell>
          <cell r="C676" t="str">
            <v>チケットＤＩＳＫＭＡＰ使用フラグ</v>
          </cell>
          <cell r="K676" t="str">
            <v>CDMF</v>
          </cell>
          <cell r="M676" t="str">
            <v>A</v>
          </cell>
          <cell r="N676">
            <v>1</v>
          </cell>
          <cell r="O676" t="str">
            <v/>
          </cell>
          <cell r="Q676" t="str">
            <v>０：使用しない、１：使用する</v>
          </cell>
        </row>
        <row r="677">
          <cell r="B677">
            <v>867</v>
          </cell>
          <cell r="C677" t="str">
            <v>コンテンツレングス</v>
          </cell>
          <cell r="K677" t="str">
            <v>CNLE</v>
          </cell>
          <cell r="M677" t="str">
            <v>A</v>
          </cell>
          <cell r="N677">
            <v>16</v>
          </cell>
          <cell r="O677" t="str">
            <v/>
          </cell>
          <cell r="Q677" t="str">
            <v>コンテンツの長さ</v>
          </cell>
        </row>
        <row r="678">
          <cell r="B678">
            <v>868</v>
          </cell>
          <cell r="C678" t="str">
            <v>コンテンツボディ</v>
          </cell>
          <cell r="K678" t="str">
            <v>REBI</v>
          </cell>
          <cell r="M678" t="str">
            <v>C</v>
          </cell>
          <cell r="N678" t="str">
            <v>-</v>
          </cell>
          <cell r="O678" t="str">
            <v/>
          </cell>
          <cell r="Q678" t="str">
            <v>レスポンスのメッセージ本体</v>
          </cell>
        </row>
        <row r="679">
          <cell r="B679">
            <v>869</v>
          </cell>
          <cell r="C679" t="str">
            <v>週初日付</v>
          </cell>
          <cell r="K679" t="str">
            <v>FWED</v>
          </cell>
          <cell r="M679" t="str">
            <v>S</v>
          </cell>
          <cell r="N679">
            <v>8</v>
          </cell>
          <cell r="O679" t="str">
            <v/>
          </cell>
          <cell r="Q679" t="str">
            <v>月曜日（週初め）の日付</v>
          </cell>
        </row>
        <row r="680">
          <cell r="B680">
            <v>870</v>
          </cell>
          <cell r="C680" t="str">
            <v>事業会社名称</v>
          </cell>
          <cell r="K680" t="str">
            <v>JIKN</v>
          </cell>
          <cell r="M680" t="str">
            <v>O</v>
          </cell>
          <cell r="N680">
            <v>42</v>
          </cell>
          <cell r="O680" t="str">
            <v/>
          </cell>
          <cell r="Q680" t="str">
            <v>事業会社の名称</v>
          </cell>
        </row>
        <row r="681">
          <cell r="B681">
            <v>871</v>
          </cell>
          <cell r="C681" t="str">
            <v>事業会社略称</v>
          </cell>
          <cell r="K681" t="str">
            <v>JIKR</v>
          </cell>
          <cell r="M681" t="str">
            <v>O</v>
          </cell>
          <cell r="N681">
            <v>22</v>
          </cell>
          <cell r="O681" t="str">
            <v/>
          </cell>
          <cell r="Q681" t="str">
            <v>事業会社の略称</v>
          </cell>
        </row>
        <row r="682">
          <cell r="B682">
            <v>872</v>
          </cell>
          <cell r="C682" t="str">
            <v>処理年</v>
          </cell>
          <cell r="K682" t="str">
            <v>SOYY</v>
          </cell>
          <cell r="M682" t="str">
            <v>S</v>
          </cell>
          <cell r="N682">
            <v>4</v>
          </cell>
          <cell r="O682" t="str">
            <v/>
          </cell>
          <cell r="Q682" t="str">
            <v>事業会社の処理年</v>
          </cell>
        </row>
        <row r="683">
          <cell r="B683">
            <v>873</v>
          </cell>
          <cell r="C683" t="str">
            <v>処理月</v>
          </cell>
          <cell r="K683" t="str">
            <v>SOMM</v>
          </cell>
          <cell r="M683" t="str">
            <v>S</v>
          </cell>
          <cell r="N683">
            <v>2</v>
          </cell>
          <cell r="O683" t="str">
            <v/>
          </cell>
          <cell r="Q683" t="str">
            <v>事業会社の処理月</v>
          </cell>
        </row>
        <row r="684">
          <cell r="B684">
            <v>874</v>
          </cell>
          <cell r="C684" t="str">
            <v>処理日</v>
          </cell>
          <cell r="K684" t="str">
            <v>SODD</v>
          </cell>
          <cell r="M684" t="str">
            <v>S</v>
          </cell>
          <cell r="N684">
            <v>2</v>
          </cell>
          <cell r="O684" t="str">
            <v/>
          </cell>
          <cell r="Q684" t="str">
            <v>事業会社の処理日</v>
          </cell>
        </row>
        <row r="685">
          <cell r="B685">
            <v>875</v>
          </cell>
          <cell r="C685" t="str">
            <v>処理日付</v>
          </cell>
          <cell r="K685" t="str">
            <v>SOYD</v>
          </cell>
          <cell r="M685" t="str">
            <v>S</v>
          </cell>
          <cell r="N685">
            <v>8</v>
          </cell>
          <cell r="O685" t="str">
            <v/>
          </cell>
          <cell r="Q685" t="str">
            <v>事業会社の処理日付</v>
          </cell>
        </row>
        <row r="686">
          <cell r="B686">
            <v>876</v>
          </cell>
          <cell r="C686" t="str">
            <v>締め年</v>
          </cell>
          <cell r="K686" t="str">
            <v>SMYY</v>
          </cell>
          <cell r="M686" t="str">
            <v>S</v>
          </cell>
          <cell r="N686">
            <v>4</v>
          </cell>
          <cell r="O686" t="str">
            <v/>
          </cell>
          <cell r="Q686" t="str">
            <v>事業会社の締め年</v>
          </cell>
        </row>
        <row r="687">
          <cell r="B687">
            <v>877</v>
          </cell>
          <cell r="C687" t="str">
            <v>締め月</v>
          </cell>
          <cell r="K687" t="str">
            <v>SMMM</v>
          </cell>
          <cell r="M687" t="str">
            <v>S</v>
          </cell>
          <cell r="N687">
            <v>2</v>
          </cell>
          <cell r="O687" t="str">
            <v/>
          </cell>
          <cell r="Q687" t="str">
            <v>事業会社の締め月</v>
          </cell>
        </row>
        <row r="688">
          <cell r="B688">
            <v>878</v>
          </cell>
          <cell r="C688" t="str">
            <v>締め日付</v>
          </cell>
          <cell r="K688" t="str">
            <v>SMYD</v>
          </cell>
          <cell r="M688" t="str">
            <v>S</v>
          </cell>
          <cell r="N688">
            <v>8</v>
          </cell>
          <cell r="O688" t="str">
            <v/>
          </cell>
          <cell r="Q688" t="str">
            <v>事業会社の締め日付</v>
          </cell>
        </row>
        <row r="689">
          <cell r="B689">
            <v>879</v>
          </cell>
          <cell r="C689" t="str">
            <v>設立日付</v>
          </cell>
          <cell r="K689" t="str">
            <v>STYD</v>
          </cell>
          <cell r="M689" t="str">
            <v>S</v>
          </cell>
          <cell r="N689">
            <v>8</v>
          </cell>
          <cell r="O689" t="str">
            <v/>
          </cell>
          <cell r="Q689" t="str">
            <v>事業会社の設立した日付</v>
          </cell>
        </row>
        <row r="690">
          <cell r="B690">
            <v>880</v>
          </cell>
          <cell r="C690" t="str">
            <v>今回申込者人数</v>
          </cell>
          <cell r="K690" t="str">
            <v>KMNS</v>
          </cell>
          <cell r="M690" t="str">
            <v>P</v>
          </cell>
          <cell r="N690">
            <v>7</v>
          </cell>
          <cell r="O690" t="str">
            <v/>
          </cell>
          <cell r="Q690" t="str">
            <v>今回申込時の申込者人数</v>
          </cell>
        </row>
        <row r="691">
          <cell r="B691">
            <v>881</v>
          </cell>
          <cell r="C691" t="str">
            <v>今回当選者人数</v>
          </cell>
          <cell r="K691" t="str">
            <v>KTNS</v>
          </cell>
          <cell r="M691" t="str">
            <v>P</v>
          </cell>
          <cell r="N691">
            <v>7</v>
          </cell>
          <cell r="O691" t="str">
            <v/>
          </cell>
          <cell r="Q691" t="str">
            <v>今回申込時の当選者人数</v>
          </cell>
        </row>
        <row r="692">
          <cell r="B692">
            <v>882</v>
          </cell>
          <cell r="C692" t="str">
            <v>今回待会員者人数</v>
          </cell>
          <cell r="K692" t="str">
            <v>KWNS</v>
          </cell>
          <cell r="M692" t="str">
            <v>P</v>
          </cell>
          <cell r="N692">
            <v>7</v>
          </cell>
          <cell r="O692" t="str">
            <v/>
          </cell>
          <cell r="Q692" t="str">
            <v>今回申込時の待会員者人数</v>
          </cell>
        </row>
        <row r="693">
          <cell r="B693">
            <v>883</v>
          </cell>
          <cell r="C693" t="str">
            <v>実ファイル名</v>
          </cell>
          <cell r="K693" t="str">
            <v>JFIN</v>
          </cell>
          <cell r="M693" t="str">
            <v>A</v>
          </cell>
          <cell r="N693">
            <v>64</v>
          </cell>
          <cell r="O693" t="str">
            <v/>
          </cell>
          <cell r="Q693" t="str">
            <v>本番使用時のファイル名</v>
          </cell>
        </row>
        <row r="694">
          <cell r="B694">
            <v>884</v>
          </cell>
          <cell r="C694" t="str">
            <v>利用者異動内容区分</v>
          </cell>
          <cell r="K694" t="str">
            <v>INIR</v>
          </cell>
          <cell r="M694" t="str">
            <v>A</v>
          </cell>
          <cell r="N694">
            <v>2</v>
          </cell>
          <cell r="O694" t="str">
            <v xml:space="preserve"> </v>
          </cell>
          <cell r="P694" t="str">
            <v xml:space="preserve"> </v>
          </cell>
          <cell r="Q694" t="str">
            <v>　</v>
          </cell>
        </row>
        <row r="695">
          <cell r="B695">
            <v>885</v>
          </cell>
          <cell r="C695" t="str">
            <v>利用者異動理由区分</v>
          </cell>
          <cell r="K695" t="str">
            <v>IRIR</v>
          </cell>
          <cell r="M695" t="str">
            <v>A</v>
          </cell>
          <cell r="N695">
            <v>2</v>
          </cell>
          <cell r="O695" t="str">
            <v xml:space="preserve"> </v>
          </cell>
          <cell r="P695" t="str">
            <v xml:space="preserve"> </v>
          </cell>
          <cell r="Q695" t="str">
            <v>　</v>
          </cell>
        </row>
        <row r="696">
          <cell r="B696">
            <v>886</v>
          </cell>
          <cell r="C696" t="str">
            <v>ＤＤＷ有効開始日付</v>
          </cell>
          <cell r="K696" t="str">
            <v>DWSD</v>
          </cell>
          <cell r="M696" t="str">
            <v>S</v>
          </cell>
          <cell r="N696">
            <v>8</v>
          </cell>
          <cell r="O696" t="str">
            <v xml:space="preserve"> </v>
          </cell>
          <cell r="P696" t="str">
            <v xml:space="preserve"> </v>
          </cell>
          <cell r="Q696" t="str">
            <v>　</v>
          </cell>
        </row>
        <row r="697">
          <cell r="B697">
            <v>887</v>
          </cell>
          <cell r="C697" t="str">
            <v>ＤＤＷ有効開始時刻</v>
          </cell>
          <cell r="K697" t="str">
            <v>DWST</v>
          </cell>
          <cell r="M697" t="str">
            <v>S</v>
          </cell>
          <cell r="N697">
            <v>6</v>
          </cell>
          <cell r="O697" t="str">
            <v xml:space="preserve"> </v>
          </cell>
          <cell r="P697" t="str">
            <v xml:space="preserve"> </v>
          </cell>
          <cell r="Q697" t="str">
            <v>　</v>
          </cell>
        </row>
        <row r="698">
          <cell r="B698">
            <v>888</v>
          </cell>
          <cell r="C698" t="str">
            <v>ＤＤＷ有効終了日付</v>
          </cell>
          <cell r="K698" t="str">
            <v>DWED</v>
          </cell>
          <cell r="M698" t="str">
            <v>S</v>
          </cell>
          <cell r="N698">
            <v>8</v>
          </cell>
          <cell r="O698" t="str">
            <v xml:space="preserve"> </v>
          </cell>
          <cell r="P698" t="str">
            <v xml:space="preserve"> </v>
          </cell>
          <cell r="Q698" t="str">
            <v>　</v>
          </cell>
        </row>
        <row r="699">
          <cell r="B699">
            <v>889</v>
          </cell>
          <cell r="C699" t="str">
            <v>ＤＤＷ有効終了時刻</v>
          </cell>
          <cell r="K699" t="str">
            <v>DWET</v>
          </cell>
          <cell r="M699" t="str">
            <v>S</v>
          </cell>
          <cell r="N699">
            <v>6</v>
          </cell>
          <cell r="O699" t="str">
            <v xml:space="preserve"> </v>
          </cell>
          <cell r="P699" t="str">
            <v xml:space="preserve"> </v>
          </cell>
        </row>
        <row r="700">
          <cell r="B700">
            <v>890</v>
          </cell>
          <cell r="C700" t="str">
            <v>チケット名称</v>
          </cell>
          <cell r="K700" t="str">
            <v>CKTN</v>
          </cell>
          <cell r="M700" t="str">
            <v>O</v>
          </cell>
          <cell r="N700">
            <v>22</v>
          </cell>
          <cell r="O700" t="str">
            <v xml:space="preserve"> </v>
          </cell>
          <cell r="P700" t="str">
            <v xml:space="preserve"> </v>
          </cell>
          <cell r="Q700" t="str">
            <v>チケットの名称</v>
          </cell>
        </row>
        <row r="701">
          <cell r="B701">
            <v>891</v>
          </cell>
          <cell r="C701" t="str">
            <v>ＤＤＷ処理番号</v>
          </cell>
          <cell r="K701" t="str">
            <v>DWSY</v>
          </cell>
          <cell r="M701" t="str">
            <v>A</v>
          </cell>
          <cell r="N701">
            <v>4</v>
          </cell>
          <cell r="O701" t="str">
            <v xml:space="preserve"> </v>
          </cell>
          <cell r="P701" t="str">
            <v xml:space="preserve"> </v>
          </cell>
          <cell r="Q701" t="str">
            <v>ＤＤＷバッチ処理番号</v>
          </cell>
        </row>
        <row r="702">
          <cell r="B702">
            <v>892</v>
          </cell>
          <cell r="C702" t="str">
            <v>ＤＤＷ処理結果コード</v>
          </cell>
          <cell r="K702" t="str">
            <v>DWKK</v>
          </cell>
          <cell r="M702" t="str">
            <v>A</v>
          </cell>
          <cell r="N702">
            <v>4</v>
          </cell>
          <cell r="O702" t="str">
            <v xml:space="preserve"> </v>
          </cell>
          <cell r="P702" t="str">
            <v xml:space="preserve"> </v>
          </cell>
          <cell r="Q702" t="str">
            <v>ＤＤＷバッチ処理結果コード</v>
          </cell>
        </row>
        <row r="703">
          <cell r="B703">
            <v>893</v>
          </cell>
          <cell r="C703" t="str">
            <v>会員状況区分有効日付</v>
          </cell>
          <cell r="K703" t="str">
            <v>KJYD</v>
          </cell>
          <cell r="L703" t="str">
            <v>KNJKYDT</v>
          </cell>
          <cell r="M703" t="str">
            <v>D</v>
          </cell>
          <cell r="N703">
            <v>8</v>
          </cell>
          <cell r="O703" t="str">
            <v xml:space="preserve"> </v>
          </cell>
          <cell r="P703" t="str">
            <v xml:space="preserve"> </v>
          </cell>
          <cell r="Q703" t="str">
            <v>変更される場合の現在会員状況区分の有効日付</v>
          </cell>
        </row>
        <row r="704">
          <cell r="B704">
            <v>894</v>
          </cell>
          <cell r="C704" t="str">
            <v>次回有効会員状況区分</v>
          </cell>
          <cell r="K704" t="str">
            <v>JYKJ</v>
          </cell>
          <cell r="L704" t="str">
            <v>NYKNJK</v>
          </cell>
          <cell r="M704" t="str">
            <v>A</v>
          </cell>
          <cell r="N704">
            <v>2</v>
          </cell>
          <cell r="O704" t="str">
            <v xml:space="preserve"> </v>
          </cell>
          <cell r="P704" t="str">
            <v xml:space="preserve"> </v>
          </cell>
          <cell r="Q704" t="str">
            <v>変更される場合の次回会員状況区分</v>
          </cell>
        </row>
        <row r="705">
          <cell r="B705">
            <v>895</v>
          </cell>
          <cell r="C705" t="str">
            <v>コンテンツレングス</v>
          </cell>
          <cell r="K705" t="str">
            <v xml:space="preserve"> </v>
          </cell>
          <cell r="L705" t="str">
            <v>CNLEN</v>
          </cell>
          <cell r="M705" t="str">
            <v>X</v>
          </cell>
          <cell r="N705">
            <v>16</v>
          </cell>
          <cell r="O705" t="str">
            <v xml:space="preserve"> </v>
          </cell>
          <cell r="P705" t="str">
            <v xml:space="preserve"> </v>
          </cell>
          <cell r="Q705" t="str">
            <v>コンテンツの長さ</v>
          </cell>
        </row>
        <row r="706">
          <cell r="B706">
            <v>896</v>
          </cell>
          <cell r="C706" t="str">
            <v>コンテンツボディ</v>
          </cell>
          <cell r="K706" t="str">
            <v xml:space="preserve"> </v>
          </cell>
          <cell r="L706" t="str">
            <v>CNBDY</v>
          </cell>
          <cell r="M706" t="str">
            <v>C</v>
          </cell>
          <cell r="N706" t="str">
            <v>-</v>
          </cell>
          <cell r="O706" t="str">
            <v xml:space="preserve"> </v>
          </cell>
          <cell r="P706" t="str">
            <v xml:space="preserve"> </v>
          </cell>
          <cell r="Q706" t="str">
            <v>レスポンスのメッセージ本体</v>
          </cell>
        </row>
        <row r="707">
          <cell r="B707">
            <v>897</v>
          </cell>
          <cell r="C707" t="str">
            <v>初期化クレジットパスワード</v>
          </cell>
          <cell r="K707" t="str">
            <v xml:space="preserve"> </v>
          </cell>
          <cell r="L707" t="str">
            <v>INCRPS</v>
          </cell>
          <cell r="M707" t="str">
            <v>X</v>
          </cell>
          <cell r="N707">
            <v>4</v>
          </cell>
          <cell r="O707" t="str">
            <v>　</v>
          </cell>
          <cell r="P707" t="str">
            <v>　</v>
          </cell>
          <cell r="Q707" t="str">
            <v>コールセンターで設定するクレジットパスワード</v>
          </cell>
        </row>
        <row r="708">
          <cell r="B708">
            <v>898</v>
          </cell>
          <cell r="C708" t="str">
            <v>再受け入れ回数</v>
          </cell>
          <cell r="K708" t="str">
            <v>SUKS</v>
          </cell>
          <cell r="M708" t="str">
            <v>S</v>
          </cell>
          <cell r="N708">
            <v>3</v>
          </cell>
          <cell r="O708" t="str">
            <v/>
          </cell>
          <cell r="Q708" t="str">
            <v>同じバージョンのコンテンツを受け入れた回数</v>
          </cell>
        </row>
        <row r="709">
          <cell r="B709">
            <v>899</v>
          </cell>
          <cell r="C709" t="str">
            <v>ＤＤＷ配信ファイルバージョン（マスター）</v>
          </cell>
          <cell r="K709" t="str">
            <v>HNV1</v>
          </cell>
          <cell r="L709" t="str">
            <v>HS1VER</v>
          </cell>
          <cell r="M709" t="str">
            <v>A</v>
          </cell>
          <cell r="N709">
            <v>10</v>
          </cell>
          <cell r="O709" t="str">
            <v/>
          </cell>
          <cell r="Q709" t="str">
            <v>ＤＤＷ緊急配信時の配信ファイル（マスター）のバージョン</v>
          </cell>
        </row>
        <row r="710">
          <cell r="B710">
            <v>900</v>
          </cell>
          <cell r="C710" t="str">
            <v>ＤＤＷ配信ファイルバージョン（コンテンツ）</v>
          </cell>
          <cell r="K710" t="str">
            <v>HNV2</v>
          </cell>
          <cell r="L710" t="str">
            <v>HS2VER</v>
          </cell>
          <cell r="M710" t="str">
            <v>A</v>
          </cell>
          <cell r="N710">
            <v>10</v>
          </cell>
          <cell r="O710" t="str">
            <v/>
          </cell>
          <cell r="Q710" t="str">
            <v>ＤＤＷ緊急配信時の配信ファイル（コンテンツ）のバージョン</v>
          </cell>
        </row>
        <row r="711">
          <cell r="B711">
            <v>901</v>
          </cell>
          <cell r="C711" t="str">
            <v>ＤＤＷ配信ファイルバージョン（プログラム）</v>
          </cell>
          <cell r="K711" t="str">
            <v>HNV3</v>
          </cell>
          <cell r="L711" t="str">
            <v>HS3VER</v>
          </cell>
          <cell r="M711" t="str">
            <v>A</v>
          </cell>
          <cell r="N711">
            <v>10</v>
          </cell>
          <cell r="O711" t="str">
            <v/>
          </cell>
          <cell r="Q711" t="str">
            <v>ＤＤＷ緊急配信時の配信ファイル（プログラム）のバージョン</v>
          </cell>
        </row>
        <row r="712">
          <cell r="B712">
            <v>902</v>
          </cell>
          <cell r="C712" t="str">
            <v>会員抽出フラグ</v>
          </cell>
          <cell r="K712" t="str">
            <v>KCFL</v>
          </cell>
          <cell r="M712" t="str">
            <v>A</v>
          </cell>
          <cell r="N712">
            <v>1</v>
          </cell>
          <cell r="O712" t="str">
            <v/>
          </cell>
          <cell r="Q712" t="str">
            <v>会員抽出の制御用</v>
          </cell>
        </row>
        <row r="713">
          <cell r="B713">
            <v>903</v>
          </cell>
          <cell r="C713" t="str">
            <v>ＣＳＶ作成フラグ</v>
          </cell>
          <cell r="K713" t="str">
            <v>CSFL</v>
          </cell>
          <cell r="M713" t="str">
            <v>A</v>
          </cell>
          <cell r="N713">
            <v>1</v>
          </cell>
          <cell r="O713" t="str">
            <v/>
          </cell>
          <cell r="Q713" t="str">
            <v>ＣＳＶ作成の制御用</v>
          </cell>
        </row>
        <row r="714">
          <cell r="B714">
            <v>904</v>
          </cell>
          <cell r="C714" t="str">
            <v>当選フラグ</v>
          </cell>
          <cell r="K714" t="str">
            <v>TSFL</v>
          </cell>
          <cell r="M714" t="str">
            <v>A</v>
          </cell>
          <cell r="N714">
            <v>1</v>
          </cell>
          <cell r="O714" t="str">
            <v/>
          </cell>
          <cell r="Q714" t="str">
            <v>当選の制御用</v>
          </cell>
        </row>
        <row r="715">
          <cell r="B715">
            <v>905</v>
          </cell>
          <cell r="C715" t="str">
            <v>ハード受取日付</v>
          </cell>
          <cell r="K715" t="str">
            <v>HUDT</v>
          </cell>
          <cell r="M715" t="str">
            <v>S</v>
          </cell>
          <cell r="N715">
            <v>8</v>
          </cell>
          <cell r="O715" t="str">
            <v/>
          </cell>
          <cell r="Q715" t="str">
            <v>スターターキット受取日付</v>
          </cell>
        </row>
        <row r="716">
          <cell r="B716">
            <v>906</v>
          </cell>
          <cell r="C716" t="str">
            <v>利用者氏名カナ（全角）</v>
          </cell>
          <cell r="K716" t="str">
            <v>RIS2</v>
          </cell>
          <cell r="L716" t="str">
            <v>RIS2</v>
          </cell>
          <cell r="M716" t="str">
            <v>O</v>
          </cell>
          <cell r="N716">
            <v>42</v>
          </cell>
          <cell r="O716" t="str">
            <v/>
          </cell>
          <cell r="Q716" t="str">
            <v>利用者氏名カナ（全角）</v>
          </cell>
        </row>
        <row r="717">
          <cell r="B717">
            <v>907</v>
          </cell>
          <cell r="C717" t="str">
            <v>申込利用者氏名カナ（全角）</v>
          </cell>
          <cell r="K717" t="str">
            <v>MRI2</v>
          </cell>
          <cell r="M717" t="str">
            <v>O</v>
          </cell>
          <cell r="N717">
            <v>42</v>
          </cell>
          <cell r="O717" t="str">
            <v/>
          </cell>
          <cell r="Q717" t="str">
            <v>申込利用者氏名カナ（全角）</v>
          </cell>
        </row>
        <row r="718">
          <cell r="B718">
            <v>908</v>
          </cell>
          <cell r="C718" t="str">
            <v>発生時刻</v>
          </cell>
          <cell r="K718" t="str">
            <v>HTTN</v>
          </cell>
          <cell r="M718" t="str">
            <v>S</v>
          </cell>
          <cell r="N718">
            <v>6</v>
          </cell>
          <cell r="O718" t="str">
            <v/>
          </cell>
          <cell r="Q718" t="str">
            <v>初期化の依頼時刻</v>
          </cell>
        </row>
        <row r="719">
          <cell r="B719">
            <v>909</v>
          </cell>
          <cell r="C719" t="str">
            <v>更新前会員状況区分</v>
          </cell>
          <cell r="K719" t="str">
            <v>KKJK</v>
          </cell>
          <cell r="M719" t="str">
            <v>A</v>
          </cell>
          <cell r="N719">
            <v>2</v>
          </cell>
          <cell r="O719" t="str">
            <v/>
          </cell>
          <cell r="Q719" t="str">
            <v xml:space="preserve"> </v>
          </cell>
        </row>
        <row r="720">
          <cell r="B720">
            <v>910</v>
          </cell>
          <cell r="C720" t="str">
            <v>本人確認日付</v>
          </cell>
          <cell r="K720" t="str">
            <v>HKDT</v>
          </cell>
          <cell r="M720" t="str">
            <v>S</v>
          </cell>
          <cell r="N720">
            <v>8</v>
          </cell>
          <cell r="O720" t="str">
            <v/>
          </cell>
          <cell r="Q720" t="str">
            <v xml:space="preserve"> </v>
          </cell>
        </row>
        <row r="721">
          <cell r="B721">
            <v>911</v>
          </cell>
          <cell r="C721" t="str">
            <v>クレジット認証更新日付</v>
          </cell>
          <cell r="K721" t="str">
            <v>CODT</v>
          </cell>
          <cell r="M721" t="str">
            <v>S</v>
          </cell>
          <cell r="N721">
            <v>8</v>
          </cell>
          <cell r="O721" t="str">
            <v/>
          </cell>
          <cell r="Q721" t="str">
            <v xml:space="preserve"> </v>
          </cell>
        </row>
        <row r="722">
          <cell r="B722">
            <v>912</v>
          </cell>
          <cell r="C722" t="str">
            <v>通知書発行日付</v>
          </cell>
          <cell r="K722" t="str">
            <v>THDT</v>
          </cell>
          <cell r="M722" t="str">
            <v>S</v>
          </cell>
          <cell r="N722">
            <v>8</v>
          </cell>
          <cell r="O722" t="str">
            <v/>
          </cell>
          <cell r="Q722" t="str">
            <v xml:space="preserve"> </v>
          </cell>
        </row>
        <row r="723">
          <cell r="B723">
            <v>913</v>
          </cell>
          <cell r="C723" t="str">
            <v>更新前利用者状況区分</v>
          </cell>
          <cell r="K723" t="str">
            <v>KRJK</v>
          </cell>
          <cell r="M723" t="str">
            <v>A</v>
          </cell>
          <cell r="N723">
            <v>2</v>
          </cell>
          <cell r="O723" t="str">
            <v/>
          </cell>
          <cell r="Q723" t="str">
            <v>更新前の利用者状況区分</v>
          </cell>
        </row>
        <row r="724">
          <cell r="B724">
            <v>914</v>
          </cell>
          <cell r="C724" t="str">
            <v>利用者異動申請№</v>
          </cell>
          <cell r="K724" t="str">
            <v>RION</v>
          </cell>
          <cell r="M724" t="str">
            <v>A</v>
          </cell>
          <cell r="N724">
            <v>9</v>
          </cell>
          <cell r="O724" t="str">
            <v/>
          </cell>
          <cell r="Q724" t="str">
            <v>利用者異動した時の申請№</v>
          </cell>
        </row>
        <row r="725">
          <cell r="B725">
            <v>915</v>
          </cell>
          <cell r="C725" t="str">
            <v>利用者異動申請№枝番</v>
          </cell>
          <cell r="K725" t="str">
            <v>RISE</v>
          </cell>
          <cell r="M725" t="str">
            <v>A</v>
          </cell>
          <cell r="N725">
            <v>1</v>
          </cell>
          <cell r="O725" t="str">
            <v/>
          </cell>
          <cell r="Q725" t="str">
            <v>利用者異動した時の申請№枝番</v>
          </cell>
        </row>
        <row r="726">
          <cell r="B726">
            <v>916</v>
          </cell>
          <cell r="C726" t="str">
            <v>利用者解除申請№</v>
          </cell>
          <cell r="K726" t="str">
            <v>RKSN</v>
          </cell>
          <cell r="M726" t="str">
            <v>A</v>
          </cell>
          <cell r="N726">
            <v>9</v>
          </cell>
          <cell r="O726" t="str">
            <v/>
          </cell>
          <cell r="Q726" t="str">
            <v>利用者異動解除した時の申請№</v>
          </cell>
        </row>
        <row r="727">
          <cell r="B727">
            <v>917</v>
          </cell>
          <cell r="C727" t="str">
            <v>ファイル名（フルーパス）</v>
          </cell>
          <cell r="K727" t="str">
            <v>FINMFP</v>
          </cell>
          <cell r="L727" t="str">
            <v>FINMFP</v>
          </cell>
          <cell r="M727" t="str">
            <v>C</v>
          </cell>
          <cell r="N727" t="str">
            <v>-</v>
          </cell>
          <cell r="O727" t="str">
            <v/>
          </cell>
          <cell r="Q727" t="str">
            <v xml:space="preserve"> </v>
          </cell>
        </row>
        <row r="728">
          <cell r="B728">
            <v>918</v>
          </cell>
          <cell r="C728" t="str">
            <v>市区町村コード</v>
          </cell>
          <cell r="K728" t="str">
            <v>SKCC</v>
          </cell>
          <cell r="M728" t="str">
            <v>A</v>
          </cell>
          <cell r="N728">
            <v>3</v>
          </cell>
          <cell r="Q728" t="str">
            <v>市区町村コード（ＪＩＳコード）</v>
          </cell>
        </row>
        <row r="729">
          <cell r="B729">
            <v>919</v>
          </cell>
          <cell r="C729" t="str">
            <v>大字・通称コード</v>
          </cell>
          <cell r="K729" t="str">
            <v>OOTC</v>
          </cell>
          <cell r="M729" t="str">
            <v>A</v>
          </cell>
          <cell r="N729">
            <v>3</v>
          </cell>
          <cell r="O729" t="str">
            <v/>
          </cell>
          <cell r="Q729" t="str">
            <v>大字・通称コード</v>
          </cell>
        </row>
        <row r="730">
          <cell r="B730">
            <v>920</v>
          </cell>
          <cell r="C730" t="str">
            <v>字・丁目コード</v>
          </cell>
          <cell r="K730" t="str">
            <v>ACMC</v>
          </cell>
          <cell r="M730" t="str">
            <v>A</v>
          </cell>
          <cell r="N730">
            <v>3</v>
          </cell>
          <cell r="O730" t="str">
            <v/>
          </cell>
          <cell r="Q730" t="str">
            <v>字・丁目コード</v>
          </cell>
        </row>
        <row r="731">
          <cell r="B731">
            <v>921</v>
          </cell>
          <cell r="C731" t="str">
            <v>新都道府県コード</v>
          </cell>
          <cell r="K731" t="str">
            <v>NTDC</v>
          </cell>
          <cell r="M731" t="str">
            <v>A</v>
          </cell>
          <cell r="N731">
            <v>2</v>
          </cell>
          <cell r="Q731" t="str">
            <v>新都道府県コード（ＪＩＳコード）</v>
          </cell>
        </row>
        <row r="732">
          <cell r="B732">
            <v>922</v>
          </cell>
          <cell r="C732" t="str">
            <v>新市区町村コード</v>
          </cell>
          <cell r="K732" t="str">
            <v>NSKC</v>
          </cell>
          <cell r="M732" t="str">
            <v>A</v>
          </cell>
          <cell r="N732">
            <v>3</v>
          </cell>
          <cell r="Q732" t="str">
            <v>新市区町村コード（ＪＩＳコード）</v>
          </cell>
        </row>
        <row r="733">
          <cell r="B733">
            <v>923</v>
          </cell>
          <cell r="C733" t="str">
            <v>新大字・通称コード</v>
          </cell>
          <cell r="K733" t="str">
            <v>NOTC</v>
          </cell>
          <cell r="M733" t="str">
            <v>A</v>
          </cell>
          <cell r="N733">
            <v>3</v>
          </cell>
          <cell r="Q733" t="str">
            <v>新大字・通称コード</v>
          </cell>
        </row>
        <row r="734">
          <cell r="B734">
            <v>924</v>
          </cell>
          <cell r="C734" t="str">
            <v>新字・丁目コード</v>
          </cell>
          <cell r="K734" t="str">
            <v>NACC</v>
          </cell>
          <cell r="M734" t="str">
            <v>A</v>
          </cell>
          <cell r="N734">
            <v>3</v>
          </cell>
          <cell r="Q734" t="str">
            <v>新字・丁目コード</v>
          </cell>
        </row>
        <row r="735">
          <cell r="B735">
            <v>925</v>
          </cell>
          <cell r="C735" t="str">
            <v>郵便番号個数</v>
          </cell>
          <cell r="K735" t="str">
            <v>YUBK</v>
          </cell>
          <cell r="M735" t="str">
            <v>A</v>
          </cell>
          <cell r="N735">
            <v>1</v>
          </cell>
          <cell r="Q735" t="str">
            <v>郵便番号個数</v>
          </cell>
        </row>
        <row r="736">
          <cell r="B736">
            <v>926</v>
          </cell>
          <cell r="C736" t="str">
            <v>政令指定都市フラグ</v>
          </cell>
          <cell r="K736" t="str">
            <v>SSTF</v>
          </cell>
          <cell r="M736" t="str">
            <v>A</v>
          </cell>
          <cell r="N736">
            <v>1</v>
          </cell>
          <cell r="Q736" t="str">
            <v>１：属す、０：属さない</v>
          </cell>
        </row>
        <row r="737">
          <cell r="B737">
            <v>927</v>
          </cell>
          <cell r="C737" t="str">
            <v>カナ都道府県名</v>
          </cell>
          <cell r="K737" t="str">
            <v>KTDN</v>
          </cell>
          <cell r="M737" t="str">
            <v>A</v>
          </cell>
          <cell r="N737">
            <v>8</v>
          </cell>
          <cell r="Q737" t="str">
            <v>カナ都道府県名</v>
          </cell>
        </row>
        <row r="738">
          <cell r="B738">
            <v>928</v>
          </cell>
          <cell r="C738" t="str">
            <v>カナ市区郡町村名</v>
          </cell>
          <cell r="K738" t="str">
            <v>KSKN</v>
          </cell>
          <cell r="M738" t="str">
            <v>A</v>
          </cell>
          <cell r="N738">
            <v>24</v>
          </cell>
          <cell r="Q738" t="str">
            <v>カナ市区郡町村名</v>
          </cell>
        </row>
        <row r="739">
          <cell r="B739">
            <v>929</v>
          </cell>
          <cell r="C739" t="str">
            <v>カナ大字・通称名</v>
          </cell>
          <cell r="K739" t="str">
            <v>KOTN</v>
          </cell>
          <cell r="M739" t="str">
            <v>A</v>
          </cell>
          <cell r="N739">
            <v>32</v>
          </cell>
          <cell r="Q739" t="str">
            <v>カナ大字・通称名</v>
          </cell>
        </row>
        <row r="740">
          <cell r="B740">
            <v>930</v>
          </cell>
          <cell r="C740" t="str">
            <v>カナ字名・丁目</v>
          </cell>
          <cell r="K740" t="str">
            <v>KACN</v>
          </cell>
          <cell r="M740" t="str">
            <v>A</v>
          </cell>
          <cell r="N740">
            <v>32</v>
          </cell>
          <cell r="Q740" t="str">
            <v>カナ字名・丁目</v>
          </cell>
        </row>
        <row r="741">
          <cell r="B741">
            <v>931</v>
          </cell>
          <cell r="C741" t="str">
            <v>漢字都道府県名</v>
          </cell>
          <cell r="K741" t="str">
            <v>JTDN</v>
          </cell>
          <cell r="M741" t="str">
            <v>O</v>
          </cell>
          <cell r="N741">
            <v>10</v>
          </cell>
          <cell r="Q741" t="str">
            <v>漢字都道府県名</v>
          </cell>
        </row>
        <row r="742">
          <cell r="B742">
            <v>932</v>
          </cell>
          <cell r="C742" t="str">
            <v>漢字市区郡町村名</v>
          </cell>
          <cell r="K742" t="str">
            <v>JSCN</v>
          </cell>
          <cell r="M742" t="str">
            <v>O</v>
          </cell>
          <cell r="N742">
            <v>26</v>
          </cell>
          <cell r="Q742" t="str">
            <v>漢字市区郡町村名</v>
          </cell>
        </row>
        <row r="743">
          <cell r="B743">
            <v>933</v>
          </cell>
          <cell r="C743" t="str">
            <v>漢字大字・通称名</v>
          </cell>
          <cell r="K743" t="str">
            <v>JOTN</v>
          </cell>
          <cell r="M743" t="str">
            <v>O</v>
          </cell>
          <cell r="N743">
            <v>38</v>
          </cell>
          <cell r="Q743" t="str">
            <v>漢字大字・通称名</v>
          </cell>
        </row>
        <row r="744">
          <cell r="B744">
            <v>934</v>
          </cell>
          <cell r="C744" t="str">
            <v>漢字字名・丁目</v>
          </cell>
          <cell r="K744" t="str">
            <v>JOCN</v>
          </cell>
          <cell r="M744" t="str">
            <v>O</v>
          </cell>
          <cell r="N744">
            <v>38</v>
          </cell>
          <cell r="Q744" t="str">
            <v>漢字字名・丁目</v>
          </cell>
        </row>
        <row r="745">
          <cell r="B745">
            <v>935</v>
          </cell>
          <cell r="C745" t="str">
            <v>都道府県名外字フラグ</v>
          </cell>
          <cell r="K745" t="str">
            <v>TDGF</v>
          </cell>
          <cell r="M745" t="str">
            <v>A</v>
          </cell>
          <cell r="N745">
            <v>1</v>
          </cell>
          <cell r="Q745" t="str">
            <v>１：ＪＩＳ第一、第二のみ、２：ＪＩＳ以外を含む、０：文字なし</v>
          </cell>
        </row>
        <row r="746">
          <cell r="B746">
            <v>936</v>
          </cell>
          <cell r="C746" t="str">
            <v>市区郡町村名外字フラグ</v>
          </cell>
          <cell r="K746" t="str">
            <v>SKGF</v>
          </cell>
          <cell r="M746" t="str">
            <v>A</v>
          </cell>
          <cell r="N746">
            <v>1</v>
          </cell>
          <cell r="Q746" t="str">
            <v>１：ＪＩＳ第一、第二のみ、２：ＪＩＳ以外を含む、０：文字なし</v>
          </cell>
        </row>
        <row r="747">
          <cell r="B747">
            <v>937</v>
          </cell>
          <cell r="C747" t="str">
            <v>大字・通称名外字フラグ</v>
          </cell>
          <cell r="K747" t="str">
            <v>OTGF</v>
          </cell>
          <cell r="M747" t="str">
            <v>A</v>
          </cell>
          <cell r="N747">
            <v>1</v>
          </cell>
          <cell r="Q747" t="str">
            <v>１：ＪＩＳ第一、第二のみ、２：ＪＩＳ以外を含む、０：文字なし</v>
          </cell>
        </row>
        <row r="748">
          <cell r="B748">
            <v>938</v>
          </cell>
          <cell r="C748" t="str">
            <v>字名・丁目外字フラグ</v>
          </cell>
          <cell r="K748" t="str">
            <v>ACGF</v>
          </cell>
          <cell r="M748" t="str">
            <v>A</v>
          </cell>
          <cell r="N748">
            <v>1</v>
          </cell>
          <cell r="Q748" t="str">
            <v>１：ＪＩＳ第一、第二のみ、２：ＪＩＳ以外を含む、０：文字なし</v>
          </cell>
        </row>
        <row r="749">
          <cell r="B749">
            <v>939</v>
          </cell>
          <cell r="C749" t="str">
            <v>登録年月</v>
          </cell>
          <cell r="K749" t="str">
            <v>TRYM</v>
          </cell>
          <cell r="M749" t="str">
            <v>A</v>
          </cell>
          <cell r="N749">
            <v>6</v>
          </cell>
          <cell r="Q749" t="str">
            <v>登録年月</v>
          </cell>
        </row>
        <row r="750">
          <cell r="B750">
            <v>940</v>
          </cell>
          <cell r="C750" t="str">
            <v>廃止年月</v>
          </cell>
          <cell r="K750" t="str">
            <v>HSYM</v>
          </cell>
          <cell r="M750" t="str">
            <v>A</v>
          </cell>
          <cell r="N750">
            <v>6</v>
          </cell>
          <cell r="Q750" t="str">
            <v>廃止年月</v>
          </cell>
        </row>
        <row r="751">
          <cell r="B751">
            <v>941</v>
          </cell>
          <cell r="C751" t="str">
            <v>町名変更年月</v>
          </cell>
          <cell r="K751" t="str">
            <v>CHYM</v>
          </cell>
          <cell r="M751" t="str">
            <v>A</v>
          </cell>
          <cell r="N751">
            <v>6</v>
          </cell>
          <cell r="Q751" t="str">
            <v>町名変更年月</v>
          </cell>
        </row>
        <row r="752">
          <cell r="B752">
            <v>942</v>
          </cell>
          <cell r="C752" t="str">
            <v>郵便番号変更年月</v>
          </cell>
          <cell r="K752" t="str">
            <v>YHYM</v>
          </cell>
          <cell r="M752" t="str">
            <v>A</v>
          </cell>
          <cell r="N752">
            <v>6</v>
          </cell>
          <cell r="Q752" t="str">
            <v>郵便番号変更年月</v>
          </cell>
        </row>
        <row r="753">
          <cell r="B753">
            <v>943</v>
          </cell>
          <cell r="C753" t="str">
            <v>住居表示実施年月</v>
          </cell>
          <cell r="K753" t="str">
            <v>JHYM</v>
          </cell>
          <cell r="M753" t="str">
            <v>A</v>
          </cell>
          <cell r="N753">
            <v>6</v>
          </cell>
          <cell r="Q753" t="str">
            <v>住居表示実施年月</v>
          </cell>
        </row>
        <row r="754">
          <cell r="B754">
            <v>944</v>
          </cell>
          <cell r="C754" t="str">
            <v>住居表示実施フラグ</v>
          </cell>
          <cell r="K754" t="str">
            <v>JHJF</v>
          </cell>
          <cell r="M754" t="str">
            <v>A</v>
          </cell>
          <cell r="N754">
            <v>1</v>
          </cell>
          <cell r="Q754" t="str">
            <v>１：実施している、０：実施していない</v>
          </cell>
        </row>
        <row r="755">
          <cell r="B755">
            <v>945</v>
          </cell>
          <cell r="C755" t="str">
            <v>レコード区分</v>
          </cell>
          <cell r="K755" t="str">
            <v>REKB</v>
          </cell>
          <cell r="M755" t="str">
            <v>A</v>
          </cell>
          <cell r="N755">
            <v>1</v>
          </cell>
          <cell r="Q755" t="str">
            <v>１：都道府県まで、２：市町村まで、３：区まで、９：丁目まで、０：完全</v>
          </cell>
        </row>
        <row r="756">
          <cell r="B756">
            <v>946</v>
          </cell>
          <cell r="C756" t="str">
            <v>通称名フラグ</v>
          </cell>
          <cell r="K756" t="str">
            <v>TSNF</v>
          </cell>
          <cell r="M756" t="str">
            <v>A</v>
          </cell>
          <cell r="N756">
            <v>1</v>
          </cell>
          <cell r="Q756" t="str">
            <v>１：通称名である、０：通称名でない</v>
          </cell>
        </row>
        <row r="757">
          <cell r="B757">
            <v>947</v>
          </cell>
          <cell r="C757" t="str">
            <v>通り名フラグ</v>
          </cell>
          <cell r="K757" t="str">
            <v>TRNF</v>
          </cell>
          <cell r="M757" t="str">
            <v>A</v>
          </cell>
          <cell r="N757">
            <v>1</v>
          </cell>
          <cell r="Q757" t="str">
            <v>１：通り名を持つ、０：通り名を持たない</v>
          </cell>
        </row>
        <row r="758">
          <cell r="B758">
            <v>948</v>
          </cell>
          <cell r="C758" t="str">
            <v>大字・宇フラグ１</v>
          </cell>
          <cell r="K758" t="str">
            <v>OAF1</v>
          </cell>
          <cell r="M758" t="str">
            <v>A</v>
          </cell>
          <cell r="N758">
            <v>1</v>
          </cell>
          <cell r="Q758" t="str">
            <v>１：大字、２：字、３：小字、０：冠なし</v>
          </cell>
        </row>
        <row r="759">
          <cell r="B759">
            <v>949</v>
          </cell>
          <cell r="C759" t="str">
            <v>大字・宇フラグ２</v>
          </cell>
          <cell r="K759" t="str">
            <v>OAF2</v>
          </cell>
          <cell r="M759" t="str">
            <v>A</v>
          </cell>
          <cell r="N759">
            <v>1</v>
          </cell>
          <cell r="Q759" t="str">
            <v>１：大字、２：字、３：小字、０：冠なし</v>
          </cell>
        </row>
        <row r="760">
          <cell r="B760">
            <v>950</v>
          </cell>
          <cell r="C760" t="str">
            <v>新郵便番号</v>
          </cell>
          <cell r="K760" t="str">
            <v>NYBG</v>
          </cell>
          <cell r="M760" t="str">
            <v>A</v>
          </cell>
          <cell r="N760">
            <v>8</v>
          </cell>
          <cell r="Q760" t="str">
            <v>新郵便番号</v>
          </cell>
        </row>
        <row r="761">
          <cell r="B761">
            <v>951</v>
          </cell>
          <cell r="C761" t="str">
            <v>修正コード</v>
          </cell>
          <cell r="K761" t="str">
            <v>SSIC</v>
          </cell>
          <cell r="M761" t="str">
            <v>A</v>
          </cell>
          <cell r="N761">
            <v>1</v>
          </cell>
          <cell r="Q761" t="str">
            <v>１：新規、２：修正、３：廃止、５：復活、０：変更なし</v>
          </cell>
        </row>
        <row r="765">
          <cell r="C765" t="str">
            <v>インターネット使用区分</v>
          </cell>
          <cell r="K765" t="str">
            <v>INSK</v>
          </cell>
          <cell r="M765" t="str">
            <v>A</v>
          </cell>
          <cell r="N765">
            <v>1</v>
          </cell>
          <cell r="O765" t="str">
            <v/>
          </cell>
          <cell r="Q765" t="str">
            <v>インターネット使用の制御用</v>
          </cell>
        </row>
      </sheetData>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
      <sheetName val="データ辞書"/>
      <sheetName val="テーブル一覧"/>
      <sheetName val="default"/>
    </sheetNames>
    <sheetDataSet>
      <sheetData sheetId="0" refreshError="1"/>
      <sheetData sheetId="1" refreshError="1">
        <row r="9">
          <cell r="B9">
            <v>1</v>
          </cell>
          <cell r="C9" t="str">
            <v>６４ＤＤマシンタイプ</v>
          </cell>
          <cell r="K9" t="str">
            <v>64MY</v>
          </cell>
          <cell r="L9" t="str">
            <v>64MY</v>
          </cell>
          <cell r="M9" t="str">
            <v>A</v>
          </cell>
          <cell r="N9">
            <v>2</v>
          </cell>
          <cell r="O9" t="str">
            <v/>
          </cell>
          <cell r="Q9" t="str">
            <v>６４ＤＤのマシンタイプ</v>
          </cell>
        </row>
        <row r="10">
          <cell r="B10">
            <v>2</v>
          </cell>
          <cell r="C10" t="str">
            <v>６４ＤＤマシンタイプ名</v>
          </cell>
          <cell r="K10" t="str">
            <v>64MN</v>
          </cell>
          <cell r="L10" t="str">
            <v>MCT64N</v>
          </cell>
          <cell r="M10" t="str">
            <v>O</v>
          </cell>
          <cell r="N10">
            <v>22</v>
          </cell>
          <cell r="O10" t="str">
            <v/>
          </cell>
          <cell r="Q10" t="str">
            <v>６４ＤＤのマシンタイプ名称</v>
          </cell>
        </row>
        <row r="11">
          <cell r="B11">
            <v>3</v>
          </cell>
          <cell r="C11" t="str">
            <v>ＡＰＩＤ</v>
          </cell>
          <cell r="K11" t="str">
            <v>APID</v>
          </cell>
          <cell r="L11" t="str">
            <v>APID</v>
          </cell>
          <cell r="M11" t="str">
            <v>A</v>
          </cell>
          <cell r="N11">
            <v>5</v>
          </cell>
          <cell r="O11" t="str">
            <v/>
          </cell>
          <cell r="Q11" t="str">
            <v>アクセスポイントＩＤ</v>
          </cell>
        </row>
        <row r="12">
          <cell r="B12">
            <v>7</v>
          </cell>
          <cell r="C12" t="str">
            <v>ＡＰＴＥＬ番号</v>
          </cell>
          <cell r="K12" t="str">
            <v>APTL</v>
          </cell>
          <cell r="L12" t="str">
            <v>APTLNO</v>
          </cell>
          <cell r="M12" t="str">
            <v>A</v>
          </cell>
          <cell r="N12">
            <v>14</v>
          </cell>
          <cell r="O12" t="str">
            <v/>
          </cell>
          <cell r="Q12" t="str">
            <v>アクセスポイント電話番号（ハイフン無し）</v>
          </cell>
        </row>
        <row r="13">
          <cell r="B13">
            <v>8</v>
          </cell>
          <cell r="C13" t="str">
            <v>ＡＰ名</v>
          </cell>
          <cell r="K13" t="str">
            <v>APNM</v>
          </cell>
          <cell r="L13" t="str">
            <v>APNM</v>
          </cell>
          <cell r="M13" t="str">
            <v>O</v>
          </cell>
          <cell r="N13">
            <v>42</v>
          </cell>
          <cell r="O13" t="str">
            <v/>
          </cell>
          <cell r="Q13" t="str">
            <v>アクセスポイント名</v>
          </cell>
        </row>
        <row r="14">
          <cell r="B14">
            <v>9</v>
          </cell>
          <cell r="C14" t="str">
            <v>ＣＤバージョン</v>
          </cell>
          <cell r="K14" t="str">
            <v>CDVR</v>
          </cell>
          <cell r="L14" t="str">
            <v>CDVR</v>
          </cell>
          <cell r="M14" t="str">
            <v>A</v>
          </cell>
          <cell r="N14">
            <v>10</v>
          </cell>
          <cell r="O14" t="str">
            <v/>
          </cell>
          <cell r="Q14" t="str">
            <v>毎月作成されるＣＤのバージョン。Ｒｙｙｙｙｍｍ０１ｎ</v>
          </cell>
        </row>
        <row r="15">
          <cell r="B15">
            <v>10</v>
          </cell>
          <cell r="C15" t="str">
            <v>ＣＤバージョン更新日時</v>
          </cell>
          <cell r="K15" t="str">
            <v>CDVT</v>
          </cell>
          <cell r="L15" t="str">
            <v>CDVUDT</v>
          </cell>
          <cell r="M15" t="str">
            <v>S</v>
          </cell>
          <cell r="N15">
            <v>14</v>
          </cell>
          <cell r="O15" t="str">
            <v/>
          </cell>
          <cell r="Q15" t="str">
            <v>ＤＤＷでＣＤが更新完了した日時。ＤＤＷの電文からセット。</v>
          </cell>
        </row>
        <row r="16">
          <cell r="B16">
            <v>11</v>
          </cell>
          <cell r="C16" t="str">
            <v>ＣＤ抽出ステータス</v>
          </cell>
          <cell r="K16" t="str">
            <v>CDCS</v>
          </cell>
          <cell r="M16" t="str">
            <v>A</v>
          </cell>
          <cell r="N16">
            <v>2</v>
          </cell>
          <cell r="O16" t="str">
            <v/>
          </cell>
          <cell r="Q16" t="str">
            <v>００：初期値、０１：抽出済、０２：ＣＤの場合仮抽出、０３：ＮＥＴの場合仮抽出、１０：再抽出待ち、２ｘ：業務エラー各種、５ｘ：システム系エラー各種</v>
          </cell>
        </row>
        <row r="17">
          <cell r="B17">
            <v>13</v>
          </cell>
          <cell r="C17" t="str">
            <v>ＣＤ抽出処理日時</v>
          </cell>
          <cell r="K17" t="str">
            <v>CDCT</v>
          </cell>
          <cell r="M17" t="str">
            <v>S</v>
          </cell>
          <cell r="N17">
            <v>14</v>
          </cell>
          <cell r="O17" t="str">
            <v/>
          </cell>
          <cell r="Q17" t="str">
            <v>抽出ステータスを更新した日時</v>
          </cell>
        </row>
        <row r="18">
          <cell r="B18">
            <v>14</v>
          </cell>
          <cell r="C18" t="str">
            <v>ＤＤＷＩＤ</v>
          </cell>
          <cell r="K18" t="str">
            <v>DDWI</v>
          </cell>
          <cell r="L18" t="str">
            <v>DDWI</v>
          </cell>
          <cell r="M18" t="str">
            <v>A</v>
          </cell>
          <cell r="N18">
            <v>7</v>
          </cell>
          <cell r="O18" t="str">
            <v/>
          </cell>
          <cell r="Q18" t="str">
            <v>ＤＤＷを認識するＩＤ。得意先店舗コード６桁＋枝番１桁</v>
          </cell>
        </row>
        <row r="19">
          <cell r="B19" t="str">
            <v>削除</v>
          </cell>
          <cell r="C19" t="str">
            <v>ＤＤＷＴＥＬ番号</v>
          </cell>
          <cell r="L19" t="str">
            <v>DDTL</v>
          </cell>
          <cell r="M19" t="str">
            <v>A</v>
          </cell>
          <cell r="N19">
            <v>14</v>
          </cell>
          <cell r="Q19" t="str">
            <v>緊急配信などの場合にセンター側で使用する電話番号：１５</v>
          </cell>
        </row>
        <row r="20">
          <cell r="B20">
            <v>16</v>
          </cell>
          <cell r="C20" t="str">
            <v>ＤＤＷ順番号</v>
          </cell>
          <cell r="K20" t="str">
            <v>DDBG</v>
          </cell>
          <cell r="L20" t="str">
            <v>DDBG</v>
          </cell>
          <cell r="M20" t="str">
            <v>A</v>
          </cell>
          <cell r="N20">
            <v>5</v>
          </cell>
          <cell r="O20" t="str">
            <v/>
          </cell>
          <cell r="Q20" t="str">
            <v>ＤＤＷに付けられる連番(１番からｎ番まで） 全ＤＤＷ単位でのシリアル№を採番</v>
          </cell>
        </row>
        <row r="21">
          <cell r="B21">
            <v>18</v>
          </cell>
          <cell r="C21" t="str">
            <v>ＤＤＷネットワークＩＤ</v>
          </cell>
          <cell r="K21" t="str">
            <v>DDNI</v>
          </cell>
          <cell r="L21" t="str">
            <v>DDNI</v>
          </cell>
          <cell r="M21" t="str">
            <v>A</v>
          </cell>
          <cell r="N21">
            <v>16</v>
          </cell>
          <cell r="O21" t="str">
            <v/>
          </cell>
          <cell r="Q21" t="str">
            <v>ＤＤＷごとにふられたＩＤ</v>
          </cell>
        </row>
        <row r="22">
          <cell r="B22">
            <v>19</v>
          </cell>
          <cell r="C22" t="str">
            <v>ＤＤＷネットワークパスワード</v>
          </cell>
          <cell r="K22" t="str">
            <v>DDNP</v>
          </cell>
          <cell r="L22" t="str">
            <v>DDNP</v>
          </cell>
          <cell r="M22" t="str">
            <v>A</v>
          </cell>
          <cell r="N22">
            <v>8</v>
          </cell>
          <cell r="O22" t="str">
            <v/>
          </cell>
          <cell r="Q22" t="str">
            <v>ネットワーク認証用パスワード</v>
          </cell>
        </row>
        <row r="23">
          <cell r="B23">
            <v>20</v>
          </cell>
          <cell r="C23" t="str">
            <v>ＤＤＷマシンタイプ</v>
          </cell>
          <cell r="K23" t="str">
            <v>DDMY</v>
          </cell>
          <cell r="L23" t="str">
            <v>DDMY</v>
          </cell>
          <cell r="M23" t="str">
            <v>A</v>
          </cell>
          <cell r="N23">
            <v>2</v>
          </cell>
          <cell r="O23" t="str">
            <v/>
          </cell>
          <cell r="Q23" t="str">
            <v>ＤＤＷのマシンタイプ</v>
          </cell>
        </row>
        <row r="24">
          <cell r="B24">
            <v>21</v>
          </cell>
          <cell r="C24" t="str">
            <v>ＤＤＷマシンタイプ名</v>
          </cell>
          <cell r="K24" t="str">
            <v>DDMN</v>
          </cell>
          <cell r="M24" t="str">
            <v>O</v>
          </cell>
          <cell r="N24">
            <v>22</v>
          </cell>
          <cell r="O24" t="str">
            <v/>
          </cell>
          <cell r="Q24" t="str">
            <v>ＤＤＷのマシンタイプ名称</v>
          </cell>
        </row>
        <row r="25">
          <cell r="B25">
            <v>22</v>
          </cell>
          <cell r="C25" t="str">
            <v>ＤＤＷ設置台数</v>
          </cell>
          <cell r="K25" t="str">
            <v>DDSS</v>
          </cell>
          <cell r="M25" t="str">
            <v>S</v>
          </cell>
          <cell r="N25">
            <v>2</v>
          </cell>
          <cell r="O25" t="str">
            <v/>
          </cell>
          <cell r="Q25" t="str">
            <v>ＤＤ－Ｗ設置台数</v>
          </cell>
        </row>
        <row r="26">
          <cell r="B26">
            <v>23</v>
          </cell>
          <cell r="C26" t="str">
            <v>ＤＤＷ配信ファイルＩＤ</v>
          </cell>
          <cell r="K26" t="str">
            <v>DHFI</v>
          </cell>
          <cell r="L26" t="str">
            <v>FILEID</v>
          </cell>
          <cell r="M26" t="str">
            <v>A</v>
          </cell>
          <cell r="N26">
            <v>5</v>
          </cell>
          <cell r="O26" t="str">
            <v/>
          </cell>
          <cell r="Q26" t="str">
            <v>ＤＤＷ集配信ファイルのＩＤ</v>
          </cell>
        </row>
        <row r="27">
          <cell r="B27">
            <v>24</v>
          </cell>
          <cell r="C27" t="str">
            <v>ＤＤＷ配信ファイル名</v>
          </cell>
          <cell r="K27" t="str">
            <v>DHFN</v>
          </cell>
          <cell r="L27" t="str">
            <v>FILENM</v>
          </cell>
          <cell r="M27" t="str">
            <v>O</v>
          </cell>
          <cell r="N27">
            <v>22</v>
          </cell>
          <cell r="O27" t="str">
            <v/>
          </cell>
          <cell r="Q27" t="str">
            <v>ＤＤＷ集配信ファイル名称</v>
          </cell>
        </row>
        <row r="28">
          <cell r="B28">
            <v>25</v>
          </cell>
          <cell r="C28" t="str">
            <v>ＤＤＷ保守ファイルＩＤ</v>
          </cell>
          <cell r="K28" t="str">
            <v>DWHI</v>
          </cell>
          <cell r="M28" t="str">
            <v>A</v>
          </cell>
          <cell r="N28">
            <v>7</v>
          </cell>
          <cell r="O28" t="str">
            <v/>
          </cell>
          <cell r="Q28" t="str">
            <v>コンテンツコード</v>
          </cell>
        </row>
        <row r="29">
          <cell r="B29">
            <v>26</v>
          </cell>
          <cell r="C29" t="str">
            <v>ＤＤＷ保守名</v>
          </cell>
          <cell r="K29" t="str">
            <v>DDHN</v>
          </cell>
          <cell r="M29" t="str">
            <v>O</v>
          </cell>
          <cell r="N29">
            <v>22</v>
          </cell>
          <cell r="O29" t="str">
            <v/>
          </cell>
          <cell r="Q29" t="str">
            <v>ＤＤＷ保守ファイルの名称</v>
          </cell>
        </row>
        <row r="30">
          <cell r="B30">
            <v>27</v>
          </cell>
          <cell r="C30" t="str">
            <v>ＤＤディスク保守ファイルＩＤ</v>
          </cell>
          <cell r="K30" t="str">
            <v>DDFI</v>
          </cell>
          <cell r="L30" t="str">
            <v>DDFI</v>
          </cell>
          <cell r="M30" t="str">
            <v>A</v>
          </cell>
          <cell r="N30">
            <v>7</v>
          </cell>
          <cell r="O30" t="str">
            <v/>
          </cell>
          <cell r="Q30" t="str">
            <v>コンテンツコード</v>
          </cell>
        </row>
        <row r="31">
          <cell r="B31">
            <v>28</v>
          </cell>
          <cell r="C31" t="str">
            <v>ＤＤディスク保守名</v>
          </cell>
          <cell r="K31" t="str">
            <v>DDFN</v>
          </cell>
          <cell r="L31" t="str">
            <v>DDFN</v>
          </cell>
          <cell r="M31" t="str">
            <v>O</v>
          </cell>
          <cell r="N31">
            <v>22</v>
          </cell>
          <cell r="O31" t="str">
            <v/>
          </cell>
          <cell r="Q31" t="str">
            <v>ＤＤディスク保守ファイルの名称</v>
          </cell>
        </row>
        <row r="32">
          <cell r="B32">
            <v>29</v>
          </cell>
          <cell r="C32" t="str">
            <v>ＤＩＳＫＩＤ</v>
          </cell>
          <cell r="K32" t="str">
            <v>DSKI</v>
          </cell>
          <cell r="L32" t="str">
            <v>DSKI</v>
          </cell>
          <cell r="M32" t="str">
            <v>A</v>
          </cell>
          <cell r="N32">
            <v>32</v>
          </cell>
          <cell r="O32" t="str">
            <v/>
          </cell>
          <cell r="Q32" t="str">
            <v>ディスクのユニークなシリアル番号</v>
          </cell>
        </row>
        <row r="33">
          <cell r="B33">
            <v>30</v>
          </cell>
          <cell r="C33" t="str">
            <v>ＤＩＳＫ無効開始日付</v>
          </cell>
          <cell r="K33" t="str">
            <v>DSMD</v>
          </cell>
          <cell r="L33" t="str">
            <v>DSMD</v>
          </cell>
          <cell r="M33" t="str">
            <v>S</v>
          </cell>
          <cell r="N33">
            <v>8</v>
          </cell>
          <cell r="O33" t="str">
            <v/>
          </cell>
          <cell r="Q33" t="str">
            <v>ＤＩＳＫを無効にした日付</v>
          </cell>
        </row>
        <row r="34">
          <cell r="B34">
            <v>31</v>
          </cell>
          <cell r="C34" t="str">
            <v>ＤＩＳＫ無効区分</v>
          </cell>
          <cell r="K34" t="str">
            <v>DSMK</v>
          </cell>
          <cell r="L34" t="str">
            <v>DSMK</v>
          </cell>
          <cell r="M34" t="str">
            <v>A</v>
          </cell>
          <cell r="N34">
            <v>1</v>
          </cell>
          <cell r="O34" t="str">
            <v/>
          </cell>
          <cell r="Q34" t="str">
            <v>１：無効</v>
          </cell>
        </row>
        <row r="35">
          <cell r="B35">
            <v>32</v>
          </cell>
          <cell r="C35" t="str">
            <v>ＤＩＳＫ無効理由区分</v>
          </cell>
          <cell r="K35" t="str">
            <v>DSMR</v>
          </cell>
          <cell r="L35" t="str">
            <v>DSMR</v>
          </cell>
          <cell r="M35" t="str">
            <v>A</v>
          </cell>
          <cell r="N35">
            <v>2</v>
          </cell>
          <cell r="O35" t="str">
            <v/>
          </cell>
          <cell r="Q35" t="str">
            <v>無効の理由</v>
          </cell>
        </row>
        <row r="36">
          <cell r="B36">
            <v>37</v>
          </cell>
          <cell r="C36" t="str">
            <v>ＦＡＸ２</v>
          </cell>
          <cell r="K36" t="str">
            <v>FAX2</v>
          </cell>
          <cell r="L36" t="str">
            <v>FAX2</v>
          </cell>
          <cell r="M36" t="str">
            <v>A</v>
          </cell>
          <cell r="N36">
            <v>4</v>
          </cell>
          <cell r="O36" t="str">
            <v/>
          </cell>
          <cell r="Q36" t="str">
            <v>ＦＡＸ番号（局番）</v>
          </cell>
        </row>
        <row r="37">
          <cell r="B37">
            <v>38</v>
          </cell>
          <cell r="C37" t="str">
            <v>ＦＡＸ３</v>
          </cell>
          <cell r="K37" t="str">
            <v>FAX3</v>
          </cell>
          <cell r="L37" t="str">
            <v>FAX3</v>
          </cell>
          <cell r="M37" t="str">
            <v>A</v>
          </cell>
          <cell r="N37">
            <v>4</v>
          </cell>
          <cell r="O37" t="str">
            <v/>
          </cell>
          <cell r="Q37" t="str">
            <v>ＦＡＸ番号（下４桁）</v>
          </cell>
        </row>
        <row r="38">
          <cell r="B38">
            <v>39</v>
          </cell>
          <cell r="C38" t="str">
            <v>ＦＡＸ市外局番</v>
          </cell>
          <cell r="K38" t="str">
            <v>FAX1</v>
          </cell>
          <cell r="L38" t="str">
            <v>FAX1</v>
          </cell>
          <cell r="M38" t="str">
            <v>A</v>
          </cell>
          <cell r="N38">
            <v>7</v>
          </cell>
          <cell r="O38" t="str">
            <v/>
          </cell>
          <cell r="Q38" t="str">
            <v>ＦＡＸ番号（市外局番）</v>
          </cell>
        </row>
        <row r="39">
          <cell r="B39">
            <v>40</v>
          </cell>
          <cell r="C39" t="str">
            <v>ＦＡＸ番号</v>
          </cell>
          <cell r="K39" t="str">
            <v>FXTL</v>
          </cell>
          <cell r="M39" t="str">
            <v>A</v>
          </cell>
          <cell r="N39">
            <v>14</v>
          </cell>
          <cell r="O39" t="str">
            <v/>
          </cell>
          <cell r="Q39" t="str">
            <v>ＦＡＸ番号</v>
          </cell>
        </row>
        <row r="40">
          <cell r="B40">
            <v>41</v>
          </cell>
          <cell r="C40" t="str">
            <v>ＦＩＬＬＥＲ</v>
          </cell>
          <cell r="K40" t="str">
            <v>FILR</v>
          </cell>
          <cell r="M40" t="str">
            <v>S</v>
          </cell>
          <cell r="N40">
            <v>6</v>
          </cell>
          <cell r="O40" t="str">
            <v/>
          </cell>
          <cell r="Q40" t="str">
            <v>クレジットＩ／Ｆの予備</v>
          </cell>
        </row>
        <row r="41">
          <cell r="B41">
            <v>42</v>
          </cell>
          <cell r="C41" t="str">
            <v>ＪＡＮコード</v>
          </cell>
          <cell r="K41" t="str">
            <v>JANC</v>
          </cell>
          <cell r="M41" t="str">
            <v>A</v>
          </cell>
          <cell r="N41">
            <v>13</v>
          </cell>
          <cell r="O41" t="str">
            <v/>
          </cell>
          <cell r="Q41" t="str">
            <v>ＪＡＮの商品コード</v>
          </cell>
        </row>
        <row r="42">
          <cell r="B42">
            <v>43</v>
          </cell>
          <cell r="C42" t="str">
            <v>ＪＡＮ区分</v>
          </cell>
          <cell r="K42" t="str">
            <v>JANK</v>
          </cell>
          <cell r="M42" t="str">
            <v>A</v>
          </cell>
          <cell r="N42">
            <v>1</v>
          </cell>
          <cell r="O42" t="str">
            <v/>
          </cell>
          <cell r="Q42" t="str">
            <v>ＪＡＮコードの種類　</v>
          </cell>
        </row>
        <row r="43">
          <cell r="B43">
            <v>44</v>
          </cell>
          <cell r="C43" t="str">
            <v>ＭＴ作成日</v>
          </cell>
          <cell r="K43" t="str">
            <v>MTAD</v>
          </cell>
          <cell r="M43" t="str">
            <v>A</v>
          </cell>
          <cell r="N43">
            <v>6</v>
          </cell>
          <cell r="O43" t="str">
            <v/>
          </cell>
          <cell r="Q43" t="str">
            <v>磁気テープを作成した日付、西暦年の下2桁と月日</v>
          </cell>
        </row>
        <row r="44">
          <cell r="B44">
            <v>45</v>
          </cell>
          <cell r="C44" t="str">
            <v>ＭＴ作成年月日</v>
          </cell>
          <cell r="K44" t="str">
            <v>MTD1</v>
          </cell>
          <cell r="M44" t="str">
            <v>A</v>
          </cell>
          <cell r="N44">
            <v>15</v>
          </cell>
          <cell r="O44" t="str">
            <v/>
          </cell>
          <cell r="Q44" t="str">
            <v>西暦（ＹＹＹＹＭＭＤＤ）</v>
          </cell>
        </row>
        <row r="45">
          <cell r="B45">
            <v>46</v>
          </cell>
          <cell r="C45" t="str">
            <v>ＭＴ処理年月日</v>
          </cell>
          <cell r="K45" t="str">
            <v>MTD2</v>
          </cell>
          <cell r="M45" t="str">
            <v>A</v>
          </cell>
          <cell r="N45">
            <v>25</v>
          </cell>
          <cell r="O45" t="str">
            <v/>
          </cell>
          <cell r="Q45" t="str">
            <v>オールＺＥＲＯ、西暦（ＹＹＹＹＭＭＤＤ）</v>
          </cell>
        </row>
        <row r="46">
          <cell r="B46">
            <v>47</v>
          </cell>
          <cell r="C46" t="str">
            <v>ＮＥＴ抽出ステータス</v>
          </cell>
          <cell r="K46" t="str">
            <v>NTST</v>
          </cell>
          <cell r="M46" t="str">
            <v>A</v>
          </cell>
          <cell r="N46">
            <v>2</v>
          </cell>
          <cell r="O46" t="str">
            <v/>
          </cell>
          <cell r="Q46" t="str">
            <v>００：初期値、０１：抽出済、０２：ＣＤの場合仮抽出、０３：ＮＥＴの場合仮抽出、１０：再抽出待ち、２ｘ：業務エラー各種、５ｘ：システム系エラー各種</v>
          </cell>
        </row>
        <row r="47">
          <cell r="B47">
            <v>48</v>
          </cell>
          <cell r="C47" t="str">
            <v>ＮＥＴ抽出処理日時</v>
          </cell>
          <cell r="K47" t="str">
            <v>NTCT</v>
          </cell>
          <cell r="M47" t="str">
            <v>S</v>
          </cell>
          <cell r="N47">
            <v>14</v>
          </cell>
          <cell r="O47" t="str">
            <v/>
          </cell>
          <cell r="Q47" t="str">
            <v>抽出ステータスを更新した日時</v>
          </cell>
        </row>
        <row r="48">
          <cell r="B48">
            <v>49</v>
          </cell>
          <cell r="C48" t="str">
            <v>ＮＧ件数</v>
          </cell>
          <cell r="K48" t="str">
            <v>NGKS</v>
          </cell>
          <cell r="M48" t="str">
            <v>S</v>
          </cell>
          <cell r="N48">
            <v>7</v>
          </cell>
          <cell r="O48" t="str">
            <v/>
          </cell>
          <cell r="Q48" t="str">
            <v>オールＺＥＲ０、有効性結果「１」件数</v>
          </cell>
        </row>
        <row r="49">
          <cell r="B49">
            <v>50</v>
          </cell>
          <cell r="C49" t="str">
            <v>ＯＫ件数</v>
          </cell>
          <cell r="K49" t="str">
            <v>OKKS</v>
          </cell>
          <cell r="M49" t="str">
            <v>S</v>
          </cell>
          <cell r="N49">
            <v>7</v>
          </cell>
          <cell r="O49" t="str">
            <v/>
          </cell>
          <cell r="Q49" t="str">
            <v>オールＺＥＲ０、有効性結果「０」件数</v>
          </cell>
        </row>
        <row r="50">
          <cell r="B50">
            <v>51</v>
          </cell>
          <cell r="C50" t="str">
            <v>ＰＯＰサーバーＩＤ</v>
          </cell>
          <cell r="K50" t="str">
            <v>PPSI</v>
          </cell>
          <cell r="L50" t="str">
            <v>PPSI</v>
          </cell>
          <cell r="M50" t="str">
            <v>A</v>
          </cell>
          <cell r="N50">
            <v>5</v>
          </cell>
          <cell r="O50" t="str">
            <v/>
          </cell>
          <cell r="Q50" t="str">
            <v>ＰＯＰサーバーＩＤ</v>
          </cell>
        </row>
        <row r="51">
          <cell r="B51">
            <v>52</v>
          </cell>
          <cell r="C51" t="str">
            <v>ＰＯＰサーバーアドレス</v>
          </cell>
          <cell r="K51" t="str">
            <v>PPSA</v>
          </cell>
          <cell r="L51" t="str">
            <v>POPSAD</v>
          </cell>
          <cell r="M51" t="str">
            <v>A</v>
          </cell>
          <cell r="N51">
            <v>64</v>
          </cell>
          <cell r="O51" t="str">
            <v/>
          </cell>
          <cell r="Q51" t="str">
            <v>ＰＯＰサーバーアドレス</v>
          </cell>
        </row>
        <row r="52">
          <cell r="B52">
            <v>53</v>
          </cell>
          <cell r="C52" t="str">
            <v>ＰＲＯＸＹサーバーＩＤ</v>
          </cell>
          <cell r="K52" t="str">
            <v>PXSI</v>
          </cell>
          <cell r="L52" t="str">
            <v>PXSVID</v>
          </cell>
          <cell r="M52" t="str">
            <v>A</v>
          </cell>
          <cell r="N52">
            <v>5</v>
          </cell>
          <cell r="O52" t="str">
            <v/>
          </cell>
          <cell r="Q52" t="str">
            <v>ＰＲＯＸＹサーバーＩＤ</v>
          </cell>
        </row>
        <row r="53">
          <cell r="B53">
            <v>54</v>
          </cell>
          <cell r="C53" t="str">
            <v>ＰＲＯＸＹサーバーアドレス</v>
          </cell>
          <cell r="K53" t="str">
            <v>PXSA</v>
          </cell>
          <cell r="L53" t="str">
            <v>PXSVAD</v>
          </cell>
          <cell r="M53" t="str">
            <v>A</v>
          </cell>
          <cell r="N53">
            <v>64</v>
          </cell>
          <cell r="O53" t="str">
            <v/>
          </cell>
          <cell r="Q53" t="str">
            <v>ＰＲＯＸＹサーバーアドレス</v>
          </cell>
        </row>
        <row r="54">
          <cell r="B54">
            <v>55</v>
          </cell>
          <cell r="C54" t="str">
            <v>ＰＲＯＸＹサーバー区分</v>
          </cell>
          <cell r="K54" t="str">
            <v>PXSK</v>
          </cell>
          <cell r="L54" t="str">
            <v>PXSVKB</v>
          </cell>
          <cell r="M54" t="str">
            <v>A</v>
          </cell>
          <cell r="N54">
            <v>2</v>
          </cell>
          <cell r="O54" t="str">
            <v/>
          </cell>
          <cell r="Q54" t="str">
            <v>１：通常、２：子供向け</v>
          </cell>
        </row>
        <row r="55">
          <cell r="B55">
            <v>56</v>
          </cell>
          <cell r="C55" t="str">
            <v>ＰＲＯＸＹ認証コード</v>
          </cell>
          <cell r="K55" t="str">
            <v>PXSC</v>
          </cell>
          <cell r="L55" t="str">
            <v>PXNSCD</v>
          </cell>
          <cell r="M55" t="str">
            <v>A</v>
          </cell>
          <cell r="N55">
            <v>50</v>
          </cell>
          <cell r="O55" t="str">
            <v/>
          </cell>
          <cell r="Q55" t="str">
            <v>ＰＲＯＸＹサーバー用認証コード</v>
          </cell>
        </row>
        <row r="56">
          <cell r="B56">
            <v>57</v>
          </cell>
          <cell r="C56" t="str">
            <v>ＲＥＣ－ＩＤ</v>
          </cell>
          <cell r="K56" t="str">
            <v>RECI</v>
          </cell>
          <cell r="M56" t="str">
            <v>A</v>
          </cell>
          <cell r="N56">
            <v>3</v>
          </cell>
          <cell r="O56" t="str">
            <v/>
          </cell>
          <cell r="Q56" t="str">
            <v>"URH"固定</v>
          </cell>
        </row>
        <row r="57">
          <cell r="B57">
            <v>58</v>
          </cell>
          <cell r="C57" t="str">
            <v>ＳＭＴＰサーバーＩＤ</v>
          </cell>
          <cell r="K57" t="str">
            <v>SMPI</v>
          </cell>
          <cell r="L57" t="str">
            <v>SMPI</v>
          </cell>
          <cell r="M57" t="str">
            <v>A</v>
          </cell>
          <cell r="N57">
            <v>5</v>
          </cell>
          <cell r="O57" t="str">
            <v/>
          </cell>
          <cell r="Q57" t="str">
            <v>ＳＭＴＰサーバーＩＤ</v>
          </cell>
        </row>
        <row r="58">
          <cell r="B58">
            <v>59</v>
          </cell>
          <cell r="C58" t="str">
            <v>ＳＭＴＰサーバーアドレス</v>
          </cell>
          <cell r="K58" t="str">
            <v>SMPA</v>
          </cell>
          <cell r="L58" t="str">
            <v>SMTPSA</v>
          </cell>
          <cell r="M58" t="str">
            <v>A</v>
          </cell>
          <cell r="N58">
            <v>64</v>
          </cell>
          <cell r="O58" t="str">
            <v/>
          </cell>
          <cell r="Q58" t="str">
            <v>ＳＭＴＰサーバーアドレス</v>
          </cell>
        </row>
        <row r="59">
          <cell r="B59">
            <v>60</v>
          </cell>
          <cell r="C59" t="str">
            <v>ＴＥＬ２</v>
          </cell>
          <cell r="K59" t="str">
            <v>TEL2</v>
          </cell>
          <cell r="L59" t="str">
            <v>TEL2</v>
          </cell>
          <cell r="M59" t="str">
            <v>A</v>
          </cell>
          <cell r="N59">
            <v>4</v>
          </cell>
          <cell r="O59" t="str">
            <v/>
          </cell>
          <cell r="Q59" t="str">
            <v>電話番号（局番）</v>
          </cell>
        </row>
        <row r="60">
          <cell r="B60">
            <v>61</v>
          </cell>
          <cell r="C60" t="str">
            <v>ＴＥＬ３</v>
          </cell>
          <cell r="K60" t="str">
            <v>TEL3</v>
          </cell>
          <cell r="L60" t="str">
            <v>TEL3</v>
          </cell>
          <cell r="M60" t="str">
            <v>A</v>
          </cell>
          <cell r="N60">
            <v>4</v>
          </cell>
          <cell r="O60" t="str">
            <v/>
          </cell>
          <cell r="Q60" t="str">
            <v>電話番号（下４桁）</v>
          </cell>
        </row>
        <row r="61">
          <cell r="B61">
            <v>62</v>
          </cell>
          <cell r="C61" t="str">
            <v>ＴＥＬ市外局番</v>
          </cell>
          <cell r="K61" t="str">
            <v>TEL1</v>
          </cell>
          <cell r="L61" t="str">
            <v>TEL1</v>
          </cell>
          <cell r="M61" t="str">
            <v>A</v>
          </cell>
          <cell r="N61">
            <v>7</v>
          </cell>
          <cell r="O61" t="str">
            <v/>
          </cell>
          <cell r="Q61" t="str">
            <v>電話番号（市外局番）</v>
          </cell>
        </row>
        <row r="62">
          <cell r="B62" t="str">
            <v>削除</v>
          </cell>
          <cell r="C62" t="str">
            <v>ＴＥＬ番号</v>
          </cell>
          <cell r="K62" t="str">
            <v>TELB</v>
          </cell>
          <cell r="L62" t="str">
            <v>TELB</v>
          </cell>
          <cell r="M62" t="str">
            <v>A</v>
          </cell>
          <cell r="N62">
            <v>14</v>
          </cell>
          <cell r="O62" t="str">
            <v/>
          </cell>
          <cell r="Q62" t="str">
            <v>電話番号（ハイフン無し）：６３</v>
          </cell>
        </row>
        <row r="63">
          <cell r="B63">
            <v>64</v>
          </cell>
          <cell r="C63" t="str">
            <v>ＴＯＰディレクトリ名</v>
          </cell>
          <cell r="K63" t="str">
            <v>DIRN</v>
          </cell>
          <cell r="L63" t="str">
            <v>TPDRNM</v>
          </cell>
          <cell r="M63" t="str">
            <v>A</v>
          </cell>
          <cell r="N63">
            <v>32</v>
          </cell>
          <cell r="O63" t="str">
            <v/>
          </cell>
          <cell r="Q63" t="str">
            <v>ディレクトリ(フルパスでファイル名を含む)</v>
          </cell>
        </row>
        <row r="64">
          <cell r="B64">
            <v>65</v>
          </cell>
          <cell r="C64" t="str">
            <v>ＵＲＬ</v>
          </cell>
          <cell r="K64" t="str">
            <v>URLN</v>
          </cell>
          <cell r="L64" t="str">
            <v>URLN</v>
          </cell>
          <cell r="M64" t="str">
            <v>A</v>
          </cell>
          <cell r="N64">
            <v>128</v>
          </cell>
          <cell r="O64" t="str">
            <v/>
          </cell>
          <cell r="Q64" t="str">
            <v>６４がアクセスするＵＲＬ 自動採番  (仮想ＵＲＬ）</v>
          </cell>
        </row>
        <row r="65">
          <cell r="B65">
            <v>66</v>
          </cell>
          <cell r="C65" t="str">
            <v>ＵＲＬ実体</v>
          </cell>
          <cell r="K65" t="str">
            <v>URLJ</v>
          </cell>
          <cell r="L65" t="str">
            <v>URLJIT</v>
          </cell>
          <cell r="M65" t="str">
            <v>A</v>
          </cell>
          <cell r="N65">
            <v>128</v>
          </cell>
          <cell r="O65" t="str">
            <v/>
          </cell>
          <cell r="Q65" t="str">
            <v>コンテンツが実際に存在するＵＲＬ</v>
          </cell>
        </row>
        <row r="66">
          <cell r="B66">
            <v>67</v>
          </cell>
          <cell r="C66" t="str">
            <v>アクセスＩＤ区分</v>
          </cell>
          <cell r="K66" t="str">
            <v>ACID</v>
          </cell>
          <cell r="L66" t="str">
            <v>ACID</v>
          </cell>
          <cell r="M66" t="str">
            <v>A</v>
          </cell>
          <cell r="N66">
            <v>1</v>
          </cell>
          <cell r="O66" t="str">
            <v/>
          </cell>
          <cell r="Q66" t="str">
            <v>１：商品コード、２：メールサービスＩＤ</v>
          </cell>
        </row>
        <row r="67">
          <cell r="B67">
            <v>70</v>
          </cell>
          <cell r="C67" t="str">
            <v>アクセス権区分</v>
          </cell>
          <cell r="K67" t="str">
            <v>ACKK</v>
          </cell>
          <cell r="L67" t="str">
            <v>ACKNKB</v>
          </cell>
          <cell r="M67" t="str">
            <v>A</v>
          </cell>
          <cell r="N67">
            <v>1</v>
          </cell>
          <cell r="O67" t="str">
            <v/>
          </cell>
          <cell r="Q67" t="str">
            <v>１：期間権、２：回数券</v>
          </cell>
        </row>
        <row r="68">
          <cell r="B68">
            <v>72</v>
          </cell>
          <cell r="C68" t="str">
            <v>エラー件数</v>
          </cell>
          <cell r="K68" t="str">
            <v>ERRS</v>
          </cell>
          <cell r="M68" t="str">
            <v>S</v>
          </cell>
          <cell r="N68">
            <v>7</v>
          </cell>
          <cell r="O68" t="str">
            <v/>
          </cell>
          <cell r="Q68" t="str">
            <v>オールＺＥＲ０、有効性結果「２」件数</v>
          </cell>
        </row>
        <row r="69">
          <cell r="B69">
            <v>73</v>
          </cell>
          <cell r="C69" t="str">
            <v>エンド番号</v>
          </cell>
          <cell r="K69" t="str">
            <v>EDBG</v>
          </cell>
          <cell r="M69" t="str">
            <v>S</v>
          </cell>
          <cell r="N69">
            <v>9</v>
          </cell>
          <cell r="O69" t="str">
            <v/>
          </cell>
          <cell r="Q69" t="str">
            <v>エンドの番号</v>
          </cell>
        </row>
        <row r="70">
          <cell r="B70">
            <v>75</v>
          </cell>
          <cell r="C70" t="str">
            <v>カード会社コード</v>
          </cell>
          <cell r="K70" t="str">
            <v>CDKC</v>
          </cell>
          <cell r="M70" t="str">
            <v>S</v>
          </cell>
          <cell r="N70">
            <v>5</v>
          </cell>
          <cell r="O70" t="str">
            <v/>
          </cell>
          <cell r="Q70" t="str">
            <v>クレジット先指定コード</v>
          </cell>
        </row>
        <row r="71">
          <cell r="B71">
            <v>76</v>
          </cell>
          <cell r="C71" t="str">
            <v>カード会社区分</v>
          </cell>
          <cell r="K71" t="str">
            <v>CDKK</v>
          </cell>
          <cell r="M71" t="str">
            <v>A</v>
          </cell>
          <cell r="N71">
            <v>3</v>
          </cell>
          <cell r="O71" t="str">
            <v/>
          </cell>
          <cell r="Q71" t="str">
            <v>カード会社を識別する区分</v>
          </cell>
        </row>
        <row r="72">
          <cell r="B72">
            <v>77</v>
          </cell>
          <cell r="C72" t="str">
            <v>カテゴリー</v>
          </cell>
          <cell r="K72" t="str">
            <v>CABU</v>
          </cell>
          <cell r="M72" t="str">
            <v>A</v>
          </cell>
          <cell r="N72">
            <v>2</v>
          </cell>
          <cell r="O72" t="str">
            <v/>
          </cell>
          <cell r="Q72" t="str">
            <v>商品情報の商品カテゴリ</v>
          </cell>
        </row>
        <row r="73">
          <cell r="B73">
            <v>78</v>
          </cell>
          <cell r="C73" t="str">
            <v>クレジットカード番号</v>
          </cell>
          <cell r="K73" t="str">
            <v>CRBG</v>
          </cell>
          <cell r="L73" t="str">
            <v>CRBG</v>
          </cell>
          <cell r="M73" t="str">
            <v>A</v>
          </cell>
          <cell r="N73">
            <v>16</v>
          </cell>
          <cell r="O73" t="str">
            <v/>
          </cell>
          <cell r="Q73" t="str">
            <v>クレジットカード番号</v>
          </cell>
        </row>
        <row r="74">
          <cell r="B74">
            <v>82</v>
          </cell>
          <cell r="C74" t="str">
            <v>クレジットカード有効期限</v>
          </cell>
          <cell r="K74" t="str">
            <v>CRYD</v>
          </cell>
          <cell r="L74" t="str">
            <v>CRYD</v>
          </cell>
          <cell r="M74" t="str">
            <v>S</v>
          </cell>
          <cell r="N74">
            <v>6</v>
          </cell>
          <cell r="O74" t="str">
            <v/>
          </cell>
          <cell r="Q74" t="str">
            <v>西暦</v>
          </cell>
        </row>
        <row r="75">
          <cell r="B75">
            <v>83</v>
          </cell>
          <cell r="C75" t="str">
            <v>クレジットパスワード</v>
          </cell>
          <cell r="K75" t="str">
            <v>CRPS</v>
          </cell>
          <cell r="L75" t="str">
            <v>CRPS</v>
          </cell>
          <cell r="M75" t="str">
            <v>A</v>
          </cell>
          <cell r="N75">
            <v>4</v>
          </cell>
          <cell r="O75" t="str">
            <v/>
          </cell>
          <cell r="Q75" t="str">
            <v>クレジットパスワード</v>
          </cell>
        </row>
        <row r="76">
          <cell r="B76">
            <v>84</v>
          </cell>
          <cell r="C76" t="str">
            <v>商品説明文２</v>
          </cell>
          <cell r="K76" t="str">
            <v>SHN2</v>
          </cell>
          <cell r="L76" t="str">
            <v>SHN2</v>
          </cell>
          <cell r="M76" t="str">
            <v>O</v>
          </cell>
          <cell r="N76">
            <v>72</v>
          </cell>
          <cell r="O76" t="str">
            <v/>
          </cell>
          <cell r="Q76" t="str">
            <v>商品説明文（ＤＤＷ用）</v>
          </cell>
        </row>
        <row r="77">
          <cell r="B77">
            <v>87</v>
          </cell>
          <cell r="C77" t="str">
            <v>コンテンツタイプ</v>
          </cell>
          <cell r="K77" t="str">
            <v>CNＴY</v>
          </cell>
          <cell r="L77" t="str">
            <v>CNＴYP</v>
          </cell>
          <cell r="M77" t="str">
            <v>A</v>
          </cell>
          <cell r="N77">
            <v>2</v>
          </cell>
          <cell r="O77" t="str">
            <v/>
          </cell>
          <cell r="Q77" t="str">
            <v>ＤＬ：ダウンロード、ＢＲ：ブラウジング、ＤＴ：通信メニュー、ＤＳ：６４ＤＤ用設定ファイル、ＤＰ：６４ＤＤ用プログラム、ＭＭ：ＤＤＷデモ、ＷＣ：ＤＤＷチケットＤＩＳＫＭＡＰ、ＷＰ：ＤＤＷプログラム</v>
          </cell>
        </row>
        <row r="78">
          <cell r="B78">
            <v>88</v>
          </cell>
          <cell r="C78" t="str">
            <v>コンテンツトランザクション№</v>
          </cell>
          <cell r="K78" t="str">
            <v>CNTN</v>
          </cell>
          <cell r="L78" t="str">
            <v>TRNSNO</v>
          </cell>
          <cell r="M78" t="str">
            <v>A</v>
          </cell>
          <cell r="N78">
            <v>10</v>
          </cell>
          <cell r="O78" t="str">
            <v/>
          </cell>
          <cell r="Q78" t="str">
            <v>商品売上利用実績Ｎｏ</v>
          </cell>
        </row>
        <row r="79">
          <cell r="B79">
            <v>90</v>
          </cell>
          <cell r="C79" t="str">
            <v>ＤＤＷ配信バージョンコンテンツ</v>
          </cell>
          <cell r="K79" t="str">
            <v>DVCN</v>
          </cell>
          <cell r="L79" t="str">
            <v>DHVCN</v>
          </cell>
          <cell r="M79" t="str">
            <v>A</v>
          </cell>
          <cell r="N79">
            <v>10</v>
          </cell>
          <cell r="O79" t="str">
            <v/>
          </cell>
          <cell r="Q79" t="str">
            <v>ＤＤＷへ配信するコンテンツのバージョン。Cyyyymmddn</v>
          </cell>
        </row>
        <row r="80">
          <cell r="B80">
            <v>91</v>
          </cell>
          <cell r="C80" t="str">
            <v>ＤＤＷ配信バージョンコンテンツ更新日時</v>
          </cell>
          <cell r="K80" t="str">
            <v>DVCD</v>
          </cell>
          <cell r="L80" t="str">
            <v>DHVCUT</v>
          </cell>
          <cell r="M80" t="str">
            <v>S</v>
          </cell>
          <cell r="N80">
            <v>14</v>
          </cell>
          <cell r="O80" t="str">
            <v/>
          </cell>
          <cell r="Q80" t="str">
            <v>ＤＤＷで更新完了した日時。ＤＤＷの電文からセット。</v>
          </cell>
        </row>
        <row r="81">
          <cell r="B81">
            <v>92</v>
          </cell>
          <cell r="C81" t="str">
            <v>コンテンツ区分</v>
          </cell>
          <cell r="K81" t="str">
            <v>CNTK</v>
          </cell>
          <cell r="M81" t="str">
            <v>A</v>
          </cell>
          <cell r="N81">
            <v>1</v>
          </cell>
          <cell r="O81" t="str">
            <v/>
          </cell>
          <cell r="Q81" t="str">
            <v>１：ＤＬ、２： ブラウジング</v>
          </cell>
        </row>
        <row r="82">
          <cell r="B82">
            <v>93</v>
          </cell>
          <cell r="C82" t="str">
            <v>コンテンツ受け入れステータス</v>
          </cell>
          <cell r="K82" t="str">
            <v>CNUS</v>
          </cell>
          <cell r="M82" t="str">
            <v>A</v>
          </cell>
          <cell r="N82">
            <v>2</v>
          </cell>
          <cell r="O82" t="str">
            <v/>
          </cell>
          <cell r="Q82" t="str">
            <v>００：初期値、０１：受け入れ済、１０：再受け入れ待ち、２ｘ：業務エラー各種、５ｘ：システム系エラー各種</v>
          </cell>
        </row>
        <row r="83">
          <cell r="B83">
            <v>94</v>
          </cell>
          <cell r="C83" t="str">
            <v>コンテンツ受け入れ処理日時</v>
          </cell>
          <cell r="K83" t="str">
            <v>CNDT</v>
          </cell>
          <cell r="M83" t="str">
            <v>S</v>
          </cell>
          <cell r="N83">
            <v>14</v>
          </cell>
          <cell r="O83" t="str">
            <v/>
          </cell>
          <cell r="Q83" t="str">
            <v>受け入れステータスを更新した日時</v>
          </cell>
        </row>
        <row r="84">
          <cell r="B84">
            <v>95</v>
          </cell>
          <cell r="C84" t="str">
            <v>コンテンツ提供者メールアドレス</v>
          </cell>
          <cell r="K84" t="str">
            <v>CNMA</v>
          </cell>
          <cell r="L84" t="str">
            <v>CTTKAD</v>
          </cell>
          <cell r="M84" t="str">
            <v>A</v>
          </cell>
          <cell r="N84">
            <v>64</v>
          </cell>
          <cell r="O84" t="str">
            <v/>
          </cell>
          <cell r="Q84" t="str">
            <v>メールコンテンツのコンテンツ提供者メールアドレス</v>
          </cell>
        </row>
        <row r="85">
          <cell r="B85">
            <v>96</v>
          </cell>
          <cell r="C85" t="str">
            <v>コンテンツ提供者会員ＩＤ１</v>
          </cell>
          <cell r="K85" t="str">
            <v>CNK1</v>
          </cell>
          <cell r="L85" t="str">
            <v>CTKID1</v>
          </cell>
          <cell r="M85" t="str">
            <v>A</v>
          </cell>
          <cell r="N85">
            <v>8</v>
          </cell>
          <cell r="O85" t="str">
            <v/>
          </cell>
          <cell r="Q85" t="str">
            <v>ブラウジングコンテンツ事前確認用ＩＤ。会員ＩＤ、枝番、カード連番</v>
          </cell>
        </row>
        <row r="86">
          <cell r="B86">
            <v>97</v>
          </cell>
          <cell r="C86" t="str">
            <v>サービスＩＤ</v>
          </cell>
          <cell r="K86" t="str">
            <v>SDID</v>
          </cell>
          <cell r="L86" t="str">
            <v>SDID</v>
          </cell>
          <cell r="M86" t="str">
            <v>A</v>
          </cell>
          <cell r="N86">
            <v>4</v>
          </cell>
          <cell r="O86" t="str">
            <v/>
          </cell>
          <cell r="Q86" t="str">
            <v>ゲームタイトルＩＤ等</v>
          </cell>
        </row>
        <row r="87">
          <cell r="B87">
            <v>99</v>
          </cell>
          <cell r="C87" t="str">
            <v>サービス開始時刻</v>
          </cell>
          <cell r="K87" t="str">
            <v>SBST</v>
          </cell>
          <cell r="L87" t="str">
            <v>SBST</v>
          </cell>
          <cell r="M87" t="str">
            <v>S</v>
          </cell>
          <cell r="N87">
            <v>6</v>
          </cell>
          <cell r="O87" t="str">
            <v/>
          </cell>
          <cell r="Q87" t="str">
            <v>期間権（特定期間）</v>
          </cell>
        </row>
        <row r="88">
          <cell r="B88">
            <v>100</v>
          </cell>
          <cell r="C88" t="str">
            <v>サービス終了時刻</v>
          </cell>
          <cell r="K88" t="str">
            <v>SBET</v>
          </cell>
          <cell r="L88" t="str">
            <v>SBET</v>
          </cell>
          <cell r="M88" t="str">
            <v>S</v>
          </cell>
          <cell r="N88">
            <v>6</v>
          </cell>
          <cell r="O88" t="str">
            <v/>
          </cell>
          <cell r="Q88" t="str">
            <v>期間権（特定期間）</v>
          </cell>
        </row>
        <row r="89">
          <cell r="B89">
            <v>101</v>
          </cell>
          <cell r="C89" t="str">
            <v>サービス無効開始日付</v>
          </cell>
          <cell r="K89" t="str">
            <v>SBMD</v>
          </cell>
          <cell r="M89" t="str">
            <v>S</v>
          </cell>
          <cell r="N89">
            <v>8</v>
          </cell>
          <cell r="O89" t="str">
            <v/>
          </cell>
          <cell r="Q89" t="str">
            <v>サービスを無効にした日付</v>
          </cell>
        </row>
        <row r="90">
          <cell r="B90">
            <v>102</v>
          </cell>
          <cell r="C90" t="str">
            <v>サービス無効区分</v>
          </cell>
          <cell r="K90" t="str">
            <v>SBMK</v>
          </cell>
          <cell r="M90" t="str">
            <v>A</v>
          </cell>
          <cell r="N90">
            <v>1</v>
          </cell>
          <cell r="O90" t="str">
            <v/>
          </cell>
          <cell r="Q90" t="str">
            <v>１：無効</v>
          </cell>
        </row>
        <row r="91">
          <cell r="B91">
            <v>103</v>
          </cell>
          <cell r="C91" t="str">
            <v>サービス無効理由区分</v>
          </cell>
          <cell r="K91" t="str">
            <v>SBMR</v>
          </cell>
          <cell r="M91" t="str">
            <v>A</v>
          </cell>
          <cell r="N91">
            <v>2</v>
          </cell>
          <cell r="O91" t="str">
            <v/>
          </cell>
          <cell r="Q91" t="str">
            <v>サービスを無効にした理由コード</v>
          </cell>
        </row>
        <row r="92">
          <cell r="B92">
            <v>104</v>
          </cell>
          <cell r="C92" t="str">
            <v>サービス名</v>
          </cell>
          <cell r="K92" t="str">
            <v>SBNM</v>
          </cell>
          <cell r="M92" t="str">
            <v>O</v>
          </cell>
          <cell r="N92">
            <v>72</v>
          </cell>
          <cell r="O92" t="str">
            <v/>
          </cell>
          <cell r="Q92" t="str">
            <v>サービスＩＤ名</v>
          </cell>
        </row>
        <row r="93">
          <cell r="B93">
            <v>105</v>
          </cell>
          <cell r="C93" t="str">
            <v>サービス料トランザクション№</v>
          </cell>
          <cell r="K93" t="str">
            <v>SBTN</v>
          </cell>
          <cell r="L93" t="str">
            <v>TRNSNO</v>
          </cell>
          <cell r="M93" t="str">
            <v>A</v>
          </cell>
          <cell r="N93">
            <v>9</v>
          </cell>
          <cell r="O93" t="str">
            <v/>
          </cell>
          <cell r="Q93" t="str">
            <v>サービス料金売上実績Ｎｏ</v>
          </cell>
        </row>
        <row r="94">
          <cell r="B94">
            <v>106</v>
          </cell>
          <cell r="C94" t="str">
            <v>サービス料金コード</v>
          </cell>
          <cell r="K94" t="str">
            <v>SBRC</v>
          </cell>
          <cell r="L94" t="str">
            <v>SVRYCD</v>
          </cell>
          <cell r="M94" t="str">
            <v>A</v>
          </cell>
          <cell r="N94">
            <v>3</v>
          </cell>
          <cell r="O94" t="str">
            <v/>
          </cell>
          <cell r="Q94" t="str">
            <v>サービス料金をユニークにするコード</v>
          </cell>
        </row>
        <row r="95">
          <cell r="B95">
            <v>107</v>
          </cell>
          <cell r="C95" t="str">
            <v>サービス料金コード３</v>
          </cell>
          <cell r="K95" t="str">
            <v>SRK3</v>
          </cell>
          <cell r="L95" t="str">
            <v>SVRYC3</v>
          </cell>
          <cell r="M95" t="str">
            <v>A</v>
          </cell>
          <cell r="N95">
            <v>3</v>
          </cell>
          <cell r="O95" t="str">
            <v/>
          </cell>
          <cell r="Q95" t="str">
            <v>サービス料金をユニークにするコード</v>
          </cell>
        </row>
        <row r="96">
          <cell r="B96">
            <v>108</v>
          </cell>
          <cell r="C96" t="str">
            <v>サービス料金コード４</v>
          </cell>
          <cell r="K96" t="str">
            <v>SRC4</v>
          </cell>
          <cell r="L96" t="str">
            <v>SVRYC4</v>
          </cell>
          <cell r="M96" t="str">
            <v>A</v>
          </cell>
          <cell r="N96">
            <v>3</v>
          </cell>
          <cell r="O96" t="str">
            <v/>
          </cell>
          <cell r="Q96" t="str">
            <v>サービス料金をユニークにするコード</v>
          </cell>
        </row>
        <row r="97">
          <cell r="B97">
            <v>109</v>
          </cell>
          <cell r="C97" t="str">
            <v>サービス料金コード５</v>
          </cell>
          <cell r="K97" t="str">
            <v>SRC5</v>
          </cell>
          <cell r="L97" t="str">
            <v>SVRYC5</v>
          </cell>
          <cell r="M97" t="str">
            <v>A</v>
          </cell>
          <cell r="N97">
            <v>3</v>
          </cell>
          <cell r="O97" t="str">
            <v/>
          </cell>
          <cell r="Q97" t="str">
            <v>サービス料金をユニークにするコード</v>
          </cell>
        </row>
        <row r="98">
          <cell r="B98">
            <v>110</v>
          </cell>
          <cell r="C98" t="str">
            <v>サービス料金名</v>
          </cell>
          <cell r="K98" t="str">
            <v>SBRN</v>
          </cell>
          <cell r="M98" t="str">
            <v>O</v>
          </cell>
          <cell r="N98">
            <v>42</v>
          </cell>
          <cell r="O98" t="str">
            <v/>
          </cell>
          <cell r="Q98" t="str">
            <v>サービス料金名</v>
          </cell>
        </row>
        <row r="99">
          <cell r="B99">
            <v>111</v>
          </cell>
          <cell r="C99" t="str">
            <v>サービス料金名カナ</v>
          </cell>
          <cell r="K99" t="str">
            <v>SBRM</v>
          </cell>
          <cell r="M99" t="str">
            <v>A</v>
          </cell>
          <cell r="N99">
            <v>20</v>
          </cell>
          <cell r="O99" t="str">
            <v/>
          </cell>
          <cell r="Q99" t="str">
            <v>サービス料金名カナ</v>
          </cell>
        </row>
        <row r="100">
          <cell r="B100">
            <v>112</v>
          </cell>
          <cell r="C100" t="str">
            <v>サービス料金略称名</v>
          </cell>
          <cell r="K100" t="str">
            <v>SBRR</v>
          </cell>
          <cell r="M100" t="str">
            <v>O</v>
          </cell>
          <cell r="N100">
            <v>22</v>
          </cell>
          <cell r="O100" t="str">
            <v/>
          </cell>
          <cell r="Q100" t="str">
            <v>料金略称名</v>
          </cell>
        </row>
        <row r="101">
          <cell r="B101">
            <v>113</v>
          </cell>
          <cell r="C101" t="str">
            <v>ジャンル区分</v>
          </cell>
          <cell r="K101" t="str">
            <v>JRNK</v>
          </cell>
          <cell r="M101" t="str">
            <v>A</v>
          </cell>
          <cell r="N101">
            <v>2</v>
          </cell>
          <cell r="O101" t="str">
            <v/>
          </cell>
          <cell r="Q101" t="str">
            <v>サービスＩＤ情報のジャンルを分類する区分。１０：ＲＰＧ、２０：バトル</v>
          </cell>
        </row>
        <row r="102">
          <cell r="B102">
            <v>114</v>
          </cell>
          <cell r="C102" t="str">
            <v>スターターキット引渡可能日付</v>
          </cell>
          <cell r="K102" t="str">
            <v>STHD</v>
          </cell>
          <cell r="M102" t="str">
            <v>S</v>
          </cell>
          <cell r="N102">
            <v>8</v>
          </cell>
          <cell r="O102" t="str">
            <v/>
          </cell>
          <cell r="Q102" t="str">
            <v>西暦 ＪＢＬ</v>
          </cell>
        </row>
        <row r="103">
          <cell r="B103">
            <v>115</v>
          </cell>
          <cell r="C103" t="str">
            <v>スタート番号</v>
          </cell>
          <cell r="K103" t="str">
            <v>STBG</v>
          </cell>
          <cell r="M103" t="str">
            <v>S</v>
          </cell>
          <cell r="N103">
            <v>9</v>
          </cell>
          <cell r="O103" t="str">
            <v/>
          </cell>
          <cell r="Q103" t="str">
            <v>スタートの番号</v>
          </cell>
        </row>
        <row r="104">
          <cell r="B104">
            <v>116</v>
          </cell>
          <cell r="C104" t="str">
            <v>ステータス</v>
          </cell>
          <cell r="K104" t="str">
            <v>STUS</v>
          </cell>
          <cell r="L104" t="str">
            <v>STATUS</v>
          </cell>
          <cell r="M104" t="str">
            <v>A</v>
          </cell>
          <cell r="N104">
            <v>256</v>
          </cell>
          <cell r="O104" t="str">
            <v/>
          </cell>
          <cell r="Q104" t="str">
            <v>ＤＤＷ周辺機器のステータス、集配信電文からセット</v>
          </cell>
        </row>
        <row r="105">
          <cell r="B105">
            <v>117</v>
          </cell>
          <cell r="C105" t="str">
            <v>ステータス更新日時</v>
          </cell>
          <cell r="K105" t="str">
            <v>STUD</v>
          </cell>
          <cell r="L105" t="str">
            <v>STUPDT</v>
          </cell>
          <cell r="M105" t="str">
            <v>S</v>
          </cell>
          <cell r="N105">
            <v>14</v>
          </cell>
          <cell r="O105" t="str">
            <v/>
          </cell>
          <cell r="Q105" t="str">
            <v>ＤＤＷでＤＤＷ周辺機器のステータスを更新した日時</v>
          </cell>
        </row>
        <row r="106">
          <cell r="B106">
            <v>136</v>
          </cell>
          <cell r="C106" t="str">
            <v>ダブリチェックフィールド</v>
          </cell>
          <cell r="K106" t="str">
            <v>WCHF</v>
          </cell>
          <cell r="M106" t="str">
            <v>A</v>
          </cell>
          <cell r="N106">
            <v>10</v>
          </cell>
          <cell r="O106" t="str">
            <v/>
          </cell>
          <cell r="Q106" t="str">
            <v>ＰＯＳデータのチェック</v>
          </cell>
        </row>
        <row r="107">
          <cell r="B107">
            <v>137</v>
          </cell>
          <cell r="C107" t="str">
            <v>チケットＩＤ</v>
          </cell>
          <cell r="K107" t="str">
            <v>CKTI</v>
          </cell>
          <cell r="L107" t="str">
            <v>CKTI</v>
          </cell>
          <cell r="M107" t="str">
            <v>A</v>
          </cell>
          <cell r="N107">
            <v>5</v>
          </cell>
          <cell r="O107" t="str">
            <v/>
          </cell>
          <cell r="Q107" t="str">
            <v>アクセス権をユニークにするコード</v>
          </cell>
        </row>
        <row r="108">
          <cell r="B108">
            <v>138</v>
          </cell>
          <cell r="C108" t="str">
            <v>ディレクトリ</v>
          </cell>
          <cell r="K108" t="str">
            <v>DRNM</v>
          </cell>
          <cell r="L108" t="str">
            <v>DIRECT</v>
          </cell>
          <cell r="M108" t="str">
            <v>A</v>
          </cell>
          <cell r="N108">
            <v>128</v>
          </cell>
          <cell r="O108" t="str">
            <v/>
          </cell>
          <cell r="Q108" t="str">
            <v>ダウンロードコンテンツのＷｅｂサーバー上のディレクトリーパス</v>
          </cell>
        </row>
        <row r="109">
          <cell r="B109">
            <v>141</v>
          </cell>
          <cell r="C109" t="str">
            <v>ディレクトリ（サービスサーバー）</v>
          </cell>
          <cell r="K109" t="str">
            <v>DRSS</v>
          </cell>
          <cell r="L109" t="str">
            <v>DSVCSV</v>
          </cell>
          <cell r="M109" t="str">
            <v>A</v>
          </cell>
          <cell r="N109">
            <v>128</v>
          </cell>
          <cell r="O109" t="str">
            <v/>
          </cell>
          <cell r="Q109" t="str">
            <v>コンテンツを置くサービスサーバー上のディレクトリ 自動採番</v>
          </cell>
        </row>
        <row r="110">
          <cell r="B110">
            <v>142</v>
          </cell>
          <cell r="C110" t="str">
            <v>データ区分</v>
          </cell>
          <cell r="K110" t="str">
            <v>DTAK</v>
          </cell>
          <cell r="M110" t="str">
            <v>S</v>
          </cell>
          <cell r="N110">
            <v>1</v>
          </cell>
          <cell r="O110" t="str">
            <v/>
          </cell>
          <cell r="Q110" t="str">
            <v>ＦＩ×１でヘッダーレコードをあらわす</v>
          </cell>
        </row>
        <row r="111">
          <cell r="B111">
            <v>143</v>
          </cell>
          <cell r="C111" t="str">
            <v>データ件数</v>
          </cell>
          <cell r="K111" t="str">
            <v>DAKS</v>
          </cell>
          <cell r="M111" t="str">
            <v>S</v>
          </cell>
          <cell r="N111">
            <v>5</v>
          </cell>
          <cell r="O111" t="str">
            <v/>
          </cell>
          <cell r="Q111" t="str">
            <v>ＰＯＳトレーラー件数</v>
          </cell>
        </row>
        <row r="112">
          <cell r="B112">
            <v>144</v>
          </cell>
          <cell r="C112" t="str">
            <v>データ作成日時</v>
          </cell>
          <cell r="K112" t="str">
            <v>DAAD</v>
          </cell>
          <cell r="M112" t="str">
            <v>S</v>
          </cell>
          <cell r="N112">
            <v>8</v>
          </cell>
          <cell r="O112" t="str">
            <v/>
          </cell>
          <cell r="Q112" t="str">
            <v>ＰＯＳ作成日時</v>
          </cell>
        </row>
        <row r="113">
          <cell r="B113">
            <v>145</v>
          </cell>
          <cell r="C113" t="str">
            <v>データ種別</v>
          </cell>
          <cell r="K113" t="str">
            <v>DASY</v>
          </cell>
          <cell r="M113" t="str">
            <v>A</v>
          </cell>
          <cell r="N113">
            <v>2</v>
          </cell>
          <cell r="O113" t="str">
            <v/>
          </cell>
          <cell r="Q113" t="str">
            <v>ＰＯＳデータ種別</v>
          </cell>
        </row>
        <row r="114">
          <cell r="B114">
            <v>146</v>
          </cell>
          <cell r="C114" t="str">
            <v>データ種類</v>
          </cell>
          <cell r="K114" t="str">
            <v>DASU</v>
          </cell>
          <cell r="M114" t="str">
            <v>A</v>
          </cell>
          <cell r="N114">
            <v>1</v>
          </cell>
          <cell r="O114" t="str">
            <v/>
          </cell>
          <cell r="Q114" t="str">
            <v>ＰＯＳデータ種類</v>
          </cell>
        </row>
        <row r="115">
          <cell r="B115">
            <v>147</v>
          </cell>
          <cell r="C115" t="str">
            <v>データ日付</v>
          </cell>
          <cell r="K115" t="str">
            <v>DATD</v>
          </cell>
          <cell r="M115" t="str">
            <v>S</v>
          </cell>
          <cell r="N115">
            <v>8</v>
          </cell>
          <cell r="O115" t="str">
            <v/>
          </cell>
          <cell r="Q115" t="str">
            <v>ＰＯＳデータ日付</v>
          </cell>
        </row>
        <row r="116">
          <cell r="B116">
            <v>148</v>
          </cell>
          <cell r="C116" t="str">
            <v>データ名</v>
          </cell>
          <cell r="K116" t="str">
            <v>DATN</v>
          </cell>
          <cell r="M116" t="str">
            <v>A</v>
          </cell>
          <cell r="N116">
            <v>7</v>
          </cell>
          <cell r="O116" t="str">
            <v/>
          </cell>
          <cell r="Q116" t="str">
            <v>「6ｼｬﾄｳｲﾂ ｶｲｲﾝﾕｳｺｳｾｲMT」固定</v>
          </cell>
        </row>
        <row r="117">
          <cell r="B117">
            <v>149</v>
          </cell>
          <cell r="C117" t="str">
            <v>デリバリーＳＥＱ№</v>
          </cell>
          <cell r="K117" t="str">
            <v>DBSQ</v>
          </cell>
          <cell r="M117" t="str">
            <v>A</v>
          </cell>
          <cell r="N117">
            <v>15</v>
          </cell>
          <cell r="O117" t="str">
            <v/>
          </cell>
          <cell r="Q117" t="str">
            <v>Ｈ／Ｗ販売情報のデリバリー番号</v>
          </cell>
        </row>
        <row r="118">
          <cell r="B118">
            <v>150</v>
          </cell>
          <cell r="C118" t="str">
            <v>トレイＣＤバージョン</v>
          </cell>
          <cell r="K118" t="str">
            <v>TCDV</v>
          </cell>
          <cell r="L118" t="str">
            <v>TCDVER</v>
          </cell>
          <cell r="M118" t="str">
            <v>A</v>
          </cell>
          <cell r="N118">
            <v>10</v>
          </cell>
          <cell r="O118" t="str">
            <v/>
          </cell>
          <cell r="Q118" t="str">
            <v>ＤＤＷのＣＤＲＯＭドライブ内のＣＤのバージョン、Ｒｙｙｙｙｍｍｄｄｎ</v>
          </cell>
        </row>
        <row r="119">
          <cell r="B119">
            <v>151</v>
          </cell>
          <cell r="C119" t="str">
            <v>トレイＣＤバージョン更新日時</v>
          </cell>
          <cell r="K119" t="str">
            <v>TCDD</v>
          </cell>
          <cell r="L119" t="str">
            <v>TCDVUT</v>
          </cell>
          <cell r="M119" t="str">
            <v>S</v>
          </cell>
          <cell r="N119">
            <v>14</v>
          </cell>
          <cell r="O119" t="str">
            <v/>
          </cell>
          <cell r="Q119" t="str">
            <v>ＤＤＷでバージョン確認した日時。ＤＤＷの電文からセット。</v>
          </cell>
        </row>
        <row r="120">
          <cell r="B120">
            <v>152</v>
          </cell>
          <cell r="C120" t="str">
            <v>ネットワークＩＤ</v>
          </cell>
          <cell r="K120" t="str">
            <v>NTID</v>
          </cell>
          <cell r="L120" t="str">
            <v>NTID</v>
          </cell>
          <cell r="M120" t="str">
            <v>A</v>
          </cell>
          <cell r="N120">
            <v>16</v>
          </cell>
          <cell r="O120" t="str">
            <v/>
          </cell>
          <cell r="Q120" t="str">
            <v>ＤＩＳＫにつける初期ＩＤ</v>
          </cell>
        </row>
        <row r="121">
          <cell r="B121">
            <v>153</v>
          </cell>
          <cell r="C121" t="str">
            <v>ネットワークパスワード</v>
          </cell>
          <cell r="K121" t="str">
            <v>NTPS</v>
          </cell>
          <cell r="L121" t="str">
            <v>NTPS</v>
          </cell>
          <cell r="M121" t="str">
            <v>A</v>
          </cell>
          <cell r="N121">
            <v>8</v>
          </cell>
          <cell r="O121" t="str">
            <v/>
          </cell>
          <cell r="Q121" t="str">
            <v>ＤＩＳＫにつける初期パスワード</v>
          </cell>
        </row>
        <row r="122">
          <cell r="B122">
            <v>154</v>
          </cell>
          <cell r="C122" t="str">
            <v>バージョン</v>
          </cell>
          <cell r="K122" t="str">
            <v>VARN</v>
          </cell>
          <cell r="L122" t="str">
            <v>VARN</v>
          </cell>
          <cell r="M122" t="str">
            <v>A</v>
          </cell>
          <cell r="N122">
            <v>4</v>
          </cell>
          <cell r="O122" t="str">
            <v/>
          </cell>
          <cell r="Q122" t="str">
            <v>コンテンツのバージョン</v>
          </cell>
        </row>
        <row r="123">
          <cell r="B123">
            <v>155</v>
          </cell>
          <cell r="C123" t="str">
            <v>ハード既取得区分</v>
          </cell>
          <cell r="K123" t="str">
            <v>HWSK</v>
          </cell>
          <cell r="M123" t="str">
            <v>A</v>
          </cell>
          <cell r="N123">
            <v>1</v>
          </cell>
          <cell r="O123" t="str">
            <v/>
          </cell>
          <cell r="Q123" t="str">
            <v>１：済、２：未</v>
          </cell>
        </row>
        <row r="124">
          <cell r="B124">
            <v>156</v>
          </cell>
          <cell r="C124" t="str">
            <v>パスワード設定可能区分</v>
          </cell>
          <cell r="K124" t="str">
            <v>PSSK</v>
          </cell>
          <cell r="L124" t="str">
            <v>PSSTKB</v>
          </cell>
          <cell r="M124" t="str">
            <v>A</v>
          </cell>
          <cell r="N124">
            <v>1</v>
          </cell>
          <cell r="O124" t="str">
            <v/>
          </cell>
          <cell r="Q124" t="str">
            <v>１：旧パスワード無しでパスワード設定可能（コールセンター）</v>
          </cell>
        </row>
        <row r="125">
          <cell r="B125">
            <v>158</v>
          </cell>
          <cell r="C125" t="str">
            <v>ファイルバージョン</v>
          </cell>
          <cell r="K125" t="str">
            <v>FIVR</v>
          </cell>
          <cell r="L125" t="str">
            <v>FIVR</v>
          </cell>
          <cell r="M125" t="str">
            <v>A</v>
          </cell>
          <cell r="N125">
            <v>4</v>
          </cell>
          <cell r="O125" t="str">
            <v/>
          </cell>
          <cell r="Q125" t="str">
            <v>バージョン情報</v>
          </cell>
        </row>
        <row r="126">
          <cell r="B126">
            <v>159</v>
          </cell>
          <cell r="C126" t="str">
            <v>ファイル区分</v>
          </cell>
          <cell r="K126" t="str">
            <v>FILK</v>
          </cell>
          <cell r="M126" t="str">
            <v>S</v>
          </cell>
          <cell r="N126">
            <v>3</v>
          </cell>
          <cell r="O126" t="str">
            <v/>
          </cell>
          <cell r="Q126" t="str">
            <v>ＦＩ×１２０で売上票情報交換テープを表す</v>
          </cell>
        </row>
        <row r="127">
          <cell r="B127">
            <v>161</v>
          </cell>
          <cell r="C127" t="str">
            <v>ファイル名</v>
          </cell>
          <cell r="K127" t="str">
            <v>FINM</v>
          </cell>
          <cell r="L127" t="str">
            <v>FINM</v>
          </cell>
          <cell r="M127" t="str">
            <v>A</v>
          </cell>
          <cell r="N127">
            <v>12</v>
          </cell>
          <cell r="O127" t="str">
            <v/>
          </cell>
          <cell r="Q127" t="str">
            <v>ファイル名</v>
          </cell>
        </row>
        <row r="128">
          <cell r="B128">
            <v>162</v>
          </cell>
          <cell r="C128" t="str">
            <v>ブラウジングサービス料金コード</v>
          </cell>
          <cell r="K128" t="str">
            <v>BSRC</v>
          </cell>
          <cell r="L128" t="str">
            <v>BRSRCD</v>
          </cell>
          <cell r="M128" t="str">
            <v>A</v>
          </cell>
          <cell r="N128">
            <v>3</v>
          </cell>
          <cell r="O128" t="str">
            <v/>
          </cell>
          <cell r="Q128" t="str">
            <v>ブラウジングサービス料金コード</v>
          </cell>
        </row>
        <row r="129">
          <cell r="B129">
            <v>163</v>
          </cell>
          <cell r="C129" t="str">
            <v>ブラウジング利用区分</v>
          </cell>
          <cell r="K129" t="str">
            <v>BRRK</v>
          </cell>
          <cell r="L129" t="str">
            <v>BRRYKB</v>
          </cell>
          <cell r="M129" t="str">
            <v>A</v>
          </cell>
          <cell r="N129">
            <v>1</v>
          </cell>
          <cell r="O129" t="str">
            <v/>
          </cell>
          <cell r="Q129" t="str">
            <v>会員区分のブラウジング利用をするかの区分。１：利用</v>
          </cell>
        </row>
        <row r="130">
          <cell r="B130">
            <v>166</v>
          </cell>
          <cell r="C130" t="str">
            <v>ＤＤＷ配信バージョンプログラム</v>
          </cell>
          <cell r="K130" t="str">
            <v>DVCP</v>
          </cell>
          <cell r="L130" t="str">
            <v>DHVPRG</v>
          </cell>
          <cell r="M130" t="str">
            <v>A</v>
          </cell>
          <cell r="N130">
            <v>10</v>
          </cell>
          <cell r="O130" t="str">
            <v/>
          </cell>
          <cell r="Q130" t="str">
            <v>ＤＤＷへ配信するプログラムのバージョン。Pyyyymmddn</v>
          </cell>
        </row>
        <row r="131">
          <cell r="B131">
            <v>167</v>
          </cell>
          <cell r="C131" t="str">
            <v>ＤＤＷ配信バージョンプログラム更新日時</v>
          </cell>
          <cell r="K131" t="str">
            <v>DVCT</v>
          </cell>
          <cell r="L131" t="str">
            <v>DHVPUT</v>
          </cell>
          <cell r="M131" t="str">
            <v>S</v>
          </cell>
          <cell r="N131">
            <v>14</v>
          </cell>
          <cell r="O131" t="str">
            <v/>
          </cell>
          <cell r="Q131" t="str">
            <v>ＤＤＷで更新完了した日時。ＤＤＷの電文からセット。</v>
          </cell>
        </row>
        <row r="132">
          <cell r="B132">
            <v>168</v>
          </cell>
          <cell r="C132" t="str">
            <v>ボーナス明細</v>
          </cell>
          <cell r="K132" t="str">
            <v>BUDT</v>
          </cell>
          <cell r="M132" t="str">
            <v>A</v>
          </cell>
          <cell r="N132">
            <v>2</v>
          </cell>
          <cell r="O132" t="str">
            <v/>
          </cell>
          <cell r="Q132" t="str">
            <v>別紙参照</v>
          </cell>
        </row>
        <row r="133">
          <cell r="B133">
            <v>169</v>
          </cell>
          <cell r="C133" t="str">
            <v>ＤＤＷ配信バージョンマスター</v>
          </cell>
          <cell r="K133" t="str">
            <v>DHVM</v>
          </cell>
          <cell r="L133" t="str">
            <v>DHVMAS</v>
          </cell>
          <cell r="M133" t="str">
            <v>A</v>
          </cell>
          <cell r="N133">
            <v>10</v>
          </cell>
          <cell r="O133" t="str">
            <v/>
          </cell>
          <cell r="Q133" t="str">
            <v>ＤＤＷへ配信するマスターのバージョン。Myyyymmddn</v>
          </cell>
        </row>
        <row r="134">
          <cell r="B134">
            <v>170</v>
          </cell>
          <cell r="C134" t="str">
            <v>ＤＤＷ配信バージョンマスター更新日時</v>
          </cell>
          <cell r="K134" t="str">
            <v>DHVT</v>
          </cell>
          <cell r="L134" t="str">
            <v>DHVMUT</v>
          </cell>
          <cell r="M134" t="str">
            <v>S</v>
          </cell>
          <cell r="N134">
            <v>14</v>
          </cell>
          <cell r="O134" t="str">
            <v/>
          </cell>
          <cell r="Q134" t="str">
            <v>ＤＤＷで更新完了した日時。ＤＤＷの電文からセット。</v>
          </cell>
        </row>
        <row r="135">
          <cell r="B135">
            <v>172</v>
          </cell>
          <cell r="C135" t="str">
            <v>メールアドレス</v>
          </cell>
          <cell r="K135" t="str">
            <v>MLAD</v>
          </cell>
          <cell r="L135" t="str">
            <v>MLAD</v>
          </cell>
          <cell r="M135" t="str">
            <v>A</v>
          </cell>
          <cell r="N135">
            <v>64</v>
          </cell>
          <cell r="O135" t="str">
            <v/>
          </cell>
          <cell r="Q135" t="str">
            <v>メールアドレス</v>
          </cell>
        </row>
        <row r="136">
          <cell r="B136">
            <v>173</v>
          </cell>
          <cell r="C136" t="str">
            <v>メールアドレス停止区分</v>
          </cell>
          <cell r="K136" t="str">
            <v>MLTK</v>
          </cell>
          <cell r="L136" t="str">
            <v>ADTSKB</v>
          </cell>
          <cell r="M136" t="str">
            <v>A</v>
          </cell>
          <cell r="N136">
            <v>1</v>
          </cell>
          <cell r="O136" t="str">
            <v/>
          </cell>
          <cell r="Q136" t="str">
            <v>１：停止</v>
          </cell>
        </row>
        <row r="137">
          <cell r="B137">
            <v>174</v>
          </cell>
          <cell r="C137" t="str">
            <v>メールアドレス無効開始日付</v>
          </cell>
          <cell r="K137" t="str">
            <v>MLMD</v>
          </cell>
          <cell r="L137" t="str">
            <v>ADMUST</v>
          </cell>
          <cell r="M137" t="str">
            <v>S</v>
          </cell>
          <cell r="N137">
            <v>8</v>
          </cell>
          <cell r="O137" t="str">
            <v/>
          </cell>
          <cell r="Q137" t="str">
            <v>メールアドレスを無効にした日付</v>
          </cell>
        </row>
        <row r="138">
          <cell r="B138">
            <v>175</v>
          </cell>
          <cell r="C138" t="str">
            <v>メールアドレス無効理由区分</v>
          </cell>
          <cell r="K138" t="str">
            <v>MLMR</v>
          </cell>
          <cell r="L138" t="str">
            <v>ADMRKB</v>
          </cell>
          <cell r="M138" t="str">
            <v>A</v>
          </cell>
          <cell r="N138">
            <v>2</v>
          </cell>
          <cell r="O138" t="str">
            <v/>
          </cell>
          <cell r="Q138" t="str">
            <v>１：解約、２：休止</v>
          </cell>
        </row>
        <row r="139">
          <cell r="B139">
            <v>176</v>
          </cell>
          <cell r="C139" t="str">
            <v>メールサービスＩＤ</v>
          </cell>
          <cell r="K139" t="str">
            <v>MLSI</v>
          </cell>
          <cell r="L139" t="str">
            <v>SRVID</v>
          </cell>
          <cell r="M139" t="str">
            <v>A</v>
          </cell>
          <cell r="N139">
            <v>5</v>
          </cell>
          <cell r="O139" t="str">
            <v/>
          </cell>
          <cell r="Q139" t="str">
            <v>メールサービスをユニークにするコード</v>
          </cell>
        </row>
        <row r="140">
          <cell r="B140">
            <v>177</v>
          </cell>
          <cell r="C140" t="str">
            <v>メールサービス名</v>
          </cell>
          <cell r="K140" t="str">
            <v>MLSN</v>
          </cell>
          <cell r="L140" t="str">
            <v>SRVNM</v>
          </cell>
          <cell r="M140" t="str">
            <v>A</v>
          </cell>
          <cell r="N140">
            <v>42</v>
          </cell>
          <cell r="O140" t="str">
            <v/>
          </cell>
          <cell r="Q140" t="str">
            <v>メールサービス名</v>
          </cell>
        </row>
        <row r="141">
          <cell r="B141">
            <v>178</v>
          </cell>
          <cell r="C141" t="str">
            <v>メールサービス料金コード</v>
          </cell>
          <cell r="K141" t="str">
            <v>MLRC</v>
          </cell>
          <cell r="L141" t="str">
            <v>MSVRCD</v>
          </cell>
          <cell r="M141" t="str">
            <v>A</v>
          </cell>
          <cell r="N141">
            <v>3</v>
          </cell>
          <cell r="O141" t="str">
            <v/>
          </cell>
          <cell r="Q141" t="str">
            <v>メールサービス料金コード</v>
          </cell>
        </row>
        <row r="142">
          <cell r="B142">
            <v>179</v>
          </cell>
          <cell r="C142" t="str">
            <v>メールパスワード</v>
          </cell>
          <cell r="K142" t="str">
            <v>MLPS</v>
          </cell>
          <cell r="L142" t="str">
            <v>MLPS</v>
          </cell>
          <cell r="M142" t="str">
            <v>A</v>
          </cell>
          <cell r="N142">
            <v>10</v>
          </cell>
          <cell r="O142" t="str">
            <v/>
          </cell>
          <cell r="Q142" t="str">
            <v>メールパスワード</v>
          </cell>
        </row>
        <row r="143">
          <cell r="B143">
            <v>180</v>
          </cell>
          <cell r="C143" t="str">
            <v>メール利用区分</v>
          </cell>
          <cell r="K143" t="str">
            <v>MLRK</v>
          </cell>
          <cell r="L143" t="str">
            <v>MRYKB</v>
          </cell>
          <cell r="M143" t="str">
            <v>A</v>
          </cell>
          <cell r="N143">
            <v>1</v>
          </cell>
          <cell r="O143" t="str">
            <v/>
          </cell>
          <cell r="Q143" t="str">
            <v>会員区分のメール利用をするかの区分。１：利用</v>
          </cell>
        </row>
        <row r="144">
          <cell r="B144">
            <v>186</v>
          </cell>
          <cell r="C144" t="str">
            <v>ライセンサーコード</v>
          </cell>
          <cell r="K144" t="str">
            <v>LISC</v>
          </cell>
          <cell r="M144" t="str">
            <v>A</v>
          </cell>
          <cell r="N144">
            <v>4</v>
          </cell>
          <cell r="O144" t="str">
            <v/>
          </cell>
          <cell r="Q144" t="str">
            <v>ライセンサーコード</v>
          </cell>
        </row>
        <row r="145">
          <cell r="B145">
            <v>187</v>
          </cell>
          <cell r="C145" t="str">
            <v>ライセンサー名</v>
          </cell>
          <cell r="K145" t="str">
            <v>LISN</v>
          </cell>
          <cell r="M145" t="str">
            <v>O</v>
          </cell>
          <cell r="N145">
            <v>42</v>
          </cell>
          <cell r="O145" t="str">
            <v/>
          </cell>
          <cell r="Q145" t="str">
            <v>ライセンサー名</v>
          </cell>
        </row>
        <row r="146">
          <cell r="B146">
            <v>188</v>
          </cell>
          <cell r="C146" t="str">
            <v>ライセンサー名カナ</v>
          </cell>
          <cell r="K146" t="str">
            <v>LISM</v>
          </cell>
          <cell r="M146" t="str">
            <v>A</v>
          </cell>
          <cell r="N146">
            <v>20</v>
          </cell>
          <cell r="O146" t="str">
            <v/>
          </cell>
          <cell r="Q146" t="str">
            <v>ライセンサー名カナ</v>
          </cell>
        </row>
        <row r="147">
          <cell r="B147">
            <v>189</v>
          </cell>
          <cell r="C147" t="str">
            <v>ライセンサー略称名</v>
          </cell>
          <cell r="K147" t="str">
            <v>LISR</v>
          </cell>
          <cell r="M147" t="str">
            <v>O</v>
          </cell>
          <cell r="N147">
            <v>22</v>
          </cell>
          <cell r="O147" t="str">
            <v/>
          </cell>
          <cell r="Q147" t="str">
            <v>ライセンサー略称名</v>
          </cell>
        </row>
        <row r="148">
          <cell r="B148">
            <v>190</v>
          </cell>
          <cell r="C148" t="str">
            <v>ライセンス対象区分</v>
          </cell>
          <cell r="K148" t="str">
            <v>LITK</v>
          </cell>
          <cell r="M148" t="str">
            <v>A</v>
          </cell>
          <cell r="N148">
            <v>1</v>
          </cell>
          <cell r="O148" t="str">
            <v/>
          </cell>
          <cell r="Q148" t="str">
            <v>１：対象、２：対象外</v>
          </cell>
        </row>
        <row r="149">
          <cell r="B149">
            <v>191</v>
          </cell>
          <cell r="C149" t="str">
            <v>ライセンス率</v>
          </cell>
          <cell r="K149" t="str">
            <v>LIRI</v>
          </cell>
          <cell r="M149" t="str">
            <v>S</v>
          </cell>
          <cell r="N149">
            <v>3</v>
          </cell>
          <cell r="O149">
            <v>2</v>
          </cell>
          <cell r="Q149" t="str">
            <v>掛け率</v>
          </cell>
        </row>
        <row r="150">
          <cell r="B150">
            <v>192</v>
          </cell>
          <cell r="C150" t="str">
            <v>レコードＩＤ</v>
          </cell>
          <cell r="K150" t="str">
            <v>REID</v>
          </cell>
          <cell r="M150" t="str">
            <v>A</v>
          </cell>
          <cell r="N150">
            <v>1</v>
          </cell>
          <cell r="O150" t="str">
            <v/>
          </cell>
          <cell r="Q150" t="str">
            <v>固定値＝「１」ヘッダーレコードをあらわす</v>
          </cell>
        </row>
        <row r="151">
          <cell r="B151">
            <v>193</v>
          </cell>
          <cell r="C151" t="str">
            <v>レコード区分</v>
          </cell>
          <cell r="K151" t="str">
            <v>RECK</v>
          </cell>
          <cell r="M151" t="str">
            <v>S</v>
          </cell>
          <cell r="N151">
            <v>1</v>
          </cell>
          <cell r="O151" t="str">
            <v/>
          </cell>
          <cell r="Q151" t="str">
            <v>「１」固定</v>
          </cell>
        </row>
        <row r="152">
          <cell r="B152" t="str">
            <v>削除</v>
          </cell>
          <cell r="C152" t="str">
            <v>ワンナンバー区分</v>
          </cell>
          <cell r="K152" t="str">
            <v>ONEK</v>
          </cell>
          <cell r="M152" t="str">
            <v>A</v>
          </cell>
          <cell r="N152">
            <v>1</v>
          </cell>
          <cell r="O152" t="str">
            <v/>
          </cell>
          <cell r="Q152" t="str">
            <v>削除　　　　　：１９５</v>
          </cell>
        </row>
        <row r="153">
          <cell r="B153">
            <v>196</v>
          </cell>
          <cell r="C153" t="str">
            <v>宛先ＴＥＬ番号</v>
          </cell>
          <cell r="K153" t="str">
            <v>ATTL</v>
          </cell>
          <cell r="M153" t="str">
            <v>A</v>
          </cell>
          <cell r="N153">
            <v>14</v>
          </cell>
          <cell r="O153" t="str">
            <v/>
          </cell>
          <cell r="Q153" t="str">
            <v>連絡先の電話番号（ハイフン無し）</v>
          </cell>
        </row>
        <row r="154">
          <cell r="B154">
            <v>198</v>
          </cell>
          <cell r="C154" t="str">
            <v>宛先氏名カナ</v>
          </cell>
          <cell r="K154" t="str">
            <v>ATSM</v>
          </cell>
          <cell r="M154" t="str">
            <v>A</v>
          </cell>
          <cell r="N154">
            <v>24</v>
          </cell>
          <cell r="O154" t="str">
            <v/>
          </cell>
          <cell r="Q154" t="str">
            <v>氏名・カナ（名字名前の間は１ブランク）</v>
          </cell>
        </row>
        <row r="155">
          <cell r="B155">
            <v>199</v>
          </cell>
          <cell r="C155" t="str">
            <v>宛先氏名漢字</v>
          </cell>
          <cell r="K155" t="str">
            <v>ATSN</v>
          </cell>
          <cell r="M155" t="str">
            <v>O</v>
          </cell>
          <cell r="N155">
            <v>32</v>
          </cell>
          <cell r="O155" t="str">
            <v/>
          </cell>
          <cell r="Q155" t="str">
            <v>氏名・漢字（名字名前の間は１ブランク）</v>
          </cell>
        </row>
        <row r="156">
          <cell r="B156">
            <v>205</v>
          </cell>
          <cell r="C156" t="str">
            <v>暗号プログラム</v>
          </cell>
          <cell r="K156" t="str">
            <v>ANPG</v>
          </cell>
          <cell r="L156" t="str">
            <v>ANGPRG</v>
          </cell>
          <cell r="M156" t="str">
            <v>B</v>
          </cell>
          <cell r="N156" t="str">
            <v>-</v>
          </cell>
          <cell r="O156" t="str">
            <v/>
          </cell>
          <cell r="Q156" t="str">
            <v>暗号プログラムファイル（バイナリ）</v>
          </cell>
        </row>
        <row r="157">
          <cell r="B157">
            <v>206</v>
          </cell>
          <cell r="C157" t="str">
            <v>暗号プログラムＩＤ</v>
          </cell>
          <cell r="K157" t="str">
            <v>ANPI</v>
          </cell>
          <cell r="L157" t="str">
            <v>PRGID</v>
          </cell>
          <cell r="M157" t="str">
            <v>A</v>
          </cell>
          <cell r="N157">
            <v>10</v>
          </cell>
          <cell r="O157" t="str">
            <v/>
          </cell>
          <cell r="Q157" t="str">
            <v>暗号プログラムＩＤ</v>
          </cell>
        </row>
        <row r="158">
          <cell r="B158">
            <v>207</v>
          </cell>
          <cell r="C158" t="str">
            <v>委託単価</v>
          </cell>
          <cell r="K158" t="str">
            <v>ITTG</v>
          </cell>
          <cell r="M158" t="str">
            <v>P</v>
          </cell>
          <cell r="N158">
            <v>7</v>
          </cell>
          <cell r="O158" t="str">
            <v/>
          </cell>
          <cell r="Q158" t="str">
            <v>委託単価（会員一人単価）</v>
          </cell>
        </row>
        <row r="159">
          <cell r="B159">
            <v>208</v>
          </cell>
          <cell r="C159" t="str">
            <v>異動依頼年月日</v>
          </cell>
          <cell r="K159" t="str">
            <v>IIRD</v>
          </cell>
          <cell r="M159" t="str">
            <v>S</v>
          </cell>
          <cell r="N159">
            <v>8</v>
          </cell>
          <cell r="O159" t="str">
            <v/>
          </cell>
          <cell r="Q159" t="str">
            <v>異動依頼の日付</v>
          </cell>
        </row>
        <row r="160">
          <cell r="B160">
            <v>209</v>
          </cell>
          <cell r="C160" t="str">
            <v>異動状況区分</v>
          </cell>
          <cell r="K160" t="str">
            <v>IJKK</v>
          </cell>
          <cell r="M160" t="str">
            <v>A</v>
          </cell>
          <cell r="N160">
            <v>2</v>
          </cell>
          <cell r="O160" t="str">
            <v/>
          </cell>
          <cell r="Q160" t="str">
            <v>異動情報の状況を区分する</v>
          </cell>
        </row>
        <row r="161">
          <cell r="B161">
            <v>210</v>
          </cell>
          <cell r="C161" t="str">
            <v>異動内容区分</v>
          </cell>
          <cell r="K161" t="str">
            <v>INIK</v>
          </cell>
          <cell r="M161" t="str">
            <v>A</v>
          </cell>
          <cell r="N161">
            <v>2</v>
          </cell>
          <cell r="O161" t="str">
            <v/>
          </cell>
          <cell r="Q161" t="str">
            <v>異動の内容を区分する。１：一般等</v>
          </cell>
        </row>
        <row r="162">
          <cell r="B162">
            <v>211</v>
          </cell>
          <cell r="C162" t="str">
            <v>異動予定年月日</v>
          </cell>
          <cell r="K162" t="str">
            <v>IYOD</v>
          </cell>
          <cell r="M162" t="str">
            <v>S</v>
          </cell>
          <cell r="N162">
            <v>8</v>
          </cell>
          <cell r="O162" t="str">
            <v/>
          </cell>
          <cell r="Q162" t="str">
            <v>異動を行う予定日付</v>
          </cell>
        </row>
        <row r="163">
          <cell r="B163">
            <v>212</v>
          </cell>
          <cell r="C163" t="str">
            <v>異動理由区分</v>
          </cell>
          <cell r="K163" t="str">
            <v>IRIK</v>
          </cell>
          <cell r="M163" t="str">
            <v>A</v>
          </cell>
          <cell r="N163">
            <v>2</v>
          </cell>
          <cell r="O163" t="str">
            <v/>
          </cell>
          <cell r="Q163" t="str">
            <v>異動の理由、１：移転等</v>
          </cell>
        </row>
        <row r="164">
          <cell r="B164">
            <v>213</v>
          </cell>
          <cell r="C164" t="str">
            <v>加盟店使用欄①</v>
          </cell>
          <cell r="K164" t="str">
            <v>KAS1</v>
          </cell>
          <cell r="M164" t="str">
            <v>A</v>
          </cell>
          <cell r="N164">
            <v>20</v>
          </cell>
          <cell r="O164" t="str">
            <v/>
          </cell>
          <cell r="Q164" t="str">
            <v>顧客管理番号等（左詰後ろブランク）</v>
          </cell>
        </row>
        <row r="165">
          <cell r="B165">
            <v>214</v>
          </cell>
          <cell r="C165" t="str">
            <v>加盟店使用欄②</v>
          </cell>
          <cell r="K165" t="str">
            <v>KAS2</v>
          </cell>
          <cell r="M165" t="str">
            <v>A</v>
          </cell>
          <cell r="N165">
            <v>15</v>
          </cell>
          <cell r="O165" t="str">
            <v/>
          </cell>
          <cell r="Q165" t="str">
            <v>会員カナ氏名等（左詰後ろブランク）</v>
          </cell>
        </row>
        <row r="166">
          <cell r="B166">
            <v>215</v>
          </cell>
          <cell r="C166" t="str">
            <v>加盟店番号</v>
          </cell>
          <cell r="K166" t="str">
            <v>KABG</v>
          </cell>
          <cell r="M166" t="str">
            <v>A</v>
          </cell>
          <cell r="N166">
            <v>15</v>
          </cell>
          <cell r="O166" t="str">
            <v/>
          </cell>
          <cell r="Q166" t="str">
            <v>会社コード（指定コード）</v>
          </cell>
        </row>
        <row r="167">
          <cell r="B167">
            <v>216</v>
          </cell>
          <cell r="C167" t="str">
            <v>加盟店名</v>
          </cell>
          <cell r="K167" t="str">
            <v>KASN</v>
          </cell>
          <cell r="M167" t="str">
            <v>A</v>
          </cell>
          <cell r="N167">
            <v>25</v>
          </cell>
          <cell r="O167" t="str">
            <v/>
          </cell>
          <cell r="Q167" t="str">
            <v>左詰で社名を記録し、あまりスペース</v>
          </cell>
        </row>
        <row r="168">
          <cell r="B168">
            <v>217</v>
          </cell>
          <cell r="C168" t="str">
            <v>稼動フラグ</v>
          </cell>
          <cell r="K168" t="str">
            <v>ACTF</v>
          </cell>
          <cell r="L168" t="str">
            <v>KADOFL</v>
          </cell>
          <cell r="M168" t="str">
            <v>A</v>
          </cell>
          <cell r="N168">
            <v>1</v>
          </cell>
          <cell r="O168" t="str">
            <v/>
          </cell>
          <cell r="Q168" t="str">
            <v>このレコードの活動状態　０：活動、１：非活動（非活動のＤＤＷシリアル№は再利用される）</v>
          </cell>
        </row>
        <row r="169">
          <cell r="B169">
            <v>218</v>
          </cell>
          <cell r="C169" t="str">
            <v>稼動開始日付</v>
          </cell>
          <cell r="K169" t="str">
            <v>ACSD</v>
          </cell>
          <cell r="L169" t="str">
            <v>ACSD</v>
          </cell>
          <cell r="M169" t="str">
            <v>S</v>
          </cell>
          <cell r="N169">
            <v>8</v>
          </cell>
          <cell r="O169" t="str">
            <v/>
          </cell>
          <cell r="Q169" t="str">
            <v>ＤＤＷの稼動開始日付</v>
          </cell>
        </row>
        <row r="170">
          <cell r="B170">
            <v>219</v>
          </cell>
          <cell r="C170" t="str">
            <v>稼動終了日付</v>
          </cell>
          <cell r="K170" t="str">
            <v>ACED</v>
          </cell>
          <cell r="L170" t="str">
            <v>ACED</v>
          </cell>
          <cell r="M170" t="str">
            <v>S</v>
          </cell>
          <cell r="N170">
            <v>8</v>
          </cell>
          <cell r="O170" t="str">
            <v/>
          </cell>
          <cell r="Q170" t="str">
            <v>ＤＤＷの稼動終了日付</v>
          </cell>
        </row>
        <row r="171">
          <cell r="B171">
            <v>220</v>
          </cell>
          <cell r="C171" t="str">
            <v>課金開始日付</v>
          </cell>
          <cell r="K171" t="str">
            <v>KASD</v>
          </cell>
          <cell r="L171" t="str">
            <v>KKKDT</v>
          </cell>
          <cell r="M171" t="str">
            <v>S</v>
          </cell>
          <cell r="N171">
            <v>8</v>
          </cell>
          <cell r="O171" t="str">
            <v/>
          </cell>
          <cell r="Q171" t="str">
            <v>会員の課金を開始する日付（会費）</v>
          </cell>
        </row>
        <row r="172">
          <cell r="B172">
            <v>221</v>
          </cell>
          <cell r="C172" t="str">
            <v>会員ＩＤ</v>
          </cell>
          <cell r="K172" t="str">
            <v>KNID</v>
          </cell>
          <cell r="L172" t="str">
            <v>KNID</v>
          </cell>
          <cell r="M172" t="str">
            <v>A</v>
          </cell>
          <cell r="N172">
            <v>8</v>
          </cell>
          <cell r="O172" t="str">
            <v/>
          </cell>
          <cell r="Q172" t="str">
            <v>会員をユニークにするキー</v>
          </cell>
        </row>
        <row r="173">
          <cell r="B173">
            <v>222</v>
          </cell>
          <cell r="C173" t="str">
            <v>会員ＩＤ枝番</v>
          </cell>
          <cell r="K173" t="str">
            <v>KNED</v>
          </cell>
          <cell r="L173" t="str">
            <v>KAIEDA</v>
          </cell>
          <cell r="M173" t="str">
            <v>A</v>
          </cell>
          <cell r="N173">
            <v>1</v>
          </cell>
          <cell r="O173" t="str">
            <v/>
          </cell>
          <cell r="Q173" t="str">
            <v>利用者をユニークにするキー</v>
          </cell>
        </row>
        <row r="174">
          <cell r="B174">
            <v>223</v>
          </cell>
          <cell r="C174" t="str">
            <v>会員クラス</v>
          </cell>
          <cell r="K174" t="str">
            <v>KNCL</v>
          </cell>
          <cell r="L174" t="str">
            <v>KNCL</v>
          </cell>
          <cell r="M174" t="str">
            <v>A</v>
          </cell>
          <cell r="N174">
            <v>6</v>
          </cell>
          <cell r="O174" t="str">
            <v/>
          </cell>
          <cell r="Q174" t="str">
            <v>利用状況や利用回数等。１：通常、２：優良、３：不良</v>
          </cell>
        </row>
        <row r="175">
          <cell r="B175">
            <v>224</v>
          </cell>
          <cell r="C175" t="str">
            <v>会員パスワード</v>
          </cell>
          <cell r="K175" t="str">
            <v>KNPS</v>
          </cell>
          <cell r="L175" t="str">
            <v>KNPS</v>
          </cell>
          <cell r="M175" t="str">
            <v>A</v>
          </cell>
          <cell r="N175">
            <v>4</v>
          </cell>
          <cell r="O175" t="str">
            <v/>
          </cell>
          <cell r="Q175" t="str">
            <v>会員パスワード（初期パスワード）</v>
          </cell>
        </row>
        <row r="176">
          <cell r="B176">
            <v>226</v>
          </cell>
          <cell r="C176" t="str">
            <v>会員区分</v>
          </cell>
          <cell r="K176" t="str">
            <v>KNKB</v>
          </cell>
          <cell r="L176" t="str">
            <v>KNKB</v>
          </cell>
          <cell r="M176" t="str">
            <v>A</v>
          </cell>
          <cell r="N176">
            <v>2</v>
          </cell>
          <cell r="O176" t="str">
            <v/>
          </cell>
          <cell r="Q176" t="str">
            <v>１：８００円、２：３００円、</v>
          </cell>
        </row>
        <row r="177">
          <cell r="B177">
            <v>227</v>
          </cell>
          <cell r="C177" t="str">
            <v>会員氏名カナ（半角）</v>
          </cell>
          <cell r="K177" t="str">
            <v>KNSM</v>
          </cell>
          <cell r="M177" t="str">
            <v>A</v>
          </cell>
          <cell r="N177">
            <v>24</v>
          </cell>
          <cell r="O177" t="str">
            <v/>
          </cell>
          <cell r="Q177" t="str">
            <v>氏名・カナ（名字名前の間は１ブランク）</v>
          </cell>
        </row>
        <row r="178">
          <cell r="B178">
            <v>228</v>
          </cell>
          <cell r="C178" t="str">
            <v>会員氏名漢字</v>
          </cell>
          <cell r="K178" t="str">
            <v>KNSN</v>
          </cell>
          <cell r="L178" t="str">
            <v>KNSN</v>
          </cell>
          <cell r="M178" t="str">
            <v>O</v>
          </cell>
          <cell r="N178">
            <v>32</v>
          </cell>
          <cell r="O178" t="str">
            <v/>
          </cell>
          <cell r="Q178" t="str">
            <v>氏名・漢字（名字名前の間は１ブランク）</v>
          </cell>
        </row>
        <row r="179">
          <cell r="B179">
            <v>231</v>
          </cell>
          <cell r="C179" t="str">
            <v>会員証発行区分</v>
          </cell>
          <cell r="K179" t="str">
            <v>KNHK</v>
          </cell>
          <cell r="L179" t="str">
            <v>KNHK</v>
          </cell>
          <cell r="M179" t="str">
            <v>A</v>
          </cell>
          <cell r="N179">
            <v>1</v>
          </cell>
          <cell r="O179" t="str">
            <v/>
          </cell>
          <cell r="Q179" t="str">
            <v>１：希望する、２：希望しない</v>
          </cell>
        </row>
        <row r="180">
          <cell r="B180">
            <v>232</v>
          </cell>
          <cell r="C180" t="str">
            <v>会員証郵送日付</v>
          </cell>
          <cell r="K180" t="str">
            <v>KSYD</v>
          </cell>
          <cell r="M180" t="str">
            <v>S</v>
          </cell>
          <cell r="N180">
            <v>8</v>
          </cell>
          <cell r="O180" t="str">
            <v/>
          </cell>
          <cell r="Q180" t="str">
            <v>西暦  ＪＢＬ</v>
          </cell>
        </row>
        <row r="181">
          <cell r="B181">
            <v>233</v>
          </cell>
          <cell r="C181" t="str">
            <v>会員状況区分</v>
          </cell>
          <cell r="K181" t="str">
            <v>KNJK</v>
          </cell>
          <cell r="L181" t="str">
            <v>KNJK</v>
          </cell>
          <cell r="M181" t="str">
            <v>A</v>
          </cell>
          <cell r="N181">
            <v>2</v>
          </cell>
          <cell r="O181" t="str">
            <v/>
          </cell>
          <cell r="Q181" t="str">
            <v>ブランク：通常・１：復帰・２：休止・３・会員解除 等</v>
          </cell>
        </row>
        <row r="182">
          <cell r="B182">
            <v>235</v>
          </cell>
          <cell r="C182" t="str">
            <v>会員番号</v>
          </cell>
          <cell r="K182" t="str">
            <v>KNBG</v>
          </cell>
          <cell r="M182" t="str">
            <v>S</v>
          </cell>
          <cell r="N182">
            <v>16</v>
          </cell>
          <cell r="O182" t="str">
            <v/>
          </cell>
          <cell r="Q182" t="str">
            <v>利用会員の会員番号を入力 ＊11桁カードは、右詰前０で記録</v>
          </cell>
        </row>
        <row r="183">
          <cell r="B183">
            <v>236</v>
          </cell>
          <cell r="C183" t="str">
            <v>会員番号更新サイン</v>
          </cell>
          <cell r="K183" t="str">
            <v>KNSI</v>
          </cell>
          <cell r="M183" t="str">
            <v>A</v>
          </cell>
          <cell r="N183">
            <v>1</v>
          </cell>
          <cell r="O183" t="str">
            <v/>
          </cell>
          <cell r="Q183" t="str">
            <v>ＳＰＡＣＥ、「０」変更なし「１」変更あり「ｂ」スペース</v>
          </cell>
        </row>
        <row r="184">
          <cell r="B184">
            <v>237</v>
          </cell>
          <cell r="C184" t="str">
            <v>会員番号更新件数</v>
          </cell>
          <cell r="K184" t="str">
            <v>KNUS</v>
          </cell>
          <cell r="M184" t="str">
            <v>S</v>
          </cell>
          <cell r="N184">
            <v>7</v>
          </cell>
          <cell r="O184" t="str">
            <v/>
          </cell>
          <cell r="Q184" t="str">
            <v>オールＺＥＲ０、会員番号更新サイン「１」件数</v>
          </cell>
        </row>
        <row r="185">
          <cell r="B185">
            <v>238</v>
          </cell>
          <cell r="C185" t="str">
            <v>回数</v>
          </cell>
          <cell r="K185" t="str">
            <v>KAIS</v>
          </cell>
          <cell r="L185" t="str">
            <v>KAIS</v>
          </cell>
          <cell r="M185" t="str">
            <v>S</v>
          </cell>
          <cell r="N185">
            <v>3</v>
          </cell>
          <cell r="O185" t="str">
            <v/>
          </cell>
          <cell r="Q185" t="str">
            <v>回数券</v>
          </cell>
        </row>
        <row r="186">
          <cell r="B186">
            <v>239</v>
          </cell>
          <cell r="C186" t="str">
            <v>回数券残高</v>
          </cell>
          <cell r="K186" t="str">
            <v>KIZG</v>
          </cell>
          <cell r="L186" t="str">
            <v>KIZG</v>
          </cell>
          <cell r="M186" t="str">
            <v>S</v>
          </cell>
          <cell r="N186">
            <v>4</v>
          </cell>
          <cell r="O186" t="str">
            <v/>
          </cell>
          <cell r="Q186" t="str">
            <v>回数券の場合のサービスを受けられる回数の残り</v>
          </cell>
        </row>
        <row r="187">
          <cell r="B187">
            <v>240</v>
          </cell>
          <cell r="C187" t="str">
            <v>開店日付</v>
          </cell>
          <cell r="K187" t="str">
            <v>ENDD</v>
          </cell>
          <cell r="M187" t="str">
            <v>S</v>
          </cell>
          <cell r="N187">
            <v>8</v>
          </cell>
          <cell r="O187" t="str">
            <v/>
          </cell>
          <cell r="Q187" t="str">
            <v>店舗の開店する日付</v>
          </cell>
        </row>
        <row r="188">
          <cell r="B188">
            <v>241</v>
          </cell>
          <cell r="C188" t="str">
            <v>外税分子</v>
          </cell>
          <cell r="K188" t="str">
            <v>GZBS</v>
          </cell>
          <cell r="M188" t="str">
            <v>S</v>
          </cell>
          <cell r="N188">
            <v>3</v>
          </cell>
          <cell r="O188" t="str">
            <v/>
          </cell>
          <cell r="Q188" t="str">
            <v>外税の時の計算用分子</v>
          </cell>
        </row>
        <row r="189">
          <cell r="B189">
            <v>242</v>
          </cell>
          <cell r="C189" t="str">
            <v>外税分母</v>
          </cell>
          <cell r="K189" t="str">
            <v>GZBU</v>
          </cell>
          <cell r="M189" t="str">
            <v>S</v>
          </cell>
          <cell r="N189">
            <v>3</v>
          </cell>
          <cell r="O189" t="str">
            <v/>
          </cell>
          <cell r="Q189" t="str">
            <v>外税の時の計算用分母</v>
          </cell>
        </row>
        <row r="190">
          <cell r="B190">
            <v>244</v>
          </cell>
          <cell r="C190" t="str">
            <v>期間（月）</v>
          </cell>
          <cell r="K190" t="str">
            <v>KIMM</v>
          </cell>
          <cell r="L190" t="str">
            <v>KIMM</v>
          </cell>
          <cell r="M190" t="str">
            <v>S</v>
          </cell>
          <cell r="N190">
            <v>2</v>
          </cell>
          <cell r="O190" t="str">
            <v/>
          </cell>
          <cell r="Q190" t="str">
            <v>期間権（月）</v>
          </cell>
        </row>
        <row r="191">
          <cell r="B191">
            <v>245</v>
          </cell>
          <cell r="C191" t="str">
            <v>期間（日）</v>
          </cell>
          <cell r="K191" t="str">
            <v>KIDD</v>
          </cell>
          <cell r="L191" t="str">
            <v>KIDD</v>
          </cell>
          <cell r="M191" t="str">
            <v>S</v>
          </cell>
          <cell r="N191">
            <v>2</v>
          </cell>
          <cell r="O191" t="str">
            <v/>
          </cell>
          <cell r="Q191" t="str">
            <v>期間権（日）</v>
          </cell>
        </row>
        <row r="192">
          <cell r="B192">
            <v>246</v>
          </cell>
          <cell r="C192" t="str">
            <v>期間満了時刻</v>
          </cell>
          <cell r="K192" t="str">
            <v>KIMT</v>
          </cell>
          <cell r="L192" t="str">
            <v>KIMT</v>
          </cell>
          <cell r="M192" t="str">
            <v>S</v>
          </cell>
          <cell r="N192">
            <v>6</v>
          </cell>
          <cell r="O192" t="str">
            <v/>
          </cell>
          <cell r="Q192" t="str">
            <v>期間権の場合のサービスを受けられる終日最終時刻</v>
          </cell>
        </row>
        <row r="193">
          <cell r="B193">
            <v>247</v>
          </cell>
          <cell r="C193" t="str">
            <v>期間満了日付</v>
          </cell>
          <cell r="K193" t="str">
            <v>KIMD</v>
          </cell>
          <cell r="L193" t="str">
            <v>KIMD</v>
          </cell>
          <cell r="M193" t="str">
            <v>S</v>
          </cell>
          <cell r="N193">
            <v>8</v>
          </cell>
          <cell r="O193" t="str">
            <v/>
          </cell>
          <cell r="Q193" t="str">
            <v>期間権の場合のサービスを受けられる最終日</v>
          </cell>
        </row>
        <row r="194">
          <cell r="B194">
            <v>249</v>
          </cell>
          <cell r="C194" t="str">
            <v>休業開始日付</v>
          </cell>
          <cell r="K194" t="str">
            <v>KYSD</v>
          </cell>
          <cell r="M194" t="str">
            <v>S</v>
          </cell>
          <cell r="N194">
            <v>8</v>
          </cell>
          <cell r="O194" t="str">
            <v/>
          </cell>
          <cell r="Q194" t="str">
            <v>店舗の休業開始日付</v>
          </cell>
        </row>
        <row r="195">
          <cell r="B195">
            <v>250</v>
          </cell>
          <cell r="C195" t="str">
            <v>休業終了日付</v>
          </cell>
          <cell r="K195" t="str">
            <v>KYED</v>
          </cell>
          <cell r="M195" t="str">
            <v>S</v>
          </cell>
          <cell r="N195">
            <v>8</v>
          </cell>
          <cell r="O195" t="str">
            <v/>
          </cell>
          <cell r="Q195" t="str">
            <v>店舗の休業終了日付</v>
          </cell>
        </row>
        <row r="196">
          <cell r="B196">
            <v>251</v>
          </cell>
          <cell r="C196" t="str">
            <v>休止開始日付</v>
          </cell>
          <cell r="K196" t="str">
            <v>KSSD</v>
          </cell>
          <cell r="L196" t="str">
            <v>KSSD</v>
          </cell>
          <cell r="M196" t="str">
            <v>S</v>
          </cell>
          <cell r="N196">
            <v>8</v>
          </cell>
          <cell r="O196" t="str">
            <v/>
          </cell>
          <cell r="Q196" t="str">
            <v>ＤＤＷの休止開始日付</v>
          </cell>
        </row>
        <row r="197">
          <cell r="B197">
            <v>252</v>
          </cell>
          <cell r="C197" t="str">
            <v>休止終了日付</v>
          </cell>
          <cell r="K197" t="str">
            <v>KSED</v>
          </cell>
          <cell r="L197" t="str">
            <v>KSED</v>
          </cell>
          <cell r="M197" t="str">
            <v>S</v>
          </cell>
          <cell r="N197">
            <v>8</v>
          </cell>
          <cell r="O197" t="str">
            <v/>
          </cell>
          <cell r="Q197" t="str">
            <v>ＤＤＷの休止終了日付</v>
          </cell>
        </row>
        <row r="198">
          <cell r="B198">
            <v>253</v>
          </cell>
          <cell r="C198" t="str">
            <v>銀行コード</v>
          </cell>
          <cell r="K198" t="str">
            <v>BANK</v>
          </cell>
          <cell r="M198" t="str">
            <v>A</v>
          </cell>
          <cell r="N198">
            <v>4</v>
          </cell>
          <cell r="O198" t="str">
            <v/>
          </cell>
          <cell r="Q198" t="str">
            <v>固定値＝スペース</v>
          </cell>
        </row>
        <row r="199">
          <cell r="B199">
            <v>254</v>
          </cell>
          <cell r="C199" t="str">
            <v>区分</v>
          </cell>
          <cell r="K199" t="str">
            <v>KUBN</v>
          </cell>
          <cell r="M199" t="str">
            <v>A</v>
          </cell>
          <cell r="N199">
            <v>1</v>
          </cell>
          <cell r="O199" t="str">
            <v/>
          </cell>
          <cell r="Q199" t="str">
            <v>"1"固定</v>
          </cell>
        </row>
        <row r="200">
          <cell r="B200">
            <v>255</v>
          </cell>
          <cell r="C200" t="str">
            <v>計算区分</v>
          </cell>
          <cell r="K200" t="str">
            <v>KISK</v>
          </cell>
          <cell r="M200" t="str">
            <v>A</v>
          </cell>
          <cell r="N200">
            <v>1</v>
          </cell>
          <cell r="O200" t="str">
            <v/>
          </cell>
          <cell r="Q200" t="str">
            <v>１：計算あり</v>
          </cell>
        </row>
        <row r="201">
          <cell r="B201">
            <v>256</v>
          </cell>
          <cell r="C201" t="str">
            <v>結果リスト出力</v>
          </cell>
          <cell r="K201" t="str">
            <v>KFLT</v>
          </cell>
          <cell r="M201" t="str">
            <v>S</v>
          </cell>
          <cell r="N201">
            <v>5</v>
          </cell>
          <cell r="O201" t="str">
            <v/>
          </cell>
          <cell r="Q201" t="str">
            <v>「１」またはＳＰＡＣＥセット</v>
          </cell>
        </row>
        <row r="202">
          <cell r="B202">
            <v>257</v>
          </cell>
          <cell r="C202" t="str">
            <v>月額会費サービス料金コード</v>
          </cell>
          <cell r="K202" t="str">
            <v>GKSC</v>
          </cell>
          <cell r="L202" t="str">
            <v>GKSC</v>
          </cell>
          <cell r="M202" t="str">
            <v>A</v>
          </cell>
          <cell r="N202">
            <v>3</v>
          </cell>
          <cell r="O202" t="str">
            <v/>
          </cell>
          <cell r="Q202" t="str">
            <v>会員区分の月額会費のサービス料金コード</v>
          </cell>
        </row>
        <row r="203">
          <cell r="B203">
            <v>258</v>
          </cell>
          <cell r="C203" t="str">
            <v>元利用№</v>
          </cell>
          <cell r="K203" t="str">
            <v>MRNO</v>
          </cell>
          <cell r="M203" t="str">
            <v>A</v>
          </cell>
          <cell r="N203">
            <v>9</v>
          </cell>
          <cell r="O203" t="str">
            <v/>
          </cell>
          <cell r="Q203" t="str">
            <v>利用情報の追加、変更、削除時の元利用Ｎｏ</v>
          </cell>
        </row>
        <row r="204">
          <cell r="B204">
            <v>272</v>
          </cell>
          <cell r="C204" t="str">
            <v>更新時刻</v>
          </cell>
          <cell r="K204" t="str">
            <v>UPTN</v>
          </cell>
          <cell r="L204" t="str">
            <v>UPTM</v>
          </cell>
          <cell r="M204" t="str">
            <v>S</v>
          </cell>
          <cell r="N204">
            <v>6</v>
          </cell>
          <cell r="O204" t="str">
            <v/>
          </cell>
          <cell r="Q204" t="str">
            <v>更新時刻</v>
          </cell>
        </row>
        <row r="205">
          <cell r="B205">
            <v>273</v>
          </cell>
          <cell r="C205" t="str">
            <v>更新日付</v>
          </cell>
          <cell r="K205" t="str">
            <v>UPDT</v>
          </cell>
          <cell r="L205" t="str">
            <v>UPDT</v>
          </cell>
          <cell r="M205" t="str">
            <v>S</v>
          </cell>
          <cell r="N205">
            <v>8</v>
          </cell>
          <cell r="O205" t="str">
            <v/>
          </cell>
          <cell r="Q205" t="str">
            <v>更新日付</v>
          </cell>
        </row>
        <row r="206">
          <cell r="B206">
            <v>277</v>
          </cell>
          <cell r="C206" t="str">
            <v>最新番号</v>
          </cell>
          <cell r="K206" t="str">
            <v>SIBG</v>
          </cell>
          <cell r="M206" t="str">
            <v>S</v>
          </cell>
          <cell r="N206">
            <v>9</v>
          </cell>
          <cell r="O206" t="str">
            <v/>
          </cell>
          <cell r="Q206" t="str">
            <v>現在の番号</v>
          </cell>
        </row>
        <row r="207">
          <cell r="B207">
            <v>278</v>
          </cell>
          <cell r="C207" t="str">
            <v>採番ＩＤ</v>
          </cell>
          <cell r="K207" t="str">
            <v>SIID</v>
          </cell>
          <cell r="M207" t="str">
            <v>A</v>
          </cell>
          <cell r="N207">
            <v>2</v>
          </cell>
          <cell r="O207" t="str">
            <v/>
          </cell>
          <cell r="Q207" t="str">
            <v>区分内で分類分けしたい時に使用する</v>
          </cell>
        </row>
        <row r="208">
          <cell r="B208">
            <v>279</v>
          </cell>
          <cell r="C208" t="str">
            <v>採番区分</v>
          </cell>
          <cell r="K208" t="str">
            <v>SIBK</v>
          </cell>
          <cell r="M208" t="str">
            <v>A</v>
          </cell>
          <cell r="N208">
            <v>4</v>
          </cell>
          <cell r="O208" t="str">
            <v/>
          </cell>
          <cell r="Q208" t="str">
            <v>採番の種類を区分する</v>
          </cell>
        </row>
        <row r="209">
          <cell r="B209">
            <v>280</v>
          </cell>
          <cell r="C209" t="str">
            <v>在庫数</v>
          </cell>
          <cell r="K209" t="str">
            <v>ZAIS</v>
          </cell>
          <cell r="M209" t="str">
            <v>P</v>
          </cell>
          <cell r="N209">
            <v>5</v>
          </cell>
          <cell r="O209" t="str">
            <v/>
          </cell>
          <cell r="Q209" t="str">
            <v>ＰＯＳデータの在庫数</v>
          </cell>
        </row>
        <row r="210">
          <cell r="B210">
            <v>281</v>
          </cell>
          <cell r="C210" t="str">
            <v>仕入先コード</v>
          </cell>
          <cell r="K210" t="str">
            <v>SIRC</v>
          </cell>
          <cell r="M210" t="str">
            <v>A</v>
          </cell>
          <cell r="N210">
            <v>4</v>
          </cell>
          <cell r="O210" t="str">
            <v/>
          </cell>
          <cell r="Q210" t="str">
            <v>仕入先コード</v>
          </cell>
        </row>
        <row r="211">
          <cell r="B211">
            <v>283</v>
          </cell>
          <cell r="C211" t="str">
            <v>仕入先名</v>
          </cell>
          <cell r="K211" t="str">
            <v>SIRN</v>
          </cell>
          <cell r="M211" t="str">
            <v>O</v>
          </cell>
          <cell r="N211">
            <v>42</v>
          </cell>
          <cell r="O211" t="str">
            <v/>
          </cell>
          <cell r="Q211" t="str">
            <v>仕入先名</v>
          </cell>
        </row>
        <row r="212">
          <cell r="B212">
            <v>284</v>
          </cell>
          <cell r="C212" t="str">
            <v>仕入先名カナ</v>
          </cell>
          <cell r="K212" t="str">
            <v>SIRM</v>
          </cell>
          <cell r="M212" t="str">
            <v>A</v>
          </cell>
          <cell r="N212">
            <v>20</v>
          </cell>
          <cell r="O212" t="str">
            <v/>
          </cell>
          <cell r="Q212" t="str">
            <v>仕入先名カナ</v>
          </cell>
        </row>
        <row r="213">
          <cell r="B213">
            <v>285</v>
          </cell>
          <cell r="C213" t="str">
            <v>仕入先略称名</v>
          </cell>
          <cell r="K213" t="str">
            <v>SIRR</v>
          </cell>
          <cell r="M213" t="str">
            <v>O</v>
          </cell>
          <cell r="N213">
            <v>22</v>
          </cell>
          <cell r="O213" t="str">
            <v/>
          </cell>
          <cell r="Q213" t="str">
            <v>仕入先略称名</v>
          </cell>
        </row>
        <row r="214">
          <cell r="B214">
            <v>286</v>
          </cell>
          <cell r="C214" t="str">
            <v>使用開始日付</v>
          </cell>
          <cell r="K214" t="str">
            <v>SISD</v>
          </cell>
          <cell r="L214" t="str">
            <v>SISTDT</v>
          </cell>
          <cell r="M214" t="str">
            <v>S</v>
          </cell>
          <cell r="N214">
            <v>8</v>
          </cell>
          <cell r="O214" t="str">
            <v/>
          </cell>
          <cell r="Q214" t="str">
            <v>データの使用開始日付</v>
          </cell>
        </row>
        <row r="215">
          <cell r="B215">
            <v>287</v>
          </cell>
          <cell r="C215" t="str">
            <v>使用終了日付</v>
          </cell>
          <cell r="K215" t="str">
            <v>SIED</v>
          </cell>
          <cell r="L215" t="str">
            <v>SIEDDT</v>
          </cell>
          <cell r="M215" t="str">
            <v>S</v>
          </cell>
          <cell r="N215">
            <v>8</v>
          </cell>
          <cell r="O215" t="str">
            <v/>
          </cell>
          <cell r="Q215" t="str">
            <v>データの使用開始日付</v>
          </cell>
        </row>
        <row r="216">
          <cell r="B216">
            <v>288</v>
          </cell>
          <cell r="C216" t="str">
            <v>市外局番</v>
          </cell>
          <cell r="K216" t="str">
            <v>STEL</v>
          </cell>
          <cell r="L216" t="str">
            <v>STEL</v>
          </cell>
          <cell r="M216" t="str">
            <v>A</v>
          </cell>
          <cell r="N216">
            <v>6</v>
          </cell>
          <cell r="O216" t="str">
            <v/>
          </cell>
          <cell r="Q216" t="str">
            <v>市外局番</v>
          </cell>
        </row>
        <row r="217">
          <cell r="B217">
            <v>289</v>
          </cell>
          <cell r="C217" t="str">
            <v>支店コード</v>
          </cell>
          <cell r="K217" t="str">
            <v>SITC</v>
          </cell>
          <cell r="M217" t="str">
            <v>A</v>
          </cell>
          <cell r="N217">
            <v>3</v>
          </cell>
          <cell r="O217" t="str">
            <v/>
          </cell>
          <cell r="Q217" t="str">
            <v>固定値＝スペース</v>
          </cell>
        </row>
        <row r="218">
          <cell r="B218">
            <v>290</v>
          </cell>
          <cell r="C218" t="str">
            <v>支払区分</v>
          </cell>
          <cell r="K218" t="str">
            <v>SITK</v>
          </cell>
          <cell r="L218" t="str">
            <v>SITK</v>
          </cell>
          <cell r="M218" t="str">
            <v>A</v>
          </cell>
          <cell r="N218">
            <v>2</v>
          </cell>
          <cell r="O218" t="str">
            <v/>
          </cell>
          <cell r="Q218" t="str">
            <v>１：現金、２：クレジット、３：プリペイド ４：アクセス権、９：事業会社</v>
          </cell>
        </row>
        <row r="219">
          <cell r="B219">
            <v>291</v>
          </cell>
          <cell r="C219" t="str">
            <v>支払先コード</v>
          </cell>
          <cell r="K219" t="str">
            <v>SISC</v>
          </cell>
          <cell r="M219" t="str">
            <v>A</v>
          </cell>
          <cell r="N219">
            <v>4</v>
          </cell>
          <cell r="O219" t="str">
            <v/>
          </cell>
          <cell r="Q219" t="str">
            <v>支払先コード</v>
          </cell>
        </row>
        <row r="220">
          <cell r="B220">
            <v>293</v>
          </cell>
          <cell r="C220" t="str">
            <v>自動更新型期間権区分</v>
          </cell>
          <cell r="K220" t="str">
            <v>JUKK</v>
          </cell>
          <cell r="L220" t="str">
            <v>JUKK</v>
          </cell>
          <cell r="M220" t="str">
            <v>A</v>
          </cell>
          <cell r="N220">
            <v>2</v>
          </cell>
          <cell r="O220" t="str">
            <v/>
          </cell>
          <cell r="Q220" t="str">
            <v>１：自動更新</v>
          </cell>
        </row>
        <row r="221">
          <cell r="B221">
            <v>294</v>
          </cell>
          <cell r="C221" t="str">
            <v>実売数量</v>
          </cell>
          <cell r="K221" t="str">
            <v>JURS</v>
          </cell>
          <cell r="M221" t="str">
            <v>P</v>
          </cell>
          <cell r="N221">
            <v>5</v>
          </cell>
          <cell r="O221" t="str">
            <v/>
          </cell>
          <cell r="Q221" t="str">
            <v>ＰＯＳデータの実売数量</v>
          </cell>
        </row>
        <row r="222">
          <cell r="B222">
            <v>295</v>
          </cell>
          <cell r="C222" t="str">
            <v>取扱年月日</v>
          </cell>
          <cell r="K222" t="str">
            <v>TRAD</v>
          </cell>
          <cell r="M222" t="str">
            <v>S</v>
          </cell>
          <cell r="N222">
            <v>6</v>
          </cell>
          <cell r="O222" t="str">
            <v/>
          </cell>
          <cell r="Q222" t="str">
            <v>磁気テープを作成した日付、西暦年の下2桁と月日</v>
          </cell>
        </row>
        <row r="223">
          <cell r="B223">
            <v>296</v>
          </cell>
          <cell r="C223" t="str">
            <v>取引コード</v>
          </cell>
          <cell r="K223" t="str">
            <v>TRAC</v>
          </cell>
          <cell r="M223" t="str">
            <v>S</v>
          </cell>
          <cell r="N223">
            <v>1</v>
          </cell>
          <cell r="O223" t="str">
            <v/>
          </cell>
          <cell r="Q223" t="str">
            <v>固定値＝スペース</v>
          </cell>
        </row>
        <row r="224">
          <cell r="B224">
            <v>297</v>
          </cell>
          <cell r="C224" t="str">
            <v>取引後プリペイド残高</v>
          </cell>
          <cell r="K224" t="str">
            <v>TRPZ</v>
          </cell>
          <cell r="L224" t="str">
            <v>TPRZAN</v>
          </cell>
          <cell r="M224" t="str">
            <v>P</v>
          </cell>
          <cell r="N224">
            <v>7</v>
          </cell>
          <cell r="O224" t="str">
            <v/>
          </cell>
          <cell r="Q224" t="str">
            <v>プリペイド支払時のプリペイド残高</v>
          </cell>
        </row>
        <row r="225">
          <cell r="B225">
            <v>298</v>
          </cell>
          <cell r="C225" t="str">
            <v>取引時刻</v>
          </cell>
          <cell r="K225" t="str">
            <v>TRAM</v>
          </cell>
          <cell r="L225" t="str">
            <v>TORTIM</v>
          </cell>
          <cell r="M225" t="str">
            <v>S</v>
          </cell>
          <cell r="N225">
            <v>6</v>
          </cell>
          <cell r="O225" t="str">
            <v/>
          </cell>
          <cell r="Q225" t="str">
            <v>取引日付</v>
          </cell>
        </row>
        <row r="226">
          <cell r="B226">
            <v>299</v>
          </cell>
          <cell r="C226" t="str">
            <v>取引種別（取引区分）</v>
          </cell>
          <cell r="K226" t="str">
            <v>TRSB</v>
          </cell>
          <cell r="M226" t="str">
            <v>S</v>
          </cell>
          <cell r="N226">
            <v>2</v>
          </cell>
          <cell r="O226" t="str">
            <v/>
          </cell>
          <cell r="Q226" t="str">
            <v>1回払い：１０、ボーナス1回：２１ 以外はエラー</v>
          </cell>
        </row>
        <row r="227">
          <cell r="B227">
            <v>301</v>
          </cell>
          <cell r="C227" t="str">
            <v>取引日付</v>
          </cell>
          <cell r="K227" t="str">
            <v>TRHD</v>
          </cell>
          <cell r="L227" t="str">
            <v>TRHD</v>
          </cell>
          <cell r="M227" t="str">
            <v>S</v>
          </cell>
          <cell r="N227">
            <v>8</v>
          </cell>
          <cell r="O227" t="str">
            <v/>
          </cell>
          <cell r="Q227" t="str">
            <v>データの発生した日付</v>
          </cell>
        </row>
        <row r="228">
          <cell r="B228">
            <v>302</v>
          </cell>
          <cell r="C228" t="str">
            <v>集計レベル</v>
          </cell>
          <cell r="K228" t="str">
            <v>SYLE</v>
          </cell>
          <cell r="M228" t="str">
            <v>S</v>
          </cell>
          <cell r="N228">
            <v>1</v>
          </cell>
          <cell r="O228" t="str">
            <v/>
          </cell>
          <cell r="Q228" t="str">
            <v>ＦＩ×４</v>
          </cell>
        </row>
        <row r="229">
          <cell r="B229">
            <v>303</v>
          </cell>
          <cell r="C229" t="str">
            <v>集計年月日</v>
          </cell>
          <cell r="K229" t="str">
            <v>SYMD</v>
          </cell>
          <cell r="M229" t="str">
            <v>S</v>
          </cell>
          <cell r="N229">
            <v>6</v>
          </cell>
          <cell r="O229" t="str">
            <v/>
          </cell>
          <cell r="Q229" t="str">
            <v>売上表を報告するための会社の締め切り日を、西暦年の下2桁と月日</v>
          </cell>
        </row>
        <row r="230">
          <cell r="B230">
            <v>304</v>
          </cell>
          <cell r="C230" t="str">
            <v>集配信抽出ステータス</v>
          </cell>
          <cell r="K230" t="str">
            <v>SHST</v>
          </cell>
          <cell r="M230" t="str">
            <v>A</v>
          </cell>
          <cell r="N230">
            <v>2</v>
          </cell>
          <cell r="O230" t="str">
            <v/>
          </cell>
          <cell r="Q230" t="str">
            <v>００：初期値、０１：抽出済、０２：ＣＤの場合仮抽出、０３：ＮＥＴの場合仮抽出、１０：再抽出待ち、２ｘ：業務エラー各種、５ｘ：システム系エラー各種</v>
          </cell>
        </row>
        <row r="231">
          <cell r="B231">
            <v>305</v>
          </cell>
          <cell r="C231" t="str">
            <v>集配信抽出処理日時</v>
          </cell>
          <cell r="K231" t="str">
            <v>SCDT</v>
          </cell>
          <cell r="M231" t="str">
            <v>S</v>
          </cell>
          <cell r="N231">
            <v>14</v>
          </cell>
          <cell r="O231" t="str">
            <v/>
          </cell>
          <cell r="Q231" t="str">
            <v>抽出ステータスを更新した日時</v>
          </cell>
        </row>
        <row r="232">
          <cell r="B232">
            <v>306</v>
          </cell>
          <cell r="C232" t="str">
            <v>住所１（都道府県）</v>
          </cell>
          <cell r="K232" t="str">
            <v>JYU1</v>
          </cell>
          <cell r="L232" t="str">
            <v>TDHK</v>
          </cell>
          <cell r="M232" t="str">
            <v>O</v>
          </cell>
          <cell r="N232">
            <v>12</v>
          </cell>
          <cell r="O232" t="str">
            <v/>
          </cell>
          <cell r="Q232" t="str">
            <v>都道府県</v>
          </cell>
        </row>
        <row r="233">
          <cell r="B233">
            <v>307</v>
          </cell>
          <cell r="C233" t="str">
            <v>住所２（市区町村）</v>
          </cell>
          <cell r="K233" t="str">
            <v>JYU2</v>
          </cell>
          <cell r="L233" t="str">
            <v>SICHSN</v>
          </cell>
          <cell r="M233" t="str">
            <v>O</v>
          </cell>
          <cell r="N233">
            <v>42</v>
          </cell>
          <cell r="O233" t="str">
            <v/>
          </cell>
          <cell r="Q233" t="str">
            <v>市区町村</v>
          </cell>
        </row>
        <row r="234">
          <cell r="B234">
            <v>308</v>
          </cell>
          <cell r="C234" t="str">
            <v>住所３（番地）</v>
          </cell>
          <cell r="K234" t="str">
            <v>JYU3</v>
          </cell>
          <cell r="L234" t="str">
            <v>BANCHI</v>
          </cell>
          <cell r="M234" t="str">
            <v>O</v>
          </cell>
          <cell r="N234">
            <v>62</v>
          </cell>
          <cell r="O234" t="str">
            <v/>
          </cell>
          <cell r="Q234" t="str">
            <v>番地 その他</v>
          </cell>
        </row>
        <row r="235">
          <cell r="B235">
            <v>309</v>
          </cell>
          <cell r="C235" t="str">
            <v>住所コード（市区町村）</v>
          </cell>
          <cell r="K235" t="str">
            <v>JYUC</v>
          </cell>
          <cell r="L235" t="str">
            <v>JYUC</v>
          </cell>
          <cell r="M235" t="str">
            <v>A</v>
          </cell>
          <cell r="N235">
            <v>3</v>
          </cell>
          <cell r="O235" t="str">
            <v/>
          </cell>
          <cell r="Q235" t="str">
            <v>日本行政区各便</v>
          </cell>
        </row>
        <row r="236">
          <cell r="B236" t="str">
            <v>削除</v>
          </cell>
          <cell r="C236" t="str">
            <v>処理区分</v>
          </cell>
          <cell r="K236" t="str">
            <v>SYRK</v>
          </cell>
          <cell r="L236" t="str">
            <v>SHOKB</v>
          </cell>
          <cell r="M236" t="str">
            <v>A</v>
          </cell>
          <cell r="N236">
            <v>1</v>
          </cell>
          <cell r="O236" t="str">
            <v/>
          </cell>
          <cell r="Q236" t="str">
            <v>１：追加、２：変更、３：削除   　　　　　　　　　　　　　　　　　　３１０</v>
          </cell>
        </row>
        <row r="237">
          <cell r="B237" t="str">
            <v>削除</v>
          </cell>
          <cell r="C237" t="str">
            <v>処理結果コード</v>
          </cell>
          <cell r="K237" t="str">
            <v xml:space="preserve"> </v>
          </cell>
          <cell r="L237" t="str">
            <v>SHKKCD</v>
          </cell>
          <cell r="M237" t="str">
            <v>A</v>
          </cell>
          <cell r="N237">
            <v>1</v>
          </cell>
          <cell r="O237" t="str">
            <v/>
          </cell>
          <cell r="Q237" t="str">
            <v>ＤＤＷで集配信処理した結果コード、電文からセット　　　　 ３１１</v>
          </cell>
        </row>
        <row r="238">
          <cell r="B238">
            <v>312</v>
          </cell>
          <cell r="C238" t="str">
            <v>処理日時</v>
          </cell>
          <cell r="K238" t="str">
            <v>SYRD</v>
          </cell>
          <cell r="L238" t="str">
            <v>SYRD</v>
          </cell>
          <cell r="M238" t="str">
            <v>S</v>
          </cell>
          <cell r="N238">
            <v>14</v>
          </cell>
          <cell r="O238" t="str">
            <v/>
          </cell>
          <cell r="Q238" t="str">
            <v>最新のステータス履歴処理日時</v>
          </cell>
        </row>
        <row r="239">
          <cell r="B239">
            <v>313</v>
          </cell>
          <cell r="C239" t="str">
            <v>初回請求年月</v>
          </cell>
          <cell r="K239" t="str">
            <v>SSED</v>
          </cell>
          <cell r="M239" t="str">
            <v>A</v>
          </cell>
          <cell r="N239">
            <v>4</v>
          </cell>
          <cell r="O239" t="str">
            <v/>
          </cell>
          <cell r="Q239" t="str">
            <v>取引種別「２１」のとき、年月がセット。以外はスペース 以外はエラー</v>
          </cell>
        </row>
        <row r="240">
          <cell r="B240">
            <v>326</v>
          </cell>
          <cell r="C240" t="str">
            <v>商品コード</v>
          </cell>
          <cell r="K240" t="str">
            <v>SHCD</v>
          </cell>
          <cell r="L240" t="str">
            <v>SHCD</v>
          </cell>
          <cell r="M240" t="str">
            <v>A</v>
          </cell>
          <cell r="N240">
            <v>5</v>
          </cell>
          <cell r="O240" t="str">
            <v/>
          </cell>
          <cell r="Q240" t="str">
            <v>商品をユニークにするコード</v>
          </cell>
        </row>
        <row r="241">
          <cell r="B241">
            <v>327</v>
          </cell>
          <cell r="C241" t="str">
            <v>商品コード区分</v>
          </cell>
          <cell r="K241" t="str">
            <v>SHCK</v>
          </cell>
          <cell r="M241" t="str">
            <v>A</v>
          </cell>
          <cell r="N241">
            <v>2</v>
          </cell>
          <cell r="O241" t="str">
            <v/>
          </cell>
          <cell r="Q241" t="str">
            <v>ＴＵＴＡＹＡの商品コード区分</v>
          </cell>
        </row>
        <row r="242">
          <cell r="B242">
            <v>328</v>
          </cell>
          <cell r="C242" t="str">
            <v>商品説明文１</v>
          </cell>
          <cell r="K242" t="str">
            <v>SHN1</v>
          </cell>
          <cell r="L242" t="str">
            <v>SHN1</v>
          </cell>
          <cell r="M242" t="str">
            <v>O</v>
          </cell>
          <cell r="N242">
            <v>72</v>
          </cell>
          <cell r="O242" t="str">
            <v/>
          </cell>
          <cell r="Q242" t="str">
            <v>商品説明文（ＤＤＷ用）</v>
          </cell>
        </row>
        <row r="243">
          <cell r="B243">
            <v>329</v>
          </cell>
          <cell r="C243" t="str">
            <v>商品番号／ＪＡＮコード</v>
          </cell>
          <cell r="K243" t="str">
            <v>SHJA</v>
          </cell>
          <cell r="M243" t="str">
            <v>S</v>
          </cell>
          <cell r="N243">
            <v>13</v>
          </cell>
          <cell r="O243" t="str">
            <v/>
          </cell>
          <cell r="Q243" t="str">
            <v>ディスクのユニークなシリアル番号</v>
          </cell>
        </row>
        <row r="244">
          <cell r="B244">
            <v>330</v>
          </cell>
          <cell r="C244" t="str">
            <v>商品名</v>
          </cell>
          <cell r="K244" t="str">
            <v>SHNN</v>
          </cell>
          <cell r="L244" t="str">
            <v>SHNN</v>
          </cell>
          <cell r="M244" t="str">
            <v>O</v>
          </cell>
          <cell r="N244">
            <v>42</v>
          </cell>
          <cell r="O244" t="str">
            <v/>
          </cell>
          <cell r="Q244" t="str">
            <v>商品名</v>
          </cell>
        </row>
        <row r="245">
          <cell r="B245">
            <v>331</v>
          </cell>
          <cell r="C245" t="str">
            <v>商品名カナ</v>
          </cell>
          <cell r="K245" t="str">
            <v>SHNM</v>
          </cell>
          <cell r="L245" t="str">
            <v>SHNM</v>
          </cell>
          <cell r="M245" t="str">
            <v>A</v>
          </cell>
          <cell r="N245">
            <v>20</v>
          </cell>
          <cell r="O245" t="str">
            <v/>
          </cell>
          <cell r="Q245" t="str">
            <v>商品名カナ</v>
          </cell>
        </row>
        <row r="246">
          <cell r="B246">
            <v>332</v>
          </cell>
          <cell r="C246" t="str">
            <v>商品略称名</v>
          </cell>
          <cell r="K246" t="str">
            <v>SHNR</v>
          </cell>
          <cell r="L246" t="str">
            <v>SHNR</v>
          </cell>
          <cell r="M246" t="str">
            <v>O</v>
          </cell>
          <cell r="N246">
            <v>22</v>
          </cell>
          <cell r="O246" t="str">
            <v/>
          </cell>
          <cell r="Q246" t="str">
            <v>商品略称名</v>
          </cell>
        </row>
        <row r="247">
          <cell r="B247">
            <v>333</v>
          </cell>
          <cell r="C247" t="str">
            <v>商品連絡先ＴＥＬ番号</v>
          </cell>
          <cell r="K247" t="str">
            <v>SHRT</v>
          </cell>
          <cell r="M247" t="str">
            <v>A</v>
          </cell>
          <cell r="N247">
            <v>15</v>
          </cell>
          <cell r="O247" t="str">
            <v/>
          </cell>
          <cell r="Q247" t="str">
            <v>商品の担当連絡先</v>
          </cell>
        </row>
        <row r="248">
          <cell r="B248">
            <v>338</v>
          </cell>
          <cell r="C248" t="str">
            <v>承認番号</v>
          </cell>
          <cell r="K248" t="str">
            <v>SNBG</v>
          </cell>
          <cell r="M248" t="str">
            <v>A</v>
          </cell>
          <cell r="N248">
            <v>6</v>
          </cell>
          <cell r="O248" t="str">
            <v/>
          </cell>
          <cell r="Q248" t="str">
            <v>英数字左詰め。6桁以下の時、余りスペース</v>
          </cell>
        </row>
        <row r="249">
          <cell r="B249">
            <v>339</v>
          </cell>
          <cell r="C249" t="str">
            <v>消費税区分</v>
          </cell>
          <cell r="K249" t="str">
            <v>SZEK</v>
          </cell>
          <cell r="M249" t="str">
            <v>A</v>
          </cell>
          <cell r="N249">
            <v>2</v>
          </cell>
          <cell r="O249" t="str">
            <v/>
          </cell>
          <cell r="Q249" t="str">
            <v>１：課税、２：非課税、３：課税対象外、４：輸入、 等</v>
          </cell>
        </row>
        <row r="250">
          <cell r="B250">
            <v>340</v>
          </cell>
          <cell r="C250" t="str">
            <v>消費税区分名称</v>
          </cell>
          <cell r="K250" t="str">
            <v>SZEN</v>
          </cell>
          <cell r="M250" t="str">
            <v>O</v>
          </cell>
          <cell r="N250">
            <v>22</v>
          </cell>
          <cell r="O250" t="str">
            <v/>
          </cell>
          <cell r="Q250" t="str">
            <v>消費税区分の名称</v>
          </cell>
        </row>
        <row r="251">
          <cell r="B251">
            <v>341</v>
          </cell>
          <cell r="C251" t="str">
            <v>消費税内外区分</v>
          </cell>
          <cell r="K251" t="str">
            <v>SZNK</v>
          </cell>
          <cell r="M251" t="str">
            <v>A</v>
          </cell>
          <cell r="N251">
            <v>2</v>
          </cell>
          <cell r="O251" t="str">
            <v/>
          </cell>
          <cell r="Q251" t="str">
            <v>１：内税、２：外税</v>
          </cell>
        </row>
        <row r="252">
          <cell r="B252">
            <v>344</v>
          </cell>
          <cell r="C252" t="str">
            <v>上限会員数</v>
          </cell>
          <cell r="K252" t="str">
            <v>MXKS</v>
          </cell>
          <cell r="M252" t="str">
            <v>P</v>
          </cell>
          <cell r="N252">
            <v>7</v>
          </cell>
          <cell r="O252" t="str">
            <v/>
          </cell>
          <cell r="Q252" t="str">
            <v>計算時の上限会員数</v>
          </cell>
        </row>
        <row r="253">
          <cell r="B253">
            <v>345</v>
          </cell>
          <cell r="C253" t="str">
            <v>上限販売数量</v>
          </cell>
          <cell r="K253" t="str">
            <v>MXUS</v>
          </cell>
          <cell r="M253" t="str">
            <v>P</v>
          </cell>
          <cell r="N253">
            <v>7</v>
          </cell>
          <cell r="O253" t="str">
            <v/>
          </cell>
          <cell r="Q253" t="str">
            <v>計算時の上限販売数量</v>
          </cell>
        </row>
        <row r="254">
          <cell r="B254">
            <v>346</v>
          </cell>
          <cell r="C254" t="str">
            <v>新会員番号</v>
          </cell>
          <cell r="K254" t="str">
            <v>SKNB</v>
          </cell>
          <cell r="M254" t="str">
            <v>S</v>
          </cell>
          <cell r="N254">
            <v>16</v>
          </cell>
          <cell r="O254" t="str">
            <v/>
          </cell>
          <cell r="Q254" t="str">
            <v>オールＺＥＲＯ、会員番号16桁（右詰前ＺＥＲＯ）</v>
          </cell>
        </row>
        <row r="255">
          <cell r="B255">
            <v>347</v>
          </cell>
          <cell r="C255" t="str">
            <v>新有効期限</v>
          </cell>
          <cell r="K255" t="str">
            <v>SYDT</v>
          </cell>
          <cell r="M255" t="str">
            <v>S</v>
          </cell>
          <cell r="N255">
            <v>4</v>
          </cell>
          <cell r="O255" t="str">
            <v/>
          </cell>
          <cell r="Q255" t="str">
            <v>オールＺＥＲＯ、有効期限4桁（ＹＹＭＭ）</v>
          </cell>
        </row>
        <row r="256">
          <cell r="B256">
            <v>348</v>
          </cell>
          <cell r="C256" t="str">
            <v>申込№</v>
          </cell>
          <cell r="K256" t="str">
            <v>MONO</v>
          </cell>
          <cell r="M256" t="str">
            <v>A</v>
          </cell>
          <cell r="N256">
            <v>8</v>
          </cell>
          <cell r="O256" t="str">
            <v/>
          </cell>
          <cell r="Q256" t="str">
            <v>申込を特定するユニークキー  連番</v>
          </cell>
        </row>
        <row r="257">
          <cell r="B257">
            <v>349</v>
          </cell>
          <cell r="C257" t="str">
            <v>申込№枝番</v>
          </cell>
          <cell r="K257" t="str">
            <v>MOED</v>
          </cell>
          <cell r="M257" t="str">
            <v>A</v>
          </cell>
          <cell r="N257">
            <v>1</v>
          </cell>
          <cell r="O257" t="str">
            <v/>
          </cell>
          <cell r="Q257" t="str">
            <v>申込Ｎｏの枝番</v>
          </cell>
        </row>
        <row r="258">
          <cell r="B258">
            <v>350</v>
          </cell>
          <cell r="C258" t="str">
            <v>申込者氏名カナ（全角）</v>
          </cell>
          <cell r="K258" t="str">
            <v>MOS2</v>
          </cell>
          <cell r="M258" t="str">
            <v>O</v>
          </cell>
          <cell r="N258">
            <v>42</v>
          </cell>
          <cell r="O258" t="str">
            <v/>
          </cell>
          <cell r="Q258" t="str">
            <v>氏名・カナ（名字名前の間は１ブランク）</v>
          </cell>
        </row>
        <row r="259">
          <cell r="B259">
            <v>351</v>
          </cell>
          <cell r="C259" t="str">
            <v>申込者氏名漢字</v>
          </cell>
          <cell r="K259" t="str">
            <v>MOSN</v>
          </cell>
          <cell r="M259" t="str">
            <v>O</v>
          </cell>
          <cell r="N259">
            <v>42</v>
          </cell>
          <cell r="O259" t="str">
            <v/>
          </cell>
          <cell r="Q259" t="str">
            <v>氏名・漢字（名字名前の間は１ブランク）</v>
          </cell>
        </row>
        <row r="260">
          <cell r="B260">
            <v>352</v>
          </cell>
          <cell r="C260" t="str">
            <v>職業</v>
          </cell>
          <cell r="K260" t="str">
            <v>MOSY</v>
          </cell>
          <cell r="L260" t="str">
            <v>MOSY</v>
          </cell>
          <cell r="M260" t="str">
            <v>A</v>
          </cell>
          <cell r="N260">
            <v>2</v>
          </cell>
          <cell r="O260" t="str">
            <v/>
          </cell>
          <cell r="Q260" t="str">
            <v>職業区分（学生、会社員、自営業等）</v>
          </cell>
        </row>
        <row r="261">
          <cell r="B261">
            <v>353</v>
          </cell>
          <cell r="C261" t="str">
            <v>申込受付日付</v>
          </cell>
          <cell r="K261" t="str">
            <v>MOUD</v>
          </cell>
          <cell r="M261" t="str">
            <v>S</v>
          </cell>
          <cell r="N261">
            <v>8</v>
          </cell>
          <cell r="O261" t="str">
            <v/>
          </cell>
          <cell r="Q261" t="str">
            <v>西暦</v>
          </cell>
        </row>
        <row r="262">
          <cell r="B262">
            <v>354</v>
          </cell>
          <cell r="C262" t="str">
            <v>申込状況区分</v>
          </cell>
          <cell r="K262" t="str">
            <v>MOJK</v>
          </cell>
          <cell r="M262" t="str">
            <v>A</v>
          </cell>
          <cell r="N262">
            <v>2</v>
          </cell>
          <cell r="O262" t="str">
            <v/>
          </cell>
          <cell r="Q262" t="str">
            <v>１：通常、２：保留</v>
          </cell>
        </row>
        <row r="263">
          <cell r="B263">
            <v>355</v>
          </cell>
          <cell r="C263" t="str">
            <v>申込利用者氏名カナ</v>
          </cell>
          <cell r="K263" t="str">
            <v>MORM</v>
          </cell>
          <cell r="M263" t="str">
            <v>A</v>
          </cell>
          <cell r="N263">
            <v>20</v>
          </cell>
          <cell r="O263" t="str">
            <v/>
          </cell>
          <cell r="Q263" t="str">
            <v>利用者氏名のカナ</v>
          </cell>
        </row>
        <row r="264">
          <cell r="B264">
            <v>356</v>
          </cell>
          <cell r="C264" t="str">
            <v>申込利用者氏名漢字</v>
          </cell>
          <cell r="K264" t="str">
            <v>KMRN</v>
          </cell>
          <cell r="M264" t="str">
            <v>O</v>
          </cell>
          <cell r="N264">
            <v>42</v>
          </cell>
          <cell r="O264" t="str">
            <v/>
          </cell>
          <cell r="Q264" t="str">
            <v>利用者氏名の漢字</v>
          </cell>
        </row>
        <row r="265">
          <cell r="B265">
            <v>357</v>
          </cell>
          <cell r="C265" t="str">
            <v>利用者状況区分</v>
          </cell>
          <cell r="K265" t="str">
            <v>MORK</v>
          </cell>
          <cell r="L265" t="str">
            <v>MORK</v>
          </cell>
          <cell r="M265" t="str">
            <v>A</v>
          </cell>
          <cell r="N265">
            <v>2</v>
          </cell>
          <cell r="O265" t="str">
            <v/>
          </cell>
          <cell r="Q265" t="str">
            <v>利用者状況区分</v>
          </cell>
        </row>
        <row r="266">
          <cell r="B266">
            <v>359</v>
          </cell>
          <cell r="C266" t="str">
            <v>数量</v>
          </cell>
          <cell r="K266" t="str">
            <v>SURY</v>
          </cell>
          <cell r="M266" t="str">
            <v>P</v>
          </cell>
          <cell r="N266">
            <v>3</v>
          </cell>
          <cell r="O266" t="str">
            <v/>
          </cell>
          <cell r="Q266" t="str">
            <v>商品数量</v>
          </cell>
        </row>
        <row r="267">
          <cell r="B267">
            <v>360</v>
          </cell>
          <cell r="C267" t="str">
            <v>性別区分</v>
          </cell>
          <cell r="K267" t="str">
            <v>SEBK</v>
          </cell>
          <cell r="L267" t="str">
            <v>SEIK</v>
          </cell>
          <cell r="M267" t="str">
            <v>A</v>
          </cell>
          <cell r="N267">
            <v>1</v>
          </cell>
          <cell r="O267" t="str">
            <v/>
          </cell>
          <cell r="Q267" t="str">
            <v>顧客の性別（1:男 2:女）</v>
          </cell>
        </row>
        <row r="268">
          <cell r="B268">
            <v>361</v>
          </cell>
          <cell r="C268" t="str">
            <v>整理番号</v>
          </cell>
          <cell r="K268" t="str">
            <v>SEBG</v>
          </cell>
          <cell r="M268" t="str">
            <v>A</v>
          </cell>
          <cell r="N268">
            <v>6</v>
          </cell>
          <cell r="O268" t="str">
            <v/>
          </cell>
          <cell r="Q268" t="str">
            <v>ＯＣＲ伝票用一連番号</v>
          </cell>
        </row>
        <row r="269">
          <cell r="B269">
            <v>362</v>
          </cell>
          <cell r="C269" t="str">
            <v>生年月日</v>
          </cell>
          <cell r="K269" t="str">
            <v>BTDT</v>
          </cell>
          <cell r="L269" t="str">
            <v>BTDT</v>
          </cell>
          <cell r="M269" t="str">
            <v>S</v>
          </cell>
          <cell r="N269">
            <v>8</v>
          </cell>
          <cell r="O269" t="str">
            <v/>
          </cell>
          <cell r="Q269" t="str">
            <v>顧客生年月日（西暦）</v>
          </cell>
        </row>
        <row r="270">
          <cell r="B270">
            <v>365</v>
          </cell>
          <cell r="C270" t="str">
            <v>請求先コード</v>
          </cell>
          <cell r="K270" t="str">
            <v>SEIC</v>
          </cell>
          <cell r="M270" t="str">
            <v>A</v>
          </cell>
          <cell r="N270">
            <v>15</v>
          </cell>
          <cell r="O270" t="str">
            <v/>
          </cell>
          <cell r="Q270" t="str">
            <v>請求先コード</v>
          </cell>
        </row>
        <row r="271">
          <cell r="B271">
            <v>366</v>
          </cell>
          <cell r="C271" t="str">
            <v>税金額</v>
          </cell>
          <cell r="K271" t="str">
            <v>ZEIG</v>
          </cell>
          <cell r="M271" t="str">
            <v>P</v>
          </cell>
          <cell r="N271">
            <v>11</v>
          </cell>
          <cell r="O271" t="str">
            <v/>
          </cell>
          <cell r="Q271" t="str">
            <v>税金額</v>
          </cell>
        </row>
        <row r="272">
          <cell r="B272">
            <v>367</v>
          </cell>
          <cell r="C272" t="str">
            <v>税込販売金額</v>
          </cell>
          <cell r="K272" t="str">
            <v>ZIHG</v>
          </cell>
          <cell r="M272" t="str">
            <v>P</v>
          </cell>
          <cell r="N272">
            <v>11</v>
          </cell>
          <cell r="O272" t="str">
            <v/>
          </cell>
          <cell r="Q272" t="str">
            <v>売上金額＋税金額</v>
          </cell>
        </row>
        <row r="273">
          <cell r="B273">
            <v>368</v>
          </cell>
          <cell r="C273" t="str">
            <v>税送料</v>
          </cell>
          <cell r="K273" t="str">
            <v>ZISG</v>
          </cell>
          <cell r="M273" t="str">
            <v>P</v>
          </cell>
          <cell r="N273">
            <v>7</v>
          </cell>
          <cell r="O273" t="str">
            <v/>
          </cell>
          <cell r="Q273" t="str">
            <v>前ゼロでサイン付数字</v>
          </cell>
        </row>
        <row r="274">
          <cell r="B274">
            <v>369</v>
          </cell>
          <cell r="C274" t="str">
            <v>接続時刻</v>
          </cell>
          <cell r="K274" t="str">
            <v>CNET</v>
          </cell>
          <cell r="L274" t="str">
            <v>SETZTM</v>
          </cell>
          <cell r="M274" t="str">
            <v>S</v>
          </cell>
          <cell r="N274">
            <v>6</v>
          </cell>
          <cell r="O274" t="str">
            <v/>
          </cell>
          <cell r="Q274" t="str">
            <v>接続時刻</v>
          </cell>
        </row>
        <row r="275">
          <cell r="B275">
            <v>370</v>
          </cell>
          <cell r="C275" t="str">
            <v>接続日付</v>
          </cell>
          <cell r="K275" t="str">
            <v>CNED</v>
          </cell>
          <cell r="L275" t="str">
            <v>CNTSID</v>
          </cell>
          <cell r="M275" t="str">
            <v>S</v>
          </cell>
          <cell r="N275">
            <v>8</v>
          </cell>
          <cell r="O275" t="str">
            <v/>
          </cell>
          <cell r="Q275" t="str">
            <v>接続時間</v>
          </cell>
        </row>
        <row r="276">
          <cell r="B276">
            <v>374</v>
          </cell>
          <cell r="C276" t="str">
            <v>前受金区分</v>
          </cell>
          <cell r="K276" t="str">
            <v>MAUK</v>
          </cell>
          <cell r="M276" t="str">
            <v>A</v>
          </cell>
          <cell r="N276">
            <v>1</v>
          </cell>
          <cell r="O276" t="str">
            <v/>
          </cell>
          <cell r="Q276" t="str">
            <v>１：対象、２：対象外</v>
          </cell>
        </row>
        <row r="277">
          <cell r="B277">
            <v>375</v>
          </cell>
          <cell r="C277" t="str">
            <v>総売上合計</v>
          </cell>
          <cell r="K277" t="str">
            <v>SURG</v>
          </cell>
          <cell r="M277" t="str">
            <v>A</v>
          </cell>
          <cell r="N277">
            <v>11</v>
          </cell>
          <cell r="O277" t="str">
            <v/>
          </cell>
          <cell r="Q277" t="str">
            <v>データレコードの売上合計の合計額</v>
          </cell>
        </row>
        <row r="278">
          <cell r="B278">
            <v>376</v>
          </cell>
          <cell r="C278" t="str">
            <v>送信元コード</v>
          </cell>
          <cell r="K278" t="str">
            <v>SNMC</v>
          </cell>
          <cell r="M278" t="str">
            <v>A</v>
          </cell>
          <cell r="N278">
            <v>8</v>
          </cell>
          <cell r="O278" t="str">
            <v/>
          </cell>
          <cell r="Q278" t="str">
            <v>ＰＯＳデータ送信元コード</v>
          </cell>
        </row>
        <row r="279">
          <cell r="B279">
            <v>377</v>
          </cell>
          <cell r="C279" t="str">
            <v>送信先コード</v>
          </cell>
          <cell r="K279" t="str">
            <v>SNSC</v>
          </cell>
          <cell r="M279" t="str">
            <v>A</v>
          </cell>
          <cell r="N279">
            <v>8</v>
          </cell>
          <cell r="O279" t="str">
            <v/>
          </cell>
          <cell r="Q279" t="str">
            <v>ＰＯＳデータ送信先コード</v>
          </cell>
        </row>
        <row r="280">
          <cell r="B280">
            <v>378</v>
          </cell>
          <cell r="C280" t="str">
            <v>対象店舗数</v>
          </cell>
          <cell r="K280" t="str">
            <v>TTNS</v>
          </cell>
          <cell r="M280" t="str">
            <v>S</v>
          </cell>
          <cell r="N280">
            <v>4</v>
          </cell>
          <cell r="O280" t="str">
            <v/>
          </cell>
          <cell r="Q280" t="str">
            <v>ＰＯＳデータの対象店舗数</v>
          </cell>
        </row>
        <row r="281">
          <cell r="B281">
            <v>379</v>
          </cell>
          <cell r="C281" t="str">
            <v>棚卸フラグ</v>
          </cell>
          <cell r="K281" t="str">
            <v>TANF</v>
          </cell>
          <cell r="M281" t="str">
            <v>A</v>
          </cell>
          <cell r="N281">
            <v>1</v>
          </cell>
          <cell r="O281" t="str">
            <v/>
          </cell>
          <cell r="Q281" t="str">
            <v>ＰＯＳデータの棚卸フラグ</v>
          </cell>
        </row>
        <row r="282">
          <cell r="B282">
            <v>380</v>
          </cell>
          <cell r="C282" t="str">
            <v>端末識別番号ＳＳコード</v>
          </cell>
          <cell r="K282" t="str">
            <v>TMSC</v>
          </cell>
          <cell r="M282" t="str">
            <v>S</v>
          </cell>
          <cell r="N282">
            <v>2</v>
          </cell>
          <cell r="O282" t="str">
            <v/>
          </cell>
          <cell r="Q282" t="str">
            <v>給油所等の識別コード</v>
          </cell>
        </row>
        <row r="283">
          <cell r="B283">
            <v>381</v>
          </cell>
          <cell r="C283" t="str">
            <v>端末識別番号仕向会社コード</v>
          </cell>
          <cell r="K283" t="str">
            <v>TMKC</v>
          </cell>
          <cell r="M283" t="str">
            <v>S</v>
          </cell>
          <cell r="N283">
            <v>1</v>
          </cell>
          <cell r="O283" t="str">
            <v/>
          </cell>
          <cell r="Q283" t="str">
            <v>業態＋企業コード</v>
          </cell>
        </row>
        <row r="284">
          <cell r="B284">
            <v>382</v>
          </cell>
          <cell r="C284" t="str">
            <v>端末識別番号支店コード</v>
          </cell>
          <cell r="K284" t="str">
            <v>TMSS</v>
          </cell>
          <cell r="M284" t="str">
            <v>S</v>
          </cell>
          <cell r="N284">
            <v>1</v>
          </cell>
          <cell r="O284" t="str">
            <v/>
          </cell>
          <cell r="Q284" t="str">
            <v>ＤＰセンターコード</v>
          </cell>
        </row>
        <row r="285">
          <cell r="B285">
            <v>383</v>
          </cell>
          <cell r="C285" t="str">
            <v>端末処理通番</v>
          </cell>
          <cell r="K285" t="str">
            <v>TMST</v>
          </cell>
          <cell r="M285" t="str">
            <v>A</v>
          </cell>
          <cell r="N285">
            <v>8</v>
          </cell>
          <cell r="O285" t="str">
            <v/>
          </cell>
          <cell r="Q285" t="str">
            <v>ＰＯＳ売上の伝票番号</v>
          </cell>
        </row>
        <row r="286">
          <cell r="B286">
            <v>389</v>
          </cell>
          <cell r="C286" t="str">
            <v>直接送信先コード</v>
          </cell>
          <cell r="K286" t="str">
            <v>CSNC</v>
          </cell>
          <cell r="M286" t="str">
            <v>A</v>
          </cell>
          <cell r="N286">
            <v>8</v>
          </cell>
          <cell r="O286" t="str">
            <v/>
          </cell>
          <cell r="Q286" t="str">
            <v>ＰＯＳデータの直接送信先コード</v>
          </cell>
        </row>
        <row r="287">
          <cell r="B287">
            <v>390</v>
          </cell>
          <cell r="C287" t="str">
            <v>締め日</v>
          </cell>
          <cell r="K287" t="str">
            <v>SEMD</v>
          </cell>
          <cell r="M287" t="str">
            <v>S</v>
          </cell>
          <cell r="N287">
            <v>2</v>
          </cell>
          <cell r="O287" t="str">
            <v/>
          </cell>
          <cell r="Q287" t="str">
            <v>締め日</v>
          </cell>
        </row>
        <row r="288">
          <cell r="B288">
            <v>392</v>
          </cell>
          <cell r="C288" t="str">
            <v>店舗ステータス</v>
          </cell>
          <cell r="K288" t="str">
            <v>TPST</v>
          </cell>
          <cell r="M288" t="str">
            <v>A</v>
          </cell>
          <cell r="N288">
            <v>2</v>
          </cell>
          <cell r="O288" t="str">
            <v/>
          </cell>
          <cell r="Q288" t="str">
            <v>店舗のステータス区分</v>
          </cell>
        </row>
        <row r="289">
          <cell r="B289">
            <v>393</v>
          </cell>
          <cell r="C289" t="str">
            <v>店舗担当者名</v>
          </cell>
          <cell r="K289" t="str">
            <v>TPTN</v>
          </cell>
          <cell r="M289" t="str">
            <v>O</v>
          </cell>
          <cell r="N289">
            <v>42</v>
          </cell>
          <cell r="O289" t="str">
            <v/>
          </cell>
          <cell r="Q289" t="str">
            <v>店舗担当者名</v>
          </cell>
        </row>
        <row r="290">
          <cell r="B290">
            <v>394</v>
          </cell>
          <cell r="C290" t="str">
            <v>伝票区分</v>
          </cell>
          <cell r="K290" t="str">
            <v>DENK</v>
          </cell>
          <cell r="M290" t="str">
            <v>A</v>
          </cell>
          <cell r="N290">
            <v>6</v>
          </cell>
          <cell r="O290" t="str">
            <v/>
          </cell>
          <cell r="Q290" t="str">
            <v>伝票なし：０、伝票あり：１</v>
          </cell>
        </row>
        <row r="291">
          <cell r="B291">
            <v>395</v>
          </cell>
          <cell r="C291" t="str">
            <v>伝票検索キー</v>
          </cell>
          <cell r="K291" t="str">
            <v>DEKI</v>
          </cell>
          <cell r="M291" t="str">
            <v>A</v>
          </cell>
          <cell r="N291">
            <v>40</v>
          </cell>
          <cell r="O291" t="str">
            <v/>
          </cell>
          <cell r="Q291" t="str">
            <v>ｘタイプ、合計４項目以内、合計１６桁以内</v>
          </cell>
        </row>
        <row r="292">
          <cell r="B292">
            <v>396</v>
          </cell>
          <cell r="C292" t="str">
            <v>電文区分</v>
          </cell>
          <cell r="K292" t="str">
            <v>DNBK</v>
          </cell>
          <cell r="L292" t="str">
            <v>DNBNKB</v>
          </cell>
          <cell r="M292" t="str">
            <v>A</v>
          </cell>
          <cell r="N292">
            <v>2</v>
          </cell>
          <cell r="O292" t="str">
            <v/>
          </cell>
          <cell r="Q292" t="str">
            <v>新規導入開始、終了、CDｺﾋﾟｰ開始、CDｺﾋﾟｰ完了,終了</v>
          </cell>
        </row>
        <row r="293">
          <cell r="B293" t="str">
            <v>削除</v>
          </cell>
          <cell r="C293" t="str">
            <v>登録可能アドレス数</v>
          </cell>
          <cell r="K293" t="str">
            <v>AKAS</v>
          </cell>
          <cell r="L293" t="str">
            <v>TRKADS</v>
          </cell>
          <cell r="M293" t="str">
            <v>P</v>
          </cell>
          <cell r="N293">
            <v>7</v>
          </cell>
          <cell r="O293" t="str">
            <v/>
          </cell>
          <cell r="Q293" t="str">
            <v>メールサーバー登録可能アドレス数　　　　　　　　　　：３９８</v>
          </cell>
        </row>
        <row r="294">
          <cell r="B294" t="str">
            <v>削除</v>
          </cell>
          <cell r="C294" t="str">
            <v>登録済アドレス数</v>
          </cell>
          <cell r="K294" t="str">
            <v>AZAS</v>
          </cell>
          <cell r="L294" t="str">
            <v>TRZADS</v>
          </cell>
          <cell r="M294" t="str">
            <v>P</v>
          </cell>
          <cell r="N294">
            <v>7</v>
          </cell>
          <cell r="O294" t="str">
            <v/>
          </cell>
          <cell r="Q294" t="str">
            <v>メールサーバー登録済アドレス数　　　　　　　　　　　：４００</v>
          </cell>
        </row>
        <row r="295">
          <cell r="B295">
            <v>401</v>
          </cell>
          <cell r="C295" t="str">
            <v>登録先得意先コード</v>
          </cell>
          <cell r="K295" t="str">
            <v>ATOC</v>
          </cell>
          <cell r="M295" t="str">
            <v>A</v>
          </cell>
          <cell r="N295">
            <v>3</v>
          </cell>
          <cell r="O295" t="str">
            <v/>
          </cell>
          <cell r="Q295" t="str">
            <v>当面はＴＵＴＡＹＡ</v>
          </cell>
        </row>
        <row r="296">
          <cell r="B296">
            <v>403</v>
          </cell>
          <cell r="C296" t="str">
            <v>登録先得意先店舗コード</v>
          </cell>
          <cell r="K296" t="str">
            <v>ATPC</v>
          </cell>
          <cell r="M296" t="str">
            <v>A</v>
          </cell>
          <cell r="N296">
            <v>6</v>
          </cell>
          <cell r="O296" t="str">
            <v/>
          </cell>
          <cell r="Q296" t="str">
            <v>会員の登録店舗</v>
          </cell>
        </row>
        <row r="297">
          <cell r="B297">
            <v>404</v>
          </cell>
          <cell r="C297" t="str">
            <v>都道府県コード</v>
          </cell>
          <cell r="K297" t="str">
            <v>TDKC</v>
          </cell>
          <cell r="L297" t="str">
            <v>TDKC</v>
          </cell>
          <cell r="M297" t="str">
            <v>A</v>
          </cell>
          <cell r="N297">
            <v>2</v>
          </cell>
          <cell r="O297" t="str">
            <v/>
          </cell>
          <cell r="Q297" t="str">
            <v>ＪＩＳ</v>
          </cell>
        </row>
        <row r="298">
          <cell r="B298">
            <v>406</v>
          </cell>
          <cell r="C298" t="str">
            <v>得意先コード</v>
          </cell>
          <cell r="K298" t="str">
            <v>TORC</v>
          </cell>
          <cell r="M298" t="str">
            <v>A</v>
          </cell>
          <cell r="N298">
            <v>4</v>
          </cell>
          <cell r="O298" t="str">
            <v/>
          </cell>
          <cell r="Q298" t="str">
            <v>ＴＵＴＡＹＡ等の販売委託先</v>
          </cell>
        </row>
        <row r="299">
          <cell r="B299">
            <v>407</v>
          </cell>
          <cell r="C299" t="str">
            <v>得意先店舗コード</v>
          </cell>
          <cell r="K299" t="str">
            <v>TTPC</v>
          </cell>
          <cell r="L299" t="str">
            <v>TTPC</v>
          </cell>
          <cell r="M299" t="str">
            <v>A</v>
          </cell>
          <cell r="N299">
            <v>6</v>
          </cell>
          <cell r="O299" t="str">
            <v/>
          </cell>
          <cell r="Q299" t="str">
            <v>販売委託先の販売店舗。連番５桁＋チェックデジット１桁（モジュラス１０）</v>
          </cell>
        </row>
        <row r="300">
          <cell r="B300">
            <v>408</v>
          </cell>
          <cell r="C300" t="str">
            <v>得意先店舗名</v>
          </cell>
          <cell r="K300" t="str">
            <v>TTPN</v>
          </cell>
          <cell r="M300" t="str">
            <v>O</v>
          </cell>
          <cell r="N300">
            <v>42</v>
          </cell>
          <cell r="O300" t="str">
            <v/>
          </cell>
          <cell r="Q300" t="str">
            <v>取引先店舗名</v>
          </cell>
        </row>
        <row r="301">
          <cell r="B301">
            <v>409</v>
          </cell>
          <cell r="C301" t="str">
            <v>得意先店舗名カナ</v>
          </cell>
          <cell r="K301" t="str">
            <v>TTPM</v>
          </cell>
          <cell r="M301" t="str">
            <v>A</v>
          </cell>
          <cell r="N301">
            <v>20</v>
          </cell>
          <cell r="O301" t="str">
            <v/>
          </cell>
          <cell r="Q301" t="str">
            <v>取引先店舗名カナ</v>
          </cell>
        </row>
        <row r="302">
          <cell r="B302">
            <v>410</v>
          </cell>
          <cell r="C302" t="str">
            <v>得意先店舗略称名</v>
          </cell>
          <cell r="K302" t="str">
            <v>TTPR</v>
          </cell>
          <cell r="M302" t="str">
            <v>O</v>
          </cell>
          <cell r="N302">
            <v>22</v>
          </cell>
          <cell r="O302" t="str">
            <v/>
          </cell>
          <cell r="Q302" t="str">
            <v>取引先店舗略称名</v>
          </cell>
        </row>
        <row r="303">
          <cell r="B303">
            <v>411</v>
          </cell>
          <cell r="C303" t="str">
            <v>得意先略称名</v>
          </cell>
          <cell r="K303" t="str">
            <v>TORR</v>
          </cell>
          <cell r="M303" t="str">
            <v>O</v>
          </cell>
          <cell r="N303">
            <v>22</v>
          </cell>
          <cell r="O303" t="str">
            <v/>
          </cell>
          <cell r="Q303" t="str">
            <v>得意先略称名</v>
          </cell>
        </row>
        <row r="304">
          <cell r="B304">
            <v>412</v>
          </cell>
          <cell r="C304" t="str">
            <v>得意名</v>
          </cell>
          <cell r="K304" t="str">
            <v>TORN</v>
          </cell>
          <cell r="M304" t="str">
            <v>O</v>
          </cell>
          <cell r="N304">
            <v>42</v>
          </cell>
          <cell r="O304" t="str">
            <v/>
          </cell>
          <cell r="Q304" t="str">
            <v>得意先名</v>
          </cell>
        </row>
        <row r="305">
          <cell r="B305">
            <v>413</v>
          </cell>
          <cell r="C305" t="str">
            <v>得意名カナ</v>
          </cell>
          <cell r="K305" t="str">
            <v>TORM</v>
          </cell>
          <cell r="M305" t="str">
            <v>A</v>
          </cell>
          <cell r="N305">
            <v>20</v>
          </cell>
          <cell r="O305" t="str">
            <v/>
          </cell>
          <cell r="Q305" t="str">
            <v>得意先名カナ</v>
          </cell>
        </row>
        <row r="306">
          <cell r="B306">
            <v>414</v>
          </cell>
          <cell r="C306" t="str">
            <v>特約店コード</v>
          </cell>
          <cell r="K306" t="str">
            <v>TOYC</v>
          </cell>
          <cell r="M306" t="str">
            <v>A</v>
          </cell>
          <cell r="N306">
            <v>8</v>
          </cell>
          <cell r="O306" t="str">
            <v/>
          </cell>
          <cell r="Q306" t="str">
            <v>ＰＯＳデータの特約店コード</v>
          </cell>
        </row>
        <row r="307">
          <cell r="B307">
            <v>416</v>
          </cell>
          <cell r="C307" t="str">
            <v>内税分子</v>
          </cell>
          <cell r="K307" t="str">
            <v>UZBI</v>
          </cell>
          <cell r="M307" t="str">
            <v>S</v>
          </cell>
          <cell r="N307">
            <v>3</v>
          </cell>
          <cell r="O307" t="str">
            <v/>
          </cell>
          <cell r="Q307" t="str">
            <v>内税の時の計算用分子</v>
          </cell>
        </row>
        <row r="308">
          <cell r="B308">
            <v>417</v>
          </cell>
          <cell r="C308" t="str">
            <v>内税分母</v>
          </cell>
          <cell r="K308" t="str">
            <v>UZBO</v>
          </cell>
          <cell r="M308" t="str">
            <v>S</v>
          </cell>
          <cell r="N308">
            <v>3</v>
          </cell>
          <cell r="O308" t="str">
            <v/>
          </cell>
          <cell r="Q308" t="str">
            <v>内税の時の計算用分母</v>
          </cell>
        </row>
        <row r="309">
          <cell r="B309">
            <v>419</v>
          </cell>
          <cell r="C309" t="str">
            <v>ハード受取済区分</v>
          </cell>
          <cell r="K309" t="str">
            <v>HWUK</v>
          </cell>
          <cell r="M309" t="str">
            <v>A</v>
          </cell>
          <cell r="N309">
            <v>1</v>
          </cell>
          <cell r="O309" t="str">
            <v/>
          </cell>
          <cell r="Q309" t="str">
            <v>会員のスターターキット受取を管理する区分。１：受取済み</v>
          </cell>
        </row>
        <row r="310">
          <cell r="B310">
            <v>420</v>
          </cell>
          <cell r="C310" t="str">
            <v>入力会員番号</v>
          </cell>
          <cell r="K310" t="str">
            <v>IKNB</v>
          </cell>
          <cell r="M310" t="str">
            <v>S</v>
          </cell>
          <cell r="N310">
            <v>16</v>
          </cell>
          <cell r="O310" t="str">
            <v/>
          </cell>
          <cell r="Q310" t="str">
            <v>会員番号16桁（右詰前ＺＥＲＯ）</v>
          </cell>
        </row>
        <row r="311">
          <cell r="B311">
            <v>421</v>
          </cell>
          <cell r="C311" t="str">
            <v>入力件数</v>
          </cell>
          <cell r="K311" t="str">
            <v>IKNS</v>
          </cell>
          <cell r="M311" t="str">
            <v>S</v>
          </cell>
          <cell r="N311">
            <v>7</v>
          </cell>
          <cell r="O311" t="str">
            <v/>
          </cell>
          <cell r="Q311" t="str">
            <v>データレコード入力件数</v>
          </cell>
        </row>
        <row r="312">
          <cell r="B312">
            <v>422</v>
          </cell>
          <cell r="C312" t="str">
            <v>入力有効期限</v>
          </cell>
          <cell r="K312" t="str">
            <v>IYUD</v>
          </cell>
          <cell r="M312" t="str">
            <v>S</v>
          </cell>
          <cell r="N312">
            <v>4</v>
          </cell>
          <cell r="O312" t="str">
            <v/>
          </cell>
          <cell r="Q312" t="str">
            <v>有効期限4桁（ＹＹＭＭ）</v>
          </cell>
        </row>
        <row r="313">
          <cell r="B313">
            <v>423</v>
          </cell>
          <cell r="C313" t="str">
            <v>認証コード（コンテンツ提供者用）</v>
          </cell>
          <cell r="K313" t="str">
            <v>SYCC</v>
          </cell>
          <cell r="L313" t="str">
            <v>SYCC</v>
          </cell>
          <cell r="M313" t="str">
            <v>A</v>
          </cell>
          <cell r="N313">
            <v>50</v>
          </cell>
          <cell r="O313" t="str">
            <v/>
          </cell>
          <cell r="Q313" t="str">
            <v>WebServerが認証するコード（コンテンツ提供者用）</v>
          </cell>
        </row>
        <row r="314">
          <cell r="B314">
            <v>427</v>
          </cell>
          <cell r="C314" t="str">
            <v>年月</v>
          </cell>
          <cell r="K314" t="str">
            <v>YMDD</v>
          </cell>
          <cell r="M314" t="str">
            <v>S</v>
          </cell>
          <cell r="N314">
            <v>6</v>
          </cell>
          <cell r="O314" t="str">
            <v/>
          </cell>
          <cell r="Q314" t="str">
            <v>年月</v>
          </cell>
        </row>
        <row r="315">
          <cell r="B315">
            <v>428</v>
          </cell>
          <cell r="C315" t="str">
            <v>納品数量</v>
          </cell>
          <cell r="K315" t="str">
            <v>NYSS</v>
          </cell>
          <cell r="M315" t="str">
            <v>P</v>
          </cell>
          <cell r="N315">
            <v>7</v>
          </cell>
          <cell r="O315" t="str">
            <v/>
          </cell>
          <cell r="Q315" t="str">
            <v>ＰＯＳデータの納品数量</v>
          </cell>
        </row>
        <row r="316">
          <cell r="B316">
            <v>429</v>
          </cell>
          <cell r="C316" t="str">
            <v>納品予定日付</v>
          </cell>
          <cell r="K316" t="str">
            <v>NYYD</v>
          </cell>
          <cell r="M316" t="str">
            <v>S</v>
          </cell>
          <cell r="N316">
            <v>8</v>
          </cell>
          <cell r="O316" t="str">
            <v/>
          </cell>
          <cell r="Q316" t="str">
            <v>コンテンツの納品予定日付</v>
          </cell>
        </row>
        <row r="317">
          <cell r="B317">
            <v>431</v>
          </cell>
          <cell r="C317" t="str">
            <v>配信バージョン</v>
          </cell>
          <cell r="K317" t="str">
            <v>HNVR</v>
          </cell>
          <cell r="L317" t="str">
            <v>HSVER</v>
          </cell>
          <cell r="M317" t="str">
            <v>A</v>
          </cell>
          <cell r="N317">
            <v>10</v>
          </cell>
          <cell r="O317" t="str">
            <v/>
          </cell>
          <cell r="Q317" t="str">
            <v>バージョン情報</v>
          </cell>
        </row>
        <row r="318">
          <cell r="B318">
            <v>434</v>
          </cell>
          <cell r="C318" t="str">
            <v>ＤＤＷ販売グループＩＤ</v>
          </cell>
          <cell r="K318" t="str">
            <v>DHGI</v>
          </cell>
          <cell r="M318" t="str">
            <v>A</v>
          </cell>
          <cell r="N318">
            <v>3</v>
          </cell>
          <cell r="O318" t="str">
            <v/>
          </cell>
          <cell r="Q318" t="str">
            <v>ＤＤＷをグルーピングしたグループのＩＤ</v>
          </cell>
        </row>
        <row r="319">
          <cell r="B319">
            <v>435</v>
          </cell>
          <cell r="C319" t="str">
            <v>ＤＤＷ販売グループ名</v>
          </cell>
          <cell r="K319" t="str">
            <v>DHGN</v>
          </cell>
          <cell r="M319" t="str">
            <v>O</v>
          </cell>
          <cell r="N319">
            <v>22</v>
          </cell>
          <cell r="O319" t="str">
            <v/>
          </cell>
          <cell r="Q319" t="str">
            <v>ＤＤＷをグルーピングしたグループ名称</v>
          </cell>
        </row>
        <row r="320">
          <cell r="B320">
            <v>437</v>
          </cell>
          <cell r="C320" t="str">
            <v>売り止め区分</v>
          </cell>
          <cell r="K320" t="str">
            <v>UREK</v>
          </cell>
          <cell r="L320" t="str">
            <v>UREK</v>
          </cell>
          <cell r="M320" t="str">
            <v>A</v>
          </cell>
          <cell r="N320">
            <v>1</v>
          </cell>
          <cell r="O320" t="str">
            <v/>
          </cell>
          <cell r="Q320" t="str">
            <v>１：売り止め</v>
          </cell>
        </row>
        <row r="321">
          <cell r="B321">
            <v>438</v>
          </cell>
          <cell r="C321" t="str">
            <v>売り止め日</v>
          </cell>
          <cell r="K321" t="str">
            <v>URED</v>
          </cell>
          <cell r="L321" t="str">
            <v>URED</v>
          </cell>
          <cell r="M321" t="str">
            <v>S</v>
          </cell>
          <cell r="N321">
            <v>8</v>
          </cell>
          <cell r="O321" t="str">
            <v/>
          </cell>
          <cell r="Q321" t="str">
            <v>売り止めにする日付</v>
          </cell>
        </row>
        <row r="322">
          <cell r="B322">
            <v>439</v>
          </cell>
          <cell r="C322" t="str">
            <v>売り止め理由区分</v>
          </cell>
          <cell r="K322" t="str">
            <v>URER</v>
          </cell>
          <cell r="L322" t="str">
            <v>URER</v>
          </cell>
          <cell r="M322" t="str">
            <v>A</v>
          </cell>
          <cell r="N322">
            <v>2</v>
          </cell>
          <cell r="O322" t="str">
            <v/>
          </cell>
          <cell r="Q322" t="str">
            <v>売り止めの理由を区分訳（緊急停止、バグ発生等）</v>
          </cell>
        </row>
        <row r="323">
          <cell r="B323">
            <v>440</v>
          </cell>
          <cell r="C323" t="str">
            <v>売り先ＤＤＷフラグ</v>
          </cell>
          <cell r="K323" t="str">
            <v>URDF</v>
          </cell>
          <cell r="M323" t="str">
            <v>A</v>
          </cell>
          <cell r="N323">
            <v>1</v>
          </cell>
          <cell r="O323" t="str">
            <v/>
          </cell>
          <cell r="Q323" t="str">
            <v>ＤＤＷ販売 ０：しない、１：する</v>
          </cell>
        </row>
        <row r="324">
          <cell r="B324">
            <v>441</v>
          </cell>
          <cell r="C324" t="str">
            <v>売り先ＮＥＴフラグ</v>
          </cell>
          <cell r="K324" t="str">
            <v>URNF</v>
          </cell>
          <cell r="M324" t="str">
            <v>A</v>
          </cell>
          <cell r="N324">
            <v>1</v>
          </cell>
          <cell r="O324" t="str">
            <v/>
          </cell>
          <cell r="Q324" t="str">
            <v>ＮＥＴ販売 ０：しない、１：する</v>
          </cell>
        </row>
        <row r="325">
          <cell r="B325">
            <v>442</v>
          </cell>
          <cell r="C325" t="str">
            <v>売上金額</v>
          </cell>
          <cell r="K325" t="str">
            <v>URIG</v>
          </cell>
          <cell r="M325" t="str">
            <v>P</v>
          </cell>
          <cell r="N325">
            <v>7</v>
          </cell>
          <cell r="O325" t="str">
            <v/>
          </cell>
          <cell r="Q325" t="str">
            <v>処理された金額</v>
          </cell>
        </row>
        <row r="326">
          <cell r="B326">
            <v>443</v>
          </cell>
          <cell r="C326" t="str">
            <v>売上金額（税抜）</v>
          </cell>
          <cell r="K326" t="str">
            <v>URSG</v>
          </cell>
          <cell r="M326" t="str">
            <v>P</v>
          </cell>
          <cell r="N326">
            <v>11</v>
          </cell>
          <cell r="O326" t="str">
            <v/>
          </cell>
          <cell r="Q326" t="str">
            <v>処理された金額</v>
          </cell>
        </row>
        <row r="327">
          <cell r="B327">
            <v>444</v>
          </cell>
          <cell r="C327" t="str">
            <v>売上金額合計</v>
          </cell>
          <cell r="K327" t="str">
            <v>URGG</v>
          </cell>
          <cell r="M327" t="str">
            <v>A</v>
          </cell>
          <cell r="N327">
            <v>11</v>
          </cell>
          <cell r="O327" t="str">
            <v/>
          </cell>
          <cell r="Q327" t="str">
            <v>データレコードの売上金額の合計額</v>
          </cell>
        </row>
        <row r="328">
          <cell r="B328">
            <v>445</v>
          </cell>
          <cell r="C328" t="str">
            <v>売上区分</v>
          </cell>
          <cell r="K328" t="str">
            <v>URIK</v>
          </cell>
          <cell r="L328" t="str">
            <v>URIK</v>
          </cell>
          <cell r="M328" t="str">
            <v>A</v>
          </cell>
          <cell r="N328">
            <v>2</v>
          </cell>
          <cell r="O328" t="str">
            <v/>
          </cell>
          <cell r="Q328" t="str">
            <v>１：売上２：返品、９：その他を判別</v>
          </cell>
        </row>
        <row r="329">
          <cell r="B329">
            <v>446</v>
          </cell>
          <cell r="C329" t="str">
            <v>売上件数</v>
          </cell>
          <cell r="K329" t="str">
            <v>URKS</v>
          </cell>
          <cell r="M329" t="str">
            <v>A</v>
          </cell>
          <cell r="N329">
            <v>6</v>
          </cell>
          <cell r="O329" t="str">
            <v/>
          </cell>
          <cell r="Q329" t="str">
            <v>売上票の報告件数（データレコード件数）</v>
          </cell>
        </row>
        <row r="330">
          <cell r="B330">
            <v>447</v>
          </cell>
          <cell r="C330" t="str">
            <v>売上合計</v>
          </cell>
          <cell r="K330" t="str">
            <v>URKG</v>
          </cell>
          <cell r="M330" t="str">
            <v>P</v>
          </cell>
          <cell r="N330">
            <v>7</v>
          </cell>
          <cell r="O330" t="str">
            <v/>
          </cell>
          <cell r="Q330" t="str">
            <v>前ゼロでサイン付数字</v>
          </cell>
        </row>
        <row r="331">
          <cell r="B331">
            <v>448</v>
          </cell>
          <cell r="C331" t="str">
            <v>売上仕入区分</v>
          </cell>
          <cell r="K331" t="str">
            <v>URSK</v>
          </cell>
          <cell r="M331" t="str">
            <v>A</v>
          </cell>
          <cell r="N331">
            <v>1</v>
          </cell>
          <cell r="O331" t="str">
            <v/>
          </cell>
          <cell r="Q331" t="str">
            <v>１:売上、２：仕入れ</v>
          </cell>
        </row>
        <row r="332">
          <cell r="B332">
            <v>449</v>
          </cell>
          <cell r="C332" t="str">
            <v>売上数量</v>
          </cell>
          <cell r="K332" t="str">
            <v>URSS</v>
          </cell>
          <cell r="M332" t="str">
            <v>P</v>
          </cell>
          <cell r="N332">
            <v>7</v>
          </cell>
          <cell r="O332" t="str">
            <v/>
          </cell>
          <cell r="Q332" t="str">
            <v>商品数量</v>
          </cell>
        </row>
        <row r="333">
          <cell r="B333">
            <v>450</v>
          </cell>
          <cell r="C333" t="str">
            <v>売上年月日</v>
          </cell>
          <cell r="K333" t="str">
            <v>URID</v>
          </cell>
          <cell r="M333" t="str">
            <v>S</v>
          </cell>
          <cell r="N333">
            <v>6</v>
          </cell>
          <cell r="O333" t="str">
            <v/>
          </cell>
          <cell r="Q333" t="str">
            <v>サービスを受けた日を、西暦年の下2桁と月日＊返品のときは元の売上日をセット</v>
          </cell>
        </row>
        <row r="334">
          <cell r="B334">
            <v>451</v>
          </cell>
          <cell r="C334" t="str">
            <v>発生元区分</v>
          </cell>
          <cell r="K334" t="str">
            <v>HTMK</v>
          </cell>
          <cell r="L334" t="str">
            <v>HTMK</v>
          </cell>
          <cell r="M334" t="str">
            <v>A</v>
          </cell>
          <cell r="N334">
            <v>2</v>
          </cell>
          <cell r="O334" t="str">
            <v/>
          </cell>
          <cell r="Q334" t="str">
            <v>１：６４、２：ＤＤＷを判別する</v>
          </cell>
        </row>
        <row r="335">
          <cell r="B335">
            <v>452</v>
          </cell>
          <cell r="C335" t="str">
            <v>販売開始時刻</v>
          </cell>
          <cell r="K335" t="str">
            <v>HNST</v>
          </cell>
          <cell r="L335" t="str">
            <v>HNST</v>
          </cell>
          <cell r="M335" t="str">
            <v>S</v>
          </cell>
          <cell r="N335">
            <v>6</v>
          </cell>
          <cell r="O335" t="str">
            <v/>
          </cell>
          <cell r="Q335" t="str">
            <v>有効期限（ＦＲＯＭ）</v>
          </cell>
        </row>
        <row r="336">
          <cell r="B336">
            <v>453</v>
          </cell>
          <cell r="C336" t="str">
            <v>販売開始日付</v>
          </cell>
          <cell r="K336" t="str">
            <v>HNSD</v>
          </cell>
          <cell r="L336" t="str">
            <v>HNSD</v>
          </cell>
          <cell r="M336" t="str">
            <v>S</v>
          </cell>
          <cell r="N336">
            <v>8</v>
          </cell>
          <cell r="O336" t="str">
            <v/>
          </cell>
          <cell r="Q336" t="str">
            <v>有効期限（ＦＲＯＭ）</v>
          </cell>
        </row>
        <row r="337">
          <cell r="B337">
            <v>456</v>
          </cell>
          <cell r="C337" t="str">
            <v>販売終了時刻</v>
          </cell>
          <cell r="K337" t="str">
            <v>HNET</v>
          </cell>
          <cell r="L337" t="str">
            <v>HNET</v>
          </cell>
          <cell r="M337" t="str">
            <v>S</v>
          </cell>
          <cell r="N337">
            <v>6</v>
          </cell>
          <cell r="O337" t="str">
            <v/>
          </cell>
          <cell r="Q337" t="str">
            <v>有効期限（ＴＯ）</v>
          </cell>
        </row>
        <row r="338">
          <cell r="B338">
            <v>457</v>
          </cell>
          <cell r="C338" t="str">
            <v>販売終了日付</v>
          </cell>
          <cell r="K338" t="str">
            <v>HNED</v>
          </cell>
          <cell r="L338" t="str">
            <v>HNED</v>
          </cell>
          <cell r="M338" t="str">
            <v>S</v>
          </cell>
          <cell r="N338">
            <v>8</v>
          </cell>
          <cell r="O338" t="str">
            <v/>
          </cell>
          <cell r="Q338" t="str">
            <v>有効期限（ＴＯ）</v>
          </cell>
        </row>
        <row r="339">
          <cell r="B339">
            <v>458</v>
          </cell>
          <cell r="C339" t="str">
            <v>販売価格</v>
          </cell>
          <cell r="K339" t="str">
            <v>HNKG</v>
          </cell>
          <cell r="L339" t="str">
            <v>HNKKTX</v>
          </cell>
          <cell r="M339" t="str">
            <v>P</v>
          </cell>
          <cell r="N339">
            <v>7</v>
          </cell>
          <cell r="O339" t="str">
            <v/>
          </cell>
          <cell r="Q339" t="str">
            <v>商品の単位単価</v>
          </cell>
        </row>
        <row r="340">
          <cell r="B340">
            <v>459</v>
          </cell>
          <cell r="C340" t="str">
            <v>販売価格（税抜）</v>
          </cell>
          <cell r="K340" t="str">
            <v>HNNG</v>
          </cell>
          <cell r="M340" t="str">
            <v>P</v>
          </cell>
          <cell r="N340">
            <v>7</v>
          </cell>
          <cell r="O340" t="str">
            <v/>
          </cell>
          <cell r="Q340" t="str">
            <v>商品の単位単価</v>
          </cell>
        </row>
        <row r="341">
          <cell r="B341">
            <v>460</v>
          </cell>
          <cell r="C341" t="str">
            <v>復号キー</v>
          </cell>
          <cell r="K341" t="str">
            <v>FUKI</v>
          </cell>
          <cell r="L341" t="str">
            <v>HKGKEY</v>
          </cell>
          <cell r="M341" t="str">
            <v>A</v>
          </cell>
          <cell r="N341">
            <v>50</v>
          </cell>
          <cell r="O341" t="str">
            <v/>
          </cell>
          <cell r="Q341" t="str">
            <v>暗号キー</v>
          </cell>
        </row>
        <row r="342">
          <cell r="B342">
            <v>461</v>
          </cell>
          <cell r="C342" t="str">
            <v>分割回数</v>
          </cell>
          <cell r="K342" t="str">
            <v>BUKS</v>
          </cell>
          <cell r="M342" t="str">
            <v>A</v>
          </cell>
          <cell r="N342">
            <v>3</v>
          </cell>
          <cell r="O342" t="str">
            <v/>
          </cell>
          <cell r="Q342" t="str">
            <v>1回払い、ボーナス1回：００１、ボーナス2回：００２、リボ払い：スペース、分割払い：分割回数</v>
          </cell>
        </row>
        <row r="343">
          <cell r="B343">
            <v>462</v>
          </cell>
          <cell r="C343" t="str">
            <v>分配区分</v>
          </cell>
          <cell r="K343" t="str">
            <v>BUIK</v>
          </cell>
          <cell r="M343" t="str">
            <v>A</v>
          </cell>
          <cell r="N343">
            <v>2</v>
          </cell>
          <cell r="O343" t="str">
            <v/>
          </cell>
          <cell r="Q343" t="str">
            <v>得意先等</v>
          </cell>
        </row>
        <row r="344">
          <cell r="B344">
            <v>463</v>
          </cell>
          <cell r="C344" t="str">
            <v>分配対象区分</v>
          </cell>
          <cell r="K344" t="str">
            <v>BUTK</v>
          </cell>
          <cell r="M344" t="str">
            <v>A</v>
          </cell>
          <cell r="N344">
            <v>1</v>
          </cell>
          <cell r="O344" t="str">
            <v/>
          </cell>
          <cell r="Q344" t="str">
            <v>１：対象、２：対象外</v>
          </cell>
        </row>
        <row r="345">
          <cell r="B345">
            <v>464</v>
          </cell>
          <cell r="C345" t="str">
            <v>分配率</v>
          </cell>
          <cell r="K345" t="str">
            <v>BURI</v>
          </cell>
          <cell r="M345" t="str">
            <v>S</v>
          </cell>
          <cell r="N345">
            <v>3</v>
          </cell>
          <cell r="O345">
            <v>2</v>
          </cell>
          <cell r="Q345" t="str">
            <v>掛け率</v>
          </cell>
        </row>
        <row r="346">
          <cell r="B346">
            <v>465</v>
          </cell>
          <cell r="C346" t="str">
            <v>閉店日付</v>
          </cell>
          <cell r="K346" t="str">
            <v>HEID</v>
          </cell>
          <cell r="M346" t="str">
            <v>S</v>
          </cell>
          <cell r="N346">
            <v>8</v>
          </cell>
          <cell r="O346" t="str">
            <v/>
          </cell>
          <cell r="Q346" t="str">
            <v>店舗の閉店日付</v>
          </cell>
        </row>
        <row r="347">
          <cell r="B347">
            <v>470</v>
          </cell>
          <cell r="C347" t="str">
            <v>本番保留フラグ</v>
          </cell>
          <cell r="K347" t="str">
            <v>HOHF</v>
          </cell>
          <cell r="L347" t="str">
            <v>HOHF</v>
          </cell>
          <cell r="M347" t="str">
            <v>A</v>
          </cell>
          <cell r="N347">
            <v>1</v>
          </cell>
          <cell r="O347" t="str">
            <v/>
          </cell>
          <cell r="Q347" t="str">
            <v>０：通常、１：保留</v>
          </cell>
        </row>
        <row r="348">
          <cell r="B348">
            <v>471</v>
          </cell>
          <cell r="C348" t="str">
            <v>保留処理日時</v>
          </cell>
          <cell r="K348" t="str">
            <v>HOSD</v>
          </cell>
          <cell r="M348" t="str">
            <v>S</v>
          </cell>
          <cell r="N348">
            <v>14</v>
          </cell>
          <cell r="O348" t="str">
            <v/>
          </cell>
          <cell r="Q348" t="str">
            <v>保留フラグを更新した日時</v>
          </cell>
        </row>
        <row r="349">
          <cell r="B349">
            <v>473</v>
          </cell>
          <cell r="C349" t="str">
            <v>本人確認区分</v>
          </cell>
          <cell r="K349" t="str">
            <v>HOKK</v>
          </cell>
          <cell r="M349" t="str">
            <v>A</v>
          </cell>
          <cell r="N349">
            <v>1</v>
          </cell>
          <cell r="O349" t="str">
            <v/>
          </cell>
          <cell r="Q349" t="str">
            <v>１：確認済み</v>
          </cell>
        </row>
        <row r="350">
          <cell r="B350">
            <v>475</v>
          </cell>
          <cell r="C350" t="str">
            <v>無償区分</v>
          </cell>
          <cell r="K350" t="str">
            <v>MSYK</v>
          </cell>
          <cell r="L350" t="str">
            <v>MSYK</v>
          </cell>
          <cell r="M350" t="str">
            <v>A</v>
          </cell>
          <cell r="N350">
            <v>1</v>
          </cell>
          <cell r="O350" t="str">
            <v/>
          </cell>
          <cell r="Q350" t="str">
            <v>１：有償、２：無償</v>
          </cell>
        </row>
        <row r="351">
          <cell r="B351">
            <v>476</v>
          </cell>
          <cell r="C351" t="str">
            <v>名称コード</v>
          </cell>
          <cell r="K351" t="str">
            <v>MEIC</v>
          </cell>
          <cell r="M351" t="str">
            <v>A</v>
          </cell>
          <cell r="N351">
            <v>10</v>
          </cell>
          <cell r="O351" t="str">
            <v/>
          </cell>
          <cell r="Q351" t="str">
            <v>名称コード</v>
          </cell>
        </row>
        <row r="352">
          <cell r="B352">
            <v>477</v>
          </cell>
          <cell r="C352" t="str">
            <v>名称識別コード</v>
          </cell>
          <cell r="K352" t="str">
            <v>MESC</v>
          </cell>
          <cell r="M352" t="str">
            <v>A</v>
          </cell>
          <cell r="N352">
            <v>4</v>
          </cell>
          <cell r="O352" t="str">
            <v/>
          </cell>
          <cell r="Q352" t="str">
            <v>名称識別コード</v>
          </cell>
        </row>
        <row r="353">
          <cell r="B353">
            <v>478</v>
          </cell>
          <cell r="C353" t="str">
            <v>名称情報１</v>
          </cell>
          <cell r="K353" t="str">
            <v>MEJ1</v>
          </cell>
          <cell r="M353" t="str">
            <v>O</v>
          </cell>
          <cell r="N353">
            <v>32</v>
          </cell>
          <cell r="O353" t="str">
            <v/>
          </cell>
          <cell r="Q353" t="str">
            <v>名称情報１</v>
          </cell>
        </row>
        <row r="354">
          <cell r="B354">
            <v>479</v>
          </cell>
          <cell r="C354" t="str">
            <v>名称情報２</v>
          </cell>
          <cell r="K354" t="str">
            <v>MEJ2</v>
          </cell>
          <cell r="M354" t="str">
            <v>O</v>
          </cell>
          <cell r="N354">
            <v>70</v>
          </cell>
          <cell r="O354" t="str">
            <v/>
          </cell>
          <cell r="Q354" t="str">
            <v>名称情報２</v>
          </cell>
        </row>
        <row r="355">
          <cell r="B355">
            <v>480</v>
          </cell>
          <cell r="C355" t="str">
            <v>名称情報カナ</v>
          </cell>
          <cell r="K355" t="str">
            <v>MEJM</v>
          </cell>
          <cell r="M355" t="str">
            <v>A</v>
          </cell>
          <cell r="N355">
            <v>24</v>
          </cell>
          <cell r="O355" t="str">
            <v/>
          </cell>
          <cell r="Q355" t="str">
            <v>名称情報カナ</v>
          </cell>
        </row>
        <row r="356">
          <cell r="B356">
            <v>481</v>
          </cell>
          <cell r="C356" t="str">
            <v>有効開始日付</v>
          </cell>
          <cell r="K356" t="str">
            <v>YUSD</v>
          </cell>
          <cell r="L356" t="str">
            <v>YUSD</v>
          </cell>
          <cell r="M356" t="str">
            <v>S</v>
          </cell>
          <cell r="N356">
            <v>8</v>
          </cell>
          <cell r="O356" t="str">
            <v/>
          </cell>
          <cell r="Q356" t="str">
            <v>有効開始日付</v>
          </cell>
        </row>
        <row r="357">
          <cell r="B357">
            <v>482</v>
          </cell>
          <cell r="C357" t="str">
            <v>有効期限</v>
          </cell>
          <cell r="K357" t="str">
            <v>YUKD</v>
          </cell>
          <cell r="M357" t="str">
            <v>A</v>
          </cell>
          <cell r="N357">
            <v>4</v>
          </cell>
          <cell r="O357" t="str">
            <v/>
          </cell>
          <cell r="Q357" t="str">
            <v>カード上の有効期限</v>
          </cell>
        </row>
        <row r="358">
          <cell r="B358">
            <v>483</v>
          </cell>
          <cell r="C358" t="str">
            <v>有効期限更新サイン</v>
          </cell>
          <cell r="K358" t="str">
            <v>YUSI</v>
          </cell>
          <cell r="M358" t="str">
            <v>A</v>
          </cell>
          <cell r="N358">
            <v>1</v>
          </cell>
          <cell r="O358" t="str">
            <v/>
          </cell>
          <cell r="Q358" t="str">
            <v>ＳＰＡＣＥ、「０」変更なし「１」変更あり「ｂ」スペース</v>
          </cell>
        </row>
        <row r="359">
          <cell r="B359">
            <v>484</v>
          </cell>
          <cell r="C359" t="str">
            <v>有効期限更新件数</v>
          </cell>
          <cell r="K359" t="str">
            <v>YUSS</v>
          </cell>
          <cell r="M359" t="str">
            <v>S</v>
          </cell>
          <cell r="N359">
            <v>7</v>
          </cell>
          <cell r="O359" t="str">
            <v/>
          </cell>
          <cell r="Q359" t="str">
            <v>オールＺＥＲ０、有効期限更新サイン「１」件数</v>
          </cell>
        </row>
        <row r="360">
          <cell r="B360">
            <v>485</v>
          </cell>
          <cell r="C360" t="str">
            <v>有効終了日付</v>
          </cell>
          <cell r="K360" t="str">
            <v>YUED</v>
          </cell>
          <cell r="L360" t="str">
            <v>YUED</v>
          </cell>
          <cell r="M360" t="str">
            <v>S</v>
          </cell>
          <cell r="N360">
            <v>8</v>
          </cell>
          <cell r="O360" t="str">
            <v/>
          </cell>
          <cell r="Q360" t="str">
            <v>有効終了日付</v>
          </cell>
        </row>
        <row r="361">
          <cell r="B361">
            <v>486</v>
          </cell>
          <cell r="C361" t="str">
            <v>有効性判定結果</v>
          </cell>
          <cell r="K361" t="str">
            <v>YUSH</v>
          </cell>
          <cell r="M361" t="str">
            <v>A</v>
          </cell>
          <cell r="N361">
            <v>1</v>
          </cell>
          <cell r="O361" t="str">
            <v/>
          </cell>
          <cell r="Q361" t="str">
            <v>ＳＰＡＣＥ、０：ＯＫ １：ＮＧ ２：エラー</v>
          </cell>
        </row>
        <row r="362">
          <cell r="B362">
            <v>487</v>
          </cell>
          <cell r="C362" t="str">
            <v>郵便番号</v>
          </cell>
          <cell r="K362" t="str">
            <v>YUBG</v>
          </cell>
          <cell r="L362" t="str">
            <v>YUBG</v>
          </cell>
          <cell r="M362" t="str">
            <v>A</v>
          </cell>
          <cell r="N362">
            <v>7</v>
          </cell>
          <cell r="O362" t="str">
            <v/>
          </cell>
          <cell r="Q362" t="str">
            <v>郵便番号</v>
          </cell>
        </row>
        <row r="363">
          <cell r="B363">
            <v>489</v>
          </cell>
          <cell r="C363" t="str">
            <v>予備</v>
          </cell>
          <cell r="K363" t="str">
            <v>YOBI</v>
          </cell>
          <cell r="M363" t="str">
            <v>A</v>
          </cell>
          <cell r="N363">
            <v>41</v>
          </cell>
          <cell r="O363" t="str">
            <v/>
          </cell>
          <cell r="Q363" t="str">
            <v>予備</v>
          </cell>
        </row>
        <row r="364">
          <cell r="B364">
            <v>490</v>
          </cell>
          <cell r="C364" t="str">
            <v>予備(１)</v>
          </cell>
          <cell r="K364" t="str">
            <v>YOBA</v>
          </cell>
          <cell r="M364" t="str">
            <v>A</v>
          </cell>
          <cell r="N364">
            <v>7</v>
          </cell>
          <cell r="O364" t="str">
            <v/>
          </cell>
          <cell r="Q364" t="str">
            <v>予備</v>
          </cell>
        </row>
        <row r="365">
          <cell r="B365">
            <v>491</v>
          </cell>
          <cell r="C365" t="str">
            <v>予備(２)</v>
          </cell>
          <cell r="K365" t="str">
            <v>YOBB</v>
          </cell>
          <cell r="M365" t="str">
            <v>A</v>
          </cell>
          <cell r="N365">
            <v>7</v>
          </cell>
          <cell r="O365" t="str">
            <v/>
          </cell>
          <cell r="Q365" t="str">
            <v>予備</v>
          </cell>
        </row>
        <row r="366">
          <cell r="B366">
            <v>492</v>
          </cell>
          <cell r="C366" t="str">
            <v>予備エリア</v>
          </cell>
          <cell r="K366" t="str">
            <v>YOBX</v>
          </cell>
          <cell r="M366" t="str">
            <v>A</v>
          </cell>
          <cell r="N366">
            <v>3</v>
          </cell>
          <cell r="O366" t="str">
            <v/>
          </cell>
          <cell r="Q366" t="str">
            <v>「000」固定</v>
          </cell>
        </row>
        <row r="367">
          <cell r="B367">
            <v>493</v>
          </cell>
          <cell r="C367" t="str">
            <v>予約№</v>
          </cell>
          <cell r="K367" t="str">
            <v>YONO</v>
          </cell>
          <cell r="M367" t="str">
            <v>A</v>
          </cell>
          <cell r="N367">
            <v>16</v>
          </cell>
          <cell r="O367" t="str">
            <v/>
          </cell>
          <cell r="Q367" t="str">
            <v>Ｈ／Ｗ販売の予約Ｎｏ</v>
          </cell>
        </row>
        <row r="368">
          <cell r="B368">
            <v>494</v>
          </cell>
          <cell r="C368" t="str">
            <v>余白</v>
          </cell>
          <cell r="K368" t="str">
            <v>YOHK</v>
          </cell>
          <cell r="M368" t="str">
            <v>A</v>
          </cell>
          <cell r="N368">
            <v>1</v>
          </cell>
          <cell r="O368" t="str">
            <v/>
          </cell>
          <cell r="Q368" t="str">
            <v>固定値＝スペース</v>
          </cell>
        </row>
        <row r="369">
          <cell r="B369">
            <v>495</v>
          </cell>
          <cell r="C369" t="str">
            <v>利用№</v>
          </cell>
          <cell r="K369" t="str">
            <v>RINO</v>
          </cell>
          <cell r="M369" t="str">
            <v>A</v>
          </cell>
          <cell r="N369">
            <v>11</v>
          </cell>
          <cell r="O369" t="str">
            <v/>
          </cell>
          <cell r="Q369" t="str">
            <v>種別＋№</v>
          </cell>
        </row>
        <row r="370">
          <cell r="B370">
            <v>496</v>
          </cell>
          <cell r="C370" t="str">
            <v>利用開始時刻</v>
          </cell>
          <cell r="K370" t="str">
            <v>RIST</v>
          </cell>
          <cell r="L370" t="str">
            <v>RIST</v>
          </cell>
          <cell r="M370" t="str">
            <v>S</v>
          </cell>
          <cell r="N370">
            <v>6</v>
          </cell>
          <cell r="O370" t="str">
            <v/>
          </cell>
          <cell r="Q370" t="str">
            <v>期間権の場合のサービス開始</v>
          </cell>
        </row>
        <row r="371">
          <cell r="B371">
            <v>497</v>
          </cell>
          <cell r="C371" t="str">
            <v>利用開始日付</v>
          </cell>
          <cell r="K371" t="str">
            <v>RISD</v>
          </cell>
          <cell r="L371" t="str">
            <v>RIYSDT</v>
          </cell>
          <cell r="M371" t="str">
            <v>S</v>
          </cell>
          <cell r="N371">
            <v>8</v>
          </cell>
          <cell r="O371" t="str">
            <v/>
          </cell>
          <cell r="Q371" t="str">
            <v>利用開始日付</v>
          </cell>
        </row>
        <row r="372">
          <cell r="B372">
            <v>498</v>
          </cell>
          <cell r="C372" t="str">
            <v>利用区分３</v>
          </cell>
          <cell r="K372" t="str">
            <v>RIK3</v>
          </cell>
          <cell r="L372" t="str">
            <v>RYKB3</v>
          </cell>
          <cell r="M372" t="str">
            <v>A</v>
          </cell>
          <cell r="N372">
            <v>1</v>
          </cell>
          <cell r="O372" t="str">
            <v/>
          </cell>
          <cell r="Q372" t="str">
            <v>会員区分の利用区分</v>
          </cell>
        </row>
        <row r="373">
          <cell r="B373">
            <v>499</v>
          </cell>
          <cell r="C373" t="str">
            <v>利用区分４</v>
          </cell>
          <cell r="K373" t="str">
            <v>RIK4</v>
          </cell>
          <cell r="L373" t="str">
            <v>RYKB4</v>
          </cell>
          <cell r="M373" t="str">
            <v>A</v>
          </cell>
          <cell r="N373">
            <v>1</v>
          </cell>
          <cell r="O373" t="str">
            <v/>
          </cell>
          <cell r="Q373" t="str">
            <v>会員区分の利用区分</v>
          </cell>
        </row>
        <row r="374">
          <cell r="B374">
            <v>500</v>
          </cell>
          <cell r="C374" t="str">
            <v>利用区分５</v>
          </cell>
          <cell r="K374" t="str">
            <v>RIK5</v>
          </cell>
          <cell r="L374" t="str">
            <v>RYKB5</v>
          </cell>
          <cell r="M374" t="str">
            <v>A</v>
          </cell>
          <cell r="N374">
            <v>1</v>
          </cell>
          <cell r="O374" t="str">
            <v/>
          </cell>
          <cell r="Q374" t="str">
            <v>会員区分の利用区分</v>
          </cell>
        </row>
        <row r="375">
          <cell r="B375">
            <v>501</v>
          </cell>
          <cell r="C375" t="str">
            <v>利用者氏名カナ</v>
          </cell>
          <cell r="K375" t="str">
            <v>RISM</v>
          </cell>
          <cell r="L375" t="str">
            <v>RISM</v>
          </cell>
          <cell r="M375" t="str">
            <v>A</v>
          </cell>
          <cell r="N375">
            <v>20</v>
          </cell>
          <cell r="O375" t="str">
            <v/>
          </cell>
          <cell r="Q375" t="str">
            <v>利用者氏名カナ</v>
          </cell>
        </row>
        <row r="376">
          <cell r="B376">
            <v>502</v>
          </cell>
          <cell r="C376" t="str">
            <v>利用者氏名漢字</v>
          </cell>
          <cell r="K376" t="str">
            <v>RISN</v>
          </cell>
          <cell r="L376" t="str">
            <v>RISN</v>
          </cell>
          <cell r="M376" t="str">
            <v>O</v>
          </cell>
          <cell r="N376">
            <v>42</v>
          </cell>
          <cell r="O376" t="str">
            <v/>
          </cell>
          <cell r="Q376" t="str">
            <v>利用者氏名漢字</v>
          </cell>
        </row>
        <row r="377">
          <cell r="B377" t="str">
            <v>削除</v>
          </cell>
          <cell r="C377" t="str">
            <v>利用者状況区分</v>
          </cell>
          <cell r="K377" t="str">
            <v>RIJK</v>
          </cell>
          <cell r="L377" t="str">
            <v>RIJK</v>
          </cell>
          <cell r="M377" t="str">
            <v>A</v>
          </cell>
          <cell r="N377">
            <v>2</v>
          </cell>
          <cell r="O377" t="str">
            <v/>
          </cell>
          <cell r="Q377" t="str">
            <v>利用者状況区分：５０３</v>
          </cell>
        </row>
        <row r="378">
          <cell r="B378">
            <v>504</v>
          </cell>
          <cell r="C378" t="str">
            <v>利用者職業</v>
          </cell>
          <cell r="K378" t="str">
            <v>RISY</v>
          </cell>
          <cell r="L378" t="str">
            <v>RISY</v>
          </cell>
          <cell r="M378" t="str">
            <v>A</v>
          </cell>
          <cell r="N378">
            <v>2</v>
          </cell>
          <cell r="O378" t="str">
            <v/>
          </cell>
          <cell r="Q378" t="str">
            <v>利用者職業</v>
          </cell>
        </row>
        <row r="379">
          <cell r="B379">
            <v>510</v>
          </cell>
          <cell r="C379" t="str">
            <v>連絡先ＴＥＬ番号</v>
          </cell>
          <cell r="K379" t="str">
            <v>RTLB</v>
          </cell>
          <cell r="M379" t="str">
            <v>A</v>
          </cell>
          <cell r="N379">
            <v>15</v>
          </cell>
          <cell r="O379" t="str">
            <v xml:space="preserve"> </v>
          </cell>
          <cell r="P379" t="str">
            <v xml:space="preserve"> </v>
          </cell>
          <cell r="Q379" t="str">
            <v>連絡先の電話番号（ハイフン無し）</v>
          </cell>
        </row>
        <row r="380">
          <cell r="B380">
            <v>512</v>
          </cell>
          <cell r="C380" t="str">
            <v>商品区分</v>
          </cell>
          <cell r="K380" t="str">
            <v>SHKB</v>
          </cell>
          <cell r="L380" t="str">
            <v>SYOKB</v>
          </cell>
          <cell r="M380" t="str">
            <v>A</v>
          </cell>
          <cell r="N380">
            <v>1</v>
          </cell>
          <cell r="O380" t="str">
            <v/>
          </cell>
          <cell r="Q380" t="str">
            <v>商品区分(サービスOR商品）</v>
          </cell>
        </row>
        <row r="381">
          <cell r="B381">
            <v>513</v>
          </cell>
          <cell r="C381" t="str">
            <v>サービス料金分類</v>
          </cell>
          <cell r="K381" t="str">
            <v>SBRB</v>
          </cell>
          <cell r="M381" t="str">
            <v>A</v>
          </cell>
          <cell r="N381">
            <v>2</v>
          </cell>
          <cell r="O381" t="str">
            <v/>
          </cell>
          <cell r="Q381" t="str">
            <v>サービス料金コードを分類するコード</v>
          </cell>
        </row>
        <row r="382">
          <cell r="B382">
            <v>514</v>
          </cell>
          <cell r="C382" t="str">
            <v>非商品区分</v>
          </cell>
          <cell r="K382" t="str">
            <v>HISK</v>
          </cell>
          <cell r="L382" t="str">
            <v>NSYOKB</v>
          </cell>
          <cell r="M382" t="str">
            <v>A</v>
          </cell>
          <cell r="N382">
            <v>1</v>
          </cell>
          <cell r="O382" t="str">
            <v/>
          </cell>
          <cell r="Q382" t="str">
            <v xml:space="preserve">単価のない商品を指す（１：価格なし、２：価格あり） </v>
          </cell>
        </row>
        <row r="383">
          <cell r="B383">
            <v>515</v>
          </cell>
          <cell r="C383" t="str">
            <v>アクセス用分類</v>
          </cell>
          <cell r="K383" t="str">
            <v>ACBU</v>
          </cell>
          <cell r="L383" t="str">
            <v>ACCBUN</v>
          </cell>
          <cell r="M383" t="str">
            <v>A</v>
          </cell>
          <cell r="N383">
            <v>2</v>
          </cell>
          <cell r="O383" t="str">
            <v/>
          </cell>
          <cell r="Q383" t="str">
            <v>５つの分類にする。１：ＨＷ、２：ソフト、３：コンテンツ、４：プリペイド、５：アクセス権</v>
          </cell>
        </row>
        <row r="384">
          <cell r="B384">
            <v>516</v>
          </cell>
          <cell r="C384" t="str">
            <v>プリペイド分類</v>
          </cell>
          <cell r="K384" t="str">
            <v>PRIB</v>
          </cell>
          <cell r="L384" t="str">
            <v>PRPBUN</v>
          </cell>
          <cell r="M384" t="str">
            <v>A</v>
          </cell>
          <cell r="N384">
            <v>2</v>
          </cell>
          <cell r="O384" t="str">
            <v/>
          </cell>
          <cell r="Q384" t="str">
            <v>プリペイド商品を分類する区分</v>
          </cell>
        </row>
        <row r="385">
          <cell r="B385">
            <v>517</v>
          </cell>
          <cell r="C385" t="str">
            <v>メーカー製品コード</v>
          </cell>
          <cell r="K385" t="str">
            <v>MASC</v>
          </cell>
          <cell r="M385" t="str">
            <v>A</v>
          </cell>
          <cell r="N385">
            <v>20</v>
          </cell>
          <cell r="O385" t="str">
            <v/>
          </cell>
          <cell r="Q385" t="str">
            <v>メーカー製品コード</v>
          </cell>
        </row>
        <row r="386">
          <cell r="B386">
            <v>518</v>
          </cell>
          <cell r="C386" t="str">
            <v>ＤＤソフト分類</v>
          </cell>
          <cell r="K386" t="str">
            <v>DDSB</v>
          </cell>
          <cell r="M386" t="str">
            <v>A</v>
          </cell>
          <cell r="N386">
            <v>2</v>
          </cell>
          <cell r="O386" t="str">
            <v/>
          </cell>
          <cell r="Q386" t="str">
            <v>ＤＤソフトを分類する区分</v>
          </cell>
        </row>
        <row r="387">
          <cell r="B387">
            <v>519</v>
          </cell>
          <cell r="C387" t="str">
            <v>度数</v>
          </cell>
          <cell r="K387" t="str">
            <v>DOSU</v>
          </cell>
          <cell r="L387" t="str">
            <v>DOSU</v>
          </cell>
          <cell r="M387" t="str">
            <v>P</v>
          </cell>
          <cell r="N387">
            <v>5</v>
          </cell>
          <cell r="O387" t="str">
            <v/>
          </cell>
          <cell r="Q387" t="str">
            <v>プリペイドの度数</v>
          </cell>
        </row>
        <row r="388">
          <cell r="B388">
            <v>521</v>
          </cell>
          <cell r="C388" t="str">
            <v>コンテンツ分類</v>
          </cell>
          <cell r="K388" t="str">
            <v>CNBU</v>
          </cell>
          <cell r="M388" t="str">
            <v>A</v>
          </cell>
          <cell r="N388">
            <v>2</v>
          </cell>
          <cell r="O388" t="str">
            <v/>
          </cell>
          <cell r="Q388" t="str">
            <v>コンテンツ商品を分類するコード</v>
          </cell>
        </row>
        <row r="389">
          <cell r="B389">
            <v>522</v>
          </cell>
          <cell r="C389" t="str">
            <v>コンテンツＩＤ</v>
          </cell>
          <cell r="K389" t="str">
            <v>CNID</v>
          </cell>
          <cell r="L389" t="str">
            <v>CNTSID</v>
          </cell>
          <cell r="M389" t="str">
            <v>A</v>
          </cell>
          <cell r="N389">
            <v>7</v>
          </cell>
          <cell r="O389" t="str">
            <v/>
          </cell>
          <cell r="Q389" t="str">
            <v>コンテンツをユニークにするコード</v>
          </cell>
        </row>
        <row r="390">
          <cell r="B390">
            <v>523</v>
          </cell>
          <cell r="C390" t="str">
            <v>アクセス権分類</v>
          </cell>
          <cell r="K390" t="str">
            <v>ACKB</v>
          </cell>
          <cell r="L390" t="str">
            <v>ACKNBN</v>
          </cell>
          <cell r="M390" t="str">
            <v>A</v>
          </cell>
          <cell r="N390">
            <v>2</v>
          </cell>
          <cell r="O390" t="str">
            <v/>
          </cell>
          <cell r="Q390" t="str">
            <v>アクセス権商品を分類するコード</v>
          </cell>
        </row>
        <row r="391">
          <cell r="B391">
            <v>524</v>
          </cell>
          <cell r="C391" t="str">
            <v>レコード識別コード</v>
          </cell>
          <cell r="K391" t="str">
            <v>RESC</v>
          </cell>
          <cell r="M391" t="str">
            <v>A</v>
          </cell>
          <cell r="N391">
            <v>1</v>
          </cell>
          <cell r="O391" t="str">
            <v/>
          </cell>
          <cell r="Q391" t="str">
            <v>クレジット認証のレコード識別</v>
          </cell>
        </row>
        <row r="392">
          <cell r="B392">
            <v>525</v>
          </cell>
          <cell r="C392" t="str">
            <v>代表加盟店番号</v>
          </cell>
          <cell r="K392" t="str">
            <v>DKBG</v>
          </cell>
          <cell r="M392" t="str">
            <v>A</v>
          </cell>
          <cell r="N392">
            <v>4</v>
          </cell>
          <cell r="O392" t="str">
            <v/>
          </cell>
          <cell r="Q392" t="str">
            <v>クレジット認証の代表加盟店番号</v>
          </cell>
        </row>
        <row r="393">
          <cell r="B393">
            <v>526</v>
          </cell>
          <cell r="C393" t="str">
            <v>リザーブ</v>
          </cell>
          <cell r="K393" t="str">
            <v>RIZB</v>
          </cell>
          <cell r="M393" t="str">
            <v>A</v>
          </cell>
          <cell r="N393">
            <v>1</v>
          </cell>
          <cell r="O393" t="str">
            <v/>
          </cell>
          <cell r="Q393" t="str">
            <v>クレジット認証の予備</v>
          </cell>
        </row>
        <row r="394">
          <cell r="B394">
            <v>527</v>
          </cell>
          <cell r="C394" t="str">
            <v>ファイル作成者ＩＤ</v>
          </cell>
          <cell r="K394" t="str">
            <v>FIAI</v>
          </cell>
          <cell r="M394" t="str">
            <v>A</v>
          </cell>
          <cell r="N394">
            <v>3</v>
          </cell>
          <cell r="O394" t="str">
            <v/>
          </cell>
          <cell r="Q394" t="str">
            <v>クレジット認証の作成者を認識する番号</v>
          </cell>
        </row>
        <row r="395">
          <cell r="B395">
            <v>528</v>
          </cell>
          <cell r="C395" t="str">
            <v>ファイルラベル番号</v>
          </cell>
          <cell r="K395" t="str">
            <v>FILB</v>
          </cell>
          <cell r="M395" t="str">
            <v>A</v>
          </cell>
          <cell r="N395">
            <v>7</v>
          </cell>
          <cell r="O395" t="str">
            <v/>
          </cell>
          <cell r="Q395" t="str">
            <v>クレジット認証のファイルラベルを認識する番号</v>
          </cell>
        </row>
        <row r="396">
          <cell r="B396">
            <v>529</v>
          </cell>
          <cell r="C396" t="str">
            <v>依頼ファイル作成日付</v>
          </cell>
          <cell r="K396" t="str">
            <v>IRAD</v>
          </cell>
          <cell r="M396" t="str">
            <v>A</v>
          </cell>
          <cell r="N396">
            <v>6</v>
          </cell>
          <cell r="O396" t="str">
            <v/>
          </cell>
          <cell r="Q396" t="str">
            <v>クレジット認証の作成日付</v>
          </cell>
        </row>
        <row r="397">
          <cell r="B397">
            <v>530</v>
          </cell>
          <cell r="C397" t="str">
            <v>依頼ファイル作成時刻</v>
          </cell>
          <cell r="K397" t="str">
            <v>IRAT</v>
          </cell>
          <cell r="M397" t="str">
            <v>A</v>
          </cell>
          <cell r="N397">
            <v>6</v>
          </cell>
          <cell r="O397" t="str">
            <v/>
          </cell>
          <cell r="Q397" t="str">
            <v>クレジット認証の作成時刻</v>
          </cell>
        </row>
        <row r="398">
          <cell r="B398">
            <v>531</v>
          </cell>
          <cell r="C398" t="str">
            <v>結果ファイル作成日付</v>
          </cell>
          <cell r="K398" t="str">
            <v>KFAD</v>
          </cell>
          <cell r="M398" t="str">
            <v>A</v>
          </cell>
          <cell r="N398">
            <v>6</v>
          </cell>
          <cell r="O398" t="str">
            <v/>
          </cell>
          <cell r="Q398" t="str">
            <v>クレジット認証の結果作成日付</v>
          </cell>
        </row>
        <row r="399">
          <cell r="B399">
            <v>532</v>
          </cell>
          <cell r="C399" t="str">
            <v>結果ファイル作成時刻</v>
          </cell>
          <cell r="K399" t="str">
            <v>KFAT</v>
          </cell>
          <cell r="M399" t="str">
            <v>A</v>
          </cell>
          <cell r="N399">
            <v>6</v>
          </cell>
          <cell r="O399" t="str">
            <v/>
          </cell>
          <cell r="Q399" t="str">
            <v>クレジット認証の結果作成時刻</v>
          </cell>
        </row>
        <row r="400">
          <cell r="B400">
            <v>533</v>
          </cell>
          <cell r="C400" t="str">
            <v>ファイル受付拒否区分</v>
          </cell>
          <cell r="K400" t="str">
            <v>FIKK</v>
          </cell>
          <cell r="M400" t="str">
            <v>A</v>
          </cell>
          <cell r="N400">
            <v>2</v>
          </cell>
          <cell r="O400" t="str">
            <v/>
          </cell>
          <cell r="Q400" t="str">
            <v>クレジット認証の受付拒否の区分</v>
          </cell>
        </row>
        <row r="401">
          <cell r="B401">
            <v>534</v>
          </cell>
          <cell r="C401" t="str">
            <v>データ部レコード総数</v>
          </cell>
          <cell r="K401" t="str">
            <v>DARS</v>
          </cell>
          <cell r="M401" t="str">
            <v>A</v>
          </cell>
          <cell r="N401">
            <v>6</v>
          </cell>
          <cell r="O401" t="str">
            <v/>
          </cell>
          <cell r="Q401" t="str">
            <v>クレジット認証のレコード総数</v>
          </cell>
        </row>
        <row r="402">
          <cell r="B402">
            <v>535</v>
          </cell>
          <cell r="C402" t="str">
            <v>レコード終端文字</v>
          </cell>
          <cell r="K402" t="str">
            <v>RESY</v>
          </cell>
          <cell r="M402" t="str">
            <v>A</v>
          </cell>
          <cell r="N402">
            <v>1</v>
          </cell>
          <cell r="O402" t="str">
            <v/>
          </cell>
          <cell r="Q402" t="str">
            <v>クレジット認証の終端文字</v>
          </cell>
        </row>
        <row r="403">
          <cell r="B403">
            <v>536</v>
          </cell>
          <cell r="C403" t="str">
            <v>レコード番号</v>
          </cell>
          <cell r="K403" t="str">
            <v>REBG</v>
          </cell>
          <cell r="M403" t="str">
            <v>A</v>
          </cell>
          <cell r="N403">
            <v>6</v>
          </cell>
          <cell r="O403" t="str">
            <v/>
          </cell>
          <cell r="Q403" t="str">
            <v>クレジット認証のレコード番号</v>
          </cell>
        </row>
        <row r="404">
          <cell r="B404">
            <v>537</v>
          </cell>
          <cell r="C404" t="str">
            <v>取扱種別</v>
          </cell>
          <cell r="K404" t="str">
            <v>TRSU</v>
          </cell>
          <cell r="M404" t="str">
            <v>A</v>
          </cell>
          <cell r="N404">
            <v>1</v>
          </cell>
          <cell r="O404" t="str">
            <v/>
          </cell>
          <cell r="Q404" t="str">
            <v>クレジット認証の取扱種別</v>
          </cell>
        </row>
        <row r="405">
          <cell r="B405">
            <v>538</v>
          </cell>
          <cell r="C405" t="str">
            <v>カード番号</v>
          </cell>
          <cell r="K405" t="str">
            <v>CDBG</v>
          </cell>
          <cell r="M405" t="str">
            <v>A</v>
          </cell>
          <cell r="N405">
            <v>16</v>
          </cell>
          <cell r="O405" t="str">
            <v/>
          </cell>
          <cell r="Q405" t="str">
            <v>クレジット認証時のカード番号</v>
          </cell>
        </row>
        <row r="406">
          <cell r="B406">
            <v>539</v>
          </cell>
          <cell r="C406" t="str">
            <v>カード暗証番号</v>
          </cell>
          <cell r="K406" t="str">
            <v>CDCN</v>
          </cell>
          <cell r="M406" t="str">
            <v>A</v>
          </cell>
          <cell r="N406">
            <v>4</v>
          </cell>
          <cell r="O406" t="str">
            <v/>
          </cell>
          <cell r="Q406" t="str">
            <v>クレジットＩ／Ｆカード暗証番号</v>
          </cell>
        </row>
        <row r="407">
          <cell r="B407">
            <v>540</v>
          </cell>
          <cell r="C407" t="str">
            <v>カード有効期限</v>
          </cell>
          <cell r="K407" t="str">
            <v>CDYD</v>
          </cell>
          <cell r="M407" t="str">
            <v>A</v>
          </cell>
          <cell r="N407">
            <v>4</v>
          </cell>
          <cell r="O407" t="str">
            <v/>
          </cell>
          <cell r="Q407" t="str">
            <v>クレジット認証時のカード番号有効期限</v>
          </cell>
        </row>
        <row r="408">
          <cell r="B408">
            <v>541</v>
          </cell>
          <cell r="C408" t="str">
            <v>カード売上金額</v>
          </cell>
          <cell r="K408" t="str">
            <v>CDKG</v>
          </cell>
          <cell r="M408" t="str">
            <v>A</v>
          </cell>
          <cell r="N408">
            <v>7</v>
          </cell>
          <cell r="O408" t="str">
            <v/>
          </cell>
          <cell r="Q408" t="str">
            <v>クレジット認証時の売上金額</v>
          </cell>
        </row>
        <row r="409">
          <cell r="B409">
            <v>542</v>
          </cell>
          <cell r="C409" t="str">
            <v>分割払回数</v>
          </cell>
          <cell r="K409" t="str">
            <v>BUHS</v>
          </cell>
          <cell r="M409" t="str">
            <v>A</v>
          </cell>
          <cell r="N409">
            <v>2</v>
          </cell>
          <cell r="O409" t="str">
            <v/>
          </cell>
          <cell r="Q409" t="str">
            <v>ＰＯＳデータの分割払回数</v>
          </cell>
        </row>
        <row r="410">
          <cell r="B410">
            <v>543</v>
          </cell>
          <cell r="C410" t="str">
            <v>計上年月日</v>
          </cell>
          <cell r="K410" t="str">
            <v>KIJD</v>
          </cell>
          <cell r="M410" t="str">
            <v>A</v>
          </cell>
          <cell r="N410">
            <v>7</v>
          </cell>
          <cell r="O410" t="str">
            <v/>
          </cell>
          <cell r="Q410" t="str">
            <v>クレジット認証の計上日付</v>
          </cell>
        </row>
        <row r="411">
          <cell r="B411">
            <v>544</v>
          </cell>
          <cell r="C411" t="str">
            <v>カード会社コード(CREPASS)</v>
          </cell>
          <cell r="K411" t="str">
            <v>CDCC</v>
          </cell>
          <cell r="M411" t="str">
            <v>A</v>
          </cell>
          <cell r="N411">
            <v>7</v>
          </cell>
          <cell r="O411" t="str">
            <v/>
          </cell>
          <cell r="Q411" t="str">
            <v>クレジット認証時のカード会社を判別するコード</v>
          </cell>
        </row>
        <row r="412">
          <cell r="B412">
            <v>545</v>
          </cell>
          <cell r="C412" t="str">
            <v>センター処理通番</v>
          </cell>
          <cell r="K412" t="str">
            <v>SIRE</v>
          </cell>
          <cell r="M412" t="str">
            <v>A</v>
          </cell>
          <cell r="N412">
            <v>5</v>
          </cell>
          <cell r="O412" t="str">
            <v/>
          </cell>
          <cell r="Q412" t="str">
            <v>クレジット認証のセンター通番</v>
          </cell>
        </row>
        <row r="413">
          <cell r="B413">
            <v>546</v>
          </cell>
          <cell r="C413" t="str">
            <v>センター処理日</v>
          </cell>
          <cell r="K413" t="str">
            <v>CNSD</v>
          </cell>
          <cell r="M413" t="str">
            <v>A</v>
          </cell>
          <cell r="N413">
            <v>6</v>
          </cell>
          <cell r="O413" t="str">
            <v/>
          </cell>
          <cell r="Q413" t="str">
            <v>クレジット認証のセンター処理日</v>
          </cell>
        </row>
        <row r="414">
          <cell r="B414">
            <v>547</v>
          </cell>
          <cell r="C414" t="str">
            <v>承認番号(CREPASS)</v>
          </cell>
          <cell r="K414" t="str">
            <v>SNBC</v>
          </cell>
          <cell r="M414" t="str">
            <v>A</v>
          </cell>
          <cell r="N414">
            <v>7</v>
          </cell>
          <cell r="O414" t="str">
            <v/>
          </cell>
          <cell r="Q414" t="str">
            <v>クレジット認証の承認番号</v>
          </cell>
        </row>
        <row r="415">
          <cell r="B415">
            <v>548</v>
          </cell>
          <cell r="C415" t="str">
            <v>エラーコード</v>
          </cell>
          <cell r="K415" t="str">
            <v>ERRC</v>
          </cell>
          <cell r="M415" t="str">
            <v>A</v>
          </cell>
          <cell r="N415">
            <v>3</v>
          </cell>
          <cell r="O415" t="str">
            <v/>
          </cell>
          <cell r="Q415" t="str">
            <v>クレジットＩ／Ｆのエラーを判別する</v>
          </cell>
        </row>
        <row r="416">
          <cell r="B416">
            <v>549</v>
          </cell>
          <cell r="C416" t="str">
            <v>売上レコード総数</v>
          </cell>
          <cell r="K416" t="str">
            <v>URRS</v>
          </cell>
          <cell r="M416" t="str">
            <v>A</v>
          </cell>
          <cell r="N416">
            <v>6</v>
          </cell>
          <cell r="O416" t="str">
            <v/>
          </cell>
          <cell r="Q416" t="str">
            <v>ＰＯＳデータの売上レコード総数</v>
          </cell>
        </row>
        <row r="417">
          <cell r="B417">
            <v>550</v>
          </cell>
          <cell r="C417" t="str">
            <v>取消レコード総数</v>
          </cell>
          <cell r="K417" t="str">
            <v>TERS</v>
          </cell>
          <cell r="M417" t="str">
            <v>A</v>
          </cell>
          <cell r="N417">
            <v>6</v>
          </cell>
          <cell r="O417" t="str">
            <v/>
          </cell>
          <cell r="Q417" t="str">
            <v>クレジット認証の取消レコード件数</v>
          </cell>
        </row>
        <row r="418">
          <cell r="B418">
            <v>551</v>
          </cell>
          <cell r="C418" t="str">
            <v>照会レコード総数</v>
          </cell>
          <cell r="K418" t="str">
            <v>SRRS</v>
          </cell>
          <cell r="M418" t="str">
            <v>A</v>
          </cell>
          <cell r="N418">
            <v>6</v>
          </cell>
          <cell r="O418" t="str">
            <v/>
          </cell>
          <cell r="Q418" t="str">
            <v>クレジット認証の照会レコード総数</v>
          </cell>
        </row>
        <row r="419">
          <cell r="B419">
            <v>552</v>
          </cell>
          <cell r="C419" t="str">
            <v>終了レコード番号</v>
          </cell>
          <cell r="K419" t="str">
            <v>ERBG</v>
          </cell>
          <cell r="M419" t="str">
            <v>A</v>
          </cell>
          <cell r="N419">
            <v>6</v>
          </cell>
          <cell r="O419" t="str">
            <v/>
          </cell>
          <cell r="Q419" t="str">
            <v>クレジット認証の終了レコード番号</v>
          </cell>
        </row>
        <row r="420">
          <cell r="B420">
            <v>553</v>
          </cell>
          <cell r="C420" t="str">
            <v>売上総額</v>
          </cell>
          <cell r="K420" t="str">
            <v>URTG</v>
          </cell>
          <cell r="M420" t="str">
            <v>A</v>
          </cell>
          <cell r="N420">
            <v>10</v>
          </cell>
          <cell r="O420" t="str">
            <v/>
          </cell>
          <cell r="Q420" t="str">
            <v>ＰＯＳデータの売上総額</v>
          </cell>
        </row>
        <row r="421">
          <cell r="B421">
            <v>554</v>
          </cell>
          <cell r="C421" t="str">
            <v>税送料総額</v>
          </cell>
          <cell r="K421" t="str">
            <v>ZSSG</v>
          </cell>
          <cell r="M421" t="str">
            <v>A</v>
          </cell>
          <cell r="N421">
            <v>10</v>
          </cell>
          <cell r="O421" t="str">
            <v/>
          </cell>
          <cell r="Q421" t="str">
            <v>クレジット認証の税送料総額</v>
          </cell>
        </row>
        <row r="422">
          <cell r="B422">
            <v>555</v>
          </cell>
          <cell r="C422" t="str">
            <v>取消総数</v>
          </cell>
          <cell r="K422" t="str">
            <v>TESS</v>
          </cell>
          <cell r="M422" t="str">
            <v>A</v>
          </cell>
          <cell r="N422">
            <v>10</v>
          </cell>
          <cell r="O422" t="str">
            <v/>
          </cell>
          <cell r="Q422" t="str">
            <v>クレジット認証の取消総数</v>
          </cell>
        </row>
        <row r="423">
          <cell r="B423">
            <v>556</v>
          </cell>
          <cell r="C423" t="str">
            <v>課金対照件数</v>
          </cell>
          <cell r="K423" t="str">
            <v>KATS</v>
          </cell>
          <cell r="M423" t="str">
            <v>A</v>
          </cell>
          <cell r="N423">
            <v>6</v>
          </cell>
          <cell r="O423" t="str">
            <v/>
          </cell>
          <cell r="Q423" t="str">
            <v>クレジット認証の課金対象件数</v>
          </cell>
        </row>
        <row r="424">
          <cell r="B424">
            <v>557</v>
          </cell>
          <cell r="C424" t="str">
            <v>非課金対照件数</v>
          </cell>
          <cell r="K424" t="str">
            <v>HITS</v>
          </cell>
          <cell r="M424" t="str">
            <v>A</v>
          </cell>
          <cell r="N424">
            <v>6</v>
          </cell>
          <cell r="O424" t="str">
            <v/>
          </cell>
          <cell r="Q424" t="str">
            <v>ＰＯＳデータの非課金対照件数</v>
          </cell>
        </row>
        <row r="425">
          <cell r="B425">
            <v>558</v>
          </cell>
          <cell r="C425" t="str">
            <v>売上エラー総数</v>
          </cell>
          <cell r="K425" t="str">
            <v>URES</v>
          </cell>
          <cell r="M425" t="str">
            <v>A</v>
          </cell>
          <cell r="N425">
            <v>6</v>
          </cell>
          <cell r="O425" t="str">
            <v/>
          </cell>
          <cell r="Q425" t="str">
            <v>ＰＯＳデータの売上エラー総数</v>
          </cell>
        </row>
        <row r="426">
          <cell r="B426">
            <v>559</v>
          </cell>
          <cell r="C426" t="str">
            <v>取消エラー総数</v>
          </cell>
          <cell r="K426" t="str">
            <v>TEES</v>
          </cell>
          <cell r="M426" t="str">
            <v>A</v>
          </cell>
          <cell r="N426">
            <v>6</v>
          </cell>
          <cell r="O426" t="str">
            <v/>
          </cell>
          <cell r="Q426" t="str">
            <v>取引時刻</v>
          </cell>
        </row>
        <row r="427">
          <cell r="B427">
            <v>560</v>
          </cell>
          <cell r="C427" t="str">
            <v>照会エラー総数</v>
          </cell>
          <cell r="K427" t="str">
            <v>SERS</v>
          </cell>
          <cell r="M427" t="str">
            <v>A</v>
          </cell>
          <cell r="N427">
            <v>6</v>
          </cell>
          <cell r="O427" t="str">
            <v/>
          </cell>
          <cell r="Q427" t="str">
            <v>クレジット認証の照会エラー総数</v>
          </cell>
        </row>
        <row r="428">
          <cell r="B428">
            <v>561</v>
          </cell>
          <cell r="C428" t="str">
            <v>無効／取扱不能レコード総数</v>
          </cell>
          <cell r="K428" t="str">
            <v>MTRS</v>
          </cell>
          <cell r="M428" t="str">
            <v>A</v>
          </cell>
          <cell r="N428">
            <v>6</v>
          </cell>
          <cell r="O428" t="str">
            <v/>
          </cell>
          <cell r="Q428" t="str">
            <v>ＰＯＳデータの無効／取扱不能レコード総数</v>
          </cell>
        </row>
        <row r="429">
          <cell r="B429">
            <v>562</v>
          </cell>
          <cell r="C429" t="str">
            <v>期間権区分</v>
          </cell>
          <cell r="K429" t="str">
            <v>KIKK</v>
          </cell>
          <cell r="L429" t="str">
            <v>KIKNKB</v>
          </cell>
          <cell r="M429" t="str">
            <v>A</v>
          </cell>
          <cell r="N429">
            <v>1</v>
          </cell>
          <cell r="O429" t="str">
            <v/>
          </cell>
          <cell r="Q429" t="str">
            <v>１：日数、２：月数、３：日数＆特定期間、４：月数＆特定期間</v>
          </cell>
        </row>
        <row r="430">
          <cell r="B430">
            <v>563</v>
          </cell>
          <cell r="C430" t="str">
            <v>回数券度数</v>
          </cell>
          <cell r="K430" t="str">
            <v>KIDG</v>
          </cell>
          <cell r="L430" t="str">
            <v>SUKDSU</v>
          </cell>
          <cell r="M430" t="str">
            <v>S</v>
          </cell>
          <cell r="N430">
            <v>4</v>
          </cell>
          <cell r="O430" t="str">
            <v/>
          </cell>
          <cell r="Q430" t="str">
            <v>回数券を複数必要とする場合の度数</v>
          </cell>
        </row>
        <row r="431">
          <cell r="B431">
            <v>564</v>
          </cell>
          <cell r="C431" t="str">
            <v>メールサービス説明文１</v>
          </cell>
          <cell r="K431" t="str">
            <v>MLN1</v>
          </cell>
          <cell r="L431" t="str">
            <v>SRVST1</v>
          </cell>
          <cell r="M431" t="str">
            <v>O</v>
          </cell>
          <cell r="N431">
            <v>72</v>
          </cell>
          <cell r="O431" t="str">
            <v/>
          </cell>
          <cell r="Q431" t="str">
            <v>商品説明文（ＤＤＷ用）</v>
          </cell>
        </row>
        <row r="432">
          <cell r="B432">
            <v>565</v>
          </cell>
          <cell r="C432" t="str">
            <v>メールサービス説明文２</v>
          </cell>
          <cell r="K432" t="str">
            <v>MLN2</v>
          </cell>
          <cell r="L432" t="str">
            <v>SRVST2</v>
          </cell>
          <cell r="M432" t="str">
            <v>O</v>
          </cell>
          <cell r="N432">
            <v>72</v>
          </cell>
          <cell r="O432" t="str">
            <v/>
          </cell>
          <cell r="Q432" t="str">
            <v>商品説明文（ＤＤＷ用）</v>
          </cell>
        </row>
        <row r="433">
          <cell r="B433">
            <v>566</v>
          </cell>
          <cell r="C433" t="str">
            <v>利用終了日付</v>
          </cell>
          <cell r="K433" t="str">
            <v>RIED</v>
          </cell>
          <cell r="L433" t="str">
            <v>RIYEDT</v>
          </cell>
          <cell r="M433" t="str">
            <v>S</v>
          </cell>
          <cell r="N433">
            <v>8</v>
          </cell>
          <cell r="O433" t="str">
            <v/>
          </cell>
          <cell r="Q433" t="str">
            <v>利用終了日付</v>
          </cell>
        </row>
        <row r="434">
          <cell r="B434">
            <v>567</v>
          </cell>
          <cell r="C434" t="str">
            <v>プリペイド残度数</v>
          </cell>
          <cell r="K434" t="str">
            <v>PRZS</v>
          </cell>
          <cell r="L434" t="str">
            <v>PRPZAN</v>
          </cell>
          <cell r="M434" t="str">
            <v>P</v>
          </cell>
          <cell r="N434">
            <v>7</v>
          </cell>
          <cell r="O434" t="str">
            <v/>
          </cell>
          <cell r="Q434" t="str">
            <v>プリペイド残高</v>
          </cell>
        </row>
        <row r="435">
          <cell r="B435">
            <v>569</v>
          </cell>
          <cell r="C435" t="str">
            <v>購入日付</v>
          </cell>
          <cell r="K435" t="str">
            <v>KOND</v>
          </cell>
          <cell r="L435" t="str">
            <v>KNYUDT</v>
          </cell>
          <cell r="M435" t="str">
            <v>S</v>
          </cell>
          <cell r="N435">
            <v>8</v>
          </cell>
          <cell r="O435" t="str">
            <v/>
          </cell>
          <cell r="Q435" t="str">
            <v>購入された日付</v>
          </cell>
        </row>
        <row r="436">
          <cell r="B436">
            <v>570</v>
          </cell>
          <cell r="C436" t="str">
            <v>６４ＤＤ製造型式</v>
          </cell>
          <cell r="K436" t="str">
            <v>64SK</v>
          </cell>
          <cell r="L436" t="str">
            <v>TYPE64</v>
          </cell>
          <cell r="M436" t="str">
            <v>A</v>
          </cell>
          <cell r="N436">
            <v>20</v>
          </cell>
          <cell r="O436" t="str">
            <v/>
          </cell>
          <cell r="Q436" t="str">
            <v>メーカでの６４ＤＤ製品番号</v>
          </cell>
        </row>
        <row r="437">
          <cell r="B437">
            <v>571</v>
          </cell>
          <cell r="C437" t="str">
            <v>６４ＤＤ内容</v>
          </cell>
          <cell r="K437" t="str">
            <v>64NI</v>
          </cell>
          <cell r="L437" t="str">
            <v>CTNT64</v>
          </cell>
          <cell r="M437" t="str">
            <v>O</v>
          </cell>
          <cell r="N437">
            <v>72</v>
          </cell>
          <cell r="O437" t="str">
            <v/>
          </cell>
          <cell r="Q437" t="str">
            <v>６４ＤＤの説明文</v>
          </cell>
        </row>
        <row r="438">
          <cell r="B438">
            <v>574</v>
          </cell>
          <cell r="C438" t="str">
            <v>ＤＤＷマシン内容</v>
          </cell>
          <cell r="K438" t="str">
            <v>DDNY</v>
          </cell>
          <cell r="M438" t="str">
            <v>O</v>
          </cell>
          <cell r="N438">
            <v>72</v>
          </cell>
          <cell r="O438" t="str">
            <v/>
          </cell>
          <cell r="Q438" t="str">
            <v>ＤＤＷマシンタイプ説明文</v>
          </cell>
        </row>
        <row r="439">
          <cell r="B439">
            <v>575</v>
          </cell>
          <cell r="C439" t="str">
            <v>有効開始時刻</v>
          </cell>
          <cell r="K439" t="str">
            <v>YUST</v>
          </cell>
          <cell r="L439" t="str">
            <v>YKSTTM</v>
          </cell>
          <cell r="M439" t="str">
            <v>S</v>
          </cell>
          <cell r="N439">
            <v>6</v>
          </cell>
          <cell r="O439" t="str">
            <v/>
          </cell>
          <cell r="Q439" t="str">
            <v>有効開始時刻</v>
          </cell>
        </row>
        <row r="440">
          <cell r="B440">
            <v>576</v>
          </cell>
          <cell r="C440" t="str">
            <v>有効終了時刻</v>
          </cell>
          <cell r="K440" t="str">
            <v>YUET</v>
          </cell>
          <cell r="L440" t="str">
            <v>YKEDTM</v>
          </cell>
          <cell r="M440" t="str">
            <v>S</v>
          </cell>
          <cell r="N440">
            <v>6</v>
          </cell>
          <cell r="O440" t="str">
            <v/>
          </cell>
          <cell r="Q440" t="str">
            <v>有効終了時刻</v>
          </cell>
        </row>
        <row r="441">
          <cell r="B441" t="str">
            <v>削除</v>
          </cell>
          <cell r="C441" t="str">
            <v>納品回数</v>
          </cell>
          <cell r="K441" t="str">
            <v>NYKS</v>
          </cell>
          <cell r="M441" t="str">
            <v>S</v>
          </cell>
          <cell r="N441">
            <v>3</v>
          </cell>
          <cell r="O441" t="str">
            <v/>
          </cell>
          <cell r="Q441" t="str">
            <v>コンテンツ納品で同じコンテンツを納品した回数：　　　　　　　　　　　５７７</v>
          </cell>
        </row>
        <row r="442">
          <cell r="B442">
            <v>580</v>
          </cell>
          <cell r="C442" t="str">
            <v>当日バージョン</v>
          </cell>
          <cell r="K442" t="str">
            <v xml:space="preserve">TVAR </v>
          </cell>
          <cell r="L442" t="str">
            <v>CURVER</v>
          </cell>
          <cell r="M442" t="str">
            <v>A</v>
          </cell>
          <cell r="N442">
            <v>10</v>
          </cell>
          <cell r="O442" t="str">
            <v/>
          </cell>
          <cell r="Q442" t="str">
            <v>集配信ファイル作成時に作成したバージョンをセット、Xyyyymmddn</v>
          </cell>
        </row>
        <row r="443">
          <cell r="B443">
            <v>581</v>
          </cell>
          <cell r="C443" t="str">
            <v>前回バージョン</v>
          </cell>
          <cell r="K443" t="str">
            <v xml:space="preserve">ZVAR </v>
          </cell>
          <cell r="L443" t="str">
            <v>LSTVER</v>
          </cell>
          <cell r="M443" t="str">
            <v>A</v>
          </cell>
          <cell r="N443">
            <v>10</v>
          </cell>
          <cell r="O443" t="str">
            <v/>
          </cell>
          <cell r="Q443" t="str">
            <v>集配信ファイル作成時に作成したバージョンをセット、Xyyyymmddn</v>
          </cell>
        </row>
        <row r="444">
          <cell r="B444">
            <v>582</v>
          </cell>
          <cell r="C444" t="str">
            <v>差分配信ファイルＩＤ</v>
          </cell>
          <cell r="K444" t="str">
            <v>SHID</v>
          </cell>
          <cell r="L444" t="str">
            <v>SBHFID</v>
          </cell>
          <cell r="M444" t="str">
            <v>A</v>
          </cell>
          <cell r="N444">
            <v>5</v>
          </cell>
          <cell r="O444" t="str">
            <v/>
          </cell>
          <cell r="Q444" t="str">
            <v>レコード作成時に自動採番</v>
          </cell>
        </row>
        <row r="445">
          <cell r="B445">
            <v>583</v>
          </cell>
          <cell r="C445" t="str">
            <v>累積差分配信ファイルＩＤ</v>
          </cell>
          <cell r="K445" t="str">
            <v>RSFI</v>
          </cell>
          <cell r="L445" t="str">
            <v>RSHFID</v>
          </cell>
          <cell r="M445" t="str">
            <v>A</v>
          </cell>
          <cell r="N445">
            <v>5</v>
          </cell>
          <cell r="O445" t="str">
            <v/>
          </cell>
          <cell r="Q445" t="str">
            <v>レコード作成時に自動採番（３世代の管理が必要）</v>
          </cell>
        </row>
        <row r="446">
          <cell r="B446">
            <v>584</v>
          </cell>
          <cell r="C446" t="str">
            <v>コンテンツ受け入れユーザーＩＤ</v>
          </cell>
          <cell r="K446" t="str">
            <v xml:space="preserve">CNUI </v>
          </cell>
          <cell r="M446" t="str">
            <v>A</v>
          </cell>
          <cell r="N446">
            <v>10</v>
          </cell>
          <cell r="O446" t="str">
            <v/>
          </cell>
          <cell r="Q446" t="str">
            <v>コンテンツ受け入れ用ユーザー、コンテンツ受け入れサーバーでユーザー登録する。</v>
          </cell>
        </row>
        <row r="447">
          <cell r="B447">
            <v>585</v>
          </cell>
          <cell r="C447" t="str">
            <v>コンテンツ受け入れユーザー名称</v>
          </cell>
          <cell r="K447" t="str">
            <v xml:space="preserve">CNUN </v>
          </cell>
          <cell r="M447" t="str">
            <v>O</v>
          </cell>
          <cell r="N447">
            <v>22</v>
          </cell>
          <cell r="O447" t="str">
            <v/>
          </cell>
          <cell r="Q447" t="str">
            <v>コンテンツ受け入れユーザー名称</v>
          </cell>
        </row>
        <row r="448">
          <cell r="B448">
            <v>586</v>
          </cell>
          <cell r="C448" t="str">
            <v>コンテンツ受け入れユーザー識別</v>
          </cell>
          <cell r="K448" t="str">
            <v xml:space="preserve">CNUB </v>
          </cell>
          <cell r="M448" t="str">
            <v>A</v>
          </cell>
          <cell r="N448">
            <v>4</v>
          </cell>
          <cell r="O448" t="str">
            <v/>
          </cell>
          <cell r="Q448" t="str">
            <v>コンテンツ受け入れ用ディレクトリー名</v>
          </cell>
        </row>
        <row r="449">
          <cell r="B449">
            <v>587</v>
          </cell>
          <cell r="C449" t="str">
            <v>担当者名</v>
          </cell>
          <cell r="K449" t="str">
            <v>TANN</v>
          </cell>
          <cell r="M449" t="str">
            <v>O</v>
          </cell>
          <cell r="N449">
            <v>22</v>
          </cell>
          <cell r="O449" t="str">
            <v/>
          </cell>
          <cell r="Q449" t="str">
            <v>担当者名</v>
          </cell>
        </row>
        <row r="450">
          <cell r="B450">
            <v>588</v>
          </cell>
          <cell r="C450" t="str">
            <v>コンテンツ環境ＩＤ</v>
          </cell>
          <cell r="K450" t="str">
            <v>CNKI</v>
          </cell>
          <cell r="M450" t="str">
            <v>A</v>
          </cell>
          <cell r="N450">
            <v>8</v>
          </cell>
          <cell r="O450" t="str">
            <v/>
          </cell>
          <cell r="Q450" t="str">
            <v>コンテンツ関連ディレクトリー情報等のキーワード</v>
          </cell>
        </row>
        <row r="451">
          <cell r="B451">
            <v>591</v>
          </cell>
          <cell r="C451" t="str">
            <v>業務共通</v>
          </cell>
          <cell r="K451" t="str">
            <v>KDIR</v>
          </cell>
          <cell r="M451" t="str">
            <v>A</v>
          </cell>
          <cell r="N451">
            <v>64</v>
          </cell>
          <cell r="O451" t="str">
            <v/>
          </cell>
          <cell r="Q451" t="str">
            <v>Ｗｅｂサーバーの業務共通ディレクトリーパス</v>
          </cell>
        </row>
        <row r="452">
          <cell r="B452">
            <v>592</v>
          </cell>
          <cell r="C452" t="str">
            <v>コンテンツ共通</v>
          </cell>
          <cell r="K452" t="str">
            <v>CNKD</v>
          </cell>
          <cell r="M452" t="str">
            <v>A</v>
          </cell>
          <cell r="N452">
            <v>64</v>
          </cell>
          <cell r="O452" t="str">
            <v/>
          </cell>
          <cell r="Q452" t="str">
            <v>Ｗｅｂサーバー上のディレクトリーパス</v>
          </cell>
        </row>
        <row r="453">
          <cell r="B453">
            <v>593</v>
          </cell>
          <cell r="C453" t="str">
            <v>ＤＤＷデモＩＤ</v>
          </cell>
          <cell r="K453" t="str">
            <v>DDDI</v>
          </cell>
          <cell r="M453" t="str">
            <v>A</v>
          </cell>
          <cell r="N453">
            <v>7</v>
          </cell>
          <cell r="O453" t="str">
            <v/>
          </cell>
          <cell r="Q453" t="str">
            <v>コンテンツコード</v>
          </cell>
        </row>
        <row r="454">
          <cell r="B454">
            <v>594</v>
          </cell>
          <cell r="C454" t="str">
            <v>ＤＤＷデモ名</v>
          </cell>
          <cell r="K454" t="str">
            <v>DDDN</v>
          </cell>
          <cell r="M454" t="str">
            <v>O</v>
          </cell>
          <cell r="N454">
            <v>22</v>
          </cell>
          <cell r="O454" t="str">
            <v/>
          </cell>
          <cell r="Q454" t="str">
            <v>ＤＤＷデモ名称</v>
          </cell>
        </row>
        <row r="455">
          <cell r="B455">
            <v>595</v>
          </cell>
          <cell r="C455" t="str">
            <v>ＣＭ区分</v>
          </cell>
          <cell r="K455" t="str">
            <v>CMCK</v>
          </cell>
          <cell r="M455" t="str">
            <v>A</v>
          </cell>
          <cell r="N455">
            <v>1</v>
          </cell>
          <cell r="O455" t="str">
            <v/>
          </cell>
          <cell r="Q455" t="str">
            <v>ＤＤＷがＤＤＷデモをＣＭ利用する区分、０：しない、１：する</v>
          </cell>
        </row>
        <row r="456">
          <cell r="B456">
            <v>596</v>
          </cell>
          <cell r="C456" t="str">
            <v>ＤＤＷデモタイプ</v>
          </cell>
          <cell r="K456" t="str">
            <v>DDDY</v>
          </cell>
          <cell r="M456" t="str">
            <v>A</v>
          </cell>
          <cell r="N456">
            <v>2</v>
          </cell>
          <cell r="O456" t="str">
            <v/>
          </cell>
          <cell r="Q456" t="str">
            <v>ＭＰ：ＭＰＥＧ</v>
          </cell>
        </row>
        <row r="457">
          <cell r="B457">
            <v>597</v>
          </cell>
          <cell r="C457" t="str">
            <v>ＤＤＷ販売グループ区分</v>
          </cell>
          <cell r="K457" t="str">
            <v>DHGK</v>
          </cell>
          <cell r="M457" t="str">
            <v>A</v>
          </cell>
          <cell r="N457">
            <v>1</v>
          </cell>
          <cell r="O457" t="str">
            <v/>
          </cell>
          <cell r="Q457" t="str">
            <v>ＤＤＷ販売グループ関連付け、０：しない、１：する</v>
          </cell>
        </row>
        <row r="458">
          <cell r="B458" t="str">
            <v>削除</v>
          </cell>
          <cell r="C458" t="str">
            <v>受け入れ回数</v>
          </cell>
          <cell r="K458" t="str">
            <v>UKRS</v>
          </cell>
          <cell r="M458" t="str">
            <v>S</v>
          </cell>
          <cell r="N458">
            <v>3</v>
          </cell>
          <cell r="O458" t="str">
            <v/>
          </cell>
          <cell r="Q458" t="str">
            <v>同じバージョンのコンテンツを受け入れた回数：　　　　　　　　　　　６０２</v>
          </cell>
        </row>
        <row r="459">
          <cell r="B459">
            <v>604</v>
          </cell>
          <cell r="C459" t="str">
            <v>外部商品情報ステータス</v>
          </cell>
          <cell r="K459" t="str">
            <v xml:space="preserve">GSST </v>
          </cell>
          <cell r="M459" t="str">
            <v>A</v>
          </cell>
          <cell r="N459">
            <v>2</v>
          </cell>
          <cell r="O459" t="str">
            <v/>
          </cell>
          <cell r="Q459" t="str">
            <v>外部引き渡し ００：不可、０１：可能、０２：転送済、０３：保留</v>
          </cell>
        </row>
        <row r="460">
          <cell r="B460">
            <v>605</v>
          </cell>
          <cell r="C460" t="str">
            <v>コンテンツ提供者会員ＩＤ２</v>
          </cell>
          <cell r="K460" t="str">
            <v>CNK2</v>
          </cell>
          <cell r="L460" t="str">
            <v>CTKID2</v>
          </cell>
          <cell r="M460" t="str">
            <v>A</v>
          </cell>
          <cell r="N460">
            <v>8</v>
          </cell>
          <cell r="O460" t="str">
            <v/>
          </cell>
          <cell r="P460" t="str">
            <v xml:space="preserve"> </v>
          </cell>
          <cell r="Q460" t="str">
            <v>コンテンツ事前確認用ＩＤ</v>
          </cell>
        </row>
        <row r="461">
          <cell r="B461">
            <v>606</v>
          </cell>
          <cell r="C461" t="str">
            <v>ＤＤＷ停止区分</v>
          </cell>
          <cell r="K461" t="str">
            <v>DDSK</v>
          </cell>
          <cell r="L461" t="str">
            <v>DWSTKB</v>
          </cell>
          <cell r="M461" t="str">
            <v>A</v>
          </cell>
          <cell r="N461">
            <v>1</v>
          </cell>
          <cell r="O461" t="str">
            <v/>
          </cell>
          <cell r="Q461" t="str">
            <v>１：停止。通信時にチェックし、停止の場合、通信不可</v>
          </cell>
        </row>
        <row r="462">
          <cell r="B462">
            <v>607</v>
          </cell>
          <cell r="C462" t="str">
            <v>ＤＤＷ停止日</v>
          </cell>
          <cell r="K462" t="str">
            <v>DDSD</v>
          </cell>
          <cell r="L462" t="str">
            <v>DWSTDT</v>
          </cell>
          <cell r="M462" t="str">
            <v>S</v>
          </cell>
          <cell r="N462">
            <v>8</v>
          </cell>
          <cell r="O462" t="str">
            <v/>
          </cell>
          <cell r="Q462" t="str">
            <v>ＤＤＷを停止にした日付</v>
          </cell>
        </row>
        <row r="463">
          <cell r="B463">
            <v>608</v>
          </cell>
          <cell r="C463" t="str">
            <v>ＤＤＷ停止理由</v>
          </cell>
          <cell r="K463" t="str">
            <v>DDSR</v>
          </cell>
          <cell r="L463" t="str">
            <v>DWSTRY</v>
          </cell>
          <cell r="M463" t="str">
            <v>A</v>
          </cell>
          <cell r="N463">
            <v>2</v>
          </cell>
          <cell r="O463" t="str">
            <v/>
          </cell>
          <cell r="Q463" t="str">
            <v>停止の理由</v>
          </cell>
        </row>
        <row r="464">
          <cell r="B464">
            <v>609</v>
          </cell>
          <cell r="C464" t="str">
            <v>ＤＤＷ集配信区分</v>
          </cell>
          <cell r="K464" t="str">
            <v>DDHK</v>
          </cell>
          <cell r="L464" t="str">
            <v>DWSSKB</v>
          </cell>
          <cell r="M464" t="str">
            <v>A</v>
          </cell>
          <cell r="N464">
            <v>1</v>
          </cell>
          <cell r="O464" t="str">
            <v/>
          </cell>
          <cell r="Q464" t="str">
            <v>ＤＤＷ集配信要求の返答処理の区分。０：通常、１：緊急</v>
          </cell>
        </row>
        <row r="465">
          <cell r="B465">
            <v>610</v>
          </cell>
          <cell r="C465" t="str">
            <v>ＤＤＷ配信ファイルＩＤ（マスター）</v>
          </cell>
          <cell r="K465" t="str">
            <v>HNY1</v>
          </cell>
          <cell r="L465" t="str">
            <v>HSY1ID</v>
          </cell>
          <cell r="M465" t="str">
            <v>A</v>
          </cell>
          <cell r="N465">
            <v>5</v>
          </cell>
          <cell r="O465" t="str">
            <v/>
          </cell>
          <cell r="Q465" t="str">
            <v>緊急時に配信するファイルＩＤ</v>
          </cell>
        </row>
        <row r="466">
          <cell r="B466">
            <v>611</v>
          </cell>
          <cell r="C466" t="str">
            <v>ＤＤＷ配信ファイルＩＤ（コンテンツ）</v>
          </cell>
          <cell r="K466" t="str">
            <v>HNY2</v>
          </cell>
          <cell r="L466" t="str">
            <v>HSY2ID</v>
          </cell>
          <cell r="M466" t="str">
            <v>A</v>
          </cell>
          <cell r="N466">
            <v>5</v>
          </cell>
          <cell r="O466" t="str">
            <v/>
          </cell>
          <cell r="Q466" t="str">
            <v>緊急時に配信するファイルＩＤ</v>
          </cell>
        </row>
        <row r="467">
          <cell r="B467">
            <v>612</v>
          </cell>
          <cell r="C467" t="str">
            <v>ＤＤＷ配信ファイルＩＤ（プログラム）</v>
          </cell>
          <cell r="K467" t="str">
            <v>HNY3</v>
          </cell>
          <cell r="L467" t="str">
            <v>HSY3ID</v>
          </cell>
          <cell r="M467" t="str">
            <v>A</v>
          </cell>
          <cell r="N467">
            <v>5</v>
          </cell>
          <cell r="O467" t="str">
            <v/>
          </cell>
          <cell r="Q467" t="str">
            <v>緊急時に配信するファイルＩＤ</v>
          </cell>
        </row>
        <row r="468">
          <cell r="B468">
            <v>613</v>
          </cell>
          <cell r="C468" t="str">
            <v>ログ集信要求日付</v>
          </cell>
          <cell r="K468" t="str">
            <v>LSRD</v>
          </cell>
          <cell r="L468" t="str">
            <v>LSSRDT</v>
          </cell>
          <cell r="M468" t="str">
            <v>S</v>
          </cell>
          <cell r="N468">
            <v>8</v>
          </cell>
          <cell r="O468" t="str">
            <v/>
          </cell>
          <cell r="Q468" t="str">
            <v>緊急時に集信するログ対象日付</v>
          </cell>
        </row>
        <row r="469">
          <cell r="B469">
            <v>614</v>
          </cell>
          <cell r="C469" t="str">
            <v>配信ファイルタイプ</v>
          </cell>
          <cell r="K469" t="str">
            <v>HNFY</v>
          </cell>
          <cell r="L469" t="str">
            <v>HSFLTP</v>
          </cell>
          <cell r="M469" t="str">
            <v>A</v>
          </cell>
          <cell r="N469">
            <v>1</v>
          </cell>
          <cell r="O469" t="str">
            <v/>
          </cell>
          <cell r="Q469" t="str">
            <v>M：マスター、C：コンテンツ、P：プログラム</v>
          </cell>
        </row>
        <row r="470">
          <cell r="B470">
            <v>615</v>
          </cell>
          <cell r="C470" t="str">
            <v>次回バージョン</v>
          </cell>
          <cell r="K470" t="str">
            <v xml:space="preserve">JVAR </v>
          </cell>
          <cell r="L470" t="str">
            <v>NXVER</v>
          </cell>
          <cell r="M470" t="str">
            <v>A</v>
          </cell>
          <cell r="N470">
            <v>4</v>
          </cell>
          <cell r="O470" t="str">
            <v/>
          </cell>
          <cell r="P470" t="str">
            <v xml:space="preserve"> </v>
          </cell>
          <cell r="Q470" t="str">
            <v>次回サービスバージョン（スタンバイ）</v>
          </cell>
        </row>
        <row r="471">
          <cell r="B471">
            <v>616</v>
          </cell>
          <cell r="C471" t="str">
            <v>次回有効開始日付</v>
          </cell>
          <cell r="K471" t="str">
            <v>JYSD</v>
          </cell>
          <cell r="L471" t="str">
            <v>NYSTDT</v>
          </cell>
          <cell r="M471" t="str">
            <v>S</v>
          </cell>
          <cell r="N471">
            <v>8</v>
          </cell>
          <cell r="O471" t="str">
            <v/>
          </cell>
          <cell r="P471" t="str">
            <v xml:space="preserve"> </v>
          </cell>
          <cell r="Q471" t="str">
            <v>次回有効開始日付</v>
          </cell>
        </row>
        <row r="472">
          <cell r="B472">
            <v>617</v>
          </cell>
          <cell r="C472" t="str">
            <v>次回有効開始時刻</v>
          </cell>
          <cell r="K472" t="str">
            <v>JYSM</v>
          </cell>
          <cell r="L472" t="str">
            <v>NYSTTM</v>
          </cell>
          <cell r="M472" t="str">
            <v>S</v>
          </cell>
          <cell r="N472">
            <v>6</v>
          </cell>
          <cell r="O472" t="str">
            <v/>
          </cell>
          <cell r="P472" t="str">
            <v xml:space="preserve"> </v>
          </cell>
          <cell r="Q472" t="str">
            <v>次回有効開始時刻</v>
          </cell>
        </row>
        <row r="473">
          <cell r="B473">
            <v>622</v>
          </cell>
          <cell r="C473" t="str">
            <v>ＤＤＷファイル抽出フラグ</v>
          </cell>
          <cell r="K473" t="str">
            <v>DDCF</v>
          </cell>
          <cell r="M473" t="str">
            <v>A</v>
          </cell>
          <cell r="N473">
            <v>1</v>
          </cell>
          <cell r="O473" t="str">
            <v/>
          </cell>
          <cell r="Q473" t="str">
            <v>コンテンツファイルを集配信で配信する指定。０：しない、１：する</v>
          </cell>
        </row>
        <row r="474">
          <cell r="B474">
            <v>625</v>
          </cell>
          <cell r="C474" t="str">
            <v>ＰＯＳ売上№</v>
          </cell>
          <cell r="K474" t="str">
            <v>PONO</v>
          </cell>
          <cell r="M474" t="str">
            <v>A</v>
          </cell>
          <cell r="N474">
            <v>8</v>
          </cell>
          <cell r="O474" t="str">
            <v/>
          </cell>
          <cell r="Q474" t="str">
            <v>ＰＯＳデータの売上Ｎｏ</v>
          </cell>
        </row>
        <row r="475">
          <cell r="B475">
            <v>626</v>
          </cell>
          <cell r="C475" t="str">
            <v>月額利用区分</v>
          </cell>
          <cell r="K475" t="str">
            <v>GKRK</v>
          </cell>
          <cell r="M475" t="str">
            <v>A</v>
          </cell>
          <cell r="N475">
            <v>1</v>
          </cell>
          <cell r="O475" t="str">
            <v/>
          </cell>
          <cell r="Q475" t="str">
            <v>会員区分の月額会費を取る区分。１：利用</v>
          </cell>
        </row>
        <row r="476">
          <cell r="B476">
            <v>627</v>
          </cell>
          <cell r="C476" t="str">
            <v>利用区分６</v>
          </cell>
          <cell r="K476" t="str">
            <v>RIK6</v>
          </cell>
          <cell r="L476" t="str">
            <v>RYKB6</v>
          </cell>
          <cell r="M476" t="str">
            <v>A</v>
          </cell>
          <cell r="N476">
            <v>1</v>
          </cell>
          <cell r="O476" t="str">
            <v/>
          </cell>
          <cell r="Q476" t="str">
            <v>会員区分の利用区分</v>
          </cell>
        </row>
        <row r="477">
          <cell r="B477">
            <v>628</v>
          </cell>
          <cell r="C477" t="str">
            <v>利用区分７</v>
          </cell>
          <cell r="K477" t="str">
            <v>RIK7</v>
          </cell>
          <cell r="L477" t="str">
            <v>RYKB7</v>
          </cell>
          <cell r="M477" t="str">
            <v>A</v>
          </cell>
          <cell r="N477">
            <v>1</v>
          </cell>
          <cell r="O477" t="str">
            <v/>
          </cell>
          <cell r="Q477" t="str">
            <v>会員区分の利用区分</v>
          </cell>
        </row>
        <row r="478">
          <cell r="B478">
            <v>629</v>
          </cell>
          <cell r="C478" t="str">
            <v>利用区分８</v>
          </cell>
          <cell r="K478" t="str">
            <v>RIK8</v>
          </cell>
          <cell r="L478" t="str">
            <v>RYKB8</v>
          </cell>
          <cell r="M478" t="str">
            <v>A</v>
          </cell>
          <cell r="N478">
            <v>1</v>
          </cell>
          <cell r="O478" t="str">
            <v/>
          </cell>
          <cell r="Q478" t="str">
            <v>会員区分の利用区分</v>
          </cell>
        </row>
        <row r="479">
          <cell r="B479">
            <v>630</v>
          </cell>
          <cell r="C479" t="str">
            <v>利用区分９</v>
          </cell>
          <cell r="K479" t="str">
            <v>RIK9</v>
          </cell>
          <cell r="L479" t="str">
            <v>RYKB9</v>
          </cell>
          <cell r="M479" t="str">
            <v>A</v>
          </cell>
          <cell r="N479">
            <v>1</v>
          </cell>
          <cell r="O479" t="str">
            <v/>
          </cell>
          <cell r="Q479" t="str">
            <v>会員区分の利用区分</v>
          </cell>
        </row>
        <row r="480">
          <cell r="B480">
            <v>631</v>
          </cell>
          <cell r="C480" t="str">
            <v>利用区分１０</v>
          </cell>
          <cell r="K480" t="str">
            <v>RIKA</v>
          </cell>
          <cell r="L480" t="str">
            <v>RYKB10</v>
          </cell>
          <cell r="M480" t="str">
            <v>A</v>
          </cell>
          <cell r="N480">
            <v>1</v>
          </cell>
          <cell r="O480" t="str">
            <v/>
          </cell>
          <cell r="Q480" t="str">
            <v>会員区分の利用区分</v>
          </cell>
        </row>
        <row r="481">
          <cell r="B481">
            <v>632</v>
          </cell>
          <cell r="C481" t="str">
            <v>サービス料金コード６</v>
          </cell>
          <cell r="K481" t="str">
            <v>SRC6</v>
          </cell>
          <cell r="L481" t="str">
            <v>SVRYC6</v>
          </cell>
          <cell r="M481" t="str">
            <v>A</v>
          </cell>
          <cell r="N481">
            <v>3</v>
          </cell>
          <cell r="O481" t="str">
            <v/>
          </cell>
          <cell r="Q481" t="str">
            <v>サービス料金をユニークにするコード</v>
          </cell>
        </row>
        <row r="482">
          <cell r="B482">
            <v>633</v>
          </cell>
          <cell r="C482" t="str">
            <v>サービス料金コード７</v>
          </cell>
          <cell r="K482" t="str">
            <v>SRC7</v>
          </cell>
          <cell r="L482" t="str">
            <v>SVRYC7</v>
          </cell>
          <cell r="M482" t="str">
            <v>A</v>
          </cell>
          <cell r="N482">
            <v>3</v>
          </cell>
          <cell r="O482" t="str">
            <v/>
          </cell>
          <cell r="Q482" t="str">
            <v>サービス料金をユニークにするコード</v>
          </cell>
        </row>
        <row r="483">
          <cell r="B483">
            <v>634</v>
          </cell>
          <cell r="C483" t="str">
            <v>サービス料金コード８</v>
          </cell>
          <cell r="K483" t="str">
            <v>SRC8</v>
          </cell>
          <cell r="L483" t="str">
            <v>SVRYC8</v>
          </cell>
          <cell r="M483" t="str">
            <v>A</v>
          </cell>
          <cell r="N483">
            <v>3</v>
          </cell>
          <cell r="O483" t="str">
            <v/>
          </cell>
          <cell r="Q483" t="str">
            <v>サービス料金をユニークにするコード</v>
          </cell>
        </row>
        <row r="484">
          <cell r="B484">
            <v>635</v>
          </cell>
          <cell r="C484" t="str">
            <v>サービス料金コード９</v>
          </cell>
          <cell r="K484" t="str">
            <v>SRC9</v>
          </cell>
          <cell r="L484" t="str">
            <v>SVRYC9</v>
          </cell>
          <cell r="M484" t="str">
            <v>A</v>
          </cell>
          <cell r="N484">
            <v>3</v>
          </cell>
          <cell r="O484" t="str">
            <v/>
          </cell>
          <cell r="Q484" t="str">
            <v>サービス料金をユニークにするコード</v>
          </cell>
        </row>
        <row r="485">
          <cell r="B485">
            <v>636</v>
          </cell>
          <cell r="C485" t="str">
            <v>サービス料金コード１０</v>
          </cell>
          <cell r="K485" t="str">
            <v>SRKA</v>
          </cell>
          <cell r="L485" t="str">
            <v>SVRY10</v>
          </cell>
          <cell r="M485" t="str">
            <v>A</v>
          </cell>
          <cell r="N485">
            <v>3</v>
          </cell>
          <cell r="O485" t="str">
            <v/>
          </cell>
          <cell r="Q485" t="str">
            <v>サービス料金をユニークにするコード</v>
          </cell>
        </row>
        <row r="486">
          <cell r="B486">
            <v>637</v>
          </cell>
          <cell r="C486" t="str">
            <v>ＤＩＳＫ登録日付</v>
          </cell>
          <cell r="K486" t="str">
            <v>DSKD</v>
          </cell>
          <cell r="L486" t="str">
            <v>DKTRDT</v>
          </cell>
          <cell r="M486" t="str">
            <v>S</v>
          </cell>
          <cell r="N486">
            <v>8</v>
          </cell>
          <cell r="O486" t="str">
            <v/>
          </cell>
          <cell r="Q486" t="str">
            <v>サービスサーバーで登録した日付</v>
          </cell>
        </row>
        <row r="487">
          <cell r="B487">
            <v>638</v>
          </cell>
          <cell r="C487" t="str">
            <v>得意先店舗経営会社名</v>
          </cell>
          <cell r="K487" t="str">
            <v>TTPI</v>
          </cell>
          <cell r="M487" t="str">
            <v>O</v>
          </cell>
          <cell r="N487">
            <v>42</v>
          </cell>
          <cell r="O487" t="str">
            <v/>
          </cell>
          <cell r="Q487" t="str">
            <v>店舗の経営会社名</v>
          </cell>
        </row>
        <row r="488">
          <cell r="B488">
            <v>639</v>
          </cell>
          <cell r="C488" t="str">
            <v>販売金額（税抜）</v>
          </cell>
          <cell r="K488" t="str">
            <v>HNZG</v>
          </cell>
          <cell r="M488" t="str">
            <v>P</v>
          </cell>
          <cell r="N488">
            <v>7</v>
          </cell>
          <cell r="O488" t="str">
            <v/>
          </cell>
          <cell r="P488" t="str">
            <v xml:space="preserve"> </v>
          </cell>
          <cell r="Q488" t="str">
            <v>販売金額（税抜）</v>
          </cell>
        </row>
        <row r="489">
          <cell r="B489">
            <v>640</v>
          </cell>
          <cell r="C489" t="str">
            <v>元取引日付</v>
          </cell>
          <cell r="K489" t="str">
            <v>MTOD</v>
          </cell>
          <cell r="M489" t="str">
            <v>S</v>
          </cell>
          <cell r="N489">
            <v>8</v>
          </cell>
          <cell r="O489" t="str">
            <v/>
          </cell>
          <cell r="Q489" t="str">
            <v>利用情報の追加、変更、削除時の元利用取引日付</v>
          </cell>
        </row>
        <row r="490">
          <cell r="B490">
            <v>641</v>
          </cell>
          <cell r="C490" t="str">
            <v>プリペイド入出区分</v>
          </cell>
          <cell r="K490" t="str">
            <v>PRIK</v>
          </cell>
          <cell r="M490" t="str">
            <v>A</v>
          </cell>
          <cell r="N490">
            <v>1</v>
          </cell>
          <cell r="O490" t="str">
            <v/>
          </cell>
          <cell r="P490" t="str">
            <v xml:space="preserve"> </v>
          </cell>
          <cell r="Q490" t="str">
            <v>プリペイド（前受金）の発生、消し込みを区分。１：発生、２：消し込み</v>
          </cell>
        </row>
        <row r="491">
          <cell r="B491">
            <v>642</v>
          </cell>
          <cell r="C491" t="str">
            <v>金額</v>
          </cell>
          <cell r="K491" t="str">
            <v>KING</v>
          </cell>
          <cell r="M491" t="str">
            <v>P</v>
          </cell>
          <cell r="N491">
            <v>11</v>
          </cell>
          <cell r="O491" t="str">
            <v/>
          </cell>
          <cell r="P491" t="str">
            <v xml:space="preserve"> </v>
          </cell>
          <cell r="Q491" t="str">
            <v>金額</v>
          </cell>
        </row>
        <row r="492">
          <cell r="B492">
            <v>643</v>
          </cell>
          <cell r="C492" t="str">
            <v>Ｈ／Ｗ分類</v>
          </cell>
          <cell r="K492" t="str">
            <v>HWHB</v>
          </cell>
          <cell r="M492" t="str">
            <v>A</v>
          </cell>
          <cell r="N492">
            <v>2</v>
          </cell>
          <cell r="O492" t="str">
            <v/>
          </cell>
          <cell r="Q492" t="str">
            <v>Ｈ／Ｗ商品を分類するコード</v>
          </cell>
        </row>
        <row r="493">
          <cell r="B493">
            <v>644</v>
          </cell>
          <cell r="C493" t="str">
            <v>連絡先カナ</v>
          </cell>
          <cell r="K493" t="str">
            <v>RESM</v>
          </cell>
          <cell r="L493" t="str">
            <v>RENKN</v>
          </cell>
          <cell r="M493" t="str">
            <v>O</v>
          </cell>
          <cell r="N493">
            <v>42</v>
          </cell>
          <cell r="O493" t="str">
            <v xml:space="preserve"> </v>
          </cell>
          <cell r="P493" t="str">
            <v xml:space="preserve"> </v>
          </cell>
          <cell r="Q493" t="str">
            <v>連絡先名称カナ</v>
          </cell>
        </row>
        <row r="494">
          <cell r="B494">
            <v>645</v>
          </cell>
          <cell r="C494" t="str">
            <v>連絡先名称</v>
          </cell>
          <cell r="K494" t="str">
            <v>RESN</v>
          </cell>
          <cell r="L494" t="str">
            <v>RENKN</v>
          </cell>
          <cell r="M494" t="str">
            <v>O</v>
          </cell>
          <cell r="N494">
            <v>42</v>
          </cell>
          <cell r="O494" t="str">
            <v xml:space="preserve"> </v>
          </cell>
          <cell r="P494" t="str">
            <v xml:space="preserve"> </v>
          </cell>
          <cell r="Q494" t="str">
            <v>会社</v>
          </cell>
        </row>
        <row r="495">
          <cell r="B495">
            <v>646</v>
          </cell>
          <cell r="C495" t="str">
            <v>異動実績日</v>
          </cell>
          <cell r="K495" t="str">
            <v>IJID</v>
          </cell>
          <cell r="M495" t="str">
            <v>S</v>
          </cell>
          <cell r="N495">
            <v>8</v>
          </cell>
          <cell r="O495" t="str">
            <v/>
          </cell>
          <cell r="Q495" t="str">
            <v>異動が実行された日付</v>
          </cell>
        </row>
        <row r="496">
          <cell r="B496">
            <v>647</v>
          </cell>
          <cell r="C496" t="str">
            <v>ＤＤＷ販売番号</v>
          </cell>
          <cell r="K496" t="str">
            <v>DHBN</v>
          </cell>
          <cell r="L496" t="str">
            <v>DWHNNO</v>
          </cell>
          <cell r="M496" t="str">
            <v>A</v>
          </cell>
          <cell r="N496">
            <v>3</v>
          </cell>
          <cell r="O496" t="str">
            <v/>
          </cell>
          <cell r="Q496" t="str">
            <v>ＤＤＷ販売番号</v>
          </cell>
        </row>
        <row r="497">
          <cell r="B497">
            <v>648</v>
          </cell>
          <cell r="C497" t="str">
            <v>Ｈ／Ｗ販売№</v>
          </cell>
          <cell r="K497" t="str">
            <v>HWNO</v>
          </cell>
          <cell r="M497" t="str">
            <v>A</v>
          </cell>
          <cell r="N497">
            <v>10</v>
          </cell>
          <cell r="O497" t="str">
            <v/>
          </cell>
          <cell r="Q497" t="str">
            <v>Ｈ／Ｗ販売情報の販売番号</v>
          </cell>
        </row>
        <row r="498">
          <cell r="B498">
            <v>649</v>
          </cell>
          <cell r="C498" t="str">
            <v>サードパーティサーバー商品区分</v>
          </cell>
          <cell r="K498" t="str">
            <v>SPSK</v>
          </cell>
          <cell r="M498" t="str">
            <v>A</v>
          </cell>
          <cell r="N498">
            <v>1</v>
          </cell>
          <cell r="O498" t="str">
            <v/>
          </cell>
          <cell r="Q498" t="str">
            <v>１：対象、２：対象外</v>
          </cell>
        </row>
        <row r="499">
          <cell r="B499">
            <v>650</v>
          </cell>
          <cell r="C499" t="str">
            <v>開始日付</v>
          </cell>
          <cell r="K499" t="str">
            <v>STRD</v>
          </cell>
          <cell r="M499" t="str">
            <v>S</v>
          </cell>
          <cell r="N499">
            <v>8</v>
          </cell>
          <cell r="O499" t="str">
            <v/>
          </cell>
          <cell r="Q499" t="str">
            <v>消費税区分が開始される日付</v>
          </cell>
        </row>
        <row r="500">
          <cell r="B500">
            <v>651</v>
          </cell>
          <cell r="C500" t="str">
            <v>終了日付</v>
          </cell>
          <cell r="K500" t="str">
            <v>ENDT</v>
          </cell>
          <cell r="M500" t="str">
            <v>S</v>
          </cell>
          <cell r="N500">
            <v>8</v>
          </cell>
          <cell r="O500" t="str">
            <v/>
          </cell>
          <cell r="Q500" t="str">
            <v>消費税区分の終了日付</v>
          </cell>
        </row>
        <row r="501">
          <cell r="B501">
            <v>652</v>
          </cell>
          <cell r="C501" t="str">
            <v>まるめ区分</v>
          </cell>
          <cell r="K501" t="str">
            <v>MERK</v>
          </cell>
          <cell r="M501" t="str">
            <v>A</v>
          </cell>
          <cell r="N501">
            <v>1</v>
          </cell>
          <cell r="O501" t="str">
            <v/>
          </cell>
          <cell r="Q501" t="str">
            <v>１：切捨て、２：切上げ、３：四捨五入</v>
          </cell>
        </row>
        <row r="502">
          <cell r="B502">
            <v>653</v>
          </cell>
          <cell r="C502" t="str">
            <v>略称</v>
          </cell>
          <cell r="K502" t="str">
            <v>RYAK</v>
          </cell>
          <cell r="M502" t="str">
            <v>O</v>
          </cell>
          <cell r="N502">
            <v>12</v>
          </cell>
          <cell r="O502" t="str">
            <v/>
          </cell>
          <cell r="Q502" t="str">
            <v>略称</v>
          </cell>
        </row>
        <row r="503">
          <cell r="B503">
            <v>654</v>
          </cell>
          <cell r="C503" t="str">
            <v>販売価格有効日付</v>
          </cell>
          <cell r="K503" t="str">
            <v>HNKD</v>
          </cell>
          <cell r="L503" t="str">
            <v>HNYKDY</v>
          </cell>
          <cell r="M503" t="str">
            <v>S</v>
          </cell>
          <cell r="N503">
            <v>8</v>
          </cell>
          <cell r="O503" t="str">
            <v/>
          </cell>
          <cell r="Q503" t="str">
            <v>販売価格（税込）が有効な日付</v>
          </cell>
        </row>
        <row r="504">
          <cell r="B504">
            <v>655</v>
          </cell>
          <cell r="C504" t="str">
            <v>次回有効販売価格</v>
          </cell>
          <cell r="K504" t="str">
            <v>JYHG</v>
          </cell>
          <cell r="L504" t="str">
            <v>NHNKKT</v>
          </cell>
          <cell r="M504" t="str">
            <v>P</v>
          </cell>
          <cell r="N504">
            <v>7</v>
          </cell>
          <cell r="O504" t="str">
            <v/>
          </cell>
          <cell r="Q504" t="str">
            <v>有効日付以外の価格</v>
          </cell>
        </row>
        <row r="505">
          <cell r="B505">
            <v>656</v>
          </cell>
          <cell r="C505" t="str">
            <v>コンテンツ提供者会員ＩＤ３</v>
          </cell>
          <cell r="K505" t="str">
            <v>CNK3</v>
          </cell>
          <cell r="L505" t="str">
            <v>CTKID3</v>
          </cell>
          <cell r="M505" t="str">
            <v>A</v>
          </cell>
          <cell r="N505">
            <v>8</v>
          </cell>
          <cell r="O505" t="str">
            <v/>
          </cell>
          <cell r="Q505" t="str">
            <v>コンテンツ事前確認用ＩＤ</v>
          </cell>
        </row>
        <row r="506">
          <cell r="B506">
            <v>659</v>
          </cell>
          <cell r="C506" t="str">
            <v>会員初期パスワード</v>
          </cell>
          <cell r="K506" t="str">
            <v>KIPS</v>
          </cell>
          <cell r="L506" t="str">
            <v>KIPS</v>
          </cell>
          <cell r="M506" t="str">
            <v>A</v>
          </cell>
          <cell r="N506">
            <v>4</v>
          </cell>
          <cell r="O506" t="str">
            <v/>
          </cell>
          <cell r="Q506" t="str">
            <v>会員の初期パスワード（ハード購入券用）</v>
          </cell>
        </row>
        <row r="507">
          <cell r="B507">
            <v>662</v>
          </cell>
          <cell r="C507" t="str">
            <v>会員状況理由区分</v>
          </cell>
          <cell r="K507" t="str">
            <v>KNJR</v>
          </cell>
          <cell r="L507" t="str">
            <v>KNJR</v>
          </cell>
          <cell r="M507" t="str">
            <v>A</v>
          </cell>
          <cell r="N507">
            <v>2</v>
          </cell>
          <cell r="O507" t="str">
            <v/>
          </cell>
          <cell r="Q507" t="str">
            <v>会員の状況が変わった理由区分</v>
          </cell>
        </row>
        <row r="508">
          <cell r="B508">
            <v>663</v>
          </cell>
          <cell r="C508" t="str">
            <v>会員状況理由登録日付</v>
          </cell>
          <cell r="K508" t="str">
            <v>KNJD</v>
          </cell>
          <cell r="L508" t="str">
            <v>KNJD</v>
          </cell>
          <cell r="M508" t="str">
            <v>S</v>
          </cell>
          <cell r="N508">
            <v>8</v>
          </cell>
          <cell r="O508" t="str">
            <v/>
          </cell>
          <cell r="Q508" t="str">
            <v>会員の状況が変わった日付</v>
          </cell>
        </row>
        <row r="509">
          <cell r="B509">
            <v>665</v>
          </cell>
          <cell r="C509" t="str">
            <v>自動更新型期間権解約日付</v>
          </cell>
          <cell r="K509" t="str">
            <v>JUKD</v>
          </cell>
          <cell r="L509" t="str">
            <v>JKKKKD</v>
          </cell>
          <cell r="M509" t="str">
            <v>S</v>
          </cell>
          <cell r="N509">
            <v>8</v>
          </cell>
          <cell r="O509" t="str">
            <v/>
          </cell>
          <cell r="Q509" t="str">
            <v>自動更新型期間権解約日付</v>
          </cell>
        </row>
        <row r="510">
          <cell r="B510">
            <v>666</v>
          </cell>
          <cell r="C510" t="str">
            <v>自動更新型期間権解約時刻</v>
          </cell>
          <cell r="K510" t="str">
            <v>JUKM</v>
          </cell>
          <cell r="L510" t="str">
            <v>JKKKKT</v>
          </cell>
          <cell r="M510" t="str">
            <v>S</v>
          </cell>
          <cell r="N510">
            <v>6</v>
          </cell>
          <cell r="O510" t="str">
            <v/>
          </cell>
          <cell r="Q510" t="str">
            <v>自動更新型期間権解約時刻</v>
          </cell>
        </row>
        <row r="511">
          <cell r="B511">
            <v>667</v>
          </cell>
          <cell r="C511" t="str">
            <v>ＵＳＥＲＩＤ</v>
          </cell>
          <cell r="K511" t="str">
            <v>USID</v>
          </cell>
          <cell r="L511" t="str">
            <v>USERID</v>
          </cell>
          <cell r="M511" t="str">
            <v>A</v>
          </cell>
          <cell r="N511">
            <v>32</v>
          </cell>
          <cell r="O511" t="str">
            <v/>
          </cell>
          <cell r="Q511" t="str">
            <v>ＰＲＯＸＹサーバーのディレクトリに設定されるＵＳＥＲＩＤ</v>
          </cell>
        </row>
        <row r="512">
          <cell r="B512">
            <v>668</v>
          </cell>
          <cell r="C512" t="str">
            <v>認証コード（会員用１）</v>
          </cell>
          <cell r="K512" t="str">
            <v>SYC1</v>
          </cell>
          <cell r="L512" t="str">
            <v>NIKCD1</v>
          </cell>
          <cell r="M512" t="str">
            <v>A</v>
          </cell>
          <cell r="N512">
            <v>50</v>
          </cell>
          <cell r="O512" t="str">
            <v/>
          </cell>
          <cell r="Q512" t="str">
            <v>コンテンツ更新時に交互に利用</v>
          </cell>
        </row>
        <row r="513">
          <cell r="B513">
            <v>669</v>
          </cell>
          <cell r="C513" t="str">
            <v>認証コード（会員用２）</v>
          </cell>
          <cell r="K513" t="str">
            <v>SYC2</v>
          </cell>
          <cell r="L513" t="str">
            <v>NIKCD2</v>
          </cell>
          <cell r="M513" t="str">
            <v>A</v>
          </cell>
          <cell r="N513">
            <v>50</v>
          </cell>
          <cell r="O513" t="str">
            <v/>
          </cell>
          <cell r="Q513" t="str">
            <v>コンテンツ更新時に交互に利用</v>
          </cell>
        </row>
        <row r="514">
          <cell r="B514">
            <v>670</v>
          </cell>
          <cell r="C514" t="str">
            <v>ＵＳＥＲＩＤ（コンテンツ提供者用）</v>
          </cell>
          <cell r="K514" t="str">
            <v>USCI</v>
          </cell>
          <cell r="L514" t="str">
            <v>UIDCTS</v>
          </cell>
          <cell r="M514" t="str">
            <v>A</v>
          </cell>
          <cell r="N514">
            <v>32</v>
          </cell>
          <cell r="O514" t="str">
            <v/>
          </cell>
          <cell r="Q514" t="str">
            <v>サービスサーバーのディレクトリに設定されるＵＳＥＲＩＤ</v>
          </cell>
        </row>
        <row r="515">
          <cell r="B515">
            <v>671</v>
          </cell>
          <cell r="C515" t="str">
            <v>ＵＳＥＲＩＤ（会員用１）</v>
          </cell>
          <cell r="K515" t="str">
            <v>USK1</v>
          </cell>
          <cell r="L515" t="str">
            <v>UIDKA1</v>
          </cell>
          <cell r="M515" t="str">
            <v>A</v>
          </cell>
          <cell r="N515">
            <v>32</v>
          </cell>
          <cell r="O515" t="str">
            <v/>
          </cell>
          <cell r="Q515" t="str">
            <v>サービスサーバーのディレクトリに設定されるＵＳＥＲＩＤ</v>
          </cell>
        </row>
        <row r="516">
          <cell r="B516">
            <v>672</v>
          </cell>
          <cell r="C516" t="str">
            <v>ＵＳＥＲＩＤ（会員用２）</v>
          </cell>
          <cell r="K516" t="str">
            <v>USK2</v>
          </cell>
          <cell r="L516" t="str">
            <v>UIDKA2</v>
          </cell>
          <cell r="M516" t="str">
            <v>A</v>
          </cell>
          <cell r="N516">
            <v>32</v>
          </cell>
          <cell r="O516" t="str">
            <v/>
          </cell>
          <cell r="Q516" t="str">
            <v>サービスサーバーのディレクトリに設定されるＵＳＥＲＩＤ</v>
          </cell>
        </row>
        <row r="517">
          <cell r="B517">
            <v>673</v>
          </cell>
          <cell r="C517" t="str">
            <v>コマンド番号</v>
          </cell>
          <cell r="K517" t="str">
            <v>CMDB</v>
          </cell>
          <cell r="L517" t="str">
            <v>COMMNO</v>
          </cell>
          <cell r="M517" t="str">
            <v>S</v>
          </cell>
          <cell r="N517">
            <v>8</v>
          </cell>
          <cell r="O517" t="str">
            <v/>
          </cell>
          <cell r="Q517" t="str">
            <v>コマンドのシークエンス番号。実行順序。</v>
          </cell>
        </row>
        <row r="518">
          <cell r="B518">
            <v>674</v>
          </cell>
          <cell r="C518" t="str">
            <v>コマンド</v>
          </cell>
          <cell r="K518" t="str">
            <v>CMD1</v>
          </cell>
          <cell r="L518" t="str">
            <v>COMND</v>
          </cell>
          <cell r="M518" t="str">
            <v>A</v>
          </cell>
          <cell r="N518">
            <v>1</v>
          </cell>
          <cell r="O518" t="str">
            <v/>
          </cell>
          <cell r="Q518" t="str">
            <v>１：delete、２：expand、３：copy、４：RScopy</v>
          </cell>
        </row>
        <row r="519">
          <cell r="B519">
            <v>675</v>
          </cell>
          <cell r="C519" t="str">
            <v>ディレクトリ（サービスサーバー１）</v>
          </cell>
          <cell r="K519" t="str">
            <v>DRS1</v>
          </cell>
          <cell r="L519" t="str">
            <v>DSCSV1</v>
          </cell>
          <cell r="M519" t="str">
            <v>A</v>
          </cell>
          <cell r="N519">
            <v>128</v>
          </cell>
          <cell r="O519" t="str">
            <v/>
          </cell>
          <cell r="Q519" t="str">
            <v>コマンドを実行するターゲットのパス</v>
          </cell>
        </row>
        <row r="520">
          <cell r="B520">
            <v>676</v>
          </cell>
          <cell r="C520" t="str">
            <v>ディレクトリ（サービスサーバー２）</v>
          </cell>
          <cell r="K520" t="str">
            <v>DRS2</v>
          </cell>
          <cell r="L520" t="str">
            <v>DSCSV2</v>
          </cell>
          <cell r="M520" t="str">
            <v>A</v>
          </cell>
          <cell r="N520">
            <v>128</v>
          </cell>
          <cell r="O520" t="str">
            <v/>
          </cell>
          <cell r="Q520" t="str">
            <v>コマンドを実行するターゲットのパス。「Rscopy」の場合のみ使用。</v>
          </cell>
        </row>
        <row r="521">
          <cell r="B521">
            <v>677</v>
          </cell>
          <cell r="C521" t="str">
            <v>ファイル</v>
          </cell>
          <cell r="K521" t="str">
            <v>FILE</v>
          </cell>
          <cell r="L521" t="str">
            <v>FILE</v>
          </cell>
          <cell r="M521" t="str">
            <v>B</v>
          </cell>
          <cell r="N521" t="str">
            <v>-</v>
          </cell>
          <cell r="O521" t="str">
            <v/>
          </cell>
          <cell r="Q521" t="str">
            <v>サービスサーバーに渡すファイルの実体</v>
          </cell>
        </row>
        <row r="522">
          <cell r="B522">
            <v>682</v>
          </cell>
          <cell r="C522" t="str">
            <v>新ＤＩＳＫＩＤ</v>
          </cell>
          <cell r="K522" t="str">
            <v>SDSK</v>
          </cell>
          <cell r="L522" t="str">
            <v>NWDKID</v>
          </cell>
          <cell r="M522" t="str">
            <v>A</v>
          </cell>
          <cell r="N522">
            <v>32</v>
          </cell>
          <cell r="O522" t="str">
            <v/>
          </cell>
          <cell r="Q522" t="str">
            <v>ＤＩＳＫ交換時に振り替えるＩＤ</v>
          </cell>
        </row>
        <row r="523">
          <cell r="B523">
            <v>686</v>
          </cell>
          <cell r="C523" t="str">
            <v>現在バージョン</v>
          </cell>
          <cell r="K523" t="str">
            <v>CVAR</v>
          </cell>
          <cell r="L523" t="str">
            <v>CVAR</v>
          </cell>
          <cell r="M523" t="str">
            <v>A</v>
          </cell>
          <cell r="N523">
            <v>4</v>
          </cell>
          <cell r="O523" t="str">
            <v/>
          </cell>
          <cell r="Q523" t="str">
            <v>現在サービスバージョン</v>
          </cell>
        </row>
        <row r="524">
          <cell r="B524">
            <v>691</v>
          </cell>
          <cell r="C524" t="str">
            <v>メール利用料</v>
          </cell>
          <cell r="K524" t="str">
            <v>MLRG</v>
          </cell>
          <cell r="L524" t="str">
            <v>MRYRYO</v>
          </cell>
          <cell r="M524" t="str">
            <v>P</v>
          </cell>
          <cell r="N524">
            <v>7</v>
          </cell>
          <cell r="O524" t="str">
            <v/>
          </cell>
          <cell r="Q524" t="str">
            <v>メールサービス料金コードの販売価格（税込）</v>
          </cell>
        </row>
        <row r="525">
          <cell r="B525">
            <v>692</v>
          </cell>
          <cell r="C525" t="str">
            <v>メール利用料有効日付</v>
          </cell>
          <cell r="K525" t="str">
            <v>MLYD</v>
          </cell>
          <cell r="L525" t="str">
            <v>MRYYDT</v>
          </cell>
          <cell r="M525" t="str">
            <v>S</v>
          </cell>
          <cell r="N525">
            <v>8</v>
          </cell>
          <cell r="O525" t="str">
            <v/>
          </cell>
          <cell r="Q525" t="str">
            <v>Ｗｅｂのメール利用料有効日付</v>
          </cell>
        </row>
        <row r="526">
          <cell r="B526">
            <v>693</v>
          </cell>
          <cell r="C526" t="str">
            <v>次回有効メール利用料</v>
          </cell>
          <cell r="K526" t="str">
            <v>JYMG</v>
          </cell>
          <cell r="L526" t="str">
            <v>NXYMRY</v>
          </cell>
          <cell r="M526" t="str">
            <v>P</v>
          </cell>
          <cell r="N526">
            <v>7</v>
          </cell>
          <cell r="O526" t="str">
            <v/>
          </cell>
          <cell r="Q526" t="str">
            <v>有効日付以降に有効になるメール利用料</v>
          </cell>
        </row>
        <row r="527">
          <cell r="B527">
            <v>694</v>
          </cell>
          <cell r="C527" t="str">
            <v>メールサービス開始日付</v>
          </cell>
          <cell r="K527" t="str">
            <v>MLSD</v>
          </cell>
          <cell r="L527" t="str">
            <v>MSVSDT</v>
          </cell>
          <cell r="M527" t="str">
            <v>S</v>
          </cell>
          <cell r="N527">
            <v>8</v>
          </cell>
          <cell r="O527" t="str">
            <v/>
          </cell>
          <cell r="Q527" t="str">
            <v>メールサービス開始日付</v>
          </cell>
        </row>
        <row r="528">
          <cell r="B528">
            <v>695</v>
          </cell>
          <cell r="C528" t="str">
            <v>メールサービス開始時刻</v>
          </cell>
          <cell r="K528" t="str">
            <v>MLST</v>
          </cell>
          <cell r="L528" t="str">
            <v>MSVSTM</v>
          </cell>
          <cell r="M528" t="str">
            <v>S</v>
          </cell>
          <cell r="N528">
            <v>6</v>
          </cell>
          <cell r="O528" t="str">
            <v/>
          </cell>
          <cell r="Q528" t="str">
            <v>メールサービス開始時刻</v>
          </cell>
        </row>
        <row r="529">
          <cell r="B529">
            <v>696</v>
          </cell>
          <cell r="C529" t="str">
            <v>メールサービス終了日付</v>
          </cell>
          <cell r="K529" t="str">
            <v>MLED</v>
          </cell>
          <cell r="L529" t="str">
            <v>MSVEDT</v>
          </cell>
          <cell r="M529" t="str">
            <v>S</v>
          </cell>
          <cell r="N529">
            <v>8</v>
          </cell>
          <cell r="O529" t="str">
            <v/>
          </cell>
          <cell r="Q529" t="str">
            <v>メールサービス終了日付</v>
          </cell>
        </row>
        <row r="530">
          <cell r="B530">
            <v>697</v>
          </cell>
          <cell r="C530" t="str">
            <v>メールサービス終了時刻</v>
          </cell>
          <cell r="K530" t="str">
            <v>MLET</v>
          </cell>
          <cell r="L530" t="str">
            <v>MSVETM</v>
          </cell>
          <cell r="M530" t="str">
            <v>S</v>
          </cell>
          <cell r="N530">
            <v>6</v>
          </cell>
          <cell r="O530" t="str">
            <v/>
          </cell>
          <cell r="Q530" t="str">
            <v>メールサービス終了時刻</v>
          </cell>
        </row>
        <row r="531">
          <cell r="B531">
            <v>698</v>
          </cell>
          <cell r="C531" t="str">
            <v>メールサービス無償区分</v>
          </cell>
          <cell r="K531" t="str">
            <v>MLSM</v>
          </cell>
          <cell r="L531" t="str">
            <v>MSFRKB</v>
          </cell>
          <cell r="M531" t="str">
            <v>A</v>
          </cell>
          <cell r="N531">
            <v>1</v>
          </cell>
          <cell r="O531" t="str">
            <v/>
          </cell>
          <cell r="Q531" t="str">
            <v>１：無償</v>
          </cell>
        </row>
        <row r="532">
          <cell r="B532">
            <v>699</v>
          </cell>
          <cell r="C532" t="str">
            <v>ブラウジング料</v>
          </cell>
          <cell r="K532" t="str">
            <v>BRRG</v>
          </cell>
          <cell r="L532" t="str">
            <v>BRSRYO</v>
          </cell>
          <cell r="M532" t="str">
            <v>P</v>
          </cell>
          <cell r="N532">
            <v>7</v>
          </cell>
          <cell r="O532" t="str">
            <v/>
          </cell>
          <cell r="Q532" t="str">
            <v>ブラウジングサービス料金コードの販売価格（税込）</v>
          </cell>
        </row>
        <row r="533">
          <cell r="B533">
            <v>700</v>
          </cell>
          <cell r="C533" t="str">
            <v>ブラウジング料有効日付</v>
          </cell>
          <cell r="K533" t="str">
            <v>BRYD</v>
          </cell>
          <cell r="L533" t="str">
            <v>BRRYDT</v>
          </cell>
          <cell r="M533" t="str">
            <v>S</v>
          </cell>
          <cell r="N533">
            <v>8</v>
          </cell>
          <cell r="O533" t="str">
            <v/>
          </cell>
          <cell r="Q533" t="str">
            <v>現在ブラウジング料の有功期限</v>
          </cell>
        </row>
        <row r="534">
          <cell r="B534">
            <v>701</v>
          </cell>
          <cell r="C534" t="str">
            <v>次回有効ブラウジング料</v>
          </cell>
          <cell r="K534" t="str">
            <v>JYBG</v>
          </cell>
          <cell r="L534" t="str">
            <v>NXYBRR</v>
          </cell>
          <cell r="M534" t="str">
            <v>P</v>
          </cell>
          <cell r="N534">
            <v>7</v>
          </cell>
          <cell r="O534" t="str">
            <v/>
          </cell>
          <cell r="Q534" t="str">
            <v>有効日付以降に有効になるブラウジング料</v>
          </cell>
        </row>
        <row r="535">
          <cell r="B535">
            <v>702</v>
          </cell>
          <cell r="C535" t="str">
            <v>ブラウジング開始日付</v>
          </cell>
          <cell r="K535" t="str">
            <v>BRSD</v>
          </cell>
          <cell r="L535" t="str">
            <v>BRSTDT</v>
          </cell>
          <cell r="M535" t="str">
            <v>S</v>
          </cell>
          <cell r="N535">
            <v>8</v>
          </cell>
          <cell r="O535" t="str">
            <v/>
          </cell>
          <cell r="Q535" t="str">
            <v>ブラウジング開始日付</v>
          </cell>
        </row>
        <row r="536">
          <cell r="B536">
            <v>703</v>
          </cell>
          <cell r="C536" t="str">
            <v>ブラウジング開始時刻</v>
          </cell>
          <cell r="K536" t="str">
            <v>BRST</v>
          </cell>
          <cell r="L536" t="str">
            <v>BRSTTM</v>
          </cell>
          <cell r="M536" t="str">
            <v>S</v>
          </cell>
          <cell r="N536">
            <v>6</v>
          </cell>
          <cell r="O536" t="str">
            <v/>
          </cell>
          <cell r="Q536" t="str">
            <v>ブラウジング開始時刻</v>
          </cell>
        </row>
        <row r="537">
          <cell r="B537">
            <v>704</v>
          </cell>
          <cell r="C537" t="str">
            <v>ブラウジング終了日付</v>
          </cell>
          <cell r="K537" t="str">
            <v>BRED</v>
          </cell>
          <cell r="L537" t="str">
            <v>BREDDT</v>
          </cell>
          <cell r="M537" t="str">
            <v>S</v>
          </cell>
          <cell r="N537">
            <v>8</v>
          </cell>
          <cell r="O537" t="str">
            <v/>
          </cell>
          <cell r="Q537" t="str">
            <v>ブラウジング終了日付</v>
          </cell>
        </row>
        <row r="538">
          <cell r="B538">
            <v>705</v>
          </cell>
          <cell r="C538" t="str">
            <v>ブラウジング終了時刻</v>
          </cell>
          <cell r="K538" t="str">
            <v>BRET</v>
          </cell>
          <cell r="L538" t="str">
            <v>BREDTM</v>
          </cell>
          <cell r="M538" t="str">
            <v>S</v>
          </cell>
          <cell r="N538">
            <v>6</v>
          </cell>
          <cell r="O538" t="str">
            <v/>
          </cell>
          <cell r="Q538" t="str">
            <v>ブラウジング終了時刻</v>
          </cell>
        </row>
        <row r="539">
          <cell r="B539">
            <v>706</v>
          </cell>
          <cell r="C539" t="str">
            <v>ブラウジング無償区分</v>
          </cell>
          <cell r="K539" t="str">
            <v>BRMK</v>
          </cell>
          <cell r="L539" t="str">
            <v>BRFRKB</v>
          </cell>
          <cell r="M539" t="str">
            <v>A</v>
          </cell>
          <cell r="N539">
            <v>1</v>
          </cell>
          <cell r="O539" t="str">
            <v/>
          </cell>
          <cell r="Q539" t="str">
            <v>１：無償</v>
          </cell>
        </row>
        <row r="540">
          <cell r="B540">
            <v>707</v>
          </cell>
          <cell r="C540" t="str">
            <v>サービス料金３</v>
          </cell>
          <cell r="K540" t="str">
            <v>SG03</v>
          </cell>
          <cell r="L540" t="str">
            <v>SVRY3</v>
          </cell>
          <cell r="M540" t="str">
            <v>P</v>
          </cell>
          <cell r="N540">
            <v>7</v>
          </cell>
          <cell r="O540" t="str">
            <v/>
          </cell>
          <cell r="Q540" t="str">
            <v>サービス料金コード３の販売価格（税込）</v>
          </cell>
        </row>
        <row r="541">
          <cell r="B541">
            <v>708</v>
          </cell>
          <cell r="C541" t="str">
            <v>サービス料金３有効日付</v>
          </cell>
          <cell r="K541" t="str">
            <v>SD03</v>
          </cell>
          <cell r="L541" t="str">
            <v>SR3YDT</v>
          </cell>
          <cell r="M541" t="str">
            <v>S</v>
          </cell>
          <cell r="N541">
            <v>8</v>
          </cell>
          <cell r="O541" t="str">
            <v/>
          </cell>
          <cell r="Q541" t="str">
            <v>現在サービス料金の有効期限</v>
          </cell>
        </row>
        <row r="542">
          <cell r="B542">
            <v>709</v>
          </cell>
          <cell r="C542" t="str">
            <v>次回有効サービス料金３</v>
          </cell>
          <cell r="K542" t="str">
            <v>JYS3</v>
          </cell>
          <cell r="L542" t="str">
            <v>NYSVR3</v>
          </cell>
          <cell r="M542" t="str">
            <v>P</v>
          </cell>
          <cell r="N542">
            <v>7</v>
          </cell>
          <cell r="O542" t="str">
            <v/>
          </cell>
          <cell r="Q542" t="str">
            <v>有効日付以降に有効になるサービス料金</v>
          </cell>
        </row>
        <row r="543">
          <cell r="B543">
            <v>710</v>
          </cell>
          <cell r="C543" t="str">
            <v>サービス料金コード３開始日付</v>
          </cell>
          <cell r="K543" t="str">
            <v>SST3</v>
          </cell>
          <cell r="L543" t="str">
            <v>SC3SDT</v>
          </cell>
          <cell r="M543" t="str">
            <v>S</v>
          </cell>
          <cell r="N543">
            <v>8</v>
          </cell>
          <cell r="O543" t="str">
            <v/>
          </cell>
          <cell r="Q543" t="str">
            <v>サービス料金コード開始日付</v>
          </cell>
        </row>
        <row r="544">
          <cell r="B544">
            <v>711</v>
          </cell>
          <cell r="C544" t="str">
            <v>サービス料金コード３開始時刻</v>
          </cell>
          <cell r="K544" t="str">
            <v>SSD3</v>
          </cell>
          <cell r="L544" t="str">
            <v>SC3STM</v>
          </cell>
          <cell r="M544" t="str">
            <v>S</v>
          </cell>
          <cell r="N544">
            <v>6</v>
          </cell>
          <cell r="O544" t="str">
            <v/>
          </cell>
          <cell r="Q544" t="str">
            <v>サービス料金コード開始時刻</v>
          </cell>
        </row>
        <row r="545">
          <cell r="B545">
            <v>712</v>
          </cell>
          <cell r="C545" t="str">
            <v>サービス料金コード３終了日付</v>
          </cell>
          <cell r="K545" t="str">
            <v>SET3</v>
          </cell>
          <cell r="L545" t="str">
            <v>SC3EDT</v>
          </cell>
          <cell r="M545" t="str">
            <v>S</v>
          </cell>
          <cell r="N545">
            <v>8</v>
          </cell>
          <cell r="O545" t="str">
            <v/>
          </cell>
          <cell r="Q545" t="str">
            <v>サービス料金コード終了日付</v>
          </cell>
        </row>
        <row r="546">
          <cell r="B546">
            <v>713</v>
          </cell>
          <cell r="C546" t="str">
            <v>サービス料金コード３終了時刻</v>
          </cell>
          <cell r="K546" t="str">
            <v>SED3</v>
          </cell>
          <cell r="L546" t="str">
            <v>SC3ETM</v>
          </cell>
          <cell r="M546" t="str">
            <v>S</v>
          </cell>
          <cell r="N546">
            <v>6</v>
          </cell>
          <cell r="O546" t="str">
            <v/>
          </cell>
          <cell r="Q546" t="str">
            <v>サービス料金コード終了時刻</v>
          </cell>
        </row>
        <row r="547">
          <cell r="B547">
            <v>714</v>
          </cell>
          <cell r="C547" t="str">
            <v>サービス料金コード３無償区分</v>
          </cell>
          <cell r="K547" t="str">
            <v>SRM3</v>
          </cell>
          <cell r="L547" t="str">
            <v>SC3FKB</v>
          </cell>
          <cell r="M547" t="str">
            <v>A</v>
          </cell>
          <cell r="N547">
            <v>1</v>
          </cell>
          <cell r="O547" t="str">
            <v/>
          </cell>
          <cell r="Q547" t="str">
            <v>１：無償</v>
          </cell>
        </row>
        <row r="548">
          <cell r="B548">
            <v>715</v>
          </cell>
          <cell r="C548" t="str">
            <v>サービス料金４</v>
          </cell>
          <cell r="K548" t="str">
            <v>SG04</v>
          </cell>
          <cell r="L548" t="str">
            <v>SVRY4</v>
          </cell>
          <cell r="M548" t="str">
            <v>P</v>
          </cell>
          <cell r="N548">
            <v>7</v>
          </cell>
          <cell r="O548" t="str">
            <v/>
          </cell>
          <cell r="Q548" t="str">
            <v>サービス料金コード４の販売価格（税込）</v>
          </cell>
        </row>
        <row r="549">
          <cell r="B549">
            <v>716</v>
          </cell>
          <cell r="C549" t="str">
            <v>サービス料金４有効日付</v>
          </cell>
          <cell r="K549" t="str">
            <v>SD04</v>
          </cell>
          <cell r="L549" t="str">
            <v>SR4YDT</v>
          </cell>
          <cell r="M549" t="str">
            <v>S</v>
          </cell>
          <cell r="N549">
            <v>8</v>
          </cell>
          <cell r="O549" t="str">
            <v/>
          </cell>
          <cell r="Q549" t="str">
            <v>現在サービス料金の有効期限</v>
          </cell>
        </row>
        <row r="550">
          <cell r="B550">
            <v>717</v>
          </cell>
          <cell r="C550" t="str">
            <v>次回有効サービス料金４</v>
          </cell>
          <cell r="K550" t="str">
            <v>JYS4</v>
          </cell>
          <cell r="L550" t="str">
            <v>NYSVR4</v>
          </cell>
          <cell r="M550" t="str">
            <v>P</v>
          </cell>
          <cell r="N550">
            <v>7</v>
          </cell>
          <cell r="O550" t="str">
            <v/>
          </cell>
          <cell r="Q550" t="str">
            <v>有効日付以降に有効になるサービス料金</v>
          </cell>
        </row>
        <row r="551">
          <cell r="B551">
            <v>718</v>
          </cell>
          <cell r="C551" t="str">
            <v>サービス料金コード４開始日付</v>
          </cell>
          <cell r="K551" t="str">
            <v>SST4</v>
          </cell>
          <cell r="L551" t="str">
            <v>SC4SDT</v>
          </cell>
          <cell r="M551" t="str">
            <v>S</v>
          </cell>
          <cell r="N551">
            <v>8</v>
          </cell>
          <cell r="O551" t="str">
            <v/>
          </cell>
          <cell r="Q551" t="str">
            <v>サービス料金コード開始日付</v>
          </cell>
        </row>
        <row r="552">
          <cell r="B552">
            <v>719</v>
          </cell>
          <cell r="C552" t="str">
            <v>サービス料金コード４開始時刻</v>
          </cell>
          <cell r="K552" t="str">
            <v>SSD4</v>
          </cell>
          <cell r="L552" t="str">
            <v>SC4STM</v>
          </cell>
          <cell r="M552" t="str">
            <v>S</v>
          </cell>
          <cell r="N552">
            <v>6</v>
          </cell>
          <cell r="O552" t="str">
            <v/>
          </cell>
          <cell r="Q552" t="str">
            <v>サービス料金コード開始時刻</v>
          </cell>
        </row>
        <row r="553">
          <cell r="B553">
            <v>720</v>
          </cell>
          <cell r="C553" t="str">
            <v>サービス料金コード４終了日付</v>
          </cell>
          <cell r="K553" t="str">
            <v>SET4</v>
          </cell>
          <cell r="L553" t="str">
            <v>SC4EDT</v>
          </cell>
          <cell r="M553" t="str">
            <v>S</v>
          </cell>
          <cell r="N553">
            <v>8</v>
          </cell>
          <cell r="O553" t="str">
            <v/>
          </cell>
          <cell r="Q553" t="str">
            <v>サービス料金コード終了日付</v>
          </cell>
        </row>
        <row r="554">
          <cell r="B554">
            <v>721</v>
          </cell>
          <cell r="C554" t="str">
            <v>サービス料金コード４終了時刻</v>
          </cell>
          <cell r="K554" t="str">
            <v>SED4</v>
          </cell>
          <cell r="L554" t="str">
            <v>SC4ETM</v>
          </cell>
          <cell r="M554" t="str">
            <v>S</v>
          </cell>
          <cell r="N554">
            <v>6</v>
          </cell>
          <cell r="O554" t="str">
            <v/>
          </cell>
          <cell r="Q554" t="str">
            <v>サービス料金コード終了時刻</v>
          </cell>
        </row>
        <row r="555">
          <cell r="B555">
            <v>722</v>
          </cell>
          <cell r="C555" t="str">
            <v>サービス料金コード４無償区分</v>
          </cell>
          <cell r="K555" t="str">
            <v>SRK4</v>
          </cell>
          <cell r="L555" t="str">
            <v>SC4FKB</v>
          </cell>
          <cell r="M555" t="str">
            <v>A</v>
          </cell>
          <cell r="N555">
            <v>1</v>
          </cell>
          <cell r="O555" t="str">
            <v/>
          </cell>
          <cell r="Q555" t="str">
            <v>１：無償</v>
          </cell>
        </row>
        <row r="556">
          <cell r="B556">
            <v>723</v>
          </cell>
          <cell r="C556" t="str">
            <v>サービス料金５</v>
          </cell>
          <cell r="K556" t="str">
            <v>SG05</v>
          </cell>
          <cell r="L556" t="str">
            <v>SVRY5</v>
          </cell>
          <cell r="M556" t="str">
            <v>P</v>
          </cell>
          <cell r="N556">
            <v>7</v>
          </cell>
          <cell r="O556" t="str">
            <v/>
          </cell>
          <cell r="Q556" t="str">
            <v>サービス料金コード５の販売価格（税込）</v>
          </cell>
        </row>
        <row r="557">
          <cell r="B557">
            <v>724</v>
          </cell>
          <cell r="C557" t="str">
            <v>サービス料金５有効日付</v>
          </cell>
          <cell r="K557" t="str">
            <v>SD05</v>
          </cell>
          <cell r="L557" t="str">
            <v>SR5YDT</v>
          </cell>
          <cell r="M557" t="str">
            <v>S</v>
          </cell>
          <cell r="N557">
            <v>8</v>
          </cell>
          <cell r="O557" t="str">
            <v/>
          </cell>
          <cell r="Q557" t="str">
            <v>現在サービス料金の有効期限</v>
          </cell>
        </row>
        <row r="558">
          <cell r="B558">
            <v>725</v>
          </cell>
          <cell r="C558" t="str">
            <v>次回有効サービス料金５</v>
          </cell>
          <cell r="K558" t="str">
            <v>JYS5</v>
          </cell>
          <cell r="L558" t="str">
            <v>NYSVR5</v>
          </cell>
          <cell r="M558" t="str">
            <v>P</v>
          </cell>
          <cell r="N558">
            <v>7</v>
          </cell>
          <cell r="O558" t="str">
            <v/>
          </cell>
          <cell r="Q558" t="str">
            <v>有効日付以降に有効になるサービス料金</v>
          </cell>
        </row>
        <row r="559">
          <cell r="B559">
            <v>726</v>
          </cell>
          <cell r="C559" t="str">
            <v>サービス料金コード５開始日付</v>
          </cell>
          <cell r="K559" t="str">
            <v>SST5</v>
          </cell>
          <cell r="L559" t="str">
            <v>SC5SDT</v>
          </cell>
          <cell r="M559" t="str">
            <v>S</v>
          </cell>
          <cell r="N559">
            <v>8</v>
          </cell>
          <cell r="O559" t="str">
            <v/>
          </cell>
          <cell r="Q559" t="str">
            <v>サービス料金コード開始日付</v>
          </cell>
        </row>
        <row r="560">
          <cell r="B560">
            <v>727</v>
          </cell>
          <cell r="C560" t="str">
            <v>サービス料金コード５開始時刻</v>
          </cell>
          <cell r="K560" t="str">
            <v>SSD5</v>
          </cell>
          <cell r="L560" t="str">
            <v>SC5STM</v>
          </cell>
          <cell r="M560" t="str">
            <v>S</v>
          </cell>
          <cell r="N560">
            <v>6</v>
          </cell>
          <cell r="O560" t="str">
            <v/>
          </cell>
          <cell r="Q560" t="str">
            <v>サービス料金コード開始時刻</v>
          </cell>
        </row>
        <row r="561">
          <cell r="B561">
            <v>728</v>
          </cell>
          <cell r="C561" t="str">
            <v>サービス料金コード５終了日付</v>
          </cell>
          <cell r="K561" t="str">
            <v>SET5</v>
          </cell>
          <cell r="L561" t="str">
            <v>SC5EDT</v>
          </cell>
          <cell r="M561" t="str">
            <v>S</v>
          </cell>
          <cell r="N561">
            <v>8</v>
          </cell>
          <cell r="O561" t="str">
            <v/>
          </cell>
          <cell r="Q561" t="str">
            <v>サービス料金コード終了日付</v>
          </cell>
        </row>
        <row r="562">
          <cell r="B562">
            <v>729</v>
          </cell>
          <cell r="C562" t="str">
            <v>サービス料金コード５終了時刻</v>
          </cell>
          <cell r="K562" t="str">
            <v>SED5</v>
          </cell>
          <cell r="L562" t="str">
            <v>SC5ETM</v>
          </cell>
          <cell r="M562" t="str">
            <v>S</v>
          </cell>
          <cell r="N562">
            <v>6</v>
          </cell>
          <cell r="O562" t="str">
            <v/>
          </cell>
          <cell r="Q562" t="str">
            <v>サービス料金コード終了時刻</v>
          </cell>
        </row>
        <row r="563">
          <cell r="B563">
            <v>730</v>
          </cell>
          <cell r="C563" t="str">
            <v>サービス料金コード５無償区分</v>
          </cell>
          <cell r="K563" t="str">
            <v>SRK5</v>
          </cell>
          <cell r="L563" t="str">
            <v>SC5FKB</v>
          </cell>
          <cell r="M563" t="str">
            <v>A</v>
          </cell>
          <cell r="N563">
            <v>1</v>
          </cell>
          <cell r="O563" t="str">
            <v/>
          </cell>
          <cell r="Q563" t="str">
            <v>１：無償</v>
          </cell>
        </row>
        <row r="564">
          <cell r="B564">
            <v>731</v>
          </cell>
          <cell r="C564" t="str">
            <v>サービス料金６</v>
          </cell>
          <cell r="K564" t="str">
            <v>SG06</v>
          </cell>
          <cell r="L564" t="str">
            <v>SVRY6</v>
          </cell>
          <cell r="M564" t="str">
            <v>P</v>
          </cell>
          <cell r="N564">
            <v>7</v>
          </cell>
          <cell r="O564" t="str">
            <v/>
          </cell>
          <cell r="Q564" t="str">
            <v>サービス料金コード６の販売価格（税込）</v>
          </cell>
        </row>
        <row r="565">
          <cell r="B565">
            <v>732</v>
          </cell>
          <cell r="C565" t="str">
            <v>サービス料金６有効日付</v>
          </cell>
          <cell r="K565" t="str">
            <v>SD06</v>
          </cell>
          <cell r="L565" t="str">
            <v>SR6YDT</v>
          </cell>
          <cell r="M565" t="str">
            <v>S</v>
          </cell>
          <cell r="N565">
            <v>8</v>
          </cell>
          <cell r="O565" t="str">
            <v/>
          </cell>
          <cell r="Q565" t="str">
            <v>現在サービス料金の有効期限</v>
          </cell>
        </row>
        <row r="566">
          <cell r="B566">
            <v>733</v>
          </cell>
          <cell r="C566" t="str">
            <v>次回有効サービス料金６</v>
          </cell>
          <cell r="K566" t="str">
            <v>JYS6</v>
          </cell>
          <cell r="L566" t="str">
            <v>NYSVR6</v>
          </cell>
          <cell r="M566" t="str">
            <v>P</v>
          </cell>
          <cell r="N566">
            <v>7</v>
          </cell>
          <cell r="O566" t="str">
            <v/>
          </cell>
          <cell r="Q566" t="str">
            <v>有効日付以降に有効になるサービス料金</v>
          </cell>
        </row>
        <row r="567">
          <cell r="B567">
            <v>734</v>
          </cell>
          <cell r="C567" t="str">
            <v>サービス料金コード６開始日付</v>
          </cell>
          <cell r="K567" t="str">
            <v>SST6</v>
          </cell>
          <cell r="L567" t="str">
            <v>SC6SDT</v>
          </cell>
          <cell r="M567" t="str">
            <v>S</v>
          </cell>
          <cell r="N567">
            <v>8</v>
          </cell>
          <cell r="O567" t="str">
            <v/>
          </cell>
          <cell r="Q567" t="str">
            <v>サービス料金コード開始日付</v>
          </cell>
        </row>
        <row r="568">
          <cell r="B568">
            <v>735</v>
          </cell>
          <cell r="C568" t="str">
            <v>サービス料金コード６開始時刻</v>
          </cell>
          <cell r="K568" t="str">
            <v>SSD6</v>
          </cell>
          <cell r="L568" t="str">
            <v>SC6STM</v>
          </cell>
          <cell r="M568" t="str">
            <v>S</v>
          </cell>
          <cell r="N568">
            <v>6</v>
          </cell>
          <cell r="O568" t="str">
            <v/>
          </cell>
          <cell r="Q568" t="str">
            <v>サービス料金コード開始時刻</v>
          </cell>
        </row>
        <row r="569">
          <cell r="B569">
            <v>736</v>
          </cell>
          <cell r="C569" t="str">
            <v>サービス料金コード６終了日付</v>
          </cell>
          <cell r="K569" t="str">
            <v>SET6</v>
          </cell>
          <cell r="L569" t="str">
            <v>SC6EDT</v>
          </cell>
          <cell r="M569" t="str">
            <v>S</v>
          </cell>
          <cell r="N569">
            <v>8</v>
          </cell>
          <cell r="O569" t="str">
            <v/>
          </cell>
          <cell r="Q569" t="str">
            <v>サービス料金コード終了日付</v>
          </cell>
        </row>
        <row r="570">
          <cell r="B570">
            <v>737</v>
          </cell>
          <cell r="C570" t="str">
            <v>サービス料金コード６終了時刻</v>
          </cell>
          <cell r="K570" t="str">
            <v>SED6</v>
          </cell>
          <cell r="L570" t="str">
            <v>SC6ETM</v>
          </cell>
          <cell r="M570" t="str">
            <v>S</v>
          </cell>
          <cell r="N570">
            <v>6</v>
          </cell>
          <cell r="O570" t="str">
            <v/>
          </cell>
          <cell r="Q570" t="str">
            <v>サービス料金コード終了時刻</v>
          </cell>
        </row>
        <row r="571">
          <cell r="B571">
            <v>738</v>
          </cell>
          <cell r="C571" t="str">
            <v>サービス料金コード６無償区分</v>
          </cell>
          <cell r="K571" t="str">
            <v>SRK6</v>
          </cell>
          <cell r="L571" t="str">
            <v>SC6FKB</v>
          </cell>
          <cell r="M571" t="str">
            <v>A</v>
          </cell>
          <cell r="N571">
            <v>1</v>
          </cell>
          <cell r="O571" t="str">
            <v/>
          </cell>
          <cell r="Q571" t="str">
            <v>１：無償</v>
          </cell>
        </row>
        <row r="572">
          <cell r="B572">
            <v>739</v>
          </cell>
          <cell r="C572" t="str">
            <v>サービス料金７</v>
          </cell>
          <cell r="K572" t="str">
            <v>SG07</v>
          </cell>
          <cell r="L572" t="str">
            <v>SVRY7</v>
          </cell>
          <cell r="M572" t="str">
            <v>P</v>
          </cell>
          <cell r="N572">
            <v>7</v>
          </cell>
          <cell r="O572" t="str">
            <v/>
          </cell>
          <cell r="Q572" t="str">
            <v>サービス料金コード７の販売価格（税込）</v>
          </cell>
        </row>
        <row r="573">
          <cell r="B573">
            <v>740</v>
          </cell>
          <cell r="C573" t="str">
            <v>サービス料金７有効日付</v>
          </cell>
          <cell r="K573" t="str">
            <v>SD07</v>
          </cell>
          <cell r="L573" t="str">
            <v>SR7YDT</v>
          </cell>
          <cell r="M573" t="str">
            <v>S</v>
          </cell>
          <cell r="N573">
            <v>8</v>
          </cell>
          <cell r="O573" t="str">
            <v/>
          </cell>
          <cell r="Q573" t="str">
            <v>現在サービス料金の有効期限</v>
          </cell>
        </row>
        <row r="574">
          <cell r="B574">
            <v>741</v>
          </cell>
          <cell r="C574" t="str">
            <v>次回有効サービス料金７</v>
          </cell>
          <cell r="K574" t="str">
            <v>JYS7</v>
          </cell>
          <cell r="L574" t="str">
            <v>NYSVR7</v>
          </cell>
          <cell r="M574" t="str">
            <v>P</v>
          </cell>
          <cell r="N574">
            <v>7</v>
          </cell>
          <cell r="O574" t="str">
            <v/>
          </cell>
          <cell r="Q574" t="str">
            <v>有効日付以降に有効になるサービス料金</v>
          </cell>
        </row>
        <row r="575">
          <cell r="B575">
            <v>742</v>
          </cell>
          <cell r="C575" t="str">
            <v>サービス料金コード７開始日付</v>
          </cell>
          <cell r="K575" t="str">
            <v>SST7</v>
          </cell>
          <cell r="L575" t="str">
            <v>SC7SDT</v>
          </cell>
          <cell r="M575" t="str">
            <v>S</v>
          </cell>
          <cell r="N575">
            <v>8</v>
          </cell>
          <cell r="O575" t="str">
            <v/>
          </cell>
          <cell r="Q575" t="str">
            <v>サービス料金コード開始日付</v>
          </cell>
        </row>
        <row r="576">
          <cell r="B576">
            <v>743</v>
          </cell>
          <cell r="C576" t="str">
            <v>サービス料金コード７開始時刻</v>
          </cell>
          <cell r="K576" t="str">
            <v>SSD7</v>
          </cell>
          <cell r="L576" t="str">
            <v>SC7STM</v>
          </cell>
          <cell r="M576" t="str">
            <v>S</v>
          </cell>
          <cell r="N576">
            <v>6</v>
          </cell>
          <cell r="O576" t="str">
            <v/>
          </cell>
          <cell r="Q576" t="str">
            <v>サービス料金コード開始時刻</v>
          </cell>
        </row>
        <row r="577">
          <cell r="B577">
            <v>744</v>
          </cell>
          <cell r="C577" t="str">
            <v>サービス料金コード７終了日付</v>
          </cell>
          <cell r="K577" t="str">
            <v>SET7</v>
          </cell>
          <cell r="L577" t="str">
            <v>SC7EDT</v>
          </cell>
          <cell r="M577" t="str">
            <v>S</v>
          </cell>
          <cell r="N577">
            <v>8</v>
          </cell>
          <cell r="O577" t="str">
            <v/>
          </cell>
          <cell r="Q577" t="str">
            <v>サービス料金コード終了日付</v>
          </cell>
        </row>
        <row r="578">
          <cell r="B578">
            <v>745</v>
          </cell>
          <cell r="C578" t="str">
            <v>サービス料金コード７終了時刻</v>
          </cell>
          <cell r="K578" t="str">
            <v>SED7</v>
          </cell>
          <cell r="L578" t="str">
            <v>SC7ETM</v>
          </cell>
          <cell r="M578" t="str">
            <v>S</v>
          </cell>
          <cell r="N578">
            <v>6</v>
          </cell>
          <cell r="O578" t="str">
            <v/>
          </cell>
          <cell r="Q578" t="str">
            <v>サービス料金コード終了時刻</v>
          </cell>
        </row>
        <row r="579">
          <cell r="B579">
            <v>746</v>
          </cell>
          <cell r="C579" t="str">
            <v>サービス料金コード７無償区分</v>
          </cell>
          <cell r="K579" t="str">
            <v>SRK7</v>
          </cell>
          <cell r="L579" t="str">
            <v>SC7FKB</v>
          </cell>
          <cell r="M579" t="str">
            <v>A</v>
          </cell>
          <cell r="N579">
            <v>1</v>
          </cell>
          <cell r="O579" t="str">
            <v/>
          </cell>
          <cell r="Q579" t="str">
            <v>１：無償</v>
          </cell>
        </row>
        <row r="580">
          <cell r="B580">
            <v>747</v>
          </cell>
          <cell r="C580" t="str">
            <v>サービス料金８</v>
          </cell>
          <cell r="K580" t="str">
            <v>SG08</v>
          </cell>
          <cell r="L580" t="str">
            <v>SVRY8</v>
          </cell>
          <cell r="M580" t="str">
            <v>P</v>
          </cell>
          <cell r="N580">
            <v>7</v>
          </cell>
          <cell r="O580" t="str">
            <v/>
          </cell>
          <cell r="Q580" t="str">
            <v>サービス料金コード８の販売価格（税込）</v>
          </cell>
        </row>
        <row r="581">
          <cell r="B581">
            <v>748</v>
          </cell>
          <cell r="C581" t="str">
            <v>サービス料金８有効日付</v>
          </cell>
          <cell r="K581" t="str">
            <v>SD08</v>
          </cell>
          <cell r="L581" t="str">
            <v>SR8YDT</v>
          </cell>
          <cell r="M581" t="str">
            <v>S</v>
          </cell>
          <cell r="N581">
            <v>8</v>
          </cell>
          <cell r="O581" t="str">
            <v/>
          </cell>
          <cell r="Q581" t="str">
            <v>現在サービス料金の有効期限</v>
          </cell>
        </row>
        <row r="582">
          <cell r="B582">
            <v>749</v>
          </cell>
          <cell r="C582" t="str">
            <v>次回有効サービス料金８</v>
          </cell>
          <cell r="K582" t="str">
            <v>JYS8</v>
          </cell>
          <cell r="L582" t="str">
            <v>NYSVR8</v>
          </cell>
          <cell r="M582" t="str">
            <v>P</v>
          </cell>
          <cell r="N582">
            <v>7</v>
          </cell>
          <cell r="O582" t="str">
            <v/>
          </cell>
          <cell r="Q582" t="str">
            <v>有効日付以降に有効になるサービス料金</v>
          </cell>
        </row>
        <row r="583">
          <cell r="B583">
            <v>750</v>
          </cell>
          <cell r="C583" t="str">
            <v>サービス料金コード８開始日付</v>
          </cell>
          <cell r="K583" t="str">
            <v>SST8</v>
          </cell>
          <cell r="L583" t="str">
            <v>SC8SDT</v>
          </cell>
          <cell r="M583" t="str">
            <v>S</v>
          </cell>
          <cell r="N583">
            <v>8</v>
          </cell>
          <cell r="O583" t="str">
            <v/>
          </cell>
          <cell r="Q583" t="str">
            <v>サービス料金コード開始日付</v>
          </cell>
        </row>
        <row r="584">
          <cell r="B584">
            <v>751</v>
          </cell>
          <cell r="C584" t="str">
            <v>サービス料金コード８開始時刻</v>
          </cell>
          <cell r="K584" t="str">
            <v>SSD8</v>
          </cell>
          <cell r="L584" t="str">
            <v>SC8STM</v>
          </cell>
          <cell r="M584" t="str">
            <v>S</v>
          </cell>
          <cell r="N584">
            <v>6</v>
          </cell>
          <cell r="O584" t="str">
            <v/>
          </cell>
          <cell r="Q584" t="str">
            <v>サービス料金コード開始時刻</v>
          </cell>
        </row>
        <row r="585">
          <cell r="B585">
            <v>752</v>
          </cell>
          <cell r="C585" t="str">
            <v>サービス料金コード８終了日付</v>
          </cell>
          <cell r="K585" t="str">
            <v>SET8</v>
          </cell>
          <cell r="L585" t="str">
            <v>SC8EDT</v>
          </cell>
          <cell r="M585" t="str">
            <v>S</v>
          </cell>
          <cell r="N585">
            <v>8</v>
          </cell>
          <cell r="O585" t="str">
            <v/>
          </cell>
          <cell r="Q585" t="str">
            <v>サービス料金コード終了日付</v>
          </cell>
        </row>
        <row r="586">
          <cell r="B586">
            <v>753</v>
          </cell>
          <cell r="C586" t="str">
            <v>サービス料金コード８終了時刻</v>
          </cell>
          <cell r="K586" t="str">
            <v>SED8</v>
          </cell>
          <cell r="L586" t="str">
            <v>SC8ETM</v>
          </cell>
          <cell r="M586" t="str">
            <v>S</v>
          </cell>
          <cell r="N586">
            <v>6</v>
          </cell>
          <cell r="O586" t="str">
            <v/>
          </cell>
          <cell r="Q586" t="str">
            <v>サービス料金コード終了時刻</v>
          </cell>
        </row>
        <row r="587">
          <cell r="B587">
            <v>754</v>
          </cell>
          <cell r="C587" t="str">
            <v>サービス料金コード８無償区分</v>
          </cell>
          <cell r="K587" t="str">
            <v>SRK8</v>
          </cell>
          <cell r="L587" t="str">
            <v>SC8FKB</v>
          </cell>
          <cell r="M587" t="str">
            <v>A</v>
          </cell>
          <cell r="N587">
            <v>1</v>
          </cell>
          <cell r="O587" t="str">
            <v/>
          </cell>
          <cell r="Q587" t="str">
            <v>１：無償</v>
          </cell>
        </row>
        <row r="588">
          <cell r="B588">
            <v>755</v>
          </cell>
          <cell r="C588" t="str">
            <v>サービス料金９</v>
          </cell>
          <cell r="K588" t="str">
            <v>SG09</v>
          </cell>
          <cell r="L588" t="str">
            <v>SVRY9</v>
          </cell>
          <cell r="M588" t="str">
            <v>P</v>
          </cell>
          <cell r="N588">
            <v>7</v>
          </cell>
          <cell r="O588" t="str">
            <v/>
          </cell>
          <cell r="Q588" t="str">
            <v>サービス料金コード９の販売価格（税込）</v>
          </cell>
        </row>
        <row r="589">
          <cell r="B589">
            <v>756</v>
          </cell>
          <cell r="C589" t="str">
            <v>サービス料金９有効日付</v>
          </cell>
          <cell r="K589" t="str">
            <v>SD09</v>
          </cell>
          <cell r="L589" t="str">
            <v>SR9YDT</v>
          </cell>
          <cell r="M589" t="str">
            <v>S</v>
          </cell>
          <cell r="N589">
            <v>8</v>
          </cell>
          <cell r="O589" t="str">
            <v/>
          </cell>
          <cell r="Q589" t="str">
            <v>現在サービス料金の有効期限</v>
          </cell>
        </row>
        <row r="590">
          <cell r="B590">
            <v>757</v>
          </cell>
          <cell r="C590" t="str">
            <v>次回有効サービス料金９</v>
          </cell>
          <cell r="K590" t="str">
            <v>JYS9</v>
          </cell>
          <cell r="L590" t="str">
            <v>NYSVR9</v>
          </cell>
          <cell r="M590" t="str">
            <v>P</v>
          </cell>
          <cell r="N590">
            <v>7</v>
          </cell>
          <cell r="O590" t="str">
            <v/>
          </cell>
          <cell r="Q590" t="str">
            <v>有効日付以降に有効になるサービス料金</v>
          </cell>
        </row>
        <row r="591">
          <cell r="B591">
            <v>758</v>
          </cell>
          <cell r="C591" t="str">
            <v>サービス料金コード９開始日付</v>
          </cell>
          <cell r="K591" t="str">
            <v>SST9</v>
          </cell>
          <cell r="L591" t="str">
            <v>SC9SDT</v>
          </cell>
          <cell r="M591" t="str">
            <v>S</v>
          </cell>
          <cell r="N591">
            <v>8</v>
          </cell>
          <cell r="O591" t="str">
            <v/>
          </cell>
          <cell r="Q591" t="str">
            <v>サービス料金コード開始日付</v>
          </cell>
        </row>
        <row r="592">
          <cell r="B592">
            <v>759</v>
          </cell>
          <cell r="C592" t="str">
            <v>サービス料金コード９開始時刻</v>
          </cell>
          <cell r="K592" t="str">
            <v>SSD9</v>
          </cell>
          <cell r="L592" t="str">
            <v>SC9STM</v>
          </cell>
          <cell r="M592" t="str">
            <v>S</v>
          </cell>
          <cell r="N592">
            <v>6</v>
          </cell>
          <cell r="O592" t="str">
            <v/>
          </cell>
          <cell r="Q592" t="str">
            <v>サービス料金コード開始時刻</v>
          </cell>
        </row>
        <row r="593">
          <cell r="B593">
            <v>760</v>
          </cell>
          <cell r="C593" t="str">
            <v>サービス料金コード９終了日付</v>
          </cell>
          <cell r="K593" t="str">
            <v>SET9</v>
          </cell>
          <cell r="L593" t="str">
            <v>SC9EDT</v>
          </cell>
          <cell r="M593" t="str">
            <v>S</v>
          </cell>
          <cell r="N593">
            <v>8</v>
          </cell>
          <cell r="O593" t="str">
            <v/>
          </cell>
          <cell r="Q593" t="str">
            <v>サービス料金コード終了日付</v>
          </cell>
        </row>
        <row r="594">
          <cell r="B594">
            <v>761</v>
          </cell>
          <cell r="C594" t="str">
            <v>サービス料金コード９終了時刻</v>
          </cell>
          <cell r="K594" t="str">
            <v>SED9</v>
          </cell>
          <cell r="L594" t="str">
            <v>SC9ETM</v>
          </cell>
          <cell r="M594" t="str">
            <v>S</v>
          </cell>
          <cell r="N594">
            <v>6</v>
          </cell>
          <cell r="O594" t="str">
            <v/>
          </cell>
          <cell r="Q594" t="str">
            <v>サービス料金コード終了時刻</v>
          </cell>
        </row>
        <row r="595">
          <cell r="B595">
            <v>762</v>
          </cell>
          <cell r="C595" t="str">
            <v>サービス料金コード９無償区分</v>
          </cell>
          <cell r="K595" t="str">
            <v>SRK9</v>
          </cell>
          <cell r="L595" t="str">
            <v>SC9FKB</v>
          </cell>
          <cell r="M595" t="str">
            <v>A</v>
          </cell>
          <cell r="N595">
            <v>1</v>
          </cell>
          <cell r="O595" t="str">
            <v/>
          </cell>
          <cell r="Q595" t="str">
            <v>１：無償</v>
          </cell>
        </row>
        <row r="596">
          <cell r="B596">
            <v>763</v>
          </cell>
          <cell r="C596" t="str">
            <v>サービス料金１０</v>
          </cell>
          <cell r="K596" t="str">
            <v>SG10</v>
          </cell>
          <cell r="L596" t="str">
            <v>SVRY10</v>
          </cell>
          <cell r="M596" t="str">
            <v>P</v>
          </cell>
          <cell r="N596">
            <v>7</v>
          </cell>
          <cell r="O596" t="str">
            <v/>
          </cell>
          <cell r="Q596" t="str">
            <v>サービス料金コード１０の販売価格（税込）</v>
          </cell>
        </row>
        <row r="597">
          <cell r="B597">
            <v>764</v>
          </cell>
          <cell r="C597" t="str">
            <v>サービス料金１０有効日付</v>
          </cell>
          <cell r="K597" t="str">
            <v>SD10</v>
          </cell>
          <cell r="L597" t="str">
            <v>SR10YD</v>
          </cell>
          <cell r="M597" t="str">
            <v>S</v>
          </cell>
          <cell r="N597">
            <v>8</v>
          </cell>
          <cell r="O597" t="str">
            <v/>
          </cell>
          <cell r="Q597" t="str">
            <v>現在サービス料金の有効期限</v>
          </cell>
        </row>
        <row r="598">
          <cell r="B598">
            <v>765</v>
          </cell>
          <cell r="C598" t="str">
            <v>次回有効サービス料金１０</v>
          </cell>
          <cell r="K598" t="str">
            <v>JYSA</v>
          </cell>
          <cell r="L598" t="str">
            <v>NYSR10</v>
          </cell>
          <cell r="M598" t="str">
            <v>P</v>
          </cell>
          <cell r="N598">
            <v>7</v>
          </cell>
          <cell r="O598" t="str">
            <v/>
          </cell>
          <cell r="Q598" t="str">
            <v>有効日付以降に有効になるサービス料金</v>
          </cell>
        </row>
        <row r="599">
          <cell r="B599">
            <v>766</v>
          </cell>
          <cell r="C599" t="str">
            <v>サービス料金コード１０開始日付</v>
          </cell>
          <cell r="K599" t="str">
            <v>SSTA</v>
          </cell>
          <cell r="L599" t="str">
            <v>SC10SD</v>
          </cell>
          <cell r="M599" t="str">
            <v>S</v>
          </cell>
          <cell r="N599">
            <v>8</v>
          </cell>
          <cell r="O599" t="str">
            <v/>
          </cell>
          <cell r="Q599" t="str">
            <v>サービス料金コード開始日付</v>
          </cell>
        </row>
        <row r="600">
          <cell r="B600">
            <v>767</v>
          </cell>
          <cell r="C600" t="str">
            <v>サービス料金コード１０開始時刻</v>
          </cell>
          <cell r="K600" t="str">
            <v>SSDA</v>
          </cell>
          <cell r="L600" t="str">
            <v>SC10ST</v>
          </cell>
          <cell r="M600" t="str">
            <v>S</v>
          </cell>
          <cell r="N600">
            <v>6</v>
          </cell>
          <cell r="O600" t="str">
            <v/>
          </cell>
          <cell r="Q600" t="str">
            <v>サービス料金コード開始時刻</v>
          </cell>
        </row>
        <row r="601">
          <cell r="B601">
            <v>768</v>
          </cell>
          <cell r="C601" t="str">
            <v>サービス料金コード１０終了日付</v>
          </cell>
          <cell r="K601" t="str">
            <v>SETA</v>
          </cell>
          <cell r="L601" t="str">
            <v>SC10ED</v>
          </cell>
          <cell r="M601" t="str">
            <v>S</v>
          </cell>
          <cell r="N601">
            <v>8</v>
          </cell>
          <cell r="O601" t="str">
            <v/>
          </cell>
          <cell r="Q601" t="str">
            <v>サービス料金コード終了日付</v>
          </cell>
        </row>
        <row r="602">
          <cell r="B602">
            <v>769</v>
          </cell>
          <cell r="C602" t="str">
            <v>サービス料金コード１０終了時刻</v>
          </cell>
          <cell r="K602" t="str">
            <v>SEDA</v>
          </cell>
          <cell r="L602" t="str">
            <v>SC10ET</v>
          </cell>
          <cell r="M602" t="str">
            <v>S</v>
          </cell>
          <cell r="N602">
            <v>6</v>
          </cell>
          <cell r="O602" t="str">
            <v/>
          </cell>
          <cell r="Q602" t="str">
            <v>サービス料金コード終了時刻</v>
          </cell>
        </row>
        <row r="603">
          <cell r="B603">
            <v>770</v>
          </cell>
          <cell r="C603" t="str">
            <v>サービス料金コード１０無償区分</v>
          </cell>
          <cell r="K603" t="str">
            <v>SRMA</v>
          </cell>
          <cell r="L603" t="str">
            <v>SC10FK</v>
          </cell>
          <cell r="M603" t="str">
            <v>A</v>
          </cell>
          <cell r="N603">
            <v>1</v>
          </cell>
          <cell r="O603" t="str">
            <v/>
          </cell>
          <cell r="Q603" t="str">
            <v>１：無償</v>
          </cell>
        </row>
        <row r="604">
          <cell r="B604">
            <v>777</v>
          </cell>
          <cell r="C604" t="str">
            <v>ディレクトリーコンテンツ管理サーバー</v>
          </cell>
          <cell r="K604" t="str">
            <v>DRCS</v>
          </cell>
          <cell r="L604" t="str">
            <v>DCMSVR</v>
          </cell>
          <cell r="M604" t="str">
            <v>A</v>
          </cell>
          <cell r="N604">
            <v>128</v>
          </cell>
          <cell r="O604" t="str">
            <v/>
          </cell>
          <cell r="Q604" t="str">
            <v>コマンドを実行するターゲットのパス</v>
          </cell>
        </row>
        <row r="605">
          <cell r="B605">
            <v>787</v>
          </cell>
          <cell r="C605" t="str">
            <v>販売金額</v>
          </cell>
          <cell r="K605" t="str">
            <v>HNSG</v>
          </cell>
          <cell r="M605" t="str">
            <v>P</v>
          </cell>
          <cell r="N605">
            <v>11</v>
          </cell>
          <cell r="O605" t="str">
            <v/>
          </cell>
          <cell r="Q605" t="str">
            <v>販売金額（会計金額）</v>
          </cell>
        </row>
        <row r="606">
          <cell r="B606">
            <v>788</v>
          </cell>
          <cell r="C606" t="str">
            <v>申込者氏名カナ（半角）</v>
          </cell>
          <cell r="K606" t="str">
            <v>MOSM</v>
          </cell>
          <cell r="M606" t="str">
            <v>A</v>
          </cell>
          <cell r="N606">
            <v>20</v>
          </cell>
          <cell r="O606" t="str">
            <v/>
          </cell>
          <cell r="Q606" t="str">
            <v>氏名・カナ（名字名前の間は１ブランク）</v>
          </cell>
        </row>
        <row r="607">
          <cell r="B607">
            <v>790</v>
          </cell>
          <cell r="C607" t="str">
            <v>会員氏名カナ（全角）</v>
          </cell>
          <cell r="K607" t="str">
            <v>KNS2</v>
          </cell>
          <cell r="L607" t="str">
            <v>KAIKNZ</v>
          </cell>
          <cell r="M607" t="str">
            <v>O</v>
          </cell>
          <cell r="N607">
            <v>42</v>
          </cell>
          <cell r="O607" t="str">
            <v/>
          </cell>
          <cell r="Q607" t="str">
            <v>氏名・カナ（名字名前の間は１ブランク）</v>
          </cell>
        </row>
        <row r="608">
          <cell r="B608">
            <v>791</v>
          </cell>
          <cell r="C608" t="str">
            <v>クレジット認証区分</v>
          </cell>
          <cell r="K608" t="str">
            <v>CRSK</v>
          </cell>
          <cell r="M608" t="str">
            <v>A</v>
          </cell>
          <cell r="N608">
            <v>1</v>
          </cell>
          <cell r="O608" t="str">
            <v/>
          </cell>
          <cell r="Q608" t="str">
            <v>会員異動情報のクレジット認証状態を表す区分。１：認証済み、２：否認</v>
          </cell>
        </row>
        <row r="609">
          <cell r="B609">
            <v>792</v>
          </cell>
          <cell r="C609" t="str">
            <v>カード会社名カナ（半角）</v>
          </cell>
          <cell r="K609" t="str">
            <v>CDKM</v>
          </cell>
          <cell r="M609" t="str">
            <v>A</v>
          </cell>
          <cell r="N609">
            <v>20</v>
          </cell>
          <cell r="O609" t="str">
            <v/>
          </cell>
          <cell r="Q609" t="str">
            <v>カード会社情報の会社名（カナ）</v>
          </cell>
        </row>
        <row r="610">
          <cell r="B610">
            <v>793</v>
          </cell>
          <cell r="C610" t="str">
            <v>カード会社名</v>
          </cell>
          <cell r="K610" t="str">
            <v>CDKN</v>
          </cell>
          <cell r="M610" t="str">
            <v>O</v>
          </cell>
          <cell r="N610">
            <v>42</v>
          </cell>
          <cell r="O610" t="str">
            <v/>
          </cell>
          <cell r="Q610" t="str">
            <v>カード会社情報の会社名（漢字）</v>
          </cell>
        </row>
        <row r="611">
          <cell r="B611">
            <v>794</v>
          </cell>
          <cell r="C611" t="str">
            <v>フロアリミット金額</v>
          </cell>
          <cell r="K611" t="str">
            <v>FLIG</v>
          </cell>
          <cell r="M611" t="str">
            <v>P</v>
          </cell>
          <cell r="N611">
            <v>11</v>
          </cell>
          <cell r="O611" t="str">
            <v/>
          </cell>
          <cell r="Q611" t="str">
            <v>カード会社情報のフロア－リミット金額</v>
          </cell>
        </row>
        <row r="612">
          <cell r="B612">
            <v>795</v>
          </cell>
          <cell r="C612" t="str">
            <v>データ状態区分</v>
          </cell>
          <cell r="K612" t="str">
            <v>DJKB</v>
          </cell>
          <cell r="L612" t="str">
            <v>DJKB</v>
          </cell>
          <cell r="M612" t="str">
            <v>A</v>
          </cell>
          <cell r="N612">
            <v>1</v>
          </cell>
          <cell r="O612" t="str">
            <v/>
          </cell>
          <cell r="Q612" t="str">
            <v>データの状態を管理する。９：削除等</v>
          </cell>
        </row>
        <row r="613">
          <cell r="B613">
            <v>796</v>
          </cell>
          <cell r="C613" t="str">
            <v>予備１</v>
          </cell>
          <cell r="K613" t="str">
            <v>YOB1</v>
          </cell>
          <cell r="M613" t="str">
            <v>A</v>
          </cell>
          <cell r="N613">
            <v>1</v>
          </cell>
          <cell r="O613" t="str">
            <v/>
          </cell>
          <cell r="Q613" t="str">
            <v>予備</v>
          </cell>
        </row>
        <row r="614">
          <cell r="B614">
            <v>797</v>
          </cell>
          <cell r="C614" t="str">
            <v>予備２</v>
          </cell>
          <cell r="K614" t="str">
            <v>YOB2</v>
          </cell>
          <cell r="M614" t="str">
            <v>A</v>
          </cell>
          <cell r="N614">
            <v>1</v>
          </cell>
          <cell r="O614" t="str">
            <v/>
          </cell>
          <cell r="Q614" t="str">
            <v>予備</v>
          </cell>
        </row>
        <row r="615">
          <cell r="B615">
            <v>798</v>
          </cell>
          <cell r="C615" t="str">
            <v>予備３</v>
          </cell>
          <cell r="K615" t="str">
            <v>YOB3</v>
          </cell>
          <cell r="M615" t="str">
            <v>A</v>
          </cell>
          <cell r="N615">
            <v>1</v>
          </cell>
          <cell r="O615" t="str">
            <v/>
          </cell>
          <cell r="Q615" t="str">
            <v>予備</v>
          </cell>
        </row>
        <row r="616">
          <cell r="B616">
            <v>799</v>
          </cell>
          <cell r="C616" t="str">
            <v>予備４</v>
          </cell>
          <cell r="K616" t="str">
            <v>YOB4</v>
          </cell>
          <cell r="M616" t="str">
            <v>A</v>
          </cell>
          <cell r="N616">
            <v>1</v>
          </cell>
          <cell r="O616" t="str">
            <v/>
          </cell>
          <cell r="Q616" t="str">
            <v>予備</v>
          </cell>
        </row>
        <row r="617">
          <cell r="B617">
            <v>800</v>
          </cell>
          <cell r="C617" t="str">
            <v>予備５</v>
          </cell>
          <cell r="K617" t="str">
            <v>YOB5</v>
          </cell>
          <cell r="M617" t="str">
            <v>A</v>
          </cell>
          <cell r="N617">
            <v>1</v>
          </cell>
          <cell r="O617" t="str">
            <v/>
          </cell>
          <cell r="Q617" t="str">
            <v>予備</v>
          </cell>
        </row>
        <row r="618">
          <cell r="B618">
            <v>801</v>
          </cell>
          <cell r="C618" t="str">
            <v>作成日付</v>
          </cell>
          <cell r="K618" t="str">
            <v>CRDT</v>
          </cell>
          <cell r="L618" t="str">
            <v>AADT</v>
          </cell>
          <cell r="M618" t="str">
            <v>S</v>
          </cell>
          <cell r="N618">
            <v>8</v>
          </cell>
          <cell r="O618" t="str">
            <v/>
          </cell>
          <cell r="Q618" t="str">
            <v>作成日付</v>
          </cell>
        </row>
        <row r="619">
          <cell r="B619">
            <v>802</v>
          </cell>
          <cell r="C619" t="str">
            <v>作成時刻</v>
          </cell>
          <cell r="K619" t="str">
            <v>AATM</v>
          </cell>
          <cell r="L619" t="str">
            <v>AATM</v>
          </cell>
          <cell r="M619" t="str">
            <v>S</v>
          </cell>
          <cell r="N619">
            <v>6</v>
          </cell>
          <cell r="O619" t="str">
            <v/>
          </cell>
          <cell r="Q619" t="str">
            <v>作成時刻</v>
          </cell>
        </row>
        <row r="620">
          <cell r="B620">
            <v>803</v>
          </cell>
          <cell r="C620" t="str">
            <v>作成ＷＳＩＤ</v>
          </cell>
          <cell r="K620" t="str">
            <v>AAWS</v>
          </cell>
          <cell r="M620" t="str">
            <v>A</v>
          </cell>
          <cell r="N620">
            <v>10</v>
          </cell>
          <cell r="O620" t="str">
            <v/>
          </cell>
          <cell r="Q620" t="str">
            <v>作成ＷＳＩＤ</v>
          </cell>
        </row>
        <row r="621">
          <cell r="B621">
            <v>804</v>
          </cell>
          <cell r="C621" t="str">
            <v>作成ユーザーＩＤ</v>
          </cell>
          <cell r="K621" t="str">
            <v>AAUS</v>
          </cell>
          <cell r="M621" t="str">
            <v>A</v>
          </cell>
          <cell r="N621">
            <v>10</v>
          </cell>
          <cell r="O621" t="str">
            <v/>
          </cell>
          <cell r="Q621" t="str">
            <v>作成ユーザーＩＤ</v>
          </cell>
        </row>
        <row r="622">
          <cell r="B622">
            <v>805</v>
          </cell>
          <cell r="C622" t="str">
            <v>作成ＰＧＭ</v>
          </cell>
          <cell r="K622" t="str">
            <v>AAPG</v>
          </cell>
          <cell r="M622" t="str">
            <v>A</v>
          </cell>
          <cell r="N622">
            <v>10</v>
          </cell>
          <cell r="O622" t="str">
            <v/>
          </cell>
          <cell r="Q622" t="str">
            <v>作成ＰＧＭ</v>
          </cell>
        </row>
        <row r="623">
          <cell r="B623">
            <v>806</v>
          </cell>
          <cell r="C623" t="str">
            <v>更新ＷＳＩＤ</v>
          </cell>
          <cell r="K623" t="str">
            <v>UPWS</v>
          </cell>
          <cell r="L623" t="str">
            <v>UPWS</v>
          </cell>
          <cell r="M623" t="str">
            <v>A</v>
          </cell>
          <cell r="N623">
            <v>10</v>
          </cell>
          <cell r="O623" t="str">
            <v/>
          </cell>
          <cell r="Q623" t="str">
            <v>更新ＷＳＩＤ</v>
          </cell>
        </row>
        <row r="624">
          <cell r="B624">
            <v>807</v>
          </cell>
          <cell r="C624" t="str">
            <v>更新ユーザーＩＤ</v>
          </cell>
          <cell r="K624" t="str">
            <v>UPUS</v>
          </cell>
          <cell r="L624" t="str">
            <v>UPUS</v>
          </cell>
          <cell r="M624" t="str">
            <v>A</v>
          </cell>
          <cell r="N624">
            <v>10</v>
          </cell>
          <cell r="O624" t="str">
            <v/>
          </cell>
          <cell r="Q624" t="str">
            <v>更新ユーザーＩＤ</v>
          </cell>
        </row>
        <row r="625">
          <cell r="B625">
            <v>808</v>
          </cell>
          <cell r="C625" t="str">
            <v>更新ＰＧＭ</v>
          </cell>
          <cell r="K625" t="str">
            <v>UPPG</v>
          </cell>
          <cell r="L625" t="str">
            <v>UPPG</v>
          </cell>
          <cell r="M625" t="str">
            <v>A</v>
          </cell>
          <cell r="N625">
            <v>10</v>
          </cell>
          <cell r="O625" t="str">
            <v/>
          </cell>
          <cell r="Q625" t="str">
            <v>更新ＰＧＭ</v>
          </cell>
        </row>
        <row r="626">
          <cell r="B626">
            <v>809</v>
          </cell>
          <cell r="C626" t="str">
            <v>更新日時</v>
          </cell>
          <cell r="K626" t="str">
            <v>UUDT</v>
          </cell>
          <cell r="L626" t="str">
            <v>UPDDT</v>
          </cell>
          <cell r="M626" t="str">
            <v>S</v>
          </cell>
          <cell r="N626">
            <v>14</v>
          </cell>
          <cell r="O626" t="str">
            <v/>
          </cell>
          <cell r="Q626" t="str">
            <v>年月日時分秒</v>
          </cell>
        </row>
        <row r="627">
          <cell r="B627">
            <v>810</v>
          </cell>
          <cell r="C627" t="str">
            <v>セッション管理データ</v>
          </cell>
          <cell r="K627" t="str">
            <v>SIDA</v>
          </cell>
          <cell r="L627" t="str">
            <v>SIDA</v>
          </cell>
          <cell r="M627" t="str">
            <v>C</v>
          </cell>
          <cell r="N627" t="str">
            <v>-</v>
          </cell>
          <cell r="O627" t="str">
            <v/>
          </cell>
          <cell r="Q627" t="str">
            <v>パラメータ、文字ラージオブジェクト（ＣＬＯＢ）</v>
          </cell>
        </row>
        <row r="628">
          <cell r="B628">
            <v>811</v>
          </cell>
          <cell r="C628" t="str">
            <v>正会員区分</v>
          </cell>
          <cell r="K628" t="str">
            <v>KSEK</v>
          </cell>
          <cell r="M628" t="str">
            <v>A</v>
          </cell>
          <cell r="N628">
            <v>1</v>
          </cell>
          <cell r="O628" t="str">
            <v/>
          </cell>
          <cell r="Q628" t="str">
            <v>１：正会員、２：待会員</v>
          </cell>
        </row>
        <row r="629">
          <cell r="B629">
            <v>812</v>
          </cell>
          <cell r="C629" t="str">
            <v>一般会員区分</v>
          </cell>
          <cell r="K629" t="str">
            <v>IKIB</v>
          </cell>
          <cell r="M629" t="str">
            <v>A</v>
          </cell>
          <cell r="N629">
            <v>1</v>
          </cell>
          <cell r="O629" t="str">
            <v/>
          </cell>
          <cell r="Q629" t="str">
            <v>１：一般、２：コンテンツ提供者</v>
          </cell>
        </row>
        <row r="630">
          <cell r="B630">
            <v>813</v>
          </cell>
          <cell r="C630" t="str">
            <v>会員ＩＤ連番</v>
          </cell>
          <cell r="K630" t="str">
            <v>KIRB</v>
          </cell>
          <cell r="M630" t="str">
            <v>S</v>
          </cell>
          <cell r="N630">
            <v>1</v>
          </cell>
          <cell r="O630" t="str">
            <v/>
          </cell>
          <cell r="Q630" t="str">
            <v>再発行回数</v>
          </cell>
        </row>
        <row r="631">
          <cell r="B631">
            <v>814</v>
          </cell>
          <cell r="C631" t="str">
            <v>異動申請№</v>
          </cell>
          <cell r="K631" t="str">
            <v>ISNO</v>
          </cell>
          <cell r="M631" t="str">
            <v>A</v>
          </cell>
          <cell r="N631">
            <v>9</v>
          </cell>
          <cell r="O631" t="str">
            <v/>
          </cell>
          <cell r="Q631" t="str">
            <v>異動を起こしたときの番号</v>
          </cell>
        </row>
        <row r="632">
          <cell r="B632">
            <v>815</v>
          </cell>
          <cell r="C632" t="str">
            <v>解除申請№</v>
          </cell>
          <cell r="K632" t="str">
            <v>KKSN</v>
          </cell>
          <cell r="M632" t="str">
            <v>A</v>
          </cell>
          <cell r="N632">
            <v>9</v>
          </cell>
          <cell r="O632" t="str">
            <v/>
          </cell>
          <cell r="Q632" t="str">
            <v>会員異動の状況解除を行うときの申請Ｎｏ</v>
          </cell>
        </row>
        <row r="633">
          <cell r="B633">
            <v>816</v>
          </cell>
          <cell r="C633" t="str">
            <v>通知書発行区分</v>
          </cell>
          <cell r="K633" t="str">
            <v>KTHK</v>
          </cell>
          <cell r="M633" t="str">
            <v>A</v>
          </cell>
          <cell r="N633">
            <v>1</v>
          </cell>
          <cell r="O633" t="str">
            <v/>
          </cell>
          <cell r="Q633" t="str">
            <v>会員異動の通知書発行を管理する区分。１：発行済み</v>
          </cell>
        </row>
        <row r="634">
          <cell r="B634">
            <v>817</v>
          </cell>
          <cell r="C634" t="str">
            <v>申請書発行区分</v>
          </cell>
          <cell r="K634" t="str">
            <v>STHK</v>
          </cell>
          <cell r="M634" t="str">
            <v>A</v>
          </cell>
          <cell r="N634">
            <v>1</v>
          </cell>
          <cell r="O634" t="str">
            <v/>
          </cell>
          <cell r="Q634" t="str">
            <v>会員異動の申請書発行を管理する区分。１：発行済み</v>
          </cell>
        </row>
        <row r="635">
          <cell r="B635">
            <v>818</v>
          </cell>
          <cell r="C635" t="str">
            <v>売上実績提供区分</v>
          </cell>
          <cell r="K635" t="str">
            <v>UJTK</v>
          </cell>
          <cell r="M635" t="str">
            <v>A</v>
          </cell>
          <cell r="N635">
            <v>1</v>
          </cell>
          <cell r="O635" t="str">
            <v/>
          </cell>
          <cell r="Q635" t="str">
            <v>１：フォルダ、２：メール</v>
          </cell>
        </row>
        <row r="636">
          <cell r="B636">
            <v>819</v>
          </cell>
          <cell r="C636" t="str">
            <v>売上実績格納フォルダ</v>
          </cell>
          <cell r="K636" t="str">
            <v>UJFO</v>
          </cell>
          <cell r="M636" t="str">
            <v>A</v>
          </cell>
          <cell r="N636">
            <v>128</v>
          </cell>
          <cell r="O636" t="str">
            <v/>
          </cell>
          <cell r="Q636" t="str">
            <v>ＣＳＶファイルを格納するフォルダー名</v>
          </cell>
        </row>
        <row r="637">
          <cell r="B637">
            <v>820</v>
          </cell>
          <cell r="C637" t="str">
            <v>サインオンプロフィール名</v>
          </cell>
          <cell r="K637" t="str">
            <v>SINP</v>
          </cell>
          <cell r="M637" t="str">
            <v>A</v>
          </cell>
          <cell r="N637">
            <v>10</v>
          </cell>
          <cell r="O637" t="str">
            <v/>
          </cell>
          <cell r="Q637" t="str">
            <v>仕入先のＡＳ／４００（コンテンツ受け入れ）のユーザープロフィール</v>
          </cell>
        </row>
        <row r="638">
          <cell r="B638">
            <v>821</v>
          </cell>
          <cell r="C638" t="str">
            <v>ＤＤ復旧区分</v>
          </cell>
          <cell r="K638" t="str">
            <v>DDFK</v>
          </cell>
          <cell r="M638" t="str">
            <v>A</v>
          </cell>
          <cell r="N638">
            <v>1</v>
          </cell>
          <cell r="O638" t="str">
            <v/>
          </cell>
          <cell r="Q638" t="str">
            <v>１：復旧する、２：復旧しない</v>
          </cell>
        </row>
        <row r="639">
          <cell r="B639">
            <v>822</v>
          </cell>
          <cell r="C639" t="str">
            <v>今回請求年月</v>
          </cell>
          <cell r="K639" t="str">
            <v>KSID</v>
          </cell>
          <cell r="M639" t="str">
            <v>S</v>
          </cell>
          <cell r="N639">
            <v>6</v>
          </cell>
          <cell r="O639" t="str">
            <v/>
          </cell>
          <cell r="Q639" t="str">
            <v>カード会社への請求年月を管理する</v>
          </cell>
        </row>
        <row r="640">
          <cell r="B640">
            <v>826</v>
          </cell>
          <cell r="C640" t="str">
            <v>会員区分有効日付</v>
          </cell>
          <cell r="K640" t="str">
            <v>KKYD</v>
          </cell>
          <cell r="L640" t="str">
            <v>KNKBYDT</v>
          </cell>
          <cell r="M640" t="str">
            <v>D</v>
          </cell>
          <cell r="N640">
            <v>8</v>
          </cell>
          <cell r="O640" t="str">
            <v xml:space="preserve"> </v>
          </cell>
          <cell r="P640" t="str">
            <v xml:space="preserve"> </v>
          </cell>
          <cell r="Q640" t="str">
            <v>現在会員区分の有効期限</v>
          </cell>
        </row>
        <row r="641">
          <cell r="B641">
            <v>827</v>
          </cell>
          <cell r="C641" t="str">
            <v>次回有効会員区分</v>
          </cell>
          <cell r="K641" t="str">
            <v>JYKK</v>
          </cell>
          <cell r="L641" t="str">
            <v>NYKNKB</v>
          </cell>
          <cell r="M641" t="str">
            <v>A</v>
          </cell>
          <cell r="N641">
            <v>2</v>
          </cell>
          <cell r="O641" t="str">
            <v xml:space="preserve"> </v>
          </cell>
          <cell r="P641" t="str">
            <v xml:space="preserve"> </v>
          </cell>
          <cell r="Q641" t="str">
            <v>有功日付以降に有効になる会員区分</v>
          </cell>
        </row>
        <row r="642">
          <cell r="B642">
            <v>829</v>
          </cell>
          <cell r="C642" t="str">
            <v>連絡先ＴＥＬ市外局番</v>
          </cell>
          <cell r="K642" t="str">
            <v>RTL1</v>
          </cell>
          <cell r="L642" t="str">
            <v>RTL1</v>
          </cell>
          <cell r="M642" t="str">
            <v>A</v>
          </cell>
          <cell r="N642">
            <v>7</v>
          </cell>
          <cell r="O642" t="str">
            <v/>
          </cell>
          <cell r="Q642" t="str">
            <v>会員連絡先電話番号</v>
          </cell>
        </row>
        <row r="643">
          <cell r="B643">
            <v>830</v>
          </cell>
          <cell r="C643" t="str">
            <v>連絡先ＴＥＬ２</v>
          </cell>
          <cell r="K643" t="str">
            <v>RTL2</v>
          </cell>
          <cell r="L643" t="str">
            <v>RTL2</v>
          </cell>
          <cell r="M643" t="str">
            <v>A</v>
          </cell>
          <cell r="N643">
            <v>4</v>
          </cell>
          <cell r="O643" t="str">
            <v/>
          </cell>
          <cell r="Q643" t="str">
            <v>会員連絡先電話番号</v>
          </cell>
        </row>
        <row r="644">
          <cell r="B644">
            <v>831</v>
          </cell>
          <cell r="C644" t="str">
            <v>連絡先ＴＥＬ３</v>
          </cell>
          <cell r="K644" t="str">
            <v>RTL3</v>
          </cell>
          <cell r="L644" t="str">
            <v>RTL3</v>
          </cell>
          <cell r="M644" t="str">
            <v>A</v>
          </cell>
          <cell r="N644">
            <v>4</v>
          </cell>
          <cell r="O644" t="str">
            <v/>
          </cell>
          <cell r="Q644" t="str">
            <v>会員連絡先電話番号</v>
          </cell>
        </row>
        <row r="645">
          <cell r="B645">
            <v>834</v>
          </cell>
          <cell r="C645" t="str">
            <v>登録日付</v>
          </cell>
          <cell r="K645" t="str">
            <v>AADT</v>
          </cell>
          <cell r="L645" t="str">
            <v>AADT</v>
          </cell>
          <cell r="M645" t="str">
            <v>S</v>
          </cell>
          <cell r="N645">
            <v>8</v>
          </cell>
          <cell r="O645" t="str">
            <v/>
          </cell>
          <cell r="Q645" t="str">
            <v>登録日付</v>
          </cell>
        </row>
        <row r="646">
          <cell r="B646">
            <v>835</v>
          </cell>
          <cell r="C646" t="str">
            <v>登録時刻</v>
          </cell>
          <cell r="K646" t="str">
            <v>AADM</v>
          </cell>
          <cell r="L646" t="str">
            <v>AADM</v>
          </cell>
          <cell r="M646" t="str">
            <v>S</v>
          </cell>
          <cell r="N646">
            <v>6</v>
          </cell>
          <cell r="O646" t="str">
            <v/>
          </cell>
          <cell r="Q646" t="str">
            <v>登録時刻</v>
          </cell>
        </row>
        <row r="647">
          <cell r="B647">
            <v>836</v>
          </cell>
          <cell r="C647" t="str">
            <v>受入メールアドレス</v>
          </cell>
          <cell r="K647" t="str">
            <v>UMLA</v>
          </cell>
          <cell r="L647" t="str">
            <v>UKMLAD</v>
          </cell>
          <cell r="M647" t="str">
            <v>A</v>
          </cell>
          <cell r="N647">
            <v>64</v>
          </cell>
          <cell r="O647" t="str">
            <v/>
          </cell>
          <cell r="Q647" t="str">
            <v>メールコンテンツ受入アドレス</v>
          </cell>
        </row>
        <row r="648">
          <cell r="B648">
            <v>837</v>
          </cell>
          <cell r="C648" t="str">
            <v>データＳＥＱ№</v>
          </cell>
          <cell r="K648" t="str">
            <v>DSEQ</v>
          </cell>
          <cell r="M648" t="str">
            <v>A</v>
          </cell>
          <cell r="N648">
            <v>8</v>
          </cell>
          <cell r="O648" t="str">
            <v/>
          </cell>
          <cell r="Q648" t="str">
            <v>データエントリー会社による入力順ＳＥＱ№</v>
          </cell>
        </row>
        <row r="649">
          <cell r="B649">
            <v>838</v>
          </cell>
          <cell r="C649" t="str">
            <v>申込№連番</v>
          </cell>
          <cell r="K649" t="str">
            <v>MORN</v>
          </cell>
          <cell r="M649" t="str">
            <v>A</v>
          </cell>
          <cell r="N649">
            <v>1</v>
          </cell>
          <cell r="O649" t="str">
            <v/>
          </cell>
          <cell r="Q649" t="str">
            <v>会員証の連番</v>
          </cell>
        </row>
        <row r="650">
          <cell r="B650">
            <v>839</v>
          </cell>
          <cell r="C650" t="str">
            <v>入会予定日付</v>
          </cell>
          <cell r="K650" t="str">
            <v>NYUD</v>
          </cell>
          <cell r="M650" t="str">
            <v>S</v>
          </cell>
          <cell r="N650">
            <v>8</v>
          </cell>
          <cell r="O650" t="str">
            <v/>
          </cell>
          <cell r="Q650" t="str">
            <v>入会予定の日付</v>
          </cell>
        </row>
        <row r="651">
          <cell r="B651">
            <v>840</v>
          </cell>
          <cell r="C651" t="str">
            <v>引換券／郵送区分</v>
          </cell>
          <cell r="K651" t="str">
            <v>HYKB</v>
          </cell>
          <cell r="M651" t="str">
            <v>A</v>
          </cell>
          <cell r="N651">
            <v>1</v>
          </cell>
          <cell r="O651" t="str">
            <v/>
          </cell>
          <cell r="Q651" t="str">
            <v>１：ハード引換可能日による入会、２：会員証郵送による入会</v>
          </cell>
        </row>
        <row r="652">
          <cell r="B652">
            <v>841</v>
          </cell>
          <cell r="C652" t="str">
            <v>会員状況・ＤＤＷステータス</v>
          </cell>
          <cell r="K652" t="str">
            <v>KNDS</v>
          </cell>
          <cell r="M652" t="str">
            <v>A</v>
          </cell>
          <cell r="N652">
            <v>1</v>
          </cell>
          <cell r="O652" t="str">
            <v/>
          </cell>
          <cell r="Q652" t="str">
            <v>１：有効、２：無効</v>
          </cell>
        </row>
        <row r="653">
          <cell r="B653">
            <v>843</v>
          </cell>
          <cell r="C653" t="str">
            <v>ＤＤＷデモ指定区分</v>
          </cell>
          <cell r="K653" t="str">
            <v>DDDK</v>
          </cell>
          <cell r="M653" t="str">
            <v>A</v>
          </cell>
          <cell r="N653">
            <v>1</v>
          </cell>
          <cell r="O653" t="str">
            <v/>
          </cell>
          <cell r="Q653" t="str">
            <v>１：通常、２：販売グループ指定</v>
          </cell>
        </row>
        <row r="654">
          <cell r="B654">
            <v>844</v>
          </cell>
          <cell r="C654" t="str">
            <v>相手先店舗コード</v>
          </cell>
          <cell r="K654" t="str">
            <v>ATTC</v>
          </cell>
          <cell r="M654" t="str">
            <v>A</v>
          </cell>
          <cell r="N654">
            <v>32</v>
          </cell>
          <cell r="O654" t="str">
            <v/>
          </cell>
          <cell r="Q654" t="str">
            <v>得意先で使用している得意先の店舗コード</v>
          </cell>
        </row>
        <row r="655">
          <cell r="B655">
            <v>845</v>
          </cell>
          <cell r="C655" t="str">
            <v>コンテンツ名称</v>
          </cell>
          <cell r="K655" t="str">
            <v>CNMN</v>
          </cell>
          <cell r="L655" t="str">
            <v>CNMN</v>
          </cell>
          <cell r="M655" t="str">
            <v>O</v>
          </cell>
          <cell r="N655">
            <v>22</v>
          </cell>
          <cell r="O655" t="str">
            <v/>
          </cell>
          <cell r="Q655" t="str">
            <v>コンテンツの名称</v>
          </cell>
        </row>
        <row r="656">
          <cell r="B656">
            <v>846</v>
          </cell>
          <cell r="C656" t="str">
            <v>リリース方法区分</v>
          </cell>
          <cell r="K656" t="str">
            <v>RSHK</v>
          </cell>
          <cell r="M656" t="str">
            <v>A</v>
          </cell>
          <cell r="N656">
            <v>1</v>
          </cell>
          <cell r="O656" t="str">
            <v/>
          </cell>
          <cell r="Q656" t="str">
            <v>１：差分、２：リプレース</v>
          </cell>
        </row>
        <row r="657">
          <cell r="B657">
            <v>847</v>
          </cell>
          <cell r="C657" t="str">
            <v>ＤＤＷ上限人数</v>
          </cell>
          <cell r="K657" t="str">
            <v>DDJS</v>
          </cell>
          <cell r="M657" t="str">
            <v>P</v>
          </cell>
          <cell r="N657">
            <v>7</v>
          </cell>
          <cell r="O657" t="str">
            <v/>
          </cell>
          <cell r="Q657" t="str">
            <v>ＤＤＷの上限人数</v>
          </cell>
        </row>
        <row r="658">
          <cell r="B658">
            <v>848</v>
          </cell>
          <cell r="C658" t="str">
            <v>請求金額（税抜）</v>
          </cell>
          <cell r="K658" t="str">
            <v>SENG</v>
          </cell>
          <cell r="M658" t="str">
            <v>P</v>
          </cell>
          <cell r="N658">
            <v>7</v>
          </cell>
          <cell r="O658" t="str">
            <v/>
          </cell>
          <cell r="Q658" t="str">
            <v>税抜の請求金額</v>
          </cell>
        </row>
        <row r="659">
          <cell r="B659">
            <v>849</v>
          </cell>
          <cell r="C659" t="str">
            <v>税込請求金額</v>
          </cell>
          <cell r="K659" t="str">
            <v>SEKG</v>
          </cell>
          <cell r="M659" t="str">
            <v>P</v>
          </cell>
          <cell r="N659">
            <v>11</v>
          </cell>
          <cell r="O659" t="str">
            <v/>
          </cell>
          <cell r="Q659" t="str">
            <v>税込の請求金額</v>
          </cell>
        </row>
        <row r="660">
          <cell r="B660">
            <v>850</v>
          </cell>
          <cell r="C660" t="str">
            <v>請求区分</v>
          </cell>
          <cell r="K660" t="str">
            <v>SEIK</v>
          </cell>
          <cell r="M660" t="str">
            <v>A</v>
          </cell>
          <cell r="N660">
            <v>1</v>
          </cell>
          <cell r="O660" t="str">
            <v/>
          </cell>
          <cell r="Q660" t="str">
            <v>１：請求済、２：未請求</v>
          </cell>
        </row>
        <row r="661">
          <cell r="B661">
            <v>851</v>
          </cell>
          <cell r="C661" t="str">
            <v>認証区分</v>
          </cell>
          <cell r="K661" t="str">
            <v>NSSK</v>
          </cell>
          <cell r="M661" t="str">
            <v>A</v>
          </cell>
          <cell r="N661">
            <v>2</v>
          </cell>
          <cell r="O661" t="str">
            <v/>
          </cell>
          <cell r="Q661" t="str">
            <v>０１：認証、０２：否認</v>
          </cell>
        </row>
        <row r="662">
          <cell r="B662">
            <v>852</v>
          </cell>
          <cell r="C662" t="str">
            <v>未請求処理区分</v>
          </cell>
          <cell r="K662" t="str">
            <v>MSSK</v>
          </cell>
          <cell r="M662" t="str">
            <v>A</v>
          </cell>
          <cell r="N662">
            <v>2</v>
          </cell>
          <cell r="O662" t="str">
            <v/>
          </cell>
          <cell r="Q662" t="str">
            <v>未請求後の処理を区分する。 １０:個人請求済</v>
          </cell>
        </row>
        <row r="663">
          <cell r="B663">
            <v>853</v>
          </cell>
          <cell r="C663" t="str">
            <v>フロアーリミット区分</v>
          </cell>
          <cell r="K663" t="str">
            <v>FWLK</v>
          </cell>
          <cell r="M663" t="str">
            <v>A</v>
          </cell>
          <cell r="N663">
            <v>1</v>
          </cell>
          <cell r="O663" t="str">
            <v/>
          </cell>
          <cell r="Q663" t="str">
            <v>１：対象</v>
          </cell>
        </row>
        <row r="664">
          <cell r="B664">
            <v>854</v>
          </cell>
          <cell r="C664" t="str">
            <v>入会者人数</v>
          </cell>
          <cell r="K664" t="str">
            <v>NUSU</v>
          </cell>
          <cell r="M664" t="str">
            <v>P</v>
          </cell>
          <cell r="N664">
            <v>7</v>
          </cell>
          <cell r="O664" t="str">
            <v/>
          </cell>
          <cell r="Q664" t="str">
            <v>会員異動情報より人数をセットする</v>
          </cell>
        </row>
        <row r="665">
          <cell r="B665">
            <v>855</v>
          </cell>
          <cell r="C665" t="str">
            <v>解約者人数</v>
          </cell>
          <cell r="K665" t="str">
            <v>TASU</v>
          </cell>
          <cell r="M665" t="str">
            <v>P</v>
          </cell>
          <cell r="N665">
            <v>7</v>
          </cell>
          <cell r="O665" t="str">
            <v/>
          </cell>
          <cell r="Q665" t="str">
            <v>会員異動情報より人数をセットする</v>
          </cell>
        </row>
        <row r="666">
          <cell r="B666">
            <v>856</v>
          </cell>
          <cell r="C666" t="str">
            <v>休止者人数</v>
          </cell>
          <cell r="K666" t="str">
            <v>KSSU</v>
          </cell>
          <cell r="M666" t="str">
            <v>P</v>
          </cell>
          <cell r="N666">
            <v>7</v>
          </cell>
          <cell r="O666" t="str">
            <v/>
          </cell>
          <cell r="Q666" t="str">
            <v>会員異動情報より人数をセットする</v>
          </cell>
        </row>
        <row r="667">
          <cell r="B667">
            <v>857</v>
          </cell>
          <cell r="C667" t="str">
            <v>カード無効者人数</v>
          </cell>
          <cell r="K667" t="str">
            <v>BKSU</v>
          </cell>
          <cell r="M667" t="str">
            <v>P</v>
          </cell>
          <cell r="N667">
            <v>7</v>
          </cell>
          <cell r="O667" t="str">
            <v/>
          </cell>
          <cell r="Q667" t="str">
            <v>会員異動情報より人数をセットする</v>
          </cell>
        </row>
        <row r="668">
          <cell r="B668">
            <v>858</v>
          </cell>
          <cell r="C668" t="str">
            <v>停止者人数</v>
          </cell>
          <cell r="K668" t="str">
            <v>STSU</v>
          </cell>
          <cell r="M668" t="str">
            <v>P</v>
          </cell>
          <cell r="N668">
            <v>7</v>
          </cell>
          <cell r="O668" t="str">
            <v/>
          </cell>
          <cell r="Q668" t="str">
            <v>会員異動情報より人数をセットする</v>
          </cell>
        </row>
        <row r="669">
          <cell r="B669">
            <v>859</v>
          </cell>
          <cell r="C669" t="str">
            <v>正会員者人数</v>
          </cell>
          <cell r="K669" t="str">
            <v>SKNS</v>
          </cell>
          <cell r="M669" t="str">
            <v>P</v>
          </cell>
          <cell r="N669">
            <v>7</v>
          </cell>
          <cell r="O669" t="str">
            <v/>
          </cell>
          <cell r="Q669" t="str">
            <v>会員情報より人数をセットする</v>
          </cell>
        </row>
        <row r="670">
          <cell r="B670">
            <v>860</v>
          </cell>
          <cell r="C670" t="str">
            <v>待会員者人数</v>
          </cell>
          <cell r="K670" t="str">
            <v>MKSU</v>
          </cell>
          <cell r="M670" t="str">
            <v>P</v>
          </cell>
          <cell r="N670">
            <v>7</v>
          </cell>
          <cell r="O670" t="str">
            <v/>
          </cell>
          <cell r="Q670" t="str">
            <v>会員情報より人数をセットする</v>
          </cell>
        </row>
        <row r="671">
          <cell r="B671">
            <v>861</v>
          </cell>
          <cell r="C671" t="str">
            <v>パスワード区分</v>
          </cell>
          <cell r="K671" t="str">
            <v>PSKK</v>
          </cell>
          <cell r="M671" t="str">
            <v>A</v>
          </cell>
          <cell r="N671">
            <v>1</v>
          </cell>
          <cell r="O671" t="str">
            <v/>
          </cell>
          <cell r="Q671" t="str">
            <v>１：会員パスワード、２：メールパスワード、３：クレジットパスワード</v>
          </cell>
        </row>
        <row r="672">
          <cell r="B672">
            <v>862</v>
          </cell>
          <cell r="C672" t="str">
            <v>発生日付</v>
          </cell>
          <cell r="K672" t="str">
            <v>HTSD</v>
          </cell>
          <cell r="M672" t="str">
            <v>S</v>
          </cell>
          <cell r="N672">
            <v>8</v>
          </cell>
          <cell r="O672" t="str">
            <v/>
          </cell>
          <cell r="Q672" t="str">
            <v>初期化の依頼日</v>
          </cell>
        </row>
        <row r="673">
          <cell r="B673">
            <v>863</v>
          </cell>
          <cell r="C673" t="str">
            <v>初期化クレジットパスワード</v>
          </cell>
          <cell r="K673" t="str">
            <v>IKPS</v>
          </cell>
          <cell r="M673" t="str">
            <v>A</v>
          </cell>
          <cell r="N673">
            <v>4</v>
          </cell>
          <cell r="O673" t="str">
            <v/>
          </cell>
          <cell r="Q673" t="str">
            <v>パスワード初期化自動設定値</v>
          </cell>
        </row>
        <row r="674">
          <cell r="B674">
            <v>864</v>
          </cell>
          <cell r="C674" t="str">
            <v>クレジットパスワード通知書発行区分</v>
          </cell>
          <cell r="K674" t="str">
            <v>KPSK</v>
          </cell>
          <cell r="M674" t="str">
            <v>A</v>
          </cell>
          <cell r="N674">
            <v>1</v>
          </cell>
          <cell r="O674" t="str">
            <v/>
          </cell>
          <cell r="Q674" t="str">
            <v>１：発行済</v>
          </cell>
        </row>
        <row r="675">
          <cell r="B675">
            <v>865</v>
          </cell>
          <cell r="C675" t="str">
            <v>ＤＤＷファイル抽出日付</v>
          </cell>
          <cell r="K675" t="str">
            <v>DWFD</v>
          </cell>
          <cell r="M675" t="str">
            <v>S</v>
          </cell>
          <cell r="N675">
            <v>8</v>
          </cell>
          <cell r="O675" t="str">
            <v/>
          </cell>
          <cell r="Q675" t="str">
            <v>ＤＤＷ配信用ファイルの抽出日付</v>
          </cell>
        </row>
        <row r="676">
          <cell r="B676">
            <v>866</v>
          </cell>
          <cell r="C676" t="str">
            <v>チケットＤＩＳＫＭＡＰ使用フラグ</v>
          </cell>
          <cell r="K676" t="str">
            <v>CDMF</v>
          </cell>
          <cell r="M676" t="str">
            <v>A</v>
          </cell>
          <cell r="N676">
            <v>1</v>
          </cell>
          <cell r="O676" t="str">
            <v/>
          </cell>
          <cell r="Q676" t="str">
            <v>０：使用しない、１：使用する</v>
          </cell>
        </row>
        <row r="677">
          <cell r="B677">
            <v>867</v>
          </cell>
          <cell r="C677" t="str">
            <v>コンテンツレングス</v>
          </cell>
          <cell r="K677" t="str">
            <v>CNLE</v>
          </cell>
          <cell r="M677" t="str">
            <v>A</v>
          </cell>
          <cell r="N677">
            <v>16</v>
          </cell>
          <cell r="O677" t="str">
            <v/>
          </cell>
          <cell r="Q677" t="str">
            <v>コンテンツの長さ</v>
          </cell>
        </row>
        <row r="678">
          <cell r="B678">
            <v>868</v>
          </cell>
          <cell r="C678" t="str">
            <v>コンテンツボディ</v>
          </cell>
          <cell r="K678" t="str">
            <v>REBI</v>
          </cell>
          <cell r="M678" t="str">
            <v>C</v>
          </cell>
          <cell r="N678" t="str">
            <v>-</v>
          </cell>
          <cell r="O678" t="str">
            <v/>
          </cell>
          <cell r="Q678" t="str">
            <v>レスポンスのメッセージ本体</v>
          </cell>
        </row>
        <row r="679">
          <cell r="B679">
            <v>869</v>
          </cell>
          <cell r="C679" t="str">
            <v>週初日付</v>
          </cell>
          <cell r="K679" t="str">
            <v>FWED</v>
          </cell>
          <cell r="M679" t="str">
            <v>S</v>
          </cell>
          <cell r="N679">
            <v>8</v>
          </cell>
          <cell r="O679" t="str">
            <v/>
          </cell>
          <cell r="Q679" t="str">
            <v>月曜日（週初め）の日付</v>
          </cell>
        </row>
        <row r="680">
          <cell r="B680">
            <v>870</v>
          </cell>
          <cell r="C680" t="str">
            <v>事業会社名称</v>
          </cell>
          <cell r="K680" t="str">
            <v>JIKN</v>
          </cell>
          <cell r="M680" t="str">
            <v>O</v>
          </cell>
          <cell r="N680">
            <v>42</v>
          </cell>
          <cell r="O680" t="str">
            <v/>
          </cell>
          <cell r="Q680" t="str">
            <v>事業会社の名称</v>
          </cell>
        </row>
        <row r="681">
          <cell r="B681">
            <v>871</v>
          </cell>
          <cell r="C681" t="str">
            <v>事業会社略称</v>
          </cell>
          <cell r="K681" t="str">
            <v>JIKR</v>
          </cell>
          <cell r="M681" t="str">
            <v>O</v>
          </cell>
          <cell r="N681">
            <v>22</v>
          </cell>
          <cell r="O681" t="str">
            <v/>
          </cell>
          <cell r="Q681" t="str">
            <v>事業会社の略称</v>
          </cell>
        </row>
        <row r="682">
          <cell r="B682">
            <v>872</v>
          </cell>
          <cell r="C682" t="str">
            <v>処理年</v>
          </cell>
          <cell r="K682" t="str">
            <v>SOYY</v>
          </cell>
          <cell r="M682" t="str">
            <v>S</v>
          </cell>
          <cell r="N682">
            <v>4</v>
          </cell>
          <cell r="O682" t="str">
            <v/>
          </cell>
          <cell r="Q682" t="str">
            <v>事業会社の処理年</v>
          </cell>
        </row>
        <row r="683">
          <cell r="B683">
            <v>873</v>
          </cell>
          <cell r="C683" t="str">
            <v>処理月</v>
          </cell>
          <cell r="K683" t="str">
            <v>SOMM</v>
          </cell>
          <cell r="M683" t="str">
            <v>S</v>
          </cell>
          <cell r="N683">
            <v>2</v>
          </cell>
          <cell r="O683" t="str">
            <v/>
          </cell>
          <cell r="Q683" t="str">
            <v>事業会社の処理月</v>
          </cell>
        </row>
        <row r="684">
          <cell r="B684">
            <v>874</v>
          </cell>
          <cell r="C684" t="str">
            <v>処理日</v>
          </cell>
          <cell r="K684" t="str">
            <v>SODD</v>
          </cell>
          <cell r="M684" t="str">
            <v>S</v>
          </cell>
          <cell r="N684">
            <v>2</v>
          </cell>
          <cell r="O684" t="str">
            <v/>
          </cell>
          <cell r="Q684" t="str">
            <v>事業会社の処理日</v>
          </cell>
        </row>
        <row r="685">
          <cell r="B685">
            <v>875</v>
          </cell>
          <cell r="C685" t="str">
            <v>処理日付</v>
          </cell>
          <cell r="K685" t="str">
            <v>SOYD</v>
          </cell>
          <cell r="M685" t="str">
            <v>S</v>
          </cell>
          <cell r="N685">
            <v>8</v>
          </cell>
          <cell r="O685" t="str">
            <v/>
          </cell>
          <cell r="Q685" t="str">
            <v>事業会社の処理日付</v>
          </cell>
        </row>
        <row r="686">
          <cell r="B686">
            <v>876</v>
          </cell>
          <cell r="C686" t="str">
            <v>締め年</v>
          </cell>
          <cell r="K686" t="str">
            <v>SMYY</v>
          </cell>
          <cell r="M686" t="str">
            <v>S</v>
          </cell>
          <cell r="N686">
            <v>4</v>
          </cell>
          <cell r="O686" t="str">
            <v/>
          </cell>
          <cell r="Q686" t="str">
            <v>事業会社の締め年</v>
          </cell>
        </row>
        <row r="687">
          <cell r="B687">
            <v>877</v>
          </cell>
          <cell r="C687" t="str">
            <v>締め月</v>
          </cell>
          <cell r="K687" t="str">
            <v>SMMM</v>
          </cell>
          <cell r="M687" t="str">
            <v>S</v>
          </cell>
          <cell r="N687">
            <v>2</v>
          </cell>
          <cell r="O687" t="str">
            <v/>
          </cell>
          <cell r="Q687" t="str">
            <v>事業会社の締め月</v>
          </cell>
        </row>
        <row r="688">
          <cell r="B688">
            <v>878</v>
          </cell>
          <cell r="C688" t="str">
            <v>締め日付</v>
          </cell>
          <cell r="K688" t="str">
            <v>SMYD</v>
          </cell>
          <cell r="M688" t="str">
            <v>S</v>
          </cell>
          <cell r="N688">
            <v>8</v>
          </cell>
          <cell r="O688" t="str">
            <v/>
          </cell>
          <cell r="Q688" t="str">
            <v>事業会社の締め日付</v>
          </cell>
        </row>
        <row r="689">
          <cell r="B689">
            <v>879</v>
          </cell>
          <cell r="C689" t="str">
            <v>設立日付</v>
          </cell>
          <cell r="K689" t="str">
            <v>STYD</v>
          </cell>
          <cell r="M689" t="str">
            <v>S</v>
          </cell>
          <cell r="N689">
            <v>8</v>
          </cell>
          <cell r="O689" t="str">
            <v/>
          </cell>
          <cell r="Q689" t="str">
            <v>事業会社の設立した日付</v>
          </cell>
        </row>
        <row r="690">
          <cell r="B690">
            <v>880</v>
          </cell>
          <cell r="C690" t="str">
            <v>今回申込者人数</v>
          </cell>
          <cell r="K690" t="str">
            <v>KMNS</v>
          </cell>
          <cell r="M690" t="str">
            <v>P</v>
          </cell>
          <cell r="N690">
            <v>7</v>
          </cell>
          <cell r="O690" t="str">
            <v/>
          </cell>
          <cell r="Q690" t="str">
            <v>今回申込時の申込者人数</v>
          </cell>
        </row>
        <row r="691">
          <cell r="B691">
            <v>881</v>
          </cell>
          <cell r="C691" t="str">
            <v>今回当選者人数</v>
          </cell>
          <cell r="K691" t="str">
            <v>KTNS</v>
          </cell>
          <cell r="M691" t="str">
            <v>P</v>
          </cell>
          <cell r="N691">
            <v>7</v>
          </cell>
          <cell r="O691" t="str">
            <v/>
          </cell>
          <cell r="Q691" t="str">
            <v>今回申込時の当選者人数</v>
          </cell>
        </row>
        <row r="692">
          <cell r="B692">
            <v>882</v>
          </cell>
          <cell r="C692" t="str">
            <v>今回待会員者人数</v>
          </cell>
          <cell r="K692" t="str">
            <v>KWNS</v>
          </cell>
          <cell r="M692" t="str">
            <v>P</v>
          </cell>
          <cell r="N692">
            <v>7</v>
          </cell>
          <cell r="O692" t="str">
            <v/>
          </cell>
          <cell r="Q692" t="str">
            <v>今回申込時の待会員者人数</v>
          </cell>
        </row>
        <row r="693">
          <cell r="B693">
            <v>883</v>
          </cell>
          <cell r="C693" t="str">
            <v>実ファイル名</v>
          </cell>
          <cell r="K693" t="str">
            <v>JFIN</v>
          </cell>
          <cell r="M693" t="str">
            <v>A</v>
          </cell>
          <cell r="N693">
            <v>64</v>
          </cell>
          <cell r="O693" t="str">
            <v/>
          </cell>
          <cell r="Q693" t="str">
            <v>本番使用時のファイル名</v>
          </cell>
        </row>
        <row r="694">
          <cell r="B694">
            <v>884</v>
          </cell>
          <cell r="C694" t="str">
            <v>利用者異動内容区分</v>
          </cell>
          <cell r="K694" t="str">
            <v>INIR</v>
          </cell>
          <cell r="M694" t="str">
            <v>A</v>
          </cell>
          <cell r="N694">
            <v>2</v>
          </cell>
          <cell r="O694" t="str">
            <v xml:space="preserve"> </v>
          </cell>
          <cell r="P694" t="str">
            <v xml:space="preserve"> </v>
          </cell>
          <cell r="Q694" t="str">
            <v>　</v>
          </cell>
        </row>
        <row r="695">
          <cell r="B695">
            <v>885</v>
          </cell>
          <cell r="C695" t="str">
            <v>利用者異動理由区分</v>
          </cell>
          <cell r="K695" t="str">
            <v>IRIR</v>
          </cell>
          <cell r="M695" t="str">
            <v>A</v>
          </cell>
          <cell r="N695">
            <v>2</v>
          </cell>
          <cell r="O695" t="str">
            <v xml:space="preserve"> </v>
          </cell>
          <cell r="P695" t="str">
            <v xml:space="preserve"> </v>
          </cell>
          <cell r="Q695" t="str">
            <v>　</v>
          </cell>
        </row>
        <row r="696">
          <cell r="B696">
            <v>886</v>
          </cell>
          <cell r="C696" t="str">
            <v>ＤＤＷ有効開始日付</v>
          </cell>
          <cell r="K696" t="str">
            <v>DWSD</v>
          </cell>
          <cell r="M696" t="str">
            <v>S</v>
          </cell>
          <cell r="N696">
            <v>8</v>
          </cell>
          <cell r="O696" t="str">
            <v xml:space="preserve"> </v>
          </cell>
          <cell r="P696" t="str">
            <v xml:space="preserve"> </v>
          </cell>
          <cell r="Q696" t="str">
            <v>　</v>
          </cell>
        </row>
        <row r="697">
          <cell r="B697">
            <v>887</v>
          </cell>
          <cell r="C697" t="str">
            <v>ＤＤＷ有効開始時刻</v>
          </cell>
          <cell r="K697" t="str">
            <v>DWST</v>
          </cell>
          <cell r="M697" t="str">
            <v>S</v>
          </cell>
          <cell r="N697">
            <v>6</v>
          </cell>
          <cell r="O697" t="str">
            <v xml:space="preserve"> </v>
          </cell>
          <cell r="P697" t="str">
            <v xml:space="preserve"> </v>
          </cell>
          <cell r="Q697" t="str">
            <v>　</v>
          </cell>
        </row>
        <row r="698">
          <cell r="B698">
            <v>888</v>
          </cell>
          <cell r="C698" t="str">
            <v>ＤＤＷ有効終了日付</v>
          </cell>
          <cell r="K698" t="str">
            <v>DWED</v>
          </cell>
          <cell r="M698" t="str">
            <v>S</v>
          </cell>
          <cell r="N698">
            <v>8</v>
          </cell>
          <cell r="O698" t="str">
            <v xml:space="preserve"> </v>
          </cell>
          <cell r="P698" t="str">
            <v xml:space="preserve"> </v>
          </cell>
          <cell r="Q698" t="str">
            <v>　</v>
          </cell>
        </row>
        <row r="699">
          <cell r="B699">
            <v>889</v>
          </cell>
          <cell r="C699" t="str">
            <v>ＤＤＷ有効終了時刻</v>
          </cell>
          <cell r="K699" t="str">
            <v>DWET</v>
          </cell>
          <cell r="M699" t="str">
            <v>S</v>
          </cell>
          <cell r="N699">
            <v>6</v>
          </cell>
          <cell r="O699" t="str">
            <v xml:space="preserve"> </v>
          </cell>
          <cell r="P699" t="str">
            <v xml:space="preserve"> </v>
          </cell>
        </row>
        <row r="700">
          <cell r="B700">
            <v>890</v>
          </cell>
          <cell r="C700" t="str">
            <v>チケット名称</v>
          </cell>
          <cell r="K700" t="str">
            <v>CKTN</v>
          </cell>
          <cell r="M700" t="str">
            <v>O</v>
          </cell>
          <cell r="N700">
            <v>22</v>
          </cell>
          <cell r="O700" t="str">
            <v xml:space="preserve"> </v>
          </cell>
          <cell r="P700" t="str">
            <v xml:space="preserve"> </v>
          </cell>
          <cell r="Q700" t="str">
            <v>チケットの名称</v>
          </cell>
        </row>
        <row r="701">
          <cell r="B701">
            <v>891</v>
          </cell>
          <cell r="C701" t="str">
            <v>ＤＤＷ処理番号</v>
          </cell>
          <cell r="K701" t="str">
            <v>DWSY</v>
          </cell>
          <cell r="M701" t="str">
            <v>A</v>
          </cell>
          <cell r="N701">
            <v>4</v>
          </cell>
          <cell r="O701" t="str">
            <v xml:space="preserve"> </v>
          </cell>
          <cell r="P701" t="str">
            <v xml:space="preserve"> </v>
          </cell>
          <cell r="Q701" t="str">
            <v>ＤＤＷバッチ処理番号</v>
          </cell>
        </row>
        <row r="702">
          <cell r="B702">
            <v>892</v>
          </cell>
          <cell r="C702" t="str">
            <v>ＤＤＷ処理結果コード</v>
          </cell>
          <cell r="K702" t="str">
            <v>DWKK</v>
          </cell>
          <cell r="M702" t="str">
            <v>A</v>
          </cell>
          <cell r="N702">
            <v>4</v>
          </cell>
          <cell r="O702" t="str">
            <v xml:space="preserve"> </v>
          </cell>
          <cell r="P702" t="str">
            <v xml:space="preserve"> </v>
          </cell>
          <cell r="Q702" t="str">
            <v>ＤＤＷバッチ処理結果コード</v>
          </cell>
        </row>
        <row r="703">
          <cell r="B703">
            <v>893</v>
          </cell>
          <cell r="C703" t="str">
            <v>会員状況区分有効日付</v>
          </cell>
          <cell r="K703" t="str">
            <v>KJYD</v>
          </cell>
          <cell r="L703" t="str">
            <v>KNJKYDT</v>
          </cell>
          <cell r="M703" t="str">
            <v>D</v>
          </cell>
          <cell r="N703">
            <v>8</v>
          </cell>
          <cell r="O703" t="str">
            <v xml:space="preserve"> </v>
          </cell>
          <cell r="P703" t="str">
            <v xml:space="preserve"> </v>
          </cell>
          <cell r="Q703" t="str">
            <v>変更される場合の現在会員状況区分の有効日付</v>
          </cell>
        </row>
        <row r="704">
          <cell r="B704">
            <v>894</v>
          </cell>
          <cell r="C704" t="str">
            <v>次回有効会員状況区分</v>
          </cell>
          <cell r="K704" t="str">
            <v>JYKJ</v>
          </cell>
          <cell r="L704" t="str">
            <v>NYKNJK</v>
          </cell>
          <cell r="M704" t="str">
            <v>A</v>
          </cell>
          <cell r="N704">
            <v>2</v>
          </cell>
          <cell r="O704" t="str">
            <v xml:space="preserve"> </v>
          </cell>
          <cell r="P704" t="str">
            <v xml:space="preserve"> </v>
          </cell>
          <cell r="Q704" t="str">
            <v>変更される場合の次回会員状況区分</v>
          </cell>
        </row>
        <row r="705">
          <cell r="B705">
            <v>895</v>
          </cell>
          <cell r="C705" t="str">
            <v>コンテンツレングス</v>
          </cell>
          <cell r="K705" t="str">
            <v xml:space="preserve"> </v>
          </cell>
          <cell r="L705" t="str">
            <v>CNLEN</v>
          </cell>
          <cell r="M705" t="str">
            <v>X</v>
          </cell>
          <cell r="N705">
            <v>16</v>
          </cell>
          <cell r="O705" t="str">
            <v xml:space="preserve"> </v>
          </cell>
          <cell r="P705" t="str">
            <v xml:space="preserve"> </v>
          </cell>
          <cell r="Q705" t="str">
            <v>コンテンツの長さ</v>
          </cell>
        </row>
        <row r="706">
          <cell r="B706">
            <v>896</v>
          </cell>
          <cell r="C706" t="str">
            <v>コンテンツボディ</v>
          </cell>
          <cell r="K706" t="str">
            <v xml:space="preserve"> </v>
          </cell>
          <cell r="L706" t="str">
            <v>CNBDY</v>
          </cell>
          <cell r="M706" t="str">
            <v>C</v>
          </cell>
          <cell r="N706" t="str">
            <v>-</v>
          </cell>
          <cell r="O706" t="str">
            <v xml:space="preserve"> </v>
          </cell>
          <cell r="P706" t="str">
            <v xml:space="preserve"> </v>
          </cell>
          <cell r="Q706" t="str">
            <v>レスポンスのメッセージ本体</v>
          </cell>
        </row>
        <row r="707">
          <cell r="B707">
            <v>897</v>
          </cell>
          <cell r="C707" t="str">
            <v>初期化クレジットパスワード</v>
          </cell>
          <cell r="K707" t="str">
            <v xml:space="preserve"> </v>
          </cell>
          <cell r="L707" t="str">
            <v>INCRPS</v>
          </cell>
          <cell r="M707" t="str">
            <v>X</v>
          </cell>
          <cell r="N707">
            <v>4</v>
          </cell>
          <cell r="O707" t="str">
            <v>　</v>
          </cell>
          <cell r="P707" t="str">
            <v>　</v>
          </cell>
          <cell r="Q707" t="str">
            <v>コールセンターで設定するクレジットパスワード</v>
          </cell>
        </row>
        <row r="708">
          <cell r="B708">
            <v>898</v>
          </cell>
          <cell r="C708" t="str">
            <v>再受け入れ回数</v>
          </cell>
          <cell r="K708" t="str">
            <v>SUKS</v>
          </cell>
          <cell r="M708" t="str">
            <v>S</v>
          </cell>
          <cell r="N708">
            <v>3</v>
          </cell>
          <cell r="O708" t="str">
            <v/>
          </cell>
          <cell r="Q708" t="str">
            <v>同じバージョンのコンテンツを受け入れた回数</v>
          </cell>
        </row>
        <row r="709">
          <cell r="B709">
            <v>899</v>
          </cell>
          <cell r="C709" t="str">
            <v>ＤＤＷ配信ファイルバージョン（マスター）</v>
          </cell>
          <cell r="K709" t="str">
            <v>HNV1</v>
          </cell>
          <cell r="L709" t="str">
            <v>HS1VER</v>
          </cell>
          <cell r="M709" t="str">
            <v>A</v>
          </cell>
          <cell r="N709">
            <v>10</v>
          </cell>
          <cell r="O709" t="str">
            <v/>
          </cell>
          <cell r="Q709" t="str">
            <v>ＤＤＷ緊急配信時の配信ファイル（マスター）のバージョン</v>
          </cell>
        </row>
        <row r="710">
          <cell r="B710">
            <v>900</v>
          </cell>
          <cell r="C710" t="str">
            <v>ＤＤＷ配信ファイルバージョン（コンテンツ）</v>
          </cell>
          <cell r="K710" t="str">
            <v>HNV2</v>
          </cell>
          <cell r="L710" t="str">
            <v>HS2VER</v>
          </cell>
          <cell r="M710" t="str">
            <v>A</v>
          </cell>
          <cell r="N710">
            <v>10</v>
          </cell>
          <cell r="O710" t="str">
            <v/>
          </cell>
          <cell r="Q710" t="str">
            <v>ＤＤＷ緊急配信時の配信ファイル（コンテンツ）のバージョン</v>
          </cell>
        </row>
        <row r="711">
          <cell r="B711">
            <v>901</v>
          </cell>
          <cell r="C711" t="str">
            <v>ＤＤＷ配信ファイルバージョン（プログラム）</v>
          </cell>
          <cell r="K711" t="str">
            <v>HNV3</v>
          </cell>
          <cell r="L711" t="str">
            <v>HS3VER</v>
          </cell>
          <cell r="M711" t="str">
            <v>A</v>
          </cell>
          <cell r="N711">
            <v>10</v>
          </cell>
          <cell r="O711" t="str">
            <v/>
          </cell>
          <cell r="Q711" t="str">
            <v>ＤＤＷ緊急配信時の配信ファイル（プログラム）のバージョン</v>
          </cell>
        </row>
        <row r="712">
          <cell r="B712">
            <v>902</v>
          </cell>
          <cell r="C712" t="str">
            <v>会員抽出フラグ</v>
          </cell>
          <cell r="K712" t="str">
            <v>KCFL</v>
          </cell>
          <cell r="M712" t="str">
            <v>A</v>
          </cell>
          <cell r="N712">
            <v>1</v>
          </cell>
          <cell r="O712" t="str">
            <v/>
          </cell>
          <cell r="Q712" t="str">
            <v>会員抽出の制御用</v>
          </cell>
        </row>
        <row r="713">
          <cell r="B713">
            <v>903</v>
          </cell>
          <cell r="C713" t="str">
            <v>ＣＳＶ作成フラグ</v>
          </cell>
          <cell r="K713" t="str">
            <v>CSFL</v>
          </cell>
          <cell r="M713" t="str">
            <v>A</v>
          </cell>
          <cell r="N713">
            <v>1</v>
          </cell>
          <cell r="O713" t="str">
            <v/>
          </cell>
          <cell r="Q713" t="str">
            <v>ＣＳＶ作成の制御用</v>
          </cell>
        </row>
        <row r="714">
          <cell r="B714">
            <v>904</v>
          </cell>
          <cell r="C714" t="str">
            <v>当選フラグ</v>
          </cell>
          <cell r="K714" t="str">
            <v>TSFL</v>
          </cell>
          <cell r="M714" t="str">
            <v>A</v>
          </cell>
          <cell r="N714">
            <v>1</v>
          </cell>
          <cell r="O714" t="str">
            <v/>
          </cell>
          <cell r="Q714" t="str">
            <v>当選の制御用</v>
          </cell>
        </row>
        <row r="715">
          <cell r="B715">
            <v>905</v>
          </cell>
          <cell r="C715" t="str">
            <v>ハード受取日付</v>
          </cell>
          <cell r="K715" t="str">
            <v>HUDT</v>
          </cell>
          <cell r="M715" t="str">
            <v>S</v>
          </cell>
          <cell r="N715">
            <v>8</v>
          </cell>
          <cell r="O715" t="str">
            <v/>
          </cell>
          <cell r="Q715" t="str">
            <v>スターターキット受取日付</v>
          </cell>
        </row>
        <row r="716">
          <cell r="B716">
            <v>906</v>
          </cell>
          <cell r="C716" t="str">
            <v>利用者氏名カナ（全角）</v>
          </cell>
          <cell r="K716" t="str">
            <v>RIS2</v>
          </cell>
          <cell r="L716" t="str">
            <v>RIS2</v>
          </cell>
          <cell r="M716" t="str">
            <v>O</v>
          </cell>
          <cell r="N716">
            <v>42</v>
          </cell>
          <cell r="O716" t="str">
            <v/>
          </cell>
          <cell r="Q716" t="str">
            <v>利用者氏名カナ（全角）</v>
          </cell>
        </row>
        <row r="717">
          <cell r="B717">
            <v>907</v>
          </cell>
          <cell r="C717" t="str">
            <v>申込利用者氏名カナ（全角）</v>
          </cell>
          <cell r="K717" t="str">
            <v>MRI2</v>
          </cell>
          <cell r="M717" t="str">
            <v>O</v>
          </cell>
          <cell r="N717">
            <v>42</v>
          </cell>
          <cell r="O717" t="str">
            <v/>
          </cell>
          <cell r="Q717" t="str">
            <v>申込利用者氏名カナ（全角）</v>
          </cell>
        </row>
        <row r="718">
          <cell r="B718">
            <v>908</v>
          </cell>
          <cell r="C718" t="str">
            <v>発生時刻</v>
          </cell>
          <cell r="K718" t="str">
            <v>HTTN</v>
          </cell>
          <cell r="M718" t="str">
            <v>S</v>
          </cell>
          <cell r="N718">
            <v>6</v>
          </cell>
          <cell r="O718" t="str">
            <v/>
          </cell>
          <cell r="Q718" t="str">
            <v>初期化の依頼時刻</v>
          </cell>
        </row>
        <row r="719">
          <cell r="B719">
            <v>909</v>
          </cell>
          <cell r="C719" t="str">
            <v>更新前会員状況区分</v>
          </cell>
          <cell r="K719" t="str">
            <v>KKJK</v>
          </cell>
          <cell r="M719" t="str">
            <v>A</v>
          </cell>
          <cell r="N719">
            <v>2</v>
          </cell>
          <cell r="O719" t="str">
            <v/>
          </cell>
          <cell r="Q719" t="str">
            <v xml:space="preserve"> </v>
          </cell>
        </row>
        <row r="720">
          <cell r="B720">
            <v>910</v>
          </cell>
          <cell r="C720" t="str">
            <v>本人確認日付</v>
          </cell>
          <cell r="K720" t="str">
            <v>HKDT</v>
          </cell>
          <cell r="M720" t="str">
            <v>S</v>
          </cell>
          <cell r="N720">
            <v>8</v>
          </cell>
          <cell r="O720" t="str">
            <v/>
          </cell>
          <cell r="Q720" t="str">
            <v xml:space="preserve"> </v>
          </cell>
        </row>
        <row r="721">
          <cell r="B721">
            <v>911</v>
          </cell>
          <cell r="C721" t="str">
            <v>クレジット認証更新日付</v>
          </cell>
          <cell r="K721" t="str">
            <v>CODT</v>
          </cell>
          <cell r="M721" t="str">
            <v>S</v>
          </cell>
          <cell r="N721">
            <v>8</v>
          </cell>
          <cell r="O721" t="str">
            <v/>
          </cell>
          <cell r="Q721" t="str">
            <v xml:space="preserve"> </v>
          </cell>
        </row>
        <row r="722">
          <cell r="B722">
            <v>912</v>
          </cell>
          <cell r="C722" t="str">
            <v>通知書発行日付</v>
          </cell>
          <cell r="K722" t="str">
            <v>THDT</v>
          </cell>
          <cell r="M722" t="str">
            <v>S</v>
          </cell>
          <cell r="N722">
            <v>8</v>
          </cell>
          <cell r="O722" t="str">
            <v/>
          </cell>
          <cell r="Q722" t="str">
            <v xml:space="preserve"> </v>
          </cell>
        </row>
        <row r="723">
          <cell r="B723">
            <v>913</v>
          </cell>
          <cell r="C723" t="str">
            <v>更新前利用者状況区分</v>
          </cell>
          <cell r="K723" t="str">
            <v>KRJK</v>
          </cell>
          <cell r="M723" t="str">
            <v>A</v>
          </cell>
          <cell r="N723">
            <v>2</v>
          </cell>
          <cell r="O723" t="str">
            <v/>
          </cell>
          <cell r="Q723" t="str">
            <v>更新前の利用者状況区分</v>
          </cell>
        </row>
        <row r="724">
          <cell r="B724">
            <v>914</v>
          </cell>
          <cell r="C724" t="str">
            <v>利用者異動申請№</v>
          </cell>
          <cell r="K724" t="str">
            <v>RION</v>
          </cell>
          <cell r="M724" t="str">
            <v>A</v>
          </cell>
          <cell r="N724">
            <v>9</v>
          </cell>
          <cell r="O724" t="str">
            <v/>
          </cell>
          <cell r="Q724" t="str">
            <v>利用者異動した時の申請№</v>
          </cell>
        </row>
        <row r="725">
          <cell r="B725">
            <v>915</v>
          </cell>
          <cell r="C725" t="str">
            <v>利用者異動申請№枝番</v>
          </cell>
          <cell r="K725" t="str">
            <v>RISE</v>
          </cell>
          <cell r="M725" t="str">
            <v>A</v>
          </cell>
          <cell r="N725">
            <v>1</v>
          </cell>
          <cell r="O725" t="str">
            <v/>
          </cell>
          <cell r="Q725" t="str">
            <v>利用者異動した時の申請№枝番</v>
          </cell>
        </row>
        <row r="726">
          <cell r="B726">
            <v>916</v>
          </cell>
          <cell r="C726" t="str">
            <v>利用者解除申請№</v>
          </cell>
          <cell r="K726" t="str">
            <v>RKSN</v>
          </cell>
          <cell r="M726" t="str">
            <v>A</v>
          </cell>
          <cell r="N726">
            <v>9</v>
          </cell>
          <cell r="O726" t="str">
            <v/>
          </cell>
          <cell r="Q726" t="str">
            <v>利用者異動解除した時の申請№</v>
          </cell>
        </row>
        <row r="727">
          <cell r="B727">
            <v>917</v>
          </cell>
          <cell r="C727" t="str">
            <v>ファイル名（フルーパス）</v>
          </cell>
          <cell r="K727" t="str">
            <v>FINMFP</v>
          </cell>
          <cell r="L727" t="str">
            <v>FINMFP</v>
          </cell>
          <cell r="M727" t="str">
            <v>C</v>
          </cell>
          <cell r="N727" t="str">
            <v>-</v>
          </cell>
          <cell r="O727" t="str">
            <v/>
          </cell>
          <cell r="Q727" t="str">
            <v xml:space="preserve"> </v>
          </cell>
        </row>
        <row r="728">
          <cell r="B728">
            <v>918</v>
          </cell>
          <cell r="C728" t="str">
            <v>市区町村コード</v>
          </cell>
          <cell r="K728" t="str">
            <v>SKCC</v>
          </cell>
          <cell r="M728" t="str">
            <v>A</v>
          </cell>
          <cell r="N728">
            <v>3</v>
          </cell>
          <cell r="Q728" t="str">
            <v>市区町村コード（ＪＩＳコード）</v>
          </cell>
        </row>
        <row r="729">
          <cell r="B729">
            <v>919</v>
          </cell>
          <cell r="C729" t="str">
            <v>大字・通称コード</v>
          </cell>
          <cell r="K729" t="str">
            <v>OOTC</v>
          </cell>
          <cell r="M729" t="str">
            <v>A</v>
          </cell>
          <cell r="N729">
            <v>3</v>
          </cell>
          <cell r="O729" t="str">
            <v/>
          </cell>
          <cell r="Q729" t="str">
            <v>大字・通称コード</v>
          </cell>
        </row>
        <row r="730">
          <cell r="B730">
            <v>920</v>
          </cell>
          <cell r="C730" t="str">
            <v>字・丁目コード</v>
          </cell>
          <cell r="K730" t="str">
            <v>ACMC</v>
          </cell>
          <cell r="M730" t="str">
            <v>A</v>
          </cell>
          <cell r="N730">
            <v>3</v>
          </cell>
          <cell r="O730" t="str">
            <v/>
          </cell>
          <cell r="Q730" t="str">
            <v>字・丁目コード</v>
          </cell>
        </row>
        <row r="731">
          <cell r="B731">
            <v>921</v>
          </cell>
          <cell r="C731" t="str">
            <v>新都道府県コード</v>
          </cell>
          <cell r="K731" t="str">
            <v>NTDC</v>
          </cell>
          <cell r="M731" t="str">
            <v>A</v>
          </cell>
          <cell r="N731">
            <v>2</v>
          </cell>
          <cell r="Q731" t="str">
            <v>新都道府県コード（ＪＩＳコード）</v>
          </cell>
        </row>
        <row r="732">
          <cell r="B732">
            <v>922</v>
          </cell>
          <cell r="C732" t="str">
            <v>新市区町村コード</v>
          </cell>
          <cell r="K732" t="str">
            <v>NSKC</v>
          </cell>
          <cell r="M732" t="str">
            <v>A</v>
          </cell>
          <cell r="N732">
            <v>3</v>
          </cell>
          <cell r="Q732" t="str">
            <v>新市区町村コード（ＪＩＳコード）</v>
          </cell>
        </row>
        <row r="733">
          <cell r="B733">
            <v>923</v>
          </cell>
          <cell r="C733" t="str">
            <v>新大字・通称コード</v>
          </cell>
          <cell r="K733" t="str">
            <v>NOTC</v>
          </cell>
          <cell r="M733" t="str">
            <v>A</v>
          </cell>
          <cell r="N733">
            <v>3</v>
          </cell>
          <cell r="Q733" t="str">
            <v>新大字・通称コード</v>
          </cell>
        </row>
        <row r="734">
          <cell r="B734">
            <v>924</v>
          </cell>
          <cell r="C734" t="str">
            <v>新字・丁目コード</v>
          </cell>
          <cell r="K734" t="str">
            <v>NACC</v>
          </cell>
          <cell r="M734" t="str">
            <v>A</v>
          </cell>
          <cell r="N734">
            <v>3</v>
          </cell>
          <cell r="Q734" t="str">
            <v>新字・丁目コード</v>
          </cell>
        </row>
        <row r="735">
          <cell r="B735">
            <v>925</v>
          </cell>
          <cell r="C735" t="str">
            <v>郵便番号個数</v>
          </cell>
          <cell r="K735" t="str">
            <v>YUBK</v>
          </cell>
          <cell r="M735" t="str">
            <v>A</v>
          </cell>
          <cell r="N735">
            <v>1</v>
          </cell>
          <cell r="Q735" t="str">
            <v>郵便番号個数</v>
          </cell>
        </row>
        <row r="736">
          <cell r="B736">
            <v>926</v>
          </cell>
          <cell r="C736" t="str">
            <v>政令指定都市フラグ</v>
          </cell>
          <cell r="K736" t="str">
            <v>SSTF</v>
          </cell>
          <cell r="M736" t="str">
            <v>A</v>
          </cell>
          <cell r="N736">
            <v>1</v>
          </cell>
          <cell r="Q736" t="str">
            <v>１：属す、０：属さない</v>
          </cell>
        </row>
        <row r="737">
          <cell r="B737">
            <v>927</v>
          </cell>
          <cell r="C737" t="str">
            <v>カナ都道府県名</v>
          </cell>
          <cell r="K737" t="str">
            <v>KTDN</v>
          </cell>
          <cell r="M737" t="str">
            <v>A</v>
          </cell>
          <cell r="N737">
            <v>8</v>
          </cell>
          <cell r="Q737" t="str">
            <v>カナ都道府県名</v>
          </cell>
        </row>
        <row r="738">
          <cell r="B738">
            <v>928</v>
          </cell>
          <cell r="C738" t="str">
            <v>カナ市区郡町村名</v>
          </cell>
          <cell r="K738" t="str">
            <v>KSKN</v>
          </cell>
          <cell r="M738" t="str">
            <v>A</v>
          </cell>
          <cell r="N738">
            <v>24</v>
          </cell>
          <cell r="Q738" t="str">
            <v>カナ市区郡町村名</v>
          </cell>
        </row>
        <row r="739">
          <cell r="B739">
            <v>929</v>
          </cell>
          <cell r="C739" t="str">
            <v>カナ大字・通称名</v>
          </cell>
          <cell r="K739" t="str">
            <v>KOTN</v>
          </cell>
          <cell r="M739" t="str">
            <v>A</v>
          </cell>
          <cell r="N739">
            <v>32</v>
          </cell>
          <cell r="Q739" t="str">
            <v>カナ大字・通称名</v>
          </cell>
        </row>
        <row r="740">
          <cell r="B740">
            <v>930</v>
          </cell>
          <cell r="C740" t="str">
            <v>カナ字名・丁目</v>
          </cell>
          <cell r="K740" t="str">
            <v>KACN</v>
          </cell>
          <cell r="M740" t="str">
            <v>A</v>
          </cell>
          <cell r="N740">
            <v>32</v>
          </cell>
          <cell r="Q740" t="str">
            <v>カナ字名・丁目</v>
          </cell>
        </row>
        <row r="741">
          <cell r="B741">
            <v>931</v>
          </cell>
          <cell r="C741" t="str">
            <v>漢字都道府県名</v>
          </cell>
          <cell r="K741" t="str">
            <v>JTDN</v>
          </cell>
          <cell r="M741" t="str">
            <v>O</v>
          </cell>
          <cell r="N741">
            <v>10</v>
          </cell>
          <cell r="Q741" t="str">
            <v>漢字都道府県名</v>
          </cell>
        </row>
        <row r="742">
          <cell r="B742">
            <v>932</v>
          </cell>
          <cell r="C742" t="str">
            <v>漢字市区郡町村名</v>
          </cell>
          <cell r="K742" t="str">
            <v>JSCN</v>
          </cell>
          <cell r="M742" t="str">
            <v>O</v>
          </cell>
          <cell r="N742">
            <v>26</v>
          </cell>
          <cell r="Q742" t="str">
            <v>漢字市区郡町村名</v>
          </cell>
        </row>
        <row r="743">
          <cell r="B743">
            <v>933</v>
          </cell>
          <cell r="C743" t="str">
            <v>漢字大字・通称名</v>
          </cell>
          <cell r="K743" t="str">
            <v>JOTN</v>
          </cell>
          <cell r="M743" t="str">
            <v>O</v>
          </cell>
          <cell r="N743">
            <v>38</v>
          </cell>
          <cell r="Q743" t="str">
            <v>漢字大字・通称名</v>
          </cell>
        </row>
        <row r="744">
          <cell r="B744">
            <v>934</v>
          </cell>
          <cell r="C744" t="str">
            <v>漢字字名・丁目</v>
          </cell>
          <cell r="K744" t="str">
            <v>JOCN</v>
          </cell>
          <cell r="M744" t="str">
            <v>O</v>
          </cell>
          <cell r="N744">
            <v>38</v>
          </cell>
          <cell r="Q744" t="str">
            <v>漢字字名・丁目</v>
          </cell>
        </row>
        <row r="745">
          <cell r="B745">
            <v>935</v>
          </cell>
          <cell r="C745" t="str">
            <v>都道府県名外字フラグ</v>
          </cell>
          <cell r="K745" t="str">
            <v>TDGF</v>
          </cell>
          <cell r="M745" t="str">
            <v>A</v>
          </cell>
          <cell r="N745">
            <v>1</v>
          </cell>
          <cell r="Q745" t="str">
            <v>１：ＪＩＳ第一、第二のみ、２：ＪＩＳ以外を含む、０：文字なし</v>
          </cell>
        </row>
        <row r="746">
          <cell r="B746">
            <v>936</v>
          </cell>
          <cell r="C746" t="str">
            <v>市区郡町村名外字フラグ</v>
          </cell>
          <cell r="K746" t="str">
            <v>SKGF</v>
          </cell>
          <cell r="M746" t="str">
            <v>A</v>
          </cell>
          <cell r="N746">
            <v>1</v>
          </cell>
          <cell r="Q746" t="str">
            <v>１：ＪＩＳ第一、第二のみ、２：ＪＩＳ以外を含む、０：文字なし</v>
          </cell>
        </row>
        <row r="747">
          <cell r="B747">
            <v>937</v>
          </cell>
          <cell r="C747" t="str">
            <v>大字・通称名外字フラグ</v>
          </cell>
          <cell r="K747" t="str">
            <v>OTGF</v>
          </cell>
          <cell r="M747" t="str">
            <v>A</v>
          </cell>
          <cell r="N747">
            <v>1</v>
          </cell>
          <cell r="Q747" t="str">
            <v>１：ＪＩＳ第一、第二のみ、２：ＪＩＳ以外を含む、０：文字なし</v>
          </cell>
        </row>
        <row r="748">
          <cell r="B748">
            <v>938</v>
          </cell>
          <cell r="C748" t="str">
            <v>字名・丁目外字フラグ</v>
          </cell>
          <cell r="K748" t="str">
            <v>ACGF</v>
          </cell>
          <cell r="M748" t="str">
            <v>A</v>
          </cell>
          <cell r="N748">
            <v>1</v>
          </cell>
          <cell r="Q748" t="str">
            <v>１：ＪＩＳ第一、第二のみ、２：ＪＩＳ以外を含む、０：文字なし</v>
          </cell>
        </row>
        <row r="749">
          <cell r="B749">
            <v>939</v>
          </cell>
          <cell r="C749" t="str">
            <v>登録年月</v>
          </cell>
          <cell r="K749" t="str">
            <v>TRYM</v>
          </cell>
          <cell r="M749" t="str">
            <v>A</v>
          </cell>
          <cell r="N749">
            <v>6</v>
          </cell>
          <cell r="Q749" t="str">
            <v>登録年月</v>
          </cell>
        </row>
        <row r="750">
          <cell r="B750">
            <v>940</v>
          </cell>
          <cell r="C750" t="str">
            <v>廃止年月</v>
          </cell>
          <cell r="K750" t="str">
            <v>HSYM</v>
          </cell>
          <cell r="M750" t="str">
            <v>A</v>
          </cell>
          <cell r="N750">
            <v>6</v>
          </cell>
          <cell r="Q750" t="str">
            <v>廃止年月</v>
          </cell>
        </row>
        <row r="751">
          <cell r="B751">
            <v>941</v>
          </cell>
          <cell r="C751" t="str">
            <v>町名変更年月</v>
          </cell>
          <cell r="K751" t="str">
            <v>CHYM</v>
          </cell>
          <cell r="M751" t="str">
            <v>A</v>
          </cell>
          <cell r="N751">
            <v>6</v>
          </cell>
          <cell r="Q751" t="str">
            <v>町名変更年月</v>
          </cell>
        </row>
        <row r="752">
          <cell r="B752">
            <v>942</v>
          </cell>
          <cell r="C752" t="str">
            <v>郵便番号変更年月</v>
          </cell>
          <cell r="K752" t="str">
            <v>YHYM</v>
          </cell>
          <cell r="M752" t="str">
            <v>A</v>
          </cell>
          <cell r="N752">
            <v>6</v>
          </cell>
          <cell r="Q752" t="str">
            <v>郵便番号変更年月</v>
          </cell>
        </row>
        <row r="753">
          <cell r="B753">
            <v>943</v>
          </cell>
          <cell r="C753" t="str">
            <v>住居表示実施年月</v>
          </cell>
          <cell r="K753" t="str">
            <v>JHYM</v>
          </cell>
          <cell r="M753" t="str">
            <v>A</v>
          </cell>
          <cell r="N753">
            <v>6</v>
          </cell>
          <cell r="Q753" t="str">
            <v>住居表示実施年月</v>
          </cell>
        </row>
        <row r="754">
          <cell r="B754">
            <v>944</v>
          </cell>
          <cell r="C754" t="str">
            <v>住居表示実施フラグ</v>
          </cell>
          <cell r="K754" t="str">
            <v>JHJF</v>
          </cell>
          <cell r="M754" t="str">
            <v>A</v>
          </cell>
          <cell r="N754">
            <v>1</v>
          </cell>
          <cell r="Q754" t="str">
            <v>１：実施している、０：実施していない</v>
          </cell>
        </row>
        <row r="755">
          <cell r="B755">
            <v>945</v>
          </cell>
          <cell r="C755" t="str">
            <v>レコード区分</v>
          </cell>
          <cell r="K755" t="str">
            <v>REKB</v>
          </cell>
          <cell r="M755" t="str">
            <v>A</v>
          </cell>
          <cell r="N755">
            <v>1</v>
          </cell>
          <cell r="Q755" t="str">
            <v>１：都道府県まで、２：市町村まで、３：区まで、９：丁目まで、０：完全</v>
          </cell>
        </row>
        <row r="756">
          <cell r="B756">
            <v>946</v>
          </cell>
          <cell r="C756" t="str">
            <v>通称名フラグ</v>
          </cell>
          <cell r="K756" t="str">
            <v>TSNF</v>
          </cell>
          <cell r="M756" t="str">
            <v>A</v>
          </cell>
          <cell r="N756">
            <v>1</v>
          </cell>
          <cell r="Q756" t="str">
            <v>１：通称名である、０：通称名でない</v>
          </cell>
        </row>
        <row r="757">
          <cell r="B757">
            <v>947</v>
          </cell>
          <cell r="C757" t="str">
            <v>通り名フラグ</v>
          </cell>
          <cell r="K757" t="str">
            <v>TRNF</v>
          </cell>
          <cell r="M757" t="str">
            <v>A</v>
          </cell>
          <cell r="N757">
            <v>1</v>
          </cell>
          <cell r="Q757" t="str">
            <v>１：通り名を持つ、０：通り名を持たない</v>
          </cell>
        </row>
        <row r="758">
          <cell r="B758">
            <v>948</v>
          </cell>
          <cell r="C758" t="str">
            <v>大字・宇フラグ１</v>
          </cell>
          <cell r="K758" t="str">
            <v>OAF1</v>
          </cell>
          <cell r="M758" t="str">
            <v>A</v>
          </cell>
          <cell r="N758">
            <v>1</v>
          </cell>
          <cell r="Q758" t="str">
            <v>１：大字、２：字、３：小字、０：冠なし</v>
          </cell>
        </row>
        <row r="759">
          <cell r="B759">
            <v>949</v>
          </cell>
          <cell r="C759" t="str">
            <v>大字・宇フラグ２</v>
          </cell>
          <cell r="K759" t="str">
            <v>OAF2</v>
          </cell>
          <cell r="M759" t="str">
            <v>A</v>
          </cell>
          <cell r="N759">
            <v>1</v>
          </cell>
          <cell r="Q759" t="str">
            <v>１：大字、２：字、３：小字、０：冠なし</v>
          </cell>
        </row>
        <row r="760">
          <cell r="B760">
            <v>950</v>
          </cell>
          <cell r="C760" t="str">
            <v>新郵便番号</v>
          </cell>
          <cell r="K760" t="str">
            <v>NYBG</v>
          </cell>
          <cell r="M760" t="str">
            <v>A</v>
          </cell>
          <cell r="N760">
            <v>8</v>
          </cell>
          <cell r="Q760" t="str">
            <v>新郵便番号</v>
          </cell>
        </row>
        <row r="761">
          <cell r="B761">
            <v>951</v>
          </cell>
          <cell r="C761" t="str">
            <v>修正コード</v>
          </cell>
          <cell r="K761" t="str">
            <v>SSIC</v>
          </cell>
          <cell r="M761" t="str">
            <v>A</v>
          </cell>
          <cell r="N761">
            <v>1</v>
          </cell>
          <cell r="Q761" t="str">
            <v>１：新規、２：修正、３：廃止、５：復活、０：変更なし</v>
          </cell>
        </row>
        <row r="765">
          <cell r="C765" t="str">
            <v>インターネット使用区分</v>
          </cell>
          <cell r="K765" t="str">
            <v>INSK</v>
          </cell>
          <cell r="M765" t="str">
            <v>A</v>
          </cell>
          <cell r="N765">
            <v>1</v>
          </cell>
          <cell r="O765" t="str">
            <v/>
          </cell>
          <cell r="Q765" t="str">
            <v>インターネット使用の制御用</v>
          </cell>
        </row>
      </sheetData>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interfaces"/>
      <sheetName val="Sheet2"/>
      <sheetName val="ゆらぎ"/>
    </sheetNames>
    <sheetDataSet>
      <sheetData sheetId="0" refreshError="1"/>
      <sheetData sheetId="1" refreshError="1"/>
      <sheetData sheetId="2" refreshError="1"/>
      <sheetData sheetId="3">
        <row r="2">
          <cell r="A2" t="str">
            <v>要確認</v>
          </cell>
          <cell r="B2" t="str">
            <v>日次</v>
          </cell>
        </row>
        <row r="3">
          <cell r="A3" t="str">
            <v>HTTP</v>
          </cell>
          <cell r="B3" t="str">
            <v>月次</v>
          </cell>
        </row>
        <row r="4">
          <cell r="A4" t="str">
            <v>MQ</v>
          </cell>
          <cell r="B4" t="str">
            <v>随時</v>
          </cell>
        </row>
        <row r="5">
          <cell r="A5" t="str">
            <v>HULFT</v>
          </cell>
          <cell r="B5" t="str">
            <v>年次</v>
          </cell>
        </row>
        <row r="6">
          <cell r="A6" t="str">
            <v>NisMail</v>
          </cell>
          <cell r="B6" t="str">
            <v>要確認</v>
          </cell>
        </row>
        <row r="7">
          <cell r="A7" t="str">
            <v>FTP</v>
          </cell>
        </row>
      </sheetData>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77EB-B7B4-4B4B-809D-EB4D4303DC8E}">
  <dimension ref="B1:AU27"/>
  <sheetViews>
    <sheetView showGridLines="0" zoomScale="115" zoomScaleNormal="115" workbookViewId="0">
      <pane xSplit="23" ySplit="2" topLeftCell="X3" activePane="bottomRight" state="frozen"/>
      <selection pane="topRight" activeCell="X1" sqref="X1"/>
      <selection pane="bottomLeft" activeCell="A3" sqref="A3"/>
      <selection pane="bottomRight" activeCell="F2" sqref="F2"/>
    </sheetView>
  </sheetViews>
  <sheetFormatPr defaultColWidth="2.75" defaultRowHeight="18" x14ac:dyDescent="0.55000000000000004"/>
  <cols>
    <col min="15" max="16" width="0" hidden="1" customWidth="1"/>
    <col min="17" max="17" width="3.33203125" hidden="1" customWidth="1"/>
    <col min="18" max="18" width="5.33203125" bestFit="1" customWidth="1"/>
    <col min="20" max="20" width="3.33203125" bestFit="1" customWidth="1"/>
    <col min="23" max="23" width="3.33203125" bestFit="1" customWidth="1"/>
    <col min="24" max="47" width="6.75" bestFit="1" customWidth="1"/>
    <col min="48" max="48" width="3.75" bestFit="1" customWidth="1"/>
  </cols>
  <sheetData>
    <row r="1" spans="2:47" x14ac:dyDescent="0.55000000000000004">
      <c r="R1" s="12" t="s">
        <v>241</v>
      </c>
      <c r="S1" s="12"/>
      <c r="T1" s="12"/>
      <c r="U1" s="12"/>
      <c r="V1" s="12"/>
      <c r="W1" s="12"/>
      <c r="X1" s="12">
        <v>4</v>
      </c>
      <c r="Y1" s="12"/>
      <c r="Z1" s="12"/>
      <c r="AA1" s="12"/>
      <c r="AB1" s="12"/>
      <c r="AC1" s="12"/>
      <c r="AD1" s="12"/>
      <c r="AE1" s="12"/>
      <c r="AF1" s="12">
        <v>5</v>
      </c>
      <c r="AG1" s="12"/>
      <c r="AH1" s="12"/>
      <c r="AI1" s="12"/>
      <c r="AJ1" s="12"/>
      <c r="AK1" s="12"/>
      <c r="AL1" s="12"/>
      <c r="AM1" s="12"/>
      <c r="AN1" s="12">
        <v>6</v>
      </c>
      <c r="AO1" s="12"/>
      <c r="AP1" s="12"/>
      <c r="AQ1" s="12"/>
      <c r="AR1" s="12"/>
      <c r="AS1" s="12"/>
      <c r="AT1" s="12"/>
      <c r="AU1" s="12"/>
    </row>
    <row r="2" spans="2:47" x14ac:dyDescent="0.55000000000000004">
      <c r="O2" s="12" t="s">
        <v>20</v>
      </c>
      <c r="P2" s="12"/>
      <c r="Q2" s="12"/>
      <c r="R2" s="12" t="s">
        <v>21</v>
      </c>
      <c r="S2" s="12"/>
      <c r="T2" s="12"/>
      <c r="U2" s="12" t="s">
        <v>22</v>
      </c>
      <c r="V2" s="12"/>
      <c r="W2" s="12"/>
      <c r="X2" s="13" t="s">
        <v>2</v>
      </c>
      <c r="Y2" s="15"/>
      <c r="Z2" s="13" t="s">
        <v>3</v>
      </c>
      <c r="AA2" s="15"/>
      <c r="AB2" s="13" t="s">
        <v>4</v>
      </c>
      <c r="AC2" s="15"/>
      <c r="AD2" s="13" t="s">
        <v>5</v>
      </c>
      <c r="AE2" s="15"/>
      <c r="AF2" s="13" t="s">
        <v>2</v>
      </c>
      <c r="AG2" s="15"/>
      <c r="AH2" s="13" t="s">
        <v>3</v>
      </c>
      <c r="AI2" s="15"/>
      <c r="AJ2" s="13" t="s">
        <v>4</v>
      </c>
      <c r="AK2" s="15"/>
      <c r="AL2" s="13" t="s">
        <v>5</v>
      </c>
      <c r="AM2" s="15"/>
      <c r="AN2" s="13" t="s">
        <v>2</v>
      </c>
      <c r="AO2" s="15"/>
      <c r="AP2" s="13" t="s">
        <v>3</v>
      </c>
      <c r="AQ2" s="15"/>
      <c r="AR2" s="13" t="s">
        <v>4</v>
      </c>
      <c r="AS2" s="15"/>
      <c r="AT2" s="13" t="s">
        <v>5</v>
      </c>
      <c r="AU2" s="15"/>
    </row>
    <row r="3" spans="2:47" x14ac:dyDescent="0.55000000000000004">
      <c r="B3" s="13" t="s">
        <v>18</v>
      </c>
      <c r="C3" s="14"/>
      <c r="D3" s="15"/>
      <c r="E3" s="12" t="s">
        <v>0</v>
      </c>
      <c r="F3" s="12"/>
      <c r="G3" s="12"/>
      <c r="H3" s="12"/>
      <c r="I3" s="12"/>
      <c r="J3" s="12"/>
      <c r="K3" s="12"/>
      <c r="L3" s="12"/>
      <c r="M3" s="12"/>
      <c r="N3" s="12"/>
      <c r="O3" s="12">
        <v>32</v>
      </c>
      <c r="P3" s="12"/>
      <c r="Q3" s="12"/>
      <c r="R3" s="12">
        <v>42</v>
      </c>
      <c r="S3" s="12"/>
      <c r="T3" s="12"/>
      <c r="U3" s="12">
        <v>21</v>
      </c>
      <c r="V3" s="12"/>
      <c r="W3" s="12"/>
      <c r="X3" s="1"/>
      <c r="Y3" s="1"/>
      <c r="Z3" s="3"/>
      <c r="AA3" s="3"/>
      <c r="AB3" s="3"/>
      <c r="AC3" s="3"/>
      <c r="AD3" s="3"/>
      <c r="AE3" s="3"/>
      <c r="AF3" s="3"/>
      <c r="AG3" s="3"/>
      <c r="AH3" s="3"/>
      <c r="AI3" s="3"/>
      <c r="AJ3" s="3"/>
      <c r="AK3" s="3"/>
      <c r="AL3" s="3"/>
      <c r="AM3" s="3"/>
      <c r="AN3" s="3"/>
      <c r="AO3" s="3"/>
      <c r="AP3" s="3"/>
      <c r="AQ3" s="3"/>
      <c r="AR3" s="3"/>
      <c r="AS3" s="3"/>
      <c r="AT3" s="3"/>
      <c r="AU3" s="3"/>
    </row>
    <row r="4" spans="2:47" x14ac:dyDescent="0.55000000000000004">
      <c r="B4" s="13" t="s">
        <v>18</v>
      </c>
      <c r="C4" s="14"/>
      <c r="D4" s="15"/>
      <c r="E4" s="12" t="s">
        <v>6</v>
      </c>
      <c r="F4" s="12"/>
      <c r="G4" s="12"/>
      <c r="H4" s="12"/>
      <c r="I4" s="12"/>
      <c r="J4" s="12"/>
      <c r="K4" s="12"/>
      <c r="L4" s="12"/>
      <c r="M4" s="12"/>
      <c r="N4" s="12"/>
      <c r="O4" s="12">
        <v>14</v>
      </c>
      <c r="P4" s="12"/>
      <c r="Q4" s="12"/>
      <c r="R4" s="12">
        <v>18</v>
      </c>
      <c r="S4" s="12"/>
      <c r="T4" s="12"/>
      <c r="U4" s="12">
        <v>10</v>
      </c>
      <c r="V4" s="12"/>
      <c r="W4" s="12"/>
      <c r="X4" s="3"/>
      <c r="Y4" s="3"/>
      <c r="Z4" s="3"/>
      <c r="AA4" s="3"/>
      <c r="AB4" s="3"/>
      <c r="AC4" s="3"/>
      <c r="AD4" s="3"/>
      <c r="AE4" s="3"/>
      <c r="AF4" s="1"/>
      <c r="AG4" s="1"/>
      <c r="AH4" s="1"/>
      <c r="AI4" s="1"/>
      <c r="AJ4" s="1"/>
      <c r="AK4" s="1"/>
      <c r="AL4" s="1"/>
      <c r="AM4" s="1"/>
      <c r="AN4" s="1"/>
      <c r="AO4" s="1"/>
      <c r="AP4" s="1"/>
      <c r="AQ4" s="1"/>
      <c r="AR4" s="1"/>
      <c r="AS4" s="1"/>
      <c r="AT4" s="1"/>
      <c r="AU4" s="1"/>
    </row>
    <row r="5" spans="2:47" x14ac:dyDescent="0.55000000000000004">
      <c r="B5" s="13" t="s">
        <v>19</v>
      </c>
      <c r="C5" s="14"/>
      <c r="D5" s="15"/>
      <c r="E5" s="12" t="s">
        <v>7</v>
      </c>
      <c r="F5" s="12"/>
      <c r="G5" s="12"/>
      <c r="H5" s="12"/>
      <c r="I5" s="12"/>
      <c r="J5" s="12"/>
      <c r="K5" s="12"/>
      <c r="L5" s="12"/>
      <c r="M5" s="12"/>
      <c r="N5" s="12"/>
      <c r="O5" s="12">
        <v>39</v>
      </c>
      <c r="P5" s="12"/>
      <c r="Q5" s="12"/>
      <c r="R5" s="12">
        <v>44</v>
      </c>
      <c r="S5" s="12"/>
      <c r="T5" s="12"/>
      <c r="U5" s="12">
        <v>23</v>
      </c>
      <c r="V5" s="12"/>
      <c r="W5" s="12"/>
      <c r="X5" s="1"/>
      <c r="Y5" s="1"/>
      <c r="Z5" s="1"/>
      <c r="AA5" s="1"/>
      <c r="AB5" s="1"/>
      <c r="AC5" s="1"/>
      <c r="AD5" s="2"/>
      <c r="AE5" s="2"/>
      <c r="AF5" s="2"/>
      <c r="AG5" s="2"/>
      <c r="AH5" s="2"/>
      <c r="AI5" s="2"/>
      <c r="AJ5" s="2"/>
      <c r="AK5" s="2"/>
      <c r="AL5" s="2"/>
      <c r="AM5" s="2"/>
      <c r="AN5" s="2"/>
      <c r="AO5" s="2"/>
      <c r="AP5" s="2"/>
      <c r="AQ5" s="2"/>
      <c r="AR5" s="2"/>
      <c r="AS5" s="2"/>
      <c r="AT5" s="2"/>
      <c r="AU5" s="2"/>
    </row>
    <row r="6" spans="2:47" x14ac:dyDescent="0.55000000000000004">
      <c r="B6" s="13" t="s">
        <v>19</v>
      </c>
      <c r="C6" s="14"/>
      <c r="D6" s="15"/>
      <c r="E6" s="12" t="s">
        <v>8</v>
      </c>
      <c r="F6" s="12"/>
      <c r="G6" s="12"/>
      <c r="H6" s="12"/>
      <c r="I6" s="12"/>
      <c r="J6" s="12"/>
      <c r="K6" s="12"/>
      <c r="L6" s="12"/>
      <c r="M6" s="12"/>
      <c r="N6" s="12"/>
      <c r="O6" s="12">
        <v>53</v>
      </c>
      <c r="P6" s="12"/>
      <c r="Q6" s="12"/>
      <c r="R6" s="12">
        <v>62</v>
      </c>
      <c r="S6" s="12"/>
      <c r="T6" s="12"/>
      <c r="U6" s="12">
        <v>32</v>
      </c>
      <c r="V6" s="12"/>
      <c r="W6" s="12"/>
      <c r="X6" s="2"/>
      <c r="Y6" s="2"/>
      <c r="Z6" s="2"/>
      <c r="AA6" s="2"/>
      <c r="AB6" s="2"/>
      <c r="AC6" s="2"/>
      <c r="AD6" s="2"/>
      <c r="AE6" s="2"/>
      <c r="AF6" s="2"/>
      <c r="AG6" s="2"/>
      <c r="AH6" s="2"/>
      <c r="AI6" s="2"/>
      <c r="AJ6" s="2"/>
      <c r="AK6" s="2"/>
      <c r="AL6" s="2"/>
      <c r="AM6" s="2"/>
      <c r="AN6" s="2"/>
      <c r="AO6" s="2"/>
      <c r="AP6" s="2"/>
      <c r="AQ6" s="2"/>
      <c r="AR6" s="2"/>
      <c r="AS6" s="2"/>
      <c r="AT6" s="2"/>
      <c r="AU6" s="2"/>
    </row>
    <row r="7" spans="2:47" x14ac:dyDescent="0.55000000000000004">
      <c r="B7" s="13" t="s">
        <v>19</v>
      </c>
      <c r="C7" s="14"/>
      <c r="D7" s="15"/>
      <c r="E7" s="12" t="s">
        <v>23</v>
      </c>
      <c r="F7" s="12"/>
      <c r="G7" s="12"/>
      <c r="H7" s="12"/>
      <c r="I7" s="12"/>
      <c r="J7" s="12"/>
      <c r="K7" s="12"/>
      <c r="L7" s="12"/>
      <c r="M7" s="12"/>
      <c r="N7" s="12"/>
      <c r="O7" s="12">
        <v>51</v>
      </c>
      <c r="P7" s="12"/>
      <c r="Q7" s="12"/>
      <c r="R7" s="12">
        <v>68</v>
      </c>
      <c r="S7" s="12"/>
      <c r="T7" s="12"/>
      <c r="U7" s="12">
        <v>34</v>
      </c>
      <c r="V7" s="12"/>
      <c r="W7" s="12"/>
      <c r="X7" s="2"/>
      <c r="Y7" s="2"/>
      <c r="Z7" s="2"/>
      <c r="AA7" s="2"/>
      <c r="AB7" s="2"/>
      <c r="AC7" s="2"/>
      <c r="AD7" s="2"/>
      <c r="AE7" s="2"/>
      <c r="AF7" s="2"/>
      <c r="AG7" s="2"/>
      <c r="AH7" s="2"/>
      <c r="AI7" s="2"/>
      <c r="AJ7" s="2"/>
      <c r="AK7" s="2"/>
      <c r="AL7" s="2"/>
      <c r="AM7" s="2"/>
      <c r="AN7" s="2"/>
      <c r="AO7" s="2"/>
      <c r="AP7" s="2"/>
      <c r="AQ7" s="2"/>
      <c r="AR7" s="2"/>
      <c r="AS7" s="2"/>
      <c r="AT7" s="2"/>
      <c r="AU7" s="2"/>
    </row>
    <row r="8" spans="2:47" x14ac:dyDescent="0.55000000000000004">
      <c r="B8" s="13" t="s">
        <v>19</v>
      </c>
      <c r="C8" s="14"/>
      <c r="D8" s="15"/>
      <c r="E8" s="12" t="s">
        <v>23</v>
      </c>
      <c r="F8" s="12"/>
      <c r="G8" s="12"/>
      <c r="H8" s="12"/>
      <c r="I8" s="12"/>
      <c r="J8" s="12"/>
      <c r="K8" s="12"/>
      <c r="L8" s="12"/>
      <c r="M8" s="12"/>
      <c r="N8" s="12"/>
      <c r="O8" s="12"/>
      <c r="P8" s="12"/>
      <c r="Q8" s="12"/>
      <c r="R8" s="12"/>
      <c r="S8" s="12"/>
      <c r="T8" s="12"/>
      <c r="U8" s="12"/>
      <c r="V8" s="12"/>
      <c r="W8" s="12"/>
      <c r="X8" s="1"/>
      <c r="Y8" s="1"/>
      <c r="Z8" s="1"/>
      <c r="AA8" s="1"/>
      <c r="AB8" s="1"/>
      <c r="AC8" s="1"/>
      <c r="AD8" s="1"/>
      <c r="AE8" s="1"/>
      <c r="AF8" s="1"/>
      <c r="AG8" s="1"/>
      <c r="AH8" s="1"/>
      <c r="AI8" s="1"/>
      <c r="AJ8" s="1"/>
      <c r="AK8" s="1"/>
      <c r="AL8" s="1"/>
      <c r="AM8" s="1"/>
      <c r="AN8" s="1"/>
      <c r="AO8" s="2"/>
      <c r="AP8" s="2"/>
      <c r="AQ8" s="2"/>
      <c r="AR8" s="2"/>
      <c r="AS8" s="2"/>
      <c r="AT8" s="2"/>
      <c r="AU8" s="2"/>
    </row>
    <row r="9" spans="2:47" x14ac:dyDescent="0.55000000000000004">
      <c r="B9" s="13" t="s">
        <v>19</v>
      </c>
      <c r="C9" s="14"/>
      <c r="D9" s="15"/>
      <c r="E9" s="12" t="s">
        <v>12</v>
      </c>
      <c r="F9" s="12"/>
      <c r="G9" s="12"/>
      <c r="H9" s="12"/>
      <c r="I9" s="12"/>
      <c r="J9" s="12"/>
      <c r="K9" s="12"/>
      <c r="L9" s="12"/>
      <c r="M9" s="12"/>
      <c r="N9" s="12"/>
      <c r="O9" s="12">
        <v>24</v>
      </c>
      <c r="P9" s="12"/>
      <c r="Q9" s="12"/>
      <c r="R9" s="12">
        <v>32</v>
      </c>
      <c r="S9" s="12"/>
      <c r="T9" s="12"/>
      <c r="U9" s="12">
        <v>16</v>
      </c>
      <c r="V9" s="12"/>
      <c r="W9" s="12"/>
      <c r="X9" s="1"/>
      <c r="Y9" s="1"/>
      <c r="Z9" s="1"/>
      <c r="AA9" s="1"/>
      <c r="AB9" s="1"/>
      <c r="AC9" s="1"/>
      <c r="AD9" s="1"/>
      <c r="AE9" s="1"/>
      <c r="AF9" s="1"/>
      <c r="AG9" s="1"/>
      <c r="AH9" s="1"/>
      <c r="AI9" s="2"/>
      <c r="AJ9" s="2"/>
      <c r="AK9" s="2"/>
      <c r="AL9" s="2"/>
      <c r="AM9" s="2"/>
      <c r="AN9" s="2"/>
      <c r="AO9" s="2"/>
      <c r="AP9" s="2"/>
      <c r="AQ9" s="2"/>
      <c r="AR9" s="1"/>
      <c r="AS9" s="1"/>
      <c r="AT9" s="1"/>
      <c r="AU9" s="1"/>
    </row>
    <row r="10" spans="2:47" x14ac:dyDescent="0.55000000000000004">
      <c r="B10" s="13" t="s">
        <v>18</v>
      </c>
      <c r="C10" s="14"/>
      <c r="D10" s="15"/>
      <c r="E10" s="12" t="s">
        <v>9</v>
      </c>
      <c r="F10" s="12"/>
      <c r="G10" s="12"/>
      <c r="H10" s="12"/>
      <c r="I10" s="12"/>
      <c r="J10" s="12"/>
      <c r="K10" s="12"/>
      <c r="L10" s="12"/>
      <c r="M10" s="12"/>
      <c r="N10" s="12"/>
      <c r="O10" s="12">
        <v>33</v>
      </c>
      <c r="P10" s="12"/>
      <c r="Q10" s="12"/>
      <c r="R10" s="12">
        <v>40</v>
      </c>
      <c r="S10" s="12"/>
      <c r="T10" s="12"/>
      <c r="U10" s="12">
        <v>21</v>
      </c>
      <c r="V10" s="12"/>
      <c r="W10" s="12"/>
      <c r="X10" s="3"/>
      <c r="Y10" s="3"/>
      <c r="Z10" s="3"/>
      <c r="AA10" s="3"/>
      <c r="AB10" s="3"/>
      <c r="AC10" s="3"/>
      <c r="AD10" s="3"/>
      <c r="AE10" s="3"/>
      <c r="AF10" s="3"/>
      <c r="AG10" s="3"/>
      <c r="AH10" s="3"/>
      <c r="AI10" s="3"/>
      <c r="AJ10" s="3"/>
      <c r="AK10" s="3"/>
      <c r="AL10" s="3"/>
      <c r="AM10" s="3"/>
      <c r="AN10" s="1"/>
      <c r="AO10" s="1"/>
      <c r="AP10" s="1"/>
      <c r="AQ10" s="1"/>
      <c r="AR10" s="1"/>
      <c r="AS10" s="1"/>
      <c r="AT10" s="1"/>
      <c r="AU10" s="1"/>
    </row>
    <row r="11" spans="2:47" x14ac:dyDescent="0.55000000000000004">
      <c r="B11" s="13" t="s">
        <v>18</v>
      </c>
      <c r="C11" s="14"/>
      <c r="D11" s="15"/>
      <c r="E11" s="12" t="s">
        <v>10</v>
      </c>
      <c r="F11" s="12"/>
      <c r="G11" s="12"/>
      <c r="H11" s="12"/>
      <c r="I11" s="12"/>
      <c r="J11" s="12"/>
      <c r="K11" s="12"/>
      <c r="L11" s="12"/>
      <c r="M11" s="12"/>
      <c r="N11" s="12"/>
      <c r="O11" s="12">
        <v>17</v>
      </c>
      <c r="P11" s="12"/>
      <c r="Q11" s="12"/>
      <c r="R11" s="12">
        <v>22</v>
      </c>
      <c r="S11" s="12"/>
      <c r="T11" s="12"/>
      <c r="U11" s="12">
        <v>11</v>
      </c>
      <c r="V11" s="12"/>
      <c r="W11" s="12"/>
      <c r="X11" s="1"/>
      <c r="Y11" s="1"/>
      <c r="Z11" s="1"/>
      <c r="AA11" s="1"/>
      <c r="AB11" s="1"/>
      <c r="AC11" s="1"/>
      <c r="AD11" s="1"/>
      <c r="AE11" s="1"/>
      <c r="AF11" s="3"/>
      <c r="AG11" s="3"/>
      <c r="AH11" s="3"/>
      <c r="AI11" s="3"/>
      <c r="AJ11" s="3"/>
      <c r="AK11" s="3"/>
      <c r="AL11" s="3"/>
      <c r="AM11" s="3"/>
      <c r="AN11" s="3"/>
      <c r="AO11" s="3"/>
      <c r="AP11" s="3"/>
      <c r="AQ11" s="3"/>
      <c r="AR11" s="3"/>
      <c r="AS11" s="3"/>
      <c r="AT11" s="3"/>
      <c r="AU11" s="3"/>
    </row>
    <row r="12" spans="2:47" x14ac:dyDescent="0.55000000000000004">
      <c r="B12" s="13" t="s">
        <v>18</v>
      </c>
      <c r="C12" s="14"/>
      <c r="D12" s="15"/>
      <c r="E12" s="12" t="s">
        <v>11</v>
      </c>
      <c r="F12" s="12"/>
      <c r="G12" s="12"/>
      <c r="H12" s="12"/>
      <c r="I12" s="12"/>
      <c r="J12" s="12"/>
      <c r="K12" s="12"/>
      <c r="L12" s="12"/>
      <c r="M12" s="12"/>
      <c r="N12" s="12"/>
      <c r="O12" s="12">
        <v>24</v>
      </c>
      <c r="P12" s="12"/>
      <c r="Q12" s="12"/>
      <c r="R12" s="12">
        <v>32</v>
      </c>
      <c r="S12" s="12"/>
      <c r="T12" s="12"/>
      <c r="U12" s="12">
        <v>16</v>
      </c>
      <c r="V12" s="12"/>
      <c r="W12" s="12"/>
      <c r="X12" s="3"/>
      <c r="Y12" s="3"/>
      <c r="Z12" s="3"/>
      <c r="AA12" s="3"/>
      <c r="AB12" s="3"/>
      <c r="AC12" s="3"/>
      <c r="AD12" s="3"/>
      <c r="AE12" s="3"/>
      <c r="AF12" s="3"/>
      <c r="AG12" s="3"/>
      <c r="AH12" s="3"/>
      <c r="AI12" s="3"/>
      <c r="AJ12" s="3"/>
      <c r="AK12" s="3"/>
      <c r="AL12" s="3"/>
      <c r="AM12" s="3"/>
      <c r="AN12" s="3"/>
      <c r="AO12" s="1"/>
      <c r="AP12" s="1"/>
      <c r="AQ12" s="1"/>
      <c r="AR12" s="1"/>
      <c r="AS12" s="1"/>
      <c r="AT12" s="1"/>
      <c r="AU12" s="1"/>
    </row>
    <row r="13" spans="2:47" x14ac:dyDescent="0.55000000000000004">
      <c r="B13" s="13" t="s">
        <v>18</v>
      </c>
      <c r="C13" s="14"/>
      <c r="D13" s="15"/>
      <c r="E13" s="12" t="s">
        <v>13</v>
      </c>
      <c r="F13" s="12"/>
      <c r="G13" s="12"/>
      <c r="H13" s="12"/>
      <c r="I13" s="12"/>
      <c r="J13" s="12"/>
      <c r="K13" s="12"/>
      <c r="L13" s="12"/>
      <c r="M13" s="12"/>
      <c r="N13" s="12"/>
      <c r="O13" s="12">
        <v>9</v>
      </c>
      <c r="P13" s="12"/>
      <c r="Q13" s="12"/>
      <c r="R13" s="12">
        <v>12</v>
      </c>
      <c r="S13" s="12"/>
      <c r="T13" s="12"/>
      <c r="U13" s="12">
        <v>6</v>
      </c>
      <c r="V13" s="12"/>
      <c r="W13" s="12"/>
      <c r="X13" s="1"/>
      <c r="Y13" s="1"/>
      <c r="Z13" s="3"/>
      <c r="AA13" s="3"/>
      <c r="AB13" s="3"/>
      <c r="AC13" s="3"/>
      <c r="AD13" s="3"/>
      <c r="AE13" s="3"/>
      <c r="AF13" s="1"/>
      <c r="AG13" s="1"/>
      <c r="AH13" s="1"/>
      <c r="AI13" s="1"/>
      <c r="AJ13" s="1"/>
      <c r="AK13" s="1"/>
      <c r="AL13" s="1"/>
      <c r="AM13" s="1"/>
      <c r="AN13" s="1"/>
      <c r="AO13" s="1"/>
      <c r="AP13" s="1"/>
      <c r="AQ13" s="1"/>
      <c r="AR13" s="1"/>
      <c r="AS13" s="1"/>
      <c r="AT13" s="1"/>
      <c r="AU13" s="1"/>
    </row>
    <row r="14" spans="2:47" x14ac:dyDescent="0.55000000000000004">
      <c r="B14" s="13" t="s">
        <v>18</v>
      </c>
      <c r="C14" s="14"/>
      <c r="D14" s="15"/>
      <c r="E14" s="12" t="s">
        <v>14</v>
      </c>
      <c r="F14" s="12"/>
      <c r="G14" s="12"/>
      <c r="H14" s="12"/>
      <c r="I14" s="12"/>
      <c r="J14" s="12"/>
      <c r="K14" s="12"/>
      <c r="L14" s="12"/>
      <c r="M14" s="12"/>
      <c r="N14" s="12"/>
      <c r="O14" s="12">
        <v>45</v>
      </c>
      <c r="P14" s="12"/>
      <c r="Q14" s="12"/>
      <c r="R14" s="12">
        <v>56</v>
      </c>
      <c r="S14" s="12"/>
      <c r="T14" s="12"/>
      <c r="U14" s="12">
        <v>29</v>
      </c>
      <c r="V14" s="12"/>
      <c r="W14" s="12"/>
      <c r="X14" s="3"/>
      <c r="Y14" s="3"/>
      <c r="Z14" s="1"/>
      <c r="AA14" s="1"/>
      <c r="AB14" s="3"/>
      <c r="AC14" s="3"/>
      <c r="AD14" s="3"/>
      <c r="AE14" s="3"/>
      <c r="AF14" s="3"/>
      <c r="AG14" s="3"/>
      <c r="AH14" s="3"/>
      <c r="AI14" s="3"/>
      <c r="AJ14" s="3"/>
      <c r="AK14" s="3"/>
      <c r="AL14" s="3"/>
      <c r="AM14" s="3"/>
      <c r="AN14" s="3"/>
      <c r="AO14" s="3"/>
      <c r="AP14" s="3"/>
      <c r="AQ14" s="3"/>
      <c r="AR14" s="1"/>
      <c r="AS14" s="1"/>
      <c r="AT14" s="1"/>
      <c r="AU14" s="1"/>
    </row>
    <row r="15" spans="2:47" x14ac:dyDescent="0.55000000000000004">
      <c r="B15" s="13" t="s">
        <v>18</v>
      </c>
      <c r="C15" s="14"/>
      <c r="D15" s="15"/>
      <c r="E15" s="12" t="s">
        <v>15</v>
      </c>
      <c r="F15" s="12"/>
      <c r="G15" s="12"/>
      <c r="H15" s="12"/>
      <c r="I15" s="12"/>
      <c r="J15" s="12"/>
      <c r="K15" s="12"/>
      <c r="L15" s="12"/>
      <c r="M15" s="12"/>
      <c r="N15" s="12"/>
      <c r="O15" s="12">
        <v>14</v>
      </c>
      <c r="P15" s="12"/>
      <c r="Q15" s="12"/>
      <c r="R15" s="12">
        <v>18</v>
      </c>
      <c r="S15" s="12"/>
      <c r="T15" s="12"/>
      <c r="U15" s="12">
        <v>10</v>
      </c>
      <c r="V15" s="12"/>
      <c r="W15" s="12"/>
      <c r="X15" s="1"/>
      <c r="Y15" s="1"/>
      <c r="Z15" s="1"/>
      <c r="AA15" s="1"/>
      <c r="AB15" s="3"/>
      <c r="AC15" s="3"/>
      <c r="AD15" s="3"/>
      <c r="AE15" s="3"/>
      <c r="AF15" s="1"/>
      <c r="AG15" s="1"/>
      <c r="AH15" s="1"/>
      <c r="AI15" s="1"/>
      <c r="AJ15" s="1"/>
      <c r="AK15" s="1"/>
      <c r="AL15" s="1"/>
      <c r="AM15" s="1"/>
      <c r="AN15" s="1"/>
      <c r="AO15" s="1"/>
      <c r="AP15" s="1"/>
      <c r="AQ15" s="1"/>
      <c r="AR15" s="1"/>
      <c r="AS15" s="1"/>
      <c r="AT15" s="1"/>
      <c r="AU15" s="1"/>
    </row>
    <row r="16" spans="2:47" x14ac:dyDescent="0.55000000000000004">
      <c r="B16" s="13" t="s">
        <v>18</v>
      </c>
      <c r="C16" s="14"/>
      <c r="D16" s="15"/>
      <c r="E16" s="12" t="s">
        <v>16</v>
      </c>
      <c r="F16" s="12"/>
      <c r="G16" s="12"/>
      <c r="H16" s="12"/>
      <c r="I16" s="12"/>
      <c r="J16" s="12"/>
      <c r="K16" s="12"/>
      <c r="L16" s="12"/>
      <c r="M16" s="12"/>
      <c r="N16" s="12"/>
      <c r="O16" s="12">
        <v>6</v>
      </c>
      <c r="P16" s="12"/>
      <c r="Q16" s="12"/>
      <c r="R16" s="12">
        <v>8</v>
      </c>
      <c r="S16" s="12"/>
      <c r="T16" s="12"/>
      <c r="U16" s="12">
        <v>4</v>
      </c>
      <c r="V16" s="12"/>
      <c r="W16" s="12"/>
      <c r="X16" s="1"/>
      <c r="Y16" s="1"/>
      <c r="Z16" s="1"/>
      <c r="AA16" s="1"/>
      <c r="AB16" s="1"/>
      <c r="AC16" s="1"/>
      <c r="AD16" s="1"/>
      <c r="AE16" s="1"/>
      <c r="AF16" s="3"/>
      <c r="AG16" s="3"/>
      <c r="AH16" s="3"/>
      <c r="AI16" s="1"/>
      <c r="AJ16" s="1"/>
      <c r="AK16" s="1"/>
      <c r="AL16" s="1"/>
      <c r="AM16" s="1"/>
      <c r="AN16" s="1"/>
      <c r="AO16" s="1"/>
      <c r="AP16" s="1"/>
      <c r="AQ16" s="1"/>
      <c r="AR16" s="1"/>
      <c r="AS16" s="1"/>
      <c r="AT16" s="1"/>
      <c r="AU16" s="1"/>
    </row>
    <row r="17" spans="2:47" x14ac:dyDescent="0.55000000000000004">
      <c r="B17" s="13" t="s">
        <v>18</v>
      </c>
      <c r="C17" s="14"/>
      <c r="D17" s="15"/>
      <c r="E17" s="12" t="s">
        <v>17</v>
      </c>
      <c r="F17" s="12"/>
      <c r="G17" s="12"/>
      <c r="H17" s="12"/>
      <c r="I17" s="12"/>
      <c r="J17" s="12"/>
      <c r="K17" s="12"/>
      <c r="L17" s="12"/>
      <c r="M17" s="12"/>
      <c r="N17" s="12"/>
      <c r="O17" s="12">
        <v>11</v>
      </c>
      <c r="P17" s="12"/>
      <c r="Q17" s="12"/>
      <c r="R17" s="12">
        <v>12</v>
      </c>
      <c r="S17" s="12"/>
      <c r="T17" s="12"/>
      <c r="U17" s="12">
        <v>6</v>
      </c>
      <c r="V17" s="12"/>
      <c r="W17" s="12"/>
      <c r="X17" s="1"/>
      <c r="Y17" s="1"/>
      <c r="Z17" s="1"/>
      <c r="AA17" s="1"/>
      <c r="AB17" s="3"/>
      <c r="AC17" s="3"/>
      <c r="AD17" s="3"/>
      <c r="AE17" s="3"/>
      <c r="AF17" s="3"/>
      <c r="AG17" s="3"/>
      <c r="AH17" s="1"/>
      <c r="AI17" s="1"/>
      <c r="AJ17" s="1"/>
      <c r="AK17" s="1"/>
      <c r="AL17" s="1"/>
      <c r="AM17" s="1"/>
      <c r="AN17" s="1"/>
      <c r="AO17" s="1"/>
      <c r="AP17" s="1"/>
      <c r="AQ17" s="1"/>
      <c r="AR17" s="1"/>
      <c r="AS17" s="1"/>
      <c r="AT17" s="1"/>
      <c r="AU17" s="1"/>
    </row>
    <row r="19" spans="2:47" x14ac:dyDescent="0.55000000000000004">
      <c r="B19" s="13" t="s">
        <v>18</v>
      </c>
      <c r="C19" s="14"/>
      <c r="D19" s="15"/>
      <c r="R19" s="12">
        <v>260</v>
      </c>
      <c r="S19" s="12"/>
      <c r="T19" s="12"/>
      <c r="U19" s="12">
        <v>134</v>
      </c>
      <c r="V19" s="12"/>
      <c r="W19" s="12"/>
    </row>
    <row r="20" spans="2:47" x14ac:dyDescent="0.55000000000000004">
      <c r="B20" s="13" t="s">
        <v>19</v>
      </c>
      <c r="C20" s="14"/>
      <c r="D20" s="15"/>
      <c r="R20" s="12">
        <v>206</v>
      </c>
      <c r="S20" s="12"/>
      <c r="T20" s="12"/>
      <c r="U20" s="12">
        <v>105</v>
      </c>
      <c r="V20" s="12"/>
      <c r="W20" s="12"/>
    </row>
    <row r="27" spans="2:47" x14ac:dyDescent="0.55000000000000004">
      <c r="R27" s="6"/>
    </row>
  </sheetData>
  <mergeCells count="100">
    <mergeCell ref="U2:W2"/>
    <mergeCell ref="O3:Q3"/>
    <mergeCell ref="R3:T3"/>
    <mergeCell ref="U3:W3"/>
    <mergeCell ref="O9:Q9"/>
    <mergeCell ref="R9:T9"/>
    <mergeCell ref="U9:W9"/>
    <mergeCell ref="O10:Q10"/>
    <mergeCell ref="R10:T10"/>
    <mergeCell ref="U10:W10"/>
    <mergeCell ref="U13:W13"/>
    <mergeCell ref="O14:Q14"/>
    <mergeCell ref="R14:T14"/>
    <mergeCell ref="U14:W14"/>
    <mergeCell ref="O11:Q11"/>
    <mergeCell ref="R11:T11"/>
    <mergeCell ref="U11:W11"/>
    <mergeCell ref="O12:Q12"/>
    <mergeCell ref="R12:T12"/>
    <mergeCell ref="U12:W12"/>
    <mergeCell ref="R17:T17"/>
    <mergeCell ref="U17:W17"/>
    <mergeCell ref="E3:N3"/>
    <mergeCell ref="E4:N4"/>
    <mergeCell ref="E5:N5"/>
    <mergeCell ref="E6:N6"/>
    <mergeCell ref="E9:N9"/>
    <mergeCell ref="E10:N10"/>
    <mergeCell ref="O15:Q15"/>
    <mergeCell ref="R15:T15"/>
    <mergeCell ref="U15:W15"/>
    <mergeCell ref="O16:Q16"/>
    <mergeCell ref="R16:T16"/>
    <mergeCell ref="U16:W16"/>
    <mergeCell ref="O13:Q13"/>
    <mergeCell ref="R13:T13"/>
    <mergeCell ref="E17:N17"/>
    <mergeCell ref="E7:N7"/>
    <mergeCell ref="O7:Q7"/>
    <mergeCell ref="R7:T7"/>
    <mergeCell ref="U7:W7"/>
    <mergeCell ref="E8:N8"/>
    <mergeCell ref="O8:Q8"/>
    <mergeCell ref="R8:T8"/>
    <mergeCell ref="U8:W8"/>
    <mergeCell ref="E11:N11"/>
    <mergeCell ref="E12:N12"/>
    <mergeCell ref="E13:N13"/>
    <mergeCell ref="E14:N14"/>
    <mergeCell ref="E15:N15"/>
    <mergeCell ref="E16:N16"/>
    <mergeCell ref="O17:Q17"/>
    <mergeCell ref="X1:AE1"/>
    <mergeCell ref="AF1:AM1"/>
    <mergeCell ref="AN1:AU1"/>
    <mergeCell ref="AB2:AC2"/>
    <mergeCell ref="AD2:AE2"/>
    <mergeCell ref="AF2:AG2"/>
    <mergeCell ref="AH2:AI2"/>
    <mergeCell ref="AJ2:AK2"/>
    <mergeCell ref="AL2:AM2"/>
    <mergeCell ref="X2:Y2"/>
    <mergeCell ref="Z2:AA2"/>
    <mergeCell ref="B8:D8"/>
    <mergeCell ref="AN2:AO2"/>
    <mergeCell ref="AP2:AQ2"/>
    <mergeCell ref="AR2:AS2"/>
    <mergeCell ref="AT2:AU2"/>
    <mergeCell ref="O6:Q6"/>
    <mergeCell ref="R6:T6"/>
    <mergeCell ref="U6:W6"/>
    <mergeCell ref="O4:Q4"/>
    <mergeCell ref="R4:T4"/>
    <mergeCell ref="U4:W4"/>
    <mergeCell ref="O5:Q5"/>
    <mergeCell ref="R5:T5"/>
    <mergeCell ref="U5:W5"/>
    <mergeCell ref="O2:Q2"/>
    <mergeCell ref="R2:T2"/>
    <mergeCell ref="B3:D3"/>
    <mergeCell ref="B4:D4"/>
    <mergeCell ref="B5:D5"/>
    <mergeCell ref="B6:D6"/>
    <mergeCell ref="B7:D7"/>
    <mergeCell ref="R1:W1"/>
    <mergeCell ref="B19:D19"/>
    <mergeCell ref="R19:T19"/>
    <mergeCell ref="U19:W19"/>
    <mergeCell ref="R20:T20"/>
    <mergeCell ref="U20:W20"/>
    <mergeCell ref="B20:D20"/>
    <mergeCell ref="B13:D13"/>
    <mergeCell ref="B14:D14"/>
    <mergeCell ref="B15:D15"/>
    <mergeCell ref="B16:D16"/>
    <mergeCell ref="B17:D17"/>
    <mergeCell ref="B9:D9"/>
    <mergeCell ref="B10:D10"/>
    <mergeCell ref="B11:D11"/>
    <mergeCell ref="B12:D1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B9F8-83EC-49AF-BBD5-CFD3C51992D0}">
  <dimension ref="B1:DI82"/>
  <sheetViews>
    <sheetView zoomScale="85" zoomScaleNormal="85" workbookViewId="0">
      <pane xSplit="15" ySplit="1" topLeftCell="P50" activePane="bottomRight" state="frozen"/>
      <selection pane="topRight" activeCell="P1" sqref="P1"/>
      <selection pane="bottomLeft" activeCell="A2" sqref="A2"/>
      <selection pane="bottomRight" activeCell="U83" sqref="U83"/>
    </sheetView>
  </sheetViews>
  <sheetFormatPr defaultColWidth="2.75" defaultRowHeight="18" outlineLevelCol="1" x14ac:dyDescent="0.55000000000000004"/>
  <cols>
    <col min="1" max="1" width="2.75" style="5"/>
    <col min="2" max="2" width="4.08203125" bestFit="1" customWidth="1"/>
    <col min="3" max="20" width="2.75" style="5"/>
    <col min="21" max="30" width="2.75" style="5" customWidth="1" outlineLevel="1"/>
    <col min="31" max="16384" width="2.75" style="5"/>
  </cols>
  <sheetData>
    <row r="1" spans="2:113" x14ac:dyDescent="0.55000000000000004">
      <c r="B1" s="4" t="s">
        <v>24</v>
      </c>
      <c r="C1" s="22" t="s">
        <v>25</v>
      </c>
      <c r="D1" s="22"/>
      <c r="E1" s="22"/>
      <c r="F1" s="22"/>
      <c r="G1" s="22"/>
      <c r="H1" s="22"/>
      <c r="I1" s="22"/>
      <c r="J1" s="22"/>
      <c r="K1" s="22"/>
      <c r="L1" s="22"/>
      <c r="M1" s="22"/>
      <c r="N1" s="22"/>
      <c r="O1" s="22"/>
      <c r="P1" s="22" t="s">
        <v>1</v>
      </c>
      <c r="Q1" s="22"/>
      <c r="R1" s="22"/>
      <c r="S1" s="22"/>
      <c r="T1" s="22"/>
      <c r="U1" s="22" t="s">
        <v>26</v>
      </c>
      <c r="V1" s="22"/>
      <c r="W1" s="22"/>
      <c r="X1" s="22"/>
      <c r="Y1" s="22"/>
      <c r="Z1" s="22" t="s">
        <v>27</v>
      </c>
      <c r="AA1" s="22"/>
      <c r="AB1" s="22"/>
      <c r="AC1" s="22"/>
      <c r="AD1" s="22"/>
      <c r="AE1" s="22" t="s">
        <v>28</v>
      </c>
      <c r="AF1" s="22"/>
      <c r="AG1" s="22"/>
      <c r="AH1" s="22"/>
      <c r="AI1" s="22"/>
      <c r="AJ1" s="22"/>
      <c r="AK1" s="22"/>
      <c r="AL1" s="22"/>
      <c r="AM1" s="22"/>
      <c r="AN1" s="22"/>
      <c r="AO1" s="22"/>
      <c r="AP1" s="22"/>
      <c r="AQ1" s="22"/>
      <c r="AR1" s="22"/>
      <c r="AS1" s="22"/>
      <c r="AT1" s="22"/>
      <c r="AU1" s="22"/>
      <c r="AV1" s="22"/>
      <c r="AW1" s="22" t="s">
        <v>29</v>
      </c>
      <c r="AX1" s="22"/>
      <c r="AY1" s="22"/>
      <c r="AZ1" s="22"/>
      <c r="BA1" s="22"/>
      <c r="BB1" s="22"/>
      <c r="BC1" s="22"/>
      <c r="BD1" s="22"/>
      <c r="BE1" s="22"/>
      <c r="BF1" s="22"/>
      <c r="BG1" s="22"/>
      <c r="BH1" s="22"/>
      <c r="BI1" s="22"/>
      <c r="BJ1" s="22"/>
      <c r="BK1" s="22"/>
      <c r="BL1" s="22" t="s">
        <v>30</v>
      </c>
      <c r="BM1" s="22"/>
      <c r="BN1" s="22"/>
      <c r="BO1" s="22"/>
      <c r="BP1" s="22"/>
      <c r="BQ1" s="22" t="s">
        <v>31</v>
      </c>
      <c r="BR1" s="22"/>
      <c r="BS1" s="22"/>
      <c r="BT1" s="22"/>
      <c r="BU1" s="22"/>
      <c r="BV1" s="22"/>
      <c r="BW1" s="22"/>
      <c r="BX1" s="22" t="s">
        <v>32</v>
      </c>
      <c r="BY1" s="22"/>
      <c r="BZ1" s="22"/>
      <c r="CA1" s="22"/>
      <c r="CB1" s="22"/>
      <c r="CC1" s="22"/>
      <c r="CD1" s="22"/>
      <c r="CE1" s="22"/>
      <c r="CF1" s="22"/>
      <c r="CG1" s="22"/>
      <c r="CH1" s="22"/>
      <c r="CI1" s="22"/>
      <c r="CJ1" s="22"/>
      <c r="CK1" s="22"/>
      <c r="CL1" s="22"/>
      <c r="CM1" s="22" t="s">
        <v>33</v>
      </c>
      <c r="CN1" s="22"/>
      <c r="CO1" s="22"/>
      <c r="CP1" s="22"/>
      <c r="CQ1" s="22"/>
      <c r="CR1" s="22"/>
      <c r="CS1" s="22"/>
      <c r="CT1" s="22"/>
      <c r="CU1" s="22"/>
      <c r="CV1" s="22"/>
      <c r="CW1" s="22"/>
      <c r="CX1" s="22"/>
      <c r="CY1" s="22"/>
      <c r="CZ1" s="22"/>
      <c r="DA1" s="22"/>
      <c r="DB1" s="22"/>
      <c r="DC1" s="22"/>
      <c r="DD1" s="22"/>
      <c r="DE1" s="22"/>
      <c r="DF1" s="22"/>
      <c r="DG1" s="22"/>
      <c r="DH1" s="22"/>
      <c r="DI1" s="22"/>
    </row>
    <row r="2" spans="2:113" x14ac:dyDescent="0.55000000000000004">
      <c r="B2" s="1">
        <v>1</v>
      </c>
      <c r="C2" s="17" t="s">
        <v>34</v>
      </c>
      <c r="D2" s="17"/>
      <c r="E2" s="17"/>
      <c r="F2" s="17"/>
      <c r="G2" s="17"/>
      <c r="H2" s="17"/>
      <c r="I2" s="17"/>
      <c r="J2" s="17"/>
      <c r="K2" s="17"/>
      <c r="L2" s="17"/>
      <c r="M2" s="17"/>
      <c r="N2" s="17"/>
      <c r="O2" s="17"/>
      <c r="P2" s="17" t="s">
        <v>35</v>
      </c>
      <c r="Q2" s="17"/>
      <c r="R2" s="17"/>
      <c r="S2" s="17"/>
      <c r="T2" s="17"/>
      <c r="U2" s="13">
        <v>8</v>
      </c>
      <c r="V2" s="14"/>
      <c r="W2" s="14"/>
      <c r="X2" s="14"/>
      <c r="Y2" s="15"/>
      <c r="Z2" s="13">
        <v>4</v>
      </c>
      <c r="AA2" s="14"/>
      <c r="AB2" s="14"/>
      <c r="AC2" s="14"/>
      <c r="AD2" s="15"/>
      <c r="AE2" s="17" t="s">
        <v>36</v>
      </c>
      <c r="AF2" s="17"/>
      <c r="AG2" s="17"/>
      <c r="AH2" s="17"/>
      <c r="AI2" s="17"/>
      <c r="AJ2" s="17"/>
      <c r="AK2" s="17"/>
      <c r="AL2" s="17"/>
      <c r="AM2" s="17"/>
      <c r="AN2" s="17"/>
      <c r="AO2" s="17"/>
      <c r="AP2" s="17"/>
      <c r="AQ2" s="17"/>
      <c r="AR2" s="17"/>
      <c r="AS2" s="17"/>
      <c r="AT2" s="17"/>
      <c r="AU2" s="17"/>
      <c r="AV2" s="17"/>
      <c r="AW2" s="17" t="s">
        <v>37</v>
      </c>
      <c r="AX2" s="17"/>
      <c r="AY2" s="17"/>
      <c r="AZ2" s="17"/>
      <c r="BA2" s="17"/>
      <c r="BB2" s="17"/>
      <c r="BC2" s="17"/>
      <c r="BD2" s="17"/>
      <c r="BE2" s="17"/>
      <c r="BF2" s="17"/>
      <c r="BG2" s="17"/>
      <c r="BH2" s="17"/>
      <c r="BI2" s="17"/>
      <c r="BJ2" s="17"/>
      <c r="BK2" s="17"/>
      <c r="BL2" s="17" t="s">
        <v>38</v>
      </c>
      <c r="BM2" s="17"/>
      <c r="BN2" s="17"/>
      <c r="BO2" s="17"/>
      <c r="BP2" s="17"/>
      <c r="BQ2" s="17" t="s">
        <v>39</v>
      </c>
      <c r="BR2" s="17"/>
      <c r="BS2" s="17"/>
      <c r="BT2" s="17"/>
      <c r="BU2" s="17"/>
      <c r="BV2" s="17"/>
      <c r="BW2" s="17"/>
      <c r="BX2" s="17" t="s">
        <v>40</v>
      </c>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row>
    <row r="3" spans="2:113" x14ac:dyDescent="0.55000000000000004">
      <c r="B3" s="1">
        <v>2</v>
      </c>
      <c r="C3" s="17" t="s">
        <v>34</v>
      </c>
      <c r="D3" s="17"/>
      <c r="E3" s="17"/>
      <c r="F3" s="17"/>
      <c r="G3" s="17"/>
      <c r="H3" s="17"/>
      <c r="I3" s="17"/>
      <c r="J3" s="17"/>
      <c r="K3" s="17"/>
      <c r="L3" s="17"/>
      <c r="M3" s="17"/>
      <c r="N3" s="17"/>
      <c r="O3" s="17"/>
      <c r="P3" s="17" t="s">
        <v>35</v>
      </c>
      <c r="Q3" s="17"/>
      <c r="R3" s="17"/>
      <c r="S3" s="17"/>
      <c r="T3" s="17"/>
      <c r="U3" s="13">
        <v>8</v>
      </c>
      <c r="V3" s="14"/>
      <c r="W3" s="14"/>
      <c r="X3" s="14"/>
      <c r="Y3" s="15"/>
      <c r="Z3" s="13">
        <v>4</v>
      </c>
      <c r="AA3" s="14"/>
      <c r="AB3" s="14"/>
      <c r="AC3" s="14"/>
      <c r="AD3" s="15"/>
      <c r="AE3" s="17" t="s">
        <v>41</v>
      </c>
      <c r="AF3" s="17"/>
      <c r="AG3" s="17"/>
      <c r="AH3" s="17"/>
      <c r="AI3" s="17"/>
      <c r="AJ3" s="17"/>
      <c r="AK3" s="17"/>
      <c r="AL3" s="17"/>
      <c r="AM3" s="17"/>
      <c r="AN3" s="17"/>
      <c r="AO3" s="17"/>
      <c r="AP3" s="17"/>
      <c r="AQ3" s="17"/>
      <c r="AR3" s="17"/>
      <c r="AS3" s="17"/>
      <c r="AT3" s="17"/>
      <c r="AU3" s="17"/>
      <c r="AV3" s="17"/>
      <c r="AW3" s="17" t="s">
        <v>42</v>
      </c>
      <c r="AX3" s="17"/>
      <c r="AY3" s="17"/>
      <c r="AZ3" s="17"/>
      <c r="BA3" s="17"/>
      <c r="BB3" s="17"/>
      <c r="BC3" s="17"/>
      <c r="BD3" s="17"/>
      <c r="BE3" s="17"/>
      <c r="BF3" s="17"/>
      <c r="BG3" s="17"/>
      <c r="BH3" s="17"/>
      <c r="BI3" s="17"/>
      <c r="BJ3" s="17"/>
      <c r="BK3" s="17"/>
      <c r="BL3" s="17" t="s">
        <v>43</v>
      </c>
      <c r="BM3" s="17"/>
      <c r="BN3" s="17"/>
      <c r="BO3" s="17"/>
      <c r="BP3" s="17"/>
      <c r="BQ3" s="17" t="s">
        <v>44</v>
      </c>
      <c r="BR3" s="17"/>
      <c r="BS3" s="17"/>
      <c r="BT3" s="17"/>
      <c r="BU3" s="17"/>
      <c r="BV3" s="17"/>
      <c r="BW3" s="17"/>
      <c r="BX3" s="17" t="s">
        <v>45</v>
      </c>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row>
    <row r="4" spans="2:113" x14ac:dyDescent="0.55000000000000004">
      <c r="B4" s="1">
        <v>3</v>
      </c>
      <c r="C4" s="17" t="s">
        <v>34</v>
      </c>
      <c r="D4" s="17"/>
      <c r="E4" s="17"/>
      <c r="F4" s="17"/>
      <c r="G4" s="17"/>
      <c r="H4" s="17"/>
      <c r="I4" s="17"/>
      <c r="J4" s="17"/>
      <c r="K4" s="17"/>
      <c r="L4" s="17"/>
      <c r="M4" s="17"/>
      <c r="N4" s="17"/>
      <c r="O4" s="17"/>
      <c r="P4" s="17" t="s">
        <v>46</v>
      </c>
      <c r="Q4" s="17"/>
      <c r="R4" s="17"/>
      <c r="S4" s="17"/>
      <c r="T4" s="17"/>
      <c r="U4" s="13">
        <v>18</v>
      </c>
      <c r="V4" s="14"/>
      <c r="W4" s="14"/>
      <c r="X4" s="14"/>
      <c r="Y4" s="15"/>
      <c r="Z4" s="13">
        <v>9</v>
      </c>
      <c r="AA4" s="14"/>
      <c r="AB4" s="14"/>
      <c r="AC4" s="14"/>
      <c r="AD4" s="15"/>
      <c r="AE4" s="17" t="s">
        <v>47</v>
      </c>
      <c r="AF4" s="17"/>
      <c r="AG4" s="17"/>
      <c r="AH4" s="17"/>
      <c r="AI4" s="17"/>
      <c r="AJ4" s="17"/>
      <c r="AK4" s="17"/>
      <c r="AL4" s="17"/>
      <c r="AM4" s="17"/>
      <c r="AN4" s="17"/>
      <c r="AO4" s="17"/>
      <c r="AP4" s="17"/>
      <c r="AQ4" s="17"/>
      <c r="AR4" s="17"/>
      <c r="AS4" s="17"/>
      <c r="AT4" s="17"/>
      <c r="AU4" s="17"/>
      <c r="AV4" s="17"/>
      <c r="AW4" s="17" t="s">
        <v>48</v>
      </c>
      <c r="AX4" s="17"/>
      <c r="AY4" s="17"/>
      <c r="AZ4" s="17"/>
      <c r="BA4" s="17"/>
      <c r="BB4" s="17"/>
      <c r="BC4" s="17"/>
      <c r="BD4" s="17"/>
      <c r="BE4" s="17"/>
      <c r="BF4" s="17"/>
      <c r="BG4" s="17"/>
      <c r="BH4" s="17"/>
      <c r="BI4" s="17"/>
      <c r="BJ4" s="17"/>
      <c r="BK4" s="17"/>
      <c r="BL4" s="17" t="s">
        <v>49</v>
      </c>
      <c r="BM4" s="17"/>
      <c r="BN4" s="17"/>
      <c r="BO4" s="17"/>
      <c r="BP4" s="17"/>
      <c r="BQ4" s="17" t="s">
        <v>44</v>
      </c>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row>
    <row r="5" spans="2:113" x14ac:dyDescent="0.55000000000000004">
      <c r="B5" s="1">
        <v>4</v>
      </c>
      <c r="C5" s="17" t="s">
        <v>34</v>
      </c>
      <c r="D5" s="17"/>
      <c r="E5" s="17"/>
      <c r="F5" s="17"/>
      <c r="G5" s="17"/>
      <c r="H5" s="17"/>
      <c r="I5" s="17"/>
      <c r="J5" s="17"/>
      <c r="K5" s="17"/>
      <c r="L5" s="17"/>
      <c r="M5" s="17"/>
      <c r="N5" s="17"/>
      <c r="O5" s="17"/>
      <c r="P5" s="17" t="s">
        <v>35</v>
      </c>
      <c r="Q5" s="17"/>
      <c r="R5" s="17"/>
      <c r="S5" s="17"/>
      <c r="T5" s="17"/>
      <c r="U5" s="13">
        <v>8</v>
      </c>
      <c r="V5" s="14"/>
      <c r="W5" s="14"/>
      <c r="X5" s="14"/>
      <c r="Y5" s="15"/>
      <c r="Z5" s="13">
        <v>4</v>
      </c>
      <c r="AA5" s="14"/>
      <c r="AB5" s="14"/>
      <c r="AC5" s="14"/>
      <c r="AD5" s="15"/>
      <c r="AE5" s="17" t="s">
        <v>50</v>
      </c>
      <c r="AF5" s="17"/>
      <c r="AG5" s="17"/>
      <c r="AH5" s="17"/>
      <c r="AI5" s="17"/>
      <c r="AJ5" s="17"/>
      <c r="AK5" s="17"/>
      <c r="AL5" s="17"/>
      <c r="AM5" s="17"/>
      <c r="AN5" s="17"/>
      <c r="AO5" s="17"/>
      <c r="AP5" s="17"/>
      <c r="AQ5" s="17"/>
      <c r="AR5" s="17"/>
      <c r="AS5" s="17"/>
      <c r="AT5" s="17"/>
      <c r="AU5" s="17"/>
      <c r="AV5" s="17"/>
      <c r="AW5" s="17" t="s">
        <v>51</v>
      </c>
      <c r="AX5" s="17"/>
      <c r="AY5" s="17"/>
      <c r="AZ5" s="17"/>
      <c r="BA5" s="17"/>
      <c r="BB5" s="17"/>
      <c r="BC5" s="17"/>
      <c r="BD5" s="17"/>
      <c r="BE5" s="17"/>
      <c r="BF5" s="17"/>
      <c r="BG5" s="17"/>
      <c r="BH5" s="17"/>
      <c r="BI5" s="17"/>
      <c r="BJ5" s="17"/>
      <c r="BK5" s="17"/>
      <c r="BL5" s="17" t="s">
        <v>43</v>
      </c>
      <c r="BM5" s="17"/>
      <c r="BN5" s="17"/>
      <c r="BO5" s="17"/>
      <c r="BP5" s="17"/>
      <c r="BQ5" s="17" t="s">
        <v>44</v>
      </c>
      <c r="BR5" s="17"/>
      <c r="BS5" s="17"/>
      <c r="BT5" s="17"/>
      <c r="BU5" s="17"/>
      <c r="BV5" s="17"/>
      <c r="BW5" s="17"/>
      <c r="BX5" s="17" t="s">
        <v>40</v>
      </c>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row>
    <row r="6" spans="2:113" x14ac:dyDescent="0.55000000000000004">
      <c r="B6" s="1">
        <v>5</v>
      </c>
      <c r="C6" s="17" t="s">
        <v>34</v>
      </c>
      <c r="D6" s="17"/>
      <c r="E6" s="17"/>
      <c r="F6" s="17"/>
      <c r="G6" s="17"/>
      <c r="H6" s="17"/>
      <c r="I6" s="17"/>
      <c r="J6" s="17"/>
      <c r="K6" s="17"/>
      <c r="L6" s="17"/>
      <c r="M6" s="17"/>
      <c r="N6" s="17"/>
      <c r="O6" s="17"/>
      <c r="P6" s="17" t="s">
        <v>52</v>
      </c>
      <c r="Q6" s="17"/>
      <c r="R6" s="17"/>
      <c r="S6" s="17"/>
      <c r="T6" s="17"/>
      <c r="U6" s="13">
        <v>0</v>
      </c>
      <c r="V6" s="14"/>
      <c r="W6" s="14"/>
      <c r="X6" s="14"/>
      <c r="Y6" s="15"/>
      <c r="Z6" s="13">
        <v>0</v>
      </c>
      <c r="AA6" s="14"/>
      <c r="AB6" s="14"/>
      <c r="AC6" s="14"/>
      <c r="AD6" s="15"/>
      <c r="AE6" s="17" t="s">
        <v>53</v>
      </c>
      <c r="AF6" s="17"/>
      <c r="AG6" s="17"/>
      <c r="AH6" s="17"/>
      <c r="AI6" s="17"/>
      <c r="AJ6" s="17"/>
      <c r="AK6" s="17"/>
      <c r="AL6" s="17"/>
      <c r="AM6" s="17"/>
      <c r="AN6" s="17"/>
      <c r="AO6" s="17"/>
      <c r="AP6" s="17"/>
      <c r="AQ6" s="17"/>
      <c r="AR6" s="17"/>
      <c r="AS6" s="17"/>
      <c r="AT6" s="17"/>
      <c r="AU6" s="17"/>
      <c r="AV6" s="17"/>
      <c r="AW6" s="17" t="s">
        <v>54</v>
      </c>
      <c r="AX6" s="17"/>
      <c r="AY6" s="17"/>
      <c r="AZ6" s="17"/>
      <c r="BA6" s="17"/>
      <c r="BB6" s="17"/>
      <c r="BC6" s="17"/>
      <c r="BD6" s="17"/>
      <c r="BE6" s="17"/>
      <c r="BF6" s="17"/>
      <c r="BG6" s="17"/>
      <c r="BH6" s="17"/>
      <c r="BI6" s="17"/>
      <c r="BJ6" s="17"/>
      <c r="BK6" s="17"/>
      <c r="BL6" s="17" t="s">
        <v>39</v>
      </c>
      <c r="BM6" s="17"/>
      <c r="BN6" s="17"/>
      <c r="BO6" s="17"/>
      <c r="BP6" s="17"/>
      <c r="BQ6" s="17" t="s">
        <v>39</v>
      </c>
      <c r="BR6" s="17"/>
      <c r="BS6" s="17"/>
      <c r="BT6" s="17"/>
      <c r="BU6" s="17"/>
      <c r="BV6" s="17"/>
      <c r="BW6" s="17"/>
      <c r="BX6" s="17" t="s">
        <v>55</v>
      </c>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row>
    <row r="7" spans="2:113" x14ac:dyDescent="0.55000000000000004">
      <c r="B7" s="1">
        <v>6</v>
      </c>
      <c r="C7" s="17" t="s">
        <v>56</v>
      </c>
      <c r="D7" s="17"/>
      <c r="E7" s="17"/>
      <c r="F7" s="17"/>
      <c r="G7" s="17"/>
      <c r="H7" s="17"/>
      <c r="I7" s="17"/>
      <c r="J7" s="17"/>
      <c r="K7" s="17"/>
      <c r="L7" s="17"/>
      <c r="M7" s="17"/>
      <c r="N7" s="17"/>
      <c r="O7" s="17"/>
      <c r="P7" s="17" t="s">
        <v>52</v>
      </c>
      <c r="Q7" s="17"/>
      <c r="R7" s="17"/>
      <c r="S7" s="17"/>
      <c r="T7" s="17"/>
      <c r="U7" s="13">
        <v>0</v>
      </c>
      <c r="V7" s="14"/>
      <c r="W7" s="14"/>
      <c r="X7" s="14"/>
      <c r="Y7" s="15"/>
      <c r="Z7" s="13">
        <v>0</v>
      </c>
      <c r="AA7" s="14"/>
      <c r="AB7" s="14"/>
      <c r="AC7" s="14"/>
      <c r="AD7" s="15"/>
      <c r="AE7" s="17" t="s">
        <v>57</v>
      </c>
      <c r="AF7" s="17"/>
      <c r="AG7" s="17"/>
      <c r="AH7" s="17"/>
      <c r="AI7" s="17"/>
      <c r="AJ7" s="17"/>
      <c r="AK7" s="17"/>
      <c r="AL7" s="17"/>
      <c r="AM7" s="17"/>
      <c r="AN7" s="17"/>
      <c r="AO7" s="17"/>
      <c r="AP7" s="17"/>
      <c r="AQ7" s="17"/>
      <c r="AR7" s="17"/>
      <c r="AS7" s="17"/>
      <c r="AT7" s="17"/>
      <c r="AU7" s="17"/>
      <c r="AV7" s="17"/>
      <c r="AW7" s="17" t="s">
        <v>58</v>
      </c>
      <c r="AX7" s="17"/>
      <c r="AY7" s="17"/>
      <c r="AZ7" s="17"/>
      <c r="BA7" s="17"/>
      <c r="BB7" s="17"/>
      <c r="BC7" s="17"/>
      <c r="BD7" s="17"/>
      <c r="BE7" s="17"/>
      <c r="BF7" s="17"/>
      <c r="BG7" s="17"/>
      <c r="BH7" s="17"/>
      <c r="BI7" s="17"/>
      <c r="BJ7" s="17"/>
      <c r="BK7" s="17"/>
      <c r="BL7" s="17" t="s">
        <v>43</v>
      </c>
      <c r="BM7" s="17"/>
      <c r="BN7" s="17"/>
      <c r="BO7" s="17"/>
      <c r="BP7" s="17"/>
      <c r="BQ7" s="17" t="s">
        <v>44</v>
      </c>
      <c r="BR7" s="17"/>
      <c r="BS7" s="17"/>
      <c r="BT7" s="17"/>
      <c r="BU7" s="17"/>
      <c r="BV7" s="17"/>
      <c r="BW7" s="17"/>
      <c r="BX7" s="19"/>
      <c r="BY7" s="20"/>
      <c r="BZ7" s="20"/>
      <c r="CA7" s="20"/>
      <c r="CB7" s="20"/>
      <c r="CC7" s="20"/>
      <c r="CD7" s="20"/>
      <c r="CE7" s="20"/>
      <c r="CF7" s="20"/>
      <c r="CG7" s="20"/>
      <c r="CH7" s="20"/>
      <c r="CI7" s="20"/>
      <c r="CJ7" s="20"/>
      <c r="CK7" s="20"/>
      <c r="CL7" s="21"/>
      <c r="CM7" s="17"/>
      <c r="CN7" s="17"/>
      <c r="CO7" s="17"/>
      <c r="CP7" s="17"/>
      <c r="CQ7" s="17"/>
      <c r="CR7" s="17"/>
      <c r="CS7" s="17"/>
      <c r="CT7" s="17"/>
      <c r="CU7" s="17"/>
      <c r="CV7" s="17"/>
      <c r="CW7" s="17"/>
      <c r="CX7" s="17"/>
      <c r="CY7" s="17"/>
      <c r="CZ7" s="17"/>
      <c r="DA7" s="17"/>
      <c r="DB7" s="17"/>
      <c r="DC7" s="17"/>
      <c r="DD7" s="17"/>
      <c r="DE7" s="17"/>
      <c r="DF7" s="17"/>
      <c r="DG7" s="17"/>
      <c r="DH7" s="17"/>
      <c r="DI7" s="17"/>
    </row>
    <row r="8" spans="2:113" x14ac:dyDescent="0.55000000000000004">
      <c r="B8" s="1">
        <v>7</v>
      </c>
      <c r="C8" s="17" t="s">
        <v>56</v>
      </c>
      <c r="D8" s="17"/>
      <c r="E8" s="17"/>
      <c r="F8" s="17"/>
      <c r="G8" s="17"/>
      <c r="H8" s="17"/>
      <c r="I8" s="17"/>
      <c r="J8" s="17"/>
      <c r="K8" s="17"/>
      <c r="L8" s="17"/>
      <c r="M8" s="17"/>
      <c r="N8" s="17"/>
      <c r="O8" s="17"/>
      <c r="P8" s="17" t="s">
        <v>35</v>
      </c>
      <c r="Q8" s="17"/>
      <c r="R8" s="17"/>
      <c r="S8" s="17"/>
      <c r="T8" s="17"/>
      <c r="U8" s="13">
        <v>8</v>
      </c>
      <c r="V8" s="14"/>
      <c r="W8" s="14"/>
      <c r="X8" s="14"/>
      <c r="Y8" s="15"/>
      <c r="Z8" s="13">
        <v>4</v>
      </c>
      <c r="AA8" s="14"/>
      <c r="AB8" s="14"/>
      <c r="AC8" s="14"/>
      <c r="AD8" s="15"/>
      <c r="AE8" s="17" t="s">
        <v>59</v>
      </c>
      <c r="AF8" s="17"/>
      <c r="AG8" s="17"/>
      <c r="AH8" s="17"/>
      <c r="AI8" s="17"/>
      <c r="AJ8" s="17"/>
      <c r="AK8" s="17"/>
      <c r="AL8" s="17"/>
      <c r="AM8" s="17"/>
      <c r="AN8" s="17"/>
      <c r="AO8" s="17"/>
      <c r="AP8" s="17"/>
      <c r="AQ8" s="17"/>
      <c r="AR8" s="17"/>
      <c r="AS8" s="17"/>
      <c r="AT8" s="17"/>
      <c r="AU8" s="17"/>
      <c r="AV8" s="17"/>
      <c r="AW8" s="17" t="s">
        <v>60</v>
      </c>
      <c r="AX8" s="17"/>
      <c r="AY8" s="17"/>
      <c r="AZ8" s="17"/>
      <c r="BA8" s="17"/>
      <c r="BB8" s="17"/>
      <c r="BC8" s="17"/>
      <c r="BD8" s="17"/>
      <c r="BE8" s="17"/>
      <c r="BF8" s="17"/>
      <c r="BG8" s="17"/>
      <c r="BH8" s="17"/>
      <c r="BI8" s="17"/>
      <c r="BJ8" s="17"/>
      <c r="BK8" s="17"/>
      <c r="BL8" s="17" t="s">
        <v>43</v>
      </c>
      <c r="BM8" s="17"/>
      <c r="BN8" s="17"/>
      <c r="BO8" s="17"/>
      <c r="BP8" s="17"/>
      <c r="BQ8" s="17" t="s">
        <v>44</v>
      </c>
      <c r="BR8" s="17"/>
      <c r="BS8" s="17"/>
      <c r="BT8" s="17"/>
      <c r="BU8" s="17"/>
      <c r="BV8" s="17"/>
      <c r="BW8" s="17"/>
      <c r="BX8" s="17" t="s">
        <v>61</v>
      </c>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row>
    <row r="9" spans="2:113" x14ac:dyDescent="0.55000000000000004">
      <c r="B9" s="1">
        <v>8</v>
      </c>
      <c r="C9" s="19" t="s">
        <v>56</v>
      </c>
      <c r="D9" s="20"/>
      <c r="E9" s="20"/>
      <c r="F9" s="20"/>
      <c r="G9" s="20"/>
      <c r="H9" s="20"/>
      <c r="I9" s="20"/>
      <c r="J9" s="20"/>
      <c r="K9" s="20"/>
      <c r="L9" s="20"/>
      <c r="M9" s="20"/>
      <c r="N9" s="20"/>
      <c r="O9" s="21"/>
      <c r="P9" s="17" t="s">
        <v>52</v>
      </c>
      <c r="Q9" s="17"/>
      <c r="R9" s="17"/>
      <c r="S9" s="17"/>
      <c r="T9" s="17"/>
      <c r="U9" s="13">
        <v>0</v>
      </c>
      <c r="V9" s="14"/>
      <c r="W9" s="14"/>
      <c r="X9" s="14"/>
      <c r="Y9" s="15"/>
      <c r="Z9" s="13">
        <v>0</v>
      </c>
      <c r="AA9" s="14"/>
      <c r="AB9" s="14"/>
      <c r="AC9" s="14"/>
      <c r="AD9" s="15"/>
      <c r="AE9" s="19" t="s">
        <v>59</v>
      </c>
      <c r="AF9" s="20"/>
      <c r="AG9" s="20"/>
      <c r="AH9" s="20"/>
      <c r="AI9" s="20"/>
      <c r="AJ9" s="20"/>
      <c r="AK9" s="20"/>
      <c r="AL9" s="20"/>
      <c r="AM9" s="20"/>
      <c r="AN9" s="20"/>
      <c r="AO9" s="20"/>
      <c r="AP9" s="20"/>
      <c r="AQ9" s="20"/>
      <c r="AR9" s="20"/>
      <c r="AS9" s="20"/>
      <c r="AT9" s="20"/>
      <c r="AU9" s="20"/>
      <c r="AV9" s="21"/>
      <c r="AW9" s="19" t="s">
        <v>62</v>
      </c>
      <c r="AX9" s="20"/>
      <c r="AY9" s="20"/>
      <c r="AZ9" s="20"/>
      <c r="BA9" s="20"/>
      <c r="BB9" s="20"/>
      <c r="BC9" s="20"/>
      <c r="BD9" s="20"/>
      <c r="BE9" s="20"/>
      <c r="BF9" s="20"/>
      <c r="BG9" s="20"/>
      <c r="BH9" s="20"/>
      <c r="BI9" s="20"/>
      <c r="BJ9" s="20"/>
      <c r="BK9" s="21"/>
      <c r="BL9" s="19" t="s">
        <v>43</v>
      </c>
      <c r="BM9" s="20"/>
      <c r="BN9" s="20"/>
      <c r="BO9" s="20"/>
      <c r="BP9" s="21"/>
      <c r="BQ9" s="19" t="s">
        <v>44</v>
      </c>
      <c r="BR9" s="20"/>
      <c r="BS9" s="20"/>
      <c r="BT9" s="20"/>
      <c r="BU9" s="20"/>
      <c r="BV9" s="20"/>
      <c r="BW9" s="21"/>
      <c r="BX9" s="19" t="s">
        <v>61</v>
      </c>
      <c r="BY9" s="20"/>
      <c r="BZ9" s="20"/>
      <c r="CA9" s="20"/>
      <c r="CB9" s="20"/>
      <c r="CC9" s="20"/>
      <c r="CD9" s="20"/>
      <c r="CE9" s="20"/>
      <c r="CF9" s="20"/>
      <c r="CG9" s="20"/>
      <c r="CH9" s="20"/>
      <c r="CI9" s="20"/>
      <c r="CJ9" s="20"/>
      <c r="CK9" s="20"/>
      <c r="CL9" s="21"/>
      <c r="CM9" s="19"/>
      <c r="CN9" s="20"/>
      <c r="CO9" s="20"/>
      <c r="CP9" s="20"/>
      <c r="CQ9" s="20"/>
      <c r="CR9" s="20"/>
      <c r="CS9" s="20"/>
      <c r="CT9" s="20"/>
      <c r="CU9" s="20"/>
      <c r="CV9" s="20"/>
      <c r="CW9" s="20"/>
      <c r="CX9" s="20"/>
      <c r="CY9" s="20"/>
      <c r="CZ9" s="20"/>
      <c r="DA9" s="20"/>
      <c r="DB9" s="20"/>
      <c r="DC9" s="20"/>
      <c r="DD9" s="20"/>
      <c r="DE9" s="20"/>
      <c r="DF9" s="20"/>
      <c r="DG9" s="20"/>
      <c r="DH9" s="20"/>
      <c r="DI9" s="21"/>
    </row>
    <row r="10" spans="2:113" x14ac:dyDescent="0.55000000000000004">
      <c r="B10" s="1">
        <v>9</v>
      </c>
      <c r="C10" s="17" t="s">
        <v>56</v>
      </c>
      <c r="D10" s="17"/>
      <c r="E10" s="17"/>
      <c r="F10" s="17"/>
      <c r="G10" s="17"/>
      <c r="H10" s="17"/>
      <c r="I10" s="17"/>
      <c r="J10" s="17"/>
      <c r="K10" s="17"/>
      <c r="L10" s="17"/>
      <c r="M10" s="17"/>
      <c r="N10" s="17"/>
      <c r="O10" s="17"/>
      <c r="P10" s="17" t="s">
        <v>52</v>
      </c>
      <c r="Q10" s="17"/>
      <c r="R10" s="17"/>
      <c r="S10" s="17"/>
      <c r="T10" s="17"/>
      <c r="U10" s="13">
        <v>0</v>
      </c>
      <c r="V10" s="14"/>
      <c r="W10" s="14"/>
      <c r="X10" s="14"/>
      <c r="Y10" s="15"/>
      <c r="Z10" s="13">
        <v>0</v>
      </c>
      <c r="AA10" s="14"/>
      <c r="AB10" s="14"/>
      <c r="AC10" s="14"/>
      <c r="AD10" s="15"/>
      <c r="AE10" s="17" t="s">
        <v>63</v>
      </c>
      <c r="AF10" s="17"/>
      <c r="AG10" s="17"/>
      <c r="AH10" s="17"/>
      <c r="AI10" s="17"/>
      <c r="AJ10" s="17"/>
      <c r="AK10" s="17"/>
      <c r="AL10" s="17"/>
      <c r="AM10" s="17"/>
      <c r="AN10" s="17"/>
      <c r="AO10" s="17"/>
      <c r="AP10" s="17"/>
      <c r="AQ10" s="17"/>
      <c r="AR10" s="17"/>
      <c r="AS10" s="17"/>
      <c r="AT10" s="17"/>
      <c r="AU10" s="17"/>
      <c r="AV10" s="17"/>
      <c r="AW10" s="17" t="s">
        <v>64</v>
      </c>
      <c r="AX10" s="17"/>
      <c r="AY10" s="17"/>
      <c r="AZ10" s="17"/>
      <c r="BA10" s="17"/>
      <c r="BB10" s="17"/>
      <c r="BC10" s="17"/>
      <c r="BD10" s="17"/>
      <c r="BE10" s="17"/>
      <c r="BF10" s="17"/>
      <c r="BG10" s="17"/>
      <c r="BH10" s="17"/>
      <c r="BI10" s="17"/>
      <c r="BJ10" s="17"/>
      <c r="BK10" s="17"/>
      <c r="BL10" s="17" t="s">
        <v>43</v>
      </c>
      <c r="BM10" s="17"/>
      <c r="BN10" s="17"/>
      <c r="BO10" s="17"/>
      <c r="BP10" s="17"/>
      <c r="BQ10" s="17" t="s">
        <v>44</v>
      </c>
      <c r="BR10" s="17"/>
      <c r="BS10" s="17"/>
      <c r="BT10" s="17"/>
      <c r="BU10" s="17"/>
      <c r="BV10" s="17"/>
      <c r="BW10" s="17"/>
      <c r="BX10" s="17" t="s">
        <v>61</v>
      </c>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row>
    <row r="11" spans="2:113" x14ac:dyDescent="0.55000000000000004">
      <c r="B11" s="1">
        <v>10</v>
      </c>
      <c r="C11" s="17" t="s">
        <v>56</v>
      </c>
      <c r="D11" s="17"/>
      <c r="E11" s="17"/>
      <c r="F11" s="17"/>
      <c r="G11" s="17"/>
      <c r="H11" s="17"/>
      <c r="I11" s="17"/>
      <c r="J11" s="17"/>
      <c r="K11" s="17"/>
      <c r="L11" s="17"/>
      <c r="M11" s="17"/>
      <c r="N11" s="17"/>
      <c r="O11" s="17"/>
      <c r="P11" s="17" t="s">
        <v>65</v>
      </c>
      <c r="Q11" s="17"/>
      <c r="R11" s="17"/>
      <c r="S11" s="17"/>
      <c r="T11" s="17"/>
      <c r="U11" s="13">
        <v>10</v>
      </c>
      <c r="V11" s="14"/>
      <c r="W11" s="14"/>
      <c r="X11" s="14"/>
      <c r="Y11" s="15"/>
      <c r="Z11" s="13">
        <v>6</v>
      </c>
      <c r="AA11" s="14"/>
      <c r="AB11" s="14"/>
      <c r="AC11" s="14"/>
      <c r="AD11" s="15"/>
      <c r="AE11" s="17" t="s">
        <v>66</v>
      </c>
      <c r="AF11" s="17"/>
      <c r="AG11" s="17"/>
      <c r="AH11" s="17"/>
      <c r="AI11" s="17"/>
      <c r="AJ11" s="17"/>
      <c r="AK11" s="17"/>
      <c r="AL11" s="17"/>
      <c r="AM11" s="17"/>
      <c r="AN11" s="17"/>
      <c r="AO11" s="17"/>
      <c r="AP11" s="17"/>
      <c r="AQ11" s="17"/>
      <c r="AR11" s="17"/>
      <c r="AS11" s="17"/>
      <c r="AT11" s="17"/>
      <c r="AU11" s="17"/>
      <c r="AV11" s="17"/>
      <c r="AW11" s="17" t="s">
        <v>67</v>
      </c>
      <c r="AX11" s="17"/>
      <c r="AY11" s="17"/>
      <c r="AZ11" s="17"/>
      <c r="BA11" s="17"/>
      <c r="BB11" s="17"/>
      <c r="BC11" s="17"/>
      <c r="BD11" s="17"/>
      <c r="BE11" s="17"/>
      <c r="BF11" s="17"/>
      <c r="BG11" s="17"/>
      <c r="BH11" s="17"/>
      <c r="BI11" s="17"/>
      <c r="BJ11" s="17"/>
      <c r="BK11" s="17"/>
      <c r="BL11" s="17" t="s">
        <v>43</v>
      </c>
      <c r="BM11" s="17"/>
      <c r="BN11" s="17"/>
      <c r="BO11" s="17"/>
      <c r="BP11" s="17"/>
      <c r="BQ11" s="17" t="s">
        <v>44</v>
      </c>
      <c r="BR11" s="17"/>
      <c r="BS11" s="17"/>
      <c r="BT11" s="17"/>
      <c r="BU11" s="17"/>
      <c r="BV11" s="17"/>
      <c r="BW11" s="17"/>
      <c r="BX11" s="17" t="s">
        <v>61</v>
      </c>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row>
    <row r="12" spans="2:113" x14ac:dyDescent="0.55000000000000004">
      <c r="B12" s="1">
        <v>11</v>
      </c>
      <c r="C12" s="17" t="s">
        <v>68</v>
      </c>
      <c r="D12" s="17"/>
      <c r="E12" s="17"/>
      <c r="F12" s="17"/>
      <c r="G12" s="17"/>
      <c r="H12" s="17"/>
      <c r="I12" s="17"/>
      <c r="J12" s="17"/>
      <c r="K12" s="17"/>
      <c r="L12" s="17"/>
      <c r="M12" s="17"/>
      <c r="N12" s="17"/>
      <c r="O12" s="17"/>
      <c r="P12" s="17" t="s">
        <v>46</v>
      </c>
      <c r="Q12" s="17"/>
      <c r="R12" s="17"/>
      <c r="S12" s="17"/>
      <c r="T12" s="17"/>
      <c r="U12" s="13">
        <v>18</v>
      </c>
      <c r="V12" s="14"/>
      <c r="W12" s="14"/>
      <c r="X12" s="14"/>
      <c r="Y12" s="15"/>
      <c r="Z12" s="13">
        <v>9</v>
      </c>
      <c r="AA12" s="14"/>
      <c r="AB12" s="14"/>
      <c r="AC12" s="14"/>
      <c r="AD12" s="15"/>
      <c r="AE12" s="17" t="s">
        <v>69</v>
      </c>
      <c r="AF12" s="17"/>
      <c r="AG12" s="17"/>
      <c r="AH12" s="17"/>
      <c r="AI12" s="17"/>
      <c r="AJ12" s="17"/>
      <c r="AK12" s="17"/>
      <c r="AL12" s="17"/>
      <c r="AM12" s="17"/>
      <c r="AN12" s="17"/>
      <c r="AO12" s="17"/>
      <c r="AP12" s="17"/>
      <c r="AQ12" s="17"/>
      <c r="AR12" s="17"/>
      <c r="AS12" s="17"/>
      <c r="AT12" s="17"/>
      <c r="AU12" s="17"/>
      <c r="AV12" s="17"/>
      <c r="AW12" s="17" t="s">
        <v>70</v>
      </c>
      <c r="AX12" s="17"/>
      <c r="AY12" s="17"/>
      <c r="AZ12" s="17"/>
      <c r="BA12" s="17"/>
      <c r="BB12" s="17"/>
      <c r="BC12" s="17"/>
      <c r="BD12" s="17"/>
      <c r="BE12" s="17"/>
      <c r="BF12" s="17"/>
      <c r="BG12" s="17"/>
      <c r="BH12" s="17"/>
      <c r="BI12" s="17"/>
      <c r="BJ12" s="17"/>
      <c r="BK12" s="17"/>
      <c r="BL12" s="17" t="s">
        <v>43</v>
      </c>
      <c r="BM12" s="17"/>
      <c r="BN12" s="17"/>
      <c r="BO12" s="17"/>
      <c r="BP12" s="17"/>
      <c r="BQ12" s="17" t="s">
        <v>44</v>
      </c>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row>
    <row r="13" spans="2:113" x14ac:dyDescent="0.55000000000000004">
      <c r="B13" s="1">
        <v>12</v>
      </c>
      <c r="C13" s="17" t="s">
        <v>68</v>
      </c>
      <c r="D13" s="17"/>
      <c r="E13" s="17"/>
      <c r="F13" s="17"/>
      <c r="G13" s="17"/>
      <c r="H13" s="17"/>
      <c r="I13" s="17"/>
      <c r="J13" s="17"/>
      <c r="K13" s="17"/>
      <c r="L13" s="17"/>
      <c r="M13" s="17"/>
      <c r="N13" s="17"/>
      <c r="O13" s="17"/>
      <c r="P13" s="17" t="s">
        <v>71</v>
      </c>
      <c r="Q13" s="17"/>
      <c r="R13" s="17"/>
      <c r="S13" s="17"/>
      <c r="T13" s="17"/>
      <c r="U13" s="13">
        <v>4</v>
      </c>
      <c r="V13" s="14"/>
      <c r="W13" s="14"/>
      <c r="X13" s="14"/>
      <c r="Y13" s="15"/>
      <c r="Z13" s="13">
        <v>2</v>
      </c>
      <c r="AA13" s="14"/>
      <c r="AB13" s="14"/>
      <c r="AC13" s="14"/>
      <c r="AD13" s="15"/>
      <c r="AE13" s="17" t="s">
        <v>72</v>
      </c>
      <c r="AF13" s="17"/>
      <c r="AG13" s="17"/>
      <c r="AH13" s="17"/>
      <c r="AI13" s="17"/>
      <c r="AJ13" s="17"/>
      <c r="AK13" s="17"/>
      <c r="AL13" s="17"/>
      <c r="AM13" s="17"/>
      <c r="AN13" s="17"/>
      <c r="AO13" s="17"/>
      <c r="AP13" s="17"/>
      <c r="AQ13" s="17"/>
      <c r="AR13" s="17"/>
      <c r="AS13" s="17"/>
      <c r="AT13" s="17"/>
      <c r="AU13" s="17"/>
      <c r="AV13" s="17"/>
      <c r="AW13" s="17" t="s">
        <v>73</v>
      </c>
      <c r="AX13" s="17"/>
      <c r="AY13" s="17"/>
      <c r="AZ13" s="17"/>
      <c r="BA13" s="17"/>
      <c r="BB13" s="17"/>
      <c r="BC13" s="17"/>
      <c r="BD13" s="17"/>
      <c r="BE13" s="17"/>
      <c r="BF13" s="17"/>
      <c r="BG13" s="17"/>
      <c r="BH13" s="17"/>
      <c r="BI13" s="17"/>
      <c r="BJ13" s="17"/>
      <c r="BK13" s="17"/>
      <c r="BL13" s="17" t="s">
        <v>39</v>
      </c>
      <c r="BM13" s="17"/>
      <c r="BN13" s="17"/>
      <c r="BO13" s="17"/>
      <c r="BP13" s="17"/>
      <c r="BQ13" s="17" t="s">
        <v>74</v>
      </c>
      <c r="BR13" s="17"/>
      <c r="BS13" s="17"/>
      <c r="BT13" s="17"/>
      <c r="BU13" s="17"/>
      <c r="BV13" s="17"/>
      <c r="BW13" s="17"/>
      <c r="BX13" s="17"/>
      <c r="BY13" s="17"/>
      <c r="BZ13" s="17"/>
      <c r="CA13" s="17"/>
      <c r="CB13" s="17"/>
      <c r="CC13" s="17"/>
      <c r="CD13" s="17"/>
      <c r="CE13" s="17"/>
      <c r="CF13" s="17"/>
      <c r="CG13" s="17"/>
      <c r="CH13" s="17"/>
      <c r="CI13" s="17"/>
      <c r="CJ13" s="17"/>
      <c r="CK13" s="17"/>
      <c r="CL13" s="17"/>
      <c r="CM13" s="17" t="s">
        <v>73</v>
      </c>
      <c r="CN13" s="17"/>
      <c r="CO13" s="17"/>
      <c r="CP13" s="17"/>
      <c r="CQ13" s="17"/>
      <c r="CR13" s="17"/>
      <c r="CS13" s="17"/>
      <c r="CT13" s="17"/>
      <c r="CU13" s="17"/>
      <c r="CV13" s="17"/>
      <c r="CW13" s="17"/>
      <c r="CX13" s="17"/>
      <c r="CY13" s="17"/>
      <c r="CZ13" s="17"/>
      <c r="DA13" s="17"/>
      <c r="DB13" s="17"/>
      <c r="DC13" s="17"/>
      <c r="DD13" s="17"/>
      <c r="DE13" s="17"/>
      <c r="DF13" s="17"/>
      <c r="DG13" s="17"/>
      <c r="DH13" s="17"/>
      <c r="DI13" s="17"/>
    </row>
    <row r="14" spans="2:113" x14ac:dyDescent="0.55000000000000004">
      <c r="B14" s="1">
        <v>13</v>
      </c>
      <c r="C14" s="17" t="s">
        <v>68</v>
      </c>
      <c r="D14" s="17"/>
      <c r="E14" s="17"/>
      <c r="F14" s="17"/>
      <c r="G14" s="17"/>
      <c r="H14" s="17"/>
      <c r="I14" s="17"/>
      <c r="J14" s="17"/>
      <c r="K14" s="17"/>
      <c r="L14" s="17"/>
      <c r="M14" s="17"/>
      <c r="N14" s="17"/>
      <c r="O14" s="17"/>
      <c r="P14" s="17" t="s">
        <v>75</v>
      </c>
      <c r="Q14" s="17"/>
      <c r="R14" s="17"/>
      <c r="S14" s="17"/>
      <c r="T14" s="17"/>
      <c r="U14" s="13">
        <v>12</v>
      </c>
      <c r="V14" s="14"/>
      <c r="W14" s="14"/>
      <c r="X14" s="14"/>
      <c r="Y14" s="15"/>
      <c r="Z14" s="13">
        <v>6</v>
      </c>
      <c r="AA14" s="14"/>
      <c r="AB14" s="14"/>
      <c r="AC14" s="14"/>
      <c r="AD14" s="15"/>
      <c r="AE14" s="17" t="s">
        <v>76</v>
      </c>
      <c r="AF14" s="17"/>
      <c r="AG14" s="17"/>
      <c r="AH14" s="17"/>
      <c r="AI14" s="17"/>
      <c r="AJ14" s="17"/>
      <c r="AK14" s="17"/>
      <c r="AL14" s="17"/>
      <c r="AM14" s="17"/>
      <c r="AN14" s="17"/>
      <c r="AO14" s="17"/>
      <c r="AP14" s="17"/>
      <c r="AQ14" s="17"/>
      <c r="AR14" s="17"/>
      <c r="AS14" s="17"/>
      <c r="AT14" s="17"/>
      <c r="AU14" s="17"/>
      <c r="AV14" s="17"/>
      <c r="AW14" s="17" t="s">
        <v>77</v>
      </c>
      <c r="AX14" s="17"/>
      <c r="AY14" s="17"/>
      <c r="AZ14" s="17"/>
      <c r="BA14" s="17"/>
      <c r="BB14" s="17"/>
      <c r="BC14" s="17"/>
      <c r="BD14" s="17"/>
      <c r="BE14" s="17"/>
      <c r="BF14" s="17"/>
      <c r="BG14" s="17"/>
      <c r="BH14" s="17"/>
      <c r="BI14" s="17"/>
      <c r="BJ14" s="17"/>
      <c r="BK14" s="17"/>
      <c r="BL14" s="17" t="s">
        <v>43</v>
      </c>
      <c r="BM14" s="17"/>
      <c r="BN14" s="17"/>
      <c r="BO14" s="17"/>
      <c r="BP14" s="17"/>
      <c r="BQ14" s="17" t="s">
        <v>44</v>
      </c>
      <c r="BR14" s="17"/>
      <c r="BS14" s="17"/>
      <c r="BT14" s="17"/>
      <c r="BU14" s="17"/>
      <c r="BV14" s="17"/>
      <c r="BW14" s="17"/>
      <c r="BX14" s="17" t="s">
        <v>78</v>
      </c>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row>
    <row r="15" spans="2:113" x14ac:dyDescent="0.55000000000000004">
      <c r="B15" s="1">
        <v>14</v>
      </c>
      <c r="C15" s="17" t="s">
        <v>68</v>
      </c>
      <c r="D15" s="17"/>
      <c r="E15" s="17"/>
      <c r="F15" s="17"/>
      <c r="G15" s="17"/>
      <c r="H15" s="17"/>
      <c r="I15" s="17"/>
      <c r="J15" s="17"/>
      <c r="K15" s="17"/>
      <c r="L15" s="17"/>
      <c r="M15" s="17"/>
      <c r="N15" s="17"/>
      <c r="O15" s="17"/>
      <c r="P15" s="17" t="s">
        <v>52</v>
      </c>
      <c r="Q15" s="17"/>
      <c r="R15" s="17"/>
      <c r="S15" s="17"/>
      <c r="T15" s="17"/>
      <c r="U15" s="13">
        <v>0</v>
      </c>
      <c r="V15" s="14"/>
      <c r="W15" s="14"/>
      <c r="X15" s="14"/>
      <c r="Y15" s="15"/>
      <c r="Z15" s="13">
        <v>0</v>
      </c>
      <c r="AA15" s="14"/>
      <c r="AB15" s="14"/>
      <c r="AC15" s="14"/>
      <c r="AD15" s="15"/>
      <c r="AE15" s="17" t="s">
        <v>79</v>
      </c>
      <c r="AF15" s="17"/>
      <c r="AG15" s="17"/>
      <c r="AH15" s="17"/>
      <c r="AI15" s="17"/>
      <c r="AJ15" s="17"/>
      <c r="AK15" s="17"/>
      <c r="AL15" s="17"/>
      <c r="AM15" s="17"/>
      <c r="AN15" s="17"/>
      <c r="AO15" s="17"/>
      <c r="AP15" s="17"/>
      <c r="AQ15" s="17"/>
      <c r="AR15" s="17"/>
      <c r="AS15" s="17"/>
      <c r="AT15" s="17"/>
      <c r="AU15" s="17"/>
      <c r="AV15" s="17"/>
      <c r="AW15" s="17" t="s">
        <v>80</v>
      </c>
      <c r="AX15" s="17"/>
      <c r="AY15" s="17"/>
      <c r="AZ15" s="17"/>
      <c r="BA15" s="17"/>
      <c r="BB15" s="17"/>
      <c r="BC15" s="17"/>
      <c r="BD15" s="17"/>
      <c r="BE15" s="17"/>
      <c r="BF15" s="17"/>
      <c r="BG15" s="17"/>
      <c r="BH15" s="17"/>
      <c r="BI15" s="17"/>
      <c r="BJ15" s="17"/>
      <c r="BK15" s="17"/>
      <c r="BL15" s="17" t="s">
        <v>39</v>
      </c>
      <c r="BM15" s="17"/>
      <c r="BN15" s="17"/>
      <c r="BO15" s="17"/>
      <c r="BP15" s="17"/>
      <c r="BQ15" s="17" t="s">
        <v>74</v>
      </c>
      <c r="BR15" s="17"/>
      <c r="BS15" s="17"/>
      <c r="BT15" s="17"/>
      <c r="BU15" s="17"/>
      <c r="BV15" s="17"/>
      <c r="BW15" s="17"/>
      <c r="BX15" s="17"/>
      <c r="BY15" s="17"/>
      <c r="BZ15" s="17"/>
      <c r="CA15" s="17"/>
      <c r="CB15" s="17"/>
      <c r="CC15" s="17"/>
      <c r="CD15" s="17"/>
      <c r="CE15" s="17"/>
      <c r="CF15" s="17"/>
      <c r="CG15" s="17"/>
      <c r="CH15" s="17"/>
      <c r="CI15" s="17"/>
      <c r="CJ15" s="17"/>
      <c r="CK15" s="17"/>
      <c r="CL15" s="17"/>
      <c r="CM15" s="17" t="s">
        <v>80</v>
      </c>
      <c r="CN15" s="17"/>
      <c r="CO15" s="17"/>
      <c r="CP15" s="17"/>
      <c r="CQ15" s="17"/>
      <c r="CR15" s="17"/>
      <c r="CS15" s="17"/>
      <c r="CT15" s="17"/>
      <c r="CU15" s="17"/>
      <c r="CV15" s="17"/>
      <c r="CW15" s="17"/>
      <c r="CX15" s="17"/>
      <c r="CY15" s="17"/>
      <c r="CZ15" s="17"/>
      <c r="DA15" s="17"/>
      <c r="DB15" s="17"/>
      <c r="DC15" s="17"/>
      <c r="DD15" s="17"/>
      <c r="DE15" s="17"/>
      <c r="DF15" s="17"/>
      <c r="DG15" s="17"/>
      <c r="DH15" s="17"/>
      <c r="DI15" s="17"/>
    </row>
    <row r="16" spans="2:113" x14ac:dyDescent="0.55000000000000004">
      <c r="B16" s="1">
        <v>15</v>
      </c>
      <c r="C16" s="17" t="s">
        <v>68</v>
      </c>
      <c r="D16" s="17"/>
      <c r="E16" s="17"/>
      <c r="F16" s="17"/>
      <c r="G16" s="17"/>
      <c r="H16" s="17"/>
      <c r="I16" s="17"/>
      <c r="J16" s="17"/>
      <c r="K16" s="17"/>
      <c r="L16" s="17"/>
      <c r="M16" s="17"/>
      <c r="N16" s="17"/>
      <c r="O16" s="17"/>
      <c r="P16" s="17" t="s">
        <v>65</v>
      </c>
      <c r="Q16" s="17"/>
      <c r="R16" s="17"/>
      <c r="S16" s="17"/>
      <c r="T16" s="17"/>
      <c r="U16" s="13">
        <v>10</v>
      </c>
      <c r="V16" s="14"/>
      <c r="W16" s="14"/>
      <c r="X16" s="14"/>
      <c r="Y16" s="15"/>
      <c r="Z16" s="13">
        <v>6</v>
      </c>
      <c r="AA16" s="14"/>
      <c r="AB16" s="14"/>
      <c r="AC16" s="14"/>
      <c r="AD16" s="15"/>
      <c r="AE16" s="17" t="s">
        <v>81</v>
      </c>
      <c r="AF16" s="17"/>
      <c r="AG16" s="17"/>
      <c r="AH16" s="17"/>
      <c r="AI16" s="17"/>
      <c r="AJ16" s="17"/>
      <c r="AK16" s="17"/>
      <c r="AL16" s="17"/>
      <c r="AM16" s="17"/>
      <c r="AN16" s="17"/>
      <c r="AO16" s="17"/>
      <c r="AP16" s="17"/>
      <c r="AQ16" s="17"/>
      <c r="AR16" s="17"/>
      <c r="AS16" s="17"/>
      <c r="AT16" s="17"/>
      <c r="AU16" s="17"/>
      <c r="AV16" s="17"/>
      <c r="AW16" s="17" t="s">
        <v>82</v>
      </c>
      <c r="AX16" s="17"/>
      <c r="AY16" s="17"/>
      <c r="AZ16" s="17"/>
      <c r="BA16" s="17"/>
      <c r="BB16" s="17"/>
      <c r="BC16" s="17"/>
      <c r="BD16" s="17"/>
      <c r="BE16" s="17"/>
      <c r="BF16" s="17"/>
      <c r="BG16" s="17"/>
      <c r="BH16" s="17"/>
      <c r="BI16" s="17"/>
      <c r="BJ16" s="17"/>
      <c r="BK16" s="17"/>
      <c r="BL16" s="17"/>
      <c r="BM16" s="17"/>
      <c r="BN16" s="17"/>
      <c r="BO16" s="17"/>
      <c r="BP16" s="17"/>
      <c r="BQ16" s="17" t="s">
        <v>83</v>
      </c>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row>
    <row r="17" spans="2:113" x14ac:dyDescent="0.55000000000000004">
      <c r="B17" s="1">
        <v>16</v>
      </c>
      <c r="C17" s="17" t="s">
        <v>84</v>
      </c>
      <c r="D17" s="17"/>
      <c r="E17" s="17"/>
      <c r="F17" s="17"/>
      <c r="G17" s="17"/>
      <c r="H17" s="17"/>
      <c r="I17" s="17"/>
      <c r="J17" s="17"/>
      <c r="K17" s="17"/>
      <c r="L17" s="17"/>
      <c r="M17" s="17"/>
      <c r="N17" s="17"/>
      <c r="O17" s="17"/>
      <c r="P17" s="17" t="s">
        <v>75</v>
      </c>
      <c r="Q17" s="17"/>
      <c r="R17" s="17"/>
      <c r="S17" s="17"/>
      <c r="T17" s="17"/>
      <c r="U17" s="13">
        <v>12</v>
      </c>
      <c r="V17" s="14"/>
      <c r="W17" s="14"/>
      <c r="X17" s="14"/>
      <c r="Y17" s="15"/>
      <c r="Z17" s="13">
        <v>6</v>
      </c>
      <c r="AA17" s="14"/>
      <c r="AB17" s="14"/>
      <c r="AC17" s="14"/>
      <c r="AD17" s="15"/>
      <c r="AE17" s="17" t="s">
        <v>85</v>
      </c>
      <c r="AF17" s="17"/>
      <c r="AG17" s="17"/>
      <c r="AH17" s="17"/>
      <c r="AI17" s="17"/>
      <c r="AJ17" s="17"/>
      <c r="AK17" s="17"/>
      <c r="AL17" s="17"/>
      <c r="AM17" s="17"/>
      <c r="AN17" s="17"/>
      <c r="AO17" s="17"/>
      <c r="AP17" s="17"/>
      <c r="AQ17" s="17"/>
      <c r="AR17" s="17"/>
      <c r="AS17" s="17"/>
      <c r="AT17" s="17"/>
      <c r="AU17" s="17"/>
      <c r="AV17" s="17"/>
      <c r="AW17" s="17" t="s">
        <v>86</v>
      </c>
      <c r="AX17" s="17"/>
      <c r="AY17" s="17"/>
      <c r="AZ17" s="17"/>
      <c r="BA17" s="17"/>
      <c r="BB17" s="17"/>
      <c r="BC17" s="17"/>
      <c r="BD17" s="17"/>
      <c r="BE17" s="17"/>
      <c r="BF17" s="17"/>
      <c r="BG17" s="17"/>
      <c r="BH17" s="17"/>
      <c r="BI17" s="17"/>
      <c r="BJ17" s="17"/>
      <c r="BK17" s="17"/>
      <c r="BL17" s="17" t="s">
        <v>49</v>
      </c>
      <c r="BM17" s="17"/>
      <c r="BN17" s="17"/>
      <c r="BO17" s="17"/>
      <c r="BP17" s="17"/>
      <c r="BQ17" s="17" t="s">
        <v>44</v>
      </c>
      <c r="BR17" s="17"/>
      <c r="BS17" s="17"/>
      <c r="BT17" s="17"/>
      <c r="BU17" s="17"/>
      <c r="BV17" s="17"/>
      <c r="BW17" s="17"/>
      <c r="BX17" s="17"/>
      <c r="BY17" s="17"/>
      <c r="BZ17" s="17"/>
      <c r="CA17" s="17"/>
      <c r="CB17" s="17"/>
      <c r="CC17" s="17"/>
      <c r="CD17" s="17"/>
      <c r="CE17" s="17"/>
      <c r="CF17" s="17"/>
      <c r="CG17" s="17"/>
      <c r="CH17" s="17"/>
      <c r="CI17" s="17"/>
      <c r="CJ17" s="17"/>
      <c r="CK17" s="17"/>
      <c r="CL17" s="17"/>
      <c r="CM17" s="17" t="s">
        <v>87</v>
      </c>
      <c r="CN17" s="17"/>
      <c r="CO17" s="17"/>
      <c r="CP17" s="17"/>
      <c r="CQ17" s="17"/>
      <c r="CR17" s="17"/>
      <c r="CS17" s="17"/>
      <c r="CT17" s="17"/>
      <c r="CU17" s="17"/>
      <c r="CV17" s="17"/>
      <c r="CW17" s="17"/>
      <c r="CX17" s="17"/>
      <c r="CY17" s="17"/>
      <c r="CZ17" s="17"/>
      <c r="DA17" s="17"/>
      <c r="DB17" s="17"/>
      <c r="DC17" s="17"/>
      <c r="DD17" s="17"/>
      <c r="DE17" s="17"/>
      <c r="DF17" s="17"/>
      <c r="DG17" s="17"/>
      <c r="DH17" s="17"/>
      <c r="DI17" s="17"/>
    </row>
    <row r="18" spans="2:113" x14ac:dyDescent="0.55000000000000004">
      <c r="B18" s="1">
        <v>17</v>
      </c>
      <c r="C18" s="17" t="s">
        <v>84</v>
      </c>
      <c r="D18" s="17"/>
      <c r="E18" s="17"/>
      <c r="F18" s="17"/>
      <c r="G18" s="17"/>
      <c r="H18" s="17"/>
      <c r="I18" s="17"/>
      <c r="J18" s="17"/>
      <c r="K18" s="17"/>
      <c r="L18" s="17"/>
      <c r="M18" s="17"/>
      <c r="N18" s="17"/>
      <c r="O18" s="17"/>
      <c r="P18" s="17" t="s">
        <v>75</v>
      </c>
      <c r="Q18" s="17"/>
      <c r="R18" s="17"/>
      <c r="S18" s="17"/>
      <c r="T18" s="17"/>
      <c r="U18" s="13">
        <v>12</v>
      </c>
      <c r="V18" s="14"/>
      <c r="W18" s="14"/>
      <c r="X18" s="14"/>
      <c r="Y18" s="15"/>
      <c r="Z18" s="13">
        <v>6</v>
      </c>
      <c r="AA18" s="14"/>
      <c r="AB18" s="14"/>
      <c r="AC18" s="14"/>
      <c r="AD18" s="15"/>
      <c r="AE18" s="17" t="s">
        <v>88</v>
      </c>
      <c r="AF18" s="17"/>
      <c r="AG18" s="17"/>
      <c r="AH18" s="17"/>
      <c r="AI18" s="17"/>
      <c r="AJ18" s="17"/>
      <c r="AK18" s="17"/>
      <c r="AL18" s="17"/>
      <c r="AM18" s="17"/>
      <c r="AN18" s="17"/>
      <c r="AO18" s="17"/>
      <c r="AP18" s="17"/>
      <c r="AQ18" s="17"/>
      <c r="AR18" s="17"/>
      <c r="AS18" s="17"/>
      <c r="AT18" s="17"/>
      <c r="AU18" s="17"/>
      <c r="AV18" s="17"/>
      <c r="AW18" s="17" t="s">
        <v>89</v>
      </c>
      <c r="AX18" s="17"/>
      <c r="AY18" s="17"/>
      <c r="AZ18" s="17"/>
      <c r="BA18" s="17"/>
      <c r="BB18" s="17"/>
      <c r="BC18" s="17"/>
      <c r="BD18" s="17"/>
      <c r="BE18" s="17"/>
      <c r="BF18" s="17"/>
      <c r="BG18" s="17"/>
      <c r="BH18" s="17"/>
      <c r="BI18" s="17"/>
      <c r="BJ18" s="17"/>
      <c r="BK18" s="17"/>
      <c r="BL18" s="17" t="s">
        <v>90</v>
      </c>
      <c r="BM18" s="17"/>
      <c r="BN18" s="17"/>
      <c r="BO18" s="17"/>
      <c r="BP18" s="17"/>
      <c r="BQ18" s="17" t="s">
        <v>91</v>
      </c>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row>
    <row r="19" spans="2:113" x14ac:dyDescent="0.55000000000000004">
      <c r="B19" s="1">
        <v>18</v>
      </c>
      <c r="C19" s="17" t="s">
        <v>84</v>
      </c>
      <c r="D19" s="17"/>
      <c r="E19" s="17"/>
      <c r="F19" s="17"/>
      <c r="G19" s="17"/>
      <c r="H19" s="17"/>
      <c r="I19" s="17"/>
      <c r="J19" s="17"/>
      <c r="K19" s="17"/>
      <c r="L19" s="17"/>
      <c r="M19" s="17"/>
      <c r="N19" s="17"/>
      <c r="O19" s="17"/>
      <c r="P19" s="17" t="s">
        <v>75</v>
      </c>
      <c r="Q19" s="17"/>
      <c r="R19" s="17"/>
      <c r="S19" s="17"/>
      <c r="T19" s="17"/>
      <c r="U19" s="13">
        <v>12</v>
      </c>
      <c r="V19" s="14"/>
      <c r="W19" s="14"/>
      <c r="X19" s="14"/>
      <c r="Y19" s="15"/>
      <c r="Z19" s="13">
        <v>6</v>
      </c>
      <c r="AA19" s="14"/>
      <c r="AB19" s="14"/>
      <c r="AC19" s="14"/>
      <c r="AD19" s="15"/>
      <c r="AE19" s="17" t="s">
        <v>92</v>
      </c>
      <c r="AF19" s="17"/>
      <c r="AG19" s="17"/>
      <c r="AH19" s="17"/>
      <c r="AI19" s="17"/>
      <c r="AJ19" s="17"/>
      <c r="AK19" s="17"/>
      <c r="AL19" s="17"/>
      <c r="AM19" s="17"/>
      <c r="AN19" s="17"/>
      <c r="AO19" s="17"/>
      <c r="AP19" s="17"/>
      <c r="AQ19" s="17"/>
      <c r="AR19" s="17"/>
      <c r="AS19" s="17"/>
      <c r="AT19" s="17"/>
      <c r="AU19" s="17"/>
      <c r="AV19" s="17"/>
      <c r="AW19" s="17" t="s">
        <v>93</v>
      </c>
      <c r="AX19" s="17"/>
      <c r="AY19" s="17"/>
      <c r="AZ19" s="17"/>
      <c r="BA19" s="17"/>
      <c r="BB19" s="17"/>
      <c r="BC19" s="17"/>
      <c r="BD19" s="17"/>
      <c r="BE19" s="17"/>
      <c r="BF19" s="17"/>
      <c r="BG19" s="17"/>
      <c r="BH19" s="17"/>
      <c r="BI19" s="17"/>
      <c r="BJ19" s="17"/>
      <c r="BK19" s="17"/>
      <c r="BL19" s="17" t="s">
        <v>94</v>
      </c>
      <c r="BM19" s="17"/>
      <c r="BN19" s="17"/>
      <c r="BO19" s="17"/>
      <c r="BP19" s="17"/>
      <c r="BQ19" s="17" t="s">
        <v>95</v>
      </c>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row>
    <row r="20" spans="2:113" x14ac:dyDescent="0.55000000000000004">
      <c r="B20" s="1">
        <v>19</v>
      </c>
      <c r="C20" s="17" t="s">
        <v>84</v>
      </c>
      <c r="D20" s="17"/>
      <c r="E20" s="17"/>
      <c r="F20" s="17"/>
      <c r="G20" s="17"/>
      <c r="H20" s="17"/>
      <c r="I20" s="17"/>
      <c r="J20" s="17"/>
      <c r="K20" s="17"/>
      <c r="L20" s="17"/>
      <c r="M20" s="17"/>
      <c r="N20" s="17"/>
      <c r="O20" s="17"/>
      <c r="P20" s="17" t="s">
        <v>35</v>
      </c>
      <c r="Q20" s="17"/>
      <c r="R20" s="17"/>
      <c r="S20" s="17"/>
      <c r="T20" s="17"/>
      <c r="U20" s="13">
        <v>8</v>
      </c>
      <c r="V20" s="14"/>
      <c r="W20" s="14"/>
      <c r="X20" s="14"/>
      <c r="Y20" s="15"/>
      <c r="Z20" s="13">
        <v>4</v>
      </c>
      <c r="AA20" s="14"/>
      <c r="AB20" s="14"/>
      <c r="AC20" s="14"/>
      <c r="AD20" s="15"/>
      <c r="AE20" s="17" t="s">
        <v>96</v>
      </c>
      <c r="AF20" s="17"/>
      <c r="AG20" s="17"/>
      <c r="AH20" s="17"/>
      <c r="AI20" s="17"/>
      <c r="AJ20" s="17"/>
      <c r="AK20" s="17"/>
      <c r="AL20" s="17"/>
      <c r="AM20" s="17"/>
      <c r="AN20" s="17"/>
      <c r="AO20" s="17"/>
      <c r="AP20" s="17"/>
      <c r="AQ20" s="17"/>
      <c r="AR20" s="17"/>
      <c r="AS20" s="17"/>
      <c r="AT20" s="17"/>
      <c r="AU20" s="17"/>
      <c r="AV20" s="17"/>
      <c r="AW20" s="17" t="s">
        <v>97</v>
      </c>
      <c r="AX20" s="17"/>
      <c r="AY20" s="17"/>
      <c r="AZ20" s="17"/>
      <c r="BA20" s="17"/>
      <c r="BB20" s="17"/>
      <c r="BC20" s="17"/>
      <c r="BD20" s="17"/>
      <c r="BE20" s="17"/>
      <c r="BF20" s="17"/>
      <c r="BG20" s="17"/>
      <c r="BH20" s="17"/>
      <c r="BI20" s="17"/>
      <c r="BJ20" s="17"/>
      <c r="BK20" s="17"/>
      <c r="BL20" s="17" t="s">
        <v>98</v>
      </c>
      <c r="BM20" s="17"/>
      <c r="BN20" s="17"/>
      <c r="BO20" s="17"/>
      <c r="BP20" s="17"/>
      <c r="BQ20" s="17" t="s">
        <v>95</v>
      </c>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row>
    <row r="21" spans="2:113" x14ac:dyDescent="0.55000000000000004">
      <c r="B21" s="1">
        <v>20</v>
      </c>
      <c r="C21" s="17" t="s">
        <v>84</v>
      </c>
      <c r="D21" s="17"/>
      <c r="E21" s="17"/>
      <c r="F21" s="17"/>
      <c r="G21" s="17"/>
      <c r="H21" s="17"/>
      <c r="I21" s="17"/>
      <c r="J21" s="17"/>
      <c r="K21" s="17"/>
      <c r="L21" s="17"/>
      <c r="M21" s="17"/>
      <c r="N21" s="17"/>
      <c r="O21" s="17"/>
      <c r="P21" s="17" t="s">
        <v>35</v>
      </c>
      <c r="Q21" s="17"/>
      <c r="R21" s="17"/>
      <c r="S21" s="17"/>
      <c r="T21" s="17"/>
      <c r="U21" s="13">
        <v>8</v>
      </c>
      <c r="V21" s="14"/>
      <c r="W21" s="14"/>
      <c r="X21" s="14"/>
      <c r="Y21" s="15"/>
      <c r="Z21" s="13">
        <v>4</v>
      </c>
      <c r="AA21" s="14"/>
      <c r="AB21" s="14"/>
      <c r="AC21" s="14"/>
      <c r="AD21" s="15"/>
      <c r="AE21" s="17" t="s">
        <v>99</v>
      </c>
      <c r="AF21" s="17"/>
      <c r="AG21" s="17"/>
      <c r="AH21" s="17"/>
      <c r="AI21" s="17"/>
      <c r="AJ21" s="17"/>
      <c r="AK21" s="17"/>
      <c r="AL21" s="17"/>
      <c r="AM21" s="17"/>
      <c r="AN21" s="17"/>
      <c r="AO21" s="17"/>
      <c r="AP21" s="17"/>
      <c r="AQ21" s="17"/>
      <c r="AR21" s="17"/>
      <c r="AS21" s="17"/>
      <c r="AT21" s="17"/>
      <c r="AU21" s="17"/>
      <c r="AV21" s="17"/>
      <c r="AW21" s="17" t="s">
        <v>100</v>
      </c>
      <c r="AX21" s="17"/>
      <c r="AY21" s="17"/>
      <c r="AZ21" s="17"/>
      <c r="BA21" s="17"/>
      <c r="BB21" s="17"/>
      <c r="BC21" s="17"/>
      <c r="BD21" s="17"/>
      <c r="BE21" s="17"/>
      <c r="BF21" s="17"/>
      <c r="BG21" s="17"/>
      <c r="BH21" s="17"/>
      <c r="BI21" s="17"/>
      <c r="BJ21" s="17"/>
      <c r="BK21" s="17"/>
      <c r="BL21" s="17" t="s">
        <v>101</v>
      </c>
      <c r="BM21" s="17"/>
      <c r="BN21" s="17"/>
      <c r="BO21" s="17"/>
      <c r="BP21" s="17"/>
      <c r="BQ21" s="17" t="s">
        <v>95</v>
      </c>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row>
    <row r="22" spans="2:113" x14ac:dyDescent="0.55000000000000004">
      <c r="B22" s="1">
        <v>21</v>
      </c>
      <c r="C22" s="17" t="s">
        <v>84</v>
      </c>
      <c r="D22" s="17"/>
      <c r="E22" s="17"/>
      <c r="F22" s="17"/>
      <c r="G22" s="17"/>
      <c r="H22" s="17"/>
      <c r="I22" s="17"/>
      <c r="J22" s="17"/>
      <c r="K22" s="17"/>
      <c r="L22" s="17"/>
      <c r="M22" s="17"/>
      <c r="N22" s="17"/>
      <c r="O22" s="17"/>
      <c r="P22" s="17" t="s">
        <v>65</v>
      </c>
      <c r="Q22" s="17"/>
      <c r="R22" s="17"/>
      <c r="S22" s="17"/>
      <c r="T22" s="17"/>
      <c r="U22" s="13">
        <v>10</v>
      </c>
      <c r="V22" s="14"/>
      <c r="W22" s="14"/>
      <c r="X22" s="14"/>
      <c r="Y22" s="15"/>
      <c r="Z22" s="13">
        <v>6</v>
      </c>
      <c r="AA22" s="14"/>
      <c r="AB22" s="14"/>
      <c r="AC22" s="14"/>
      <c r="AD22" s="15"/>
      <c r="AE22" s="17" t="s">
        <v>102</v>
      </c>
      <c r="AF22" s="17"/>
      <c r="AG22" s="17"/>
      <c r="AH22" s="17"/>
      <c r="AI22" s="17"/>
      <c r="AJ22" s="17"/>
      <c r="AK22" s="17"/>
      <c r="AL22" s="17"/>
      <c r="AM22" s="17"/>
      <c r="AN22" s="17"/>
      <c r="AO22" s="17"/>
      <c r="AP22" s="17"/>
      <c r="AQ22" s="17"/>
      <c r="AR22" s="17"/>
      <c r="AS22" s="17"/>
      <c r="AT22" s="17"/>
      <c r="AU22" s="17"/>
      <c r="AV22" s="17"/>
      <c r="AW22" s="17" t="s">
        <v>103</v>
      </c>
      <c r="AX22" s="17"/>
      <c r="AY22" s="17"/>
      <c r="AZ22" s="17"/>
      <c r="BA22" s="17"/>
      <c r="BB22" s="17"/>
      <c r="BC22" s="17"/>
      <c r="BD22" s="17"/>
      <c r="BE22" s="17"/>
      <c r="BF22" s="17"/>
      <c r="BG22" s="17"/>
      <c r="BH22" s="17"/>
      <c r="BI22" s="17"/>
      <c r="BJ22" s="17"/>
      <c r="BK22" s="17"/>
      <c r="BL22" s="17" t="s">
        <v>43</v>
      </c>
      <c r="BM22" s="17"/>
      <c r="BN22" s="17"/>
      <c r="BO22" s="17"/>
      <c r="BP22" s="17"/>
      <c r="BQ22" s="17" t="s">
        <v>44</v>
      </c>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row>
    <row r="23" spans="2:113" x14ac:dyDescent="0.55000000000000004">
      <c r="B23" s="1">
        <v>22</v>
      </c>
      <c r="C23" s="17" t="s">
        <v>104</v>
      </c>
      <c r="D23" s="17"/>
      <c r="E23" s="17"/>
      <c r="F23" s="17"/>
      <c r="G23" s="17"/>
      <c r="H23" s="17"/>
      <c r="I23" s="17"/>
      <c r="J23" s="17"/>
      <c r="K23" s="17"/>
      <c r="L23" s="17"/>
      <c r="M23" s="17"/>
      <c r="N23" s="17"/>
      <c r="O23" s="17"/>
      <c r="P23" s="17" t="s">
        <v>52</v>
      </c>
      <c r="Q23" s="17"/>
      <c r="R23" s="17"/>
      <c r="S23" s="17"/>
      <c r="T23" s="17"/>
      <c r="U23" s="13">
        <v>0</v>
      </c>
      <c r="V23" s="14"/>
      <c r="W23" s="14"/>
      <c r="X23" s="14"/>
      <c r="Y23" s="15"/>
      <c r="Z23" s="13">
        <v>0</v>
      </c>
      <c r="AA23" s="14"/>
      <c r="AB23" s="14"/>
      <c r="AC23" s="14"/>
      <c r="AD23" s="15"/>
      <c r="AE23" s="17" t="s">
        <v>105</v>
      </c>
      <c r="AF23" s="17"/>
      <c r="AG23" s="17"/>
      <c r="AH23" s="17"/>
      <c r="AI23" s="17"/>
      <c r="AJ23" s="17"/>
      <c r="AK23" s="17"/>
      <c r="AL23" s="17"/>
      <c r="AM23" s="17"/>
      <c r="AN23" s="17"/>
      <c r="AO23" s="17"/>
      <c r="AP23" s="17"/>
      <c r="AQ23" s="17"/>
      <c r="AR23" s="17"/>
      <c r="AS23" s="17"/>
      <c r="AT23" s="17"/>
      <c r="AU23" s="17"/>
      <c r="AV23" s="17"/>
      <c r="AW23" s="17" t="s">
        <v>106</v>
      </c>
      <c r="AX23" s="17"/>
      <c r="AY23" s="17"/>
      <c r="AZ23" s="17"/>
      <c r="BA23" s="17"/>
      <c r="BB23" s="17"/>
      <c r="BC23" s="17"/>
      <c r="BD23" s="17"/>
      <c r="BE23" s="17"/>
      <c r="BF23" s="17"/>
      <c r="BG23" s="17"/>
      <c r="BH23" s="17"/>
      <c r="BI23" s="17"/>
      <c r="BJ23" s="17"/>
      <c r="BK23" s="17"/>
      <c r="BL23" s="17" t="s">
        <v>38</v>
      </c>
      <c r="BM23" s="17"/>
      <c r="BN23" s="17"/>
      <c r="BO23" s="17"/>
      <c r="BP23" s="17"/>
      <c r="BQ23" s="17" t="s">
        <v>44</v>
      </c>
      <c r="BR23" s="17"/>
      <c r="BS23" s="17"/>
      <c r="BT23" s="17"/>
      <c r="BU23" s="17"/>
      <c r="BV23" s="17"/>
      <c r="BW23" s="17"/>
      <c r="BX23" s="17"/>
      <c r="BY23" s="17"/>
      <c r="BZ23" s="17"/>
      <c r="CA23" s="17"/>
      <c r="CB23" s="17"/>
      <c r="CC23" s="17"/>
      <c r="CD23" s="17"/>
      <c r="CE23" s="17"/>
      <c r="CF23" s="17"/>
      <c r="CG23" s="17"/>
      <c r="CH23" s="17"/>
      <c r="CI23" s="17"/>
      <c r="CJ23" s="17"/>
      <c r="CK23" s="17"/>
      <c r="CL23" s="17"/>
      <c r="CM23" s="17" t="s">
        <v>107</v>
      </c>
      <c r="CN23" s="17"/>
      <c r="CO23" s="17"/>
      <c r="CP23" s="17"/>
      <c r="CQ23" s="17"/>
      <c r="CR23" s="17"/>
      <c r="CS23" s="17"/>
      <c r="CT23" s="17"/>
      <c r="CU23" s="17"/>
      <c r="CV23" s="17"/>
      <c r="CW23" s="17"/>
      <c r="CX23" s="17"/>
      <c r="CY23" s="17"/>
      <c r="CZ23" s="17"/>
      <c r="DA23" s="17"/>
      <c r="DB23" s="17"/>
      <c r="DC23" s="17"/>
      <c r="DD23" s="17"/>
      <c r="DE23" s="17"/>
      <c r="DF23" s="17"/>
      <c r="DG23" s="17"/>
      <c r="DH23" s="17"/>
      <c r="DI23" s="17"/>
    </row>
    <row r="24" spans="2:113" x14ac:dyDescent="0.55000000000000004">
      <c r="B24" s="1">
        <v>23</v>
      </c>
      <c r="C24" s="17" t="s">
        <v>104</v>
      </c>
      <c r="D24" s="17"/>
      <c r="E24" s="17"/>
      <c r="F24" s="17"/>
      <c r="G24" s="17"/>
      <c r="H24" s="17"/>
      <c r="I24" s="17"/>
      <c r="J24" s="17"/>
      <c r="K24" s="17"/>
      <c r="L24" s="17"/>
      <c r="M24" s="17"/>
      <c r="N24" s="17"/>
      <c r="O24" s="17"/>
      <c r="P24" s="17" t="s">
        <v>71</v>
      </c>
      <c r="Q24" s="17"/>
      <c r="R24" s="17"/>
      <c r="S24" s="17"/>
      <c r="T24" s="17"/>
      <c r="U24" s="13">
        <v>4</v>
      </c>
      <c r="V24" s="14"/>
      <c r="W24" s="14"/>
      <c r="X24" s="14"/>
      <c r="Y24" s="15"/>
      <c r="Z24" s="13">
        <v>2</v>
      </c>
      <c r="AA24" s="14"/>
      <c r="AB24" s="14"/>
      <c r="AC24" s="14"/>
      <c r="AD24" s="15"/>
      <c r="AE24" s="18" t="s">
        <v>108</v>
      </c>
      <c r="AF24" s="18"/>
      <c r="AG24" s="18"/>
      <c r="AH24" s="18"/>
      <c r="AI24" s="18"/>
      <c r="AJ24" s="18"/>
      <c r="AK24" s="18"/>
      <c r="AL24" s="18"/>
      <c r="AM24" s="18"/>
      <c r="AN24" s="18"/>
      <c r="AO24" s="18"/>
      <c r="AP24" s="18"/>
      <c r="AQ24" s="18"/>
      <c r="AR24" s="18"/>
      <c r="AS24" s="18"/>
      <c r="AT24" s="18"/>
      <c r="AU24" s="18"/>
      <c r="AV24" s="18"/>
      <c r="AW24" s="17" t="s">
        <v>109</v>
      </c>
      <c r="AX24" s="17"/>
      <c r="AY24" s="17"/>
      <c r="AZ24" s="17"/>
      <c r="BA24" s="17"/>
      <c r="BB24" s="17"/>
      <c r="BC24" s="17"/>
      <c r="BD24" s="17"/>
      <c r="BE24" s="17"/>
      <c r="BF24" s="17"/>
      <c r="BG24" s="17"/>
      <c r="BH24" s="17"/>
      <c r="BI24" s="17"/>
      <c r="BJ24" s="17"/>
      <c r="BK24" s="17"/>
      <c r="BL24" s="17" t="s">
        <v>38</v>
      </c>
      <c r="BM24" s="17"/>
      <c r="BN24" s="17"/>
      <c r="BO24" s="17"/>
      <c r="BP24" s="17"/>
      <c r="BQ24" s="17" t="s">
        <v>44</v>
      </c>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row>
    <row r="25" spans="2:113" x14ac:dyDescent="0.55000000000000004">
      <c r="B25" s="1">
        <v>24</v>
      </c>
      <c r="C25" s="17" t="s">
        <v>104</v>
      </c>
      <c r="D25" s="17"/>
      <c r="E25" s="17"/>
      <c r="F25" s="17"/>
      <c r="G25" s="17"/>
      <c r="H25" s="17"/>
      <c r="I25" s="17"/>
      <c r="J25" s="17"/>
      <c r="K25" s="17"/>
      <c r="L25" s="17"/>
      <c r="M25" s="17"/>
      <c r="N25" s="17"/>
      <c r="O25" s="17"/>
      <c r="P25" s="17" t="s">
        <v>35</v>
      </c>
      <c r="Q25" s="17"/>
      <c r="R25" s="17"/>
      <c r="S25" s="17"/>
      <c r="T25" s="17"/>
      <c r="U25" s="13">
        <v>8</v>
      </c>
      <c r="V25" s="14"/>
      <c r="W25" s="14"/>
      <c r="X25" s="14"/>
      <c r="Y25" s="15"/>
      <c r="Z25" s="13">
        <v>4</v>
      </c>
      <c r="AA25" s="14"/>
      <c r="AB25" s="14"/>
      <c r="AC25" s="14"/>
      <c r="AD25" s="15"/>
      <c r="AE25" s="18" t="s">
        <v>110</v>
      </c>
      <c r="AF25" s="18"/>
      <c r="AG25" s="18"/>
      <c r="AH25" s="18"/>
      <c r="AI25" s="18"/>
      <c r="AJ25" s="18"/>
      <c r="AK25" s="18"/>
      <c r="AL25" s="18"/>
      <c r="AM25" s="18"/>
      <c r="AN25" s="18"/>
      <c r="AO25" s="18"/>
      <c r="AP25" s="18"/>
      <c r="AQ25" s="18"/>
      <c r="AR25" s="18"/>
      <c r="AS25" s="18"/>
      <c r="AT25" s="18"/>
      <c r="AU25" s="18"/>
      <c r="AV25" s="18"/>
      <c r="AW25" s="17" t="s">
        <v>111</v>
      </c>
      <c r="AX25" s="17"/>
      <c r="AY25" s="17"/>
      <c r="AZ25" s="17"/>
      <c r="BA25" s="17"/>
      <c r="BB25" s="17"/>
      <c r="BC25" s="17"/>
      <c r="BD25" s="17"/>
      <c r="BE25" s="17"/>
      <c r="BF25" s="17"/>
      <c r="BG25" s="17"/>
      <c r="BH25" s="17"/>
      <c r="BI25" s="17"/>
      <c r="BJ25" s="17"/>
      <c r="BK25" s="17"/>
      <c r="BL25" s="17" t="s">
        <v>38</v>
      </c>
      <c r="BM25" s="17"/>
      <c r="BN25" s="17"/>
      <c r="BO25" s="17"/>
      <c r="BP25" s="17"/>
      <c r="BQ25" s="17" t="s">
        <v>44</v>
      </c>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row>
    <row r="26" spans="2:113" x14ac:dyDescent="0.55000000000000004">
      <c r="B26" s="1">
        <v>25</v>
      </c>
      <c r="C26" s="17" t="s">
        <v>104</v>
      </c>
      <c r="D26" s="17"/>
      <c r="E26" s="17"/>
      <c r="F26" s="17"/>
      <c r="G26" s="17"/>
      <c r="H26" s="17"/>
      <c r="I26" s="17"/>
      <c r="J26" s="17"/>
      <c r="K26" s="17"/>
      <c r="L26" s="17"/>
      <c r="M26" s="17"/>
      <c r="N26" s="17"/>
      <c r="O26" s="17"/>
      <c r="P26" s="17" t="s">
        <v>52</v>
      </c>
      <c r="Q26" s="17"/>
      <c r="R26" s="17"/>
      <c r="S26" s="17"/>
      <c r="T26" s="17"/>
      <c r="U26" s="13">
        <v>0</v>
      </c>
      <c r="V26" s="14"/>
      <c r="W26" s="14"/>
      <c r="X26" s="14"/>
      <c r="Y26" s="15"/>
      <c r="Z26" s="13">
        <v>0</v>
      </c>
      <c r="AA26" s="14"/>
      <c r="AB26" s="14"/>
      <c r="AC26" s="14"/>
      <c r="AD26" s="15"/>
      <c r="AE26" s="17" t="s">
        <v>112</v>
      </c>
      <c r="AF26" s="17"/>
      <c r="AG26" s="17"/>
      <c r="AH26" s="17"/>
      <c r="AI26" s="17"/>
      <c r="AJ26" s="17"/>
      <c r="AK26" s="17"/>
      <c r="AL26" s="17"/>
      <c r="AM26" s="17"/>
      <c r="AN26" s="17"/>
      <c r="AO26" s="17"/>
      <c r="AP26" s="17"/>
      <c r="AQ26" s="17"/>
      <c r="AR26" s="17"/>
      <c r="AS26" s="17"/>
      <c r="AT26" s="17"/>
      <c r="AU26" s="17"/>
      <c r="AV26" s="17"/>
      <c r="AW26" s="17" t="s">
        <v>113</v>
      </c>
      <c r="AX26" s="17"/>
      <c r="AY26" s="17"/>
      <c r="AZ26" s="17"/>
      <c r="BA26" s="17"/>
      <c r="BB26" s="17"/>
      <c r="BC26" s="17"/>
      <c r="BD26" s="17"/>
      <c r="BE26" s="17"/>
      <c r="BF26" s="17"/>
      <c r="BG26" s="17"/>
      <c r="BH26" s="17"/>
      <c r="BI26" s="17"/>
      <c r="BJ26" s="17"/>
      <c r="BK26" s="17"/>
      <c r="BL26" s="17" t="s">
        <v>38</v>
      </c>
      <c r="BM26" s="17"/>
      <c r="BN26" s="17"/>
      <c r="BO26" s="17"/>
      <c r="BP26" s="17"/>
      <c r="BQ26" s="17" t="s">
        <v>44</v>
      </c>
      <c r="BR26" s="17"/>
      <c r="BS26" s="17"/>
      <c r="BT26" s="17"/>
      <c r="BU26" s="17"/>
      <c r="BV26" s="17"/>
      <c r="BW26" s="17"/>
      <c r="BX26" s="17"/>
      <c r="BY26" s="17"/>
      <c r="BZ26" s="17"/>
      <c r="CA26" s="17"/>
      <c r="CB26" s="17"/>
      <c r="CC26" s="17"/>
      <c r="CD26" s="17"/>
      <c r="CE26" s="17"/>
      <c r="CF26" s="17"/>
      <c r="CG26" s="17"/>
      <c r="CH26" s="17"/>
      <c r="CI26" s="17"/>
      <c r="CJ26" s="17"/>
      <c r="CK26" s="17"/>
      <c r="CL26" s="17"/>
      <c r="CM26" s="17" t="s">
        <v>107</v>
      </c>
      <c r="CN26" s="17"/>
      <c r="CO26" s="17"/>
      <c r="CP26" s="17"/>
      <c r="CQ26" s="17"/>
      <c r="CR26" s="17"/>
      <c r="CS26" s="17"/>
      <c r="CT26" s="17"/>
      <c r="CU26" s="17"/>
      <c r="CV26" s="17"/>
      <c r="CW26" s="17"/>
      <c r="CX26" s="17"/>
      <c r="CY26" s="17"/>
      <c r="CZ26" s="17"/>
      <c r="DA26" s="17"/>
      <c r="DB26" s="17"/>
      <c r="DC26" s="17"/>
      <c r="DD26" s="17"/>
      <c r="DE26" s="17"/>
      <c r="DF26" s="17"/>
      <c r="DG26" s="17"/>
      <c r="DH26" s="17"/>
      <c r="DI26" s="17"/>
    </row>
    <row r="27" spans="2:113" x14ac:dyDescent="0.55000000000000004">
      <c r="B27" s="1">
        <v>26</v>
      </c>
      <c r="C27" s="17" t="s">
        <v>104</v>
      </c>
      <c r="D27" s="17"/>
      <c r="E27" s="17"/>
      <c r="F27" s="17"/>
      <c r="G27" s="17"/>
      <c r="H27" s="17"/>
      <c r="I27" s="17"/>
      <c r="J27" s="17"/>
      <c r="K27" s="17"/>
      <c r="L27" s="17"/>
      <c r="M27" s="17"/>
      <c r="N27" s="17"/>
      <c r="O27" s="17"/>
      <c r="P27" s="17" t="s">
        <v>52</v>
      </c>
      <c r="Q27" s="17"/>
      <c r="R27" s="17"/>
      <c r="S27" s="17"/>
      <c r="T27" s="17"/>
      <c r="U27" s="13">
        <v>0</v>
      </c>
      <c r="V27" s="14"/>
      <c r="W27" s="14"/>
      <c r="X27" s="14"/>
      <c r="Y27" s="15"/>
      <c r="Z27" s="13">
        <v>0</v>
      </c>
      <c r="AA27" s="14"/>
      <c r="AB27" s="14"/>
      <c r="AC27" s="14"/>
      <c r="AD27" s="15"/>
      <c r="AE27" s="17" t="s">
        <v>114</v>
      </c>
      <c r="AF27" s="17"/>
      <c r="AG27" s="17"/>
      <c r="AH27" s="17"/>
      <c r="AI27" s="17"/>
      <c r="AJ27" s="17"/>
      <c r="AK27" s="17"/>
      <c r="AL27" s="17"/>
      <c r="AM27" s="17"/>
      <c r="AN27" s="17"/>
      <c r="AO27" s="17"/>
      <c r="AP27" s="17"/>
      <c r="AQ27" s="17"/>
      <c r="AR27" s="17"/>
      <c r="AS27" s="17"/>
      <c r="AT27" s="17"/>
      <c r="AU27" s="17"/>
      <c r="AV27" s="17"/>
      <c r="AW27" s="17" t="s">
        <v>115</v>
      </c>
      <c r="AX27" s="17"/>
      <c r="AY27" s="17"/>
      <c r="AZ27" s="17"/>
      <c r="BA27" s="17"/>
      <c r="BB27" s="17"/>
      <c r="BC27" s="17"/>
      <c r="BD27" s="17"/>
      <c r="BE27" s="17"/>
      <c r="BF27" s="17"/>
      <c r="BG27" s="17"/>
      <c r="BH27" s="17"/>
      <c r="BI27" s="17"/>
      <c r="BJ27" s="17"/>
      <c r="BK27" s="17"/>
      <c r="BL27" s="17" t="s">
        <v>38</v>
      </c>
      <c r="BM27" s="17"/>
      <c r="BN27" s="17"/>
      <c r="BO27" s="17"/>
      <c r="BP27" s="17"/>
      <c r="BQ27" s="17" t="s">
        <v>44</v>
      </c>
      <c r="BR27" s="17"/>
      <c r="BS27" s="17"/>
      <c r="BT27" s="17"/>
      <c r="BU27" s="17"/>
      <c r="BV27" s="17"/>
      <c r="BW27" s="17"/>
      <c r="BX27" s="17"/>
      <c r="BY27" s="17"/>
      <c r="BZ27" s="17"/>
      <c r="CA27" s="17"/>
      <c r="CB27" s="17"/>
      <c r="CC27" s="17"/>
      <c r="CD27" s="17"/>
      <c r="CE27" s="17"/>
      <c r="CF27" s="17"/>
      <c r="CG27" s="17"/>
      <c r="CH27" s="17"/>
      <c r="CI27" s="17"/>
      <c r="CJ27" s="17"/>
      <c r="CK27" s="17"/>
      <c r="CL27" s="17"/>
      <c r="CM27" s="17" t="s">
        <v>107</v>
      </c>
      <c r="CN27" s="17"/>
      <c r="CO27" s="17"/>
      <c r="CP27" s="17"/>
      <c r="CQ27" s="17"/>
      <c r="CR27" s="17"/>
      <c r="CS27" s="17"/>
      <c r="CT27" s="17"/>
      <c r="CU27" s="17"/>
      <c r="CV27" s="17"/>
      <c r="CW27" s="17"/>
      <c r="CX27" s="17"/>
      <c r="CY27" s="17"/>
      <c r="CZ27" s="17"/>
      <c r="DA27" s="17"/>
      <c r="DB27" s="17"/>
      <c r="DC27" s="17"/>
      <c r="DD27" s="17"/>
      <c r="DE27" s="17"/>
      <c r="DF27" s="17"/>
      <c r="DG27" s="17"/>
      <c r="DH27" s="17"/>
      <c r="DI27" s="17"/>
    </row>
    <row r="28" spans="2:113" x14ac:dyDescent="0.55000000000000004">
      <c r="B28" s="1">
        <v>27</v>
      </c>
      <c r="C28" s="17" t="s">
        <v>104</v>
      </c>
      <c r="D28" s="17"/>
      <c r="E28" s="17"/>
      <c r="F28" s="17"/>
      <c r="G28" s="17"/>
      <c r="H28" s="17"/>
      <c r="I28" s="17"/>
      <c r="J28" s="17"/>
      <c r="K28" s="17"/>
      <c r="L28" s="17"/>
      <c r="M28" s="17"/>
      <c r="N28" s="17"/>
      <c r="O28" s="17"/>
      <c r="P28" s="17" t="s">
        <v>52</v>
      </c>
      <c r="Q28" s="17"/>
      <c r="R28" s="17"/>
      <c r="S28" s="17"/>
      <c r="T28" s="17"/>
      <c r="U28" s="13">
        <v>0</v>
      </c>
      <c r="V28" s="14"/>
      <c r="W28" s="14"/>
      <c r="X28" s="14"/>
      <c r="Y28" s="15"/>
      <c r="Z28" s="13">
        <v>0</v>
      </c>
      <c r="AA28" s="14"/>
      <c r="AB28" s="14"/>
      <c r="AC28" s="14"/>
      <c r="AD28" s="15"/>
      <c r="AE28" s="17" t="s">
        <v>116</v>
      </c>
      <c r="AF28" s="17"/>
      <c r="AG28" s="17"/>
      <c r="AH28" s="17"/>
      <c r="AI28" s="17"/>
      <c r="AJ28" s="17"/>
      <c r="AK28" s="17"/>
      <c r="AL28" s="17"/>
      <c r="AM28" s="17"/>
      <c r="AN28" s="17"/>
      <c r="AO28" s="17"/>
      <c r="AP28" s="17"/>
      <c r="AQ28" s="17"/>
      <c r="AR28" s="17"/>
      <c r="AS28" s="17"/>
      <c r="AT28" s="17"/>
      <c r="AU28" s="17"/>
      <c r="AV28" s="17"/>
      <c r="AW28" s="17" t="s">
        <v>117</v>
      </c>
      <c r="AX28" s="17"/>
      <c r="AY28" s="17"/>
      <c r="AZ28" s="17"/>
      <c r="BA28" s="17"/>
      <c r="BB28" s="17"/>
      <c r="BC28" s="17"/>
      <c r="BD28" s="17"/>
      <c r="BE28" s="17"/>
      <c r="BF28" s="17"/>
      <c r="BG28" s="17"/>
      <c r="BH28" s="17"/>
      <c r="BI28" s="17"/>
      <c r="BJ28" s="17"/>
      <c r="BK28" s="17"/>
      <c r="BL28" s="17" t="s">
        <v>38</v>
      </c>
      <c r="BM28" s="17"/>
      <c r="BN28" s="17"/>
      <c r="BO28" s="17"/>
      <c r="BP28" s="17"/>
      <c r="BQ28" s="17" t="s">
        <v>44</v>
      </c>
      <c r="BR28" s="17"/>
      <c r="BS28" s="17"/>
      <c r="BT28" s="17"/>
      <c r="BU28" s="17"/>
      <c r="BV28" s="17"/>
      <c r="BW28" s="17"/>
      <c r="BX28" s="17"/>
      <c r="BY28" s="17"/>
      <c r="BZ28" s="17"/>
      <c r="CA28" s="17"/>
      <c r="CB28" s="17"/>
      <c r="CC28" s="17"/>
      <c r="CD28" s="17"/>
      <c r="CE28" s="17"/>
      <c r="CF28" s="17"/>
      <c r="CG28" s="17"/>
      <c r="CH28" s="17"/>
      <c r="CI28" s="17"/>
      <c r="CJ28" s="17"/>
      <c r="CK28" s="17"/>
      <c r="CL28" s="17"/>
      <c r="CM28" s="17" t="s">
        <v>107</v>
      </c>
      <c r="CN28" s="17"/>
      <c r="CO28" s="17"/>
      <c r="CP28" s="17"/>
      <c r="CQ28" s="17"/>
      <c r="CR28" s="17"/>
      <c r="CS28" s="17"/>
      <c r="CT28" s="17"/>
      <c r="CU28" s="17"/>
      <c r="CV28" s="17"/>
      <c r="CW28" s="17"/>
      <c r="CX28" s="17"/>
      <c r="CY28" s="17"/>
      <c r="CZ28" s="17"/>
      <c r="DA28" s="17"/>
      <c r="DB28" s="17"/>
      <c r="DC28" s="17"/>
      <c r="DD28" s="17"/>
      <c r="DE28" s="17"/>
      <c r="DF28" s="17"/>
      <c r="DG28" s="17"/>
      <c r="DH28" s="17"/>
      <c r="DI28" s="17"/>
    </row>
    <row r="29" spans="2:113" x14ac:dyDescent="0.55000000000000004">
      <c r="B29" s="1">
        <v>28</v>
      </c>
      <c r="C29" s="17" t="s">
        <v>104</v>
      </c>
      <c r="D29" s="17"/>
      <c r="E29" s="17"/>
      <c r="F29" s="17"/>
      <c r="G29" s="17"/>
      <c r="H29" s="17"/>
      <c r="I29" s="17"/>
      <c r="J29" s="17"/>
      <c r="K29" s="17"/>
      <c r="L29" s="17"/>
      <c r="M29" s="17"/>
      <c r="N29" s="17"/>
      <c r="O29" s="17"/>
      <c r="P29" s="17" t="s">
        <v>52</v>
      </c>
      <c r="Q29" s="17"/>
      <c r="R29" s="17"/>
      <c r="S29" s="17"/>
      <c r="T29" s="17"/>
      <c r="U29" s="13">
        <v>0</v>
      </c>
      <c r="V29" s="14"/>
      <c r="W29" s="14"/>
      <c r="X29" s="14"/>
      <c r="Y29" s="15"/>
      <c r="Z29" s="13">
        <v>0</v>
      </c>
      <c r="AA29" s="14"/>
      <c r="AB29" s="14"/>
      <c r="AC29" s="14"/>
      <c r="AD29" s="15"/>
      <c r="AE29" s="17" t="s">
        <v>118</v>
      </c>
      <c r="AF29" s="17"/>
      <c r="AG29" s="17"/>
      <c r="AH29" s="17"/>
      <c r="AI29" s="17"/>
      <c r="AJ29" s="17"/>
      <c r="AK29" s="17"/>
      <c r="AL29" s="17"/>
      <c r="AM29" s="17"/>
      <c r="AN29" s="17"/>
      <c r="AO29" s="17"/>
      <c r="AP29" s="17"/>
      <c r="AQ29" s="17"/>
      <c r="AR29" s="17"/>
      <c r="AS29" s="17"/>
      <c r="AT29" s="17"/>
      <c r="AU29" s="17"/>
      <c r="AV29" s="17"/>
      <c r="AW29" s="17" t="s">
        <v>119</v>
      </c>
      <c r="AX29" s="17"/>
      <c r="AY29" s="17"/>
      <c r="AZ29" s="17"/>
      <c r="BA29" s="17"/>
      <c r="BB29" s="17"/>
      <c r="BC29" s="17"/>
      <c r="BD29" s="17"/>
      <c r="BE29" s="17"/>
      <c r="BF29" s="17"/>
      <c r="BG29" s="17"/>
      <c r="BH29" s="17"/>
      <c r="BI29" s="17"/>
      <c r="BJ29" s="17"/>
      <c r="BK29" s="17"/>
      <c r="BL29" s="17" t="s">
        <v>38</v>
      </c>
      <c r="BM29" s="17"/>
      <c r="BN29" s="17"/>
      <c r="BO29" s="17"/>
      <c r="BP29" s="17"/>
      <c r="BQ29" s="17" t="s">
        <v>44</v>
      </c>
      <c r="BR29" s="17"/>
      <c r="BS29" s="17"/>
      <c r="BT29" s="17"/>
      <c r="BU29" s="17"/>
      <c r="BV29" s="17"/>
      <c r="BW29" s="17"/>
      <c r="BX29" s="17"/>
      <c r="BY29" s="17"/>
      <c r="BZ29" s="17"/>
      <c r="CA29" s="17"/>
      <c r="CB29" s="17"/>
      <c r="CC29" s="17"/>
      <c r="CD29" s="17"/>
      <c r="CE29" s="17"/>
      <c r="CF29" s="17"/>
      <c r="CG29" s="17"/>
      <c r="CH29" s="17"/>
      <c r="CI29" s="17"/>
      <c r="CJ29" s="17"/>
      <c r="CK29" s="17"/>
      <c r="CL29" s="17"/>
      <c r="CM29" s="17" t="s">
        <v>107</v>
      </c>
      <c r="CN29" s="17"/>
      <c r="CO29" s="17"/>
      <c r="CP29" s="17"/>
      <c r="CQ29" s="17"/>
      <c r="CR29" s="17"/>
      <c r="CS29" s="17"/>
      <c r="CT29" s="17"/>
      <c r="CU29" s="17"/>
      <c r="CV29" s="17"/>
      <c r="CW29" s="17"/>
      <c r="CX29" s="17"/>
      <c r="CY29" s="17"/>
      <c r="CZ29" s="17"/>
      <c r="DA29" s="17"/>
      <c r="DB29" s="17"/>
      <c r="DC29" s="17"/>
      <c r="DD29" s="17"/>
      <c r="DE29" s="17"/>
      <c r="DF29" s="17"/>
      <c r="DG29" s="17"/>
      <c r="DH29" s="17"/>
      <c r="DI29" s="17"/>
    </row>
    <row r="30" spans="2:113" x14ac:dyDescent="0.55000000000000004">
      <c r="B30" s="1">
        <v>29</v>
      </c>
      <c r="C30" s="17" t="s">
        <v>104</v>
      </c>
      <c r="D30" s="17"/>
      <c r="E30" s="17"/>
      <c r="F30" s="17"/>
      <c r="G30" s="17"/>
      <c r="H30" s="17"/>
      <c r="I30" s="17"/>
      <c r="J30" s="17"/>
      <c r="K30" s="17"/>
      <c r="L30" s="17"/>
      <c r="M30" s="17"/>
      <c r="N30" s="17"/>
      <c r="O30" s="17"/>
      <c r="P30" s="17" t="s">
        <v>71</v>
      </c>
      <c r="Q30" s="17"/>
      <c r="R30" s="17"/>
      <c r="S30" s="17"/>
      <c r="T30" s="17"/>
      <c r="U30" s="13">
        <v>4</v>
      </c>
      <c r="V30" s="14"/>
      <c r="W30" s="14"/>
      <c r="X30" s="14"/>
      <c r="Y30" s="15"/>
      <c r="Z30" s="13">
        <v>2</v>
      </c>
      <c r="AA30" s="14"/>
      <c r="AB30" s="14"/>
      <c r="AC30" s="14"/>
      <c r="AD30" s="15"/>
      <c r="AE30" s="18" t="s">
        <v>120</v>
      </c>
      <c r="AF30" s="18"/>
      <c r="AG30" s="18"/>
      <c r="AH30" s="18"/>
      <c r="AI30" s="18"/>
      <c r="AJ30" s="18"/>
      <c r="AK30" s="18"/>
      <c r="AL30" s="18"/>
      <c r="AM30" s="18"/>
      <c r="AN30" s="18"/>
      <c r="AO30" s="18"/>
      <c r="AP30" s="18"/>
      <c r="AQ30" s="18"/>
      <c r="AR30" s="18"/>
      <c r="AS30" s="18"/>
      <c r="AT30" s="18"/>
      <c r="AU30" s="18"/>
      <c r="AV30" s="18"/>
      <c r="AW30" s="17" t="s">
        <v>121</v>
      </c>
      <c r="AX30" s="17"/>
      <c r="AY30" s="17"/>
      <c r="AZ30" s="17"/>
      <c r="BA30" s="17"/>
      <c r="BB30" s="17"/>
      <c r="BC30" s="17"/>
      <c r="BD30" s="17"/>
      <c r="BE30" s="17"/>
      <c r="BF30" s="17"/>
      <c r="BG30" s="17"/>
      <c r="BH30" s="17"/>
      <c r="BI30" s="17"/>
      <c r="BJ30" s="17"/>
      <c r="BK30" s="17"/>
      <c r="BL30" s="17" t="s">
        <v>38</v>
      </c>
      <c r="BM30" s="17"/>
      <c r="BN30" s="17"/>
      <c r="BO30" s="17"/>
      <c r="BP30" s="17"/>
      <c r="BQ30" s="17" t="s">
        <v>44</v>
      </c>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row>
    <row r="31" spans="2:113" x14ac:dyDescent="0.55000000000000004">
      <c r="B31" s="1">
        <v>30</v>
      </c>
      <c r="C31" s="17" t="s">
        <v>104</v>
      </c>
      <c r="D31" s="17"/>
      <c r="E31" s="17"/>
      <c r="F31" s="17"/>
      <c r="G31" s="17"/>
      <c r="H31" s="17"/>
      <c r="I31" s="17"/>
      <c r="J31" s="17"/>
      <c r="K31" s="17"/>
      <c r="L31" s="17"/>
      <c r="M31" s="17"/>
      <c r="N31" s="17"/>
      <c r="O31" s="17"/>
      <c r="P31" s="17" t="s">
        <v>52</v>
      </c>
      <c r="Q31" s="17"/>
      <c r="R31" s="17"/>
      <c r="S31" s="17"/>
      <c r="T31" s="17"/>
      <c r="U31" s="13">
        <v>0</v>
      </c>
      <c r="V31" s="14"/>
      <c r="W31" s="14"/>
      <c r="X31" s="14"/>
      <c r="Y31" s="15"/>
      <c r="Z31" s="13">
        <v>0</v>
      </c>
      <c r="AA31" s="14"/>
      <c r="AB31" s="14"/>
      <c r="AC31" s="14"/>
      <c r="AD31" s="15"/>
      <c r="AE31" s="17" t="s">
        <v>122</v>
      </c>
      <c r="AF31" s="17"/>
      <c r="AG31" s="17"/>
      <c r="AH31" s="17"/>
      <c r="AI31" s="17"/>
      <c r="AJ31" s="17"/>
      <c r="AK31" s="17"/>
      <c r="AL31" s="17"/>
      <c r="AM31" s="17"/>
      <c r="AN31" s="17"/>
      <c r="AO31" s="17"/>
      <c r="AP31" s="17"/>
      <c r="AQ31" s="17"/>
      <c r="AR31" s="17"/>
      <c r="AS31" s="17"/>
      <c r="AT31" s="17"/>
      <c r="AU31" s="17"/>
      <c r="AV31" s="17"/>
      <c r="AW31" s="17" t="s">
        <v>123</v>
      </c>
      <c r="AX31" s="17"/>
      <c r="AY31" s="17"/>
      <c r="AZ31" s="17"/>
      <c r="BA31" s="17"/>
      <c r="BB31" s="17"/>
      <c r="BC31" s="17"/>
      <c r="BD31" s="17"/>
      <c r="BE31" s="17"/>
      <c r="BF31" s="17"/>
      <c r="BG31" s="17"/>
      <c r="BH31" s="17"/>
      <c r="BI31" s="17"/>
      <c r="BJ31" s="17"/>
      <c r="BK31" s="17"/>
      <c r="BL31" s="17" t="s">
        <v>38</v>
      </c>
      <c r="BM31" s="17"/>
      <c r="BN31" s="17"/>
      <c r="BO31" s="17"/>
      <c r="BP31" s="17"/>
      <c r="BQ31" s="17" t="s">
        <v>44</v>
      </c>
      <c r="BR31" s="17"/>
      <c r="BS31" s="17"/>
      <c r="BT31" s="17"/>
      <c r="BU31" s="17"/>
      <c r="BV31" s="17"/>
      <c r="BW31" s="17"/>
      <c r="BX31" s="17"/>
      <c r="BY31" s="17"/>
      <c r="BZ31" s="17"/>
      <c r="CA31" s="17"/>
      <c r="CB31" s="17"/>
      <c r="CC31" s="17"/>
      <c r="CD31" s="17"/>
      <c r="CE31" s="17"/>
      <c r="CF31" s="17"/>
      <c r="CG31" s="17"/>
      <c r="CH31" s="17"/>
      <c r="CI31" s="17"/>
      <c r="CJ31" s="17"/>
      <c r="CK31" s="17"/>
      <c r="CL31" s="17"/>
      <c r="CM31" s="17" t="s">
        <v>107</v>
      </c>
      <c r="CN31" s="17"/>
      <c r="CO31" s="17"/>
      <c r="CP31" s="17"/>
      <c r="CQ31" s="17"/>
      <c r="CR31" s="17"/>
      <c r="CS31" s="17"/>
      <c r="CT31" s="17"/>
      <c r="CU31" s="17"/>
      <c r="CV31" s="17"/>
      <c r="CW31" s="17"/>
      <c r="CX31" s="17"/>
      <c r="CY31" s="17"/>
      <c r="CZ31" s="17"/>
      <c r="DA31" s="17"/>
      <c r="DB31" s="17"/>
      <c r="DC31" s="17"/>
      <c r="DD31" s="17"/>
      <c r="DE31" s="17"/>
      <c r="DF31" s="17"/>
      <c r="DG31" s="17"/>
      <c r="DH31" s="17"/>
      <c r="DI31" s="17"/>
    </row>
    <row r="32" spans="2:113" x14ac:dyDescent="0.55000000000000004">
      <c r="B32" s="1">
        <v>31</v>
      </c>
      <c r="C32" s="17" t="s">
        <v>104</v>
      </c>
      <c r="D32" s="17"/>
      <c r="E32" s="17"/>
      <c r="F32" s="17"/>
      <c r="G32" s="17"/>
      <c r="H32" s="17"/>
      <c r="I32" s="17"/>
      <c r="J32" s="17"/>
      <c r="K32" s="17"/>
      <c r="L32" s="17"/>
      <c r="M32" s="17"/>
      <c r="N32" s="17"/>
      <c r="O32" s="17"/>
      <c r="P32" s="17" t="s">
        <v>71</v>
      </c>
      <c r="Q32" s="17"/>
      <c r="R32" s="17"/>
      <c r="S32" s="17"/>
      <c r="T32" s="17"/>
      <c r="U32" s="13">
        <v>4</v>
      </c>
      <c r="V32" s="14"/>
      <c r="W32" s="14"/>
      <c r="X32" s="14"/>
      <c r="Y32" s="15"/>
      <c r="Z32" s="13">
        <v>2</v>
      </c>
      <c r="AA32" s="14"/>
      <c r="AB32" s="14"/>
      <c r="AC32" s="14"/>
      <c r="AD32" s="15"/>
      <c r="AE32" s="18" t="s">
        <v>124</v>
      </c>
      <c r="AF32" s="18"/>
      <c r="AG32" s="18"/>
      <c r="AH32" s="18"/>
      <c r="AI32" s="18"/>
      <c r="AJ32" s="18"/>
      <c r="AK32" s="18"/>
      <c r="AL32" s="18"/>
      <c r="AM32" s="18"/>
      <c r="AN32" s="18"/>
      <c r="AO32" s="18"/>
      <c r="AP32" s="18"/>
      <c r="AQ32" s="18"/>
      <c r="AR32" s="18"/>
      <c r="AS32" s="18"/>
      <c r="AT32" s="18"/>
      <c r="AU32" s="18"/>
      <c r="AV32" s="18"/>
      <c r="AW32" s="17" t="s">
        <v>125</v>
      </c>
      <c r="AX32" s="17"/>
      <c r="AY32" s="17"/>
      <c r="AZ32" s="17"/>
      <c r="BA32" s="17"/>
      <c r="BB32" s="17"/>
      <c r="BC32" s="17"/>
      <c r="BD32" s="17"/>
      <c r="BE32" s="17"/>
      <c r="BF32" s="17"/>
      <c r="BG32" s="17"/>
      <c r="BH32" s="17"/>
      <c r="BI32" s="17"/>
      <c r="BJ32" s="17"/>
      <c r="BK32" s="17"/>
      <c r="BL32" s="17" t="s">
        <v>38</v>
      </c>
      <c r="BM32" s="17"/>
      <c r="BN32" s="17"/>
      <c r="BO32" s="17"/>
      <c r="BP32" s="17"/>
      <c r="BQ32" s="17" t="s">
        <v>44</v>
      </c>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row>
    <row r="33" spans="2:113" x14ac:dyDescent="0.55000000000000004">
      <c r="B33" s="1">
        <v>32</v>
      </c>
      <c r="C33" s="17" t="s">
        <v>104</v>
      </c>
      <c r="D33" s="17"/>
      <c r="E33" s="17"/>
      <c r="F33" s="17"/>
      <c r="G33" s="17"/>
      <c r="H33" s="17"/>
      <c r="I33" s="17"/>
      <c r="J33" s="17"/>
      <c r="K33" s="17"/>
      <c r="L33" s="17"/>
      <c r="M33" s="17"/>
      <c r="N33" s="17"/>
      <c r="O33" s="17"/>
      <c r="P33" s="17" t="s">
        <v>52</v>
      </c>
      <c r="Q33" s="17"/>
      <c r="R33" s="17"/>
      <c r="S33" s="17"/>
      <c r="T33" s="17"/>
      <c r="U33" s="13">
        <v>0</v>
      </c>
      <c r="V33" s="14"/>
      <c r="W33" s="14"/>
      <c r="X33" s="14"/>
      <c r="Y33" s="15"/>
      <c r="Z33" s="13">
        <v>0</v>
      </c>
      <c r="AA33" s="14"/>
      <c r="AB33" s="14"/>
      <c r="AC33" s="14"/>
      <c r="AD33" s="15"/>
      <c r="AE33" s="17" t="s">
        <v>126</v>
      </c>
      <c r="AF33" s="17"/>
      <c r="AG33" s="17"/>
      <c r="AH33" s="17"/>
      <c r="AI33" s="17"/>
      <c r="AJ33" s="17"/>
      <c r="AK33" s="17"/>
      <c r="AL33" s="17"/>
      <c r="AM33" s="17"/>
      <c r="AN33" s="17"/>
      <c r="AO33" s="17"/>
      <c r="AP33" s="17"/>
      <c r="AQ33" s="17"/>
      <c r="AR33" s="17"/>
      <c r="AS33" s="17"/>
      <c r="AT33" s="17"/>
      <c r="AU33" s="17"/>
      <c r="AV33" s="17"/>
      <c r="AW33" s="17" t="s">
        <v>127</v>
      </c>
      <c r="AX33" s="17"/>
      <c r="AY33" s="17"/>
      <c r="AZ33" s="17"/>
      <c r="BA33" s="17"/>
      <c r="BB33" s="17"/>
      <c r="BC33" s="17"/>
      <c r="BD33" s="17"/>
      <c r="BE33" s="17"/>
      <c r="BF33" s="17"/>
      <c r="BG33" s="17"/>
      <c r="BH33" s="17"/>
      <c r="BI33" s="17"/>
      <c r="BJ33" s="17"/>
      <c r="BK33" s="17"/>
      <c r="BL33" s="17" t="s">
        <v>38</v>
      </c>
      <c r="BM33" s="17"/>
      <c r="BN33" s="17"/>
      <c r="BO33" s="17"/>
      <c r="BP33" s="17"/>
      <c r="BQ33" s="17" t="s">
        <v>44</v>
      </c>
      <c r="BR33" s="17"/>
      <c r="BS33" s="17"/>
      <c r="BT33" s="17"/>
      <c r="BU33" s="17"/>
      <c r="BV33" s="17"/>
      <c r="BW33" s="17"/>
      <c r="BX33" s="17"/>
      <c r="BY33" s="17"/>
      <c r="BZ33" s="17"/>
      <c r="CA33" s="17"/>
      <c r="CB33" s="17"/>
      <c r="CC33" s="17"/>
      <c r="CD33" s="17"/>
      <c r="CE33" s="17"/>
      <c r="CF33" s="17"/>
      <c r="CG33" s="17"/>
      <c r="CH33" s="17"/>
      <c r="CI33" s="17"/>
      <c r="CJ33" s="17"/>
      <c r="CK33" s="17"/>
      <c r="CL33" s="17"/>
      <c r="CM33" s="17" t="s">
        <v>107</v>
      </c>
      <c r="CN33" s="17"/>
      <c r="CO33" s="17"/>
      <c r="CP33" s="17"/>
      <c r="CQ33" s="17"/>
      <c r="CR33" s="17"/>
      <c r="CS33" s="17"/>
      <c r="CT33" s="17"/>
      <c r="CU33" s="17"/>
      <c r="CV33" s="17"/>
      <c r="CW33" s="17"/>
      <c r="CX33" s="17"/>
      <c r="CY33" s="17"/>
      <c r="CZ33" s="17"/>
      <c r="DA33" s="17"/>
      <c r="DB33" s="17"/>
      <c r="DC33" s="17"/>
      <c r="DD33" s="17"/>
      <c r="DE33" s="17"/>
      <c r="DF33" s="17"/>
      <c r="DG33" s="17"/>
      <c r="DH33" s="17"/>
      <c r="DI33" s="17"/>
    </row>
    <row r="34" spans="2:113" x14ac:dyDescent="0.55000000000000004">
      <c r="B34" s="1">
        <v>33</v>
      </c>
      <c r="C34" s="17" t="s">
        <v>104</v>
      </c>
      <c r="D34" s="17"/>
      <c r="E34" s="17"/>
      <c r="F34" s="17"/>
      <c r="G34" s="17"/>
      <c r="H34" s="17"/>
      <c r="I34" s="17"/>
      <c r="J34" s="17"/>
      <c r="K34" s="17"/>
      <c r="L34" s="17"/>
      <c r="M34" s="17"/>
      <c r="N34" s="17"/>
      <c r="O34" s="17"/>
      <c r="P34" s="17" t="s">
        <v>71</v>
      </c>
      <c r="Q34" s="17"/>
      <c r="R34" s="17"/>
      <c r="S34" s="17"/>
      <c r="T34" s="17"/>
      <c r="U34" s="13">
        <v>4</v>
      </c>
      <c r="V34" s="14"/>
      <c r="W34" s="14"/>
      <c r="X34" s="14"/>
      <c r="Y34" s="15"/>
      <c r="Z34" s="13">
        <v>2</v>
      </c>
      <c r="AA34" s="14"/>
      <c r="AB34" s="14"/>
      <c r="AC34" s="14"/>
      <c r="AD34" s="15"/>
      <c r="AE34" s="18" t="s">
        <v>128</v>
      </c>
      <c r="AF34" s="18"/>
      <c r="AG34" s="18"/>
      <c r="AH34" s="18"/>
      <c r="AI34" s="18"/>
      <c r="AJ34" s="18"/>
      <c r="AK34" s="18"/>
      <c r="AL34" s="18"/>
      <c r="AM34" s="18"/>
      <c r="AN34" s="18"/>
      <c r="AO34" s="18"/>
      <c r="AP34" s="18"/>
      <c r="AQ34" s="18"/>
      <c r="AR34" s="18"/>
      <c r="AS34" s="18"/>
      <c r="AT34" s="18"/>
      <c r="AU34" s="18"/>
      <c r="AV34" s="18"/>
      <c r="AW34" s="17" t="s">
        <v>129</v>
      </c>
      <c r="AX34" s="17"/>
      <c r="AY34" s="17"/>
      <c r="AZ34" s="17"/>
      <c r="BA34" s="17"/>
      <c r="BB34" s="17"/>
      <c r="BC34" s="17"/>
      <c r="BD34" s="17"/>
      <c r="BE34" s="17"/>
      <c r="BF34" s="17"/>
      <c r="BG34" s="17"/>
      <c r="BH34" s="17"/>
      <c r="BI34" s="17"/>
      <c r="BJ34" s="17"/>
      <c r="BK34" s="17"/>
      <c r="BL34" s="17" t="s">
        <v>38</v>
      </c>
      <c r="BM34" s="17"/>
      <c r="BN34" s="17"/>
      <c r="BO34" s="17"/>
      <c r="BP34" s="17"/>
      <c r="BQ34" s="17" t="s">
        <v>44</v>
      </c>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row>
    <row r="35" spans="2:113" x14ac:dyDescent="0.55000000000000004">
      <c r="B35" s="1">
        <v>34</v>
      </c>
      <c r="C35" s="17" t="s">
        <v>104</v>
      </c>
      <c r="D35" s="17"/>
      <c r="E35" s="17"/>
      <c r="F35" s="17"/>
      <c r="G35" s="17"/>
      <c r="H35" s="17"/>
      <c r="I35" s="17"/>
      <c r="J35" s="17"/>
      <c r="K35" s="17"/>
      <c r="L35" s="17"/>
      <c r="M35" s="17"/>
      <c r="N35" s="17"/>
      <c r="O35" s="17"/>
      <c r="P35" s="17" t="s">
        <v>71</v>
      </c>
      <c r="Q35" s="17"/>
      <c r="R35" s="17"/>
      <c r="S35" s="17"/>
      <c r="T35" s="17"/>
      <c r="U35" s="13">
        <v>4</v>
      </c>
      <c r="V35" s="14"/>
      <c r="W35" s="14"/>
      <c r="X35" s="14"/>
      <c r="Y35" s="15"/>
      <c r="Z35" s="13">
        <v>2</v>
      </c>
      <c r="AA35" s="14"/>
      <c r="AB35" s="14"/>
      <c r="AC35" s="14"/>
      <c r="AD35" s="15"/>
      <c r="AE35" s="17" t="s">
        <v>130</v>
      </c>
      <c r="AF35" s="17"/>
      <c r="AG35" s="17"/>
      <c r="AH35" s="17"/>
      <c r="AI35" s="17"/>
      <c r="AJ35" s="17"/>
      <c r="AK35" s="17"/>
      <c r="AL35" s="17"/>
      <c r="AM35" s="17"/>
      <c r="AN35" s="17"/>
      <c r="AO35" s="17"/>
      <c r="AP35" s="17"/>
      <c r="AQ35" s="17"/>
      <c r="AR35" s="17"/>
      <c r="AS35" s="17"/>
      <c r="AT35" s="17"/>
      <c r="AU35" s="17"/>
      <c r="AV35" s="17"/>
      <c r="AW35" s="17" t="s">
        <v>131</v>
      </c>
      <c r="AX35" s="17"/>
      <c r="AY35" s="17"/>
      <c r="AZ35" s="17"/>
      <c r="BA35" s="17"/>
      <c r="BB35" s="17"/>
      <c r="BC35" s="17"/>
      <c r="BD35" s="17"/>
      <c r="BE35" s="17"/>
      <c r="BF35" s="17"/>
      <c r="BG35" s="17"/>
      <c r="BH35" s="17"/>
      <c r="BI35" s="17"/>
      <c r="BJ35" s="17"/>
      <c r="BK35" s="17"/>
      <c r="BL35" s="17" t="s">
        <v>38</v>
      </c>
      <c r="BM35" s="17"/>
      <c r="BN35" s="17"/>
      <c r="BO35" s="17"/>
      <c r="BP35" s="17"/>
      <c r="BQ35" s="17" t="s">
        <v>44</v>
      </c>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row>
    <row r="36" spans="2:113" x14ac:dyDescent="0.55000000000000004">
      <c r="B36" s="1">
        <v>35</v>
      </c>
      <c r="C36" s="17" t="s">
        <v>104</v>
      </c>
      <c r="D36" s="17"/>
      <c r="E36" s="17"/>
      <c r="F36" s="17"/>
      <c r="G36" s="17"/>
      <c r="H36" s="17"/>
      <c r="I36" s="17"/>
      <c r="J36" s="17"/>
      <c r="K36" s="17"/>
      <c r="L36" s="17"/>
      <c r="M36" s="17"/>
      <c r="N36" s="17"/>
      <c r="O36" s="17"/>
      <c r="P36" s="17" t="s">
        <v>71</v>
      </c>
      <c r="Q36" s="17"/>
      <c r="R36" s="17"/>
      <c r="S36" s="17"/>
      <c r="T36" s="17"/>
      <c r="U36" s="13">
        <v>4</v>
      </c>
      <c r="V36" s="14"/>
      <c r="W36" s="14"/>
      <c r="X36" s="14"/>
      <c r="Y36" s="15"/>
      <c r="Z36" s="13">
        <v>2</v>
      </c>
      <c r="AA36" s="14"/>
      <c r="AB36" s="14"/>
      <c r="AC36" s="14"/>
      <c r="AD36" s="15"/>
      <c r="AE36" s="17" t="s">
        <v>132</v>
      </c>
      <c r="AF36" s="17"/>
      <c r="AG36" s="17"/>
      <c r="AH36" s="17"/>
      <c r="AI36" s="17"/>
      <c r="AJ36" s="17"/>
      <c r="AK36" s="17"/>
      <c r="AL36" s="17"/>
      <c r="AM36" s="17"/>
      <c r="AN36" s="17"/>
      <c r="AO36" s="17"/>
      <c r="AP36" s="17"/>
      <c r="AQ36" s="17"/>
      <c r="AR36" s="17"/>
      <c r="AS36" s="17"/>
      <c r="AT36" s="17"/>
      <c r="AU36" s="17"/>
      <c r="AV36" s="17"/>
      <c r="AW36" s="17" t="s">
        <v>133</v>
      </c>
      <c r="AX36" s="17"/>
      <c r="AY36" s="17"/>
      <c r="AZ36" s="17"/>
      <c r="BA36" s="17"/>
      <c r="BB36" s="17"/>
      <c r="BC36" s="17"/>
      <c r="BD36" s="17"/>
      <c r="BE36" s="17"/>
      <c r="BF36" s="17"/>
      <c r="BG36" s="17"/>
      <c r="BH36" s="17"/>
      <c r="BI36" s="17"/>
      <c r="BJ36" s="17"/>
      <c r="BK36" s="17"/>
      <c r="BL36" s="17" t="s">
        <v>38</v>
      </c>
      <c r="BM36" s="17"/>
      <c r="BN36" s="17"/>
      <c r="BO36" s="17"/>
      <c r="BP36" s="17"/>
      <c r="BQ36" s="17" t="s">
        <v>44</v>
      </c>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row>
    <row r="37" spans="2:113" x14ac:dyDescent="0.55000000000000004">
      <c r="B37" s="1">
        <v>36</v>
      </c>
      <c r="C37" s="17" t="s">
        <v>104</v>
      </c>
      <c r="D37" s="17"/>
      <c r="E37" s="17"/>
      <c r="F37" s="17"/>
      <c r="G37" s="17"/>
      <c r="H37" s="17"/>
      <c r="I37" s="17"/>
      <c r="J37" s="17"/>
      <c r="K37" s="17"/>
      <c r="L37" s="17"/>
      <c r="M37" s="17"/>
      <c r="N37" s="17"/>
      <c r="O37" s="17"/>
      <c r="P37" s="17" t="s">
        <v>71</v>
      </c>
      <c r="Q37" s="17"/>
      <c r="R37" s="17"/>
      <c r="S37" s="17"/>
      <c r="T37" s="17"/>
      <c r="U37" s="13">
        <v>4</v>
      </c>
      <c r="V37" s="14"/>
      <c r="W37" s="14"/>
      <c r="X37" s="14"/>
      <c r="Y37" s="15"/>
      <c r="Z37" s="13">
        <v>2</v>
      </c>
      <c r="AA37" s="14"/>
      <c r="AB37" s="14"/>
      <c r="AC37" s="14"/>
      <c r="AD37" s="15"/>
      <c r="AE37" s="17" t="s">
        <v>134</v>
      </c>
      <c r="AF37" s="17"/>
      <c r="AG37" s="17"/>
      <c r="AH37" s="17"/>
      <c r="AI37" s="17"/>
      <c r="AJ37" s="17"/>
      <c r="AK37" s="17"/>
      <c r="AL37" s="17"/>
      <c r="AM37" s="17"/>
      <c r="AN37" s="17"/>
      <c r="AO37" s="17"/>
      <c r="AP37" s="17"/>
      <c r="AQ37" s="17"/>
      <c r="AR37" s="17"/>
      <c r="AS37" s="17"/>
      <c r="AT37" s="17"/>
      <c r="AU37" s="17"/>
      <c r="AV37" s="17"/>
      <c r="AW37" s="17" t="s">
        <v>135</v>
      </c>
      <c r="AX37" s="17"/>
      <c r="AY37" s="17"/>
      <c r="AZ37" s="17"/>
      <c r="BA37" s="17"/>
      <c r="BB37" s="17"/>
      <c r="BC37" s="17"/>
      <c r="BD37" s="17"/>
      <c r="BE37" s="17"/>
      <c r="BF37" s="17"/>
      <c r="BG37" s="17"/>
      <c r="BH37" s="17"/>
      <c r="BI37" s="17"/>
      <c r="BJ37" s="17"/>
      <c r="BK37" s="17"/>
      <c r="BL37" s="17" t="s">
        <v>95</v>
      </c>
      <c r="BM37" s="17"/>
      <c r="BN37" s="17"/>
      <c r="BO37" s="17"/>
      <c r="BP37" s="17"/>
      <c r="BQ37" s="17" t="s">
        <v>136</v>
      </c>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row>
    <row r="38" spans="2:113" x14ac:dyDescent="0.55000000000000004">
      <c r="B38" s="1">
        <v>37</v>
      </c>
      <c r="C38" s="17" t="s">
        <v>104</v>
      </c>
      <c r="D38" s="17"/>
      <c r="E38" s="17"/>
      <c r="F38" s="17"/>
      <c r="G38" s="17"/>
      <c r="H38" s="17"/>
      <c r="I38" s="17"/>
      <c r="J38" s="17"/>
      <c r="K38" s="17"/>
      <c r="L38" s="17"/>
      <c r="M38" s="17"/>
      <c r="N38" s="17"/>
      <c r="O38" s="17"/>
      <c r="P38" s="17" t="s">
        <v>52</v>
      </c>
      <c r="Q38" s="17"/>
      <c r="R38" s="17"/>
      <c r="S38" s="17"/>
      <c r="T38" s="17"/>
      <c r="U38" s="13">
        <v>0</v>
      </c>
      <c r="V38" s="14"/>
      <c r="W38" s="14"/>
      <c r="X38" s="14"/>
      <c r="Y38" s="15"/>
      <c r="Z38" s="13">
        <v>0</v>
      </c>
      <c r="AA38" s="14"/>
      <c r="AB38" s="14"/>
      <c r="AC38" s="14"/>
      <c r="AD38" s="15"/>
      <c r="AE38" s="17" t="s">
        <v>0</v>
      </c>
      <c r="AF38" s="17"/>
      <c r="AG38" s="17"/>
      <c r="AH38" s="17"/>
      <c r="AI38" s="17"/>
      <c r="AJ38" s="17"/>
      <c r="AK38" s="17"/>
      <c r="AL38" s="17"/>
      <c r="AM38" s="17"/>
      <c r="AN38" s="17"/>
      <c r="AO38" s="17"/>
      <c r="AP38" s="17"/>
      <c r="AQ38" s="17"/>
      <c r="AR38" s="17"/>
      <c r="AS38" s="17"/>
      <c r="AT38" s="17"/>
      <c r="AU38" s="17"/>
      <c r="AV38" s="17"/>
      <c r="AW38" s="17" t="s">
        <v>37</v>
      </c>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row>
    <row r="39" spans="2:113" x14ac:dyDescent="0.55000000000000004">
      <c r="B39" s="1">
        <v>38</v>
      </c>
      <c r="C39" s="17" t="s">
        <v>104</v>
      </c>
      <c r="D39" s="17"/>
      <c r="E39" s="17"/>
      <c r="F39" s="17"/>
      <c r="G39" s="17"/>
      <c r="H39" s="17"/>
      <c r="I39" s="17"/>
      <c r="J39" s="17"/>
      <c r="K39" s="17"/>
      <c r="L39" s="17"/>
      <c r="M39" s="17"/>
      <c r="N39" s="17"/>
      <c r="O39" s="17"/>
      <c r="P39" s="17" t="s">
        <v>71</v>
      </c>
      <c r="Q39" s="17"/>
      <c r="R39" s="17"/>
      <c r="S39" s="17"/>
      <c r="T39" s="17"/>
      <c r="U39" s="13">
        <v>4</v>
      </c>
      <c r="V39" s="14"/>
      <c r="W39" s="14"/>
      <c r="X39" s="14"/>
      <c r="Y39" s="15"/>
      <c r="Z39" s="13">
        <v>2</v>
      </c>
      <c r="AA39" s="14"/>
      <c r="AB39" s="14"/>
      <c r="AC39" s="14"/>
      <c r="AD39" s="15"/>
      <c r="AE39" s="17" t="s">
        <v>137</v>
      </c>
      <c r="AF39" s="17"/>
      <c r="AG39" s="17"/>
      <c r="AH39" s="17"/>
      <c r="AI39" s="17"/>
      <c r="AJ39" s="17"/>
      <c r="AK39" s="17"/>
      <c r="AL39" s="17"/>
      <c r="AM39" s="17"/>
      <c r="AN39" s="17"/>
      <c r="AO39" s="17"/>
      <c r="AP39" s="17"/>
      <c r="AQ39" s="17"/>
      <c r="AR39" s="17"/>
      <c r="AS39" s="17"/>
      <c r="AT39" s="17"/>
      <c r="AU39" s="17"/>
      <c r="AV39" s="17"/>
      <c r="AW39" s="17" t="s">
        <v>138</v>
      </c>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row>
    <row r="40" spans="2:113" x14ac:dyDescent="0.55000000000000004">
      <c r="B40" s="1">
        <v>39</v>
      </c>
      <c r="C40" s="17" t="s">
        <v>104</v>
      </c>
      <c r="D40" s="17"/>
      <c r="E40" s="17"/>
      <c r="F40" s="17"/>
      <c r="G40" s="17"/>
      <c r="H40" s="17"/>
      <c r="I40" s="17"/>
      <c r="J40" s="17"/>
      <c r="K40" s="17"/>
      <c r="L40" s="17"/>
      <c r="M40" s="17"/>
      <c r="N40" s="17"/>
      <c r="O40" s="17"/>
      <c r="P40" s="17" t="s">
        <v>71</v>
      </c>
      <c r="Q40" s="17"/>
      <c r="R40" s="17"/>
      <c r="S40" s="17"/>
      <c r="T40" s="17"/>
      <c r="U40" s="13">
        <v>4</v>
      </c>
      <c r="V40" s="14"/>
      <c r="W40" s="14"/>
      <c r="X40" s="14"/>
      <c r="Y40" s="15"/>
      <c r="Z40" s="13">
        <v>2</v>
      </c>
      <c r="AA40" s="14"/>
      <c r="AB40" s="14"/>
      <c r="AC40" s="14"/>
      <c r="AD40" s="15"/>
      <c r="AE40" s="17" t="s">
        <v>139</v>
      </c>
      <c r="AF40" s="17"/>
      <c r="AG40" s="17"/>
      <c r="AH40" s="17"/>
      <c r="AI40" s="17"/>
      <c r="AJ40" s="17"/>
      <c r="AK40" s="17"/>
      <c r="AL40" s="17"/>
      <c r="AM40" s="17"/>
      <c r="AN40" s="17"/>
      <c r="AO40" s="17"/>
      <c r="AP40" s="17"/>
      <c r="AQ40" s="17"/>
      <c r="AR40" s="17"/>
      <c r="AS40" s="17"/>
      <c r="AT40" s="17"/>
      <c r="AU40" s="17"/>
      <c r="AV40" s="17"/>
      <c r="AW40" s="17" t="s">
        <v>140</v>
      </c>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row>
    <row r="41" spans="2:113" x14ac:dyDescent="0.55000000000000004">
      <c r="B41" s="1">
        <v>40</v>
      </c>
      <c r="C41" s="17" t="s">
        <v>104</v>
      </c>
      <c r="D41" s="17"/>
      <c r="E41" s="17"/>
      <c r="F41" s="17"/>
      <c r="G41" s="17"/>
      <c r="H41" s="17"/>
      <c r="I41" s="17"/>
      <c r="J41" s="17"/>
      <c r="K41" s="17"/>
      <c r="L41" s="17"/>
      <c r="M41" s="17"/>
      <c r="N41" s="17"/>
      <c r="O41" s="17"/>
      <c r="P41" s="17" t="s">
        <v>52</v>
      </c>
      <c r="Q41" s="17"/>
      <c r="R41" s="17"/>
      <c r="S41" s="17"/>
      <c r="T41" s="17"/>
      <c r="U41" s="13">
        <v>0</v>
      </c>
      <c r="V41" s="14"/>
      <c r="W41" s="14"/>
      <c r="X41" s="14"/>
      <c r="Y41" s="15"/>
      <c r="Z41" s="13">
        <v>0</v>
      </c>
      <c r="AA41" s="14"/>
      <c r="AB41" s="14"/>
      <c r="AC41" s="14"/>
      <c r="AD41" s="15"/>
      <c r="AE41" s="17" t="s">
        <v>141</v>
      </c>
      <c r="AF41" s="17"/>
      <c r="AG41" s="17"/>
      <c r="AH41" s="17"/>
      <c r="AI41" s="17"/>
      <c r="AJ41" s="17"/>
      <c r="AK41" s="17"/>
      <c r="AL41" s="17"/>
      <c r="AM41" s="17"/>
      <c r="AN41" s="17"/>
      <c r="AO41" s="17"/>
      <c r="AP41" s="17"/>
      <c r="AQ41" s="17"/>
      <c r="AR41" s="17"/>
      <c r="AS41" s="17"/>
      <c r="AT41" s="17"/>
      <c r="AU41" s="17"/>
      <c r="AV41" s="17"/>
      <c r="AW41" s="17" t="s">
        <v>142</v>
      </c>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row>
    <row r="42" spans="2:113" x14ac:dyDescent="0.55000000000000004">
      <c r="B42" s="1">
        <v>41</v>
      </c>
      <c r="C42" s="17" t="s">
        <v>104</v>
      </c>
      <c r="D42" s="17"/>
      <c r="E42" s="17"/>
      <c r="F42" s="17"/>
      <c r="G42" s="17"/>
      <c r="H42" s="17"/>
      <c r="I42" s="17"/>
      <c r="J42" s="17"/>
      <c r="K42" s="17"/>
      <c r="L42" s="17"/>
      <c r="M42" s="17"/>
      <c r="N42" s="17"/>
      <c r="O42" s="17"/>
      <c r="P42" s="17" t="s">
        <v>52</v>
      </c>
      <c r="Q42" s="17"/>
      <c r="R42" s="17"/>
      <c r="S42" s="17"/>
      <c r="T42" s="17"/>
      <c r="U42" s="13">
        <v>0</v>
      </c>
      <c r="V42" s="14"/>
      <c r="W42" s="14"/>
      <c r="X42" s="14"/>
      <c r="Y42" s="15"/>
      <c r="Z42" s="13">
        <v>0</v>
      </c>
      <c r="AA42" s="14"/>
      <c r="AB42" s="14"/>
      <c r="AC42" s="14"/>
      <c r="AD42" s="15"/>
      <c r="AE42" s="17" t="s">
        <v>143</v>
      </c>
      <c r="AF42" s="17"/>
      <c r="AG42" s="17"/>
      <c r="AH42" s="17"/>
      <c r="AI42" s="17"/>
      <c r="AJ42" s="17"/>
      <c r="AK42" s="17"/>
      <c r="AL42" s="17"/>
      <c r="AM42" s="17"/>
      <c r="AN42" s="17"/>
      <c r="AO42" s="17"/>
      <c r="AP42" s="17"/>
      <c r="AQ42" s="17"/>
      <c r="AR42" s="17"/>
      <c r="AS42" s="17"/>
      <c r="AT42" s="17"/>
      <c r="AU42" s="17"/>
      <c r="AV42" s="17"/>
      <c r="AW42" s="17" t="s">
        <v>144</v>
      </c>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row>
    <row r="43" spans="2:113" x14ac:dyDescent="0.55000000000000004">
      <c r="B43" s="1">
        <v>42</v>
      </c>
      <c r="C43" s="17" t="s">
        <v>104</v>
      </c>
      <c r="D43" s="17"/>
      <c r="E43" s="17"/>
      <c r="F43" s="17"/>
      <c r="G43" s="17"/>
      <c r="H43" s="17"/>
      <c r="I43" s="17"/>
      <c r="J43" s="17"/>
      <c r="K43" s="17"/>
      <c r="L43" s="17"/>
      <c r="M43" s="17"/>
      <c r="N43" s="17"/>
      <c r="O43" s="17"/>
      <c r="P43" s="17" t="s">
        <v>71</v>
      </c>
      <c r="Q43" s="17"/>
      <c r="R43" s="17"/>
      <c r="S43" s="17"/>
      <c r="T43" s="17"/>
      <c r="U43" s="13">
        <v>4</v>
      </c>
      <c r="V43" s="14"/>
      <c r="W43" s="14"/>
      <c r="X43" s="14"/>
      <c r="Y43" s="15"/>
      <c r="Z43" s="13">
        <v>2</v>
      </c>
      <c r="AA43" s="14"/>
      <c r="AB43" s="14"/>
      <c r="AC43" s="14"/>
      <c r="AD43" s="15"/>
      <c r="AE43" s="17" t="s">
        <v>145</v>
      </c>
      <c r="AF43" s="17"/>
      <c r="AG43" s="17"/>
      <c r="AH43" s="17"/>
      <c r="AI43" s="17"/>
      <c r="AJ43" s="17"/>
      <c r="AK43" s="17"/>
      <c r="AL43" s="17"/>
      <c r="AM43" s="17"/>
      <c r="AN43" s="17"/>
      <c r="AO43" s="17"/>
      <c r="AP43" s="17"/>
      <c r="AQ43" s="17"/>
      <c r="AR43" s="17"/>
      <c r="AS43" s="17"/>
      <c r="AT43" s="17"/>
      <c r="AU43" s="17"/>
      <c r="AV43" s="17"/>
      <c r="AW43" s="17" t="s">
        <v>146</v>
      </c>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row>
    <row r="44" spans="2:113" x14ac:dyDescent="0.55000000000000004">
      <c r="B44" s="1">
        <v>43</v>
      </c>
      <c r="C44" s="17" t="s">
        <v>104</v>
      </c>
      <c r="D44" s="17"/>
      <c r="E44" s="17"/>
      <c r="F44" s="17"/>
      <c r="G44" s="17"/>
      <c r="H44" s="17"/>
      <c r="I44" s="17"/>
      <c r="J44" s="17"/>
      <c r="K44" s="17"/>
      <c r="L44" s="17"/>
      <c r="M44" s="17"/>
      <c r="N44" s="17"/>
      <c r="O44" s="17"/>
      <c r="P44" s="17" t="s">
        <v>71</v>
      </c>
      <c r="Q44" s="17"/>
      <c r="R44" s="17"/>
      <c r="S44" s="17"/>
      <c r="T44" s="17"/>
      <c r="U44" s="13">
        <v>4</v>
      </c>
      <c r="V44" s="14"/>
      <c r="W44" s="14"/>
      <c r="X44" s="14"/>
      <c r="Y44" s="15"/>
      <c r="Z44" s="13">
        <v>2</v>
      </c>
      <c r="AA44" s="14"/>
      <c r="AB44" s="14"/>
      <c r="AC44" s="14"/>
      <c r="AD44" s="15"/>
      <c r="AE44" s="17" t="s">
        <v>147</v>
      </c>
      <c r="AF44" s="17"/>
      <c r="AG44" s="17"/>
      <c r="AH44" s="17"/>
      <c r="AI44" s="17"/>
      <c r="AJ44" s="17"/>
      <c r="AK44" s="17"/>
      <c r="AL44" s="17"/>
      <c r="AM44" s="17"/>
      <c r="AN44" s="17"/>
      <c r="AO44" s="17"/>
      <c r="AP44" s="17"/>
      <c r="AQ44" s="17"/>
      <c r="AR44" s="17"/>
      <c r="AS44" s="17"/>
      <c r="AT44" s="17"/>
      <c r="AU44" s="17"/>
      <c r="AV44" s="17"/>
      <c r="AW44" s="17" t="s">
        <v>148</v>
      </c>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row>
    <row r="45" spans="2:113" x14ac:dyDescent="0.55000000000000004">
      <c r="B45" s="1">
        <v>44</v>
      </c>
      <c r="C45" s="17" t="s">
        <v>104</v>
      </c>
      <c r="D45" s="17"/>
      <c r="E45" s="17"/>
      <c r="F45" s="17"/>
      <c r="G45" s="17"/>
      <c r="H45" s="17"/>
      <c r="I45" s="17"/>
      <c r="J45" s="17"/>
      <c r="K45" s="17"/>
      <c r="L45" s="17"/>
      <c r="M45" s="17"/>
      <c r="N45" s="17"/>
      <c r="O45" s="17"/>
      <c r="P45" s="17" t="s">
        <v>52</v>
      </c>
      <c r="Q45" s="17"/>
      <c r="R45" s="17"/>
      <c r="S45" s="17"/>
      <c r="T45" s="17"/>
      <c r="U45" s="13">
        <v>0</v>
      </c>
      <c r="V45" s="14"/>
      <c r="W45" s="14"/>
      <c r="X45" s="14"/>
      <c r="Y45" s="15"/>
      <c r="Z45" s="13">
        <v>0</v>
      </c>
      <c r="AA45" s="14"/>
      <c r="AB45" s="14"/>
      <c r="AC45" s="14"/>
      <c r="AD45" s="15"/>
      <c r="AE45" s="17" t="s">
        <v>149</v>
      </c>
      <c r="AF45" s="17"/>
      <c r="AG45" s="17"/>
      <c r="AH45" s="17"/>
      <c r="AI45" s="17"/>
      <c r="AJ45" s="17"/>
      <c r="AK45" s="17"/>
      <c r="AL45" s="17"/>
      <c r="AM45" s="17"/>
      <c r="AN45" s="17"/>
      <c r="AO45" s="17"/>
      <c r="AP45" s="17"/>
      <c r="AQ45" s="17"/>
      <c r="AR45" s="17"/>
      <c r="AS45" s="17"/>
      <c r="AT45" s="17"/>
      <c r="AU45" s="17"/>
      <c r="AV45" s="17"/>
      <c r="AW45" s="17" t="s">
        <v>150</v>
      </c>
      <c r="AX45" s="17"/>
      <c r="AY45" s="17"/>
      <c r="AZ45" s="17"/>
      <c r="BA45" s="17"/>
      <c r="BB45" s="17"/>
      <c r="BC45" s="17"/>
      <c r="BD45" s="17"/>
      <c r="BE45" s="17"/>
      <c r="BF45" s="17"/>
      <c r="BG45" s="17"/>
      <c r="BH45" s="17"/>
      <c r="BI45" s="17"/>
      <c r="BJ45" s="17"/>
      <c r="BK45" s="17"/>
      <c r="BL45" s="17"/>
      <c r="BM45" s="17"/>
      <c r="BN45" s="17"/>
      <c r="BO45" s="17"/>
      <c r="BP45" s="17"/>
      <c r="BQ45" s="17" t="s">
        <v>151</v>
      </c>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row>
    <row r="46" spans="2:113" x14ac:dyDescent="0.55000000000000004">
      <c r="B46" s="1">
        <v>45</v>
      </c>
      <c r="C46" s="17" t="s">
        <v>104</v>
      </c>
      <c r="D46" s="17"/>
      <c r="E46" s="17"/>
      <c r="F46" s="17"/>
      <c r="G46" s="17"/>
      <c r="H46" s="17"/>
      <c r="I46" s="17"/>
      <c r="J46" s="17"/>
      <c r="K46" s="17"/>
      <c r="L46" s="17"/>
      <c r="M46" s="17"/>
      <c r="N46" s="17"/>
      <c r="O46" s="17"/>
      <c r="P46" s="17" t="s">
        <v>71</v>
      </c>
      <c r="Q46" s="17"/>
      <c r="R46" s="17"/>
      <c r="S46" s="17"/>
      <c r="T46" s="17"/>
      <c r="U46" s="13">
        <v>4</v>
      </c>
      <c r="V46" s="14"/>
      <c r="W46" s="14"/>
      <c r="X46" s="14"/>
      <c r="Y46" s="15"/>
      <c r="Z46" s="13">
        <v>2</v>
      </c>
      <c r="AA46" s="14"/>
      <c r="AB46" s="14"/>
      <c r="AC46" s="14"/>
      <c r="AD46" s="15"/>
      <c r="AE46" s="17" t="s">
        <v>152</v>
      </c>
      <c r="AF46" s="17"/>
      <c r="AG46" s="17"/>
      <c r="AH46" s="17"/>
      <c r="AI46" s="17"/>
      <c r="AJ46" s="17"/>
      <c r="AK46" s="17"/>
      <c r="AL46" s="17"/>
      <c r="AM46" s="17"/>
      <c r="AN46" s="17"/>
      <c r="AO46" s="17"/>
      <c r="AP46" s="17"/>
      <c r="AQ46" s="17"/>
      <c r="AR46" s="17"/>
      <c r="AS46" s="17"/>
      <c r="AT46" s="17"/>
      <c r="AU46" s="17"/>
      <c r="AV46" s="17"/>
      <c r="AW46" s="17" t="s">
        <v>153</v>
      </c>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row>
    <row r="47" spans="2:113" x14ac:dyDescent="0.55000000000000004">
      <c r="B47" s="1">
        <v>46</v>
      </c>
      <c r="C47" s="17" t="s">
        <v>104</v>
      </c>
      <c r="D47" s="17"/>
      <c r="E47" s="17"/>
      <c r="F47" s="17"/>
      <c r="G47" s="17"/>
      <c r="H47" s="17"/>
      <c r="I47" s="17"/>
      <c r="J47" s="17"/>
      <c r="K47" s="17"/>
      <c r="L47" s="17"/>
      <c r="M47" s="17"/>
      <c r="N47" s="17"/>
      <c r="O47" s="17"/>
      <c r="P47" s="17" t="s">
        <v>71</v>
      </c>
      <c r="Q47" s="17"/>
      <c r="R47" s="17"/>
      <c r="S47" s="17"/>
      <c r="T47" s="17"/>
      <c r="U47" s="13">
        <v>4</v>
      </c>
      <c r="V47" s="14"/>
      <c r="W47" s="14"/>
      <c r="X47" s="14"/>
      <c r="Y47" s="15"/>
      <c r="Z47" s="13">
        <v>2</v>
      </c>
      <c r="AA47" s="14"/>
      <c r="AB47" s="14"/>
      <c r="AC47" s="14"/>
      <c r="AD47" s="15"/>
      <c r="AE47" s="17" t="s">
        <v>154</v>
      </c>
      <c r="AF47" s="17"/>
      <c r="AG47" s="17"/>
      <c r="AH47" s="17"/>
      <c r="AI47" s="17"/>
      <c r="AJ47" s="17"/>
      <c r="AK47" s="17"/>
      <c r="AL47" s="17"/>
      <c r="AM47" s="17"/>
      <c r="AN47" s="17"/>
      <c r="AO47" s="17"/>
      <c r="AP47" s="17"/>
      <c r="AQ47" s="17"/>
      <c r="AR47" s="17"/>
      <c r="AS47" s="17"/>
      <c r="AT47" s="17"/>
      <c r="AU47" s="17"/>
      <c r="AV47" s="17"/>
      <c r="AW47" s="17" t="s">
        <v>155</v>
      </c>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row>
    <row r="48" spans="2:113" x14ac:dyDescent="0.55000000000000004">
      <c r="B48" s="1">
        <v>47</v>
      </c>
      <c r="C48" s="17" t="s">
        <v>104</v>
      </c>
      <c r="D48" s="17"/>
      <c r="E48" s="17"/>
      <c r="F48" s="17"/>
      <c r="G48" s="17"/>
      <c r="H48" s="17"/>
      <c r="I48" s="17"/>
      <c r="J48" s="17"/>
      <c r="K48" s="17"/>
      <c r="L48" s="17"/>
      <c r="M48" s="17"/>
      <c r="N48" s="17"/>
      <c r="O48" s="17"/>
      <c r="P48" s="17" t="s">
        <v>52</v>
      </c>
      <c r="Q48" s="17"/>
      <c r="R48" s="17"/>
      <c r="S48" s="17"/>
      <c r="T48" s="17"/>
      <c r="U48" s="13">
        <v>0</v>
      </c>
      <c r="V48" s="14"/>
      <c r="W48" s="14"/>
      <c r="X48" s="14"/>
      <c r="Y48" s="15"/>
      <c r="Z48" s="13">
        <v>0</v>
      </c>
      <c r="AA48" s="14"/>
      <c r="AB48" s="14"/>
      <c r="AC48" s="14"/>
      <c r="AD48" s="15"/>
      <c r="AE48" s="17" t="s">
        <v>156</v>
      </c>
      <c r="AF48" s="17"/>
      <c r="AG48" s="17"/>
      <c r="AH48" s="17"/>
      <c r="AI48" s="17"/>
      <c r="AJ48" s="17"/>
      <c r="AK48" s="17"/>
      <c r="AL48" s="17"/>
      <c r="AM48" s="17"/>
      <c r="AN48" s="17"/>
      <c r="AO48" s="17"/>
      <c r="AP48" s="17"/>
      <c r="AQ48" s="17"/>
      <c r="AR48" s="17"/>
      <c r="AS48" s="17"/>
      <c r="AT48" s="17"/>
      <c r="AU48" s="17"/>
      <c r="AV48" s="17"/>
      <c r="AW48" s="17" t="s">
        <v>157</v>
      </c>
      <c r="AX48" s="17"/>
      <c r="AY48" s="17"/>
      <c r="AZ48" s="17"/>
      <c r="BA48" s="17"/>
      <c r="BB48" s="17"/>
      <c r="BC48" s="17"/>
      <c r="BD48" s="17"/>
      <c r="BE48" s="17"/>
      <c r="BF48" s="17"/>
      <c r="BG48" s="17"/>
      <c r="BH48" s="17"/>
      <c r="BI48" s="17"/>
      <c r="BJ48" s="17"/>
      <c r="BK48" s="17"/>
      <c r="BL48" s="17"/>
      <c r="BM48" s="17"/>
      <c r="BN48" s="17"/>
      <c r="BO48" s="17"/>
      <c r="BP48" s="17"/>
      <c r="BQ48" s="17" t="s">
        <v>151</v>
      </c>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row>
    <row r="49" spans="2:113" x14ac:dyDescent="0.55000000000000004">
      <c r="B49" s="1">
        <v>48</v>
      </c>
      <c r="C49" s="17" t="s">
        <v>104</v>
      </c>
      <c r="D49" s="17"/>
      <c r="E49" s="17"/>
      <c r="F49" s="17"/>
      <c r="G49" s="17"/>
      <c r="H49" s="17"/>
      <c r="I49" s="17"/>
      <c r="J49" s="17"/>
      <c r="K49" s="17"/>
      <c r="L49" s="17"/>
      <c r="M49" s="17"/>
      <c r="N49" s="17"/>
      <c r="O49" s="17"/>
      <c r="P49" s="17" t="s">
        <v>35</v>
      </c>
      <c r="Q49" s="17"/>
      <c r="R49" s="17"/>
      <c r="S49" s="17"/>
      <c r="T49" s="17"/>
      <c r="U49" s="13">
        <v>8</v>
      </c>
      <c r="V49" s="14"/>
      <c r="W49" s="14"/>
      <c r="X49" s="14"/>
      <c r="Y49" s="15"/>
      <c r="Z49" s="13">
        <v>4</v>
      </c>
      <c r="AA49" s="14"/>
      <c r="AB49" s="14"/>
      <c r="AC49" s="14"/>
      <c r="AD49" s="15"/>
      <c r="AE49" s="17" t="s">
        <v>158</v>
      </c>
      <c r="AF49" s="17"/>
      <c r="AG49" s="17"/>
      <c r="AH49" s="17"/>
      <c r="AI49" s="17"/>
      <c r="AJ49" s="17"/>
      <c r="AK49" s="17"/>
      <c r="AL49" s="17"/>
      <c r="AM49" s="17"/>
      <c r="AN49" s="17"/>
      <c r="AO49" s="17"/>
      <c r="AP49" s="17"/>
      <c r="AQ49" s="17"/>
      <c r="AR49" s="17"/>
      <c r="AS49" s="17"/>
      <c r="AT49" s="17"/>
      <c r="AU49" s="17"/>
      <c r="AV49" s="17"/>
      <c r="AW49" s="17" t="s">
        <v>159</v>
      </c>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row>
    <row r="50" spans="2:113" x14ac:dyDescent="0.55000000000000004">
      <c r="B50" s="1">
        <v>49</v>
      </c>
      <c r="C50" s="17" t="s">
        <v>160</v>
      </c>
      <c r="D50" s="17"/>
      <c r="E50" s="17"/>
      <c r="F50" s="17"/>
      <c r="G50" s="17"/>
      <c r="H50" s="17"/>
      <c r="I50" s="17"/>
      <c r="J50" s="17"/>
      <c r="K50" s="17"/>
      <c r="L50" s="17"/>
      <c r="M50" s="17"/>
      <c r="N50" s="17"/>
      <c r="O50" s="17"/>
      <c r="P50" s="17" t="s">
        <v>35</v>
      </c>
      <c r="Q50" s="17"/>
      <c r="R50" s="17"/>
      <c r="S50" s="17"/>
      <c r="T50" s="17"/>
      <c r="U50" s="13">
        <v>8</v>
      </c>
      <c r="V50" s="14"/>
      <c r="W50" s="14"/>
      <c r="X50" s="14"/>
      <c r="Y50" s="15"/>
      <c r="Z50" s="13">
        <v>4</v>
      </c>
      <c r="AA50" s="14"/>
      <c r="AB50" s="14"/>
      <c r="AC50" s="14"/>
      <c r="AD50" s="15"/>
      <c r="AE50" s="17" t="s">
        <v>161</v>
      </c>
      <c r="AF50" s="17"/>
      <c r="AG50" s="17"/>
      <c r="AH50" s="17"/>
      <c r="AI50" s="17"/>
      <c r="AJ50" s="17"/>
      <c r="AK50" s="17"/>
      <c r="AL50" s="17"/>
      <c r="AM50" s="17"/>
      <c r="AN50" s="17"/>
      <c r="AO50" s="17"/>
      <c r="AP50" s="17"/>
      <c r="AQ50" s="17"/>
      <c r="AR50" s="17"/>
      <c r="AS50" s="17"/>
      <c r="AT50" s="17"/>
      <c r="AU50" s="17"/>
      <c r="AV50" s="17"/>
      <c r="AW50" s="17" t="s">
        <v>162</v>
      </c>
      <c r="AX50" s="17"/>
      <c r="AY50" s="17"/>
      <c r="AZ50" s="17"/>
      <c r="BA50" s="17"/>
      <c r="BB50" s="17"/>
      <c r="BC50" s="17"/>
      <c r="BD50" s="17"/>
      <c r="BE50" s="17"/>
      <c r="BF50" s="17"/>
      <c r="BG50" s="17"/>
      <c r="BH50" s="17"/>
      <c r="BI50" s="17"/>
      <c r="BJ50" s="17"/>
      <c r="BK50" s="17"/>
      <c r="BL50" s="17" t="s">
        <v>38</v>
      </c>
      <c r="BM50" s="17"/>
      <c r="BN50" s="17"/>
      <c r="BO50" s="17"/>
      <c r="BP50" s="17"/>
      <c r="BQ50" s="17" t="s">
        <v>44</v>
      </c>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row>
    <row r="51" spans="2:113" x14ac:dyDescent="0.55000000000000004">
      <c r="B51" s="1">
        <v>50</v>
      </c>
      <c r="C51" s="17" t="s">
        <v>160</v>
      </c>
      <c r="D51" s="17"/>
      <c r="E51" s="17"/>
      <c r="F51" s="17"/>
      <c r="G51" s="17"/>
      <c r="H51" s="17"/>
      <c r="I51" s="17"/>
      <c r="J51" s="17"/>
      <c r="K51" s="17"/>
      <c r="L51" s="17"/>
      <c r="M51" s="17"/>
      <c r="N51" s="17"/>
      <c r="O51" s="17"/>
      <c r="P51" s="17" t="s">
        <v>35</v>
      </c>
      <c r="Q51" s="17"/>
      <c r="R51" s="17"/>
      <c r="S51" s="17"/>
      <c r="T51" s="17"/>
      <c r="U51" s="13">
        <v>8</v>
      </c>
      <c r="V51" s="14"/>
      <c r="W51" s="14"/>
      <c r="X51" s="14"/>
      <c r="Y51" s="15"/>
      <c r="Z51" s="13">
        <v>4</v>
      </c>
      <c r="AA51" s="14"/>
      <c r="AB51" s="14"/>
      <c r="AC51" s="14"/>
      <c r="AD51" s="15"/>
      <c r="AE51" s="17" t="s">
        <v>163</v>
      </c>
      <c r="AF51" s="17"/>
      <c r="AG51" s="17"/>
      <c r="AH51" s="17"/>
      <c r="AI51" s="17"/>
      <c r="AJ51" s="17"/>
      <c r="AK51" s="17"/>
      <c r="AL51" s="17"/>
      <c r="AM51" s="17"/>
      <c r="AN51" s="17"/>
      <c r="AO51" s="17"/>
      <c r="AP51" s="17"/>
      <c r="AQ51" s="17"/>
      <c r="AR51" s="17"/>
      <c r="AS51" s="17"/>
      <c r="AT51" s="17"/>
      <c r="AU51" s="17"/>
      <c r="AV51" s="17"/>
      <c r="AW51" s="17" t="s">
        <v>164</v>
      </c>
      <c r="AX51" s="17"/>
      <c r="AY51" s="17"/>
      <c r="AZ51" s="17"/>
      <c r="BA51" s="17"/>
      <c r="BB51" s="17"/>
      <c r="BC51" s="17"/>
      <c r="BD51" s="17"/>
      <c r="BE51" s="17"/>
      <c r="BF51" s="17"/>
      <c r="BG51" s="17"/>
      <c r="BH51" s="17"/>
      <c r="BI51" s="17"/>
      <c r="BJ51" s="17"/>
      <c r="BK51" s="17"/>
      <c r="BL51" s="17" t="s">
        <v>38</v>
      </c>
      <c r="BM51" s="17"/>
      <c r="BN51" s="17"/>
      <c r="BO51" s="17"/>
      <c r="BP51" s="17"/>
      <c r="BQ51" s="17" t="s">
        <v>44</v>
      </c>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row>
    <row r="52" spans="2:113" x14ac:dyDescent="0.55000000000000004">
      <c r="B52" s="1">
        <v>51</v>
      </c>
      <c r="C52" s="17" t="s">
        <v>160</v>
      </c>
      <c r="D52" s="17"/>
      <c r="E52" s="17"/>
      <c r="F52" s="17"/>
      <c r="G52" s="17"/>
      <c r="H52" s="17"/>
      <c r="I52" s="17"/>
      <c r="J52" s="17"/>
      <c r="K52" s="17"/>
      <c r="L52" s="17"/>
      <c r="M52" s="17"/>
      <c r="N52" s="17"/>
      <c r="O52" s="17"/>
      <c r="P52" s="17" t="s">
        <v>35</v>
      </c>
      <c r="Q52" s="17"/>
      <c r="R52" s="17"/>
      <c r="S52" s="17"/>
      <c r="T52" s="17"/>
      <c r="U52" s="13">
        <v>8</v>
      </c>
      <c r="V52" s="14"/>
      <c r="W52" s="14"/>
      <c r="X52" s="14"/>
      <c r="Y52" s="15"/>
      <c r="Z52" s="13">
        <v>4</v>
      </c>
      <c r="AA52" s="14"/>
      <c r="AB52" s="14"/>
      <c r="AC52" s="14"/>
      <c r="AD52" s="15"/>
      <c r="AE52" s="17" t="s">
        <v>165</v>
      </c>
      <c r="AF52" s="17"/>
      <c r="AG52" s="17"/>
      <c r="AH52" s="17"/>
      <c r="AI52" s="17"/>
      <c r="AJ52" s="17"/>
      <c r="AK52" s="17"/>
      <c r="AL52" s="17"/>
      <c r="AM52" s="17"/>
      <c r="AN52" s="17"/>
      <c r="AO52" s="17"/>
      <c r="AP52" s="17"/>
      <c r="AQ52" s="17"/>
      <c r="AR52" s="17"/>
      <c r="AS52" s="17"/>
      <c r="AT52" s="17"/>
      <c r="AU52" s="17"/>
      <c r="AV52" s="17"/>
      <c r="AW52" s="17" t="s">
        <v>166</v>
      </c>
      <c r="AX52" s="17"/>
      <c r="AY52" s="17"/>
      <c r="AZ52" s="17"/>
      <c r="BA52" s="17"/>
      <c r="BB52" s="17"/>
      <c r="BC52" s="17"/>
      <c r="BD52" s="17"/>
      <c r="BE52" s="17"/>
      <c r="BF52" s="17"/>
      <c r="BG52" s="17"/>
      <c r="BH52" s="17"/>
      <c r="BI52" s="17"/>
      <c r="BJ52" s="17"/>
      <c r="BK52" s="17"/>
      <c r="BL52" s="17" t="s">
        <v>38</v>
      </c>
      <c r="BM52" s="17"/>
      <c r="BN52" s="17"/>
      <c r="BO52" s="17"/>
      <c r="BP52" s="17"/>
      <c r="BQ52" s="17" t="s">
        <v>44</v>
      </c>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row>
    <row r="53" spans="2:113" x14ac:dyDescent="0.55000000000000004">
      <c r="B53" s="1">
        <v>52</v>
      </c>
      <c r="C53" s="17" t="s">
        <v>160</v>
      </c>
      <c r="D53" s="17"/>
      <c r="E53" s="17"/>
      <c r="F53" s="17"/>
      <c r="G53" s="17"/>
      <c r="H53" s="17"/>
      <c r="I53" s="17"/>
      <c r="J53" s="17"/>
      <c r="K53" s="17"/>
      <c r="L53" s="17"/>
      <c r="M53" s="17"/>
      <c r="N53" s="17"/>
      <c r="O53" s="17"/>
      <c r="P53" s="17" t="s">
        <v>35</v>
      </c>
      <c r="Q53" s="17"/>
      <c r="R53" s="17"/>
      <c r="S53" s="17"/>
      <c r="T53" s="17"/>
      <c r="U53" s="13">
        <v>8</v>
      </c>
      <c r="V53" s="14"/>
      <c r="W53" s="14"/>
      <c r="X53" s="14"/>
      <c r="Y53" s="15"/>
      <c r="Z53" s="13">
        <v>4</v>
      </c>
      <c r="AA53" s="14"/>
      <c r="AB53" s="14"/>
      <c r="AC53" s="14"/>
      <c r="AD53" s="15"/>
      <c r="AE53" s="17" t="s">
        <v>167</v>
      </c>
      <c r="AF53" s="17"/>
      <c r="AG53" s="17"/>
      <c r="AH53" s="17"/>
      <c r="AI53" s="17"/>
      <c r="AJ53" s="17"/>
      <c r="AK53" s="17"/>
      <c r="AL53" s="17"/>
      <c r="AM53" s="17"/>
      <c r="AN53" s="17"/>
      <c r="AO53" s="17"/>
      <c r="AP53" s="17"/>
      <c r="AQ53" s="17"/>
      <c r="AR53" s="17"/>
      <c r="AS53" s="17"/>
      <c r="AT53" s="17"/>
      <c r="AU53" s="17"/>
      <c r="AV53" s="17"/>
      <c r="AW53" s="17" t="s">
        <v>168</v>
      </c>
      <c r="AX53" s="17"/>
      <c r="AY53" s="17"/>
      <c r="AZ53" s="17"/>
      <c r="BA53" s="17"/>
      <c r="BB53" s="17"/>
      <c r="BC53" s="17"/>
      <c r="BD53" s="17"/>
      <c r="BE53" s="17"/>
      <c r="BF53" s="17"/>
      <c r="BG53" s="17"/>
      <c r="BH53" s="17"/>
      <c r="BI53" s="17"/>
      <c r="BJ53" s="17"/>
      <c r="BK53" s="17"/>
      <c r="BL53" s="17" t="s">
        <v>38</v>
      </c>
      <c r="BM53" s="17"/>
      <c r="BN53" s="17"/>
      <c r="BO53" s="17"/>
      <c r="BP53" s="17"/>
      <c r="BQ53" s="17" t="s">
        <v>44</v>
      </c>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row>
    <row r="54" spans="2:113" x14ac:dyDescent="0.55000000000000004">
      <c r="B54" s="1">
        <v>53</v>
      </c>
      <c r="C54" s="17" t="s">
        <v>169</v>
      </c>
      <c r="D54" s="17"/>
      <c r="E54" s="17"/>
      <c r="F54" s="17"/>
      <c r="G54" s="17"/>
      <c r="H54" s="17"/>
      <c r="I54" s="17"/>
      <c r="J54" s="17"/>
      <c r="K54" s="17"/>
      <c r="L54" s="17"/>
      <c r="M54" s="17"/>
      <c r="N54" s="17"/>
      <c r="O54" s="17"/>
      <c r="P54" s="17" t="s">
        <v>65</v>
      </c>
      <c r="Q54" s="17"/>
      <c r="R54" s="17"/>
      <c r="S54" s="17"/>
      <c r="T54" s="17"/>
      <c r="U54" s="13">
        <v>10</v>
      </c>
      <c r="V54" s="14"/>
      <c r="W54" s="14"/>
      <c r="X54" s="14"/>
      <c r="Y54" s="15"/>
      <c r="Z54" s="13">
        <v>6</v>
      </c>
      <c r="AA54" s="14"/>
      <c r="AB54" s="14"/>
      <c r="AC54" s="14"/>
      <c r="AD54" s="15"/>
      <c r="AE54" s="17" t="s">
        <v>170</v>
      </c>
      <c r="AF54" s="17"/>
      <c r="AG54" s="17"/>
      <c r="AH54" s="17"/>
      <c r="AI54" s="17"/>
      <c r="AJ54" s="17"/>
      <c r="AK54" s="17"/>
      <c r="AL54" s="17"/>
      <c r="AM54" s="17"/>
      <c r="AN54" s="17"/>
      <c r="AO54" s="17"/>
      <c r="AP54" s="17"/>
      <c r="AQ54" s="17"/>
      <c r="AR54" s="17"/>
      <c r="AS54" s="17"/>
      <c r="AT54" s="17"/>
      <c r="AU54" s="17"/>
      <c r="AV54" s="17"/>
      <c r="AW54" s="17" t="s">
        <v>171</v>
      </c>
      <c r="AX54" s="17"/>
      <c r="AY54" s="17"/>
      <c r="AZ54" s="17"/>
      <c r="BA54" s="17"/>
      <c r="BB54" s="17"/>
      <c r="BC54" s="17"/>
      <c r="BD54" s="17"/>
      <c r="BE54" s="17"/>
      <c r="BF54" s="17"/>
      <c r="BG54" s="17"/>
      <c r="BH54" s="17"/>
      <c r="BI54" s="17"/>
      <c r="BJ54" s="17"/>
      <c r="BK54" s="17"/>
      <c r="BL54" s="17" t="s">
        <v>171</v>
      </c>
      <c r="BM54" s="17"/>
      <c r="BN54" s="17"/>
      <c r="BO54" s="17"/>
      <c r="BP54" s="17"/>
      <c r="BQ54" s="17" t="s">
        <v>172</v>
      </c>
      <c r="BR54" s="17"/>
      <c r="BS54" s="17"/>
      <c r="BT54" s="17"/>
      <c r="BU54" s="17"/>
      <c r="BV54" s="17"/>
      <c r="BW54" s="17"/>
      <c r="BX54" s="17"/>
      <c r="BY54" s="17"/>
      <c r="BZ54" s="17"/>
      <c r="CA54" s="17"/>
      <c r="CB54" s="17"/>
      <c r="CC54" s="17"/>
      <c r="CD54" s="17"/>
      <c r="CE54" s="17"/>
      <c r="CF54" s="17"/>
      <c r="CG54" s="17"/>
      <c r="CH54" s="17"/>
      <c r="CI54" s="17"/>
      <c r="CJ54" s="17"/>
      <c r="CK54" s="17"/>
      <c r="CL54" s="17"/>
      <c r="CM54" s="17" t="s">
        <v>173</v>
      </c>
      <c r="CN54" s="17"/>
      <c r="CO54" s="17"/>
      <c r="CP54" s="17"/>
      <c r="CQ54" s="17"/>
      <c r="CR54" s="17"/>
      <c r="CS54" s="17"/>
      <c r="CT54" s="17"/>
      <c r="CU54" s="17"/>
      <c r="CV54" s="17"/>
      <c r="CW54" s="17"/>
      <c r="CX54" s="17"/>
      <c r="CY54" s="17"/>
      <c r="CZ54" s="17"/>
      <c r="DA54" s="17"/>
      <c r="DB54" s="17"/>
      <c r="DC54" s="17"/>
      <c r="DD54" s="17"/>
      <c r="DE54" s="17"/>
      <c r="DF54" s="17"/>
      <c r="DG54" s="17"/>
      <c r="DH54" s="17"/>
      <c r="DI54" s="17"/>
    </row>
    <row r="55" spans="2:113" x14ac:dyDescent="0.55000000000000004">
      <c r="B55" s="1">
        <v>55</v>
      </c>
      <c r="C55" s="17" t="s">
        <v>169</v>
      </c>
      <c r="D55" s="17"/>
      <c r="E55" s="17"/>
      <c r="F55" s="17"/>
      <c r="G55" s="17"/>
      <c r="H55" s="17"/>
      <c r="I55" s="17"/>
      <c r="J55" s="17"/>
      <c r="K55" s="17"/>
      <c r="L55" s="17"/>
      <c r="M55" s="17"/>
      <c r="N55" s="17"/>
      <c r="O55" s="17"/>
      <c r="P55" s="17" t="s">
        <v>46</v>
      </c>
      <c r="Q55" s="17"/>
      <c r="R55" s="17"/>
      <c r="S55" s="17"/>
      <c r="T55" s="17"/>
      <c r="U55" s="13">
        <v>18</v>
      </c>
      <c r="V55" s="14"/>
      <c r="W55" s="14"/>
      <c r="X55" s="14"/>
      <c r="Y55" s="15"/>
      <c r="Z55" s="13">
        <v>9</v>
      </c>
      <c r="AA55" s="14"/>
      <c r="AB55" s="14"/>
      <c r="AC55" s="14"/>
      <c r="AD55" s="15"/>
      <c r="AE55" s="17" t="s">
        <v>174</v>
      </c>
      <c r="AF55" s="17"/>
      <c r="AG55" s="17"/>
      <c r="AH55" s="17"/>
      <c r="AI55" s="17"/>
      <c r="AJ55" s="17"/>
      <c r="AK55" s="17"/>
      <c r="AL55" s="17"/>
      <c r="AM55" s="17"/>
      <c r="AN55" s="17"/>
      <c r="AO55" s="17"/>
      <c r="AP55" s="17"/>
      <c r="AQ55" s="17"/>
      <c r="AR55" s="17"/>
      <c r="AS55" s="17"/>
      <c r="AT55" s="17"/>
      <c r="AU55" s="17"/>
      <c r="AV55" s="17"/>
      <c r="AW55" s="17" t="s">
        <v>175</v>
      </c>
      <c r="AX55" s="17"/>
      <c r="AY55" s="17"/>
      <c r="AZ55" s="17"/>
      <c r="BA55" s="17"/>
      <c r="BB55" s="17"/>
      <c r="BC55" s="17"/>
      <c r="BD55" s="17"/>
      <c r="BE55" s="17"/>
      <c r="BF55" s="17"/>
      <c r="BG55" s="17"/>
      <c r="BH55" s="17"/>
      <c r="BI55" s="17"/>
      <c r="BJ55" s="17"/>
      <c r="BK55" s="17"/>
      <c r="BL55" s="17" t="s">
        <v>95</v>
      </c>
      <c r="BM55" s="17"/>
      <c r="BN55" s="17"/>
      <c r="BO55" s="17"/>
      <c r="BP55" s="17"/>
      <c r="BQ55" s="17" t="s">
        <v>101</v>
      </c>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row>
    <row r="56" spans="2:113" x14ac:dyDescent="0.55000000000000004">
      <c r="B56" s="1">
        <v>56</v>
      </c>
      <c r="C56" s="17" t="s">
        <v>169</v>
      </c>
      <c r="D56" s="17"/>
      <c r="E56" s="17"/>
      <c r="F56" s="17"/>
      <c r="G56" s="17"/>
      <c r="H56" s="17"/>
      <c r="I56" s="17"/>
      <c r="J56" s="17"/>
      <c r="K56" s="17"/>
      <c r="L56" s="17"/>
      <c r="M56" s="17"/>
      <c r="N56" s="17"/>
      <c r="O56" s="17"/>
      <c r="P56" s="17" t="s">
        <v>75</v>
      </c>
      <c r="Q56" s="17"/>
      <c r="R56" s="17"/>
      <c r="S56" s="17"/>
      <c r="T56" s="17"/>
      <c r="U56" s="13">
        <v>12</v>
      </c>
      <c r="V56" s="14"/>
      <c r="W56" s="14"/>
      <c r="X56" s="14"/>
      <c r="Y56" s="15"/>
      <c r="Z56" s="13">
        <v>6</v>
      </c>
      <c r="AA56" s="14"/>
      <c r="AB56" s="14"/>
      <c r="AC56" s="14"/>
      <c r="AD56" s="15"/>
      <c r="AE56" s="17" t="s">
        <v>176</v>
      </c>
      <c r="AF56" s="17"/>
      <c r="AG56" s="17"/>
      <c r="AH56" s="17"/>
      <c r="AI56" s="17"/>
      <c r="AJ56" s="17"/>
      <c r="AK56" s="17"/>
      <c r="AL56" s="17"/>
      <c r="AM56" s="17"/>
      <c r="AN56" s="17"/>
      <c r="AO56" s="17"/>
      <c r="AP56" s="17"/>
      <c r="AQ56" s="17"/>
      <c r="AR56" s="17"/>
      <c r="AS56" s="17"/>
      <c r="AT56" s="17"/>
      <c r="AU56" s="17"/>
      <c r="AV56" s="17"/>
      <c r="AW56" s="17" t="s">
        <v>177</v>
      </c>
      <c r="AX56" s="17"/>
      <c r="AY56" s="17"/>
      <c r="AZ56" s="17"/>
      <c r="BA56" s="17"/>
      <c r="BB56" s="17"/>
      <c r="BC56" s="17"/>
      <c r="BD56" s="17"/>
      <c r="BE56" s="17"/>
      <c r="BF56" s="17"/>
      <c r="BG56" s="17"/>
      <c r="BH56" s="17"/>
      <c r="BI56" s="17"/>
      <c r="BJ56" s="17"/>
      <c r="BK56" s="17"/>
      <c r="BL56" s="17" t="s">
        <v>95</v>
      </c>
      <c r="BM56" s="17"/>
      <c r="BN56" s="17"/>
      <c r="BO56" s="17"/>
      <c r="BP56" s="17"/>
      <c r="BQ56" s="17" t="s">
        <v>94</v>
      </c>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row>
    <row r="57" spans="2:113" x14ac:dyDescent="0.55000000000000004">
      <c r="B57" s="1">
        <v>57</v>
      </c>
      <c r="C57" s="17" t="s">
        <v>169</v>
      </c>
      <c r="D57" s="17"/>
      <c r="E57" s="17"/>
      <c r="F57" s="17"/>
      <c r="G57" s="17"/>
      <c r="H57" s="17"/>
      <c r="I57" s="17"/>
      <c r="J57" s="17"/>
      <c r="K57" s="17"/>
      <c r="L57" s="17"/>
      <c r="M57" s="17"/>
      <c r="N57" s="17"/>
      <c r="O57" s="17"/>
      <c r="P57" s="17" t="s">
        <v>52</v>
      </c>
      <c r="Q57" s="17"/>
      <c r="R57" s="17"/>
      <c r="S57" s="17"/>
      <c r="T57" s="17"/>
      <c r="U57" s="13">
        <v>0</v>
      </c>
      <c r="V57" s="14"/>
      <c r="W57" s="14"/>
      <c r="X57" s="14"/>
      <c r="Y57" s="15"/>
      <c r="Z57" s="13">
        <v>0</v>
      </c>
      <c r="AA57" s="14"/>
      <c r="AB57" s="14"/>
      <c r="AC57" s="14"/>
      <c r="AD57" s="15"/>
      <c r="AE57" s="17" t="s">
        <v>178</v>
      </c>
      <c r="AF57" s="17"/>
      <c r="AG57" s="17"/>
      <c r="AH57" s="17"/>
      <c r="AI57" s="17"/>
      <c r="AJ57" s="17"/>
      <c r="AK57" s="17"/>
      <c r="AL57" s="17"/>
      <c r="AM57" s="17"/>
      <c r="AN57" s="17"/>
      <c r="AO57" s="17"/>
      <c r="AP57" s="17"/>
      <c r="AQ57" s="17"/>
      <c r="AR57" s="17"/>
      <c r="AS57" s="17"/>
      <c r="AT57" s="17"/>
      <c r="AU57" s="17"/>
      <c r="AV57" s="17"/>
      <c r="AW57" s="17" t="s">
        <v>179</v>
      </c>
      <c r="AX57" s="17"/>
      <c r="AY57" s="17"/>
      <c r="AZ57" s="17"/>
      <c r="BA57" s="17"/>
      <c r="BB57" s="17"/>
      <c r="BC57" s="17"/>
      <c r="BD57" s="17"/>
      <c r="BE57" s="17"/>
      <c r="BF57" s="17"/>
      <c r="BG57" s="17"/>
      <c r="BH57" s="17"/>
      <c r="BI57" s="17"/>
      <c r="BJ57" s="17"/>
      <c r="BK57" s="17"/>
      <c r="BL57" s="17" t="s">
        <v>95</v>
      </c>
      <c r="BM57" s="17"/>
      <c r="BN57" s="17"/>
      <c r="BO57" s="17"/>
      <c r="BP57" s="17"/>
      <c r="BQ57" s="17" t="s">
        <v>98</v>
      </c>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row>
    <row r="58" spans="2:113" x14ac:dyDescent="0.55000000000000004">
      <c r="B58" s="1">
        <v>58</v>
      </c>
      <c r="C58" s="17" t="s">
        <v>169</v>
      </c>
      <c r="D58" s="17"/>
      <c r="E58" s="17"/>
      <c r="F58" s="17"/>
      <c r="G58" s="17"/>
      <c r="H58" s="17"/>
      <c r="I58" s="17"/>
      <c r="J58" s="17"/>
      <c r="K58" s="17"/>
      <c r="L58" s="17"/>
      <c r="M58" s="17"/>
      <c r="N58" s="17"/>
      <c r="O58" s="17"/>
      <c r="P58" s="17" t="s">
        <v>52</v>
      </c>
      <c r="Q58" s="17"/>
      <c r="R58" s="17"/>
      <c r="S58" s="17"/>
      <c r="T58" s="17"/>
      <c r="U58" s="13">
        <v>0</v>
      </c>
      <c r="V58" s="14"/>
      <c r="W58" s="14"/>
      <c r="X58" s="14"/>
      <c r="Y58" s="15"/>
      <c r="Z58" s="13">
        <v>0</v>
      </c>
      <c r="AA58" s="14"/>
      <c r="AB58" s="14"/>
      <c r="AC58" s="14"/>
      <c r="AD58" s="15"/>
      <c r="AE58" s="17" t="s">
        <v>174</v>
      </c>
      <c r="AF58" s="17"/>
      <c r="AG58" s="17"/>
      <c r="AH58" s="17"/>
      <c r="AI58" s="17"/>
      <c r="AJ58" s="17"/>
      <c r="AK58" s="17"/>
      <c r="AL58" s="17"/>
      <c r="AM58" s="17"/>
      <c r="AN58" s="17"/>
      <c r="AO58" s="17"/>
      <c r="AP58" s="17"/>
      <c r="AQ58" s="17"/>
      <c r="AR58" s="17"/>
      <c r="AS58" s="17"/>
      <c r="AT58" s="17"/>
      <c r="AU58" s="17"/>
      <c r="AV58" s="17"/>
      <c r="AW58" s="17" t="s">
        <v>180</v>
      </c>
      <c r="AX58" s="17"/>
      <c r="AY58" s="17"/>
      <c r="AZ58" s="17"/>
      <c r="BA58" s="17"/>
      <c r="BB58" s="17"/>
      <c r="BC58" s="17"/>
      <c r="BD58" s="17"/>
      <c r="BE58" s="17"/>
      <c r="BF58" s="17"/>
      <c r="BG58" s="17"/>
      <c r="BH58" s="17"/>
      <c r="BI58" s="17"/>
      <c r="BJ58" s="17"/>
      <c r="BK58" s="17"/>
      <c r="BL58" s="17" t="s">
        <v>95</v>
      </c>
      <c r="BM58" s="17"/>
      <c r="BN58" s="17"/>
      <c r="BO58" s="17"/>
      <c r="BP58" s="17"/>
      <c r="BQ58" s="17" t="s">
        <v>181</v>
      </c>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row>
    <row r="59" spans="2:113" x14ac:dyDescent="0.55000000000000004">
      <c r="B59" s="1">
        <v>59</v>
      </c>
      <c r="C59" s="17" t="s">
        <v>182</v>
      </c>
      <c r="D59" s="17"/>
      <c r="E59" s="17"/>
      <c r="F59" s="17"/>
      <c r="G59" s="17"/>
      <c r="H59" s="17"/>
      <c r="I59" s="17"/>
      <c r="J59" s="17"/>
      <c r="K59" s="17"/>
      <c r="L59" s="17"/>
      <c r="M59" s="17"/>
      <c r="N59" s="17"/>
      <c r="O59" s="17"/>
      <c r="P59" s="17" t="s">
        <v>46</v>
      </c>
      <c r="Q59" s="17"/>
      <c r="R59" s="17"/>
      <c r="S59" s="17"/>
      <c r="T59" s="17"/>
      <c r="U59" s="13">
        <v>18</v>
      </c>
      <c r="V59" s="14"/>
      <c r="W59" s="14"/>
      <c r="X59" s="14"/>
      <c r="Y59" s="15"/>
      <c r="Z59" s="13">
        <v>9</v>
      </c>
      <c r="AA59" s="14"/>
      <c r="AB59" s="14"/>
      <c r="AC59" s="14"/>
      <c r="AD59" s="15"/>
      <c r="AE59" s="17" t="s">
        <v>183</v>
      </c>
      <c r="AF59" s="17"/>
      <c r="AG59" s="17"/>
      <c r="AH59" s="17"/>
      <c r="AI59" s="17"/>
      <c r="AJ59" s="17"/>
      <c r="AK59" s="17"/>
      <c r="AL59" s="17"/>
      <c r="AM59" s="17"/>
      <c r="AN59" s="17"/>
      <c r="AO59" s="17"/>
      <c r="AP59" s="17"/>
      <c r="AQ59" s="17"/>
      <c r="AR59" s="17"/>
      <c r="AS59" s="17"/>
      <c r="AT59" s="17"/>
      <c r="AU59" s="17"/>
      <c r="AV59" s="17"/>
      <c r="AW59" s="17" t="s">
        <v>184</v>
      </c>
      <c r="AX59" s="17"/>
      <c r="AY59" s="17"/>
      <c r="AZ59" s="17"/>
      <c r="BA59" s="17"/>
      <c r="BB59" s="17"/>
      <c r="BC59" s="17"/>
      <c r="BD59" s="17"/>
      <c r="BE59" s="17"/>
      <c r="BF59" s="17"/>
      <c r="BG59" s="17"/>
      <c r="BH59" s="17"/>
      <c r="BI59" s="17"/>
      <c r="BJ59" s="17"/>
      <c r="BK59" s="17"/>
      <c r="BL59" s="17" t="s">
        <v>95</v>
      </c>
      <c r="BM59" s="17"/>
      <c r="BN59" s="17"/>
      <c r="BO59" s="17"/>
      <c r="BP59" s="17"/>
      <c r="BQ59" s="17" t="s">
        <v>94</v>
      </c>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row>
    <row r="60" spans="2:113" x14ac:dyDescent="0.55000000000000004">
      <c r="B60" s="1">
        <v>60</v>
      </c>
      <c r="C60" s="17" t="s">
        <v>182</v>
      </c>
      <c r="D60" s="17"/>
      <c r="E60" s="17"/>
      <c r="F60" s="17"/>
      <c r="G60" s="17"/>
      <c r="H60" s="17"/>
      <c r="I60" s="17"/>
      <c r="J60" s="17"/>
      <c r="K60" s="17"/>
      <c r="L60" s="17"/>
      <c r="M60" s="17"/>
      <c r="N60" s="17"/>
      <c r="O60" s="17"/>
      <c r="P60" s="17" t="s">
        <v>71</v>
      </c>
      <c r="Q60" s="17"/>
      <c r="R60" s="17"/>
      <c r="S60" s="17"/>
      <c r="T60" s="17"/>
      <c r="U60" s="13">
        <v>4</v>
      </c>
      <c r="V60" s="14"/>
      <c r="W60" s="14"/>
      <c r="X60" s="14"/>
      <c r="Y60" s="15"/>
      <c r="Z60" s="13">
        <v>2</v>
      </c>
      <c r="AA60" s="14"/>
      <c r="AB60" s="14"/>
      <c r="AC60" s="14"/>
      <c r="AD60" s="15"/>
      <c r="AE60" s="17" t="s">
        <v>185</v>
      </c>
      <c r="AF60" s="17"/>
      <c r="AG60" s="17"/>
      <c r="AH60" s="17"/>
      <c r="AI60" s="17"/>
      <c r="AJ60" s="17"/>
      <c r="AK60" s="17"/>
      <c r="AL60" s="17"/>
      <c r="AM60" s="17"/>
      <c r="AN60" s="17"/>
      <c r="AO60" s="17"/>
      <c r="AP60" s="17"/>
      <c r="AQ60" s="17"/>
      <c r="AR60" s="17"/>
      <c r="AS60" s="17"/>
      <c r="AT60" s="17"/>
      <c r="AU60" s="17"/>
      <c r="AV60" s="17"/>
      <c r="AW60" s="17" t="s">
        <v>186</v>
      </c>
      <c r="AX60" s="17"/>
      <c r="AY60" s="17"/>
      <c r="AZ60" s="17"/>
      <c r="BA60" s="17"/>
      <c r="BB60" s="17"/>
      <c r="BC60" s="17"/>
      <c r="BD60" s="17"/>
      <c r="BE60" s="17"/>
      <c r="BF60" s="17"/>
      <c r="BG60" s="17"/>
      <c r="BH60" s="17"/>
      <c r="BI60" s="17"/>
      <c r="BJ60" s="17"/>
      <c r="BK60" s="17"/>
      <c r="BL60" s="17" t="s">
        <v>95</v>
      </c>
      <c r="BM60" s="17"/>
      <c r="BN60" s="17"/>
      <c r="BO60" s="17"/>
      <c r="BP60" s="17"/>
      <c r="BQ60" s="17" t="s">
        <v>98</v>
      </c>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row>
    <row r="61" spans="2:113" x14ac:dyDescent="0.55000000000000004">
      <c r="B61" s="1">
        <v>61</v>
      </c>
      <c r="C61" s="17" t="s">
        <v>182</v>
      </c>
      <c r="D61" s="17"/>
      <c r="E61" s="17"/>
      <c r="F61" s="17"/>
      <c r="G61" s="17"/>
      <c r="H61" s="17"/>
      <c r="I61" s="17"/>
      <c r="J61" s="17"/>
      <c r="K61" s="17"/>
      <c r="L61" s="17"/>
      <c r="M61" s="17"/>
      <c r="N61" s="17"/>
      <c r="O61" s="17"/>
      <c r="P61" s="17" t="s">
        <v>52</v>
      </c>
      <c r="Q61" s="17"/>
      <c r="R61" s="17"/>
      <c r="S61" s="17"/>
      <c r="T61" s="17"/>
      <c r="U61" s="13">
        <v>0</v>
      </c>
      <c r="V61" s="14"/>
      <c r="W61" s="14"/>
      <c r="X61" s="14"/>
      <c r="Y61" s="15"/>
      <c r="Z61" s="13">
        <v>0</v>
      </c>
      <c r="AA61" s="14"/>
      <c r="AB61" s="14"/>
      <c r="AC61" s="14"/>
      <c r="AD61" s="15"/>
      <c r="AE61" s="17" t="s">
        <v>187</v>
      </c>
      <c r="AF61" s="17"/>
      <c r="AG61" s="17"/>
      <c r="AH61" s="17"/>
      <c r="AI61" s="17"/>
      <c r="AJ61" s="17"/>
      <c r="AK61" s="17"/>
      <c r="AL61" s="17"/>
      <c r="AM61" s="17"/>
      <c r="AN61" s="17"/>
      <c r="AO61" s="17"/>
      <c r="AP61" s="17"/>
      <c r="AQ61" s="17"/>
      <c r="AR61" s="17"/>
      <c r="AS61" s="17"/>
      <c r="AT61" s="17"/>
      <c r="AU61" s="17"/>
      <c r="AV61" s="17"/>
      <c r="AW61" s="17" t="s">
        <v>188</v>
      </c>
      <c r="AX61" s="17"/>
      <c r="AY61" s="17"/>
      <c r="AZ61" s="17"/>
      <c r="BA61" s="17"/>
      <c r="BB61" s="17"/>
      <c r="BC61" s="17"/>
      <c r="BD61" s="17"/>
      <c r="BE61" s="17"/>
      <c r="BF61" s="17"/>
      <c r="BG61" s="17"/>
      <c r="BH61" s="17"/>
      <c r="BI61" s="17"/>
      <c r="BJ61" s="17"/>
      <c r="BK61" s="17"/>
      <c r="BL61" s="17" t="s">
        <v>95</v>
      </c>
      <c r="BM61" s="17"/>
      <c r="BN61" s="17"/>
      <c r="BO61" s="17"/>
      <c r="BP61" s="17"/>
      <c r="BQ61" s="17" t="s">
        <v>101</v>
      </c>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row>
    <row r="62" spans="2:113" x14ac:dyDescent="0.55000000000000004">
      <c r="B62" s="1">
        <v>62</v>
      </c>
      <c r="C62" s="17" t="s">
        <v>182</v>
      </c>
      <c r="D62" s="17"/>
      <c r="E62" s="17"/>
      <c r="F62" s="17"/>
      <c r="G62" s="17"/>
      <c r="H62" s="17"/>
      <c r="I62" s="17"/>
      <c r="J62" s="17"/>
      <c r="K62" s="17"/>
      <c r="L62" s="17"/>
      <c r="M62" s="17"/>
      <c r="N62" s="17"/>
      <c r="O62" s="17"/>
      <c r="P62" s="17" t="s">
        <v>52</v>
      </c>
      <c r="Q62" s="17"/>
      <c r="R62" s="17"/>
      <c r="S62" s="17"/>
      <c r="T62" s="17"/>
      <c r="U62" s="13">
        <v>0</v>
      </c>
      <c r="V62" s="14"/>
      <c r="W62" s="14"/>
      <c r="X62" s="14"/>
      <c r="Y62" s="15"/>
      <c r="Z62" s="13">
        <v>0</v>
      </c>
      <c r="AA62" s="14"/>
      <c r="AB62" s="14"/>
      <c r="AC62" s="14"/>
      <c r="AD62" s="15"/>
      <c r="AE62" s="17" t="s">
        <v>189</v>
      </c>
      <c r="AF62" s="17"/>
      <c r="AG62" s="17"/>
      <c r="AH62" s="17"/>
      <c r="AI62" s="17"/>
      <c r="AJ62" s="17"/>
      <c r="AK62" s="17"/>
      <c r="AL62" s="17"/>
      <c r="AM62" s="17"/>
      <c r="AN62" s="17"/>
      <c r="AO62" s="17"/>
      <c r="AP62" s="17"/>
      <c r="AQ62" s="17"/>
      <c r="AR62" s="17"/>
      <c r="AS62" s="17"/>
      <c r="AT62" s="17"/>
      <c r="AU62" s="17"/>
      <c r="AV62" s="17"/>
      <c r="AW62" s="17" t="s">
        <v>190</v>
      </c>
      <c r="AX62" s="17"/>
      <c r="AY62" s="17"/>
      <c r="AZ62" s="17"/>
      <c r="BA62" s="17"/>
      <c r="BB62" s="17"/>
      <c r="BC62" s="17"/>
      <c r="BD62" s="17"/>
      <c r="BE62" s="17"/>
      <c r="BF62" s="17"/>
      <c r="BG62" s="17"/>
      <c r="BH62" s="17"/>
      <c r="BI62" s="17"/>
      <c r="BJ62" s="17"/>
      <c r="BK62" s="17"/>
      <c r="BL62" s="17" t="s">
        <v>95</v>
      </c>
      <c r="BM62" s="17"/>
      <c r="BN62" s="17"/>
      <c r="BO62" s="17"/>
      <c r="BP62" s="17"/>
      <c r="BQ62" s="17" t="s">
        <v>181</v>
      </c>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row>
    <row r="63" spans="2:113" x14ac:dyDescent="0.55000000000000004">
      <c r="B63" s="1">
        <v>63</v>
      </c>
      <c r="C63" s="17" t="s">
        <v>191</v>
      </c>
      <c r="D63" s="17"/>
      <c r="E63" s="17"/>
      <c r="F63" s="17"/>
      <c r="G63" s="17"/>
      <c r="H63" s="17"/>
      <c r="I63" s="17"/>
      <c r="J63" s="17"/>
      <c r="K63" s="17"/>
      <c r="L63" s="17"/>
      <c r="M63" s="17"/>
      <c r="N63" s="17"/>
      <c r="O63" s="17"/>
      <c r="P63" s="17" t="s">
        <v>35</v>
      </c>
      <c r="Q63" s="17"/>
      <c r="R63" s="17"/>
      <c r="S63" s="17"/>
      <c r="T63" s="17"/>
      <c r="U63" s="13">
        <v>8</v>
      </c>
      <c r="V63" s="14"/>
      <c r="W63" s="14"/>
      <c r="X63" s="14"/>
      <c r="Y63" s="15"/>
      <c r="Z63" s="13">
        <v>4</v>
      </c>
      <c r="AA63" s="14"/>
      <c r="AB63" s="14"/>
      <c r="AC63" s="14"/>
      <c r="AD63" s="15"/>
      <c r="AE63" s="17" t="s">
        <v>192</v>
      </c>
      <c r="AF63" s="17"/>
      <c r="AG63" s="17"/>
      <c r="AH63" s="17"/>
      <c r="AI63" s="17"/>
      <c r="AJ63" s="17"/>
      <c r="AK63" s="17"/>
      <c r="AL63" s="17"/>
      <c r="AM63" s="17"/>
      <c r="AN63" s="17"/>
      <c r="AO63" s="17"/>
      <c r="AP63" s="17"/>
      <c r="AQ63" s="17"/>
      <c r="AR63" s="17"/>
      <c r="AS63" s="17"/>
      <c r="AT63" s="17"/>
      <c r="AU63" s="17"/>
      <c r="AV63" s="17"/>
      <c r="AW63" s="17" t="s">
        <v>193</v>
      </c>
      <c r="AX63" s="17"/>
      <c r="AY63" s="17"/>
      <c r="AZ63" s="17"/>
      <c r="BA63" s="17"/>
      <c r="BB63" s="17"/>
      <c r="BC63" s="17"/>
      <c r="BD63" s="17"/>
      <c r="BE63" s="17"/>
      <c r="BF63" s="17"/>
      <c r="BG63" s="17"/>
      <c r="BH63" s="17"/>
      <c r="BI63" s="17"/>
      <c r="BJ63" s="17"/>
      <c r="BK63" s="17"/>
      <c r="BL63" s="17" t="s">
        <v>95</v>
      </c>
      <c r="BM63" s="17"/>
      <c r="BN63" s="17"/>
      <c r="BO63" s="17"/>
      <c r="BP63" s="17"/>
      <c r="BQ63" s="17" t="s">
        <v>194</v>
      </c>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row>
    <row r="64" spans="2:113" x14ac:dyDescent="0.55000000000000004">
      <c r="B64" s="1">
        <v>64</v>
      </c>
      <c r="C64" s="17" t="s">
        <v>191</v>
      </c>
      <c r="D64" s="17"/>
      <c r="E64" s="17"/>
      <c r="F64" s="17"/>
      <c r="G64" s="17"/>
      <c r="H64" s="17"/>
      <c r="I64" s="17"/>
      <c r="J64" s="17"/>
      <c r="K64" s="17"/>
      <c r="L64" s="17"/>
      <c r="M64" s="17"/>
      <c r="N64" s="17"/>
      <c r="O64" s="17"/>
      <c r="P64" s="17" t="s">
        <v>35</v>
      </c>
      <c r="Q64" s="17"/>
      <c r="R64" s="17"/>
      <c r="S64" s="17"/>
      <c r="T64" s="17"/>
      <c r="U64" s="13">
        <v>8</v>
      </c>
      <c r="V64" s="14"/>
      <c r="W64" s="14"/>
      <c r="X64" s="14"/>
      <c r="Y64" s="15"/>
      <c r="Z64" s="13">
        <v>4</v>
      </c>
      <c r="AA64" s="14"/>
      <c r="AB64" s="14"/>
      <c r="AC64" s="14"/>
      <c r="AD64" s="15"/>
      <c r="AE64" s="17" t="s">
        <v>195</v>
      </c>
      <c r="AF64" s="17"/>
      <c r="AG64" s="17"/>
      <c r="AH64" s="17"/>
      <c r="AI64" s="17"/>
      <c r="AJ64" s="17"/>
      <c r="AK64" s="17"/>
      <c r="AL64" s="17"/>
      <c r="AM64" s="17"/>
      <c r="AN64" s="17"/>
      <c r="AO64" s="17"/>
      <c r="AP64" s="17"/>
      <c r="AQ64" s="17"/>
      <c r="AR64" s="17"/>
      <c r="AS64" s="17"/>
      <c r="AT64" s="17"/>
      <c r="AU64" s="17"/>
      <c r="AV64" s="17"/>
      <c r="AW64" s="17" t="s">
        <v>196</v>
      </c>
      <c r="AX64" s="17"/>
      <c r="AY64" s="17"/>
      <c r="AZ64" s="17"/>
      <c r="BA64" s="17"/>
      <c r="BB64" s="17"/>
      <c r="BC64" s="17"/>
      <c r="BD64" s="17"/>
      <c r="BE64" s="17"/>
      <c r="BF64" s="17"/>
      <c r="BG64" s="17"/>
      <c r="BH64" s="17"/>
      <c r="BI64" s="17"/>
      <c r="BJ64" s="17"/>
      <c r="BK64" s="17"/>
      <c r="BL64" s="17" t="s">
        <v>95</v>
      </c>
      <c r="BM64" s="17"/>
      <c r="BN64" s="17"/>
      <c r="BO64" s="17"/>
      <c r="BP64" s="17"/>
      <c r="BQ64" s="17" t="s">
        <v>197</v>
      </c>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row>
    <row r="65" spans="2:113" x14ac:dyDescent="0.55000000000000004">
      <c r="B65" s="1">
        <v>65</v>
      </c>
      <c r="C65" s="17" t="s">
        <v>191</v>
      </c>
      <c r="D65" s="17"/>
      <c r="E65" s="17"/>
      <c r="F65" s="17"/>
      <c r="G65" s="17"/>
      <c r="H65" s="17"/>
      <c r="I65" s="17"/>
      <c r="J65" s="17"/>
      <c r="K65" s="17"/>
      <c r="L65" s="17"/>
      <c r="M65" s="17"/>
      <c r="N65" s="17"/>
      <c r="O65" s="17"/>
      <c r="P65" s="17" t="s">
        <v>35</v>
      </c>
      <c r="Q65" s="17"/>
      <c r="R65" s="17"/>
      <c r="S65" s="17"/>
      <c r="T65" s="17"/>
      <c r="U65" s="13">
        <v>8</v>
      </c>
      <c r="V65" s="14"/>
      <c r="W65" s="14"/>
      <c r="X65" s="14"/>
      <c r="Y65" s="15"/>
      <c r="Z65" s="13">
        <v>4</v>
      </c>
      <c r="AA65" s="14"/>
      <c r="AB65" s="14"/>
      <c r="AC65" s="14"/>
      <c r="AD65" s="15"/>
      <c r="AE65" s="17" t="s">
        <v>198</v>
      </c>
      <c r="AF65" s="17"/>
      <c r="AG65" s="17"/>
      <c r="AH65" s="17"/>
      <c r="AI65" s="17"/>
      <c r="AJ65" s="17"/>
      <c r="AK65" s="17"/>
      <c r="AL65" s="17"/>
      <c r="AM65" s="17"/>
      <c r="AN65" s="17"/>
      <c r="AO65" s="17"/>
      <c r="AP65" s="17"/>
      <c r="AQ65" s="17"/>
      <c r="AR65" s="17"/>
      <c r="AS65" s="17"/>
      <c r="AT65" s="17"/>
      <c r="AU65" s="17"/>
      <c r="AV65" s="17"/>
      <c r="AW65" s="17" t="s">
        <v>196</v>
      </c>
      <c r="AX65" s="17"/>
      <c r="AY65" s="17"/>
      <c r="AZ65" s="17"/>
      <c r="BA65" s="17"/>
      <c r="BB65" s="17"/>
      <c r="BC65" s="17"/>
      <c r="BD65" s="17"/>
      <c r="BE65" s="17"/>
      <c r="BF65" s="17"/>
      <c r="BG65" s="17"/>
      <c r="BH65" s="17"/>
      <c r="BI65" s="17"/>
      <c r="BJ65" s="17"/>
      <c r="BK65" s="17"/>
      <c r="BL65" s="17" t="s">
        <v>95</v>
      </c>
      <c r="BM65" s="17"/>
      <c r="BN65" s="17"/>
      <c r="BO65" s="17"/>
      <c r="BP65" s="17"/>
      <c r="BQ65" s="17" t="s">
        <v>197</v>
      </c>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row>
    <row r="66" spans="2:113" x14ac:dyDescent="0.55000000000000004">
      <c r="B66" s="1">
        <v>66</v>
      </c>
      <c r="C66" s="17" t="s">
        <v>191</v>
      </c>
      <c r="D66" s="17"/>
      <c r="E66" s="17"/>
      <c r="F66" s="17"/>
      <c r="G66" s="17"/>
      <c r="H66" s="17"/>
      <c r="I66" s="17"/>
      <c r="J66" s="17"/>
      <c r="K66" s="17"/>
      <c r="L66" s="17"/>
      <c r="M66" s="17"/>
      <c r="N66" s="17"/>
      <c r="O66" s="17"/>
      <c r="P66" s="17" t="s">
        <v>35</v>
      </c>
      <c r="Q66" s="17"/>
      <c r="R66" s="17"/>
      <c r="S66" s="17"/>
      <c r="T66" s="17"/>
      <c r="U66" s="13">
        <v>8</v>
      </c>
      <c r="V66" s="14"/>
      <c r="W66" s="14"/>
      <c r="X66" s="14"/>
      <c r="Y66" s="15"/>
      <c r="Z66" s="13">
        <v>4</v>
      </c>
      <c r="AA66" s="14"/>
      <c r="AB66" s="14"/>
      <c r="AC66" s="14"/>
      <c r="AD66" s="15"/>
      <c r="AE66" s="17" t="s">
        <v>199</v>
      </c>
      <c r="AF66" s="17"/>
      <c r="AG66" s="17"/>
      <c r="AH66" s="17"/>
      <c r="AI66" s="17"/>
      <c r="AJ66" s="17"/>
      <c r="AK66" s="17"/>
      <c r="AL66" s="17"/>
      <c r="AM66" s="17"/>
      <c r="AN66" s="17"/>
      <c r="AO66" s="17"/>
      <c r="AP66" s="17"/>
      <c r="AQ66" s="17"/>
      <c r="AR66" s="17"/>
      <c r="AS66" s="17"/>
      <c r="AT66" s="17"/>
      <c r="AU66" s="17"/>
      <c r="AV66" s="17"/>
      <c r="AW66" s="17" t="s">
        <v>200</v>
      </c>
      <c r="AX66" s="17"/>
      <c r="AY66" s="17"/>
      <c r="AZ66" s="17"/>
      <c r="BA66" s="17"/>
      <c r="BB66" s="17"/>
      <c r="BC66" s="17"/>
      <c r="BD66" s="17"/>
      <c r="BE66" s="17"/>
      <c r="BF66" s="17"/>
      <c r="BG66" s="17"/>
      <c r="BH66" s="17"/>
      <c r="BI66" s="17"/>
      <c r="BJ66" s="17"/>
      <c r="BK66" s="17"/>
      <c r="BL66" s="17" t="s">
        <v>49</v>
      </c>
      <c r="BM66" s="17"/>
      <c r="BN66" s="17"/>
      <c r="BO66" s="17"/>
      <c r="BP66" s="17"/>
      <c r="BQ66" s="17" t="s">
        <v>44</v>
      </c>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row>
    <row r="67" spans="2:113" ht="17.5" customHeight="1" x14ac:dyDescent="0.55000000000000004">
      <c r="B67" s="1">
        <v>67</v>
      </c>
      <c r="C67" s="17" t="s">
        <v>201</v>
      </c>
      <c r="D67" s="17"/>
      <c r="E67" s="17"/>
      <c r="F67" s="17"/>
      <c r="G67" s="17"/>
      <c r="H67" s="17"/>
      <c r="I67" s="17"/>
      <c r="J67" s="17"/>
      <c r="K67" s="17"/>
      <c r="L67" s="17"/>
      <c r="M67" s="17"/>
      <c r="N67" s="17"/>
      <c r="O67" s="17"/>
      <c r="P67" s="17" t="s">
        <v>35</v>
      </c>
      <c r="Q67" s="17"/>
      <c r="R67" s="17"/>
      <c r="S67" s="17"/>
      <c r="T67" s="17"/>
      <c r="U67" s="13">
        <v>8</v>
      </c>
      <c r="V67" s="14"/>
      <c r="W67" s="14"/>
      <c r="X67" s="14"/>
      <c r="Y67" s="15"/>
      <c r="Z67" s="13">
        <v>4</v>
      </c>
      <c r="AA67" s="14"/>
      <c r="AB67" s="14"/>
      <c r="AC67" s="14"/>
      <c r="AD67" s="15"/>
      <c r="AE67" s="17" t="s">
        <v>202</v>
      </c>
      <c r="AF67" s="17"/>
      <c r="AG67" s="17"/>
      <c r="AH67" s="17"/>
      <c r="AI67" s="17"/>
      <c r="AJ67" s="17"/>
      <c r="AK67" s="17"/>
      <c r="AL67" s="17"/>
      <c r="AM67" s="17"/>
      <c r="AN67" s="17"/>
      <c r="AO67" s="17"/>
      <c r="AP67" s="17"/>
      <c r="AQ67" s="17"/>
      <c r="AR67" s="17"/>
      <c r="AS67" s="17"/>
      <c r="AT67" s="17"/>
      <c r="AU67" s="17"/>
      <c r="AV67" s="17"/>
      <c r="AW67" s="17" t="s">
        <v>203</v>
      </c>
      <c r="AX67" s="17"/>
      <c r="AY67" s="17"/>
      <c r="AZ67" s="17"/>
      <c r="BA67" s="17"/>
      <c r="BB67" s="17"/>
      <c r="BC67" s="17"/>
      <c r="BD67" s="17"/>
      <c r="BE67" s="17"/>
      <c r="BF67" s="17"/>
      <c r="BG67" s="17"/>
      <c r="BH67" s="17"/>
      <c r="BI67" s="17"/>
      <c r="BJ67" s="17"/>
      <c r="BK67" s="17"/>
      <c r="BL67" s="17" t="s">
        <v>38</v>
      </c>
      <c r="BM67" s="17"/>
      <c r="BN67" s="17"/>
      <c r="BO67" s="17"/>
      <c r="BP67" s="17"/>
      <c r="BQ67" s="17" t="s">
        <v>74</v>
      </c>
      <c r="BR67" s="17"/>
      <c r="BS67" s="17"/>
      <c r="BT67" s="17"/>
      <c r="BU67" s="17"/>
      <c r="BV67" s="17"/>
      <c r="BW67" s="17"/>
      <c r="BX67" s="17"/>
      <c r="BY67" s="17"/>
      <c r="BZ67" s="17"/>
      <c r="CA67" s="17"/>
      <c r="CB67" s="17"/>
      <c r="CC67" s="17"/>
      <c r="CD67" s="17"/>
      <c r="CE67" s="17"/>
      <c r="CF67" s="17"/>
      <c r="CG67" s="17"/>
      <c r="CH67" s="17"/>
      <c r="CI67" s="17"/>
      <c r="CJ67" s="17"/>
      <c r="CK67" s="17"/>
      <c r="CL67" s="17"/>
      <c r="CM67" s="17"/>
      <c r="CN67" s="17" t="s">
        <v>204</v>
      </c>
      <c r="CO67" s="17"/>
      <c r="CP67" s="17"/>
      <c r="CQ67" s="17"/>
      <c r="CR67" s="17"/>
      <c r="CS67" s="17"/>
      <c r="CT67" s="17"/>
      <c r="CU67" s="17"/>
      <c r="CV67" s="17"/>
      <c r="CW67" s="17"/>
      <c r="CX67" s="17"/>
      <c r="CY67" s="17"/>
      <c r="CZ67" s="17"/>
      <c r="DA67" s="17"/>
      <c r="DB67" s="17"/>
      <c r="DC67" s="17"/>
      <c r="DD67" s="17"/>
      <c r="DE67" s="17"/>
      <c r="DF67" s="17"/>
      <c r="DG67" s="17"/>
      <c r="DH67" s="17"/>
      <c r="DI67" s="17"/>
    </row>
    <row r="68" spans="2:113" ht="17.5" customHeight="1" x14ac:dyDescent="0.55000000000000004">
      <c r="B68" s="1">
        <v>69</v>
      </c>
      <c r="C68" s="17" t="s">
        <v>201</v>
      </c>
      <c r="D68" s="17"/>
      <c r="E68" s="17"/>
      <c r="F68" s="17"/>
      <c r="G68" s="17"/>
      <c r="H68" s="17"/>
      <c r="I68" s="17"/>
      <c r="J68" s="17"/>
      <c r="K68" s="17"/>
      <c r="L68" s="17"/>
      <c r="M68" s="17"/>
      <c r="N68" s="17"/>
      <c r="O68" s="17"/>
      <c r="P68" s="17" t="s">
        <v>71</v>
      </c>
      <c r="Q68" s="17"/>
      <c r="R68" s="17"/>
      <c r="S68" s="17"/>
      <c r="T68" s="17"/>
      <c r="U68" s="13">
        <v>4</v>
      </c>
      <c r="V68" s="14"/>
      <c r="W68" s="14"/>
      <c r="X68" s="14"/>
      <c r="Y68" s="15"/>
      <c r="Z68" s="13">
        <v>2</v>
      </c>
      <c r="AA68" s="14"/>
      <c r="AB68" s="14"/>
      <c r="AC68" s="14"/>
      <c r="AD68" s="15"/>
      <c r="AE68" s="17" t="s">
        <v>205</v>
      </c>
      <c r="AF68" s="17"/>
      <c r="AG68" s="17"/>
      <c r="AH68" s="17"/>
      <c r="AI68" s="17"/>
      <c r="AJ68" s="17"/>
      <c r="AK68" s="17"/>
      <c r="AL68" s="17"/>
      <c r="AM68" s="17"/>
      <c r="AN68" s="17"/>
      <c r="AO68" s="17"/>
      <c r="AP68" s="17"/>
      <c r="AQ68" s="17"/>
      <c r="AR68" s="17"/>
      <c r="AS68" s="17"/>
      <c r="AT68" s="17"/>
      <c r="AU68" s="17"/>
      <c r="AV68" s="17"/>
      <c r="AW68" s="17" t="s">
        <v>206</v>
      </c>
      <c r="AX68" s="17"/>
      <c r="AY68" s="17"/>
      <c r="AZ68" s="17"/>
      <c r="BA68" s="17"/>
      <c r="BB68" s="17"/>
      <c r="BC68" s="17"/>
      <c r="BD68" s="17"/>
      <c r="BE68" s="17"/>
      <c r="BF68" s="17"/>
      <c r="BG68" s="17"/>
      <c r="BH68" s="17"/>
      <c r="BI68" s="17"/>
      <c r="BJ68" s="17"/>
      <c r="BK68" s="17"/>
      <c r="BL68" s="17" t="s">
        <v>95</v>
      </c>
      <c r="BM68" s="17"/>
      <c r="BN68" s="17"/>
      <c r="BO68" s="17"/>
      <c r="BP68" s="17"/>
      <c r="BQ68" s="17" t="s">
        <v>207</v>
      </c>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row>
    <row r="69" spans="2:113" x14ac:dyDescent="0.55000000000000004">
      <c r="B69" s="1">
        <v>70</v>
      </c>
      <c r="C69" s="17" t="s">
        <v>208</v>
      </c>
      <c r="D69" s="17"/>
      <c r="E69" s="17"/>
      <c r="F69" s="17"/>
      <c r="G69" s="17"/>
      <c r="H69" s="17"/>
      <c r="I69" s="17"/>
      <c r="J69" s="17"/>
      <c r="K69" s="17"/>
      <c r="L69" s="17"/>
      <c r="M69" s="17"/>
      <c r="N69" s="17"/>
      <c r="O69" s="17"/>
      <c r="P69" s="17" t="s">
        <v>46</v>
      </c>
      <c r="Q69" s="17"/>
      <c r="R69" s="17"/>
      <c r="S69" s="17"/>
      <c r="T69" s="17"/>
      <c r="U69" s="13">
        <v>18</v>
      </c>
      <c r="V69" s="14"/>
      <c r="W69" s="14"/>
      <c r="X69" s="14"/>
      <c r="Y69" s="15"/>
      <c r="Z69" s="13">
        <v>9</v>
      </c>
      <c r="AA69" s="14"/>
      <c r="AB69" s="14"/>
      <c r="AC69" s="14"/>
      <c r="AD69" s="15"/>
      <c r="AE69" s="17" t="s">
        <v>209</v>
      </c>
      <c r="AF69" s="17"/>
      <c r="AG69" s="17"/>
      <c r="AH69" s="17"/>
      <c r="AI69" s="17"/>
      <c r="AJ69" s="17"/>
      <c r="AK69" s="17"/>
      <c r="AL69" s="17"/>
      <c r="AM69" s="17"/>
      <c r="AN69" s="17"/>
      <c r="AO69" s="17"/>
      <c r="AP69" s="17"/>
      <c r="AQ69" s="17"/>
      <c r="AR69" s="17"/>
      <c r="AS69" s="17"/>
      <c r="AT69" s="17"/>
      <c r="AU69" s="17"/>
      <c r="AV69" s="17"/>
      <c r="AW69" s="17" t="s">
        <v>210</v>
      </c>
      <c r="AX69" s="17"/>
      <c r="AY69" s="17"/>
      <c r="AZ69" s="17"/>
      <c r="BA69" s="17"/>
      <c r="BB69" s="17"/>
      <c r="BC69" s="17"/>
      <c r="BD69" s="17"/>
      <c r="BE69" s="17"/>
      <c r="BF69" s="17"/>
      <c r="BG69" s="17"/>
      <c r="BH69" s="17"/>
      <c r="BI69" s="17"/>
      <c r="BJ69" s="17"/>
      <c r="BK69" s="17"/>
      <c r="BL69" s="17" t="s">
        <v>95</v>
      </c>
      <c r="BM69" s="17"/>
      <c r="BN69" s="17"/>
      <c r="BO69" s="17"/>
      <c r="BP69" s="17"/>
      <c r="BQ69" s="17" t="s">
        <v>197</v>
      </c>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row>
    <row r="70" spans="2:113" x14ac:dyDescent="0.55000000000000004">
      <c r="B70" s="1">
        <v>71</v>
      </c>
      <c r="C70" s="17" t="s">
        <v>208</v>
      </c>
      <c r="D70" s="17"/>
      <c r="E70" s="17"/>
      <c r="F70" s="17"/>
      <c r="G70" s="17"/>
      <c r="H70" s="17"/>
      <c r="I70" s="17"/>
      <c r="J70" s="17"/>
      <c r="K70" s="17"/>
      <c r="L70" s="17"/>
      <c r="M70" s="17"/>
      <c r="N70" s="17"/>
      <c r="O70" s="17"/>
      <c r="P70" s="17" t="s">
        <v>75</v>
      </c>
      <c r="Q70" s="17"/>
      <c r="R70" s="17"/>
      <c r="S70" s="17"/>
      <c r="T70" s="17"/>
      <c r="U70" s="13">
        <v>12</v>
      </c>
      <c r="V70" s="14"/>
      <c r="W70" s="14"/>
      <c r="X70" s="14"/>
      <c r="Y70" s="15"/>
      <c r="Z70" s="13">
        <v>6</v>
      </c>
      <c r="AA70" s="14"/>
      <c r="AB70" s="14"/>
      <c r="AC70" s="14"/>
      <c r="AD70" s="15"/>
      <c r="AE70" s="17" t="s">
        <v>211</v>
      </c>
      <c r="AF70" s="17"/>
      <c r="AG70" s="17"/>
      <c r="AH70" s="17"/>
      <c r="AI70" s="17"/>
      <c r="AJ70" s="17"/>
      <c r="AK70" s="17"/>
      <c r="AL70" s="17"/>
      <c r="AM70" s="17"/>
      <c r="AN70" s="17"/>
      <c r="AO70" s="17"/>
      <c r="AP70" s="17"/>
      <c r="AQ70" s="17"/>
      <c r="AR70" s="17"/>
      <c r="AS70" s="17"/>
      <c r="AT70" s="17"/>
      <c r="AU70" s="17"/>
      <c r="AV70" s="17"/>
      <c r="AW70" s="17" t="s">
        <v>212</v>
      </c>
      <c r="AX70" s="17"/>
      <c r="AY70" s="17"/>
      <c r="AZ70" s="17"/>
      <c r="BA70" s="17"/>
      <c r="BB70" s="17"/>
      <c r="BC70" s="17"/>
      <c r="BD70" s="17"/>
      <c r="BE70" s="17"/>
      <c r="BF70" s="17"/>
      <c r="BG70" s="17"/>
      <c r="BH70" s="17"/>
      <c r="BI70" s="17"/>
      <c r="BJ70" s="17"/>
      <c r="BK70" s="17"/>
      <c r="BL70" s="17" t="s">
        <v>49</v>
      </c>
      <c r="BM70" s="17"/>
      <c r="BN70" s="17"/>
      <c r="BO70" s="17"/>
      <c r="BP70" s="17"/>
      <c r="BQ70" s="17" t="s">
        <v>44</v>
      </c>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row>
    <row r="71" spans="2:113" x14ac:dyDescent="0.55000000000000004">
      <c r="B71" s="1">
        <v>72</v>
      </c>
      <c r="C71" s="17" t="s">
        <v>208</v>
      </c>
      <c r="D71" s="17"/>
      <c r="E71" s="17"/>
      <c r="F71" s="17"/>
      <c r="G71" s="17"/>
      <c r="H71" s="17"/>
      <c r="I71" s="17"/>
      <c r="J71" s="17"/>
      <c r="K71" s="17"/>
      <c r="L71" s="17"/>
      <c r="M71" s="17"/>
      <c r="N71" s="17"/>
      <c r="O71" s="17"/>
      <c r="P71" s="17" t="s">
        <v>65</v>
      </c>
      <c r="Q71" s="17"/>
      <c r="R71" s="17"/>
      <c r="S71" s="17"/>
      <c r="T71" s="17"/>
      <c r="U71" s="13">
        <v>10</v>
      </c>
      <c r="V71" s="14"/>
      <c r="W71" s="14"/>
      <c r="X71" s="14"/>
      <c r="Y71" s="15"/>
      <c r="Z71" s="13">
        <v>6</v>
      </c>
      <c r="AA71" s="14"/>
      <c r="AB71" s="14"/>
      <c r="AC71" s="14"/>
      <c r="AD71" s="15"/>
      <c r="AE71" s="17" t="s">
        <v>213</v>
      </c>
      <c r="AF71" s="17"/>
      <c r="AG71" s="17"/>
      <c r="AH71" s="17"/>
      <c r="AI71" s="17"/>
      <c r="AJ71" s="17"/>
      <c r="AK71" s="17"/>
      <c r="AL71" s="17"/>
      <c r="AM71" s="17"/>
      <c r="AN71" s="17"/>
      <c r="AO71" s="17"/>
      <c r="AP71" s="17"/>
      <c r="AQ71" s="17"/>
      <c r="AR71" s="17"/>
      <c r="AS71" s="17"/>
      <c r="AT71" s="17"/>
      <c r="AU71" s="17"/>
      <c r="AV71" s="17"/>
      <c r="AW71" s="17" t="s">
        <v>214</v>
      </c>
      <c r="AX71" s="17"/>
      <c r="AY71" s="17"/>
      <c r="AZ71" s="17"/>
      <c r="BA71" s="17"/>
      <c r="BB71" s="17"/>
      <c r="BC71" s="17"/>
      <c r="BD71" s="17"/>
      <c r="BE71" s="17"/>
      <c r="BF71" s="17"/>
      <c r="BG71" s="17"/>
      <c r="BH71" s="17"/>
      <c r="BI71" s="17"/>
      <c r="BJ71" s="17"/>
      <c r="BK71" s="17"/>
      <c r="BL71" s="17" t="s">
        <v>49</v>
      </c>
      <c r="BM71" s="17"/>
      <c r="BN71" s="17"/>
      <c r="BO71" s="17"/>
      <c r="BP71" s="17"/>
      <c r="BQ71" s="17" t="s">
        <v>44</v>
      </c>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row>
    <row r="72" spans="2:113" x14ac:dyDescent="0.55000000000000004">
      <c r="B72" s="1">
        <v>73</v>
      </c>
      <c r="C72" s="17" t="s">
        <v>208</v>
      </c>
      <c r="D72" s="17"/>
      <c r="E72" s="17"/>
      <c r="F72" s="17"/>
      <c r="G72" s="17"/>
      <c r="H72" s="17"/>
      <c r="I72" s="17"/>
      <c r="J72" s="17"/>
      <c r="K72" s="17"/>
      <c r="L72" s="17"/>
      <c r="M72" s="17"/>
      <c r="N72" s="17"/>
      <c r="O72" s="17"/>
      <c r="P72" s="17" t="s">
        <v>35</v>
      </c>
      <c r="Q72" s="17"/>
      <c r="R72" s="17"/>
      <c r="S72" s="17"/>
      <c r="T72" s="17"/>
      <c r="U72" s="13">
        <v>8</v>
      </c>
      <c r="V72" s="14"/>
      <c r="W72" s="14"/>
      <c r="X72" s="14"/>
      <c r="Y72" s="15"/>
      <c r="Z72" s="13">
        <v>4</v>
      </c>
      <c r="AA72" s="14"/>
      <c r="AB72" s="14"/>
      <c r="AC72" s="14"/>
      <c r="AD72" s="15"/>
      <c r="AE72" s="17" t="s">
        <v>215</v>
      </c>
      <c r="AF72" s="17"/>
      <c r="AG72" s="17"/>
      <c r="AH72" s="17"/>
      <c r="AI72" s="17"/>
      <c r="AJ72" s="17"/>
      <c r="AK72" s="17"/>
      <c r="AL72" s="17"/>
      <c r="AM72" s="17"/>
      <c r="AN72" s="17"/>
      <c r="AO72" s="17"/>
      <c r="AP72" s="17"/>
      <c r="AQ72" s="17"/>
      <c r="AR72" s="17"/>
      <c r="AS72" s="17"/>
      <c r="AT72" s="17"/>
      <c r="AU72" s="17"/>
      <c r="AV72" s="17"/>
      <c r="AW72" s="17" t="s">
        <v>216</v>
      </c>
      <c r="AX72" s="17"/>
      <c r="AY72" s="17"/>
      <c r="AZ72" s="17"/>
      <c r="BA72" s="17"/>
      <c r="BB72" s="17"/>
      <c r="BC72" s="17"/>
      <c r="BD72" s="17"/>
      <c r="BE72" s="17"/>
      <c r="BF72" s="17"/>
      <c r="BG72" s="17"/>
      <c r="BH72" s="17"/>
      <c r="BI72" s="17"/>
      <c r="BJ72" s="17"/>
      <c r="BK72" s="17"/>
      <c r="BL72" s="17" t="s">
        <v>49</v>
      </c>
      <c r="BM72" s="17"/>
      <c r="BN72" s="17"/>
      <c r="BO72" s="17"/>
      <c r="BP72" s="17"/>
      <c r="BQ72" s="17" t="s">
        <v>44</v>
      </c>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row>
    <row r="73" spans="2:113" x14ac:dyDescent="0.55000000000000004">
      <c r="B73" s="1">
        <v>74</v>
      </c>
      <c r="C73" s="17" t="s">
        <v>208</v>
      </c>
      <c r="D73" s="17"/>
      <c r="E73" s="17"/>
      <c r="F73" s="17"/>
      <c r="G73" s="17"/>
      <c r="H73" s="17"/>
      <c r="I73" s="17"/>
      <c r="J73" s="17"/>
      <c r="K73" s="17"/>
      <c r="L73" s="17"/>
      <c r="M73" s="17"/>
      <c r="N73" s="17"/>
      <c r="O73" s="17"/>
      <c r="P73" s="17" t="s">
        <v>35</v>
      </c>
      <c r="Q73" s="17"/>
      <c r="R73" s="17"/>
      <c r="S73" s="17"/>
      <c r="T73" s="17"/>
      <c r="U73" s="13">
        <v>8</v>
      </c>
      <c r="V73" s="14"/>
      <c r="W73" s="14"/>
      <c r="X73" s="14"/>
      <c r="Y73" s="15"/>
      <c r="Z73" s="13">
        <v>4</v>
      </c>
      <c r="AA73" s="14"/>
      <c r="AB73" s="14"/>
      <c r="AC73" s="14"/>
      <c r="AD73" s="15"/>
      <c r="AE73" s="17" t="s">
        <v>217</v>
      </c>
      <c r="AF73" s="17"/>
      <c r="AG73" s="17"/>
      <c r="AH73" s="17"/>
      <c r="AI73" s="17"/>
      <c r="AJ73" s="17"/>
      <c r="AK73" s="17"/>
      <c r="AL73" s="17"/>
      <c r="AM73" s="17"/>
      <c r="AN73" s="17"/>
      <c r="AO73" s="17"/>
      <c r="AP73" s="17"/>
      <c r="AQ73" s="17"/>
      <c r="AR73" s="17"/>
      <c r="AS73" s="17"/>
      <c r="AT73" s="17"/>
      <c r="AU73" s="17"/>
      <c r="AV73" s="17"/>
      <c r="AW73" s="17" t="s">
        <v>218</v>
      </c>
      <c r="AX73" s="17"/>
      <c r="AY73" s="17"/>
      <c r="AZ73" s="17"/>
      <c r="BA73" s="17"/>
      <c r="BB73" s="17"/>
      <c r="BC73" s="17"/>
      <c r="BD73" s="17"/>
      <c r="BE73" s="17"/>
      <c r="BF73" s="17"/>
      <c r="BG73" s="17"/>
      <c r="BH73" s="17"/>
      <c r="BI73" s="17"/>
      <c r="BJ73" s="17"/>
      <c r="BK73" s="17"/>
      <c r="BL73" s="17" t="s">
        <v>49</v>
      </c>
      <c r="BM73" s="17"/>
      <c r="BN73" s="17"/>
      <c r="BO73" s="17"/>
      <c r="BP73" s="17"/>
      <c r="BQ73" s="17" t="s">
        <v>44</v>
      </c>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row>
    <row r="74" spans="2:113" x14ac:dyDescent="0.55000000000000004">
      <c r="B74" s="1">
        <v>75</v>
      </c>
      <c r="C74" s="17" t="s">
        <v>219</v>
      </c>
      <c r="D74" s="17"/>
      <c r="E74" s="17"/>
      <c r="F74" s="17"/>
      <c r="G74" s="17"/>
      <c r="H74" s="17"/>
      <c r="I74" s="17"/>
      <c r="J74" s="17"/>
      <c r="K74" s="17"/>
      <c r="L74" s="17"/>
      <c r="M74" s="17"/>
      <c r="N74" s="17"/>
      <c r="O74" s="17"/>
      <c r="P74" s="17" t="s">
        <v>52</v>
      </c>
      <c r="Q74" s="17"/>
      <c r="R74" s="17"/>
      <c r="S74" s="17"/>
      <c r="T74" s="17"/>
      <c r="U74" s="13">
        <v>0</v>
      </c>
      <c r="V74" s="14"/>
      <c r="W74" s="14"/>
      <c r="X74" s="14"/>
      <c r="Y74" s="15"/>
      <c r="Z74" s="13">
        <v>0</v>
      </c>
      <c r="AA74" s="14"/>
      <c r="AB74" s="14"/>
      <c r="AC74" s="14"/>
      <c r="AD74" s="15"/>
      <c r="AE74" s="17" t="s">
        <v>220</v>
      </c>
      <c r="AF74" s="17"/>
      <c r="AG74" s="17"/>
      <c r="AH74" s="17"/>
      <c r="AI74" s="17"/>
      <c r="AJ74" s="17"/>
      <c r="AK74" s="17"/>
      <c r="AL74" s="17"/>
      <c r="AM74" s="17"/>
      <c r="AN74" s="17"/>
      <c r="AO74" s="17"/>
      <c r="AP74" s="17"/>
      <c r="AQ74" s="17"/>
      <c r="AR74" s="17"/>
      <c r="AS74" s="17"/>
      <c r="AT74" s="17"/>
      <c r="AU74" s="17"/>
      <c r="AV74" s="17"/>
      <c r="AW74" s="17" t="s">
        <v>221</v>
      </c>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t="s">
        <v>222</v>
      </c>
      <c r="CO74" s="17"/>
      <c r="CP74" s="17"/>
      <c r="CQ74" s="17"/>
      <c r="CR74" s="17"/>
      <c r="CS74" s="17"/>
      <c r="CT74" s="17"/>
      <c r="CU74" s="17"/>
      <c r="CV74" s="17"/>
      <c r="CW74" s="17"/>
      <c r="CX74" s="17"/>
      <c r="CY74" s="17"/>
      <c r="CZ74" s="17"/>
      <c r="DA74" s="17"/>
      <c r="DB74" s="17"/>
      <c r="DC74" s="17"/>
      <c r="DD74" s="17"/>
      <c r="DE74" s="17"/>
      <c r="DF74" s="17"/>
      <c r="DG74" s="17"/>
      <c r="DH74" s="17"/>
      <c r="DI74" s="17"/>
    </row>
    <row r="75" spans="2:113" x14ac:dyDescent="0.55000000000000004">
      <c r="B75" s="1">
        <v>76</v>
      </c>
      <c r="C75" s="17" t="s">
        <v>219</v>
      </c>
      <c r="D75" s="17"/>
      <c r="E75" s="17"/>
      <c r="F75" s="17"/>
      <c r="G75" s="17"/>
      <c r="H75" s="17"/>
      <c r="I75" s="17"/>
      <c r="J75" s="17"/>
      <c r="K75" s="17"/>
      <c r="L75" s="17"/>
      <c r="M75" s="17"/>
      <c r="N75" s="17"/>
      <c r="O75" s="17"/>
      <c r="P75" s="17" t="s">
        <v>65</v>
      </c>
      <c r="Q75" s="17"/>
      <c r="R75" s="17"/>
      <c r="S75" s="17"/>
      <c r="T75" s="17"/>
      <c r="U75" s="13">
        <v>10</v>
      </c>
      <c r="V75" s="14"/>
      <c r="W75" s="14"/>
      <c r="X75" s="14"/>
      <c r="Y75" s="15"/>
      <c r="Z75" s="13">
        <v>6</v>
      </c>
      <c r="AA75" s="14"/>
      <c r="AB75" s="14"/>
      <c r="AC75" s="14"/>
      <c r="AD75" s="15"/>
      <c r="AE75" s="17" t="s">
        <v>223</v>
      </c>
      <c r="AF75" s="17"/>
      <c r="AG75" s="17"/>
      <c r="AH75" s="17"/>
      <c r="AI75" s="17"/>
      <c r="AJ75" s="17"/>
      <c r="AK75" s="17"/>
      <c r="AL75" s="17"/>
      <c r="AM75" s="17"/>
      <c r="AN75" s="17"/>
      <c r="AO75" s="17"/>
      <c r="AP75" s="17"/>
      <c r="AQ75" s="17"/>
      <c r="AR75" s="17"/>
      <c r="AS75" s="17"/>
      <c r="AT75" s="17"/>
      <c r="AU75" s="17"/>
      <c r="AV75" s="17"/>
      <c r="AW75" s="17" t="s">
        <v>224</v>
      </c>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row>
    <row r="76" spans="2:113" x14ac:dyDescent="0.55000000000000004">
      <c r="B76" s="1">
        <v>77</v>
      </c>
      <c r="C76" s="17" t="s">
        <v>219</v>
      </c>
      <c r="D76" s="17"/>
      <c r="E76" s="17"/>
      <c r="F76" s="17"/>
      <c r="G76" s="17"/>
      <c r="H76" s="17"/>
      <c r="I76" s="17"/>
      <c r="J76" s="17"/>
      <c r="K76" s="17"/>
      <c r="L76" s="17"/>
      <c r="M76" s="17"/>
      <c r="N76" s="17"/>
      <c r="O76" s="17"/>
      <c r="P76" s="17" t="s">
        <v>35</v>
      </c>
      <c r="Q76" s="17"/>
      <c r="R76" s="17"/>
      <c r="S76" s="17"/>
      <c r="T76" s="17"/>
      <c r="U76" s="13">
        <v>8</v>
      </c>
      <c r="V76" s="14"/>
      <c r="W76" s="14"/>
      <c r="X76" s="14"/>
      <c r="Y76" s="15"/>
      <c r="Z76" s="13">
        <v>4</v>
      </c>
      <c r="AA76" s="14"/>
      <c r="AB76" s="14"/>
      <c r="AC76" s="14"/>
      <c r="AD76" s="15"/>
      <c r="AE76" s="17" t="s">
        <v>225</v>
      </c>
      <c r="AF76" s="17"/>
      <c r="AG76" s="17"/>
      <c r="AH76" s="17"/>
      <c r="AI76" s="17"/>
      <c r="AJ76" s="17"/>
      <c r="AK76" s="17"/>
      <c r="AL76" s="17"/>
      <c r="AM76" s="17"/>
      <c r="AN76" s="17"/>
      <c r="AO76" s="17"/>
      <c r="AP76" s="17"/>
      <c r="AQ76" s="17"/>
      <c r="AR76" s="17"/>
      <c r="AS76" s="17"/>
      <c r="AT76" s="17"/>
      <c r="AU76" s="17"/>
      <c r="AV76" s="17"/>
      <c r="AW76" s="17" t="s">
        <v>226</v>
      </c>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row>
    <row r="77" spans="2:113" x14ac:dyDescent="0.55000000000000004">
      <c r="B77" s="1">
        <v>78</v>
      </c>
      <c r="C77" s="17" t="s">
        <v>219</v>
      </c>
      <c r="D77" s="17"/>
      <c r="E77" s="17"/>
      <c r="F77" s="17"/>
      <c r="G77" s="17"/>
      <c r="H77" s="17"/>
      <c r="I77" s="17"/>
      <c r="J77" s="17"/>
      <c r="K77" s="17"/>
      <c r="L77" s="17"/>
      <c r="M77" s="17"/>
      <c r="N77" s="17"/>
      <c r="O77" s="17"/>
      <c r="P77" s="17" t="s">
        <v>52</v>
      </c>
      <c r="Q77" s="17"/>
      <c r="R77" s="17"/>
      <c r="S77" s="17"/>
      <c r="T77" s="17"/>
      <c r="U77" s="13">
        <v>0</v>
      </c>
      <c r="V77" s="14"/>
      <c r="W77" s="14"/>
      <c r="X77" s="14"/>
      <c r="Y77" s="15"/>
      <c r="Z77" s="13">
        <v>0</v>
      </c>
      <c r="AA77" s="14"/>
      <c r="AB77" s="14"/>
      <c r="AC77" s="14"/>
      <c r="AD77" s="15"/>
      <c r="AE77" s="17" t="s">
        <v>227</v>
      </c>
      <c r="AF77" s="17"/>
      <c r="AG77" s="17"/>
      <c r="AH77" s="17"/>
      <c r="AI77" s="17"/>
      <c r="AJ77" s="17"/>
      <c r="AK77" s="17"/>
      <c r="AL77" s="17"/>
      <c r="AM77" s="17"/>
      <c r="AN77" s="17"/>
      <c r="AO77" s="17"/>
      <c r="AP77" s="17"/>
      <c r="AQ77" s="17"/>
      <c r="AR77" s="17"/>
      <c r="AS77" s="17"/>
      <c r="AT77" s="17"/>
      <c r="AU77" s="17"/>
      <c r="AV77" s="17"/>
      <c r="AW77" s="17" t="s">
        <v>228</v>
      </c>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row>
    <row r="78" spans="2:113" x14ac:dyDescent="0.55000000000000004">
      <c r="B78" s="1">
        <v>79</v>
      </c>
      <c r="C78" s="17" t="s">
        <v>229</v>
      </c>
      <c r="D78" s="17"/>
      <c r="E78" s="17"/>
      <c r="F78" s="17"/>
      <c r="G78" s="17"/>
      <c r="H78" s="17"/>
      <c r="I78" s="17"/>
      <c r="J78" s="17"/>
      <c r="K78" s="17"/>
      <c r="L78" s="17"/>
      <c r="M78" s="17"/>
      <c r="N78" s="17"/>
      <c r="O78" s="17"/>
      <c r="P78" s="17" t="s">
        <v>35</v>
      </c>
      <c r="Q78" s="17"/>
      <c r="R78" s="17"/>
      <c r="S78" s="17"/>
      <c r="T78" s="17"/>
      <c r="U78" s="13">
        <v>8</v>
      </c>
      <c r="V78" s="14"/>
      <c r="W78" s="14"/>
      <c r="X78" s="14"/>
      <c r="Y78" s="15"/>
      <c r="Z78" s="13">
        <v>4</v>
      </c>
      <c r="AA78" s="14"/>
      <c r="AB78" s="14"/>
      <c r="AC78" s="14"/>
      <c r="AD78" s="15"/>
      <c r="AE78" s="17" t="s">
        <v>230</v>
      </c>
      <c r="AF78" s="17"/>
      <c r="AG78" s="17"/>
      <c r="AH78" s="17"/>
      <c r="AI78" s="17"/>
      <c r="AJ78" s="17"/>
      <c r="AK78" s="17"/>
      <c r="AL78" s="17"/>
      <c r="AM78" s="17"/>
      <c r="AN78" s="17"/>
      <c r="AO78" s="17"/>
      <c r="AP78" s="17"/>
      <c r="AQ78" s="17"/>
      <c r="AR78" s="17"/>
      <c r="AS78" s="17"/>
      <c r="AT78" s="17"/>
      <c r="AU78" s="17"/>
      <c r="AV78" s="17"/>
      <c r="AW78" s="17" t="s">
        <v>231</v>
      </c>
      <c r="AX78" s="17"/>
      <c r="AY78" s="17"/>
      <c r="AZ78" s="17"/>
      <c r="BA78" s="17"/>
      <c r="BB78" s="17"/>
      <c r="BC78" s="17"/>
      <c r="BD78" s="17"/>
      <c r="BE78" s="17"/>
      <c r="BF78" s="17"/>
      <c r="BG78" s="17"/>
      <c r="BH78" s="17"/>
      <c r="BI78" s="17"/>
      <c r="BJ78" s="17"/>
      <c r="BK78" s="17"/>
      <c r="BL78" s="17" t="s">
        <v>232</v>
      </c>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t="s">
        <v>233</v>
      </c>
      <c r="CO78" s="17"/>
      <c r="CP78" s="17"/>
      <c r="CQ78" s="17"/>
      <c r="CR78" s="17"/>
      <c r="CS78" s="17"/>
      <c r="CT78" s="17"/>
      <c r="CU78" s="17"/>
      <c r="CV78" s="17"/>
      <c r="CW78" s="17"/>
      <c r="CX78" s="17"/>
      <c r="CY78" s="17"/>
      <c r="CZ78" s="17"/>
      <c r="DA78" s="17"/>
      <c r="DB78" s="17"/>
      <c r="DC78" s="17"/>
      <c r="DD78" s="17"/>
      <c r="DE78" s="17"/>
      <c r="DF78" s="17"/>
      <c r="DG78" s="17"/>
      <c r="DH78" s="17"/>
      <c r="DI78" s="17"/>
    </row>
    <row r="79" spans="2:113" x14ac:dyDescent="0.55000000000000004">
      <c r="B79" s="1">
        <v>80</v>
      </c>
      <c r="C79" s="17" t="s">
        <v>234</v>
      </c>
      <c r="D79" s="17"/>
      <c r="E79" s="17"/>
      <c r="F79" s="17"/>
      <c r="G79" s="17"/>
      <c r="H79" s="17"/>
      <c r="I79" s="17"/>
      <c r="J79" s="17"/>
      <c r="K79" s="17"/>
      <c r="L79" s="17"/>
      <c r="M79" s="17"/>
      <c r="N79" s="17"/>
      <c r="O79" s="17"/>
      <c r="P79" s="17" t="s">
        <v>52</v>
      </c>
      <c r="Q79" s="17"/>
      <c r="R79" s="17"/>
      <c r="S79" s="17"/>
      <c r="T79" s="17"/>
      <c r="U79" s="13">
        <v>0</v>
      </c>
      <c r="V79" s="14"/>
      <c r="W79" s="14"/>
      <c r="X79" s="14"/>
      <c r="Y79" s="15"/>
      <c r="Z79" s="13">
        <v>0</v>
      </c>
      <c r="AA79" s="14"/>
      <c r="AB79" s="14"/>
      <c r="AC79" s="14"/>
      <c r="AD79" s="15"/>
      <c r="AE79" s="17" t="s">
        <v>235</v>
      </c>
      <c r="AF79" s="17"/>
      <c r="AG79" s="17"/>
      <c r="AH79" s="17"/>
      <c r="AI79" s="17"/>
      <c r="AJ79" s="17"/>
      <c r="AK79" s="17"/>
      <c r="AL79" s="17"/>
      <c r="AM79" s="17"/>
      <c r="AN79" s="17"/>
      <c r="AO79" s="17"/>
      <c r="AP79" s="17"/>
      <c r="AQ79" s="17"/>
      <c r="AR79" s="17"/>
      <c r="AS79" s="17"/>
      <c r="AT79" s="17"/>
      <c r="AU79" s="17"/>
      <c r="AV79" s="17"/>
      <c r="AW79" s="17" t="s">
        <v>236</v>
      </c>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t="s">
        <v>237</v>
      </c>
      <c r="CN79" s="17" t="s">
        <v>233</v>
      </c>
      <c r="CO79" s="17"/>
      <c r="CP79" s="17"/>
      <c r="CQ79" s="17"/>
      <c r="CR79" s="17"/>
      <c r="CS79" s="17"/>
      <c r="CT79" s="17"/>
      <c r="CU79" s="17"/>
      <c r="CV79" s="17"/>
      <c r="CW79" s="17"/>
      <c r="CX79" s="17"/>
      <c r="CY79" s="17"/>
      <c r="CZ79" s="17"/>
      <c r="DA79" s="17"/>
      <c r="DB79" s="17"/>
      <c r="DC79" s="17"/>
      <c r="DD79" s="17"/>
      <c r="DE79" s="17"/>
      <c r="DF79" s="17"/>
      <c r="DG79" s="17"/>
      <c r="DH79" s="17"/>
      <c r="DI79" s="17"/>
    </row>
    <row r="80" spans="2:113" x14ac:dyDescent="0.55000000000000004">
      <c r="B80" s="1">
        <v>81</v>
      </c>
      <c r="C80" s="17" t="s">
        <v>238</v>
      </c>
      <c r="D80" s="17"/>
      <c r="E80" s="17"/>
      <c r="F80" s="17"/>
      <c r="G80" s="17"/>
      <c r="H80" s="17"/>
      <c r="I80" s="17"/>
      <c r="J80" s="17"/>
      <c r="K80" s="17"/>
      <c r="L80" s="17"/>
      <c r="M80" s="17"/>
      <c r="N80" s="17"/>
      <c r="O80" s="17"/>
      <c r="P80" s="17" t="s">
        <v>75</v>
      </c>
      <c r="Q80" s="17"/>
      <c r="R80" s="17"/>
      <c r="S80" s="17"/>
      <c r="T80" s="17"/>
      <c r="U80" s="13">
        <v>12</v>
      </c>
      <c r="V80" s="14"/>
      <c r="W80" s="14"/>
      <c r="X80" s="14"/>
      <c r="Y80" s="15"/>
      <c r="Z80" s="13">
        <v>6</v>
      </c>
      <c r="AA80" s="14"/>
      <c r="AB80" s="14"/>
      <c r="AC80" s="14"/>
      <c r="AD80" s="15"/>
      <c r="AE80" s="17" t="s">
        <v>239</v>
      </c>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t="s">
        <v>240</v>
      </c>
      <c r="CN80" s="17" t="s">
        <v>233</v>
      </c>
      <c r="CO80" s="17"/>
      <c r="CP80" s="17"/>
      <c r="CQ80" s="17"/>
      <c r="CR80" s="17"/>
      <c r="CS80" s="17"/>
      <c r="CT80" s="17"/>
      <c r="CU80" s="17"/>
      <c r="CV80" s="17"/>
      <c r="CW80" s="17"/>
      <c r="CX80" s="17"/>
      <c r="CY80" s="17"/>
      <c r="CZ80" s="17"/>
      <c r="DA80" s="17"/>
      <c r="DB80" s="17"/>
      <c r="DC80" s="17"/>
      <c r="DD80" s="17"/>
      <c r="DE80" s="17"/>
      <c r="DF80" s="17"/>
      <c r="DG80" s="17"/>
      <c r="DH80" s="17"/>
      <c r="DI80" s="17"/>
    </row>
    <row r="81" spans="3:48" x14ac:dyDescent="0.55000000000000004">
      <c r="C81"/>
      <c r="D81"/>
      <c r="E81"/>
      <c r="F81"/>
      <c r="G81"/>
      <c r="H81"/>
      <c r="I81"/>
      <c r="J81"/>
      <c r="K81"/>
      <c r="L81"/>
      <c r="M81"/>
      <c r="N81"/>
      <c r="O81"/>
      <c r="U81" s="12">
        <f>SUM(U2:Y80)</f>
        <v>466</v>
      </c>
      <c r="V81" s="12"/>
      <c r="W81" s="12"/>
      <c r="X81" s="12"/>
      <c r="Y81" s="12"/>
      <c r="Z81" s="12">
        <f>SUM(Z2:AD80)</f>
        <v>239</v>
      </c>
      <c r="AA81" s="12"/>
      <c r="AB81" s="12"/>
      <c r="AC81" s="12"/>
      <c r="AD81" s="12"/>
      <c r="AE81" s="16"/>
      <c r="AF81" s="16"/>
      <c r="AG81" s="16"/>
      <c r="AH81" s="16"/>
      <c r="AI81" s="16"/>
      <c r="AJ81" s="16"/>
      <c r="AK81" s="16"/>
      <c r="AL81" s="16"/>
      <c r="AM81" s="16"/>
      <c r="AN81" s="16"/>
      <c r="AO81" s="16"/>
      <c r="AP81" s="16"/>
      <c r="AQ81" s="16"/>
      <c r="AR81" s="16"/>
      <c r="AS81" s="16"/>
      <c r="AT81" s="16"/>
      <c r="AU81" s="16"/>
      <c r="AV81" s="16"/>
    </row>
    <row r="82" spans="3:48" x14ac:dyDescent="0.55000000000000004">
      <c r="C82"/>
      <c r="D82"/>
      <c r="E82"/>
      <c r="F82"/>
      <c r="G82"/>
      <c r="H82"/>
      <c r="I82"/>
      <c r="J82"/>
      <c r="K82"/>
      <c r="L82"/>
      <c r="M82"/>
      <c r="N82"/>
      <c r="O82"/>
      <c r="U82" s="12">
        <f>U81/20</f>
        <v>23.3</v>
      </c>
      <c r="V82" s="12"/>
      <c r="W82" s="12"/>
      <c r="X82" s="12"/>
      <c r="Y82" s="12"/>
      <c r="Z82" s="12">
        <f>Z81/20</f>
        <v>11.95</v>
      </c>
      <c r="AA82" s="12"/>
      <c r="AB82" s="12"/>
      <c r="AC82" s="12"/>
      <c r="AD82" s="12"/>
    </row>
  </sheetData>
  <autoFilter ref="A1:DI82" xr:uid="{26EFB9D5-9731-4BC8-9EA8-A699CD0C36B9}">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5" showButton="0"/>
    <filterColumn colId="26" showButton="0"/>
    <filterColumn colId="27" showButton="0"/>
    <filterColumn colId="28"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filterColumn colId="99" showButton="0"/>
    <filterColumn colId="100" showButton="0"/>
    <filterColumn colId="101" showButton="0"/>
    <filterColumn colId="102" showButton="0"/>
    <filterColumn colId="103" showButton="0"/>
    <filterColumn colId="104" showButton="0"/>
    <filterColumn colId="105" showButton="0"/>
    <filterColumn colId="106" showButton="0"/>
    <filterColumn colId="107" showButton="0"/>
    <filterColumn colId="108" showButton="0"/>
    <filterColumn colId="109" showButton="0"/>
    <filterColumn colId="110" showButton="0"/>
    <filterColumn colId="111" showButton="0"/>
  </autoFilter>
  <mergeCells count="805">
    <mergeCell ref="AE1:AV1"/>
    <mergeCell ref="AW1:BK1"/>
    <mergeCell ref="BL1:BP1"/>
    <mergeCell ref="BQ1:BW1"/>
    <mergeCell ref="BX1:CL1"/>
    <mergeCell ref="CM1:DI1"/>
    <mergeCell ref="C1:O1"/>
    <mergeCell ref="P1:T1"/>
    <mergeCell ref="U1:Y1"/>
    <mergeCell ref="Z1:AD1"/>
    <mergeCell ref="AE2:AV2"/>
    <mergeCell ref="AW2:BK2"/>
    <mergeCell ref="BL2:BP2"/>
    <mergeCell ref="BQ2:BW2"/>
    <mergeCell ref="BX2:CL2"/>
    <mergeCell ref="CM2:DI2"/>
    <mergeCell ref="C2:O2"/>
    <mergeCell ref="P2:T2"/>
    <mergeCell ref="U2:Y2"/>
    <mergeCell ref="Z2:AD2"/>
    <mergeCell ref="AE3:AV3"/>
    <mergeCell ref="AW3:BK3"/>
    <mergeCell ref="BL3:BP3"/>
    <mergeCell ref="BQ3:BW3"/>
    <mergeCell ref="BX3:CL3"/>
    <mergeCell ref="CM3:DI3"/>
    <mergeCell ref="C3:O3"/>
    <mergeCell ref="P3:T3"/>
    <mergeCell ref="U3:Y3"/>
    <mergeCell ref="Z3:AD3"/>
    <mergeCell ref="AE4:AV4"/>
    <mergeCell ref="AW4:BK4"/>
    <mergeCell ref="BL4:BP4"/>
    <mergeCell ref="BQ4:BW4"/>
    <mergeCell ref="BX4:CL4"/>
    <mergeCell ref="CM4:DI4"/>
    <mergeCell ref="C4:O4"/>
    <mergeCell ref="P4:T4"/>
    <mergeCell ref="U4:Y4"/>
    <mergeCell ref="Z4:AD4"/>
    <mergeCell ref="AE5:AV5"/>
    <mergeCell ref="AW5:BK5"/>
    <mergeCell ref="BL5:BP5"/>
    <mergeCell ref="BQ5:BW5"/>
    <mergeCell ref="BX5:CL5"/>
    <mergeCell ref="CM5:DI5"/>
    <mergeCell ref="C5:O5"/>
    <mergeCell ref="P5:T5"/>
    <mergeCell ref="U5:Y5"/>
    <mergeCell ref="Z5:AD5"/>
    <mergeCell ref="AE6:AV6"/>
    <mergeCell ref="AW6:BK6"/>
    <mergeCell ref="BL6:BP6"/>
    <mergeCell ref="BQ6:BW6"/>
    <mergeCell ref="BX6:CL6"/>
    <mergeCell ref="CM6:DI6"/>
    <mergeCell ref="C6:O6"/>
    <mergeCell ref="P6:T6"/>
    <mergeCell ref="U6:Y6"/>
    <mergeCell ref="Z6:AD6"/>
    <mergeCell ref="AE7:AV7"/>
    <mergeCell ref="AW7:BK7"/>
    <mergeCell ref="BL7:BP7"/>
    <mergeCell ref="BQ7:BW7"/>
    <mergeCell ref="BX7:CL7"/>
    <mergeCell ref="CM7:DI7"/>
    <mergeCell ref="C7:O7"/>
    <mergeCell ref="P7:T7"/>
    <mergeCell ref="U7:Y7"/>
    <mergeCell ref="Z7:AD7"/>
    <mergeCell ref="AE8:AV8"/>
    <mergeCell ref="AW8:BK8"/>
    <mergeCell ref="BL8:BP8"/>
    <mergeCell ref="BQ8:BW8"/>
    <mergeCell ref="BX8:CL8"/>
    <mergeCell ref="CM8:DI8"/>
    <mergeCell ref="C8:O8"/>
    <mergeCell ref="P8:T8"/>
    <mergeCell ref="U8:Y8"/>
    <mergeCell ref="Z8:AD8"/>
    <mergeCell ref="AE9:AV9"/>
    <mergeCell ref="AW9:BK9"/>
    <mergeCell ref="BL9:BP9"/>
    <mergeCell ref="BQ9:BW9"/>
    <mergeCell ref="BX9:CL9"/>
    <mergeCell ref="CM9:DI9"/>
    <mergeCell ref="C9:O9"/>
    <mergeCell ref="P9:T9"/>
    <mergeCell ref="U9:Y9"/>
    <mergeCell ref="Z9:AD9"/>
    <mergeCell ref="AE10:AV10"/>
    <mergeCell ref="AW10:BK10"/>
    <mergeCell ref="BL10:BP10"/>
    <mergeCell ref="BQ10:BW10"/>
    <mergeCell ref="BX10:CL10"/>
    <mergeCell ref="CM10:DI10"/>
    <mergeCell ref="C10:O10"/>
    <mergeCell ref="P10:T10"/>
    <mergeCell ref="U10:Y10"/>
    <mergeCell ref="Z10:AD10"/>
    <mergeCell ref="AE11:AV11"/>
    <mergeCell ref="AW11:BK11"/>
    <mergeCell ref="BL11:BP11"/>
    <mergeCell ref="BQ11:BW11"/>
    <mergeCell ref="BX11:CL11"/>
    <mergeCell ref="CM11:DI11"/>
    <mergeCell ref="C11:O11"/>
    <mergeCell ref="P11:T11"/>
    <mergeCell ref="U11:Y11"/>
    <mergeCell ref="Z11:AD11"/>
    <mergeCell ref="AE12:AV12"/>
    <mergeCell ref="AW12:BK12"/>
    <mergeCell ref="BL12:BP12"/>
    <mergeCell ref="BQ12:BW12"/>
    <mergeCell ref="BX12:CL12"/>
    <mergeCell ref="CM12:DI12"/>
    <mergeCell ref="C12:O12"/>
    <mergeCell ref="P12:T12"/>
    <mergeCell ref="U12:Y12"/>
    <mergeCell ref="Z12:AD12"/>
    <mergeCell ref="AE13:AV13"/>
    <mergeCell ref="AW13:BK13"/>
    <mergeCell ref="BL13:BP13"/>
    <mergeCell ref="BQ13:BW13"/>
    <mergeCell ref="BX13:CL13"/>
    <mergeCell ref="CM13:DI13"/>
    <mergeCell ref="C13:O13"/>
    <mergeCell ref="P13:T13"/>
    <mergeCell ref="U13:Y13"/>
    <mergeCell ref="Z13:AD13"/>
    <mergeCell ref="AE14:AV14"/>
    <mergeCell ref="AW14:BK14"/>
    <mergeCell ref="BL14:BP14"/>
    <mergeCell ref="BQ14:BW14"/>
    <mergeCell ref="BX14:CL14"/>
    <mergeCell ref="CM14:DI14"/>
    <mergeCell ref="C14:O14"/>
    <mergeCell ref="P14:T14"/>
    <mergeCell ref="U14:Y14"/>
    <mergeCell ref="Z14:AD14"/>
    <mergeCell ref="AE15:AV15"/>
    <mergeCell ref="AW15:BK15"/>
    <mergeCell ref="BL15:BP15"/>
    <mergeCell ref="BQ15:BW15"/>
    <mergeCell ref="BX15:CL15"/>
    <mergeCell ref="CM15:DI15"/>
    <mergeCell ref="C15:O15"/>
    <mergeCell ref="P15:T15"/>
    <mergeCell ref="U15:Y15"/>
    <mergeCell ref="Z15:AD15"/>
    <mergeCell ref="AE16:AV16"/>
    <mergeCell ref="AW16:BK16"/>
    <mergeCell ref="BL16:BP16"/>
    <mergeCell ref="BQ16:BW16"/>
    <mergeCell ref="BX16:CL16"/>
    <mergeCell ref="CM16:DI16"/>
    <mergeCell ref="C16:O16"/>
    <mergeCell ref="P16:T16"/>
    <mergeCell ref="U16:Y16"/>
    <mergeCell ref="Z16:AD16"/>
    <mergeCell ref="AE17:AV17"/>
    <mergeCell ref="AW17:BK17"/>
    <mergeCell ref="BL17:BP17"/>
    <mergeCell ref="BQ17:BW17"/>
    <mergeCell ref="BX17:CL17"/>
    <mergeCell ref="CM17:DI17"/>
    <mergeCell ref="C17:O17"/>
    <mergeCell ref="P17:T17"/>
    <mergeCell ref="U17:Y17"/>
    <mergeCell ref="Z17:AD17"/>
    <mergeCell ref="AE18:AV18"/>
    <mergeCell ref="AW18:BK18"/>
    <mergeCell ref="BL18:BP18"/>
    <mergeCell ref="BQ18:BW18"/>
    <mergeCell ref="BX18:CL18"/>
    <mergeCell ref="CM18:DI18"/>
    <mergeCell ref="C18:O18"/>
    <mergeCell ref="P18:T18"/>
    <mergeCell ref="U18:Y18"/>
    <mergeCell ref="Z18:AD18"/>
    <mergeCell ref="AE19:AV19"/>
    <mergeCell ref="AW19:BK19"/>
    <mergeCell ref="BL19:BP19"/>
    <mergeCell ref="BQ19:BW19"/>
    <mergeCell ref="BX19:CL19"/>
    <mergeCell ref="CM19:DI19"/>
    <mergeCell ref="C19:O19"/>
    <mergeCell ref="P19:T19"/>
    <mergeCell ref="U19:Y19"/>
    <mergeCell ref="Z19:AD19"/>
    <mergeCell ref="AE20:AV20"/>
    <mergeCell ref="AW20:BK20"/>
    <mergeCell ref="BL20:BP20"/>
    <mergeCell ref="BQ20:BW20"/>
    <mergeCell ref="BX20:CL20"/>
    <mergeCell ref="CM20:DI20"/>
    <mergeCell ref="C20:O20"/>
    <mergeCell ref="P20:T20"/>
    <mergeCell ref="U20:Y20"/>
    <mergeCell ref="Z20:AD20"/>
    <mergeCell ref="AE21:AV21"/>
    <mergeCell ref="AW21:BK21"/>
    <mergeCell ref="BL21:BP21"/>
    <mergeCell ref="BQ21:BW21"/>
    <mergeCell ref="BX21:CL21"/>
    <mergeCell ref="CM21:DI21"/>
    <mergeCell ref="C21:O21"/>
    <mergeCell ref="P21:T21"/>
    <mergeCell ref="U21:Y21"/>
    <mergeCell ref="Z21:AD21"/>
    <mergeCell ref="AE22:AV22"/>
    <mergeCell ref="AW22:BK22"/>
    <mergeCell ref="BL22:BP22"/>
    <mergeCell ref="BQ22:BW22"/>
    <mergeCell ref="BX22:CL22"/>
    <mergeCell ref="CM22:DI22"/>
    <mergeCell ref="C22:O22"/>
    <mergeCell ref="P22:T22"/>
    <mergeCell ref="U22:Y22"/>
    <mergeCell ref="Z22:AD22"/>
    <mergeCell ref="AE23:AV23"/>
    <mergeCell ref="AW23:BK23"/>
    <mergeCell ref="BL23:BP23"/>
    <mergeCell ref="BQ23:BW23"/>
    <mergeCell ref="BX23:CL23"/>
    <mergeCell ref="CM23:DI23"/>
    <mergeCell ref="C23:O23"/>
    <mergeCell ref="P23:T23"/>
    <mergeCell ref="U23:Y23"/>
    <mergeCell ref="Z23:AD23"/>
    <mergeCell ref="AE24:AV24"/>
    <mergeCell ref="AW24:BK24"/>
    <mergeCell ref="BL24:BP24"/>
    <mergeCell ref="BQ24:BW24"/>
    <mergeCell ref="BX24:CL24"/>
    <mergeCell ref="CM24:DI24"/>
    <mergeCell ref="C24:O24"/>
    <mergeCell ref="P24:T24"/>
    <mergeCell ref="U24:Y24"/>
    <mergeCell ref="Z24:AD24"/>
    <mergeCell ref="AE25:AV25"/>
    <mergeCell ref="AW25:BK25"/>
    <mergeCell ref="BL25:BP25"/>
    <mergeCell ref="BQ25:BW25"/>
    <mergeCell ref="BX25:CL25"/>
    <mergeCell ref="CM25:DI25"/>
    <mergeCell ref="C25:O25"/>
    <mergeCell ref="P25:T25"/>
    <mergeCell ref="U25:Y25"/>
    <mergeCell ref="Z25:AD25"/>
    <mergeCell ref="AE26:AV26"/>
    <mergeCell ref="AW26:BK26"/>
    <mergeCell ref="BL26:BP26"/>
    <mergeCell ref="BQ26:BW26"/>
    <mergeCell ref="BX26:CL26"/>
    <mergeCell ref="CM26:DI26"/>
    <mergeCell ref="C26:O26"/>
    <mergeCell ref="P26:T26"/>
    <mergeCell ref="U26:Y26"/>
    <mergeCell ref="Z26:AD26"/>
    <mergeCell ref="AE27:AV27"/>
    <mergeCell ref="AW27:BK27"/>
    <mergeCell ref="BL27:BP27"/>
    <mergeCell ref="BQ27:BW27"/>
    <mergeCell ref="BX27:CL27"/>
    <mergeCell ref="CM27:DI27"/>
    <mergeCell ref="C27:O27"/>
    <mergeCell ref="P27:T27"/>
    <mergeCell ref="U27:Y27"/>
    <mergeCell ref="Z27:AD27"/>
    <mergeCell ref="AE28:AV28"/>
    <mergeCell ref="AW28:BK28"/>
    <mergeCell ref="BL28:BP28"/>
    <mergeCell ref="BQ28:BW28"/>
    <mergeCell ref="BX28:CL28"/>
    <mergeCell ref="CM28:DI28"/>
    <mergeCell ref="C28:O28"/>
    <mergeCell ref="P28:T28"/>
    <mergeCell ref="U28:Y28"/>
    <mergeCell ref="Z28:AD28"/>
    <mergeCell ref="AE29:AV29"/>
    <mergeCell ref="AW29:BK29"/>
    <mergeCell ref="BL29:BP29"/>
    <mergeCell ref="BQ29:BW29"/>
    <mergeCell ref="BX29:CL29"/>
    <mergeCell ref="CM29:DI29"/>
    <mergeCell ref="C29:O29"/>
    <mergeCell ref="P29:T29"/>
    <mergeCell ref="U29:Y29"/>
    <mergeCell ref="Z29:AD29"/>
    <mergeCell ref="AE30:AV30"/>
    <mergeCell ref="AW30:BK30"/>
    <mergeCell ref="BL30:BP30"/>
    <mergeCell ref="BQ30:BW30"/>
    <mergeCell ref="BX30:CL30"/>
    <mergeCell ref="CM30:DI30"/>
    <mergeCell ref="C30:O30"/>
    <mergeCell ref="P30:T30"/>
    <mergeCell ref="U30:Y30"/>
    <mergeCell ref="Z30:AD30"/>
    <mergeCell ref="AE31:AV31"/>
    <mergeCell ref="AW31:BK31"/>
    <mergeCell ref="BL31:BP31"/>
    <mergeCell ref="BQ31:BW31"/>
    <mergeCell ref="BX31:CL31"/>
    <mergeCell ref="CM31:DI31"/>
    <mergeCell ref="C31:O31"/>
    <mergeCell ref="P31:T31"/>
    <mergeCell ref="U31:Y31"/>
    <mergeCell ref="Z31:AD31"/>
    <mergeCell ref="AE32:AV32"/>
    <mergeCell ref="AW32:BK32"/>
    <mergeCell ref="BL32:BP32"/>
    <mergeCell ref="BQ32:BW32"/>
    <mergeCell ref="BX32:CL32"/>
    <mergeCell ref="CM32:DI32"/>
    <mergeCell ref="C32:O32"/>
    <mergeCell ref="P32:T32"/>
    <mergeCell ref="U32:Y32"/>
    <mergeCell ref="Z32:AD32"/>
    <mergeCell ref="AE33:AV33"/>
    <mergeCell ref="AW33:BK33"/>
    <mergeCell ref="BL33:BP33"/>
    <mergeCell ref="BQ33:BW33"/>
    <mergeCell ref="BX33:CL33"/>
    <mergeCell ref="CM33:DI33"/>
    <mergeCell ref="C33:O33"/>
    <mergeCell ref="P33:T33"/>
    <mergeCell ref="U33:Y33"/>
    <mergeCell ref="Z33:AD33"/>
    <mergeCell ref="AE34:AV34"/>
    <mergeCell ref="AW34:BK34"/>
    <mergeCell ref="BL34:BP34"/>
    <mergeCell ref="BQ34:BW34"/>
    <mergeCell ref="BX34:CL34"/>
    <mergeCell ref="CM34:DI34"/>
    <mergeCell ref="C34:O34"/>
    <mergeCell ref="P34:T34"/>
    <mergeCell ref="U34:Y34"/>
    <mergeCell ref="Z34:AD34"/>
    <mergeCell ref="AE35:AV35"/>
    <mergeCell ref="AW35:BK35"/>
    <mergeCell ref="BL35:BP35"/>
    <mergeCell ref="BQ35:BW35"/>
    <mergeCell ref="BX35:CL35"/>
    <mergeCell ref="CM35:DI35"/>
    <mergeCell ref="C35:O35"/>
    <mergeCell ref="P35:T35"/>
    <mergeCell ref="U35:Y35"/>
    <mergeCell ref="Z35:AD35"/>
    <mergeCell ref="AE36:AV36"/>
    <mergeCell ref="AW36:BK36"/>
    <mergeCell ref="BL36:BP36"/>
    <mergeCell ref="BQ36:BW36"/>
    <mergeCell ref="BX36:CL36"/>
    <mergeCell ref="CM36:DI36"/>
    <mergeCell ref="C36:O36"/>
    <mergeCell ref="P36:T36"/>
    <mergeCell ref="U36:Y36"/>
    <mergeCell ref="Z36:AD36"/>
    <mergeCell ref="AE37:AV37"/>
    <mergeCell ref="AW37:BK37"/>
    <mergeCell ref="BL37:BP37"/>
    <mergeCell ref="BQ37:BW37"/>
    <mergeCell ref="BX37:CL37"/>
    <mergeCell ref="CM37:DI37"/>
    <mergeCell ref="C37:O37"/>
    <mergeCell ref="P37:T37"/>
    <mergeCell ref="U37:Y37"/>
    <mergeCell ref="Z37:AD37"/>
    <mergeCell ref="AE38:AV38"/>
    <mergeCell ref="AW38:BK38"/>
    <mergeCell ref="BL38:BP38"/>
    <mergeCell ref="BQ38:BW38"/>
    <mergeCell ref="BX38:CL38"/>
    <mergeCell ref="CM38:DI38"/>
    <mergeCell ref="C38:O38"/>
    <mergeCell ref="P38:T38"/>
    <mergeCell ref="U38:Y38"/>
    <mergeCell ref="Z38:AD38"/>
    <mergeCell ref="AE39:AV39"/>
    <mergeCell ref="AW39:BK39"/>
    <mergeCell ref="BL39:BP39"/>
    <mergeCell ref="BQ39:BW39"/>
    <mergeCell ref="BX39:CL39"/>
    <mergeCell ref="CM39:DI39"/>
    <mergeCell ref="C39:O39"/>
    <mergeCell ref="P39:T39"/>
    <mergeCell ref="U39:Y39"/>
    <mergeCell ref="Z39:AD39"/>
    <mergeCell ref="AE40:AV40"/>
    <mergeCell ref="AW40:BK40"/>
    <mergeCell ref="BL40:BP40"/>
    <mergeCell ref="BQ40:BW40"/>
    <mergeCell ref="BX40:CL40"/>
    <mergeCell ref="CM40:DI40"/>
    <mergeCell ref="C40:O40"/>
    <mergeCell ref="P40:T40"/>
    <mergeCell ref="U40:Y40"/>
    <mergeCell ref="Z40:AD40"/>
    <mergeCell ref="AE41:AV41"/>
    <mergeCell ref="AW41:BK41"/>
    <mergeCell ref="BL41:BP41"/>
    <mergeCell ref="BQ41:BW41"/>
    <mergeCell ref="BX41:CL41"/>
    <mergeCell ref="CM41:DI41"/>
    <mergeCell ref="C41:O41"/>
    <mergeCell ref="P41:T41"/>
    <mergeCell ref="U41:Y41"/>
    <mergeCell ref="Z41:AD41"/>
    <mergeCell ref="AE42:AV42"/>
    <mergeCell ref="AW42:BK42"/>
    <mergeCell ref="BL42:BP42"/>
    <mergeCell ref="BQ42:BW42"/>
    <mergeCell ref="BX42:CL42"/>
    <mergeCell ref="CM42:DI42"/>
    <mergeCell ref="C42:O42"/>
    <mergeCell ref="P42:T42"/>
    <mergeCell ref="U42:Y42"/>
    <mergeCell ref="Z42:AD42"/>
    <mergeCell ref="AE43:AV43"/>
    <mergeCell ref="AW43:BK43"/>
    <mergeCell ref="BL43:BP43"/>
    <mergeCell ref="BQ43:BW43"/>
    <mergeCell ref="BX43:CL43"/>
    <mergeCell ref="CM43:DI43"/>
    <mergeCell ref="C43:O43"/>
    <mergeCell ref="P43:T43"/>
    <mergeCell ref="U43:Y43"/>
    <mergeCell ref="Z43:AD43"/>
    <mergeCell ref="AE44:AV44"/>
    <mergeCell ref="AW44:BK44"/>
    <mergeCell ref="BL44:BP44"/>
    <mergeCell ref="BQ44:BW44"/>
    <mergeCell ref="BX44:CL44"/>
    <mergeCell ref="CM44:DI44"/>
    <mergeCell ref="C44:O44"/>
    <mergeCell ref="P44:T44"/>
    <mergeCell ref="U44:Y44"/>
    <mergeCell ref="Z44:AD44"/>
    <mergeCell ref="AE45:AV45"/>
    <mergeCell ref="AW45:BK45"/>
    <mergeCell ref="BL45:BP45"/>
    <mergeCell ref="BQ45:BW45"/>
    <mergeCell ref="BX45:CL45"/>
    <mergeCell ref="CM45:DI45"/>
    <mergeCell ref="C45:O45"/>
    <mergeCell ref="P45:T45"/>
    <mergeCell ref="U45:Y45"/>
    <mergeCell ref="Z45:AD45"/>
    <mergeCell ref="AE46:AV46"/>
    <mergeCell ref="AW46:BK46"/>
    <mergeCell ref="BL46:BP46"/>
    <mergeCell ref="BQ46:BW46"/>
    <mergeCell ref="BX46:CL46"/>
    <mergeCell ref="CM46:DI46"/>
    <mergeCell ref="C46:O46"/>
    <mergeCell ref="P46:T46"/>
    <mergeCell ref="U46:Y46"/>
    <mergeCell ref="Z46:AD46"/>
    <mergeCell ref="AE47:AV47"/>
    <mergeCell ref="AW47:BK47"/>
    <mergeCell ref="BL47:BP47"/>
    <mergeCell ref="BQ47:BW47"/>
    <mergeCell ref="BX47:CL47"/>
    <mergeCell ref="CM47:DI47"/>
    <mergeCell ref="C47:O47"/>
    <mergeCell ref="P47:T47"/>
    <mergeCell ref="U47:Y47"/>
    <mergeCell ref="Z47:AD47"/>
    <mergeCell ref="AE48:AV48"/>
    <mergeCell ref="AW48:BK48"/>
    <mergeCell ref="BL48:BP48"/>
    <mergeCell ref="BQ48:BW48"/>
    <mergeCell ref="BX48:CL48"/>
    <mergeCell ref="CM48:DI48"/>
    <mergeCell ref="C48:O48"/>
    <mergeCell ref="P48:T48"/>
    <mergeCell ref="U48:Y48"/>
    <mergeCell ref="Z48:AD48"/>
    <mergeCell ref="AE49:AV49"/>
    <mergeCell ref="AW49:BK49"/>
    <mergeCell ref="BL49:BP49"/>
    <mergeCell ref="BQ49:BW49"/>
    <mergeCell ref="BX49:CL49"/>
    <mergeCell ref="CM49:DI49"/>
    <mergeCell ref="C49:O49"/>
    <mergeCell ref="P49:T49"/>
    <mergeCell ref="U49:Y49"/>
    <mergeCell ref="Z49:AD49"/>
    <mergeCell ref="AE50:AV50"/>
    <mergeCell ref="AW50:BK50"/>
    <mergeCell ref="BL50:BP50"/>
    <mergeCell ref="BQ50:BW50"/>
    <mergeCell ref="BX50:CL50"/>
    <mergeCell ref="CM50:DI50"/>
    <mergeCell ref="C50:O50"/>
    <mergeCell ref="P50:T50"/>
    <mergeCell ref="U50:Y50"/>
    <mergeCell ref="Z50:AD50"/>
    <mergeCell ref="AE51:AV51"/>
    <mergeCell ref="AW51:BK51"/>
    <mergeCell ref="BL51:BP51"/>
    <mergeCell ref="BQ51:BW51"/>
    <mergeCell ref="BX51:CL51"/>
    <mergeCell ref="CM51:DI51"/>
    <mergeCell ref="C51:O51"/>
    <mergeCell ref="P51:T51"/>
    <mergeCell ref="U51:Y51"/>
    <mergeCell ref="Z51:AD51"/>
    <mergeCell ref="AE52:AV52"/>
    <mergeCell ref="AW52:BK52"/>
    <mergeCell ref="BL52:BP52"/>
    <mergeCell ref="BQ52:BW52"/>
    <mergeCell ref="BX52:CL52"/>
    <mergeCell ref="CM52:DI52"/>
    <mergeCell ref="C52:O52"/>
    <mergeCell ref="P52:T52"/>
    <mergeCell ref="U52:Y52"/>
    <mergeCell ref="Z52:AD52"/>
    <mergeCell ref="AE53:AV53"/>
    <mergeCell ref="AW53:BK53"/>
    <mergeCell ref="BL53:BP53"/>
    <mergeCell ref="BQ53:BW53"/>
    <mergeCell ref="BX53:CL53"/>
    <mergeCell ref="CM53:DI53"/>
    <mergeCell ref="C53:O53"/>
    <mergeCell ref="P53:T53"/>
    <mergeCell ref="U53:Y53"/>
    <mergeCell ref="Z53:AD53"/>
    <mergeCell ref="AE54:AV54"/>
    <mergeCell ref="AW54:BK54"/>
    <mergeCell ref="BL54:BP54"/>
    <mergeCell ref="BQ54:BW54"/>
    <mergeCell ref="BX54:CL54"/>
    <mergeCell ref="CM54:DI54"/>
    <mergeCell ref="C54:O54"/>
    <mergeCell ref="P54:T54"/>
    <mergeCell ref="U54:Y54"/>
    <mergeCell ref="Z54:AD54"/>
    <mergeCell ref="AE55:AV55"/>
    <mergeCell ref="AW55:BK55"/>
    <mergeCell ref="BL55:BP55"/>
    <mergeCell ref="BQ55:BW55"/>
    <mergeCell ref="BX55:CL55"/>
    <mergeCell ref="CM55:DI55"/>
    <mergeCell ref="C55:O55"/>
    <mergeCell ref="P55:T55"/>
    <mergeCell ref="U55:Y55"/>
    <mergeCell ref="Z55:AD55"/>
    <mergeCell ref="AE56:AV56"/>
    <mergeCell ref="AW56:BK56"/>
    <mergeCell ref="BL56:BP56"/>
    <mergeCell ref="BQ56:BW56"/>
    <mergeCell ref="BX56:CL56"/>
    <mergeCell ref="CM56:DI56"/>
    <mergeCell ref="C56:O56"/>
    <mergeCell ref="P56:T56"/>
    <mergeCell ref="U56:Y56"/>
    <mergeCell ref="Z56:AD56"/>
    <mergeCell ref="AE57:AV57"/>
    <mergeCell ref="AW57:BK57"/>
    <mergeCell ref="BL57:BP57"/>
    <mergeCell ref="BQ57:BW57"/>
    <mergeCell ref="BX57:CL57"/>
    <mergeCell ref="CM57:DI57"/>
    <mergeCell ref="C57:O57"/>
    <mergeCell ref="P57:T57"/>
    <mergeCell ref="U57:Y57"/>
    <mergeCell ref="Z57:AD57"/>
    <mergeCell ref="AE58:AV58"/>
    <mergeCell ref="AW58:BK58"/>
    <mergeCell ref="BL58:BP58"/>
    <mergeCell ref="BQ58:BW58"/>
    <mergeCell ref="BX58:CL58"/>
    <mergeCell ref="CM58:DI58"/>
    <mergeCell ref="C58:O58"/>
    <mergeCell ref="P58:T58"/>
    <mergeCell ref="U58:Y58"/>
    <mergeCell ref="Z58:AD58"/>
    <mergeCell ref="AE59:AV59"/>
    <mergeCell ref="AW59:BK59"/>
    <mergeCell ref="BL59:BP59"/>
    <mergeCell ref="BQ59:BW59"/>
    <mergeCell ref="BX59:CL59"/>
    <mergeCell ref="CM59:DI59"/>
    <mergeCell ref="C59:O59"/>
    <mergeCell ref="P59:T59"/>
    <mergeCell ref="U59:Y59"/>
    <mergeCell ref="Z59:AD59"/>
    <mergeCell ref="AE60:AV60"/>
    <mergeCell ref="AW60:BK60"/>
    <mergeCell ref="BL60:BP60"/>
    <mergeCell ref="BQ60:BW60"/>
    <mergeCell ref="BX60:CL60"/>
    <mergeCell ref="CM60:DI60"/>
    <mergeCell ref="C60:O60"/>
    <mergeCell ref="P60:T60"/>
    <mergeCell ref="U60:Y60"/>
    <mergeCell ref="Z60:AD60"/>
    <mergeCell ref="AE61:AV61"/>
    <mergeCell ref="AW61:BK61"/>
    <mergeCell ref="BL61:BP61"/>
    <mergeCell ref="BQ61:BW61"/>
    <mergeCell ref="BX61:CL61"/>
    <mergeCell ref="CM61:DI61"/>
    <mergeCell ref="C61:O61"/>
    <mergeCell ref="P61:T61"/>
    <mergeCell ref="U61:Y61"/>
    <mergeCell ref="Z61:AD61"/>
    <mergeCell ref="AE62:AV62"/>
    <mergeCell ref="AW62:BK62"/>
    <mergeCell ref="BL62:BP62"/>
    <mergeCell ref="BQ62:BW62"/>
    <mergeCell ref="BX62:CL62"/>
    <mergeCell ref="CM62:DI62"/>
    <mergeCell ref="C62:O62"/>
    <mergeCell ref="P62:T62"/>
    <mergeCell ref="U62:Y62"/>
    <mergeCell ref="Z62:AD62"/>
    <mergeCell ref="AE63:AV63"/>
    <mergeCell ref="AW63:BK63"/>
    <mergeCell ref="BL63:BP63"/>
    <mergeCell ref="BQ63:BW63"/>
    <mergeCell ref="BX63:CL63"/>
    <mergeCell ref="CM63:DI63"/>
    <mergeCell ref="C63:O63"/>
    <mergeCell ref="P63:T63"/>
    <mergeCell ref="U63:Y63"/>
    <mergeCell ref="Z63:AD63"/>
    <mergeCell ref="AE64:AV64"/>
    <mergeCell ref="AW64:BK64"/>
    <mergeCell ref="BL64:BP64"/>
    <mergeCell ref="BQ64:BW64"/>
    <mergeCell ref="BX64:CL64"/>
    <mergeCell ref="CM64:DI64"/>
    <mergeCell ref="C64:O64"/>
    <mergeCell ref="P64:T64"/>
    <mergeCell ref="U64:Y64"/>
    <mergeCell ref="Z64:AD64"/>
    <mergeCell ref="AE65:AV65"/>
    <mergeCell ref="AW65:BK65"/>
    <mergeCell ref="BL65:BP65"/>
    <mergeCell ref="BQ65:BW65"/>
    <mergeCell ref="BX65:CL65"/>
    <mergeCell ref="CM65:DI65"/>
    <mergeCell ref="C65:O65"/>
    <mergeCell ref="P65:T65"/>
    <mergeCell ref="U65:Y65"/>
    <mergeCell ref="Z65:AD65"/>
    <mergeCell ref="AE66:AV66"/>
    <mergeCell ref="AW66:BK66"/>
    <mergeCell ref="BL66:BP66"/>
    <mergeCell ref="BQ66:BW66"/>
    <mergeCell ref="BX66:CL66"/>
    <mergeCell ref="CM66:DI66"/>
    <mergeCell ref="C66:O66"/>
    <mergeCell ref="P66:T66"/>
    <mergeCell ref="U66:Y66"/>
    <mergeCell ref="Z66:AD66"/>
    <mergeCell ref="AE67:AV67"/>
    <mergeCell ref="AW67:BK67"/>
    <mergeCell ref="BL67:BP67"/>
    <mergeCell ref="BQ67:BW67"/>
    <mergeCell ref="BX67:CL67"/>
    <mergeCell ref="CM67:DI67"/>
    <mergeCell ref="C67:O67"/>
    <mergeCell ref="P67:T67"/>
    <mergeCell ref="U67:Y67"/>
    <mergeCell ref="Z67:AD67"/>
    <mergeCell ref="AE68:AV68"/>
    <mergeCell ref="AW68:BK68"/>
    <mergeCell ref="BL68:BP68"/>
    <mergeCell ref="BQ68:BW68"/>
    <mergeCell ref="BX68:CL68"/>
    <mergeCell ref="CM68:DI68"/>
    <mergeCell ref="C68:O68"/>
    <mergeCell ref="P68:T68"/>
    <mergeCell ref="U68:Y68"/>
    <mergeCell ref="Z68:AD68"/>
    <mergeCell ref="AE69:AV69"/>
    <mergeCell ref="AW69:BK69"/>
    <mergeCell ref="BL69:BP69"/>
    <mergeCell ref="BQ69:BW69"/>
    <mergeCell ref="BX69:CL69"/>
    <mergeCell ref="CM69:DI69"/>
    <mergeCell ref="C69:O69"/>
    <mergeCell ref="P69:T69"/>
    <mergeCell ref="U69:Y69"/>
    <mergeCell ref="Z69:AD69"/>
    <mergeCell ref="AE70:AV70"/>
    <mergeCell ref="AW70:BK70"/>
    <mergeCell ref="BL70:BP70"/>
    <mergeCell ref="BQ70:BW70"/>
    <mergeCell ref="BX70:CL70"/>
    <mergeCell ref="CM70:DI70"/>
    <mergeCell ref="C70:O70"/>
    <mergeCell ref="P70:T70"/>
    <mergeCell ref="U70:Y70"/>
    <mergeCell ref="Z70:AD70"/>
    <mergeCell ref="AE71:AV71"/>
    <mergeCell ref="AW71:BK71"/>
    <mergeCell ref="BL71:BP71"/>
    <mergeCell ref="BQ71:BW71"/>
    <mergeCell ref="BX71:CL71"/>
    <mergeCell ref="CM71:DI71"/>
    <mergeCell ref="C71:O71"/>
    <mergeCell ref="P71:T71"/>
    <mergeCell ref="U71:Y71"/>
    <mergeCell ref="Z71:AD71"/>
    <mergeCell ref="AE72:AV72"/>
    <mergeCell ref="AW72:BK72"/>
    <mergeCell ref="BL72:BP72"/>
    <mergeCell ref="BQ72:BW72"/>
    <mergeCell ref="BX72:CL72"/>
    <mergeCell ref="CM72:DI72"/>
    <mergeCell ref="C72:O72"/>
    <mergeCell ref="P72:T72"/>
    <mergeCell ref="U72:Y72"/>
    <mergeCell ref="Z72:AD72"/>
    <mergeCell ref="AE73:AV73"/>
    <mergeCell ref="AW73:BK73"/>
    <mergeCell ref="BL73:BP73"/>
    <mergeCell ref="BQ73:BW73"/>
    <mergeCell ref="BX73:CL73"/>
    <mergeCell ref="CM73:DI73"/>
    <mergeCell ref="C73:O73"/>
    <mergeCell ref="P73:T73"/>
    <mergeCell ref="U73:Y73"/>
    <mergeCell ref="Z73:AD73"/>
    <mergeCell ref="AE74:AV74"/>
    <mergeCell ref="AW74:BK74"/>
    <mergeCell ref="BL74:BP74"/>
    <mergeCell ref="BQ74:BW74"/>
    <mergeCell ref="BX74:CL74"/>
    <mergeCell ref="CM74:DI74"/>
    <mergeCell ref="C74:O74"/>
    <mergeCell ref="P74:T74"/>
    <mergeCell ref="U74:Y74"/>
    <mergeCell ref="Z74:AD74"/>
    <mergeCell ref="AE75:AV75"/>
    <mergeCell ref="AW75:BK75"/>
    <mergeCell ref="BL75:BP75"/>
    <mergeCell ref="BQ75:BW75"/>
    <mergeCell ref="BX75:CL75"/>
    <mergeCell ref="CM75:DI75"/>
    <mergeCell ref="C75:O75"/>
    <mergeCell ref="P75:T75"/>
    <mergeCell ref="U75:Y75"/>
    <mergeCell ref="Z75:AD75"/>
    <mergeCell ref="AE76:AV76"/>
    <mergeCell ref="AW76:BK76"/>
    <mergeCell ref="BL76:BP76"/>
    <mergeCell ref="BQ76:BW76"/>
    <mergeCell ref="BX76:CL76"/>
    <mergeCell ref="CM76:DI76"/>
    <mergeCell ref="C76:O76"/>
    <mergeCell ref="P76:T76"/>
    <mergeCell ref="U76:Y76"/>
    <mergeCell ref="Z76:AD76"/>
    <mergeCell ref="AE77:AV77"/>
    <mergeCell ref="AW77:BK77"/>
    <mergeCell ref="BL77:BP77"/>
    <mergeCell ref="BQ77:BW77"/>
    <mergeCell ref="BX77:CL77"/>
    <mergeCell ref="CM77:DI77"/>
    <mergeCell ref="C77:O77"/>
    <mergeCell ref="P77:T77"/>
    <mergeCell ref="U77:Y77"/>
    <mergeCell ref="Z77:AD77"/>
    <mergeCell ref="AE78:AV78"/>
    <mergeCell ref="AW78:BK78"/>
    <mergeCell ref="BL78:BP78"/>
    <mergeCell ref="BQ78:BW78"/>
    <mergeCell ref="BX78:CL78"/>
    <mergeCell ref="CM78:DI78"/>
    <mergeCell ref="C78:O78"/>
    <mergeCell ref="P78:T78"/>
    <mergeCell ref="U78:Y78"/>
    <mergeCell ref="Z78:AD78"/>
    <mergeCell ref="BX80:CL80"/>
    <mergeCell ref="CM80:DI80"/>
    <mergeCell ref="C80:O80"/>
    <mergeCell ref="P80:T80"/>
    <mergeCell ref="U80:Y80"/>
    <mergeCell ref="Z80:AD80"/>
    <mergeCell ref="AE79:AV79"/>
    <mergeCell ref="AW79:BK79"/>
    <mergeCell ref="BL79:BP79"/>
    <mergeCell ref="BQ79:BW79"/>
    <mergeCell ref="BX79:CL79"/>
    <mergeCell ref="CM79:DI79"/>
    <mergeCell ref="C79:O79"/>
    <mergeCell ref="P79:T79"/>
    <mergeCell ref="U79:Y79"/>
    <mergeCell ref="Z79:AD79"/>
    <mergeCell ref="U81:Y81"/>
    <mergeCell ref="Z81:AD81"/>
    <mergeCell ref="AE81:AV81"/>
    <mergeCell ref="U82:Y82"/>
    <mergeCell ref="Z82:AD82"/>
    <mergeCell ref="AE80:AV80"/>
    <mergeCell ref="AW80:BK80"/>
    <mergeCell ref="BL80:BP80"/>
    <mergeCell ref="BQ80:BW80"/>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DE10-4F77-4465-B433-1F743F28EFE5}">
  <sheetPr filterMode="1"/>
  <dimension ref="C1:DF88"/>
  <sheetViews>
    <sheetView tabSelected="1" zoomScaleNormal="100" workbookViewId="0">
      <pane xSplit="17" ySplit="1" topLeftCell="R2" activePane="bottomRight" state="frozen"/>
      <selection pane="topRight" activeCell="P1" sqref="P1"/>
      <selection pane="bottomLeft" activeCell="A2" sqref="A2"/>
      <selection pane="bottomRight" activeCell="Y60" sqref="Y60"/>
    </sheetView>
  </sheetViews>
  <sheetFormatPr defaultColWidth="2.75" defaultRowHeight="18" outlineLevelCol="1" x14ac:dyDescent="0.55000000000000004"/>
  <cols>
    <col min="1" max="2" width="2.75" style="5"/>
    <col min="3" max="3" width="12.83203125" style="5" customWidth="1"/>
    <col min="4" max="4" width="4.08203125" bestFit="1" customWidth="1"/>
    <col min="5" max="18" width="2.75" style="5"/>
    <col min="19" max="22" width="7.08203125" style="5" customWidth="1"/>
    <col min="23" max="24" width="13" style="5" bestFit="1" customWidth="1" outlineLevel="1"/>
    <col min="25" max="25" width="15" style="5" bestFit="1" customWidth="1" outlineLevel="1"/>
    <col min="26" max="27" width="17" style="5" bestFit="1" customWidth="1" outlineLevel="1"/>
    <col min="28" max="28" width="21.08203125" style="5" customWidth="1"/>
    <col min="29" max="16384" width="2.75" style="5"/>
  </cols>
  <sheetData>
    <row r="1" spans="3:110" ht="41.25" customHeight="1" x14ac:dyDescent="0.55000000000000004">
      <c r="C1" s="5" t="s">
        <v>242</v>
      </c>
      <c r="D1" s="4" t="s">
        <v>24</v>
      </c>
      <c r="E1" s="22" t="s">
        <v>25</v>
      </c>
      <c r="F1" s="22"/>
      <c r="G1" s="22"/>
      <c r="H1" s="22"/>
      <c r="I1" s="22"/>
      <c r="J1" s="22"/>
      <c r="K1" s="22"/>
      <c r="L1" s="22"/>
      <c r="M1" s="22"/>
      <c r="N1" s="22"/>
      <c r="O1" s="22"/>
      <c r="P1" s="22"/>
      <c r="Q1" s="22"/>
      <c r="R1" s="22" t="s">
        <v>1</v>
      </c>
      <c r="S1" s="22"/>
      <c r="T1" s="22"/>
      <c r="U1" s="22"/>
      <c r="V1" s="22"/>
      <c r="W1" s="9" t="s">
        <v>26</v>
      </c>
      <c r="X1" s="9" t="s">
        <v>27</v>
      </c>
      <c r="Y1" s="10" t="s">
        <v>246</v>
      </c>
      <c r="Z1" s="11" t="s">
        <v>251</v>
      </c>
      <c r="AA1" s="11" t="s">
        <v>252</v>
      </c>
      <c r="AB1" s="22" t="s">
        <v>28</v>
      </c>
      <c r="AC1" s="22"/>
      <c r="AD1" s="22"/>
      <c r="AE1" s="22"/>
      <c r="AF1" s="22"/>
      <c r="AG1" s="22"/>
      <c r="AH1" s="22"/>
      <c r="AI1" s="22"/>
      <c r="AJ1" s="22"/>
      <c r="AK1" s="22"/>
      <c r="AL1" s="22"/>
      <c r="AM1" s="22"/>
      <c r="AN1" s="22"/>
      <c r="AO1" s="22"/>
      <c r="AP1" s="22"/>
      <c r="AQ1" s="22"/>
      <c r="AR1" s="22"/>
      <c r="AS1" s="22"/>
      <c r="AT1" s="22" t="s">
        <v>29</v>
      </c>
      <c r="AU1" s="22"/>
      <c r="AV1" s="22"/>
      <c r="AW1" s="22"/>
      <c r="AX1" s="22"/>
      <c r="AY1" s="22"/>
      <c r="AZ1" s="22"/>
      <c r="BA1" s="22"/>
      <c r="BB1" s="22"/>
      <c r="BC1" s="22"/>
      <c r="BD1" s="22"/>
      <c r="BE1" s="22"/>
      <c r="BF1" s="22"/>
      <c r="BG1" s="22"/>
      <c r="BH1" s="22"/>
      <c r="BI1" s="22" t="s">
        <v>30</v>
      </c>
      <c r="BJ1" s="22"/>
      <c r="BK1" s="22"/>
      <c r="BL1" s="22"/>
      <c r="BM1" s="22"/>
      <c r="BN1" s="22" t="s">
        <v>31</v>
      </c>
      <c r="BO1" s="22"/>
      <c r="BP1" s="22"/>
      <c r="BQ1" s="22"/>
      <c r="BR1" s="22"/>
      <c r="BS1" s="22"/>
      <c r="BT1" s="22"/>
      <c r="BU1" s="22" t="s">
        <v>32</v>
      </c>
      <c r="BV1" s="22"/>
      <c r="BW1" s="22"/>
      <c r="BX1" s="22"/>
      <c r="BY1" s="22"/>
      <c r="BZ1" s="22"/>
      <c r="CA1" s="22"/>
      <c r="CB1" s="22"/>
      <c r="CC1" s="22"/>
      <c r="CD1" s="22"/>
      <c r="CE1" s="22"/>
      <c r="CF1" s="22"/>
      <c r="CG1" s="22"/>
      <c r="CH1" s="22"/>
      <c r="CI1" s="22"/>
      <c r="CJ1" s="22" t="s">
        <v>33</v>
      </c>
      <c r="CK1" s="22"/>
      <c r="CL1" s="22"/>
      <c r="CM1" s="22"/>
      <c r="CN1" s="22"/>
      <c r="CO1" s="22"/>
      <c r="CP1" s="22"/>
      <c r="CQ1" s="22"/>
      <c r="CR1" s="22"/>
      <c r="CS1" s="22"/>
      <c r="CT1" s="22"/>
      <c r="CU1" s="22"/>
      <c r="CV1" s="22"/>
      <c r="CW1" s="22"/>
      <c r="CX1" s="22"/>
      <c r="CY1" s="22"/>
      <c r="CZ1" s="22"/>
      <c r="DA1" s="22"/>
      <c r="DB1" s="22"/>
      <c r="DC1" s="22"/>
      <c r="DD1" s="22"/>
      <c r="DE1" s="22"/>
      <c r="DF1" s="22"/>
    </row>
    <row r="2" spans="3:110" x14ac:dyDescent="0.55000000000000004">
      <c r="C2" s="5" t="s">
        <v>244</v>
      </c>
      <c r="D2" s="1">
        <v>1</v>
      </c>
      <c r="E2" s="17" t="s">
        <v>34</v>
      </c>
      <c r="F2" s="17"/>
      <c r="G2" s="17"/>
      <c r="H2" s="17"/>
      <c r="I2" s="17"/>
      <c r="J2" s="17"/>
      <c r="K2" s="17"/>
      <c r="L2" s="17"/>
      <c r="M2" s="17"/>
      <c r="N2" s="17"/>
      <c r="O2" s="17"/>
      <c r="P2" s="17"/>
      <c r="Q2" s="17"/>
      <c r="R2" s="17" t="s">
        <v>35</v>
      </c>
      <c r="S2" s="17"/>
      <c r="T2" s="17"/>
      <c r="U2" s="17"/>
      <c r="V2" s="17"/>
      <c r="W2" s="8">
        <v>8</v>
      </c>
      <c r="X2" s="8">
        <v>4</v>
      </c>
      <c r="Y2" s="1"/>
      <c r="Z2" s="8"/>
      <c r="AA2" s="8"/>
      <c r="AB2" s="17" t="s">
        <v>36</v>
      </c>
      <c r="AC2" s="17"/>
      <c r="AD2" s="17"/>
      <c r="AE2" s="17"/>
      <c r="AF2" s="17"/>
      <c r="AG2" s="17"/>
      <c r="AH2" s="17"/>
      <c r="AI2" s="17"/>
      <c r="AJ2" s="17"/>
      <c r="AK2" s="17"/>
      <c r="AL2" s="17"/>
      <c r="AM2" s="17"/>
      <c r="AN2" s="17"/>
      <c r="AO2" s="17"/>
      <c r="AP2" s="17"/>
      <c r="AQ2" s="17"/>
      <c r="AR2" s="17"/>
      <c r="AS2" s="17"/>
      <c r="AT2" s="17" t="s">
        <v>37</v>
      </c>
      <c r="AU2" s="17"/>
      <c r="AV2" s="17"/>
      <c r="AW2" s="17"/>
      <c r="AX2" s="17"/>
      <c r="AY2" s="17"/>
      <c r="AZ2" s="17"/>
      <c r="BA2" s="17"/>
      <c r="BB2" s="17"/>
      <c r="BC2" s="17"/>
      <c r="BD2" s="17"/>
      <c r="BE2" s="17"/>
      <c r="BF2" s="17"/>
      <c r="BG2" s="17"/>
      <c r="BH2" s="17"/>
      <c r="BI2" s="17" t="s">
        <v>38</v>
      </c>
      <c r="BJ2" s="17"/>
      <c r="BK2" s="17"/>
      <c r="BL2" s="17"/>
      <c r="BM2" s="17"/>
      <c r="BN2" s="17" t="s">
        <v>39</v>
      </c>
      <c r="BO2" s="17"/>
      <c r="BP2" s="17"/>
      <c r="BQ2" s="17"/>
      <c r="BR2" s="17"/>
      <c r="BS2" s="17"/>
      <c r="BT2" s="17"/>
      <c r="BU2" s="17" t="s">
        <v>40</v>
      </c>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row>
    <row r="3" spans="3:110" x14ac:dyDescent="0.55000000000000004">
      <c r="C3" s="5" t="s">
        <v>244</v>
      </c>
      <c r="D3" s="1">
        <v>2</v>
      </c>
      <c r="E3" s="17" t="s">
        <v>34</v>
      </c>
      <c r="F3" s="17"/>
      <c r="G3" s="17"/>
      <c r="H3" s="17"/>
      <c r="I3" s="17"/>
      <c r="J3" s="17"/>
      <c r="K3" s="17"/>
      <c r="L3" s="17"/>
      <c r="M3" s="17"/>
      <c r="N3" s="17"/>
      <c r="O3" s="17"/>
      <c r="P3" s="17"/>
      <c r="Q3" s="17"/>
      <c r="R3" s="17" t="s">
        <v>35</v>
      </c>
      <c r="S3" s="17"/>
      <c r="T3" s="17"/>
      <c r="U3" s="17"/>
      <c r="V3" s="17"/>
      <c r="W3" s="8">
        <v>8</v>
      </c>
      <c r="X3" s="8">
        <v>4</v>
      </c>
      <c r="Y3" s="1"/>
      <c r="Z3" s="8"/>
      <c r="AA3" s="8"/>
      <c r="AB3" s="17" t="s">
        <v>41</v>
      </c>
      <c r="AC3" s="17"/>
      <c r="AD3" s="17"/>
      <c r="AE3" s="17"/>
      <c r="AF3" s="17"/>
      <c r="AG3" s="17"/>
      <c r="AH3" s="17"/>
      <c r="AI3" s="17"/>
      <c r="AJ3" s="17"/>
      <c r="AK3" s="17"/>
      <c r="AL3" s="17"/>
      <c r="AM3" s="17"/>
      <c r="AN3" s="17"/>
      <c r="AO3" s="17"/>
      <c r="AP3" s="17"/>
      <c r="AQ3" s="17"/>
      <c r="AR3" s="17"/>
      <c r="AS3" s="17"/>
      <c r="AT3" s="17" t="s">
        <v>42</v>
      </c>
      <c r="AU3" s="17"/>
      <c r="AV3" s="17"/>
      <c r="AW3" s="17"/>
      <c r="AX3" s="17"/>
      <c r="AY3" s="17"/>
      <c r="AZ3" s="17"/>
      <c r="BA3" s="17"/>
      <c r="BB3" s="17"/>
      <c r="BC3" s="17"/>
      <c r="BD3" s="17"/>
      <c r="BE3" s="17"/>
      <c r="BF3" s="17"/>
      <c r="BG3" s="17"/>
      <c r="BH3" s="17"/>
      <c r="BI3" s="17" t="s">
        <v>43</v>
      </c>
      <c r="BJ3" s="17"/>
      <c r="BK3" s="17"/>
      <c r="BL3" s="17"/>
      <c r="BM3" s="17"/>
      <c r="BN3" s="17" t="s">
        <v>44</v>
      </c>
      <c r="BO3" s="17"/>
      <c r="BP3" s="17"/>
      <c r="BQ3" s="17"/>
      <c r="BR3" s="17"/>
      <c r="BS3" s="17"/>
      <c r="BT3" s="17"/>
      <c r="BU3" s="17" t="s">
        <v>45</v>
      </c>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row>
    <row r="4" spans="3:110" x14ac:dyDescent="0.55000000000000004">
      <c r="C4" s="5" t="s">
        <v>244</v>
      </c>
      <c r="D4" s="1">
        <v>3</v>
      </c>
      <c r="E4" s="17" t="s">
        <v>34</v>
      </c>
      <c r="F4" s="17"/>
      <c r="G4" s="17"/>
      <c r="H4" s="17"/>
      <c r="I4" s="17"/>
      <c r="J4" s="17"/>
      <c r="K4" s="17"/>
      <c r="L4" s="17"/>
      <c r="M4" s="17"/>
      <c r="N4" s="17"/>
      <c r="O4" s="17"/>
      <c r="P4" s="17"/>
      <c r="Q4" s="17"/>
      <c r="R4" s="17" t="s">
        <v>46</v>
      </c>
      <c r="S4" s="17"/>
      <c r="T4" s="17"/>
      <c r="U4" s="17"/>
      <c r="V4" s="17"/>
      <c r="W4" s="8">
        <v>18</v>
      </c>
      <c r="X4" s="8">
        <v>9</v>
      </c>
      <c r="Y4" s="1"/>
      <c r="Z4" s="8"/>
      <c r="AA4" s="8"/>
      <c r="AB4" s="17" t="s">
        <v>47</v>
      </c>
      <c r="AC4" s="17"/>
      <c r="AD4" s="17"/>
      <c r="AE4" s="17"/>
      <c r="AF4" s="17"/>
      <c r="AG4" s="17"/>
      <c r="AH4" s="17"/>
      <c r="AI4" s="17"/>
      <c r="AJ4" s="17"/>
      <c r="AK4" s="17"/>
      <c r="AL4" s="17"/>
      <c r="AM4" s="17"/>
      <c r="AN4" s="17"/>
      <c r="AO4" s="17"/>
      <c r="AP4" s="17"/>
      <c r="AQ4" s="17"/>
      <c r="AR4" s="17"/>
      <c r="AS4" s="17"/>
      <c r="AT4" s="17" t="s">
        <v>48</v>
      </c>
      <c r="AU4" s="17"/>
      <c r="AV4" s="17"/>
      <c r="AW4" s="17"/>
      <c r="AX4" s="17"/>
      <c r="AY4" s="17"/>
      <c r="AZ4" s="17"/>
      <c r="BA4" s="17"/>
      <c r="BB4" s="17"/>
      <c r="BC4" s="17"/>
      <c r="BD4" s="17"/>
      <c r="BE4" s="17"/>
      <c r="BF4" s="17"/>
      <c r="BG4" s="17"/>
      <c r="BH4" s="17"/>
      <c r="BI4" s="17" t="s">
        <v>49</v>
      </c>
      <c r="BJ4" s="17"/>
      <c r="BK4" s="17"/>
      <c r="BL4" s="17"/>
      <c r="BM4" s="17"/>
      <c r="BN4" s="17" t="s">
        <v>44</v>
      </c>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row>
    <row r="5" spans="3:110" x14ac:dyDescent="0.55000000000000004">
      <c r="C5" s="5" t="s">
        <v>244</v>
      </c>
      <c r="D5" s="1">
        <v>4</v>
      </c>
      <c r="E5" s="17" t="s">
        <v>34</v>
      </c>
      <c r="F5" s="17"/>
      <c r="G5" s="17"/>
      <c r="H5" s="17"/>
      <c r="I5" s="17"/>
      <c r="J5" s="17"/>
      <c r="K5" s="17"/>
      <c r="L5" s="17"/>
      <c r="M5" s="17"/>
      <c r="N5" s="17"/>
      <c r="O5" s="17"/>
      <c r="P5" s="17"/>
      <c r="Q5" s="17"/>
      <c r="R5" s="17" t="s">
        <v>35</v>
      </c>
      <c r="S5" s="17"/>
      <c r="T5" s="17"/>
      <c r="U5" s="17"/>
      <c r="V5" s="17"/>
      <c r="W5" s="8">
        <v>8</v>
      </c>
      <c r="X5" s="8">
        <v>4</v>
      </c>
      <c r="Y5" s="1"/>
      <c r="Z5" s="8"/>
      <c r="AA5" s="8"/>
      <c r="AB5" s="17" t="s">
        <v>50</v>
      </c>
      <c r="AC5" s="17"/>
      <c r="AD5" s="17"/>
      <c r="AE5" s="17"/>
      <c r="AF5" s="17"/>
      <c r="AG5" s="17"/>
      <c r="AH5" s="17"/>
      <c r="AI5" s="17"/>
      <c r="AJ5" s="17"/>
      <c r="AK5" s="17"/>
      <c r="AL5" s="17"/>
      <c r="AM5" s="17"/>
      <c r="AN5" s="17"/>
      <c r="AO5" s="17"/>
      <c r="AP5" s="17"/>
      <c r="AQ5" s="17"/>
      <c r="AR5" s="17"/>
      <c r="AS5" s="17"/>
      <c r="AT5" s="17" t="s">
        <v>51</v>
      </c>
      <c r="AU5" s="17"/>
      <c r="AV5" s="17"/>
      <c r="AW5" s="17"/>
      <c r="AX5" s="17"/>
      <c r="AY5" s="17"/>
      <c r="AZ5" s="17"/>
      <c r="BA5" s="17"/>
      <c r="BB5" s="17"/>
      <c r="BC5" s="17"/>
      <c r="BD5" s="17"/>
      <c r="BE5" s="17"/>
      <c r="BF5" s="17"/>
      <c r="BG5" s="17"/>
      <c r="BH5" s="17"/>
      <c r="BI5" s="17" t="s">
        <v>43</v>
      </c>
      <c r="BJ5" s="17"/>
      <c r="BK5" s="17"/>
      <c r="BL5" s="17"/>
      <c r="BM5" s="17"/>
      <c r="BN5" s="17" t="s">
        <v>44</v>
      </c>
      <c r="BO5" s="17"/>
      <c r="BP5" s="17"/>
      <c r="BQ5" s="17"/>
      <c r="BR5" s="17"/>
      <c r="BS5" s="17"/>
      <c r="BT5" s="17"/>
      <c r="BU5" s="17" t="s">
        <v>40</v>
      </c>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row>
    <row r="6" spans="3:110" hidden="1" x14ac:dyDescent="0.55000000000000004">
      <c r="C6" s="5" t="s">
        <v>244</v>
      </c>
      <c r="D6" s="1">
        <v>5</v>
      </c>
      <c r="E6" s="17" t="s">
        <v>34</v>
      </c>
      <c r="F6" s="17"/>
      <c r="G6" s="17"/>
      <c r="H6" s="17"/>
      <c r="I6" s="17"/>
      <c r="J6" s="17"/>
      <c r="K6" s="17"/>
      <c r="L6" s="17"/>
      <c r="M6" s="17"/>
      <c r="N6" s="17"/>
      <c r="O6" s="17"/>
      <c r="P6" s="17"/>
      <c r="Q6" s="17"/>
      <c r="R6" s="17" t="s">
        <v>52</v>
      </c>
      <c r="S6" s="17"/>
      <c r="T6" s="17"/>
      <c r="U6" s="17"/>
      <c r="V6" s="17"/>
      <c r="W6" s="8">
        <v>0</v>
      </c>
      <c r="X6" s="8">
        <v>0</v>
      </c>
      <c r="Y6" s="1"/>
      <c r="Z6" s="8"/>
      <c r="AA6" s="8"/>
      <c r="AB6" s="17" t="s">
        <v>53</v>
      </c>
      <c r="AC6" s="17"/>
      <c r="AD6" s="17"/>
      <c r="AE6" s="17"/>
      <c r="AF6" s="17"/>
      <c r="AG6" s="17"/>
      <c r="AH6" s="17"/>
      <c r="AI6" s="17"/>
      <c r="AJ6" s="17"/>
      <c r="AK6" s="17"/>
      <c r="AL6" s="17"/>
      <c r="AM6" s="17"/>
      <c r="AN6" s="17"/>
      <c r="AO6" s="17"/>
      <c r="AP6" s="17"/>
      <c r="AQ6" s="17"/>
      <c r="AR6" s="17"/>
      <c r="AS6" s="17"/>
      <c r="AT6" s="17" t="s">
        <v>54</v>
      </c>
      <c r="AU6" s="17"/>
      <c r="AV6" s="17"/>
      <c r="AW6" s="17"/>
      <c r="AX6" s="17"/>
      <c r="AY6" s="17"/>
      <c r="AZ6" s="17"/>
      <c r="BA6" s="17"/>
      <c r="BB6" s="17"/>
      <c r="BC6" s="17"/>
      <c r="BD6" s="17"/>
      <c r="BE6" s="17"/>
      <c r="BF6" s="17"/>
      <c r="BG6" s="17"/>
      <c r="BH6" s="17"/>
      <c r="BI6" s="17" t="s">
        <v>39</v>
      </c>
      <c r="BJ6" s="17"/>
      <c r="BK6" s="17"/>
      <c r="BL6" s="17"/>
      <c r="BM6" s="17"/>
      <c r="BN6" s="17" t="s">
        <v>39</v>
      </c>
      <c r="BO6" s="17"/>
      <c r="BP6" s="17"/>
      <c r="BQ6" s="17"/>
      <c r="BR6" s="17"/>
      <c r="BS6" s="17"/>
      <c r="BT6" s="17"/>
      <c r="BU6" s="17" t="s">
        <v>55</v>
      </c>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row>
    <row r="7" spans="3:110" hidden="1" x14ac:dyDescent="0.55000000000000004">
      <c r="C7" s="5" t="s">
        <v>244</v>
      </c>
      <c r="D7" s="1">
        <v>6</v>
      </c>
      <c r="E7" s="17" t="s">
        <v>56</v>
      </c>
      <c r="F7" s="17"/>
      <c r="G7" s="17"/>
      <c r="H7" s="17"/>
      <c r="I7" s="17"/>
      <c r="J7" s="17"/>
      <c r="K7" s="17"/>
      <c r="L7" s="17"/>
      <c r="M7" s="17"/>
      <c r="N7" s="17"/>
      <c r="O7" s="17"/>
      <c r="P7" s="17"/>
      <c r="Q7" s="17"/>
      <c r="R7" s="17" t="s">
        <v>52</v>
      </c>
      <c r="S7" s="17"/>
      <c r="T7" s="17"/>
      <c r="U7" s="17"/>
      <c r="V7" s="17"/>
      <c r="W7" s="8">
        <v>0</v>
      </c>
      <c r="X7" s="8">
        <v>0</v>
      </c>
      <c r="Y7" s="1"/>
      <c r="Z7" s="8"/>
      <c r="AA7" s="8"/>
      <c r="AB7" s="17" t="s">
        <v>57</v>
      </c>
      <c r="AC7" s="17"/>
      <c r="AD7" s="17"/>
      <c r="AE7" s="17"/>
      <c r="AF7" s="17"/>
      <c r="AG7" s="17"/>
      <c r="AH7" s="17"/>
      <c r="AI7" s="17"/>
      <c r="AJ7" s="17"/>
      <c r="AK7" s="17"/>
      <c r="AL7" s="17"/>
      <c r="AM7" s="17"/>
      <c r="AN7" s="17"/>
      <c r="AO7" s="17"/>
      <c r="AP7" s="17"/>
      <c r="AQ7" s="17"/>
      <c r="AR7" s="17"/>
      <c r="AS7" s="17"/>
      <c r="AT7" s="17" t="s">
        <v>58</v>
      </c>
      <c r="AU7" s="17"/>
      <c r="AV7" s="17"/>
      <c r="AW7" s="17"/>
      <c r="AX7" s="17"/>
      <c r="AY7" s="17"/>
      <c r="AZ7" s="17"/>
      <c r="BA7" s="17"/>
      <c r="BB7" s="17"/>
      <c r="BC7" s="17"/>
      <c r="BD7" s="17"/>
      <c r="BE7" s="17"/>
      <c r="BF7" s="17"/>
      <c r="BG7" s="17"/>
      <c r="BH7" s="17"/>
      <c r="BI7" s="17" t="s">
        <v>43</v>
      </c>
      <c r="BJ7" s="17"/>
      <c r="BK7" s="17"/>
      <c r="BL7" s="17"/>
      <c r="BM7" s="17"/>
      <c r="BN7" s="17" t="s">
        <v>44</v>
      </c>
      <c r="BO7" s="17"/>
      <c r="BP7" s="17"/>
      <c r="BQ7" s="17"/>
      <c r="BR7" s="17"/>
      <c r="BS7" s="17"/>
      <c r="BT7" s="17"/>
      <c r="BU7" s="19"/>
      <c r="BV7" s="20"/>
      <c r="BW7" s="20"/>
      <c r="BX7" s="20"/>
      <c r="BY7" s="20"/>
      <c r="BZ7" s="20"/>
      <c r="CA7" s="20"/>
      <c r="CB7" s="20"/>
      <c r="CC7" s="20"/>
      <c r="CD7" s="20"/>
      <c r="CE7" s="20"/>
      <c r="CF7" s="20"/>
      <c r="CG7" s="20"/>
      <c r="CH7" s="20"/>
      <c r="CI7" s="21"/>
      <c r="CJ7" s="17"/>
      <c r="CK7" s="17"/>
      <c r="CL7" s="17"/>
      <c r="CM7" s="17"/>
      <c r="CN7" s="17"/>
      <c r="CO7" s="17"/>
      <c r="CP7" s="17"/>
      <c r="CQ7" s="17"/>
      <c r="CR7" s="17"/>
      <c r="CS7" s="17"/>
      <c r="CT7" s="17"/>
      <c r="CU7" s="17"/>
      <c r="CV7" s="17"/>
      <c r="CW7" s="17"/>
      <c r="CX7" s="17"/>
      <c r="CY7" s="17"/>
      <c r="CZ7" s="17"/>
      <c r="DA7" s="17"/>
      <c r="DB7" s="17"/>
      <c r="DC7" s="17"/>
      <c r="DD7" s="17"/>
      <c r="DE7" s="17"/>
      <c r="DF7" s="17"/>
    </row>
    <row r="8" spans="3:110" x14ac:dyDescent="0.55000000000000004">
      <c r="C8" s="5" t="s">
        <v>244</v>
      </c>
      <c r="D8" s="1">
        <v>7</v>
      </c>
      <c r="E8" s="17" t="s">
        <v>56</v>
      </c>
      <c r="F8" s="17"/>
      <c r="G8" s="17"/>
      <c r="H8" s="17"/>
      <c r="I8" s="17"/>
      <c r="J8" s="17"/>
      <c r="K8" s="17"/>
      <c r="L8" s="17"/>
      <c r="M8" s="17"/>
      <c r="N8" s="17"/>
      <c r="O8" s="17"/>
      <c r="P8" s="17"/>
      <c r="Q8" s="17"/>
      <c r="R8" s="17" t="s">
        <v>35</v>
      </c>
      <c r="S8" s="17"/>
      <c r="T8" s="17"/>
      <c r="U8" s="17"/>
      <c r="V8" s="17"/>
      <c r="W8" s="8">
        <v>8</v>
      </c>
      <c r="X8" s="8">
        <v>4</v>
      </c>
      <c r="Y8" s="1"/>
      <c r="Z8" s="8"/>
      <c r="AA8" s="8"/>
      <c r="AB8" s="17" t="s">
        <v>59</v>
      </c>
      <c r="AC8" s="17"/>
      <c r="AD8" s="17"/>
      <c r="AE8" s="17"/>
      <c r="AF8" s="17"/>
      <c r="AG8" s="17"/>
      <c r="AH8" s="17"/>
      <c r="AI8" s="17"/>
      <c r="AJ8" s="17"/>
      <c r="AK8" s="17"/>
      <c r="AL8" s="17"/>
      <c r="AM8" s="17"/>
      <c r="AN8" s="17"/>
      <c r="AO8" s="17"/>
      <c r="AP8" s="17"/>
      <c r="AQ8" s="17"/>
      <c r="AR8" s="17"/>
      <c r="AS8" s="17"/>
      <c r="AT8" s="17" t="s">
        <v>60</v>
      </c>
      <c r="AU8" s="17"/>
      <c r="AV8" s="17"/>
      <c r="AW8" s="17"/>
      <c r="AX8" s="17"/>
      <c r="AY8" s="17"/>
      <c r="AZ8" s="17"/>
      <c r="BA8" s="17"/>
      <c r="BB8" s="17"/>
      <c r="BC8" s="17"/>
      <c r="BD8" s="17"/>
      <c r="BE8" s="17"/>
      <c r="BF8" s="17"/>
      <c r="BG8" s="17"/>
      <c r="BH8" s="17"/>
      <c r="BI8" s="17" t="s">
        <v>43</v>
      </c>
      <c r="BJ8" s="17"/>
      <c r="BK8" s="17"/>
      <c r="BL8" s="17"/>
      <c r="BM8" s="17"/>
      <c r="BN8" s="17" t="s">
        <v>44</v>
      </c>
      <c r="BO8" s="17"/>
      <c r="BP8" s="17"/>
      <c r="BQ8" s="17"/>
      <c r="BR8" s="17"/>
      <c r="BS8" s="17"/>
      <c r="BT8" s="17"/>
      <c r="BU8" s="17" t="s">
        <v>61</v>
      </c>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row>
    <row r="9" spans="3:110" hidden="1" x14ac:dyDescent="0.55000000000000004">
      <c r="C9" s="5" t="s">
        <v>244</v>
      </c>
      <c r="D9" s="1">
        <v>8</v>
      </c>
      <c r="E9" s="19" t="s">
        <v>56</v>
      </c>
      <c r="F9" s="20"/>
      <c r="G9" s="20"/>
      <c r="H9" s="20"/>
      <c r="I9" s="20"/>
      <c r="J9" s="20"/>
      <c r="K9" s="20"/>
      <c r="L9" s="20"/>
      <c r="M9" s="20"/>
      <c r="N9" s="20"/>
      <c r="O9" s="20"/>
      <c r="P9" s="20"/>
      <c r="Q9" s="21"/>
      <c r="R9" s="17" t="s">
        <v>52</v>
      </c>
      <c r="S9" s="17"/>
      <c r="T9" s="17"/>
      <c r="U9" s="17"/>
      <c r="V9" s="17"/>
      <c r="W9" s="8">
        <v>0</v>
      </c>
      <c r="X9" s="8">
        <v>0</v>
      </c>
      <c r="Y9" s="1"/>
      <c r="Z9" s="8"/>
      <c r="AA9" s="8"/>
      <c r="AB9" s="19" t="s">
        <v>59</v>
      </c>
      <c r="AC9" s="20"/>
      <c r="AD9" s="20"/>
      <c r="AE9" s="20"/>
      <c r="AF9" s="20"/>
      <c r="AG9" s="20"/>
      <c r="AH9" s="20"/>
      <c r="AI9" s="20"/>
      <c r="AJ9" s="20"/>
      <c r="AK9" s="20"/>
      <c r="AL9" s="20"/>
      <c r="AM9" s="20"/>
      <c r="AN9" s="20"/>
      <c r="AO9" s="20"/>
      <c r="AP9" s="20"/>
      <c r="AQ9" s="20"/>
      <c r="AR9" s="20"/>
      <c r="AS9" s="21"/>
      <c r="AT9" s="19" t="s">
        <v>62</v>
      </c>
      <c r="AU9" s="20"/>
      <c r="AV9" s="20"/>
      <c r="AW9" s="20"/>
      <c r="AX9" s="20"/>
      <c r="AY9" s="20"/>
      <c r="AZ9" s="20"/>
      <c r="BA9" s="20"/>
      <c r="BB9" s="20"/>
      <c r="BC9" s="20"/>
      <c r="BD9" s="20"/>
      <c r="BE9" s="20"/>
      <c r="BF9" s="20"/>
      <c r="BG9" s="20"/>
      <c r="BH9" s="21"/>
      <c r="BI9" s="19" t="s">
        <v>43</v>
      </c>
      <c r="BJ9" s="20"/>
      <c r="BK9" s="20"/>
      <c r="BL9" s="20"/>
      <c r="BM9" s="21"/>
      <c r="BN9" s="19" t="s">
        <v>44</v>
      </c>
      <c r="BO9" s="20"/>
      <c r="BP9" s="20"/>
      <c r="BQ9" s="20"/>
      <c r="BR9" s="20"/>
      <c r="BS9" s="20"/>
      <c r="BT9" s="21"/>
      <c r="BU9" s="19" t="s">
        <v>61</v>
      </c>
      <c r="BV9" s="20"/>
      <c r="BW9" s="20"/>
      <c r="BX9" s="20"/>
      <c r="BY9" s="20"/>
      <c r="BZ9" s="20"/>
      <c r="CA9" s="20"/>
      <c r="CB9" s="20"/>
      <c r="CC9" s="20"/>
      <c r="CD9" s="20"/>
      <c r="CE9" s="20"/>
      <c r="CF9" s="20"/>
      <c r="CG9" s="20"/>
      <c r="CH9" s="20"/>
      <c r="CI9" s="21"/>
      <c r="CJ9" s="19"/>
      <c r="CK9" s="20"/>
      <c r="CL9" s="20"/>
      <c r="CM9" s="20"/>
      <c r="CN9" s="20"/>
      <c r="CO9" s="20"/>
      <c r="CP9" s="20"/>
      <c r="CQ9" s="20"/>
      <c r="CR9" s="20"/>
      <c r="CS9" s="20"/>
      <c r="CT9" s="20"/>
      <c r="CU9" s="20"/>
      <c r="CV9" s="20"/>
      <c r="CW9" s="20"/>
      <c r="CX9" s="20"/>
      <c r="CY9" s="20"/>
      <c r="CZ9" s="20"/>
      <c r="DA9" s="20"/>
      <c r="DB9" s="20"/>
      <c r="DC9" s="20"/>
      <c r="DD9" s="20"/>
      <c r="DE9" s="20"/>
      <c r="DF9" s="21"/>
    </row>
    <row r="10" spans="3:110" hidden="1" x14ac:dyDescent="0.55000000000000004">
      <c r="C10" s="5" t="s">
        <v>244</v>
      </c>
      <c r="D10" s="1">
        <v>9</v>
      </c>
      <c r="E10" s="17" t="s">
        <v>56</v>
      </c>
      <c r="F10" s="17"/>
      <c r="G10" s="17"/>
      <c r="H10" s="17"/>
      <c r="I10" s="17"/>
      <c r="J10" s="17"/>
      <c r="K10" s="17"/>
      <c r="L10" s="17"/>
      <c r="M10" s="17"/>
      <c r="N10" s="17"/>
      <c r="O10" s="17"/>
      <c r="P10" s="17"/>
      <c r="Q10" s="17"/>
      <c r="R10" s="17" t="s">
        <v>52</v>
      </c>
      <c r="S10" s="17"/>
      <c r="T10" s="17"/>
      <c r="U10" s="17"/>
      <c r="V10" s="17"/>
      <c r="W10" s="8">
        <v>0</v>
      </c>
      <c r="X10" s="8">
        <v>0</v>
      </c>
      <c r="Y10" s="1"/>
      <c r="Z10" s="8"/>
      <c r="AA10" s="8"/>
      <c r="AB10" s="17" t="s">
        <v>63</v>
      </c>
      <c r="AC10" s="17"/>
      <c r="AD10" s="17"/>
      <c r="AE10" s="17"/>
      <c r="AF10" s="17"/>
      <c r="AG10" s="17"/>
      <c r="AH10" s="17"/>
      <c r="AI10" s="17"/>
      <c r="AJ10" s="17"/>
      <c r="AK10" s="17"/>
      <c r="AL10" s="17"/>
      <c r="AM10" s="17"/>
      <c r="AN10" s="17"/>
      <c r="AO10" s="17"/>
      <c r="AP10" s="17"/>
      <c r="AQ10" s="17"/>
      <c r="AR10" s="17"/>
      <c r="AS10" s="17"/>
      <c r="AT10" s="17" t="s">
        <v>64</v>
      </c>
      <c r="AU10" s="17"/>
      <c r="AV10" s="17"/>
      <c r="AW10" s="17"/>
      <c r="AX10" s="17"/>
      <c r="AY10" s="17"/>
      <c r="AZ10" s="17"/>
      <c r="BA10" s="17"/>
      <c r="BB10" s="17"/>
      <c r="BC10" s="17"/>
      <c r="BD10" s="17"/>
      <c r="BE10" s="17"/>
      <c r="BF10" s="17"/>
      <c r="BG10" s="17"/>
      <c r="BH10" s="17"/>
      <c r="BI10" s="17" t="s">
        <v>43</v>
      </c>
      <c r="BJ10" s="17"/>
      <c r="BK10" s="17"/>
      <c r="BL10" s="17"/>
      <c r="BM10" s="17"/>
      <c r="BN10" s="17" t="s">
        <v>44</v>
      </c>
      <c r="BO10" s="17"/>
      <c r="BP10" s="17"/>
      <c r="BQ10" s="17"/>
      <c r="BR10" s="17"/>
      <c r="BS10" s="17"/>
      <c r="BT10" s="17"/>
      <c r="BU10" s="17" t="s">
        <v>61</v>
      </c>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row>
    <row r="11" spans="3:110" x14ac:dyDescent="0.55000000000000004">
      <c r="C11" s="5" t="s">
        <v>244</v>
      </c>
      <c r="D11" s="1">
        <v>10</v>
      </c>
      <c r="E11" s="17" t="s">
        <v>56</v>
      </c>
      <c r="F11" s="17"/>
      <c r="G11" s="17"/>
      <c r="H11" s="17"/>
      <c r="I11" s="17"/>
      <c r="J11" s="17"/>
      <c r="K11" s="17"/>
      <c r="L11" s="17"/>
      <c r="M11" s="17"/>
      <c r="N11" s="17"/>
      <c r="O11" s="17"/>
      <c r="P11" s="17"/>
      <c r="Q11" s="17"/>
      <c r="R11" s="17" t="s">
        <v>65</v>
      </c>
      <c r="S11" s="17"/>
      <c r="T11" s="17"/>
      <c r="U11" s="17"/>
      <c r="V11" s="17"/>
      <c r="W11" s="8">
        <v>10</v>
      </c>
      <c r="X11" s="8">
        <v>6</v>
      </c>
      <c r="Y11" s="1"/>
      <c r="Z11" s="8"/>
      <c r="AA11" s="8"/>
      <c r="AB11" s="17" t="s">
        <v>66</v>
      </c>
      <c r="AC11" s="17"/>
      <c r="AD11" s="17"/>
      <c r="AE11" s="17"/>
      <c r="AF11" s="17"/>
      <c r="AG11" s="17"/>
      <c r="AH11" s="17"/>
      <c r="AI11" s="17"/>
      <c r="AJ11" s="17"/>
      <c r="AK11" s="17"/>
      <c r="AL11" s="17"/>
      <c r="AM11" s="17"/>
      <c r="AN11" s="17"/>
      <c r="AO11" s="17"/>
      <c r="AP11" s="17"/>
      <c r="AQ11" s="17"/>
      <c r="AR11" s="17"/>
      <c r="AS11" s="17"/>
      <c r="AT11" s="17" t="s">
        <v>67</v>
      </c>
      <c r="AU11" s="17"/>
      <c r="AV11" s="17"/>
      <c r="AW11" s="17"/>
      <c r="AX11" s="17"/>
      <c r="AY11" s="17"/>
      <c r="AZ11" s="17"/>
      <c r="BA11" s="17"/>
      <c r="BB11" s="17"/>
      <c r="BC11" s="17"/>
      <c r="BD11" s="17"/>
      <c r="BE11" s="17"/>
      <c r="BF11" s="17"/>
      <c r="BG11" s="17"/>
      <c r="BH11" s="17"/>
      <c r="BI11" s="17" t="s">
        <v>43</v>
      </c>
      <c r="BJ11" s="17"/>
      <c r="BK11" s="17"/>
      <c r="BL11" s="17"/>
      <c r="BM11" s="17"/>
      <c r="BN11" s="17" t="s">
        <v>44</v>
      </c>
      <c r="BO11" s="17"/>
      <c r="BP11" s="17"/>
      <c r="BQ11" s="17"/>
      <c r="BR11" s="17"/>
      <c r="BS11" s="17"/>
      <c r="BT11" s="17"/>
      <c r="BU11" s="17" t="s">
        <v>61</v>
      </c>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row>
    <row r="12" spans="3:110" hidden="1" x14ac:dyDescent="0.55000000000000004">
      <c r="C12" s="5" t="s">
        <v>245</v>
      </c>
      <c r="D12" s="1">
        <v>11</v>
      </c>
      <c r="E12" s="17" t="s">
        <v>68</v>
      </c>
      <c r="F12" s="17"/>
      <c r="G12" s="17"/>
      <c r="H12" s="17"/>
      <c r="I12" s="17"/>
      <c r="J12" s="17"/>
      <c r="K12" s="17"/>
      <c r="L12" s="17"/>
      <c r="M12" s="17"/>
      <c r="N12" s="17"/>
      <c r="O12" s="17"/>
      <c r="P12" s="17"/>
      <c r="Q12" s="17"/>
      <c r="R12" s="17" t="s">
        <v>46</v>
      </c>
      <c r="S12" s="17"/>
      <c r="T12" s="17"/>
      <c r="U12" s="17"/>
      <c r="V12" s="17"/>
      <c r="W12" s="8">
        <v>18</v>
      </c>
      <c r="X12" s="8">
        <v>9</v>
      </c>
      <c r="Y12" s="1"/>
      <c r="Z12" s="8"/>
      <c r="AA12" s="8"/>
      <c r="AB12" s="17" t="s">
        <v>69</v>
      </c>
      <c r="AC12" s="17"/>
      <c r="AD12" s="17"/>
      <c r="AE12" s="17"/>
      <c r="AF12" s="17"/>
      <c r="AG12" s="17"/>
      <c r="AH12" s="17"/>
      <c r="AI12" s="17"/>
      <c r="AJ12" s="17"/>
      <c r="AK12" s="17"/>
      <c r="AL12" s="17"/>
      <c r="AM12" s="17"/>
      <c r="AN12" s="17"/>
      <c r="AO12" s="17"/>
      <c r="AP12" s="17"/>
      <c r="AQ12" s="17"/>
      <c r="AR12" s="17"/>
      <c r="AS12" s="17"/>
      <c r="AT12" s="17" t="s">
        <v>70</v>
      </c>
      <c r="AU12" s="17"/>
      <c r="AV12" s="17"/>
      <c r="AW12" s="17"/>
      <c r="AX12" s="17"/>
      <c r="AY12" s="17"/>
      <c r="AZ12" s="17"/>
      <c r="BA12" s="17"/>
      <c r="BB12" s="17"/>
      <c r="BC12" s="17"/>
      <c r="BD12" s="17"/>
      <c r="BE12" s="17"/>
      <c r="BF12" s="17"/>
      <c r="BG12" s="17"/>
      <c r="BH12" s="17"/>
      <c r="BI12" s="17" t="s">
        <v>43</v>
      </c>
      <c r="BJ12" s="17"/>
      <c r="BK12" s="17"/>
      <c r="BL12" s="17"/>
      <c r="BM12" s="17"/>
      <c r="BN12" s="17" t="s">
        <v>44</v>
      </c>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row>
    <row r="13" spans="3:110" hidden="1" x14ac:dyDescent="0.55000000000000004">
      <c r="C13" s="5" t="s">
        <v>245</v>
      </c>
      <c r="D13" s="1">
        <v>12</v>
      </c>
      <c r="E13" s="17" t="s">
        <v>68</v>
      </c>
      <c r="F13" s="17"/>
      <c r="G13" s="17"/>
      <c r="H13" s="17"/>
      <c r="I13" s="17"/>
      <c r="J13" s="17"/>
      <c r="K13" s="17"/>
      <c r="L13" s="17"/>
      <c r="M13" s="17"/>
      <c r="N13" s="17"/>
      <c r="O13" s="17"/>
      <c r="P13" s="17"/>
      <c r="Q13" s="17"/>
      <c r="R13" s="17" t="s">
        <v>71</v>
      </c>
      <c r="S13" s="17"/>
      <c r="T13" s="17"/>
      <c r="U13" s="17"/>
      <c r="V13" s="17"/>
      <c r="W13" s="8">
        <v>4</v>
      </c>
      <c r="X13" s="8">
        <v>2</v>
      </c>
      <c r="Y13" s="1"/>
      <c r="Z13" s="8"/>
      <c r="AA13" s="8"/>
      <c r="AB13" s="17" t="s">
        <v>72</v>
      </c>
      <c r="AC13" s="17"/>
      <c r="AD13" s="17"/>
      <c r="AE13" s="17"/>
      <c r="AF13" s="17"/>
      <c r="AG13" s="17"/>
      <c r="AH13" s="17"/>
      <c r="AI13" s="17"/>
      <c r="AJ13" s="17"/>
      <c r="AK13" s="17"/>
      <c r="AL13" s="17"/>
      <c r="AM13" s="17"/>
      <c r="AN13" s="17"/>
      <c r="AO13" s="17"/>
      <c r="AP13" s="17"/>
      <c r="AQ13" s="17"/>
      <c r="AR13" s="17"/>
      <c r="AS13" s="17"/>
      <c r="AT13" s="17" t="s">
        <v>73</v>
      </c>
      <c r="AU13" s="17"/>
      <c r="AV13" s="17"/>
      <c r="AW13" s="17"/>
      <c r="AX13" s="17"/>
      <c r="AY13" s="17"/>
      <c r="AZ13" s="17"/>
      <c r="BA13" s="17"/>
      <c r="BB13" s="17"/>
      <c r="BC13" s="17"/>
      <c r="BD13" s="17"/>
      <c r="BE13" s="17"/>
      <c r="BF13" s="17"/>
      <c r="BG13" s="17"/>
      <c r="BH13" s="17"/>
      <c r="BI13" s="17" t="s">
        <v>39</v>
      </c>
      <c r="BJ13" s="17"/>
      <c r="BK13" s="17"/>
      <c r="BL13" s="17"/>
      <c r="BM13" s="17"/>
      <c r="BN13" s="17" t="s">
        <v>74</v>
      </c>
      <c r="BO13" s="17"/>
      <c r="BP13" s="17"/>
      <c r="BQ13" s="17"/>
      <c r="BR13" s="17"/>
      <c r="BS13" s="17"/>
      <c r="BT13" s="17"/>
      <c r="BU13" s="17"/>
      <c r="BV13" s="17"/>
      <c r="BW13" s="17"/>
      <c r="BX13" s="17"/>
      <c r="BY13" s="17"/>
      <c r="BZ13" s="17"/>
      <c r="CA13" s="17"/>
      <c r="CB13" s="17"/>
      <c r="CC13" s="17"/>
      <c r="CD13" s="17"/>
      <c r="CE13" s="17"/>
      <c r="CF13" s="17"/>
      <c r="CG13" s="17"/>
      <c r="CH13" s="17"/>
      <c r="CI13" s="17"/>
      <c r="CJ13" s="17" t="s">
        <v>73</v>
      </c>
      <c r="CK13" s="17"/>
      <c r="CL13" s="17"/>
      <c r="CM13" s="17"/>
      <c r="CN13" s="17"/>
      <c r="CO13" s="17"/>
      <c r="CP13" s="17"/>
      <c r="CQ13" s="17"/>
      <c r="CR13" s="17"/>
      <c r="CS13" s="17"/>
      <c r="CT13" s="17"/>
      <c r="CU13" s="17"/>
      <c r="CV13" s="17"/>
      <c r="CW13" s="17"/>
      <c r="CX13" s="17"/>
      <c r="CY13" s="17"/>
      <c r="CZ13" s="17"/>
      <c r="DA13" s="17"/>
      <c r="DB13" s="17"/>
      <c r="DC13" s="17"/>
      <c r="DD13" s="17"/>
      <c r="DE13" s="17"/>
      <c r="DF13" s="17"/>
    </row>
    <row r="14" spans="3:110" hidden="1" x14ac:dyDescent="0.55000000000000004">
      <c r="C14" s="5" t="s">
        <v>245</v>
      </c>
      <c r="D14" s="1">
        <v>13</v>
      </c>
      <c r="E14" s="17" t="s">
        <v>68</v>
      </c>
      <c r="F14" s="17"/>
      <c r="G14" s="17"/>
      <c r="H14" s="17"/>
      <c r="I14" s="17"/>
      <c r="J14" s="17"/>
      <c r="K14" s="17"/>
      <c r="L14" s="17"/>
      <c r="M14" s="17"/>
      <c r="N14" s="17"/>
      <c r="O14" s="17"/>
      <c r="P14" s="17"/>
      <c r="Q14" s="17"/>
      <c r="R14" s="17" t="s">
        <v>75</v>
      </c>
      <c r="S14" s="17"/>
      <c r="T14" s="17"/>
      <c r="U14" s="17"/>
      <c r="V14" s="17"/>
      <c r="W14" s="8">
        <v>12</v>
      </c>
      <c r="X14" s="8">
        <v>6</v>
      </c>
      <c r="Y14" s="1"/>
      <c r="Z14" s="8"/>
      <c r="AA14" s="8"/>
      <c r="AB14" s="17" t="s">
        <v>76</v>
      </c>
      <c r="AC14" s="17"/>
      <c r="AD14" s="17"/>
      <c r="AE14" s="17"/>
      <c r="AF14" s="17"/>
      <c r="AG14" s="17"/>
      <c r="AH14" s="17"/>
      <c r="AI14" s="17"/>
      <c r="AJ14" s="17"/>
      <c r="AK14" s="17"/>
      <c r="AL14" s="17"/>
      <c r="AM14" s="17"/>
      <c r="AN14" s="17"/>
      <c r="AO14" s="17"/>
      <c r="AP14" s="17"/>
      <c r="AQ14" s="17"/>
      <c r="AR14" s="17"/>
      <c r="AS14" s="17"/>
      <c r="AT14" s="17" t="s">
        <v>77</v>
      </c>
      <c r="AU14" s="17"/>
      <c r="AV14" s="17"/>
      <c r="AW14" s="17"/>
      <c r="AX14" s="17"/>
      <c r="AY14" s="17"/>
      <c r="AZ14" s="17"/>
      <c r="BA14" s="17"/>
      <c r="BB14" s="17"/>
      <c r="BC14" s="17"/>
      <c r="BD14" s="17"/>
      <c r="BE14" s="17"/>
      <c r="BF14" s="17"/>
      <c r="BG14" s="17"/>
      <c r="BH14" s="17"/>
      <c r="BI14" s="17" t="s">
        <v>43</v>
      </c>
      <c r="BJ14" s="17"/>
      <c r="BK14" s="17"/>
      <c r="BL14" s="17"/>
      <c r="BM14" s="17"/>
      <c r="BN14" s="17" t="s">
        <v>44</v>
      </c>
      <c r="BO14" s="17"/>
      <c r="BP14" s="17"/>
      <c r="BQ14" s="17"/>
      <c r="BR14" s="17"/>
      <c r="BS14" s="17"/>
      <c r="BT14" s="17"/>
      <c r="BU14" s="17" t="s">
        <v>78</v>
      </c>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row>
    <row r="15" spans="3:110" hidden="1" x14ac:dyDescent="0.55000000000000004">
      <c r="C15" s="5" t="s">
        <v>245</v>
      </c>
      <c r="D15" s="1">
        <v>14</v>
      </c>
      <c r="E15" s="17" t="s">
        <v>68</v>
      </c>
      <c r="F15" s="17"/>
      <c r="G15" s="17"/>
      <c r="H15" s="17"/>
      <c r="I15" s="17"/>
      <c r="J15" s="17"/>
      <c r="K15" s="17"/>
      <c r="L15" s="17"/>
      <c r="M15" s="17"/>
      <c r="N15" s="17"/>
      <c r="O15" s="17"/>
      <c r="P15" s="17"/>
      <c r="Q15" s="17"/>
      <c r="R15" s="17" t="s">
        <v>52</v>
      </c>
      <c r="S15" s="17"/>
      <c r="T15" s="17"/>
      <c r="U15" s="17"/>
      <c r="V15" s="17"/>
      <c r="W15" s="8">
        <v>0</v>
      </c>
      <c r="X15" s="8">
        <v>0</v>
      </c>
      <c r="Y15" s="1"/>
      <c r="Z15" s="8"/>
      <c r="AA15" s="8"/>
      <c r="AB15" s="17" t="s">
        <v>79</v>
      </c>
      <c r="AC15" s="17"/>
      <c r="AD15" s="17"/>
      <c r="AE15" s="17"/>
      <c r="AF15" s="17"/>
      <c r="AG15" s="17"/>
      <c r="AH15" s="17"/>
      <c r="AI15" s="17"/>
      <c r="AJ15" s="17"/>
      <c r="AK15" s="17"/>
      <c r="AL15" s="17"/>
      <c r="AM15" s="17"/>
      <c r="AN15" s="17"/>
      <c r="AO15" s="17"/>
      <c r="AP15" s="17"/>
      <c r="AQ15" s="17"/>
      <c r="AR15" s="17"/>
      <c r="AS15" s="17"/>
      <c r="AT15" s="17" t="s">
        <v>80</v>
      </c>
      <c r="AU15" s="17"/>
      <c r="AV15" s="17"/>
      <c r="AW15" s="17"/>
      <c r="AX15" s="17"/>
      <c r="AY15" s="17"/>
      <c r="AZ15" s="17"/>
      <c r="BA15" s="17"/>
      <c r="BB15" s="17"/>
      <c r="BC15" s="17"/>
      <c r="BD15" s="17"/>
      <c r="BE15" s="17"/>
      <c r="BF15" s="17"/>
      <c r="BG15" s="17"/>
      <c r="BH15" s="17"/>
      <c r="BI15" s="17" t="s">
        <v>39</v>
      </c>
      <c r="BJ15" s="17"/>
      <c r="BK15" s="17"/>
      <c r="BL15" s="17"/>
      <c r="BM15" s="17"/>
      <c r="BN15" s="17" t="s">
        <v>74</v>
      </c>
      <c r="BO15" s="17"/>
      <c r="BP15" s="17"/>
      <c r="BQ15" s="17"/>
      <c r="BR15" s="17"/>
      <c r="BS15" s="17"/>
      <c r="BT15" s="17"/>
      <c r="BU15" s="17"/>
      <c r="BV15" s="17"/>
      <c r="BW15" s="17"/>
      <c r="BX15" s="17"/>
      <c r="BY15" s="17"/>
      <c r="BZ15" s="17"/>
      <c r="CA15" s="17"/>
      <c r="CB15" s="17"/>
      <c r="CC15" s="17"/>
      <c r="CD15" s="17"/>
      <c r="CE15" s="17"/>
      <c r="CF15" s="17"/>
      <c r="CG15" s="17"/>
      <c r="CH15" s="17"/>
      <c r="CI15" s="17"/>
      <c r="CJ15" s="17" t="s">
        <v>80</v>
      </c>
      <c r="CK15" s="17"/>
      <c r="CL15" s="17"/>
      <c r="CM15" s="17"/>
      <c r="CN15" s="17"/>
      <c r="CO15" s="17"/>
      <c r="CP15" s="17"/>
      <c r="CQ15" s="17"/>
      <c r="CR15" s="17"/>
      <c r="CS15" s="17"/>
      <c r="CT15" s="17"/>
      <c r="CU15" s="17"/>
      <c r="CV15" s="17"/>
      <c r="CW15" s="17"/>
      <c r="CX15" s="17"/>
      <c r="CY15" s="17"/>
      <c r="CZ15" s="17"/>
      <c r="DA15" s="17"/>
      <c r="DB15" s="17"/>
      <c r="DC15" s="17"/>
      <c r="DD15" s="17"/>
      <c r="DE15" s="17"/>
      <c r="DF15" s="17"/>
    </row>
    <row r="16" spans="3:110" hidden="1" x14ac:dyDescent="0.55000000000000004">
      <c r="C16" s="5" t="s">
        <v>245</v>
      </c>
      <c r="D16" s="1">
        <v>15</v>
      </c>
      <c r="E16" s="17" t="s">
        <v>68</v>
      </c>
      <c r="F16" s="17"/>
      <c r="G16" s="17"/>
      <c r="H16" s="17"/>
      <c r="I16" s="17"/>
      <c r="J16" s="17"/>
      <c r="K16" s="17"/>
      <c r="L16" s="17"/>
      <c r="M16" s="17"/>
      <c r="N16" s="17"/>
      <c r="O16" s="17"/>
      <c r="P16" s="17"/>
      <c r="Q16" s="17"/>
      <c r="R16" s="17" t="s">
        <v>65</v>
      </c>
      <c r="S16" s="17"/>
      <c r="T16" s="17"/>
      <c r="U16" s="17"/>
      <c r="V16" s="17"/>
      <c r="W16" s="8">
        <v>10</v>
      </c>
      <c r="X16" s="8">
        <v>6</v>
      </c>
      <c r="Y16" s="1"/>
      <c r="Z16" s="8"/>
      <c r="AA16" s="8"/>
      <c r="AB16" s="17" t="s">
        <v>81</v>
      </c>
      <c r="AC16" s="17"/>
      <c r="AD16" s="17"/>
      <c r="AE16" s="17"/>
      <c r="AF16" s="17"/>
      <c r="AG16" s="17"/>
      <c r="AH16" s="17"/>
      <c r="AI16" s="17"/>
      <c r="AJ16" s="17"/>
      <c r="AK16" s="17"/>
      <c r="AL16" s="17"/>
      <c r="AM16" s="17"/>
      <c r="AN16" s="17"/>
      <c r="AO16" s="17"/>
      <c r="AP16" s="17"/>
      <c r="AQ16" s="17"/>
      <c r="AR16" s="17"/>
      <c r="AS16" s="17"/>
      <c r="AT16" s="17" t="s">
        <v>82</v>
      </c>
      <c r="AU16" s="17"/>
      <c r="AV16" s="17"/>
      <c r="AW16" s="17"/>
      <c r="AX16" s="17"/>
      <c r="AY16" s="17"/>
      <c r="AZ16" s="17"/>
      <c r="BA16" s="17"/>
      <c r="BB16" s="17"/>
      <c r="BC16" s="17"/>
      <c r="BD16" s="17"/>
      <c r="BE16" s="17"/>
      <c r="BF16" s="17"/>
      <c r="BG16" s="17"/>
      <c r="BH16" s="17"/>
      <c r="BI16" s="17"/>
      <c r="BJ16" s="17"/>
      <c r="BK16" s="17"/>
      <c r="BL16" s="17"/>
      <c r="BM16" s="17"/>
      <c r="BN16" s="17" t="s">
        <v>83</v>
      </c>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row>
    <row r="17" spans="3:110" hidden="1" x14ac:dyDescent="0.55000000000000004">
      <c r="C17" s="5" t="s">
        <v>245</v>
      </c>
      <c r="D17" s="1">
        <v>16</v>
      </c>
      <c r="E17" s="17" t="s">
        <v>84</v>
      </c>
      <c r="F17" s="17"/>
      <c r="G17" s="17"/>
      <c r="H17" s="17"/>
      <c r="I17" s="17"/>
      <c r="J17" s="17"/>
      <c r="K17" s="17"/>
      <c r="L17" s="17"/>
      <c r="M17" s="17"/>
      <c r="N17" s="17"/>
      <c r="O17" s="17"/>
      <c r="P17" s="17"/>
      <c r="Q17" s="17"/>
      <c r="R17" s="17" t="s">
        <v>75</v>
      </c>
      <c r="S17" s="17"/>
      <c r="T17" s="17"/>
      <c r="U17" s="17"/>
      <c r="V17" s="17"/>
      <c r="W17" s="8">
        <v>12</v>
      </c>
      <c r="X17" s="8">
        <v>6</v>
      </c>
      <c r="Y17" s="1"/>
      <c r="Z17" s="8"/>
      <c r="AA17" s="8"/>
      <c r="AB17" s="17" t="s">
        <v>85</v>
      </c>
      <c r="AC17" s="17"/>
      <c r="AD17" s="17"/>
      <c r="AE17" s="17"/>
      <c r="AF17" s="17"/>
      <c r="AG17" s="17"/>
      <c r="AH17" s="17"/>
      <c r="AI17" s="17"/>
      <c r="AJ17" s="17"/>
      <c r="AK17" s="17"/>
      <c r="AL17" s="17"/>
      <c r="AM17" s="17"/>
      <c r="AN17" s="17"/>
      <c r="AO17" s="17"/>
      <c r="AP17" s="17"/>
      <c r="AQ17" s="17"/>
      <c r="AR17" s="17"/>
      <c r="AS17" s="17"/>
      <c r="AT17" s="17" t="s">
        <v>86</v>
      </c>
      <c r="AU17" s="17"/>
      <c r="AV17" s="17"/>
      <c r="AW17" s="17"/>
      <c r="AX17" s="17"/>
      <c r="AY17" s="17"/>
      <c r="AZ17" s="17"/>
      <c r="BA17" s="17"/>
      <c r="BB17" s="17"/>
      <c r="BC17" s="17"/>
      <c r="BD17" s="17"/>
      <c r="BE17" s="17"/>
      <c r="BF17" s="17"/>
      <c r="BG17" s="17"/>
      <c r="BH17" s="17"/>
      <c r="BI17" s="17" t="s">
        <v>49</v>
      </c>
      <c r="BJ17" s="17"/>
      <c r="BK17" s="17"/>
      <c r="BL17" s="17"/>
      <c r="BM17" s="17"/>
      <c r="BN17" s="17" t="s">
        <v>44</v>
      </c>
      <c r="BO17" s="17"/>
      <c r="BP17" s="17"/>
      <c r="BQ17" s="17"/>
      <c r="BR17" s="17"/>
      <c r="BS17" s="17"/>
      <c r="BT17" s="17"/>
      <c r="BU17" s="17"/>
      <c r="BV17" s="17"/>
      <c r="BW17" s="17"/>
      <c r="BX17" s="17"/>
      <c r="BY17" s="17"/>
      <c r="BZ17" s="17"/>
      <c r="CA17" s="17"/>
      <c r="CB17" s="17"/>
      <c r="CC17" s="17"/>
      <c r="CD17" s="17"/>
      <c r="CE17" s="17"/>
      <c r="CF17" s="17"/>
      <c r="CG17" s="17"/>
      <c r="CH17" s="17"/>
      <c r="CI17" s="17"/>
      <c r="CJ17" s="17" t="s">
        <v>87</v>
      </c>
      <c r="CK17" s="17"/>
      <c r="CL17" s="17"/>
      <c r="CM17" s="17"/>
      <c r="CN17" s="17"/>
      <c r="CO17" s="17"/>
      <c r="CP17" s="17"/>
      <c r="CQ17" s="17"/>
      <c r="CR17" s="17"/>
      <c r="CS17" s="17"/>
      <c r="CT17" s="17"/>
      <c r="CU17" s="17"/>
      <c r="CV17" s="17"/>
      <c r="CW17" s="17"/>
      <c r="CX17" s="17"/>
      <c r="CY17" s="17"/>
      <c r="CZ17" s="17"/>
      <c r="DA17" s="17"/>
      <c r="DB17" s="17"/>
      <c r="DC17" s="17"/>
      <c r="DD17" s="17"/>
      <c r="DE17" s="17"/>
      <c r="DF17" s="17"/>
    </row>
    <row r="18" spans="3:110" hidden="1" x14ac:dyDescent="0.55000000000000004">
      <c r="C18" s="5" t="s">
        <v>245</v>
      </c>
      <c r="D18" s="1">
        <v>17</v>
      </c>
      <c r="E18" s="17" t="s">
        <v>84</v>
      </c>
      <c r="F18" s="17"/>
      <c r="G18" s="17"/>
      <c r="H18" s="17"/>
      <c r="I18" s="17"/>
      <c r="J18" s="17"/>
      <c r="K18" s="17"/>
      <c r="L18" s="17"/>
      <c r="M18" s="17"/>
      <c r="N18" s="17"/>
      <c r="O18" s="17"/>
      <c r="P18" s="17"/>
      <c r="Q18" s="17"/>
      <c r="R18" s="17" t="s">
        <v>75</v>
      </c>
      <c r="S18" s="17"/>
      <c r="T18" s="17"/>
      <c r="U18" s="17"/>
      <c r="V18" s="17"/>
      <c r="W18" s="8">
        <v>12</v>
      </c>
      <c r="X18" s="8">
        <v>6</v>
      </c>
      <c r="Y18" s="1"/>
      <c r="Z18" s="8"/>
      <c r="AA18" s="8"/>
      <c r="AB18" s="17" t="s">
        <v>88</v>
      </c>
      <c r="AC18" s="17"/>
      <c r="AD18" s="17"/>
      <c r="AE18" s="17"/>
      <c r="AF18" s="17"/>
      <c r="AG18" s="17"/>
      <c r="AH18" s="17"/>
      <c r="AI18" s="17"/>
      <c r="AJ18" s="17"/>
      <c r="AK18" s="17"/>
      <c r="AL18" s="17"/>
      <c r="AM18" s="17"/>
      <c r="AN18" s="17"/>
      <c r="AO18" s="17"/>
      <c r="AP18" s="17"/>
      <c r="AQ18" s="17"/>
      <c r="AR18" s="17"/>
      <c r="AS18" s="17"/>
      <c r="AT18" s="17" t="s">
        <v>89</v>
      </c>
      <c r="AU18" s="17"/>
      <c r="AV18" s="17"/>
      <c r="AW18" s="17"/>
      <c r="AX18" s="17"/>
      <c r="AY18" s="17"/>
      <c r="AZ18" s="17"/>
      <c r="BA18" s="17"/>
      <c r="BB18" s="17"/>
      <c r="BC18" s="17"/>
      <c r="BD18" s="17"/>
      <c r="BE18" s="17"/>
      <c r="BF18" s="17"/>
      <c r="BG18" s="17"/>
      <c r="BH18" s="17"/>
      <c r="BI18" s="17" t="s">
        <v>90</v>
      </c>
      <c r="BJ18" s="17"/>
      <c r="BK18" s="17"/>
      <c r="BL18" s="17"/>
      <c r="BM18" s="17"/>
      <c r="BN18" s="17" t="s">
        <v>91</v>
      </c>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row>
    <row r="19" spans="3:110" hidden="1" x14ac:dyDescent="0.55000000000000004">
      <c r="C19" s="5" t="s">
        <v>245</v>
      </c>
      <c r="D19" s="1">
        <v>18</v>
      </c>
      <c r="E19" s="17" t="s">
        <v>84</v>
      </c>
      <c r="F19" s="17"/>
      <c r="G19" s="17"/>
      <c r="H19" s="17"/>
      <c r="I19" s="17"/>
      <c r="J19" s="17"/>
      <c r="K19" s="17"/>
      <c r="L19" s="17"/>
      <c r="M19" s="17"/>
      <c r="N19" s="17"/>
      <c r="O19" s="17"/>
      <c r="P19" s="17"/>
      <c r="Q19" s="17"/>
      <c r="R19" s="17" t="s">
        <v>75</v>
      </c>
      <c r="S19" s="17"/>
      <c r="T19" s="17"/>
      <c r="U19" s="17"/>
      <c r="V19" s="17"/>
      <c r="W19" s="8">
        <v>12</v>
      </c>
      <c r="X19" s="8">
        <v>6</v>
      </c>
      <c r="Y19" s="1"/>
      <c r="Z19" s="8"/>
      <c r="AA19" s="8"/>
      <c r="AB19" s="17" t="s">
        <v>92</v>
      </c>
      <c r="AC19" s="17"/>
      <c r="AD19" s="17"/>
      <c r="AE19" s="17"/>
      <c r="AF19" s="17"/>
      <c r="AG19" s="17"/>
      <c r="AH19" s="17"/>
      <c r="AI19" s="17"/>
      <c r="AJ19" s="17"/>
      <c r="AK19" s="17"/>
      <c r="AL19" s="17"/>
      <c r="AM19" s="17"/>
      <c r="AN19" s="17"/>
      <c r="AO19" s="17"/>
      <c r="AP19" s="17"/>
      <c r="AQ19" s="17"/>
      <c r="AR19" s="17"/>
      <c r="AS19" s="17"/>
      <c r="AT19" s="17" t="s">
        <v>93</v>
      </c>
      <c r="AU19" s="17"/>
      <c r="AV19" s="17"/>
      <c r="AW19" s="17"/>
      <c r="AX19" s="17"/>
      <c r="AY19" s="17"/>
      <c r="AZ19" s="17"/>
      <c r="BA19" s="17"/>
      <c r="BB19" s="17"/>
      <c r="BC19" s="17"/>
      <c r="BD19" s="17"/>
      <c r="BE19" s="17"/>
      <c r="BF19" s="17"/>
      <c r="BG19" s="17"/>
      <c r="BH19" s="17"/>
      <c r="BI19" s="17" t="s">
        <v>94</v>
      </c>
      <c r="BJ19" s="17"/>
      <c r="BK19" s="17"/>
      <c r="BL19" s="17"/>
      <c r="BM19" s="17"/>
      <c r="BN19" s="17" t="s">
        <v>95</v>
      </c>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row>
    <row r="20" spans="3:110" hidden="1" x14ac:dyDescent="0.55000000000000004">
      <c r="C20" s="5" t="s">
        <v>245</v>
      </c>
      <c r="D20" s="1">
        <v>19</v>
      </c>
      <c r="E20" s="17" t="s">
        <v>84</v>
      </c>
      <c r="F20" s="17"/>
      <c r="G20" s="17"/>
      <c r="H20" s="17"/>
      <c r="I20" s="17"/>
      <c r="J20" s="17"/>
      <c r="K20" s="17"/>
      <c r="L20" s="17"/>
      <c r="M20" s="17"/>
      <c r="N20" s="17"/>
      <c r="O20" s="17"/>
      <c r="P20" s="17"/>
      <c r="Q20" s="17"/>
      <c r="R20" s="17" t="s">
        <v>35</v>
      </c>
      <c r="S20" s="17"/>
      <c r="T20" s="17"/>
      <c r="U20" s="17"/>
      <c r="V20" s="17"/>
      <c r="W20" s="8">
        <v>8</v>
      </c>
      <c r="X20" s="8">
        <v>4</v>
      </c>
      <c r="Y20" s="1"/>
      <c r="Z20" s="8"/>
      <c r="AA20" s="8"/>
      <c r="AB20" s="17" t="s">
        <v>96</v>
      </c>
      <c r="AC20" s="17"/>
      <c r="AD20" s="17"/>
      <c r="AE20" s="17"/>
      <c r="AF20" s="17"/>
      <c r="AG20" s="17"/>
      <c r="AH20" s="17"/>
      <c r="AI20" s="17"/>
      <c r="AJ20" s="17"/>
      <c r="AK20" s="17"/>
      <c r="AL20" s="17"/>
      <c r="AM20" s="17"/>
      <c r="AN20" s="17"/>
      <c r="AO20" s="17"/>
      <c r="AP20" s="17"/>
      <c r="AQ20" s="17"/>
      <c r="AR20" s="17"/>
      <c r="AS20" s="17"/>
      <c r="AT20" s="17" t="s">
        <v>97</v>
      </c>
      <c r="AU20" s="17"/>
      <c r="AV20" s="17"/>
      <c r="AW20" s="17"/>
      <c r="AX20" s="17"/>
      <c r="AY20" s="17"/>
      <c r="AZ20" s="17"/>
      <c r="BA20" s="17"/>
      <c r="BB20" s="17"/>
      <c r="BC20" s="17"/>
      <c r="BD20" s="17"/>
      <c r="BE20" s="17"/>
      <c r="BF20" s="17"/>
      <c r="BG20" s="17"/>
      <c r="BH20" s="17"/>
      <c r="BI20" s="17" t="s">
        <v>98</v>
      </c>
      <c r="BJ20" s="17"/>
      <c r="BK20" s="17"/>
      <c r="BL20" s="17"/>
      <c r="BM20" s="17"/>
      <c r="BN20" s="17" t="s">
        <v>95</v>
      </c>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row>
    <row r="21" spans="3:110" hidden="1" x14ac:dyDescent="0.55000000000000004">
      <c r="C21" s="5" t="s">
        <v>245</v>
      </c>
      <c r="D21" s="1">
        <v>20</v>
      </c>
      <c r="E21" s="17" t="s">
        <v>84</v>
      </c>
      <c r="F21" s="17"/>
      <c r="G21" s="17"/>
      <c r="H21" s="17"/>
      <c r="I21" s="17"/>
      <c r="J21" s="17"/>
      <c r="K21" s="17"/>
      <c r="L21" s="17"/>
      <c r="M21" s="17"/>
      <c r="N21" s="17"/>
      <c r="O21" s="17"/>
      <c r="P21" s="17"/>
      <c r="Q21" s="17"/>
      <c r="R21" s="17" t="s">
        <v>35</v>
      </c>
      <c r="S21" s="17"/>
      <c r="T21" s="17"/>
      <c r="U21" s="17"/>
      <c r="V21" s="17"/>
      <c r="W21" s="8">
        <v>8</v>
      </c>
      <c r="X21" s="8">
        <v>4</v>
      </c>
      <c r="Y21" s="1"/>
      <c r="Z21" s="8"/>
      <c r="AA21" s="8"/>
      <c r="AB21" s="17" t="s">
        <v>99</v>
      </c>
      <c r="AC21" s="17"/>
      <c r="AD21" s="17"/>
      <c r="AE21" s="17"/>
      <c r="AF21" s="17"/>
      <c r="AG21" s="17"/>
      <c r="AH21" s="17"/>
      <c r="AI21" s="17"/>
      <c r="AJ21" s="17"/>
      <c r="AK21" s="17"/>
      <c r="AL21" s="17"/>
      <c r="AM21" s="17"/>
      <c r="AN21" s="17"/>
      <c r="AO21" s="17"/>
      <c r="AP21" s="17"/>
      <c r="AQ21" s="17"/>
      <c r="AR21" s="17"/>
      <c r="AS21" s="17"/>
      <c r="AT21" s="17" t="s">
        <v>100</v>
      </c>
      <c r="AU21" s="17"/>
      <c r="AV21" s="17"/>
      <c r="AW21" s="17"/>
      <c r="AX21" s="17"/>
      <c r="AY21" s="17"/>
      <c r="AZ21" s="17"/>
      <c r="BA21" s="17"/>
      <c r="BB21" s="17"/>
      <c r="BC21" s="17"/>
      <c r="BD21" s="17"/>
      <c r="BE21" s="17"/>
      <c r="BF21" s="17"/>
      <c r="BG21" s="17"/>
      <c r="BH21" s="17"/>
      <c r="BI21" s="17" t="s">
        <v>101</v>
      </c>
      <c r="BJ21" s="17"/>
      <c r="BK21" s="17"/>
      <c r="BL21" s="17"/>
      <c r="BM21" s="17"/>
      <c r="BN21" s="17" t="s">
        <v>95</v>
      </c>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row>
    <row r="22" spans="3:110" hidden="1" x14ac:dyDescent="0.55000000000000004">
      <c r="C22" s="5" t="s">
        <v>245</v>
      </c>
      <c r="D22" s="1">
        <v>21</v>
      </c>
      <c r="E22" s="17" t="s">
        <v>84</v>
      </c>
      <c r="F22" s="17"/>
      <c r="G22" s="17"/>
      <c r="H22" s="17"/>
      <c r="I22" s="17"/>
      <c r="J22" s="17"/>
      <c r="K22" s="17"/>
      <c r="L22" s="17"/>
      <c r="M22" s="17"/>
      <c r="N22" s="17"/>
      <c r="O22" s="17"/>
      <c r="P22" s="17"/>
      <c r="Q22" s="17"/>
      <c r="R22" s="17" t="s">
        <v>65</v>
      </c>
      <c r="S22" s="17"/>
      <c r="T22" s="17"/>
      <c r="U22" s="17"/>
      <c r="V22" s="17"/>
      <c r="W22" s="8">
        <v>10</v>
      </c>
      <c r="X22" s="8">
        <v>6</v>
      </c>
      <c r="Y22" s="1"/>
      <c r="Z22" s="8"/>
      <c r="AA22" s="8"/>
      <c r="AB22" s="17" t="s">
        <v>102</v>
      </c>
      <c r="AC22" s="17"/>
      <c r="AD22" s="17"/>
      <c r="AE22" s="17"/>
      <c r="AF22" s="17"/>
      <c r="AG22" s="17"/>
      <c r="AH22" s="17"/>
      <c r="AI22" s="17"/>
      <c r="AJ22" s="17"/>
      <c r="AK22" s="17"/>
      <c r="AL22" s="17"/>
      <c r="AM22" s="17"/>
      <c r="AN22" s="17"/>
      <c r="AO22" s="17"/>
      <c r="AP22" s="17"/>
      <c r="AQ22" s="17"/>
      <c r="AR22" s="17"/>
      <c r="AS22" s="17"/>
      <c r="AT22" s="17" t="s">
        <v>103</v>
      </c>
      <c r="AU22" s="17"/>
      <c r="AV22" s="17"/>
      <c r="AW22" s="17"/>
      <c r="AX22" s="17"/>
      <c r="AY22" s="17"/>
      <c r="AZ22" s="17"/>
      <c r="BA22" s="17"/>
      <c r="BB22" s="17"/>
      <c r="BC22" s="17"/>
      <c r="BD22" s="17"/>
      <c r="BE22" s="17"/>
      <c r="BF22" s="17"/>
      <c r="BG22" s="17"/>
      <c r="BH22" s="17"/>
      <c r="BI22" s="17" t="s">
        <v>43</v>
      </c>
      <c r="BJ22" s="17"/>
      <c r="BK22" s="17"/>
      <c r="BL22" s="17"/>
      <c r="BM22" s="17"/>
      <c r="BN22" s="17" t="s">
        <v>44</v>
      </c>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row>
    <row r="23" spans="3:110" hidden="1" x14ac:dyDescent="0.55000000000000004">
      <c r="C23" s="5" t="s">
        <v>245</v>
      </c>
      <c r="D23" s="1">
        <v>22</v>
      </c>
      <c r="E23" s="17" t="s">
        <v>104</v>
      </c>
      <c r="F23" s="17"/>
      <c r="G23" s="17"/>
      <c r="H23" s="17"/>
      <c r="I23" s="17"/>
      <c r="J23" s="17"/>
      <c r="K23" s="17"/>
      <c r="L23" s="17"/>
      <c r="M23" s="17"/>
      <c r="N23" s="17"/>
      <c r="O23" s="17"/>
      <c r="P23" s="17"/>
      <c r="Q23" s="17"/>
      <c r="R23" s="17" t="s">
        <v>52</v>
      </c>
      <c r="S23" s="17"/>
      <c r="T23" s="17"/>
      <c r="U23" s="17"/>
      <c r="V23" s="17"/>
      <c r="W23" s="8">
        <v>0</v>
      </c>
      <c r="X23" s="8">
        <v>0</v>
      </c>
      <c r="Y23" s="1"/>
      <c r="Z23" s="8"/>
      <c r="AA23" s="8"/>
      <c r="AB23" s="17" t="s">
        <v>105</v>
      </c>
      <c r="AC23" s="17"/>
      <c r="AD23" s="17"/>
      <c r="AE23" s="17"/>
      <c r="AF23" s="17"/>
      <c r="AG23" s="17"/>
      <c r="AH23" s="17"/>
      <c r="AI23" s="17"/>
      <c r="AJ23" s="17"/>
      <c r="AK23" s="17"/>
      <c r="AL23" s="17"/>
      <c r="AM23" s="17"/>
      <c r="AN23" s="17"/>
      <c r="AO23" s="17"/>
      <c r="AP23" s="17"/>
      <c r="AQ23" s="17"/>
      <c r="AR23" s="17"/>
      <c r="AS23" s="17"/>
      <c r="AT23" s="17" t="s">
        <v>106</v>
      </c>
      <c r="AU23" s="17"/>
      <c r="AV23" s="17"/>
      <c r="AW23" s="17"/>
      <c r="AX23" s="17"/>
      <c r="AY23" s="17"/>
      <c r="AZ23" s="17"/>
      <c r="BA23" s="17"/>
      <c r="BB23" s="17"/>
      <c r="BC23" s="17"/>
      <c r="BD23" s="17"/>
      <c r="BE23" s="17"/>
      <c r="BF23" s="17"/>
      <c r="BG23" s="17"/>
      <c r="BH23" s="17"/>
      <c r="BI23" s="17" t="s">
        <v>38</v>
      </c>
      <c r="BJ23" s="17"/>
      <c r="BK23" s="17"/>
      <c r="BL23" s="17"/>
      <c r="BM23" s="17"/>
      <c r="BN23" s="17" t="s">
        <v>44</v>
      </c>
      <c r="BO23" s="17"/>
      <c r="BP23" s="17"/>
      <c r="BQ23" s="17"/>
      <c r="BR23" s="17"/>
      <c r="BS23" s="17"/>
      <c r="BT23" s="17"/>
      <c r="BU23" s="17"/>
      <c r="BV23" s="17"/>
      <c r="BW23" s="17"/>
      <c r="BX23" s="17"/>
      <c r="BY23" s="17"/>
      <c r="BZ23" s="17"/>
      <c r="CA23" s="17"/>
      <c r="CB23" s="17"/>
      <c r="CC23" s="17"/>
      <c r="CD23" s="17"/>
      <c r="CE23" s="17"/>
      <c r="CF23" s="17"/>
      <c r="CG23" s="17"/>
      <c r="CH23" s="17"/>
      <c r="CI23" s="17"/>
      <c r="CJ23" s="17" t="s">
        <v>107</v>
      </c>
      <c r="CK23" s="17"/>
      <c r="CL23" s="17"/>
      <c r="CM23" s="17"/>
      <c r="CN23" s="17"/>
      <c r="CO23" s="17"/>
      <c r="CP23" s="17"/>
      <c r="CQ23" s="17"/>
      <c r="CR23" s="17"/>
      <c r="CS23" s="17"/>
      <c r="CT23" s="17"/>
      <c r="CU23" s="17"/>
      <c r="CV23" s="17"/>
      <c r="CW23" s="17"/>
      <c r="CX23" s="17"/>
      <c r="CY23" s="17"/>
      <c r="CZ23" s="17"/>
      <c r="DA23" s="17"/>
      <c r="DB23" s="17"/>
      <c r="DC23" s="17"/>
      <c r="DD23" s="17"/>
      <c r="DE23" s="17"/>
      <c r="DF23" s="17"/>
    </row>
    <row r="24" spans="3:110" hidden="1" x14ac:dyDescent="0.55000000000000004">
      <c r="C24" s="5" t="s">
        <v>245</v>
      </c>
      <c r="D24" s="1">
        <v>23</v>
      </c>
      <c r="E24" s="17" t="s">
        <v>104</v>
      </c>
      <c r="F24" s="17"/>
      <c r="G24" s="17"/>
      <c r="H24" s="17"/>
      <c r="I24" s="17"/>
      <c r="J24" s="17"/>
      <c r="K24" s="17"/>
      <c r="L24" s="17"/>
      <c r="M24" s="17"/>
      <c r="N24" s="17"/>
      <c r="O24" s="17"/>
      <c r="P24" s="17"/>
      <c r="Q24" s="17"/>
      <c r="R24" s="17" t="s">
        <v>71</v>
      </c>
      <c r="S24" s="17"/>
      <c r="T24" s="17"/>
      <c r="U24" s="17"/>
      <c r="V24" s="17"/>
      <c r="W24" s="8">
        <v>4</v>
      </c>
      <c r="X24" s="8">
        <v>2</v>
      </c>
      <c r="Y24" s="1"/>
      <c r="Z24" s="8"/>
      <c r="AA24" s="8"/>
      <c r="AB24" s="18" t="s">
        <v>108</v>
      </c>
      <c r="AC24" s="18"/>
      <c r="AD24" s="18"/>
      <c r="AE24" s="18"/>
      <c r="AF24" s="18"/>
      <c r="AG24" s="18"/>
      <c r="AH24" s="18"/>
      <c r="AI24" s="18"/>
      <c r="AJ24" s="18"/>
      <c r="AK24" s="18"/>
      <c r="AL24" s="18"/>
      <c r="AM24" s="18"/>
      <c r="AN24" s="18"/>
      <c r="AO24" s="18"/>
      <c r="AP24" s="18"/>
      <c r="AQ24" s="18"/>
      <c r="AR24" s="18"/>
      <c r="AS24" s="18"/>
      <c r="AT24" s="17" t="s">
        <v>109</v>
      </c>
      <c r="AU24" s="17"/>
      <c r="AV24" s="17"/>
      <c r="AW24" s="17"/>
      <c r="AX24" s="17"/>
      <c r="AY24" s="17"/>
      <c r="AZ24" s="17"/>
      <c r="BA24" s="17"/>
      <c r="BB24" s="17"/>
      <c r="BC24" s="17"/>
      <c r="BD24" s="17"/>
      <c r="BE24" s="17"/>
      <c r="BF24" s="17"/>
      <c r="BG24" s="17"/>
      <c r="BH24" s="17"/>
      <c r="BI24" s="17" t="s">
        <v>38</v>
      </c>
      <c r="BJ24" s="17"/>
      <c r="BK24" s="17"/>
      <c r="BL24" s="17"/>
      <c r="BM24" s="17"/>
      <c r="BN24" s="17" t="s">
        <v>44</v>
      </c>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row>
    <row r="25" spans="3:110" hidden="1" x14ac:dyDescent="0.55000000000000004">
      <c r="C25" s="5" t="s">
        <v>245</v>
      </c>
      <c r="D25" s="1">
        <v>24</v>
      </c>
      <c r="E25" s="17" t="s">
        <v>104</v>
      </c>
      <c r="F25" s="17"/>
      <c r="G25" s="17"/>
      <c r="H25" s="17"/>
      <c r="I25" s="17"/>
      <c r="J25" s="17"/>
      <c r="K25" s="17"/>
      <c r="L25" s="17"/>
      <c r="M25" s="17"/>
      <c r="N25" s="17"/>
      <c r="O25" s="17"/>
      <c r="P25" s="17"/>
      <c r="Q25" s="17"/>
      <c r="R25" s="17" t="s">
        <v>35</v>
      </c>
      <c r="S25" s="17"/>
      <c r="T25" s="17"/>
      <c r="U25" s="17"/>
      <c r="V25" s="17"/>
      <c r="W25" s="8">
        <v>8</v>
      </c>
      <c r="X25" s="8">
        <v>4</v>
      </c>
      <c r="Y25" s="1"/>
      <c r="Z25" s="8"/>
      <c r="AA25" s="8"/>
      <c r="AB25" s="18" t="s">
        <v>110</v>
      </c>
      <c r="AC25" s="18"/>
      <c r="AD25" s="18"/>
      <c r="AE25" s="18"/>
      <c r="AF25" s="18"/>
      <c r="AG25" s="18"/>
      <c r="AH25" s="18"/>
      <c r="AI25" s="18"/>
      <c r="AJ25" s="18"/>
      <c r="AK25" s="18"/>
      <c r="AL25" s="18"/>
      <c r="AM25" s="18"/>
      <c r="AN25" s="18"/>
      <c r="AO25" s="18"/>
      <c r="AP25" s="18"/>
      <c r="AQ25" s="18"/>
      <c r="AR25" s="18"/>
      <c r="AS25" s="18"/>
      <c r="AT25" s="17" t="s">
        <v>111</v>
      </c>
      <c r="AU25" s="17"/>
      <c r="AV25" s="17"/>
      <c r="AW25" s="17"/>
      <c r="AX25" s="17"/>
      <c r="AY25" s="17"/>
      <c r="AZ25" s="17"/>
      <c r="BA25" s="17"/>
      <c r="BB25" s="17"/>
      <c r="BC25" s="17"/>
      <c r="BD25" s="17"/>
      <c r="BE25" s="17"/>
      <c r="BF25" s="17"/>
      <c r="BG25" s="17"/>
      <c r="BH25" s="17"/>
      <c r="BI25" s="17" t="s">
        <v>38</v>
      </c>
      <c r="BJ25" s="17"/>
      <c r="BK25" s="17"/>
      <c r="BL25" s="17"/>
      <c r="BM25" s="17"/>
      <c r="BN25" s="17" t="s">
        <v>44</v>
      </c>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row>
    <row r="26" spans="3:110" hidden="1" x14ac:dyDescent="0.55000000000000004">
      <c r="C26" s="5" t="s">
        <v>245</v>
      </c>
      <c r="D26" s="1">
        <v>25</v>
      </c>
      <c r="E26" s="17" t="s">
        <v>104</v>
      </c>
      <c r="F26" s="17"/>
      <c r="G26" s="17"/>
      <c r="H26" s="17"/>
      <c r="I26" s="17"/>
      <c r="J26" s="17"/>
      <c r="K26" s="17"/>
      <c r="L26" s="17"/>
      <c r="M26" s="17"/>
      <c r="N26" s="17"/>
      <c r="O26" s="17"/>
      <c r="P26" s="17"/>
      <c r="Q26" s="17"/>
      <c r="R26" s="17" t="s">
        <v>52</v>
      </c>
      <c r="S26" s="17"/>
      <c r="T26" s="17"/>
      <c r="U26" s="17"/>
      <c r="V26" s="17"/>
      <c r="W26" s="8">
        <v>0</v>
      </c>
      <c r="X26" s="8">
        <v>0</v>
      </c>
      <c r="Y26" s="1"/>
      <c r="Z26" s="8"/>
      <c r="AA26" s="8"/>
      <c r="AB26" s="17" t="s">
        <v>112</v>
      </c>
      <c r="AC26" s="17"/>
      <c r="AD26" s="17"/>
      <c r="AE26" s="17"/>
      <c r="AF26" s="17"/>
      <c r="AG26" s="17"/>
      <c r="AH26" s="17"/>
      <c r="AI26" s="17"/>
      <c r="AJ26" s="17"/>
      <c r="AK26" s="17"/>
      <c r="AL26" s="17"/>
      <c r="AM26" s="17"/>
      <c r="AN26" s="17"/>
      <c r="AO26" s="17"/>
      <c r="AP26" s="17"/>
      <c r="AQ26" s="17"/>
      <c r="AR26" s="17"/>
      <c r="AS26" s="17"/>
      <c r="AT26" s="17" t="s">
        <v>113</v>
      </c>
      <c r="AU26" s="17"/>
      <c r="AV26" s="17"/>
      <c r="AW26" s="17"/>
      <c r="AX26" s="17"/>
      <c r="AY26" s="17"/>
      <c r="AZ26" s="17"/>
      <c r="BA26" s="17"/>
      <c r="BB26" s="17"/>
      <c r="BC26" s="17"/>
      <c r="BD26" s="17"/>
      <c r="BE26" s="17"/>
      <c r="BF26" s="17"/>
      <c r="BG26" s="17"/>
      <c r="BH26" s="17"/>
      <c r="BI26" s="17" t="s">
        <v>38</v>
      </c>
      <c r="BJ26" s="17"/>
      <c r="BK26" s="17"/>
      <c r="BL26" s="17"/>
      <c r="BM26" s="17"/>
      <c r="BN26" s="17" t="s">
        <v>44</v>
      </c>
      <c r="BO26" s="17"/>
      <c r="BP26" s="17"/>
      <c r="BQ26" s="17"/>
      <c r="BR26" s="17"/>
      <c r="BS26" s="17"/>
      <c r="BT26" s="17"/>
      <c r="BU26" s="17"/>
      <c r="BV26" s="17"/>
      <c r="BW26" s="17"/>
      <c r="BX26" s="17"/>
      <c r="BY26" s="17"/>
      <c r="BZ26" s="17"/>
      <c r="CA26" s="17"/>
      <c r="CB26" s="17"/>
      <c r="CC26" s="17"/>
      <c r="CD26" s="17"/>
      <c r="CE26" s="17"/>
      <c r="CF26" s="17"/>
      <c r="CG26" s="17"/>
      <c r="CH26" s="17"/>
      <c r="CI26" s="17"/>
      <c r="CJ26" s="17" t="s">
        <v>107</v>
      </c>
      <c r="CK26" s="17"/>
      <c r="CL26" s="17"/>
      <c r="CM26" s="17"/>
      <c r="CN26" s="17"/>
      <c r="CO26" s="17"/>
      <c r="CP26" s="17"/>
      <c r="CQ26" s="17"/>
      <c r="CR26" s="17"/>
      <c r="CS26" s="17"/>
      <c r="CT26" s="17"/>
      <c r="CU26" s="17"/>
      <c r="CV26" s="17"/>
      <c r="CW26" s="17"/>
      <c r="CX26" s="17"/>
      <c r="CY26" s="17"/>
      <c r="CZ26" s="17"/>
      <c r="DA26" s="17"/>
      <c r="DB26" s="17"/>
      <c r="DC26" s="17"/>
      <c r="DD26" s="17"/>
      <c r="DE26" s="17"/>
      <c r="DF26" s="17"/>
    </row>
    <row r="27" spans="3:110" hidden="1" x14ac:dyDescent="0.55000000000000004">
      <c r="C27" s="5" t="s">
        <v>245</v>
      </c>
      <c r="D27" s="1">
        <v>26</v>
      </c>
      <c r="E27" s="17" t="s">
        <v>104</v>
      </c>
      <c r="F27" s="17"/>
      <c r="G27" s="17"/>
      <c r="H27" s="17"/>
      <c r="I27" s="17"/>
      <c r="J27" s="17"/>
      <c r="K27" s="17"/>
      <c r="L27" s="17"/>
      <c r="M27" s="17"/>
      <c r="N27" s="17"/>
      <c r="O27" s="17"/>
      <c r="P27" s="17"/>
      <c r="Q27" s="17"/>
      <c r="R27" s="17" t="s">
        <v>52</v>
      </c>
      <c r="S27" s="17"/>
      <c r="T27" s="17"/>
      <c r="U27" s="17"/>
      <c r="V27" s="17"/>
      <c r="W27" s="8">
        <v>0</v>
      </c>
      <c r="X27" s="8">
        <v>0</v>
      </c>
      <c r="Y27" s="1"/>
      <c r="Z27" s="8"/>
      <c r="AA27" s="8"/>
      <c r="AB27" s="17" t="s">
        <v>114</v>
      </c>
      <c r="AC27" s="17"/>
      <c r="AD27" s="17"/>
      <c r="AE27" s="17"/>
      <c r="AF27" s="17"/>
      <c r="AG27" s="17"/>
      <c r="AH27" s="17"/>
      <c r="AI27" s="17"/>
      <c r="AJ27" s="17"/>
      <c r="AK27" s="17"/>
      <c r="AL27" s="17"/>
      <c r="AM27" s="17"/>
      <c r="AN27" s="17"/>
      <c r="AO27" s="17"/>
      <c r="AP27" s="17"/>
      <c r="AQ27" s="17"/>
      <c r="AR27" s="17"/>
      <c r="AS27" s="17"/>
      <c r="AT27" s="17" t="s">
        <v>115</v>
      </c>
      <c r="AU27" s="17"/>
      <c r="AV27" s="17"/>
      <c r="AW27" s="17"/>
      <c r="AX27" s="17"/>
      <c r="AY27" s="17"/>
      <c r="AZ27" s="17"/>
      <c r="BA27" s="17"/>
      <c r="BB27" s="17"/>
      <c r="BC27" s="17"/>
      <c r="BD27" s="17"/>
      <c r="BE27" s="17"/>
      <c r="BF27" s="17"/>
      <c r="BG27" s="17"/>
      <c r="BH27" s="17"/>
      <c r="BI27" s="17" t="s">
        <v>38</v>
      </c>
      <c r="BJ27" s="17"/>
      <c r="BK27" s="17"/>
      <c r="BL27" s="17"/>
      <c r="BM27" s="17"/>
      <c r="BN27" s="17" t="s">
        <v>44</v>
      </c>
      <c r="BO27" s="17"/>
      <c r="BP27" s="17"/>
      <c r="BQ27" s="17"/>
      <c r="BR27" s="17"/>
      <c r="BS27" s="17"/>
      <c r="BT27" s="17"/>
      <c r="BU27" s="17"/>
      <c r="BV27" s="17"/>
      <c r="BW27" s="17"/>
      <c r="BX27" s="17"/>
      <c r="BY27" s="17"/>
      <c r="BZ27" s="17"/>
      <c r="CA27" s="17"/>
      <c r="CB27" s="17"/>
      <c r="CC27" s="17"/>
      <c r="CD27" s="17"/>
      <c r="CE27" s="17"/>
      <c r="CF27" s="17"/>
      <c r="CG27" s="17"/>
      <c r="CH27" s="17"/>
      <c r="CI27" s="17"/>
      <c r="CJ27" s="17" t="s">
        <v>107</v>
      </c>
      <c r="CK27" s="17"/>
      <c r="CL27" s="17"/>
      <c r="CM27" s="17"/>
      <c r="CN27" s="17"/>
      <c r="CO27" s="17"/>
      <c r="CP27" s="17"/>
      <c r="CQ27" s="17"/>
      <c r="CR27" s="17"/>
      <c r="CS27" s="17"/>
      <c r="CT27" s="17"/>
      <c r="CU27" s="17"/>
      <c r="CV27" s="17"/>
      <c r="CW27" s="17"/>
      <c r="CX27" s="17"/>
      <c r="CY27" s="17"/>
      <c r="CZ27" s="17"/>
      <c r="DA27" s="17"/>
      <c r="DB27" s="17"/>
      <c r="DC27" s="17"/>
      <c r="DD27" s="17"/>
      <c r="DE27" s="17"/>
      <c r="DF27" s="17"/>
    </row>
    <row r="28" spans="3:110" hidden="1" x14ac:dyDescent="0.55000000000000004">
      <c r="C28" s="5" t="s">
        <v>245</v>
      </c>
      <c r="D28" s="1">
        <v>27</v>
      </c>
      <c r="E28" s="17" t="s">
        <v>104</v>
      </c>
      <c r="F28" s="17"/>
      <c r="G28" s="17"/>
      <c r="H28" s="17"/>
      <c r="I28" s="17"/>
      <c r="J28" s="17"/>
      <c r="K28" s="17"/>
      <c r="L28" s="17"/>
      <c r="M28" s="17"/>
      <c r="N28" s="17"/>
      <c r="O28" s="17"/>
      <c r="P28" s="17"/>
      <c r="Q28" s="17"/>
      <c r="R28" s="17" t="s">
        <v>52</v>
      </c>
      <c r="S28" s="17"/>
      <c r="T28" s="17"/>
      <c r="U28" s="17"/>
      <c r="V28" s="17"/>
      <c r="W28" s="8">
        <v>0</v>
      </c>
      <c r="X28" s="8">
        <v>0</v>
      </c>
      <c r="Y28" s="1"/>
      <c r="Z28" s="8"/>
      <c r="AA28" s="8"/>
      <c r="AB28" s="17" t="s">
        <v>116</v>
      </c>
      <c r="AC28" s="17"/>
      <c r="AD28" s="17"/>
      <c r="AE28" s="17"/>
      <c r="AF28" s="17"/>
      <c r="AG28" s="17"/>
      <c r="AH28" s="17"/>
      <c r="AI28" s="17"/>
      <c r="AJ28" s="17"/>
      <c r="AK28" s="17"/>
      <c r="AL28" s="17"/>
      <c r="AM28" s="17"/>
      <c r="AN28" s="17"/>
      <c r="AO28" s="17"/>
      <c r="AP28" s="17"/>
      <c r="AQ28" s="17"/>
      <c r="AR28" s="17"/>
      <c r="AS28" s="17"/>
      <c r="AT28" s="17" t="s">
        <v>117</v>
      </c>
      <c r="AU28" s="17"/>
      <c r="AV28" s="17"/>
      <c r="AW28" s="17"/>
      <c r="AX28" s="17"/>
      <c r="AY28" s="17"/>
      <c r="AZ28" s="17"/>
      <c r="BA28" s="17"/>
      <c r="BB28" s="17"/>
      <c r="BC28" s="17"/>
      <c r="BD28" s="17"/>
      <c r="BE28" s="17"/>
      <c r="BF28" s="17"/>
      <c r="BG28" s="17"/>
      <c r="BH28" s="17"/>
      <c r="BI28" s="17" t="s">
        <v>38</v>
      </c>
      <c r="BJ28" s="17"/>
      <c r="BK28" s="17"/>
      <c r="BL28" s="17"/>
      <c r="BM28" s="17"/>
      <c r="BN28" s="17" t="s">
        <v>44</v>
      </c>
      <c r="BO28" s="17"/>
      <c r="BP28" s="17"/>
      <c r="BQ28" s="17"/>
      <c r="BR28" s="17"/>
      <c r="BS28" s="17"/>
      <c r="BT28" s="17"/>
      <c r="BU28" s="17"/>
      <c r="BV28" s="17"/>
      <c r="BW28" s="17"/>
      <c r="BX28" s="17"/>
      <c r="BY28" s="17"/>
      <c r="BZ28" s="17"/>
      <c r="CA28" s="17"/>
      <c r="CB28" s="17"/>
      <c r="CC28" s="17"/>
      <c r="CD28" s="17"/>
      <c r="CE28" s="17"/>
      <c r="CF28" s="17"/>
      <c r="CG28" s="17"/>
      <c r="CH28" s="17"/>
      <c r="CI28" s="17"/>
      <c r="CJ28" s="17" t="s">
        <v>107</v>
      </c>
      <c r="CK28" s="17"/>
      <c r="CL28" s="17"/>
      <c r="CM28" s="17"/>
      <c r="CN28" s="17"/>
      <c r="CO28" s="17"/>
      <c r="CP28" s="17"/>
      <c r="CQ28" s="17"/>
      <c r="CR28" s="17"/>
      <c r="CS28" s="17"/>
      <c r="CT28" s="17"/>
      <c r="CU28" s="17"/>
      <c r="CV28" s="17"/>
      <c r="CW28" s="17"/>
      <c r="CX28" s="17"/>
      <c r="CY28" s="17"/>
      <c r="CZ28" s="17"/>
      <c r="DA28" s="17"/>
      <c r="DB28" s="17"/>
      <c r="DC28" s="17"/>
      <c r="DD28" s="17"/>
      <c r="DE28" s="17"/>
      <c r="DF28" s="17"/>
    </row>
    <row r="29" spans="3:110" hidden="1" x14ac:dyDescent="0.55000000000000004">
      <c r="C29" s="5" t="s">
        <v>245</v>
      </c>
      <c r="D29" s="1">
        <v>28</v>
      </c>
      <c r="E29" s="17" t="s">
        <v>104</v>
      </c>
      <c r="F29" s="17"/>
      <c r="G29" s="17"/>
      <c r="H29" s="17"/>
      <c r="I29" s="17"/>
      <c r="J29" s="17"/>
      <c r="K29" s="17"/>
      <c r="L29" s="17"/>
      <c r="M29" s="17"/>
      <c r="N29" s="17"/>
      <c r="O29" s="17"/>
      <c r="P29" s="17"/>
      <c r="Q29" s="17"/>
      <c r="R29" s="17" t="s">
        <v>52</v>
      </c>
      <c r="S29" s="17"/>
      <c r="T29" s="17"/>
      <c r="U29" s="17"/>
      <c r="V29" s="17"/>
      <c r="W29" s="8">
        <v>0</v>
      </c>
      <c r="X29" s="8">
        <v>0</v>
      </c>
      <c r="Y29" s="1"/>
      <c r="Z29" s="8"/>
      <c r="AA29" s="8"/>
      <c r="AB29" s="17" t="s">
        <v>118</v>
      </c>
      <c r="AC29" s="17"/>
      <c r="AD29" s="17"/>
      <c r="AE29" s="17"/>
      <c r="AF29" s="17"/>
      <c r="AG29" s="17"/>
      <c r="AH29" s="17"/>
      <c r="AI29" s="17"/>
      <c r="AJ29" s="17"/>
      <c r="AK29" s="17"/>
      <c r="AL29" s="17"/>
      <c r="AM29" s="17"/>
      <c r="AN29" s="17"/>
      <c r="AO29" s="17"/>
      <c r="AP29" s="17"/>
      <c r="AQ29" s="17"/>
      <c r="AR29" s="17"/>
      <c r="AS29" s="17"/>
      <c r="AT29" s="17" t="s">
        <v>119</v>
      </c>
      <c r="AU29" s="17"/>
      <c r="AV29" s="17"/>
      <c r="AW29" s="17"/>
      <c r="AX29" s="17"/>
      <c r="AY29" s="17"/>
      <c r="AZ29" s="17"/>
      <c r="BA29" s="17"/>
      <c r="BB29" s="17"/>
      <c r="BC29" s="17"/>
      <c r="BD29" s="17"/>
      <c r="BE29" s="17"/>
      <c r="BF29" s="17"/>
      <c r="BG29" s="17"/>
      <c r="BH29" s="17"/>
      <c r="BI29" s="17" t="s">
        <v>38</v>
      </c>
      <c r="BJ29" s="17"/>
      <c r="BK29" s="17"/>
      <c r="BL29" s="17"/>
      <c r="BM29" s="17"/>
      <c r="BN29" s="17" t="s">
        <v>44</v>
      </c>
      <c r="BO29" s="17"/>
      <c r="BP29" s="17"/>
      <c r="BQ29" s="17"/>
      <c r="BR29" s="17"/>
      <c r="BS29" s="17"/>
      <c r="BT29" s="17"/>
      <c r="BU29" s="17"/>
      <c r="BV29" s="17"/>
      <c r="BW29" s="17"/>
      <c r="BX29" s="17"/>
      <c r="BY29" s="17"/>
      <c r="BZ29" s="17"/>
      <c r="CA29" s="17"/>
      <c r="CB29" s="17"/>
      <c r="CC29" s="17"/>
      <c r="CD29" s="17"/>
      <c r="CE29" s="17"/>
      <c r="CF29" s="17"/>
      <c r="CG29" s="17"/>
      <c r="CH29" s="17"/>
      <c r="CI29" s="17"/>
      <c r="CJ29" s="17" t="s">
        <v>107</v>
      </c>
      <c r="CK29" s="17"/>
      <c r="CL29" s="17"/>
      <c r="CM29" s="17"/>
      <c r="CN29" s="17"/>
      <c r="CO29" s="17"/>
      <c r="CP29" s="17"/>
      <c r="CQ29" s="17"/>
      <c r="CR29" s="17"/>
      <c r="CS29" s="17"/>
      <c r="CT29" s="17"/>
      <c r="CU29" s="17"/>
      <c r="CV29" s="17"/>
      <c r="CW29" s="17"/>
      <c r="CX29" s="17"/>
      <c r="CY29" s="17"/>
      <c r="CZ29" s="17"/>
      <c r="DA29" s="17"/>
      <c r="DB29" s="17"/>
      <c r="DC29" s="17"/>
      <c r="DD29" s="17"/>
      <c r="DE29" s="17"/>
      <c r="DF29" s="17"/>
    </row>
    <row r="30" spans="3:110" hidden="1" x14ac:dyDescent="0.55000000000000004">
      <c r="C30" s="5" t="s">
        <v>245</v>
      </c>
      <c r="D30" s="1">
        <v>29</v>
      </c>
      <c r="E30" s="17" t="s">
        <v>104</v>
      </c>
      <c r="F30" s="17"/>
      <c r="G30" s="17"/>
      <c r="H30" s="17"/>
      <c r="I30" s="17"/>
      <c r="J30" s="17"/>
      <c r="K30" s="17"/>
      <c r="L30" s="17"/>
      <c r="M30" s="17"/>
      <c r="N30" s="17"/>
      <c r="O30" s="17"/>
      <c r="P30" s="17"/>
      <c r="Q30" s="17"/>
      <c r="R30" s="17" t="s">
        <v>71</v>
      </c>
      <c r="S30" s="17"/>
      <c r="T30" s="17"/>
      <c r="U30" s="17"/>
      <c r="V30" s="17"/>
      <c r="W30" s="8">
        <v>4</v>
      </c>
      <c r="X30" s="8">
        <v>2</v>
      </c>
      <c r="Y30" s="1"/>
      <c r="Z30" s="8"/>
      <c r="AA30" s="8"/>
      <c r="AB30" s="18" t="s">
        <v>120</v>
      </c>
      <c r="AC30" s="18"/>
      <c r="AD30" s="18"/>
      <c r="AE30" s="18"/>
      <c r="AF30" s="18"/>
      <c r="AG30" s="18"/>
      <c r="AH30" s="18"/>
      <c r="AI30" s="18"/>
      <c r="AJ30" s="18"/>
      <c r="AK30" s="18"/>
      <c r="AL30" s="18"/>
      <c r="AM30" s="18"/>
      <c r="AN30" s="18"/>
      <c r="AO30" s="18"/>
      <c r="AP30" s="18"/>
      <c r="AQ30" s="18"/>
      <c r="AR30" s="18"/>
      <c r="AS30" s="18"/>
      <c r="AT30" s="17" t="s">
        <v>121</v>
      </c>
      <c r="AU30" s="17"/>
      <c r="AV30" s="17"/>
      <c r="AW30" s="17"/>
      <c r="AX30" s="17"/>
      <c r="AY30" s="17"/>
      <c r="AZ30" s="17"/>
      <c r="BA30" s="17"/>
      <c r="BB30" s="17"/>
      <c r="BC30" s="17"/>
      <c r="BD30" s="17"/>
      <c r="BE30" s="17"/>
      <c r="BF30" s="17"/>
      <c r="BG30" s="17"/>
      <c r="BH30" s="17"/>
      <c r="BI30" s="17" t="s">
        <v>38</v>
      </c>
      <c r="BJ30" s="17"/>
      <c r="BK30" s="17"/>
      <c r="BL30" s="17"/>
      <c r="BM30" s="17"/>
      <c r="BN30" s="17" t="s">
        <v>44</v>
      </c>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row>
    <row r="31" spans="3:110" hidden="1" x14ac:dyDescent="0.55000000000000004">
      <c r="C31" s="5" t="s">
        <v>245</v>
      </c>
      <c r="D31" s="1">
        <v>30</v>
      </c>
      <c r="E31" s="17" t="s">
        <v>104</v>
      </c>
      <c r="F31" s="17"/>
      <c r="G31" s="17"/>
      <c r="H31" s="17"/>
      <c r="I31" s="17"/>
      <c r="J31" s="17"/>
      <c r="K31" s="17"/>
      <c r="L31" s="17"/>
      <c r="M31" s="17"/>
      <c r="N31" s="17"/>
      <c r="O31" s="17"/>
      <c r="P31" s="17"/>
      <c r="Q31" s="17"/>
      <c r="R31" s="17" t="s">
        <v>52</v>
      </c>
      <c r="S31" s="17"/>
      <c r="T31" s="17"/>
      <c r="U31" s="17"/>
      <c r="V31" s="17"/>
      <c r="W31" s="8">
        <v>0</v>
      </c>
      <c r="X31" s="8">
        <v>0</v>
      </c>
      <c r="Y31" s="1"/>
      <c r="Z31" s="8"/>
      <c r="AA31" s="8"/>
      <c r="AB31" s="17" t="s">
        <v>122</v>
      </c>
      <c r="AC31" s="17"/>
      <c r="AD31" s="17"/>
      <c r="AE31" s="17"/>
      <c r="AF31" s="17"/>
      <c r="AG31" s="17"/>
      <c r="AH31" s="17"/>
      <c r="AI31" s="17"/>
      <c r="AJ31" s="17"/>
      <c r="AK31" s="17"/>
      <c r="AL31" s="17"/>
      <c r="AM31" s="17"/>
      <c r="AN31" s="17"/>
      <c r="AO31" s="17"/>
      <c r="AP31" s="17"/>
      <c r="AQ31" s="17"/>
      <c r="AR31" s="17"/>
      <c r="AS31" s="17"/>
      <c r="AT31" s="17" t="s">
        <v>123</v>
      </c>
      <c r="AU31" s="17"/>
      <c r="AV31" s="17"/>
      <c r="AW31" s="17"/>
      <c r="AX31" s="17"/>
      <c r="AY31" s="17"/>
      <c r="AZ31" s="17"/>
      <c r="BA31" s="17"/>
      <c r="BB31" s="17"/>
      <c r="BC31" s="17"/>
      <c r="BD31" s="17"/>
      <c r="BE31" s="17"/>
      <c r="BF31" s="17"/>
      <c r="BG31" s="17"/>
      <c r="BH31" s="17"/>
      <c r="BI31" s="17" t="s">
        <v>38</v>
      </c>
      <c r="BJ31" s="17"/>
      <c r="BK31" s="17"/>
      <c r="BL31" s="17"/>
      <c r="BM31" s="17"/>
      <c r="BN31" s="17" t="s">
        <v>44</v>
      </c>
      <c r="BO31" s="17"/>
      <c r="BP31" s="17"/>
      <c r="BQ31" s="17"/>
      <c r="BR31" s="17"/>
      <c r="BS31" s="17"/>
      <c r="BT31" s="17"/>
      <c r="BU31" s="17"/>
      <c r="BV31" s="17"/>
      <c r="BW31" s="17"/>
      <c r="BX31" s="17"/>
      <c r="BY31" s="17"/>
      <c r="BZ31" s="17"/>
      <c r="CA31" s="17"/>
      <c r="CB31" s="17"/>
      <c r="CC31" s="17"/>
      <c r="CD31" s="17"/>
      <c r="CE31" s="17"/>
      <c r="CF31" s="17"/>
      <c r="CG31" s="17"/>
      <c r="CH31" s="17"/>
      <c r="CI31" s="17"/>
      <c r="CJ31" s="17" t="s">
        <v>107</v>
      </c>
      <c r="CK31" s="17"/>
      <c r="CL31" s="17"/>
      <c r="CM31" s="17"/>
      <c r="CN31" s="17"/>
      <c r="CO31" s="17"/>
      <c r="CP31" s="17"/>
      <c r="CQ31" s="17"/>
      <c r="CR31" s="17"/>
      <c r="CS31" s="17"/>
      <c r="CT31" s="17"/>
      <c r="CU31" s="17"/>
      <c r="CV31" s="17"/>
      <c r="CW31" s="17"/>
      <c r="CX31" s="17"/>
      <c r="CY31" s="17"/>
      <c r="CZ31" s="17"/>
      <c r="DA31" s="17"/>
      <c r="DB31" s="17"/>
      <c r="DC31" s="17"/>
      <c r="DD31" s="17"/>
      <c r="DE31" s="17"/>
      <c r="DF31" s="17"/>
    </row>
    <row r="32" spans="3:110" hidden="1" x14ac:dyDescent="0.55000000000000004">
      <c r="C32" s="5" t="s">
        <v>245</v>
      </c>
      <c r="D32" s="1">
        <v>31</v>
      </c>
      <c r="E32" s="17" t="s">
        <v>104</v>
      </c>
      <c r="F32" s="17"/>
      <c r="G32" s="17"/>
      <c r="H32" s="17"/>
      <c r="I32" s="17"/>
      <c r="J32" s="17"/>
      <c r="K32" s="17"/>
      <c r="L32" s="17"/>
      <c r="M32" s="17"/>
      <c r="N32" s="17"/>
      <c r="O32" s="17"/>
      <c r="P32" s="17"/>
      <c r="Q32" s="17"/>
      <c r="R32" s="17" t="s">
        <v>71</v>
      </c>
      <c r="S32" s="17"/>
      <c r="T32" s="17"/>
      <c r="U32" s="17"/>
      <c r="V32" s="17"/>
      <c r="W32" s="8">
        <v>4</v>
      </c>
      <c r="X32" s="8">
        <v>2</v>
      </c>
      <c r="Y32" s="1"/>
      <c r="Z32" s="8"/>
      <c r="AA32" s="8"/>
      <c r="AB32" s="18" t="s">
        <v>124</v>
      </c>
      <c r="AC32" s="18"/>
      <c r="AD32" s="18"/>
      <c r="AE32" s="18"/>
      <c r="AF32" s="18"/>
      <c r="AG32" s="18"/>
      <c r="AH32" s="18"/>
      <c r="AI32" s="18"/>
      <c r="AJ32" s="18"/>
      <c r="AK32" s="18"/>
      <c r="AL32" s="18"/>
      <c r="AM32" s="18"/>
      <c r="AN32" s="18"/>
      <c r="AO32" s="18"/>
      <c r="AP32" s="18"/>
      <c r="AQ32" s="18"/>
      <c r="AR32" s="18"/>
      <c r="AS32" s="18"/>
      <c r="AT32" s="17" t="s">
        <v>125</v>
      </c>
      <c r="AU32" s="17"/>
      <c r="AV32" s="17"/>
      <c r="AW32" s="17"/>
      <c r="AX32" s="17"/>
      <c r="AY32" s="17"/>
      <c r="AZ32" s="17"/>
      <c r="BA32" s="17"/>
      <c r="BB32" s="17"/>
      <c r="BC32" s="17"/>
      <c r="BD32" s="17"/>
      <c r="BE32" s="17"/>
      <c r="BF32" s="17"/>
      <c r="BG32" s="17"/>
      <c r="BH32" s="17"/>
      <c r="BI32" s="17" t="s">
        <v>38</v>
      </c>
      <c r="BJ32" s="17"/>
      <c r="BK32" s="17"/>
      <c r="BL32" s="17"/>
      <c r="BM32" s="17"/>
      <c r="BN32" s="17" t="s">
        <v>44</v>
      </c>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row>
    <row r="33" spans="3:110" hidden="1" x14ac:dyDescent="0.55000000000000004">
      <c r="C33" s="5" t="s">
        <v>245</v>
      </c>
      <c r="D33" s="1">
        <v>32</v>
      </c>
      <c r="E33" s="17" t="s">
        <v>104</v>
      </c>
      <c r="F33" s="17"/>
      <c r="G33" s="17"/>
      <c r="H33" s="17"/>
      <c r="I33" s="17"/>
      <c r="J33" s="17"/>
      <c r="K33" s="17"/>
      <c r="L33" s="17"/>
      <c r="M33" s="17"/>
      <c r="N33" s="17"/>
      <c r="O33" s="17"/>
      <c r="P33" s="17"/>
      <c r="Q33" s="17"/>
      <c r="R33" s="17" t="s">
        <v>52</v>
      </c>
      <c r="S33" s="17"/>
      <c r="T33" s="17"/>
      <c r="U33" s="17"/>
      <c r="V33" s="17"/>
      <c r="W33" s="8">
        <v>0</v>
      </c>
      <c r="X33" s="8">
        <v>0</v>
      </c>
      <c r="Y33" s="1"/>
      <c r="Z33" s="8"/>
      <c r="AA33" s="8"/>
      <c r="AB33" s="17" t="s">
        <v>126</v>
      </c>
      <c r="AC33" s="17"/>
      <c r="AD33" s="17"/>
      <c r="AE33" s="17"/>
      <c r="AF33" s="17"/>
      <c r="AG33" s="17"/>
      <c r="AH33" s="17"/>
      <c r="AI33" s="17"/>
      <c r="AJ33" s="17"/>
      <c r="AK33" s="17"/>
      <c r="AL33" s="17"/>
      <c r="AM33" s="17"/>
      <c r="AN33" s="17"/>
      <c r="AO33" s="17"/>
      <c r="AP33" s="17"/>
      <c r="AQ33" s="17"/>
      <c r="AR33" s="17"/>
      <c r="AS33" s="17"/>
      <c r="AT33" s="17" t="s">
        <v>127</v>
      </c>
      <c r="AU33" s="17"/>
      <c r="AV33" s="17"/>
      <c r="AW33" s="17"/>
      <c r="AX33" s="17"/>
      <c r="AY33" s="17"/>
      <c r="AZ33" s="17"/>
      <c r="BA33" s="17"/>
      <c r="BB33" s="17"/>
      <c r="BC33" s="17"/>
      <c r="BD33" s="17"/>
      <c r="BE33" s="17"/>
      <c r="BF33" s="17"/>
      <c r="BG33" s="17"/>
      <c r="BH33" s="17"/>
      <c r="BI33" s="17" t="s">
        <v>38</v>
      </c>
      <c r="BJ33" s="17"/>
      <c r="BK33" s="17"/>
      <c r="BL33" s="17"/>
      <c r="BM33" s="17"/>
      <c r="BN33" s="17" t="s">
        <v>44</v>
      </c>
      <c r="BO33" s="17"/>
      <c r="BP33" s="17"/>
      <c r="BQ33" s="17"/>
      <c r="BR33" s="17"/>
      <c r="BS33" s="17"/>
      <c r="BT33" s="17"/>
      <c r="BU33" s="17"/>
      <c r="BV33" s="17"/>
      <c r="BW33" s="17"/>
      <c r="BX33" s="17"/>
      <c r="BY33" s="17"/>
      <c r="BZ33" s="17"/>
      <c r="CA33" s="17"/>
      <c r="CB33" s="17"/>
      <c r="CC33" s="17"/>
      <c r="CD33" s="17"/>
      <c r="CE33" s="17"/>
      <c r="CF33" s="17"/>
      <c r="CG33" s="17"/>
      <c r="CH33" s="17"/>
      <c r="CI33" s="17"/>
      <c r="CJ33" s="17" t="s">
        <v>107</v>
      </c>
      <c r="CK33" s="17"/>
      <c r="CL33" s="17"/>
      <c r="CM33" s="17"/>
      <c r="CN33" s="17"/>
      <c r="CO33" s="17"/>
      <c r="CP33" s="17"/>
      <c r="CQ33" s="17"/>
      <c r="CR33" s="17"/>
      <c r="CS33" s="17"/>
      <c r="CT33" s="17"/>
      <c r="CU33" s="17"/>
      <c r="CV33" s="17"/>
      <c r="CW33" s="17"/>
      <c r="CX33" s="17"/>
      <c r="CY33" s="17"/>
      <c r="CZ33" s="17"/>
      <c r="DA33" s="17"/>
      <c r="DB33" s="17"/>
      <c r="DC33" s="17"/>
      <c r="DD33" s="17"/>
      <c r="DE33" s="17"/>
      <c r="DF33" s="17"/>
    </row>
    <row r="34" spans="3:110" hidden="1" x14ac:dyDescent="0.55000000000000004">
      <c r="C34" s="5" t="s">
        <v>245</v>
      </c>
      <c r="D34" s="1">
        <v>33</v>
      </c>
      <c r="E34" s="17" t="s">
        <v>104</v>
      </c>
      <c r="F34" s="17"/>
      <c r="G34" s="17"/>
      <c r="H34" s="17"/>
      <c r="I34" s="17"/>
      <c r="J34" s="17"/>
      <c r="K34" s="17"/>
      <c r="L34" s="17"/>
      <c r="M34" s="17"/>
      <c r="N34" s="17"/>
      <c r="O34" s="17"/>
      <c r="P34" s="17"/>
      <c r="Q34" s="17"/>
      <c r="R34" s="17" t="s">
        <v>71</v>
      </c>
      <c r="S34" s="17"/>
      <c r="T34" s="17"/>
      <c r="U34" s="17"/>
      <c r="V34" s="17"/>
      <c r="W34" s="8">
        <v>4</v>
      </c>
      <c r="X34" s="8">
        <v>2</v>
      </c>
      <c r="Y34" s="1"/>
      <c r="Z34" s="8"/>
      <c r="AA34" s="8"/>
      <c r="AB34" s="18" t="s">
        <v>128</v>
      </c>
      <c r="AC34" s="18"/>
      <c r="AD34" s="18"/>
      <c r="AE34" s="18"/>
      <c r="AF34" s="18"/>
      <c r="AG34" s="18"/>
      <c r="AH34" s="18"/>
      <c r="AI34" s="18"/>
      <c r="AJ34" s="18"/>
      <c r="AK34" s="18"/>
      <c r="AL34" s="18"/>
      <c r="AM34" s="18"/>
      <c r="AN34" s="18"/>
      <c r="AO34" s="18"/>
      <c r="AP34" s="18"/>
      <c r="AQ34" s="18"/>
      <c r="AR34" s="18"/>
      <c r="AS34" s="18"/>
      <c r="AT34" s="17" t="s">
        <v>129</v>
      </c>
      <c r="AU34" s="17"/>
      <c r="AV34" s="17"/>
      <c r="AW34" s="17"/>
      <c r="AX34" s="17"/>
      <c r="AY34" s="17"/>
      <c r="AZ34" s="17"/>
      <c r="BA34" s="17"/>
      <c r="BB34" s="17"/>
      <c r="BC34" s="17"/>
      <c r="BD34" s="17"/>
      <c r="BE34" s="17"/>
      <c r="BF34" s="17"/>
      <c r="BG34" s="17"/>
      <c r="BH34" s="17"/>
      <c r="BI34" s="17" t="s">
        <v>38</v>
      </c>
      <c r="BJ34" s="17"/>
      <c r="BK34" s="17"/>
      <c r="BL34" s="17"/>
      <c r="BM34" s="17"/>
      <c r="BN34" s="17" t="s">
        <v>44</v>
      </c>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row>
    <row r="35" spans="3:110" hidden="1" x14ac:dyDescent="0.55000000000000004">
      <c r="C35" s="5" t="s">
        <v>245</v>
      </c>
      <c r="D35" s="1">
        <v>34</v>
      </c>
      <c r="E35" s="17" t="s">
        <v>104</v>
      </c>
      <c r="F35" s="17"/>
      <c r="G35" s="17"/>
      <c r="H35" s="17"/>
      <c r="I35" s="17"/>
      <c r="J35" s="17"/>
      <c r="K35" s="17"/>
      <c r="L35" s="17"/>
      <c r="M35" s="17"/>
      <c r="N35" s="17"/>
      <c r="O35" s="17"/>
      <c r="P35" s="17"/>
      <c r="Q35" s="17"/>
      <c r="R35" s="17" t="s">
        <v>71</v>
      </c>
      <c r="S35" s="17"/>
      <c r="T35" s="17"/>
      <c r="U35" s="17"/>
      <c r="V35" s="17"/>
      <c r="W35" s="8">
        <v>4</v>
      </c>
      <c r="X35" s="8">
        <v>2</v>
      </c>
      <c r="Y35" s="1"/>
      <c r="Z35" s="8"/>
      <c r="AA35" s="8"/>
      <c r="AB35" s="17" t="s">
        <v>130</v>
      </c>
      <c r="AC35" s="17"/>
      <c r="AD35" s="17"/>
      <c r="AE35" s="17"/>
      <c r="AF35" s="17"/>
      <c r="AG35" s="17"/>
      <c r="AH35" s="17"/>
      <c r="AI35" s="17"/>
      <c r="AJ35" s="17"/>
      <c r="AK35" s="17"/>
      <c r="AL35" s="17"/>
      <c r="AM35" s="17"/>
      <c r="AN35" s="17"/>
      <c r="AO35" s="17"/>
      <c r="AP35" s="17"/>
      <c r="AQ35" s="17"/>
      <c r="AR35" s="17"/>
      <c r="AS35" s="17"/>
      <c r="AT35" s="17" t="s">
        <v>131</v>
      </c>
      <c r="AU35" s="17"/>
      <c r="AV35" s="17"/>
      <c r="AW35" s="17"/>
      <c r="AX35" s="17"/>
      <c r="AY35" s="17"/>
      <c r="AZ35" s="17"/>
      <c r="BA35" s="17"/>
      <c r="BB35" s="17"/>
      <c r="BC35" s="17"/>
      <c r="BD35" s="17"/>
      <c r="BE35" s="17"/>
      <c r="BF35" s="17"/>
      <c r="BG35" s="17"/>
      <c r="BH35" s="17"/>
      <c r="BI35" s="17" t="s">
        <v>38</v>
      </c>
      <c r="BJ35" s="17"/>
      <c r="BK35" s="17"/>
      <c r="BL35" s="17"/>
      <c r="BM35" s="17"/>
      <c r="BN35" s="17" t="s">
        <v>44</v>
      </c>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row>
    <row r="36" spans="3:110" hidden="1" x14ac:dyDescent="0.55000000000000004">
      <c r="C36" s="5" t="s">
        <v>245</v>
      </c>
      <c r="D36" s="1">
        <v>35</v>
      </c>
      <c r="E36" s="17" t="s">
        <v>104</v>
      </c>
      <c r="F36" s="17"/>
      <c r="G36" s="17"/>
      <c r="H36" s="17"/>
      <c r="I36" s="17"/>
      <c r="J36" s="17"/>
      <c r="K36" s="17"/>
      <c r="L36" s="17"/>
      <c r="M36" s="17"/>
      <c r="N36" s="17"/>
      <c r="O36" s="17"/>
      <c r="P36" s="17"/>
      <c r="Q36" s="17"/>
      <c r="R36" s="17" t="s">
        <v>71</v>
      </c>
      <c r="S36" s="17"/>
      <c r="T36" s="17"/>
      <c r="U36" s="17"/>
      <c r="V36" s="17"/>
      <c r="W36" s="8">
        <v>4</v>
      </c>
      <c r="X36" s="8">
        <v>2</v>
      </c>
      <c r="Y36" s="1"/>
      <c r="Z36" s="8"/>
      <c r="AA36" s="8"/>
      <c r="AB36" s="17" t="s">
        <v>132</v>
      </c>
      <c r="AC36" s="17"/>
      <c r="AD36" s="17"/>
      <c r="AE36" s="17"/>
      <c r="AF36" s="17"/>
      <c r="AG36" s="17"/>
      <c r="AH36" s="17"/>
      <c r="AI36" s="17"/>
      <c r="AJ36" s="17"/>
      <c r="AK36" s="17"/>
      <c r="AL36" s="17"/>
      <c r="AM36" s="17"/>
      <c r="AN36" s="17"/>
      <c r="AO36" s="17"/>
      <c r="AP36" s="17"/>
      <c r="AQ36" s="17"/>
      <c r="AR36" s="17"/>
      <c r="AS36" s="17"/>
      <c r="AT36" s="17" t="s">
        <v>133</v>
      </c>
      <c r="AU36" s="17"/>
      <c r="AV36" s="17"/>
      <c r="AW36" s="17"/>
      <c r="AX36" s="17"/>
      <c r="AY36" s="17"/>
      <c r="AZ36" s="17"/>
      <c r="BA36" s="17"/>
      <c r="BB36" s="17"/>
      <c r="BC36" s="17"/>
      <c r="BD36" s="17"/>
      <c r="BE36" s="17"/>
      <c r="BF36" s="17"/>
      <c r="BG36" s="17"/>
      <c r="BH36" s="17"/>
      <c r="BI36" s="17" t="s">
        <v>38</v>
      </c>
      <c r="BJ36" s="17"/>
      <c r="BK36" s="17"/>
      <c r="BL36" s="17"/>
      <c r="BM36" s="17"/>
      <c r="BN36" s="17" t="s">
        <v>44</v>
      </c>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row>
    <row r="37" spans="3:110" hidden="1" x14ac:dyDescent="0.55000000000000004">
      <c r="C37" s="5" t="s">
        <v>245</v>
      </c>
      <c r="D37" s="1">
        <v>36</v>
      </c>
      <c r="E37" s="17" t="s">
        <v>104</v>
      </c>
      <c r="F37" s="17"/>
      <c r="G37" s="17"/>
      <c r="H37" s="17"/>
      <c r="I37" s="17"/>
      <c r="J37" s="17"/>
      <c r="K37" s="17"/>
      <c r="L37" s="17"/>
      <c r="M37" s="17"/>
      <c r="N37" s="17"/>
      <c r="O37" s="17"/>
      <c r="P37" s="17"/>
      <c r="Q37" s="17"/>
      <c r="R37" s="17" t="s">
        <v>71</v>
      </c>
      <c r="S37" s="17"/>
      <c r="T37" s="17"/>
      <c r="U37" s="17"/>
      <c r="V37" s="17"/>
      <c r="W37" s="8">
        <v>4</v>
      </c>
      <c r="X37" s="8">
        <v>2</v>
      </c>
      <c r="Y37" s="1"/>
      <c r="Z37" s="8"/>
      <c r="AA37" s="8"/>
      <c r="AB37" s="17" t="s">
        <v>134</v>
      </c>
      <c r="AC37" s="17"/>
      <c r="AD37" s="17"/>
      <c r="AE37" s="17"/>
      <c r="AF37" s="17"/>
      <c r="AG37" s="17"/>
      <c r="AH37" s="17"/>
      <c r="AI37" s="17"/>
      <c r="AJ37" s="17"/>
      <c r="AK37" s="17"/>
      <c r="AL37" s="17"/>
      <c r="AM37" s="17"/>
      <c r="AN37" s="17"/>
      <c r="AO37" s="17"/>
      <c r="AP37" s="17"/>
      <c r="AQ37" s="17"/>
      <c r="AR37" s="17"/>
      <c r="AS37" s="17"/>
      <c r="AT37" s="17" t="s">
        <v>135</v>
      </c>
      <c r="AU37" s="17"/>
      <c r="AV37" s="17"/>
      <c r="AW37" s="17"/>
      <c r="AX37" s="17"/>
      <c r="AY37" s="17"/>
      <c r="AZ37" s="17"/>
      <c r="BA37" s="17"/>
      <c r="BB37" s="17"/>
      <c r="BC37" s="17"/>
      <c r="BD37" s="17"/>
      <c r="BE37" s="17"/>
      <c r="BF37" s="17"/>
      <c r="BG37" s="17"/>
      <c r="BH37" s="17"/>
      <c r="BI37" s="17" t="s">
        <v>95</v>
      </c>
      <c r="BJ37" s="17"/>
      <c r="BK37" s="17"/>
      <c r="BL37" s="17"/>
      <c r="BM37" s="17"/>
      <c r="BN37" s="17" t="s">
        <v>136</v>
      </c>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row>
    <row r="38" spans="3:110" hidden="1" x14ac:dyDescent="0.55000000000000004">
      <c r="C38" s="5" t="s">
        <v>245</v>
      </c>
      <c r="D38" s="1">
        <v>37</v>
      </c>
      <c r="E38" s="17" t="s">
        <v>104</v>
      </c>
      <c r="F38" s="17"/>
      <c r="G38" s="17"/>
      <c r="H38" s="17"/>
      <c r="I38" s="17"/>
      <c r="J38" s="17"/>
      <c r="K38" s="17"/>
      <c r="L38" s="17"/>
      <c r="M38" s="17"/>
      <c r="N38" s="17"/>
      <c r="O38" s="17"/>
      <c r="P38" s="17"/>
      <c r="Q38" s="17"/>
      <c r="R38" s="17" t="s">
        <v>52</v>
      </c>
      <c r="S38" s="17"/>
      <c r="T38" s="17"/>
      <c r="U38" s="17"/>
      <c r="V38" s="17"/>
      <c r="W38" s="8">
        <v>0</v>
      </c>
      <c r="X38" s="8">
        <v>0</v>
      </c>
      <c r="Y38" s="1"/>
      <c r="Z38" s="8"/>
      <c r="AA38" s="8"/>
      <c r="AB38" s="17" t="s">
        <v>0</v>
      </c>
      <c r="AC38" s="17"/>
      <c r="AD38" s="17"/>
      <c r="AE38" s="17"/>
      <c r="AF38" s="17"/>
      <c r="AG38" s="17"/>
      <c r="AH38" s="17"/>
      <c r="AI38" s="17"/>
      <c r="AJ38" s="17"/>
      <c r="AK38" s="17"/>
      <c r="AL38" s="17"/>
      <c r="AM38" s="17"/>
      <c r="AN38" s="17"/>
      <c r="AO38" s="17"/>
      <c r="AP38" s="17"/>
      <c r="AQ38" s="17"/>
      <c r="AR38" s="17"/>
      <c r="AS38" s="17"/>
      <c r="AT38" s="17" t="s">
        <v>37</v>
      </c>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row>
    <row r="39" spans="3:110" hidden="1" x14ac:dyDescent="0.55000000000000004">
      <c r="C39" s="5" t="s">
        <v>245</v>
      </c>
      <c r="D39" s="1">
        <v>38</v>
      </c>
      <c r="E39" s="17" t="s">
        <v>104</v>
      </c>
      <c r="F39" s="17"/>
      <c r="G39" s="17"/>
      <c r="H39" s="17"/>
      <c r="I39" s="17"/>
      <c r="J39" s="17"/>
      <c r="K39" s="17"/>
      <c r="L39" s="17"/>
      <c r="M39" s="17"/>
      <c r="N39" s="17"/>
      <c r="O39" s="17"/>
      <c r="P39" s="17"/>
      <c r="Q39" s="17"/>
      <c r="R39" s="17" t="s">
        <v>71</v>
      </c>
      <c r="S39" s="17"/>
      <c r="T39" s="17"/>
      <c r="U39" s="17"/>
      <c r="V39" s="17"/>
      <c r="W39" s="8">
        <v>4</v>
      </c>
      <c r="X39" s="8">
        <v>2</v>
      </c>
      <c r="Y39" s="1"/>
      <c r="Z39" s="8"/>
      <c r="AA39" s="8"/>
      <c r="AB39" s="17" t="s">
        <v>137</v>
      </c>
      <c r="AC39" s="17"/>
      <c r="AD39" s="17"/>
      <c r="AE39" s="17"/>
      <c r="AF39" s="17"/>
      <c r="AG39" s="17"/>
      <c r="AH39" s="17"/>
      <c r="AI39" s="17"/>
      <c r="AJ39" s="17"/>
      <c r="AK39" s="17"/>
      <c r="AL39" s="17"/>
      <c r="AM39" s="17"/>
      <c r="AN39" s="17"/>
      <c r="AO39" s="17"/>
      <c r="AP39" s="17"/>
      <c r="AQ39" s="17"/>
      <c r="AR39" s="17"/>
      <c r="AS39" s="17"/>
      <c r="AT39" s="17" t="s">
        <v>138</v>
      </c>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row>
    <row r="40" spans="3:110" hidden="1" x14ac:dyDescent="0.55000000000000004">
      <c r="C40" s="5" t="s">
        <v>245</v>
      </c>
      <c r="D40" s="1">
        <v>39</v>
      </c>
      <c r="E40" s="17" t="s">
        <v>104</v>
      </c>
      <c r="F40" s="17"/>
      <c r="G40" s="17"/>
      <c r="H40" s="17"/>
      <c r="I40" s="17"/>
      <c r="J40" s="17"/>
      <c r="K40" s="17"/>
      <c r="L40" s="17"/>
      <c r="M40" s="17"/>
      <c r="N40" s="17"/>
      <c r="O40" s="17"/>
      <c r="P40" s="17"/>
      <c r="Q40" s="17"/>
      <c r="R40" s="17" t="s">
        <v>71</v>
      </c>
      <c r="S40" s="17"/>
      <c r="T40" s="17"/>
      <c r="U40" s="17"/>
      <c r="V40" s="17"/>
      <c r="W40" s="8">
        <v>4</v>
      </c>
      <c r="X40" s="8">
        <v>2</v>
      </c>
      <c r="Y40" s="1"/>
      <c r="Z40" s="8"/>
      <c r="AA40" s="8"/>
      <c r="AB40" s="17" t="s">
        <v>139</v>
      </c>
      <c r="AC40" s="17"/>
      <c r="AD40" s="17"/>
      <c r="AE40" s="17"/>
      <c r="AF40" s="17"/>
      <c r="AG40" s="17"/>
      <c r="AH40" s="17"/>
      <c r="AI40" s="17"/>
      <c r="AJ40" s="17"/>
      <c r="AK40" s="17"/>
      <c r="AL40" s="17"/>
      <c r="AM40" s="17"/>
      <c r="AN40" s="17"/>
      <c r="AO40" s="17"/>
      <c r="AP40" s="17"/>
      <c r="AQ40" s="17"/>
      <c r="AR40" s="17"/>
      <c r="AS40" s="17"/>
      <c r="AT40" s="17" t="s">
        <v>140</v>
      </c>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row>
    <row r="41" spans="3:110" hidden="1" x14ac:dyDescent="0.55000000000000004">
      <c r="C41" s="5" t="s">
        <v>245</v>
      </c>
      <c r="D41" s="1">
        <v>40</v>
      </c>
      <c r="E41" s="17" t="s">
        <v>104</v>
      </c>
      <c r="F41" s="17"/>
      <c r="G41" s="17"/>
      <c r="H41" s="17"/>
      <c r="I41" s="17"/>
      <c r="J41" s="17"/>
      <c r="K41" s="17"/>
      <c r="L41" s="17"/>
      <c r="M41" s="17"/>
      <c r="N41" s="17"/>
      <c r="O41" s="17"/>
      <c r="P41" s="17"/>
      <c r="Q41" s="17"/>
      <c r="R41" s="17" t="s">
        <v>52</v>
      </c>
      <c r="S41" s="17"/>
      <c r="T41" s="17"/>
      <c r="U41" s="17"/>
      <c r="V41" s="17"/>
      <c r="W41" s="8">
        <v>0</v>
      </c>
      <c r="X41" s="8">
        <v>0</v>
      </c>
      <c r="Y41" s="1"/>
      <c r="Z41" s="8"/>
      <c r="AA41" s="8"/>
      <c r="AB41" s="17" t="s">
        <v>141</v>
      </c>
      <c r="AC41" s="17"/>
      <c r="AD41" s="17"/>
      <c r="AE41" s="17"/>
      <c r="AF41" s="17"/>
      <c r="AG41" s="17"/>
      <c r="AH41" s="17"/>
      <c r="AI41" s="17"/>
      <c r="AJ41" s="17"/>
      <c r="AK41" s="17"/>
      <c r="AL41" s="17"/>
      <c r="AM41" s="17"/>
      <c r="AN41" s="17"/>
      <c r="AO41" s="17"/>
      <c r="AP41" s="17"/>
      <c r="AQ41" s="17"/>
      <c r="AR41" s="17"/>
      <c r="AS41" s="17"/>
      <c r="AT41" s="17" t="s">
        <v>142</v>
      </c>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row>
    <row r="42" spans="3:110" hidden="1" x14ac:dyDescent="0.55000000000000004">
      <c r="C42" s="5" t="s">
        <v>245</v>
      </c>
      <c r="D42" s="1">
        <v>41</v>
      </c>
      <c r="E42" s="17" t="s">
        <v>104</v>
      </c>
      <c r="F42" s="17"/>
      <c r="G42" s="17"/>
      <c r="H42" s="17"/>
      <c r="I42" s="17"/>
      <c r="J42" s="17"/>
      <c r="K42" s="17"/>
      <c r="L42" s="17"/>
      <c r="M42" s="17"/>
      <c r="N42" s="17"/>
      <c r="O42" s="17"/>
      <c r="P42" s="17"/>
      <c r="Q42" s="17"/>
      <c r="R42" s="17" t="s">
        <v>52</v>
      </c>
      <c r="S42" s="17"/>
      <c r="T42" s="17"/>
      <c r="U42" s="17"/>
      <c r="V42" s="17"/>
      <c r="W42" s="8">
        <v>0</v>
      </c>
      <c r="X42" s="8">
        <v>0</v>
      </c>
      <c r="Y42" s="1"/>
      <c r="Z42" s="8"/>
      <c r="AA42" s="8"/>
      <c r="AB42" s="17" t="s">
        <v>143</v>
      </c>
      <c r="AC42" s="17"/>
      <c r="AD42" s="17"/>
      <c r="AE42" s="17"/>
      <c r="AF42" s="17"/>
      <c r="AG42" s="17"/>
      <c r="AH42" s="17"/>
      <c r="AI42" s="17"/>
      <c r="AJ42" s="17"/>
      <c r="AK42" s="17"/>
      <c r="AL42" s="17"/>
      <c r="AM42" s="17"/>
      <c r="AN42" s="17"/>
      <c r="AO42" s="17"/>
      <c r="AP42" s="17"/>
      <c r="AQ42" s="17"/>
      <c r="AR42" s="17"/>
      <c r="AS42" s="17"/>
      <c r="AT42" s="17" t="s">
        <v>144</v>
      </c>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row>
    <row r="43" spans="3:110" hidden="1" x14ac:dyDescent="0.55000000000000004">
      <c r="C43" s="5" t="s">
        <v>245</v>
      </c>
      <c r="D43" s="1">
        <v>42</v>
      </c>
      <c r="E43" s="17" t="s">
        <v>104</v>
      </c>
      <c r="F43" s="17"/>
      <c r="G43" s="17"/>
      <c r="H43" s="17"/>
      <c r="I43" s="17"/>
      <c r="J43" s="17"/>
      <c r="K43" s="17"/>
      <c r="L43" s="17"/>
      <c r="M43" s="17"/>
      <c r="N43" s="17"/>
      <c r="O43" s="17"/>
      <c r="P43" s="17"/>
      <c r="Q43" s="17"/>
      <c r="R43" s="17" t="s">
        <v>71</v>
      </c>
      <c r="S43" s="17"/>
      <c r="T43" s="17"/>
      <c r="U43" s="17"/>
      <c r="V43" s="17"/>
      <c r="W43" s="8">
        <v>4</v>
      </c>
      <c r="X43" s="8">
        <v>2</v>
      </c>
      <c r="Y43" s="1"/>
      <c r="Z43" s="8"/>
      <c r="AA43" s="8"/>
      <c r="AB43" s="17" t="s">
        <v>145</v>
      </c>
      <c r="AC43" s="17"/>
      <c r="AD43" s="17"/>
      <c r="AE43" s="17"/>
      <c r="AF43" s="17"/>
      <c r="AG43" s="17"/>
      <c r="AH43" s="17"/>
      <c r="AI43" s="17"/>
      <c r="AJ43" s="17"/>
      <c r="AK43" s="17"/>
      <c r="AL43" s="17"/>
      <c r="AM43" s="17"/>
      <c r="AN43" s="17"/>
      <c r="AO43" s="17"/>
      <c r="AP43" s="17"/>
      <c r="AQ43" s="17"/>
      <c r="AR43" s="17"/>
      <c r="AS43" s="17"/>
      <c r="AT43" s="17" t="s">
        <v>146</v>
      </c>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row>
    <row r="44" spans="3:110" hidden="1" x14ac:dyDescent="0.55000000000000004">
      <c r="C44" s="5" t="s">
        <v>245</v>
      </c>
      <c r="D44" s="1">
        <v>43</v>
      </c>
      <c r="E44" s="17" t="s">
        <v>104</v>
      </c>
      <c r="F44" s="17"/>
      <c r="G44" s="17"/>
      <c r="H44" s="17"/>
      <c r="I44" s="17"/>
      <c r="J44" s="17"/>
      <c r="K44" s="17"/>
      <c r="L44" s="17"/>
      <c r="M44" s="17"/>
      <c r="N44" s="17"/>
      <c r="O44" s="17"/>
      <c r="P44" s="17"/>
      <c r="Q44" s="17"/>
      <c r="R44" s="17" t="s">
        <v>71</v>
      </c>
      <c r="S44" s="17"/>
      <c r="T44" s="17"/>
      <c r="U44" s="17"/>
      <c r="V44" s="17"/>
      <c r="W44" s="8">
        <v>4</v>
      </c>
      <c r="X44" s="8">
        <v>2</v>
      </c>
      <c r="Y44" s="1"/>
      <c r="Z44" s="8"/>
      <c r="AA44" s="8"/>
      <c r="AB44" s="17" t="s">
        <v>147</v>
      </c>
      <c r="AC44" s="17"/>
      <c r="AD44" s="17"/>
      <c r="AE44" s="17"/>
      <c r="AF44" s="17"/>
      <c r="AG44" s="17"/>
      <c r="AH44" s="17"/>
      <c r="AI44" s="17"/>
      <c r="AJ44" s="17"/>
      <c r="AK44" s="17"/>
      <c r="AL44" s="17"/>
      <c r="AM44" s="17"/>
      <c r="AN44" s="17"/>
      <c r="AO44" s="17"/>
      <c r="AP44" s="17"/>
      <c r="AQ44" s="17"/>
      <c r="AR44" s="17"/>
      <c r="AS44" s="17"/>
      <c r="AT44" s="17" t="s">
        <v>148</v>
      </c>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row>
    <row r="45" spans="3:110" hidden="1" x14ac:dyDescent="0.55000000000000004">
      <c r="C45" s="5" t="s">
        <v>245</v>
      </c>
      <c r="D45" s="1">
        <v>44</v>
      </c>
      <c r="E45" s="17" t="s">
        <v>104</v>
      </c>
      <c r="F45" s="17"/>
      <c r="G45" s="17"/>
      <c r="H45" s="17"/>
      <c r="I45" s="17"/>
      <c r="J45" s="17"/>
      <c r="K45" s="17"/>
      <c r="L45" s="17"/>
      <c r="M45" s="17"/>
      <c r="N45" s="17"/>
      <c r="O45" s="17"/>
      <c r="P45" s="17"/>
      <c r="Q45" s="17"/>
      <c r="R45" s="17" t="s">
        <v>52</v>
      </c>
      <c r="S45" s="17"/>
      <c r="T45" s="17"/>
      <c r="U45" s="17"/>
      <c r="V45" s="17"/>
      <c r="W45" s="8">
        <v>0</v>
      </c>
      <c r="X45" s="8">
        <v>0</v>
      </c>
      <c r="Y45" s="1"/>
      <c r="Z45" s="8"/>
      <c r="AA45" s="8"/>
      <c r="AB45" s="17" t="s">
        <v>149</v>
      </c>
      <c r="AC45" s="17"/>
      <c r="AD45" s="17"/>
      <c r="AE45" s="17"/>
      <c r="AF45" s="17"/>
      <c r="AG45" s="17"/>
      <c r="AH45" s="17"/>
      <c r="AI45" s="17"/>
      <c r="AJ45" s="17"/>
      <c r="AK45" s="17"/>
      <c r="AL45" s="17"/>
      <c r="AM45" s="17"/>
      <c r="AN45" s="17"/>
      <c r="AO45" s="17"/>
      <c r="AP45" s="17"/>
      <c r="AQ45" s="17"/>
      <c r="AR45" s="17"/>
      <c r="AS45" s="17"/>
      <c r="AT45" s="17" t="s">
        <v>150</v>
      </c>
      <c r="AU45" s="17"/>
      <c r="AV45" s="17"/>
      <c r="AW45" s="17"/>
      <c r="AX45" s="17"/>
      <c r="AY45" s="17"/>
      <c r="AZ45" s="17"/>
      <c r="BA45" s="17"/>
      <c r="BB45" s="17"/>
      <c r="BC45" s="17"/>
      <c r="BD45" s="17"/>
      <c r="BE45" s="17"/>
      <c r="BF45" s="17"/>
      <c r="BG45" s="17"/>
      <c r="BH45" s="17"/>
      <c r="BI45" s="17"/>
      <c r="BJ45" s="17"/>
      <c r="BK45" s="17"/>
      <c r="BL45" s="17"/>
      <c r="BM45" s="17"/>
      <c r="BN45" s="17" t="s">
        <v>151</v>
      </c>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row>
    <row r="46" spans="3:110" hidden="1" x14ac:dyDescent="0.55000000000000004">
      <c r="C46" s="5" t="s">
        <v>245</v>
      </c>
      <c r="D46" s="1">
        <v>45</v>
      </c>
      <c r="E46" s="17" t="s">
        <v>104</v>
      </c>
      <c r="F46" s="17"/>
      <c r="G46" s="17"/>
      <c r="H46" s="17"/>
      <c r="I46" s="17"/>
      <c r="J46" s="17"/>
      <c r="K46" s="17"/>
      <c r="L46" s="17"/>
      <c r="M46" s="17"/>
      <c r="N46" s="17"/>
      <c r="O46" s="17"/>
      <c r="P46" s="17"/>
      <c r="Q46" s="17"/>
      <c r="R46" s="17" t="s">
        <v>71</v>
      </c>
      <c r="S46" s="17"/>
      <c r="T46" s="17"/>
      <c r="U46" s="17"/>
      <c r="V46" s="17"/>
      <c r="W46" s="8">
        <v>4</v>
      </c>
      <c r="X46" s="8">
        <v>2</v>
      </c>
      <c r="Y46" s="1"/>
      <c r="Z46" s="8"/>
      <c r="AA46" s="8"/>
      <c r="AB46" s="17" t="s">
        <v>152</v>
      </c>
      <c r="AC46" s="17"/>
      <c r="AD46" s="17"/>
      <c r="AE46" s="17"/>
      <c r="AF46" s="17"/>
      <c r="AG46" s="17"/>
      <c r="AH46" s="17"/>
      <c r="AI46" s="17"/>
      <c r="AJ46" s="17"/>
      <c r="AK46" s="17"/>
      <c r="AL46" s="17"/>
      <c r="AM46" s="17"/>
      <c r="AN46" s="17"/>
      <c r="AO46" s="17"/>
      <c r="AP46" s="17"/>
      <c r="AQ46" s="17"/>
      <c r="AR46" s="17"/>
      <c r="AS46" s="17"/>
      <c r="AT46" s="17" t="s">
        <v>153</v>
      </c>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row>
    <row r="47" spans="3:110" hidden="1" x14ac:dyDescent="0.55000000000000004">
      <c r="C47" s="5" t="s">
        <v>245</v>
      </c>
      <c r="D47" s="1">
        <v>46</v>
      </c>
      <c r="E47" s="17" t="s">
        <v>104</v>
      </c>
      <c r="F47" s="17"/>
      <c r="G47" s="17"/>
      <c r="H47" s="17"/>
      <c r="I47" s="17"/>
      <c r="J47" s="17"/>
      <c r="K47" s="17"/>
      <c r="L47" s="17"/>
      <c r="M47" s="17"/>
      <c r="N47" s="17"/>
      <c r="O47" s="17"/>
      <c r="P47" s="17"/>
      <c r="Q47" s="17"/>
      <c r="R47" s="17" t="s">
        <v>71</v>
      </c>
      <c r="S47" s="17"/>
      <c r="T47" s="17"/>
      <c r="U47" s="17"/>
      <c r="V47" s="17"/>
      <c r="W47" s="8">
        <v>4</v>
      </c>
      <c r="X47" s="8">
        <v>2</v>
      </c>
      <c r="Y47" s="1"/>
      <c r="Z47" s="8"/>
      <c r="AA47" s="8"/>
      <c r="AB47" s="17" t="s">
        <v>154</v>
      </c>
      <c r="AC47" s="17"/>
      <c r="AD47" s="17"/>
      <c r="AE47" s="17"/>
      <c r="AF47" s="17"/>
      <c r="AG47" s="17"/>
      <c r="AH47" s="17"/>
      <c r="AI47" s="17"/>
      <c r="AJ47" s="17"/>
      <c r="AK47" s="17"/>
      <c r="AL47" s="17"/>
      <c r="AM47" s="17"/>
      <c r="AN47" s="17"/>
      <c r="AO47" s="17"/>
      <c r="AP47" s="17"/>
      <c r="AQ47" s="17"/>
      <c r="AR47" s="17"/>
      <c r="AS47" s="17"/>
      <c r="AT47" s="17" t="s">
        <v>155</v>
      </c>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row>
    <row r="48" spans="3:110" hidden="1" x14ac:dyDescent="0.55000000000000004">
      <c r="C48" s="5" t="s">
        <v>245</v>
      </c>
      <c r="D48" s="1">
        <v>47</v>
      </c>
      <c r="E48" s="17" t="s">
        <v>104</v>
      </c>
      <c r="F48" s="17"/>
      <c r="G48" s="17"/>
      <c r="H48" s="17"/>
      <c r="I48" s="17"/>
      <c r="J48" s="17"/>
      <c r="K48" s="17"/>
      <c r="L48" s="17"/>
      <c r="M48" s="17"/>
      <c r="N48" s="17"/>
      <c r="O48" s="17"/>
      <c r="P48" s="17"/>
      <c r="Q48" s="17"/>
      <c r="R48" s="17" t="s">
        <v>52</v>
      </c>
      <c r="S48" s="17"/>
      <c r="T48" s="17"/>
      <c r="U48" s="17"/>
      <c r="V48" s="17"/>
      <c r="W48" s="8">
        <v>0</v>
      </c>
      <c r="X48" s="8">
        <v>0</v>
      </c>
      <c r="Y48" s="1"/>
      <c r="Z48" s="8"/>
      <c r="AA48" s="8"/>
      <c r="AB48" s="17" t="s">
        <v>156</v>
      </c>
      <c r="AC48" s="17"/>
      <c r="AD48" s="17"/>
      <c r="AE48" s="17"/>
      <c r="AF48" s="17"/>
      <c r="AG48" s="17"/>
      <c r="AH48" s="17"/>
      <c r="AI48" s="17"/>
      <c r="AJ48" s="17"/>
      <c r="AK48" s="17"/>
      <c r="AL48" s="17"/>
      <c r="AM48" s="17"/>
      <c r="AN48" s="17"/>
      <c r="AO48" s="17"/>
      <c r="AP48" s="17"/>
      <c r="AQ48" s="17"/>
      <c r="AR48" s="17"/>
      <c r="AS48" s="17"/>
      <c r="AT48" s="17" t="s">
        <v>157</v>
      </c>
      <c r="AU48" s="17"/>
      <c r="AV48" s="17"/>
      <c r="AW48" s="17"/>
      <c r="AX48" s="17"/>
      <c r="AY48" s="17"/>
      <c r="AZ48" s="17"/>
      <c r="BA48" s="17"/>
      <c r="BB48" s="17"/>
      <c r="BC48" s="17"/>
      <c r="BD48" s="17"/>
      <c r="BE48" s="17"/>
      <c r="BF48" s="17"/>
      <c r="BG48" s="17"/>
      <c r="BH48" s="17"/>
      <c r="BI48" s="17"/>
      <c r="BJ48" s="17"/>
      <c r="BK48" s="17"/>
      <c r="BL48" s="17"/>
      <c r="BM48" s="17"/>
      <c r="BN48" s="17" t="s">
        <v>151</v>
      </c>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row>
    <row r="49" spans="3:110" hidden="1" x14ac:dyDescent="0.55000000000000004">
      <c r="C49" s="5" t="s">
        <v>245</v>
      </c>
      <c r="D49" s="1">
        <v>48</v>
      </c>
      <c r="E49" s="17" t="s">
        <v>104</v>
      </c>
      <c r="F49" s="17"/>
      <c r="G49" s="17"/>
      <c r="H49" s="17"/>
      <c r="I49" s="17"/>
      <c r="J49" s="17"/>
      <c r="K49" s="17"/>
      <c r="L49" s="17"/>
      <c r="M49" s="17"/>
      <c r="N49" s="17"/>
      <c r="O49" s="17"/>
      <c r="P49" s="17"/>
      <c r="Q49" s="17"/>
      <c r="R49" s="17" t="s">
        <v>35</v>
      </c>
      <c r="S49" s="17"/>
      <c r="T49" s="17"/>
      <c r="U49" s="17"/>
      <c r="V49" s="17"/>
      <c r="W49" s="8">
        <v>8</v>
      </c>
      <c r="X49" s="8">
        <v>4</v>
      </c>
      <c r="Y49" s="1"/>
      <c r="Z49" s="8"/>
      <c r="AA49" s="8"/>
      <c r="AB49" s="17" t="s">
        <v>158</v>
      </c>
      <c r="AC49" s="17"/>
      <c r="AD49" s="17"/>
      <c r="AE49" s="17"/>
      <c r="AF49" s="17"/>
      <c r="AG49" s="17"/>
      <c r="AH49" s="17"/>
      <c r="AI49" s="17"/>
      <c r="AJ49" s="17"/>
      <c r="AK49" s="17"/>
      <c r="AL49" s="17"/>
      <c r="AM49" s="17"/>
      <c r="AN49" s="17"/>
      <c r="AO49" s="17"/>
      <c r="AP49" s="17"/>
      <c r="AQ49" s="17"/>
      <c r="AR49" s="17"/>
      <c r="AS49" s="17"/>
      <c r="AT49" s="17" t="s">
        <v>159</v>
      </c>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row>
    <row r="50" spans="3:110" hidden="1" x14ac:dyDescent="0.55000000000000004">
      <c r="C50" s="5" t="s">
        <v>245</v>
      </c>
      <c r="D50" s="1">
        <v>49</v>
      </c>
      <c r="E50" s="17" t="s">
        <v>160</v>
      </c>
      <c r="F50" s="17"/>
      <c r="G50" s="17"/>
      <c r="H50" s="17"/>
      <c r="I50" s="17"/>
      <c r="J50" s="17"/>
      <c r="K50" s="17"/>
      <c r="L50" s="17"/>
      <c r="M50" s="17"/>
      <c r="N50" s="17"/>
      <c r="O50" s="17"/>
      <c r="P50" s="17"/>
      <c r="Q50" s="17"/>
      <c r="R50" s="17" t="s">
        <v>35</v>
      </c>
      <c r="S50" s="17"/>
      <c r="T50" s="17"/>
      <c r="U50" s="17"/>
      <c r="V50" s="17"/>
      <c r="W50" s="8">
        <v>8</v>
      </c>
      <c r="X50" s="8">
        <v>4</v>
      </c>
      <c r="Y50" s="1"/>
      <c r="Z50" s="8"/>
      <c r="AA50" s="8"/>
      <c r="AB50" s="17" t="s">
        <v>161</v>
      </c>
      <c r="AC50" s="17"/>
      <c r="AD50" s="17"/>
      <c r="AE50" s="17"/>
      <c r="AF50" s="17"/>
      <c r="AG50" s="17"/>
      <c r="AH50" s="17"/>
      <c r="AI50" s="17"/>
      <c r="AJ50" s="17"/>
      <c r="AK50" s="17"/>
      <c r="AL50" s="17"/>
      <c r="AM50" s="17"/>
      <c r="AN50" s="17"/>
      <c r="AO50" s="17"/>
      <c r="AP50" s="17"/>
      <c r="AQ50" s="17"/>
      <c r="AR50" s="17"/>
      <c r="AS50" s="17"/>
      <c r="AT50" s="17" t="s">
        <v>162</v>
      </c>
      <c r="AU50" s="17"/>
      <c r="AV50" s="17"/>
      <c r="AW50" s="17"/>
      <c r="AX50" s="17"/>
      <c r="AY50" s="17"/>
      <c r="AZ50" s="17"/>
      <c r="BA50" s="17"/>
      <c r="BB50" s="17"/>
      <c r="BC50" s="17"/>
      <c r="BD50" s="17"/>
      <c r="BE50" s="17"/>
      <c r="BF50" s="17"/>
      <c r="BG50" s="17"/>
      <c r="BH50" s="17"/>
      <c r="BI50" s="17" t="s">
        <v>38</v>
      </c>
      <c r="BJ50" s="17"/>
      <c r="BK50" s="17"/>
      <c r="BL50" s="17"/>
      <c r="BM50" s="17"/>
      <c r="BN50" s="17" t="s">
        <v>44</v>
      </c>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row>
    <row r="51" spans="3:110" hidden="1" x14ac:dyDescent="0.55000000000000004">
      <c r="C51" s="5" t="s">
        <v>245</v>
      </c>
      <c r="D51" s="1">
        <v>50</v>
      </c>
      <c r="E51" s="17" t="s">
        <v>160</v>
      </c>
      <c r="F51" s="17"/>
      <c r="G51" s="17"/>
      <c r="H51" s="17"/>
      <c r="I51" s="17"/>
      <c r="J51" s="17"/>
      <c r="K51" s="17"/>
      <c r="L51" s="17"/>
      <c r="M51" s="17"/>
      <c r="N51" s="17"/>
      <c r="O51" s="17"/>
      <c r="P51" s="17"/>
      <c r="Q51" s="17"/>
      <c r="R51" s="17" t="s">
        <v>35</v>
      </c>
      <c r="S51" s="17"/>
      <c r="T51" s="17"/>
      <c r="U51" s="17"/>
      <c r="V51" s="17"/>
      <c r="W51" s="8">
        <v>8</v>
      </c>
      <c r="X51" s="8">
        <v>4</v>
      </c>
      <c r="Y51" s="1"/>
      <c r="Z51" s="8"/>
      <c r="AA51" s="8"/>
      <c r="AB51" s="17" t="s">
        <v>163</v>
      </c>
      <c r="AC51" s="17"/>
      <c r="AD51" s="17"/>
      <c r="AE51" s="17"/>
      <c r="AF51" s="17"/>
      <c r="AG51" s="17"/>
      <c r="AH51" s="17"/>
      <c r="AI51" s="17"/>
      <c r="AJ51" s="17"/>
      <c r="AK51" s="17"/>
      <c r="AL51" s="17"/>
      <c r="AM51" s="17"/>
      <c r="AN51" s="17"/>
      <c r="AO51" s="17"/>
      <c r="AP51" s="17"/>
      <c r="AQ51" s="17"/>
      <c r="AR51" s="17"/>
      <c r="AS51" s="17"/>
      <c r="AT51" s="17" t="s">
        <v>164</v>
      </c>
      <c r="AU51" s="17"/>
      <c r="AV51" s="17"/>
      <c r="AW51" s="17"/>
      <c r="AX51" s="17"/>
      <c r="AY51" s="17"/>
      <c r="AZ51" s="17"/>
      <c r="BA51" s="17"/>
      <c r="BB51" s="17"/>
      <c r="BC51" s="17"/>
      <c r="BD51" s="17"/>
      <c r="BE51" s="17"/>
      <c r="BF51" s="17"/>
      <c r="BG51" s="17"/>
      <c r="BH51" s="17"/>
      <c r="BI51" s="17" t="s">
        <v>38</v>
      </c>
      <c r="BJ51" s="17"/>
      <c r="BK51" s="17"/>
      <c r="BL51" s="17"/>
      <c r="BM51" s="17"/>
      <c r="BN51" s="17" t="s">
        <v>44</v>
      </c>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row>
    <row r="52" spans="3:110" hidden="1" x14ac:dyDescent="0.55000000000000004">
      <c r="C52" s="5" t="s">
        <v>245</v>
      </c>
      <c r="D52" s="1">
        <v>51</v>
      </c>
      <c r="E52" s="17" t="s">
        <v>160</v>
      </c>
      <c r="F52" s="17"/>
      <c r="G52" s="17"/>
      <c r="H52" s="17"/>
      <c r="I52" s="17"/>
      <c r="J52" s="17"/>
      <c r="K52" s="17"/>
      <c r="L52" s="17"/>
      <c r="M52" s="17"/>
      <c r="N52" s="17"/>
      <c r="O52" s="17"/>
      <c r="P52" s="17"/>
      <c r="Q52" s="17"/>
      <c r="R52" s="17" t="s">
        <v>35</v>
      </c>
      <c r="S52" s="17"/>
      <c r="T52" s="17"/>
      <c r="U52" s="17"/>
      <c r="V52" s="17"/>
      <c r="W52" s="8">
        <v>8</v>
      </c>
      <c r="X52" s="8">
        <v>4</v>
      </c>
      <c r="Y52" s="1"/>
      <c r="Z52" s="8"/>
      <c r="AA52" s="8"/>
      <c r="AB52" s="17" t="s">
        <v>165</v>
      </c>
      <c r="AC52" s="17"/>
      <c r="AD52" s="17"/>
      <c r="AE52" s="17"/>
      <c r="AF52" s="17"/>
      <c r="AG52" s="17"/>
      <c r="AH52" s="17"/>
      <c r="AI52" s="17"/>
      <c r="AJ52" s="17"/>
      <c r="AK52" s="17"/>
      <c r="AL52" s="17"/>
      <c r="AM52" s="17"/>
      <c r="AN52" s="17"/>
      <c r="AO52" s="17"/>
      <c r="AP52" s="17"/>
      <c r="AQ52" s="17"/>
      <c r="AR52" s="17"/>
      <c r="AS52" s="17"/>
      <c r="AT52" s="17" t="s">
        <v>166</v>
      </c>
      <c r="AU52" s="17"/>
      <c r="AV52" s="17"/>
      <c r="AW52" s="17"/>
      <c r="AX52" s="17"/>
      <c r="AY52" s="17"/>
      <c r="AZ52" s="17"/>
      <c r="BA52" s="17"/>
      <c r="BB52" s="17"/>
      <c r="BC52" s="17"/>
      <c r="BD52" s="17"/>
      <c r="BE52" s="17"/>
      <c r="BF52" s="17"/>
      <c r="BG52" s="17"/>
      <c r="BH52" s="17"/>
      <c r="BI52" s="17" t="s">
        <v>38</v>
      </c>
      <c r="BJ52" s="17"/>
      <c r="BK52" s="17"/>
      <c r="BL52" s="17"/>
      <c r="BM52" s="17"/>
      <c r="BN52" s="17" t="s">
        <v>44</v>
      </c>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row>
    <row r="53" spans="3:110" hidden="1" x14ac:dyDescent="0.55000000000000004">
      <c r="C53" s="5" t="s">
        <v>245</v>
      </c>
      <c r="D53" s="1">
        <v>52</v>
      </c>
      <c r="E53" s="17" t="s">
        <v>160</v>
      </c>
      <c r="F53" s="17"/>
      <c r="G53" s="17"/>
      <c r="H53" s="17"/>
      <c r="I53" s="17"/>
      <c r="J53" s="17"/>
      <c r="K53" s="17"/>
      <c r="L53" s="17"/>
      <c r="M53" s="17"/>
      <c r="N53" s="17"/>
      <c r="O53" s="17"/>
      <c r="P53" s="17"/>
      <c r="Q53" s="17"/>
      <c r="R53" s="17" t="s">
        <v>35</v>
      </c>
      <c r="S53" s="17"/>
      <c r="T53" s="17"/>
      <c r="U53" s="17"/>
      <c r="V53" s="17"/>
      <c r="W53" s="8">
        <v>8</v>
      </c>
      <c r="X53" s="8">
        <v>4</v>
      </c>
      <c r="Y53" s="1"/>
      <c r="Z53" s="8"/>
      <c r="AA53" s="8"/>
      <c r="AB53" s="17" t="s">
        <v>167</v>
      </c>
      <c r="AC53" s="17"/>
      <c r="AD53" s="17"/>
      <c r="AE53" s="17"/>
      <c r="AF53" s="17"/>
      <c r="AG53" s="17"/>
      <c r="AH53" s="17"/>
      <c r="AI53" s="17"/>
      <c r="AJ53" s="17"/>
      <c r="AK53" s="17"/>
      <c r="AL53" s="17"/>
      <c r="AM53" s="17"/>
      <c r="AN53" s="17"/>
      <c r="AO53" s="17"/>
      <c r="AP53" s="17"/>
      <c r="AQ53" s="17"/>
      <c r="AR53" s="17"/>
      <c r="AS53" s="17"/>
      <c r="AT53" s="17" t="s">
        <v>168</v>
      </c>
      <c r="AU53" s="17"/>
      <c r="AV53" s="17"/>
      <c r="AW53" s="17"/>
      <c r="AX53" s="17"/>
      <c r="AY53" s="17"/>
      <c r="AZ53" s="17"/>
      <c r="BA53" s="17"/>
      <c r="BB53" s="17"/>
      <c r="BC53" s="17"/>
      <c r="BD53" s="17"/>
      <c r="BE53" s="17"/>
      <c r="BF53" s="17"/>
      <c r="BG53" s="17"/>
      <c r="BH53" s="17"/>
      <c r="BI53" s="17" t="s">
        <v>38</v>
      </c>
      <c r="BJ53" s="17"/>
      <c r="BK53" s="17"/>
      <c r="BL53" s="17"/>
      <c r="BM53" s="17"/>
      <c r="BN53" s="17" t="s">
        <v>44</v>
      </c>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row>
    <row r="54" spans="3:110" x14ac:dyDescent="0.55000000000000004">
      <c r="C54" s="5" t="s">
        <v>243</v>
      </c>
      <c r="D54" s="1">
        <v>53</v>
      </c>
      <c r="E54" s="17" t="s">
        <v>169</v>
      </c>
      <c r="F54" s="17"/>
      <c r="G54" s="17"/>
      <c r="H54" s="17"/>
      <c r="I54" s="17"/>
      <c r="J54" s="17"/>
      <c r="K54" s="17"/>
      <c r="L54" s="17"/>
      <c r="M54" s="17"/>
      <c r="N54" s="17"/>
      <c r="O54" s="17"/>
      <c r="P54" s="17"/>
      <c r="Q54" s="17"/>
      <c r="R54" s="17" t="s">
        <v>65</v>
      </c>
      <c r="S54" s="17"/>
      <c r="T54" s="17"/>
      <c r="U54" s="17"/>
      <c r="V54" s="17"/>
      <c r="W54" s="8">
        <v>10</v>
      </c>
      <c r="X54" s="8">
        <v>6</v>
      </c>
      <c r="Y54" s="1"/>
      <c r="Z54" s="8"/>
      <c r="AA54" s="8"/>
      <c r="AB54" s="17" t="s">
        <v>170</v>
      </c>
      <c r="AC54" s="17"/>
      <c r="AD54" s="17"/>
      <c r="AE54" s="17"/>
      <c r="AF54" s="17"/>
      <c r="AG54" s="17"/>
      <c r="AH54" s="17"/>
      <c r="AI54" s="17"/>
      <c r="AJ54" s="17"/>
      <c r="AK54" s="17"/>
      <c r="AL54" s="17"/>
      <c r="AM54" s="17"/>
      <c r="AN54" s="17"/>
      <c r="AO54" s="17"/>
      <c r="AP54" s="17"/>
      <c r="AQ54" s="17"/>
      <c r="AR54" s="17"/>
      <c r="AS54" s="17"/>
      <c r="AT54" s="17" t="s">
        <v>171</v>
      </c>
      <c r="AU54" s="17"/>
      <c r="AV54" s="17"/>
      <c r="AW54" s="17"/>
      <c r="AX54" s="17"/>
      <c r="AY54" s="17"/>
      <c r="AZ54" s="17"/>
      <c r="BA54" s="17"/>
      <c r="BB54" s="17"/>
      <c r="BC54" s="17"/>
      <c r="BD54" s="17"/>
      <c r="BE54" s="17"/>
      <c r="BF54" s="17"/>
      <c r="BG54" s="17"/>
      <c r="BH54" s="17"/>
      <c r="BI54" s="17" t="s">
        <v>171</v>
      </c>
      <c r="BJ54" s="17"/>
      <c r="BK54" s="17"/>
      <c r="BL54" s="17"/>
      <c r="BM54" s="17"/>
      <c r="BN54" s="17" t="s">
        <v>172</v>
      </c>
      <c r="BO54" s="17"/>
      <c r="BP54" s="17"/>
      <c r="BQ54" s="17"/>
      <c r="BR54" s="17"/>
      <c r="BS54" s="17"/>
      <c r="BT54" s="17"/>
      <c r="BU54" s="17"/>
      <c r="BV54" s="17"/>
      <c r="BW54" s="17"/>
      <c r="BX54" s="17"/>
      <c r="BY54" s="17"/>
      <c r="BZ54" s="17"/>
      <c r="CA54" s="17"/>
      <c r="CB54" s="17"/>
      <c r="CC54" s="17"/>
      <c r="CD54" s="17"/>
      <c r="CE54" s="17"/>
      <c r="CF54" s="17"/>
      <c r="CG54" s="17"/>
      <c r="CH54" s="17"/>
      <c r="CI54" s="17"/>
      <c r="CJ54" s="17" t="s">
        <v>173</v>
      </c>
      <c r="CK54" s="17"/>
      <c r="CL54" s="17"/>
      <c r="CM54" s="17"/>
      <c r="CN54" s="17"/>
      <c r="CO54" s="17"/>
      <c r="CP54" s="17"/>
      <c r="CQ54" s="17"/>
      <c r="CR54" s="17"/>
      <c r="CS54" s="17"/>
      <c r="CT54" s="17"/>
      <c r="CU54" s="17"/>
      <c r="CV54" s="17"/>
      <c r="CW54" s="17"/>
      <c r="CX54" s="17"/>
      <c r="CY54" s="17"/>
      <c r="CZ54" s="17"/>
      <c r="DA54" s="17"/>
      <c r="DB54" s="17"/>
      <c r="DC54" s="17"/>
      <c r="DD54" s="17"/>
      <c r="DE54" s="17"/>
      <c r="DF54" s="17"/>
    </row>
    <row r="55" spans="3:110" x14ac:dyDescent="0.55000000000000004">
      <c r="C55" s="5" t="s">
        <v>243</v>
      </c>
      <c r="D55" s="1">
        <v>55</v>
      </c>
      <c r="E55" s="17" t="s">
        <v>169</v>
      </c>
      <c r="F55" s="17"/>
      <c r="G55" s="17"/>
      <c r="H55" s="17"/>
      <c r="I55" s="17"/>
      <c r="J55" s="17"/>
      <c r="K55" s="17"/>
      <c r="L55" s="17"/>
      <c r="M55" s="17"/>
      <c r="N55" s="17"/>
      <c r="O55" s="17"/>
      <c r="P55" s="17"/>
      <c r="Q55" s="17"/>
      <c r="R55" s="17" t="s">
        <v>46</v>
      </c>
      <c r="S55" s="17"/>
      <c r="T55" s="17"/>
      <c r="U55" s="17"/>
      <c r="V55" s="17"/>
      <c r="W55" s="8">
        <v>18</v>
      </c>
      <c r="X55" s="8">
        <v>9</v>
      </c>
      <c r="Y55" s="1"/>
      <c r="Z55" s="8"/>
      <c r="AA55" s="8"/>
      <c r="AB55" s="17" t="s">
        <v>174</v>
      </c>
      <c r="AC55" s="17"/>
      <c r="AD55" s="17"/>
      <c r="AE55" s="17"/>
      <c r="AF55" s="17"/>
      <c r="AG55" s="17"/>
      <c r="AH55" s="17"/>
      <c r="AI55" s="17"/>
      <c r="AJ55" s="17"/>
      <c r="AK55" s="17"/>
      <c r="AL55" s="17"/>
      <c r="AM55" s="17"/>
      <c r="AN55" s="17"/>
      <c r="AO55" s="17"/>
      <c r="AP55" s="17"/>
      <c r="AQ55" s="17"/>
      <c r="AR55" s="17"/>
      <c r="AS55" s="17"/>
      <c r="AT55" s="17" t="s">
        <v>175</v>
      </c>
      <c r="AU55" s="17"/>
      <c r="AV55" s="17"/>
      <c r="AW55" s="17"/>
      <c r="AX55" s="17"/>
      <c r="AY55" s="17"/>
      <c r="AZ55" s="17"/>
      <c r="BA55" s="17"/>
      <c r="BB55" s="17"/>
      <c r="BC55" s="17"/>
      <c r="BD55" s="17"/>
      <c r="BE55" s="17"/>
      <c r="BF55" s="17"/>
      <c r="BG55" s="17"/>
      <c r="BH55" s="17"/>
      <c r="BI55" s="17" t="s">
        <v>95</v>
      </c>
      <c r="BJ55" s="17"/>
      <c r="BK55" s="17"/>
      <c r="BL55" s="17"/>
      <c r="BM55" s="17"/>
      <c r="BN55" s="17" t="s">
        <v>101</v>
      </c>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row>
    <row r="56" spans="3:110" x14ac:dyDescent="0.55000000000000004">
      <c r="C56" s="5" t="s">
        <v>243</v>
      </c>
      <c r="D56" s="1">
        <v>56</v>
      </c>
      <c r="E56" s="17" t="s">
        <v>169</v>
      </c>
      <c r="F56" s="17"/>
      <c r="G56" s="17"/>
      <c r="H56" s="17"/>
      <c r="I56" s="17"/>
      <c r="J56" s="17"/>
      <c r="K56" s="17"/>
      <c r="L56" s="17"/>
      <c r="M56" s="17"/>
      <c r="N56" s="17"/>
      <c r="O56" s="17"/>
      <c r="P56" s="17"/>
      <c r="Q56" s="17"/>
      <c r="R56" s="17" t="s">
        <v>75</v>
      </c>
      <c r="S56" s="17"/>
      <c r="T56" s="17"/>
      <c r="U56" s="17"/>
      <c r="V56" s="17"/>
      <c r="W56" s="8">
        <v>12</v>
      </c>
      <c r="X56" s="8">
        <v>6</v>
      </c>
      <c r="Y56" s="1"/>
      <c r="Z56" s="8"/>
      <c r="AA56" s="8"/>
      <c r="AB56" s="17" t="s">
        <v>176</v>
      </c>
      <c r="AC56" s="17"/>
      <c r="AD56" s="17"/>
      <c r="AE56" s="17"/>
      <c r="AF56" s="17"/>
      <c r="AG56" s="17"/>
      <c r="AH56" s="17"/>
      <c r="AI56" s="17"/>
      <c r="AJ56" s="17"/>
      <c r="AK56" s="17"/>
      <c r="AL56" s="17"/>
      <c r="AM56" s="17"/>
      <c r="AN56" s="17"/>
      <c r="AO56" s="17"/>
      <c r="AP56" s="17"/>
      <c r="AQ56" s="17"/>
      <c r="AR56" s="17"/>
      <c r="AS56" s="17"/>
      <c r="AT56" s="17" t="s">
        <v>177</v>
      </c>
      <c r="AU56" s="17"/>
      <c r="AV56" s="17"/>
      <c r="AW56" s="17"/>
      <c r="AX56" s="17"/>
      <c r="AY56" s="17"/>
      <c r="AZ56" s="17"/>
      <c r="BA56" s="17"/>
      <c r="BB56" s="17"/>
      <c r="BC56" s="17"/>
      <c r="BD56" s="17"/>
      <c r="BE56" s="17"/>
      <c r="BF56" s="17"/>
      <c r="BG56" s="17"/>
      <c r="BH56" s="17"/>
      <c r="BI56" s="17" t="s">
        <v>95</v>
      </c>
      <c r="BJ56" s="17"/>
      <c r="BK56" s="17"/>
      <c r="BL56" s="17"/>
      <c r="BM56" s="17"/>
      <c r="BN56" s="17" t="s">
        <v>94</v>
      </c>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row>
    <row r="57" spans="3:110" hidden="1" x14ac:dyDescent="0.55000000000000004">
      <c r="C57" s="5" t="s">
        <v>243</v>
      </c>
      <c r="D57" s="1">
        <v>57</v>
      </c>
      <c r="E57" s="17" t="s">
        <v>169</v>
      </c>
      <c r="F57" s="17"/>
      <c r="G57" s="17"/>
      <c r="H57" s="17"/>
      <c r="I57" s="17"/>
      <c r="J57" s="17"/>
      <c r="K57" s="17"/>
      <c r="L57" s="17"/>
      <c r="M57" s="17"/>
      <c r="N57" s="17"/>
      <c r="O57" s="17"/>
      <c r="P57" s="17"/>
      <c r="Q57" s="17"/>
      <c r="R57" s="17" t="s">
        <v>52</v>
      </c>
      <c r="S57" s="17"/>
      <c r="T57" s="17"/>
      <c r="U57" s="17"/>
      <c r="V57" s="17"/>
      <c r="W57" s="8">
        <v>0</v>
      </c>
      <c r="X57" s="8">
        <v>0</v>
      </c>
      <c r="Y57" s="1"/>
      <c r="Z57" s="8"/>
      <c r="AA57" s="8"/>
      <c r="AB57" s="17" t="s">
        <v>178</v>
      </c>
      <c r="AC57" s="17"/>
      <c r="AD57" s="17"/>
      <c r="AE57" s="17"/>
      <c r="AF57" s="17"/>
      <c r="AG57" s="17"/>
      <c r="AH57" s="17"/>
      <c r="AI57" s="17"/>
      <c r="AJ57" s="17"/>
      <c r="AK57" s="17"/>
      <c r="AL57" s="17"/>
      <c r="AM57" s="17"/>
      <c r="AN57" s="17"/>
      <c r="AO57" s="17"/>
      <c r="AP57" s="17"/>
      <c r="AQ57" s="17"/>
      <c r="AR57" s="17"/>
      <c r="AS57" s="17"/>
      <c r="AT57" s="17" t="s">
        <v>179</v>
      </c>
      <c r="AU57" s="17"/>
      <c r="AV57" s="17"/>
      <c r="AW57" s="17"/>
      <c r="AX57" s="17"/>
      <c r="AY57" s="17"/>
      <c r="AZ57" s="17"/>
      <c r="BA57" s="17"/>
      <c r="BB57" s="17"/>
      <c r="BC57" s="17"/>
      <c r="BD57" s="17"/>
      <c r="BE57" s="17"/>
      <c r="BF57" s="17"/>
      <c r="BG57" s="17"/>
      <c r="BH57" s="17"/>
      <c r="BI57" s="17" t="s">
        <v>95</v>
      </c>
      <c r="BJ57" s="17"/>
      <c r="BK57" s="17"/>
      <c r="BL57" s="17"/>
      <c r="BM57" s="17"/>
      <c r="BN57" s="17" t="s">
        <v>98</v>
      </c>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row>
    <row r="58" spans="3:110" hidden="1" x14ac:dyDescent="0.55000000000000004">
      <c r="C58" s="5" t="s">
        <v>243</v>
      </c>
      <c r="D58" s="1">
        <v>58</v>
      </c>
      <c r="E58" s="17" t="s">
        <v>169</v>
      </c>
      <c r="F58" s="17"/>
      <c r="G58" s="17"/>
      <c r="H58" s="17"/>
      <c r="I58" s="17"/>
      <c r="J58" s="17"/>
      <c r="K58" s="17"/>
      <c r="L58" s="17"/>
      <c r="M58" s="17"/>
      <c r="N58" s="17"/>
      <c r="O58" s="17"/>
      <c r="P58" s="17"/>
      <c r="Q58" s="17"/>
      <c r="R58" s="17" t="s">
        <v>52</v>
      </c>
      <c r="S58" s="17"/>
      <c r="T58" s="17"/>
      <c r="U58" s="17"/>
      <c r="V58" s="17"/>
      <c r="W58" s="8">
        <v>0</v>
      </c>
      <c r="X58" s="8">
        <v>0</v>
      </c>
      <c r="Y58" s="1"/>
      <c r="Z58" s="8"/>
      <c r="AA58" s="8"/>
      <c r="AB58" s="17" t="s">
        <v>174</v>
      </c>
      <c r="AC58" s="17"/>
      <c r="AD58" s="17"/>
      <c r="AE58" s="17"/>
      <c r="AF58" s="17"/>
      <c r="AG58" s="17"/>
      <c r="AH58" s="17"/>
      <c r="AI58" s="17"/>
      <c r="AJ58" s="17"/>
      <c r="AK58" s="17"/>
      <c r="AL58" s="17"/>
      <c r="AM58" s="17"/>
      <c r="AN58" s="17"/>
      <c r="AO58" s="17"/>
      <c r="AP58" s="17"/>
      <c r="AQ58" s="17"/>
      <c r="AR58" s="17"/>
      <c r="AS58" s="17"/>
      <c r="AT58" s="17" t="s">
        <v>180</v>
      </c>
      <c r="AU58" s="17"/>
      <c r="AV58" s="17"/>
      <c r="AW58" s="17"/>
      <c r="AX58" s="17"/>
      <c r="AY58" s="17"/>
      <c r="AZ58" s="17"/>
      <c r="BA58" s="17"/>
      <c r="BB58" s="17"/>
      <c r="BC58" s="17"/>
      <c r="BD58" s="17"/>
      <c r="BE58" s="17"/>
      <c r="BF58" s="17"/>
      <c r="BG58" s="17"/>
      <c r="BH58" s="17"/>
      <c r="BI58" s="17" t="s">
        <v>95</v>
      </c>
      <c r="BJ58" s="17"/>
      <c r="BK58" s="17"/>
      <c r="BL58" s="17"/>
      <c r="BM58" s="17"/>
      <c r="BN58" s="17" t="s">
        <v>181</v>
      </c>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row>
    <row r="59" spans="3:110" x14ac:dyDescent="0.55000000000000004">
      <c r="C59" s="5" t="s">
        <v>243</v>
      </c>
      <c r="D59" s="1">
        <v>59</v>
      </c>
      <c r="E59" s="17" t="s">
        <v>182</v>
      </c>
      <c r="F59" s="17"/>
      <c r="G59" s="17"/>
      <c r="H59" s="17"/>
      <c r="I59" s="17"/>
      <c r="J59" s="17"/>
      <c r="K59" s="17"/>
      <c r="L59" s="17"/>
      <c r="M59" s="17"/>
      <c r="N59" s="17"/>
      <c r="O59" s="17"/>
      <c r="P59" s="17"/>
      <c r="Q59" s="17"/>
      <c r="R59" s="17" t="s">
        <v>46</v>
      </c>
      <c r="S59" s="17"/>
      <c r="T59" s="17"/>
      <c r="U59" s="17"/>
      <c r="V59" s="17"/>
      <c r="W59" s="8">
        <v>18</v>
      </c>
      <c r="X59" s="8">
        <v>9</v>
      </c>
      <c r="Y59" s="1"/>
      <c r="Z59" s="8"/>
      <c r="AA59" s="8"/>
      <c r="AB59" s="17" t="s">
        <v>183</v>
      </c>
      <c r="AC59" s="17"/>
      <c r="AD59" s="17"/>
      <c r="AE59" s="17"/>
      <c r="AF59" s="17"/>
      <c r="AG59" s="17"/>
      <c r="AH59" s="17"/>
      <c r="AI59" s="17"/>
      <c r="AJ59" s="17"/>
      <c r="AK59" s="17"/>
      <c r="AL59" s="17"/>
      <c r="AM59" s="17"/>
      <c r="AN59" s="17"/>
      <c r="AO59" s="17"/>
      <c r="AP59" s="17"/>
      <c r="AQ59" s="17"/>
      <c r="AR59" s="17"/>
      <c r="AS59" s="17"/>
      <c r="AT59" s="17" t="s">
        <v>184</v>
      </c>
      <c r="AU59" s="17"/>
      <c r="AV59" s="17"/>
      <c r="AW59" s="17"/>
      <c r="AX59" s="17"/>
      <c r="AY59" s="17"/>
      <c r="AZ59" s="17"/>
      <c r="BA59" s="17"/>
      <c r="BB59" s="17"/>
      <c r="BC59" s="17"/>
      <c r="BD59" s="17"/>
      <c r="BE59" s="17"/>
      <c r="BF59" s="17"/>
      <c r="BG59" s="17"/>
      <c r="BH59" s="17"/>
      <c r="BI59" s="17" t="s">
        <v>95</v>
      </c>
      <c r="BJ59" s="17"/>
      <c r="BK59" s="17"/>
      <c r="BL59" s="17"/>
      <c r="BM59" s="17"/>
      <c r="BN59" s="17" t="s">
        <v>94</v>
      </c>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row>
    <row r="60" spans="3:110" x14ac:dyDescent="0.55000000000000004">
      <c r="C60" s="5" t="s">
        <v>243</v>
      </c>
      <c r="D60" s="1">
        <v>60</v>
      </c>
      <c r="E60" s="17" t="s">
        <v>182</v>
      </c>
      <c r="F60" s="17"/>
      <c r="G60" s="17"/>
      <c r="H60" s="17"/>
      <c r="I60" s="17"/>
      <c r="J60" s="17"/>
      <c r="K60" s="17"/>
      <c r="L60" s="17"/>
      <c r="M60" s="17"/>
      <c r="N60" s="17"/>
      <c r="O60" s="17"/>
      <c r="P60" s="17"/>
      <c r="Q60" s="17"/>
      <c r="R60" s="17" t="s">
        <v>71</v>
      </c>
      <c r="S60" s="17"/>
      <c r="T60" s="17"/>
      <c r="U60" s="17"/>
      <c r="V60" s="17"/>
      <c r="W60" s="8">
        <v>4</v>
      </c>
      <c r="X60" s="8">
        <v>2</v>
      </c>
      <c r="Y60" s="1"/>
      <c r="Z60" s="8"/>
      <c r="AA60" s="8"/>
      <c r="AB60" s="17" t="s">
        <v>185</v>
      </c>
      <c r="AC60" s="17"/>
      <c r="AD60" s="17"/>
      <c r="AE60" s="17"/>
      <c r="AF60" s="17"/>
      <c r="AG60" s="17"/>
      <c r="AH60" s="17"/>
      <c r="AI60" s="17"/>
      <c r="AJ60" s="17"/>
      <c r="AK60" s="17"/>
      <c r="AL60" s="17"/>
      <c r="AM60" s="17"/>
      <c r="AN60" s="17"/>
      <c r="AO60" s="17"/>
      <c r="AP60" s="17"/>
      <c r="AQ60" s="17"/>
      <c r="AR60" s="17"/>
      <c r="AS60" s="17"/>
      <c r="AT60" s="17" t="s">
        <v>186</v>
      </c>
      <c r="AU60" s="17"/>
      <c r="AV60" s="17"/>
      <c r="AW60" s="17"/>
      <c r="AX60" s="17"/>
      <c r="AY60" s="17"/>
      <c r="AZ60" s="17"/>
      <c r="BA60" s="17"/>
      <c r="BB60" s="17"/>
      <c r="BC60" s="17"/>
      <c r="BD60" s="17"/>
      <c r="BE60" s="17"/>
      <c r="BF60" s="17"/>
      <c r="BG60" s="17"/>
      <c r="BH60" s="17"/>
      <c r="BI60" s="17" t="s">
        <v>95</v>
      </c>
      <c r="BJ60" s="17"/>
      <c r="BK60" s="17"/>
      <c r="BL60" s="17"/>
      <c r="BM60" s="17"/>
      <c r="BN60" s="17" t="s">
        <v>98</v>
      </c>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row>
    <row r="61" spans="3:110" hidden="1" x14ac:dyDescent="0.55000000000000004">
      <c r="C61" s="5" t="s">
        <v>243</v>
      </c>
      <c r="D61" s="1">
        <v>61</v>
      </c>
      <c r="E61" s="17" t="s">
        <v>182</v>
      </c>
      <c r="F61" s="17"/>
      <c r="G61" s="17"/>
      <c r="H61" s="17"/>
      <c r="I61" s="17"/>
      <c r="J61" s="17"/>
      <c r="K61" s="17"/>
      <c r="L61" s="17"/>
      <c r="M61" s="17"/>
      <c r="N61" s="17"/>
      <c r="O61" s="17"/>
      <c r="P61" s="17"/>
      <c r="Q61" s="17"/>
      <c r="R61" s="17" t="s">
        <v>52</v>
      </c>
      <c r="S61" s="17"/>
      <c r="T61" s="17"/>
      <c r="U61" s="17"/>
      <c r="V61" s="17"/>
      <c r="W61" s="8">
        <v>0</v>
      </c>
      <c r="X61" s="8">
        <v>0</v>
      </c>
      <c r="Y61" s="1"/>
      <c r="Z61" s="8"/>
      <c r="AA61" s="8"/>
      <c r="AB61" s="17" t="s">
        <v>187</v>
      </c>
      <c r="AC61" s="17"/>
      <c r="AD61" s="17"/>
      <c r="AE61" s="17"/>
      <c r="AF61" s="17"/>
      <c r="AG61" s="17"/>
      <c r="AH61" s="17"/>
      <c r="AI61" s="17"/>
      <c r="AJ61" s="17"/>
      <c r="AK61" s="17"/>
      <c r="AL61" s="17"/>
      <c r="AM61" s="17"/>
      <c r="AN61" s="17"/>
      <c r="AO61" s="17"/>
      <c r="AP61" s="17"/>
      <c r="AQ61" s="17"/>
      <c r="AR61" s="17"/>
      <c r="AS61" s="17"/>
      <c r="AT61" s="17" t="s">
        <v>188</v>
      </c>
      <c r="AU61" s="17"/>
      <c r="AV61" s="17"/>
      <c r="AW61" s="17"/>
      <c r="AX61" s="17"/>
      <c r="AY61" s="17"/>
      <c r="AZ61" s="17"/>
      <c r="BA61" s="17"/>
      <c r="BB61" s="17"/>
      <c r="BC61" s="17"/>
      <c r="BD61" s="17"/>
      <c r="BE61" s="17"/>
      <c r="BF61" s="17"/>
      <c r="BG61" s="17"/>
      <c r="BH61" s="17"/>
      <c r="BI61" s="17" t="s">
        <v>95</v>
      </c>
      <c r="BJ61" s="17"/>
      <c r="BK61" s="17"/>
      <c r="BL61" s="17"/>
      <c r="BM61" s="17"/>
      <c r="BN61" s="17" t="s">
        <v>101</v>
      </c>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row>
    <row r="62" spans="3:110" hidden="1" x14ac:dyDescent="0.55000000000000004">
      <c r="C62" s="5" t="s">
        <v>243</v>
      </c>
      <c r="D62" s="1">
        <v>62</v>
      </c>
      <c r="E62" s="17" t="s">
        <v>182</v>
      </c>
      <c r="F62" s="17"/>
      <c r="G62" s="17"/>
      <c r="H62" s="17"/>
      <c r="I62" s="17"/>
      <c r="J62" s="17"/>
      <c r="K62" s="17"/>
      <c r="L62" s="17"/>
      <c r="M62" s="17"/>
      <c r="N62" s="17"/>
      <c r="O62" s="17"/>
      <c r="P62" s="17"/>
      <c r="Q62" s="17"/>
      <c r="R62" s="17" t="s">
        <v>52</v>
      </c>
      <c r="S62" s="17"/>
      <c r="T62" s="17"/>
      <c r="U62" s="17"/>
      <c r="V62" s="17"/>
      <c r="W62" s="8">
        <v>0</v>
      </c>
      <c r="X62" s="8">
        <v>0</v>
      </c>
      <c r="Y62" s="1"/>
      <c r="Z62" s="8"/>
      <c r="AA62" s="8"/>
      <c r="AB62" s="17" t="s">
        <v>189</v>
      </c>
      <c r="AC62" s="17"/>
      <c r="AD62" s="17"/>
      <c r="AE62" s="17"/>
      <c r="AF62" s="17"/>
      <c r="AG62" s="17"/>
      <c r="AH62" s="17"/>
      <c r="AI62" s="17"/>
      <c r="AJ62" s="17"/>
      <c r="AK62" s="17"/>
      <c r="AL62" s="17"/>
      <c r="AM62" s="17"/>
      <c r="AN62" s="17"/>
      <c r="AO62" s="17"/>
      <c r="AP62" s="17"/>
      <c r="AQ62" s="17"/>
      <c r="AR62" s="17"/>
      <c r="AS62" s="17"/>
      <c r="AT62" s="17" t="s">
        <v>190</v>
      </c>
      <c r="AU62" s="17"/>
      <c r="AV62" s="17"/>
      <c r="AW62" s="17"/>
      <c r="AX62" s="17"/>
      <c r="AY62" s="17"/>
      <c r="AZ62" s="17"/>
      <c r="BA62" s="17"/>
      <c r="BB62" s="17"/>
      <c r="BC62" s="17"/>
      <c r="BD62" s="17"/>
      <c r="BE62" s="17"/>
      <c r="BF62" s="17"/>
      <c r="BG62" s="17"/>
      <c r="BH62" s="17"/>
      <c r="BI62" s="17" t="s">
        <v>95</v>
      </c>
      <c r="BJ62" s="17"/>
      <c r="BK62" s="17"/>
      <c r="BL62" s="17"/>
      <c r="BM62" s="17"/>
      <c r="BN62" s="17" t="s">
        <v>181</v>
      </c>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row>
    <row r="63" spans="3:110" x14ac:dyDescent="0.55000000000000004">
      <c r="C63" s="5" t="s">
        <v>243</v>
      </c>
      <c r="D63" s="1">
        <v>63</v>
      </c>
      <c r="E63" s="17" t="s">
        <v>191</v>
      </c>
      <c r="F63" s="17"/>
      <c r="G63" s="17"/>
      <c r="H63" s="17"/>
      <c r="I63" s="17"/>
      <c r="J63" s="17"/>
      <c r="K63" s="17"/>
      <c r="L63" s="17"/>
      <c r="M63" s="17"/>
      <c r="N63" s="17"/>
      <c r="O63" s="17"/>
      <c r="P63" s="17"/>
      <c r="Q63" s="17"/>
      <c r="R63" s="17" t="s">
        <v>35</v>
      </c>
      <c r="S63" s="17"/>
      <c r="T63" s="17"/>
      <c r="U63" s="17"/>
      <c r="V63" s="17"/>
      <c r="W63" s="8">
        <v>8</v>
      </c>
      <c r="X63" s="8">
        <v>4</v>
      </c>
      <c r="Y63" s="1"/>
      <c r="Z63" s="8"/>
      <c r="AA63" s="8"/>
      <c r="AB63" s="17" t="s">
        <v>192</v>
      </c>
      <c r="AC63" s="17"/>
      <c r="AD63" s="17"/>
      <c r="AE63" s="17"/>
      <c r="AF63" s="17"/>
      <c r="AG63" s="17"/>
      <c r="AH63" s="17"/>
      <c r="AI63" s="17"/>
      <c r="AJ63" s="17"/>
      <c r="AK63" s="17"/>
      <c r="AL63" s="17"/>
      <c r="AM63" s="17"/>
      <c r="AN63" s="17"/>
      <c r="AO63" s="17"/>
      <c r="AP63" s="17"/>
      <c r="AQ63" s="17"/>
      <c r="AR63" s="17"/>
      <c r="AS63" s="17"/>
      <c r="AT63" s="17" t="s">
        <v>193</v>
      </c>
      <c r="AU63" s="17"/>
      <c r="AV63" s="17"/>
      <c r="AW63" s="17"/>
      <c r="AX63" s="17"/>
      <c r="AY63" s="17"/>
      <c r="AZ63" s="17"/>
      <c r="BA63" s="17"/>
      <c r="BB63" s="17"/>
      <c r="BC63" s="17"/>
      <c r="BD63" s="17"/>
      <c r="BE63" s="17"/>
      <c r="BF63" s="17"/>
      <c r="BG63" s="17"/>
      <c r="BH63" s="17"/>
      <c r="BI63" s="17" t="s">
        <v>95</v>
      </c>
      <c r="BJ63" s="17"/>
      <c r="BK63" s="17"/>
      <c r="BL63" s="17"/>
      <c r="BM63" s="17"/>
      <c r="BN63" s="17" t="s">
        <v>194</v>
      </c>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row>
    <row r="64" spans="3:110" x14ac:dyDescent="0.55000000000000004">
      <c r="C64" s="5" t="s">
        <v>243</v>
      </c>
      <c r="D64" s="1">
        <v>64</v>
      </c>
      <c r="E64" s="17" t="s">
        <v>191</v>
      </c>
      <c r="F64" s="17"/>
      <c r="G64" s="17"/>
      <c r="H64" s="17"/>
      <c r="I64" s="17"/>
      <c r="J64" s="17"/>
      <c r="K64" s="17"/>
      <c r="L64" s="17"/>
      <c r="M64" s="17"/>
      <c r="N64" s="17"/>
      <c r="O64" s="17"/>
      <c r="P64" s="17"/>
      <c r="Q64" s="17"/>
      <c r="R64" s="17" t="s">
        <v>35</v>
      </c>
      <c r="S64" s="17"/>
      <c r="T64" s="17"/>
      <c r="U64" s="17"/>
      <c r="V64" s="17"/>
      <c r="W64" s="8">
        <v>8</v>
      </c>
      <c r="X64" s="8">
        <v>4</v>
      </c>
      <c r="Y64" s="1"/>
      <c r="Z64" s="8"/>
      <c r="AA64" s="8"/>
      <c r="AB64" s="17" t="s">
        <v>195</v>
      </c>
      <c r="AC64" s="17"/>
      <c r="AD64" s="17"/>
      <c r="AE64" s="17"/>
      <c r="AF64" s="17"/>
      <c r="AG64" s="17"/>
      <c r="AH64" s="17"/>
      <c r="AI64" s="17"/>
      <c r="AJ64" s="17"/>
      <c r="AK64" s="17"/>
      <c r="AL64" s="17"/>
      <c r="AM64" s="17"/>
      <c r="AN64" s="17"/>
      <c r="AO64" s="17"/>
      <c r="AP64" s="17"/>
      <c r="AQ64" s="17"/>
      <c r="AR64" s="17"/>
      <c r="AS64" s="17"/>
      <c r="AT64" s="17" t="s">
        <v>196</v>
      </c>
      <c r="AU64" s="17"/>
      <c r="AV64" s="17"/>
      <c r="AW64" s="17"/>
      <c r="AX64" s="17"/>
      <c r="AY64" s="17"/>
      <c r="AZ64" s="17"/>
      <c r="BA64" s="17"/>
      <c r="BB64" s="17"/>
      <c r="BC64" s="17"/>
      <c r="BD64" s="17"/>
      <c r="BE64" s="17"/>
      <c r="BF64" s="17"/>
      <c r="BG64" s="17"/>
      <c r="BH64" s="17"/>
      <c r="BI64" s="17" t="s">
        <v>95</v>
      </c>
      <c r="BJ64" s="17"/>
      <c r="BK64" s="17"/>
      <c r="BL64" s="17"/>
      <c r="BM64" s="17"/>
      <c r="BN64" s="17" t="s">
        <v>197</v>
      </c>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row>
    <row r="65" spans="3:110" x14ac:dyDescent="0.55000000000000004">
      <c r="C65" s="5" t="s">
        <v>243</v>
      </c>
      <c r="D65" s="1">
        <v>65</v>
      </c>
      <c r="E65" s="17" t="s">
        <v>191</v>
      </c>
      <c r="F65" s="17"/>
      <c r="G65" s="17"/>
      <c r="H65" s="17"/>
      <c r="I65" s="17"/>
      <c r="J65" s="17"/>
      <c r="K65" s="17"/>
      <c r="L65" s="17"/>
      <c r="M65" s="17"/>
      <c r="N65" s="17"/>
      <c r="O65" s="17"/>
      <c r="P65" s="17"/>
      <c r="Q65" s="17"/>
      <c r="R65" s="17" t="s">
        <v>35</v>
      </c>
      <c r="S65" s="17"/>
      <c r="T65" s="17"/>
      <c r="U65" s="17"/>
      <c r="V65" s="17"/>
      <c r="W65" s="8">
        <v>8</v>
      </c>
      <c r="X65" s="8">
        <v>4</v>
      </c>
      <c r="Y65" s="1"/>
      <c r="Z65" s="8"/>
      <c r="AA65" s="8"/>
      <c r="AB65" s="17" t="s">
        <v>198</v>
      </c>
      <c r="AC65" s="17"/>
      <c r="AD65" s="17"/>
      <c r="AE65" s="17"/>
      <c r="AF65" s="17"/>
      <c r="AG65" s="17"/>
      <c r="AH65" s="17"/>
      <c r="AI65" s="17"/>
      <c r="AJ65" s="17"/>
      <c r="AK65" s="17"/>
      <c r="AL65" s="17"/>
      <c r="AM65" s="17"/>
      <c r="AN65" s="17"/>
      <c r="AO65" s="17"/>
      <c r="AP65" s="17"/>
      <c r="AQ65" s="17"/>
      <c r="AR65" s="17"/>
      <c r="AS65" s="17"/>
      <c r="AT65" s="17" t="s">
        <v>196</v>
      </c>
      <c r="AU65" s="17"/>
      <c r="AV65" s="17"/>
      <c r="AW65" s="17"/>
      <c r="AX65" s="17"/>
      <c r="AY65" s="17"/>
      <c r="AZ65" s="17"/>
      <c r="BA65" s="17"/>
      <c r="BB65" s="17"/>
      <c r="BC65" s="17"/>
      <c r="BD65" s="17"/>
      <c r="BE65" s="17"/>
      <c r="BF65" s="17"/>
      <c r="BG65" s="17"/>
      <c r="BH65" s="17"/>
      <c r="BI65" s="17" t="s">
        <v>95</v>
      </c>
      <c r="BJ65" s="17"/>
      <c r="BK65" s="17"/>
      <c r="BL65" s="17"/>
      <c r="BM65" s="17"/>
      <c r="BN65" s="17" t="s">
        <v>197</v>
      </c>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row>
    <row r="66" spans="3:110" x14ac:dyDescent="0.55000000000000004">
      <c r="C66" s="5" t="s">
        <v>243</v>
      </c>
      <c r="D66" s="1">
        <v>66</v>
      </c>
      <c r="E66" s="17" t="s">
        <v>191</v>
      </c>
      <c r="F66" s="17"/>
      <c r="G66" s="17"/>
      <c r="H66" s="17"/>
      <c r="I66" s="17"/>
      <c r="J66" s="17"/>
      <c r="K66" s="17"/>
      <c r="L66" s="17"/>
      <c r="M66" s="17"/>
      <c r="N66" s="17"/>
      <c r="O66" s="17"/>
      <c r="P66" s="17"/>
      <c r="Q66" s="17"/>
      <c r="R66" s="17" t="s">
        <v>35</v>
      </c>
      <c r="S66" s="17"/>
      <c r="T66" s="17"/>
      <c r="U66" s="17"/>
      <c r="V66" s="17"/>
      <c r="W66" s="8">
        <v>8</v>
      </c>
      <c r="X66" s="8">
        <v>4</v>
      </c>
      <c r="Y66" s="1" t="s">
        <v>248</v>
      </c>
      <c r="Z66" s="8">
        <v>12</v>
      </c>
      <c r="AA66" s="8">
        <v>9.6000000000000014</v>
      </c>
      <c r="AB66" s="17" t="s">
        <v>199</v>
      </c>
      <c r="AC66" s="17"/>
      <c r="AD66" s="17"/>
      <c r="AE66" s="17"/>
      <c r="AF66" s="17"/>
      <c r="AG66" s="17"/>
      <c r="AH66" s="17"/>
      <c r="AI66" s="17"/>
      <c r="AJ66" s="17"/>
      <c r="AK66" s="17"/>
      <c r="AL66" s="17"/>
      <c r="AM66" s="17"/>
      <c r="AN66" s="17"/>
      <c r="AO66" s="17"/>
      <c r="AP66" s="17"/>
      <c r="AQ66" s="17"/>
      <c r="AR66" s="17"/>
      <c r="AS66" s="17"/>
      <c r="AT66" s="17" t="s">
        <v>200</v>
      </c>
      <c r="AU66" s="17"/>
      <c r="AV66" s="17"/>
      <c r="AW66" s="17"/>
      <c r="AX66" s="17"/>
      <c r="AY66" s="17"/>
      <c r="AZ66" s="17"/>
      <c r="BA66" s="17"/>
      <c r="BB66" s="17"/>
      <c r="BC66" s="17"/>
      <c r="BD66" s="17"/>
      <c r="BE66" s="17"/>
      <c r="BF66" s="17"/>
      <c r="BG66" s="17"/>
      <c r="BH66" s="17"/>
      <c r="BI66" s="17" t="s">
        <v>49</v>
      </c>
      <c r="BJ66" s="17"/>
      <c r="BK66" s="17"/>
      <c r="BL66" s="17"/>
      <c r="BM66" s="17"/>
      <c r="BN66" s="17" t="s">
        <v>44</v>
      </c>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row>
    <row r="67" spans="3:110" ht="17.5" customHeight="1" x14ac:dyDescent="0.55000000000000004">
      <c r="C67" s="5" t="s">
        <v>243</v>
      </c>
      <c r="D67" s="1">
        <v>67</v>
      </c>
      <c r="E67" s="17" t="s">
        <v>201</v>
      </c>
      <c r="F67" s="17"/>
      <c r="G67" s="17"/>
      <c r="H67" s="17"/>
      <c r="I67" s="17"/>
      <c r="J67" s="17"/>
      <c r="K67" s="17"/>
      <c r="L67" s="17"/>
      <c r="M67" s="17"/>
      <c r="N67" s="17"/>
      <c r="O67" s="17"/>
      <c r="P67" s="17"/>
      <c r="Q67" s="17"/>
      <c r="R67" s="17" t="s">
        <v>35</v>
      </c>
      <c r="S67" s="17"/>
      <c r="T67" s="17"/>
      <c r="U67" s="17"/>
      <c r="V67" s="17"/>
      <c r="W67" s="8">
        <v>8</v>
      </c>
      <c r="X67" s="8">
        <v>4</v>
      </c>
      <c r="Y67" s="1"/>
      <c r="Z67" s="8"/>
      <c r="AA67" s="8"/>
      <c r="AB67" s="17" t="s">
        <v>202</v>
      </c>
      <c r="AC67" s="17"/>
      <c r="AD67" s="17"/>
      <c r="AE67" s="17"/>
      <c r="AF67" s="17"/>
      <c r="AG67" s="17"/>
      <c r="AH67" s="17"/>
      <c r="AI67" s="17"/>
      <c r="AJ67" s="17"/>
      <c r="AK67" s="17"/>
      <c r="AL67" s="17"/>
      <c r="AM67" s="17"/>
      <c r="AN67" s="17"/>
      <c r="AO67" s="17"/>
      <c r="AP67" s="17"/>
      <c r="AQ67" s="17"/>
      <c r="AR67" s="17"/>
      <c r="AS67" s="17"/>
      <c r="AT67" s="17" t="s">
        <v>203</v>
      </c>
      <c r="AU67" s="17"/>
      <c r="AV67" s="17"/>
      <c r="AW67" s="17"/>
      <c r="AX67" s="17"/>
      <c r="AY67" s="17"/>
      <c r="AZ67" s="17"/>
      <c r="BA67" s="17"/>
      <c r="BB67" s="17"/>
      <c r="BC67" s="17"/>
      <c r="BD67" s="17"/>
      <c r="BE67" s="17"/>
      <c r="BF67" s="17"/>
      <c r="BG67" s="17"/>
      <c r="BH67" s="17"/>
      <c r="BI67" s="17" t="s">
        <v>38</v>
      </c>
      <c r="BJ67" s="17"/>
      <c r="BK67" s="17"/>
      <c r="BL67" s="17"/>
      <c r="BM67" s="17"/>
      <c r="BN67" s="17" t="s">
        <v>74</v>
      </c>
      <c r="BO67" s="17"/>
      <c r="BP67" s="17"/>
      <c r="BQ67" s="17"/>
      <c r="BR67" s="17"/>
      <c r="BS67" s="17"/>
      <c r="BT67" s="17"/>
      <c r="BU67" s="17"/>
      <c r="BV67" s="17"/>
      <c r="BW67" s="17"/>
      <c r="BX67" s="17"/>
      <c r="BY67" s="17"/>
      <c r="BZ67" s="17"/>
      <c r="CA67" s="17"/>
      <c r="CB67" s="17"/>
      <c r="CC67" s="17"/>
      <c r="CD67" s="17"/>
      <c r="CE67" s="17"/>
      <c r="CF67" s="17"/>
      <c r="CG67" s="17"/>
      <c r="CH67" s="17"/>
      <c r="CI67" s="17"/>
      <c r="CJ67" s="17"/>
      <c r="CK67" s="17" t="s">
        <v>204</v>
      </c>
      <c r="CL67" s="17"/>
      <c r="CM67" s="17"/>
      <c r="CN67" s="17"/>
      <c r="CO67" s="17"/>
      <c r="CP67" s="17"/>
      <c r="CQ67" s="17"/>
      <c r="CR67" s="17"/>
      <c r="CS67" s="17"/>
      <c r="CT67" s="17"/>
      <c r="CU67" s="17"/>
      <c r="CV67" s="17"/>
      <c r="CW67" s="17"/>
      <c r="CX67" s="17"/>
      <c r="CY67" s="17"/>
      <c r="CZ67" s="17"/>
      <c r="DA67" s="17"/>
      <c r="DB67" s="17"/>
      <c r="DC67" s="17"/>
      <c r="DD67" s="17"/>
      <c r="DE67" s="17"/>
      <c r="DF67" s="17"/>
    </row>
    <row r="68" spans="3:110" ht="17.5" customHeight="1" x14ac:dyDescent="0.55000000000000004">
      <c r="C68" s="5" t="s">
        <v>243</v>
      </c>
      <c r="D68" s="1">
        <v>69</v>
      </c>
      <c r="E68" s="17" t="s">
        <v>201</v>
      </c>
      <c r="F68" s="17"/>
      <c r="G68" s="17"/>
      <c r="H68" s="17"/>
      <c r="I68" s="17"/>
      <c r="J68" s="17"/>
      <c r="K68" s="17"/>
      <c r="L68" s="17"/>
      <c r="M68" s="17"/>
      <c r="N68" s="17"/>
      <c r="O68" s="17"/>
      <c r="P68" s="17"/>
      <c r="Q68" s="17"/>
      <c r="R68" s="17" t="s">
        <v>71</v>
      </c>
      <c r="S68" s="17"/>
      <c r="T68" s="17"/>
      <c r="U68" s="17"/>
      <c r="V68" s="17"/>
      <c r="W68" s="8">
        <v>4</v>
      </c>
      <c r="X68" s="8">
        <v>2</v>
      </c>
      <c r="Y68" s="1"/>
      <c r="Z68" s="8"/>
      <c r="AA68" s="8"/>
      <c r="AB68" s="17" t="s">
        <v>205</v>
      </c>
      <c r="AC68" s="17"/>
      <c r="AD68" s="17"/>
      <c r="AE68" s="17"/>
      <c r="AF68" s="17"/>
      <c r="AG68" s="17"/>
      <c r="AH68" s="17"/>
      <c r="AI68" s="17"/>
      <c r="AJ68" s="17"/>
      <c r="AK68" s="17"/>
      <c r="AL68" s="17"/>
      <c r="AM68" s="17"/>
      <c r="AN68" s="17"/>
      <c r="AO68" s="17"/>
      <c r="AP68" s="17"/>
      <c r="AQ68" s="17"/>
      <c r="AR68" s="17"/>
      <c r="AS68" s="17"/>
      <c r="AT68" s="17" t="s">
        <v>206</v>
      </c>
      <c r="AU68" s="17"/>
      <c r="AV68" s="17"/>
      <c r="AW68" s="17"/>
      <c r="AX68" s="17"/>
      <c r="AY68" s="17"/>
      <c r="AZ68" s="17"/>
      <c r="BA68" s="17"/>
      <c r="BB68" s="17"/>
      <c r="BC68" s="17"/>
      <c r="BD68" s="17"/>
      <c r="BE68" s="17"/>
      <c r="BF68" s="17"/>
      <c r="BG68" s="17"/>
      <c r="BH68" s="17"/>
      <c r="BI68" s="17" t="s">
        <v>95</v>
      </c>
      <c r="BJ68" s="17"/>
      <c r="BK68" s="17"/>
      <c r="BL68" s="17"/>
      <c r="BM68" s="17"/>
      <c r="BN68" s="17" t="s">
        <v>207</v>
      </c>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row>
    <row r="69" spans="3:110" x14ac:dyDescent="0.55000000000000004">
      <c r="C69" s="5" t="s">
        <v>243</v>
      </c>
      <c r="D69" s="1">
        <v>70</v>
      </c>
      <c r="E69" s="17" t="s">
        <v>208</v>
      </c>
      <c r="F69" s="17"/>
      <c r="G69" s="17"/>
      <c r="H69" s="17"/>
      <c r="I69" s="17"/>
      <c r="J69" s="17"/>
      <c r="K69" s="17"/>
      <c r="L69" s="17"/>
      <c r="M69" s="17"/>
      <c r="N69" s="17"/>
      <c r="O69" s="17"/>
      <c r="P69" s="17"/>
      <c r="Q69" s="17"/>
      <c r="R69" s="17" t="s">
        <v>46</v>
      </c>
      <c r="S69" s="17"/>
      <c r="T69" s="17"/>
      <c r="U69" s="17"/>
      <c r="V69" s="17"/>
      <c r="W69" s="8">
        <v>18</v>
      </c>
      <c r="X69" s="8">
        <v>9</v>
      </c>
      <c r="Y69" s="1"/>
      <c r="Z69" s="8"/>
      <c r="AA69" s="8"/>
      <c r="AB69" s="17" t="s">
        <v>209</v>
      </c>
      <c r="AC69" s="17"/>
      <c r="AD69" s="17"/>
      <c r="AE69" s="17"/>
      <c r="AF69" s="17"/>
      <c r="AG69" s="17"/>
      <c r="AH69" s="17"/>
      <c r="AI69" s="17"/>
      <c r="AJ69" s="17"/>
      <c r="AK69" s="17"/>
      <c r="AL69" s="17"/>
      <c r="AM69" s="17"/>
      <c r="AN69" s="17"/>
      <c r="AO69" s="17"/>
      <c r="AP69" s="17"/>
      <c r="AQ69" s="17"/>
      <c r="AR69" s="17"/>
      <c r="AS69" s="17"/>
      <c r="AT69" s="17" t="s">
        <v>210</v>
      </c>
      <c r="AU69" s="17"/>
      <c r="AV69" s="17"/>
      <c r="AW69" s="17"/>
      <c r="AX69" s="17"/>
      <c r="AY69" s="17"/>
      <c r="AZ69" s="17"/>
      <c r="BA69" s="17"/>
      <c r="BB69" s="17"/>
      <c r="BC69" s="17"/>
      <c r="BD69" s="17"/>
      <c r="BE69" s="17"/>
      <c r="BF69" s="17"/>
      <c r="BG69" s="17"/>
      <c r="BH69" s="17"/>
      <c r="BI69" s="17" t="s">
        <v>95</v>
      </c>
      <c r="BJ69" s="17"/>
      <c r="BK69" s="17"/>
      <c r="BL69" s="17"/>
      <c r="BM69" s="17"/>
      <c r="BN69" s="17" t="s">
        <v>197</v>
      </c>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row>
    <row r="70" spans="3:110" x14ac:dyDescent="0.55000000000000004">
      <c r="C70" s="5" t="s">
        <v>243</v>
      </c>
      <c r="D70" s="1">
        <v>71</v>
      </c>
      <c r="E70" s="17" t="s">
        <v>208</v>
      </c>
      <c r="F70" s="17"/>
      <c r="G70" s="17"/>
      <c r="H70" s="17"/>
      <c r="I70" s="17"/>
      <c r="J70" s="17"/>
      <c r="K70" s="17"/>
      <c r="L70" s="17"/>
      <c r="M70" s="17"/>
      <c r="N70" s="17"/>
      <c r="O70" s="17"/>
      <c r="P70" s="17"/>
      <c r="Q70" s="17"/>
      <c r="R70" s="17" t="s">
        <v>75</v>
      </c>
      <c r="S70" s="17"/>
      <c r="T70" s="17"/>
      <c r="U70" s="17"/>
      <c r="V70" s="17"/>
      <c r="W70" s="8">
        <v>12</v>
      </c>
      <c r="X70" s="8">
        <v>6</v>
      </c>
      <c r="Y70" s="1" t="s">
        <v>248</v>
      </c>
      <c r="Z70" s="8">
        <v>20</v>
      </c>
      <c r="AA70" s="8">
        <v>16</v>
      </c>
      <c r="AB70" s="17" t="s">
        <v>211</v>
      </c>
      <c r="AC70" s="17"/>
      <c r="AD70" s="17"/>
      <c r="AE70" s="17"/>
      <c r="AF70" s="17"/>
      <c r="AG70" s="17"/>
      <c r="AH70" s="17"/>
      <c r="AI70" s="17"/>
      <c r="AJ70" s="17"/>
      <c r="AK70" s="17"/>
      <c r="AL70" s="17"/>
      <c r="AM70" s="17"/>
      <c r="AN70" s="17"/>
      <c r="AO70" s="17"/>
      <c r="AP70" s="17"/>
      <c r="AQ70" s="17"/>
      <c r="AR70" s="17"/>
      <c r="AS70" s="17"/>
      <c r="AT70" s="17" t="s">
        <v>212</v>
      </c>
      <c r="AU70" s="17"/>
      <c r="AV70" s="17"/>
      <c r="AW70" s="17"/>
      <c r="AX70" s="17"/>
      <c r="AY70" s="17"/>
      <c r="AZ70" s="17"/>
      <c r="BA70" s="17"/>
      <c r="BB70" s="17"/>
      <c r="BC70" s="17"/>
      <c r="BD70" s="17"/>
      <c r="BE70" s="17"/>
      <c r="BF70" s="17"/>
      <c r="BG70" s="17"/>
      <c r="BH70" s="17"/>
      <c r="BI70" s="17" t="s">
        <v>49</v>
      </c>
      <c r="BJ70" s="17"/>
      <c r="BK70" s="17"/>
      <c r="BL70" s="17"/>
      <c r="BM70" s="17"/>
      <c r="BN70" s="17" t="s">
        <v>44</v>
      </c>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row>
    <row r="71" spans="3:110" x14ac:dyDescent="0.55000000000000004">
      <c r="C71" s="5" t="s">
        <v>243</v>
      </c>
      <c r="D71" s="1">
        <v>72</v>
      </c>
      <c r="E71" s="17" t="s">
        <v>208</v>
      </c>
      <c r="F71" s="17"/>
      <c r="G71" s="17"/>
      <c r="H71" s="17"/>
      <c r="I71" s="17"/>
      <c r="J71" s="17"/>
      <c r="K71" s="17"/>
      <c r="L71" s="17"/>
      <c r="M71" s="17"/>
      <c r="N71" s="17"/>
      <c r="O71" s="17"/>
      <c r="P71" s="17"/>
      <c r="Q71" s="17"/>
      <c r="R71" s="17" t="s">
        <v>65</v>
      </c>
      <c r="S71" s="17"/>
      <c r="T71" s="17"/>
      <c r="U71" s="17"/>
      <c r="V71" s="17"/>
      <c r="W71" s="8">
        <v>10</v>
      </c>
      <c r="X71" s="8">
        <v>6</v>
      </c>
      <c r="Y71" s="1"/>
      <c r="Z71" s="8"/>
      <c r="AA71" s="8"/>
      <c r="AB71" s="17" t="s">
        <v>213</v>
      </c>
      <c r="AC71" s="17"/>
      <c r="AD71" s="17"/>
      <c r="AE71" s="17"/>
      <c r="AF71" s="17"/>
      <c r="AG71" s="17"/>
      <c r="AH71" s="17"/>
      <c r="AI71" s="17"/>
      <c r="AJ71" s="17"/>
      <c r="AK71" s="17"/>
      <c r="AL71" s="17"/>
      <c r="AM71" s="17"/>
      <c r="AN71" s="17"/>
      <c r="AO71" s="17"/>
      <c r="AP71" s="17"/>
      <c r="AQ71" s="17"/>
      <c r="AR71" s="17"/>
      <c r="AS71" s="17"/>
      <c r="AT71" s="17" t="s">
        <v>214</v>
      </c>
      <c r="AU71" s="17"/>
      <c r="AV71" s="17"/>
      <c r="AW71" s="17"/>
      <c r="AX71" s="17"/>
      <c r="AY71" s="17"/>
      <c r="AZ71" s="17"/>
      <c r="BA71" s="17"/>
      <c r="BB71" s="17"/>
      <c r="BC71" s="17"/>
      <c r="BD71" s="17"/>
      <c r="BE71" s="17"/>
      <c r="BF71" s="17"/>
      <c r="BG71" s="17"/>
      <c r="BH71" s="17"/>
      <c r="BI71" s="17" t="s">
        <v>49</v>
      </c>
      <c r="BJ71" s="17"/>
      <c r="BK71" s="17"/>
      <c r="BL71" s="17"/>
      <c r="BM71" s="17"/>
      <c r="BN71" s="17" t="s">
        <v>44</v>
      </c>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row>
    <row r="72" spans="3:110" x14ac:dyDescent="0.55000000000000004">
      <c r="C72" s="5" t="s">
        <v>243</v>
      </c>
      <c r="D72" s="1">
        <v>73</v>
      </c>
      <c r="E72" s="17" t="s">
        <v>208</v>
      </c>
      <c r="F72" s="17"/>
      <c r="G72" s="17"/>
      <c r="H72" s="17"/>
      <c r="I72" s="17"/>
      <c r="J72" s="17"/>
      <c r="K72" s="17"/>
      <c r="L72" s="17"/>
      <c r="M72" s="17"/>
      <c r="N72" s="17"/>
      <c r="O72" s="17"/>
      <c r="P72" s="17"/>
      <c r="Q72" s="17"/>
      <c r="R72" s="17" t="s">
        <v>35</v>
      </c>
      <c r="S72" s="17"/>
      <c r="T72" s="17"/>
      <c r="U72" s="17"/>
      <c r="V72" s="17"/>
      <c r="W72" s="8">
        <v>8</v>
      </c>
      <c r="X72" s="8">
        <v>4</v>
      </c>
      <c r="Y72" s="1" t="s">
        <v>248</v>
      </c>
      <c r="Z72" s="8">
        <v>12</v>
      </c>
      <c r="AA72" s="8">
        <v>9.6000000000000014</v>
      </c>
      <c r="AB72" s="17" t="s">
        <v>215</v>
      </c>
      <c r="AC72" s="17"/>
      <c r="AD72" s="17"/>
      <c r="AE72" s="17"/>
      <c r="AF72" s="17"/>
      <c r="AG72" s="17"/>
      <c r="AH72" s="17"/>
      <c r="AI72" s="17"/>
      <c r="AJ72" s="17"/>
      <c r="AK72" s="17"/>
      <c r="AL72" s="17"/>
      <c r="AM72" s="17"/>
      <c r="AN72" s="17"/>
      <c r="AO72" s="17"/>
      <c r="AP72" s="17"/>
      <c r="AQ72" s="17"/>
      <c r="AR72" s="17"/>
      <c r="AS72" s="17"/>
      <c r="AT72" s="17" t="s">
        <v>216</v>
      </c>
      <c r="AU72" s="17"/>
      <c r="AV72" s="17"/>
      <c r="AW72" s="17"/>
      <c r="AX72" s="17"/>
      <c r="AY72" s="17"/>
      <c r="AZ72" s="17"/>
      <c r="BA72" s="17"/>
      <c r="BB72" s="17"/>
      <c r="BC72" s="17"/>
      <c r="BD72" s="17"/>
      <c r="BE72" s="17"/>
      <c r="BF72" s="17"/>
      <c r="BG72" s="17"/>
      <c r="BH72" s="17"/>
      <c r="BI72" s="17" t="s">
        <v>49</v>
      </c>
      <c r="BJ72" s="17"/>
      <c r="BK72" s="17"/>
      <c r="BL72" s="17"/>
      <c r="BM72" s="17"/>
      <c r="BN72" s="17" t="s">
        <v>44</v>
      </c>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row>
    <row r="73" spans="3:110" x14ac:dyDescent="0.55000000000000004">
      <c r="C73" s="5" t="s">
        <v>243</v>
      </c>
      <c r="D73" s="1">
        <v>74</v>
      </c>
      <c r="E73" s="17" t="s">
        <v>208</v>
      </c>
      <c r="F73" s="17"/>
      <c r="G73" s="17"/>
      <c r="H73" s="17"/>
      <c r="I73" s="17"/>
      <c r="J73" s="17"/>
      <c r="K73" s="17"/>
      <c r="L73" s="17"/>
      <c r="M73" s="17"/>
      <c r="N73" s="17"/>
      <c r="O73" s="17"/>
      <c r="P73" s="17"/>
      <c r="Q73" s="17"/>
      <c r="R73" s="17" t="s">
        <v>35</v>
      </c>
      <c r="S73" s="17"/>
      <c r="T73" s="17"/>
      <c r="U73" s="17"/>
      <c r="V73" s="17"/>
      <c r="W73" s="8">
        <v>8</v>
      </c>
      <c r="X73" s="8">
        <v>4</v>
      </c>
      <c r="Y73" s="1" t="s">
        <v>248</v>
      </c>
      <c r="Z73" s="8">
        <v>20</v>
      </c>
      <c r="AA73" s="8">
        <v>16</v>
      </c>
      <c r="AB73" s="17" t="s">
        <v>217</v>
      </c>
      <c r="AC73" s="17"/>
      <c r="AD73" s="17"/>
      <c r="AE73" s="17"/>
      <c r="AF73" s="17"/>
      <c r="AG73" s="17"/>
      <c r="AH73" s="17"/>
      <c r="AI73" s="17"/>
      <c r="AJ73" s="17"/>
      <c r="AK73" s="17"/>
      <c r="AL73" s="17"/>
      <c r="AM73" s="17"/>
      <c r="AN73" s="17"/>
      <c r="AO73" s="17"/>
      <c r="AP73" s="17"/>
      <c r="AQ73" s="17"/>
      <c r="AR73" s="17"/>
      <c r="AS73" s="17"/>
      <c r="AT73" s="17" t="s">
        <v>218</v>
      </c>
      <c r="AU73" s="17"/>
      <c r="AV73" s="17"/>
      <c r="AW73" s="17"/>
      <c r="AX73" s="17"/>
      <c r="AY73" s="17"/>
      <c r="AZ73" s="17"/>
      <c r="BA73" s="17"/>
      <c r="BB73" s="17"/>
      <c r="BC73" s="17"/>
      <c r="BD73" s="17"/>
      <c r="BE73" s="17"/>
      <c r="BF73" s="17"/>
      <c r="BG73" s="17"/>
      <c r="BH73" s="17"/>
      <c r="BI73" s="17" t="s">
        <v>49</v>
      </c>
      <c r="BJ73" s="17"/>
      <c r="BK73" s="17"/>
      <c r="BL73" s="17"/>
      <c r="BM73" s="17"/>
      <c r="BN73" s="17" t="s">
        <v>44</v>
      </c>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row>
    <row r="74" spans="3:110" hidden="1" x14ac:dyDescent="0.55000000000000004">
      <c r="C74" s="5" t="s">
        <v>243</v>
      </c>
      <c r="D74" s="1">
        <v>75</v>
      </c>
      <c r="E74" s="17" t="s">
        <v>219</v>
      </c>
      <c r="F74" s="17"/>
      <c r="G74" s="17"/>
      <c r="H74" s="17"/>
      <c r="I74" s="17"/>
      <c r="J74" s="17"/>
      <c r="K74" s="17"/>
      <c r="L74" s="17"/>
      <c r="M74" s="17"/>
      <c r="N74" s="17"/>
      <c r="O74" s="17"/>
      <c r="P74" s="17"/>
      <c r="Q74" s="17"/>
      <c r="R74" s="17" t="s">
        <v>52</v>
      </c>
      <c r="S74" s="17"/>
      <c r="T74" s="17"/>
      <c r="U74" s="17"/>
      <c r="V74" s="17"/>
      <c r="W74" s="8">
        <v>0</v>
      </c>
      <c r="X74" s="8">
        <v>0</v>
      </c>
      <c r="Y74" s="1"/>
      <c r="Z74" s="8"/>
      <c r="AA74" s="8"/>
      <c r="AB74" s="17" t="s">
        <v>220</v>
      </c>
      <c r="AC74" s="17"/>
      <c r="AD74" s="17"/>
      <c r="AE74" s="17"/>
      <c r="AF74" s="17"/>
      <c r="AG74" s="17"/>
      <c r="AH74" s="17"/>
      <c r="AI74" s="17"/>
      <c r="AJ74" s="17"/>
      <c r="AK74" s="17"/>
      <c r="AL74" s="17"/>
      <c r="AM74" s="17"/>
      <c r="AN74" s="17"/>
      <c r="AO74" s="17"/>
      <c r="AP74" s="17"/>
      <c r="AQ74" s="17"/>
      <c r="AR74" s="17"/>
      <c r="AS74" s="17"/>
      <c r="AT74" s="17" t="s">
        <v>221</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t="s">
        <v>222</v>
      </c>
      <c r="CL74" s="17"/>
      <c r="CM74" s="17"/>
      <c r="CN74" s="17"/>
      <c r="CO74" s="17"/>
      <c r="CP74" s="17"/>
      <c r="CQ74" s="17"/>
      <c r="CR74" s="17"/>
      <c r="CS74" s="17"/>
      <c r="CT74" s="17"/>
      <c r="CU74" s="17"/>
      <c r="CV74" s="17"/>
      <c r="CW74" s="17"/>
      <c r="CX74" s="17"/>
      <c r="CY74" s="17"/>
      <c r="CZ74" s="17"/>
      <c r="DA74" s="17"/>
      <c r="DB74" s="17"/>
      <c r="DC74" s="17"/>
      <c r="DD74" s="17"/>
      <c r="DE74" s="17"/>
      <c r="DF74" s="17"/>
    </row>
    <row r="75" spans="3:110" x14ac:dyDescent="0.55000000000000004">
      <c r="C75" s="5" t="s">
        <v>243</v>
      </c>
      <c r="D75" s="1">
        <v>76</v>
      </c>
      <c r="E75" s="17" t="s">
        <v>219</v>
      </c>
      <c r="F75" s="17"/>
      <c r="G75" s="17"/>
      <c r="H75" s="17"/>
      <c r="I75" s="17"/>
      <c r="J75" s="17"/>
      <c r="K75" s="17"/>
      <c r="L75" s="17"/>
      <c r="M75" s="17"/>
      <c r="N75" s="17"/>
      <c r="O75" s="17"/>
      <c r="P75" s="17"/>
      <c r="Q75" s="17"/>
      <c r="R75" s="17" t="s">
        <v>65</v>
      </c>
      <c r="S75" s="17"/>
      <c r="T75" s="17"/>
      <c r="U75" s="17"/>
      <c r="V75" s="17"/>
      <c r="W75" s="8">
        <v>10</v>
      </c>
      <c r="X75" s="8">
        <v>6</v>
      </c>
      <c r="Y75" s="1" t="s">
        <v>248</v>
      </c>
      <c r="Z75" s="8">
        <v>32</v>
      </c>
      <c r="AA75" s="8">
        <v>25.6</v>
      </c>
      <c r="AB75" s="17" t="s">
        <v>223</v>
      </c>
      <c r="AC75" s="17"/>
      <c r="AD75" s="17"/>
      <c r="AE75" s="17"/>
      <c r="AF75" s="17"/>
      <c r="AG75" s="17"/>
      <c r="AH75" s="17"/>
      <c r="AI75" s="17"/>
      <c r="AJ75" s="17"/>
      <c r="AK75" s="17"/>
      <c r="AL75" s="17"/>
      <c r="AM75" s="17"/>
      <c r="AN75" s="17"/>
      <c r="AO75" s="17"/>
      <c r="AP75" s="17"/>
      <c r="AQ75" s="17"/>
      <c r="AR75" s="17"/>
      <c r="AS75" s="17"/>
      <c r="AT75" s="17" t="s">
        <v>224</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row>
    <row r="76" spans="3:110" x14ac:dyDescent="0.55000000000000004">
      <c r="C76" s="5" t="s">
        <v>243</v>
      </c>
      <c r="D76" s="1">
        <v>77</v>
      </c>
      <c r="E76" s="17" t="s">
        <v>219</v>
      </c>
      <c r="F76" s="17"/>
      <c r="G76" s="17"/>
      <c r="H76" s="17"/>
      <c r="I76" s="17"/>
      <c r="J76" s="17"/>
      <c r="K76" s="17"/>
      <c r="L76" s="17"/>
      <c r="M76" s="17"/>
      <c r="N76" s="17"/>
      <c r="O76" s="17"/>
      <c r="P76" s="17"/>
      <c r="Q76" s="17"/>
      <c r="R76" s="17" t="s">
        <v>35</v>
      </c>
      <c r="S76" s="17"/>
      <c r="T76" s="17"/>
      <c r="U76" s="17"/>
      <c r="V76" s="17"/>
      <c r="W76" s="8">
        <v>8</v>
      </c>
      <c r="X76" s="8">
        <v>4</v>
      </c>
      <c r="Y76" s="1"/>
      <c r="Z76" s="8"/>
      <c r="AA76" s="8"/>
      <c r="AB76" s="17" t="s">
        <v>225</v>
      </c>
      <c r="AC76" s="17"/>
      <c r="AD76" s="17"/>
      <c r="AE76" s="17"/>
      <c r="AF76" s="17"/>
      <c r="AG76" s="17"/>
      <c r="AH76" s="17"/>
      <c r="AI76" s="17"/>
      <c r="AJ76" s="17"/>
      <c r="AK76" s="17"/>
      <c r="AL76" s="17"/>
      <c r="AM76" s="17"/>
      <c r="AN76" s="17"/>
      <c r="AO76" s="17"/>
      <c r="AP76" s="17"/>
      <c r="AQ76" s="17"/>
      <c r="AR76" s="17"/>
      <c r="AS76" s="17"/>
      <c r="AT76" s="17" t="s">
        <v>226</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row>
    <row r="77" spans="3:110" hidden="1" x14ac:dyDescent="0.55000000000000004">
      <c r="C77" s="5" t="s">
        <v>243</v>
      </c>
      <c r="D77" s="1">
        <v>78</v>
      </c>
      <c r="E77" s="17" t="s">
        <v>219</v>
      </c>
      <c r="F77" s="17"/>
      <c r="G77" s="17"/>
      <c r="H77" s="17"/>
      <c r="I77" s="17"/>
      <c r="J77" s="17"/>
      <c r="K77" s="17"/>
      <c r="L77" s="17"/>
      <c r="M77" s="17"/>
      <c r="N77" s="17"/>
      <c r="O77" s="17"/>
      <c r="P77" s="17"/>
      <c r="Q77" s="17"/>
      <c r="R77" s="17" t="s">
        <v>52</v>
      </c>
      <c r="S77" s="17"/>
      <c r="T77" s="17"/>
      <c r="U77" s="17"/>
      <c r="V77" s="17"/>
      <c r="W77" s="8">
        <v>0</v>
      </c>
      <c r="X77" s="8">
        <v>0</v>
      </c>
      <c r="Y77" s="1"/>
      <c r="Z77" s="8"/>
      <c r="AA77" s="8"/>
      <c r="AB77" s="17" t="s">
        <v>227</v>
      </c>
      <c r="AC77" s="17"/>
      <c r="AD77" s="17"/>
      <c r="AE77" s="17"/>
      <c r="AF77" s="17"/>
      <c r="AG77" s="17"/>
      <c r="AH77" s="17"/>
      <c r="AI77" s="17"/>
      <c r="AJ77" s="17"/>
      <c r="AK77" s="17"/>
      <c r="AL77" s="17"/>
      <c r="AM77" s="17"/>
      <c r="AN77" s="17"/>
      <c r="AO77" s="17"/>
      <c r="AP77" s="17"/>
      <c r="AQ77" s="17"/>
      <c r="AR77" s="17"/>
      <c r="AS77" s="17"/>
      <c r="AT77" s="17" t="s">
        <v>228</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row>
    <row r="78" spans="3:110" x14ac:dyDescent="0.55000000000000004">
      <c r="C78" s="5" t="s">
        <v>243</v>
      </c>
      <c r="D78" s="1">
        <v>79</v>
      </c>
      <c r="E78" s="17" t="s">
        <v>229</v>
      </c>
      <c r="F78" s="17"/>
      <c r="G78" s="17"/>
      <c r="H78" s="17"/>
      <c r="I78" s="17"/>
      <c r="J78" s="17"/>
      <c r="K78" s="17"/>
      <c r="L78" s="17"/>
      <c r="M78" s="17"/>
      <c r="N78" s="17"/>
      <c r="O78" s="17"/>
      <c r="P78" s="17"/>
      <c r="Q78" s="17"/>
      <c r="R78" s="17" t="s">
        <v>35</v>
      </c>
      <c r="S78" s="17"/>
      <c r="T78" s="17"/>
      <c r="U78" s="17"/>
      <c r="V78" s="17"/>
      <c r="W78" s="8">
        <v>8</v>
      </c>
      <c r="X78" s="8">
        <v>4</v>
      </c>
      <c r="Y78" s="1" t="s">
        <v>248</v>
      </c>
      <c r="Z78" s="8">
        <v>16</v>
      </c>
      <c r="AA78" s="8">
        <v>12.8</v>
      </c>
      <c r="AB78" s="17" t="s">
        <v>230</v>
      </c>
      <c r="AC78" s="17"/>
      <c r="AD78" s="17"/>
      <c r="AE78" s="17"/>
      <c r="AF78" s="17"/>
      <c r="AG78" s="17"/>
      <c r="AH78" s="17"/>
      <c r="AI78" s="17"/>
      <c r="AJ78" s="17"/>
      <c r="AK78" s="17"/>
      <c r="AL78" s="17"/>
      <c r="AM78" s="17"/>
      <c r="AN78" s="17"/>
      <c r="AO78" s="17"/>
      <c r="AP78" s="17"/>
      <c r="AQ78" s="17"/>
      <c r="AR78" s="17"/>
      <c r="AS78" s="17"/>
      <c r="AT78" s="17" t="s">
        <v>231</v>
      </c>
      <c r="AU78" s="17"/>
      <c r="AV78" s="17"/>
      <c r="AW78" s="17"/>
      <c r="AX78" s="17"/>
      <c r="AY78" s="17"/>
      <c r="AZ78" s="17"/>
      <c r="BA78" s="17"/>
      <c r="BB78" s="17"/>
      <c r="BC78" s="17"/>
      <c r="BD78" s="17"/>
      <c r="BE78" s="17"/>
      <c r="BF78" s="17"/>
      <c r="BG78" s="17"/>
      <c r="BH78" s="17"/>
      <c r="BI78" s="17" t="s">
        <v>232</v>
      </c>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t="s">
        <v>233</v>
      </c>
      <c r="CL78" s="17"/>
      <c r="CM78" s="17"/>
      <c r="CN78" s="17"/>
      <c r="CO78" s="17"/>
      <c r="CP78" s="17"/>
      <c r="CQ78" s="17"/>
      <c r="CR78" s="17"/>
      <c r="CS78" s="17"/>
      <c r="CT78" s="17"/>
      <c r="CU78" s="17"/>
      <c r="CV78" s="17"/>
      <c r="CW78" s="17"/>
      <c r="CX78" s="17"/>
      <c r="CY78" s="17"/>
      <c r="CZ78" s="17"/>
      <c r="DA78" s="17"/>
      <c r="DB78" s="17"/>
      <c r="DC78" s="17"/>
      <c r="DD78" s="17"/>
      <c r="DE78" s="17"/>
      <c r="DF78" s="17"/>
    </row>
    <row r="79" spans="3:110" hidden="1" x14ac:dyDescent="0.55000000000000004">
      <c r="C79" s="5" t="s">
        <v>245</v>
      </c>
      <c r="D79" s="1">
        <v>80</v>
      </c>
      <c r="E79" s="17" t="s">
        <v>234</v>
      </c>
      <c r="F79" s="17"/>
      <c r="G79" s="17"/>
      <c r="H79" s="17"/>
      <c r="I79" s="17"/>
      <c r="J79" s="17"/>
      <c r="K79" s="17"/>
      <c r="L79" s="17"/>
      <c r="M79" s="17"/>
      <c r="N79" s="17"/>
      <c r="O79" s="17"/>
      <c r="P79" s="17"/>
      <c r="Q79" s="17"/>
      <c r="R79" s="17" t="s">
        <v>52</v>
      </c>
      <c r="S79" s="17"/>
      <c r="T79" s="17"/>
      <c r="U79" s="17"/>
      <c r="V79" s="17"/>
      <c r="W79" s="8">
        <v>0</v>
      </c>
      <c r="X79" s="8">
        <v>0</v>
      </c>
      <c r="Y79" s="1"/>
      <c r="Z79" s="8"/>
      <c r="AA79" s="8"/>
      <c r="AB79" s="17" t="s">
        <v>235</v>
      </c>
      <c r="AC79" s="17"/>
      <c r="AD79" s="17"/>
      <c r="AE79" s="17"/>
      <c r="AF79" s="17"/>
      <c r="AG79" s="17"/>
      <c r="AH79" s="17"/>
      <c r="AI79" s="17"/>
      <c r="AJ79" s="17"/>
      <c r="AK79" s="17"/>
      <c r="AL79" s="17"/>
      <c r="AM79" s="17"/>
      <c r="AN79" s="17"/>
      <c r="AO79" s="17"/>
      <c r="AP79" s="17"/>
      <c r="AQ79" s="17"/>
      <c r="AR79" s="17"/>
      <c r="AS79" s="17"/>
      <c r="AT79" s="17" t="s">
        <v>236</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t="s">
        <v>237</v>
      </c>
      <c r="CK79" s="17" t="s">
        <v>233</v>
      </c>
      <c r="CL79" s="17"/>
      <c r="CM79" s="17"/>
      <c r="CN79" s="17"/>
      <c r="CO79" s="17"/>
      <c r="CP79" s="17"/>
      <c r="CQ79" s="17"/>
      <c r="CR79" s="17"/>
      <c r="CS79" s="17"/>
      <c r="CT79" s="17"/>
      <c r="CU79" s="17"/>
      <c r="CV79" s="17"/>
      <c r="CW79" s="17"/>
      <c r="CX79" s="17"/>
      <c r="CY79" s="17"/>
      <c r="CZ79" s="17"/>
      <c r="DA79" s="17"/>
      <c r="DB79" s="17"/>
      <c r="DC79" s="17"/>
      <c r="DD79" s="17"/>
      <c r="DE79" s="17"/>
      <c r="DF79" s="17"/>
    </row>
    <row r="80" spans="3:110" x14ac:dyDescent="0.55000000000000004">
      <c r="C80" s="5" t="s">
        <v>243</v>
      </c>
      <c r="D80" s="1">
        <v>81</v>
      </c>
      <c r="E80" s="17" t="s">
        <v>238</v>
      </c>
      <c r="F80" s="17"/>
      <c r="G80" s="17"/>
      <c r="H80" s="17"/>
      <c r="I80" s="17"/>
      <c r="J80" s="17"/>
      <c r="K80" s="17"/>
      <c r="L80" s="17"/>
      <c r="M80" s="17"/>
      <c r="N80" s="17"/>
      <c r="O80" s="17"/>
      <c r="P80" s="17"/>
      <c r="Q80" s="17"/>
      <c r="R80" s="17" t="s">
        <v>75</v>
      </c>
      <c r="S80" s="17"/>
      <c r="T80" s="17"/>
      <c r="U80" s="17"/>
      <c r="V80" s="17"/>
      <c r="W80" s="8">
        <v>12</v>
      </c>
      <c r="X80" s="8">
        <v>6</v>
      </c>
      <c r="Y80" s="1"/>
      <c r="Z80" s="8"/>
      <c r="AA80" s="8"/>
      <c r="AB80" s="17" t="s">
        <v>239</v>
      </c>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t="s">
        <v>240</v>
      </c>
      <c r="CK80" s="17" t="s">
        <v>233</v>
      </c>
      <c r="CL80" s="17"/>
      <c r="CM80" s="17"/>
      <c r="CN80" s="17"/>
      <c r="CO80" s="17"/>
      <c r="CP80" s="17"/>
      <c r="CQ80" s="17"/>
      <c r="CR80" s="17"/>
      <c r="CS80" s="17"/>
      <c r="CT80" s="17"/>
      <c r="CU80" s="17"/>
      <c r="CV80" s="17"/>
      <c r="CW80" s="17"/>
      <c r="CX80" s="17"/>
      <c r="CY80" s="17"/>
      <c r="CZ80" s="17"/>
      <c r="DA80" s="17"/>
      <c r="DB80" s="17"/>
      <c r="DC80" s="17"/>
      <c r="DD80" s="17"/>
      <c r="DE80" s="17"/>
      <c r="DF80" s="17"/>
    </row>
    <row r="81" spans="5:28" x14ac:dyDescent="0.55000000000000004">
      <c r="E81"/>
      <c r="F81"/>
      <c r="G81"/>
      <c r="H81"/>
      <c r="I81"/>
      <c r="J81"/>
      <c r="K81"/>
      <c r="L81"/>
      <c r="M81"/>
      <c r="N81"/>
      <c r="O81"/>
      <c r="P81"/>
      <c r="Q81"/>
      <c r="S81" s="24" t="s">
        <v>247</v>
      </c>
      <c r="T81" s="24"/>
      <c r="U81" s="24"/>
      <c r="V81" s="25"/>
      <c r="W81" s="7">
        <f>SUMIF(C2:C80,"EXE",W2:W80)</f>
        <v>260</v>
      </c>
      <c r="X81" s="7">
        <f>SUMIF(C2:C80,"EXE",X2:X80)</f>
        <v>134</v>
      </c>
    </row>
    <row r="82" spans="5:28" ht="32.25" customHeight="1" x14ac:dyDescent="0.55000000000000004">
      <c r="S82" s="23" t="s">
        <v>250</v>
      </c>
      <c r="T82" s="24"/>
      <c r="U82" s="24"/>
      <c r="V82" s="25"/>
      <c r="W82" s="26">
        <f>SUM(W81:X81)/20</f>
        <v>19.7</v>
      </c>
      <c r="X82" s="26"/>
    </row>
    <row r="83" spans="5:28" ht="18.75" customHeight="1" x14ac:dyDescent="0.55000000000000004"/>
    <row r="84" spans="5:28" ht="33.75" customHeight="1" x14ac:dyDescent="0.55000000000000004">
      <c r="S84" s="23" t="s">
        <v>249</v>
      </c>
      <c r="T84" s="24"/>
      <c r="U84" s="24"/>
      <c r="V84" s="25"/>
      <c r="W84" s="7">
        <f>SUMIFS(W2:W80,C2:C80,"EXE",Y2:Y80,"有")</f>
        <v>54</v>
      </c>
      <c r="X84" s="7">
        <f>SUMIFS(X2:X80,C2:C80,"EXE",Y2:Y80,"有")</f>
        <v>28</v>
      </c>
      <c r="Z84" s="7">
        <f>SUM(Z2:Z80)</f>
        <v>112</v>
      </c>
      <c r="AA84" s="7">
        <f>SUM(AA2:AA80)</f>
        <v>89.600000000000009</v>
      </c>
    </row>
    <row r="85" spans="5:28" ht="22.5" x14ac:dyDescent="0.55000000000000004">
      <c r="S85" s="23" t="s">
        <v>250</v>
      </c>
      <c r="T85" s="24"/>
      <c r="U85" s="24"/>
      <c r="V85" s="25"/>
      <c r="W85" s="28">
        <f>SUM(W84:X84)/20</f>
        <v>4.0999999999999996</v>
      </c>
      <c r="X85" s="28"/>
      <c r="Z85" s="27">
        <f>SUM(Z84:AA84)/20</f>
        <v>10.080000000000002</v>
      </c>
      <c r="AA85" s="27"/>
      <c r="AB85" s="29">
        <f>ROUNDUP(Z85/W85,1)</f>
        <v>2.5</v>
      </c>
    </row>
    <row r="88" spans="5:28" ht="42" customHeight="1" x14ac:dyDescent="0.55000000000000004">
      <c r="S88" s="23" t="s">
        <v>253</v>
      </c>
      <c r="T88" s="24"/>
      <c r="U88" s="24"/>
      <c r="V88" s="25"/>
      <c r="W88" s="26">
        <f>W82*AB85</f>
        <v>49.25</v>
      </c>
      <c r="X88" s="26"/>
    </row>
  </sheetData>
  <autoFilter ref="C1:DW82" xr:uid="{AD27DE10-4F77-4465-B433-1F743F28EFE5}">
    <filterColumn colId="0">
      <filters blank="1">
        <filter val="EXE"/>
      </filters>
    </filterColumn>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5" showButton="0"/>
    <filterColumn colId="16" showButton="0"/>
    <filterColumn colId="17" showButton="0"/>
    <filterColumn colId="18" showButton="0"/>
    <filterColumn colId="20">
      <filters>
        <filter val="10"/>
        <filter val="12"/>
        <filter val="18"/>
        <filter val="19.7"/>
        <filter val="260"/>
        <filter val="4"/>
        <filter val="8"/>
      </filters>
    </filterColumn>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8" showButton="0"/>
    <filterColumn colId="59" showButton="0"/>
    <filterColumn colId="60" showButton="0"/>
    <filterColumn colId="61" showButton="0"/>
    <filterColumn colId="63" showButton="0"/>
    <filterColumn colId="64" showButton="0"/>
    <filterColumn colId="65" showButton="0"/>
    <filterColumn colId="66" showButton="0"/>
    <filterColumn colId="67" showButton="0"/>
    <filterColumn colId="68"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filterColumn colId="99" showButton="0"/>
    <filterColumn colId="100" showButton="0"/>
    <filterColumn colId="101" showButton="0"/>
    <filterColumn colId="102" showButton="0"/>
    <filterColumn colId="103" showButton="0"/>
    <filterColumn colId="104" showButton="0"/>
    <filterColumn colId="105" showButton="0"/>
    <filterColumn colId="106" showButton="0"/>
  </autoFilter>
  <mergeCells count="649">
    <mergeCell ref="S88:V88"/>
    <mergeCell ref="W88:X88"/>
    <mergeCell ref="S84:V84"/>
    <mergeCell ref="W85:X85"/>
    <mergeCell ref="Z85:AA85"/>
    <mergeCell ref="S85:V85"/>
    <mergeCell ref="W82:X82"/>
    <mergeCell ref="S82:V82"/>
    <mergeCell ref="S81:V81"/>
    <mergeCell ref="BI80:BM80"/>
    <mergeCell ref="BN80:BT80"/>
    <mergeCell ref="BU80:CI80"/>
    <mergeCell ref="CJ80:DF80"/>
    <mergeCell ref="BI79:BM79"/>
    <mergeCell ref="BN79:BT79"/>
    <mergeCell ref="BU79:CI79"/>
    <mergeCell ref="CJ79:DF79"/>
    <mergeCell ref="E80:Q80"/>
    <mergeCell ref="R80:V80"/>
    <mergeCell ref="AB80:AS80"/>
    <mergeCell ref="AT80:BH80"/>
    <mergeCell ref="BI78:BM78"/>
    <mergeCell ref="BN78:BT78"/>
    <mergeCell ref="BU78:CI78"/>
    <mergeCell ref="CJ78:DF78"/>
    <mergeCell ref="E79:Q79"/>
    <mergeCell ref="R79:V79"/>
    <mergeCell ref="AB79:AS79"/>
    <mergeCell ref="AT79:BH79"/>
    <mergeCell ref="BI77:BM77"/>
    <mergeCell ref="BN77:BT77"/>
    <mergeCell ref="BU77:CI77"/>
    <mergeCell ref="CJ77:DF77"/>
    <mergeCell ref="E78:Q78"/>
    <mergeCell ref="R78:V78"/>
    <mergeCell ref="AB78:AS78"/>
    <mergeCell ref="AT78:BH78"/>
    <mergeCell ref="BI76:BM76"/>
    <mergeCell ref="BN76:BT76"/>
    <mergeCell ref="BU76:CI76"/>
    <mergeCell ref="CJ76:DF76"/>
    <mergeCell ref="E77:Q77"/>
    <mergeCell ref="R77:V77"/>
    <mergeCell ref="AB77:AS77"/>
    <mergeCell ref="AT77:BH77"/>
    <mergeCell ref="BI75:BM75"/>
    <mergeCell ref="BN75:BT75"/>
    <mergeCell ref="BU75:CI75"/>
    <mergeCell ref="CJ75:DF75"/>
    <mergeCell ref="E76:Q76"/>
    <mergeCell ref="R76:V76"/>
    <mergeCell ref="AB76:AS76"/>
    <mergeCell ref="AT76:BH76"/>
    <mergeCell ref="BI74:BM74"/>
    <mergeCell ref="BN74:BT74"/>
    <mergeCell ref="BU74:CI74"/>
    <mergeCell ref="CJ74:DF74"/>
    <mergeCell ref="E75:Q75"/>
    <mergeCell ref="R75:V75"/>
    <mergeCell ref="AB75:AS75"/>
    <mergeCell ref="AT75:BH75"/>
    <mergeCell ref="BI73:BM73"/>
    <mergeCell ref="BN73:BT73"/>
    <mergeCell ref="BU73:CI73"/>
    <mergeCell ref="CJ73:DF73"/>
    <mergeCell ref="E74:Q74"/>
    <mergeCell ref="R74:V74"/>
    <mergeCell ref="AB74:AS74"/>
    <mergeCell ref="AT74:BH74"/>
    <mergeCell ref="BI72:BM72"/>
    <mergeCell ref="BN72:BT72"/>
    <mergeCell ref="BU72:CI72"/>
    <mergeCell ref="CJ72:DF72"/>
    <mergeCell ref="E73:Q73"/>
    <mergeCell ref="R73:V73"/>
    <mergeCell ref="AB73:AS73"/>
    <mergeCell ref="AT73:BH73"/>
    <mergeCell ref="BI71:BM71"/>
    <mergeCell ref="BN71:BT71"/>
    <mergeCell ref="BU71:CI71"/>
    <mergeCell ref="CJ71:DF71"/>
    <mergeCell ref="E72:Q72"/>
    <mergeCell ref="R72:V72"/>
    <mergeCell ref="AB72:AS72"/>
    <mergeCell ref="AT72:BH72"/>
    <mergeCell ref="BI70:BM70"/>
    <mergeCell ref="BN70:BT70"/>
    <mergeCell ref="BU70:CI70"/>
    <mergeCell ref="CJ70:DF70"/>
    <mergeCell ref="E71:Q71"/>
    <mergeCell ref="R71:V71"/>
    <mergeCell ref="AB71:AS71"/>
    <mergeCell ref="AT71:BH71"/>
    <mergeCell ref="BI69:BM69"/>
    <mergeCell ref="BN69:BT69"/>
    <mergeCell ref="BU69:CI69"/>
    <mergeCell ref="CJ69:DF69"/>
    <mergeCell ref="E70:Q70"/>
    <mergeCell ref="R70:V70"/>
    <mergeCell ref="AB70:AS70"/>
    <mergeCell ref="AT70:BH70"/>
    <mergeCell ref="BI68:BM68"/>
    <mergeCell ref="BN68:BT68"/>
    <mergeCell ref="BU68:CI68"/>
    <mergeCell ref="CJ68:DF68"/>
    <mergeCell ref="E69:Q69"/>
    <mergeCell ref="R69:V69"/>
    <mergeCell ref="AB69:AS69"/>
    <mergeCell ref="AT69:BH69"/>
    <mergeCell ref="BI67:BM67"/>
    <mergeCell ref="BN67:BT67"/>
    <mergeCell ref="BU67:CI67"/>
    <mergeCell ref="CJ67:DF67"/>
    <mergeCell ref="E68:Q68"/>
    <mergeCell ref="R68:V68"/>
    <mergeCell ref="AB68:AS68"/>
    <mergeCell ref="AT68:BH68"/>
    <mergeCell ref="BI66:BM66"/>
    <mergeCell ref="BN66:BT66"/>
    <mergeCell ref="BU66:CI66"/>
    <mergeCell ref="CJ66:DF66"/>
    <mergeCell ref="E67:Q67"/>
    <mergeCell ref="R67:V67"/>
    <mergeCell ref="AB67:AS67"/>
    <mergeCell ref="AT67:BH67"/>
    <mergeCell ref="BI65:BM65"/>
    <mergeCell ref="BN65:BT65"/>
    <mergeCell ref="BU65:CI65"/>
    <mergeCell ref="CJ65:DF65"/>
    <mergeCell ref="E66:Q66"/>
    <mergeCell ref="R66:V66"/>
    <mergeCell ref="AB66:AS66"/>
    <mergeCell ref="AT66:BH66"/>
    <mergeCell ref="BI64:BM64"/>
    <mergeCell ref="BN64:BT64"/>
    <mergeCell ref="BU64:CI64"/>
    <mergeCell ref="CJ64:DF64"/>
    <mergeCell ref="E65:Q65"/>
    <mergeCell ref="R65:V65"/>
    <mergeCell ref="AB65:AS65"/>
    <mergeCell ref="AT65:BH65"/>
    <mergeCell ref="BI63:BM63"/>
    <mergeCell ref="BN63:BT63"/>
    <mergeCell ref="BU63:CI63"/>
    <mergeCell ref="CJ63:DF63"/>
    <mergeCell ref="E64:Q64"/>
    <mergeCell ref="R64:V64"/>
    <mergeCell ref="AB64:AS64"/>
    <mergeCell ref="AT64:BH64"/>
    <mergeCell ref="BI62:BM62"/>
    <mergeCell ref="BN62:BT62"/>
    <mergeCell ref="BU62:CI62"/>
    <mergeCell ref="CJ62:DF62"/>
    <mergeCell ref="E63:Q63"/>
    <mergeCell ref="R63:V63"/>
    <mergeCell ref="AB63:AS63"/>
    <mergeCell ref="AT63:BH63"/>
    <mergeCell ref="BI61:BM61"/>
    <mergeCell ref="BN61:BT61"/>
    <mergeCell ref="BU61:CI61"/>
    <mergeCell ref="CJ61:DF61"/>
    <mergeCell ref="E62:Q62"/>
    <mergeCell ref="R62:V62"/>
    <mergeCell ref="AB62:AS62"/>
    <mergeCell ref="AT62:BH62"/>
    <mergeCell ref="BI60:BM60"/>
    <mergeCell ref="BN60:BT60"/>
    <mergeCell ref="BU60:CI60"/>
    <mergeCell ref="CJ60:DF60"/>
    <mergeCell ref="E61:Q61"/>
    <mergeCell ref="R61:V61"/>
    <mergeCell ref="AB61:AS61"/>
    <mergeCell ref="AT61:BH61"/>
    <mergeCell ref="BI59:BM59"/>
    <mergeCell ref="BN59:BT59"/>
    <mergeCell ref="BU59:CI59"/>
    <mergeCell ref="CJ59:DF59"/>
    <mergeCell ref="E60:Q60"/>
    <mergeCell ref="R60:V60"/>
    <mergeCell ref="AB60:AS60"/>
    <mergeCell ref="AT60:BH60"/>
    <mergeCell ref="BI58:BM58"/>
    <mergeCell ref="BN58:BT58"/>
    <mergeCell ref="BU58:CI58"/>
    <mergeCell ref="CJ58:DF58"/>
    <mergeCell ref="E59:Q59"/>
    <mergeCell ref="R59:V59"/>
    <mergeCell ref="AB59:AS59"/>
    <mergeCell ref="AT59:BH59"/>
    <mergeCell ref="BI57:BM57"/>
    <mergeCell ref="BN57:BT57"/>
    <mergeCell ref="BU57:CI57"/>
    <mergeCell ref="CJ57:DF57"/>
    <mergeCell ref="E58:Q58"/>
    <mergeCell ref="R58:V58"/>
    <mergeCell ref="AB58:AS58"/>
    <mergeCell ref="AT58:BH58"/>
    <mergeCell ref="BI56:BM56"/>
    <mergeCell ref="BN56:BT56"/>
    <mergeCell ref="BU56:CI56"/>
    <mergeCell ref="CJ56:DF56"/>
    <mergeCell ref="E57:Q57"/>
    <mergeCell ref="R57:V57"/>
    <mergeCell ref="AB57:AS57"/>
    <mergeCell ref="AT57:BH57"/>
    <mergeCell ref="BI55:BM55"/>
    <mergeCell ref="BN55:BT55"/>
    <mergeCell ref="BU55:CI55"/>
    <mergeCell ref="CJ55:DF55"/>
    <mergeCell ref="E56:Q56"/>
    <mergeCell ref="R56:V56"/>
    <mergeCell ref="AB56:AS56"/>
    <mergeCell ref="AT56:BH56"/>
    <mergeCell ref="BI54:BM54"/>
    <mergeCell ref="BN54:BT54"/>
    <mergeCell ref="BU54:CI54"/>
    <mergeCell ref="CJ54:DF54"/>
    <mergeCell ref="E55:Q55"/>
    <mergeCell ref="R55:V55"/>
    <mergeCell ref="AB55:AS55"/>
    <mergeCell ref="AT55:BH55"/>
    <mergeCell ref="BI53:BM53"/>
    <mergeCell ref="BN53:BT53"/>
    <mergeCell ref="BU53:CI53"/>
    <mergeCell ref="CJ53:DF53"/>
    <mergeCell ref="E54:Q54"/>
    <mergeCell ref="R54:V54"/>
    <mergeCell ref="AB54:AS54"/>
    <mergeCell ref="AT54:BH54"/>
    <mergeCell ref="BI52:BM52"/>
    <mergeCell ref="BN52:BT52"/>
    <mergeCell ref="BU52:CI52"/>
    <mergeCell ref="CJ52:DF52"/>
    <mergeCell ref="E53:Q53"/>
    <mergeCell ref="R53:V53"/>
    <mergeCell ref="AB53:AS53"/>
    <mergeCell ref="AT53:BH53"/>
    <mergeCell ref="BI51:BM51"/>
    <mergeCell ref="BN51:BT51"/>
    <mergeCell ref="BU51:CI51"/>
    <mergeCell ref="CJ51:DF51"/>
    <mergeCell ref="E52:Q52"/>
    <mergeCell ref="R52:V52"/>
    <mergeCell ref="AB52:AS52"/>
    <mergeCell ref="AT52:BH52"/>
    <mergeCell ref="BI50:BM50"/>
    <mergeCell ref="BN50:BT50"/>
    <mergeCell ref="BU50:CI50"/>
    <mergeCell ref="CJ50:DF50"/>
    <mergeCell ref="E51:Q51"/>
    <mergeCell ref="R51:V51"/>
    <mergeCell ref="AB51:AS51"/>
    <mergeCell ref="AT51:BH51"/>
    <mergeCell ref="BI49:BM49"/>
    <mergeCell ref="BN49:BT49"/>
    <mergeCell ref="BU49:CI49"/>
    <mergeCell ref="CJ49:DF49"/>
    <mergeCell ref="E50:Q50"/>
    <mergeCell ref="R50:V50"/>
    <mergeCell ref="AB50:AS50"/>
    <mergeCell ref="AT50:BH50"/>
    <mergeCell ref="BI48:BM48"/>
    <mergeCell ref="BN48:BT48"/>
    <mergeCell ref="BU48:CI48"/>
    <mergeCell ref="CJ48:DF48"/>
    <mergeCell ref="E49:Q49"/>
    <mergeCell ref="R49:V49"/>
    <mergeCell ref="AB49:AS49"/>
    <mergeCell ref="AT49:BH49"/>
    <mergeCell ref="BI47:BM47"/>
    <mergeCell ref="BN47:BT47"/>
    <mergeCell ref="BU47:CI47"/>
    <mergeCell ref="CJ47:DF47"/>
    <mergeCell ref="E48:Q48"/>
    <mergeCell ref="R48:V48"/>
    <mergeCell ref="AB48:AS48"/>
    <mergeCell ref="AT48:BH48"/>
    <mergeCell ref="BI46:BM46"/>
    <mergeCell ref="BN46:BT46"/>
    <mergeCell ref="BU46:CI46"/>
    <mergeCell ref="CJ46:DF46"/>
    <mergeCell ref="E47:Q47"/>
    <mergeCell ref="R47:V47"/>
    <mergeCell ref="AB47:AS47"/>
    <mergeCell ref="AT47:BH47"/>
    <mergeCell ref="BI45:BM45"/>
    <mergeCell ref="BN45:BT45"/>
    <mergeCell ref="BU45:CI45"/>
    <mergeCell ref="CJ45:DF45"/>
    <mergeCell ref="E46:Q46"/>
    <mergeCell ref="R46:V46"/>
    <mergeCell ref="AB46:AS46"/>
    <mergeCell ref="AT46:BH46"/>
    <mergeCell ref="BI44:BM44"/>
    <mergeCell ref="BN44:BT44"/>
    <mergeCell ref="BU44:CI44"/>
    <mergeCell ref="CJ44:DF44"/>
    <mergeCell ref="E45:Q45"/>
    <mergeCell ref="R45:V45"/>
    <mergeCell ref="AB45:AS45"/>
    <mergeCell ref="AT45:BH45"/>
    <mergeCell ref="BI43:BM43"/>
    <mergeCell ref="BN43:BT43"/>
    <mergeCell ref="BU43:CI43"/>
    <mergeCell ref="CJ43:DF43"/>
    <mergeCell ref="E44:Q44"/>
    <mergeCell ref="R44:V44"/>
    <mergeCell ref="AB44:AS44"/>
    <mergeCell ref="AT44:BH44"/>
    <mergeCell ref="BI42:BM42"/>
    <mergeCell ref="BN42:BT42"/>
    <mergeCell ref="BU42:CI42"/>
    <mergeCell ref="CJ42:DF42"/>
    <mergeCell ref="E43:Q43"/>
    <mergeCell ref="R43:V43"/>
    <mergeCell ref="AB43:AS43"/>
    <mergeCell ref="AT43:BH43"/>
    <mergeCell ref="BI41:BM41"/>
    <mergeCell ref="BN41:BT41"/>
    <mergeCell ref="BU41:CI41"/>
    <mergeCell ref="CJ41:DF41"/>
    <mergeCell ref="E42:Q42"/>
    <mergeCell ref="R42:V42"/>
    <mergeCell ref="AB42:AS42"/>
    <mergeCell ref="AT42:BH42"/>
    <mergeCell ref="BI40:BM40"/>
    <mergeCell ref="BN40:BT40"/>
    <mergeCell ref="BU40:CI40"/>
    <mergeCell ref="CJ40:DF40"/>
    <mergeCell ref="E41:Q41"/>
    <mergeCell ref="R41:V41"/>
    <mergeCell ref="AB41:AS41"/>
    <mergeCell ref="AT41:BH41"/>
    <mergeCell ref="BI39:BM39"/>
    <mergeCell ref="BN39:BT39"/>
    <mergeCell ref="BU39:CI39"/>
    <mergeCell ref="CJ39:DF39"/>
    <mergeCell ref="E40:Q40"/>
    <mergeCell ref="R40:V40"/>
    <mergeCell ref="AB40:AS40"/>
    <mergeCell ref="AT40:BH40"/>
    <mergeCell ref="BI38:BM38"/>
    <mergeCell ref="BN38:BT38"/>
    <mergeCell ref="BU38:CI38"/>
    <mergeCell ref="CJ38:DF38"/>
    <mergeCell ref="E39:Q39"/>
    <mergeCell ref="R39:V39"/>
    <mergeCell ref="AB39:AS39"/>
    <mergeCell ref="AT39:BH39"/>
    <mergeCell ref="BI37:BM37"/>
    <mergeCell ref="BN37:BT37"/>
    <mergeCell ref="BU37:CI37"/>
    <mergeCell ref="CJ37:DF37"/>
    <mergeCell ref="E38:Q38"/>
    <mergeCell ref="R38:V38"/>
    <mergeCell ref="AB38:AS38"/>
    <mergeCell ref="AT38:BH38"/>
    <mergeCell ref="BI36:BM36"/>
    <mergeCell ref="BN36:BT36"/>
    <mergeCell ref="BU36:CI36"/>
    <mergeCell ref="CJ36:DF36"/>
    <mergeCell ref="E37:Q37"/>
    <mergeCell ref="R37:V37"/>
    <mergeCell ref="AB37:AS37"/>
    <mergeCell ref="AT37:BH37"/>
    <mergeCell ref="BI35:BM35"/>
    <mergeCell ref="BN35:BT35"/>
    <mergeCell ref="BU35:CI35"/>
    <mergeCell ref="CJ35:DF35"/>
    <mergeCell ref="E36:Q36"/>
    <mergeCell ref="R36:V36"/>
    <mergeCell ref="AB36:AS36"/>
    <mergeCell ref="AT36:BH36"/>
    <mergeCell ref="BI34:BM34"/>
    <mergeCell ref="BN34:BT34"/>
    <mergeCell ref="BU34:CI34"/>
    <mergeCell ref="CJ34:DF34"/>
    <mergeCell ref="E35:Q35"/>
    <mergeCell ref="R35:V35"/>
    <mergeCell ref="AB35:AS35"/>
    <mergeCell ref="AT35:BH35"/>
    <mergeCell ref="BI33:BM33"/>
    <mergeCell ref="BN33:BT33"/>
    <mergeCell ref="BU33:CI33"/>
    <mergeCell ref="CJ33:DF33"/>
    <mergeCell ref="E34:Q34"/>
    <mergeCell ref="R34:V34"/>
    <mergeCell ref="AB34:AS34"/>
    <mergeCell ref="AT34:BH34"/>
    <mergeCell ref="BI32:BM32"/>
    <mergeCell ref="BN32:BT32"/>
    <mergeCell ref="BU32:CI32"/>
    <mergeCell ref="CJ32:DF32"/>
    <mergeCell ref="E33:Q33"/>
    <mergeCell ref="R33:V33"/>
    <mergeCell ref="AB33:AS33"/>
    <mergeCell ref="AT33:BH33"/>
    <mergeCell ref="BI31:BM31"/>
    <mergeCell ref="BN31:BT31"/>
    <mergeCell ref="BU31:CI31"/>
    <mergeCell ref="CJ31:DF31"/>
    <mergeCell ref="E32:Q32"/>
    <mergeCell ref="R32:V32"/>
    <mergeCell ref="AB32:AS32"/>
    <mergeCell ref="AT32:BH32"/>
    <mergeCell ref="BI30:BM30"/>
    <mergeCell ref="BN30:BT30"/>
    <mergeCell ref="BU30:CI30"/>
    <mergeCell ref="CJ30:DF30"/>
    <mergeCell ref="E31:Q31"/>
    <mergeCell ref="R31:V31"/>
    <mergeCell ref="AB31:AS31"/>
    <mergeCell ref="AT31:BH31"/>
    <mergeCell ref="BI29:BM29"/>
    <mergeCell ref="BN29:BT29"/>
    <mergeCell ref="BU29:CI29"/>
    <mergeCell ref="CJ29:DF29"/>
    <mergeCell ref="E30:Q30"/>
    <mergeCell ref="R30:V30"/>
    <mergeCell ref="AB30:AS30"/>
    <mergeCell ref="AT30:BH30"/>
    <mergeCell ref="BI28:BM28"/>
    <mergeCell ref="BN28:BT28"/>
    <mergeCell ref="BU28:CI28"/>
    <mergeCell ref="CJ28:DF28"/>
    <mergeCell ref="E29:Q29"/>
    <mergeCell ref="R29:V29"/>
    <mergeCell ref="AB29:AS29"/>
    <mergeCell ref="AT29:BH29"/>
    <mergeCell ref="BI27:BM27"/>
    <mergeCell ref="BN27:BT27"/>
    <mergeCell ref="BU27:CI27"/>
    <mergeCell ref="CJ27:DF27"/>
    <mergeCell ref="E28:Q28"/>
    <mergeCell ref="R28:V28"/>
    <mergeCell ref="AB28:AS28"/>
    <mergeCell ref="AT28:BH28"/>
    <mergeCell ref="BI26:BM26"/>
    <mergeCell ref="BN26:BT26"/>
    <mergeCell ref="BU26:CI26"/>
    <mergeCell ref="CJ26:DF26"/>
    <mergeCell ref="E27:Q27"/>
    <mergeCell ref="R27:V27"/>
    <mergeCell ref="AB27:AS27"/>
    <mergeCell ref="AT27:BH27"/>
    <mergeCell ref="BI25:BM25"/>
    <mergeCell ref="BN25:BT25"/>
    <mergeCell ref="BU25:CI25"/>
    <mergeCell ref="CJ25:DF25"/>
    <mergeCell ref="E26:Q26"/>
    <mergeCell ref="R26:V26"/>
    <mergeCell ref="AB26:AS26"/>
    <mergeCell ref="AT26:BH26"/>
    <mergeCell ref="BI24:BM24"/>
    <mergeCell ref="BN24:BT24"/>
    <mergeCell ref="BU24:CI24"/>
    <mergeCell ref="CJ24:DF24"/>
    <mergeCell ref="E25:Q25"/>
    <mergeCell ref="R25:V25"/>
    <mergeCell ref="AB25:AS25"/>
    <mergeCell ref="AT25:BH25"/>
    <mergeCell ref="BI23:BM23"/>
    <mergeCell ref="BN23:BT23"/>
    <mergeCell ref="BU23:CI23"/>
    <mergeCell ref="CJ23:DF23"/>
    <mergeCell ref="E24:Q24"/>
    <mergeCell ref="R24:V24"/>
    <mergeCell ref="AB24:AS24"/>
    <mergeCell ref="AT24:BH24"/>
    <mergeCell ref="BI22:BM22"/>
    <mergeCell ref="BN22:BT22"/>
    <mergeCell ref="BU22:CI22"/>
    <mergeCell ref="CJ22:DF22"/>
    <mergeCell ref="E23:Q23"/>
    <mergeCell ref="R23:V23"/>
    <mergeCell ref="AB23:AS23"/>
    <mergeCell ref="AT23:BH23"/>
    <mergeCell ref="BI21:BM21"/>
    <mergeCell ref="BN21:BT21"/>
    <mergeCell ref="BU21:CI21"/>
    <mergeCell ref="CJ21:DF21"/>
    <mergeCell ref="E22:Q22"/>
    <mergeCell ref="R22:V22"/>
    <mergeCell ref="AB22:AS22"/>
    <mergeCell ref="AT22:BH22"/>
    <mergeCell ref="BI20:BM20"/>
    <mergeCell ref="BN20:BT20"/>
    <mergeCell ref="BU20:CI20"/>
    <mergeCell ref="CJ20:DF20"/>
    <mergeCell ref="E21:Q21"/>
    <mergeCell ref="R21:V21"/>
    <mergeCell ref="AB21:AS21"/>
    <mergeCell ref="AT21:BH21"/>
    <mergeCell ref="BI19:BM19"/>
    <mergeCell ref="BN19:BT19"/>
    <mergeCell ref="BU19:CI19"/>
    <mergeCell ref="CJ19:DF19"/>
    <mergeCell ref="E20:Q20"/>
    <mergeCell ref="R20:V20"/>
    <mergeCell ref="AB20:AS20"/>
    <mergeCell ref="AT20:BH20"/>
    <mergeCell ref="BI18:BM18"/>
    <mergeCell ref="BN18:BT18"/>
    <mergeCell ref="BU18:CI18"/>
    <mergeCell ref="CJ18:DF18"/>
    <mergeCell ref="E19:Q19"/>
    <mergeCell ref="R19:V19"/>
    <mergeCell ref="AB19:AS19"/>
    <mergeCell ref="AT19:BH19"/>
    <mergeCell ref="BI17:BM17"/>
    <mergeCell ref="BN17:BT17"/>
    <mergeCell ref="BU17:CI17"/>
    <mergeCell ref="CJ17:DF17"/>
    <mergeCell ref="E18:Q18"/>
    <mergeCell ref="R18:V18"/>
    <mergeCell ref="AB18:AS18"/>
    <mergeCell ref="AT18:BH18"/>
    <mergeCell ref="BI16:BM16"/>
    <mergeCell ref="BN16:BT16"/>
    <mergeCell ref="BU16:CI16"/>
    <mergeCell ref="CJ16:DF16"/>
    <mergeCell ref="E17:Q17"/>
    <mergeCell ref="R17:V17"/>
    <mergeCell ref="AB17:AS17"/>
    <mergeCell ref="AT17:BH17"/>
    <mergeCell ref="BI15:BM15"/>
    <mergeCell ref="BN15:BT15"/>
    <mergeCell ref="BU15:CI15"/>
    <mergeCell ref="CJ15:DF15"/>
    <mergeCell ref="E16:Q16"/>
    <mergeCell ref="R16:V16"/>
    <mergeCell ref="AB16:AS16"/>
    <mergeCell ref="AT16:BH16"/>
    <mergeCell ref="BI14:BM14"/>
    <mergeCell ref="BN14:BT14"/>
    <mergeCell ref="BU14:CI14"/>
    <mergeCell ref="CJ14:DF14"/>
    <mergeCell ref="E15:Q15"/>
    <mergeCell ref="R15:V15"/>
    <mergeCell ref="AB15:AS15"/>
    <mergeCell ref="AT15:BH15"/>
    <mergeCell ref="BI13:BM13"/>
    <mergeCell ref="BN13:BT13"/>
    <mergeCell ref="BU13:CI13"/>
    <mergeCell ref="CJ13:DF13"/>
    <mergeCell ref="E14:Q14"/>
    <mergeCell ref="R14:V14"/>
    <mergeCell ref="AB14:AS14"/>
    <mergeCell ref="AT14:BH14"/>
    <mergeCell ref="BI12:BM12"/>
    <mergeCell ref="BN12:BT12"/>
    <mergeCell ref="BU12:CI12"/>
    <mergeCell ref="CJ12:DF12"/>
    <mergeCell ref="E13:Q13"/>
    <mergeCell ref="R13:V13"/>
    <mergeCell ref="AB13:AS13"/>
    <mergeCell ref="AT13:BH13"/>
    <mergeCell ref="BI11:BM11"/>
    <mergeCell ref="BN11:BT11"/>
    <mergeCell ref="BU11:CI11"/>
    <mergeCell ref="CJ11:DF11"/>
    <mergeCell ref="E12:Q12"/>
    <mergeCell ref="R12:V12"/>
    <mergeCell ref="AB12:AS12"/>
    <mergeCell ref="AT12:BH12"/>
    <mergeCell ref="BI10:BM10"/>
    <mergeCell ref="BN10:BT10"/>
    <mergeCell ref="BU10:CI10"/>
    <mergeCell ref="CJ10:DF10"/>
    <mergeCell ref="E11:Q11"/>
    <mergeCell ref="R11:V11"/>
    <mergeCell ref="AB11:AS11"/>
    <mergeCell ref="AT11:BH11"/>
    <mergeCell ref="BI9:BM9"/>
    <mergeCell ref="BN9:BT9"/>
    <mergeCell ref="BU9:CI9"/>
    <mergeCell ref="CJ9:DF9"/>
    <mergeCell ref="E10:Q10"/>
    <mergeCell ref="R10:V10"/>
    <mergeCell ref="AB10:AS10"/>
    <mergeCell ref="AT10:BH10"/>
    <mergeCell ref="BI8:BM8"/>
    <mergeCell ref="BN8:BT8"/>
    <mergeCell ref="BU8:CI8"/>
    <mergeCell ref="CJ8:DF8"/>
    <mergeCell ref="E9:Q9"/>
    <mergeCell ref="R9:V9"/>
    <mergeCell ref="AB9:AS9"/>
    <mergeCell ref="AT9:BH9"/>
    <mergeCell ref="BI7:BM7"/>
    <mergeCell ref="BN7:BT7"/>
    <mergeCell ref="BU7:CI7"/>
    <mergeCell ref="CJ7:DF7"/>
    <mergeCell ref="E8:Q8"/>
    <mergeCell ref="R8:V8"/>
    <mergeCell ref="AB8:AS8"/>
    <mergeCell ref="AT8:BH8"/>
    <mergeCell ref="BI6:BM6"/>
    <mergeCell ref="BN6:BT6"/>
    <mergeCell ref="BU6:CI6"/>
    <mergeCell ref="CJ6:DF6"/>
    <mergeCell ref="E7:Q7"/>
    <mergeCell ref="R7:V7"/>
    <mergeCell ref="AB7:AS7"/>
    <mergeCell ref="AT7:BH7"/>
    <mergeCell ref="BI5:BM5"/>
    <mergeCell ref="BN5:BT5"/>
    <mergeCell ref="BU5:CI5"/>
    <mergeCell ref="CJ5:DF5"/>
    <mergeCell ref="E6:Q6"/>
    <mergeCell ref="R6:V6"/>
    <mergeCell ref="AB6:AS6"/>
    <mergeCell ref="AT6:BH6"/>
    <mergeCell ref="BI4:BM4"/>
    <mergeCell ref="BN4:BT4"/>
    <mergeCell ref="BU4:CI4"/>
    <mergeCell ref="CJ4:DF4"/>
    <mergeCell ref="E5:Q5"/>
    <mergeCell ref="R5:V5"/>
    <mergeCell ref="AB5:AS5"/>
    <mergeCell ref="AT5:BH5"/>
    <mergeCell ref="BI3:BM3"/>
    <mergeCell ref="BN3:BT3"/>
    <mergeCell ref="BU3:CI3"/>
    <mergeCell ref="CJ3:DF3"/>
    <mergeCell ref="E4:Q4"/>
    <mergeCell ref="R4:V4"/>
    <mergeCell ref="AB4:AS4"/>
    <mergeCell ref="AT4:BH4"/>
    <mergeCell ref="BI2:BM2"/>
    <mergeCell ref="BN2:BT2"/>
    <mergeCell ref="BU2:CI2"/>
    <mergeCell ref="CJ2:DF2"/>
    <mergeCell ref="E3:Q3"/>
    <mergeCell ref="R3:V3"/>
    <mergeCell ref="AB3:AS3"/>
    <mergeCell ref="AT3:BH3"/>
    <mergeCell ref="BI1:BM1"/>
    <mergeCell ref="BN1:BT1"/>
    <mergeCell ref="BU1:CI1"/>
    <mergeCell ref="CJ1:DF1"/>
    <mergeCell ref="E2:Q2"/>
    <mergeCell ref="R2:V2"/>
    <mergeCell ref="AB2:AS2"/>
    <mergeCell ref="AT2:BH2"/>
    <mergeCell ref="E1:Q1"/>
    <mergeCell ref="R1:V1"/>
    <mergeCell ref="AB1:AS1"/>
    <mergeCell ref="AT1:BH1"/>
  </mergeCells>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89F7A2-18C3-418B-814B-56FE90D541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19AD1-D506-498C-ACF6-20545FACAD2B}">
  <ds:schemaRefs>
    <ds:schemaRef ds:uri="http://schemas.microsoft.com/office/2006/metadata/properties"/>
    <ds:schemaRef ds:uri="2fd442da-66a9-4fa6-ba31-eb0d54ad1381"/>
    <ds:schemaRef ds:uri="http://purl.org/dc/terms/"/>
    <ds:schemaRef ds:uri="http://schemas.microsoft.com/office/infopath/2007/PartnerControls"/>
    <ds:schemaRef ds:uri="http://purl.org/dc/elements/1.1/"/>
    <ds:schemaRef ds:uri="http://www.w3.org/XML/1998/namespace"/>
    <ds:schemaRef ds:uri="http://purl.org/dc/dcmitype/"/>
    <ds:schemaRef ds:uri="http://schemas.microsoft.com/office/2006/documentManagement/types"/>
    <ds:schemaRef ds:uri="http://schemas.openxmlformats.org/package/2006/metadata/core-properties"/>
  </ds:schemaRefs>
</ds:datastoreItem>
</file>

<file path=customXml/itemProps3.xml><?xml version="1.0" encoding="utf-8"?>
<ds:datastoreItem xmlns:ds="http://schemas.openxmlformats.org/officeDocument/2006/customXml" ds:itemID="{6E102FC5-78D2-4151-80FA-AFB1A232AC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人別</vt:lpstr>
      <vt:lpstr>JCC担当機能_規模</vt:lpstr>
      <vt:lpstr>JCC担当機能_規模_EXE</vt:lpstr>
    </vt:vector>
  </TitlesOfParts>
  <Company>IdemitsuKosan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Nakamura, Keisuke</dc:creator>
  <cp:lastModifiedBy>髙浦祐朗</cp:lastModifiedBy>
  <dcterms:created xsi:type="dcterms:W3CDTF">2025-04-06T06:59:01Z</dcterms:created>
  <dcterms:modified xsi:type="dcterms:W3CDTF">2025-04-11T09:13:15Z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