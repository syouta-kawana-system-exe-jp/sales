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次世代研SWANシステム 縮小版共通基盤移行\01_見積り\"/>
    </mc:Choice>
  </mc:AlternateContent>
  <xr:revisionPtr revIDLastSave="0" documentId="13_ncr:1_{53D2CBAC-464D-428B-AC4E-052369B3BE05}" xr6:coauthVersionLast="47" xr6:coauthVersionMax="47" xr10:uidLastSave="{00000000-0000-0000-0000-000000000000}"/>
  <bookViews>
    <workbookView xWindow="1480" yWindow="100" windowWidth="17140" windowHeight="1002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I9" i="2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<sst xmlns="http://schemas.openxmlformats.org/spreadsheetml/2006/main" count="98" uniqueCount="83">
  <si>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</si>
  <si>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</si>
  <si>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</si>
  <si>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</si>
  <si>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</si>
  <si>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</si>
  <si>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</si>
  <si>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</si>
  <si>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</si>
  <si>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</si>
  <si>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</si>
  <si>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</si>
  <si>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</si>
  <si>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</si>
  <si>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</si>
  <si>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</si>
  <si>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</si>
  <si>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</si>
  <si>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</si>
  <si>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</si>
  <si>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</si>
  <si>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</si>
  <si>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</si>
  <si>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</si>
  <si>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</si>
  <si>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</si>
  <si>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</si>
  <si>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</si>
  <si>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</si>
  <si>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</si>
  <si>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</si>
  <si>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</si>
  <si>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</si>
  <si>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</si>
  <si>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</si>
  <si>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</si>
  <si>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</si>
  <si>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</si>
  <si>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</si>
  <si>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</si>
  <si>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</si>
  <si>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</si>
  <si>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</si>
  <si>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</si>
  <si>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</si>
  <si>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</si>
  <si>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</si>
  <si>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</si>
  <si>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</si>
  <si>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</si>
  <si>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</si>
  <si>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</si>
  <si>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</si>
  <si>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</si>
  <si>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</si>
  <si>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</si>
  <si>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</si>
  <si>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</si>
  <si>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</si>
  <si>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</si>
  <si>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</si>
  <si>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</si>
  <si>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</si>
  <si>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</si>
  <si>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</si>
  <si>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</si>
  <si>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</si>
  <si>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</si>
  <si>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</si>
  <si>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</si>
  <si>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</si>
  <si>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</si>
  <si>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</si>
  <si>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</si>
  <si>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</si>
  <si>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</si>
  <si>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</si>
  <si>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</si>
  <si>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</si>
  <si>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</si>
  <si>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次世代研SWANシステム 縮小版共通基盤移行</t>
    <phoneticPr fontId="3"/>
  </si>
  <si>
    <t>高木義尚</t>
    <rPh sb="0" eb="2">
      <t>タカギ</t>
    </rPh>
    <rPh sb="2" eb="4">
      <t>ヨシナオ</t>
    </rPh>
    <phoneticPr fontId="3"/>
  </si>
  <si>
    <t>篠塚正裕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</si>
</sst>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K9" sqref="K9"/>
    </sheetView>
  </sheetViews>
  <sheetFormatPr defaultColWidth="8.08203125" defaultRowHeight="12.5" x14ac:dyDescent="0.55000000000000004"/>
  <cols>
    <col min="1" max="1" width="14.58203125" style="2" customWidth="1"/>
    <col min="2" max="2" width="7.75" style="2" bestFit="1" customWidth="1"/>
    <col min="3" max="3" width="14.58203125" style="2" customWidth="1"/>
    <col min="4" max="31" width="7" style="2" customWidth="1"/>
    <col min="32" max="32" width="7.75" style="2" customWidth="1"/>
    <col min="33" max="16384" width="8.08203125" style="2"/>
  </cols>
  <sheetData>
    <row r="1" spans="1:32" ht="19.5" x14ac:dyDescent="0.55000000000000004">
      <c r="A1" s="1" t="s">
        <v>0</v>
      </c>
      <c r="D1" s="3" t="s">
        <v>1</v>
      </c>
    </row>
    <row r="2" spans="1:32" ht="5.25" customHeight="1" x14ac:dyDescent="0.55000000000000004">
      <c r="A2" s="1"/>
    </row>
    <row r="3" spans="1:32" x14ac:dyDescent="0.55000000000000004">
      <c r="A3" s="4" t="s">
        <v>2</v>
      </c>
      <c r="B3" s="42"/>
      <c r="C3" s="43"/>
      <c r="D3" s="5" t="s">
        <v>3</v>
      </c>
      <c r="E3" s="42" t="s">
        <v>80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5" t="s">
        <v>4</v>
      </c>
      <c r="B4" s="42" t="s">
        <v>5</v>
      </c>
      <c r="C4" s="43"/>
      <c r="D4" s="5" t="s">
        <v>6</v>
      </c>
      <c r="E4" s="45"/>
      <c r="F4" s="45"/>
      <c r="G4" s="5" t="s">
        <v>7</v>
      </c>
      <c r="H4" s="46">
        <f>AF59</f>
        <v>128</v>
      </c>
      <c r="I4" s="46"/>
      <c r="J4" s="5" t="s">
        <v>8</v>
      </c>
      <c r="K4" s="47">
        <f>外注費・経費!K4</f>
        <v>324000</v>
      </c>
      <c r="L4" s="47"/>
      <c r="M4" s="5" t="s">
        <v>9</v>
      </c>
      <c r="N4" s="47">
        <v>0</v>
      </c>
      <c r="O4" s="47"/>
    </row>
    <row r="5" spans="1:32" ht="6" customHeight="1" x14ac:dyDescent="0.55000000000000004"/>
    <row r="6" spans="1:32" s="6" customFormat="1" x14ac:dyDescent="0.55000000000000004">
      <c r="A6" s="28" t="s">
        <v>10</v>
      </c>
      <c r="B6" s="31" t="s">
        <v>11</v>
      </c>
      <c r="C6" s="31" t="s">
        <v>12</v>
      </c>
      <c r="D6" s="34" t="s">
        <v>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14</v>
      </c>
    </row>
    <row r="7" spans="1:32" s="6" customFormat="1" ht="12" customHeight="1" x14ac:dyDescent="0.55000000000000004">
      <c r="A7" s="29"/>
      <c r="B7" s="32"/>
      <c r="C7" s="32"/>
      <c r="D7" s="35" t="s">
        <v>15</v>
      </c>
      <c r="E7" s="36"/>
      <c r="F7" s="37"/>
      <c r="G7" s="35" t="s">
        <v>16</v>
      </c>
      <c r="H7" s="36"/>
      <c r="I7" s="37"/>
      <c r="J7" s="35" t="s">
        <v>17</v>
      </c>
      <c r="K7" s="36"/>
      <c r="L7" s="37"/>
      <c r="M7" s="35" t="s">
        <v>18</v>
      </c>
      <c r="N7" s="36"/>
      <c r="O7" s="37"/>
      <c r="P7" s="35" t="s">
        <v>19</v>
      </c>
      <c r="Q7" s="36"/>
      <c r="R7" s="37"/>
      <c r="S7" s="35" t="s">
        <v>20</v>
      </c>
      <c r="T7" s="36"/>
      <c r="U7" s="37"/>
      <c r="V7" s="35" t="s">
        <v>21</v>
      </c>
      <c r="W7" s="36"/>
      <c r="X7" s="37"/>
      <c r="Y7" s="35" t="s">
        <v>22</v>
      </c>
      <c r="Z7" s="36"/>
      <c r="AA7" s="37"/>
      <c r="AB7" s="35" t="s">
        <v>23</v>
      </c>
      <c r="AC7" s="36"/>
      <c r="AD7" s="37"/>
      <c r="AE7" s="38" t="s">
        <v>24</v>
      </c>
      <c r="AF7" s="40"/>
    </row>
    <row r="8" spans="1:32" s="6" customFormat="1" x14ac:dyDescent="0.55000000000000004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55000000000000004">
      <c r="A9" s="21" t="s">
        <v>25</v>
      </c>
      <c r="B9" s="8">
        <v>638</v>
      </c>
      <c r="C9" s="8" t="s">
        <v>81</v>
      </c>
      <c r="D9" s="22"/>
      <c r="E9" s="22"/>
      <c r="F9" s="22"/>
      <c r="G9" s="22"/>
      <c r="H9" s="22"/>
      <c r="I9" s="22">
        <v>64</v>
      </c>
      <c r="J9" s="22">
        <v>64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128</v>
      </c>
    </row>
    <row r="10" spans="1:32" x14ac:dyDescent="0.55000000000000004">
      <c r="A10" s="8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25" t="s">
        <v>14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64</v>
      </c>
      <c r="J59" s="23">
        <f t="shared" si="1"/>
        <v>64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128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A10:A58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G20" sqref="G20"/>
    </sheetView>
  </sheetViews>
  <sheetFormatPr defaultColWidth="8.08203125" defaultRowHeight="12.5" x14ac:dyDescent="0.55000000000000004"/>
  <cols>
    <col min="1" max="1" width="14.58203125" style="2" customWidth="1"/>
    <col min="2" max="2" width="7.75" style="2" customWidth="1"/>
    <col min="3" max="3" width="14.58203125" style="2" customWidth="1"/>
    <col min="4" max="31" width="8.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26</v>
      </c>
    </row>
    <row r="2" spans="1:32" ht="5.25" customHeight="1" x14ac:dyDescent="0.55000000000000004">
      <c r="A2" s="1"/>
    </row>
    <row r="3" spans="1:32" x14ac:dyDescent="0.55000000000000004">
      <c r="A3" s="9" t="s">
        <v>2</v>
      </c>
      <c r="B3" s="42"/>
      <c r="C3" s="43"/>
      <c r="D3" s="10" t="s">
        <v>3</v>
      </c>
      <c r="E3" s="42" t="str">
        <f>社員工数!E3</f>
        <v>次世代研SWANシステム 縮小版共通基盤移行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9" t="s">
        <v>4</v>
      </c>
      <c r="B4" s="42" t="s">
        <v>27</v>
      </c>
      <c r="C4" s="43"/>
      <c r="D4" s="11" t="s">
        <v>6</v>
      </c>
      <c r="E4" s="62">
        <f>社員工数!E4</f>
        <v>0</v>
      </c>
      <c r="F4" s="62"/>
      <c r="G4" s="11" t="s">
        <v>7</v>
      </c>
      <c r="H4" s="46">
        <f>社員工数!H4</f>
        <v>128</v>
      </c>
      <c r="I4" s="46"/>
      <c r="J4" s="11" t="s">
        <v>8</v>
      </c>
      <c r="K4" s="63">
        <f>AF59</f>
        <v>324000</v>
      </c>
      <c r="L4" s="63"/>
      <c r="M4" s="11" t="s">
        <v>9</v>
      </c>
      <c r="N4" s="63">
        <f>SUMIF(A:A,"経費",AF:AF)</f>
        <v>0</v>
      </c>
      <c r="O4" s="63"/>
    </row>
    <row r="5" spans="1:32" ht="6" customHeight="1" x14ac:dyDescent="0.55000000000000004"/>
    <row r="6" spans="1:32" s="6" customFormat="1" x14ac:dyDescent="0.55000000000000004">
      <c r="A6" s="48" t="s">
        <v>10</v>
      </c>
      <c r="B6" s="51" t="s">
        <v>28</v>
      </c>
      <c r="C6" s="51" t="s">
        <v>12</v>
      </c>
      <c r="D6" s="54" t="s">
        <v>29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14</v>
      </c>
    </row>
    <row r="7" spans="1:32" s="6" customFormat="1" ht="12" customHeight="1" x14ac:dyDescent="0.55000000000000004">
      <c r="A7" s="49"/>
      <c r="B7" s="52"/>
      <c r="C7" s="52"/>
      <c r="D7" s="55" t="s">
        <v>30</v>
      </c>
      <c r="E7" s="56"/>
      <c r="F7" s="57"/>
      <c r="G7" s="55" t="s">
        <v>31</v>
      </c>
      <c r="H7" s="56"/>
      <c r="I7" s="57"/>
      <c r="J7" s="55" t="s">
        <v>32</v>
      </c>
      <c r="K7" s="56"/>
      <c r="L7" s="57"/>
      <c r="M7" s="55" t="s">
        <v>33</v>
      </c>
      <c r="N7" s="56"/>
      <c r="O7" s="57"/>
      <c r="P7" s="55" t="s">
        <v>34</v>
      </c>
      <c r="Q7" s="56"/>
      <c r="R7" s="57"/>
      <c r="S7" s="55" t="s">
        <v>35</v>
      </c>
      <c r="T7" s="56"/>
      <c r="U7" s="57"/>
      <c r="V7" s="55" t="s">
        <v>36</v>
      </c>
      <c r="W7" s="56"/>
      <c r="X7" s="57"/>
      <c r="Y7" s="55" t="s">
        <v>37</v>
      </c>
      <c r="Z7" s="56"/>
      <c r="AA7" s="57"/>
      <c r="AB7" s="55" t="s">
        <v>38</v>
      </c>
      <c r="AC7" s="56"/>
      <c r="AD7" s="57"/>
      <c r="AE7" s="58" t="s">
        <v>24</v>
      </c>
      <c r="AF7" s="60"/>
    </row>
    <row r="8" spans="1:32" s="6" customFormat="1" x14ac:dyDescent="0.55000000000000004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55000000000000004">
      <c r="A9" s="13" t="s">
        <v>39</v>
      </c>
      <c r="B9" s="14"/>
      <c r="C9" s="13" t="s">
        <v>82</v>
      </c>
      <c r="D9" s="13"/>
      <c r="E9" s="13"/>
      <c r="F9" s="13"/>
      <c r="G9" s="13"/>
      <c r="H9" s="13"/>
      <c r="I9" s="13">
        <f>810000*0.2</f>
        <v>162000</v>
      </c>
      <c r="J9" s="13">
        <f>810000*0.2</f>
        <v>162000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324000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25" t="s">
        <v>14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162000</v>
      </c>
      <c r="J59" s="15">
        <f t="shared" si="1"/>
        <v>162000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324000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A9:A58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25" style="18" bestFit="1" customWidth="1"/>
    <col min="7" max="7" width="11.08203125" style="18" customWidth="1"/>
    <col min="8" max="8" width="5.75" style="18" customWidth="1"/>
    <col min="9" max="9" width="11.7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40</v>
      </c>
      <c r="B1" s="17" t="s">
        <v>41</v>
      </c>
      <c r="C1" s="66" t="s">
        <v>42</v>
      </c>
      <c r="D1" s="66" t="s">
        <v>43</v>
      </c>
      <c r="E1" s="66" t="s">
        <v>44</v>
      </c>
      <c r="F1" s="66" t="s">
        <v>45</v>
      </c>
      <c r="G1" s="66" t="s">
        <v>46</v>
      </c>
      <c r="H1" s="64" t="s">
        <v>47</v>
      </c>
      <c r="I1" s="65"/>
      <c r="J1" s="66" t="s">
        <v>48</v>
      </c>
      <c r="K1" s="66" t="s">
        <v>49</v>
      </c>
      <c r="L1" s="66" t="s">
        <v>50</v>
      </c>
    </row>
    <row r="2" spans="1:12" x14ac:dyDescent="0.55000000000000004">
      <c r="A2" s="66"/>
      <c r="B2" s="17" t="s">
        <v>51</v>
      </c>
      <c r="C2" s="66"/>
      <c r="D2" s="66"/>
      <c r="E2" s="66"/>
      <c r="F2" s="66"/>
      <c r="G2" s="66"/>
      <c r="H2" s="17" t="s">
        <v>40</v>
      </c>
      <c r="I2" s="17" t="s">
        <v>52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9">
        <v>1</v>
      </c>
      <c r="I3" s="19" t="s">
        <v>58</v>
      </c>
      <c r="J3" s="19" t="s">
        <v>59</v>
      </c>
      <c r="K3" s="19" t="s">
        <v>25</v>
      </c>
      <c r="L3" s="19" t="s">
        <v>60</v>
      </c>
    </row>
    <row r="4" spans="1:12" x14ac:dyDescent="0.55000000000000004">
      <c r="A4" s="19">
        <v>2</v>
      </c>
      <c r="B4" s="20"/>
      <c r="C4" s="19"/>
      <c r="D4" s="19"/>
      <c r="E4" s="19" t="s">
        <v>61</v>
      </c>
      <c r="F4" s="19" t="s">
        <v>62</v>
      </c>
      <c r="G4" s="19" t="s">
        <v>63</v>
      </c>
      <c r="H4" s="19">
        <v>2</v>
      </c>
      <c r="I4" s="19" t="s">
        <v>64</v>
      </c>
      <c r="J4" s="19" t="s">
        <v>65</v>
      </c>
      <c r="K4" s="19" t="s">
        <v>66</v>
      </c>
      <c r="L4" s="19" t="s">
        <v>67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68</v>
      </c>
      <c r="G5" s="19" t="s">
        <v>69</v>
      </c>
      <c r="H5" s="19">
        <v>3</v>
      </c>
      <c r="I5" s="19" t="s">
        <v>70</v>
      </c>
      <c r="J5" s="19" t="s">
        <v>71</v>
      </c>
      <c r="K5" s="19" t="s">
        <v>72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79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F1CF41-2A25-4C6E-91D9-50123C032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E6A4BA-F386-4DF4-9C1E-5FC1525CA7B8}">
  <ds:schemaRefs>
    <ds:schemaRef ds:uri="http://schemas.microsoft.com/office/2006/metadata/properties"/>
    <ds:schemaRef ds:uri="http://schemas.microsoft.com/office/infopath/2007/PartnerControls"/>
    <ds:schemaRef ds:uri="2fd442da-66a9-4fa6-ba31-eb0d54ad13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髙木義尚</cp:lastModifiedBy>
  <cp:revision/>
  <dcterms:created xsi:type="dcterms:W3CDTF">2021-04-22T09:34:49Z</dcterms:created>
  <dcterms:modified xsi:type="dcterms:W3CDTF">2025-09-11T05:54:23Z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