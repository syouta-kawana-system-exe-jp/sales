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2" documentId="13_ncr:1_{959855C0-8071-472F-8856-4CE8D7C63957}" xr6:coauthVersionLast="47" xr6:coauthVersionMax="47" xr10:uidLastSave="{5026CF89-6CC9-436F-9F64-76DF0581D3F9}"/>
  <bookViews>
    <workbookView xWindow="-28920" yWindow="-120" windowWidth="29040" windowHeight="16440" firstSheet="1" activeTab="2" xr2:uid="{CC61F885-F544-4D92-A368-DAB494DF721B}"/>
  </bookViews>
  <sheets>
    <sheet name="スケジュール（事務管理①）_20250911修正" sheetId="8" r:id="rId1"/>
    <sheet name="スケジュール（事務管理①）_20250716修正後 (3)" sheetId="7" r:id="rId2"/>
    <sheet name="スケジュール（事務管理①）_20250716修正後 (2)" sheetId="6" r:id="rId3"/>
    <sheet name="スケジュール（事務管理①）_20250716修正後" sheetId="5" r:id="rId4"/>
    <sheet name="スケジュール（事務管理①）_修正前" sheetId="1" r:id="rId5"/>
    <sheet name="スケジュール（事務管理②）" sheetId="3" r:id="rId6"/>
    <sheet name="スケジュール（SWAN①）" sheetId="4" r:id="rId7"/>
    <sheet name="スケジュール（SWAN②）" sheetId="2" r:id="rId8"/>
  </sheets>
  <definedNames>
    <definedName name="AccessDatabase" hidden="1">"C:\Documents and Settings\kawana.OHSAKI\My Documents\作業中\ＤＢらいぶらり.mdb"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8" l="1"/>
  <c r="N36" i="8"/>
  <c r="M36" i="8"/>
  <c r="L36" i="8"/>
  <c r="K36" i="8"/>
  <c r="J36" i="8"/>
  <c r="O28" i="8"/>
  <c r="N28" i="8"/>
  <c r="M28" i="8"/>
  <c r="L28" i="8"/>
  <c r="K28" i="8"/>
  <c r="J28" i="8"/>
  <c r="I36" i="8"/>
  <c r="H36" i="8"/>
  <c r="G36" i="8"/>
  <c r="F36" i="8"/>
  <c r="E36" i="8"/>
  <c r="I28" i="8"/>
  <c r="H28" i="8"/>
  <c r="G28" i="8"/>
  <c r="F28" i="8"/>
  <c r="E28" i="8"/>
  <c r="B19" i="8"/>
  <c r="C19" i="8" s="1"/>
  <c r="B18" i="8"/>
  <c r="B20" i="8" s="1"/>
  <c r="C17" i="8"/>
  <c r="C16" i="8"/>
  <c r="C15" i="8"/>
  <c r="C14" i="8"/>
  <c r="C13" i="8"/>
  <c r="C12" i="8"/>
  <c r="C11" i="8"/>
  <c r="C10" i="8"/>
  <c r="C18" i="8" s="1"/>
  <c r="L26" i="7"/>
  <c r="K26" i="7"/>
  <c r="I26" i="7"/>
  <c r="H26" i="7"/>
  <c r="B19" i="7"/>
  <c r="O31" i="7"/>
  <c r="N31" i="7"/>
  <c r="M31" i="7"/>
  <c r="L31" i="7"/>
  <c r="K31" i="7"/>
  <c r="J31" i="7"/>
  <c r="I31" i="7"/>
  <c r="H31" i="7"/>
  <c r="G31" i="7"/>
  <c r="F31" i="7"/>
  <c r="E31" i="7"/>
  <c r="P31" i="7" s="1"/>
  <c r="O26" i="7"/>
  <c r="N26" i="7"/>
  <c r="M26" i="7"/>
  <c r="J26" i="7"/>
  <c r="G26" i="7"/>
  <c r="F26" i="7"/>
  <c r="E26" i="7"/>
  <c r="P26" i="7" s="1"/>
  <c r="C19" i="7"/>
  <c r="B18" i="7"/>
  <c r="B20" i="7" s="1"/>
  <c r="C17" i="7"/>
  <c r="C16" i="7"/>
  <c r="C15" i="7"/>
  <c r="C14" i="7"/>
  <c r="C13" i="7"/>
  <c r="C12" i="7"/>
  <c r="C11" i="7"/>
  <c r="C10" i="7"/>
  <c r="C18" i="7" s="1"/>
  <c r="Q31" i="7" s="1"/>
  <c r="R31" i="7" s="1"/>
  <c r="L26" i="6"/>
  <c r="K26" i="6"/>
  <c r="J26" i="6"/>
  <c r="O31" i="6"/>
  <c r="N31" i="6"/>
  <c r="M31" i="6"/>
  <c r="L31" i="6"/>
  <c r="K31" i="6"/>
  <c r="J31" i="6"/>
  <c r="I31" i="6"/>
  <c r="H31" i="6"/>
  <c r="G31" i="6"/>
  <c r="F31" i="6"/>
  <c r="E31" i="6"/>
  <c r="P31" i="6" s="1"/>
  <c r="O26" i="6"/>
  <c r="N26" i="6"/>
  <c r="M26" i="6"/>
  <c r="I26" i="6"/>
  <c r="H26" i="6"/>
  <c r="G26" i="6"/>
  <c r="F26" i="6"/>
  <c r="E26" i="6"/>
  <c r="P26" i="6" s="1"/>
  <c r="C19" i="6"/>
  <c r="B18" i="6"/>
  <c r="B20" i="6" s="1"/>
  <c r="C17" i="6"/>
  <c r="C16" i="6"/>
  <c r="C15" i="6"/>
  <c r="C14" i="6"/>
  <c r="C13" i="6"/>
  <c r="C12" i="6"/>
  <c r="C11" i="6"/>
  <c r="C10" i="6"/>
  <c r="C18" i="6" s="1"/>
  <c r="C20" i="6" s="1"/>
  <c r="Q31" i="6" s="1"/>
  <c r="R31" i="6" s="1"/>
  <c r="O30" i="5"/>
  <c r="N30" i="5"/>
  <c r="M30" i="5"/>
  <c r="L30" i="5"/>
  <c r="K30" i="5"/>
  <c r="J30" i="5"/>
  <c r="I30" i="5"/>
  <c r="H30" i="5"/>
  <c r="G30" i="5"/>
  <c r="F30" i="5"/>
  <c r="E30" i="5"/>
  <c r="P30" i="5" s="1"/>
  <c r="O25" i="5"/>
  <c r="N25" i="5"/>
  <c r="M25" i="5"/>
  <c r="L25" i="5"/>
  <c r="K25" i="5"/>
  <c r="J25" i="5"/>
  <c r="I25" i="5"/>
  <c r="H25" i="5"/>
  <c r="G25" i="5"/>
  <c r="F25" i="5"/>
  <c r="E25" i="5"/>
  <c r="P25" i="5" s="1"/>
  <c r="C19" i="5"/>
  <c r="B18" i="5"/>
  <c r="B20" i="5" s="1"/>
  <c r="C17" i="5"/>
  <c r="C16" i="5"/>
  <c r="C15" i="5"/>
  <c r="C14" i="5"/>
  <c r="C13" i="5"/>
  <c r="C12" i="5"/>
  <c r="C11" i="5"/>
  <c r="C10" i="5"/>
  <c r="C18" i="5" s="1"/>
  <c r="C20" i="5" s="1"/>
  <c r="Q30" i="5" s="1"/>
  <c r="R30" i="5" s="1"/>
  <c r="O30" i="4"/>
  <c r="N30" i="4"/>
  <c r="M30" i="4"/>
  <c r="L30" i="4"/>
  <c r="K30" i="4"/>
  <c r="J30" i="4"/>
  <c r="I30" i="4"/>
  <c r="H30" i="4"/>
  <c r="G30" i="4"/>
  <c r="F30" i="4"/>
  <c r="E30" i="4"/>
  <c r="P30" i="4" s="1"/>
  <c r="O25" i="4"/>
  <c r="N25" i="4"/>
  <c r="M25" i="4"/>
  <c r="L25" i="4"/>
  <c r="K25" i="4"/>
  <c r="J25" i="4"/>
  <c r="I25" i="4"/>
  <c r="H25" i="4"/>
  <c r="G25" i="4"/>
  <c r="F25" i="4"/>
  <c r="E25" i="4"/>
  <c r="C19" i="4"/>
  <c r="B18" i="4"/>
  <c r="B20" i="4" s="1"/>
  <c r="C17" i="4"/>
  <c r="C16" i="4"/>
  <c r="C15" i="4"/>
  <c r="C14" i="4"/>
  <c r="C13" i="4"/>
  <c r="C12" i="4"/>
  <c r="C11" i="4"/>
  <c r="C10" i="4"/>
  <c r="O30" i="3"/>
  <c r="N30" i="3"/>
  <c r="M30" i="3"/>
  <c r="L30" i="3"/>
  <c r="K30" i="3"/>
  <c r="J30" i="3"/>
  <c r="I30" i="3"/>
  <c r="H30" i="3"/>
  <c r="G30" i="3"/>
  <c r="F30" i="3"/>
  <c r="E30" i="3"/>
  <c r="O25" i="3"/>
  <c r="N25" i="3"/>
  <c r="M25" i="3"/>
  <c r="L25" i="3"/>
  <c r="K25" i="3"/>
  <c r="J25" i="3"/>
  <c r="I25" i="3"/>
  <c r="H25" i="3"/>
  <c r="G25" i="3"/>
  <c r="F25" i="3"/>
  <c r="E25" i="3"/>
  <c r="B18" i="3"/>
  <c r="C17" i="3"/>
  <c r="C16" i="3"/>
  <c r="C15" i="3"/>
  <c r="C14" i="3"/>
  <c r="C13" i="3"/>
  <c r="C12" i="3"/>
  <c r="C11" i="3"/>
  <c r="C10" i="3"/>
  <c r="O30" i="2"/>
  <c r="N30" i="2"/>
  <c r="M30" i="2"/>
  <c r="L30" i="2"/>
  <c r="K30" i="2"/>
  <c r="J30" i="2"/>
  <c r="I30" i="2"/>
  <c r="H30" i="2"/>
  <c r="G30" i="2"/>
  <c r="F30" i="2"/>
  <c r="E30" i="2"/>
  <c r="O25" i="2"/>
  <c r="N25" i="2"/>
  <c r="M25" i="2"/>
  <c r="L25" i="2"/>
  <c r="K25" i="2"/>
  <c r="J25" i="2"/>
  <c r="I25" i="2"/>
  <c r="H25" i="2"/>
  <c r="G25" i="2"/>
  <c r="F25" i="2"/>
  <c r="E25" i="2"/>
  <c r="C19" i="2"/>
  <c r="B18" i="2"/>
  <c r="B20" i="2" s="1"/>
  <c r="C17" i="2"/>
  <c r="C16" i="2"/>
  <c r="C15" i="2"/>
  <c r="C14" i="2"/>
  <c r="C13" i="2"/>
  <c r="C12" i="2"/>
  <c r="C11" i="2"/>
  <c r="C10" i="2"/>
  <c r="O30" i="1"/>
  <c r="O25" i="1"/>
  <c r="N30" i="1"/>
  <c r="M30" i="1"/>
  <c r="L30" i="1"/>
  <c r="K30" i="1"/>
  <c r="J30" i="1"/>
  <c r="I30" i="1"/>
  <c r="H30" i="1"/>
  <c r="C19" i="1"/>
  <c r="N25" i="1"/>
  <c r="B18" i="1"/>
  <c r="B20" i="1" s="1"/>
  <c r="C17" i="1"/>
  <c r="C16" i="1"/>
  <c r="C15" i="1"/>
  <c r="C14" i="1"/>
  <c r="C13" i="1"/>
  <c r="C12" i="1"/>
  <c r="C11" i="1"/>
  <c r="C10" i="1"/>
  <c r="E25" i="1"/>
  <c r="F25" i="1"/>
  <c r="G25" i="1"/>
  <c r="H25" i="1"/>
  <c r="I25" i="1"/>
  <c r="J25" i="1"/>
  <c r="K25" i="1"/>
  <c r="L25" i="1"/>
  <c r="M25" i="1"/>
  <c r="E30" i="1"/>
  <c r="F30" i="1"/>
  <c r="G30" i="1"/>
  <c r="P36" i="8" l="1"/>
  <c r="Q36" i="8" s="1"/>
  <c r="R36" i="8" s="1"/>
  <c r="P28" i="8"/>
  <c r="C18" i="4"/>
  <c r="C20" i="4" s="1"/>
  <c r="P25" i="4"/>
  <c r="B19" i="3"/>
  <c r="C19" i="3" s="1"/>
  <c r="P30" i="2"/>
  <c r="P30" i="3"/>
  <c r="C18" i="3"/>
  <c r="P25" i="3"/>
  <c r="Q30" i="4"/>
  <c r="R30" i="4" s="1"/>
  <c r="P25" i="2"/>
  <c r="C18" i="2"/>
  <c r="C20" i="2" s="1"/>
  <c r="P30" i="1"/>
  <c r="P25" i="1"/>
  <c r="C18" i="1"/>
  <c r="C20" i="1" s="1"/>
  <c r="C20" i="3" l="1"/>
  <c r="B20" i="3"/>
  <c r="Q30" i="2"/>
  <c r="R30" i="2" s="1"/>
  <c r="Q30" i="3"/>
  <c r="R30" i="3" s="1"/>
  <c r="Q30" i="1"/>
  <c r="R30" i="1" s="1"/>
</calcChain>
</file>

<file path=xl/sharedStrings.xml><?xml version="1.0" encoding="utf-8"?>
<sst xmlns="http://schemas.openxmlformats.org/spreadsheetml/2006/main" count="369" uniqueCount="47">
  <si>
    <t>スケジュール</t>
    <phoneticPr fontId="3"/>
  </si>
  <si>
    <t>事務管理</t>
    <rPh sb="0" eb="4">
      <t>ジムカンリ</t>
    </rPh>
    <phoneticPr fontId="4"/>
  </si>
  <si>
    <t>工数</t>
    <rPh sb="0" eb="2">
      <t>コウスウ</t>
    </rPh>
    <phoneticPr fontId="3"/>
  </si>
  <si>
    <t>金額</t>
    <rPh sb="0" eb="2">
      <t>キンガク</t>
    </rPh>
    <phoneticPr fontId="3"/>
  </si>
  <si>
    <t>４月</t>
    <rPh sb="1" eb="2">
      <t>ガツ</t>
    </rPh>
    <phoneticPr fontId="4"/>
  </si>
  <si>
    <t>５月</t>
    <rPh sb="1" eb="2">
      <t>ガツ</t>
    </rPh>
    <phoneticPr fontId="4"/>
  </si>
  <si>
    <t>６月</t>
  </si>
  <si>
    <t>７月</t>
  </si>
  <si>
    <t>８月</t>
  </si>
  <si>
    <t>９月</t>
  </si>
  <si>
    <t>１０月</t>
  </si>
  <si>
    <t>１１月</t>
  </si>
  <si>
    <t>１２月</t>
  </si>
  <si>
    <t>１月</t>
  </si>
  <si>
    <t>２月</t>
  </si>
  <si>
    <t>３月</t>
  </si>
  <si>
    <t>北海道</t>
    <rPh sb="0" eb="3">
      <t>ホッカイドウ</t>
    </rPh>
    <phoneticPr fontId="4"/>
  </si>
  <si>
    <t>千葉</t>
    <rPh sb="0" eb="2">
      <t>チバ</t>
    </rPh>
    <phoneticPr fontId="4"/>
  </si>
  <si>
    <t>愛知</t>
    <rPh sb="0" eb="2">
      <t>アイチ</t>
    </rPh>
    <phoneticPr fontId="4"/>
  </si>
  <si>
    <t>徳山</t>
    <rPh sb="0" eb="2">
      <t>トクヤマ</t>
    </rPh>
    <phoneticPr fontId="4"/>
  </si>
  <si>
    <t>四日市</t>
    <rPh sb="0" eb="3">
      <t>ヨッカイチ</t>
    </rPh>
    <phoneticPr fontId="4"/>
  </si>
  <si>
    <t>要件定義</t>
    <rPh sb="0" eb="4">
      <t>ヨウケンテイギ</t>
    </rPh>
    <phoneticPr fontId="4"/>
  </si>
  <si>
    <t>設計</t>
    <rPh sb="0" eb="2">
      <t>セッケイ</t>
    </rPh>
    <phoneticPr fontId="4"/>
  </si>
  <si>
    <t>開発</t>
    <rPh sb="0" eb="2">
      <t>カイハツ</t>
    </rPh>
    <phoneticPr fontId="3"/>
  </si>
  <si>
    <t>結合テスト</t>
    <rPh sb="0" eb="2">
      <t>ケツゴウ</t>
    </rPh>
    <phoneticPr fontId="3"/>
  </si>
  <si>
    <t>システムテスト</t>
    <phoneticPr fontId="3"/>
  </si>
  <si>
    <t>運用テスト</t>
    <rPh sb="0" eb="2">
      <t>ウンヨウ</t>
    </rPh>
    <phoneticPr fontId="3"/>
  </si>
  <si>
    <t>本番移行</t>
    <rPh sb="0" eb="2">
      <t>ホンバン</t>
    </rPh>
    <rPh sb="2" eb="4">
      <t>イコウ</t>
    </rPh>
    <phoneticPr fontId="3"/>
  </si>
  <si>
    <t>初期流動</t>
    <rPh sb="0" eb="4">
      <t>ショキリュウドウ</t>
    </rPh>
    <phoneticPr fontId="3"/>
  </si>
  <si>
    <t>合計</t>
    <rPh sb="0" eb="2">
      <t>ゴウケイ</t>
    </rPh>
    <phoneticPr fontId="3"/>
  </si>
  <si>
    <t>管理費</t>
    <rPh sb="0" eb="3">
      <t>カンリヒ</t>
    </rPh>
    <phoneticPr fontId="3"/>
  </si>
  <si>
    <t>売上</t>
  </si>
  <si>
    <t>PM</t>
  </si>
  <si>
    <t>東条</t>
    <rPh sb="0" eb="2">
      <t>トウジョウ</t>
    </rPh>
    <phoneticPr fontId="3"/>
  </si>
  <si>
    <t>作業者_プロパー</t>
  </si>
  <si>
    <t>吉田</t>
  </si>
  <si>
    <t>作業者_BP</t>
  </si>
  <si>
    <t>売上計上</t>
    <rPh sb="0" eb="4">
      <t>ウリアゲケイジョウ</t>
    </rPh>
    <phoneticPr fontId="3"/>
  </si>
  <si>
    <t>原価</t>
  </si>
  <si>
    <t>崔</t>
    <rPh sb="0" eb="1">
      <t>サイ</t>
    </rPh>
    <phoneticPr fontId="3"/>
  </si>
  <si>
    <t>原価合計</t>
    <rPh sb="0" eb="2">
      <t>ゲンカ</t>
    </rPh>
    <rPh sb="2" eb="4">
      <t>ゴウケイ</t>
    </rPh>
    <phoneticPr fontId="3"/>
  </si>
  <si>
    <t>粗利</t>
    <rPh sb="0" eb="2">
      <t>アラリ</t>
    </rPh>
    <phoneticPr fontId="3"/>
  </si>
  <si>
    <t>粗利率</t>
    <rPh sb="0" eb="3">
      <t>アラリリツ</t>
    </rPh>
    <phoneticPr fontId="3"/>
  </si>
  <si>
    <t>作業者</t>
  </si>
  <si>
    <t>プロパー</t>
    <phoneticPr fontId="3"/>
  </si>
  <si>
    <t>BP</t>
    <phoneticPr fontId="3"/>
  </si>
  <si>
    <t>崔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</si>
</sst>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¥&quot;#,##0;[Red]&quot;¥&quot;\-#,##0"/>
    <numFmt numFmtId="176" formatCode="_-[$¥-411]* #,##0_-;\-[$¥-411]* #,##0_-;_-[$¥-411]* &quot;-&quot;?_-;_-@_-"/>
    <numFmt numFmtId="177" formatCode="_-[$¥-411]* #,##0_-;\-[$¥-411]* #,##0_-;_-[$¥-411]* &quot;-&quot;??_-;_-@_-"/>
    <numFmt numFmtId="178" formatCode="0.0_);[Red]\(0.0\)"/>
    <numFmt numFmtId="179" formatCode="0.00_);[Red]\(0.00\)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/>
  </cellStyleXfs>
  <cellXfs count="25">
    <xf numFmtId="0" fontId="0" fillId="0" borderId="0" xfId="0">
      <alignment vertical="center"/>
    </xf>
    <xf numFmtId="0" fontId="2" fillId="0" borderId="0" xfId="2"/>
    <xf numFmtId="176" fontId="2" fillId="0" borderId="0" xfId="2" applyNumberFormat="1"/>
    <xf numFmtId="0" fontId="2" fillId="0" borderId="2" xfId="2" applyBorder="1"/>
    <xf numFmtId="2" fontId="2" fillId="0" borderId="2" xfId="2" applyNumberFormat="1" applyBorder="1"/>
    <xf numFmtId="6" fontId="2" fillId="0" borderId="2" xfId="1" applyFont="1" applyBorder="1" applyAlignment="1"/>
    <xf numFmtId="0" fontId="2" fillId="2" borderId="2" xfId="2" applyFill="1" applyBorder="1"/>
    <xf numFmtId="2" fontId="2" fillId="2" borderId="2" xfId="2" applyNumberFormat="1" applyFill="1" applyBorder="1"/>
    <xf numFmtId="6" fontId="2" fillId="2" borderId="2" xfId="1" applyFont="1" applyFill="1" applyBorder="1" applyAlignment="1"/>
    <xf numFmtId="2" fontId="2" fillId="0" borderId="0" xfId="2" applyNumberFormat="1"/>
    <xf numFmtId="6" fontId="2" fillId="0" borderId="0" xfId="1" applyFont="1" applyFill="1" applyBorder="1" applyAlignment="1"/>
    <xf numFmtId="177" fontId="2" fillId="0" borderId="2" xfId="2" applyNumberFormat="1" applyBorder="1"/>
    <xf numFmtId="178" fontId="2" fillId="0" borderId="2" xfId="2" applyNumberFormat="1" applyBorder="1"/>
    <xf numFmtId="179" fontId="2" fillId="0" borderId="2" xfId="2" applyNumberFormat="1" applyBorder="1"/>
    <xf numFmtId="176" fontId="2" fillId="2" borderId="2" xfId="2" applyNumberFormat="1" applyFill="1" applyBorder="1"/>
    <xf numFmtId="178" fontId="2" fillId="2" borderId="2" xfId="2" applyNumberFormat="1" applyFill="1" applyBorder="1"/>
    <xf numFmtId="9" fontId="2" fillId="2" borderId="2" xfId="2" applyNumberFormat="1" applyFill="1" applyBorder="1"/>
    <xf numFmtId="178" fontId="2" fillId="0" borderId="0" xfId="2" applyNumberFormat="1"/>
    <xf numFmtId="178" fontId="2" fillId="3" borderId="0" xfId="2" applyNumberFormat="1" applyFill="1"/>
    <xf numFmtId="176" fontId="2" fillId="3" borderId="0" xfId="2" applyNumberFormat="1" applyFill="1"/>
    <xf numFmtId="0" fontId="2" fillId="4" borderId="2" xfId="2" applyFill="1" applyBorder="1"/>
    <xf numFmtId="0" fontId="2" fillId="4" borderId="1" xfId="2" applyFill="1" applyBorder="1"/>
    <xf numFmtId="0" fontId="2" fillId="5" borderId="2" xfId="2" applyFill="1" applyBorder="1"/>
    <xf numFmtId="2" fontId="2" fillId="5" borderId="2" xfId="2" applyNumberFormat="1" applyFill="1" applyBorder="1"/>
    <xf numFmtId="6" fontId="2" fillId="5" borderId="2" xfId="1" applyFont="1" applyFill="1" applyBorder="1" applyAlignment="1"/>
  </cellXfs>
  <cellStyles count="3">
    <cellStyle name="通貨" xfId="1" builtinId="7"/>
    <cellStyle name="標準" xfId="0" builtinId="0"/>
    <cellStyle name="標準 2" xfId="2" xr:uid="{F87527D1-E504-445A-8EDA-5CE49947EC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9</xdr:row>
      <xdr:rowOff>38100</xdr:rowOff>
    </xdr:from>
    <xdr:to>
      <xdr:col>9</xdr:col>
      <xdr:colOff>516255</xdr:colOff>
      <xdr:row>9</xdr:row>
      <xdr:rowOff>190500</xdr:rowOff>
    </xdr:to>
    <xdr:sp macro="" textlink="">
      <xdr:nvSpPr>
        <xdr:cNvPr id="2" name="ホームベース 1">
          <a:extLst>
            <a:ext uri="{FF2B5EF4-FFF2-40B4-BE49-F238E27FC236}">
              <a16:creationId xmlns:a16="http://schemas.microsoft.com/office/drawing/2014/main" id="{0AFC8021-6117-49A4-9147-EC51902D16DF}"/>
            </a:ext>
          </a:extLst>
        </xdr:cNvPr>
        <xdr:cNvSpPr/>
      </xdr:nvSpPr>
      <xdr:spPr>
        <a:xfrm>
          <a:off x="8763000" y="723900"/>
          <a:ext cx="497205" cy="15240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510541</xdr:colOff>
      <xdr:row>10</xdr:row>
      <xdr:rowOff>41248</xdr:rowOff>
    </xdr:from>
    <xdr:to>
      <xdr:col>10</xdr:col>
      <xdr:colOff>26671</xdr:colOff>
      <xdr:row>11</xdr:row>
      <xdr:rowOff>19050</xdr:rowOff>
    </xdr:to>
    <xdr:sp macro="" textlink="">
      <xdr:nvSpPr>
        <xdr:cNvPr id="3" name="ホームベース 2">
          <a:extLst>
            <a:ext uri="{FF2B5EF4-FFF2-40B4-BE49-F238E27FC236}">
              <a16:creationId xmlns:a16="http://schemas.microsoft.com/office/drawing/2014/main" id="{811F8DEF-C771-4809-AEB9-21E050EDCE12}"/>
            </a:ext>
            <a:ext uri="{147F2762-F138-4A5C-976F-8EAC2B608ADB}">
              <a16:predDERef xmlns:a16="http://schemas.microsoft.com/office/drawing/2014/main" pred="{0AFC8021-6117-49A4-9147-EC51902D16DF}"/>
            </a:ext>
          </a:extLst>
        </xdr:cNvPr>
        <xdr:cNvSpPr/>
      </xdr:nvSpPr>
      <xdr:spPr>
        <a:xfrm>
          <a:off x="9254491" y="955648"/>
          <a:ext cx="478155" cy="206402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762000</xdr:colOff>
      <xdr:row>14</xdr:row>
      <xdr:rowOff>29486</xdr:rowOff>
    </xdr:from>
    <xdr:to>
      <xdr:col>13</xdr:col>
      <xdr:colOff>207645</xdr:colOff>
      <xdr:row>14</xdr:row>
      <xdr:rowOff>173355</xdr:rowOff>
    </xdr:to>
    <xdr:sp macro="" textlink="">
      <xdr:nvSpPr>
        <xdr:cNvPr id="4" name="ホームベース 6">
          <a:extLst>
            <a:ext uri="{FF2B5EF4-FFF2-40B4-BE49-F238E27FC236}">
              <a16:creationId xmlns:a16="http://schemas.microsoft.com/office/drawing/2014/main" id="{844974F4-26D3-40F0-A07D-6C084964B5EB}"/>
            </a:ext>
            <a:ext uri="{147F2762-F138-4A5C-976F-8EAC2B608ADB}">
              <a16:predDERef xmlns:a16="http://schemas.microsoft.com/office/drawing/2014/main" pred="{811F8DEF-C771-4809-AEB9-21E050EDCE12}"/>
            </a:ext>
          </a:extLst>
        </xdr:cNvPr>
        <xdr:cNvSpPr/>
      </xdr:nvSpPr>
      <xdr:spPr>
        <a:xfrm>
          <a:off x="12392025" y="1858286"/>
          <a:ext cx="407670" cy="143869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590550</xdr:colOff>
      <xdr:row>12</xdr:row>
      <xdr:rowOff>29486</xdr:rowOff>
    </xdr:from>
    <xdr:to>
      <xdr:col>12</xdr:col>
      <xdr:colOff>38100</xdr:colOff>
      <xdr:row>12</xdr:row>
      <xdr:rowOff>173355</xdr:rowOff>
    </xdr:to>
    <xdr:sp macro="" textlink="">
      <xdr:nvSpPr>
        <xdr:cNvPr id="5" name="ホームベース 11">
          <a:extLst>
            <a:ext uri="{FF2B5EF4-FFF2-40B4-BE49-F238E27FC236}">
              <a16:creationId xmlns:a16="http://schemas.microsoft.com/office/drawing/2014/main" id="{C4801326-311C-42BE-ACA0-6E5CD66FBFF7}"/>
            </a:ext>
            <a:ext uri="{147F2762-F138-4A5C-976F-8EAC2B608ADB}">
              <a16:predDERef xmlns:a16="http://schemas.microsoft.com/office/drawing/2014/main" pred="{844974F4-26D3-40F0-A07D-6C084964B5EB}"/>
            </a:ext>
          </a:extLst>
        </xdr:cNvPr>
        <xdr:cNvSpPr/>
      </xdr:nvSpPr>
      <xdr:spPr>
        <a:xfrm>
          <a:off x="10296525" y="1401086"/>
          <a:ext cx="1371600" cy="143869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57150</xdr:colOff>
      <xdr:row>13</xdr:row>
      <xdr:rowOff>34620</xdr:rowOff>
    </xdr:from>
    <xdr:to>
      <xdr:col>12</xdr:col>
      <xdr:colOff>647700</xdr:colOff>
      <xdr:row>13</xdr:row>
      <xdr:rowOff>169544</xdr:rowOff>
    </xdr:to>
    <xdr:sp macro="" textlink="">
      <xdr:nvSpPr>
        <xdr:cNvPr id="6" name="ホームベース 12">
          <a:extLst>
            <a:ext uri="{FF2B5EF4-FFF2-40B4-BE49-F238E27FC236}">
              <a16:creationId xmlns:a16="http://schemas.microsoft.com/office/drawing/2014/main" id="{DC85E74B-FE0E-455D-AED1-A3DD606907E6}"/>
            </a:ext>
            <a:ext uri="{147F2762-F138-4A5C-976F-8EAC2B608ADB}">
              <a16:predDERef xmlns:a16="http://schemas.microsoft.com/office/drawing/2014/main" pred="{C4801326-311C-42BE-ACA0-6E5CD66FBFF7}"/>
            </a:ext>
          </a:extLst>
        </xdr:cNvPr>
        <xdr:cNvSpPr/>
      </xdr:nvSpPr>
      <xdr:spPr>
        <a:xfrm>
          <a:off x="11687175" y="1634820"/>
          <a:ext cx="590550" cy="134924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516255</xdr:colOff>
      <xdr:row>16</xdr:row>
      <xdr:rowOff>38100</xdr:rowOff>
    </xdr:from>
    <xdr:to>
      <xdr:col>14</xdr:col>
      <xdr:colOff>1905</xdr:colOff>
      <xdr:row>16</xdr:row>
      <xdr:rowOff>190500</xdr:rowOff>
    </xdr:to>
    <xdr:sp macro="" textlink="">
      <xdr:nvSpPr>
        <xdr:cNvPr id="7" name="ホームベース 14">
          <a:extLst>
            <a:ext uri="{FF2B5EF4-FFF2-40B4-BE49-F238E27FC236}">
              <a16:creationId xmlns:a16="http://schemas.microsoft.com/office/drawing/2014/main" id="{E27AE2F5-C30D-4A06-8E74-9010937EFC37}"/>
            </a:ext>
            <a:ext uri="{147F2762-F138-4A5C-976F-8EAC2B608ADB}">
              <a16:predDERef xmlns:a16="http://schemas.microsoft.com/office/drawing/2014/main" pred="{DC85E74B-FE0E-455D-AED1-A3DD606907E6}"/>
            </a:ext>
          </a:extLst>
        </xdr:cNvPr>
        <xdr:cNvSpPr/>
      </xdr:nvSpPr>
      <xdr:spPr>
        <a:xfrm>
          <a:off x="13108305" y="2324100"/>
          <a:ext cx="533400" cy="15240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302895</xdr:colOff>
      <xdr:row>14</xdr:row>
      <xdr:rowOff>209218</xdr:rowOff>
    </xdr:from>
    <xdr:to>
      <xdr:col>13</xdr:col>
      <xdr:colOff>478155</xdr:colOff>
      <xdr:row>15</xdr:row>
      <xdr:rowOff>169544</xdr:rowOff>
    </xdr:to>
    <xdr:sp macro="" textlink="">
      <xdr:nvSpPr>
        <xdr:cNvPr id="8" name="フローチャート: 結合子 23">
          <a:extLst>
            <a:ext uri="{FF2B5EF4-FFF2-40B4-BE49-F238E27FC236}">
              <a16:creationId xmlns:a16="http://schemas.microsoft.com/office/drawing/2014/main" id="{9CB6DD38-C74A-44FF-8758-BAE3147754AD}"/>
            </a:ext>
            <a:ext uri="{147F2762-F138-4A5C-976F-8EAC2B608ADB}">
              <a16:predDERef xmlns:a16="http://schemas.microsoft.com/office/drawing/2014/main" pred="{E27AE2F5-C30D-4A06-8E74-9010937EFC37}"/>
            </a:ext>
          </a:extLst>
        </xdr:cNvPr>
        <xdr:cNvSpPr/>
      </xdr:nvSpPr>
      <xdr:spPr>
        <a:xfrm>
          <a:off x="12894945" y="2038018"/>
          <a:ext cx="175260" cy="188926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38100</xdr:colOff>
      <xdr:row>10</xdr:row>
      <xdr:rowOff>213111</xdr:rowOff>
    </xdr:from>
    <xdr:to>
      <xdr:col>10</xdr:col>
      <xdr:colOff>571500</xdr:colOff>
      <xdr:row>11</xdr:row>
      <xdr:rowOff>171449</xdr:rowOff>
    </xdr:to>
    <xdr:sp macro="" textlink="">
      <xdr:nvSpPr>
        <xdr:cNvPr id="9" name="ホームベース 11">
          <a:extLst>
            <a:ext uri="{FF2B5EF4-FFF2-40B4-BE49-F238E27FC236}">
              <a16:creationId xmlns:a16="http://schemas.microsoft.com/office/drawing/2014/main" id="{4C57D87C-805F-42DB-846A-BB1C9EDF0E4B}"/>
            </a:ext>
            <a:ext uri="{147F2762-F138-4A5C-976F-8EAC2B608ADB}">
              <a16:predDERef xmlns:a16="http://schemas.microsoft.com/office/drawing/2014/main" pred="{9CB6DD38-C74A-44FF-8758-BAE3147754AD}"/>
            </a:ext>
          </a:extLst>
        </xdr:cNvPr>
        <xdr:cNvSpPr/>
      </xdr:nvSpPr>
      <xdr:spPr>
        <a:xfrm>
          <a:off x="9744075" y="1127511"/>
          <a:ext cx="533400" cy="186938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19050</xdr:colOff>
      <xdr:row>9</xdr:row>
      <xdr:rowOff>11430</xdr:rowOff>
    </xdr:from>
    <xdr:to>
      <xdr:col>9</xdr:col>
      <xdr:colOff>516255</xdr:colOff>
      <xdr:row>9</xdr:row>
      <xdr:rowOff>163830</xdr:rowOff>
    </xdr:to>
    <xdr:sp macro="" textlink="">
      <xdr:nvSpPr>
        <xdr:cNvPr id="10" name="ホームベース 1">
          <a:extLst>
            <a:ext uri="{FF2B5EF4-FFF2-40B4-BE49-F238E27FC236}">
              <a16:creationId xmlns:a16="http://schemas.microsoft.com/office/drawing/2014/main" id="{7E6E3C0A-7CBD-4A7E-B22C-EDB66F6A6E61}"/>
            </a:ext>
          </a:extLst>
        </xdr:cNvPr>
        <xdr:cNvSpPr/>
      </xdr:nvSpPr>
      <xdr:spPr>
        <a:xfrm>
          <a:off x="8763000" y="697230"/>
          <a:ext cx="497205" cy="15240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510541</xdr:colOff>
      <xdr:row>10</xdr:row>
      <xdr:rowOff>16483</xdr:rowOff>
    </xdr:from>
    <xdr:to>
      <xdr:col>10</xdr:col>
      <xdr:colOff>20956</xdr:colOff>
      <xdr:row>10</xdr:row>
      <xdr:rowOff>211455</xdr:rowOff>
    </xdr:to>
    <xdr:sp macro="" textlink="">
      <xdr:nvSpPr>
        <xdr:cNvPr id="11" name="ホームベース 2">
          <a:extLst>
            <a:ext uri="{FF2B5EF4-FFF2-40B4-BE49-F238E27FC236}">
              <a16:creationId xmlns:a16="http://schemas.microsoft.com/office/drawing/2014/main" id="{B3D02C74-B721-4869-AF90-4FE072FD1AD5}"/>
            </a:ext>
            <a:ext uri="{147F2762-F138-4A5C-976F-8EAC2B608ADB}">
              <a16:predDERef xmlns:a16="http://schemas.microsoft.com/office/drawing/2014/main" pred="{0AFC8021-6117-49A4-9147-EC51902D16DF}"/>
            </a:ext>
          </a:extLst>
        </xdr:cNvPr>
        <xdr:cNvSpPr/>
      </xdr:nvSpPr>
      <xdr:spPr>
        <a:xfrm>
          <a:off x="9254491" y="930883"/>
          <a:ext cx="472440" cy="194972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762000</xdr:colOff>
      <xdr:row>13</xdr:row>
      <xdr:rowOff>227606</xdr:rowOff>
    </xdr:from>
    <xdr:to>
      <xdr:col>13</xdr:col>
      <xdr:colOff>207645</xdr:colOff>
      <xdr:row>14</xdr:row>
      <xdr:rowOff>139065</xdr:rowOff>
    </xdr:to>
    <xdr:sp macro="" textlink="">
      <xdr:nvSpPr>
        <xdr:cNvPr id="12" name="ホームベース 6">
          <a:extLst>
            <a:ext uri="{FF2B5EF4-FFF2-40B4-BE49-F238E27FC236}">
              <a16:creationId xmlns:a16="http://schemas.microsoft.com/office/drawing/2014/main" id="{0CEC1A76-2CCB-4E8F-91B4-717659EA7A98}"/>
            </a:ext>
            <a:ext uri="{147F2762-F138-4A5C-976F-8EAC2B608ADB}">
              <a16:predDERef xmlns:a16="http://schemas.microsoft.com/office/drawing/2014/main" pred="{811F8DEF-C771-4809-AEB9-21E050EDCE12}"/>
            </a:ext>
          </a:extLst>
        </xdr:cNvPr>
        <xdr:cNvSpPr/>
      </xdr:nvSpPr>
      <xdr:spPr>
        <a:xfrm>
          <a:off x="12392025" y="1827806"/>
          <a:ext cx="407670" cy="140059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590550</xdr:colOff>
      <xdr:row>11</xdr:row>
      <xdr:rowOff>227606</xdr:rowOff>
    </xdr:from>
    <xdr:to>
      <xdr:col>12</xdr:col>
      <xdr:colOff>38100</xdr:colOff>
      <xdr:row>12</xdr:row>
      <xdr:rowOff>139065</xdr:rowOff>
    </xdr:to>
    <xdr:sp macro="" textlink="">
      <xdr:nvSpPr>
        <xdr:cNvPr id="13" name="ホームベース 11">
          <a:extLst>
            <a:ext uri="{FF2B5EF4-FFF2-40B4-BE49-F238E27FC236}">
              <a16:creationId xmlns:a16="http://schemas.microsoft.com/office/drawing/2014/main" id="{51FE2F16-6C5E-46A0-9C3C-E79E48C39D48}"/>
            </a:ext>
            <a:ext uri="{147F2762-F138-4A5C-976F-8EAC2B608ADB}">
              <a16:predDERef xmlns:a16="http://schemas.microsoft.com/office/drawing/2014/main" pred="{844974F4-26D3-40F0-A07D-6C084964B5EB}"/>
            </a:ext>
          </a:extLst>
        </xdr:cNvPr>
        <xdr:cNvSpPr/>
      </xdr:nvSpPr>
      <xdr:spPr>
        <a:xfrm>
          <a:off x="10296525" y="1370606"/>
          <a:ext cx="1371600" cy="140059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57150</xdr:colOff>
      <xdr:row>13</xdr:row>
      <xdr:rowOff>7950</xdr:rowOff>
    </xdr:from>
    <xdr:to>
      <xdr:col>12</xdr:col>
      <xdr:colOff>647700</xdr:colOff>
      <xdr:row>13</xdr:row>
      <xdr:rowOff>142874</xdr:rowOff>
    </xdr:to>
    <xdr:sp macro="" textlink="">
      <xdr:nvSpPr>
        <xdr:cNvPr id="14" name="ホームベース 12">
          <a:extLst>
            <a:ext uri="{FF2B5EF4-FFF2-40B4-BE49-F238E27FC236}">
              <a16:creationId xmlns:a16="http://schemas.microsoft.com/office/drawing/2014/main" id="{59B88342-A120-41E4-B6C3-CB538C0BB45A}"/>
            </a:ext>
            <a:ext uri="{147F2762-F138-4A5C-976F-8EAC2B608ADB}">
              <a16:predDERef xmlns:a16="http://schemas.microsoft.com/office/drawing/2014/main" pred="{C4801326-311C-42BE-ACA0-6E5CD66FBFF7}"/>
            </a:ext>
          </a:extLst>
        </xdr:cNvPr>
        <xdr:cNvSpPr/>
      </xdr:nvSpPr>
      <xdr:spPr>
        <a:xfrm>
          <a:off x="11687175" y="1608150"/>
          <a:ext cx="590550" cy="134924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516255</xdr:colOff>
      <xdr:row>16</xdr:row>
      <xdr:rowOff>11430</xdr:rowOff>
    </xdr:from>
    <xdr:to>
      <xdr:col>14</xdr:col>
      <xdr:colOff>1905</xdr:colOff>
      <xdr:row>16</xdr:row>
      <xdr:rowOff>163830</xdr:rowOff>
    </xdr:to>
    <xdr:sp macro="" textlink="">
      <xdr:nvSpPr>
        <xdr:cNvPr id="15" name="ホームベース 14">
          <a:extLst>
            <a:ext uri="{FF2B5EF4-FFF2-40B4-BE49-F238E27FC236}">
              <a16:creationId xmlns:a16="http://schemas.microsoft.com/office/drawing/2014/main" id="{12D8D63B-C7AC-422C-A011-C274F48C5712}"/>
            </a:ext>
            <a:ext uri="{147F2762-F138-4A5C-976F-8EAC2B608ADB}">
              <a16:predDERef xmlns:a16="http://schemas.microsoft.com/office/drawing/2014/main" pred="{DC85E74B-FE0E-455D-AED1-A3DD606907E6}"/>
            </a:ext>
          </a:extLst>
        </xdr:cNvPr>
        <xdr:cNvSpPr/>
      </xdr:nvSpPr>
      <xdr:spPr>
        <a:xfrm>
          <a:off x="13108305" y="2297430"/>
          <a:ext cx="533400" cy="15240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302895</xdr:colOff>
      <xdr:row>14</xdr:row>
      <xdr:rowOff>182548</xdr:rowOff>
    </xdr:from>
    <xdr:to>
      <xdr:col>13</xdr:col>
      <xdr:colOff>478155</xdr:colOff>
      <xdr:row>15</xdr:row>
      <xdr:rowOff>142874</xdr:rowOff>
    </xdr:to>
    <xdr:sp macro="" textlink="">
      <xdr:nvSpPr>
        <xdr:cNvPr id="16" name="フローチャート: 結合子 23">
          <a:extLst>
            <a:ext uri="{FF2B5EF4-FFF2-40B4-BE49-F238E27FC236}">
              <a16:creationId xmlns:a16="http://schemas.microsoft.com/office/drawing/2014/main" id="{33C9683D-0934-4F17-872B-9D5529A21EF9}"/>
            </a:ext>
            <a:ext uri="{147F2762-F138-4A5C-976F-8EAC2B608ADB}">
              <a16:predDERef xmlns:a16="http://schemas.microsoft.com/office/drawing/2014/main" pred="{E27AE2F5-C30D-4A06-8E74-9010937EFC37}"/>
            </a:ext>
          </a:extLst>
        </xdr:cNvPr>
        <xdr:cNvSpPr/>
      </xdr:nvSpPr>
      <xdr:spPr>
        <a:xfrm>
          <a:off x="12894945" y="2011348"/>
          <a:ext cx="175260" cy="188926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38100</xdr:colOff>
      <xdr:row>10</xdr:row>
      <xdr:rowOff>178821</xdr:rowOff>
    </xdr:from>
    <xdr:to>
      <xdr:col>10</xdr:col>
      <xdr:colOff>571500</xdr:colOff>
      <xdr:row>11</xdr:row>
      <xdr:rowOff>144779</xdr:rowOff>
    </xdr:to>
    <xdr:sp macro="" textlink="">
      <xdr:nvSpPr>
        <xdr:cNvPr id="17" name="ホームベース 11">
          <a:extLst>
            <a:ext uri="{FF2B5EF4-FFF2-40B4-BE49-F238E27FC236}">
              <a16:creationId xmlns:a16="http://schemas.microsoft.com/office/drawing/2014/main" id="{21DBA8D7-2B2A-4F59-BC7E-4DE328722662}"/>
            </a:ext>
            <a:ext uri="{147F2762-F138-4A5C-976F-8EAC2B608ADB}">
              <a16:predDERef xmlns:a16="http://schemas.microsoft.com/office/drawing/2014/main" pred="{9CB6DD38-C74A-44FF-8758-BAE3147754AD}"/>
            </a:ext>
          </a:extLst>
        </xdr:cNvPr>
        <xdr:cNvSpPr/>
      </xdr:nvSpPr>
      <xdr:spPr>
        <a:xfrm>
          <a:off x="9744075" y="1093221"/>
          <a:ext cx="533400" cy="194558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9</xdr:row>
      <xdr:rowOff>28575</xdr:rowOff>
    </xdr:from>
    <xdr:to>
      <xdr:col>7</xdr:col>
      <xdr:colOff>514350</xdr:colOff>
      <xdr:row>10</xdr:row>
      <xdr:rowOff>0</xdr:rowOff>
    </xdr:to>
    <xdr:sp macro="" textlink="">
      <xdr:nvSpPr>
        <xdr:cNvPr id="2" name="ホームベース 1">
          <a:extLst>
            <a:ext uri="{FF2B5EF4-FFF2-40B4-BE49-F238E27FC236}">
              <a16:creationId xmlns:a16="http://schemas.microsoft.com/office/drawing/2014/main" id="{E7DC4177-64F3-47C6-B480-847B8ADA3328}"/>
            </a:ext>
          </a:extLst>
        </xdr:cNvPr>
        <xdr:cNvSpPr/>
      </xdr:nvSpPr>
      <xdr:spPr>
        <a:xfrm>
          <a:off x="6829425" y="685800"/>
          <a:ext cx="504825" cy="20002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495301</xdr:colOff>
      <xdr:row>10</xdr:row>
      <xdr:rowOff>9526</xdr:rowOff>
    </xdr:from>
    <xdr:to>
      <xdr:col>8</xdr:col>
      <xdr:colOff>9526</xdr:colOff>
      <xdr:row>11</xdr:row>
      <xdr:rowOff>9525</xdr:rowOff>
    </xdr:to>
    <xdr:sp macro="" textlink="">
      <xdr:nvSpPr>
        <xdr:cNvPr id="3" name="ホームベース 2">
          <a:extLst>
            <a:ext uri="{FF2B5EF4-FFF2-40B4-BE49-F238E27FC236}">
              <a16:creationId xmlns:a16="http://schemas.microsoft.com/office/drawing/2014/main" id="{992C177D-F8B7-4927-814C-18C1C0D3625E}"/>
            </a:ext>
            <a:ext uri="{147F2762-F138-4A5C-976F-8EAC2B608ADB}">
              <a16:predDERef xmlns:a16="http://schemas.microsoft.com/office/drawing/2014/main" pred="{E7DC4177-64F3-47C6-B480-847B8ADA3328}"/>
            </a:ext>
          </a:extLst>
        </xdr:cNvPr>
        <xdr:cNvSpPr/>
      </xdr:nvSpPr>
      <xdr:spPr>
        <a:xfrm>
          <a:off x="7315201" y="895351"/>
          <a:ext cx="476250" cy="228599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495300</xdr:colOff>
      <xdr:row>14</xdr:row>
      <xdr:rowOff>28575</xdr:rowOff>
    </xdr:from>
    <xdr:to>
      <xdr:col>10</xdr:col>
      <xdr:colOff>895350</xdr:colOff>
      <xdr:row>14</xdr:row>
      <xdr:rowOff>180975</xdr:rowOff>
    </xdr:to>
    <xdr:sp macro="" textlink="">
      <xdr:nvSpPr>
        <xdr:cNvPr id="4" name="ホームベース 6">
          <a:extLst>
            <a:ext uri="{FF2B5EF4-FFF2-40B4-BE49-F238E27FC236}">
              <a16:creationId xmlns:a16="http://schemas.microsoft.com/office/drawing/2014/main" id="{0F2FD911-0470-431E-B32B-1FC4DF69C601}"/>
            </a:ext>
            <a:ext uri="{147F2762-F138-4A5C-976F-8EAC2B608ADB}">
              <a16:predDERef xmlns:a16="http://schemas.microsoft.com/office/drawing/2014/main" pred="{992C177D-F8B7-4927-814C-18C1C0D3625E}"/>
            </a:ext>
          </a:extLst>
        </xdr:cNvPr>
        <xdr:cNvSpPr/>
      </xdr:nvSpPr>
      <xdr:spPr>
        <a:xfrm>
          <a:off x="10201275" y="1628775"/>
          <a:ext cx="400050" cy="15240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533400</xdr:colOff>
      <xdr:row>12</xdr:row>
      <xdr:rowOff>28575</xdr:rowOff>
    </xdr:from>
    <xdr:to>
      <xdr:col>9</xdr:col>
      <xdr:colOff>952500</xdr:colOff>
      <xdr:row>13</xdr:row>
      <xdr:rowOff>0</xdr:rowOff>
    </xdr:to>
    <xdr:sp macro="" textlink="">
      <xdr:nvSpPr>
        <xdr:cNvPr id="5" name="ホームベース 11">
          <a:extLst>
            <a:ext uri="{FF2B5EF4-FFF2-40B4-BE49-F238E27FC236}">
              <a16:creationId xmlns:a16="http://schemas.microsoft.com/office/drawing/2014/main" id="{A96ED4CC-58A5-4ABE-9FA9-BF151DC81796}"/>
            </a:ext>
            <a:ext uri="{147F2762-F138-4A5C-976F-8EAC2B608ADB}">
              <a16:predDERef xmlns:a16="http://schemas.microsoft.com/office/drawing/2014/main" pred="{0F2FD911-0470-431E-B32B-1FC4DF69C601}"/>
            </a:ext>
          </a:extLst>
        </xdr:cNvPr>
        <xdr:cNvSpPr/>
      </xdr:nvSpPr>
      <xdr:spPr>
        <a:xfrm>
          <a:off x="8315325" y="1228725"/>
          <a:ext cx="1381125" cy="17145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9525</xdr:colOff>
      <xdr:row>13</xdr:row>
      <xdr:rowOff>28575</xdr:rowOff>
    </xdr:from>
    <xdr:to>
      <xdr:col>10</xdr:col>
      <xdr:colOff>419100</xdr:colOff>
      <xdr:row>13</xdr:row>
      <xdr:rowOff>171450</xdr:rowOff>
    </xdr:to>
    <xdr:sp macro="" textlink="">
      <xdr:nvSpPr>
        <xdr:cNvPr id="6" name="ホームベース 12">
          <a:extLst>
            <a:ext uri="{FF2B5EF4-FFF2-40B4-BE49-F238E27FC236}">
              <a16:creationId xmlns:a16="http://schemas.microsoft.com/office/drawing/2014/main" id="{A22F4633-619D-451F-970A-0DD00B777A99}"/>
            </a:ext>
            <a:ext uri="{147F2762-F138-4A5C-976F-8EAC2B608ADB}">
              <a16:predDERef xmlns:a16="http://schemas.microsoft.com/office/drawing/2014/main" pred="{A96ED4CC-58A5-4ABE-9FA9-BF151DC81796}"/>
            </a:ext>
          </a:extLst>
        </xdr:cNvPr>
        <xdr:cNvSpPr/>
      </xdr:nvSpPr>
      <xdr:spPr>
        <a:xfrm>
          <a:off x="9715500" y="1428750"/>
          <a:ext cx="409575" cy="14287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438150</xdr:colOff>
      <xdr:row>16</xdr:row>
      <xdr:rowOff>38100</xdr:rowOff>
    </xdr:from>
    <xdr:to>
      <xdr:col>12</xdr:col>
      <xdr:colOff>9525</xdr:colOff>
      <xdr:row>17</xdr:row>
      <xdr:rowOff>9525</xdr:rowOff>
    </xdr:to>
    <xdr:sp macro="" textlink="">
      <xdr:nvSpPr>
        <xdr:cNvPr id="7" name="ホームベース 14">
          <a:extLst>
            <a:ext uri="{FF2B5EF4-FFF2-40B4-BE49-F238E27FC236}">
              <a16:creationId xmlns:a16="http://schemas.microsoft.com/office/drawing/2014/main" id="{DC0327DC-1BF6-4705-AB55-93CB6B52AD83}"/>
            </a:ext>
            <a:ext uri="{147F2762-F138-4A5C-976F-8EAC2B608ADB}">
              <a16:predDERef xmlns:a16="http://schemas.microsoft.com/office/drawing/2014/main" pred="{A22F4633-619D-451F-970A-0DD00B777A99}"/>
            </a:ext>
          </a:extLst>
        </xdr:cNvPr>
        <xdr:cNvSpPr/>
      </xdr:nvSpPr>
      <xdr:spPr>
        <a:xfrm>
          <a:off x="11106150" y="2038350"/>
          <a:ext cx="533400" cy="17145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76200</xdr:colOff>
      <xdr:row>15</xdr:row>
      <xdr:rowOff>9525</xdr:rowOff>
    </xdr:from>
    <xdr:to>
      <xdr:col>11</xdr:col>
      <xdr:colOff>247650</xdr:colOff>
      <xdr:row>15</xdr:row>
      <xdr:rowOff>180975</xdr:rowOff>
    </xdr:to>
    <xdr:sp macro="" textlink="">
      <xdr:nvSpPr>
        <xdr:cNvPr id="8" name="フローチャート: 結合子 23">
          <a:extLst>
            <a:ext uri="{FF2B5EF4-FFF2-40B4-BE49-F238E27FC236}">
              <a16:creationId xmlns:a16="http://schemas.microsoft.com/office/drawing/2014/main" id="{74672546-801B-41C9-8502-AC0AEFEE853D}"/>
            </a:ext>
            <a:ext uri="{147F2762-F138-4A5C-976F-8EAC2B608ADB}">
              <a16:predDERef xmlns:a16="http://schemas.microsoft.com/office/drawing/2014/main" pred="{DC0327DC-1BF6-4705-AB55-93CB6B52AD83}"/>
            </a:ext>
          </a:extLst>
        </xdr:cNvPr>
        <xdr:cNvSpPr/>
      </xdr:nvSpPr>
      <xdr:spPr>
        <a:xfrm>
          <a:off x="10744200" y="1809750"/>
          <a:ext cx="171450" cy="1714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11</xdr:row>
      <xdr:rowOff>9525</xdr:rowOff>
    </xdr:from>
    <xdr:to>
      <xdr:col>8</xdr:col>
      <xdr:colOff>533400</xdr:colOff>
      <xdr:row>12</xdr:row>
      <xdr:rowOff>0</xdr:rowOff>
    </xdr:to>
    <xdr:sp macro="" textlink="">
      <xdr:nvSpPr>
        <xdr:cNvPr id="9" name="ホームベース 11">
          <a:extLst>
            <a:ext uri="{FF2B5EF4-FFF2-40B4-BE49-F238E27FC236}">
              <a16:creationId xmlns:a16="http://schemas.microsoft.com/office/drawing/2014/main" id="{7554E978-314C-4797-B893-3E89AE8EBF10}"/>
            </a:ext>
            <a:ext uri="{147F2762-F138-4A5C-976F-8EAC2B608ADB}">
              <a16:predDERef xmlns:a16="http://schemas.microsoft.com/office/drawing/2014/main" pred="{74672546-801B-41C9-8502-AC0AEFEE853D}"/>
            </a:ext>
          </a:extLst>
        </xdr:cNvPr>
        <xdr:cNvSpPr/>
      </xdr:nvSpPr>
      <xdr:spPr>
        <a:xfrm>
          <a:off x="7781925" y="1009650"/>
          <a:ext cx="533400" cy="19050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9</xdr:row>
      <xdr:rowOff>28575</xdr:rowOff>
    </xdr:from>
    <xdr:to>
      <xdr:col>7</xdr:col>
      <xdr:colOff>514350</xdr:colOff>
      <xdr:row>10</xdr:row>
      <xdr:rowOff>0</xdr:rowOff>
    </xdr:to>
    <xdr:sp macro="" textlink="">
      <xdr:nvSpPr>
        <xdr:cNvPr id="2" name="ホームベース 1">
          <a:extLst>
            <a:ext uri="{FF2B5EF4-FFF2-40B4-BE49-F238E27FC236}">
              <a16:creationId xmlns:a16="http://schemas.microsoft.com/office/drawing/2014/main" id="{7BCE9B2A-420C-4447-A695-0487FBF8110E}"/>
            </a:ext>
          </a:extLst>
        </xdr:cNvPr>
        <xdr:cNvSpPr/>
      </xdr:nvSpPr>
      <xdr:spPr>
        <a:xfrm>
          <a:off x="6829425" y="685800"/>
          <a:ext cx="504825" cy="20002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495301</xdr:colOff>
      <xdr:row>10</xdr:row>
      <xdr:rowOff>9526</xdr:rowOff>
    </xdr:from>
    <xdr:to>
      <xdr:col>8</xdr:col>
      <xdr:colOff>9526</xdr:colOff>
      <xdr:row>11</xdr:row>
      <xdr:rowOff>9525</xdr:rowOff>
    </xdr:to>
    <xdr:sp macro="" textlink="">
      <xdr:nvSpPr>
        <xdr:cNvPr id="3" name="ホームベース 2">
          <a:extLst>
            <a:ext uri="{FF2B5EF4-FFF2-40B4-BE49-F238E27FC236}">
              <a16:creationId xmlns:a16="http://schemas.microsoft.com/office/drawing/2014/main" id="{51339111-F43C-429A-A0B7-A8966110A5A8}"/>
            </a:ext>
            <a:ext uri="{147F2762-F138-4A5C-976F-8EAC2B608ADB}">
              <a16:predDERef xmlns:a16="http://schemas.microsoft.com/office/drawing/2014/main" pred="{7BCE9B2A-420C-4447-A695-0487FBF8110E}"/>
            </a:ext>
          </a:extLst>
        </xdr:cNvPr>
        <xdr:cNvSpPr/>
      </xdr:nvSpPr>
      <xdr:spPr>
        <a:xfrm>
          <a:off x="7315201" y="895351"/>
          <a:ext cx="476250" cy="228599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28575</xdr:colOff>
      <xdr:row>14</xdr:row>
      <xdr:rowOff>47626</xdr:rowOff>
    </xdr:from>
    <xdr:to>
      <xdr:col>12</xdr:col>
      <xdr:colOff>628650</xdr:colOff>
      <xdr:row>14</xdr:row>
      <xdr:rowOff>209550</xdr:rowOff>
    </xdr:to>
    <xdr:sp macro="" textlink="">
      <xdr:nvSpPr>
        <xdr:cNvPr id="4" name="ホームベース 6">
          <a:extLst>
            <a:ext uri="{FF2B5EF4-FFF2-40B4-BE49-F238E27FC236}">
              <a16:creationId xmlns:a16="http://schemas.microsoft.com/office/drawing/2014/main" id="{CEDA0FAA-5A8D-4C25-925E-B57574587784}"/>
            </a:ext>
            <a:ext uri="{147F2762-F138-4A5C-976F-8EAC2B608ADB}">
              <a16:predDERef xmlns:a16="http://schemas.microsoft.com/office/drawing/2014/main" pred="{51339111-F43C-429A-A0B7-A8966110A5A8}"/>
            </a:ext>
          </a:extLst>
        </xdr:cNvPr>
        <xdr:cNvSpPr/>
      </xdr:nvSpPr>
      <xdr:spPr>
        <a:xfrm>
          <a:off x="11658600" y="1847851"/>
          <a:ext cx="600075" cy="161924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952500</xdr:colOff>
      <xdr:row>12</xdr:row>
      <xdr:rowOff>28574</xdr:rowOff>
    </xdr:from>
    <xdr:to>
      <xdr:col>10</xdr:col>
      <xdr:colOff>942975</xdr:colOff>
      <xdr:row>12</xdr:row>
      <xdr:rowOff>219075</xdr:rowOff>
    </xdr:to>
    <xdr:sp macro="" textlink="">
      <xdr:nvSpPr>
        <xdr:cNvPr id="5" name="ホームベース 11">
          <a:extLst>
            <a:ext uri="{FF2B5EF4-FFF2-40B4-BE49-F238E27FC236}">
              <a16:creationId xmlns:a16="http://schemas.microsoft.com/office/drawing/2014/main" id="{46A52745-8376-4BF9-824C-FC1E19B69039}"/>
            </a:ext>
            <a:ext uri="{147F2762-F138-4A5C-976F-8EAC2B608ADB}">
              <a16:predDERef xmlns:a16="http://schemas.microsoft.com/office/drawing/2014/main" pred="{CEDA0FAA-5A8D-4C25-925E-B57574587784}"/>
            </a:ext>
          </a:extLst>
        </xdr:cNvPr>
        <xdr:cNvSpPr/>
      </xdr:nvSpPr>
      <xdr:spPr>
        <a:xfrm>
          <a:off x="8734425" y="1371599"/>
          <a:ext cx="1914525" cy="190501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38099</xdr:colOff>
      <xdr:row>13</xdr:row>
      <xdr:rowOff>57149</xdr:rowOff>
    </xdr:from>
    <xdr:to>
      <xdr:col>11</xdr:col>
      <xdr:colOff>942974</xdr:colOff>
      <xdr:row>13</xdr:row>
      <xdr:rowOff>219074</xdr:rowOff>
    </xdr:to>
    <xdr:sp macro="" textlink="">
      <xdr:nvSpPr>
        <xdr:cNvPr id="6" name="ホームベース 12">
          <a:extLst>
            <a:ext uri="{FF2B5EF4-FFF2-40B4-BE49-F238E27FC236}">
              <a16:creationId xmlns:a16="http://schemas.microsoft.com/office/drawing/2014/main" id="{DA2F4733-D8C3-4AB3-A8BC-BF915F702FD7}"/>
            </a:ext>
            <a:ext uri="{147F2762-F138-4A5C-976F-8EAC2B608ADB}">
              <a16:predDERef xmlns:a16="http://schemas.microsoft.com/office/drawing/2014/main" pred="{46A52745-8376-4BF9-824C-FC1E19B69039}"/>
            </a:ext>
          </a:extLst>
        </xdr:cNvPr>
        <xdr:cNvSpPr/>
      </xdr:nvSpPr>
      <xdr:spPr>
        <a:xfrm>
          <a:off x="10706099" y="1628774"/>
          <a:ext cx="904875" cy="16192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9525</xdr:colOff>
      <xdr:row>16</xdr:row>
      <xdr:rowOff>28575</xdr:rowOff>
    </xdr:from>
    <xdr:to>
      <xdr:col>13</xdr:col>
      <xdr:colOff>542925</xdr:colOff>
      <xdr:row>16</xdr:row>
      <xdr:rowOff>228600</xdr:rowOff>
    </xdr:to>
    <xdr:sp macro="" textlink="">
      <xdr:nvSpPr>
        <xdr:cNvPr id="7" name="ホームベース 14">
          <a:extLst>
            <a:ext uri="{FF2B5EF4-FFF2-40B4-BE49-F238E27FC236}">
              <a16:creationId xmlns:a16="http://schemas.microsoft.com/office/drawing/2014/main" id="{0F3F74DC-D508-4DA5-815E-E8F9EC9C4034}"/>
            </a:ext>
            <a:ext uri="{147F2762-F138-4A5C-976F-8EAC2B608ADB}">
              <a16:predDERef xmlns:a16="http://schemas.microsoft.com/office/drawing/2014/main" pred="{DA2F4733-D8C3-4AB3-A8BC-BF915F702FD7}"/>
            </a:ext>
          </a:extLst>
        </xdr:cNvPr>
        <xdr:cNvSpPr/>
      </xdr:nvSpPr>
      <xdr:spPr>
        <a:xfrm>
          <a:off x="12601575" y="2286000"/>
          <a:ext cx="533400" cy="20002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733425</xdr:colOff>
      <xdr:row>15</xdr:row>
      <xdr:rowOff>28575</xdr:rowOff>
    </xdr:from>
    <xdr:to>
      <xdr:col>12</xdr:col>
      <xdr:colOff>904875</xdr:colOff>
      <xdr:row>15</xdr:row>
      <xdr:rowOff>209550</xdr:rowOff>
    </xdr:to>
    <xdr:sp macro="" textlink="">
      <xdr:nvSpPr>
        <xdr:cNvPr id="8" name="フローチャート: 結合子 23">
          <a:extLst>
            <a:ext uri="{FF2B5EF4-FFF2-40B4-BE49-F238E27FC236}">
              <a16:creationId xmlns:a16="http://schemas.microsoft.com/office/drawing/2014/main" id="{625D0BAE-D0FB-47FC-8DC2-FC8A3FAD5329}"/>
            </a:ext>
            <a:ext uri="{147F2762-F138-4A5C-976F-8EAC2B608ADB}">
              <a16:predDERef xmlns:a16="http://schemas.microsoft.com/office/drawing/2014/main" pred="{0F3F74DC-D508-4DA5-815E-E8F9EC9C4034}"/>
            </a:ext>
          </a:extLst>
        </xdr:cNvPr>
        <xdr:cNvSpPr/>
      </xdr:nvSpPr>
      <xdr:spPr>
        <a:xfrm>
          <a:off x="12363450" y="2057400"/>
          <a:ext cx="171450" cy="180975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11</xdr:row>
      <xdr:rowOff>9524</xdr:rowOff>
    </xdr:from>
    <xdr:to>
      <xdr:col>9</xdr:col>
      <xdr:colOff>28575</xdr:colOff>
      <xdr:row>11</xdr:row>
      <xdr:rowOff>219075</xdr:rowOff>
    </xdr:to>
    <xdr:sp macro="" textlink="">
      <xdr:nvSpPr>
        <xdr:cNvPr id="9" name="ホームベース 11">
          <a:extLst>
            <a:ext uri="{FF2B5EF4-FFF2-40B4-BE49-F238E27FC236}">
              <a16:creationId xmlns:a16="http://schemas.microsoft.com/office/drawing/2014/main" id="{7E9D316C-72AD-4D94-868A-C7E018A62631}"/>
            </a:ext>
            <a:ext uri="{147F2762-F138-4A5C-976F-8EAC2B608ADB}">
              <a16:predDERef xmlns:a16="http://schemas.microsoft.com/office/drawing/2014/main" pred="{625D0BAE-D0FB-47FC-8DC2-FC8A3FAD5329}"/>
            </a:ext>
          </a:extLst>
        </xdr:cNvPr>
        <xdr:cNvSpPr/>
      </xdr:nvSpPr>
      <xdr:spPr>
        <a:xfrm>
          <a:off x="7781925" y="1123949"/>
          <a:ext cx="990600" cy="209551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9</xdr:row>
      <xdr:rowOff>28575</xdr:rowOff>
    </xdr:from>
    <xdr:to>
      <xdr:col>7</xdr:col>
      <xdr:colOff>514350</xdr:colOff>
      <xdr:row>10</xdr:row>
      <xdr:rowOff>0</xdr:rowOff>
    </xdr:to>
    <xdr:sp macro="" textlink="">
      <xdr:nvSpPr>
        <xdr:cNvPr id="2" name="ホームベース 1">
          <a:extLst>
            <a:ext uri="{FF2B5EF4-FFF2-40B4-BE49-F238E27FC236}">
              <a16:creationId xmlns:a16="http://schemas.microsoft.com/office/drawing/2014/main" id="{AA39DF2F-CA48-4EDF-A097-48D8A029F20A}"/>
            </a:ext>
          </a:extLst>
        </xdr:cNvPr>
        <xdr:cNvSpPr/>
      </xdr:nvSpPr>
      <xdr:spPr>
        <a:xfrm>
          <a:off x="6829425" y="714375"/>
          <a:ext cx="504825" cy="20002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495301</xdr:colOff>
      <xdr:row>10</xdr:row>
      <xdr:rowOff>9526</xdr:rowOff>
    </xdr:from>
    <xdr:to>
      <xdr:col>8</xdr:col>
      <xdr:colOff>9526</xdr:colOff>
      <xdr:row>11</xdr:row>
      <xdr:rowOff>9525</xdr:rowOff>
    </xdr:to>
    <xdr:sp macro="" textlink="">
      <xdr:nvSpPr>
        <xdr:cNvPr id="3" name="ホームベース 2">
          <a:extLst>
            <a:ext uri="{FF2B5EF4-FFF2-40B4-BE49-F238E27FC236}">
              <a16:creationId xmlns:a16="http://schemas.microsoft.com/office/drawing/2014/main" id="{A171A56A-6516-4A83-A7DC-FB9E21BA345B}"/>
            </a:ext>
            <a:ext uri="{147F2762-F138-4A5C-976F-8EAC2B608ADB}">
              <a16:predDERef xmlns:a16="http://schemas.microsoft.com/office/drawing/2014/main" pred="{AA39DF2F-CA48-4EDF-A097-48D8A029F20A}"/>
            </a:ext>
          </a:extLst>
        </xdr:cNvPr>
        <xdr:cNvSpPr/>
      </xdr:nvSpPr>
      <xdr:spPr>
        <a:xfrm>
          <a:off x="7315201" y="923926"/>
          <a:ext cx="476250" cy="228599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28575</xdr:colOff>
      <xdr:row>14</xdr:row>
      <xdr:rowOff>47626</xdr:rowOff>
    </xdr:from>
    <xdr:to>
      <xdr:col>12</xdr:col>
      <xdr:colOff>628650</xdr:colOff>
      <xdr:row>14</xdr:row>
      <xdr:rowOff>209550</xdr:rowOff>
    </xdr:to>
    <xdr:sp macro="" textlink="">
      <xdr:nvSpPr>
        <xdr:cNvPr id="4" name="ホームベース 6">
          <a:extLst>
            <a:ext uri="{FF2B5EF4-FFF2-40B4-BE49-F238E27FC236}">
              <a16:creationId xmlns:a16="http://schemas.microsoft.com/office/drawing/2014/main" id="{D9D1ED7C-55C0-442C-A6D6-C3B38B71E1CE}"/>
            </a:ext>
            <a:ext uri="{147F2762-F138-4A5C-976F-8EAC2B608ADB}">
              <a16:predDERef xmlns:a16="http://schemas.microsoft.com/office/drawing/2014/main" pred="{A171A56A-6516-4A83-A7DC-FB9E21BA345B}"/>
            </a:ext>
          </a:extLst>
        </xdr:cNvPr>
        <xdr:cNvSpPr/>
      </xdr:nvSpPr>
      <xdr:spPr>
        <a:xfrm>
          <a:off x="11658600" y="1876426"/>
          <a:ext cx="600075" cy="161924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952500</xdr:colOff>
      <xdr:row>12</xdr:row>
      <xdr:rowOff>28574</xdr:rowOff>
    </xdr:from>
    <xdr:to>
      <xdr:col>10</xdr:col>
      <xdr:colOff>942975</xdr:colOff>
      <xdr:row>12</xdr:row>
      <xdr:rowOff>219075</xdr:rowOff>
    </xdr:to>
    <xdr:sp macro="" textlink="">
      <xdr:nvSpPr>
        <xdr:cNvPr id="5" name="ホームベース 11">
          <a:extLst>
            <a:ext uri="{FF2B5EF4-FFF2-40B4-BE49-F238E27FC236}">
              <a16:creationId xmlns:a16="http://schemas.microsoft.com/office/drawing/2014/main" id="{9764E622-A428-4D46-85CD-C8EB33FEC6A1}"/>
            </a:ext>
            <a:ext uri="{147F2762-F138-4A5C-976F-8EAC2B608ADB}">
              <a16:predDERef xmlns:a16="http://schemas.microsoft.com/office/drawing/2014/main" pred="{D9D1ED7C-55C0-442C-A6D6-C3B38B71E1CE}"/>
            </a:ext>
          </a:extLst>
        </xdr:cNvPr>
        <xdr:cNvSpPr/>
      </xdr:nvSpPr>
      <xdr:spPr>
        <a:xfrm>
          <a:off x="8734425" y="1400174"/>
          <a:ext cx="1914525" cy="190501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38099</xdr:colOff>
      <xdr:row>13</xdr:row>
      <xdr:rowOff>57149</xdr:rowOff>
    </xdr:from>
    <xdr:to>
      <xdr:col>11</xdr:col>
      <xdr:colOff>942974</xdr:colOff>
      <xdr:row>13</xdr:row>
      <xdr:rowOff>219074</xdr:rowOff>
    </xdr:to>
    <xdr:sp macro="" textlink="">
      <xdr:nvSpPr>
        <xdr:cNvPr id="6" name="ホームベース 12">
          <a:extLst>
            <a:ext uri="{FF2B5EF4-FFF2-40B4-BE49-F238E27FC236}">
              <a16:creationId xmlns:a16="http://schemas.microsoft.com/office/drawing/2014/main" id="{AAE73173-647D-41ED-A996-09CAECC44E1B}"/>
            </a:ext>
            <a:ext uri="{147F2762-F138-4A5C-976F-8EAC2B608ADB}">
              <a16:predDERef xmlns:a16="http://schemas.microsoft.com/office/drawing/2014/main" pred="{9764E622-A428-4D46-85CD-C8EB33FEC6A1}"/>
            </a:ext>
          </a:extLst>
        </xdr:cNvPr>
        <xdr:cNvSpPr/>
      </xdr:nvSpPr>
      <xdr:spPr>
        <a:xfrm>
          <a:off x="10706099" y="1657349"/>
          <a:ext cx="904875" cy="16192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9525</xdr:colOff>
      <xdr:row>16</xdr:row>
      <xdr:rowOff>28575</xdr:rowOff>
    </xdr:from>
    <xdr:to>
      <xdr:col>13</xdr:col>
      <xdr:colOff>542925</xdr:colOff>
      <xdr:row>16</xdr:row>
      <xdr:rowOff>228600</xdr:rowOff>
    </xdr:to>
    <xdr:sp macro="" textlink="">
      <xdr:nvSpPr>
        <xdr:cNvPr id="7" name="ホームベース 14">
          <a:extLst>
            <a:ext uri="{FF2B5EF4-FFF2-40B4-BE49-F238E27FC236}">
              <a16:creationId xmlns:a16="http://schemas.microsoft.com/office/drawing/2014/main" id="{B4ED98A5-C8E9-459D-9403-9A5165788775}"/>
            </a:ext>
            <a:ext uri="{147F2762-F138-4A5C-976F-8EAC2B608ADB}">
              <a16:predDERef xmlns:a16="http://schemas.microsoft.com/office/drawing/2014/main" pred="{AAE73173-647D-41ED-A996-09CAECC44E1B}"/>
            </a:ext>
          </a:extLst>
        </xdr:cNvPr>
        <xdr:cNvSpPr/>
      </xdr:nvSpPr>
      <xdr:spPr>
        <a:xfrm>
          <a:off x="12601575" y="2314575"/>
          <a:ext cx="533400" cy="20002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733425</xdr:colOff>
      <xdr:row>15</xdr:row>
      <xdr:rowOff>28575</xdr:rowOff>
    </xdr:from>
    <xdr:to>
      <xdr:col>12</xdr:col>
      <xdr:colOff>904875</xdr:colOff>
      <xdr:row>15</xdr:row>
      <xdr:rowOff>209550</xdr:rowOff>
    </xdr:to>
    <xdr:sp macro="" textlink="">
      <xdr:nvSpPr>
        <xdr:cNvPr id="8" name="フローチャート: 結合子 23">
          <a:extLst>
            <a:ext uri="{FF2B5EF4-FFF2-40B4-BE49-F238E27FC236}">
              <a16:creationId xmlns:a16="http://schemas.microsoft.com/office/drawing/2014/main" id="{19574E4B-1AD4-4402-A61A-2768BEE31CC0}"/>
            </a:ext>
            <a:ext uri="{147F2762-F138-4A5C-976F-8EAC2B608ADB}">
              <a16:predDERef xmlns:a16="http://schemas.microsoft.com/office/drawing/2014/main" pred="{B4ED98A5-C8E9-459D-9403-9A5165788775}"/>
            </a:ext>
          </a:extLst>
        </xdr:cNvPr>
        <xdr:cNvSpPr/>
      </xdr:nvSpPr>
      <xdr:spPr>
        <a:xfrm>
          <a:off x="12363450" y="2085975"/>
          <a:ext cx="171450" cy="180975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11</xdr:row>
      <xdr:rowOff>9524</xdr:rowOff>
    </xdr:from>
    <xdr:to>
      <xdr:col>9</xdr:col>
      <xdr:colOff>28575</xdr:colOff>
      <xdr:row>11</xdr:row>
      <xdr:rowOff>219075</xdr:rowOff>
    </xdr:to>
    <xdr:sp macro="" textlink="">
      <xdr:nvSpPr>
        <xdr:cNvPr id="9" name="ホームベース 11">
          <a:extLst>
            <a:ext uri="{FF2B5EF4-FFF2-40B4-BE49-F238E27FC236}">
              <a16:creationId xmlns:a16="http://schemas.microsoft.com/office/drawing/2014/main" id="{860805D0-1D9F-44B8-A02A-9237741E5FFC}"/>
            </a:ext>
            <a:ext uri="{147F2762-F138-4A5C-976F-8EAC2B608ADB}">
              <a16:predDERef xmlns:a16="http://schemas.microsoft.com/office/drawing/2014/main" pred="{19574E4B-1AD4-4402-A61A-2768BEE31CC0}"/>
            </a:ext>
          </a:extLst>
        </xdr:cNvPr>
        <xdr:cNvSpPr/>
      </xdr:nvSpPr>
      <xdr:spPr>
        <a:xfrm>
          <a:off x="7781925" y="1152524"/>
          <a:ext cx="990600" cy="209551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9</xdr:row>
      <xdr:rowOff>28575</xdr:rowOff>
    </xdr:from>
    <xdr:to>
      <xdr:col>7</xdr:col>
      <xdr:colOff>514350</xdr:colOff>
      <xdr:row>10</xdr:row>
      <xdr:rowOff>0</xdr:rowOff>
    </xdr:to>
    <xdr:sp macro="" textlink="">
      <xdr:nvSpPr>
        <xdr:cNvPr id="2" name="ホームベース 1">
          <a:extLst>
            <a:ext uri="{FF2B5EF4-FFF2-40B4-BE49-F238E27FC236}">
              <a16:creationId xmlns:a16="http://schemas.microsoft.com/office/drawing/2014/main" id="{804F2EE0-55E6-447C-BC2D-5D0F1005AAFD}"/>
            </a:ext>
          </a:extLst>
        </xdr:cNvPr>
        <xdr:cNvSpPr/>
      </xdr:nvSpPr>
      <xdr:spPr>
        <a:xfrm>
          <a:off x="6419850" y="742950"/>
          <a:ext cx="504825" cy="20955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495301</xdr:colOff>
      <xdr:row>10</xdr:row>
      <xdr:rowOff>9526</xdr:rowOff>
    </xdr:from>
    <xdr:to>
      <xdr:col>8</xdr:col>
      <xdr:colOff>9526</xdr:colOff>
      <xdr:row>11</xdr:row>
      <xdr:rowOff>9525</xdr:rowOff>
    </xdr:to>
    <xdr:sp macro="" textlink="">
      <xdr:nvSpPr>
        <xdr:cNvPr id="3" name="ホームベース 2">
          <a:extLst>
            <a:ext uri="{FF2B5EF4-FFF2-40B4-BE49-F238E27FC236}">
              <a16:creationId xmlns:a16="http://schemas.microsoft.com/office/drawing/2014/main" id="{EE2057C2-BC8B-45A2-B781-9379EFF63541}"/>
            </a:ext>
          </a:extLst>
        </xdr:cNvPr>
        <xdr:cNvSpPr/>
      </xdr:nvSpPr>
      <xdr:spPr>
        <a:xfrm>
          <a:off x="6905626" y="962026"/>
          <a:ext cx="476250" cy="238124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28575</xdr:colOff>
      <xdr:row>14</xdr:row>
      <xdr:rowOff>47626</xdr:rowOff>
    </xdr:from>
    <xdr:to>
      <xdr:col>12</xdr:col>
      <xdr:colOff>628650</xdr:colOff>
      <xdr:row>14</xdr:row>
      <xdr:rowOff>209550</xdr:rowOff>
    </xdr:to>
    <xdr:sp macro="" textlink="">
      <xdr:nvSpPr>
        <xdr:cNvPr id="4" name="ホームベース 6">
          <a:extLst>
            <a:ext uri="{FF2B5EF4-FFF2-40B4-BE49-F238E27FC236}">
              <a16:creationId xmlns:a16="http://schemas.microsoft.com/office/drawing/2014/main" id="{6AEEC5EF-1CEF-45BE-898D-12A127DDCF73}"/>
            </a:ext>
          </a:extLst>
        </xdr:cNvPr>
        <xdr:cNvSpPr/>
      </xdr:nvSpPr>
      <xdr:spPr>
        <a:xfrm>
          <a:off x="11249025" y="1952626"/>
          <a:ext cx="600075" cy="161924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952500</xdr:colOff>
      <xdr:row>12</xdr:row>
      <xdr:rowOff>28574</xdr:rowOff>
    </xdr:from>
    <xdr:to>
      <xdr:col>10</xdr:col>
      <xdr:colOff>942975</xdr:colOff>
      <xdr:row>12</xdr:row>
      <xdr:rowOff>219075</xdr:rowOff>
    </xdr:to>
    <xdr:sp macro="" textlink="">
      <xdr:nvSpPr>
        <xdr:cNvPr id="5" name="ホームベース 11">
          <a:extLst>
            <a:ext uri="{FF2B5EF4-FFF2-40B4-BE49-F238E27FC236}">
              <a16:creationId xmlns:a16="http://schemas.microsoft.com/office/drawing/2014/main" id="{3983C606-2F2C-4A3D-9C3B-79C36EF5E549}"/>
            </a:ext>
          </a:extLst>
        </xdr:cNvPr>
        <xdr:cNvSpPr/>
      </xdr:nvSpPr>
      <xdr:spPr>
        <a:xfrm>
          <a:off x="8324850" y="1457324"/>
          <a:ext cx="1914525" cy="190501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38099</xdr:colOff>
      <xdr:row>13</xdr:row>
      <xdr:rowOff>57149</xdr:rowOff>
    </xdr:from>
    <xdr:to>
      <xdr:col>11</xdr:col>
      <xdr:colOff>942974</xdr:colOff>
      <xdr:row>13</xdr:row>
      <xdr:rowOff>219074</xdr:rowOff>
    </xdr:to>
    <xdr:sp macro="" textlink="">
      <xdr:nvSpPr>
        <xdr:cNvPr id="6" name="ホームベース 12">
          <a:extLst>
            <a:ext uri="{FF2B5EF4-FFF2-40B4-BE49-F238E27FC236}">
              <a16:creationId xmlns:a16="http://schemas.microsoft.com/office/drawing/2014/main" id="{8EA71A83-21CA-4803-B0AD-3E181E7D567A}"/>
            </a:ext>
          </a:extLst>
        </xdr:cNvPr>
        <xdr:cNvSpPr/>
      </xdr:nvSpPr>
      <xdr:spPr>
        <a:xfrm>
          <a:off x="10296524" y="1724024"/>
          <a:ext cx="904875" cy="16192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9525</xdr:colOff>
      <xdr:row>16</xdr:row>
      <xdr:rowOff>28575</xdr:rowOff>
    </xdr:from>
    <xdr:to>
      <xdr:col>13</xdr:col>
      <xdr:colOff>542925</xdr:colOff>
      <xdr:row>16</xdr:row>
      <xdr:rowOff>228600</xdr:rowOff>
    </xdr:to>
    <xdr:sp macro="" textlink="">
      <xdr:nvSpPr>
        <xdr:cNvPr id="7" name="ホームベース 14">
          <a:extLst>
            <a:ext uri="{FF2B5EF4-FFF2-40B4-BE49-F238E27FC236}">
              <a16:creationId xmlns:a16="http://schemas.microsoft.com/office/drawing/2014/main" id="{3E936F1B-019F-4B9B-B05C-C81A7DCD8920}"/>
            </a:ext>
          </a:extLst>
        </xdr:cNvPr>
        <xdr:cNvSpPr/>
      </xdr:nvSpPr>
      <xdr:spPr>
        <a:xfrm>
          <a:off x="13239750" y="2409825"/>
          <a:ext cx="533400" cy="20002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733425</xdr:colOff>
      <xdr:row>15</xdr:row>
      <xdr:rowOff>28575</xdr:rowOff>
    </xdr:from>
    <xdr:to>
      <xdr:col>12</xdr:col>
      <xdr:colOff>904875</xdr:colOff>
      <xdr:row>15</xdr:row>
      <xdr:rowOff>209550</xdr:rowOff>
    </xdr:to>
    <xdr:sp macro="" textlink="">
      <xdr:nvSpPr>
        <xdr:cNvPr id="24" name="フローチャート: 結合子 23">
          <a:extLst>
            <a:ext uri="{FF2B5EF4-FFF2-40B4-BE49-F238E27FC236}">
              <a16:creationId xmlns:a16="http://schemas.microsoft.com/office/drawing/2014/main" id="{218576C0-B969-410E-B8D0-88DBDC029988}"/>
            </a:ext>
          </a:extLst>
        </xdr:cNvPr>
        <xdr:cNvSpPr/>
      </xdr:nvSpPr>
      <xdr:spPr>
        <a:xfrm>
          <a:off x="11953875" y="2171700"/>
          <a:ext cx="171450" cy="180975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11</xdr:row>
      <xdr:rowOff>9524</xdr:rowOff>
    </xdr:from>
    <xdr:to>
      <xdr:col>9</xdr:col>
      <xdr:colOff>28575</xdr:colOff>
      <xdr:row>11</xdr:row>
      <xdr:rowOff>219075</xdr:rowOff>
    </xdr:to>
    <xdr:sp macro="" textlink="">
      <xdr:nvSpPr>
        <xdr:cNvPr id="29" name="ホームベース 11">
          <a:extLst>
            <a:ext uri="{FF2B5EF4-FFF2-40B4-BE49-F238E27FC236}">
              <a16:creationId xmlns:a16="http://schemas.microsoft.com/office/drawing/2014/main" id="{7779896B-0D72-4799-B7AD-3B79B1480F6B}"/>
            </a:ext>
          </a:extLst>
        </xdr:cNvPr>
        <xdr:cNvSpPr/>
      </xdr:nvSpPr>
      <xdr:spPr>
        <a:xfrm>
          <a:off x="7372350" y="1200149"/>
          <a:ext cx="990600" cy="209551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9526</xdr:colOff>
      <xdr:row>9</xdr:row>
      <xdr:rowOff>28576</xdr:rowOff>
    </xdr:from>
    <xdr:to>
      <xdr:col>7</xdr:col>
      <xdr:colOff>266700</xdr:colOff>
      <xdr:row>9</xdr:row>
      <xdr:rowOff>219076</xdr:rowOff>
    </xdr:to>
    <xdr:sp macro="" textlink="">
      <xdr:nvSpPr>
        <xdr:cNvPr id="2" name="ホームベース 1">
          <a:extLst>
            <a:ext uri="{FF2B5EF4-FFF2-40B4-BE49-F238E27FC236}">
              <a16:creationId xmlns:a16="http://schemas.microsoft.com/office/drawing/2014/main" id="{2B94B0EF-F41B-487B-AACD-566DCEAE0855}"/>
            </a:ext>
          </a:extLst>
        </xdr:cNvPr>
        <xdr:cNvSpPr/>
      </xdr:nvSpPr>
      <xdr:spPr>
        <a:xfrm>
          <a:off x="6829426" y="742951"/>
          <a:ext cx="257174" cy="19050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247651</xdr:colOff>
      <xdr:row>10</xdr:row>
      <xdr:rowOff>9526</xdr:rowOff>
    </xdr:from>
    <xdr:to>
      <xdr:col>7</xdr:col>
      <xdr:colOff>533400</xdr:colOff>
      <xdr:row>11</xdr:row>
      <xdr:rowOff>9525</xdr:rowOff>
    </xdr:to>
    <xdr:sp macro="" textlink="">
      <xdr:nvSpPr>
        <xdr:cNvPr id="3" name="ホームベース 2">
          <a:extLst>
            <a:ext uri="{FF2B5EF4-FFF2-40B4-BE49-F238E27FC236}">
              <a16:creationId xmlns:a16="http://schemas.microsoft.com/office/drawing/2014/main" id="{762B9D05-DBF8-4C8C-8FA7-6CD7ECCCCF68}"/>
            </a:ext>
          </a:extLst>
        </xdr:cNvPr>
        <xdr:cNvSpPr/>
      </xdr:nvSpPr>
      <xdr:spPr>
        <a:xfrm>
          <a:off x="7067551" y="962026"/>
          <a:ext cx="285749" cy="238124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504826</xdr:colOff>
      <xdr:row>14</xdr:row>
      <xdr:rowOff>28575</xdr:rowOff>
    </xdr:from>
    <xdr:to>
      <xdr:col>9</xdr:col>
      <xdr:colOff>923926</xdr:colOff>
      <xdr:row>14</xdr:row>
      <xdr:rowOff>219074</xdr:rowOff>
    </xdr:to>
    <xdr:sp macro="" textlink="">
      <xdr:nvSpPr>
        <xdr:cNvPr id="4" name="ホームベース 6">
          <a:extLst>
            <a:ext uri="{FF2B5EF4-FFF2-40B4-BE49-F238E27FC236}">
              <a16:creationId xmlns:a16="http://schemas.microsoft.com/office/drawing/2014/main" id="{83222079-F2A8-4774-A89F-2BFD22A3597D}"/>
            </a:ext>
          </a:extLst>
        </xdr:cNvPr>
        <xdr:cNvSpPr/>
      </xdr:nvSpPr>
      <xdr:spPr>
        <a:xfrm>
          <a:off x="9248776" y="1933575"/>
          <a:ext cx="419100" cy="190499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9525</xdr:colOff>
      <xdr:row>12</xdr:row>
      <xdr:rowOff>38099</xdr:rowOff>
    </xdr:from>
    <xdr:to>
      <xdr:col>8</xdr:col>
      <xdr:colOff>514350</xdr:colOff>
      <xdr:row>12</xdr:row>
      <xdr:rowOff>228600</xdr:rowOff>
    </xdr:to>
    <xdr:sp macro="" textlink="">
      <xdr:nvSpPr>
        <xdr:cNvPr id="5" name="ホームベース 11">
          <a:extLst>
            <a:ext uri="{FF2B5EF4-FFF2-40B4-BE49-F238E27FC236}">
              <a16:creationId xmlns:a16="http://schemas.microsoft.com/office/drawing/2014/main" id="{92C58B47-8D8C-43F2-A885-CD40B79A2A0D}"/>
            </a:ext>
          </a:extLst>
        </xdr:cNvPr>
        <xdr:cNvSpPr/>
      </xdr:nvSpPr>
      <xdr:spPr>
        <a:xfrm>
          <a:off x="7791450" y="1466849"/>
          <a:ext cx="504825" cy="190501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523874</xdr:colOff>
      <xdr:row>13</xdr:row>
      <xdr:rowOff>38099</xdr:rowOff>
    </xdr:from>
    <xdr:to>
      <xdr:col>9</xdr:col>
      <xdr:colOff>466724</xdr:colOff>
      <xdr:row>13</xdr:row>
      <xdr:rowOff>200024</xdr:rowOff>
    </xdr:to>
    <xdr:sp macro="" textlink="">
      <xdr:nvSpPr>
        <xdr:cNvPr id="6" name="ホームベース 12">
          <a:extLst>
            <a:ext uri="{FF2B5EF4-FFF2-40B4-BE49-F238E27FC236}">
              <a16:creationId xmlns:a16="http://schemas.microsoft.com/office/drawing/2014/main" id="{7D7867B4-CCE9-40CE-9D33-36FC33D0ED48}"/>
            </a:ext>
          </a:extLst>
        </xdr:cNvPr>
        <xdr:cNvSpPr/>
      </xdr:nvSpPr>
      <xdr:spPr>
        <a:xfrm>
          <a:off x="8305799" y="1704974"/>
          <a:ext cx="904875" cy="16192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228599</xdr:colOff>
      <xdr:row>16</xdr:row>
      <xdr:rowOff>0</xdr:rowOff>
    </xdr:from>
    <xdr:to>
      <xdr:col>10</xdr:col>
      <xdr:colOff>904874</xdr:colOff>
      <xdr:row>16</xdr:row>
      <xdr:rowOff>228600</xdr:rowOff>
    </xdr:to>
    <xdr:sp macro="" textlink="">
      <xdr:nvSpPr>
        <xdr:cNvPr id="7" name="ホームベース 14">
          <a:extLst>
            <a:ext uri="{FF2B5EF4-FFF2-40B4-BE49-F238E27FC236}">
              <a16:creationId xmlns:a16="http://schemas.microsoft.com/office/drawing/2014/main" id="{EEECAD0A-F12F-41EE-AE2E-D46B4B75E373}"/>
            </a:ext>
          </a:extLst>
        </xdr:cNvPr>
        <xdr:cNvSpPr/>
      </xdr:nvSpPr>
      <xdr:spPr>
        <a:xfrm>
          <a:off x="9934574" y="2381250"/>
          <a:ext cx="676275" cy="22860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9525</xdr:colOff>
      <xdr:row>15</xdr:row>
      <xdr:rowOff>28575</xdr:rowOff>
    </xdr:from>
    <xdr:to>
      <xdr:col>10</xdr:col>
      <xdr:colOff>180975</xdr:colOff>
      <xdr:row>15</xdr:row>
      <xdr:rowOff>209550</xdr:rowOff>
    </xdr:to>
    <xdr:sp macro="" textlink="">
      <xdr:nvSpPr>
        <xdr:cNvPr id="8" name="フローチャート: 結合子 7">
          <a:extLst>
            <a:ext uri="{FF2B5EF4-FFF2-40B4-BE49-F238E27FC236}">
              <a16:creationId xmlns:a16="http://schemas.microsoft.com/office/drawing/2014/main" id="{1A032636-16B2-4FD2-9F82-2C26C857147B}"/>
            </a:ext>
          </a:extLst>
        </xdr:cNvPr>
        <xdr:cNvSpPr/>
      </xdr:nvSpPr>
      <xdr:spPr>
        <a:xfrm>
          <a:off x="9715500" y="2171700"/>
          <a:ext cx="171450" cy="180975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533400</xdr:colOff>
      <xdr:row>11</xdr:row>
      <xdr:rowOff>19050</xdr:rowOff>
    </xdr:from>
    <xdr:to>
      <xdr:col>8</xdr:col>
      <xdr:colOff>0</xdr:colOff>
      <xdr:row>11</xdr:row>
      <xdr:rowOff>219076</xdr:rowOff>
    </xdr:to>
    <xdr:sp macro="" textlink="">
      <xdr:nvSpPr>
        <xdr:cNvPr id="9" name="ホームベース 11">
          <a:extLst>
            <a:ext uri="{FF2B5EF4-FFF2-40B4-BE49-F238E27FC236}">
              <a16:creationId xmlns:a16="http://schemas.microsoft.com/office/drawing/2014/main" id="{0E5F3BF5-A4F8-4B77-9CAA-9199B41552AF}"/>
            </a:ext>
          </a:extLst>
        </xdr:cNvPr>
        <xdr:cNvSpPr/>
      </xdr:nvSpPr>
      <xdr:spPr>
        <a:xfrm>
          <a:off x="7353300" y="1209675"/>
          <a:ext cx="428625" cy="200026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9</xdr:row>
      <xdr:rowOff>28575</xdr:rowOff>
    </xdr:from>
    <xdr:to>
      <xdr:col>7</xdr:col>
      <xdr:colOff>514350</xdr:colOff>
      <xdr:row>10</xdr:row>
      <xdr:rowOff>0</xdr:rowOff>
    </xdr:to>
    <xdr:sp macro="" textlink="">
      <xdr:nvSpPr>
        <xdr:cNvPr id="2" name="ホームベース 1">
          <a:extLst>
            <a:ext uri="{FF2B5EF4-FFF2-40B4-BE49-F238E27FC236}">
              <a16:creationId xmlns:a16="http://schemas.microsoft.com/office/drawing/2014/main" id="{06752207-FABE-4E6E-9E8F-70CDC0E6BEDF}"/>
            </a:ext>
          </a:extLst>
        </xdr:cNvPr>
        <xdr:cNvSpPr/>
      </xdr:nvSpPr>
      <xdr:spPr>
        <a:xfrm>
          <a:off x="6829425" y="742950"/>
          <a:ext cx="504825" cy="20955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495302</xdr:colOff>
      <xdr:row>10</xdr:row>
      <xdr:rowOff>11432</xdr:rowOff>
    </xdr:from>
    <xdr:to>
      <xdr:col>7</xdr:col>
      <xdr:colOff>809626</xdr:colOff>
      <xdr:row>11</xdr:row>
      <xdr:rowOff>9526</xdr:rowOff>
    </xdr:to>
    <xdr:sp macro="" textlink="">
      <xdr:nvSpPr>
        <xdr:cNvPr id="3" name="ホームベース 2">
          <a:extLst>
            <a:ext uri="{FF2B5EF4-FFF2-40B4-BE49-F238E27FC236}">
              <a16:creationId xmlns:a16="http://schemas.microsoft.com/office/drawing/2014/main" id="{7A49E96A-F6D0-4F00-BF01-456BD095197B}"/>
            </a:ext>
          </a:extLst>
        </xdr:cNvPr>
        <xdr:cNvSpPr/>
      </xdr:nvSpPr>
      <xdr:spPr>
        <a:xfrm>
          <a:off x="7315202" y="925832"/>
          <a:ext cx="314324" cy="226694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352426</xdr:colOff>
      <xdr:row>14</xdr:row>
      <xdr:rowOff>38100</xdr:rowOff>
    </xdr:from>
    <xdr:to>
      <xdr:col>11</xdr:col>
      <xdr:colOff>561976</xdr:colOff>
      <xdr:row>15</xdr:row>
      <xdr:rowOff>9524</xdr:rowOff>
    </xdr:to>
    <xdr:sp macro="" textlink="">
      <xdr:nvSpPr>
        <xdr:cNvPr id="4" name="ホームベース 6">
          <a:extLst>
            <a:ext uri="{FF2B5EF4-FFF2-40B4-BE49-F238E27FC236}">
              <a16:creationId xmlns:a16="http://schemas.microsoft.com/office/drawing/2014/main" id="{11BAEA3F-85A0-4352-BEC6-AD539F12DF7F}"/>
            </a:ext>
          </a:extLst>
        </xdr:cNvPr>
        <xdr:cNvSpPr/>
      </xdr:nvSpPr>
      <xdr:spPr>
        <a:xfrm>
          <a:off x="11020426" y="1943100"/>
          <a:ext cx="209550" cy="209549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12</xdr:row>
      <xdr:rowOff>38099</xdr:rowOff>
    </xdr:from>
    <xdr:to>
      <xdr:col>10</xdr:col>
      <xdr:colOff>952500</xdr:colOff>
      <xdr:row>12</xdr:row>
      <xdr:rowOff>228600</xdr:rowOff>
    </xdr:to>
    <xdr:sp macro="" textlink="">
      <xdr:nvSpPr>
        <xdr:cNvPr id="5" name="ホームベース 11">
          <a:extLst>
            <a:ext uri="{FF2B5EF4-FFF2-40B4-BE49-F238E27FC236}">
              <a16:creationId xmlns:a16="http://schemas.microsoft.com/office/drawing/2014/main" id="{8D11E682-00E1-4A95-9371-0B186A88EB74}"/>
            </a:ext>
          </a:extLst>
        </xdr:cNvPr>
        <xdr:cNvSpPr/>
      </xdr:nvSpPr>
      <xdr:spPr>
        <a:xfrm>
          <a:off x="8743950" y="1466849"/>
          <a:ext cx="1914525" cy="190501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38100</xdr:colOff>
      <xdr:row>13</xdr:row>
      <xdr:rowOff>57150</xdr:rowOff>
    </xdr:from>
    <xdr:to>
      <xdr:col>11</xdr:col>
      <xdr:colOff>314325</xdr:colOff>
      <xdr:row>14</xdr:row>
      <xdr:rowOff>1</xdr:rowOff>
    </xdr:to>
    <xdr:sp macro="" textlink="">
      <xdr:nvSpPr>
        <xdr:cNvPr id="6" name="ホームベース 12">
          <a:extLst>
            <a:ext uri="{FF2B5EF4-FFF2-40B4-BE49-F238E27FC236}">
              <a16:creationId xmlns:a16="http://schemas.microsoft.com/office/drawing/2014/main" id="{7CE185C1-34E3-4967-B5F8-63902EAC468F}"/>
            </a:ext>
          </a:extLst>
        </xdr:cNvPr>
        <xdr:cNvSpPr/>
      </xdr:nvSpPr>
      <xdr:spPr>
        <a:xfrm>
          <a:off x="10706100" y="1724025"/>
          <a:ext cx="276225" cy="180976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847725</xdr:colOff>
      <xdr:row>16</xdr:row>
      <xdr:rowOff>9525</xdr:rowOff>
    </xdr:from>
    <xdr:to>
      <xdr:col>12</xdr:col>
      <xdr:colOff>228600</xdr:colOff>
      <xdr:row>17</xdr:row>
      <xdr:rowOff>9525</xdr:rowOff>
    </xdr:to>
    <xdr:sp macro="" textlink="">
      <xdr:nvSpPr>
        <xdr:cNvPr id="7" name="ホームベース 14">
          <a:extLst>
            <a:ext uri="{FF2B5EF4-FFF2-40B4-BE49-F238E27FC236}">
              <a16:creationId xmlns:a16="http://schemas.microsoft.com/office/drawing/2014/main" id="{C86F81C5-3D1A-452D-903D-1C9D015FA0EB}"/>
            </a:ext>
          </a:extLst>
        </xdr:cNvPr>
        <xdr:cNvSpPr/>
      </xdr:nvSpPr>
      <xdr:spPr>
        <a:xfrm>
          <a:off x="11515725" y="2390775"/>
          <a:ext cx="342900" cy="23812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638175</xdr:colOff>
      <xdr:row>15</xdr:row>
      <xdr:rowOff>47625</xdr:rowOff>
    </xdr:from>
    <xdr:to>
      <xdr:col>11</xdr:col>
      <xdr:colOff>809625</xdr:colOff>
      <xdr:row>15</xdr:row>
      <xdr:rowOff>228600</xdr:rowOff>
    </xdr:to>
    <xdr:sp macro="" textlink="">
      <xdr:nvSpPr>
        <xdr:cNvPr id="8" name="フローチャート: 結合子 7">
          <a:extLst>
            <a:ext uri="{FF2B5EF4-FFF2-40B4-BE49-F238E27FC236}">
              <a16:creationId xmlns:a16="http://schemas.microsoft.com/office/drawing/2014/main" id="{4BBB670A-DEFE-4AA3-913D-3C26E7CA12AD}"/>
            </a:ext>
          </a:extLst>
        </xdr:cNvPr>
        <xdr:cNvSpPr/>
      </xdr:nvSpPr>
      <xdr:spPr>
        <a:xfrm>
          <a:off x="11306175" y="2190750"/>
          <a:ext cx="171450" cy="180975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800100</xdr:colOff>
      <xdr:row>11</xdr:row>
      <xdr:rowOff>11427</xdr:rowOff>
    </xdr:from>
    <xdr:to>
      <xdr:col>8</xdr:col>
      <xdr:colOff>929640</xdr:colOff>
      <xdr:row>12</xdr:row>
      <xdr:rowOff>9524</xdr:rowOff>
    </xdr:to>
    <xdr:sp macro="" textlink="">
      <xdr:nvSpPr>
        <xdr:cNvPr id="9" name="ホームベース 11">
          <a:extLst>
            <a:ext uri="{FF2B5EF4-FFF2-40B4-BE49-F238E27FC236}">
              <a16:creationId xmlns:a16="http://schemas.microsoft.com/office/drawing/2014/main" id="{6281F1C1-EED1-4B97-BD2E-FB92EC0CF97C}"/>
            </a:ext>
          </a:extLst>
        </xdr:cNvPr>
        <xdr:cNvSpPr/>
      </xdr:nvSpPr>
      <xdr:spPr>
        <a:xfrm>
          <a:off x="7620000" y="1154427"/>
          <a:ext cx="1091565" cy="226697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9</xdr:row>
      <xdr:rowOff>28575</xdr:rowOff>
    </xdr:from>
    <xdr:to>
      <xdr:col>7</xdr:col>
      <xdr:colOff>171450</xdr:colOff>
      <xdr:row>9</xdr:row>
      <xdr:rowOff>228600</xdr:rowOff>
    </xdr:to>
    <xdr:sp macro="" textlink="">
      <xdr:nvSpPr>
        <xdr:cNvPr id="2" name="ホームベース 1">
          <a:extLst>
            <a:ext uri="{FF2B5EF4-FFF2-40B4-BE49-F238E27FC236}">
              <a16:creationId xmlns:a16="http://schemas.microsoft.com/office/drawing/2014/main" id="{3177A60B-C007-4A80-BE40-0D739E6D703E}"/>
            </a:ext>
          </a:extLst>
        </xdr:cNvPr>
        <xdr:cNvSpPr/>
      </xdr:nvSpPr>
      <xdr:spPr>
        <a:xfrm>
          <a:off x="6829425" y="742950"/>
          <a:ext cx="161925" cy="20002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190501</xdr:colOff>
      <xdr:row>10</xdr:row>
      <xdr:rowOff>19051</xdr:rowOff>
    </xdr:from>
    <xdr:to>
      <xdr:col>7</xdr:col>
      <xdr:colOff>333375</xdr:colOff>
      <xdr:row>11</xdr:row>
      <xdr:rowOff>19050</xdr:rowOff>
    </xdr:to>
    <xdr:sp macro="" textlink="">
      <xdr:nvSpPr>
        <xdr:cNvPr id="3" name="ホームベース 2">
          <a:extLst>
            <a:ext uri="{FF2B5EF4-FFF2-40B4-BE49-F238E27FC236}">
              <a16:creationId xmlns:a16="http://schemas.microsoft.com/office/drawing/2014/main" id="{DFE424E8-ED2A-4B1F-B782-E6693BC5432D}"/>
            </a:ext>
          </a:extLst>
        </xdr:cNvPr>
        <xdr:cNvSpPr/>
      </xdr:nvSpPr>
      <xdr:spPr>
        <a:xfrm>
          <a:off x="7010401" y="971551"/>
          <a:ext cx="142874" cy="238124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295276</xdr:colOff>
      <xdr:row>14</xdr:row>
      <xdr:rowOff>38100</xdr:rowOff>
    </xdr:from>
    <xdr:to>
      <xdr:col>8</xdr:col>
      <xdr:colOff>504826</xdr:colOff>
      <xdr:row>15</xdr:row>
      <xdr:rowOff>9524</xdr:rowOff>
    </xdr:to>
    <xdr:sp macro="" textlink="">
      <xdr:nvSpPr>
        <xdr:cNvPr id="4" name="ホームベース 6">
          <a:extLst>
            <a:ext uri="{FF2B5EF4-FFF2-40B4-BE49-F238E27FC236}">
              <a16:creationId xmlns:a16="http://schemas.microsoft.com/office/drawing/2014/main" id="{3A7FE7C9-CFC0-49CB-8AFC-7A8EB48D9F6E}"/>
            </a:ext>
          </a:extLst>
        </xdr:cNvPr>
        <xdr:cNvSpPr/>
      </xdr:nvSpPr>
      <xdr:spPr>
        <a:xfrm>
          <a:off x="8077201" y="1943100"/>
          <a:ext cx="209550" cy="209549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590551</xdr:colOff>
      <xdr:row>12</xdr:row>
      <xdr:rowOff>28574</xdr:rowOff>
    </xdr:from>
    <xdr:to>
      <xdr:col>7</xdr:col>
      <xdr:colOff>933451</xdr:colOff>
      <xdr:row>12</xdr:row>
      <xdr:rowOff>219075</xdr:rowOff>
    </xdr:to>
    <xdr:sp macro="" textlink="">
      <xdr:nvSpPr>
        <xdr:cNvPr id="5" name="ホームベース 11">
          <a:extLst>
            <a:ext uri="{FF2B5EF4-FFF2-40B4-BE49-F238E27FC236}">
              <a16:creationId xmlns:a16="http://schemas.microsoft.com/office/drawing/2014/main" id="{C7C7E87C-801E-44FA-B712-6B18DE31E36A}"/>
            </a:ext>
          </a:extLst>
        </xdr:cNvPr>
        <xdr:cNvSpPr/>
      </xdr:nvSpPr>
      <xdr:spPr>
        <a:xfrm>
          <a:off x="7410451" y="1457324"/>
          <a:ext cx="342900" cy="190501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952500</xdr:colOff>
      <xdr:row>13</xdr:row>
      <xdr:rowOff>47625</xdr:rowOff>
    </xdr:from>
    <xdr:to>
      <xdr:col>8</xdr:col>
      <xdr:colOff>266700</xdr:colOff>
      <xdr:row>13</xdr:row>
      <xdr:rowOff>228601</xdr:rowOff>
    </xdr:to>
    <xdr:sp macro="" textlink="">
      <xdr:nvSpPr>
        <xdr:cNvPr id="6" name="ホームベース 12">
          <a:extLst>
            <a:ext uri="{FF2B5EF4-FFF2-40B4-BE49-F238E27FC236}">
              <a16:creationId xmlns:a16="http://schemas.microsoft.com/office/drawing/2014/main" id="{57BBE3B5-3581-491D-86B8-0868CC053880}"/>
            </a:ext>
          </a:extLst>
        </xdr:cNvPr>
        <xdr:cNvSpPr/>
      </xdr:nvSpPr>
      <xdr:spPr>
        <a:xfrm>
          <a:off x="7772400" y="1714500"/>
          <a:ext cx="276225" cy="180976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723900</xdr:colOff>
      <xdr:row>16</xdr:row>
      <xdr:rowOff>9525</xdr:rowOff>
    </xdr:from>
    <xdr:to>
      <xdr:col>9</xdr:col>
      <xdr:colOff>104775</xdr:colOff>
      <xdr:row>17</xdr:row>
      <xdr:rowOff>9525</xdr:rowOff>
    </xdr:to>
    <xdr:sp macro="" textlink="">
      <xdr:nvSpPr>
        <xdr:cNvPr id="7" name="ホームベース 14">
          <a:extLst>
            <a:ext uri="{FF2B5EF4-FFF2-40B4-BE49-F238E27FC236}">
              <a16:creationId xmlns:a16="http://schemas.microsoft.com/office/drawing/2014/main" id="{78806608-8616-423B-B55D-4C0083AACF49}"/>
            </a:ext>
          </a:extLst>
        </xdr:cNvPr>
        <xdr:cNvSpPr/>
      </xdr:nvSpPr>
      <xdr:spPr>
        <a:xfrm>
          <a:off x="8505825" y="2390775"/>
          <a:ext cx="342900" cy="23812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533400</xdr:colOff>
      <xdr:row>15</xdr:row>
      <xdr:rowOff>57150</xdr:rowOff>
    </xdr:from>
    <xdr:to>
      <xdr:col>8</xdr:col>
      <xdr:colOff>704850</xdr:colOff>
      <xdr:row>16</xdr:row>
      <xdr:rowOff>0</xdr:rowOff>
    </xdr:to>
    <xdr:sp macro="" textlink="">
      <xdr:nvSpPr>
        <xdr:cNvPr id="8" name="フローチャート: 結合子 7">
          <a:extLst>
            <a:ext uri="{FF2B5EF4-FFF2-40B4-BE49-F238E27FC236}">
              <a16:creationId xmlns:a16="http://schemas.microsoft.com/office/drawing/2014/main" id="{A6F5AC07-9602-4724-BBA7-FF64840A8CEB}"/>
            </a:ext>
          </a:extLst>
        </xdr:cNvPr>
        <xdr:cNvSpPr/>
      </xdr:nvSpPr>
      <xdr:spPr>
        <a:xfrm>
          <a:off x="8315325" y="2200275"/>
          <a:ext cx="171450" cy="180975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390525</xdr:colOff>
      <xdr:row>11</xdr:row>
      <xdr:rowOff>9523</xdr:rowOff>
    </xdr:from>
    <xdr:to>
      <xdr:col>7</xdr:col>
      <xdr:colOff>609600</xdr:colOff>
      <xdr:row>11</xdr:row>
      <xdr:rowOff>238124</xdr:rowOff>
    </xdr:to>
    <xdr:sp macro="" textlink="">
      <xdr:nvSpPr>
        <xdr:cNvPr id="9" name="ホームベース 11">
          <a:extLst>
            <a:ext uri="{FF2B5EF4-FFF2-40B4-BE49-F238E27FC236}">
              <a16:creationId xmlns:a16="http://schemas.microsoft.com/office/drawing/2014/main" id="{03D21FD8-DFC5-4097-A78A-57CD450692FF}"/>
            </a:ext>
          </a:extLst>
        </xdr:cNvPr>
        <xdr:cNvSpPr/>
      </xdr:nvSpPr>
      <xdr:spPr>
        <a:xfrm>
          <a:off x="7210425" y="1200148"/>
          <a:ext cx="219075" cy="228601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5442-F236-4664-82B0-87FA94CB06B1}">
  <dimension ref="A2:R36"/>
  <sheetViews>
    <sheetView topLeftCell="A13" workbookViewId="0">
      <selection activeCell="A35" sqref="A35"/>
    </sheetView>
  </sheetViews>
  <sheetFormatPr defaultColWidth="8.75" defaultRowHeight="18" x14ac:dyDescent="0.55000000000000004"/>
  <cols>
    <col min="1" max="1" width="15" style="1" bestFit="1" customWidth="1"/>
    <col min="2" max="2" width="11.83203125" style="1" customWidth="1"/>
    <col min="3" max="3" width="12.08203125" style="1" customWidth="1"/>
    <col min="4" max="8" width="12.58203125" style="1" hidden="1" customWidth="1"/>
    <col min="9" max="13" width="12.58203125" style="1" bestFit="1" customWidth="1"/>
    <col min="14" max="15" width="13.75" style="1" bestFit="1" customWidth="1"/>
    <col min="16" max="16" width="13.75" style="1" customWidth="1"/>
    <col min="17" max="17" width="12.75" style="1" customWidth="1"/>
    <col min="18" max="16384" width="8.75" style="1"/>
  </cols>
  <sheetData>
    <row r="2" spans="1:15" x14ac:dyDescent="0.55000000000000004">
      <c r="A2" s="20" t="s">
        <v>0</v>
      </c>
    </row>
    <row r="3" spans="1:15" x14ac:dyDescent="0.55000000000000004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</row>
    <row r="4" spans="1:15" hidden="1" x14ac:dyDescent="0.55000000000000004">
      <c r="A4" s="3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idden="1" x14ac:dyDescent="0.55000000000000004">
      <c r="A5" s="3" t="s">
        <v>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idden="1" x14ac:dyDescent="0.55000000000000004">
      <c r="A6" s="3" t="s">
        <v>18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idden="1" x14ac:dyDescent="0.55000000000000004">
      <c r="A7" s="3" t="s">
        <v>19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idden="1" x14ac:dyDescent="0.55000000000000004">
      <c r="A8" s="3" t="s">
        <v>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idden="1" x14ac:dyDescent="0.5500000000000000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55000000000000004">
      <c r="A10" s="22" t="s">
        <v>21</v>
      </c>
      <c r="B10" s="23">
        <v>0.8</v>
      </c>
      <c r="C10" s="24">
        <f>B10*1000000</f>
        <v>800000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55000000000000004">
      <c r="A11" s="22" t="s">
        <v>22</v>
      </c>
      <c r="B11" s="23">
        <v>0.8</v>
      </c>
      <c r="C11" s="24">
        <f t="shared" ref="C11:C17" si="0">B11*1000000</f>
        <v>800000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55000000000000004">
      <c r="A12" s="22" t="s">
        <v>23</v>
      </c>
      <c r="B12" s="23">
        <v>1</v>
      </c>
      <c r="C12" s="24">
        <f t="shared" si="0"/>
        <v>1000000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55000000000000004">
      <c r="A13" s="22" t="s">
        <v>24</v>
      </c>
      <c r="B13" s="23">
        <v>2</v>
      </c>
      <c r="C13" s="24">
        <f t="shared" si="0"/>
        <v>2000000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55000000000000004">
      <c r="A14" s="22" t="s">
        <v>25</v>
      </c>
      <c r="B14" s="23">
        <v>1</v>
      </c>
      <c r="C14" s="24">
        <f t="shared" si="0"/>
        <v>1000000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55000000000000004">
      <c r="A15" s="22" t="s">
        <v>26</v>
      </c>
      <c r="B15" s="23">
        <v>0.5</v>
      </c>
      <c r="C15" s="24">
        <f t="shared" si="0"/>
        <v>500000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55000000000000004">
      <c r="A16" s="22" t="s">
        <v>27</v>
      </c>
      <c r="B16" s="23">
        <v>0.6</v>
      </c>
      <c r="C16" s="24">
        <f t="shared" si="0"/>
        <v>600000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7" x14ac:dyDescent="0.55000000000000004">
      <c r="A17" s="22" t="s">
        <v>28</v>
      </c>
      <c r="B17" s="23">
        <v>1</v>
      </c>
      <c r="C17" s="24">
        <f t="shared" si="0"/>
        <v>1000000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7" x14ac:dyDescent="0.55000000000000004">
      <c r="A18" s="22" t="s">
        <v>29</v>
      </c>
      <c r="B18" s="23">
        <f>SUM(B10:B17)</f>
        <v>7.6999999999999993</v>
      </c>
      <c r="C18" s="24">
        <f>SUM(C10:C17)</f>
        <v>7700000</v>
      </c>
    </row>
    <row r="19" spans="1:17" x14ac:dyDescent="0.55000000000000004">
      <c r="A19" s="22" t="s">
        <v>30</v>
      </c>
      <c r="B19" s="23">
        <f>ROUNDUP(SUM(B10:B17)*0.2,1)</f>
        <v>1.6</v>
      </c>
      <c r="C19" s="24">
        <f>B19*1400000</f>
        <v>2240000</v>
      </c>
    </row>
    <row r="20" spans="1:17" x14ac:dyDescent="0.55000000000000004">
      <c r="A20" s="6" t="s">
        <v>29</v>
      </c>
      <c r="B20" s="7">
        <f>SUM(B18:B19)</f>
        <v>9.2999999999999989</v>
      </c>
      <c r="C20" s="8">
        <v>10400000</v>
      </c>
    </row>
    <row r="21" spans="1:17" x14ac:dyDescent="0.55000000000000004">
      <c r="B21" s="9"/>
      <c r="C21" s="10"/>
    </row>
    <row r="22" spans="1:17" x14ac:dyDescent="0.55000000000000004">
      <c r="A22" s="20" t="s">
        <v>31</v>
      </c>
    </row>
    <row r="23" spans="1:17" x14ac:dyDescent="0.55000000000000004">
      <c r="A23" s="3" t="s">
        <v>32</v>
      </c>
      <c r="B23" s="11">
        <v>1000000</v>
      </c>
      <c r="C23" s="11" t="s">
        <v>33</v>
      </c>
      <c r="D23" s="12"/>
      <c r="E23" s="13"/>
      <c r="F23" s="13"/>
      <c r="G23" s="13"/>
      <c r="H23" s="13"/>
      <c r="I23" s="13"/>
      <c r="J23" s="13">
        <v>0.2</v>
      </c>
      <c r="K23" s="13">
        <v>0.2</v>
      </c>
      <c r="L23" s="13">
        <v>0.2</v>
      </c>
      <c r="M23" s="13">
        <v>0.2</v>
      </c>
      <c r="N23" s="13">
        <v>0.2</v>
      </c>
      <c r="O23" s="13"/>
      <c r="Q23" s="17"/>
    </row>
    <row r="24" spans="1:17" x14ac:dyDescent="0.55000000000000004">
      <c r="A24" s="3" t="s">
        <v>34</v>
      </c>
      <c r="B24" s="11">
        <v>1000000</v>
      </c>
      <c r="C24" s="11" t="s">
        <v>33</v>
      </c>
      <c r="D24" s="12"/>
      <c r="E24" s="13"/>
      <c r="F24" s="13"/>
      <c r="G24" s="13"/>
      <c r="H24" s="13"/>
      <c r="I24" s="13"/>
      <c r="J24" s="13">
        <v>0.3</v>
      </c>
      <c r="K24" s="13">
        <v>0.3</v>
      </c>
      <c r="L24" s="13">
        <v>0.3</v>
      </c>
      <c r="M24" s="13">
        <v>0.3</v>
      </c>
      <c r="N24" s="13">
        <v>0.3</v>
      </c>
      <c r="O24" s="12"/>
      <c r="P24" s="15"/>
      <c r="Q24" s="18"/>
    </row>
    <row r="25" spans="1:17" x14ac:dyDescent="0.55000000000000004">
      <c r="A25" s="3" t="s">
        <v>34</v>
      </c>
      <c r="B25" s="11">
        <v>400000</v>
      </c>
      <c r="C25" s="11" t="s">
        <v>46</v>
      </c>
      <c r="D25" s="12"/>
      <c r="E25" s="13"/>
      <c r="F25" s="13"/>
      <c r="G25" s="13"/>
      <c r="H25" s="13"/>
      <c r="I25" s="13"/>
      <c r="J25" s="13">
        <v>0.5</v>
      </c>
      <c r="K25" s="13">
        <v>1</v>
      </c>
      <c r="L25" s="13">
        <v>1</v>
      </c>
      <c r="M25" s="13">
        <v>1</v>
      </c>
      <c r="N25" s="13">
        <v>1</v>
      </c>
      <c r="O25" s="12"/>
      <c r="P25" s="15"/>
      <c r="Q25" s="18"/>
    </row>
    <row r="26" spans="1:17" x14ac:dyDescent="0.55000000000000004">
      <c r="A26" s="3" t="s">
        <v>34</v>
      </c>
      <c r="B26" s="11">
        <v>1000000</v>
      </c>
      <c r="C26" s="11" t="s">
        <v>35</v>
      </c>
      <c r="D26" s="12"/>
      <c r="E26" s="13"/>
      <c r="F26" s="13"/>
      <c r="G26" s="13"/>
      <c r="H26" s="13"/>
      <c r="I26" s="13"/>
      <c r="J26" s="13"/>
      <c r="K26" s="13"/>
      <c r="L26" s="13"/>
      <c r="M26" s="13">
        <v>0.5</v>
      </c>
      <c r="N26" s="13">
        <v>0.5</v>
      </c>
      <c r="O26" s="12"/>
      <c r="P26" s="15"/>
      <c r="Q26" s="18"/>
    </row>
    <row r="27" spans="1:17" x14ac:dyDescent="0.55000000000000004">
      <c r="A27" s="3" t="s">
        <v>36</v>
      </c>
      <c r="B27" s="11">
        <v>1000000</v>
      </c>
      <c r="C27" s="11"/>
      <c r="D27" s="12"/>
      <c r="E27" s="13"/>
      <c r="F27" s="13"/>
      <c r="G27" s="13"/>
      <c r="H27" s="13"/>
      <c r="I27" s="13"/>
      <c r="J27" s="13">
        <v>1</v>
      </c>
      <c r="K27" s="13">
        <v>1</v>
      </c>
      <c r="L27" s="13">
        <v>1</v>
      </c>
      <c r="M27" s="13">
        <v>1</v>
      </c>
      <c r="N27" s="13">
        <v>1</v>
      </c>
      <c r="O27" s="12"/>
      <c r="P27" s="15" t="s">
        <v>37</v>
      </c>
      <c r="Q27" s="18"/>
    </row>
    <row r="28" spans="1:17" x14ac:dyDescent="0.55000000000000004">
      <c r="A28" s="6" t="s">
        <v>29</v>
      </c>
      <c r="B28" s="6"/>
      <c r="C28" s="6"/>
      <c r="D28" s="6"/>
      <c r="E28" s="14">
        <f t="shared" ref="E28:G28" si="1">($B23*E23)+($B25*E25)</f>
        <v>0</v>
      </c>
      <c r="F28" s="14">
        <f t="shared" si="1"/>
        <v>0</v>
      </c>
      <c r="G28" s="14">
        <f t="shared" si="1"/>
        <v>0</v>
      </c>
      <c r="H28" s="14">
        <f t="shared" ref="H28:I28" si="2">($B23*H23)+($B24*H24)+($B25*H25)</f>
        <v>0</v>
      </c>
      <c r="I28" s="14">
        <f t="shared" si="2"/>
        <v>0</v>
      </c>
      <c r="J28" s="14">
        <f>($B23*J23)+($B24*J24)+($B25*J25)+($B27*J27)+($B26*J26)</f>
        <v>1700000</v>
      </c>
      <c r="K28" s="14">
        <f t="shared" ref="K28:O28" si="3">($B23*K23)+($B24*K24)+($B25*K25)+($B27*K27)+($B26*K26)</f>
        <v>1900000</v>
      </c>
      <c r="L28" s="14">
        <f t="shared" si="3"/>
        <v>1900000</v>
      </c>
      <c r="M28" s="14">
        <f t="shared" si="3"/>
        <v>2400000</v>
      </c>
      <c r="N28" s="14">
        <f t="shared" si="3"/>
        <v>2400000</v>
      </c>
      <c r="O28" s="14">
        <f t="shared" si="3"/>
        <v>0</v>
      </c>
      <c r="P28" s="14">
        <f>SUM(D28:O28)</f>
        <v>10300000</v>
      </c>
      <c r="Q28" s="19"/>
    </row>
    <row r="29" spans="1:17" x14ac:dyDescent="0.55000000000000004">
      <c r="E29" s="2"/>
      <c r="F29" s="2"/>
      <c r="G29" s="2"/>
      <c r="H29" s="2"/>
      <c r="I29" s="2"/>
      <c r="J29" s="2"/>
      <c r="K29" s="2"/>
      <c r="L29" s="2"/>
      <c r="M29" s="2"/>
    </row>
    <row r="30" spans="1:17" x14ac:dyDescent="0.55000000000000004">
      <c r="A30" s="21" t="s">
        <v>38</v>
      </c>
    </row>
    <row r="31" spans="1:17" x14ac:dyDescent="0.55000000000000004">
      <c r="A31" s="3" t="s">
        <v>32</v>
      </c>
      <c r="B31" s="11">
        <v>500000</v>
      </c>
      <c r="C31" s="11" t="s">
        <v>33</v>
      </c>
      <c r="D31" s="3"/>
      <c r="E31" s="3"/>
      <c r="F31" s="3"/>
      <c r="G31" s="3"/>
      <c r="H31" s="13"/>
      <c r="I31" s="13"/>
      <c r="J31" s="13">
        <v>0.2</v>
      </c>
      <c r="K31" s="13">
        <v>0.2</v>
      </c>
      <c r="L31" s="13">
        <v>0.2</v>
      </c>
      <c r="M31" s="13">
        <v>0.2</v>
      </c>
      <c r="N31" s="13">
        <v>0.2</v>
      </c>
      <c r="O31" s="13"/>
    </row>
    <row r="32" spans="1:17" x14ac:dyDescent="0.55000000000000004">
      <c r="A32" s="3" t="s">
        <v>34</v>
      </c>
      <c r="B32" s="11">
        <v>500000</v>
      </c>
      <c r="C32" s="11" t="s">
        <v>33</v>
      </c>
      <c r="D32" s="3"/>
      <c r="E32" s="3"/>
      <c r="F32" s="3"/>
      <c r="G32" s="3"/>
      <c r="H32" s="13"/>
      <c r="I32" s="13"/>
      <c r="J32" s="13">
        <v>0.3</v>
      </c>
      <c r="K32" s="13">
        <v>0.3</v>
      </c>
      <c r="L32" s="13">
        <v>0.3</v>
      </c>
      <c r="M32" s="13">
        <v>0.3</v>
      </c>
      <c r="N32" s="13">
        <v>0.3</v>
      </c>
      <c r="O32" s="13"/>
    </row>
    <row r="33" spans="1:18" x14ac:dyDescent="0.55000000000000004">
      <c r="A33" s="3" t="s">
        <v>34</v>
      </c>
      <c r="B33" s="11">
        <v>340000</v>
      </c>
      <c r="C33" s="11" t="s">
        <v>39</v>
      </c>
      <c r="D33" s="3"/>
      <c r="E33" s="3"/>
      <c r="F33" s="3"/>
      <c r="G33" s="3"/>
      <c r="H33" s="13"/>
      <c r="I33" s="13"/>
      <c r="J33" s="13">
        <v>0.5</v>
      </c>
      <c r="K33" s="13">
        <v>1</v>
      </c>
      <c r="L33" s="13">
        <v>1</v>
      </c>
      <c r="M33" s="13">
        <v>1</v>
      </c>
      <c r="N33" s="13">
        <v>1</v>
      </c>
      <c r="O33" s="13"/>
    </row>
    <row r="34" spans="1:18" x14ac:dyDescent="0.55000000000000004">
      <c r="A34" s="3" t="s">
        <v>34</v>
      </c>
      <c r="B34" s="11">
        <v>500000</v>
      </c>
      <c r="C34" s="11" t="s">
        <v>35</v>
      </c>
      <c r="D34" s="3"/>
      <c r="E34" s="3"/>
      <c r="F34" s="3"/>
      <c r="G34" s="3"/>
      <c r="H34" s="13"/>
      <c r="I34" s="13"/>
      <c r="J34" s="13"/>
      <c r="K34" s="13"/>
      <c r="L34" s="13"/>
      <c r="M34" s="13">
        <v>0.5</v>
      </c>
      <c r="N34" s="13">
        <v>0.5</v>
      </c>
      <c r="O34" s="13"/>
    </row>
    <row r="35" spans="1:18" x14ac:dyDescent="0.55000000000000004">
      <c r="A35" s="3" t="s">
        <v>36</v>
      </c>
      <c r="B35" s="11">
        <v>840000</v>
      </c>
      <c r="C35" s="11"/>
      <c r="D35" s="3"/>
      <c r="E35" s="3"/>
      <c r="F35" s="3"/>
      <c r="G35" s="3"/>
      <c r="H35" s="13"/>
      <c r="I35" s="13"/>
      <c r="J35" s="13">
        <v>1</v>
      </c>
      <c r="K35" s="13">
        <v>1</v>
      </c>
      <c r="L35" s="13">
        <v>1</v>
      </c>
      <c r="M35" s="13">
        <v>1</v>
      </c>
      <c r="N35" s="13">
        <v>1</v>
      </c>
      <c r="O35" s="12"/>
      <c r="P35" s="6" t="s">
        <v>40</v>
      </c>
      <c r="Q35" s="6" t="s">
        <v>41</v>
      </c>
      <c r="R35" s="6" t="s">
        <v>42</v>
      </c>
    </row>
    <row r="36" spans="1:18" x14ac:dyDescent="0.55000000000000004">
      <c r="A36" s="6" t="s">
        <v>29</v>
      </c>
      <c r="B36" s="6"/>
      <c r="C36" s="6"/>
      <c r="D36" s="6"/>
      <c r="E36" s="14">
        <f>($B31*E23)+($B35*E25)</f>
        <v>0</v>
      </c>
      <c r="F36" s="14">
        <f>($B31*F23)+($B35*F25)</f>
        <v>0</v>
      </c>
      <c r="G36" s="14">
        <f>($B31*G23)+($B35*G25)</f>
        <v>0</v>
      </c>
      <c r="H36" s="14">
        <f>($B31*H31)+($B35*H35)</f>
        <v>0</v>
      </c>
      <c r="I36" s="14">
        <f t="shared" ref="I36" si="4">($B31*I31)+($B35*I35)</f>
        <v>0</v>
      </c>
      <c r="J36" s="14">
        <f>($B31*J31)+($B32*J32)+($B33*J33)+($B34*J34)+($B35*J35)</f>
        <v>1260000</v>
      </c>
      <c r="K36" s="14">
        <f t="shared" ref="K36:O36" si="5">($B31*K31)+($B32*K32)+($B33*K33)+($B34*K34)+($B35*K35)</f>
        <v>1430000</v>
      </c>
      <c r="L36" s="14">
        <f t="shared" si="5"/>
        <v>1430000</v>
      </c>
      <c r="M36" s="14">
        <f t="shared" si="5"/>
        <v>1680000</v>
      </c>
      <c r="N36" s="14">
        <f t="shared" si="5"/>
        <v>1680000</v>
      </c>
      <c r="O36" s="14">
        <f t="shared" si="5"/>
        <v>0</v>
      </c>
      <c r="P36" s="14">
        <f>SUM(D36:O36)</f>
        <v>7480000</v>
      </c>
      <c r="Q36" s="14">
        <f>C20-P36</f>
        <v>2920000</v>
      </c>
      <c r="R36" s="16">
        <f>Q36/C20</f>
        <v>0.28076923076923077</v>
      </c>
    </row>
  </sheetData>
  <phoneticPr fontId="3"/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2F9A-E93C-41F3-9C0B-D33B687E097A}">
  <dimension ref="A2:R31"/>
  <sheetViews>
    <sheetView topLeftCell="A15" workbookViewId="0">
      <selection activeCell="A10" sqref="A10"/>
    </sheetView>
  </sheetViews>
  <sheetFormatPr defaultColWidth="8.75" defaultRowHeight="18" x14ac:dyDescent="0.55000000000000004"/>
  <cols>
    <col min="1" max="1" width="15" style="1" bestFit="1" customWidth="1"/>
    <col min="2" max="2" width="11.83203125" style="1" customWidth="1"/>
    <col min="3" max="3" width="12.08203125" style="1" customWidth="1"/>
    <col min="4" max="5" width="12.58203125" style="1" customWidth="1"/>
    <col min="6" max="7" width="12.58203125" style="1" bestFit="1" customWidth="1"/>
    <col min="8" max="8" width="12.58203125" style="1" customWidth="1"/>
    <col min="9" max="13" width="12.58203125" style="1" bestFit="1" customWidth="1"/>
    <col min="14" max="15" width="13.75" style="1" bestFit="1" customWidth="1"/>
    <col min="16" max="16" width="13.75" style="1" customWidth="1"/>
    <col min="17" max="17" width="12.75" style="1" customWidth="1"/>
    <col min="18" max="16384" width="8.75" style="1"/>
  </cols>
  <sheetData>
    <row r="2" spans="1:15" x14ac:dyDescent="0.55000000000000004">
      <c r="A2" s="20" t="s">
        <v>0</v>
      </c>
    </row>
    <row r="3" spans="1:15" x14ac:dyDescent="0.55000000000000004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</row>
    <row r="4" spans="1:15" hidden="1" x14ac:dyDescent="0.55000000000000004">
      <c r="A4" s="3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idden="1" x14ac:dyDescent="0.55000000000000004">
      <c r="A5" s="3" t="s">
        <v>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idden="1" x14ac:dyDescent="0.55000000000000004">
      <c r="A6" s="3" t="s">
        <v>18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idden="1" x14ac:dyDescent="0.55000000000000004">
      <c r="A7" s="3" t="s">
        <v>19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idden="1" x14ac:dyDescent="0.55000000000000004">
      <c r="A8" s="3" t="s">
        <v>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idden="1" x14ac:dyDescent="0.5500000000000000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55000000000000004">
      <c r="A10" s="22" t="s">
        <v>21</v>
      </c>
      <c r="B10" s="23">
        <v>0.8</v>
      </c>
      <c r="C10" s="24">
        <f>B10*1000000</f>
        <v>800000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55000000000000004">
      <c r="A11" s="22" t="s">
        <v>22</v>
      </c>
      <c r="B11" s="23">
        <v>0.8</v>
      </c>
      <c r="C11" s="24">
        <f t="shared" ref="C11:C17" si="0">B11*1000000</f>
        <v>800000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55000000000000004">
      <c r="A12" s="22" t="s">
        <v>23</v>
      </c>
      <c r="B12" s="23">
        <v>1</v>
      </c>
      <c r="C12" s="24">
        <f t="shared" si="0"/>
        <v>1000000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55000000000000004">
      <c r="A13" s="22" t="s">
        <v>24</v>
      </c>
      <c r="B13" s="23">
        <v>2</v>
      </c>
      <c r="C13" s="24">
        <f t="shared" si="0"/>
        <v>2000000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55000000000000004">
      <c r="A14" s="22" t="s">
        <v>25</v>
      </c>
      <c r="B14" s="23">
        <v>1</v>
      </c>
      <c r="C14" s="24">
        <f t="shared" si="0"/>
        <v>1000000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55000000000000004">
      <c r="A15" s="22" t="s">
        <v>26</v>
      </c>
      <c r="B15" s="23">
        <v>0.5</v>
      </c>
      <c r="C15" s="24">
        <f t="shared" si="0"/>
        <v>500000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55000000000000004">
      <c r="A16" s="22" t="s">
        <v>27</v>
      </c>
      <c r="B16" s="23">
        <v>0.6</v>
      </c>
      <c r="C16" s="24">
        <f t="shared" si="0"/>
        <v>600000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8" x14ac:dyDescent="0.55000000000000004">
      <c r="A17" s="22" t="s">
        <v>28</v>
      </c>
      <c r="B17" s="23">
        <v>1</v>
      </c>
      <c r="C17" s="24">
        <f t="shared" si="0"/>
        <v>1000000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8" x14ac:dyDescent="0.55000000000000004">
      <c r="A18" s="22" t="s">
        <v>29</v>
      </c>
      <c r="B18" s="23">
        <f>SUM(B10:B17)</f>
        <v>7.6999999999999993</v>
      </c>
      <c r="C18" s="24">
        <f>SUM(C10:C17)</f>
        <v>7700000</v>
      </c>
    </row>
    <row r="19" spans="1:18" x14ac:dyDescent="0.55000000000000004">
      <c r="A19" s="22" t="s">
        <v>30</v>
      </c>
      <c r="B19" s="23">
        <f>ROUNDUP(SUM(B10:B17)*0.2,1)</f>
        <v>1.6</v>
      </c>
      <c r="C19" s="24">
        <f>B19*1400000</f>
        <v>2240000</v>
      </c>
    </row>
    <row r="20" spans="1:18" x14ac:dyDescent="0.55000000000000004">
      <c r="A20" s="6" t="s">
        <v>29</v>
      </c>
      <c r="B20" s="7">
        <f>SUM(B18:B19)</f>
        <v>9.2999999999999989</v>
      </c>
      <c r="C20" s="8">
        <v>10000000</v>
      </c>
    </row>
    <row r="21" spans="1:18" x14ac:dyDescent="0.55000000000000004">
      <c r="B21" s="9"/>
      <c r="C21" s="10"/>
    </row>
    <row r="22" spans="1:18" x14ac:dyDescent="0.55000000000000004">
      <c r="A22" s="20" t="s">
        <v>31</v>
      </c>
    </row>
    <row r="23" spans="1:18" x14ac:dyDescent="0.55000000000000004">
      <c r="A23" s="3" t="s">
        <v>32</v>
      </c>
      <c r="B23" s="11">
        <v>1400000</v>
      </c>
      <c r="C23" s="11"/>
      <c r="D23" s="12"/>
      <c r="E23" s="13"/>
      <c r="F23" s="13"/>
      <c r="G23" s="13"/>
      <c r="H23" s="13">
        <v>0.2</v>
      </c>
      <c r="I23" s="13">
        <v>0.2</v>
      </c>
      <c r="J23" s="13">
        <v>0.2</v>
      </c>
      <c r="K23" s="13">
        <v>0.2</v>
      </c>
      <c r="L23" s="13">
        <v>0.2</v>
      </c>
      <c r="M23" s="13"/>
      <c r="N23" s="13"/>
      <c r="O23" s="13"/>
      <c r="Q23" s="17"/>
    </row>
    <row r="24" spans="1:18" x14ac:dyDescent="0.55000000000000004">
      <c r="A24" s="3" t="s">
        <v>43</v>
      </c>
      <c r="B24" s="11">
        <v>1000000</v>
      </c>
      <c r="C24" s="11"/>
      <c r="D24" s="12"/>
      <c r="E24" s="13"/>
      <c r="F24" s="13"/>
      <c r="G24" s="13"/>
      <c r="H24" s="13">
        <v>0.8</v>
      </c>
      <c r="I24" s="13">
        <v>0.8</v>
      </c>
      <c r="J24" s="13">
        <v>0.8</v>
      </c>
      <c r="K24" s="13">
        <v>0.8</v>
      </c>
      <c r="L24" s="13">
        <v>0.8</v>
      </c>
      <c r="M24" s="13"/>
      <c r="N24" s="13"/>
      <c r="O24" s="12"/>
      <c r="P24" s="15"/>
      <c r="Q24" s="18"/>
    </row>
    <row r="25" spans="1:18" x14ac:dyDescent="0.55000000000000004">
      <c r="A25" s="3" t="s">
        <v>43</v>
      </c>
      <c r="B25" s="11">
        <v>1000000</v>
      </c>
      <c r="C25" s="11"/>
      <c r="D25" s="12"/>
      <c r="E25" s="13"/>
      <c r="F25" s="13"/>
      <c r="G25" s="13"/>
      <c r="H25" s="13">
        <v>1</v>
      </c>
      <c r="I25" s="13">
        <v>1</v>
      </c>
      <c r="J25" s="13">
        <v>1</v>
      </c>
      <c r="K25" s="13">
        <v>1</v>
      </c>
      <c r="L25" s="13">
        <v>1</v>
      </c>
      <c r="M25" s="13"/>
      <c r="N25" s="13"/>
      <c r="O25" s="12"/>
      <c r="P25" s="15" t="s">
        <v>37</v>
      </c>
      <c r="Q25" s="18"/>
    </row>
    <row r="26" spans="1:18" x14ac:dyDescent="0.55000000000000004">
      <c r="A26" s="6" t="s">
        <v>29</v>
      </c>
      <c r="B26" s="6"/>
      <c r="C26" s="6"/>
      <c r="D26" s="6"/>
      <c r="E26" s="14">
        <f t="shared" ref="E26:O26" si="1">($B23*E23)+($B25*E25)</f>
        <v>0</v>
      </c>
      <c r="F26" s="14">
        <f t="shared" si="1"/>
        <v>0</v>
      </c>
      <c r="G26" s="14">
        <f t="shared" si="1"/>
        <v>0</v>
      </c>
      <c r="H26" s="14">
        <f t="shared" ref="H26:I26" si="2">($B23*H23)+($B24*H24)+($B25*H25)</f>
        <v>2080000</v>
      </c>
      <c r="I26" s="14">
        <f t="shared" si="2"/>
        <v>2080000</v>
      </c>
      <c r="J26" s="14">
        <f>($B23*J23)+($B24*J24)+($B25*J25)</f>
        <v>2080000</v>
      </c>
      <c r="K26" s="14">
        <f t="shared" ref="K26:L26" si="3">($B23*K23)+($B24*K24)+($B25*K25)</f>
        <v>2080000</v>
      </c>
      <c r="L26" s="14">
        <f t="shared" si="3"/>
        <v>2080000</v>
      </c>
      <c r="M26" s="14">
        <f t="shared" si="1"/>
        <v>0</v>
      </c>
      <c r="N26" s="14">
        <f t="shared" si="1"/>
        <v>0</v>
      </c>
      <c r="O26" s="14">
        <f t="shared" si="1"/>
        <v>0</v>
      </c>
      <c r="P26" s="14">
        <f>SUM(D26:O26)</f>
        <v>10400000</v>
      </c>
      <c r="Q26" s="19"/>
    </row>
    <row r="27" spans="1:18" x14ac:dyDescent="0.55000000000000004">
      <c r="E27" s="2"/>
      <c r="F27" s="2"/>
      <c r="G27" s="2"/>
      <c r="H27" s="2"/>
      <c r="I27" s="2"/>
      <c r="J27" s="2"/>
      <c r="K27" s="2"/>
      <c r="L27" s="2"/>
      <c r="M27" s="2"/>
    </row>
    <row r="28" spans="1:18" x14ac:dyDescent="0.55000000000000004">
      <c r="A28" s="21" t="s">
        <v>38</v>
      </c>
    </row>
    <row r="29" spans="1:18" x14ac:dyDescent="0.55000000000000004">
      <c r="A29" s="3" t="s">
        <v>44</v>
      </c>
      <c r="B29" s="11">
        <v>520000</v>
      </c>
      <c r="C29" s="11"/>
      <c r="D29" s="3"/>
      <c r="E29" s="3"/>
      <c r="F29" s="3"/>
      <c r="G29" s="3"/>
      <c r="H29" s="13">
        <v>1</v>
      </c>
      <c r="I29" s="13">
        <v>1</v>
      </c>
      <c r="J29" s="13">
        <v>1</v>
      </c>
      <c r="K29" s="13">
        <v>1</v>
      </c>
      <c r="L29" s="13">
        <v>1</v>
      </c>
      <c r="M29" s="13"/>
      <c r="N29" s="13"/>
      <c r="O29" s="13"/>
    </row>
    <row r="30" spans="1:18" x14ac:dyDescent="0.55000000000000004">
      <c r="A30" s="3" t="s">
        <v>45</v>
      </c>
      <c r="B30" s="11">
        <v>800000</v>
      </c>
      <c r="C30" s="11"/>
      <c r="D30" s="3"/>
      <c r="E30" s="3"/>
      <c r="F30" s="3"/>
      <c r="G30" s="3"/>
      <c r="H30" s="13">
        <v>1</v>
      </c>
      <c r="I30" s="13">
        <v>1</v>
      </c>
      <c r="J30" s="13">
        <v>1</v>
      </c>
      <c r="K30" s="13">
        <v>1</v>
      </c>
      <c r="L30" s="13">
        <v>1</v>
      </c>
      <c r="M30" s="13"/>
      <c r="N30" s="13"/>
      <c r="O30" s="12"/>
      <c r="P30" s="6" t="s">
        <v>40</v>
      </c>
      <c r="Q30" s="6" t="s">
        <v>41</v>
      </c>
      <c r="R30" s="6" t="s">
        <v>42</v>
      </c>
    </row>
    <row r="31" spans="1:18" x14ac:dyDescent="0.55000000000000004">
      <c r="A31" s="6" t="s">
        <v>29</v>
      </c>
      <c r="B31" s="6"/>
      <c r="C31" s="6"/>
      <c r="D31" s="6"/>
      <c r="E31" s="14">
        <f>($B29*E23)+($B30*E25)</f>
        <v>0</v>
      </c>
      <c r="F31" s="14">
        <f>($B29*F23)+($B30*F25)</f>
        <v>0</v>
      </c>
      <c r="G31" s="14">
        <f>($B29*G23)+($B30*G25)</f>
        <v>0</v>
      </c>
      <c r="H31" s="14">
        <f>($B29*H29)+($B30*H30)</f>
        <v>1320000</v>
      </c>
      <c r="I31" s="14">
        <f t="shared" ref="I31:O31" si="4">($B29*I29)+($B30*I30)</f>
        <v>1320000</v>
      </c>
      <c r="J31" s="14">
        <f t="shared" si="4"/>
        <v>1320000</v>
      </c>
      <c r="K31" s="14">
        <f t="shared" si="4"/>
        <v>1320000</v>
      </c>
      <c r="L31" s="14">
        <f t="shared" si="4"/>
        <v>1320000</v>
      </c>
      <c r="M31" s="14">
        <f t="shared" si="4"/>
        <v>0</v>
      </c>
      <c r="N31" s="14">
        <f t="shared" si="4"/>
        <v>0</v>
      </c>
      <c r="O31" s="14">
        <f t="shared" si="4"/>
        <v>0</v>
      </c>
      <c r="P31" s="14">
        <f>SUM(D31:O31)</f>
        <v>6600000</v>
      </c>
      <c r="Q31" s="14">
        <f>C20-P31</f>
        <v>3400000</v>
      </c>
      <c r="R31" s="16">
        <f>Q31/C20</f>
        <v>0.34</v>
      </c>
    </row>
  </sheetData>
  <phoneticPr fontId="3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4B6B-2473-4D7C-8F47-A08E171F5D91}">
  <dimension ref="A2:R31"/>
  <sheetViews>
    <sheetView tabSelected="1" workbookViewId="0">
      <selection activeCell="N17" sqref="N17"/>
    </sheetView>
  </sheetViews>
  <sheetFormatPr defaultColWidth="8.75" defaultRowHeight="18" x14ac:dyDescent="0.55000000000000004"/>
  <cols>
    <col min="1" max="1" width="15" style="1" bestFit="1" customWidth="1"/>
    <col min="2" max="2" width="11.83203125" style="1" customWidth="1"/>
    <col min="3" max="3" width="12.08203125" style="1" customWidth="1"/>
    <col min="4" max="5" width="12.58203125" style="1" customWidth="1"/>
    <col min="6" max="7" width="12.58203125" style="1" bestFit="1" customWidth="1"/>
    <col min="8" max="8" width="12.58203125" style="1" customWidth="1"/>
    <col min="9" max="13" width="12.58203125" style="1" bestFit="1" customWidth="1"/>
    <col min="14" max="15" width="13.75" style="1" bestFit="1" customWidth="1"/>
    <col min="16" max="16" width="13.75" style="1" customWidth="1"/>
    <col min="17" max="17" width="12.75" style="1" customWidth="1"/>
    <col min="18" max="16384" width="8.75" style="1"/>
  </cols>
  <sheetData>
    <row r="2" spans="1:15" x14ac:dyDescent="0.55000000000000004">
      <c r="A2" s="20" t="s">
        <v>0</v>
      </c>
    </row>
    <row r="3" spans="1:15" x14ac:dyDescent="0.55000000000000004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</row>
    <row r="4" spans="1:15" hidden="1" x14ac:dyDescent="0.55000000000000004">
      <c r="A4" s="3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idden="1" x14ac:dyDescent="0.55000000000000004">
      <c r="A5" s="3" t="s">
        <v>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idden="1" x14ac:dyDescent="0.55000000000000004">
      <c r="A6" s="3" t="s">
        <v>18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idden="1" x14ac:dyDescent="0.55000000000000004">
      <c r="A7" s="3" t="s">
        <v>19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idden="1" x14ac:dyDescent="0.55000000000000004">
      <c r="A8" s="3" t="s">
        <v>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idden="1" x14ac:dyDescent="0.5500000000000000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55000000000000004">
      <c r="A10" s="3" t="s">
        <v>21</v>
      </c>
      <c r="B10" s="4">
        <v>0.8</v>
      </c>
      <c r="C10" s="5">
        <f>B10*1000000</f>
        <v>800000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55000000000000004">
      <c r="A11" s="3" t="s">
        <v>22</v>
      </c>
      <c r="B11" s="4">
        <v>0.8</v>
      </c>
      <c r="C11" s="5">
        <f t="shared" ref="C11:C17" si="0">B11*1000000</f>
        <v>800000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55000000000000004">
      <c r="A12" s="3" t="s">
        <v>23</v>
      </c>
      <c r="B12" s="4">
        <v>1.8</v>
      </c>
      <c r="C12" s="5">
        <f t="shared" si="0"/>
        <v>1800000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55000000000000004">
      <c r="A13" s="3" t="s">
        <v>24</v>
      </c>
      <c r="B13" s="4">
        <v>3</v>
      </c>
      <c r="C13" s="5">
        <f t="shared" si="0"/>
        <v>3000000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55000000000000004">
      <c r="A14" s="3" t="s">
        <v>25</v>
      </c>
      <c r="B14" s="4">
        <v>1.5</v>
      </c>
      <c r="C14" s="5">
        <f t="shared" si="0"/>
        <v>1500000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55000000000000004">
      <c r="A15" s="3" t="s">
        <v>26</v>
      </c>
      <c r="B15" s="4">
        <v>0.5</v>
      </c>
      <c r="C15" s="5">
        <f t="shared" si="0"/>
        <v>500000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55000000000000004">
      <c r="A16" s="3" t="s">
        <v>27</v>
      </c>
      <c r="B16" s="4">
        <v>1</v>
      </c>
      <c r="C16" s="5">
        <f t="shared" si="0"/>
        <v>1000000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8" x14ac:dyDescent="0.55000000000000004">
      <c r="A17" s="3" t="s">
        <v>28</v>
      </c>
      <c r="B17" s="4">
        <v>1</v>
      </c>
      <c r="C17" s="5">
        <f t="shared" si="0"/>
        <v>1000000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8" x14ac:dyDescent="0.55000000000000004">
      <c r="A18" s="6" t="s">
        <v>29</v>
      </c>
      <c r="B18" s="7">
        <f>SUM(B10:B17)</f>
        <v>10.4</v>
      </c>
      <c r="C18" s="8">
        <f>SUM(C10:C17)</f>
        <v>10400000</v>
      </c>
    </row>
    <row r="19" spans="1:18" x14ac:dyDescent="0.55000000000000004">
      <c r="A19" s="6" t="s">
        <v>30</v>
      </c>
      <c r="B19" s="7">
        <v>2.2999999999999998</v>
      </c>
      <c r="C19" s="8">
        <f>B19*1400000</f>
        <v>3219999.9999999995</v>
      </c>
    </row>
    <row r="20" spans="1:18" x14ac:dyDescent="0.55000000000000004">
      <c r="A20" s="6" t="s">
        <v>29</v>
      </c>
      <c r="B20" s="7">
        <f>SUM(B18:B19)</f>
        <v>12.7</v>
      </c>
      <c r="C20" s="8">
        <f>SUM(C18:C19)</f>
        <v>13620000</v>
      </c>
    </row>
    <row r="21" spans="1:18" x14ac:dyDescent="0.55000000000000004">
      <c r="B21" s="9"/>
      <c r="C21" s="10"/>
    </row>
    <row r="22" spans="1:18" x14ac:dyDescent="0.55000000000000004">
      <c r="A22" s="20" t="s">
        <v>31</v>
      </c>
    </row>
    <row r="23" spans="1:18" x14ac:dyDescent="0.55000000000000004">
      <c r="A23" s="3" t="s">
        <v>32</v>
      </c>
      <c r="B23" s="11">
        <v>1400000</v>
      </c>
      <c r="C23" s="11"/>
      <c r="D23" s="12"/>
      <c r="E23" s="13"/>
      <c r="F23" s="13"/>
      <c r="G23" s="13"/>
      <c r="H23" s="13">
        <v>0.5</v>
      </c>
      <c r="I23" s="13">
        <v>0.5</v>
      </c>
      <c r="J23" s="13">
        <v>0.5</v>
      </c>
      <c r="K23" s="13">
        <v>0.5</v>
      </c>
      <c r="L23" s="13">
        <v>0.5</v>
      </c>
      <c r="M23" s="13">
        <v>0.5</v>
      </c>
      <c r="N23" s="13">
        <v>0.25</v>
      </c>
      <c r="O23" s="13"/>
      <c r="Q23" s="17"/>
    </row>
    <row r="24" spans="1:18" x14ac:dyDescent="0.55000000000000004">
      <c r="A24" s="3" t="s">
        <v>43</v>
      </c>
      <c r="B24" s="11">
        <v>1000000</v>
      </c>
      <c r="C24" s="11"/>
      <c r="D24" s="12"/>
      <c r="E24" s="13"/>
      <c r="F24" s="13"/>
      <c r="G24" s="13"/>
      <c r="H24" s="13"/>
      <c r="I24" s="13"/>
      <c r="J24" s="13">
        <v>0.5</v>
      </c>
      <c r="K24" s="13">
        <v>0.5</v>
      </c>
      <c r="L24" s="13">
        <v>0.5</v>
      </c>
      <c r="M24" s="13"/>
      <c r="N24" s="13"/>
      <c r="O24" s="12"/>
      <c r="P24" s="15" t="s">
        <v>37</v>
      </c>
      <c r="Q24" s="18"/>
    </row>
    <row r="25" spans="1:18" x14ac:dyDescent="0.55000000000000004">
      <c r="A25" s="3" t="s">
        <v>43</v>
      </c>
      <c r="B25" s="11">
        <v>1000000</v>
      </c>
      <c r="C25" s="11"/>
      <c r="D25" s="12"/>
      <c r="E25" s="13"/>
      <c r="F25" s="13"/>
      <c r="G25" s="13"/>
      <c r="H25" s="13">
        <v>1</v>
      </c>
      <c r="I25" s="13">
        <v>1</v>
      </c>
      <c r="J25" s="13">
        <v>1</v>
      </c>
      <c r="K25" s="13">
        <v>1</v>
      </c>
      <c r="L25" s="13">
        <v>1</v>
      </c>
      <c r="M25" s="13">
        <v>1</v>
      </c>
      <c r="N25" s="13">
        <v>1</v>
      </c>
      <c r="O25" s="12"/>
      <c r="P25" s="15" t="s">
        <v>37</v>
      </c>
      <c r="Q25" s="18"/>
    </row>
    <row r="26" spans="1:18" x14ac:dyDescent="0.55000000000000004">
      <c r="A26" s="6" t="s">
        <v>29</v>
      </c>
      <c r="B26" s="6"/>
      <c r="C26" s="6"/>
      <c r="D26" s="6"/>
      <c r="E26" s="14">
        <f t="shared" ref="E26:O26" si="1">($B23*E23)+($B25*E25)</f>
        <v>0</v>
      </c>
      <c r="F26" s="14">
        <f t="shared" si="1"/>
        <v>0</v>
      </c>
      <c r="G26" s="14">
        <f t="shared" si="1"/>
        <v>0</v>
      </c>
      <c r="H26" s="14">
        <f t="shared" si="1"/>
        <v>1700000</v>
      </c>
      <c r="I26" s="14">
        <f t="shared" si="1"/>
        <v>1700000</v>
      </c>
      <c r="J26" s="14">
        <f>($B23*J23)+($B24*J24)+($B25*J25)</f>
        <v>2200000</v>
      </c>
      <c r="K26" s="14">
        <f t="shared" ref="K26:L26" si="2">($B23*K23)+($B24*K24)+($B25*K25)</f>
        <v>2200000</v>
      </c>
      <c r="L26" s="14">
        <f t="shared" si="2"/>
        <v>2200000</v>
      </c>
      <c r="M26" s="14">
        <f t="shared" si="1"/>
        <v>1700000</v>
      </c>
      <c r="N26" s="14">
        <f t="shared" si="1"/>
        <v>1350000</v>
      </c>
      <c r="O26" s="14">
        <f t="shared" si="1"/>
        <v>0</v>
      </c>
      <c r="P26" s="14">
        <f>SUM(D26:O26)</f>
        <v>13050000</v>
      </c>
      <c r="Q26" s="19"/>
    </row>
    <row r="27" spans="1:18" x14ac:dyDescent="0.55000000000000004">
      <c r="E27" s="2"/>
      <c r="F27" s="2"/>
      <c r="G27" s="2"/>
      <c r="H27" s="2"/>
      <c r="I27" s="2"/>
      <c r="J27" s="2"/>
      <c r="K27" s="2"/>
      <c r="L27" s="2"/>
      <c r="M27" s="2"/>
    </row>
    <row r="28" spans="1:18" x14ac:dyDescent="0.55000000000000004">
      <c r="A28" s="21" t="s">
        <v>38</v>
      </c>
    </row>
    <row r="29" spans="1:18" x14ac:dyDescent="0.55000000000000004">
      <c r="A29" s="3" t="s">
        <v>44</v>
      </c>
      <c r="B29" s="11">
        <v>520000</v>
      </c>
      <c r="C29" s="11"/>
      <c r="D29" s="3"/>
      <c r="E29" s="3"/>
      <c r="F29" s="3"/>
      <c r="G29" s="3"/>
      <c r="H29" s="13">
        <v>1</v>
      </c>
      <c r="I29" s="13">
        <v>1</v>
      </c>
      <c r="J29" s="13">
        <v>0.5</v>
      </c>
      <c r="K29" s="13">
        <v>1</v>
      </c>
      <c r="L29" s="13">
        <v>1</v>
      </c>
      <c r="M29" s="13">
        <v>1</v>
      </c>
      <c r="N29" s="13">
        <v>0.5</v>
      </c>
      <c r="O29" s="13"/>
    </row>
    <row r="30" spans="1:18" x14ac:dyDescent="0.55000000000000004">
      <c r="A30" s="3" t="s">
        <v>45</v>
      </c>
      <c r="B30" s="11">
        <v>800000</v>
      </c>
      <c r="C30" s="11"/>
      <c r="D30" s="3"/>
      <c r="E30" s="3"/>
      <c r="F30" s="3"/>
      <c r="G30" s="3"/>
      <c r="H30" s="13">
        <v>1</v>
      </c>
      <c r="I30" s="13">
        <v>1</v>
      </c>
      <c r="J30" s="13">
        <v>1</v>
      </c>
      <c r="K30" s="13">
        <v>1</v>
      </c>
      <c r="L30" s="13">
        <v>1</v>
      </c>
      <c r="M30" s="13">
        <v>1</v>
      </c>
      <c r="N30" s="13">
        <v>0.5</v>
      </c>
      <c r="O30" s="12"/>
      <c r="P30" s="6" t="s">
        <v>40</v>
      </c>
      <c r="Q30" s="6" t="s">
        <v>41</v>
      </c>
      <c r="R30" s="6" t="s">
        <v>42</v>
      </c>
    </row>
    <row r="31" spans="1:18" x14ac:dyDescent="0.55000000000000004">
      <c r="A31" s="6" t="s">
        <v>29</v>
      </c>
      <c r="B31" s="6"/>
      <c r="C31" s="6"/>
      <c r="D31" s="6"/>
      <c r="E31" s="14">
        <f>($B29*E23)+($B30*E25)</f>
        <v>0</v>
      </c>
      <c r="F31" s="14">
        <f>($B29*F23)+($B30*F25)</f>
        <v>0</v>
      </c>
      <c r="G31" s="14">
        <f>($B29*G23)+($B30*G25)</f>
        <v>0</v>
      </c>
      <c r="H31" s="14">
        <f>($B29*H29)+($B30*H30)</f>
        <v>1320000</v>
      </c>
      <c r="I31" s="14">
        <f t="shared" ref="I31:O31" si="3">($B29*I29)+($B30*I30)</f>
        <v>1320000</v>
      </c>
      <c r="J31" s="14">
        <f t="shared" si="3"/>
        <v>1060000</v>
      </c>
      <c r="K31" s="14">
        <f t="shared" si="3"/>
        <v>1320000</v>
      </c>
      <c r="L31" s="14">
        <f t="shared" si="3"/>
        <v>1320000</v>
      </c>
      <c r="M31" s="14">
        <f t="shared" si="3"/>
        <v>1320000</v>
      </c>
      <c r="N31" s="14">
        <f t="shared" si="3"/>
        <v>660000</v>
      </c>
      <c r="O31" s="14">
        <f t="shared" si="3"/>
        <v>0</v>
      </c>
      <c r="P31" s="14">
        <f>SUM(D31:O31)</f>
        <v>8320000</v>
      </c>
      <c r="Q31" s="14">
        <f>C20-P31</f>
        <v>5300000</v>
      </c>
      <c r="R31" s="16">
        <f>Q31/C20</f>
        <v>0.3891336270190896</v>
      </c>
    </row>
  </sheetData>
  <phoneticPr fontId="3"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2264-D994-4277-99DA-6C0D2A83404E}">
  <dimension ref="A2:R30"/>
  <sheetViews>
    <sheetView workbookViewId="0">
      <selection activeCell="J24" sqref="J24:L24"/>
    </sheetView>
  </sheetViews>
  <sheetFormatPr defaultColWidth="8.75" defaultRowHeight="18" x14ac:dyDescent="0.55000000000000004"/>
  <cols>
    <col min="1" max="1" width="15" style="1" bestFit="1" customWidth="1"/>
    <col min="2" max="2" width="11.83203125" style="1" customWidth="1"/>
    <col min="3" max="3" width="12.08203125" style="1" customWidth="1"/>
    <col min="4" max="5" width="12.58203125" style="1" customWidth="1"/>
    <col min="6" max="7" width="12.58203125" style="1" bestFit="1" customWidth="1"/>
    <col min="8" max="8" width="12.58203125" style="1" customWidth="1"/>
    <col min="9" max="13" width="12.58203125" style="1" bestFit="1" customWidth="1"/>
    <col min="14" max="15" width="13.75" style="1" bestFit="1" customWidth="1"/>
    <col min="16" max="16" width="13.75" style="1" customWidth="1"/>
    <col min="17" max="17" width="12.75" style="1" customWidth="1"/>
    <col min="18" max="16384" width="8.75" style="1"/>
  </cols>
  <sheetData>
    <row r="2" spans="1:15" x14ac:dyDescent="0.55000000000000004">
      <c r="A2" s="20" t="s">
        <v>0</v>
      </c>
    </row>
    <row r="3" spans="1:15" x14ac:dyDescent="0.55000000000000004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</row>
    <row r="4" spans="1:15" hidden="1" x14ac:dyDescent="0.55000000000000004">
      <c r="A4" s="3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idden="1" x14ac:dyDescent="0.55000000000000004">
      <c r="A5" s="3" t="s">
        <v>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idden="1" x14ac:dyDescent="0.55000000000000004">
      <c r="A6" s="3" t="s">
        <v>18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idden="1" x14ac:dyDescent="0.55000000000000004">
      <c r="A7" s="3" t="s">
        <v>19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idden="1" x14ac:dyDescent="0.55000000000000004">
      <c r="A8" s="3" t="s">
        <v>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idden="1" x14ac:dyDescent="0.5500000000000000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55000000000000004">
      <c r="A10" s="3" t="s">
        <v>21</v>
      </c>
      <c r="B10" s="4">
        <v>0.8</v>
      </c>
      <c r="C10" s="5">
        <f>B10*1000000</f>
        <v>800000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55000000000000004">
      <c r="A11" s="3" t="s">
        <v>22</v>
      </c>
      <c r="B11" s="4">
        <v>0.8</v>
      </c>
      <c r="C11" s="5">
        <f t="shared" ref="C11:C17" si="0">B11*1000000</f>
        <v>800000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55000000000000004">
      <c r="A12" s="3" t="s">
        <v>23</v>
      </c>
      <c r="B12" s="4">
        <v>1.8</v>
      </c>
      <c r="C12" s="5">
        <f t="shared" si="0"/>
        <v>1800000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55000000000000004">
      <c r="A13" s="3" t="s">
        <v>24</v>
      </c>
      <c r="B13" s="4">
        <v>3.8</v>
      </c>
      <c r="C13" s="5">
        <f t="shared" si="0"/>
        <v>3800000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55000000000000004">
      <c r="A14" s="3" t="s">
        <v>25</v>
      </c>
      <c r="B14" s="4">
        <v>2</v>
      </c>
      <c r="C14" s="5">
        <f t="shared" si="0"/>
        <v>2000000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55000000000000004">
      <c r="A15" s="3" t="s">
        <v>26</v>
      </c>
      <c r="B15" s="4">
        <v>0.5</v>
      </c>
      <c r="C15" s="5">
        <f t="shared" si="0"/>
        <v>500000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55000000000000004">
      <c r="A16" s="3" t="s">
        <v>27</v>
      </c>
      <c r="B16" s="4">
        <v>1</v>
      </c>
      <c r="C16" s="5">
        <f t="shared" si="0"/>
        <v>1000000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8" x14ac:dyDescent="0.55000000000000004">
      <c r="A17" s="3" t="s">
        <v>28</v>
      </c>
      <c r="B17" s="4">
        <v>1</v>
      </c>
      <c r="C17" s="5">
        <f t="shared" si="0"/>
        <v>1000000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8" x14ac:dyDescent="0.55000000000000004">
      <c r="A18" s="6" t="s">
        <v>29</v>
      </c>
      <c r="B18" s="7">
        <f>SUM(B10:B17)</f>
        <v>11.7</v>
      </c>
      <c r="C18" s="8">
        <f>SUM(C10:C17)</f>
        <v>11700000</v>
      </c>
    </row>
    <row r="19" spans="1:18" x14ac:dyDescent="0.55000000000000004">
      <c r="A19" s="6" t="s">
        <v>30</v>
      </c>
      <c r="B19" s="7">
        <v>2.2999999999999998</v>
      </c>
      <c r="C19" s="8">
        <f>B19*1400000</f>
        <v>3219999.9999999995</v>
      </c>
    </row>
    <row r="20" spans="1:18" x14ac:dyDescent="0.55000000000000004">
      <c r="A20" s="6" t="s">
        <v>29</v>
      </c>
      <c r="B20" s="7">
        <f>SUM(B18:B19)</f>
        <v>14</v>
      </c>
      <c r="C20" s="8">
        <f>SUM(C18:C19)</f>
        <v>14920000</v>
      </c>
    </row>
    <row r="21" spans="1:18" x14ac:dyDescent="0.55000000000000004">
      <c r="B21" s="9"/>
      <c r="C21" s="10"/>
    </row>
    <row r="22" spans="1:18" x14ac:dyDescent="0.55000000000000004">
      <c r="A22" s="20" t="s">
        <v>31</v>
      </c>
    </row>
    <row r="23" spans="1:18" x14ac:dyDescent="0.55000000000000004">
      <c r="A23" s="3" t="s">
        <v>32</v>
      </c>
      <c r="B23" s="11">
        <v>1400000</v>
      </c>
      <c r="C23" s="11"/>
      <c r="D23" s="12"/>
      <c r="E23" s="13"/>
      <c r="F23" s="13"/>
      <c r="G23" s="13"/>
      <c r="H23" s="13">
        <v>0.5</v>
      </c>
      <c r="I23" s="13">
        <v>0.5</v>
      </c>
      <c r="J23" s="13">
        <v>0.5</v>
      </c>
      <c r="K23" s="13">
        <v>0.5</v>
      </c>
      <c r="L23" s="13">
        <v>0.5</v>
      </c>
      <c r="M23" s="13">
        <v>0.5</v>
      </c>
      <c r="N23" s="13">
        <v>0.25</v>
      </c>
      <c r="O23" s="13"/>
      <c r="Q23" s="17"/>
    </row>
    <row r="24" spans="1:18" x14ac:dyDescent="0.55000000000000004">
      <c r="A24" s="3" t="s">
        <v>43</v>
      </c>
      <c r="B24" s="11">
        <v>1000000</v>
      </c>
      <c r="C24" s="11"/>
      <c r="D24" s="12"/>
      <c r="E24" s="13"/>
      <c r="F24" s="13"/>
      <c r="G24" s="13"/>
      <c r="H24" s="13">
        <v>1</v>
      </c>
      <c r="I24" s="13">
        <v>1</v>
      </c>
      <c r="J24" s="13">
        <v>2</v>
      </c>
      <c r="K24" s="13">
        <v>2</v>
      </c>
      <c r="L24" s="13">
        <v>2</v>
      </c>
      <c r="M24" s="13">
        <v>1</v>
      </c>
      <c r="N24" s="13">
        <v>1</v>
      </c>
      <c r="O24" s="12"/>
      <c r="P24" s="15" t="s">
        <v>37</v>
      </c>
      <c r="Q24" s="18"/>
    </row>
    <row r="25" spans="1:18" x14ac:dyDescent="0.55000000000000004">
      <c r="A25" s="6" t="s">
        <v>29</v>
      </c>
      <c r="B25" s="6"/>
      <c r="C25" s="6"/>
      <c r="D25" s="6"/>
      <c r="E25" s="14">
        <f t="shared" ref="E25:O25" si="1">($B23*E23)+($B24*E24)</f>
        <v>0</v>
      </c>
      <c r="F25" s="14">
        <f t="shared" si="1"/>
        <v>0</v>
      </c>
      <c r="G25" s="14">
        <f t="shared" si="1"/>
        <v>0</v>
      </c>
      <c r="H25" s="14">
        <f t="shared" si="1"/>
        <v>1700000</v>
      </c>
      <c r="I25" s="14">
        <f t="shared" si="1"/>
        <v>1700000</v>
      </c>
      <c r="J25" s="14">
        <f t="shared" si="1"/>
        <v>2700000</v>
      </c>
      <c r="K25" s="14">
        <f t="shared" si="1"/>
        <v>2700000</v>
      </c>
      <c r="L25" s="14">
        <f t="shared" si="1"/>
        <v>2700000</v>
      </c>
      <c r="M25" s="14">
        <f t="shared" si="1"/>
        <v>1700000</v>
      </c>
      <c r="N25" s="14">
        <f t="shared" si="1"/>
        <v>1350000</v>
      </c>
      <c r="O25" s="14">
        <f t="shared" si="1"/>
        <v>0</v>
      </c>
      <c r="P25" s="14">
        <f>SUM(D25:O25)</f>
        <v>14550000</v>
      </c>
      <c r="Q25" s="19"/>
    </row>
    <row r="26" spans="1:18" x14ac:dyDescent="0.55000000000000004">
      <c r="E26" s="2"/>
      <c r="F26" s="2"/>
      <c r="G26" s="2"/>
      <c r="H26" s="2"/>
      <c r="I26" s="2"/>
      <c r="J26" s="2"/>
      <c r="K26" s="2"/>
      <c r="L26" s="2"/>
      <c r="M26" s="2"/>
    </row>
    <row r="27" spans="1:18" x14ac:dyDescent="0.55000000000000004">
      <c r="A27" s="21" t="s">
        <v>38</v>
      </c>
    </row>
    <row r="28" spans="1:18" x14ac:dyDescent="0.55000000000000004">
      <c r="A28" s="3" t="s">
        <v>44</v>
      </c>
      <c r="B28" s="11">
        <v>520000</v>
      </c>
      <c r="C28" s="11"/>
      <c r="D28" s="3"/>
      <c r="E28" s="3"/>
      <c r="F28" s="3"/>
      <c r="G28" s="3"/>
      <c r="H28" s="13">
        <v>1</v>
      </c>
      <c r="I28" s="13">
        <v>1</v>
      </c>
      <c r="J28" s="13">
        <v>0.5</v>
      </c>
      <c r="K28" s="13">
        <v>1</v>
      </c>
      <c r="L28" s="13">
        <v>1</v>
      </c>
      <c r="M28" s="13">
        <v>1</v>
      </c>
      <c r="N28" s="13">
        <v>0.5</v>
      </c>
      <c r="O28" s="13"/>
    </row>
    <row r="29" spans="1:18" x14ac:dyDescent="0.55000000000000004">
      <c r="A29" s="3" t="s">
        <v>45</v>
      </c>
      <c r="B29" s="11">
        <v>800000</v>
      </c>
      <c r="C29" s="11"/>
      <c r="D29" s="3"/>
      <c r="E29" s="3"/>
      <c r="F29" s="3"/>
      <c r="G29" s="3"/>
      <c r="H29" s="13">
        <v>1</v>
      </c>
      <c r="I29" s="13">
        <v>1</v>
      </c>
      <c r="J29" s="13">
        <v>2</v>
      </c>
      <c r="K29" s="13">
        <v>2</v>
      </c>
      <c r="L29" s="13">
        <v>2</v>
      </c>
      <c r="M29" s="13">
        <v>1</v>
      </c>
      <c r="N29" s="13">
        <v>0.5</v>
      </c>
      <c r="O29" s="12"/>
      <c r="P29" s="6" t="s">
        <v>40</v>
      </c>
      <c r="Q29" s="6" t="s">
        <v>41</v>
      </c>
      <c r="R29" s="6" t="s">
        <v>42</v>
      </c>
    </row>
    <row r="30" spans="1:18" x14ac:dyDescent="0.55000000000000004">
      <c r="A30" s="6" t="s">
        <v>29</v>
      </c>
      <c r="B30" s="6"/>
      <c r="C30" s="6"/>
      <c r="D30" s="6"/>
      <c r="E30" s="14">
        <f>($B28*E23)+($B29*E24)</f>
        <v>0</v>
      </c>
      <c r="F30" s="14">
        <f>($B28*F23)+($B29*F24)</f>
        <v>0</v>
      </c>
      <c r="G30" s="14">
        <f>($B28*G23)+($B29*G24)</f>
        <v>0</v>
      </c>
      <c r="H30" s="14">
        <f>($B28*H28)+($B29*H29)</f>
        <v>1320000</v>
      </c>
      <c r="I30" s="14">
        <f t="shared" ref="I30:O30" si="2">($B28*I28)+($B29*I29)</f>
        <v>1320000</v>
      </c>
      <c r="J30" s="14">
        <f t="shared" si="2"/>
        <v>1860000</v>
      </c>
      <c r="K30" s="14">
        <f t="shared" si="2"/>
        <v>2120000</v>
      </c>
      <c r="L30" s="14">
        <f t="shared" si="2"/>
        <v>2120000</v>
      </c>
      <c r="M30" s="14">
        <f t="shared" si="2"/>
        <v>1320000</v>
      </c>
      <c r="N30" s="14">
        <f t="shared" si="2"/>
        <v>660000</v>
      </c>
      <c r="O30" s="14">
        <f t="shared" si="2"/>
        <v>0</v>
      </c>
      <c r="P30" s="14">
        <f>SUM(D30:O30)</f>
        <v>10720000</v>
      </c>
      <c r="Q30" s="14">
        <f>C20-P30</f>
        <v>4200000</v>
      </c>
      <c r="R30" s="16">
        <f>Q30/C20</f>
        <v>0.28150134048257375</v>
      </c>
    </row>
  </sheetData>
  <phoneticPr fontId="3"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6FFA-12BA-4A12-AAF9-B626251AA0AF}">
  <sheetPr codeName="Sheet1"/>
  <dimension ref="A2:R30"/>
  <sheetViews>
    <sheetView workbookViewId="0">
      <selection activeCell="B13" sqref="B13"/>
    </sheetView>
  </sheetViews>
  <sheetFormatPr defaultColWidth="8.75" defaultRowHeight="18" x14ac:dyDescent="0.55000000000000004"/>
  <cols>
    <col min="1" max="1" width="15" style="1" bestFit="1" customWidth="1"/>
    <col min="2" max="2" width="11.83203125" style="1" customWidth="1"/>
    <col min="3" max="3" width="12.08203125" style="1" customWidth="1"/>
    <col min="4" max="5" width="12.58203125" style="1" customWidth="1"/>
    <col min="6" max="7" width="12.58203125" style="1" bestFit="1" customWidth="1"/>
    <col min="8" max="8" width="12.58203125" style="1" customWidth="1"/>
    <col min="9" max="13" width="12.58203125" style="1" bestFit="1" customWidth="1"/>
    <col min="14" max="15" width="13.75" style="1" bestFit="1" customWidth="1"/>
    <col min="16" max="16" width="13.75" style="1" customWidth="1"/>
    <col min="17" max="17" width="12.75" style="1" customWidth="1"/>
    <col min="18" max="16384" width="8.75" style="1"/>
  </cols>
  <sheetData>
    <row r="2" spans="1:15" x14ac:dyDescent="0.55000000000000004">
      <c r="A2" s="20" t="s">
        <v>0</v>
      </c>
    </row>
    <row r="3" spans="1:15" x14ac:dyDescent="0.55000000000000004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</row>
    <row r="4" spans="1:15" hidden="1" x14ac:dyDescent="0.55000000000000004">
      <c r="A4" s="3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idden="1" x14ac:dyDescent="0.55000000000000004">
      <c r="A5" s="3" t="s">
        <v>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idden="1" x14ac:dyDescent="0.55000000000000004">
      <c r="A6" s="3" t="s">
        <v>18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idden="1" x14ac:dyDescent="0.55000000000000004">
      <c r="A7" s="3" t="s">
        <v>19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idden="1" x14ac:dyDescent="0.55000000000000004">
      <c r="A8" s="3" t="s">
        <v>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idden="1" x14ac:dyDescent="0.5500000000000000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55000000000000004">
      <c r="A10" s="3" t="s">
        <v>21</v>
      </c>
      <c r="B10" s="4">
        <v>1</v>
      </c>
      <c r="C10" s="5">
        <f>B10*1000000</f>
        <v>1000000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55000000000000004">
      <c r="A11" s="3" t="s">
        <v>22</v>
      </c>
      <c r="B11" s="4">
        <v>1</v>
      </c>
      <c r="C11" s="5">
        <f t="shared" ref="C11:C17" si="0">B11*1000000</f>
        <v>1000000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55000000000000004">
      <c r="A12" s="3" t="s">
        <v>23</v>
      </c>
      <c r="B12" s="4">
        <v>2</v>
      </c>
      <c r="C12" s="5">
        <f t="shared" si="0"/>
        <v>2000000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55000000000000004">
      <c r="A13" s="3" t="s">
        <v>24</v>
      </c>
      <c r="B13" s="4">
        <v>4</v>
      </c>
      <c r="C13" s="5">
        <f t="shared" si="0"/>
        <v>4000000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55000000000000004">
      <c r="A14" s="3" t="s">
        <v>25</v>
      </c>
      <c r="B14" s="4">
        <v>2</v>
      </c>
      <c r="C14" s="5">
        <f t="shared" si="0"/>
        <v>2000000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55000000000000004">
      <c r="A15" s="3" t="s">
        <v>26</v>
      </c>
      <c r="B15" s="4">
        <v>0.5</v>
      </c>
      <c r="C15" s="5">
        <f t="shared" si="0"/>
        <v>500000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55000000000000004">
      <c r="A16" s="3" t="s">
        <v>27</v>
      </c>
      <c r="B16" s="4">
        <v>1</v>
      </c>
      <c r="C16" s="5">
        <f t="shared" si="0"/>
        <v>1000000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8" x14ac:dyDescent="0.55000000000000004">
      <c r="A17" s="3" t="s">
        <v>28</v>
      </c>
      <c r="B17" s="4">
        <v>1</v>
      </c>
      <c r="C17" s="5">
        <f t="shared" si="0"/>
        <v>1000000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8" x14ac:dyDescent="0.55000000000000004">
      <c r="A18" s="6" t="s">
        <v>29</v>
      </c>
      <c r="B18" s="7">
        <f>SUM(B10:B17)</f>
        <v>12.5</v>
      </c>
      <c r="C18" s="8">
        <f>SUM(C10:C17)</f>
        <v>12500000</v>
      </c>
    </row>
    <row r="19" spans="1:18" x14ac:dyDescent="0.55000000000000004">
      <c r="A19" s="6" t="s">
        <v>30</v>
      </c>
      <c r="B19" s="7">
        <v>2.2999999999999998</v>
      </c>
      <c r="C19" s="8">
        <f>B19*1400000</f>
        <v>3219999.9999999995</v>
      </c>
    </row>
    <row r="20" spans="1:18" x14ac:dyDescent="0.55000000000000004">
      <c r="A20" s="6" t="s">
        <v>29</v>
      </c>
      <c r="B20" s="7">
        <f>SUM(B18:B19)</f>
        <v>14.8</v>
      </c>
      <c r="C20" s="8">
        <f>SUM(C18:C19)</f>
        <v>15720000</v>
      </c>
    </row>
    <row r="21" spans="1:18" x14ac:dyDescent="0.55000000000000004">
      <c r="B21" s="9"/>
      <c r="C21" s="10"/>
    </row>
    <row r="22" spans="1:18" x14ac:dyDescent="0.55000000000000004">
      <c r="A22" s="20" t="s">
        <v>31</v>
      </c>
    </row>
    <row r="23" spans="1:18" x14ac:dyDescent="0.55000000000000004">
      <c r="A23" s="3" t="s">
        <v>32</v>
      </c>
      <c r="B23" s="11">
        <v>1400000</v>
      </c>
      <c r="C23" s="11"/>
      <c r="D23" s="12"/>
      <c r="E23" s="13"/>
      <c r="F23" s="13"/>
      <c r="G23" s="13"/>
      <c r="H23" s="13">
        <v>0.5</v>
      </c>
      <c r="I23" s="13">
        <v>0.5</v>
      </c>
      <c r="J23" s="13">
        <v>0.5</v>
      </c>
      <c r="K23" s="13">
        <v>0.5</v>
      </c>
      <c r="L23" s="13">
        <v>0.5</v>
      </c>
      <c r="M23" s="13">
        <v>0.5</v>
      </c>
      <c r="N23" s="13">
        <v>0.25</v>
      </c>
      <c r="O23" s="13"/>
      <c r="Q23" s="17"/>
    </row>
    <row r="24" spans="1:18" x14ac:dyDescent="0.55000000000000004">
      <c r="A24" s="3" t="s">
        <v>43</v>
      </c>
      <c r="B24" s="11">
        <v>1000000</v>
      </c>
      <c r="C24" s="11"/>
      <c r="D24" s="12"/>
      <c r="E24" s="13"/>
      <c r="F24" s="13"/>
      <c r="G24" s="13"/>
      <c r="H24" s="13">
        <v>1</v>
      </c>
      <c r="I24" s="13">
        <v>1</v>
      </c>
      <c r="J24" s="13">
        <v>2</v>
      </c>
      <c r="K24" s="13">
        <v>2</v>
      </c>
      <c r="L24" s="13">
        <v>2</v>
      </c>
      <c r="M24" s="13">
        <v>1</v>
      </c>
      <c r="N24" s="13">
        <v>1</v>
      </c>
      <c r="O24" s="12"/>
      <c r="P24" s="15" t="s">
        <v>37</v>
      </c>
      <c r="Q24" s="18"/>
    </row>
    <row r="25" spans="1:18" x14ac:dyDescent="0.55000000000000004">
      <c r="A25" s="6" t="s">
        <v>29</v>
      </c>
      <c r="B25" s="6"/>
      <c r="C25" s="6"/>
      <c r="D25" s="6"/>
      <c r="E25" s="14">
        <f t="shared" ref="E25:O25" si="1">($B23*E23)+($B24*E24)</f>
        <v>0</v>
      </c>
      <c r="F25" s="14">
        <f t="shared" si="1"/>
        <v>0</v>
      </c>
      <c r="G25" s="14">
        <f t="shared" si="1"/>
        <v>0</v>
      </c>
      <c r="H25" s="14">
        <f t="shared" si="1"/>
        <v>1700000</v>
      </c>
      <c r="I25" s="14">
        <f t="shared" si="1"/>
        <v>1700000</v>
      </c>
      <c r="J25" s="14">
        <f t="shared" si="1"/>
        <v>2700000</v>
      </c>
      <c r="K25" s="14">
        <f t="shared" si="1"/>
        <v>2700000</v>
      </c>
      <c r="L25" s="14">
        <f t="shared" si="1"/>
        <v>2700000</v>
      </c>
      <c r="M25" s="14">
        <f t="shared" si="1"/>
        <v>1700000</v>
      </c>
      <c r="N25" s="14">
        <f t="shared" si="1"/>
        <v>1350000</v>
      </c>
      <c r="O25" s="14">
        <f t="shared" si="1"/>
        <v>0</v>
      </c>
      <c r="P25" s="14">
        <f>SUM(D25:O25)</f>
        <v>14550000</v>
      </c>
      <c r="Q25" s="19"/>
    </row>
    <row r="26" spans="1:18" x14ac:dyDescent="0.55000000000000004">
      <c r="E26" s="2"/>
      <c r="F26" s="2"/>
      <c r="G26" s="2"/>
      <c r="H26" s="2"/>
      <c r="I26" s="2"/>
      <c r="J26" s="2"/>
      <c r="K26" s="2"/>
      <c r="L26" s="2"/>
      <c r="M26" s="2"/>
    </row>
    <row r="27" spans="1:18" x14ac:dyDescent="0.55000000000000004">
      <c r="A27" s="21" t="s">
        <v>38</v>
      </c>
    </row>
    <row r="28" spans="1:18" x14ac:dyDescent="0.55000000000000004">
      <c r="A28" s="3" t="s">
        <v>44</v>
      </c>
      <c r="B28" s="11">
        <v>520000</v>
      </c>
      <c r="C28" s="11"/>
      <c r="D28" s="3"/>
      <c r="E28" s="3"/>
      <c r="F28" s="3"/>
      <c r="G28" s="3"/>
      <c r="H28" s="13">
        <v>1</v>
      </c>
      <c r="I28" s="13">
        <v>1</v>
      </c>
      <c r="J28" s="13">
        <v>0.5</v>
      </c>
      <c r="K28" s="13">
        <v>1</v>
      </c>
      <c r="L28" s="13">
        <v>1</v>
      </c>
      <c r="M28" s="13">
        <v>1</v>
      </c>
      <c r="N28" s="13">
        <v>0.5</v>
      </c>
      <c r="O28" s="13"/>
    </row>
    <row r="29" spans="1:18" x14ac:dyDescent="0.55000000000000004">
      <c r="A29" s="3" t="s">
        <v>45</v>
      </c>
      <c r="B29" s="11">
        <v>800000</v>
      </c>
      <c r="C29" s="11"/>
      <c r="D29" s="3"/>
      <c r="E29" s="3"/>
      <c r="F29" s="3"/>
      <c r="G29" s="3"/>
      <c r="H29" s="13">
        <v>1</v>
      </c>
      <c r="I29" s="13">
        <v>1</v>
      </c>
      <c r="J29" s="13">
        <v>2</v>
      </c>
      <c r="K29" s="13">
        <v>2</v>
      </c>
      <c r="L29" s="13">
        <v>2</v>
      </c>
      <c r="M29" s="13">
        <v>1</v>
      </c>
      <c r="N29" s="13">
        <v>0.5</v>
      </c>
      <c r="O29" s="12"/>
      <c r="P29" s="6" t="s">
        <v>40</v>
      </c>
      <c r="Q29" s="6" t="s">
        <v>41</v>
      </c>
      <c r="R29" s="6" t="s">
        <v>42</v>
      </c>
    </row>
    <row r="30" spans="1:18" x14ac:dyDescent="0.55000000000000004">
      <c r="A30" s="6" t="s">
        <v>29</v>
      </c>
      <c r="B30" s="6"/>
      <c r="C30" s="6"/>
      <c r="D30" s="6"/>
      <c r="E30" s="14">
        <f>($B28*E23)+($B29*E24)</f>
        <v>0</v>
      </c>
      <c r="F30" s="14">
        <f>($B28*F23)+($B29*F24)</f>
        <v>0</v>
      </c>
      <c r="G30" s="14">
        <f>($B28*G23)+($B29*G24)</f>
        <v>0</v>
      </c>
      <c r="H30" s="14">
        <f>($B28*H28)+($B29*H29)</f>
        <v>1320000</v>
      </c>
      <c r="I30" s="14">
        <f t="shared" ref="I30:O30" si="2">($B28*I28)+($B29*I29)</f>
        <v>1320000</v>
      </c>
      <c r="J30" s="14">
        <f t="shared" si="2"/>
        <v>1860000</v>
      </c>
      <c r="K30" s="14">
        <f t="shared" si="2"/>
        <v>2120000</v>
      </c>
      <c r="L30" s="14">
        <f t="shared" si="2"/>
        <v>2120000</v>
      </c>
      <c r="M30" s="14">
        <f t="shared" si="2"/>
        <v>1320000</v>
      </c>
      <c r="N30" s="14">
        <f t="shared" si="2"/>
        <v>660000</v>
      </c>
      <c r="O30" s="14">
        <f t="shared" si="2"/>
        <v>0</v>
      </c>
      <c r="P30" s="14">
        <f>SUM(D30:O30)</f>
        <v>10720000</v>
      </c>
      <c r="Q30" s="14">
        <f>C20-P30</f>
        <v>5000000</v>
      </c>
      <c r="R30" s="16">
        <f>Q30/C20</f>
        <v>0.31806615776081426</v>
      </c>
    </row>
  </sheetData>
  <phoneticPr fontId="3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D7D0-CFA5-43FF-94B3-BBDF41F54651}">
  <sheetPr codeName="Sheet3"/>
  <dimension ref="A2:R30"/>
  <sheetViews>
    <sheetView workbookViewId="0">
      <selection activeCell="H28" sqref="H28:K28"/>
    </sheetView>
  </sheetViews>
  <sheetFormatPr defaultColWidth="8.75" defaultRowHeight="18" x14ac:dyDescent="0.55000000000000004"/>
  <cols>
    <col min="1" max="1" width="15" style="1" bestFit="1" customWidth="1"/>
    <col min="2" max="2" width="11.83203125" style="1" customWidth="1"/>
    <col min="3" max="3" width="12.08203125" style="1" customWidth="1"/>
    <col min="4" max="5" width="12.58203125" style="1" customWidth="1"/>
    <col min="6" max="7" width="12.58203125" style="1" bestFit="1" customWidth="1"/>
    <col min="8" max="8" width="12.58203125" style="1" customWidth="1"/>
    <col min="9" max="13" width="12.58203125" style="1" bestFit="1" customWidth="1"/>
    <col min="14" max="15" width="13.75" style="1" bestFit="1" customWidth="1"/>
    <col min="16" max="16" width="13.75" style="1" customWidth="1"/>
    <col min="17" max="17" width="12.75" style="1" customWidth="1"/>
    <col min="18" max="16384" width="8.75" style="1"/>
  </cols>
  <sheetData>
    <row r="2" spans="1:15" x14ac:dyDescent="0.55000000000000004">
      <c r="A2" s="20" t="s">
        <v>0</v>
      </c>
    </row>
    <row r="3" spans="1:15" x14ac:dyDescent="0.55000000000000004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</row>
    <row r="4" spans="1:15" hidden="1" x14ac:dyDescent="0.55000000000000004">
      <c r="A4" s="3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idden="1" x14ac:dyDescent="0.55000000000000004">
      <c r="A5" s="3" t="s">
        <v>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idden="1" x14ac:dyDescent="0.55000000000000004">
      <c r="A6" s="3" t="s">
        <v>18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idden="1" x14ac:dyDescent="0.55000000000000004">
      <c r="A7" s="3" t="s">
        <v>19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idden="1" x14ac:dyDescent="0.55000000000000004">
      <c r="A8" s="3" t="s">
        <v>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idden="1" x14ac:dyDescent="0.5500000000000000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55000000000000004">
      <c r="A10" s="3" t="s">
        <v>21</v>
      </c>
      <c r="B10" s="4">
        <v>0.3</v>
      </c>
      <c r="C10" s="5">
        <f>B10*1000000</f>
        <v>300000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55000000000000004">
      <c r="A11" s="3" t="s">
        <v>22</v>
      </c>
      <c r="B11" s="4">
        <v>0.2</v>
      </c>
      <c r="C11" s="5">
        <f t="shared" ref="C11:C17" si="0">B11*1000000</f>
        <v>200000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55000000000000004">
      <c r="A12" s="3" t="s">
        <v>23</v>
      </c>
      <c r="B12" s="4">
        <v>0.5</v>
      </c>
      <c r="C12" s="5">
        <f t="shared" si="0"/>
        <v>500000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55000000000000004">
      <c r="A13" s="3" t="s">
        <v>24</v>
      </c>
      <c r="B13" s="4">
        <v>0.5</v>
      </c>
      <c r="C13" s="5">
        <f t="shared" si="0"/>
        <v>500000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55000000000000004">
      <c r="A14" s="3" t="s">
        <v>25</v>
      </c>
      <c r="B14" s="4">
        <v>1</v>
      </c>
      <c r="C14" s="5">
        <f t="shared" si="0"/>
        <v>1000000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55000000000000004">
      <c r="A15" s="3" t="s">
        <v>26</v>
      </c>
      <c r="B15" s="4">
        <v>0.3</v>
      </c>
      <c r="C15" s="5">
        <f t="shared" si="0"/>
        <v>300000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55000000000000004">
      <c r="A16" s="3" t="s">
        <v>27</v>
      </c>
      <c r="B16" s="4">
        <v>0.5</v>
      </c>
      <c r="C16" s="5">
        <f t="shared" si="0"/>
        <v>500000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8" x14ac:dyDescent="0.55000000000000004">
      <c r="A17" s="3" t="s">
        <v>28</v>
      </c>
      <c r="B17" s="4">
        <v>0.5</v>
      </c>
      <c r="C17" s="5">
        <f t="shared" si="0"/>
        <v>500000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8" x14ac:dyDescent="0.55000000000000004">
      <c r="A18" s="6" t="s">
        <v>29</v>
      </c>
      <c r="B18" s="7">
        <f>SUM(B10:B17)</f>
        <v>3.8</v>
      </c>
      <c r="C18" s="8">
        <f>SUM(C10:C17)</f>
        <v>3800000</v>
      </c>
    </row>
    <row r="19" spans="1:18" x14ac:dyDescent="0.55000000000000004">
      <c r="A19" s="6" t="s">
        <v>30</v>
      </c>
      <c r="B19" s="7">
        <f>ROUNDUP(B18*0.15,1)</f>
        <v>0.6</v>
      </c>
      <c r="C19" s="8">
        <f>B19*1400000</f>
        <v>840000</v>
      </c>
    </row>
    <row r="20" spans="1:18" x14ac:dyDescent="0.55000000000000004">
      <c r="A20" s="6" t="s">
        <v>29</v>
      </c>
      <c r="B20" s="7">
        <f>SUM(B18:B19)</f>
        <v>4.3999999999999995</v>
      </c>
      <c r="C20" s="8">
        <f>SUM(C18:C19)</f>
        <v>4640000</v>
      </c>
    </row>
    <row r="21" spans="1:18" x14ac:dyDescent="0.55000000000000004">
      <c r="B21" s="9"/>
      <c r="C21" s="10"/>
    </row>
    <row r="22" spans="1:18" x14ac:dyDescent="0.55000000000000004">
      <c r="A22" s="20" t="s">
        <v>31</v>
      </c>
    </row>
    <row r="23" spans="1:18" x14ac:dyDescent="0.55000000000000004">
      <c r="A23" s="3" t="s">
        <v>32</v>
      </c>
      <c r="B23" s="11">
        <v>1400000</v>
      </c>
      <c r="C23" s="11"/>
      <c r="D23" s="12"/>
      <c r="E23" s="13"/>
      <c r="F23" s="13"/>
      <c r="G23" s="13"/>
      <c r="H23" s="13">
        <v>0.1</v>
      </c>
      <c r="I23" s="13">
        <v>0.1</v>
      </c>
      <c r="J23" s="13">
        <v>0.1</v>
      </c>
      <c r="K23" s="13">
        <v>0.1</v>
      </c>
      <c r="L23" s="13"/>
      <c r="M23" s="13"/>
      <c r="N23" s="13"/>
      <c r="O23" s="13"/>
      <c r="Q23" s="17"/>
    </row>
    <row r="24" spans="1:18" x14ac:dyDescent="0.55000000000000004">
      <c r="A24" s="3" t="s">
        <v>43</v>
      </c>
      <c r="B24" s="11">
        <v>1000000</v>
      </c>
      <c r="C24" s="11"/>
      <c r="D24" s="12"/>
      <c r="E24" s="13"/>
      <c r="F24" s="13"/>
      <c r="G24" s="13"/>
      <c r="H24" s="13">
        <v>1</v>
      </c>
      <c r="I24" s="13">
        <v>1</v>
      </c>
      <c r="J24" s="13">
        <v>1</v>
      </c>
      <c r="K24" s="13">
        <v>1</v>
      </c>
      <c r="L24" s="13"/>
      <c r="M24" s="13"/>
      <c r="N24" s="12"/>
      <c r="O24" s="12"/>
      <c r="P24" s="15" t="s">
        <v>37</v>
      </c>
      <c r="Q24" s="18"/>
    </row>
    <row r="25" spans="1:18" x14ac:dyDescent="0.55000000000000004">
      <c r="A25" s="6" t="s">
        <v>29</v>
      </c>
      <c r="B25" s="6"/>
      <c r="C25" s="6"/>
      <c r="D25" s="6"/>
      <c r="E25" s="14">
        <f t="shared" ref="E25:O25" si="1">($B23*E23)+($B24*E24)</f>
        <v>0</v>
      </c>
      <c r="F25" s="14">
        <f t="shared" si="1"/>
        <v>0</v>
      </c>
      <c r="G25" s="14">
        <f t="shared" si="1"/>
        <v>0</v>
      </c>
      <c r="H25" s="14">
        <f t="shared" si="1"/>
        <v>1140000</v>
      </c>
      <c r="I25" s="14">
        <f t="shared" si="1"/>
        <v>1140000</v>
      </c>
      <c r="J25" s="14">
        <f t="shared" si="1"/>
        <v>1140000</v>
      </c>
      <c r="K25" s="14">
        <f t="shared" si="1"/>
        <v>1140000</v>
      </c>
      <c r="L25" s="14">
        <f t="shared" si="1"/>
        <v>0</v>
      </c>
      <c r="M25" s="14">
        <f t="shared" si="1"/>
        <v>0</v>
      </c>
      <c r="N25" s="14">
        <f t="shared" si="1"/>
        <v>0</v>
      </c>
      <c r="O25" s="14">
        <f t="shared" si="1"/>
        <v>0</v>
      </c>
      <c r="P25" s="14">
        <f>SUM(D25:O25)</f>
        <v>4560000</v>
      </c>
      <c r="Q25" s="19"/>
    </row>
    <row r="26" spans="1:18" x14ac:dyDescent="0.55000000000000004">
      <c r="E26" s="2"/>
      <c r="F26" s="2"/>
      <c r="G26" s="2"/>
      <c r="H26" s="2"/>
      <c r="I26" s="2"/>
      <c r="J26" s="2"/>
      <c r="K26" s="2"/>
      <c r="L26" s="2"/>
      <c r="M26" s="2"/>
    </row>
    <row r="27" spans="1:18" x14ac:dyDescent="0.55000000000000004">
      <c r="A27" s="21" t="s">
        <v>38</v>
      </c>
    </row>
    <row r="28" spans="1:18" x14ac:dyDescent="0.55000000000000004">
      <c r="A28" s="3" t="s">
        <v>44</v>
      </c>
      <c r="B28" s="11">
        <v>520000</v>
      </c>
      <c r="C28" s="11"/>
      <c r="D28" s="3"/>
      <c r="E28" s="3"/>
      <c r="F28" s="3"/>
      <c r="G28" s="3"/>
      <c r="H28" s="13">
        <v>0.1</v>
      </c>
      <c r="I28" s="13">
        <v>0.1</v>
      </c>
      <c r="J28" s="13">
        <v>0.1</v>
      </c>
      <c r="K28" s="13">
        <v>0.1</v>
      </c>
      <c r="L28" s="13"/>
      <c r="M28" s="13"/>
      <c r="N28" s="13"/>
      <c r="O28" s="13"/>
    </row>
    <row r="29" spans="1:18" x14ac:dyDescent="0.55000000000000004">
      <c r="A29" s="3" t="s">
        <v>45</v>
      </c>
      <c r="B29" s="11">
        <v>800000</v>
      </c>
      <c r="C29" s="11"/>
      <c r="D29" s="3"/>
      <c r="E29" s="3"/>
      <c r="F29" s="3"/>
      <c r="G29" s="3"/>
      <c r="H29" s="13">
        <v>1</v>
      </c>
      <c r="I29" s="13">
        <v>1</v>
      </c>
      <c r="J29" s="13">
        <v>1</v>
      </c>
      <c r="K29" s="13">
        <v>1</v>
      </c>
      <c r="L29" s="13"/>
      <c r="M29" s="13"/>
      <c r="N29" s="12"/>
      <c r="O29" s="12"/>
      <c r="P29" s="6" t="s">
        <v>40</v>
      </c>
      <c r="Q29" s="6" t="s">
        <v>41</v>
      </c>
      <c r="R29" s="6" t="s">
        <v>42</v>
      </c>
    </row>
    <row r="30" spans="1:18" x14ac:dyDescent="0.55000000000000004">
      <c r="A30" s="6" t="s">
        <v>29</v>
      </c>
      <c r="B30" s="6"/>
      <c r="C30" s="6"/>
      <c r="D30" s="6"/>
      <c r="E30" s="14">
        <f>($B28*E23)+($B29*E24)</f>
        <v>0</v>
      </c>
      <c r="F30" s="14">
        <f>($B28*F23)+($B29*F24)</f>
        <v>0</v>
      </c>
      <c r="G30" s="14">
        <f>($B28*G23)+($B29*G24)</f>
        <v>0</v>
      </c>
      <c r="H30" s="14">
        <f>($B28*H28)+($B29*H29)</f>
        <v>852000</v>
      </c>
      <c r="I30" s="14">
        <f t="shared" ref="I30:O30" si="2">($B28*I28)+($B29*I29)</f>
        <v>852000</v>
      </c>
      <c r="J30" s="14">
        <f t="shared" si="2"/>
        <v>852000</v>
      </c>
      <c r="K30" s="14">
        <f t="shared" si="2"/>
        <v>852000</v>
      </c>
      <c r="L30" s="14">
        <f t="shared" si="2"/>
        <v>0</v>
      </c>
      <c r="M30" s="14">
        <f t="shared" si="2"/>
        <v>0</v>
      </c>
      <c r="N30" s="14">
        <f t="shared" si="2"/>
        <v>0</v>
      </c>
      <c r="O30" s="14">
        <f t="shared" si="2"/>
        <v>0</v>
      </c>
      <c r="P30" s="14">
        <f>SUM(D30:O30)</f>
        <v>3408000</v>
      </c>
      <c r="Q30" s="14">
        <f>C20-P30</f>
        <v>1232000</v>
      </c>
      <c r="R30" s="16">
        <f>Q30/C20</f>
        <v>0.26551724137931032</v>
      </c>
    </row>
  </sheetData>
  <phoneticPr fontId="3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0D34-7400-4427-965C-29D678988FBE}">
  <sheetPr codeName="Sheet4"/>
  <dimension ref="A2:R30"/>
  <sheetViews>
    <sheetView zoomScaleNormal="100" workbookViewId="0">
      <selection activeCell="H18" sqref="H18:H22"/>
    </sheetView>
  </sheetViews>
  <sheetFormatPr defaultColWidth="8.75" defaultRowHeight="18" x14ac:dyDescent="0.55000000000000004"/>
  <cols>
    <col min="1" max="1" width="15" style="1" bestFit="1" customWidth="1"/>
    <col min="2" max="2" width="11.83203125" style="1" customWidth="1"/>
    <col min="3" max="3" width="12.08203125" style="1" customWidth="1"/>
    <col min="4" max="5" width="12.58203125" style="1" customWidth="1"/>
    <col min="6" max="7" width="12.58203125" style="1" bestFit="1" customWidth="1"/>
    <col min="8" max="8" width="12.58203125" style="1" customWidth="1"/>
    <col min="9" max="13" width="12.58203125" style="1" bestFit="1" customWidth="1"/>
    <col min="14" max="15" width="13.75" style="1" bestFit="1" customWidth="1"/>
    <col min="16" max="16" width="13.75" style="1" customWidth="1"/>
    <col min="17" max="17" width="12.75" style="1" customWidth="1"/>
    <col min="18" max="16384" width="8.75" style="1"/>
  </cols>
  <sheetData>
    <row r="2" spans="1:15" x14ac:dyDescent="0.55000000000000004">
      <c r="A2" s="20" t="s">
        <v>0</v>
      </c>
    </row>
    <row r="3" spans="1:15" x14ac:dyDescent="0.55000000000000004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</row>
    <row r="4" spans="1:15" hidden="1" x14ac:dyDescent="0.55000000000000004">
      <c r="A4" s="3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idden="1" x14ac:dyDescent="0.55000000000000004">
      <c r="A5" s="3" t="s">
        <v>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idden="1" x14ac:dyDescent="0.55000000000000004">
      <c r="A6" s="3" t="s">
        <v>18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idden="1" x14ac:dyDescent="0.55000000000000004">
      <c r="A7" s="3" t="s">
        <v>19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idden="1" x14ac:dyDescent="0.55000000000000004">
      <c r="A8" s="3" t="s">
        <v>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idden="1" x14ac:dyDescent="0.5500000000000000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55000000000000004">
      <c r="A10" s="3" t="s">
        <v>21</v>
      </c>
      <c r="B10" s="4">
        <v>0.5</v>
      </c>
      <c r="C10" s="5">
        <f>B10*1000000</f>
        <v>500000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55000000000000004">
      <c r="A11" s="3" t="s">
        <v>22</v>
      </c>
      <c r="B11" s="4">
        <v>0.3</v>
      </c>
      <c r="C11" s="5">
        <f t="shared" ref="C11:C17" si="0">B11*1000000</f>
        <v>300000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55000000000000004">
      <c r="A12" s="3" t="s">
        <v>23</v>
      </c>
      <c r="B12" s="4">
        <v>1.5</v>
      </c>
      <c r="C12" s="5">
        <f t="shared" si="0"/>
        <v>1500000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55000000000000004">
      <c r="A13" s="3" t="s">
        <v>24</v>
      </c>
      <c r="B13" s="4">
        <v>2</v>
      </c>
      <c r="C13" s="5">
        <f t="shared" si="0"/>
        <v>2000000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55000000000000004">
      <c r="A14" s="3" t="s">
        <v>25</v>
      </c>
      <c r="B14" s="4">
        <v>0.2</v>
      </c>
      <c r="C14" s="5">
        <f t="shared" si="0"/>
        <v>200000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55000000000000004">
      <c r="A15" s="3" t="s">
        <v>26</v>
      </c>
      <c r="B15" s="4">
        <v>0.3</v>
      </c>
      <c r="C15" s="5">
        <f t="shared" si="0"/>
        <v>300000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55000000000000004">
      <c r="A16" s="3" t="s">
        <v>27</v>
      </c>
      <c r="B16" s="4">
        <v>0.5</v>
      </c>
      <c r="C16" s="5">
        <f t="shared" si="0"/>
        <v>500000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8" x14ac:dyDescent="0.55000000000000004">
      <c r="A17" s="3" t="s">
        <v>28</v>
      </c>
      <c r="B17" s="4">
        <v>0.2</v>
      </c>
      <c r="C17" s="5">
        <f t="shared" si="0"/>
        <v>200000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8" x14ac:dyDescent="0.55000000000000004">
      <c r="A18" s="6" t="s">
        <v>29</v>
      </c>
      <c r="B18" s="7">
        <f>SUM(B10:B17)</f>
        <v>5.5</v>
      </c>
      <c r="C18" s="8">
        <f>SUM(C10:C17)</f>
        <v>5500000</v>
      </c>
    </row>
    <row r="19" spans="1:18" x14ac:dyDescent="0.55000000000000004">
      <c r="A19" s="6" t="s">
        <v>30</v>
      </c>
      <c r="B19" s="7">
        <v>0.8</v>
      </c>
      <c r="C19" s="8">
        <f>B19*1400000</f>
        <v>1120000</v>
      </c>
    </row>
    <row r="20" spans="1:18" x14ac:dyDescent="0.55000000000000004">
      <c r="A20" s="6" t="s">
        <v>29</v>
      </c>
      <c r="B20" s="7">
        <f>SUM(B18:B19)</f>
        <v>6.3</v>
      </c>
      <c r="C20" s="8">
        <f>SUM(C18:C19)</f>
        <v>6620000</v>
      </c>
    </row>
    <row r="21" spans="1:18" x14ac:dyDescent="0.55000000000000004">
      <c r="B21" s="9"/>
      <c r="C21" s="10"/>
    </row>
    <row r="22" spans="1:18" x14ac:dyDescent="0.55000000000000004">
      <c r="A22" s="20" t="s">
        <v>31</v>
      </c>
    </row>
    <row r="23" spans="1:18" x14ac:dyDescent="0.55000000000000004">
      <c r="A23" s="3" t="s">
        <v>32</v>
      </c>
      <c r="B23" s="11">
        <v>1400000</v>
      </c>
      <c r="C23" s="11"/>
      <c r="D23" s="12"/>
      <c r="E23" s="13"/>
      <c r="F23" s="13"/>
      <c r="G23" s="13"/>
      <c r="H23" s="13">
        <v>0.2</v>
      </c>
      <c r="I23" s="13">
        <v>0.2</v>
      </c>
      <c r="J23" s="13">
        <v>0.2</v>
      </c>
      <c r="K23" s="13">
        <v>0.2</v>
      </c>
      <c r="L23" s="13">
        <v>0.2</v>
      </c>
      <c r="M23" s="13">
        <v>0.05</v>
      </c>
      <c r="N23" s="13"/>
      <c r="O23" s="13"/>
      <c r="Q23" s="17"/>
    </row>
    <row r="24" spans="1:18" x14ac:dyDescent="0.55000000000000004">
      <c r="A24" s="3" t="s">
        <v>43</v>
      </c>
      <c r="B24" s="11">
        <v>1000000</v>
      </c>
      <c r="C24" s="11"/>
      <c r="D24" s="12"/>
      <c r="E24" s="13"/>
      <c r="F24" s="13"/>
      <c r="G24" s="13"/>
      <c r="H24" s="13">
        <v>1</v>
      </c>
      <c r="I24" s="13">
        <v>1</v>
      </c>
      <c r="J24" s="13">
        <v>1</v>
      </c>
      <c r="K24" s="13">
        <v>1</v>
      </c>
      <c r="L24" s="13">
        <v>1</v>
      </c>
      <c r="M24" s="13">
        <v>0.15</v>
      </c>
      <c r="N24" s="12"/>
      <c r="O24" s="12"/>
      <c r="P24" s="15" t="s">
        <v>37</v>
      </c>
      <c r="Q24" s="18"/>
    </row>
    <row r="25" spans="1:18" x14ac:dyDescent="0.55000000000000004">
      <c r="A25" s="6" t="s">
        <v>29</v>
      </c>
      <c r="B25" s="6"/>
      <c r="C25" s="6"/>
      <c r="D25" s="6"/>
      <c r="E25" s="14">
        <f t="shared" ref="E25:O25" si="1">($B23*E23)+($B24*E24)</f>
        <v>0</v>
      </c>
      <c r="F25" s="14">
        <f t="shared" si="1"/>
        <v>0</v>
      </c>
      <c r="G25" s="14">
        <f t="shared" si="1"/>
        <v>0</v>
      </c>
      <c r="H25" s="14">
        <f t="shared" si="1"/>
        <v>1280000</v>
      </c>
      <c r="I25" s="14">
        <f t="shared" si="1"/>
        <v>1280000</v>
      </c>
      <c r="J25" s="14">
        <f t="shared" si="1"/>
        <v>1280000</v>
      </c>
      <c r="K25" s="14">
        <f t="shared" si="1"/>
        <v>1280000</v>
      </c>
      <c r="L25" s="14">
        <f t="shared" si="1"/>
        <v>1280000</v>
      </c>
      <c r="M25" s="14">
        <f t="shared" si="1"/>
        <v>220000</v>
      </c>
      <c r="N25" s="14">
        <f t="shared" si="1"/>
        <v>0</v>
      </c>
      <c r="O25" s="14">
        <f t="shared" si="1"/>
        <v>0</v>
      </c>
      <c r="P25" s="14">
        <f>SUM(D25:O25)</f>
        <v>6620000</v>
      </c>
      <c r="Q25" s="19"/>
    </row>
    <row r="26" spans="1:18" x14ac:dyDescent="0.55000000000000004">
      <c r="E26" s="2"/>
      <c r="F26" s="2"/>
      <c r="G26" s="2"/>
      <c r="H26" s="2"/>
      <c r="I26" s="2"/>
      <c r="J26" s="2"/>
      <c r="K26" s="2"/>
      <c r="L26" s="2"/>
      <c r="M26" s="2"/>
    </row>
    <row r="27" spans="1:18" x14ac:dyDescent="0.55000000000000004">
      <c r="A27" s="21" t="s">
        <v>38</v>
      </c>
    </row>
    <row r="28" spans="1:18" x14ac:dyDescent="0.55000000000000004">
      <c r="A28" s="3" t="s">
        <v>44</v>
      </c>
      <c r="B28" s="11">
        <v>520000</v>
      </c>
      <c r="C28" s="11"/>
      <c r="D28" s="3"/>
      <c r="E28" s="3"/>
      <c r="F28" s="3"/>
      <c r="G28" s="3"/>
      <c r="H28" s="13">
        <v>0.2</v>
      </c>
      <c r="I28" s="13">
        <v>0.2</v>
      </c>
      <c r="J28" s="13">
        <v>0.2</v>
      </c>
      <c r="K28" s="13">
        <v>0.2</v>
      </c>
      <c r="L28" s="13">
        <v>0.2</v>
      </c>
      <c r="M28" s="13">
        <v>0.05</v>
      </c>
      <c r="N28" s="13"/>
      <c r="O28" s="13"/>
    </row>
    <row r="29" spans="1:18" x14ac:dyDescent="0.55000000000000004">
      <c r="A29" s="3" t="s">
        <v>45</v>
      </c>
      <c r="B29" s="11">
        <v>800000</v>
      </c>
      <c r="C29" s="11"/>
      <c r="D29" s="3"/>
      <c r="E29" s="3"/>
      <c r="F29" s="3"/>
      <c r="G29" s="3"/>
      <c r="H29" s="13">
        <v>1</v>
      </c>
      <c r="I29" s="13">
        <v>1</v>
      </c>
      <c r="J29" s="13">
        <v>1</v>
      </c>
      <c r="K29" s="13">
        <v>1</v>
      </c>
      <c r="L29" s="13">
        <v>1</v>
      </c>
      <c r="M29" s="13">
        <v>0.15</v>
      </c>
      <c r="N29" s="12"/>
      <c r="O29" s="12"/>
      <c r="P29" s="6" t="s">
        <v>40</v>
      </c>
      <c r="Q29" s="6" t="s">
        <v>41</v>
      </c>
      <c r="R29" s="6" t="s">
        <v>42</v>
      </c>
    </row>
    <row r="30" spans="1:18" x14ac:dyDescent="0.55000000000000004">
      <c r="A30" s="6" t="s">
        <v>29</v>
      </c>
      <c r="B30" s="6"/>
      <c r="C30" s="6"/>
      <c r="D30" s="6"/>
      <c r="E30" s="14">
        <f>($B28*E23)+($B29*E24)</f>
        <v>0</v>
      </c>
      <c r="F30" s="14">
        <f>($B28*F23)+($B29*F24)</f>
        <v>0</v>
      </c>
      <c r="G30" s="14">
        <f>($B28*G23)+($B29*G24)</f>
        <v>0</v>
      </c>
      <c r="H30" s="14">
        <f>($B28*H28)+($B29*H29)</f>
        <v>904000</v>
      </c>
      <c r="I30" s="14">
        <f t="shared" ref="I30:O30" si="2">($B28*I28)+($B29*I29)</f>
        <v>904000</v>
      </c>
      <c r="J30" s="14">
        <f t="shared" si="2"/>
        <v>904000</v>
      </c>
      <c r="K30" s="14">
        <f t="shared" si="2"/>
        <v>904000</v>
      </c>
      <c r="L30" s="14">
        <f t="shared" si="2"/>
        <v>904000</v>
      </c>
      <c r="M30" s="14">
        <f t="shared" si="2"/>
        <v>146000</v>
      </c>
      <c r="N30" s="14">
        <f t="shared" si="2"/>
        <v>0</v>
      </c>
      <c r="O30" s="14">
        <f t="shared" si="2"/>
        <v>0</v>
      </c>
      <c r="P30" s="14">
        <f>SUM(D30:O30)</f>
        <v>4666000</v>
      </c>
      <c r="Q30" s="14">
        <f>C20-P30</f>
        <v>1954000</v>
      </c>
      <c r="R30" s="16">
        <f>Q30/C20</f>
        <v>0.29516616314199395</v>
      </c>
    </row>
  </sheetData>
  <phoneticPr fontId="3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EA8A-ADF5-4EA0-B745-54482884A878}">
  <sheetPr codeName="Sheet2"/>
  <dimension ref="A2:R30"/>
  <sheetViews>
    <sheetView workbookViewId="0">
      <selection activeCell="H24" sqref="H24:I24"/>
    </sheetView>
  </sheetViews>
  <sheetFormatPr defaultColWidth="8.75" defaultRowHeight="18" x14ac:dyDescent="0.55000000000000004"/>
  <cols>
    <col min="1" max="1" width="15" style="1" bestFit="1" customWidth="1"/>
    <col min="2" max="2" width="11.83203125" style="1" customWidth="1"/>
    <col min="3" max="3" width="12.08203125" style="1" customWidth="1"/>
    <col min="4" max="5" width="12.58203125" style="1" customWidth="1"/>
    <col min="6" max="7" width="12.58203125" style="1" bestFit="1" customWidth="1"/>
    <col min="8" max="8" width="12.58203125" style="1" customWidth="1"/>
    <col min="9" max="13" width="12.58203125" style="1" bestFit="1" customWidth="1"/>
    <col min="14" max="15" width="13.75" style="1" bestFit="1" customWidth="1"/>
    <col min="16" max="16" width="13.75" style="1" customWidth="1"/>
    <col min="17" max="17" width="12.75" style="1" customWidth="1"/>
    <col min="18" max="16384" width="8.75" style="1"/>
  </cols>
  <sheetData>
    <row r="2" spans="1:15" x14ac:dyDescent="0.55000000000000004">
      <c r="A2" s="20" t="s">
        <v>0</v>
      </c>
    </row>
    <row r="3" spans="1:15" x14ac:dyDescent="0.55000000000000004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</row>
    <row r="4" spans="1:15" hidden="1" x14ac:dyDescent="0.55000000000000004">
      <c r="A4" s="3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idden="1" x14ac:dyDescent="0.55000000000000004">
      <c r="A5" s="3" t="s">
        <v>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idden="1" x14ac:dyDescent="0.55000000000000004">
      <c r="A6" s="3" t="s">
        <v>18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idden="1" x14ac:dyDescent="0.55000000000000004">
      <c r="A7" s="3" t="s">
        <v>19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idden="1" x14ac:dyDescent="0.55000000000000004">
      <c r="A8" s="3" t="s">
        <v>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idden="1" x14ac:dyDescent="0.5500000000000000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55000000000000004">
      <c r="A10" s="3" t="s">
        <v>21</v>
      </c>
      <c r="B10" s="4">
        <v>0.1</v>
      </c>
      <c r="C10" s="5">
        <f>B10*1000000</f>
        <v>100000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55000000000000004">
      <c r="A11" s="3" t="s">
        <v>22</v>
      </c>
      <c r="B11" s="4">
        <v>0.1</v>
      </c>
      <c r="C11" s="5">
        <f t="shared" ref="C11:C17" si="0">B11*1000000</f>
        <v>100000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55000000000000004">
      <c r="A12" s="3" t="s">
        <v>23</v>
      </c>
      <c r="B12" s="4">
        <v>0.3</v>
      </c>
      <c r="C12" s="5">
        <f t="shared" si="0"/>
        <v>300000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55000000000000004">
      <c r="A13" s="3" t="s">
        <v>24</v>
      </c>
      <c r="B13" s="4">
        <v>0.5</v>
      </c>
      <c r="C13" s="5">
        <f t="shared" si="0"/>
        <v>500000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55000000000000004">
      <c r="A14" s="3" t="s">
        <v>25</v>
      </c>
      <c r="B14" s="4">
        <v>0.2</v>
      </c>
      <c r="C14" s="5">
        <f t="shared" si="0"/>
        <v>200000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55000000000000004">
      <c r="A15" s="3" t="s">
        <v>26</v>
      </c>
      <c r="B15" s="4">
        <v>0.1</v>
      </c>
      <c r="C15" s="5">
        <f t="shared" si="0"/>
        <v>100000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55000000000000004">
      <c r="A16" s="3" t="s">
        <v>27</v>
      </c>
      <c r="B16" s="4">
        <v>0.3</v>
      </c>
      <c r="C16" s="5">
        <f t="shared" si="0"/>
        <v>300000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8" x14ac:dyDescent="0.55000000000000004">
      <c r="A17" s="3" t="s">
        <v>28</v>
      </c>
      <c r="B17" s="4">
        <v>0.2</v>
      </c>
      <c r="C17" s="5">
        <f t="shared" si="0"/>
        <v>200000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8" x14ac:dyDescent="0.55000000000000004">
      <c r="A18" s="6" t="s">
        <v>29</v>
      </c>
      <c r="B18" s="7">
        <f>SUM(B10:B17)</f>
        <v>1.8</v>
      </c>
      <c r="C18" s="8">
        <f>SUM(C10:C17)</f>
        <v>1800000</v>
      </c>
    </row>
    <row r="19" spans="1:18" x14ac:dyDescent="0.55000000000000004">
      <c r="A19" s="6" t="s">
        <v>30</v>
      </c>
      <c r="B19" s="7">
        <v>0.8</v>
      </c>
      <c r="C19" s="8">
        <f>B19*1400000</f>
        <v>1120000</v>
      </c>
    </row>
    <row r="20" spans="1:18" x14ac:dyDescent="0.55000000000000004">
      <c r="A20" s="6" t="s">
        <v>29</v>
      </c>
      <c r="B20" s="7">
        <f>SUM(B18:B19)</f>
        <v>2.6</v>
      </c>
      <c r="C20" s="8">
        <f>SUM(C18:C19)</f>
        <v>2920000</v>
      </c>
    </row>
    <row r="21" spans="1:18" x14ac:dyDescent="0.55000000000000004">
      <c r="B21" s="9"/>
      <c r="C21" s="10"/>
    </row>
    <row r="22" spans="1:18" x14ac:dyDescent="0.55000000000000004">
      <c r="A22" s="20" t="s">
        <v>31</v>
      </c>
    </row>
    <row r="23" spans="1:18" x14ac:dyDescent="0.55000000000000004">
      <c r="A23" s="3" t="s">
        <v>32</v>
      </c>
      <c r="B23" s="11">
        <v>1400000</v>
      </c>
      <c r="C23" s="11"/>
      <c r="D23" s="12"/>
      <c r="E23" s="13"/>
      <c r="F23" s="13"/>
      <c r="G23" s="13"/>
      <c r="H23" s="13">
        <v>0.2</v>
      </c>
      <c r="I23" s="13">
        <v>0.2</v>
      </c>
      <c r="J23" s="13"/>
      <c r="K23" s="13"/>
      <c r="L23" s="13"/>
      <c r="M23" s="13"/>
      <c r="N23" s="13"/>
      <c r="O23" s="13"/>
      <c r="Q23" s="17"/>
    </row>
    <row r="24" spans="1:18" x14ac:dyDescent="0.55000000000000004">
      <c r="A24" s="3" t="s">
        <v>43</v>
      </c>
      <c r="B24" s="11">
        <v>1000000</v>
      </c>
      <c r="C24" s="11"/>
      <c r="D24" s="12"/>
      <c r="E24" s="13"/>
      <c r="F24" s="13"/>
      <c r="G24" s="13"/>
      <c r="H24" s="13">
        <v>1</v>
      </c>
      <c r="I24" s="13">
        <v>1</v>
      </c>
      <c r="J24" s="13"/>
      <c r="K24" s="13"/>
      <c r="L24" s="13"/>
      <c r="M24" s="13"/>
      <c r="N24" s="12"/>
      <c r="O24" s="12"/>
      <c r="P24" s="15" t="s">
        <v>37</v>
      </c>
      <c r="Q24" s="18"/>
    </row>
    <row r="25" spans="1:18" x14ac:dyDescent="0.55000000000000004">
      <c r="A25" s="6" t="s">
        <v>29</v>
      </c>
      <c r="B25" s="6"/>
      <c r="C25" s="6"/>
      <c r="D25" s="6"/>
      <c r="E25" s="14">
        <f t="shared" ref="E25:O25" si="1">($B23*E23)+($B24*E24)</f>
        <v>0</v>
      </c>
      <c r="F25" s="14">
        <f t="shared" si="1"/>
        <v>0</v>
      </c>
      <c r="G25" s="14">
        <f t="shared" si="1"/>
        <v>0</v>
      </c>
      <c r="H25" s="14">
        <f t="shared" si="1"/>
        <v>1280000</v>
      </c>
      <c r="I25" s="14">
        <f t="shared" si="1"/>
        <v>1280000</v>
      </c>
      <c r="J25" s="14">
        <f t="shared" si="1"/>
        <v>0</v>
      </c>
      <c r="K25" s="14">
        <f t="shared" si="1"/>
        <v>0</v>
      </c>
      <c r="L25" s="14">
        <f t="shared" si="1"/>
        <v>0</v>
      </c>
      <c r="M25" s="14">
        <f t="shared" si="1"/>
        <v>0</v>
      </c>
      <c r="N25" s="14">
        <f t="shared" si="1"/>
        <v>0</v>
      </c>
      <c r="O25" s="14">
        <f t="shared" si="1"/>
        <v>0</v>
      </c>
      <c r="P25" s="14">
        <f>SUM(D25:O25)</f>
        <v>2560000</v>
      </c>
      <c r="Q25" s="19"/>
    </row>
    <row r="26" spans="1:18" x14ac:dyDescent="0.55000000000000004">
      <c r="E26" s="2"/>
      <c r="F26" s="2"/>
      <c r="G26" s="2"/>
      <c r="H26" s="2"/>
      <c r="I26" s="2"/>
      <c r="J26" s="2"/>
      <c r="K26" s="2"/>
      <c r="L26" s="2"/>
      <c r="M26" s="2"/>
    </row>
    <row r="27" spans="1:18" x14ac:dyDescent="0.55000000000000004">
      <c r="A27" s="21" t="s">
        <v>38</v>
      </c>
    </row>
    <row r="28" spans="1:18" x14ac:dyDescent="0.55000000000000004">
      <c r="A28" s="3" t="s">
        <v>44</v>
      </c>
      <c r="B28" s="11">
        <v>520000</v>
      </c>
      <c r="C28" s="11"/>
      <c r="D28" s="3"/>
      <c r="E28" s="3"/>
      <c r="F28" s="3"/>
      <c r="G28" s="3"/>
      <c r="H28" s="13">
        <v>0.2</v>
      </c>
      <c r="I28" s="13">
        <v>0.2</v>
      </c>
      <c r="J28" s="13"/>
      <c r="K28" s="13"/>
      <c r="L28" s="13"/>
      <c r="M28" s="13"/>
      <c r="N28" s="13"/>
      <c r="O28" s="13"/>
    </row>
    <row r="29" spans="1:18" x14ac:dyDescent="0.55000000000000004">
      <c r="A29" s="3" t="s">
        <v>45</v>
      </c>
      <c r="B29" s="11">
        <v>800000</v>
      </c>
      <c r="C29" s="11"/>
      <c r="D29" s="3"/>
      <c r="E29" s="3"/>
      <c r="F29" s="3"/>
      <c r="G29" s="3"/>
      <c r="H29" s="13">
        <v>1</v>
      </c>
      <c r="I29" s="13">
        <v>1</v>
      </c>
      <c r="J29" s="13"/>
      <c r="K29" s="13"/>
      <c r="L29" s="13"/>
      <c r="M29" s="13"/>
      <c r="N29" s="12"/>
      <c r="O29" s="12"/>
      <c r="P29" s="6" t="s">
        <v>40</v>
      </c>
      <c r="Q29" s="6" t="s">
        <v>41</v>
      </c>
      <c r="R29" s="6" t="s">
        <v>42</v>
      </c>
    </row>
    <row r="30" spans="1:18" x14ac:dyDescent="0.55000000000000004">
      <c r="A30" s="6" t="s">
        <v>29</v>
      </c>
      <c r="B30" s="6"/>
      <c r="C30" s="6"/>
      <c r="D30" s="6"/>
      <c r="E30" s="14">
        <f>($B28*E23)+($B29*E24)</f>
        <v>0</v>
      </c>
      <c r="F30" s="14">
        <f>($B28*F23)+($B29*F24)</f>
        <v>0</v>
      </c>
      <c r="G30" s="14">
        <f>($B28*G23)+($B29*G24)</f>
        <v>0</v>
      </c>
      <c r="H30" s="14">
        <f>($B28*H28)+($B29*H29)</f>
        <v>904000</v>
      </c>
      <c r="I30" s="14">
        <f t="shared" ref="I30:O30" si="2">($B28*I28)+($B29*I29)</f>
        <v>904000</v>
      </c>
      <c r="J30" s="14">
        <f t="shared" si="2"/>
        <v>0</v>
      </c>
      <c r="K30" s="14">
        <f t="shared" si="2"/>
        <v>0</v>
      </c>
      <c r="L30" s="14">
        <f t="shared" si="2"/>
        <v>0</v>
      </c>
      <c r="M30" s="14">
        <f t="shared" si="2"/>
        <v>0</v>
      </c>
      <c r="N30" s="14">
        <f t="shared" si="2"/>
        <v>0</v>
      </c>
      <c r="O30" s="14">
        <f t="shared" si="2"/>
        <v>0</v>
      </c>
      <c r="P30" s="14">
        <f>SUM(D30:O30)</f>
        <v>1808000</v>
      </c>
      <c r="Q30" s="14">
        <f>C20-P30</f>
        <v>1112000</v>
      </c>
      <c r="R30" s="16">
        <f>Q30/C20</f>
        <v>0.38082191780821917</v>
      </c>
    </row>
  </sheetData>
  <phoneticPr fontId="3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EC1FDA-B3B1-4AA8-8F83-BCC7F13F9749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2fd442da-66a9-4fa6-ba31-eb0d54ad138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75E09F3-7FE3-4616-83F8-348D43C2A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63388D-7ABE-4726-ACD0-A1EFD89C6D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スケジュール（事務管理①）_20250911修正</vt:lpstr>
      <vt:lpstr>スケジュール（事務管理①）_20250716修正後 (3)</vt:lpstr>
      <vt:lpstr>スケジュール（事務管理①）_20250716修正後 (2)</vt:lpstr>
      <vt:lpstr>スケジュール（事務管理①）_20250716修正後</vt:lpstr>
      <vt:lpstr>スケジュール（事務管理①）_修正前</vt:lpstr>
      <vt:lpstr>スケジュール（事務管理②）</vt:lpstr>
      <vt:lpstr>スケジュール（SWAN①）</vt:lpstr>
      <vt:lpstr>スケジュール（SWAN②）</vt:lpstr>
    </vt:vector>
  </TitlesOfParts>
  <Manager/>
  <Company>IdemitsuKosan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Nomura, Koji</dc:creator>
  <cp:keywords/>
  <dc:description/>
  <cp:lastModifiedBy>髙浦祐朗</cp:lastModifiedBy>
  <cp:revision/>
  <dcterms:created xsi:type="dcterms:W3CDTF">2025-06-16T01:52:24Z</dcterms:created>
  <dcterms:modified xsi:type="dcterms:W3CDTF">2025-10-06T05:05:32Z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