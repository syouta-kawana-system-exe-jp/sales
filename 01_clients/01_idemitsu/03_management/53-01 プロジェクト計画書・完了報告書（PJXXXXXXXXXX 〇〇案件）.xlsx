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192.168.130.201\全社共有\02_オフィス管理\13_千葉オフィス\26_QMS・ISMS\03.記録\2025年度\Z.様式\"/>
    </mc:Choice>
  </mc:AlternateContent>
  <xr:revisionPtr revIDLastSave="0" documentId="13_ncr:1_{61AA38FF-A7D2-4D8C-9394-01D61AE25811}" xr6:coauthVersionLast="47" xr6:coauthVersionMax="47" xr10:uidLastSave="{00000000-0000-0000-0000-000000000000}"/>
  <bookViews>
    <workbookView xWindow="-120" yWindow="-120" windowWidth="29040" windowHeight="15840" tabRatio="780" activeTab="5" xr2:uid="{00000000-000D-0000-FFFF-FFFF00000000}"/>
  </bookViews>
  <sheets>
    <sheet name="プロジェクト計画書" sheetId="7" r:id="rId1"/>
    <sheet name="プロジェクト完了報告書" sheetId="2" r:id="rId2"/>
    <sheet name="品質データ分析報告書" sheetId="11" r:id="rId3"/>
    <sheet name="開発及びサポートプロセスにおけるセキュリティ" sheetId="6" r:id="rId4"/>
    <sheet name="改定履歴" sheetId="13" r:id="rId5"/>
    <sheet name="【事務局用】顧客満足度調査依頼 メール文面" sheetId="5" r:id="rId6"/>
    <sheet name="マスタ" sheetId="12" r:id="rId7"/>
    <sheet name="選択肢" sheetId="14" r:id="rId8"/>
  </sheets>
  <externalReferences>
    <externalReference r:id="rId9"/>
  </externalReferences>
  <definedNames>
    <definedName name="_xlnm._FilterDatabase" localSheetId="4" hidden="1">改定履歴!$A$4:$J$24</definedName>
    <definedName name="_xlnm.Print_Area" localSheetId="1">プロジェクト完了報告書!$A$1:$AU$147</definedName>
    <definedName name="_xlnm.Print_Area" localSheetId="0">プロジェクト計画書!$A$1:$AV$135</definedName>
    <definedName name="_xlnm.Print_Area" localSheetId="2">品質データ分析報告書!$A$1:$AV$83</definedName>
    <definedName name="_xlnm.Print_Titles" localSheetId="1">プロジェクト完了報告書!$1:$3</definedName>
    <definedName name="_xlnm.Print_Titles" localSheetId="0">プロジェクト計画書!$1:$3</definedName>
    <definedName name="_xlnm.Print_Titles" localSheetId="4">改定履歴!$4:$4</definedName>
    <definedName name="_xlnm.Print_Titles" localSheetId="2">品質データ分析報告書!$3:$83</definedName>
    <definedName name="ステータス">選択肢!$G$2:$G$21</definedName>
    <definedName name="プロジェクトコード" localSheetId="6">マスタ!$B$1</definedName>
    <definedName name="プロジェクトコード">プロジェクト完了報告書!$L$11</definedName>
    <definedName name="プロジェクト名" localSheetId="6">マスタ!$B$2</definedName>
    <definedName name="プロジェクト名" localSheetId="7">[1]マスタ!$B$2</definedName>
    <definedName name="プロジェクト名">プロジェクト完了報告書!$L$12</definedName>
    <definedName name="ヘッダプロジェクト名" localSheetId="7">[1]マスタ!$B$10</definedName>
    <definedName name="ヘッダプロジェクト名">マスタ!$B$10</definedName>
    <definedName name="ヘッダ文書名" localSheetId="7">[1]マスタ!$B$11</definedName>
    <definedName name="ヘッダ文書名">マスタ!$B$11</definedName>
    <definedName name="ヘッダ文書名‐改訂履歴" localSheetId="7">[1]マスタ!$B$12</definedName>
    <definedName name="ヘッダ文書名‐改訂履歴">マスタ!$B$15</definedName>
    <definedName name="ヘッダ文書名‐補足１">マスタ!$B$12</definedName>
    <definedName name="ヘッダ文書名‐補足２">マスタ!$B$13</definedName>
    <definedName name="ヘッダ文書名‐補足３">マスタ!$B$14</definedName>
    <definedName name="ヘッダ様式名称">マスタ!$B$16</definedName>
    <definedName name="改定ステータス">選択肢!$C$2:$C$21</definedName>
    <definedName name="改定承認形式">選択肢!$B$2:$B$21</definedName>
    <definedName name="改定担当者">選択肢!$A$2:$A$21</definedName>
    <definedName name="区分">選択肢!$D$2:$D$21</definedName>
    <definedName name="検収完了日">プロジェクト完了報告書!$AI$23</definedName>
    <definedName name="顧客満足度調査の依頼先担当者メールアドレス">プロジェクト完了報告書!$AI$50</definedName>
    <definedName name="顧客満足度調査の依頼先担当者名">プロジェクト完了報告書!$L$50</definedName>
    <definedName name="顧客名" localSheetId="6">マスタ!$B$3</definedName>
    <definedName name="顧客名" localSheetId="7">[1]マスタ!$B$3</definedName>
    <definedName name="顧客名">プロジェクト完了報告書!$L$14</definedName>
    <definedName name="担当者">選択肢!$E$2:$E$21</definedName>
    <definedName name="発行者" localSheetId="7">[1]マスタ!$B$6</definedName>
    <definedName name="発行者">マスタ!$B$6</definedName>
    <definedName name="発行日" localSheetId="7">[1]マスタ!$B$8</definedName>
    <definedName name="発行日">マスタ!$B$8</definedName>
    <definedName name="版数" localSheetId="7">[1]マスタ!$B$9</definedName>
    <definedName name="版数">マスタ!$B$9</definedName>
    <definedName name="文書管理責任者">マスタ!$B$7</definedName>
    <definedName name="文書番号" localSheetId="7">[1]マスタ!$B$4</definedName>
    <definedName name="文書番号">マスタ!$B$4</definedName>
    <definedName name="文書名" localSheetId="7">[1]マスタ!$B$5</definedName>
    <definedName name="文書名">マスタ!$B$5</definedName>
    <definedName name="様式版数">マスタ!$B$17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B3" i="5"/>
  <c r="AI36" i="11"/>
  <c r="L36" i="11"/>
  <c r="L35" i="11"/>
  <c r="AI35" i="11"/>
  <c r="AI18" i="11"/>
  <c r="AI40" i="11"/>
  <c r="L40" i="11"/>
  <c r="L37" i="11"/>
  <c r="B16" i="12"/>
  <c r="B9" i="12"/>
  <c r="B8" i="12" s="1"/>
  <c r="J24" i="13"/>
  <c r="J23" i="13"/>
  <c r="J22" i="13"/>
  <c r="J21" i="13"/>
  <c r="J20" i="13"/>
  <c r="J19" i="13"/>
  <c r="J18" i="13"/>
  <c r="J17" i="13"/>
  <c r="J16" i="13"/>
  <c r="J15" i="13"/>
  <c r="J14" i="13"/>
  <c r="J13" i="13"/>
  <c r="J12" i="13"/>
  <c r="J11" i="13"/>
  <c r="J10" i="13"/>
  <c r="J9" i="13"/>
  <c r="J8" i="13"/>
  <c r="J7" i="13"/>
  <c r="J6" i="13"/>
  <c r="J5" i="13"/>
  <c r="B13" i="12"/>
  <c r="B12" i="12"/>
  <c r="B11" i="12"/>
  <c r="B15" i="12"/>
  <c r="B14" i="12"/>
  <c r="B10" i="12"/>
  <c r="AJ92" i="2"/>
  <c r="AB92" i="2"/>
  <c r="AR92" i="2" s="1"/>
  <c r="X92" i="2"/>
  <c r="AF92" i="2" s="1"/>
  <c r="P92" i="2"/>
  <c r="L92" i="2"/>
  <c r="AR91" i="2"/>
  <c r="AN91" i="2"/>
  <c r="AF91" i="2"/>
  <c r="T91" i="2"/>
  <c r="AR90" i="2"/>
  <c r="AN90" i="2"/>
  <c r="AF90" i="2"/>
  <c r="T90" i="2"/>
  <c r="AR89" i="2"/>
  <c r="AN89" i="2"/>
  <c r="AF89" i="2"/>
  <c r="T89" i="2"/>
  <c r="AR88" i="2"/>
  <c r="AN88" i="2"/>
  <c r="AF88" i="2"/>
  <c r="T88" i="2"/>
  <c r="AR87" i="2"/>
  <c r="AN87" i="2"/>
  <c r="AF87" i="2"/>
  <c r="T87" i="2"/>
  <c r="AR86" i="2"/>
  <c r="AN86" i="2"/>
  <c r="AF86" i="2"/>
  <c r="T86" i="2"/>
  <c r="AR85" i="2"/>
  <c r="AN85" i="2"/>
  <c r="AF85" i="2"/>
  <c r="T85" i="2"/>
  <c r="AR84" i="2"/>
  <c r="AN84" i="2"/>
  <c r="AF84" i="2"/>
  <c r="T84" i="2"/>
  <c r="AR83" i="2"/>
  <c r="AN83" i="2"/>
  <c r="AF83" i="2"/>
  <c r="T83" i="2"/>
  <c r="AJ111" i="7"/>
  <c r="AB111" i="7"/>
  <c r="X111" i="7"/>
  <c r="P111" i="7"/>
  <c r="L111" i="7"/>
  <c r="AR109" i="7"/>
  <c r="AR107" i="7"/>
  <c r="AR106" i="7"/>
  <c r="AN110" i="7"/>
  <c r="AR110" i="7" s="1"/>
  <c r="AN109" i="7"/>
  <c r="AN108" i="7"/>
  <c r="AR108" i="7" s="1"/>
  <c r="AN107" i="7"/>
  <c r="AN106" i="7"/>
  <c r="AN105" i="7"/>
  <c r="AR105" i="7" s="1"/>
  <c r="AN104" i="7"/>
  <c r="AR104" i="7" s="1"/>
  <c r="AN103" i="7"/>
  <c r="AR103" i="7" s="1"/>
  <c r="AN102" i="7"/>
  <c r="AR102" i="7" s="1"/>
  <c r="AF110" i="7"/>
  <c r="T110" i="7"/>
  <c r="AF109" i="7"/>
  <c r="AF108" i="7"/>
  <c r="AF107" i="7"/>
  <c r="AF106" i="7"/>
  <c r="AF105" i="7"/>
  <c r="AF104" i="7"/>
  <c r="AF102" i="7"/>
  <c r="AF103" i="7"/>
  <c r="T109" i="7"/>
  <c r="T108" i="7"/>
  <c r="T107" i="7"/>
  <c r="T106" i="7"/>
  <c r="T105" i="7"/>
  <c r="T104" i="7"/>
  <c r="T103" i="7"/>
  <c r="T102" i="7"/>
  <c r="AI60" i="11"/>
  <c r="AE60" i="11"/>
  <c r="AA60" i="11"/>
  <c r="W60" i="11"/>
  <c r="S60" i="11"/>
  <c r="O60" i="11"/>
  <c r="K60" i="11"/>
  <c r="G60" i="11"/>
  <c r="AM59" i="11"/>
  <c r="AQ59" i="11" s="1"/>
  <c r="AM58" i="11"/>
  <c r="AQ58" i="11" s="1"/>
  <c r="AM57" i="11"/>
  <c r="AQ57" i="11" s="1"/>
  <c r="AM56" i="11"/>
  <c r="AQ56" i="11" s="1"/>
  <c r="AM55" i="11"/>
  <c r="AQ55" i="11" s="1"/>
  <c r="AM54" i="11"/>
  <c r="AQ54" i="11" s="1"/>
  <c r="AM53" i="11"/>
  <c r="AQ53" i="11" s="1"/>
  <c r="AM52" i="11"/>
  <c r="L18" i="11"/>
  <c r="AI16" i="11"/>
  <c r="L16" i="11"/>
  <c r="AI17" i="11"/>
  <c r="L17" i="11"/>
  <c r="AI15" i="11"/>
  <c r="L15" i="11"/>
  <c r="AI14" i="11"/>
  <c r="L14" i="11"/>
  <c r="L13" i="11"/>
  <c r="L12" i="11"/>
  <c r="AP11" i="11"/>
  <c r="AI11" i="11"/>
  <c r="L11" i="11"/>
  <c r="T92" i="2" l="1"/>
  <c r="AN92" i="2"/>
  <c r="AF111" i="7"/>
  <c r="T111" i="7"/>
  <c r="AN111" i="7"/>
  <c r="AR111" i="7" s="1"/>
  <c r="AQ52" i="11"/>
  <c r="AM60" i="11"/>
  <c r="G61" i="11" s="1"/>
  <c r="K61" i="11" l="1"/>
  <c r="O61" i="11"/>
  <c r="S61" i="11"/>
  <c r="W61" i="11"/>
  <c r="AA61" i="11"/>
  <c r="AE61" i="11"/>
  <c r="AI61" i="11"/>
  <c r="L30" i="11" l="1"/>
  <c r="AI28" i="11"/>
  <c r="AI27" i="11"/>
  <c r="L29" i="11"/>
  <c r="L28" i="11"/>
  <c r="L27" i="11"/>
  <c r="L24" i="11"/>
  <c r="AI22" i="11"/>
  <c r="AI21" i="11"/>
  <c r="L23" i="11"/>
  <c r="L22" i="11"/>
  <c r="L21" i="11"/>
  <c r="AI56" i="2"/>
  <c r="AI65" i="7"/>
  <c r="AI23" i="11" s="1"/>
  <c r="AI34" i="11"/>
  <c r="AI33" i="11"/>
  <c r="L34" i="11"/>
  <c r="L33" i="11"/>
  <c r="AI63" i="2" l="1"/>
  <c r="L63" i="2"/>
  <c r="L62" i="2"/>
  <c r="AI29" i="11"/>
  <c r="AI62" i="2"/>
  <c r="L18" i="2" l="1"/>
  <c r="L34" i="2"/>
  <c r="L32" i="2"/>
  <c r="L30" i="2"/>
  <c r="L28" i="2"/>
  <c r="L26" i="2"/>
  <c r="AI18" i="2"/>
  <c r="AI16" i="2"/>
  <c r="AI17" i="2"/>
  <c r="AI15" i="2"/>
  <c r="AI14" i="2"/>
  <c r="L16" i="2"/>
  <c r="L17" i="2"/>
  <c r="L15" i="2"/>
  <c r="L14" i="2"/>
  <c r="L13" i="2"/>
  <c r="AP11" i="2"/>
  <c r="AI11" i="2"/>
  <c r="L12" i="2"/>
  <c r="L11" i="2"/>
  <c r="B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27" authorId="0" shapeId="0" xr:uid="{DFD55E76-B4A1-4705-888F-2462201B50C7}">
      <text>
        <r>
          <rPr>
            <b/>
            <sz val="9"/>
            <color indexed="81"/>
            <rFont val="MS P ゴシック"/>
            <family val="3"/>
            <charset val="128"/>
          </rPr>
          <t>プロジェクトとしてのセキュリティ</t>
        </r>
      </text>
    </comment>
    <comment ref="B29"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45"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45" authorId="0" shapeId="0" xr:uid="{4CE76C36-7686-4629-BACC-BBD72BD453E3}">
      <text>
        <r>
          <rPr>
            <b/>
            <sz val="9"/>
            <color indexed="81"/>
            <rFont val="MS P ゴシック"/>
            <family val="3"/>
            <charset val="128"/>
          </rPr>
          <t xml:space="preserve">作成物については、〇印をつける
</t>
        </r>
      </text>
    </comment>
    <comment ref="B59" authorId="0" shapeId="0" xr:uid="{B0AC174B-AC4B-4F20-BC0B-B47B09C296D2}">
      <text>
        <r>
          <rPr>
            <b/>
            <sz val="9"/>
            <color indexed="81"/>
            <rFont val="MS P ゴシック"/>
            <family val="3"/>
            <charset val="128"/>
          </rPr>
          <t>備考に詳細を記載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32" authorId="0" shapeId="0" xr:uid="{6BCBB09A-DDEB-4727-B38D-9A3F95AD3B79}">
      <text>
        <r>
          <rPr>
            <b/>
            <sz val="9"/>
            <color indexed="81"/>
            <rFont val="MS P ゴシック"/>
            <family val="3"/>
            <charset val="128"/>
          </rPr>
          <t>プロジェクトとしてのセキュリティ</t>
        </r>
      </text>
    </comment>
    <comment ref="B34"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44"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48" authorId="0" shapeId="0" xr:uid="{EEA1ABD5-8467-421E-B27F-8D49838A0772}">
      <text>
        <r>
          <rPr>
            <b/>
            <sz val="9"/>
            <color indexed="81"/>
            <rFont val="MS P ゴシック"/>
            <family val="3"/>
            <charset val="128"/>
          </rPr>
          <t>原則「あり」を選択
「なし」を選択する場合は、理由を明記すること</t>
        </r>
      </text>
    </comment>
    <comment ref="B50" authorId="0" shapeId="0" xr:uid="{4D6E1BB7-96B6-4F24-B492-0D0A653004C5}">
      <text>
        <r>
          <rPr>
            <b/>
            <sz val="9"/>
            <color indexed="81"/>
            <rFont val="MS P ゴシック"/>
            <family val="3"/>
            <charset val="128"/>
          </rPr>
          <t>会社名・敬称は不要</t>
        </r>
      </text>
    </comment>
    <comment ref="Y50" authorId="0" shapeId="0" xr:uid="{E42335D4-A0E2-4208-AE8D-63C031F1BF73}">
      <text>
        <r>
          <rPr>
            <b/>
            <sz val="9"/>
            <color indexed="81"/>
            <rFont val="MS P ゴシック"/>
            <family val="3"/>
            <charset val="128"/>
          </rPr>
          <t>1名</t>
        </r>
      </text>
    </comment>
    <comment ref="B144"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50"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<sst xmlns="http://schemas.openxmlformats.org/spreadsheetml/2006/main" count="510" uniqueCount="342">
  <si>
    <t>作成</t>
    <rPh sb="0" eb="2">
      <t>サクセイ</t>
    </rPh>
    <phoneticPr fontId="2"/>
  </si>
  <si>
    <t>＜基本情報＞</t>
    <rPh sb="1" eb="3">
      <t>キホン</t>
    </rPh>
    <rPh sb="3" eb="5">
      <t>ジョウホウ</t>
    </rPh>
    <phoneticPr fontId="2"/>
  </si>
  <si>
    <t>プロジェクト名</t>
    <rPh sb="6" eb="7">
      <t>メイ</t>
    </rPh>
    <phoneticPr fontId="2"/>
  </si>
  <si>
    <t>顧客名</t>
    <rPh sb="0" eb="2">
      <t>コキャク</t>
    </rPh>
    <rPh sb="2" eb="3">
      <t>メイ</t>
    </rPh>
    <phoneticPr fontId="2"/>
  </si>
  <si>
    <t>プロジェクト責任者</t>
    <rPh sb="6" eb="9">
      <t>セキニンシャ</t>
    </rPh>
    <phoneticPr fontId="2"/>
  </si>
  <si>
    <t>プロジェクト目的</t>
    <rPh sb="6" eb="8">
      <t>モクテキ</t>
    </rPh>
    <phoneticPr fontId="2"/>
  </si>
  <si>
    <t>その他</t>
    <rPh sb="2" eb="3">
      <t>タ</t>
    </rPh>
    <phoneticPr fontId="2"/>
  </si>
  <si>
    <t>＜プロジェクト目的及び品質目標＞</t>
    <rPh sb="7" eb="9">
      <t>モクテキ</t>
    </rPh>
    <rPh sb="9" eb="10">
      <t>オヨ</t>
    </rPh>
    <rPh sb="11" eb="13">
      <t>ヒンシツ</t>
    </rPh>
    <rPh sb="13" eb="15">
      <t>モクヒョウ</t>
    </rPh>
    <phoneticPr fontId="2"/>
  </si>
  <si>
    <t>顧客担当部署</t>
    <rPh sb="0" eb="2">
      <t>コキャク</t>
    </rPh>
    <rPh sb="2" eb="4">
      <t>タントウ</t>
    </rPh>
    <rPh sb="4" eb="6">
      <t>ブショ</t>
    </rPh>
    <phoneticPr fontId="2"/>
  </si>
  <si>
    <t>プロジェクトコード</t>
    <phoneticPr fontId="2"/>
  </si>
  <si>
    <t>営業担当者</t>
    <rPh sb="0" eb="2">
      <t>エイギョウ</t>
    </rPh>
    <rPh sb="2" eb="5">
      <t>タントウシャ</t>
    </rPh>
    <phoneticPr fontId="2"/>
  </si>
  <si>
    <t>プロジェクトマネージャ</t>
    <phoneticPr fontId="2"/>
  </si>
  <si>
    <t>プロジェクト概要</t>
    <rPh sb="6" eb="8">
      <t>ガイヨウ</t>
    </rPh>
    <phoneticPr fontId="2"/>
  </si>
  <si>
    <t>プロジェクト期間</t>
    <rPh sb="6" eb="8">
      <t>キカン</t>
    </rPh>
    <phoneticPr fontId="2"/>
  </si>
  <si>
    <t>～</t>
    <phoneticPr fontId="2"/>
  </si>
  <si>
    <t>品質目標</t>
    <rPh sb="0" eb="2">
      <t>ヒンシツ</t>
    </rPh>
    <rPh sb="2" eb="4">
      <t>モクヒョウ</t>
    </rPh>
    <phoneticPr fontId="2"/>
  </si>
  <si>
    <t>受注額（プロジェクト全体）</t>
    <rPh sb="0" eb="2">
      <t>ジュチュウ</t>
    </rPh>
    <rPh sb="2" eb="3">
      <t>ガク</t>
    </rPh>
    <rPh sb="10" eb="12">
      <t>ゼンタイ</t>
    </rPh>
    <phoneticPr fontId="2"/>
  </si>
  <si>
    <t>担当本部</t>
    <rPh sb="0" eb="2">
      <t>タントウ</t>
    </rPh>
    <rPh sb="2" eb="4">
      <t>ホンブ</t>
    </rPh>
    <phoneticPr fontId="2"/>
  </si>
  <si>
    <t>担当部門</t>
    <rPh sb="0" eb="2">
      <t>タントウ</t>
    </rPh>
    <rPh sb="2" eb="4">
      <t>ブモン</t>
    </rPh>
    <phoneticPr fontId="2"/>
  </si>
  <si>
    <t>プロジェクト区分</t>
    <rPh sb="6" eb="8">
      <t>クブン</t>
    </rPh>
    <phoneticPr fontId="2"/>
  </si>
  <si>
    <t>＜プロジェクトの状況＞</t>
    <rPh sb="8" eb="10">
      <t>ジョウキョウ</t>
    </rPh>
    <phoneticPr fontId="2"/>
  </si>
  <si>
    <t>＜総括＞</t>
    <rPh sb="1" eb="3">
      <t>ソウカツ</t>
    </rPh>
    <phoneticPr fontId="2"/>
  </si>
  <si>
    <t>顧客満足度調査の回収状況</t>
    <rPh sb="0" eb="2">
      <t>コキャク</t>
    </rPh>
    <rPh sb="2" eb="7">
      <t>マンゾクドチョウサ</t>
    </rPh>
    <rPh sb="8" eb="10">
      <t>カイシュウ</t>
    </rPh>
    <rPh sb="10" eb="12">
      <t>ジョウキョウ</t>
    </rPh>
    <phoneticPr fontId="2"/>
  </si>
  <si>
    <t>顧客満足度調査の結果（平均点）</t>
    <rPh sb="0" eb="2">
      <t>コキャク</t>
    </rPh>
    <rPh sb="2" eb="7">
      <t>マンゾクドチョウサ</t>
    </rPh>
    <rPh sb="8" eb="10">
      <t>ケッカ</t>
    </rPh>
    <rPh sb="11" eb="14">
      <t>ヘイキンテン</t>
    </rPh>
    <phoneticPr fontId="2"/>
  </si>
  <si>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2"/>
  </si>
  <si>
    <t>品質目標に対する評価</t>
    <rPh sb="0" eb="2">
      <t>ヒンシツ</t>
    </rPh>
    <rPh sb="2" eb="4">
      <t>モクヒョウ</t>
    </rPh>
    <rPh sb="5" eb="6">
      <t>タイ</t>
    </rPh>
    <rPh sb="8" eb="10">
      <t>ヒョウカ</t>
    </rPh>
    <phoneticPr fontId="2"/>
  </si>
  <si>
    <t>プロジェクト目的の達成状況</t>
    <rPh sb="6" eb="8">
      <t>モクテキ</t>
    </rPh>
    <rPh sb="9" eb="11">
      <t>タッセイ</t>
    </rPh>
    <rPh sb="11" eb="13">
      <t>ジョウキョウ</t>
    </rPh>
    <phoneticPr fontId="2"/>
  </si>
  <si>
    <t>納品完了日</t>
    <rPh sb="0" eb="2">
      <t>ノウヒン</t>
    </rPh>
    <rPh sb="2" eb="4">
      <t>カンリョウ</t>
    </rPh>
    <rPh sb="4" eb="5">
      <t>ビ</t>
    </rPh>
    <phoneticPr fontId="2"/>
  </si>
  <si>
    <t>検収完了日</t>
    <rPh sb="0" eb="2">
      <t>ケンシュウ</t>
    </rPh>
    <rPh sb="2" eb="4">
      <t>カンリョウ</t>
    </rPh>
    <rPh sb="4" eb="5">
      <t>ビ</t>
    </rPh>
    <phoneticPr fontId="2"/>
  </si>
  <si>
    <t>＜ＱＭＳへの改善要望＞</t>
    <rPh sb="6" eb="8">
      <t>カイゼン</t>
    </rPh>
    <rPh sb="8" eb="10">
      <t>ヨウボウ</t>
    </rPh>
    <phoneticPr fontId="2"/>
  </si>
  <si>
    <t>＜反省事項・今後の課題＞</t>
    <rPh sb="1" eb="3">
      <t>ハンセイ</t>
    </rPh>
    <rPh sb="3" eb="5">
      <t>ジコウ</t>
    </rPh>
    <rPh sb="6" eb="8">
      <t>コンゴ</t>
    </rPh>
    <rPh sb="9" eb="11">
      <t>カダイ</t>
    </rPh>
    <phoneticPr fontId="2"/>
  </si>
  <si>
    <t>＜保守・運用への引継ぎ状況＞</t>
    <rPh sb="1" eb="3">
      <t>ホシュ</t>
    </rPh>
    <rPh sb="4" eb="6">
      <t>ウンヨウ</t>
    </rPh>
    <rPh sb="8" eb="10">
      <t>ヒキツ</t>
    </rPh>
    <rPh sb="11" eb="13">
      <t>ジョウキョウ</t>
    </rPh>
    <phoneticPr fontId="2"/>
  </si>
  <si>
    <t>画面数</t>
    <rPh sb="0" eb="2">
      <t>ガメン</t>
    </rPh>
    <rPh sb="2" eb="3">
      <t>スウ</t>
    </rPh>
    <phoneticPr fontId="2"/>
  </si>
  <si>
    <t>帳票数</t>
    <rPh sb="0" eb="2">
      <t>チョウヒョウ</t>
    </rPh>
    <rPh sb="2" eb="3">
      <t>スウ</t>
    </rPh>
    <phoneticPr fontId="2"/>
  </si>
  <si>
    <t>バッチ数</t>
    <rPh sb="3" eb="4">
      <t>スウ</t>
    </rPh>
    <phoneticPr fontId="2"/>
  </si>
  <si>
    <t>テーブル数</t>
    <rPh sb="4" eb="5">
      <t>スウ</t>
    </rPh>
    <phoneticPr fontId="2"/>
  </si>
  <si>
    <t>＜開発規模（結果）＞</t>
    <rPh sb="1" eb="3">
      <t>カイハツ</t>
    </rPh>
    <rPh sb="3" eb="5">
      <t>キボ</t>
    </rPh>
    <rPh sb="6" eb="8">
      <t>ケッカ</t>
    </rPh>
    <phoneticPr fontId="2"/>
  </si>
  <si>
    <t>＜テスト実績＞</t>
    <rPh sb="4" eb="6">
      <t>ジッセキ</t>
    </rPh>
    <phoneticPr fontId="2"/>
  </si>
  <si>
    <t>結合テストケース数</t>
    <rPh sb="0" eb="2">
      <t>ケツゴウ</t>
    </rPh>
    <rPh sb="8" eb="9">
      <t>スウ</t>
    </rPh>
    <phoneticPr fontId="2"/>
  </si>
  <si>
    <t>システムテストケース数</t>
    <rPh sb="10" eb="11">
      <t>スウ</t>
    </rPh>
    <phoneticPr fontId="2"/>
  </si>
  <si>
    <t>結合テスト不具合摘出数</t>
    <rPh sb="0" eb="2">
      <t>ケツゴウ</t>
    </rPh>
    <rPh sb="5" eb="8">
      <t>フグアイ</t>
    </rPh>
    <rPh sb="8" eb="10">
      <t>テキシュツ</t>
    </rPh>
    <rPh sb="10" eb="11">
      <t>スウ</t>
    </rPh>
    <phoneticPr fontId="2"/>
  </si>
  <si>
    <t>システムテスト不具合摘出数</t>
    <rPh sb="7" eb="10">
      <t>フグアイ</t>
    </rPh>
    <rPh sb="10" eb="12">
      <t>テキシュツ</t>
    </rPh>
    <rPh sb="12" eb="13">
      <t>スウ</t>
    </rPh>
    <phoneticPr fontId="2"/>
  </si>
  <si>
    <t>＜本稼働実績＞</t>
    <rPh sb="1" eb="2">
      <t>ホン</t>
    </rPh>
    <rPh sb="2" eb="4">
      <t>カドウ</t>
    </rPh>
    <rPh sb="4" eb="6">
      <t>ジッセキ</t>
    </rPh>
    <phoneticPr fontId="2"/>
  </si>
  <si>
    <t>本稼働後の障害件数</t>
    <rPh sb="0" eb="1">
      <t>ホン</t>
    </rPh>
    <rPh sb="1" eb="3">
      <t>カドウ</t>
    </rPh>
    <rPh sb="3" eb="4">
      <t>ゴ</t>
    </rPh>
    <rPh sb="5" eb="7">
      <t>ショウガイ</t>
    </rPh>
    <rPh sb="7" eb="9">
      <t>ケンスウ</t>
    </rPh>
    <phoneticPr fontId="2"/>
  </si>
  <si>
    <t>内）本稼働後の重大障害件数</t>
    <rPh sb="0" eb="1">
      <t>ウチ</t>
    </rPh>
    <rPh sb="2" eb="3">
      <t>ホン</t>
    </rPh>
    <rPh sb="3" eb="5">
      <t>カドウ</t>
    </rPh>
    <rPh sb="5" eb="6">
      <t>ゴ</t>
    </rPh>
    <rPh sb="7" eb="9">
      <t>ジュウダイ</t>
    </rPh>
    <rPh sb="9" eb="11">
      <t>ショウガイ</t>
    </rPh>
    <rPh sb="11" eb="13">
      <t>ケンスウ</t>
    </rPh>
    <phoneticPr fontId="2"/>
  </si>
  <si>
    <t>本稼働後の障害内容</t>
    <rPh sb="0" eb="1">
      <t>ホン</t>
    </rPh>
    <rPh sb="1" eb="3">
      <t>カドウ</t>
    </rPh>
    <rPh sb="3" eb="4">
      <t>ゴ</t>
    </rPh>
    <rPh sb="5" eb="7">
      <t>ショウガイ</t>
    </rPh>
    <rPh sb="7" eb="9">
      <t>ナイヨウ</t>
    </rPh>
    <phoneticPr fontId="2"/>
  </si>
  <si>
    <t>本稼働後の障害対策</t>
    <rPh sb="0" eb="1">
      <t>ホン</t>
    </rPh>
    <rPh sb="1" eb="3">
      <t>カドウ</t>
    </rPh>
    <rPh sb="3" eb="4">
      <t>ゴ</t>
    </rPh>
    <rPh sb="5" eb="7">
      <t>ショウガイ</t>
    </rPh>
    <rPh sb="7" eb="9">
      <t>タイサク</t>
    </rPh>
    <phoneticPr fontId="2"/>
  </si>
  <si>
    <t>本稼働後の障害の解決状況</t>
    <rPh sb="0" eb="1">
      <t>ホン</t>
    </rPh>
    <rPh sb="1" eb="3">
      <t>カドウ</t>
    </rPh>
    <rPh sb="3" eb="4">
      <t>ゴ</t>
    </rPh>
    <rPh sb="5" eb="7">
      <t>ショウガイ</t>
    </rPh>
    <rPh sb="8" eb="10">
      <t>カイケツ</t>
    </rPh>
    <rPh sb="10" eb="12">
      <t>ジョウキョウ</t>
    </rPh>
    <phoneticPr fontId="2"/>
  </si>
  <si>
    <t>＜備考＞</t>
    <rPh sb="1" eb="3">
      <t>ビコウ</t>
    </rPh>
    <phoneticPr fontId="2"/>
  </si>
  <si>
    <t>セキュリティ目標に対する評価</t>
    <rPh sb="6" eb="8">
      <t>モクヒョウ</t>
    </rPh>
    <rPh sb="9" eb="10">
      <t>タイ</t>
    </rPh>
    <rPh sb="12" eb="14">
      <t>ヒョウカ</t>
    </rPh>
    <phoneticPr fontId="2"/>
  </si>
  <si>
    <t>福田慎</t>
    <rPh sb="0" eb="2">
      <t>フクダ</t>
    </rPh>
    <rPh sb="2" eb="3">
      <t>マコト</t>
    </rPh>
    <phoneticPr fontId="2"/>
  </si>
  <si>
    <t>セキュリティ目標</t>
    <rPh sb="6" eb="8">
      <t>モクヒョウ</t>
    </rPh>
    <phoneticPr fontId="2"/>
  </si>
  <si>
    <t>更新履歴（当シート）を追加
プロジェクトの成功要因欄を追加
セキュリティ目標を追加
改ページ調整
備考欄のサイズ調整</t>
    <rPh sb="0" eb="2">
      <t>コウシン</t>
    </rPh>
    <rPh sb="2" eb="4">
      <t>リレキ</t>
    </rPh>
    <rPh sb="5" eb="6">
      <t>トウ</t>
    </rPh>
    <rPh sb="11" eb="13">
      <t>ツイカ</t>
    </rPh>
    <rPh sb="25" eb="26">
      <t>ラン</t>
    </rPh>
    <rPh sb="27" eb="29">
      <t>ツイカ</t>
    </rPh>
    <rPh sb="36" eb="38">
      <t>モクヒョウ</t>
    </rPh>
    <rPh sb="39" eb="41">
      <t>ツイカ</t>
    </rPh>
    <rPh sb="42" eb="43">
      <t>カイ</t>
    </rPh>
    <rPh sb="46" eb="48">
      <t>チョウセイ</t>
    </rPh>
    <rPh sb="49" eb="51">
      <t>ビコウ</t>
    </rPh>
    <rPh sb="51" eb="52">
      <t>ラン</t>
    </rPh>
    <rPh sb="56" eb="58">
      <t>チョウセイ</t>
    </rPh>
    <phoneticPr fontId="2"/>
  </si>
  <si>
    <t>成功要因</t>
    <rPh sb="0" eb="2">
      <t>セイコウ</t>
    </rPh>
    <rPh sb="2" eb="4">
      <t>ヨウイン</t>
    </rPh>
    <phoneticPr fontId="2"/>
  </si>
  <si>
    <t>○○ 太郎</t>
    <rPh sb="3" eb="5">
      <t>タロウ</t>
    </rPh>
    <phoneticPr fontId="2"/>
  </si>
  <si>
    <t>○○ 花子</t>
    <rPh sb="3" eb="5">
      <t>ハナコ</t>
    </rPh>
    <phoneticPr fontId="2"/>
  </si>
  <si>
    <t>20XX/XX/XX</t>
    <phoneticPr fontId="2"/>
  </si>
  <si>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</si>
  <si>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</si>
  <si>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</si>
  <si>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</si>
  <si>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</si>
  <si>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</si>
  <si>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</si>
  <si>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</si>
  <si>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</si>
  <si>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</si>
  <si>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</si>
  <si>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</si>
  <si>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</si>
  <si>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</si>
  <si>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</si>
  <si>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</si>
  <si>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</si>
  <si>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</si>
  <si>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</si>
  <si>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</si>
  <si>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</si>
  <si>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</si>
  <si>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</si>
  <si>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</si>
  <si>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</si>
  <si>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</si>
  <si>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</si>
  <si>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</si>
  <si>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</si>
  <si>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</si>
  <si>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</si>
  <si>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</si>
  <si>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</si>
  <si>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</si>
  <si>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</si>
  <si>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</si>
  <si>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</si>
  <si>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</si>
  <si>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</si>
  <si>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</si>
  <si>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</si>
  <si>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</si>
  <si>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</si>
  <si>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</si>
  <si>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</si>
  <si>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</si>
  <si>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</si>
  <si>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</si>
  <si>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</si>
  <si>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</si>
  <si>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</si>
  <si>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</si>
  <si>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</si>
  <si>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 xml:space="preserve">4 </t>
  </si>
  <si>
    <t xml:space="preserve">(1) </t>
  </si>
  <si>
    <t xml:space="preserve">(4) </t>
  </si>
  <si>
    <t xml:space="preserve">(5) </t>
  </si>
  <si>
    <t xml:space="preserve">(6) </t>
  </si>
  <si>
    <t xml:space="preserve">(7) </t>
  </si>
  <si>
    <t>以下、ISMS手順書（第 13 章 システム導入・開発・変更のセキュリティ基準）より抜粋</t>
    <rPh sb="0" eb="2">
      <t>イカ</t>
    </rPh>
    <rPh sb="7" eb="10">
      <t>テジュンショ</t>
    </rPh>
    <rPh sb="42" eb="44">
      <t>バッスイ</t>
    </rPh>
    <phoneticPr fontId="2"/>
  </si>
  <si>
    <t>発生した作業ミスやヒヤリハット</t>
    <rPh sb="0" eb="2">
      <t>ハッセイ</t>
    </rPh>
    <rPh sb="4" eb="6">
      <t>サギョウ</t>
    </rPh>
    <phoneticPr fontId="2"/>
  </si>
  <si>
    <t>顧客満足度調査の依頼予定</t>
    <rPh sb="0" eb="2">
      <t>コキャク</t>
    </rPh>
    <rPh sb="2" eb="7">
      <t>マンゾクドチョウサ</t>
    </rPh>
    <rPh sb="8" eb="10">
      <t>イライ</t>
    </rPh>
    <rPh sb="10" eb="12">
      <t>ヨテイ</t>
    </rPh>
    <phoneticPr fontId="2"/>
  </si>
  <si>
    <t>＜事務局更新欄＞</t>
    <rPh sb="1" eb="4">
      <t>ジムキョク</t>
    </rPh>
    <rPh sb="4" eb="6">
      <t>コウシン</t>
    </rPh>
    <rPh sb="6" eb="7">
      <t>ラン</t>
    </rPh>
    <phoneticPr fontId="2"/>
  </si>
  <si>
    <t>顧客満足度調査の依頼予定がなしの理由</t>
    <rPh sb="0" eb="2">
      <t>コキャク</t>
    </rPh>
    <rPh sb="2" eb="5">
      <t>マンゾクド</t>
    </rPh>
    <rPh sb="5" eb="7">
      <t>チョウサ</t>
    </rPh>
    <rPh sb="8" eb="10">
      <t>イライ</t>
    </rPh>
    <rPh sb="10" eb="12">
      <t>ヨテイ</t>
    </rPh>
    <rPh sb="16" eb="18">
      <t>リユウ</t>
    </rPh>
    <phoneticPr fontId="2"/>
  </si>
  <si>
    <t>From</t>
    <phoneticPr fontId="2"/>
  </si>
  <si>
    <t>To</t>
    <phoneticPr fontId="2"/>
  </si>
  <si>
    <t>CC</t>
    <phoneticPr fontId="2"/>
  </si>
  <si>
    <t>BCC</t>
    <phoneticPr fontId="2"/>
  </si>
  <si>
    <t>タイトル</t>
    <phoneticPr fontId="2"/>
  </si>
  <si>
    <t>本文</t>
    <rPh sb="0" eb="2">
      <t>ホンブン</t>
    </rPh>
    <phoneticPr fontId="2"/>
  </si>
  <si>
    <t>プロジェクトメンバー</t>
    <phoneticPr fontId="2"/>
  </si>
  <si>
    <t>↓本文テンプレート　★編集注意</t>
    <rPh sb="1" eb="3">
      <t>ホンブン</t>
    </rPh>
    <rPh sb="11" eb="13">
      <t>ヘンシュウ</t>
    </rPh>
    <rPh sb="13" eb="15">
      <t>チュウイ</t>
    </rPh>
    <phoneticPr fontId="2"/>
  </si>
  <si>
    <t>セキュリティに配慮した開発計画</t>
    <rPh sb="13" eb="15">
      <t>ケイカク</t>
    </rPh>
    <phoneticPr fontId="2"/>
  </si>
  <si>
    <t>セキュリティに配慮した開発計画に対する評価</t>
    <rPh sb="13" eb="15">
      <t>ケイカク</t>
    </rPh>
    <rPh sb="16" eb="17">
      <t>タイ</t>
    </rPh>
    <rPh sb="19" eb="21">
      <t>ヒョウカ</t>
    </rPh>
    <phoneticPr fontId="2"/>
  </si>
  <si>
    <t>＜顧客満足度調査＞</t>
    <rPh sb="1" eb="3">
      <t>コキャク</t>
    </rPh>
    <rPh sb="3" eb="6">
      <t>マンゾクド</t>
    </rPh>
    <rPh sb="6" eb="8">
      <t>チョウサ</t>
    </rPh>
    <phoneticPr fontId="2"/>
  </si>
  <si>
    <t>＜プロジェクト目的及び品質目標に対する評価＞</t>
    <rPh sb="7" eb="9">
      <t>モクテキ</t>
    </rPh>
    <rPh sb="9" eb="10">
      <t>オヨ</t>
    </rPh>
    <rPh sb="11" eb="13">
      <t>ヒンシツ</t>
    </rPh>
    <rPh sb="13" eb="15">
      <t>モクヒョウ</t>
    </rPh>
    <rPh sb="16" eb="17">
      <t>タイ</t>
    </rPh>
    <rPh sb="19" eb="21">
      <t>ヒョウカ</t>
    </rPh>
    <phoneticPr fontId="2"/>
  </si>
  <si>
    <t>【リーダー】
【メンバー】</t>
    <phoneticPr fontId="2"/>
  </si>
  <si>
    <t>開発及びサポートプロセスにおけるセキュリティ</t>
  </si>
  <si>
    <t>プロジェクトメンバーを追加
セキュリティに配慮した開発計画を追加
開発及びサポートプロセスにおけるセキュリティシートを追加
セキュリティに配慮した開発計画に対する評価項目を追加
顧客満足度調査の依頼予定項目を追加
顧客満足度調査の依頼予定がなしの理由項目を追加
顧客満足度調査の依頼先担当者名項目を追加
顧客満足度調査の依頼先担当者メールアドレス項目を追加
発生した作業ミスやヒヤリハット項目を追加
顧客満足度調査の回収状況項目を追加
顧客満足度調査の結果に対する施策および実施状況項目を追加</t>
    <rPh sb="11" eb="13">
      <t>ツイカ</t>
    </rPh>
    <rPh sb="30" eb="32">
      <t>ツイカ</t>
    </rPh>
    <rPh sb="59" eb="61">
      <t>ツイカ</t>
    </rPh>
    <rPh sb="83" eb="85">
      <t>コウモク</t>
    </rPh>
    <rPh sb="86" eb="88">
      <t>ツイカ</t>
    </rPh>
    <rPh sb="194" eb="196">
      <t>コウモク</t>
    </rPh>
    <rPh sb="197" eb="199">
      <t>ツイカ</t>
    </rPh>
    <rPh sb="212" eb="214">
      <t>コウモク</t>
    </rPh>
    <rPh sb="215" eb="217">
      <t>ツイカ</t>
    </rPh>
    <rPh sb="241" eb="243">
      <t>コウモク</t>
    </rPh>
    <rPh sb="244" eb="246">
      <t>ツイカ</t>
    </rPh>
    <phoneticPr fontId="2"/>
  </si>
  <si>
    <t>【株式会社システムエグゼ】お客様満足度調査へのご協力依頼</t>
    <rPh sb="1" eb="5">
      <t>カブシキガイシャ</t>
    </rPh>
    <phoneticPr fontId="2"/>
  </si>
  <si>
    <t>qms-isms-office@system-exe.jp</t>
    <phoneticPr fontId="2"/>
  </si>
  <si>
    <t>顧客満足度調査依頼 メール文面におけるURLを2024年度版に変更</t>
    <rPh sb="27" eb="29">
      <t>ネンド</t>
    </rPh>
    <rPh sb="29" eb="30">
      <t>バン</t>
    </rPh>
    <rPh sb="31" eb="33">
      <t>ヘンコウ</t>
    </rPh>
    <phoneticPr fontId="2"/>
  </si>
  <si>
    <t>福田慎</t>
    <rPh sb="0" eb="3">
      <t>フクダマコト</t>
    </rPh>
    <phoneticPr fontId="2"/>
  </si>
  <si>
    <t>＜インプット＞</t>
    <phoneticPr fontId="2"/>
  </si>
  <si>
    <t>インプット項目</t>
    <rPh sb="5" eb="7">
      <t>コウモク</t>
    </rPh>
    <phoneticPr fontId="2"/>
  </si>
  <si>
    <t>あり／なし</t>
    <phoneticPr fontId="2"/>
  </si>
  <si>
    <t>備考</t>
    <rPh sb="0" eb="2">
      <t>ビコウ</t>
    </rPh>
    <phoneticPr fontId="2"/>
  </si>
  <si>
    <t>提案依頼書</t>
    <rPh sb="0" eb="2">
      <t>テイアン</t>
    </rPh>
    <rPh sb="2" eb="4">
      <t>イライ</t>
    </rPh>
    <rPh sb="4" eb="5">
      <t>ショ</t>
    </rPh>
    <phoneticPr fontId="2"/>
  </si>
  <si>
    <t>提案書</t>
    <rPh sb="0" eb="3">
      <t>テイアンショ</t>
    </rPh>
    <phoneticPr fontId="2"/>
  </si>
  <si>
    <t>見積書</t>
    <rPh sb="0" eb="3">
      <t>ミツモリショ</t>
    </rPh>
    <phoneticPr fontId="2"/>
  </si>
  <si>
    <t>注文書</t>
    <rPh sb="0" eb="3">
      <t>チュウモンショ</t>
    </rPh>
    <phoneticPr fontId="2"/>
  </si>
  <si>
    <t>個別契約書</t>
    <rPh sb="0" eb="2">
      <t>コベツ</t>
    </rPh>
    <rPh sb="2" eb="5">
      <t>ケイヤクショ</t>
    </rPh>
    <phoneticPr fontId="2"/>
  </si>
  <si>
    <t>仕様書</t>
    <rPh sb="0" eb="3">
      <t>シヨウショ</t>
    </rPh>
    <phoneticPr fontId="2"/>
  </si>
  <si>
    <t>要件定義書</t>
    <rPh sb="0" eb="2">
      <t>ヨウケン</t>
    </rPh>
    <rPh sb="2" eb="4">
      <t>テイギ</t>
    </rPh>
    <rPh sb="4" eb="5">
      <t>ショ</t>
    </rPh>
    <phoneticPr fontId="2"/>
  </si>
  <si>
    <t>影響度調査結果（改修の場合）</t>
    <rPh sb="0" eb="2">
      <t>エイキョウ</t>
    </rPh>
    <rPh sb="2" eb="3">
      <t>ド</t>
    </rPh>
    <rPh sb="3" eb="5">
      <t>チョウサ</t>
    </rPh>
    <rPh sb="5" eb="7">
      <t>ケッカ</t>
    </rPh>
    <rPh sb="8" eb="10">
      <t>カイシュウ</t>
    </rPh>
    <rPh sb="11" eb="13">
      <t>バアイ</t>
    </rPh>
    <phoneticPr fontId="2"/>
  </si>
  <si>
    <t>＜アウトプット＞</t>
    <phoneticPr fontId="2"/>
  </si>
  <si>
    <t>アウトプット項目</t>
    <rPh sb="6" eb="8">
      <t>コウモク</t>
    </rPh>
    <phoneticPr fontId="2"/>
  </si>
  <si>
    <t>納品</t>
    <rPh sb="0" eb="2">
      <t>ノウヒン</t>
    </rPh>
    <phoneticPr fontId="2"/>
  </si>
  <si>
    <t>プロジェクト計画書</t>
    <rPh sb="6" eb="9">
      <t>ケイカクショ</t>
    </rPh>
    <phoneticPr fontId="2"/>
  </si>
  <si>
    <t>要件定義書</t>
    <rPh sb="0" eb="2">
      <t>ヨウケン</t>
    </rPh>
    <rPh sb="2" eb="5">
      <t>テイギショ</t>
    </rPh>
    <phoneticPr fontId="2"/>
  </si>
  <si>
    <t>基本設計書</t>
    <rPh sb="0" eb="2">
      <t>キホン</t>
    </rPh>
    <rPh sb="2" eb="4">
      <t>セッケイ</t>
    </rPh>
    <rPh sb="4" eb="5">
      <t>ショ</t>
    </rPh>
    <phoneticPr fontId="2"/>
  </si>
  <si>
    <t>詳細設計書</t>
    <rPh sb="0" eb="2">
      <t>ショウサイ</t>
    </rPh>
    <rPh sb="2" eb="4">
      <t>セッケイ</t>
    </rPh>
    <rPh sb="4" eb="5">
      <t>ショ</t>
    </rPh>
    <phoneticPr fontId="2"/>
  </si>
  <si>
    <t>プログラム</t>
    <phoneticPr fontId="2"/>
  </si>
  <si>
    <t>単体テスト仕様書・結果報告書</t>
    <rPh sb="0" eb="2">
      <t>タンタイ</t>
    </rPh>
    <rPh sb="5" eb="8">
      <t>シヨウショ</t>
    </rPh>
    <rPh sb="9" eb="11">
      <t>ケッカ</t>
    </rPh>
    <rPh sb="11" eb="14">
      <t>ホウコクショ</t>
    </rPh>
    <phoneticPr fontId="2"/>
  </si>
  <si>
    <t>結合テスト仕様書・結果報告書</t>
    <rPh sb="0" eb="2">
      <t>ケツゴウ</t>
    </rPh>
    <rPh sb="5" eb="8">
      <t>シヨウショ</t>
    </rPh>
    <rPh sb="9" eb="11">
      <t>ケッカ</t>
    </rPh>
    <rPh sb="11" eb="14">
      <t>ホウコクショ</t>
    </rPh>
    <phoneticPr fontId="2"/>
  </si>
  <si>
    <t>システムテスト仕様書・結果報告書</t>
    <rPh sb="7" eb="10">
      <t>シヨウショ</t>
    </rPh>
    <rPh sb="11" eb="13">
      <t>ケッカ</t>
    </rPh>
    <rPh sb="13" eb="16">
      <t>ホウコクショ</t>
    </rPh>
    <phoneticPr fontId="2"/>
  </si>
  <si>
    <t>操作マニュアル</t>
    <rPh sb="0" eb="2">
      <t>ソウサ</t>
    </rPh>
    <phoneticPr fontId="2"/>
  </si>
  <si>
    <t>運用マニュアル</t>
    <rPh sb="0" eb="2">
      <t>ウンヨウ</t>
    </rPh>
    <phoneticPr fontId="2"/>
  </si>
  <si>
    <t>移行方式設計書</t>
    <rPh sb="0" eb="2">
      <t>イコウ</t>
    </rPh>
    <rPh sb="2" eb="4">
      <t>ホウシキ</t>
    </rPh>
    <rPh sb="4" eb="7">
      <t>セッケイショ</t>
    </rPh>
    <phoneticPr fontId="2"/>
  </si>
  <si>
    <t>運用設計書</t>
    <rPh sb="0" eb="2">
      <t>ウンヨウ</t>
    </rPh>
    <rPh sb="2" eb="4">
      <t>セッケイ</t>
    </rPh>
    <rPh sb="4" eb="5">
      <t>ショ</t>
    </rPh>
    <phoneticPr fontId="2"/>
  </si>
  <si>
    <t>＜開発規模（想定）＞</t>
    <rPh sb="1" eb="3">
      <t>カイハツ</t>
    </rPh>
    <rPh sb="3" eb="5">
      <t>キボ</t>
    </rPh>
    <rPh sb="6" eb="8">
      <t>ソウテイ</t>
    </rPh>
    <phoneticPr fontId="2"/>
  </si>
  <si>
    <t>＜プロジェクト体制＞</t>
    <rPh sb="7" eb="9">
      <t>タイセイ</t>
    </rPh>
    <phoneticPr fontId="2"/>
  </si>
  <si>
    <t>＜会議体計画＞</t>
    <rPh sb="1" eb="4">
      <t>カイギタイ</t>
    </rPh>
    <rPh sb="4" eb="6">
      <t>ケイカク</t>
    </rPh>
    <phoneticPr fontId="2"/>
  </si>
  <si>
    <t>会議名称</t>
    <rPh sb="0" eb="2">
      <t>カイギ</t>
    </rPh>
    <rPh sb="2" eb="4">
      <t>メイショウ</t>
    </rPh>
    <phoneticPr fontId="2"/>
  </si>
  <si>
    <t>目的</t>
    <rPh sb="0" eb="2">
      <t>モクテキ</t>
    </rPh>
    <phoneticPr fontId="2"/>
  </si>
  <si>
    <t>開催周期</t>
    <rPh sb="0" eb="4">
      <t>カイサイシュウキ</t>
    </rPh>
    <phoneticPr fontId="2"/>
  </si>
  <si>
    <t>記録</t>
    <rPh sb="0" eb="2">
      <t>キロク</t>
    </rPh>
    <phoneticPr fontId="2"/>
  </si>
  <si>
    <t>＜要員研修計画＞</t>
    <rPh sb="1" eb="3">
      <t>ヨウイン</t>
    </rPh>
    <rPh sb="3" eb="5">
      <t>ケンシュウ</t>
    </rPh>
    <rPh sb="5" eb="7">
      <t>ケイカク</t>
    </rPh>
    <phoneticPr fontId="2"/>
  </si>
  <si>
    <t>教育・訓練コ－ス名</t>
    <rPh sb="0" eb="2">
      <t>キョウイク</t>
    </rPh>
    <rPh sb="3" eb="5">
      <t>クンレン</t>
    </rPh>
    <rPh sb="8" eb="9">
      <t>メイ</t>
    </rPh>
    <phoneticPr fontId="2"/>
  </si>
  <si>
    <t>受講予定日</t>
    <rPh sb="0" eb="2">
      <t>ジュコウ</t>
    </rPh>
    <rPh sb="2" eb="5">
      <t>ヨテイビ</t>
    </rPh>
    <phoneticPr fontId="2"/>
  </si>
  <si>
    <t>受講予定者</t>
    <rPh sb="0" eb="2">
      <t>ジュコウ</t>
    </rPh>
    <rPh sb="2" eb="5">
      <t>ヨテイシャ</t>
    </rPh>
    <phoneticPr fontId="2"/>
  </si>
  <si>
    <t>修得目標スキル／レベル</t>
    <phoneticPr fontId="2"/>
  </si>
  <si>
    <t>＜保守・運用への引継ぎ計画＞</t>
    <rPh sb="1" eb="3">
      <t>ホシュ</t>
    </rPh>
    <rPh sb="4" eb="6">
      <t>ウンヨウ</t>
    </rPh>
    <rPh sb="8" eb="10">
      <t>ヒキツ</t>
    </rPh>
    <rPh sb="11" eb="13">
      <t>ケイカク</t>
    </rPh>
    <phoneticPr fontId="2"/>
  </si>
  <si>
    <t>保守・運用への引継ぎ有無</t>
    <rPh sb="0" eb="2">
      <t>ホシュ</t>
    </rPh>
    <rPh sb="3" eb="5">
      <t>ウンヨウ</t>
    </rPh>
    <rPh sb="7" eb="9">
      <t>ヒキツ</t>
    </rPh>
    <rPh sb="10" eb="12">
      <t>ウム</t>
    </rPh>
    <phoneticPr fontId="2"/>
  </si>
  <si>
    <t>引継ぎ予定日</t>
    <rPh sb="0" eb="2">
      <t>ヒキツ</t>
    </rPh>
    <rPh sb="3" eb="6">
      <t>ヨテイビ</t>
    </rPh>
    <phoneticPr fontId="2"/>
  </si>
  <si>
    <t>顧客満足度調査の依頼先
担当者名 ★</t>
    <rPh sb="0" eb="2">
      <t>コキャク</t>
    </rPh>
    <rPh sb="2" eb="5">
      <t>マンゾクド</t>
    </rPh>
    <rPh sb="5" eb="7">
      <t>チョウサ</t>
    </rPh>
    <rPh sb="8" eb="11">
      <t>イライサキ</t>
    </rPh>
    <phoneticPr fontId="2"/>
  </si>
  <si>
    <t>顧客満足度調査の依頼先
担当者メールアドレス ★</t>
    <rPh sb="12" eb="15">
      <t>タントウシャ</t>
    </rPh>
    <phoneticPr fontId="2"/>
  </si>
  <si>
    <t>プロジェクトコード ★</t>
    <phoneticPr fontId="2"/>
  </si>
  <si>
    <t>プロジェクト名 ★</t>
    <rPh sb="6" eb="7">
      <t>メイ</t>
    </rPh>
    <phoneticPr fontId="2"/>
  </si>
  <si>
    <t>顧客名 ★</t>
    <rPh sb="0" eb="2">
      <t>コキャク</t>
    </rPh>
    <rPh sb="2" eb="3">
      <t>メイ</t>
    </rPh>
    <phoneticPr fontId="2"/>
  </si>
  <si>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2"/>
  </si>
  <si>
    <t>結合テストケース密度</t>
    <rPh sb="0" eb="2">
      <t>ケツゴウ</t>
    </rPh>
    <rPh sb="8" eb="10">
      <t>ミツド</t>
    </rPh>
    <phoneticPr fontId="2"/>
  </si>
  <si>
    <t>結合テストバグ密度</t>
    <rPh sb="0" eb="2">
      <t>ケツゴウ</t>
    </rPh>
    <rPh sb="7" eb="9">
      <t>ミツド</t>
    </rPh>
    <phoneticPr fontId="2"/>
  </si>
  <si>
    <t>システムテストケース密度</t>
    <rPh sb="10" eb="12">
      <t>ミツド</t>
    </rPh>
    <phoneticPr fontId="2"/>
  </si>
  <si>
    <t>システムテストバグ密度</t>
    <rPh sb="9" eb="11">
      <t>ミツド</t>
    </rPh>
    <phoneticPr fontId="2"/>
  </si>
  <si>
    <t>テスト密度</t>
    <rPh sb="3" eb="5">
      <t>ミツド</t>
    </rPh>
    <phoneticPr fontId="13"/>
  </si>
  <si>
    <t>バグ密度</t>
    <rPh sb="2" eb="4">
      <t>ミツド</t>
    </rPh>
    <phoneticPr fontId="13"/>
  </si>
  <si>
    <t>結合テスト</t>
    <rPh sb="0" eb="2">
      <t>ケツゴウ</t>
    </rPh>
    <phoneticPr fontId="13"/>
  </si>
  <si>
    <t>新規開発</t>
    <rPh sb="0" eb="2">
      <t>シンキ</t>
    </rPh>
    <rPh sb="2" eb="4">
      <t>カイハツ</t>
    </rPh>
    <phoneticPr fontId="13"/>
  </si>
  <si>
    <t>改良開発</t>
    <rPh sb="0" eb="2">
      <t>カイリョウ</t>
    </rPh>
    <rPh sb="2" eb="4">
      <t>カイハツ</t>
    </rPh>
    <phoneticPr fontId="13"/>
  </si>
  <si>
    <t>外部IF数</t>
    <rPh sb="0" eb="2">
      <t>ガイブ</t>
    </rPh>
    <rPh sb="4" eb="5">
      <t>スウ</t>
    </rPh>
    <phoneticPr fontId="2"/>
  </si>
  <si>
    <t>（参考）IPA指標　P25～P75</t>
    <rPh sb="1" eb="3">
      <t>サンコウ</t>
    </rPh>
    <rPh sb="7" eb="9">
      <t>シヒョウ</t>
    </rPh>
    <phoneticPr fontId="2"/>
  </si>
  <si>
    <t>～</t>
    <phoneticPr fontId="13"/>
  </si>
  <si>
    <t>システムテスト</t>
    <phoneticPr fontId="13"/>
  </si>
  <si>
    <t>要件定義</t>
    <rPh sb="0" eb="4">
      <t>ヨウケンテイギ</t>
    </rPh>
    <phoneticPr fontId="13"/>
  </si>
  <si>
    <t>基本設計</t>
    <rPh sb="0" eb="2">
      <t>キホン</t>
    </rPh>
    <rPh sb="2" eb="4">
      <t>セッケイ</t>
    </rPh>
    <phoneticPr fontId="13"/>
  </si>
  <si>
    <t>詳細設計</t>
    <rPh sb="0" eb="2">
      <t>ショウサイ</t>
    </rPh>
    <rPh sb="2" eb="4">
      <t>セッケイ</t>
    </rPh>
    <phoneticPr fontId="13"/>
  </si>
  <si>
    <t>製造・単体ﾃｽﾄ</t>
    <rPh sb="0" eb="2">
      <t>セイゾウ</t>
    </rPh>
    <rPh sb="3" eb="5">
      <t>タンタイ</t>
    </rPh>
    <phoneticPr fontId="13"/>
  </si>
  <si>
    <t>不具合検出率</t>
    <rPh sb="0" eb="3">
      <t>フグアイ</t>
    </rPh>
    <rPh sb="3" eb="5">
      <t>ケンシュツ</t>
    </rPh>
    <rPh sb="5" eb="6">
      <t>リツ</t>
    </rPh>
    <phoneticPr fontId="13"/>
  </si>
  <si>
    <t>結合ﾃｽﾄ</t>
    <rPh sb="0" eb="2">
      <t>ケツゴウ</t>
    </rPh>
    <phoneticPr fontId="13"/>
  </si>
  <si>
    <t>ｼｽﾃﾑﾃｽﾄ</t>
    <phoneticPr fontId="13"/>
  </si>
  <si>
    <t>ﾕｰｻﾞｰﾃｽﾄ</t>
    <phoneticPr fontId="13"/>
  </si>
  <si>
    <t>本稼働以降</t>
    <rPh sb="0" eb="3">
      <t>ホンカドウ</t>
    </rPh>
    <rPh sb="3" eb="5">
      <t>イコウ</t>
    </rPh>
    <phoneticPr fontId="13"/>
  </si>
  <si>
    <t>基本設計</t>
    <rPh sb="0" eb="4">
      <t>キホンセッケイ</t>
    </rPh>
    <phoneticPr fontId="13"/>
  </si>
  <si>
    <t>詳細設計</t>
    <rPh sb="0" eb="4">
      <t>ショウサイセッケイ</t>
    </rPh>
    <phoneticPr fontId="13"/>
  </si>
  <si>
    <t>本稼働以降</t>
    <rPh sb="0" eb="5">
      <t>ホンカドウイコウ</t>
    </rPh>
    <phoneticPr fontId="13"/>
  </si>
  <si>
    <t>計</t>
    <rPh sb="0" eb="1">
      <t>ケイ</t>
    </rPh>
    <phoneticPr fontId="13"/>
  </si>
  <si>
    <t>不具合混入工程比率</t>
    <rPh sb="0" eb="3">
      <t>フグアイ</t>
    </rPh>
    <rPh sb="3" eb="5">
      <t>コンニュウ</t>
    </rPh>
    <rPh sb="5" eb="7">
      <t>コウテイ</t>
    </rPh>
    <rPh sb="7" eb="9">
      <t>ヒリツ</t>
    </rPh>
    <phoneticPr fontId="13"/>
  </si>
  <si>
    <t>　　　　　　不具合混入工程
不具合検出工程</t>
    <rPh sb="6" eb="9">
      <t>フグアイ</t>
    </rPh>
    <rPh sb="9" eb="11">
      <t>コンニュウ</t>
    </rPh>
    <rPh sb="11" eb="13">
      <t>コウテイ</t>
    </rPh>
    <rPh sb="15" eb="18">
      <t>フグアイ</t>
    </rPh>
    <rPh sb="18" eb="20">
      <t>ケンシュツ</t>
    </rPh>
    <rPh sb="20" eb="22">
      <t>コウテイ</t>
    </rPh>
    <phoneticPr fontId="13"/>
  </si>
  <si>
    <t>＜プロジェクト責任者コメント＞</t>
    <rPh sb="7" eb="10">
      <t>セキニンシャ</t>
    </rPh>
    <phoneticPr fontId="2"/>
  </si>
  <si>
    <t>＜プロジェクトマネージャーコメント＞</t>
    <phoneticPr fontId="2"/>
  </si>
  <si>
    <t>作成(PM)</t>
    <rPh sb="0" eb="2">
      <t>サクセイ</t>
    </rPh>
    <phoneticPr fontId="2"/>
  </si>
  <si>
    <t>承認(責任者)</t>
    <rPh sb="0" eb="2">
      <t>ショウニン</t>
    </rPh>
    <rPh sb="3" eb="6">
      <t>セキニンシャ</t>
    </rPh>
    <phoneticPr fontId="2"/>
  </si>
  <si>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2"/>
  </si>
  <si>
    <t>品質管理担当者</t>
    <rPh sb="0" eb="2">
      <t>ヒンシツ</t>
    </rPh>
    <rPh sb="2" eb="4">
      <t>カンリ</t>
    </rPh>
    <rPh sb="4" eb="7">
      <t>タントウシャ</t>
    </rPh>
    <phoneticPr fontId="2"/>
  </si>
  <si>
    <t>プロジェクト計画書・プロジェクト完了報告書・品質分析報告書を１つのファイルに統合
プロジェクト計画書に成功要因を追加
プロジェクト完了報告書にテストケース密度・バグ密度を追加
外部IF数・FPを追加
担当チームを削除、品質管理担当者を追加</t>
    <rPh sb="6" eb="9">
      <t>ケイカクショ</t>
    </rPh>
    <rPh sb="16" eb="18">
      <t>カンリョウ</t>
    </rPh>
    <rPh sb="18" eb="21">
      <t>ホウコクショ</t>
    </rPh>
    <rPh sb="22" eb="24">
      <t>ヒンシツ</t>
    </rPh>
    <rPh sb="24" eb="26">
      <t>ブンセキ</t>
    </rPh>
    <rPh sb="26" eb="29">
      <t>ホウコクショ</t>
    </rPh>
    <rPh sb="38" eb="40">
      <t>トウゴウ</t>
    </rPh>
    <rPh sb="47" eb="50">
      <t>ケイカクショ</t>
    </rPh>
    <rPh sb="51" eb="55">
      <t>セイコウヨウイン</t>
    </rPh>
    <rPh sb="56" eb="58">
      <t>ツイカ</t>
    </rPh>
    <rPh sb="65" eb="67">
      <t>カンリョウ</t>
    </rPh>
    <rPh sb="67" eb="70">
      <t>ホウコクショ</t>
    </rPh>
    <rPh sb="77" eb="79">
      <t>ミツド</t>
    </rPh>
    <rPh sb="82" eb="84">
      <t>ミツド</t>
    </rPh>
    <rPh sb="85" eb="87">
      <t>ツイカ</t>
    </rPh>
    <rPh sb="88" eb="90">
      <t>ガイブ</t>
    </rPh>
    <rPh sb="92" eb="93">
      <t>スウ</t>
    </rPh>
    <rPh sb="97" eb="99">
      <t>ツイカ</t>
    </rPh>
    <rPh sb="100" eb="102">
      <t>タントウ</t>
    </rPh>
    <rPh sb="106" eb="108">
      <t>サクジョ</t>
    </rPh>
    <rPh sb="109" eb="111">
      <t>ヒンシツ</t>
    </rPh>
    <rPh sb="111" eb="113">
      <t>カンリ</t>
    </rPh>
    <rPh sb="113" eb="116">
      <t>タントウシャ</t>
    </rPh>
    <rPh sb="117" eb="119">
      <t>ツイカ</t>
    </rPh>
    <phoneticPr fontId="2"/>
  </si>
  <si>
    <t>概算FP</t>
    <rPh sb="0" eb="2">
      <t>ガイサン</t>
    </rPh>
    <phoneticPr fontId="2"/>
  </si>
  <si>
    <t>品質分析報告書の名称を品質データ分析報告書に変更</t>
    <rPh sb="0" eb="2">
      <t>ヒンシツ</t>
    </rPh>
    <rPh sb="2" eb="4">
      <t>ブンセキ</t>
    </rPh>
    <rPh sb="4" eb="7">
      <t>ホウコクショ</t>
    </rPh>
    <rPh sb="8" eb="10">
      <t>メイショウ</t>
    </rPh>
    <rPh sb="11" eb="13">
      <t>ヒンシツ</t>
    </rPh>
    <rPh sb="16" eb="18">
      <t>ブンセキ</t>
    </rPh>
    <rPh sb="18" eb="21">
      <t>ホウコクショ</t>
    </rPh>
    <rPh sb="22" eb="24">
      <t>ヘンコウ</t>
    </rPh>
    <phoneticPr fontId="2"/>
  </si>
  <si>
    <t>開始日</t>
    <rPh sb="0" eb="3">
      <t>カイシビ</t>
    </rPh>
    <phoneticPr fontId="2"/>
  </si>
  <si>
    <t>終了日</t>
    <rPh sb="0" eb="3">
      <t>シュウリョウビ</t>
    </rPh>
    <phoneticPr fontId="2"/>
  </si>
  <si>
    <t>工程</t>
    <rPh sb="0" eb="2">
      <t>コウテイ</t>
    </rPh>
    <phoneticPr fontId="2"/>
  </si>
  <si>
    <t>基本設計</t>
  </si>
  <si>
    <t>詳細設計</t>
  </si>
  <si>
    <t>製造</t>
  </si>
  <si>
    <t>結合テスト</t>
  </si>
  <si>
    <t>システムテスト</t>
  </si>
  <si>
    <t>ユーザーテスト</t>
  </si>
  <si>
    <t>本稼働</t>
  </si>
  <si>
    <t>その他</t>
  </si>
  <si>
    <t>工期（月）</t>
    <rPh sb="0" eb="2">
      <t>コウキ</t>
    </rPh>
    <rPh sb="3" eb="4">
      <t>ツキ</t>
    </rPh>
    <phoneticPr fontId="2"/>
  </si>
  <si>
    <t>工数（人月）</t>
    <rPh sb="0" eb="2">
      <t>コウスウ</t>
    </rPh>
    <rPh sb="3" eb="5">
      <t>ニンゲツ</t>
    </rPh>
    <phoneticPr fontId="2"/>
  </si>
  <si>
    <t>売上（千円）</t>
    <rPh sb="0" eb="2">
      <t>ウリアゲ</t>
    </rPh>
    <rPh sb="3" eb="5">
      <t>センエン</t>
    </rPh>
    <phoneticPr fontId="2"/>
  </si>
  <si>
    <t>原価（千円）</t>
    <rPh sb="0" eb="2">
      <t>ゲンカ</t>
    </rPh>
    <phoneticPr fontId="2"/>
  </si>
  <si>
    <t>単価（千円）</t>
    <rPh sb="0" eb="2">
      <t>タンカ</t>
    </rPh>
    <rPh sb="3" eb="5">
      <t>センエン</t>
    </rPh>
    <phoneticPr fontId="2"/>
  </si>
  <si>
    <t>粗利（千円）</t>
    <rPh sb="0" eb="2">
      <t>アラリ</t>
    </rPh>
    <rPh sb="3" eb="5">
      <t>センエン</t>
    </rPh>
    <phoneticPr fontId="2"/>
  </si>
  <si>
    <t>粗利率（%）</t>
    <rPh sb="0" eb="3">
      <t>アラリリツ</t>
    </rPh>
    <phoneticPr fontId="2"/>
  </si>
  <si>
    <t>プロジェクト管理資料</t>
    <rPh sb="6" eb="10">
      <t>カンリシリョウ</t>
    </rPh>
    <phoneticPr fontId="2"/>
  </si>
  <si>
    <t>計</t>
    <rPh sb="0" eb="1">
      <t>ケイ</t>
    </rPh>
    <phoneticPr fontId="2"/>
  </si>
  <si>
    <t>要件定義</t>
    <phoneticPr fontId="2"/>
  </si>
  <si>
    <t>＜スケジュールおよび工程別収支計画＞</t>
    <rPh sb="13" eb="15">
      <t>シュウシ</t>
    </rPh>
    <rPh sb="15" eb="17">
      <t>ケイカク</t>
    </rPh>
    <phoneticPr fontId="2"/>
  </si>
  <si>
    <t>＜スケジュールおよび工程別収支実績＞</t>
    <rPh sb="13" eb="15">
      <t>シュウシ</t>
    </rPh>
    <rPh sb="15" eb="17">
      <t>ジッセキ</t>
    </rPh>
    <phoneticPr fontId="2"/>
  </si>
  <si>
    <t>プロジェクト計画書のスケジュールを削除
プロジェクト計画書の収支計画を削除
プロジェクト計画書のアウトプット 移行作業手順書・移行結果報告書を削除
プロジェクト計画書のアウトプット WBS・課題管理表・リスク管理表・議事録を削除
プロジェクト計画書にアウトプット プロジェクト管理資料を追加
プロジェクト計画書にスケジュールおよび工程別収支計画を追加
プロジェクト完了報告書の外注実績を削除
プロジェクト完了報告書にスケジュールおよび工程別収支実績を追加
プロジェクト完了報告書にユーザーテスト不具合摘出数を追加</t>
    <rPh sb="17" eb="19">
      <t>サクジョ</t>
    </rPh>
    <rPh sb="30" eb="34">
      <t>シュウシケイカク</t>
    </rPh>
    <rPh sb="35" eb="37">
      <t>サクジョ</t>
    </rPh>
    <rPh sb="71" eb="73">
      <t>サクジョ</t>
    </rPh>
    <rPh sb="95" eb="100">
      <t>カダイカンリヒョウ</t>
    </rPh>
    <rPh sb="104" eb="107">
      <t>カンリヒョウ</t>
    </rPh>
    <rPh sb="108" eb="111">
      <t>ギジロク</t>
    </rPh>
    <rPh sb="152" eb="155">
      <t>ケイカクショ</t>
    </rPh>
    <rPh sb="173" eb="175">
      <t>ツイカ</t>
    </rPh>
    <rPh sb="182" eb="184">
      <t>カンリョウ</t>
    </rPh>
    <rPh sb="184" eb="186">
      <t>ホウコク</t>
    </rPh>
    <rPh sb="186" eb="187">
      <t>ショ</t>
    </rPh>
    <rPh sb="188" eb="190">
      <t>ガイチュウ</t>
    </rPh>
    <rPh sb="190" eb="192">
      <t>ジッセキ</t>
    </rPh>
    <rPh sb="193" eb="195">
      <t>サクジョ</t>
    </rPh>
    <rPh sb="202" eb="204">
      <t>カンリョウ</t>
    </rPh>
    <rPh sb="204" eb="207">
      <t>ホウコクショ</t>
    </rPh>
    <rPh sb="225" eb="227">
      <t>ツイカ</t>
    </rPh>
    <rPh sb="234" eb="236">
      <t>カンリョウ</t>
    </rPh>
    <rPh sb="236" eb="239">
      <t>ホウコクショ</t>
    </rPh>
    <rPh sb="247" eb="250">
      <t>フグアイ</t>
    </rPh>
    <rPh sb="250" eb="253">
      <t>テキシュツスウ</t>
    </rPh>
    <rPh sb="254" eb="256">
      <t>ツイカ</t>
    </rPh>
    <phoneticPr fontId="2"/>
  </si>
  <si>
    <t>参加者</t>
    <rPh sb="0" eb="3">
      <t>サンカシャ</t>
    </rPh>
    <phoneticPr fontId="2"/>
  </si>
  <si>
    <t>プロジェクトコード</t>
    <phoneticPr fontId="13"/>
  </si>
  <si>
    <t>PJA0000402・PJA0000403</t>
    <phoneticPr fontId="13"/>
  </si>
  <si>
    <t>プロジェクト名</t>
    <rPh sb="6" eb="7">
      <t>メイ</t>
    </rPh>
    <phoneticPr fontId="13"/>
  </si>
  <si>
    <t>千葉オフィス QMS・ISMS</t>
    <rPh sb="0" eb="2">
      <t>チバ</t>
    </rPh>
    <phoneticPr fontId="13"/>
  </si>
  <si>
    <t>顧客名</t>
    <rPh sb="0" eb="2">
      <t>コキャク</t>
    </rPh>
    <rPh sb="2" eb="3">
      <t>メイ</t>
    </rPh>
    <phoneticPr fontId="13"/>
  </si>
  <si>
    <t>株式会社システムエグゼ</t>
    <rPh sb="0" eb="4">
      <t>カブシキガイシャ</t>
    </rPh>
    <phoneticPr fontId="13"/>
  </si>
  <si>
    <t>文書番号</t>
    <rPh sb="0" eb="2">
      <t>ブンショ</t>
    </rPh>
    <rPh sb="2" eb="4">
      <t>バンゴウ</t>
    </rPh>
    <phoneticPr fontId="13"/>
  </si>
  <si>
    <t>文書名</t>
    <rPh sb="0" eb="3">
      <t>ブンショメイ</t>
    </rPh>
    <phoneticPr fontId="13"/>
  </si>
  <si>
    <t>発行者</t>
    <rPh sb="0" eb="3">
      <t>ハッコウシャ</t>
    </rPh>
    <phoneticPr fontId="13"/>
  </si>
  <si>
    <t>千葉オフィス QMS・ISMS委員会</t>
    <rPh sb="0" eb="2">
      <t>チバ</t>
    </rPh>
    <rPh sb="15" eb="18">
      <t>イインカイ</t>
    </rPh>
    <phoneticPr fontId="13"/>
  </si>
  <si>
    <t>文書管理責任者</t>
    <rPh sb="0" eb="2">
      <t>ブンショ</t>
    </rPh>
    <rPh sb="2" eb="4">
      <t>カンリ</t>
    </rPh>
    <rPh sb="4" eb="7">
      <t>セキニンシャ</t>
    </rPh>
    <phoneticPr fontId="13"/>
  </si>
  <si>
    <t>福田慎</t>
    <rPh sb="0" eb="2">
      <t>フクダ</t>
    </rPh>
    <rPh sb="2" eb="3">
      <t>マコト</t>
    </rPh>
    <phoneticPr fontId="13"/>
  </si>
  <si>
    <t>発行日</t>
    <rPh sb="0" eb="3">
      <t>ハッコウビ</t>
    </rPh>
    <phoneticPr fontId="13"/>
  </si>
  <si>
    <t>版数</t>
    <rPh sb="0" eb="2">
      <t>ハンスウ</t>
    </rPh>
    <phoneticPr fontId="13"/>
  </si>
  <si>
    <t>ヘッダプロジェクト名</t>
    <rPh sb="9" eb="10">
      <t>メイ</t>
    </rPh>
    <phoneticPr fontId="13"/>
  </si>
  <si>
    <t>ヘッダ文書名</t>
    <rPh sb="3" eb="6">
      <t>ブンショメイ</t>
    </rPh>
    <phoneticPr fontId="13"/>
  </si>
  <si>
    <t>ヘッダ文書名‐補足１</t>
    <rPh sb="3" eb="6">
      <t>ブンショメイ</t>
    </rPh>
    <rPh sb="7" eb="9">
      <t>ホソク</t>
    </rPh>
    <phoneticPr fontId="13"/>
  </si>
  <si>
    <t>ヘッダ文書名‐補足２</t>
    <rPh sb="3" eb="6">
      <t>ブンショメイ</t>
    </rPh>
    <rPh sb="7" eb="9">
      <t>ホソク</t>
    </rPh>
    <phoneticPr fontId="13"/>
  </si>
  <si>
    <t>ヘッダ文書名‐補足３</t>
    <rPh sb="3" eb="6">
      <t>ブンショメイ</t>
    </rPh>
    <rPh sb="7" eb="9">
      <t>ホソク</t>
    </rPh>
    <phoneticPr fontId="13"/>
  </si>
  <si>
    <t>ヘッダ文書名‐改訂履歴</t>
    <rPh sb="3" eb="6">
      <t>ブンショメイ</t>
    </rPh>
    <phoneticPr fontId="13"/>
  </si>
  <si>
    <t>ヘッダ様式名称</t>
    <rPh sb="3" eb="5">
      <t>ヨウシキ</t>
    </rPh>
    <rPh sb="5" eb="7">
      <t>メイショウ</t>
    </rPh>
    <phoneticPr fontId="13"/>
  </si>
  <si>
    <t>様式版数</t>
    <rPh sb="0" eb="2">
      <t>ヨウシキ</t>
    </rPh>
    <rPh sb="2" eb="4">
      <t>ハンスウ</t>
    </rPh>
    <phoneticPr fontId="13"/>
  </si>
  <si>
    <t>53-01</t>
    <phoneticPr fontId="13"/>
  </si>
  <si>
    <t>プロジェクト計画書・完了報告書</t>
    <rPh sb="6" eb="9">
      <t>ケイカクショ</t>
    </rPh>
    <rPh sb="10" eb="12">
      <t>カンリョウ</t>
    </rPh>
    <rPh sb="12" eb="15">
      <t>ホウコクショ</t>
    </rPh>
    <phoneticPr fontId="13"/>
  </si>
  <si>
    <t>番号</t>
    <rPh sb="0" eb="2">
      <t>バンゴウ</t>
    </rPh>
    <phoneticPr fontId="13"/>
  </si>
  <si>
    <t>改定内容</t>
    <rPh sb="0" eb="2">
      <t>カイテイ</t>
    </rPh>
    <rPh sb="2" eb="4">
      <t>ナイヨウ</t>
    </rPh>
    <phoneticPr fontId="13"/>
  </si>
  <si>
    <t>更新者</t>
    <rPh sb="0" eb="3">
      <t>コウシンシャ</t>
    </rPh>
    <phoneticPr fontId="13"/>
  </si>
  <si>
    <t>更新日</t>
    <rPh sb="0" eb="3">
      <t>コウシンビ</t>
    </rPh>
    <phoneticPr fontId="13"/>
  </si>
  <si>
    <t>承認者</t>
    <rPh sb="0" eb="3">
      <t>ショウニンシャ</t>
    </rPh>
    <phoneticPr fontId="13"/>
  </si>
  <si>
    <t>承認日</t>
    <rPh sb="0" eb="3">
      <t>ショウニンビ</t>
    </rPh>
    <phoneticPr fontId="13"/>
  </si>
  <si>
    <t>備考</t>
    <rPh sb="0" eb="2">
      <t>ビコウ</t>
    </rPh>
    <phoneticPr fontId="13"/>
  </si>
  <si>
    <t>ステータス</t>
    <phoneticPr fontId="13"/>
  </si>
  <si>
    <t>回答期限：検収日の３ヶ月⇒１か月　後までに変更
　『プロジェクト名』について記述場所変更
　文言変更　”ご協力を”　⇒　”ご回答を”　　
　以下文を追加
　　『株式会社システムエグゼ千葉オフィスQMS・ISMS事務局からのご連絡となります。』
　署名欄
　　・MAILを追加 （qms-isms-office@system-exe.jp）
　　・電話番号 削除
　CC:PMのほか、営業担当を追加
　BCC:qms-isms-office@system-exe.jp　を追加
　タイトル：【株式会社システムエグゼ】　文言追加</t>
  </si>
  <si>
    <t>本稼働後障害発生件数</t>
    <rPh sb="0" eb="4">
      <t>ホンカドウゴ</t>
    </rPh>
    <rPh sb="4" eb="6">
      <t>ショウガイ</t>
    </rPh>
    <rPh sb="6" eb="8">
      <t>ハッセイ</t>
    </rPh>
    <rPh sb="8" eb="9">
      <t>ケン</t>
    </rPh>
    <rPh sb="9" eb="10">
      <t>スウ</t>
    </rPh>
    <phoneticPr fontId="2"/>
  </si>
  <si>
    <t>ユーザーテスト時障害発生件数</t>
    <rPh sb="7" eb="8">
      <t>ジ</t>
    </rPh>
    <rPh sb="8" eb="10">
      <t>ショウガイ</t>
    </rPh>
    <rPh sb="10" eb="12">
      <t>ハッセイ</t>
    </rPh>
    <rPh sb="12" eb="14">
      <t>ケンスウ</t>
    </rPh>
    <phoneticPr fontId="2"/>
  </si>
  <si>
    <t>ユーザーテスト時障害発生件数</t>
    <rPh sb="7" eb="8">
      <t>ジ</t>
    </rPh>
    <rPh sb="8" eb="10">
      <t>ショウガイ</t>
    </rPh>
    <rPh sb="10" eb="12">
      <t>ハッセイ</t>
    </rPh>
    <rPh sb="12" eb="13">
      <t>ケン</t>
    </rPh>
    <rPh sb="13" eb="14">
      <t>スウ</t>
    </rPh>
    <phoneticPr fontId="2"/>
  </si>
  <si>
    <t>ヘッダ等の書式の見直し
メール文面微調整</t>
    <rPh sb="3" eb="4">
      <t>トウ</t>
    </rPh>
    <rPh sb="5" eb="7">
      <t>ショシキ</t>
    </rPh>
    <rPh sb="8" eb="10">
      <t>ミナオ</t>
    </rPh>
    <rPh sb="15" eb="17">
      <t>ブンメン</t>
    </rPh>
    <rPh sb="17" eb="20">
      <t>ビチョウセイ</t>
    </rPh>
    <phoneticPr fontId="2"/>
  </si>
  <si>
    <t>顧客満足度調査依頼 メール文面におけるURLを2025年度版に変更</t>
    <rPh sb="27" eb="29">
      <t>ネンド</t>
    </rPh>
    <rPh sb="29" eb="30">
      <t>バン</t>
    </rPh>
    <rPh sb="31" eb="33">
      <t>ヘンコウ</t>
    </rPh>
    <phoneticPr fontId="2"/>
  </si>
  <si>
    <t>改訂担当者</t>
    <rPh sb="0" eb="2">
      <t>カイテイ</t>
    </rPh>
    <rPh sb="2" eb="5">
      <t>タントウシャ</t>
    </rPh>
    <phoneticPr fontId="13"/>
  </si>
  <si>
    <t>改定承認形式</t>
    <rPh sb="0" eb="2">
      <t>カイテイ</t>
    </rPh>
    <rPh sb="2" eb="4">
      <t>ショウニン</t>
    </rPh>
    <rPh sb="4" eb="6">
      <t>ケイシキ</t>
    </rPh>
    <phoneticPr fontId="13"/>
  </si>
  <si>
    <t>改定ステータス</t>
    <rPh sb="0" eb="2">
      <t>カイテイ</t>
    </rPh>
    <phoneticPr fontId="13"/>
  </si>
  <si>
    <t>区分</t>
    <rPh sb="0" eb="2">
      <t>クブン</t>
    </rPh>
    <phoneticPr fontId="13"/>
  </si>
  <si>
    <t>担当</t>
    <rPh sb="0" eb="2">
      <t>タントウ</t>
    </rPh>
    <phoneticPr fontId="13"/>
  </si>
  <si>
    <t>分類３</t>
    <rPh sb="0" eb="2">
      <t>ブンルイ</t>
    </rPh>
    <phoneticPr fontId="13"/>
  </si>
  <si>
    <t>QMS・ISMS委員会</t>
    <rPh sb="8" eb="11">
      <t>イインカイ</t>
    </rPh>
    <phoneticPr fontId="13"/>
  </si>
  <si>
    <t>メール</t>
    <phoneticPr fontId="13"/>
  </si>
  <si>
    <t>更新中</t>
    <rPh sb="0" eb="3">
      <t>コウシンチュウ</t>
    </rPh>
    <phoneticPr fontId="13"/>
  </si>
  <si>
    <t>QMS・ISMS</t>
    <phoneticPr fontId="13"/>
  </si>
  <si>
    <t>経営者</t>
    <rPh sb="0" eb="3">
      <t>ケイエイシャ</t>
    </rPh>
    <phoneticPr fontId="13"/>
  </si>
  <si>
    <t>未着手</t>
    <rPh sb="0" eb="3">
      <t>ミチャクシュ</t>
    </rPh>
    <phoneticPr fontId="13"/>
  </si>
  <si>
    <t>QMS・ISMS事務局</t>
    <rPh sb="8" eb="11">
      <t>ジムキョク</t>
    </rPh>
    <phoneticPr fontId="13"/>
  </si>
  <si>
    <t>Teams（チャット）</t>
    <phoneticPr fontId="13"/>
  </si>
  <si>
    <t>更新済み</t>
    <rPh sb="0" eb="2">
      <t>コウシン</t>
    </rPh>
    <rPh sb="2" eb="3">
      <t>ズ</t>
    </rPh>
    <phoneticPr fontId="13"/>
  </si>
  <si>
    <t>QMS</t>
    <phoneticPr fontId="13"/>
  </si>
  <si>
    <t>品質管理責任者・情報セキュリティ管理責任者</t>
    <rPh sb="0" eb="2">
      <t>ヒンシツ</t>
    </rPh>
    <rPh sb="2" eb="4">
      <t>カンリ</t>
    </rPh>
    <rPh sb="4" eb="7">
      <t>セキニンシャ</t>
    </rPh>
    <phoneticPr fontId="13"/>
  </si>
  <si>
    <t>対応中</t>
    <rPh sb="0" eb="3">
      <t>タイオウチュウ</t>
    </rPh>
    <phoneticPr fontId="13"/>
  </si>
  <si>
    <t>佐藤輝雄</t>
    <rPh sb="0" eb="2">
      <t>サトウ</t>
    </rPh>
    <rPh sb="2" eb="4">
      <t>テルオ</t>
    </rPh>
    <phoneticPr fontId="13"/>
  </si>
  <si>
    <t>会議体</t>
    <rPh sb="0" eb="3">
      <t>カイギタイ</t>
    </rPh>
    <phoneticPr fontId="13"/>
  </si>
  <si>
    <t>承認済み</t>
    <rPh sb="0" eb="2">
      <t>ショウニン</t>
    </rPh>
    <rPh sb="2" eb="3">
      <t>ズ</t>
    </rPh>
    <phoneticPr fontId="13"/>
  </si>
  <si>
    <t>ISMS</t>
    <phoneticPr fontId="13"/>
  </si>
  <si>
    <t>品質管理責任者</t>
    <rPh sb="0" eb="2">
      <t>ヒンシツ</t>
    </rPh>
    <rPh sb="2" eb="4">
      <t>カンリ</t>
    </rPh>
    <rPh sb="4" eb="7">
      <t>セキニンシャ</t>
    </rPh>
    <phoneticPr fontId="13"/>
  </si>
  <si>
    <t>完了</t>
    <rPh sb="0" eb="2">
      <t>カンリョウ</t>
    </rPh>
    <phoneticPr fontId="13"/>
  </si>
  <si>
    <t>口頭</t>
    <rPh sb="0" eb="2">
      <t>コウトウ</t>
    </rPh>
    <phoneticPr fontId="13"/>
  </si>
  <si>
    <t>発行済み</t>
    <rPh sb="0" eb="3">
      <t>ハッコウズ</t>
    </rPh>
    <phoneticPr fontId="13"/>
  </si>
  <si>
    <t>その他</t>
    <rPh sb="2" eb="3">
      <t>タ</t>
    </rPh>
    <phoneticPr fontId="13"/>
  </si>
  <si>
    <t>情報セキュリティ管理責任者</t>
    <rPh sb="0" eb="2">
      <t>ジョウホウ</t>
    </rPh>
    <rPh sb="8" eb="10">
      <t>カンリ</t>
    </rPh>
    <rPh sb="10" eb="13">
      <t>セキニンシャ</t>
    </rPh>
    <phoneticPr fontId="13"/>
  </si>
  <si>
    <t>保留</t>
    <rPh sb="0" eb="2">
      <t>ホリュウ</t>
    </rPh>
    <phoneticPr fontId="13"/>
  </si>
  <si>
    <t>安部ゆかり</t>
    <rPh sb="0" eb="2">
      <t>アベ</t>
    </rPh>
    <phoneticPr fontId="13"/>
  </si>
  <si>
    <t>内部監査責任者</t>
    <rPh sb="0" eb="2">
      <t>ナイブ</t>
    </rPh>
    <rPh sb="2" eb="4">
      <t>カンサ</t>
    </rPh>
    <rPh sb="4" eb="7">
      <t>セキニンシャ</t>
    </rPh>
    <phoneticPr fontId="13"/>
  </si>
  <si>
    <t>取消</t>
    <rPh sb="0" eb="2">
      <t>トリケシ</t>
    </rPh>
    <phoneticPr fontId="13"/>
  </si>
  <si>
    <t>矢野幸代</t>
    <rPh sb="0" eb="2">
      <t>ヤノ</t>
    </rPh>
    <rPh sb="2" eb="4">
      <t>サチヨ</t>
    </rPh>
    <phoneticPr fontId="13"/>
  </si>
  <si>
    <t>システム管理責任者</t>
    <rPh sb="4" eb="6">
      <t>カンリ</t>
    </rPh>
    <rPh sb="6" eb="9">
      <t>セキニンシャ</t>
    </rPh>
    <phoneticPr fontId="13"/>
  </si>
  <si>
    <t>福井将敏</t>
    <rPh sb="0" eb="2">
      <t>フクイ</t>
    </rPh>
    <rPh sb="2" eb="4">
      <t>マサトシ</t>
    </rPh>
    <phoneticPr fontId="13"/>
  </si>
  <si>
    <t>鍵管理者</t>
    <rPh sb="0" eb="1">
      <t>カギ</t>
    </rPh>
    <rPh sb="1" eb="4">
      <t>カンリシャ</t>
    </rPh>
    <phoneticPr fontId="13"/>
  </si>
  <si>
    <t>川名翔太</t>
    <rPh sb="0" eb="2">
      <t>カワナ</t>
    </rPh>
    <rPh sb="2" eb="4">
      <t>ショウタ</t>
    </rPh>
    <phoneticPr fontId="13"/>
  </si>
  <si>
    <t>委員会</t>
    <rPh sb="0" eb="3">
      <t>イインカイ</t>
    </rPh>
    <phoneticPr fontId="13"/>
  </si>
  <si>
    <t>鈴木邦彦</t>
    <rPh sb="0" eb="2">
      <t>スズキ</t>
    </rPh>
    <rPh sb="2" eb="4">
      <t>クニヒコ</t>
    </rPh>
    <phoneticPr fontId="13"/>
  </si>
  <si>
    <t>事務局</t>
    <rPh sb="0" eb="3">
      <t>ジムキョク</t>
    </rPh>
    <phoneticPr fontId="13"/>
  </si>
  <si>
    <t>本吉史明</t>
    <rPh sb="0" eb="2">
      <t>モトヨシ</t>
    </rPh>
    <rPh sb="2" eb="4">
      <t>フミアキ</t>
    </rPh>
    <phoneticPr fontId="13"/>
  </si>
  <si>
    <t>部長</t>
    <rPh sb="0" eb="2">
      <t>ブチョウ</t>
    </rPh>
    <phoneticPr fontId="13"/>
  </si>
  <si>
    <t>松下智一</t>
    <rPh sb="0" eb="2">
      <t>マツシタ</t>
    </rPh>
    <rPh sb="2" eb="4">
      <t>トモカズ</t>
    </rPh>
    <phoneticPr fontId="13"/>
  </si>
  <si>
    <t>遠矢成洋</t>
    <rPh sb="0" eb="2">
      <t>トオヤ</t>
    </rPh>
    <rPh sb="2" eb="4">
      <t>ナリヒロ</t>
    </rPh>
    <phoneticPr fontId="13"/>
  </si>
  <si>
    <t>野村康二</t>
    <rPh sb="0" eb="4">
      <t>ノムラコウジ</t>
    </rPh>
    <phoneticPr fontId="13"/>
  </si>
  <si>
    <t>郡司剛</t>
    <rPh sb="0" eb="2">
      <t>グンジ</t>
    </rPh>
    <rPh sb="2" eb="3">
      <t>ゴウ</t>
    </rPh>
    <phoneticPr fontId="13"/>
  </si>
  <si>
    <t>山本真輔</t>
    <rPh sb="0" eb="2">
      <t>ヤマモト</t>
    </rPh>
    <rPh sb="2" eb="4">
      <t>シンスケ</t>
    </rPh>
    <phoneticPr fontId="13"/>
  </si>
  <si>
    <t>菊池北斗</t>
    <rPh sb="0" eb="2">
      <t>キクチ</t>
    </rPh>
    <rPh sb="2" eb="4">
      <t>ホクト</t>
    </rPh>
    <phoneticPr fontId="13"/>
  </si>
  <si>
    <t>石井徹</t>
    <rPh sb="0" eb="3">
      <t>イシイトオル</t>
    </rPh>
    <phoneticPr fontId="13"/>
  </si>
  <si>
    <t>青井圭介</t>
    <rPh sb="0" eb="4">
      <t>アオイケイスケ</t>
    </rPh>
    <phoneticPr fontId="13"/>
  </si>
  <si>
    <t>村上輝暁（認証科学）</t>
    <rPh sb="5" eb="7">
      <t>ニンショウ</t>
    </rPh>
    <rPh sb="7" eb="9">
      <t>カガク</t>
    </rPh>
    <phoneticPr fontId="13"/>
  </si>
  <si>
    <t>JICQA</t>
    <phoneticPr fontId="13"/>
  </si>
  <si>
    <t>-</t>
    <phoneticPr fontId="13"/>
  </si>
  <si>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https://smilesurvey.co/start.php?s=8435515e&amp;id=[プロジェクトコード]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20" eb="322">
      <t>カキ</t>
    </rPh>
    <rPh sb="340" eb="342">
      <t>カイトウ</t>
    </rPh>
    <rPh sb="434" eb="436">
      <t>ショヨウ</t>
    </rPh>
    <rPh sb="436" eb="438">
      <t>ジカン</t>
    </rPh>
    <rPh sb="443" eb="444">
      <t>フン</t>
    </rPh>
    <rPh sb="445" eb="447">
      <t>テイド</t>
    </rPh>
    <rPh sb="458" eb="460">
      <t>カイトウ</t>
    </rPh>
    <rPh sb="467" eb="468">
      <t>サイワ</t>
    </rPh>
    <rPh sb="480" eb="482">
      <t>フメイ</t>
    </rPh>
    <rPh sb="482" eb="483">
      <t>テン</t>
    </rPh>
    <rPh sb="506" eb="507">
      <t>ト</t>
    </rPh>
    <rPh sb="508" eb="509">
      <t>ア</t>
    </rPh>
    <rPh sb="520" eb="521">
      <t>ト</t>
    </rPh>
    <rPh sb="522" eb="523">
      <t>ア</t>
    </rPh>
    <rPh sb="567" eb="568">
      <t>ナオ</t>
    </rPh>
    <rPh sb="583" eb="585">
      <t>ナイヨウ</t>
    </rPh>
    <rPh sb="693" eb="695">
      <t>ケイグ</t>
    </rPh>
    <rPh sb="740" eb="742">
      <t>チバ</t>
    </rPh>
    <rPh sb="756" eb="759">
      <t>ジムキョク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</si>
</sst>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_);[Red]\(0\)"/>
    <numFmt numFmtId="177" formatCode="0.00_);[Red]\(0.00\)"/>
    <numFmt numFmtId="178" formatCode="&quot;¥&quot;#,##0_);[Red]\(&quot;¥&quot;#,##0\)"/>
    <numFmt numFmtId="179" formatCode="&quot;第&quot;\ 0.0\ &quot;版&quot;"/>
  </numFmts>
  <fonts count="2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b/>
      <sz val="20"/>
      <name val="ＭＳ Ｐゴシック"/>
      <family val="3"/>
      <charset val="128"/>
    </font>
    <font>
      <b/>
      <sz val="9"/>
      <color indexed="81"/>
      <name val="MS P ゴシック"/>
      <family val="3"/>
      <charset val="128"/>
    </font>
    <font>
      <sz val="11"/>
      <name val="游ゴシック"/>
      <family val="3"/>
      <charset val="128"/>
    </font>
    <font>
      <sz val="11"/>
      <color rgb="FF0000FF"/>
      <name val="ＭＳ Ｐゴシック"/>
      <family val="3"/>
      <charset val="128"/>
    </font>
    <font>
      <sz val="11"/>
      <name val="ＭＳ ゴシック"/>
      <family val="3"/>
      <charset val="128"/>
    </font>
    <font>
      <sz val="9"/>
      <name val="游ゴシック"/>
      <family val="3"/>
      <charset val="128"/>
    </font>
    <font>
      <b/>
      <sz val="16"/>
      <name val="ＭＳ Ｐゴシック"/>
      <family val="3"/>
      <charset val="128"/>
    </font>
    <font>
      <sz val="9"/>
      <color indexed="81"/>
      <name val="MS P ゴシック"/>
      <family val="3"/>
      <charset val="128"/>
    </font>
    <font>
      <sz val="11"/>
      <color theme="1"/>
      <name val="Meiryo UI"/>
      <family val="2"/>
      <charset val="128"/>
    </font>
    <font>
      <sz val="6"/>
      <name val="ＭＳ Ｐゴシック"/>
      <family val="2"/>
      <charset val="128"/>
      <scheme val="minor"/>
    </font>
    <font>
      <sz val="11"/>
      <name val="ＭＳ Ｐゴシック"/>
      <family val="3"/>
      <charset val="128"/>
      <scheme val="major"/>
    </font>
    <font>
      <sz val="8"/>
      <name val="ＭＳ Ｐゴシック"/>
      <family val="3"/>
      <charset val="128"/>
    </font>
    <font>
      <sz val="11"/>
      <color theme="1"/>
      <name val="ＭＳ Ｐゴシック"/>
      <family val="2"/>
      <charset val="128"/>
      <scheme val="minor"/>
    </font>
    <font>
      <b/>
      <sz val="20"/>
      <name val="游ゴシック"/>
      <family val="3"/>
      <charset val="128"/>
    </font>
    <font>
      <b/>
      <sz val="16"/>
      <name val="游ゴシック"/>
      <family val="3"/>
      <charset val="128"/>
    </font>
    <font>
      <b/>
      <sz val="11"/>
      <name val="游ゴシック"/>
      <family val="3"/>
      <charset val="128"/>
    </font>
    <font>
      <sz val="11"/>
      <color indexed="10"/>
      <name val="游ゴシック"/>
      <family val="3"/>
      <charset val="128"/>
    </font>
    <font>
      <sz val="11"/>
      <color rgb="FF0000FF"/>
      <name val="游ゴシック"/>
      <family val="3"/>
      <charset val="128"/>
    </font>
    <font>
      <b/>
      <sz val="11"/>
      <color rgb="FFFF0000"/>
      <name val="游ゴシック"/>
      <family val="3"/>
      <charset val="128"/>
    </font>
    <font>
      <sz val="11"/>
      <color rgb="FFFF0000"/>
      <name val="游ゴシック"/>
      <family val="3"/>
      <charset val="128"/>
    </font>
    <font>
      <sz val="10"/>
      <color theme="1"/>
      <name val="游ゴシック"/>
      <family val="3"/>
      <charset val="128"/>
    </font>
    <font>
      <b/>
      <sz val="10"/>
      <color theme="0"/>
      <name val="游ゴシック"/>
      <family val="3"/>
      <charset val="128"/>
    </font>
    <font>
      <b/>
      <sz val="11"/>
      <color theme="0"/>
      <name val="游ゴシック"/>
      <family val="3"/>
      <charset val="128"/>
    </font>
    <font>
      <sz val="11"/>
      <color theme="1"/>
      <name val="游ゴシック"/>
      <family val="3"/>
      <charset val="128"/>
    </font>
    <font>
      <b/>
      <sz val="11"/>
      <color rgb="FFFF0000"/>
      <name val="ＭＳ Ｐゴシック"/>
      <family val="3"/>
      <charset val="128"/>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499984740745262"/>
        <bgColor indexed="64"/>
      </patternFill>
    </fill>
    <fill>
      <patternFill patternType="solid">
        <fgColor theme="0"/>
        <bgColor indexed="64"/>
      </patternFill>
    </fill>
    <fill>
      <patternFill patternType="solid">
        <fgColor theme="1" tint="0.249977111117893"/>
        <bgColor indexed="64"/>
      </patternFill>
    </fill>
  </fills>
  <borders count="5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
      <left/>
      <right/>
      <top/>
      <bottom style="double">
        <color indexed="64"/>
      </bottom>
      <diagonal/>
    </border>
  </borders>
  <cellStyleXfs count="7">
    <xf numFmtId="0" fontId="0" fillId="0" borderId="0">
      <alignment vertical="center"/>
    </xf>
    <xf numFmtId="0" fontId="1" fillId="0" borderId="0"/>
    <xf numFmtId="0" fontId="1" fillId="0" borderId="0">
      <alignment vertical="center"/>
    </xf>
    <xf numFmtId="0" fontId="12" fillId="0" borderId="0">
      <alignment vertical="center"/>
    </xf>
    <xf numFmtId="0" fontId="1" fillId="0" borderId="0"/>
    <xf numFmtId="9" fontId="1" fillId="0" borderId="0" applyFont="0" applyFill="0" applyBorder="0" applyAlignment="0" applyProtection="0">
      <alignment vertical="center"/>
    </xf>
    <xf numFmtId="0" fontId="16" fillId="0" borderId="0">
      <alignment vertical="center"/>
    </xf>
  </cellStyleXfs>
  <cellXfs count="493">
    <xf numFmtId="0" fontId="0" fillId="0" borderId="0" xfId="0">
      <alignment vertical="center"/>
    </xf>
    <xf numFmtId="14" fontId="1" fillId="3" borderId="0" xfId="2" applyNumberFormat="1" applyFill="1" applyAlignment="1">
      <alignment horizontal="center" vertical="center"/>
    </xf>
    <xf numFmtId="0" fontId="1" fillId="3" borderId="0" xfId="2" applyFill="1">
      <alignment vertical="center"/>
    </xf>
    <xf numFmtId="0" fontId="1" fillId="3" borderId="0" xfId="2" applyFill="1" applyAlignment="1">
      <alignment horizontal="center" vertical="center"/>
    </xf>
    <xf numFmtId="0" fontId="1" fillId="0" borderId="0" xfId="2">
      <alignment vertical="center"/>
    </xf>
    <xf numFmtId="0" fontId="1" fillId="0" borderId="0" xfId="1" applyAlignment="1">
      <alignment vertical="center"/>
    </xf>
    <xf numFmtId="0" fontId="1" fillId="0" borderId="0" xfId="2" applyAlignment="1">
      <alignment vertical="top"/>
    </xf>
    <xf numFmtId="0" fontId="3" fillId="0" borderId="0" xfId="2" applyFont="1" applyAlignment="1">
      <alignment vertical="top"/>
    </xf>
    <xf numFmtId="0" fontId="3" fillId="3" borderId="0" xfId="2" applyFont="1" applyFill="1" applyAlignment="1">
      <alignment vertical="top"/>
    </xf>
    <xf numFmtId="0" fontId="3" fillId="0" borderId="0" xfId="1" applyFont="1" applyAlignment="1">
      <alignment vertical="top"/>
    </xf>
    <xf numFmtId="0" fontId="1" fillId="0" borderId="0" xfId="1" applyAlignment="1">
      <alignment vertical="top"/>
    </xf>
    <xf numFmtId="0" fontId="1" fillId="0" borderId="0" xfId="2" applyAlignment="1">
      <alignment vertical="top" wrapText="1"/>
    </xf>
    <xf numFmtId="0" fontId="8" fillId="0" borderId="0" xfId="0" applyFont="1">
      <alignment vertical="center"/>
    </xf>
    <xf numFmtId="0" fontId="8" fillId="5" borderId="0" xfId="0" applyFont="1" applyFill="1" applyAlignment="1">
      <alignment vertical="top" wrapText="1"/>
    </xf>
    <xf numFmtId="0" fontId="9" fillId="0" borderId="0" xfId="0" applyFont="1" applyAlignment="1">
      <alignment vertical="top" wrapText="1"/>
    </xf>
    <xf numFmtId="49" fontId="6" fillId="0" borderId="0" xfId="0" applyNumberFormat="1" applyFont="1">
      <alignment vertical="center"/>
    </xf>
    <xf numFmtId="0" fontId="4" fillId="0" borderId="0" xfId="2" applyFont="1" applyAlignment="1">
      <alignment horizontal="left" vertical="center"/>
    </xf>
    <xf numFmtId="0" fontId="10" fillId="0" borderId="0" xfId="2" applyFont="1">
      <alignment vertical="center"/>
    </xf>
    <xf numFmtId="0" fontId="1" fillId="3" borderId="0" xfId="2" applyFill="1" applyAlignment="1">
      <alignment vertical="top" wrapText="1"/>
    </xf>
    <xf numFmtId="0" fontId="1" fillId="3" borderId="0" xfId="0" applyFont="1" applyFill="1" applyAlignment="1">
      <alignment horizontal="left" vertical="top"/>
    </xf>
    <xf numFmtId="49" fontId="1" fillId="7" borderId="2" xfId="2" applyNumberFormat="1" applyFill="1" applyBorder="1" applyAlignment="1">
      <alignment horizontal="center" vertical="top"/>
    </xf>
    <xf numFmtId="0" fontId="7" fillId="0" borderId="0" xfId="2" applyFont="1" applyAlignment="1">
      <alignment vertical="top"/>
    </xf>
    <xf numFmtId="0" fontId="7" fillId="0" borderId="0" xfId="0" applyFont="1" applyAlignment="1">
      <alignment vertical="top"/>
    </xf>
    <xf numFmtId="9" fontId="1" fillId="0" borderId="0" xfId="5" applyFont="1" applyFill="1" applyBorder="1" applyAlignment="1">
      <alignment horizontal="right" vertical="top" indent="1"/>
    </xf>
    <xf numFmtId="0" fontId="1" fillId="0" borderId="0" xfId="0" applyFont="1" applyAlignment="1">
      <alignment horizontal="left" vertical="top"/>
    </xf>
    <xf numFmtId="178" fontId="1" fillId="0" borderId="0" xfId="0" applyNumberFormat="1" applyFont="1" applyAlignment="1">
      <alignment horizontal="left" vertical="top"/>
    </xf>
    <xf numFmtId="0" fontId="1" fillId="0" borderId="0" xfId="0" applyFont="1" applyAlignment="1">
      <alignment vertical="top"/>
    </xf>
    <xf numFmtId="177" fontId="1" fillId="0" borderId="0" xfId="5" applyNumberFormat="1" applyFont="1" applyFill="1" applyBorder="1" applyAlignment="1">
      <alignment horizontal="right" vertical="top" indent="1"/>
    </xf>
    <xf numFmtId="2" fontId="14" fillId="7" borderId="39" xfId="0" applyNumberFormat="1" applyFont="1" applyFill="1" applyBorder="1" applyAlignment="1">
      <alignment horizontal="center" vertical="center"/>
    </xf>
    <xf numFmtId="2" fontId="14" fillId="7" borderId="43" xfId="0" applyNumberFormat="1" applyFont="1" applyFill="1" applyBorder="1" applyAlignment="1">
      <alignment horizontal="center" vertical="center"/>
    </xf>
    <xf numFmtId="0" fontId="1" fillId="0" borderId="54" xfId="2" applyBorder="1">
      <alignment vertical="center"/>
    </xf>
    <xf numFmtId="0" fontId="6" fillId="0" borderId="0" xfId="2" applyFont="1">
      <alignment vertical="center"/>
    </xf>
    <xf numFmtId="0" fontId="6" fillId="0" borderId="54" xfId="2" applyFont="1" applyBorder="1">
      <alignment vertical="center"/>
    </xf>
    <xf numFmtId="0" fontId="6" fillId="3" borderId="0" xfId="2" applyFont="1" applyFill="1">
      <alignment vertical="center"/>
    </xf>
    <xf numFmtId="0" fontId="17" fillId="0" borderId="0" xfId="2" applyFont="1" applyAlignment="1">
      <alignment horizontal="left" vertical="center"/>
    </xf>
    <xf numFmtId="0" fontId="18" fillId="0" borderId="0" xfId="2" applyFont="1">
      <alignment vertical="center"/>
    </xf>
    <xf numFmtId="0" fontId="6" fillId="3" borderId="0" xfId="2" applyFont="1" applyFill="1" applyAlignment="1">
      <alignment horizontal="center" vertical="center"/>
    </xf>
    <xf numFmtId="14" fontId="6" fillId="3" borderId="0" xfId="2" applyNumberFormat="1" applyFont="1" applyFill="1" applyAlignment="1">
      <alignment horizontal="center" vertical="center"/>
    </xf>
    <xf numFmtId="0" fontId="6" fillId="3" borderId="0" xfId="2" applyFont="1" applyFill="1" applyAlignment="1">
      <alignment vertical="top"/>
    </xf>
    <xf numFmtId="0" fontId="19" fillId="3" borderId="0" xfId="2" applyFont="1" applyFill="1" applyAlignment="1">
      <alignment vertical="top"/>
    </xf>
    <xf numFmtId="0" fontId="6" fillId="3" borderId="0" xfId="2" applyFont="1" applyFill="1" applyAlignment="1">
      <alignment horizontal="center" vertical="top"/>
    </xf>
    <xf numFmtId="0" fontId="6" fillId="0" borderId="0" xfId="2" applyFont="1" applyAlignment="1">
      <alignment vertical="top"/>
    </xf>
    <xf numFmtId="0" fontId="6" fillId="3" borderId="0" xfId="2" applyFont="1" applyFill="1" applyAlignment="1">
      <alignment vertical="top" wrapText="1"/>
    </xf>
    <xf numFmtId="49" fontId="6" fillId="3" borderId="2" xfId="2" applyNumberFormat="1" applyFont="1" applyFill="1" applyBorder="1" applyAlignment="1">
      <alignment horizontal="center" vertical="top" wrapText="1"/>
    </xf>
    <xf numFmtId="0" fontId="6" fillId="0" borderId="0" xfId="2" applyFont="1" applyAlignment="1">
      <alignment vertical="top" wrapText="1"/>
    </xf>
    <xf numFmtId="0" fontId="19" fillId="0" borderId="0" xfId="2" applyFont="1" applyAlignment="1">
      <alignment vertical="top" wrapText="1"/>
    </xf>
    <xf numFmtId="0" fontId="20" fillId="3" borderId="0" xfId="2" applyFont="1" applyFill="1" applyAlignment="1">
      <alignment vertical="top"/>
    </xf>
    <xf numFmtId="0" fontId="6" fillId="3" borderId="0" xfId="0" applyFont="1" applyFill="1" applyAlignment="1">
      <alignment vertical="top" wrapText="1"/>
    </xf>
    <xf numFmtId="0" fontId="6" fillId="0" borderId="0" xfId="1" applyFont="1" applyAlignment="1">
      <alignment vertical="top"/>
    </xf>
    <xf numFmtId="0" fontId="19" fillId="0" borderId="0" xfId="1" applyFont="1" applyAlignment="1">
      <alignment vertical="top"/>
    </xf>
    <xf numFmtId="0" fontId="6" fillId="0" borderId="0" xfId="0" applyFont="1" applyAlignment="1">
      <alignment horizontal="left" vertical="top" wrapText="1"/>
    </xf>
    <xf numFmtId="49" fontId="6" fillId="0" borderId="0" xfId="0" applyNumberFormat="1" applyFont="1" applyAlignment="1">
      <alignment horizontal="left" vertical="top" wrapText="1"/>
    </xf>
    <xf numFmtId="0" fontId="19" fillId="0" borderId="0" xfId="1" applyFont="1" applyAlignment="1">
      <alignment vertical="top" wrapText="1"/>
    </xf>
    <xf numFmtId="0" fontId="6" fillId="0" borderId="27" xfId="1" applyFont="1" applyBorder="1" applyAlignment="1">
      <alignment vertical="top" wrapText="1"/>
    </xf>
    <xf numFmtId="0" fontId="6" fillId="0" borderId="28" xfId="1" applyFont="1" applyBorder="1" applyAlignment="1">
      <alignment vertical="top" wrapText="1"/>
    </xf>
    <xf numFmtId="0" fontId="6" fillId="0" borderId="29" xfId="1" applyFont="1" applyBorder="1" applyAlignment="1">
      <alignment vertical="top" wrapText="1"/>
    </xf>
    <xf numFmtId="0" fontId="6" fillId="0" borderId="0" xfId="1" applyFont="1" applyAlignment="1">
      <alignment vertical="top" wrapText="1"/>
    </xf>
    <xf numFmtId="0" fontId="6" fillId="0" borderId="30" xfId="1" applyFont="1" applyBorder="1" applyAlignment="1">
      <alignment vertical="top" wrapText="1"/>
    </xf>
    <xf numFmtId="0" fontId="6" fillId="0" borderId="31" xfId="1" applyFont="1" applyBorder="1" applyAlignment="1">
      <alignment vertical="top" wrapText="1"/>
    </xf>
    <xf numFmtId="0" fontId="6" fillId="0" borderId="32" xfId="1" applyFont="1" applyBorder="1" applyAlignment="1">
      <alignment vertical="top" wrapText="1"/>
    </xf>
    <xf numFmtId="0" fontId="6" fillId="0" borderId="33" xfId="1" applyFont="1" applyBorder="1" applyAlignment="1">
      <alignment vertical="top" wrapText="1"/>
    </xf>
    <xf numFmtId="0" fontId="6" fillId="0" borderId="34" xfId="1" applyFont="1" applyBorder="1" applyAlignment="1">
      <alignment vertical="top" wrapText="1"/>
    </xf>
    <xf numFmtId="0" fontId="19" fillId="3" borderId="0" xfId="0" applyFont="1" applyFill="1" applyAlignment="1">
      <alignment vertical="top"/>
    </xf>
    <xf numFmtId="14" fontId="6" fillId="0" borderId="0" xfId="2" applyNumberFormat="1" applyFont="1" applyAlignment="1">
      <alignment horizontal="left" vertical="top" wrapText="1"/>
    </xf>
    <xf numFmtId="0" fontId="6" fillId="0" borderId="0" xfId="2" applyFont="1" applyAlignment="1">
      <alignment horizontal="left" vertical="top" wrapText="1"/>
    </xf>
    <xf numFmtId="0" fontId="19" fillId="0" borderId="0" xfId="1" applyFont="1" applyAlignment="1">
      <alignment vertical="center"/>
    </xf>
    <xf numFmtId="0" fontId="6" fillId="0" borderId="0" xfId="1" applyFont="1" applyAlignment="1">
      <alignment vertical="center"/>
    </xf>
    <xf numFmtId="0" fontId="17" fillId="0" borderId="0" xfId="2" applyFont="1">
      <alignment vertical="center"/>
    </xf>
    <xf numFmtId="0" fontId="22" fillId="3" borderId="0" xfId="2" applyFont="1" applyFill="1" applyAlignment="1">
      <alignment horizontal="left" vertical="center"/>
    </xf>
    <xf numFmtId="49" fontId="6" fillId="7" borderId="2" xfId="2" applyNumberFormat="1" applyFont="1" applyFill="1" applyBorder="1" applyAlignment="1">
      <alignment horizontal="center" vertical="top"/>
    </xf>
    <xf numFmtId="0" fontId="6" fillId="3" borderId="0" xfId="0" applyFont="1" applyFill="1" applyAlignment="1">
      <alignment horizontal="left" vertical="top"/>
    </xf>
    <xf numFmtId="0" fontId="19" fillId="0" borderId="0" xfId="2" applyFont="1" applyAlignment="1">
      <alignment vertical="top"/>
    </xf>
    <xf numFmtId="0" fontId="19" fillId="3" borderId="0" xfId="2" applyFont="1" applyFill="1" applyAlignment="1">
      <alignment horizontal="right" vertical="top"/>
    </xf>
    <xf numFmtId="0" fontId="19" fillId="0" borderId="0" xfId="2" applyFont="1">
      <alignment vertical="center"/>
    </xf>
    <xf numFmtId="0" fontId="6" fillId="0" borderId="0" xfId="2" applyFont="1" applyAlignment="1">
      <alignment horizontal="left" vertical="top"/>
    </xf>
    <xf numFmtId="14" fontId="6" fillId="0" borderId="0" xfId="1" applyNumberFormat="1" applyFont="1" applyAlignment="1">
      <alignment horizontal="center" vertical="center"/>
    </xf>
    <xf numFmtId="0" fontId="24" fillId="10" borderId="0" xfId="6" applyFont="1" applyFill="1" applyAlignment="1">
      <alignment horizontal="center" vertical="top"/>
    </xf>
    <xf numFmtId="14" fontId="24" fillId="10" borderId="0" xfId="6" applyNumberFormat="1" applyFont="1" applyFill="1" applyAlignment="1">
      <alignment horizontal="center" vertical="top"/>
    </xf>
    <xf numFmtId="0" fontId="24" fillId="10" borderId="0" xfId="6" applyFont="1" applyFill="1" applyAlignment="1">
      <alignment horizontal="center" vertical="top" wrapText="1"/>
    </xf>
    <xf numFmtId="0" fontId="24" fillId="10" borderId="0" xfId="6" applyFont="1" applyFill="1" applyAlignment="1">
      <alignment vertical="top" wrapText="1"/>
    </xf>
    <xf numFmtId="0" fontId="24" fillId="10" borderId="0" xfId="6" applyFont="1" applyFill="1" applyAlignment="1">
      <alignment horizontal="left" vertical="top" wrapText="1"/>
    </xf>
    <xf numFmtId="0" fontId="24" fillId="0" borderId="0" xfId="6" applyFont="1" applyAlignment="1">
      <alignment vertical="top"/>
    </xf>
    <xf numFmtId="0" fontId="24" fillId="10" borderId="54" xfId="6" applyFont="1" applyFill="1" applyBorder="1" applyAlignment="1">
      <alignment horizontal="center" vertical="top"/>
    </xf>
    <xf numFmtId="14" fontId="24" fillId="10" borderId="54" xfId="6" applyNumberFormat="1" applyFont="1" applyFill="1" applyBorder="1" applyAlignment="1">
      <alignment horizontal="center" vertical="top"/>
    </xf>
    <xf numFmtId="0" fontId="24" fillId="10" borderId="54" xfId="6" applyFont="1" applyFill="1" applyBorder="1" applyAlignment="1">
      <alignment horizontal="center" vertical="top" wrapText="1"/>
    </xf>
    <xf numFmtId="0" fontId="24" fillId="10" borderId="54" xfId="6" applyFont="1" applyFill="1" applyBorder="1" applyAlignment="1">
      <alignment vertical="top" wrapText="1"/>
    </xf>
    <xf numFmtId="0" fontId="24" fillId="10" borderId="54" xfId="6" applyFont="1" applyFill="1" applyBorder="1" applyAlignment="1">
      <alignment horizontal="left" vertical="top" wrapText="1"/>
    </xf>
    <xf numFmtId="0" fontId="24" fillId="0" borderId="0" xfId="6" applyFont="1" applyAlignment="1">
      <alignment horizontal="center" vertical="top"/>
    </xf>
    <xf numFmtId="14" fontId="24" fillId="0" borderId="0" xfId="6" applyNumberFormat="1" applyFont="1" applyAlignment="1">
      <alignment horizontal="center" vertical="top"/>
    </xf>
    <xf numFmtId="0" fontId="24" fillId="0" borderId="0" xfId="6" applyFont="1" applyAlignment="1">
      <alignment horizontal="center" vertical="top" wrapText="1"/>
    </xf>
    <xf numFmtId="0" fontId="24" fillId="0" borderId="0" xfId="6" applyFont="1" applyAlignment="1">
      <alignment vertical="top" wrapText="1"/>
    </xf>
    <xf numFmtId="0" fontId="24" fillId="0" borderId="0" xfId="6" applyFont="1" applyAlignment="1">
      <alignment horizontal="left" vertical="top" wrapText="1"/>
    </xf>
    <xf numFmtId="0" fontId="25" fillId="9" borderId="7" xfId="6" applyFont="1" applyFill="1" applyBorder="1" applyAlignment="1">
      <alignment horizontal="center" vertical="top"/>
    </xf>
    <xf numFmtId="14" fontId="25" fillId="9" borderId="7" xfId="6" applyNumberFormat="1" applyFont="1" applyFill="1" applyBorder="1" applyAlignment="1">
      <alignment horizontal="center" vertical="top"/>
    </xf>
    <xf numFmtId="0" fontId="25" fillId="9" borderId="7" xfId="6" applyFont="1" applyFill="1" applyBorder="1" applyAlignment="1">
      <alignment horizontal="center" vertical="top" wrapText="1"/>
    </xf>
    <xf numFmtId="0" fontId="24" fillId="0" borderId="7" xfId="6" applyFont="1" applyBorder="1" applyAlignment="1">
      <alignment horizontal="center" vertical="top"/>
    </xf>
    <xf numFmtId="179" fontId="24" fillId="0" borderId="7" xfId="6" applyNumberFormat="1" applyFont="1" applyBorder="1" applyAlignment="1">
      <alignment horizontal="center" vertical="top"/>
    </xf>
    <xf numFmtId="14" fontId="24" fillId="0" borderId="7" xfId="6" applyNumberFormat="1" applyFont="1" applyBorder="1" applyAlignment="1">
      <alignment horizontal="center" vertical="top"/>
    </xf>
    <xf numFmtId="0" fontId="24" fillId="0" borderId="7" xfId="6" applyFont="1" applyBorder="1" applyAlignment="1">
      <alignment horizontal="left" vertical="top" wrapText="1"/>
    </xf>
    <xf numFmtId="0" fontId="24" fillId="7" borderId="7" xfId="6" applyFont="1" applyFill="1" applyBorder="1" applyAlignment="1">
      <alignment horizontal="center" vertical="top" wrapText="1"/>
    </xf>
    <xf numFmtId="0" fontId="26" fillId="9" borderId="7" xfId="6" applyFont="1" applyFill="1" applyBorder="1">
      <alignment vertical="center"/>
    </xf>
    <xf numFmtId="49" fontId="27" fillId="0" borderId="7" xfId="6" applyNumberFormat="1" applyFont="1" applyBorder="1" applyAlignment="1">
      <alignment horizontal="left" vertical="center"/>
    </xf>
    <xf numFmtId="0" fontId="27" fillId="0" borderId="0" xfId="6" applyFont="1">
      <alignment vertical="center"/>
    </xf>
    <xf numFmtId="14" fontId="27" fillId="7" borderId="7" xfId="6" applyNumberFormat="1" applyFont="1" applyFill="1" applyBorder="1" applyAlignment="1">
      <alignment horizontal="left" vertical="center"/>
    </xf>
    <xf numFmtId="179" fontId="27" fillId="7" borderId="7" xfId="6" applyNumberFormat="1" applyFont="1" applyFill="1" applyBorder="1" applyAlignment="1">
      <alignment horizontal="left" vertical="center"/>
    </xf>
    <xf numFmtId="0" fontId="6" fillId="7" borderId="7" xfId="6" applyFont="1" applyFill="1" applyBorder="1" applyAlignment="1">
      <alignment horizontal="left" vertical="center"/>
    </xf>
    <xf numFmtId="0" fontId="27" fillId="7" borderId="7" xfId="6" applyFont="1" applyFill="1" applyBorder="1" applyAlignment="1">
      <alignment horizontal="left" vertical="center"/>
    </xf>
    <xf numFmtId="49" fontId="27" fillId="0" borderId="0" xfId="6" applyNumberFormat="1" applyFont="1" applyAlignment="1">
      <alignment horizontal="left" vertical="center"/>
    </xf>
    <xf numFmtId="178" fontId="6" fillId="7" borderId="23" xfId="2" applyNumberFormat="1" applyFont="1" applyFill="1" applyBorder="1" applyAlignment="1">
      <alignment horizontal="right" vertical="top" wrapText="1"/>
    </xf>
    <xf numFmtId="178" fontId="6" fillId="7" borderId="20" xfId="2" applyNumberFormat="1" applyFont="1" applyFill="1" applyBorder="1" applyAlignment="1">
      <alignment horizontal="right" vertical="top" wrapText="1"/>
    </xf>
    <xf numFmtId="178" fontId="6" fillId="7" borderId="24" xfId="2" applyNumberFormat="1" applyFont="1" applyFill="1" applyBorder="1" applyAlignment="1">
      <alignment horizontal="right" vertical="top" wrapText="1"/>
    </xf>
    <xf numFmtId="10" fontId="6" fillId="7" borderId="23" xfId="5" applyNumberFormat="1" applyFont="1" applyFill="1" applyBorder="1" applyAlignment="1">
      <alignment horizontal="right" vertical="top" wrapText="1"/>
    </xf>
    <xf numFmtId="10" fontId="6" fillId="7" borderId="20" xfId="5" applyNumberFormat="1" applyFont="1" applyFill="1" applyBorder="1" applyAlignment="1">
      <alignment horizontal="right" vertical="top" wrapText="1"/>
    </xf>
    <xf numFmtId="10" fontId="6" fillId="7" borderId="24" xfId="5" applyNumberFormat="1" applyFont="1" applyFill="1" applyBorder="1" applyAlignment="1">
      <alignment horizontal="right" vertical="top" wrapText="1"/>
    </xf>
    <xf numFmtId="178" fontId="6" fillId="7" borderId="1" xfId="2" applyNumberFormat="1" applyFont="1" applyFill="1" applyBorder="1" applyAlignment="1">
      <alignment horizontal="right" vertical="top" wrapText="1"/>
    </xf>
    <xf numFmtId="178" fontId="6" fillId="7" borderId="2" xfId="2" applyNumberFormat="1" applyFont="1" applyFill="1" applyBorder="1" applyAlignment="1">
      <alignment horizontal="right" vertical="top" wrapText="1"/>
    </xf>
    <xf numFmtId="178" fontId="6" fillId="7" borderId="3" xfId="2" applyNumberFormat="1" applyFont="1" applyFill="1" applyBorder="1" applyAlignment="1">
      <alignment horizontal="right" vertical="top" wrapText="1"/>
    </xf>
    <xf numFmtId="0" fontId="6" fillId="7" borderId="23" xfId="2" applyFont="1" applyFill="1" applyBorder="1" applyAlignment="1">
      <alignment horizontal="left" vertical="top" wrapText="1"/>
    </xf>
    <xf numFmtId="0" fontId="6" fillId="7" borderId="20" xfId="2" applyFont="1" applyFill="1" applyBorder="1" applyAlignment="1">
      <alignment horizontal="left" vertical="top" wrapText="1"/>
    </xf>
    <xf numFmtId="0" fontId="6" fillId="7" borderId="24" xfId="2" applyFont="1" applyFill="1" applyBorder="1" applyAlignment="1">
      <alignment horizontal="left" vertical="top" wrapText="1"/>
    </xf>
    <xf numFmtId="14" fontId="6" fillId="7" borderId="23" xfId="2" applyNumberFormat="1" applyFont="1" applyFill="1" applyBorder="1" applyAlignment="1">
      <alignment horizontal="center" vertical="top" wrapText="1"/>
    </xf>
    <xf numFmtId="14" fontId="6" fillId="7" borderId="20" xfId="2" applyNumberFormat="1" applyFont="1" applyFill="1" applyBorder="1" applyAlignment="1">
      <alignment horizontal="center" vertical="top" wrapText="1"/>
    </xf>
    <xf numFmtId="14" fontId="6" fillId="7" borderId="24" xfId="2" applyNumberFormat="1" applyFont="1" applyFill="1" applyBorder="1" applyAlignment="1">
      <alignment horizontal="center" vertical="top" wrapText="1"/>
    </xf>
    <xf numFmtId="177" fontId="6" fillId="7" borderId="23" xfId="2" applyNumberFormat="1" applyFont="1" applyFill="1" applyBorder="1" applyAlignment="1">
      <alignment horizontal="right" vertical="top" wrapText="1"/>
    </xf>
    <xf numFmtId="177" fontId="6" fillId="7" borderId="20" xfId="2" applyNumberFormat="1" applyFont="1" applyFill="1" applyBorder="1" applyAlignment="1">
      <alignment horizontal="right" vertical="top" wrapText="1"/>
    </xf>
    <xf numFmtId="177" fontId="6" fillId="7" borderId="24" xfId="2" applyNumberFormat="1" applyFont="1" applyFill="1" applyBorder="1" applyAlignment="1">
      <alignment horizontal="right" vertical="top" wrapText="1"/>
    </xf>
    <xf numFmtId="0" fontId="6" fillId="4" borderId="1" xfId="2" applyFont="1" applyFill="1" applyBorder="1" applyAlignment="1">
      <alignment horizontal="center" vertical="top" wrapText="1"/>
    </xf>
    <xf numFmtId="0" fontId="6" fillId="4" borderId="2" xfId="2" applyFont="1" applyFill="1" applyBorder="1" applyAlignment="1">
      <alignment horizontal="center" vertical="top" wrapText="1"/>
    </xf>
    <xf numFmtId="0" fontId="6" fillId="4" borderId="3" xfId="2" applyFont="1" applyFill="1" applyBorder="1" applyAlignment="1">
      <alignment horizontal="center" vertical="top" wrapText="1"/>
    </xf>
    <xf numFmtId="10" fontId="6" fillId="7" borderId="1" xfId="5" applyNumberFormat="1" applyFont="1" applyFill="1" applyBorder="1" applyAlignment="1">
      <alignment horizontal="right" vertical="top" wrapText="1"/>
    </xf>
    <xf numFmtId="10" fontId="6" fillId="7" borderId="2" xfId="5" applyNumberFormat="1" applyFont="1" applyFill="1" applyBorder="1" applyAlignment="1">
      <alignment horizontal="right" vertical="top" wrapText="1"/>
    </xf>
    <xf numFmtId="10" fontId="6" fillId="7" borderId="3" xfId="5" applyNumberFormat="1" applyFont="1" applyFill="1" applyBorder="1" applyAlignment="1">
      <alignment horizontal="right" vertical="top" wrapText="1"/>
    </xf>
    <xf numFmtId="178" fontId="6" fillId="0" borderId="1" xfId="2" applyNumberFormat="1" applyFont="1" applyBorder="1" applyAlignment="1">
      <alignment horizontal="right" vertical="top" wrapText="1"/>
    </xf>
    <xf numFmtId="178" fontId="6" fillId="0" borderId="2" xfId="2" applyNumberFormat="1" applyFont="1" applyBorder="1" applyAlignment="1">
      <alignment horizontal="right" vertical="top" wrapText="1"/>
    </xf>
    <xf numFmtId="178" fontId="6" fillId="0" borderId="3" xfId="2" applyNumberFormat="1" applyFont="1" applyBorder="1" applyAlignment="1">
      <alignment horizontal="right" vertical="top" wrapText="1"/>
    </xf>
    <xf numFmtId="14" fontId="6" fillId="0" borderId="1" xfId="2" applyNumberFormat="1" applyFont="1" applyBorder="1" applyAlignment="1">
      <alignment horizontal="center" vertical="top" wrapText="1"/>
    </xf>
    <xf numFmtId="14" fontId="6" fillId="0" borderId="2" xfId="2" applyNumberFormat="1" applyFont="1" applyBorder="1" applyAlignment="1">
      <alignment horizontal="center" vertical="top" wrapText="1"/>
    </xf>
    <xf numFmtId="14" fontId="6" fillId="0" borderId="3" xfId="2" applyNumberFormat="1" applyFont="1" applyBorder="1" applyAlignment="1">
      <alignment horizontal="center" vertical="top" wrapText="1"/>
    </xf>
    <xf numFmtId="177" fontId="6" fillId="0" borderId="1" xfId="2" applyNumberFormat="1" applyFont="1" applyBorder="1" applyAlignment="1">
      <alignment horizontal="right" vertical="top" wrapText="1"/>
    </xf>
    <xf numFmtId="177" fontId="6" fillId="0" borderId="2" xfId="2" applyNumberFormat="1" applyFont="1" applyBorder="1" applyAlignment="1">
      <alignment horizontal="right" vertical="top" wrapText="1"/>
    </xf>
    <xf numFmtId="177" fontId="6" fillId="0" borderId="3" xfId="2" applyNumberFormat="1" applyFont="1" applyBorder="1" applyAlignment="1">
      <alignment horizontal="right" vertical="top" wrapText="1"/>
    </xf>
    <xf numFmtId="177" fontId="6" fillId="7" borderId="1" xfId="2" applyNumberFormat="1" applyFont="1" applyFill="1" applyBorder="1" applyAlignment="1">
      <alignment horizontal="right" vertical="top" wrapText="1"/>
    </xf>
    <xf numFmtId="177" fontId="6" fillId="7" borderId="2" xfId="2" applyNumberFormat="1" applyFont="1" applyFill="1" applyBorder="1" applyAlignment="1">
      <alignment horizontal="right" vertical="top" wrapText="1"/>
    </xf>
    <xf numFmtId="177" fontId="6" fillId="7" borderId="3" xfId="2" applyNumberFormat="1" applyFont="1" applyFill="1" applyBorder="1" applyAlignment="1">
      <alignment horizontal="right" vertical="top" wrapText="1"/>
    </xf>
    <xf numFmtId="0" fontId="6" fillId="7" borderId="1" xfId="2" applyFont="1" applyFill="1" applyBorder="1" applyAlignment="1">
      <alignment horizontal="left" vertical="top" wrapText="1"/>
    </xf>
    <xf numFmtId="0" fontId="6" fillId="7" borderId="2" xfId="2" applyFont="1" applyFill="1" applyBorder="1" applyAlignment="1">
      <alignment horizontal="left" vertical="top" wrapText="1"/>
    </xf>
    <xf numFmtId="0" fontId="6" fillId="7" borderId="3" xfId="2" applyFont="1" applyFill="1" applyBorder="1" applyAlignment="1">
      <alignment horizontal="left" vertical="top" wrapText="1"/>
    </xf>
    <xf numFmtId="0" fontId="6" fillId="4" borderId="1" xfId="2" applyFont="1" applyFill="1" applyBorder="1" applyAlignment="1">
      <alignment horizontal="left" vertical="top" wrapText="1"/>
    </xf>
    <xf numFmtId="0" fontId="6" fillId="4" borderId="2" xfId="2" applyFont="1" applyFill="1" applyBorder="1" applyAlignment="1">
      <alignment horizontal="left" vertical="top" wrapText="1"/>
    </xf>
    <xf numFmtId="0" fontId="6" fillId="4" borderId="3" xfId="2" applyFont="1" applyFill="1" applyBorder="1" applyAlignment="1">
      <alignment horizontal="left" vertical="top" wrapText="1"/>
    </xf>
    <xf numFmtId="0" fontId="17" fillId="0" borderId="0" xfId="2" applyFont="1" applyAlignment="1">
      <alignment horizontal="left" vertical="center"/>
    </xf>
    <xf numFmtId="0" fontId="6" fillId="2" borderId="16"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8" xfId="1" applyFont="1" applyFill="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6" fillId="0" borderId="8" xfId="1" applyFont="1" applyBorder="1" applyAlignment="1">
      <alignment horizontal="center" vertical="center"/>
    </xf>
    <xf numFmtId="0" fontId="6" fillId="0" borderId="5" xfId="1" applyFont="1" applyBorder="1" applyAlignment="1">
      <alignment horizontal="center" vertical="center"/>
    </xf>
    <xf numFmtId="0" fontId="6" fillId="0" borderId="0" xfId="1" applyFont="1" applyAlignment="1">
      <alignment horizontal="center" vertical="center"/>
    </xf>
    <xf numFmtId="0" fontId="6" fillId="0" borderId="12" xfId="1" applyFont="1" applyBorder="1" applyAlignment="1">
      <alignment horizontal="center" vertical="center"/>
    </xf>
    <xf numFmtId="0" fontId="6" fillId="0" borderId="9" xfId="1" applyFont="1" applyBorder="1" applyAlignment="1">
      <alignment horizontal="center" vertical="center"/>
    </xf>
    <xf numFmtId="0" fontId="6" fillId="0" borderId="10" xfId="1" applyFont="1" applyBorder="1" applyAlignment="1">
      <alignment horizontal="center" vertical="center"/>
    </xf>
    <xf numFmtId="0" fontId="6" fillId="0" borderId="11" xfId="1" applyFont="1" applyBorder="1" applyAlignment="1">
      <alignment horizontal="center" vertical="center"/>
    </xf>
    <xf numFmtId="14" fontId="6" fillId="0" borderId="13" xfId="1" applyNumberFormat="1" applyFont="1" applyBorder="1" applyAlignment="1">
      <alignment horizontal="center" vertical="center"/>
    </xf>
    <xf numFmtId="14" fontId="6" fillId="0" borderId="14" xfId="1" applyNumberFormat="1" applyFont="1" applyBorder="1" applyAlignment="1">
      <alignment horizontal="center" vertical="center"/>
    </xf>
    <xf numFmtId="14" fontId="6" fillId="0" borderId="15" xfId="1" applyNumberFormat="1" applyFont="1" applyBorder="1" applyAlignment="1">
      <alignment horizontal="center" vertical="center"/>
    </xf>
    <xf numFmtId="0" fontId="6" fillId="0" borderId="1" xfId="2" applyFont="1" applyBorder="1" applyAlignment="1">
      <alignment horizontal="left" vertical="top" wrapText="1"/>
    </xf>
    <xf numFmtId="0" fontId="6" fillId="0" borderId="2" xfId="2" applyFont="1" applyBorder="1" applyAlignment="1">
      <alignment horizontal="left" vertical="top" wrapText="1"/>
    </xf>
    <xf numFmtId="0" fontId="6" fillId="0" borderId="3" xfId="2" applyFont="1" applyBorder="1" applyAlignment="1">
      <alignment horizontal="left" vertical="top" wrapText="1"/>
    </xf>
    <xf numFmtId="0" fontId="6" fillId="4" borderId="7" xfId="2" applyFont="1" applyFill="1" applyBorder="1" applyAlignment="1">
      <alignment horizontal="left" vertical="top" wrapText="1"/>
    </xf>
    <xf numFmtId="0" fontId="6" fillId="3" borderId="7" xfId="2" applyFont="1" applyFill="1" applyBorder="1" applyAlignment="1">
      <alignment horizontal="left" vertical="top" wrapText="1"/>
    </xf>
    <xf numFmtId="0" fontId="6" fillId="4" borderId="7" xfId="0" applyFont="1" applyFill="1" applyBorder="1" applyAlignment="1">
      <alignment horizontal="left" vertical="top" wrapText="1"/>
    </xf>
    <xf numFmtId="49" fontId="6" fillId="3" borderId="7" xfId="2" applyNumberFormat="1" applyFont="1" applyFill="1" applyBorder="1" applyAlignment="1">
      <alignment horizontal="left" vertical="top" wrapText="1"/>
    </xf>
    <xf numFmtId="14" fontId="6" fillId="3" borderId="1" xfId="2" applyNumberFormat="1" applyFont="1" applyFill="1" applyBorder="1" applyAlignment="1">
      <alignment horizontal="center" vertical="top" wrapText="1"/>
    </xf>
    <xf numFmtId="14" fontId="6" fillId="3" borderId="2" xfId="2" applyNumberFormat="1" applyFont="1" applyFill="1" applyBorder="1" applyAlignment="1">
      <alignment horizontal="center" vertical="top" wrapText="1"/>
    </xf>
    <xf numFmtId="14" fontId="6" fillId="3" borderId="3" xfId="2" applyNumberFormat="1" applyFont="1" applyFill="1" applyBorder="1" applyAlignment="1">
      <alignment horizontal="center" vertical="top" wrapText="1"/>
    </xf>
    <xf numFmtId="0" fontId="6" fillId="3" borderId="7" xfId="0" applyFont="1" applyFill="1" applyBorder="1" applyAlignment="1">
      <alignment horizontal="left" vertical="top" wrapText="1"/>
    </xf>
    <xf numFmtId="178" fontId="6" fillId="3" borderId="7" xfId="0" applyNumberFormat="1" applyFont="1" applyFill="1" applyBorder="1" applyAlignment="1">
      <alignment horizontal="left" vertical="top" wrapText="1"/>
    </xf>
    <xf numFmtId="0" fontId="6" fillId="3" borderId="1" xfId="2" applyFont="1" applyFill="1" applyBorder="1" applyAlignment="1">
      <alignment horizontal="left" vertical="top" wrapText="1"/>
    </xf>
    <xf numFmtId="0" fontId="6" fillId="3" borderId="2" xfId="2" applyFont="1" applyFill="1" applyBorder="1" applyAlignment="1">
      <alignment horizontal="left" vertical="top" wrapText="1"/>
    </xf>
    <xf numFmtId="0" fontId="6" fillId="3" borderId="3" xfId="2" applyFont="1" applyFill="1" applyBorder="1" applyAlignment="1">
      <alignment horizontal="left" vertical="top" wrapText="1"/>
    </xf>
    <xf numFmtId="49" fontId="6" fillId="3" borderId="7" xfId="0" applyNumberFormat="1" applyFont="1" applyFill="1" applyBorder="1" applyAlignment="1">
      <alignment horizontal="left" vertical="top" wrapText="1"/>
    </xf>
    <xf numFmtId="0" fontId="6" fillId="0" borderId="7" xfId="2" applyFont="1" applyBorder="1" applyAlignment="1">
      <alignment horizontal="left" vertical="top" wrapText="1"/>
    </xf>
    <xf numFmtId="0" fontId="6" fillId="4" borderId="21" xfId="2" applyFont="1" applyFill="1" applyBorder="1" applyAlignment="1">
      <alignment horizontal="left" vertical="top" wrapText="1"/>
    </xf>
    <xf numFmtId="0" fontId="6" fillId="4" borderId="19" xfId="2" applyFont="1" applyFill="1" applyBorder="1" applyAlignment="1">
      <alignment horizontal="left" vertical="top" wrapText="1"/>
    </xf>
    <xf numFmtId="0" fontId="6" fillId="4" borderId="22" xfId="2" applyFont="1" applyFill="1" applyBorder="1" applyAlignment="1">
      <alignment horizontal="left" vertical="top" wrapText="1"/>
    </xf>
    <xf numFmtId="0" fontId="6" fillId="4" borderId="23" xfId="2" applyFont="1" applyFill="1" applyBorder="1" applyAlignment="1">
      <alignment horizontal="left" vertical="top" wrapText="1"/>
    </xf>
    <xf numFmtId="0" fontId="6" fillId="4" borderId="20" xfId="2" applyFont="1" applyFill="1" applyBorder="1" applyAlignment="1">
      <alignment horizontal="left" vertical="top" wrapText="1"/>
    </xf>
    <xf numFmtId="0" fontId="6" fillId="4" borderId="24" xfId="2" applyFont="1" applyFill="1" applyBorder="1" applyAlignment="1">
      <alignment horizontal="left" vertical="top" wrapText="1"/>
    </xf>
    <xf numFmtId="0" fontId="6" fillId="0" borderId="21" xfId="2" applyFont="1" applyBorder="1" applyAlignment="1">
      <alignment horizontal="left" vertical="top" wrapText="1"/>
    </xf>
    <xf numFmtId="0" fontId="6" fillId="0" borderId="19" xfId="2" applyFont="1" applyBorder="1" applyAlignment="1">
      <alignment horizontal="left" vertical="top" wrapText="1"/>
    </xf>
    <xf numFmtId="0" fontId="6" fillId="0" borderId="22" xfId="2" applyFont="1" applyBorder="1" applyAlignment="1">
      <alignment horizontal="left" vertical="top" wrapText="1"/>
    </xf>
    <xf numFmtId="0" fontId="6" fillId="0" borderId="23" xfId="2" applyFont="1" applyBorder="1" applyAlignment="1">
      <alignment horizontal="left" vertical="top" wrapText="1"/>
    </xf>
    <xf numFmtId="0" fontId="6" fillId="0" borderId="20" xfId="2" applyFont="1" applyBorder="1" applyAlignment="1">
      <alignment horizontal="left" vertical="top" wrapText="1"/>
    </xf>
    <xf numFmtId="0" fontId="6" fillId="0" borderId="24" xfId="2" applyFont="1" applyBorder="1" applyAlignment="1">
      <alignment horizontal="left" vertical="top" wrapText="1"/>
    </xf>
    <xf numFmtId="0" fontId="6" fillId="4" borderId="21" xfId="2" applyFont="1" applyFill="1" applyBorder="1" applyAlignment="1">
      <alignment horizontal="left" vertical="top"/>
    </xf>
    <xf numFmtId="0" fontId="6" fillId="4" borderId="19" xfId="2" applyFont="1" applyFill="1" applyBorder="1" applyAlignment="1">
      <alignment horizontal="left" vertical="top"/>
    </xf>
    <xf numFmtId="0" fontId="6" fillId="4" borderId="22" xfId="2" applyFont="1" applyFill="1" applyBorder="1" applyAlignment="1">
      <alignment horizontal="left" vertical="top"/>
    </xf>
    <xf numFmtId="0" fontId="6" fillId="4" borderId="23" xfId="2" applyFont="1" applyFill="1" applyBorder="1" applyAlignment="1">
      <alignment horizontal="left" vertical="top"/>
    </xf>
    <xf numFmtId="0" fontId="6" fillId="4" borderId="20" xfId="2" applyFont="1" applyFill="1" applyBorder="1" applyAlignment="1">
      <alignment horizontal="left" vertical="top"/>
    </xf>
    <xf numFmtId="0" fontId="6" fillId="4" borderId="24" xfId="2" applyFont="1" applyFill="1" applyBorder="1" applyAlignment="1">
      <alignment horizontal="left" vertical="top"/>
    </xf>
    <xf numFmtId="0" fontId="21" fillId="7" borderId="1" xfId="2" applyFont="1" applyFill="1" applyBorder="1" applyAlignment="1">
      <alignment horizontal="left" vertical="top" wrapText="1"/>
    </xf>
    <xf numFmtId="0" fontId="21" fillId="7" borderId="2" xfId="2" applyFont="1" applyFill="1" applyBorder="1" applyAlignment="1">
      <alignment horizontal="left" vertical="top" wrapText="1"/>
    </xf>
    <xf numFmtId="0" fontId="21" fillId="7" borderId="3" xfId="2" applyFont="1" applyFill="1" applyBorder="1" applyAlignment="1">
      <alignment horizontal="left" vertical="top" wrapText="1"/>
    </xf>
    <xf numFmtId="0" fontId="6" fillId="4" borderId="1" xfId="2" applyFont="1" applyFill="1" applyBorder="1" applyAlignment="1">
      <alignment vertical="top" wrapText="1"/>
    </xf>
    <xf numFmtId="0" fontId="6" fillId="4" borderId="2" xfId="2" applyFont="1" applyFill="1" applyBorder="1" applyAlignment="1">
      <alignment vertical="top" wrapText="1"/>
    </xf>
    <xf numFmtId="0" fontId="6" fillId="4" borderId="3" xfId="2" applyFont="1" applyFill="1" applyBorder="1" applyAlignment="1">
      <alignment vertical="top" wrapText="1"/>
    </xf>
    <xf numFmtId="0" fontId="6" fillId="0" borderId="1" xfId="2" applyFont="1" applyBorder="1" applyAlignment="1">
      <alignment vertical="top" wrapText="1"/>
    </xf>
    <xf numFmtId="0" fontId="6" fillId="0" borderId="2" xfId="2" applyFont="1" applyBorder="1" applyAlignment="1">
      <alignment vertical="top" wrapText="1"/>
    </xf>
    <xf numFmtId="0" fontId="6" fillId="0" borderId="3" xfId="2" applyFont="1" applyBorder="1" applyAlignment="1">
      <alignment vertical="top" wrapText="1"/>
    </xf>
    <xf numFmtId="0" fontId="6" fillId="4" borderId="7" xfId="2" applyFont="1" applyFill="1" applyBorder="1" applyAlignment="1">
      <alignment vertical="top" wrapText="1"/>
    </xf>
    <xf numFmtId="176" fontId="6" fillId="3" borderId="7" xfId="2" applyNumberFormat="1" applyFont="1" applyFill="1" applyBorder="1" applyAlignment="1">
      <alignment horizontal="right" vertical="top" wrapText="1" indent="1"/>
    </xf>
    <xf numFmtId="0" fontId="6" fillId="4" borderId="7" xfId="0" applyFont="1" applyFill="1" applyBorder="1" applyAlignment="1">
      <alignment vertical="top" wrapText="1"/>
    </xf>
    <xf numFmtId="176" fontId="6" fillId="3" borderId="1" xfId="2" applyNumberFormat="1" applyFont="1" applyFill="1" applyBorder="1" applyAlignment="1">
      <alignment horizontal="right" vertical="top" wrapText="1" indent="1"/>
    </xf>
    <xf numFmtId="176" fontId="6" fillId="3" borderId="2" xfId="2" applyNumberFormat="1" applyFont="1" applyFill="1" applyBorder="1" applyAlignment="1">
      <alignment horizontal="right" vertical="top" wrapText="1" indent="1"/>
    </xf>
    <xf numFmtId="176" fontId="6" fillId="3" borderId="3" xfId="2" applyNumberFormat="1" applyFont="1" applyFill="1" applyBorder="1" applyAlignment="1">
      <alignment horizontal="right" vertical="top" wrapText="1" indent="1"/>
    </xf>
    <xf numFmtId="176" fontId="6" fillId="3" borderId="7" xfId="0" applyNumberFormat="1" applyFont="1" applyFill="1" applyBorder="1" applyAlignment="1">
      <alignment horizontal="right" vertical="top" wrapText="1" indent="1"/>
    </xf>
    <xf numFmtId="176" fontId="6" fillId="7" borderId="1" xfId="2" applyNumberFormat="1" applyFont="1" applyFill="1" applyBorder="1" applyAlignment="1">
      <alignment horizontal="right" vertical="top" wrapText="1" indent="1"/>
    </xf>
    <xf numFmtId="176" fontId="6" fillId="7" borderId="2" xfId="2" applyNumberFormat="1" applyFont="1" applyFill="1" applyBorder="1" applyAlignment="1">
      <alignment horizontal="right" vertical="top" wrapText="1" indent="1"/>
    </xf>
    <xf numFmtId="176" fontId="6" fillId="7" borderId="3" xfId="2" applyNumberFormat="1" applyFont="1" applyFill="1" applyBorder="1" applyAlignment="1">
      <alignment horizontal="right" vertical="top" wrapText="1" indent="1"/>
    </xf>
    <xf numFmtId="14" fontId="6" fillId="0" borderId="1" xfId="2" applyNumberFormat="1" applyFont="1" applyBorder="1" applyAlignment="1">
      <alignment vertical="top" wrapText="1"/>
    </xf>
    <xf numFmtId="14" fontId="6" fillId="0" borderId="2" xfId="2" applyNumberFormat="1" applyFont="1" applyBorder="1" applyAlignment="1">
      <alignment vertical="top" wrapText="1"/>
    </xf>
    <xf numFmtId="14" fontId="6" fillId="0" borderId="3" xfId="2" applyNumberFormat="1" applyFont="1" applyBorder="1" applyAlignment="1">
      <alignment vertical="top" wrapText="1"/>
    </xf>
    <xf numFmtId="0" fontId="6" fillId="0" borderId="7" xfId="2" applyFont="1" applyBorder="1" applyAlignment="1">
      <alignment vertical="top" wrapText="1"/>
    </xf>
    <xf numFmtId="10" fontId="6" fillId="7" borderId="47" xfId="5" applyNumberFormat="1" applyFont="1" applyFill="1" applyBorder="1" applyAlignment="1">
      <alignment horizontal="right" vertical="top" wrapText="1"/>
    </xf>
    <xf numFmtId="10" fontId="6" fillId="7" borderId="48" xfId="5" applyNumberFormat="1" applyFont="1" applyFill="1" applyBorder="1" applyAlignment="1">
      <alignment horizontal="right" vertical="top" wrapText="1"/>
    </xf>
    <xf numFmtId="10" fontId="6" fillId="7" borderId="49" xfId="5" applyNumberFormat="1" applyFont="1" applyFill="1" applyBorder="1" applyAlignment="1">
      <alignment horizontal="right" vertical="top" wrapText="1"/>
    </xf>
    <xf numFmtId="0" fontId="6" fillId="7" borderId="47" xfId="2" applyFont="1" applyFill="1" applyBorder="1" applyAlignment="1">
      <alignment horizontal="left" vertical="top" wrapText="1"/>
    </xf>
    <xf numFmtId="0" fontId="6" fillId="7" borderId="48" xfId="2" applyFont="1" applyFill="1" applyBorder="1" applyAlignment="1">
      <alignment horizontal="left" vertical="top" wrapText="1"/>
    </xf>
    <xf numFmtId="0" fontId="6" fillId="7" borderId="49" xfId="2" applyFont="1" applyFill="1" applyBorder="1" applyAlignment="1">
      <alignment horizontal="left" vertical="top" wrapText="1"/>
    </xf>
    <xf numFmtId="14" fontId="6" fillId="0" borderId="47" xfId="2" applyNumberFormat="1" applyFont="1" applyBorder="1" applyAlignment="1">
      <alignment horizontal="center" vertical="top" wrapText="1"/>
    </xf>
    <xf numFmtId="14" fontId="6" fillId="0" borderId="48" xfId="2" applyNumberFormat="1" applyFont="1" applyBorder="1" applyAlignment="1">
      <alignment horizontal="center" vertical="top" wrapText="1"/>
    </xf>
    <xf numFmtId="14" fontId="6" fillId="0" borderId="49" xfId="2" applyNumberFormat="1" applyFont="1" applyBorder="1" applyAlignment="1">
      <alignment horizontal="center" vertical="top" wrapText="1"/>
    </xf>
    <xf numFmtId="177" fontId="6" fillId="7" borderId="47" xfId="2" applyNumberFormat="1" applyFont="1" applyFill="1" applyBorder="1" applyAlignment="1">
      <alignment horizontal="right" vertical="top" wrapText="1"/>
    </xf>
    <xf numFmtId="177" fontId="6" fillId="7" borderId="48" xfId="2" applyNumberFormat="1" applyFont="1" applyFill="1" applyBorder="1" applyAlignment="1">
      <alignment horizontal="right" vertical="top" wrapText="1"/>
    </xf>
    <xf numFmtId="177" fontId="6" fillId="7" borderId="49" xfId="2" applyNumberFormat="1" applyFont="1" applyFill="1" applyBorder="1" applyAlignment="1">
      <alignment horizontal="right" vertical="top" wrapText="1"/>
    </xf>
    <xf numFmtId="177" fontId="6" fillId="0" borderId="47" xfId="2" applyNumberFormat="1" applyFont="1" applyBorder="1" applyAlignment="1">
      <alignment horizontal="right" vertical="top" wrapText="1"/>
    </xf>
    <xf numFmtId="177" fontId="6" fillId="0" borderId="48" xfId="2" applyNumberFormat="1" applyFont="1" applyBorder="1" applyAlignment="1">
      <alignment horizontal="right" vertical="top" wrapText="1"/>
    </xf>
    <xf numFmtId="177" fontId="6" fillId="0" borderId="49" xfId="2" applyNumberFormat="1" applyFont="1" applyBorder="1" applyAlignment="1">
      <alignment horizontal="right" vertical="top" wrapText="1"/>
    </xf>
    <xf numFmtId="178" fontId="6" fillId="0" borderId="47" xfId="2" applyNumberFormat="1" applyFont="1" applyBorder="1" applyAlignment="1">
      <alignment horizontal="right" vertical="top" wrapText="1"/>
    </xf>
    <xf numFmtId="178" fontId="6" fillId="0" borderId="48" xfId="2" applyNumberFormat="1" applyFont="1" applyBorder="1" applyAlignment="1">
      <alignment horizontal="right" vertical="top" wrapText="1"/>
    </xf>
    <xf numFmtId="178" fontId="6" fillId="0" borderId="49" xfId="2" applyNumberFormat="1" applyFont="1" applyBorder="1" applyAlignment="1">
      <alignment horizontal="right" vertical="top" wrapText="1"/>
    </xf>
    <xf numFmtId="178" fontId="6" fillId="7" borderId="47" xfId="2" applyNumberFormat="1" applyFont="1" applyFill="1" applyBorder="1" applyAlignment="1">
      <alignment horizontal="right" vertical="top" wrapText="1"/>
    </xf>
    <xf numFmtId="178" fontId="6" fillId="7" borderId="48" xfId="2" applyNumberFormat="1" applyFont="1" applyFill="1" applyBorder="1" applyAlignment="1">
      <alignment horizontal="right" vertical="top" wrapText="1"/>
    </xf>
    <xf numFmtId="178" fontId="6" fillId="7" borderId="49" xfId="2" applyNumberFormat="1" applyFont="1" applyFill="1" applyBorder="1" applyAlignment="1">
      <alignment horizontal="right" vertical="top" wrapText="1"/>
    </xf>
    <xf numFmtId="14" fontId="6" fillId="0" borderId="1" xfId="2" applyNumberFormat="1" applyFont="1" applyBorder="1" applyAlignment="1">
      <alignment horizontal="left" vertical="top" wrapText="1"/>
    </xf>
    <xf numFmtId="14" fontId="6" fillId="0" borderId="2" xfId="2" applyNumberFormat="1" applyFont="1" applyBorder="1" applyAlignment="1">
      <alignment horizontal="left" vertical="top" wrapText="1"/>
    </xf>
    <xf numFmtId="14" fontId="6" fillId="0" borderId="3" xfId="2" applyNumberFormat="1" applyFont="1" applyBorder="1" applyAlignment="1">
      <alignment horizontal="left" vertical="top" wrapText="1"/>
    </xf>
    <xf numFmtId="14" fontId="6" fillId="0" borderId="7" xfId="2" applyNumberFormat="1" applyFont="1" applyBorder="1" applyAlignment="1">
      <alignment horizontal="left" vertical="top" wrapText="1"/>
    </xf>
    <xf numFmtId="0" fontId="6" fillId="4" borderId="7" xfId="2" applyFont="1" applyFill="1" applyBorder="1" applyAlignment="1">
      <alignment vertical="top"/>
    </xf>
    <xf numFmtId="0" fontId="6" fillId="4" borderId="7" xfId="0" applyFont="1" applyFill="1" applyBorder="1" applyAlignment="1">
      <alignment vertical="top"/>
    </xf>
    <xf numFmtId="176" fontId="6" fillId="3" borderId="7" xfId="2" applyNumberFormat="1" applyFont="1" applyFill="1" applyBorder="1" applyAlignment="1">
      <alignment horizontal="right" vertical="top" indent="1"/>
    </xf>
    <xf numFmtId="0" fontId="17" fillId="0" borderId="0" xfId="2" applyFont="1">
      <alignment vertical="center"/>
    </xf>
    <xf numFmtId="0" fontId="6" fillId="7" borderId="21" xfId="2" applyFont="1" applyFill="1" applyBorder="1" applyAlignment="1">
      <alignment horizontal="left" vertical="top" wrapText="1"/>
    </xf>
    <xf numFmtId="0" fontId="6" fillId="7" borderId="19" xfId="2" applyFont="1" applyFill="1" applyBorder="1" applyAlignment="1">
      <alignment horizontal="left" vertical="top" wrapText="1"/>
    </xf>
    <xf numFmtId="0" fontId="6" fillId="7" borderId="22" xfId="2" applyFont="1" applyFill="1" applyBorder="1" applyAlignment="1">
      <alignment horizontal="left" vertical="top" wrapText="1"/>
    </xf>
    <xf numFmtId="0" fontId="6" fillId="7" borderId="1" xfId="0" applyFont="1" applyFill="1" applyBorder="1" applyAlignment="1">
      <alignment horizontal="left" vertical="top"/>
    </xf>
    <xf numFmtId="0" fontId="6" fillId="7" borderId="2" xfId="0" applyFont="1" applyFill="1" applyBorder="1" applyAlignment="1">
      <alignment horizontal="left" vertical="top"/>
    </xf>
    <xf numFmtId="0" fontId="6" fillId="7" borderId="3" xfId="0" applyFont="1" applyFill="1" applyBorder="1" applyAlignment="1">
      <alignment horizontal="left" vertical="top"/>
    </xf>
    <xf numFmtId="0" fontId="6" fillId="7" borderId="7" xfId="2" applyFont="1" applyFill="1" applyBorder="1" applyAlignment="1">
      <alignment vertical="top"/>
    </xf>
    <xf numFmtId="0" fontId="6" fillId="4" borderId="7" xfId="0" applyFont="1" applyFill="1" applyBorder="1" applyAlignment="1">
      <alignment horizontal="left" vertical="top"/>
    </xf>
    <xf numFmtId="178" fontId="6" fillId="7" borderId="7" xfId="0" applyNumberFormat="1" applyFont="1" applyFill="1" applyBorder="1" applyAlignment="1">
      <alignment horizontal="left" vertical="top"/>
    </xf>
    <xf numFmtId="0" fontId="6" fillId="4" borderId="1" xfId="0" applyFont="1" applyFill="1" applyBorder="1" applyAlignment="1">
      <alignment horizontal="left" vertical="top"/>
    </xf>
    <xf numFmtId="0" fontId="6" fillId="4" borderId="2" xfId="0" applyFont="1" applyFill="1" applyBorder="1" applyAlignment="1">
      <alignment horizontal="left" vertical="top"/>
    </xf>
    <xf numFmtId="0" fontId="6" fillId="4" borderId="3" xfId="0" applyFont="1" applyFill="1" applyBorder="1" applyAlignment="1">
      <alignment horizontal="left" vertical="top"/>
    </xf>
    <xf numFmtId="0" fontId="23" fillId="4" borderId="7" xfId="2" applyFont="1" applyFill="1" applyBorder="1" applyAlignment="1">
      <alignment vertical="top"/>
    </xf>
    <xf numFmtId="0" fontId="22" fillId="7" borderId="7" xfId="2" applyFont="1" applyFill="1" applyBorder="1" applyAlignment="1">
      <alignment vertical="top"/>
    </xf>
    <xf numFmtId="0" fontId="22" fillId="7" borderId="1" xfId="2" applyFont="1" applyFill="1" applyBorder="1" applyAlignment="1">
      <alignment vertical="top"/>
    </xf>
    <xf numFmtId="0" fontId="22" fillId="7" borderId="2" xfId="2" applyFont="1" applyFill="1" applyBorder="1" applyAlignment="1">
      <alignment vertical="top"/>
    </xf>
    <xf numFmtId="0" fontId="22" fillId="7" borderId="3" xfId="2" applyFont="1" applyFill="1" applyBorder="1" applyAlignment="1">
      <alignment vertical="top"/>
    </xf>
    <xf numFmtId="0" fontId="23" fillId="4" borderId="1" xfId="2" applyFont="1" applyFill="1" applyBorder="1" applyAlignment="1">
      <alignment vertical="top"/>
    </xf>
    <xf numFmtId="0" fontId="23" fillId="4" borderId="2" xfId="2" applyFont="1" applyFill="1" applyBorder="1" applyAlignment="1">
      <alignment vertical="top"/>
    </xf>
    <xf numFmtId="0" fontId="23" fillId="4" borderId="3" xfId="2" applyFont="1" applyFill="1" applyBorder="1" applyAlignment="1">
      <alignment vertical="top"/>
    </xf>
    <xf numFmtId="49" fontId="6" fillId="7" borderId="1" xfId="0" applyNumberFormat="1" applyFont="1" applyFill="1" applyBorder="1" applyAlignment="1">
      <alignment horizontal="left" vertical="top"/>
    </xf>
    <xf numFmtId="49" fontId="6" fillId="7" borderId="2" xfId="0" applyNumberFormat="1" applyFont="1" applyFill="1" applyBorder="1" applyAlignment="1">
      <alignment horizontal="left" vertical="top"/>
    </xf>
    <xf numFmtId="49" fontId="6" fillId="7" borderId="3" xfId="0" applyNumberFormat="1" applyFont="1" applyFill="1" applyBorder="1" applyAlignment="1">
      <alignment horizontal="left" vertical="top"/>
    </xf>
    <xf numFmtId="0" fontId="6" fillId="4" borderId="1" xfId="2" applyFont="1" applyFill="1" applyBorder="1" applyAlignment="1">
      <alignment vertical="top"/>
    </xf>
    <xf numFmtId="0" fontId="6" fillId="4" borderId="2" xfId="2" applyFont="1" applyFill="1" applyBorder="1" applyAlignment="1">
      <alignment vertical="top"/>
    </xf>
    <xf numFmtId="0" fontId="6" fillId="4" borderId="3" xfId="2" applyFont="1" applyFill="1" applyBorder="1" applyAlignment="1">
      <alignment vertical="top"/>
    </xf>
    <xf numFmtId="0" fontId="6" fillId="7" borderId="1" xfId="2" applyFont="1" applyFill="1" applyBorder="1" applyAlignment="1">
      <alignment vertical="top"/>
    </xf>
    <xf numFmtId="0" fontId="6" fillId="7" borderId="2" xfId="2" applyFont="1" applyFill="1" applyBorder="1" applyAlignment="1">
      <alignment vertical="top"/>
    </xf>
    <xf numFmtId="0" fontId="6" fillId="7" borderId="3" xfId="2" applyFont="1" applyFill="1" applyBorder="1" applyAlignment="1">
      <alignment vertical="top"/>
    </xf>
    <xf numFmtId="14" fontId="6" fillId="7" borderId="1" xfId="2" applyNumberFormat="1" applyFont="1" applyFill="1" applyBorder="1" applyAlignment="1">
      <alignment horizontal="center" vertical="top"/>
    </xf>
    <xf numFmtId="14" fontId="6" fillId="7" borderId="2" xfId="2" applyNumberFormat="1" applyFont="1" applyFill="1" applyBorder="1" applyAlignment="1">
      <alignment horizontal="center" vertical="top"/>
    </xf>
    <xf numFmtId="14" fontId="6" fillId="7" borderId="3" xfId="2" applyNumberFormat="1" applyFont="1" applyFill="1" applyBorder="1" applyAlignment="1">
      <alignment horizontal="center" vertical="top"/>
    </xf>
    <xf numFmtId="0" fontId="6" fillId="0" borderId="25" xfId="2" applyFont="1" applyBorder="1" applyAlignment="1">
      <alignment horizontal="left" vertical="top" wrapText="1"/>
    </xf>
    <xf numFmtId="0" fontId="6" fillId="0" borderId="0" xfId="2" applyFont="1" applyAlignment="1">
      <alignment horizontal="left" vertical="top" wrapText="1"/>
    </xf>
    <xf numFmtId="0" fontId="6" fillId="0" borderId="26" xfId="2" applyFont="1" applyBorder="1" applyAlignment="1">
      <alignment horizontal="left" vertical="top" wrapText="1"/>
    </xf>
    <xf numFmtId="176" fontId="6" fillId="3" borderId="1" xfId="2" applyNumberFormat="1" applyFont="1" applyFill="1" applyBorder="1" applyAlignment="1">
      <alignment horizontal="right" vertical="top" indent="1"/>
    </xf>
    <xf numFmtId="176" fontId="6" fillId="3" borderId="2" xfId="2" applyNumberFormat="1" applyFont="1" applyFill="1" applyBorder="1" applyAlignment="1">
      <alignment horizontal="right" vertical="top" indent="1"/>
    </xf>
    <xf numFmtId="176" fontId="6" fillId="3" borderId="3" xfId="2" applyNumberFormat="1" applyFont="1" applyFill="1" applyBorder="1" applyAlignment="1">
      <alignment horizontal="right" vertical="top" indent="1"/>
    </xf>
    <xf numFmtId="177" fontId="6" fillId="7" borderId="1" xfId="5" applyNumberFormat="1" applyFont="1" applyFill="1" applyBorder="1" applyAlignment="1">
      <alignment horizontal="right" vertical="top" indent="1"/>
    </xf>
    <xf numFmtId="177" fontId="6" fillId="7" borderId="2" xfId="5" applyNumberFormat="1" applyFont="1" applyFill="1" applyBorder="1" applyAlignment="1">
      <alignment horizontal="right" vertical="top" indent="1"/>
    </xf>
    <xf numFmtId="177" fontId="6" fillId="7" borderId="3" xfId="5" applyNumberFormat="1" applyFont="1" applyFill="1" applyBorder="1" applyAlignment="1">
      <alignment horizontal="right" vertical="top" indent="1"/>
    </xf>
    <xf numFmtId="0" fontId="23" fillId="4" borderId="21" xfId="0" applyFont="1" applyFill="1" applyBorder="1" applyAlignment="1">
      <alignment horizontal="left" vertical="top" wrapText="1"/>
    </xf>
    <xf numFmtId="0" fontId="23" fillId="4" borderId="19" xfId="0" applyFont="1" applyFill="1" applyBorder="1" applyAlignment="1">
      <alignment horizontal="left" vertical="top"/>
    </xf>
    <xf numFmtId="0" fontId="23" fillId="4" borderId="22" xfId="0" applyFont="1" applyFill="1" applyBorder="1" applyAlignment="1">
      <alignment horizontal="left" vertical="top"/>
    </xf>
    <xf numFmtId="0" fontId="23" fillId="4" borderId="23" xfId="0" applyFont="1" applyFill="1" applyBorder="1" applyAlignment="1">
      <alignment horizontal="left" vertical="top"/>
    </xf>
    <xf numFmtId="0" fontId="23" fillId="4" borderId="20" xfId="0" applyFont="1" applyFill="1" applyBorder="1" applyAlignment="1">
      <alignment horizontal="left" vertical="top"/>
    </xf>
    <xf numFmtId="0" fontId="23" fillId="4" borderId="24" xfId="0" applyFont="1" applyFill="1" applyBorder="1" applyAlignment="1">
      <alignment horizontal="left" vertical="top"/>
    </xf>
    <xf numFmtId="0" fontId="6" fillId="4" borderId="25" xfId="2" applyFont="1" applyFill="1" applyBorder="1" applyAlignment="1">
      <alignment horizontal="left" vertical="top"/>
    </xf>
    <xf numFmtId="0" fontId="6" fillId="4" borderId="0" xfId="2" applyFont="1" applyFill="1" applyAlignment="1">
      <alignment horizontal="left" vertical="top"/>
    </xf>
    <xf numFmtId="0" fontId="6" fillId="4" borderId="26" xfId="2" applyFont="1" applyFill="1" applyBorder="1" applyAlignment="1">
      <alignment horizontal="left" vertical="top"/>
    </xf>
    <xf numFmtId="0" fontId="22" fillId="0" borderId="19" xfId="0" applyFont="1" applyBorder="1" applyAlignment="1">
      <alignment horizontal="left" vertical="top"/>
    </xf>
    <xf numFmtId="0" fontId="22" fillId="0" borderId="22" xfId="0" applyFont="1" applyBorder="1" applyAlignment="1">
      <alignment horizontal="left" vertical="top"/>
    </xf>
    <xf numFmtId="0" fontId="22" fillId="0" borderId="20" xfId="0" applyFont="1" applyBorder="1" applyAlignment="1">
      <alignment horizontal="left" vertical="top"/>
    </xf>
    <xf numFmtId="0" fontId="22" fillId="0" borderId="24" xfId="0" applyFont="1" applyBorder="1" applyAlignment="1">
      <alignment horizontal="left" vertical="top"/>
    </xf>
    <xf numFmtId="0" fontId="23" fillId="4" borderId="19" xfId="0" applyFont="1" applyFill="1" applyBorder="1" applyAlignment="1">
      <alignment horizontal="left" vertical="top" wrapText="1"/>
    </xf>
    <xf numFmtId="0" fontId="23" fillId="4" borderId="22" xfId="0" applyFont="1" applyFill="1" applyBorder="1" applyAlignment="1">
      <alignment horizontal="left" vertical="top" wrapText="1"/>
    </xf>
    <xf numFmtId="0" fontId="23" fillId="4" borderId="23" xfId="0" applyFont="1" applyFill="1" applyBorder="1" applyAlignment="1">
      <alignment horizontal="left" vertical="top" wrapText="1"/>
    </xf>
    <xf numFmtId="0" fontId="23" fillId="4" borderId="20" xfId="0" applyFont="1" applyFill="1" applyBorder="1" applyAlignment="1">
      <alignment horizontal="left" vertical="top" wrapText="1"/>
    </xf>
    <xf numFmtId="0" fontId="23" fillId="4" borderId="24" xfId="0" applyFont="1" applyFill="1" applyBorder="1" applyAlignment="1">
      <alignment horizontal="left" vertical="top" wrapText="1"/>
    </xf>
    <xf numFmtId="0" fontId="22" fillId="0" borderId="21" xfId="2" applyFont="1" applyBorder="1" applyAlignment="1">
      <alignment horizontal="left" vertical="top" wrapText="1"/>
    </xf>
    <xf numFmtId="0" fontId="22" fillId="0" borderId="19" xfId="2" applyFont="1" applyBorder="1" applyAlignment="1">
      <alignment horizontal="left" vertical="top" wrapText="1"/>
    </xf>
    <xf numFmtId="0" fontId="22" fillId="0" borderId="22" xfId="2" applyFont="1" applyBorder="1" applyAlignment="1">
      <alignment horizontal="left" vertical="top" wrapText="1"/>
    </xf>
    <xf numFmtId="0" fontId="22" fillId="0" borderId="23" xfId="2" applyFont="1" applyBorder="1" applyAlignment="1">
      <alignment horizontal="left" vertical="top" wrapText="1"/>
    </xf>
    <xf numFmtId="0" fontId="22" fillId="0" borderId="20" xfId="2" applyFont="1" applyBorder="1" applyAlignment="1">
      <alignment horizontal="left" vertical="top" wrapText="1"/>
    </xf>
    <xf numFmtId="0" fontId="22" fillId="0" borderId="24" xfId="2" applyFont="1" applyBorder="1" applyAlignment="1">
      <alignment horizontal="left" vertical="top" wrapText="1"/>
    </xf>
    <xf numFmtId="0" fontId="6" fillId="3" borderId="19" xfId="0" applyFont="1" applyFill="1" applyBorder="1" applyAlignment="1">
      <alignment horizontal="left" vertical="top"/>
    </xf>
    <xf numFmtId="0" fontId="6" fillId="3" borderId="22" xfId="0" applyFont="1" applyFill="1" applyBorder="1" applyAlignment="1">
      <alignment horizontal="left" vertical="top"/>
    </xf>
    <xf numFmtId="0" fontId="6" fillId="3" borderId="20" xfId="0" applyFont="1" applyFill="1" applyBorder="1" applyAlignment="1">
      <alignment horizontal="left" vertical="top"/>
    </xf>
    <xf numFmtId="0" fontId="6" fillId="3" borderId="24" xfId="0" applyFont="1" applyFill="1" applyBorder="1" applyAlignment="1">
      <alignment horizontal="left" vertical="top"/>
    </xf>
    <xf numFmtId="0" fontId="6" fillId="4" borderId="21" xfId="0" applyFont="1" applyFill="1" applyBorder="1" applyAlignment="1">
      <alignment horizontal="left" vertical="top"/>
    </xf>
    <xf numFmtId="0" fontId="6" fillId="4" borderId="19" xfId="0" applyFont="1" applyFill="1" applyBorder="1" applyAlignment="1">
      <alignment horizontal="left" vertical="top"/>
    </xf>
    <xf numFmtId="0" fontId="6" fillId="4" borderId="22" xfId="0" applyFont="1" applyFill="1" applyBorder="1" applyAlignment="1">
      <alignment horizontal="left" vertical="top"/>
    </xf>
    <xf numFmtId="0" fontId="6" fillId="4" borderId="23" xfId="0" applyFont="1" applyFill="1" applyBorder="1" applyAlignment="1">
      <alignment horizontal="left" vertical="top"/>
    </xf>
    <xf numFmtId="0" fontId="6" fillId="4" borderId="20" xfId="0" applyFont="1" applyFill="1" applyBorder="1" applyAlignment="1">
      <alignment horizontal="left" vertical="top"/>
    </xf>
    <xf numFmtId="0" fontId="6" fillId="4" borderId="24" xfId="0" applyFont="1" applyFill="1" applyBorder="1" applyAlignment="1">
      <alignment horizontal="left" vertical="top"/>
    </xf>
    <xf numFmtId="14" fontId="6" fillId="3" borderId="7" xfId="2" applyNumberFormat="1" applyFont="1" applyFill="1" applyBorder="1" applyAlignment="1">
      <alignment horizontal="left" vertical="top"/>
    </xf>
    <xf numFmtId="0" fontId="6" fillId="3" borderId="7" xfId="2" applyFont="1" applyFill="1" applyBorder="1" applyAlignment="1">
      <alignment horizontal="left" vertical="top"/>
    </xf>
    <xf numFmtId="0" fontId="6" fillId="0" borderId="21" xfId="2" applyFont="1" applyBorder="1" applyAlignment="1">
      <alignment horizontal="left" vertical="top"/>
    </xf>
    <xf numFmtId="0" fontId="6" fillId="0" borderId="19" xfId="2" applyFont="1" applyBorder="1" applyAlignment="1">
      <alignment horizontal="left" vertical="top"/>
    </xf>
    <xf numFmtId="0" fontId="6" fillId="0" borderId="22" xfId="2" applyFont="1" applyBorder="1" applyAlignment="1">
      <alignment horizontal="left" vertical="top"/>
    </xf>
    <xf numFmtId="0" fontId="6" fillId="0" borderId="23" xfId="2" applyFont="1" applyBorder="1" applyAlignment="1">
      <alignment horizontal="left" vertical="top"/>
    </xf>
    <xf numFmtId="0" fontId="6" fillId="0" borderId="20" xfId="2" applyFont="1" applyBorder="1" applyAlignment="1">
      <alignment horizontal="left" vertical="top"/>
    </xf>
    <xf numFmtId="0" fontId="6" fillId="0" borderId="24" xfId="2" applyFont="1" applyBorder="1" applyAlignment="1">
      <alignment horizontal="left" vertical="top"/>
    </xf>
    <xf numFmtId="177" fontId="6" fillId="7" borderId="7" xfId="5" applyNumberFormat="1" applyFont="1" applyFill="1" applyBorder="1" applyAlignment="1">
      <alignment horizontal="right" vertical="top" indent="1"/>
    </xf>
    <xf numFmtId="14" fontId="6" fillId="3" borderId="7" xfId="0" applyNumberFormat="1" applyFont="1" applyFill="1" applyBorder="1" applyAlignment="1">
      <alignment horizontal="left" vertical="top"/>
    </xf>
    <xf numFmtId="0" fontId="6" fillId="3" borderId="7" xfId="0" applyFont="1" applyFill="1" applyBorder="1" applyAlignment="1">
      <alignment horizontal="left" vertical="top"/>
    </xf>
    <xf numFmtId="176" fontId="6" fillId="3" borderId="7" xfId="0" applyNumberFormat="1" applyFont="1" applyFill="1" applyBorder="1" applyAlignment="1">
      <alignment horizontal="right" vertical="top" indent="1"/>
    </xf>
    <xf numFmtId="177" fontId="6" fillId="3" borderId="7" xfId="2" applyNumberFormat="1" applyFont="1" applyFill="1" applyBorder="1" applyAlignment="1">
      <alignment horizontal="left" vertical="top"/>
    </xf>
    <xf numFmtId="0" fontId="6" fillId="0" borderId="25" xfId="2" applyFont="1" applyBorder="1" applyAlignment="1">
      <alignment horizontal="left" vertical="top"/>
    </xf>
    <xf numFmtId="0" fontId="6" fillId="0" borderId="0" xfId="2" applyFont="1" applyAlignment="1">
      <alignment horizontal="left" vertical="top"/>
    </xf>
    <xf numFmtId="0" fontId="6" fillId="0" borderId="26" xfId="2" applyFont="1" applyBorder="1" applyAlignment="1">
      <alignment horizontal="left" vertical="top"/>
    </xf>
    <xf numFmtId="176" fontId="1" fillId="0" borderId="19" xfId="5" applyNumberFormat="1" applyFont="1" applyFill="1" applyBorder="1" applyAlignment="1">
      <alignment horizontal="right" vertical="top" indent="1"/>
    </xf>
    <xf numFmtId="0" fontId="1" fillId="4" borderId="7" xfId="2" applyFill="1" applyBorder="1" applyAlignment="1">
      <alignment vertical="top"/>
    </xf>
    <xf numFmtId="0" fontId="1" fillId="4" borderId="7" xfId="0" applyFont="1" applyFill="1" applyBorder="1" applyAlignment="1">
      <alignment vertical="top"/>
    </xf>
    <xf numFmtId="176" fontId="1" fillId="7" borderId="7" xfId="5" applyNumberFormat="1" applyFont="1" applyFill="1" applyBorder="1" applyAlignment="1">
      <alignment horizontal="right" vertical="top" indent="1"/>
    </xf>
    <xf numFmtId="0" fontId="1" fillId="0" borderId="21" xfId="2" applyBorder="1" applyAlignment="1">
      <alignment horizontal="left" vertical="top" wrapText="1"/>
    </xf>
    <xf numFmtId="0" fontId="1" fillId="0" borderId="19" xfId="2" applyBorder="1" applyAlignment="1">
      <alignment horizontal="left" vertical="top" wrapText="1"/>
    </xf>
    <xf numFmtId="0" fontId="1" fillId="0" borderId="22" xfId="2" applyBorder="1" applyAlignment="1">
      <alignment horizontal="left" vertical="top" wrapText="1"/>
    </xf>
    <xf numFmtId="0" fontId="1" fillId="0" borderId="25" xfId="2" applyBorder="1" applyAlignment="1">
      <alignment horizontal="left" vertical="top" wrapText="1"/>
    </xf>
    <xf numFmtId="0" fontId="1" fillId="0" borderId="0" xfId="2" applyAlignment="1">
      <alignment horizontal="left" vertical="top" wrapText="1"/>
    </xf>
    <xf numFmtId="0" fontId="1" fillId="0" borderId="26" xfId="2" applyBorder="1" applyAlignment="1">
      <alignment horizontal="left" vertical="top" wrapText="1"/>
    </xf>
    <xf numFmtId="0" fontId="1" fillId="0" borderId="23" xfId="2" applyBorder="1" applyAlignment="1">
      <alignment horizontal="left" vertical="top" wrapText="1"/>
    </xf>
    <xf numFmtId="0" fontId="1" fillId="0" borderId="20" xfId="2" applyBorder="1" applyAlignment="1">
      <alignment horizontal="left" vertical="top" wrapText="1"/>
    </xf>
    <xf numFmtId="0" fontId="1" fillId="0" borderId="24" xfId="2" applyBorder="1" applyAlignment="1">
      <alignment horizontal="left" vertical="top" wrapText="1"/>
    </xf>
    <xf numFmtId="0" fontId="1" fillId="0" borderId="21" xfId="2" applyBorder="1" applyAlignment="1">
      <alignment horizontal="left" vertical="top"/>
    </xf>
    <xf numFmtId="0" fontId="1" fillId="0" borderId="19" xfId="2" applyBorder="1" applyAlignment="1">
      <alignment horizontal="left" vertical="top"/>
    </xf>
    <xf numFmtId="0" fontId="1" fillId="0" borderId="22" xfId="2" applyBorder="1" applyAlignment="1">
      <alignment horizontal="left" vertical="top"/>
    </xf>
    <xf numFmtId="0" fontId="1" fillId="0" borderId="25" xfId="2" applyBorder="1" applyAlignment="1">
      <alignment horizontal="left" vertical="top"/>
    </xf>
    <xf numFmtId="0" fontId="1" fillId="0" borderId="0" xfId="2" applyAlignment="1">
      <alignment horizontal="left" vertical="top"/>
    </xf>
    <xf numFmtId="0" fontId="1" fillId="0" borderId="26" xfId="2" applyBorder="1" applyAlignment="1">
      <alignment horizontal="left" vertical="top"/>
    </xf>
    <xf numFmtId="0" fontId="1" fillId="0" borderId="23" xfId="2" applyBorder="1" applyAlignment="1">
      <alignment horizontal="left" vertical="top"/>
    </xf>
    <xf numFmtId="0" fontId="1" fillId="0" borderId="20" xfId="2" applyBorder="1" applyAlignment="1">
      <alignment horizontal="left" vertical="top"/>
    </xf>
    <xf numFmtId="0" fontId="1" fillId="0" borderId="24" xfId="2" applyBorder="1" applyAlignment="1">
      <alignment horizontal="left" vertical="top"/>
    </xf>
    <xf numFmtId="176" fontId="1" fillId="7" borderId="20" xfId="2" applyNumberFormat="1" applyFill="1" applyBorder="1" applyAlignment="1">
      <alignment horizontal="right" vertical="center" indent="1"/>
    </xf>
    <xf numFmtId="176" fontId="1" fillId="7" borderId="24" xfId="2" applyNumberFormat="1" applyFill="1" applyBorder="1" applyAlignment="1">
      <alignment horizontal="right" vertical="center" indent="1"/>
    </xf>
    <xf numFmtId="176" fontId="1" fillId="0" borderId="2" xfId="2" applyNumberFormat="1" applyBorder="1" applyAlignment="1">
      <alignment horizontal="center" vertical="center"/>
    </xf>
    <xf numFmtId="10" fontId="1" fillId="7" borderId="7" xfId="5" applyNumberFormat="1" applyFont="1" applyFill="1" applyBorder="1" applyAlignment="1">
      <alignment horizontal="right" vertical="center" indent="1"/>
    </xf>
    <xf numFmtId="10" fontId="1" fillId="7" borderId="46" xfId="5" applyNumberFormat="1" applyFont="1" applyFill="1" applyBorder="1" applyAlignment="1">
      <alignment horizontal="right" vertical="center" indent="1"/>
    </xf>
    <xf numFmtId="176" fontId="1" fillId="7" borderId="23" xfId="2" applyNumberFormat="1" applyFill="1" applyBorder="1" applyAlignment="1">
      <alignment horizontal="right" vertical="center" indent="1"/>
    </xf>
    <xf numFmtId="176" fontId="1" fillId="7" borderId="53" xfId="2" applyNumberFormat="1" applyFill="1" applyBorder="1" applyAlignment="1">
      <alignment horizontal="right" vertical="center" indent="1"/>
    </xf>
    <xf numFmtId="10" fontId="1" fillId="7" borderId="1" xfId="5" applyNumberFormat="1" applyFont="1" applyFill="1" applyBorder="1" applyAlignment="1">
      <alignment horizontal="right" vertical="center" indent="1"/>
    </xf>
    <xf numFmtId="10" fontId="1" fillId="7" borderId="2" xfId="5" applyNumberFormat="1" applyFont="1" applyFill="1" applyBorder="1" applyAlignment="1">
      <alignment horizontal="right" vertical="center" indent="1"/>
    </xf>
    <xf numFmtId="10" fontId="1" fillId="7" borderId="51" xfId="5" applyNumberFormat="1" applyFont="1" applyFill="1" applyBorder="1" applyAlignment="1">
      <alignment horizontal="right" vertical="center" indent="1"/>
    </xf>
    <xf numFmtId="176" fontId="1" fillId="7" borderId="2" xfId="2" applyNumberFormat="1" applyFill="1" applyBorder="1" applyAlignment="1">
      <alignment horizontal="right" vertical="center" indent="1"/>
    </xf>
    <xf numFmtId="176" fontId="1" fillId="7" borderId="3" xfId="2" applyNumberFormat="1" applyFill="1" applyBorder="1" applyAlignment="1">
      <alignment horizontal="right" vertical="center" indent="1"/>
    </xf>
    <xf numFmtId="176" fontId="1" fillId="7" borderId="48" xfId="2" applyNumberFormat="1" applyFill="1" applyBorder="1" applyAlignment="1">
      <alignment horizontal="right" vertical="center" indent="1"/>
    </xf>
    <xf numFmtId="176" fontId="1" fillId="7" borderId="49" xfId="2" applyNumberFormat="1" applyFill="1" applyBorder="1" applyAlignment="1">
      <alignment horizontal="right" vertical="center" indent="1"/>
    </xf>
    <xf numFmtId="176" fontId="1" fillId="7" borderId="1" xfId="2" applyNumberFormat="1" applyFill="1" applyBorder="1" applyAlignment="1">
      <alignment horizontal="right" vertical="center" indent="1"/>
    </xf>
    <xf numFmtId="176" fontId="1" fillId="7" borderId="51" xfId="2" applyNumberFormat="1" applyFill="1" applyBorder="1" applyAlignment="1">
      <alignment horizontal="right" vertical="center" indent="1"/>
    </xf>
    <xf numFmtId="176" fontId="1" fillId="6" borderId="47" xfId="2" applyNumberFormat="1" applyFill="1" applyBorder="1" applyAlignment="1">
      <alignment horizontal="right" vertical="center" indent="1"/>
    </xf>
    <xf numFmtId="176" fontId="1" fillId="6" borderId="48" xfId="2" applyNumberFormat="1" applyFill="1" applyBorder="1" applyAlignment="1">
      <alignment horizontal="right" vertical="center" indent="1"/>
    </xf>
    <xf numFmtId="176" fontId="1" fillId="6" borderId="52" xfId="2" applyNumberFormat="1" applyFill="1" applyBorder="1" applyAlignment="1">
      <alignment horizontal="right" vertical="center" indent="1"/>
    </xf>
    <xf numFmtId="9" fontId="1" fillId="0" borderId="35" xfId="5" applyFont="1" applyFill="1" applyBorder="1" applyAlignment="1">
      <alignment horizontal="left" vertical="center"/>
    </xf>
    <xf numFmtId="9" fontId="1" fillId="0" borderId="24" xfId="5" applyFont="1" applyFill="1" applyBorder="1" applyAlignment="1">
      <alignment horizontal="left" vertical="center"/>
    </xf>
    <xf numFmtId="9" fontId="1" fillId="0" borderId="36" xfId="5" applyFont="1" applyFill="1" applyBorder="1" applyAlignment="1">
      <alignment horizontal="left" vertical="center"/>
    </xf>
    <xf numFmtId="176" fontId="1" fillId="6" borderId="1" xfId="2" applyNumberFormat="1" applyFill="1" applyBorder="1" applyAlignment="1">
      <alignment horizontal="right" vertical="center" indent="1"/>
    </xf>
    <xf numFmtId="176" fontId="1" fillId="6" borderId="2" xfId="2" applyNumberFormat="1" applyFill="1" applyBorder="1" applyAlignment="1">
      <alignment horizontal="right" vertical="center" indent="1"/>
    </xf>
    <xf numFmtId="176" fontId="1" fillId="6" borderId="3" xfId="2" applyNumberFormat="1" applyFill="1" applyBorder="1" applyAlignment="1">
      <alignment horizontal="right" vertical="center" indent="1"/>
    </xf>
    <xf numFmtId="176" fontId="1" fillId="6" borderId="49" xfId="2" applyNumberFormat="1" applyFill="1" applyBorder="1" applyAlignment="1">
      <alignment horizontal="right" vertical="center" indent="1"/>
    </xf>
    <xf numFmtId="10" fontId="1" fillId="7" borderId="3" xfId="5" applyNumberFormat="1" applyFont="1" applyFill="1" applyBorder="1" applyAlignment="1">
      <alignment horizontal="right" vertical="center" indent="1"/>
    </xf>
    <xf numFmtId="0" fontId="1" fillId="8" borderId="46" xfId="2" applyFill="1" applyBorder="1" applyAlignment="1">
      <alignment horizontal="left" vertical="center"/>
    </xf>
    <xf numFmtId="0" fontId="1" fillId="8" borderId="36" xfId="2" applyFill="1" applyBorder="1" applyAlignment="1">
      <alignment horizontal="left" vertical="center"/>
    </xf>
    <xf numFmtId="0" fontId="1" fillId="8" borderId="7" xfId="2" applyFill="1" applyBorder="1" applyAlignment="1">
      <alignment horizontal="left" vertical="center"/>
    </xf>
    <xf numFmtId="0" fontId="1" fillId="4" borderId="7" xfId="2" applyFill="1" applyBorder="1" applyAlignment="1">
      <alignment horizontal="center" vertical="top"/>
    </xf>
    <xf numFmtId="0" fontId="1" fillId="4" borderId="50" xfId="2" applyFill="1" applyBorder="1" applyAlignment="1">
      <alignment horizontal="center" vertical="top"/>
    </xf>
    <xf numFmtId="0" fontId="1" fillId="4" borderId="3" xfId="2" applyFill="1" applyBorder="1" applyAlignment="1">
      <alignment horizontal="center" vertical="top"/>
    </xf>
    <xf numFmtId="0" fontId="15" fillId="4" borderId="45" xfId="2" applyFont="1" applyFill="1" applyBorder="1" applyAlignment="1">
      <alignment horizontal="left" vertical="top" wrapText="1"/>
    </xf>
    <xf numFmtId="0" fontId="15" fillId="4" borderId="45" xfId="2" applyFont="1" applyFill="1" applyBorder="1" applyAlignment="1">
      <alignment horizontal="left" vertical="top"/>
    </xf>
    <xf numFmtId="2" fontId="14" fillId="7" borderId="42" xfId="0" applyNumberFormat="1" applyFont="1" applyFill="1" applyBorder="1" applyAlignment="1">
      <alignment horizontal="right" vertical="center" indent="1"/>
    </xf>
    <xf numFmtId="2" fontId="14" fillId="7" borderId="43" xfId="0" applyNumberFormat="1" applyFont="1" applyFill="1" applyBorder="1" applyAlignment="1">
      <alignment horizontal="right" vertical="center" indent="1"/>
    </xf>
    <xf numFmtId="0" fontId="14" fillId="8" borderId="21" xfId="0" applyFont="1" applyFill="1" applyBorder="1" applyAlignment="1">
      <alignment horizontal="left" vertical="top"/>
    </xf>
    <xf numFmtId="0" fontId="14" fillId="8" borderId="19" xfId="0" applyFont="1" applyFill="1" applyBorder="1" applyAlignment="1">
      <alignment horizontal="left" vertical="top"/>
    </xf>
    <xf numFmtId="0" fontId="14" fillId="8" borderId="22" xfId="0" applyFont="1" applyFill="1" applyBorder="1" applyAlignment="1">
      <alignment horizontal="left" vertical="top"/>
    </xf>
    <xf numFmtId="0" fontId="14" fillId="8" borderId="23" xfId="0" applyFont="1" applyFill="1" applyBorder="1" applyAlignment="1">
      <alignment horizontal="left" vertical="top"/>
    </xf>
    <xf numFmtId="0" fontId="14" fillId="8" borderId="20" xfId="0" applyFont="1" applyFill="1" applyBorder="1" applyAlignment="1">
      <alignment horizontal="left" vertical="top"/>
    </xf>
    <xf numFmtId="0" fontId="14" fillId="8" borderId="24" xfId="0" applyFont="1" applyFill="1" applyBorder="1" applyAlignment="1">
      <alignment horizontal="left" vertical="top"/>
    </xf>
    <xf numFmtId="0" fontId="1" fillId="4" borderId="7" xfId="0" applyFont="1" applyFill="1" applyBorder="1" applyAlignment="1">
      <alignment horizontal="center" vertical="center"/>
    </xf>
    <xf numFmtId="2" fontId="14" fillId="7" borderId="38" xfId="0" applyNumberFormat="1" applyFont="1" applyFill="1" applyBorder="1" applyAlignment="1">
      <alignment horizontal="right" vertical="center" indent="1"/>
    </xf>
    <xf numFmtId="2" fontId="14" fillId="7" borderId="39" xfId="0" applyNumberFormat="1" applyFont="1" applyFill="1" applyBorder="1" applyAlignment="1">
      <alignment horizontal="right" vertical="center" indent="1"/>
    </xf>
    <xf numFmtId="2" fontId="14" fillId="7" borderId="44" xfId="0" applyNumberFormat="1" applyFont="1" applyFill="1" applyBorder="1" applyAlignment="1">
      <alignment horizontal="right" vertical="center" indent="1"/>
    </xf>
    <xf numFmtId="2" fontId="14" fillId="7" borderId="41" xfId="0" applyNumberFormat="1" applyFont="1" applyFill="1" applyBorder="1" applyAlignment="1">
      <alignment horizontal="right" vertical="center" indent="1"/>
    </xf>
    <xf numFmtId="2" fontId="14" fillId="7" borderId="40" xfId="0" applyNumberFormat="1" applyFont="1" applyFill="1" applyBorder="1" applyAlignment="1">
      <alignment horizontal="right" vertical="center" indent="1"/>
    </xf>
    <xf numFmtId="2" fontId="14" fillId="7" borderId="37" xfId="0" applyNumberFormat="1" applyFont="1" applyFill="1" applyBorder="1" applyAlignment="1">
      <alignment horizontal="right" vertical="center" indent="1"/>
    </xf>
    <xf numFmtId="0" fontId="14" fillId="8" borderId="41" xfId="0" applyFont="1" applyFill="1" applyBorder="1" applyAlignment="1">
      <alignment horizontal="left" vertical="center"/>
    </xf>
    <xf numFmtId="0" fontId="14" fillId="8" borderId="37" xfId="0" applyFont="1" applyFill="1" applyBorder="1" applyAlignment="1">
      <alignment horizontal="left" vertical="center"/>
    </xf>
    <xf numFmtId="0" fontId="1" fillId="4" borderId="7" xfId="0" applyFont="1" applyFill="1" applyBorder="1" applyAlignment="1">
      <alignment horizontal="left" vertical="top"/>
    </xf>
    <xf numFmtId="178" fontId="1" fillId="7" borderId="7" xfId="0" applyNumberFormat="1" applyFont="1" applyFill="1" applyBorder="1" applyAlignment="1">
      <alignment horizontal="left" vertical="top"/>
    </xf>
    <xf numFmtId="176" fontId="1" fillId="7" borderId="7" xfId="2" applyNumberFormat="1" applyFill="1" applyBorder="1" applyAlignment="1">
      <alignment horizontal="right" vertical="top" wrapText="1" indent="1"/>
    </xf>
    <xf numFmtId="0" fontId="0" fillId="4" borderId="1" xfId="2" applyFont="1" applyFill="1" applyBorder="1" applyAlignment="1">
      <alignment vertical="top" wrapText="1"/>
    </xf>
    <xf numFmtId="0" fontId="1" fillId="4" borderId="2" xfId="2" applyFill="1" applyBorder="1" applyAlignment="1">
      <alignment vertical="top" wrapText="1"/>
    </xf>
    <xf numFmtId="0" fontId="1" fillId="4" borderId="3" xfId="2" applyFill="1" applyBorder="1" applyAlignment="1">
      <alignment vertical="top" wrapText="1"/>
    </xf>
    <xf numFmtId="176" fontId="1" fillId="7" borderId="7" xfId="2" applyNumberFormat="1" applyFill="1" applyBorder="1" applyAlignment="1">
      <alignment horizontal="right" vertical="top" indent="1"/>
    </xf>
    <xf numFmtId="176" fontId="1" fillId="7" borderId="1" xfId="5" applyNumberFormat="1" applyFont="1" applyFill="1" applyBorder="1" applyAlignment="1">
      <alignment horizontal="right" vertical="top" indent="1"/>
    </xf>
    <xf numFmtId="176" fontId="1" fillId="7" borderId="2" xfId="5" applyNumberFormat="1" applyFont="1" applyFill="1" applyBorder="1" applyAlignment="1">
      <alignment horizontal="right" vertical="top" indent="1"/>
    </xf>
    <xf numFmtId="176" fontId="1" fillId="7" borderId="3" xfId="5" applyNumberFormat="1" applyFont="1" applyFill="1" applyBorder="1" applyAlignment="1">
      <alignment horizontal="right" vertical="top" indent="1"/>
    </xf>
    <xf numFmtId="0" fontId="1" fillId="0" borderId="21" xfId="2" applyBorder="1" applyAlignment="1">
      <alignment vertical="top"/>
    </xf>
    <xf numFmtId="0" fontId="1" fillId="0" borderId="19" xfId="2" applyBorder="1" applyAlignment="1">
      <alignment vertical="top"/>
    </xf>
    <xf numFmtId="0" fontId="1" fillId="0" borderId="19" xfId="0" applyFont="1" applyBorder="1" applyAlignment="1">
      <alignment vertical="top"/>
    </xf>
    <xf numFmtId="0" fontId="1" fillId="7" borderId="7" xfId="2" applyFill="1" applyBorder="1" applyAlignment="1">
      <alignment vertical="top"/>
    </xf>
    <xf numFmtId="0" fontId="0" fillId="4" borderId="1" xfId="2" applyFont="1" applyFill="1" applyBorder="1" applyAlignment="1">
      <alignment vertical="top"/>
    </xf>
    <xf numFmtId="0" fontId="1" fillId="4" borderId="2" xfId="2" applyFill="1" applyBorder="1" applyAlignment="1">
      <alignment vertical="top"/>
    </xf>
    <xf numFmtId="0" fontId="1" fillId="4" borderId="3" xfId="2" applyFill="1" applyBorder="1" applyAlignment="1">
      <alignment vertical="top"/>
    </xf>
    <xf numFmtId="0" fontId="1" fillId="7" borderId="1" xfId="2" applyFill="1" applyBorder="1" applyAlignment="1">
      <alignment vertical="top"/>
    </xf>
    <xf numFmtId="0" fontId="1" fillId="7" borderId="2" xfId="2" applyFill="1" applyBorder="1" applyAlignment="1">
      <alignment vertical="top"/>
    </xf>
    <xf numFmtId="0" fontId="1" fillId="7" borderId="3" xfId="2" applyFill="1" applyBorder="1" applyAlignment="1">
      <alignment vertical="top"/>
    </xf>
    <xf numFmtId="0" fontId="1" fillId="4" borderId="1" xfId="0" applyFont="1" applyFill="1" applyBorder="1" applyAlignment="1">
      <alignment horizontal="left" vertical="top"/>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49" fontId="1" fillId="7" borderId="1" xfId="0" applyNumberFormat="1" applyFont="1" applyFill="1" applyBorder="1" applyAlignment="1">
      <alignment horizontal="left" vertical="top"/>
    </xf>
    <xf numFmtId="49" fontId="1" fillId="7" borderId="2" xfId="0" applyNumberFormat="1" applyFont="1" applyFill="1" applyBorder="1" applyAlignment="1">
      <alignment horizontal="left" vertical="top"/>
    </xf>
    <xf numFmtId="49" fontId="1" fillId="7" borderId="3" xfId="0" applyNumberFormat="1" applyFont="1" applyFill="1" applyBorder="1" applyAlignment="1">
      <alignment horizontal="left" vertical="top"/>
    </xf>
    <xf numFmtId="0" fontId="1" fillId="7" borderId="1" xfId="0" applyFont="1" applyFill="1" applyBorder="1" applyAlignment="1">
      <alignment horizontal="left" vertical="top"/>
    </xf>
    <xf numFmtId="0" fontId="1" fillId="7" borderId="2" xfId="0" applyFont="1" applyFill="1" applyBorder="1" applyAlignment="1">
      <alignment horizontal="left" vertical="top"/>
    </xf>
    <xf numFmtId="0" fontId="1" fillId="7" borderId="3" xfId="0" applyFont="1" applyFill="1" applyBorder="1" applyAlignment="1">
      <alignment horizontal="left" vertical="top"/>
    </xf>
    <xf numFmtId="0" fontId="1" fillId="4" borderId="1" xfId="2" applyFill="1" applyBorder="1" applyAlignment="1">
      <alignment vertical="top"/>
    </xf>
    <xf numFmtId="0" fontId="0" fillId="4" borderId="7" xfId="2" applyFont="1" applyFill="1" applyBorder="1" applyAlignment="1">
      <alignment vertical="top"/>
    </xf>
    <xf numFmtId="0" fontId="3" fillId="7" borderId="7" xfId="2" applyFont="1" applyFill="1" applyBorder="1" applyAlignment="1">
      <alignment vertical="top"/>
    </xf>
    <xf numFmtId="14" fontId="1" fillId="7" borderId="1" xfId="2" applyNumberFormat="1" applyFill="1" applyBorder="1" applyAlignment="1">
      <alignment horizontal="center" vertical="top"/>
    </xf>
    <xf numFmtId="14" fontId="1" fillId="7" borderId="2" xfId="2" applyNumberFormat="1" applyFill="1" applyBorder="1" applyAlignment="1">
      <alignment horizontal="center" vertical="top"/>
    </xf>
    <xf numFmtId="14" fontId="1" fillId="7" borderId="3" xfId="2" applyNumberFormat="1" applyFill="1" applyBorder="1" applyAlignment="1">
      <alignment horizontal="center" vertical="top"/>
    </xf>
    <xf numFmtId="0" fontId="3" fillId="7" borderId="1" xfId="2" applyFont="1" applyFill="1" applyBorder="1" applyAlignment="1">
      <alignment vertical="top"/>
    </xf>
    <xf numFmtId="0" fontId="3" fillId="7" borderId="2" xfId="2" applyFont="1" applyFill="1" applyBorder="1" applyAlignment="1">
      <alignment vertical="top"/>
    </xf>
    <xf numFmtId="0" fontId="3" fillId="7" borderId="3" xfId="2" applyFont="1" applyFill="1" applyBorder="1" applyAlignment="1">
      <alignment vertical="top"/>
    </xf>
    <xf numFmtId="0" fontId="1" fillId="7" borderId="1" xfId="2" applyFill="1" applyBorder="1" applyAlignment="1">
      <alignment horizontal="left" vertical="top" wrapText="1"/>
    </xf>
    <xf numFmtId="0" fontId="1" fillId="7" borderId="2" xfId="2" applyFill="1" applyBorder="1" applyAlignment="1">
      <alignment horizontal="left" vertical="top" wrapText="1"/>
    </xf>
    <xf numFmtId="0" fontId="1" fillId="7" borderId="3" xfId="2" applyFill="1" applyBorder="1" applyAlignment="1">
      <alignment horizontal="left" vertical="top" wrapText="1"/>
    </xf>
    <xf numFmtId="0" fontId="1" fillId="7" borderId="1" xfId="2" applyFill="1" applyBorder="1" applyAlignment="1">
      <alignment vertical="top" wrapText="1"/>
    </xf>
    <xf numFmtId="0" fontId="1" fillId="7" borderId="2" xfId="2" applyFill="1" applyBorder="1" applyAlignment="1">
      <alignment vertical="top" wrapText="1"/>
    </xf>
    <xf numFmtId="0" fontId="1" fillId="7" borderId="3" xfId="2" applyFill="1" applyBorder="1" applyAlignment="1">
      <alignment vertical="top" wrapText="1"/>
    </xf>
    <xf numFmtId="177" fontId="28" fillId="7" borderId="7" xfId="5" applyNumberFormat="1" applyFont="1" applyFill="1" applyBorder="1" applyAlignment="1">
      <alignment horizontal="right" vertical="top" indent="1"/>
    </xf>
    <xf numFmtId="0" fontId="1" fillId="4" borderId="1" xfId="2" applyFill="1" applyBorder="1" applyAlignment="1">
      <alignment vertical="top" wrapText="1"/>
    </xf>
    <xf numFmtId="177" fontId="28" fillId="7" borderId="1" xfId="5" applyNumberFormat="1" applyFont="1" applyFill="1" applyBorder="1" applyAlignment="1">
      <alignment horizontal="right" vertical="top" indent="1"/>
    </xf>
    <xf numFmtId="177" fontId="28" fillId="7" borderId="2" xfId="5" applyNumberFormat="1" applyFont="1" applyFill="1" applyBorder="1" applyAlignment="1">
      <alignment horizontal="right" vertical="top" indent="1"/>
    </xf>
    <xf numFmtId="177" fontId="28" fillId="7" borderId="3" xfId="5" applyNumberFormat="1" applyFont="1" applyFill="1" applyBorder="1" applyAlignment="1">
      <alignment horizontal="right" vertical="top" indent="1"/>
    </xf>
    <xf numFmtId="176" fontId="1" fillId="7" borderId="1" xfId="2" applyNumberFormat="1" applyFill="1" applyBorder="1" applyAlignment="1">
      <alignment horizontal="right" vertical="top" indent="1"/>
    </xf>
    <xf numFmtId="176" fontId="1" fillId="7" borderId="2" xfId="2" applyNumberFormat="1" applyFill="1" applyBorder="1" applyAlignment="1">
      <alignment horizontal="right" vertical="top" indent="1"/>
    </xf>
    <xf numFmtId="176" fontId="1" fillId="7" borderId="3" xfId="2" applyNumberFormat="1" applyFill="1" applyBorder="1" applyAlignment="1">
      <alignment horizontal="right" vertical="top" indent="1"/>
    </xf>
    <xf numFmtId="176" fontId="1" fillId="7" borderId="7" xfId="0" applyNumberFormat="1" applyFont="1" applyFill="1" applyBorder="1" applyAlignment="1">
      <alignment horizontal="right" vertical="top" indent="1"/>
    </xf>
    <xf numFmtId="0" fontId="1" fillId="4" borderId="7" xfId="2" applyFill="1" applyBorder="1" applyAlignment="1">
      <alignment vertical="top" wrapText="1"/>
    </xf>
    <xf numFmtId="0" fontId="1" fillId="4" borderId="7" xfId="0" applyFont="1" applyFill="1" applyBorder="1" applyAlignment="1">
      <alignment vertical="top" wrapText="1"/>
    </xf>
    <xf numFmtId="0" fontId="4" fillId="0" borderId="0" xfId="2" applyFont="1" applyAlignment="1">
      <alignment horizontal="left" vertical="center"/>
    </xf>
    <xf numFmtId="0" fontId="1" fillId="2" borderId="16" xfId="1" applyFill="1" applyBorder="1" applyAlignment="1">
      <alignment horizontal="center" vertical="center"/>
    </xf>
    <xf numFmtId="0" fontId="1" fillId="2" borderId="17" xfId="1" applyFill="1" applyBorder="1" applyAlignment="1">
      <alignment horizontal="center" vertical="center"/>
    </xf>
    <xf numFmtId="0" fontId="1" fillId="2" borderId="18" xfId="1" applyFill="1" applyBorder="1" applyAlignment="1">
      <alignment horizontal="center" vertical="center"/>
    </xf>
    <xf numFmtId="0" fontId="1" fillId="0" borderId="6" xfId="1" applyBorder="1" applyAlignment="1">
      <alignment horizontal="center" vertical="center"/>
    </xf>
    <xf numFmtId="0" fontId="1" fillId="0" borderId="4" xfId="1" applyBorder="1" applyAlignment="1">
      <alignment horizontal="center" vertical="center"/>
    </xf>
    <xf numFmtId="0" fontId="1" fillId="0" borderId="8" xfId="1" applyBorder="1" applyAlignment="1">
      <alignment horizontal="center" vertical="center"/>
    </xf>
    <xf numFmtId="0" fontId="1" fillId="0" borderId="5" xfId="1" applyBorder="1" applyAlignment="1">
      <alignment horizontal="center" vertical="center"/>
    </xf>
    <xf numFmtId="0" fontId="1" fillId="0" borderId="0" xfId="1" applyAlignment="1">
      <alignment horizontal="center" vertical="center"/>
    </xf>
    <xf numFmtId="0" fontId="1" fillId="0" borderId="12" xfId="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xf>
    <xf numFmtId="14" fontId="1" fillId="0" borderId="13" xfId="1" applyNumberFormat="1" applyBorder="1" applyAlignment="1">
      <alignment horizontal="center" vertical="center"/>
    </xf>
    <xf numFmtId="14" fontId="1" fillId="0" borderId="14" xfId="1" applyNumberFormat="1" applyBorder="1" applyAlignment="1">
      <alignment horizontal="center" vertical="center"/>
    </xf>
    <xf numFmtId="14" fontId="1" fillId="0" borderId="15" xfId="1" applyNumberFormat="1" applyBorder="1" applyAlignment="1">
      <alignment horizontal="center" vertical="center"/>
    </xf>
    <xf numFmtId="14" fontId="25" fillId="11" borderId="7" xfId="6" applyNumberFormat="1" applyFont="1" applyFill="1" applyBorder="1" applyAlignment="1">
      <alignment horizontal="center" vertical="top"/>
    </xf>
    <xf numFmtId="0" fontId="25" fillId="11" borderId="7" xfId="6" applyFont="1" applyFill="1" applyBorder="1" applyAlignment="1">
      <alignment horizontal="center" vertical="top"/>
    </xf>
    <xf numFmtId="0" fontId="24" fillId="0" borderId="0" xfId="6" applyFont="1">
      <alignment vertical="center"/>
    </xf>
    <xf numFmtId="0" fontId="24" fillId="0" borderId="7" xfId="6" applyFont="1" applyBorder="1">
      <alignment vertical="center"/>
    </xf>
  </cellXfs>
  <cellStyles count="7">
    <cellStyle name="パーセント" xfId="5" builtinId="5"/>
    <cellStyle name="標準" xfId="0" builtinId="0"/>
    <cellStyle name="標準 2" xfId="3" xr:uid="{BB0AE808-5D97-4F35-9DBD-69BD0F3808F6}"/>
    <cellStyle name="標準 3" xfId="4" xr:uid="{C6FB9180-8F9F-4941-BFD2-37FE6380DDA0}"/>
    <cellStyle name="標準 4" xfId="6" xr:uid="{BD72F33E-AD04-4DCE-B39F-35B4C947EEC2}"/>
    <cellStyle name="標準_プロジェクト計画書（大規模）20100405" xfId="1" xr:uid="{00000000-0005-0000-0000-000001000000}"/>
    <cellStyle name="標準_プロジェクト計画書テンプレート【ミニ】v03(040329)" xfId="2" xr:uid="{00000000-0005-0000-0000-000002000000}"/>
  </cellStyles>
  <dxfs count="9">
    <dxf>
      <font>
        <b/>
        <i val="0"/>
        <color rgb="FF0000FF"/>
      </font>
    </dxf>
    <dxf>
      <font>
        <b/>
        <i val="0"/>
        <color rgb="FF0000FF"/>
      </font>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28350</xdr:colOff>
      <xdr:row>1</xdr:row>
      <xdr:rowOff>200547</xdr:rowOff>
    </xdr:to>
    <xdr:grpSp>
      <xdr:nvGrpSpPr>
        <xdr:cNvPr id="14" name="グループ化 13">
          <a:extLst>
            <a:ext uri="{FF2B5EF4-FFF2-40B4-BE49-F238E27FC236}">
              <a16:creationId xmlns:a16="http://schemas.microsoft.com/office/drawing/2014/main" id="{B235B13F-FFBA-4943-8331-3844A760C2B9}"/>
            </a:ext>
          </a:extLst>
        </xdr:cNvPr>
        <xdr:cNvGrpSpPr/>
      </xdr:nvGrpSpPr>
      <xdr:grpSpPr>
        <a:xfrm>
          <a:off x="238125" y="0"/>
          <a:ext cx="10982100" cy="429147"/>
          <a:chOff x="0" y="0"/>
          <a:chExt cx="10982100" cy="429147"/>
        </a:xfrm>
      </xdr:grpSpPr>
      <xdr:sp macro="" textlink="ヘッダプロジェクト名">
        <xdr:nvSpPr>
          <xdr:cNvPr id="15" name="正方形/長方形 14">
            <a:extLst>
              <a:ext uri="{FF2B5EF4-FFF2-40B4-BE49-F238E27FC236}">
                <a16:creationId xmlns:a16="http://schemas.microsoft.com/office/drawing/2014/main" id="{1E5E3285-E2A6-E87C-2582-B44D92902AD3}"/>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株式会社システムエグゼ 千葉オフィス QMS・ISMS</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
        <xdr:nvSpPr>
          <xdr:cNvPr id="16" name="正方形/長方形 15">
            <a:extLst>
              <a:ext uri="{FF2B5EF4-FFF2-40B4-BE49-F238E27FC236}">
                <a16:creationId xmlns:a16="http://schemas.microsoft.com/office/drawing/2014/main" id="{EAE1BA8A-7B5F-3B79-71F9-E6D32A17B465}"/>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8578661-C17B-4ECC-9205-42585CAAC170}"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プロジェクト計画書</a:t>
            </a:fld>
            <a:endParaRPr kumimoji="1" lang="ja-JP" altLang="en-US" sz="199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17" name="正方形/長方形 16">
            <a:extLst>
              <a:ext uri="{FF2B5EF4-FFF2-40B4-BE49-F238E27FC236}">
                <a16:creationId xmlns:a16="http://schemas.microsoft.com/office/drawing/2014/main" id="{419C17D3-5A50-77A1-501D-3A70273D4933}"/>
              </a:ext>
            </a:extLst>
          </xdr:cNvPr>
          <xdr:cNvSpPr/>
        </xdr:nvSpPr>
        <xdr:spPr>
          <a:xfrm>
            <a:off x="10183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2025/4/15</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18" name="正方形/長方形 17">
            <a:extLst>
              <a:ext uri="{FF2B5EF4-FFF2-40B4-BE49-F238E27FC236}">
                <a16:creationId xmlns:a16="http://schemas.microsoft.com/office/drawing/2014/main" id="{1291BD24-373B-CDB6-A253-40B1ED4478C3}"/>
              </a:ext>
            </a:extLst>
          </xdr:cNvPr>
          <xdr:cNvSpPr/>
        </xdr:nvSpPr>
        <xdr:spPr>
          <a:xfrm>
            <a:off x="9667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4.4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19" name="正方形/長方形 18">
            <a:extLst>
              <a:ext uri="{FF2B5EF4-FFF2-40B4-BE49-F238E27FC236}">
                <a16:creationId xmlns:a16="http://schemas.microsoft.com/office/drawing/2014/main" id="{1EFEABF8-D79F-0D41-B7B2-BDB9632D7F75}"/>
              </a:ext>
            </a:extLst>
          </xdr:cNvPr>
          <xdr:cNvSpPr/>
        </xdr:nvSpPr>
        <xdr:spPr>
          <a:xfrm>
            <a:off x="9182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4.3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28350</xdr:colOff>
      <xdr:row>1</xdr:row>
      <xdr:rowOff>200547</xdr:rowOff>
    </xdr:to>
    <xdr:grpSp>
      <xdr:nvGrpSpPr>
        <xdr:cNvPr id="2" name="グループ化 1">
          <a:extLst>
            <a:ext uri="{FF2B5EF4-FFF2-40B4-BE49-F238E27FC236}">
              <a16:creationId xmlns:a16="http://schemas.microsoft.com/office/drawing/2014/main" id="{8BF65511-A798-4F67-B128-D14F200F1235}"/>
            </a:ext>
          </a:extLst>
        </xdr:cNvPr>
        <xdr:cNvGrpSpPr/>
      </xdr:nvGrpSpPr>
      <xdr:grpSpPr>
        <a:xfrm>
          <a:off x="238125" y="0"/>
          <a:ext cx="10982100" cy="429147"/>
          <a:chOff x="0" y="0"/>
          <a:chExt cx="10982100" cy="429147"/>
        </a:xfrm>
      </xdr:grpSpPr>
      <xdr:sp macro="" textlink="ヘッダプロジェクト名">
        <xdr:nvSpPr>
          <xdr:cNvPr id="3" name="正方形/長方形 2">
            <a:extLst>
              <a:ext uri="{FF2B5EF4-FFF2-40B4-BE49-F238E27FC236}">
                <a16:creationId xmlns:a16="http://schemas.microsoft.com/office/drawing/2014/main" id="{45B0FCD7-630C-E452-F240-51154E5002E9}"/>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株式会社システムエグゼ 千葉オフィス QMS・ISMS</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１">
        <xdr:nvSpPr>
          <xdr:cNvPr id="4" name="正方形/長方形 3">
            <a:extLst>
              <a:ext uri="{FF2B5EF4-FFF2-40B4-BE49-F238E27FC236}">
                <a16:creationId xmlns:a16="http://schemas.microsoft.com/office/drawing/2014/main" id="{D9B2351D-8CC1-5AFC-78FF-7F38CBF048E9}"/>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2D3F0BC9-04D3-47D1-852C-184AEF81A636}"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プロジェクト完了報告書</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8153FA62-5F32-23D2-16F8-F91F8CDD053E}"/>
              </a:ext>
            </a:extLst>
          </xdr:cNvPr>
          <xdr:cNvSpPr/>
        </xdr:nvSpPr>
        <xdr:spPr>
          <a:xfrm>
            <a:off x="10183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2025/4/15</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768CD6E-AE47-6D7F-A640-80F8CE76943A}"/>
              </a:ext>
            </a:extLst>
          </xdr:cNvPr>
          <xdr:cNvSpPr/>
        </xdr:nvSpPr>
        <xdr:spPr>
          <a:xfrm>
            <a:off x="9667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4.4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E975FC67-7EC1-8974-7A37-7DDA1A3ABE07}"/>
              </a:ext>
            </a:extLst>
          </xdr:cNvPr>
          <xdr:cNvSpPr/>
        </xdr:nvSpPr>
        <xdr:spPr>
          <a:xfrm>
            <a:off x="9182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4.3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28350</xdr:colOff>
      <xdr:row>1</xdr:row>
      <xdr:rowOff>200547</xdr:rowOff>
    </xdr:to>
    <xdr:grpSp>
      <xdr:nvGrpSpPr>
        <xdr:cNvPr id="2" name="グループ化 1">
          <a:extLst>
            <a:ext uri="{FF2B5EF4-FFF2-40B4-BE49-F238E27FC236}">
              <a16:creationId xmlns:a16="http://schemas.microsoft.com/office/drawing/2014/main" id="{FA040837-1F90-4E99-B8E4-1480DEE3DABE}"/>
            </a:ext>
          </a:extLst>
        </xdr:cNvPr>
        <xdr:cNvGrpSpPr/>
      </xdr:nvGrpSpPr>
      <xdr:grpSpPr>
        <a:xfrm>
          <a:off x="238125" y="0"/>
          <a:ext cx="10982100" cy="429147"/>
          <a:chOff x="0" y="0"/>
          <a:chExt cx="10982100" cy="429147"/>
        </a:xfrm>
      </xdr:grpSpPr>
      <xdr:sp macro="" textlink="ヘッダプロジェクト名">
        <xdr:nvSpPr>
          <xdr:cNvPr id="3" name="正方形/長方形 2">
            <a:extLst>
              <a:ext uri="{FF2B5EF4-FFF2-40B4-BE49-F238E27FC236}">
                <a16:creationId xmlns:a16="http://schemas.microsoft.com/office/drawing/2014/main" id="{09D6C00F-93E7-FC13-AABA-6ECABD07437B}"/>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株式会社システムエグゼ 千葉オフィス QMS・ISMS</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２">
        <xdr:nvSpPr>
          <xdr:cNvPr id="4" name="正方形/長方形 3">
            <a:extLst>
              <a:ext uri="{FF2B5EF4-FFF2-40B4-BE49-F238E27FC236}">
                <a16:creationId xmlns:a16="http://schemas.microsoft.com/office/drawing/2014/main" id="{4AB0AF01-F108-1CAF-1E5B-8BEEA35EE338}"/>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DE94198-F363-4294-9849-B2325414B3C1}" type="TxLink">
              <a:rPr kumimoji="1" lang="en-US" altLang="en-US" sz="1600" b="1" i="0" u="none" strike="noStrike">
                <a:solidFill>
                  <a:srgbClr val="000000"/>
                </a:solidFill>
                <a:latin typeface="ＭＳ Ｐゴシック"/>
                <a:ea typeface="ＭＳ Ｐゴシック"/>
              </a:rPr>
              <a:pPr algn="l"/>
              <a:t>53-01 品質データ分析報告書</a:t>
            </a:fld>
            <a:endParaRPr kumimoji="1" lang="ja-JP" altLang="en-US" sz="595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9527D874-27AC-7E7F-3D6B-B3B0E8960AC2}"/>
              </a:ext>
            </a:extLst>
          </xdr:cNvPr>
          <xdr:cNvSpPr/>
        </xdr:nvSpPr>
        <xdr:spPr>
          <a:xfrm>
            <a:off x="10183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2025/4/15</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410A9F9-4817-ACED-4C41-6C1681797B00}"/>
              </a:ext>
            </a:extLst>
          </xdr:cNvPr>
          <xdr:cNvSpPr/>
        </xdr:nvSpPr>
        <xdr:spPr>
          <a:xfrm>
            <a:off x="9667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4.4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802BE66E-04BB-0C05-A1E0-0E687CD01F7C}"/>
              </a:ext>
            </a:extLst>
          </xdr:cNvPr>
          <xdr:cNvSpPr/>
        </xdr:nvSpPr>
        <xdr:spPr>
          <a:xfrm>
            <a:off x="9182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4.3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885600</xdr:colOff>
      <xdr:row>1</xdr:row>
      <xdr:rowOff>200547</xdr:rowOff>
    </xdr:to>
    <xdr:grpSp>
      <xdr:nvGrpSpPr>
        <xdr:cNvPr id="2" name="グループ化 1">
          <a:extLst>
            <a:ext uri="{FF2B5EF4-FFF2-40B4-BE49-F238E27FC236}">
              <a16:creationId xmlns:a16="http://schemas.microsoft.com/office/drawing/2014/main" id="{3E0D7140-4BE9-4E5E-BD39-BEDC782FA77C}"/>
            </a:ext>
          </a:extLst>
        </xdr:cNvPr>
        <xdr:cNvGrpSpPr/>
      </xdr:nvGrpSpPr>
      <xdr:grpSpPr>
        <a:xfrm>
          <a:off x="0" y="0"/>
          <a:ext cx="17078100" cy="429147"/>
          <a:chOff x="0" y="0"/>
          <a:chExt cx="17078100" cy="429147"/>
        </a:xfrm>
      </xdr:grpSpPr>
      <xdr:sp macro="" textlink="ヘッダプロジェクト名">
        <xdr:nvSpPr>
          <xdr:cNvPr id="3" name="正方形/長方形 2">
            <a:extLst>
              <a:ext uri="{FF2B5EF4-FFF2-40B4-BE49-F238E27FC236}">
                <a16:creationId xmlns:a16="http://schemas.microsoft.com/office/drawing/2014/main" id="{ECD0A311-E43E-28C2-64D8-BD0A200C0A2E}"/>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422FBFA-6947-433D-8A4C-DBF1CC9FB813}" type="TxLink">
              <a:rPr kumimoji="1" lang="ja-JP" altLang="en-US" sz="900" b="0" i="0" u="none" strike="noStrike">
                <a:solidFill>
                  <a:srgbClr val="000000"/>
                </a:solidFill>
                <a:latin typeface="游ゴシック"/>
                <a:ea typeface="游ゴシック"/>
              </a:rPr>
              <a:pPr algn="l"/>
              <a:t>株式会社システムエグゼ 千葉オフィス QMS・ISMS</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改訂履歴">
        <xdr:nvSpPr>
          <xdr:cNvPr id="4" name="正方形/長方形 3">
            <a:extLst>
              <a:ext uri="{FF2B5EF4-FFF2-40B4-BE49-F238E27FC236}">
                <a16:creationId xmlns:a16="http://schemas.microsoft.com/office/drawing/2014/main" id="{FB837A8B-B885-69C0-3C85-B0CF4B09390D}"/>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5EC3758-0A1A-4CC5-AC5F-7B7CBCFFAD65}" type="TxLink">
              <a:rPr kumimoji="1" lang="en-US" altLang="en-US" sz="1600" b="1" i="0" u="none" strike="noStrike">
                <a:solidFill>
                  <a:srgbClr val="000000"/>
                </a:solidFill>
                <a:latin typeface="游ゴシック"/>
                <a:ea typeface="游ゴシック"/>
              </a:rPr>
              <a:pPr algn="l"/>
              <a:t>53-01 プロジェクト計画書・完了報告書‐改訂履歴</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0306336E-7DC2-189C-2E45-EA185A104260}"/>
              </a:ext>
            </a:extLst>
          </xdr:cNvPr>
          <xdr:cNvSpPr/>
        </xdr:nvSpPr>
        <xdr:spPr>
          <a:xfrm>
            <a:off x="16279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57D6C195-28F7-4462-8441-1BC86B370DF5}" type="TxLink">
              <a:rPr kumimoji="1" lang="ja-JP" altLang="en-US" sz="900" b="0" i="0" u="none" strike="noStrike">
                <a:solidFill>
                  <a:srgbClr val="000000"/>
                </a:solidFill>
                <a:latin typeface="游ゴシック"/>
                <a:ea typeface="游ゴシック"/>
              </a:rPr>
              <a:pPr algn="r"/>
              <a:t>2025/4/15</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C9603D90-BDDA-4404-91B4-F29D7141DA50}"/>
              </a:ext>
            </a:extLst>
          </xdr:cNvPr>
          <xdr:cNvSpPr/>
        </xdr:nvSpPr>
        <xdr:spPr>
          <a:xfrm>
            <a:off x="15763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7508095D-1D8B-4E6A-928C-FC82D42EF682}" type="TxLink">
              <a:rPr kumimoji="1" lang="ja-JP" altLang="en-US" sz="900" b="0" i="0" u="none" strike="noStrike">
                <a:solidFill>
                  <a:srgbClr val="000000"/>
                </a:solidFill>
                <a:latin typeface="游ゴシック"/>
                <a:ea typeface="游ゴシック"/>
              </a:rPr>
              <a:pPr algn="l"/>
              <a:t>第 4.4 版</a:t>
            </a:fld>
            <a:endParaRPr kumimoji="1" lang="en-US" altLang="ja-JP" sz="6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B33F7CAD-FA6E-72DB-0C75-31C594FA7BC9}"/>
              </a:ext>
            </a:extLst>
          </xdr:cNvPr>
          <xdr:cNvSpPr/>
        </xdr:nvSpPr>
        <xdr:spPr>
          <a:xfrm>
            <a:off x="15278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31EB612A-BE85-48EF-931F-2CEC23D9A075}" type="TxLink">
              <a:rPr kumimoji="1" lang="ja-JP" altLang="en-US" sz="900" b="0" i="1" u="none" strike="noStrike">
                <a:solidFill>
                  <a:schemeClr val="bg1">
                    <a:lumMod val="50000"/>
                  </a:schemeClr>
                </a:solidFill>
                <a:latin typeface="游ゴシック"/>
                <a:ea typeface="游ゴシック"/>
              </a:rPr>
              <a:pPr algn="r"/>
              <a:t>様式：53-01 プロジェクト計画書・完了報告書 (第 4.3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30.201\&#20840;&#31038;&#20849;&#26377;\02_&#12458;&#12501;&#12451;&#12473;&#31649;&#29702;\13_&#21315;&#33865;&#12458;&#12501;&#12451;&#12473;\26_QMS&#12539;ISMS\03.&#35352;&#37682;\2024&#24180;&#24230;\1.&#20840;&#33324;\2.&#35336;&#30011;\12-03%20&#24180;&#38291;&#35336;&#30011;&#34920;%20&#31532;1.3&#29256;.xlsx" TargetMode="External"/><Relationship Id="rId1" Type="http://schemas.openxmlformats.org/officeDocument/2006/relationships/externalLinkPath" Target="/02_&#12458;&#12501;&#12451;&#12473;&#31649;&#29702;/13_&#21315;&#33865;&#12458;&#12501;&#12451;&#12473;/26_QMS&#12539;ISMS/03.&#35352;&#37682;/2024&#24180;&#24230;/1.&#20840;&#33324;/2.&#35336;&#30011;/12-03%20&#24180;&#38291;&#35336;&#30011;&#34920;%20&#31532;1.3&#292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管理表"/>
      <sheetName val="マスタ"/>
      <sheetName val="改定履歴"/>
      <sheetName val="選択肢"/>
    </sheetNames>
    <sheetDataSet>
      <sheetData sheetId="0"/>
      <sheetData sheetId="1">
        <row r="2">
          <cell r="B2" t="str">
            <v>千葉オフィス QMS・ISMS</v>
          </cell>
        </row>
        <row r="3">
          <cell r="B3" t="str">
            <v>株式会社システムエグゼ</v>
          </cell>
        </row>
        <row r="4">
          <cell r="B4" t="str">
            <v>12-03</v>
          </cell>
        </row>
        <row r="5">
          <cell r="B5" t="str">
            <v>年間計画表</v>
          </cell>
        </row>
        <row r="6">
          <cell r="B6" t="str">
            <v>千葉オフィス QMS・ISMS委員会</v>
          </cell>
        </row>
        <row r="8">
          <cell r="B8">
            <v>45615</v>
          </cell>
        </row>
        <row r="9">
          <cell r="B9">
            <v>1.5</v>
          </cell>
        </row>
        <row r="10">
          <cell r="B10" t="str">
            <v>株式会社システムエグゼ 千葉オフィス QMS・ISMS</v>
          </cell>
        </row>
        <row r="11">
          <cell r="B11" t="str">
            <v>12-03 年間計画表</v>
          </cell>
        </row>
        <row r="12">
          <cell r="B12" t="str">
            <v>12-03 年間計画表‐改訂履歴</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tabColor rgb="FFFFFFC8"/>
    <pageSetUpPr fitToPage="1"/>
  </sheetPr>
  <dimension ref="A1:AU135"/>
  <sheetViews>
    <sheetView showGridLines="0" topLeftCell="A30" zoomScaleNormal="100" zoomScaleSheetLayoutView="75" workbookViewId="0">
      <selection activeCell="L16" sqref="L16:X16"/>
    </sheetView>
  </sheetViews>
  <sheetFormatPr defaultColWidth="3.125" defaultRowHeight="16.5" customHeight="1"/>
  <cols>
    <col min="1" max="16384" width="3.125" style="31"/>
  </cols>
  <sheetData>
    <row r="1" spans="1:47" ht="18" customHeight="1"/>
    <row r="2" spans="1:47" ht="18" customHeight="1" thickBot="1">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row>
    <row r="3" spans="1:47" ht="16.5" customHeight="1" thickTop="1" thickBot="1">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6.5" customHeight="1" thickBot="1">
      <c r="A4" s="33"/>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34"/>
      <c r="AK4" s="35"/>
      <c r="AL4" s="151" t="s">
        <v>218</v>
      </c>
      <c r="AM4" s="152"/>
      <c r="AN4" s="152"/>
      <c r="AO4" s="152"/>
      <c r="AP4" s="153"/>
      <c r="AQ4" s="151" t="s">
        <v>219</v>
      </c>
      <c r="AR4" s="152"/>
      <c r="AS4" s="152"/>
      <c r="AT4" s="152"/>
      <c r="AU4" s="153"/>
    </row>
    <row r="5" spans="1:47" ht="16.5" customHeight="1">
      <c r="A5" s="33"/>
      <c r="B5" s="150"/>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34"/>
      <c r="AK5" s="33"/>
      <c r="AL5" s="154" t="s">
        <v>54</v>
      </c>
      <c r="AM5" s="155"/>
      <c r="AN5" s="155"/>
      <c r="AO5" s="155"/>
      <c r="AP5" s="156"/>
      <c r="AQ5" s="154" t="s">
        <v>55</v>
      </c>
      <c r="AR5" s="155"/>
      <c r="AS5" s="155"/>
      <c r="AT5" s="155"/>
      <c r="AU5" s="156"/>
    </row>
    <row r="6" spans="1:47" ht="16.5" customHeight="1">
      <c r="A6" s="33"/>
      <c r="B6" s="33"/>
      <c r="C6" s="33"/>
      <c r="D6" s="36"/>
      <c r="E6" s="36"/>
      <c r="F6" s="36"/>
      <c r="G6" s="36"/>
      <c r="H6" s="36"/>
      <c r="I6" s="36"/>
      <c r="J6" s="36"/>
      <c r="K6" s="36"/>
      <c r="L6" s="36"/>
      <c r="M6" s="36"/>
      <c r="N6" s="36"/>
      <c r="O6" s="36"/>
      <c r="P6" s="36"/>
      <c r="Q6" s="36"/>
      <c r="R6" s="36"/>
      <c r="S6" s="36"/>
      <c r="T6" s="36"/>
      <c r="U6" s="36"/>
      <c r="V6" s="33"/>
      <c r="W6" s="36"/>
      <c r="X6" s="36"/>
      <c r="Y6" s="36"/>
      <c r="Z6" s="36"/>
      <c r="AA6" s="36"/>
      <c r="AB6" s="36"/>
      <c r="AC6" s="36"/>
      <c r="AD6" s="36"/>
      <c r="AE6" s="36"/>
      <c r="AF6" s="36"/>
      <c r="AG6" s="36"/>
      <c r="AH6" s="36"/>
      <c r="AI6" s="36"/>
      <c r="AJ6" s="36"/>
      <c r="AK6" s="36"/>
      <c r="AL6" s="157"/>
      <c r="AM6" s="158"/>
      <c r="AN6" s="158"/>
      <c r="AO6" s="158"/>
      <c r="AP6" s="159"/>
      <c r="AQ6" s="157"/>
      <c r="AR6" s="158"/>
      <c r="AS6" s="158"/>
      <c r="AT6" s="158"/>
      <c r="AU6" s="159"/>
    </row>
    <row r="7" spans="1:47" ht="16.5" customHeight="1">
      <c r="A7" s="33"/>
      <c r="B7" s="36"/>
      <c r="C7" s="36"/>
      <c r="D7" s="36"/>
      <c r="E7" s="36"/>
      <c r="F7" s="36"/>
      <c r="G7" s="36"/>
      <c r="H7" s="36"/>
      <c r="I7" s="36"/>
      <c r="J7" s="36"/>
      <c r="K7" s="36"/>
      <c r="L7" s="36"/>
      <c r="M7" s="36"/>
      <c r="N7" s="36"/>
      <c r="O7" s="36"/>
      <c r="P7" s="36"/>
      <c r="Q7" s="36"/>
      <c r="R7" s="36"/>
      <c r="S7" s="36"/>
      <c r="T7" s="36"/>
      <c r="U7" s="36"/>
      <c r="V7" s="33"/>
      <c r="W7" s="36"/>
      <c r="X7" s="36"/>
      <c r="Y7" s="36"/>
      <c r="Z7" s="36"/>
      <c r="AA7" s="36"/>
      <c r="AB7" s="36"/>
      <c r="AC7" s="36"/>
      <c r="AD7" s="36"/>
      <c r="AE7" s="36"/>
      <c r="AF7" s="36"/>
      <c r="AG7" s="36"/>
      <c r="AH7" s="36"/>
      <c r="AI7" s="36"/>
      <c r="AJ7" s="36"/>
      <c r="AK7" s="36"/>
      <c r="AL7" s="160"/>
      <c r="AM7" s="161"/>
      <c r="AN7" s="161"/>
      <c r="AO7" s="161"/>
      <c r="AP7" s="162"/>
      <c r="AQ7" s="160"/>
      <c r="AR7" s="161"/>
      <c r="AS7" s="161"/>
      <c r="AT7" s="161"/>
      <c r="AU7" s="162"/>
    </row>
    <row r="8" spans="1:47" ht="16.5" customHeight="1" thickBot="1">
      <c r="A8" s="33"/>
      <c r="B8" s="36"/>
      <c r="C8" s="36"/>
      <c r="D8" s="36"/>
      <c r="E8" s="36"/>
      <c r="F8" s="36"/>
      <c r="G8" s="36"/>
      <c r="H8" s="36"/>
      <c r="I8" s="36"/>
      <c r="J8" s="36"/>
      <c r="K8" s="36"/>
      <c r="L8" s="36"/>
      <c r="M8" s="36"/>
      <c r="N8" s="36"/>
      <c r="O8" s="36"/>
      <c r="P8" s="36"/>
      <c r="Q8" s="36"/>
      <c r="R8" s="36"/>
      <c r="S8" s="36"/>
      <c r="T8" s="36"/>
      <c r="U8" s="36"/>
      <c r="V8" s="33"/>
      <c r="W8" s="36"/>
      <c r="X8" s="36"/>
      <c r="Y8" s="36"/>
      <c r="Z8" s="36"/>
      <c r="AA8" s="36"/>
      <c r="AB8" s="36"/>
      <c r="AC8" s="36"/>
      <c r="AD8" s="36"/>
      <c r="AE8" s="36"/>
      <c r="AF8" s="36"/>
      <c r="AG8" s="36"/>
      <c r="AH8" s="36"/>
      <c r="AI8" s="36"/>
      <c r="AJ8" s="36"/>
      <c r="AK8" s="36"/>
      <c r="AL8" s="163" t="s">
        <v>56</v>
      </c>
      <c r="AM8" s="164"/>
      <c r="AN8" s="164"/>
      <c r="AO8" s="164"/>
      <c r="AP8" s="165"/>
      <c r="AQ8" s="163" t="s">
        <v>56</v>
      </c>
      <c r="AR8" s="164"/>
      <c r="AS8" s="164"/>
      <c r="AT8" s="164"/>
      <c r="AU8" s="165"/>
    </row>
    <row r="9" spans="1:47" ht="16.5" customHeight="1">
      <c r="A9" s="33"/>
      <c r="B9" s="36"/>
      <c r="C9" s="36"/>
      <c r="D9" s="36"/>
      <c r="E9" s="36"/>
      <c r="F9" s="36"/>
      <c r="G9" s="36"/>
      <c r="H9" s="36"/>
      <c r="I9" s="36"/>
      <c r="J9" s="36"/>
      <c r="K9" s="36"/>
      <c r="L9" s="36"/>
      <c r="M9" s="36"/>
      <c r="N9" s="36"/>
      <c r="O9" s="36"/>
      <c r="P9" s="36"/>
      <c r="Q9" s="36"/>
      <c r="R9" s="36"/>
      <c r="S9" s="36"/>
      <c r="T9" s="36"/>
      <c r="U9" s="36"/>
      <c r="V9" s="33"/>
      <c r="W9" s="36"/>
      <c r="X9" s="36"/>
      <c r="Y9" s="36"/>
      <c r="Z9" s="36"/>
      <c r="AA9" s="36"/>
      <c r="AB9" s="36"/>
      <c r="AC9" s="36"/>
      <c r="AD9" s="36"/>
      <c r="AE9" s="36"/>
      <c r="AF9" s="36"/>
      <c r="AG9" s="36"/>
      <c r="AH9" s="36"/>
      <c r="AI9" s="36"/>
      <c r="AJ9" s="36"/>
      <c r="AK9" s="36"/>
      <c r="AL9" s="75"/>
      <c r="AM9" s="75"/>
      <c r="AN9" s="75"/>
      <c r="AO9" s="75"/>
      <c r="AP9" s="75"/>
      <c r="AQ9" s="75"/>
      <c r="AR9" s="75"/>
      <c r="AS9" s="75"/>
      <c r="AT9" s="75"/>
      <c r="AU9" s="75"/>
    </row>
    <row r="10" spans="1:47" s="41" customFormat="1" ht="16.5" customHeight="1">
      <c r="A10" s="38"/>
      <c r="B10" s="39" t="s">
        <v>1</v>
      </c>
      <c r="C10" s="40"/>
      <c r="D10" s="40"/>
      <c r="E10" s="40"/>
      <c r="F10" s="40"/>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row>
    <row r="11" spans="1:47" s="44" customFormat="1" ht="16.5" customHeight="1">
      <c r="A11" s="42"/>
      <c r="B11" s="169" t="s">
        <v>9</v>
      </c>
      <c r="C11" s="169"/>
      <c r="D11" s="169"/>
      <c r="E11" s="169"/>
      <c r="F11" s="169"/>
      <c r="G11" s="169"/>
      <c r="H11" s="169"/>
      <c r="I11" s="169"/>
      <c r="J11" s="169"/>
      <c r="K11" s="169"/>
      <c r="L11" s="172"/>
      <c r="M11" s="172"/>
      <c r="N11" s="172"/>
      <c r="O11" s="172"/>
      <c r="P11" s="172"/>
      <c r="Q11" s="172"/>
      <c r="R11" s="172"/>
      <c r="S11" s="172"/>
      <c r="T11" s="172"/>
      <c r="U11" s="172"/>
      <c r="V11" s="172"/>
      <c r="W11" s="172"/>
      <c r="X11" s="172"/>
      <c r="Y11" s="169" t="s">
        <v>13</v>
      </c>
      <c r="Z11" s="169"/>
      <c r="AA11" s="169"/>
      <c r="AB11" s="169"/>
      <c r="AC11" s="169"/>
      <c r="AD11" s="169"/>
      <c r="AE11" s="169"/>
      <c r="AF11" s="169"/>
      <c r="AG11" s="169"/>
      <c r="AH11" s="169"/>
      <c r="AI11" s="173"/>
      <c r="AJ11" s="174"/>
      <c r="AK11" s="174"/>
      <c r="AL11" s="174"/>
      <c r="AM11" s="174"/>
      <c r="AN11" s="174"/>
      <c r="AO11" s="43" t="s">
        <v>14</v>
      </c>
      <c r="AP11" s="174"/>
      <c r="AQ11" s="174"/>
      <c r="AR11" s="174"/>
      <c r="AS11" s="174"/>
      <c r="AT11" s="174"/>
      <c r="AU11" s="175"/>
    </row>
    <row r="12" spans="1:47" s="44" customFormat="1" ht="16.5" customHeight="1">
      <c r="A12" s="42"/>
      <c r="B12" s="147" t="s">
        <v>2</v>
      </c>
      <c r="C12" s="148"/>
      <c r="D12" s="148"/>
      <c r="E12" s="148"/>
      <c r="F12" s="148"/>
      <c r="G12" s="148"/>
      <c r="H12" s="148"/>
      <c r="I12" s="148"/>
      <c r="J12" s="148"/>
      <c r="K12" s="149"/>
      <c r="L12" s="166"/>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8"/>
    </row>
    <row r="13" spans="1:47" s="44" customFormat="1" ht="16.5" customHeight="1">
      <c r="A13" s="42"/>
      <c r="B13" s="147" t="s">
        <v>12</v>
      </c>
      <c r="C13" s="148"/>
      <c r="D13" s="148"/>
      <c r="E13" s="148"/>
      <c r="F13" s="148"/>
      <c r="G13" s="148"/>
      <c r="H13" s="148"/>
      <c r="I13" s="148"/>
      <c r="J13" s="148"/>
      <c r="K13" s="149"/>
      <c r="L13" s="166"/>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8"/>
    </row>
    <row r="14" spans="1:47" s="44" customFormat="1" ht="16.5" customHeight="1">
      <c r="A14" s="42"/>
      <c r="B14" s="169" t="s">
        <v>3</v>
      </c>
      <c r="C14" s="169"/>
      <c r="D14" s="169"/>
      <c r="E14" s="169"/>
      <c r="F14" s="169"/>
      <c r="G14" s="169"/>
      <c r="H14" s="169"/>
      <c r="I14" s="169"/>
      <c r="J14" s="169"/>
      <c r="K14" s="169"/>
      <c r="L14" s="170"/>
      <c r="M14" s="170"/>
      <c r="N14" s="170"/>
      <c r="O14" s="170"/>
      <c r="P14" s="170"/>
      <c r="Q14" s="170"/>
      <c r="R14" s="170"/>
      <c r="S14" s="170"/>
      <c r="T14" s="170"/>
      <c r="U14" s="170"/>
      <c r="V14" s="170"/>
      <c r="W14" s="170"/>
      <c r="X14" s="170"/>
      <c r="Y14" s="169" t="s">
        <v>8</v>
      </c>
      <c r="Z14" s="169"/>
      <c r="AA14" s="169"/>
      <c r="AB14" s="169"/>
      <c r="AC14" s="169"/>
      <c r="AD14" s="169"/>
      <c r="AE14" s="169"/>
      <c r="AF14" s="169"/>
      <c r="AG14" s="169"/>
      <c r="AH14" s="171"/>
      <c r="AI14" s="170"/>
      <c r="AJ14" s="170"/>
      <c r="AK14" s="170"/>
      <c r="AL14" s="170"/>
      <c r="AM14" s="170"/>
      <c r="AN14" s="170"/>
      <c r="AO14" s="170"/>
      <c r="AP14" s="170"/>
      <c r="AQ14" s="170"/>
      <c r="AR14" s="170"/>
      <c r="AS14" s="170"/>
      <c r="AT14" s="170"/>
      <c r="AU14" s="170"/>
    </row>
    <row r="15" spans="1:47" s="44" customFormat="1" ht="16.5" customHeight="1">
      <c r="A15" s="42"/>
      <c r="B15" s="147" t="s">
        <v>17</v>
      </c>
      <c r="C15" s="148"/>
      <c r="D15" s="148"/>
      <c r="E15" s="148"/>
      <c r="F15" s="148"/>
      <c r="G15" s="148"/>
      <c r="H15" s="148"/>
      <c r="I15" s="148"/>
      <c r="J15" s="148"/>
      <c r="K15" s="149"/>
      <c r="L15" s="178"/>
      <c r="M15" s="179"/>
      <c r="N15" s="179"/>
      <c r="O15" s="179"/>
      <c r="P15" s="179"/>
      <c r="Q15" s="179"/>
      <c r="R15" s="179"/>
      <c r="S15" s="179"/>
      <c r="T15" s="179"/>
      <c r="U15" s="179"/>
      <c r="V15" s="179"/>
      <c r="W15" s="179"/>
      <c r="X15" s="180"/>
      <c r="Y15" s="171" t="s">
        <v>18</v>
      </c>
      <c r="Z15" s="171"/>
      <c r="AA15" s="171"/>
      <c r="AB15" s="171"/>
      <c r="AC15" s="171"/>
      <c r="AD15" s="171"/>
      <c r="AE15" s="171"/>
      <c r="AF15" s="171"/>
      <c r="AG15" s="171"/>
      <c r="AH15" s="171"/>
      <c r="AI15" s="181"/>
      <c r="AJ15" s="181"/>
      <c r="AK15" s="181"/>
      <c r="AL15" s="181"/>
      <c r="AM15" s="181"/>
      <c r="AN15" s="181"/>
      <c r="AO15" s="181"/>
      <c r="AP15" s="181"/>
      <c r="AQ15" s="181"/>
      <c r="AR15" s="181"/>
      <c r="AS15" s="181"/>
      <c r="AT15" s="181"/>
      <c r="AU15" s="181"/>
    </row>
    <row r="16" spans="1:47" s="44" customFormat="1" ht="16.5" customHeight="1">
      <c r="A16" s="42"/>
      <c r="B16" s="171" t="s">
        <v>4</v>
      </c>
      <c r="C16" s="171"/>
      <c r="D16" s="171"/>
      <c r="E16" s="171"/>
      <c r="F16" s="171"/>
      <c r="G16" s="171"/>
      <c r="H16" s="171"/>
      <c r="I16" s="171"/>
      <c r="J16" s="171"/>
      <c r="K16" s="171"/>
      <c r="L16" s="176"/>
      <c r="M16" s="176"/>
      <c r="N16" s="176"/>
      <c r="O16" s="176"/>
      <c r="P16" s="176"/>
      <c r="Q16" s="176"/>
      <c r="R16" s="176"/>
      <c r="S16" s="176"/>
      <c r="T16" s="176"/>
      <c r="U16" s="176"/>
      <c r="V16" s="176"/>
      <c r="W16" s="176"/>
      <c r="X16" s="176"/>
      <c r="Y16" s="169" t="s">
        <v>11</v>
      </c>
      <c r="Z16" s="169"/>
      <c r="AA16" s="169"/>
      <c r="AB16" s="169"/>
      <c r="AC16" s="169"/>
      <c r="AD16" s="169"/>
      <c r="AE16" s="169"/>
      <c r="AF16" s="169"/>
      <c r="AG16" s="169"/>
      <c r="AH16" s="169"/>
      <c r="AI16" s="170"/>
      <c r="AJ16" s="170"/>
      <c r="AK16" s="170"/>
      <c r="AL16" s="170"/>
      <c r="AM16" s="170"/>
      <c r="AN16" s="170"/>
      <c r="AO16" s="170"/>
      <c r="AP16" s="170"/>
      <c r="AQ16" s="170"/>
      <c r="AR16" s="170"/>
      <c r="AS16" s="170"/>
      <c r="AT16" s="170"/>
      <c r="AU16" s="170"/>
    </row>
    <row r="17" spans="1:47" s="44" customFormat="1" ht="16.5" customHeight="1">
      <c r="A17" s="42"/>
      <c r="B17" s="147" t="s">
        <v>221</v>
      </c>
      <c r="C17" s="148"/>
      <c r="D17" s="148"/>
      <c r="E17" s="148"/>
      <c r="F17" s="148"/>
      <c r="G17" s="148"/>
      <c r="H17" s="148"/>
      <c r="I17" s="148"/>
      <c r="J17" s="148"/>
      <c r="K17" s="149"/>
      <c r="L17" s="178"/>
      <c r="M17" s="179"/>
      <c r="N17" s="179"/>
      <c r="O17" s="179"/>
      <c r="P17" s="179"/>
      <c r="Q17" s="179"/>
      <c r="R17" s="179"/>
      <c r="S17" s="179"/>
      <c r="T17" s="179"/>
      <c r="U17" s="179"/>
      <c r="V17" s="179"/>
      <c r="W17" s="179"/>
      <c r="X17" s="180"/>
      <c r="Y17" s="171" t="s">
        <v>10</v>
      </c>
      <c r="Z17" s="171"/>
      <c r="AA17" s="171"/>
      <c r="AB17" s="171"/>
      <c r="AC17" s="171"/>
      <c r="AD17" s="171"/>
      <c r="AE17" s="171"/>
      <c r="AF17" s="171"/>
      <c r="AG17" s="171"/>
      <c r="AH17" s="171"/>
      <c r="AI17" s="181"/>
      <c r="AJ17" s="181"/>
      <c r="AK17" s="181"/>
      <c r="AL17" s="181"/>
      <c r="AM17" s="181"/>
      <c r="AN17" s="181"/>
      <c r="AO17" s="181"/>
      <c r="AP17" s="181"/>
      <c r="AQ17" s="181"/>
      <c r="AR17" s="181"/>
      <c r="AS17" s="181"/>
      <c r="AT17" s="181"/>
      <c r="AU17" s="181"/>
    </row>
    <row r="18" spans="1:47" s="44" customFormat="1" ht="16.5" customHeight="1">
      <c r="A18" s="42"/>
      <c r="B18" s="171" t="s">
        <v>16</v>
      </c>
      <c r="C18" s="171"/>
      <c r="D18" s="171"/>
      <c r="E18" s="171"/>
      <c r="F18" s="171"/>
      <c r="G18" s="171"/>
      <c r="H18" s="171"/>
      <c r="I18" s="171"/>
      <c r="J18" s="171"/>
      <c r="K18" s="171"/>
      <c r="L18" s="177"/>
      <c r="M18" s="177"/>
      <c r="N18" s="177"/>
      <c r="O18" s="177"/>
      <c r="P18" s="177"/>
      <c r="Q18" s="177"/>
      <c r="R18" s="177"/>
      <c r="S18" s="177"/>
      <c r="T18" s="177"/>
      <c r="U18" s="177"/>
      <c r="V18" s="177"/>
      <c r="W18" s="177"/>
      <c r="X18" s="177"/>
      <c r="Y18" s="169" t="s">
        <v>19</v>
      </c>
      <c r="Z18" s="169"/>
      <c r="AA18" s="169"/>
      <c r="AB18" s="169"/>
      <c r="AC18" s="169"/>
      <c r="AD18" s="169"/>
      <c r="AE18" s="169"/>
      <c r="AF18" s="169"/>
      <c r="AG18" s="169"/>
      <c r="AH18" s="169"/>
      <c r="AI18" s="170"/>
      <c r="AJ18" s="170"/>
      <c r="AK18" s="170"/>
      <c r="AL18" s="170"/>
      <c r="AM18" s="170"/>
      <c r="AN18" s="170"/>
      <c r="AO18" s="170"/>
      <c r="AP18" s="170"/>
      <c r="AQ18" s="170"/>
      <c r="AR18" s="170"/>
      <c r="AS18" s="170"/>
      <c r="AT18" s="170"/>
      <c r="AU18" s="170"/>
    </row>
    <row r="19" spans="1:47" s="44" customFormat="1" ht="16.5" customHeight="1">
      <c r="A19" s="42"/>
    </row>
    <row r="20" spans="1:47" s="41" customFormat="1" ht="16.5" customHeight="1">
      <c r="A20" s="38"/>
      <c r="B20" s="39" t="s">
        <v>7</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row>
    <row r="21" spans="1:47" s="44" customFormat="1" ht="16.5" customHeight="1">
      <c r="B21" s="183" t="s">
        <v>5</v>
      </c>
      <c r="C21" s="184"/>
      <c r="D21" s="184"/>
      <c r="E21" s="184"/>
      <c r="F21" s="184"/>
      <c r="G21" s="184"/>
      <c r="H21" s="184"/>
      <c r="I21" s="184"/>
      <c r="J21" s="184"/>
      <c r="K21" s="185"/>
      <c r="L21" s="189"/>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1"/>
    </row>
    <row r="22" spans="1:47" s="44" customFormat="1" ht="16.5" customHeight="1">
      <c r="A22" s="45"/>
      <c r="B22" s="186"/>
      <c r="C22" s="187"/>
      <c r="D22" s="187"/>
      <c r="E22" s="187"/>
      <c r="F22" s="187"/>
      <c r="G22" s="187"/>
      <c r="H22" s="187"/>
      <c r="I22" s="187"/>
      <c r="J22" s="187"/>
      <c r="K22" s="188"/>
      <c r="L22" s="192"/>
      <c r="M22" s="193"/>
      <c r="N22" s="193"/>
      <c r="O22" s="193"/>
      <c r="P22" s="193"/>
      <c r="Q22" s="193"/>
      <c r="R22" s="193"/>
      <c r="S22" s="193"/>
      <c r="T22" s="193"/>
      <c r="U22" s="193"/>
      <c r="V22" s="193"/>
      <c r="W22" s="193"/>
      <c r="X22" s="193"/>
      <c r="Y22" s="193"/>
      <c r="Z22" s="193"/>
      <c r="AA22" s="193"/>
      <c r="AB22" s="193"/>
      <c r="AC22" s="193"/>
      <c r="AD22" s="193"/>
      <c r="AE22" s="193"/>
      <c r="AF22" s="193"/>
      <c r="AG22" s="193"/>
      <c r="AH22" s="193"/>
      <c r="AI22" s="193"/>
      <c r="AJ22" s="193"/>
      <c r="AK22" s="193"/>
      <c r="AL22" s="193"/>
      <c r="AM22" s="193"/>
      <c r="AN22" s="193"/>
      <c r="AO22" s="193"/>
      <c r="AP22" s="193"/>
      <c r="AQ22" s="193"/>
      <c r="AR22" s="193"/>
      <c r="AS22" s="193"/>
      <c r="AT22" s="193"/>
      <c r="AU22" s="194"/>
    </row>
    <row r="23" spans="1:47" ht="16.5" customHeight="1">
      <c r="B23" s="195" t="s">
        <v>53</v>
      </c>
      <c r="C23" s="196"/>
      <c r="D23" s="196"/>
      <c r="E23" s="196"/>
      <c r="F23" s="196"/>
      <c r="G23" s="196"/>
      <c r="H23" s="196"/>
      <c r="I23" s="196"/>
      <c r="J23" s="196"/>
      <c r="K23" s="197"/>
      <c r="L23" s="189"/>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1"/>
    </row>
    <row r="24" spans="1:47" ht="16.5" customHeight="1">
      <c r="B24" s="198"/>
      <c r="C24" s="199"/>
      <c r="D24" s="199"/>
      <c r="E24" s="199"/>
      <c r="F24" s="199"/>
      <c r="G24" s="199"/>
      <c r="H24" s="199"/>
      <c r="I24" s="199"/>
      <c r="J24" s="199"/>
      <c r="K24" s="200"/>
      <c r="L24" s="192"/>
      <c r="M24" s="193"/>
      <c r="N24" s="193"/>
      <c r="O24" s="193"/>
      <c r="P24" s="193"/>
      <c r="Q24" s="193"/>
      <c r="R24" s="193"/>
      <c r="S24" s="193"/>
      <c r="T24" s="193"/>
      <c r="U24" s="193"/>
      <c r="V24" s="193"/>
      <c r="W24" s="193"/>
      <c r="X24" s="193"/>
      <c r="Y24" s="193"/>
      <c r="Z24" s="193"/>
      <c r="AA24" s="193"/>
      <c r="AB24" s="193"/>
      <c r="AC24" s="193"/>
      <c r="AD24" s="193"/>
      <c r="AE24" s="193"/>
      <c r="AF24" s="193"/>
      <c r="AG24" s="193"/>
      <c r="AH24" s="193"/>
      <c r="AI24" s="193"/>
      <c r="AJ24" s="193"/>
      <c r="AK24" s="193"/>
      <c r="AL24" s="193"/>
      <c r="AM24" s="193"/>
      <c r="AN24" s="193"/>
      <c r="AO24" s="193"/>
      <c r="AP24" s="193"/>
      <c r="AQ24" s="193"/>
      <c r="AR24" s="193"/>
      <c r="AS24" s="193"/>
      <c r="AT24" s="193"/>
      <c r="AU24" s="194"/>
    </row>
    <row r="25" spans="1:47" s="44" customFormat="1" ht="16.5" customHeight="1">
      <c r="B25" s="183" t="s">
        <v>15</v>
      </c>
      <c r="C25" s="184"/>
      <c r="D25" s="184"/>
      <c r="E25" s="184"/>
      <c r="F25" s="184"/>
      <c r="G25" s="184"/>
      <c r="H25" s="184"/>
      <c r="I25" s="184"/>
      <c r="J25" s="184"/>
      <c r="K25" s="185"/>
      <c r="L25" s="189"/>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1"/>
    </row>
    <row r="26" spans="1:47" s="44" customFormat="1" ht="16.5" customHeight="1">
      <c r="B26" s="186"/>
      <c r="C26" s="187"/>
      <c r="D26" s="187"/>
      <c r="E26" s="187"/>
      <c r="F26" s="187"/>
      <c r="G26" s="187"/>
      <c r="H26" s="187"/>
      <c r="I26" s="187"/>
      <c r="J26" s="187"/>
      <c r="K26" s="188"/>
      <c r="L26" s="192"/>
      <c r="M26" s="193"/>
      <c r="N26" s="193"/>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c r="AL26" s="193"/>
      <c r="AM26" s="193"/>
      <c r="AN26" s="193"/>
      <c r="AO26" s="193"/>
      <c r="AP26" s="193"/>
      <c r="AQ26" s="193"/>
      <c r="AR26" s="193"/>
      <c r="AS26" s="193"/>
      <c r="AT26" s="193"/>
      <c r="AU26" s="194"/>
    </row>
    <row r="27" spans="1:47" s="44" customFormat="1" ht="16.5" customHeight="1">
      <c r="B27" s="183" t="s">
        <v>51</v>
      </c>
      <c r="C27" s="184"/>
      <c r="D27" s="184"/>
      <c r="E27" s="184"/>
      <c r="F27" s="184"/>
      <c r="G27" s="184"/>
      <c r="H27" s="184"/>
      <c r="I27" s="184"/>
      <c r="J27" s="184"/>
      <c r="K27" s="185"/>
      <c r="L27" s="189"/>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1"/>
    </row>
    <row r="28" spans="1:47" s="44" customFormat="1" ht="16.5" customHeight="1">
      <c r="B28" s="186"/>
      <c r="C28" s="187"/>
      <c r="D28" s="187"/>
      <c r="E28" s="187"/>
      <c r="F28" s="187"/>
      <c r="G28" s="187"/>
      <c r="H28" s="187"/>
      <c r="I28" s="187"/>
      <c r="J28" s="187"/>
      <c r="K28" s="188"/>
      <c r="L28" s="192"/>
      <c r="M28" s="193"/>
      <c r="N28" s="193"/>
      <c r="O28" s="193"/>
      <c r="P28" s="193"/>
      <c r="Q28" s="193"/>
      <c r="R28" s="193"/>
      <c r="S28" s="193"/>
      <c r="T28" s="193"/>
      <c r="U28" s="193"/>
      <c r="V28" s="193"/>
      <c r="W28" s="193"/>
      <c r="X28" s="193"/>
      <c r="Y28" s="193"/>
      <c r="Z28" s="193"/>
      <c r="AA28" s="193"/>
      <c r="AB28" s="193"/>
      <c r="AC28" s="193"/>
      <c r="AD28" s="193"/>
      <c r="AE28" s="193"/>
      <c r="AF28" s="193"/>
      <c r="AG28" s="193"/>
      <c r="AH28" s="193"/>
      <c r="AI28" s="193"/>
      <c r="AJ28" s="193"/>
      <c r="AK28" s="193"/>
      <c r="AL28" s="193"/>
      <c r="AM28" s="193"/>
      <c r="AN28" s="193"/>
      <c r="AO28" s="193"/>
      <c r="AP28" s="193"/>
      <c r="AQ28" s="193"/>
      <c r="AR28" s="193"/>
      <c r="AS28" s="193"/>
      <c r="AT28" s="193"/>
      <c r="AU28" s="194"/>
    </row>
    <row r="29" spans="1:47" ht="16.5" customHeight="1">
      <c r="B29" s="171" t="s">
        <v>129</v>
      </c>
      <c r="C29" s="171"/>
      <c r="D29" s="171"/>
      <c r="E29" s="171"/>
      <c r="F29" s="171"/>
      <c r="G29" s="171"/>
      <c r="H29" s="171"/>
      <c r="I29" s="171"/>
      <c r="J29" s="171"/>
      <c r="K29" s="171"/>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row>
    <row r="30" spans="1:47" ht="16.5" customHeight="1">
      <c r="B30" s="171"/>
      <c r="C30" s="171"/>
      <c r="D30" s="171"/>
      <c r="E30" s="171"/>
      <c r="F30" s="171"/>
      <c r="G30" s="171"/>
      <c r="H30" s="171"/>
      <c r="I30" s="171"/>
      <c r="J30" s="171"/>
      <c r="K30" s="171"/>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row>
    <row r="31" spans="1:47" s="44" customFormat="1" ht="16.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row>
    <row r="32" spans="1:47" s="41" customFormat="1" ht="16.5" customHeight="1">
      <c r="A32" s="38"/>
      <c r="B32" s="39" t="s">
        <v>140</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row>
    <row r="33" spans="1:47" s="44" customFormat="1" ht="16.5" customHeight="1">
      <c r="A33" s="42"/>
      <c r="B33" s="147" t="s">
        <v>141</v>
      </c>
      <c r="C33" s="148"/>
      <c r="D33" s="148"/>
      <c r="E33" s="148"/>
      <c r="F33" s="148"/>
      <c r="G33" s="148"/>
      <c r="H33" s="148"/>
      <c r="I33" s="148"/>
      <c r="J33" s="148"/>
      <c r="K33" s="149"/>
      <c r="L33" s="147" t="s">
        <v>142</v>
      </c>
      <c r="M33" s="148"/>
      <c r="N33" s="148"/>
      <c r="O33" s="148"/>
      <c r="P33" s="149"/>
      <c r="Q33" s="169" t="s">
        <v>143</v>
      </c>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row>
    <row r="34" spans="1:47" s="44" customFormat="1" ht="16.5" customHeight="1">
      <c r="A34" s="42"/>
      <c r="B34" s="144" t="s">
        <v>144</v>
      </c>
      <c r="C34" s="145"/>
      <c r="D34" s="145"/>
      <c r="E34" s="145"/>
      <c r="F34" s="145"/>
      <c r="G34" s="145"/>
      <c r="H34" s="145"/>
      <c r="I34" s="145"/>
      <c r="J34" s="145"/>
      <c r="K34" s="146"/>
      <c r="L34" s="166"/>
      <c r="M34" s="167"/>
      <c r="N34" s="167"/>
      <c r="O34" s="167"/>
      <c r="P34" s="168"/>
      <c r="Q34" s="182"/>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row>
    <row r="35" spans="1:47" s="44" customFormat="1" ht="16.5" customHeight="1">
      <c r="B35" s="144" t="s">
        <v>145</v>
      </c>
      <c r="C35" s="145"/>
      <c r="D35" s="145"/>
      <c r="E35" s="145"/>
      <c r="F35" s="145"/>
      <c r="G35" s="145"/>
      <c r="H35" s="145"/>
      <c r="I35" s="145"/>
      <c r="J35" s="145"/>
      <c r="K35" s="146"/>
      <c r="L35" s="166"/>
      <c r="M35" s="167"/>
      <c r="N35" s="167"/>
      <c r="O35" s="167"/>
      <c r="P35" s="168"/>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row>
    <row r="36" spans="1:47" s="44" customFormat="1" ht="16.5" customHeight="1">
      <c r="B36" s="144" t="s">
        <v>146</v>
      </c>
      <c r="C36" s="145"/>
      <c r="D36" s="145"/>
      <c r="E36" s="145"/>
      <c r="F36" s="145"/>
      <c r="G36" s="145"/>
      <c r="H36" s="145"/>
      <c r="I36" s="145"/>
      <c r="J36" s="145"/>
      <c r="K36" s="146"/>
      <c r="L36" s="166"/>
      <c r="M36" s="167"/>
      <c r="N36" s="167"/>
      <c r="O36" s="167"/>
      <c r="P36" s="168"/>
      <c r="Q36" s="182"/>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row>
    <row r="37" spans="1:47" s="44" customFormat="1" ht="16.5" customHeight="1">
      <c r="B37" s="144" t="s">
        <v>147</v>
      </c>
      <c r="C37" s="145"/>
      <c r="D37" s="145"/>
      <c r="E37" s="145"/>
      <c r="F37" s="145"/>
      <c r="G37" s="145"/>
      <c r="H37" s="145"/>
      <c r="I37" s="145"/>
      <c r="J37" s="145"/>
      <c r="K37" s="146"/>
      <c r="L37" s="166"/>
      <c r="M37" s="167"/>
      <c r="N37" s="167"/>
      <c r="O37" s="167"/>
      <c r="P37" s="168"/>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row>
    <row r="38" spans="1:47" s="44" customFormat="1" ht="16.5" customHeight="1">
      <c r="B38" s="144" t="s">
        <v>148</v>
      </c>
      <c r="C38" s="145"/>
      <c r="D38" s="145"/>
      <c r="E38" s="145"/>
      <c r="F38" s="145"/>
      <c r="G38" s="145"/>
      <c r="H38" s="145"/>
      <c r="I38" s="145"/>
      <c r="J38" s="145"/>
      <c r="K38" s="146"/>
      <c r="L38" s="166"/>
      <c r="M38" s="167"/>
      <c r="N38" s="167"/>
      <c r="O38" s="167"/>
      <c r="P38" s="168"/>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row>
    <row r="39" spans="1:47" s="44" customFormat="1" ht="16.5" customHeight="1">
      <c r="B39" s="144" t="s">
        <v>149</v>
      </c>
      <c r="C39" s="145"/>
      <c r="D39" s="145"/>
      <c r="E39" s="145"/>
      <c r="F39" s="145"/>
      <c r="G39" s="145"/>
      <c r="H39" s="145"/>
      <c r="I39" s="145"/>
      <c r="J39" s="145"/>
      <c r="K39" s="146"/>
      <c r="L39" s="166"/>
      <c r="M39" s="167"/>
      <c r="N39" s="167"/>
      <c r="O39" s="167"/>
      <c r="P39" s="168"/>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row>
    <row r="40" spans="1:47" s="44" customFormat="1" ht="16.5" customHeight="1">
      <c r="B40" s="144" t="s">
        <v>150</v>
      </c>
      <c r="C40" s="145"/>
      <c r="D40" s="145"/>
      <c r="E40" s="145"/>
      <c r="F40" s="145"/>
      <c r="G40" s="145"/>
      <c r="H40" s="145"/>
      <c r="I40" s="145"/>
      <c r="J40" s="145"/>
      <c r="K40" s="146"/>
      <c r="L40" s="166"/>
      <c r="M40" s="167"/>
      <c r="N40" s="167"/>
      <c r="O40" s="167"/>
      <c r="P40" s="168"/>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row>
    <row r="41" spans="1:47" s="44" customFormat="1" ht="16.5" customHeight="1">
      <c r="B41" s="144" t="s">
        <v>151</v>
      </c>
      <c r="C41" s="145"/>
      <c r="D41" s="145"/>
      <c r="E41" s="145"/>
      <c r="F41" s="145"/>
      <c r="G41" s="145"/>
      <c r="H41" s="145"/>
      <c r="I41" s="145"/>
      <c r="J41" s="145"/>
      <c r="K41" s="146"/>
      <c r="L41" s="166"/>
      <c r="M41" s="167"/>
      <c r="N41" s="167"/>
      <c r="O41" s="167"/>
      <c r="P41" s="168"/>
      <c r="Q41" s="182"/>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row>
    <row r="42" spans="1:47" s="44" customFormat="1" ht="16.5" customHeight="1">
      <c r="B42" s="144" t="s">
        <v>6</v>
      </c>
      <c r="C42" s="145"/>
      <c r="D42" s="145"/>
      <c r="E42" s="145"/>
      <c r="F42" s="145"/>
      <c r="G42" s="145"/>
      <c r="H42" s="145"/>
      <c r="I42" s="145"/>
      <c r="J42" s="145"/>
      <c r="K42" s="146"/>
      <c r="L42" s="166"/>
      <c r="M42" s="167"/>
      <c r="N42" s="167"/>
      <c r="O42" s="167"/>
      <c r="P42" s="168"/>
      <c r="Q42" s="182"/>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row>
    <row r="43" spans="1:47" s="44" customFormat="1" ht="16.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row>
    <row r="44" spans="1:47" s="41" customFormat="1" ht="16.5" customHeight="1">
      <c r="A44" s="38"/>
      <c r="B44" s="39" t="s">
        <v>152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46"/>
      <c r="AG44" s="38"/>
      <c r="AH44" s="38"/>
      <c r="AI44" s="38"/>
      <c r="AJ44" s="38"/>
      <c r="AK44" s="38"/>
      <c r="AL44" s="38"/>
      <c r="AM44" s="38"/>
      <c r="AN44" s="38"/>
      <c r="AO44" s="38"/>
      <c r="AP44" s="38"/>
      <c r="AQ44" s="38"/>
      <c r="AR44" s="38"/>
      <c r="AS44" s="38"/>
      <c r="AT44" s="38"/>
      <c r="AU44" s="38"/>
    </row>
    <row r="45" spans="1:47" s="44" customFormat="1" ht="16.5" customHeight="1">
      <c r="A45" s="42"/>
      <c r="B45" s="147" t="s">
        <v>153</v>
      </c>
      <c r="C45" s="148"/>
      <c r="D45" s="148"/>
      <c r="E45" s="148"/>
      <c r="F45" s="148"/>
      <c r="G45" s="148"/>
      <c r="H45" s="148"/>
      <c r="I45" s="148"/>
      <c r="J45" s="148"/>
      <c r="K45" s="149"/>
      <c r="L45" s="147" t="s">
        <v>154</v>
      </c>
      <c r="M45" s="148"/>
      <c r="N45" s="148"/>
      <c r="O45" s="148"/>
      <c r="P45" s="149"/>
      <c r="Q45" s="147" t="s">
        <v>0</v>
      </c>
      <c r="R45" s="148"/>
      <c r="S45" s="148"/>
      <c r="T45" s="148"/>
      <c r="U45" s="149"/>
      <c r="V45" s="147" t="s">
        <v>143</v>
      </c>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9"/>
    </row>
    <row r="46" spans="1:47" s="44" customFormat="1" ht="16.5" customHeight="1">
      <c r="A46" s="42"/>
      <c r="B46" s="144" t="s">
        <v>155</v>
      </c>
      <c r="C46" s="145"/>
      <c r="D46" s="145"/>
      <c r="E46" s="145"/>
      <c r="F46" s="145"/>
      <c r="G46" s="145"/>
      <c r="H46" s="145"/>
      <c r="I46" s="145"/>
      <c r="J46" s="145"/>
      <c r="K46" s="146"/>
      <c r="L46" s="166"/>
      <c r="M46" s="167"/>
      <c r="N46" s="167"/>
      <c r="O46" s="167"/>
      <c r="P46" s="168"/>
      <c r="Q46" s="166"/>
      <c r="R46" s="167"/>
      <c r="S46" s="167"/>
      <c r="T46" s="167"/>
      <c r="U46" s="168"/>
      <c r="V46" s="166"/>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8"/>
    </row>
    <row r="47" spans="1:47" s="44" customFormat="1" ht="16.5" customHeight="1">
      <c r="A47" s="42"/>
      <c r="B47" s="144" t="s">
        <v>156</v>
      </c>
      <c r="C47" s="145"/>
      <c r="D47" s="145"/>
      <c r="E47" s="145"/>
      <c r="F47" s="145"/>
      <c r="G47" s="145"/>
      <c r="H47" s="145"/>
      <c r="I47" s="145"/>
      <c r="J47" s="145"/>
      <c r="K47" s="146"/>
      <c r="L47" s="166"/>
      <c r="M47" s="167"/>
      <c r="N47" s="167"/>
      <c r="O47" s="167"/>
      <c r="P47" s="168"/>
      <c r="Q47" s="166"/>
      <c r="R47" s="167"/>
      <c r="S47" s="167"/>
      <c r="T47" s="167"/>
      <c r="U47" s="168"/>
      <c r="V47" s="166"/>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8"/>
    </row>
    <row r="48" spans="1:47" s="44" customFormat="1" ht="16.5" customHeight="1">
      <c r="A48" s="42"/>
      <c r="B48" s="144" t="s">
        <v>151</v>
      </c>
      <c r="C48" s="145"/>
      <c r="D48" s="145"/>
      <c r="E48" s="145"/>
      <c r="F48" s="145"/>
      <c r="G48" s="145"/>
      <c r="H48" s="145"/>
      <c r="I48" s="145"/>
      <c r="J48" s="145"/>
      <c r="K48" s="146"/>
      <c r="L48" s="166"/>
      <c r="M48" s="167"/>
      <c r="N48" s="167"/>
      <c r="O48" s="167"/>
      <c r="P48" s="168"/>
      <c r="Q48" s="166"/>
      <c r="R48" s="167"/>
      <c r="S48" s="167"/>
      <c r="T48" s="167"/>
      <c r="U48" s="168"/>
      <c r="V48" s="166"/>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8"/>
    </row>
    <row r="49" spans="1:47" s="44" customFormat="1" ht="16.5" customHeight="1">
      <c r="A49" s="42"/>
      <c r="B49" s="144" t="s">
        <v>157</v>
      </c>
      <c r="C49" s="145"/>
      <c r="D49" s="145"/>
      <c r="E49" s="145"/>
      <c r="F49" s="145"/>
      <c r="G49" s="145"/>
      <c r="H49" s="145"/>
      <c r="I49" s="145"/>
      <c r="J49" s="145"/>
      <c r="K49" s="146"/>
      <c r="L49" s="166"/>
      <c r="M49" s="167"/>
      <c r="N49" s="167"/>
      <c r="O49" s="167"/>
      <c r="P49" s="168"/>
      <c r="Q49" s="166"/>
      <c r="R49" s="167"/>
      <c r="S49" s="167"/>
      <c r="T49" s="167"/>
      <c r="U49" s="168"/>
      <c r="V49" s="166"/>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8"/>
    </row>
    <row r="50" spans="1:47" s="44" customFormat="1" ht="16.5" customHeight="1">
      <c r="A50" s="42"/>
      <c r="B50" s="144" t="s">
        <v>158</v>
      </c>
      <c r="C50" s="145"/>
      <c r="D50" s="145"/>
      <c r="E50" s="145"/>
      <c r="F50" s="145"/>
      <c r="G50" s="145"/>
      <c r="H50" s="145"/>
      <c r="I50" s="145"/>
      <c r="J50" s="145"/>
      <c r="K50" s="146"/>
      <c r="L50" s="166"/>
      <c r="M50" s="167"/>
      <c r="N50" s="167"/>
      <c r="O50" s="167"/>
      <c r="P50" s="168"/>
      <c r="Q50" s="166"/>
      <c r="R50" s="167"/>
      <c r="S50" s="167"/>
      <c r="T50" s="167"/>
      <c r="U50" s="168"/>
      <c r="V50" s="166"/>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8"/>
    </row>
    <row r="51" spans="1:47" s="44" customFormat="1" ht="16.5" customHeight="1">
      <c r="A51" s="42"/>
      <c r="B51" s="144" t="s">
        <v>159</v>
      </c>
      <c r="C51" s="145"/>
      <c r="D51" s="145"/>
      <c r="E51" s="145"/>
      <c r="F51" s="145"/>
      <c r="G51" s="145"/>
      <c r="H51" s="145"/>
      <c r="I51" s="145"/>
      <c r="J51" s="145"/>
      <c r="K51" s="146"/>
      <c r="L51" s="166"/>
      <c r="M51" s="167"/>
      <c r="N51" s="167"/>
      <c r="O51" s="167"/>
      <c r="P51" s="168"/>
      <c r="Q51" s="166"/>
      <c r="R51" s="167"/>
      <c r="S51" s="167"/>
      <c r="T51" s="167"/>
      <c r="U51" s="168"/>
      <c r="V51" s="166"/>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8"/>
    </row>
    <row r="52" spans="1:47" s="44" customFormat="1" ht="16.5" customHeight="1">
      <c r="A52" s="42"/>
      <c r="B52" s="144" t="s">
        <v>160</v>
      </c>
      <c r="C52" s="145"/>
      <c r="D52" s="145"/>
      <c r="E52" s="145"/>
      <c r="F52" s="145"/>
      <c r="G52" s="145"/>
      <c r="H52" s="145"/>
      <c r="I52" s="145"/>
      <c r="J52" s="145"/>
      <c r="K52" s="146"/>
      <c r="L52" s="166"/>
      <c r="M52" s="167"/>
      <c r="N52" s="167"/>
      <c r="O52" s="167"/>
      <c r="P52" s="168"/>
      <c r="Q52" s="166"/>
      <c r="R52" s="167"/>
      <c r="S52" s="167"/>
      <c r="T52" s="167"/>
      <c r="U52" s="168"/>
      <c r="V52" s="166"/>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8"/>
    </row>
    <row r="53" spans="1:47" s="44" customFormat="1" ht="16.5" customHeight="1">
      <c r="A53" s="42"/>
      <c r="B53" s="144" t="s">
        <v>161</v>
      </c>
      <c r="C53" s="145"/>
      <c r="D53" s="145"/>
      <c r="E53" s="145"/>
      <c r="F53" s="145"/>
      <c r="G53" s="145"/>
      <c r="H53" s="145"/>
      <c r="I53" s="145"/>
      <c r="J53" s="145"/>
      <c r="K53" s="146"/>
      <c r="L53" s="166"/>
      <c r="M53" s="167"/>
      <c r="N53" s="167"/>
      <c r="O53" s="167"/>
      <c r="P53" s="168"/>
      <c r="Q53" s="166"/>
      <c r="R53" s="167"/>
      <c r="S53" s="167"/>
      <c r="T53" s="167"/>
      <c r="U53" s="168"/>
      <c r="V53" s="166"/>
      <c r="W53" s="167"/>
      <c r="X53" s="167"/>
      <c r="Y53" s="167"/>
      <c r="Z53" s="167"/>
      <c r="AA53" s="167"/>
      <c r="AB53" s="167"/>
      <c r="AC53" s="167"/>
      <c r="AD53" s="167"/>
      <c r="AE53" s="167"/>
      <c r="AF53" s="167"/>
      <c r="AG53" s="167"/>
      <c r="AH53" s="167"/>
      <c r="AI53" s="167"/>
      <c r="AJ53" s="167"/>
      <c r="AK53" s="167"/>
      <c r="AL53" s="167"/>
      <c r="AM53" s="167"/>
      <c r="AN53" s="167"/>
      <c r="AO53" s="167"/>
      <c r="AP53" s="167"/>
      <c r="AQ53" s="167"/>
      <c r="AR53" s="167"/>
      <c r="AS53" s="167"/>
      <c r="AT53" s="167"/>
      <c r="AU53" s="168"/>
    </row>
    <row r="54" spans="1:47" s="44" customFormat="1" ht="16.5" customHeight="1">
      <c r="A54" s="42"/>
      <c r="B54" s="144" t="s">
        <v>162</v>
      </c>
      <c r="C54" s="145"/>
      <c r="D54" s="145"/>
      <c r="E54" s="145"/>
      <c r="F54" s="145"/>
      <c r="G54" s="145"/>
      <c r="H54" s="145"/>
      <c r="I54" s="145"/>
      <c r="J54" s="145"/>
      <c r="K54" s="146"/>
      <c r="L54" s="166"/>
      <c r="M54" s="167"/>
      <c r="N54" s="167"/>
      <c r="O54" s="167"/>
      <c r="P54" s="168"/>
      <c r="Q54" s="166"/>
      <c r="R54" s="167"/>
      <c r="S54" s="167"/>
      <c r="T54" s="167"/>
      <c r="U54" s="168"/>
      <c r="V54" s="166"/>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8"/>
    </row>
    <row r="55" spans="1:47" s="44" customFormat="1" ht="16.5" customHeight="1">
      <c r="A55" s="42"/>
      <c r="B55" s="144" t="s">
        <v>163</v>
      </c>
      <c r="C55" s="145"/>
      <c r="D55" s="145"/>
      <c r="E55" s="145"/>
      <c r="F55" s="145"/>
      <c r="G55" s="145"/>
      <c r="H55" s="145"/>
      <c r="I55" s="145"/>
      <c r="J55" s="145"/>
      <c r="K55" s="146"/>
      <c r="L55" s="166"/>
      <c r="M55" s="167"/>
      <c r="N55" s="167"/>
      <c r="O55" s="167"/>
      <c r="P55" s="168"/>
      <c r="Q55" s="166"/>
      <c r="R55" s="167"/>
      <c r="S55" s="167"/>
      <c r="T55" s="167"/>
      <c r="U55" s="168"/>
      <c r="V55" s="166"/>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8"/>
    </row>
    <row r="56" spans="1:47" s="44" customFormat="1" ht="16.5" customHeight="1">
      <c r="A56" s="42"/>
      <c r="B56" s="144" t="s">
        <v>164</v>
      </c>
      <c r="C56" s="145"/>
      <c r="D56" s="145"/>
      <c r="E56" s="145"/>
      <c r="F56" s="145"/>
      <c r="G56" s="145"/>
      <c r="H56" s="145"/>
      <c r="I56" s="145"/>
      <c r="J56" s="145"/>
      <c r="K56" s="146"/>
      <c r="L56" s="166"/>
      <c r="M56" s="167"/>
      <c r="N56" s="167"/>
      <c r="O56" s="167"/>
      <c r="P56" s="168"/>
      <c r="Q56" s="166"/>
      <c r="R56" s="167"/>
      <c r="S56" s="167"/>
      <c r="T56" s="167"/>
      <c r="U56" s="168"/>
      <c r="V56" s="166"/>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8"/>
    </row>
    <row r="57" spans="1:47" s="44" customFormat="1" ht="16.5" customHeight="1">
      <c r="A57" s="42"/>
      <c r="B57" s="144" t="s">
        <v>165</v>
      </c>
      <c r="C57" s="145"/>
      <c r="D57" s="145"/>
      <c r="E57" s="145"/>
      <c r="F57" s="145"/>
      <c r="G57" s="145"/>
      <c r="H57" s="145"/>
      <c r="I57" s="145"/>
      <c r="J57" s="145"/>
      <c r="K57" s="146"/>
      <c r="L57" s="166"/>
      <c r="M57" s="167"/>
      <c r="N57" s="167"/>
      <c r="O57" s="167"/>
      <c r="P57" s="168"/>
      <c r="Q57" s="166"/>
      <c r="R57" s="167"/>
      <c r="S57" s="167"/>
      <c r="T57" s="167"/>
      <c r="U57" s="168"/>
      <c r="V57" s="166"/>
      <c r="W57" s="167"/>
      <c r="X57" s="167"/>
      <c r="Y57" s="167"/>
      <c r="Z57" s="167"/>
      <c r="AA57" s="167"/>
      <c r="AB57" s="167"/>
      <c r="AC57" s="167"/>
      <c r="AD57" s="167"/>
      <c r="AE57" s="167"/>
      <c r="AF57" s="167"/>
      <c r="AG57" s="167"/>
      <c r="AH57" s="167"/>
      <c r="AI57" s="167"/>
      <c r="AJ57" s="167"/>
      <c r="AK57" s="167"/>
      <c r="AL57" s="167"/>
      <c r="AM57" s="167"/>
      <c r="AN57" s="167"/>
      <c r="AO57" s="167"/>
      <c r="AP57" s="167"/>
      <c r="AQ57" s="167"/>
      <c r="AR57" s="167"/>
      <c r="AS57" s="167"/>
      <c r="AT57" s="167"/>
      <c r="AU57" s="168"/>
    </row>
    <row r="58" spans="1:47" s="44" customFormat="1" ht="16.5" customHeight="1">
      <c r="A58" s="42"/>
      <c r="B58" s="144" t="s">
        <v>166</v>
      </c>
      <c r="C58" s="145"/>
      <c r="D58" s="145"/>
      <c r="E58" s="145"/>
      <c r="F58" s="145"/>
      <c r="G58" s="145"/>
      <c r="H58" s="145"/>
      <c r="I58" s="145"/>
      <c r="J58" s="145"/>
      <c r="K58" s="146"/>
      <c r="L58" s="166"/>
      <c r="M58" s="167"/>
      <c r="N58" s="167"/>
      <c r="O58" s="167"/>
      <c r="P58" s="168"/>
      <c r="Q58" s="166"/>
      <c r="R58" s="167"/>
      <c r="S58" s="167"/>
      <c r="T58" s="167"/>
      <c r="U58" s="168"/>
      <c r="V58" s="166"/>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8"/>
    </row>
    <row r="59" spans="1:47" s="44" customFormat="1" ht="16.5" customHeight="1">
      <c r="A59" s="42"/>
      <c r="B59" s="201" t="s">
        <v>243</v>
      </c>
      <c r="C59" s="202"/>
      <c r="D59" s="202"/>
      <c r="E59" s="202"/>
      <c r="F59" s="202"/>
      <c r="G59" s="202"/>
      <c r="H59" s="202"/>
      <c r="I59" s="202"/>
      <c r="J59" s="202"/>
      <c r="K59" s="203"/>
      <c r="L59" s="166"/>
      <c r="M59" s="167"/>
      <c r="N59" s="167"/>
      <c r="O59" s="167"/>
      <c r="P59" s="168"/>
      <c r="Q59" s="166"/>
      <c r="R59" s="167"/>
      <c r="S59" s="167"/>
      <c r="T59" s="167"/>
      <c r="U59" s="168"/>
      <c r="V59" s="166"/>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8"/>
    </row>
    <row r="60" spans="1:47" s="44" customFormat="1" ht="16.5" customHeight="1">
      <c r="A60" s="42"/>
      <c r="B60" s="144" t="s">
        <v>6</v>
      </c>
      <c r="C60" s="145"/>
      <c r="D60" s="145"/>
      <c r="E60" s="145"/>
      <c r="F60" s="145"/>
      <c r="G60" s="145"/>
      <c r="H60" s="145"/>
      <c r="I60" s="145"/>
      <c r="J60" s="145"/>
      <c r="K60" s="146"/>
      <c r="L60" s="166"/>
      <c r="M60" s="167"/>
      <c r="N60" s="167"/>
      <c r="O60" s="167"/>
      <c r="P60" s="168"/>
      <c r="Q60" s="166"/>
      <c r="R60" s="167"/>
      <c r="S60" s="167"/>
      <c r="T60" s="167"/>
      <c r="U60" s="168"/>
      <c r="V60" s="166"/>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8"/>
    </row>
    <row r="61" spans="1:47" s="44" customFormat="1" ht="16.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7"/>
      <c r="Z61" s="47"/>
      <c r="AA61" s="47"/>
      <c r="AB61" s="47"/>
      <c r="AC61" s="47"/>
      <c r="AD61" s="47"/>
      <c r="AE61" s="47"/>
      <c r="AF61" s="47"/>
      <c r="AG61" s="47"/>
      <c r="AH61" s="47"/>
      <c r="AI61" s="47"/>
      <c r="AJ61" s="47"/>
      <c r="AK61" s="47"/>
      <c r="AL61" s="47"/>
      <c r="AM61" s="47"/>
      <c r="AN61" s="47"/>
      <c r="AO61" s="47"/>
      <c r="AP61" s="47"/>
      <c r="AQ61" s="47"/>
      <c r="AR61" s="47"/>
      <c r="AS61" s="47"/>
      <c r="AT61" s="47"/>
      <c r="AU61" s="47"/>
    </row>
    <row r="62" spans="1:47" s="48" customFormat="1" ht="16.5" customHeight="1">
      <c r="B62" s="49" t="s">
        <v>167</v>
      </c>
    </row>
    <row r="63" spans="1:47" s="44" customFormat="1" ht="16.5" customHeight="1">
      <c r="A63" s="42"/>
      <c r="B63" s="210" t="s">
        <v>32</v>
      </c>
      <c r="C63" s="210"/>
      <c r="D63" s="210"/>
      <c r="E63" s="210"/>
      <c r="F63" s="210"/>
      <c r="G63" s="210"/>
      <c r="H63" s="210"/>
      <c r="I63" s="210"/>
      <c r="J63" s="210"/>
      <c r="K63" s="210"/>
      <c r="L63" s="211"/>
      <c r="M63" s="211"/>
      <c r="N63" s="211"/>
      <c r="O63" s="211"/>
      <c r="P63" s="211"/>
      <c r="Q63" s="211"/>
      <c r="R63" s="211"/>
      <c r="S63" s="211"/>
      <c r="T63" s="211"/>
      <c r="U63" s="211"/>
      <c r="V63" s="211"/>
      <c r="W63" s="211"/>
      <c r="X63" s="211"/>
      <c r="Y63" s="210" t="s">
        <v>33</v>
      </c>
      <c r="Z63" s="210"/>
      <c r="AA63" s="210"/>
      <c r="AB63" s="210"/>
      <c r="AC63" s="210"/>
      <c r="AD63" s="210"/>
      <c r="AE63" s="210"/>
      <c r="AF63" s="210"/>
      <c r="AG63" s="210"/>
      <c r="AH63" s="212"/>
      <c r="AI63" s="211"/>
      <c r="AJ63" s="211"/>
      <c r="AK63" s="211"/>
      <c r="AL63" s="211"/>
      <c r="AM63" s="211"/>
      <c r="AN63" s="211"/>
      <c r="AO63" s="211"/>
      <c r="AP63" s="211"/>
      <c r="AQ63" s="211"/>
      <c r="AR63" s="211"/>
      <c r="AS63" s="211"/>
      <c r="AT63" s="211"/>
      <c r="AU63" s="211"/>
    </row>
    <row r="64" spans="1:47" s="44" customFormat="1" ht="16.5" customHeight="1">
      <c r="A64" s="42"/>
      <c r="B64" s="204" t="s">
        <v>34</v>
      </c>
      <c r="C64" s="205"/>
      <c r="D64" s="205"/>
      <c r="E64" s="205"/>
      <c r="F64" s="205"/>
      <c r="G64" s="205"/>
      <c r="H64" s="205"/>
      <c r="I64" s="205"/>
      <c r="J64" s="205"/>
      <c r="K64" s="206"/>
      <c r="L64" s="213"/>
      <c r="M64" s="214"/>
      <c r="N64" s="214"/>
      <c r="O64" s="214"/>
      <c r="P64" s="214"/>
      <c r="Q64" s="214"/>
      <c r="R64" s="214"/>
      <c r="S64" s="214"/>
      <c r="T64" s="214"/>
      <c r="U64" s="214"/>
      <c r="V64" s="214"/>
      <c r="W64" s="214"/>
      <c r="X64" s="215"/>
      <c r="Y64" s="210" t="s">
        <v>197</v>
      </c>
      <c r="Z64" s="210"/>
      <c r="AA64" s="210"/>
      <c r="AB64" s="210"/>
      <c r="AC64" s="210"/>
      <c r="AD64" s="210"/>
      <c r="AE64" s="210"/>
      <c r="AF64" s="210"/>
      <c r="AG64" s="210"/>
      <c r="AH64" s="212"/>
      <c r="AI64" s="211"/>
      <c r="AJ64" s="211"/>
      <c r="AK64" s="211"/>
      <c r="AL64" s="211"/>
      <c r="AM64" s="211"/>
      <c r="AN64" s="211"/>
      <c r="AO64" s="211"/>
      <c r="AP64" s="211"/>
      <c r="AQ64" s="211"/>
      <c r="AR64" s="211"/>
      <c r="AS64" s="211"/>
      <c r="AT64" s="211"/>
      <c r="AU64" s="211"/>
    </row>
    <row r="65" spans="1:47" s="44" customFormat="1" ht="16.5" customHeight="1">
      <c r="A65" s="42"/>
      <c r="B65" s="212" t="s">
        <v>35</v>
      </c>
      <c r="C65" s="212"/>
      <c r="D65" s="212"/>
      <c r="E65" s="212"/>
      <c r="F65" s="212"/>
      <c r="G65" s="212"/>
      <c r="H65" s="212"/>
      <c r="I65" s="212"/>
      <c r="J65" s="212"/>
      <c r="K65" s="212"/>
      <c r="L65" s="216"/>
      <c r="M65" s="216"/>
      <c r="N65" s="216"/>
      <c r="O65" s="216"/>
      <c r="P65" s="216"/>
      <c r="Q65" s="216"/>
      <c r="R65" s="216"/>
      <c r="S65" s="216"/>
      <c r="T65" s="216"/>
      <c r="U65" s="216"/>
      <c r="V65" s="216"/>
      <c r="W65" s="216"/>
      <c r="X65" s="216"/>
      <c r="Y65" s="204" t="s">
        <v>223</v>
      </c>
      <c r="Z65" s="205"/>
      <c r="AA65" s="205"/>
      <c r="AB65" s="205"/>
      <c r="AC65" s="205"/>
      <c r="AD65" s="205"/>
      <c r="AE65" s="205"/>
      <c r="AF65" s="205"/>
      <c r="AG65" s="205"/>
      <c r="AH65" s="206"/>
      <c r="AI65" s="217">
        <f>(L63*4*4)+(AI63*4)+(L64*5)+(AI64*5)+(L65*7)</f>
        <v>0</v>
      </c>
      <c r="AJ65" s="218"/>
      <c r="AK65" s="218"/>
      <c r="AL65" s="218"/>
      <c r="AM65" s="218"/>
      <c r="AN65" s="218"/>
      <c r="AO65" s="218"/>
      <c r="AP65" s="218"/>
      <c r="AQ65" s="218"/>
      <c r="AR65" s="218"/>
      <c r="AS65" s="218"/>
      <c r="AT65" s="218"/>
      <c r="AU65" s="219"/>
    </row>
    <row r="66" spans="1:47" s="44" customFormat="1" ht="16.5" customHeight="1">
      <c r="A66" s="42"/>
      <c r="B66" s="204" t="s">
        <v>6</v>
      </c>
      <c r="C66" s="205"/>
      <c r="D66" s="205"/>
      <c r="E66" s="205"/>
      <c r="F66" s="205"/>
      <c r="G66" s="205"/>
      <c r="H66" s="205"/>
      <c r="I66" s="205"/>
      <c r="J66" s="205"/>
      <c r="K66" s="206"/>
      <c r="L66" s="207"/>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9"/>
    </row>
    <row r="67" spans="1:47" s="44" customFormat="1" ht="16.5" customHeight="1">
      <c r="Y67" s="50"/>
      <c r="Z67" s="50"/>
      <c r="AA67" s="50"/>
      <c r="AB67" s="50"/>
      <c r="AC67" s="50"/>
      <c r="AD67" s="50"/>
      <c r="AE67" s="50"/>
      <c r="AF67" s="50"/>
      <c r="AG67" s="50"/>
      <c r="AH67" s="50"/>
      <c r="AI67" s="51"/>
      <c r="AJ67" s="51"/>
      <c r="AK67" s="51"/>
      <c r="AL67" s="51"/>
      <c r="AM67" s="51"/>
      <c r="AN67" s="51"/>
      <c r="AO67" s="51"/>
      <c r="AP67" s="51"/>
      <c r="AQ67" s="51"/>
      <c r="AR67" s="51"/>
      <c r="AS67" s="51"/>
      <c r="AT67" s="51"/>
      <c r="AU67" s="51"/>
    </row>
    <row r="68" spans="1:47" s="48" customFormat="1" ht="16.5" customHeight="1">
      <c r="B68" s="49" t="s">
        <v>168</v>
      </c>
    </row>
    <row r="69" spans="1:47" s="56" customFormat="1" ht="16.5" customHeight="1">
      <c r="A69" s="52"/>
      <c r="B69" s="53"/>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5"/>
    </row>
    <row r="70" spans="1:47" s="56" customFormat="1" ht="16.5" customHeight="1">
      <c r="A70" s="52"/>
      <c r="B70" s="57"/>
      <c r="AU70" s="58"/>
    </row>
    <row r="71" spans="1:47" s="56" customFormat="1" ht="16.5" customHeight="1">
      <c r="A71" s="52"/>
      <c r="B71" s="57"/>
      <c r="AU71" s="58"/>
    </row>
    <row r="72" spans="1:47" s="56" customFormat="1" ht="16.5" customHeight="1">
      <c r="A72" s="52"/>
      <c r="B72" s="57"/>
      <c r="AU72" s="58"/>
    </row>
    <row r="73" spans="1:47" s="56" customFormat="1" ht="16.5" customHeight="1">
      <c r="A73" s="52"/>
      <c r="B73" s="57"/>
      <c r="AU73" s="58"/>
    </row>
    <row r="74" spans="1:47" s="56" customFormat="1" ht="16.5" customHeight="1">
      <c r="A74" s="52"/>
      <c r="B74" s="57"/>
      <c r="AU74" s="58"/>
    </row>
    <row r="75" spans="1:47" s="56" customFormat="1" ht="16.5" customHeight="1">
      <c r="A75" s="52"/>
      <c r="B75" s="57"/>
      <c r="AU75" s="58"/>
    </row>
    <row r="76" spans="1:47" s="56" customFormat="1" ht="16.5" customHeight="1">
      <c r="A76" s="52"/>
      <c r="B76" s="57"/>
      <c r="AU76" s="58"/>
    </row>
    <row r="77" spans="1:47" s="56" customFormat="1" ht="16.5" customHeight="1">
      <c r="A77" s="52"/>
      <c r="B77" s="57"/>
      <c r="AU77" s="58"/>
    </row>
    <row r="78" spans="1:47" s="56" customFormat="1" ht="16.5" customHeight="1">
      <c r="A78" s="52"/>
      <c r="B78" s="57"/>
      <c r="AU78" s="58"/>
    </row>
    <row r="79" spans="1:47" s="56" customFormat="1" ht="16.5" customHeight="1">
      <c r="A79" s="52"/>
      <c r="B79" s="57"/>
      <c r="AU79" s="58"/>
    </row>
    <row r="80" spans="1:47" s="56" customFormat="1" ht="16.5" customHeight="1">
      <c r="A80" s="52"/>
      <c r="B80" s="57"/>
      <c r="AU80" s="58"/>
    </row>
    <row r="81" spans="1:47" s="56" customFormat="1" ht="16.5" customHeight="1">
      <c r="A81" s="52"/>
      <c r="B81" s="57"/>
      <c r="AU81" s="58"/>
    </row>
    <row r="82" spans="1:47" s="56" customFormat="1" ht="16.5" customHeight="1">
      <c r="A82" s="52"/>
      <c r="B82" s="57"/>
      <c r="AU82" s="58"/>
    </row>
    <row r="83" spans="1:47" s="56" customFormat="1" ht="16.5" customHeight="1">
      <c r="A83" s="52"/>
      <c r="B83" s="57"/>
      <c r="AU83" s="58"/>
    </row>
    <row r="84" spans="1:47" s="56" customFormat="1" ht="16.5" customHeight="1">
      <c r="A84" s="52"/>
      <c r="B84" s="57"/>
      <c r="AU84" s="58"/>
    </row>
    <row r="85" spans="1:47" s="56" customFormat="1" ht="16.5" customHeight="1">
      <c r="A85" s="52"/>
      <c r="B85" s="57"/>
      <c r="AU85" s="58"/>
    </row>
    <row r="86" spans="1:47" s="56" customFormat="1" ht="16.5" customHeight="1">
      <c r="A86" s="52"/>
      <c r="B86" s="57"/>
      <c r="AU86" s="58"/>
    </row>
    <row r="87" spans="1:47" s="56" customFormat="1" ht="16.5" customHeight="1">
      <c r="A87" s="52"/>
      <c r="B87" s="57"/>
      <c r="AU87" s="58"/>
    </row>
    <row r="88" spans="1:47" s="56" customFormat="1" ht="16.5" customHeight="1">
      <c r="A88" s="52"/>
      <c r="B88" s="57"/>
      <c r="AU88" s="58"/>
    </row>
    <row r="89" spans="1:47" s="56" customFormat="1" ht="16.5" customHeight="1">
      <c r="A89" s="52"/>
      <c r="B89" s="57"/>
      <c r="AU89" s="58"/>
    </row>
    <row r="90" spans="1:47" s="56" customFormat="1" ht="16.5" customHeight="1">
      <c r="A90" s="52"/>
      <c r="B90" s="57"/>
      <c r="AU90" s="58"/>
    </row>
    <row r="91" spans="1:47" s="56" customFormat="1" ht="16.5" customHeight="1">
      <c r="A91" s="52"/>
      <c r="B91" s="57"/>
      <c r="AU91" s="58"/>
    </row>
    <row r="92" spans="1:47" s="56" customFormat="1" ht="16.5" customHeight="1">
      <c r="A92" s="52"/>
      <c r="B92" s="57"/>
      <c r="AU92" s="58"/>
    </row>
    <row r="93" spans="1:47" s="56" customFormat="1" ht="16.5" customHeight="1">
      <c r="A93" s="52"/>
      <c r="B93" s="57"/>
      <c r="AU93" s="58"/>
    </row>
    <row r="94" spans="1:47" s="56" customFormat="1" ht="16.5" customHeight="1">
      <c r="A94" s="52"/>
      <c r="B94" s="57"/>
      <c r="AU94" s="58"/>
    </row>
    <row r="95" spans="1:47" s="56" customFormat="1" ht="16.5" customHeight="1">
      <c r="A95" s="52"/>
      <c r="B95" s="57"/>
      <c r="AU95" s="58"/>
    </row>
    <row r="96" spans="1:47" s="56" customFormat="1" ht="16.5" customHeight="1">
      <c r="A96" s="52"/>
      <c r="B96" s="57"/>
      <c r="AU96" s="58"/>
    </row>
    <row r="97" spans="1:47" s="56" customFormat="1" ht="16.5" customHeight="1">
      <c r="A97" s="52"/>
      <c r="B97" s="57"/>
      <c r="AU97" s="58"/>
    </row>
    <row r="98" spans="1:47" s="56" customFormat="1" ht="16.5" customHeight="1">
      <c r="A98" s="52"/>
      <c r="B98" s="59"/>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1"/>
    </row>
    <row r="99" spans="1:47" s="56" customFormat="1" ht="16.5" customHeight="1">
      <c r="A99" s="52"/>
    </row>
    <row r="100" spans="1:47" ht="16.5" customHeight="1">
      <c r="B100" s="62" t="s">
        <v>246</v>
      </c>
    </row>
    <row r="101" spans="1:47" ht="16.5" customHeight="1">
      <c r="B101" s="147" t="s">
        <v>227</v>
      </c>
      <c r="C101" s="148"/>
      <c r="D101" s="148"/>
      <c r="E101" s="148"/>
      <c r="F101" s="148"/>
      <c r="G101" s="148"/>
      <c r="H101" s="148"/>
      <c r="I101" s="148"/>
      <c r="J101" s="148"/>
      <c r="K101" s="149"/>
      <c r="L101" s="126" t="s">
        <v>225</v>
      </c>
      <c r="M101" s="127"/>
      <c r="N101" s="127"/>
      <c r="O101" s="128"/>
      <c r="P101" s="126" t="s">
        <v>226</v>
      </c>
      <c r="Q101" s="127"/>
      <c r="R101" s="127"/>
      <c r="S101" s="128"/>
      <c r="T101" s="126" t="s">
        <v>236</v>
      </c>
      <c r="U101" s="127"/>
      <c r="V101" s="127"/>
      <c r="W101" s="128"/>
      <c r="X101" s="126" t="s">
        <v>237</v>
      </c>
      <c r="Y101" s="127"/>
      <c r="Z101" s="127"/>
      <c r="AA101" s="128"/>
      <c r="AB101" s="126" t="s">
        <v>238</v>
      </c>
      <c r="AC101" s="127"/>
      <c r="AD101" s="127"/>
      <c r="AE101" s="128"/>
      <c r="AF101" s="126" t="s">
        <v>240</v>
      </c>
      <c r="AG101" s="127"/>
      <c r="AH101" s="127"/>
      <c r="AI101" s="128"/>
      <c r="AJ101" s="126" t="s">
        <v>239</v>
      </c>
      <c r="AK101" s="127"/>
      <c r="AL101" s="127"/>
      <c r="AM101" s="128"/>
      <c r="AN101" s="126" t="s">
        <v>241</v>
      </c>
      <c r="AO101" s="127"/>
      <c r="AP101" s="127"/>
      <c r="AQ101" s="128"/>
      <c r="AR101" s="126" t="s">
        <v>242</v>
      </c>
      <c r="AS101" s="127"/>
      <c r="AT101" s="127"/>
      <c r="AU101" s="128"/>
    </row>
    <row r="102" spans="1:47" ht="16.5" customHeight="1">
      <c r="B102" s="144" t="s">
        <v>245</v>
      </c>
      <c r="C102" s="145"/>
      <c r="D102" s="145"/>
      <c r="E102" s="145"/>
      <c r="F102" s="145"/>
      <c r="G102" s="145"/>
      <c r="H102" s="145"/>
      <c r="I102" s="145"/>
      <c r="J102" s="145"/>
      <c r="K102" s="146"/>
      <c r="L102" s="135"/>
      <c r="M102" s="136"/>
      <c r="N102" s="136"/>
      <c r="O102" s="137"/>
      <c r="P102" s="135"/>
      <c r="Q102" s="136"/>
      <c r="R102" s="136"/>
      <c r="S102" s="137"/>
      <c r="T102" s="141" t="str">
        <f t="shared" ref="T102" si="0">IF(OR(L102="",P102=""),"",(P102-L102)/30)</f>
        <v/>
      </c>
      <c r="U102" s="142"/>
      <c r="V102" s="142"/>
      <c r="W102" s="143"/>
      <c r="X102" s="138"/>
      <c r="Y102" s="139"/>
      <c r="Z102" s="139"/>
      <c r="AA102" s="140"/>
      <c r="AB102" s="132"/>
      <c r="AC102" s="133"/>
      <c r="AD102" s="133"/>
      <c r="AE102" s="134"/>
      <c r="AF102" s="114" t="str">
        <f>IF(X102="","",AB102/X102)</f>
        <v/>
      </c>
      <c r="AG102" s="115"/>
      <c r="AH102" s="115"/>
      <c r="AI102" s="116"/>
      <c r="AJ102" s="132"/>
      <c r="AK102" s="133"/>
      <c r="AL102" s="133"/>
      <c r="AM102" s="134"/>
      <c r="AN102" s="114" t="str">
        <f>IF(AB102="","",AB102-AJ102)</f>
        <v/>
      </c>
      <c r="AO102" s="115"/>
      <c r="AP102" s="115"/>
      <c r="AQ102" s="116"/>
      <c r="AR102" s="129" t="str">
        <f>IF(AB102="","",AN102/AB102)</f>
        <v/>
      </c>
      <c r="AS102" s="130"/>
      <c r="AT102" s="130"/>
      <c r="AU102" s="131"/>
    </row>
    <row r="103" spans="1:47" ht="16.5" customHeight="1">
      <c r="B103" s="144" t="s">
        <v>228</v>
      </c>
      <c r="C103" s="145"/>
      <c r="D103" s="145"/>
      <c r="E103" s="145"/>
      <c r="F103" s="145"/>
      <c r="G103" s="145"/>
      <c r="H103" s="145"/>
      <c r="I103" s="145"/>
      <c r="J103" s="145"/>
      <c r="K103" s="146"/>
      <c r="L103" s="135"/>
      <c r="M103" s="136"/>
      <c r="N103" s="136"/>
      <c r="O103" s="137"/>
      <c r="P103" s="135"/>
      <c r="Q103" s="136"/>
      <c r="R103" s="136"/>
      <c r="S103" s="137"/>
      <c r="T103" s="141" t="str">
        <f t="shared" ref="T103:T109" si="1">IF(OR(L103="",P103=""),"",(P103-L103)/30)</f>
        <v/>
      </c>
      <c r="U103" s="142"/>
      <c r="V103" s="142"/>
      <c r="W103" s="143"/>
      <c r="X103" s="138"/>
      <c r="Y103" s="139"/>
      <c r="Z103" s="139"/>
      <c r="AA103" s="140"/>
      <c r="AB103" s="132"/>
      <c r="AC103" s="133"/>
      <c r="AD103" s="133"/>
      <c r="AE103" s="134"/>
      <c r="AF103" s="114" t="str">
        <f>IF(X103="","",AB103/X103)</f>
        <v/>
      </c>
      <c r="AG103" s="115"/>
      <c r="AH103" s="115"/>
      <c r="AI103" s="116"/>
      <c r="AJ103" s="132"/>
      <c r="AK103" s="133"/>
      <c r="AL103" s="133"/>
      <c r="AM103" s="134"/>
      <c r="AN103" s="114" t="str">
        <f t="shared" ref="AN103:AN110" si="2">IF(AB103="","",AB103-AJ103)</f>
        <v/>
      </c>
      <c r="AO103" s="115"/>
      <c r="AP103" s="115"/>
      <c r="AQ103" s="116"/>
      <c r="AR103" s="129" t="str">
        <f t="shared" ref="AR103:AR110" si="3">IF(AB103="","",AN103/AB103)</f>
        <v/>
      </c>
      <c r="AS103" s="130"/>
      <c r="AT103" s="130"/>
      <c r="AU103" s="131"/>
    </row>
    <row r="104" spans="1:47" ht="16.5" customHeight="1">
      <c r="B104" s="144" t="s">
        <v>229</v>
      </c>
      <c r="C104" s="145"/>
      <c r="D104" s="145"/>
      <c r="E104" s="145"/>
      <c r="F104" s="145"/>
      <c r="G104" s="145"/>
      <c r="H104" s="145"/>
      <c r="I104" s="145"/>
      <c r="J104" s="145"/>
      <c r="K104" s="146"/>
      <c r="L104" s="135"/>
      <c r="M104" s="136"/>
      <c r="N104" s="136"/>
      <c r="O104" s="137"/>
      <c r="P104" s="135"/>
      <c r="Q104" s="136"/>
      <c r="R104" s="136"/>
      <c r="S104" s="137"/>
      <c r="T104" s="141" t="str">
        <f t="shared" si="1"/>
        <v/>
      </c>
      <c r="U104" s="142"/>
      <c r="V104" s="142"/>
      <c r="W104" s="143"/>
      <c r="X104" s="138"/>
      <c r="Y104" s="139"/>
      <c r="Z104" s="139"/>
      <c r="AA104" s="140"/>
      <c r="AB104" s="132"/>
      <c r="AC104" s="133"/>
      <c r="AD104" s="133"/>
      <c r="AE104" s="134"/>
      <c r="AF104" s="114" t="str">
        <f t="shared" ref="AF104:AF109" si="4">IF(X104="","",AB104/X104)</f>
        <v/>
      </c>
      <c r="AG104" s="115"/>
      <c r="AH104" s="115"/>
      <c r="AI104" s="116"/>
      <c r="AJ104" s="132"/>
      <c r="AK104" s="133"/>
      <c r="AL104" s="133"/>
      <c r="AM104" s="134"/>
      <c r="AN104" s="114" t="str">
        <f t="shared" si="2"/>
        <v/>
      </c>
      <c r="AO104" s="115"/>
      <c r="AP104" s="115"/>
      <c r="AQ104" s="116"/>
      <c r="AR104" s="129" t="str">
        <f t="shared" si="3"/>
        <v/>
      </c>
      <c r="AS104" s="130"/>
      <c r="AT104" s="130"/>
      <c r="AU104" s="131"/>
    </row>
    <row r="105" spans="1:47" ht="16.5" customHeight="1">
      <c r="B105" s="144" t="s">
        <v>230</v>
      </c>
      <c r="C105" s="145"/>
      <c r="D105" s="145"/>
      <c r="E105" s="145"/>
      <c r="F105" s="145"/>
      <c r="G105" s="145"/>
      <c r="H105" s="145"/>
      <c r="I105" s="145"/>
      <c r="J105" s="145"/>
      <c r="K105" s="146"/>
      <c r="L105" s="135"/>
      <c r="M105" s="136"/>
      <c r="N105" s="136"/>
      <c r="O105" s="137"/>
      <c r="P105" s="135"/>
      <c r="Q105" s="136"/>
      <c r="R105" s="136"/>
      <c r="S105" s="137"/>
      <c r="T105" s="141" t="str">
        <f t="shared" si="1"/>
        <v/>
      </c>
      <c r="U105" s="142"/>
      <c r="V105" s="142"/>
      <c r="W105" s="143"/>
      <c r="X105" s="138"/>
      <c r="Y105" s="139"/>
      <c r="Z105" s="139"/>
      <c r="AA105" s="140"/>
      <c r="AB105" s="132"/>
      <c r="AC105" s="133"/>
      <c r="AD105" s="133"/>
      <c r="AE105" s="134"/>
      <c r="AF105" s="114" t="str">
        <f t="shared" si="4"/>
        <v/>
      </c>
      <c r="AG105" s="115"/>
      <c r="AH105" s="115"/>
      <c r="AI105" s="116"/>
      <c r="AJ105" s="132"/>
      <c r="AK105" s="133"/>
      <c r="AL105" s="133"/>
      <c r="AM105" s="134"/>
      <c r="AN105" s="114" t="str">
        <f t="shared" si="2"/>
        <v/>
      </c>
      <c r="AO105" s="115"/>
      <c r="AP105" s="115"/>
      <c r="AQ105" s="116"/>
      <c r="AR105" s="129" t="str">
        <f t="shared" si="3"/>
        <v/>
      </c>
      <c r="AS105" s="130"/>
      <c r="AT105" s="130"/>
      <c r="AU105" s="131"/>
    </row>
    <row r="106" spans="1:47" ht="16.5" customHeight="1">
      <c r="B106" s="144" t="s">
        <v>231</v>
      </c>
      <c r="C106" s="145"/>
      <c r="D106" s="145"/>
      <c r="E106" s="145"/>
      <c r="F106" s="145"/>
      <c r="G106" s="145"/>
      <c r="H106" s="145"/>
      <c r="I106" s="145"/>
      <c r="J106" s="145"/>
      <c r="K106" s="146"/>
      <c r="L106" s="135"/>
      <c r="M106" s="136"/>
      <c r="N106" s="136"/>
      <c r="O106" s="137"/>
      <c r="P106" s="135"/>
      <c r="Q106" s="136"/>
      <c r="R106" s="136"/>
      <c r="S106" s="137"/>
      <c r="T106" s="141" t="str">
        <f t="shared" si="1"/>
        <v/>
      </c>
      <c r="U106" s="142"/>
      <c r="V106" s="142"/>
      <c r="W106" s="143"/>
      <c r="X106" s="138"/>
      <c r="Y106" s="139"/>
      <c r="Z106" s="139"/>
      <c r="AA106" s="140"/>
      <c r="AB106" s="132"/>
      <c r="AC106" s="133"/>
      <c r="AD106" s="133"/>
      <c r="AE106" s="134"/>
      <c r="AF106" s="114" t="str">
        <f t="shared" si="4"/>
        <v/>
      </c>
      <c r="AG106" s="115"/>
      <c r="AH106" s="115"/>
      <c r="AI106" s="116"/>
      <c r="AJ106" s="132"/>
      <c r="AK106" s="133"/>
      <c r="AL106" s="133"/>
      <c r="AM106" s="134"/>
      <c r="AN106" s="114" t="str">
        <f t="shared" si="2"/>
        <v/>
      </c>
      <c r="AO106" s="115"/>
      <c r="AP106" s="115"/>
      <c r="AQ106" s="116"/>
      <c r="AR106" s="129" t="str">
        <f t="shared" si="3"/>
        <v/>
      </c>
      <c r="AS106" s="130"/>
      <c r="AT106" s="130"/>
      <c r="AU106" s="131"/>
    </row>
    <row r="107" spans="1:47" ht="16.5" customHeight="1">
      <c r="B107" s="144" t="s">
        <v>232</v>
      </c>
      <c r="C107" s="145"/>
      <c r="D107" s="145"/>
      <c r="E107" s="145"/>
      <c r="F107" s="145"/>
      <c r="G107" s="145"/>
      <c r="H107" s="145"/>
      <c r="I107" s="145"/>
      <c r="J107" s="145"/>
      <c r="K107" s="146"/>
      <c r="L107" s="135"/>
      <c r="M107" s="136"/>
      <c r="N107" s="136"/>
      <c r="O107" s="137"/>
      <c r="P107" s="135"/>
      <c r="Q107" s="136"/>
      <c r="R107" s="136"/>
      <c r="S107" s="137"/>
      <c r="T107" s="141" t="str">
        <f t="shared" si="1"/>
        <v/>
      </c>
      <c r="U107" s="142"/>
      <c r="V107" s="142"/>
      <c r="W107" s="143"/>
      <c r="X107" s="138"/>
      <c r="Y107" s="139"/>
      <c r="Z107" s="139"/>
      <c r="AA107" s="140"/>
      <c r="AB107" s="132"/>
      <c r="AC107" s="133"/>
      <c r="AD107" s="133"/>
      <c r="AE107" s="134"/>
      <c r="AF107" s="114" t="str">
        <f t="shared" si="4"/>
        <v/>
      </c>
      <c r="AG107" s="115"/>
      <c r="AH107" s="115"/>
      <c r="AI107" s="116"/>
      <c r="AJ107" s="132"/>
      <c r="AK107" s="133"/>
      <c r="AL107" s="133"/>
      <c r="AM107" s="134"/>
      <c r="AN107" s="114" t="str">
        <f t="shared" si="2"/>
        <v/>
      </c>
      <c r="AO107" s="115"/>
      <c r="AP107" s="115"/>
      <c r="AQ107" s="116"/>
      <c r="AR107" s="129" t="str">
        <f t="shared" si="3"/>
        <v/>
      </c>
      <c r="AS107" s="130"/>
      <c r="AT107" s="130"/>
      <c r="AU107" s="131"/>
    </row>
    <row r="108" spans="1:47" ht="16.5" customHeight="1">
      <c r="B108" s="144" t="s">
        <v>233</v>
      </c>
      <c r="C108" s="145"/>
      <c r="D108" s="145"/>
      <c r="E108" s="145"/>
      <c r="F108" s="145"/>
      <c r="G108" s="145"/>
      <c r="H108" s="145"/>
      <c r="I108" s="145"/>
      <c r="J108" s="145"/>
      <c r="K108" s="146"/>
      <c r="L108" s="135"/>
      <c r="M108" s="136"/>
      <c r="N108" s="136"/>
      <c r="O108" s="137"/>
      <c r="P108" s="135"/>
      <c r="Q108" s="136"/>
      <c r="R108" s="136"/>
      <c r="S108" s="137"/>
      <c r="T108" s="141" t="str">
        <f t="shared" si="1"/>
        <v/>
      </c>
      <c r="U108" s="142"/>
      <c r="V108" s="142"/>
      <c r="W108" s="143"/>
      <c r="X108" s="138"/>
      <c r="Y108" s="139"/>
      <c r="Z108" s="139"/>
      <c r="AA108" s="140"/>
      <c r="AB108" s="132"/>
      <c r="AC108" s="133"/>
      <c r="AD108" s="133"/>
      <c r="AE108" s="134"/>
      <c r="AF108" s="114" t="str">
        <f t="shared" si="4"/>
        <v/>
      </c>
      <c r="AG108" s="115"/>
      <c r="AH108" s="115"/>
      <c r="AI108" s="116"/>
      <c r="AJ108" s="132"/>
      <c r="AK108" s="133"/>
      <c r="AL108" s="133"/>
      <c r="AM108" s="134"/>
      <c r="AN108" s="114" t="str">
        <f t="shared" si="2"/>
        <v/>
      </c>
      <c r="AO108" s="115"/>
      <c r="AP108" s="115"/>
      <c r="AQ108" s="116"/>
      <c r="AR108" s="129" t="str">
        <f t="shared" si="3"/>
        <v/>
      </c>
      <c r="AS108" s="130"/>
      <c r="AT108" s="130"/>
      <c r="AU108" s="131"/>
    </row>
    <row r="109" spans="1:47" ht="16.5" customHeight="1">
      <c r="B109" s="144" t="s">
        <v>234</v>
      </c>
      <c r="C109" s="145"/>
      <c r="D109" s="145"/>
      <c r="E109" s="145"/>
      <c r="F109" s="145"/>
      <c r="G109" s="145"/>
      <c r="H109" s="145"/>
      <c r="I109" s="145"/>
      <c r="J109" s="145"/>
      <c r="K109" s="146"/>
      <c r="L109" s="135"/>
      <c r="M109" s="136"/>
      <c r="N109" s="136"/>
      <c r="O109" s="137"/>
      <c r="P109" s="135"/>
      <c r="Q109" s="136"/>
      <c r="R109" s="136"/>
      <c r="S109" s="137"/>
      <c r="T109" s="141" t="str">
        <f t="shared" si="1"/>
        <v/>
      </c>
      <c r="U109" s="142"/>
      <c r="V109" s="142"/>
      <c r="W109" s="143"/>
      <c r="X109" s="138"/>
      <c r="Y109" s="139"/>
      <c r="Z109" s="139"/>
      <c r="AA109" s="140"/>
      <c r="AB109" s="132"/>
      <c r="AC109" s="133"/>
      <c r="AD109" s="133"/>
      <c r="AE109" s="134"/>
      <c r="AF109" s="114" t="str">
        <f t="shared" si="4"/>
        <v/>
      </c>
      <c r="AG109" s="115"/>
      <c r="AH109" s="115"/>
      <c r="AI109" s="116"/>
      <c r="AJ109" s="132"/>
      <c r="AK109" s="133"/>
      <c r="AL109" s="133"/>
      <c r="AM109" s="134"/>
      <c r="AN109" s="114" t="str">
        <f t="shared" si="2"/>
        <v/>
      </c>
      <c r="AO109" s="115"/>
      <c r="AP109" s="115"/>
      <c r="AQ109" s="116"/>
      <c r="AR109" s="129" t="str">
        <f t="shared" si="3"/>
        <v/>
      </c>
      <c r="AS109" s="130"/>
      <c r="AT109" s="130"/>
      <c r="AU109" s="131"/>
    </row>
    <row r="110" spans="1:47" ht="16.5" customHeight="1" thickBot="1">
      <c r="B110" s="227" t="s">
        <v>235</v>
      </c>
      <c r="C110" s="228"/>
      <c r="D110" s="228"/>
      <c r="E110" s="228"/>
      <c r="F110" s="228"/>
      <c r="G110" s="228"/>
      <c r="H110" s="228"/>
      <c r="I110" s="228"/>
      <c r="J110" s="228"/>
      <c r="K110" s="229"/>
      <c r="L110" s="230"/>
      <c r="M110" s="231"/>
      <c r="N110" s="231"/>
      <c r="O110" s="232"/>
      <c r="P110" s="230"/>
      <c r="Q110" s="231"/>
      <c r="R110" s="231"/>
      <c r="S110" s="232"/>
      <c r="T110" s="233" t="str">
        <f t="shared" ref="T110" si="5">IF(OR(L110="",P110=""),"",(P110-L110)/30)</f>
        <v/>
      </c>
      <c r="U110" s="234"/>
      <c r="V110" s="234"/>
      <c r="W110" s="235"/>
      <c r="X110" s="236"/>
      <c r="Y110" s="237"/>
      <c r="Z110" s="237"/>
      <c r="AA110" s="238"/>
      <c r="AB110" s="239"/>
      <c r="AC110" s="240"/>
      <c r="AD110" s="240"/>
      <c r="AE110" s="241"/>
      <c r="AF110" s="242" t="str">
        <f t="shared" ref="AF110" si="6">IF(X110="","",AB110/X110)</f>
        <v/>
      </c>
      <c r="AG110" s="243"/>
      <c r="AH110" s="243"/>
      <c r="AI110" s="244"/>
      <c r="AJ110" s="239"/>
      <c r="AK110" s="240"/>
      <c r="AL110" s="240"/>
      <c r="AM110" s="241"/>
      <c r="AN110" s="242" t="str">
        <f t="shared" si="2"/>
        <v/>
      </c>
      <c r="AO110" s="243"/>
      <c r="AP110" s="243"/>
      <c r="AQ110" s="244"/>
      <c r="AR110" s="224" t="str">
        <f t="shared" si="3"/>
        <v/>
      </c>
      <c r="AS110" s="225"/>
      <c r="AT110" s="225"/>
      <c r="AU110" s="226"/>
    </row>
    <row r="111" spans="1:47" ht="16.5" customHeight="1" thickTop="1">
      <c r="B111" s="117" t="s">
        <v>244</v>
      </c>
      <c r="C111" s="118"/>
      <c r="D111" s="118"/>
      <c r="E111" s="118"/>
      <c r="F111" s="118"/>
      <c r="G111" s="118"/>
      <c r="H111" s="118"/>
      <c r="I111" s="118"/>
      <c r="J111" s="118"/>
      <c r="K111" s="119"/>
      <c r="L111" s="120" t="str">
        <f>IF(COUNTA(L102:O110)&gt;0,MIN(L102:O110),"")</f>
        <v/>
      </c>
      <c r="M111" s="121"/>
      <c r="N111" s="121"/>
      <c r="O111" s="122"/>
      <c r="P111" s="120" t="str">
        <f>IF(COUNTA(P102:S110)&gt;0,MAX(P102:S110),"")</f>
        <v/>
      </c>
      <c r="Q111" s="121"/>
      <c r="R111" s="121"/>
      <c r="S111" s="122"/>
      <c r="T111" s="123" t="str">
        <f>IF(OR(L111="",P111=""),"",(P111-L111)/30)</f>
        <v/>
      </c>
      <c r="U111" s="124"/>
      <c r="V111" s="124"/>
      <c r="W111" s="125"/>
      <c r="X111" s="123" t="str">
        <f>IF(COUNTA(X102:AA110)&gt;0,SUM(X102:AA110),"")</f>
        <v/>
      </c>
      <c r="Y111" s="124"/>
      <c r="Z111" s="124"/>
      <c r="AA111" s="125"/>
      <c r="AB111" s="108" t="str">
        <f>IF(COUNTA(AB102:AE110)&gt;0,SUM(AB102:AE110),"")</f>
        <v/>
      </c>
      <c r="AC111" s="109"/>
      <c r="AD111" s="109"/>
      <c r="AE111" s="110"/>
      <c r="AF111" s="108" t="str">
        <f>IF(X111="","",AB111/X111)</f>
        <v/>
      </c>
      <c r="AG111" s="109"/>
      <c r="AH111" s="109"/>
      <c r="AI111" s="110"/>
      <c r="AJ111" s="108" t="str">
        <f>IF(COUNTA(AJ102:AM110)&gt;0,SUM(AJ102:AM110),"")</f>
        <v/>
      </c>
      <c r="AK111" s="109"/>
      <c r="AL111" s="109"/>
      <c r="AM111" s="110"/>
      <c r="AN111" s="108" t="str">
        <f t="shared" ref="AN111" si="7">IF(AB111="","",AB111-AJ111)</f>
        <v/>
      </c>
      <c r="AO111" s="109"/>
      <c r="AP111" s="109"/>
      <c r="AQ111" s="110"/>
      <c r="AR111" s="111" t="str">
        <f t="shared" ref="AR111" si="8">IF(AB111="","",AN111/AB111)</f>
        <v/>
      </c>
      <c r="AS111" s="112"/>
      <c r="AT111" s="112"/>
      <c r="AU111" s="113"/>
    </row>
    <row r="112" spans="1:47" s="56" customFormat="1" ht="16.5" customHeight="1">
      <c r="A112" s="52"/>
    </row>
    <row r="113" spans="1:47" s="48" customFormat="1" ht="16.5" customHeight="1">
      <c r="A113" s="49"/>
      <c r="B113" s="62" t="s">
        <v>169</v>
      </c>
    </row>
    <row r="114" spans="1:47" s="56" customFormat="1" ht="16.5" customHeight="1">
      <c r="A114" s="52"/>
      <c r="B114" s="147" t="s">
        <v>170</v>
      </c>
      <c r="C114" s="148"/>
      <c r="D114" s="148"/>
      <c r="E114" s="148"/>
      <c r="F114" s="148"/>
      <c r="G114" s="148"/>
      <c r="H114" s="148"/>
      <c r="I114" s="148"/>
      <c r="J114" s="148"/>
      <c r="K114" s="149"/>
      <c r="L114" s="204" t="s">
        <v>171</v>
      </c>
      <c r="M114" s="205"/>
      <c r="N114" s="205"/>
      <c r="O114" s="205"/>
      <c r="P114" s="205"/>
      <c r="Q114" s="205"/>
      <c r="R114" s="206"/>
      <c r="S114" s="204" t="s">
        <v>172</v>
      </c>
      <c r="T114" s="205"/>
      <c r="U114" s="205"/>
      <c r="V114" s="205"/>
      <c r="W114" s="205"/>
      <c r="X114" s="205"/>
      <c r="Y114" s="206"/>
      <c r="Z114" s="204" t="s">
        <v>249</v>
      </c>
      <c r="AA114" s="205"/>
      <c r="AB114" s="205"/>
      <c r="AC114" s="205"/>
      <c r="AD114" s="205"/>
      <c r="AE114" s="205"/>
      <c r="AF114" s="205"/>
      <c r="AG114" s="205"/>
      <c r="AH114" s="205"/>
      <c r="AI114" s="205"/>
      <c r="AJ114" s="205"/>
      <c r="AK114" s="205"/>
      <c r="AL114" s="206"/>
      <c r="AM114" s="210" t="s">
        <v>173</v>
      </c>
      <c r="AN114" s="210"/>
      <c r="AO114" s="210"/>
      <c r="AP114" s="210"/>
      <c r="AQ114" s="210"/>
      <c r="AR114" s="210"/>
      <c r="AS114" s="210"/>
      <c r="AT114" s="210"/>
      <c r="AU114" s="210"/>
    </row>
    <row r="115" spans="1:47" s="56" customFormat="1" ht="16.5" customHeight="1">
      <c r="A115" s="52"/>
      <c r="B115" s="166"/>
      <c r="C115" s="167"/>
      <c r="D115" s="167"/>
      <c r="E115" s="167"/>
      <c r="F115" s="167"/>
      <c r="G115" s="167"/>
      <c r="H115" s="167"/>
      <c r="I115" s="167"/>
      <c r="J115" s="167"/>
      <c r="K115" s="168"/>
      <c r="L115" s="220"/>
      <c r="M115" s="221"/>
      <c r="N115" s="221"/>
      <c r="O115" s="221"/>
      <c r="P115" s="221"/>
      <c r="Q115" s="221"/>
      <c r="R115" s="222"/>
      <c r="S115" s="207"/>
      <c r="T115" s="208"/>
      <c r="U115" s="208"/>
      <c r="V115" s="208"/>
      <c r="W115" s="208"/>
      <c r="X115" s="208"/>
      <c r="Y115" s="209"/>
      <c r="Z115" s="207"/>
      <c r="AA115" s="208"/>
      <c r="AB115" s="208"/>
      <c r="AC115" s="208"/>
      <c r="AD115" s="208"/>
      <c r="AE115" s="208"/>
      <c r="AF115" s="208"/>
      <c r="AG115" s="208"/>
      <c r="AH115" s="208"/>
      <c r="AI115" s="208"/>
      <c r="AJ115" s="208"/>
      <c r="AK115" s="208"/>
      <c r="AL115" s="209"/>
      <c r="AM115" s="223"/>
      <c r="AN115" s="223"/>
      <c r="AO115" s="223"/>
      <c r="AP115" s="223"/>
      <c r="AQ115" s="223"/>
      <c r="AR115" s="223"/>
      <c r="AS115" s="223"/>
      <c r="AT115" s="223"/>
      <c r="AU115" s="223"/>
    </row>
    <row r="116" spans="1:47" s="56" customFormat="1" ht="16.5" customHeight="1">
      <c r="A116" s="52"/>
      <c r="B116" s="166"/>
      <c r="C116" s="167"/>
      <c r="D116" s="167"/>
      <c r="E116" s="167"/>
      <c r="F116" s="167"/>
      <c r="G116" s="167"/>
      <c r="H116" s="167"/>
      <c r="I116" s="167"/>
      <c r="J116" s="167"/>
      <c r="K116" s="168"/>
      <c r="L116" s="220"/>
      <c r="M116" s="221"/>
      <c r="N116" s="221"/>
      <c r="O116" s="221"/>
      <c r="P116" s="221"/>
      <c r="Q116" s="221"/>
      <c r="R116" s="222"/>
      <c r="S116" s="207"/>
      <c r="T116" s="208"/>
      <c r="U116" s="208"/>
      <c r="V116" s="208"/>
      <c r="W116" s="208"/>
      <c r="X116" s="208"/>
      <c r="Y116" s="209"/>
      <c r="Z116" s="207"/>
      <c r="AA116" s="208"/>
      <c r="AB116" s="208"/>
      <c r="AC116" s="208"/>
      <c r="AD116" s="208"/>
      <c r="AE116" s="208"/>
      <c r="AF116" s="208"/>
      <c r="AG116" s="208"/>
      <c r="AH116" s="208"/>
      <c r="AI116" s="208"/>
      <c r="AJ116" s="208"/>
      <c r="AK116" s="208"/>
      <c r="AL116" s="209"/>
      <c r="AM116" s="223"/>
      <c r="AN116" s="223"/>
      <c r="AO116" s="223"/>
      <c r="AP116" s="223"/>
      <c r="AQ116" s="223"/>
      <c r="AR116" s="223"/>
      <c r="AS116" s="223"/>
      <c r="AT116" s="223"/>
      <c r="AU116" s="223"/>
    </row>
    <row r="117" spans="1:47" s="56" customFormat="1" ht="16.5" customHeight="1">
      <c r="A117" s="52"/>
      <c r="B117" s="166"/>
      <c r="C117" s="167"/>
      <c r="D117" s="167"/>
      <c r="E117" s="167"/>
      <c r="F117" s="167"/>
      <c r="G117" s="167"/>
      <c r="H117" s="167"/>
      <c r="I117" s="167"/>
      <c r="J117" s="167"/>
      <c r="K117" s="168"/>
      <c r="L117" s="220"/>
      <c r="M117" s="221"/>
      <c r="N117" s="221"/>
      <c r="O117" s="221"/>
      <c r="P117" s="221"/>
      <c r="Q117" s="221"/>
      <c r="R117" s="222"/>
      <c r="S117" s="207"/>
      <c r="T117" s="208"/>
      <c r="U117" s="208"/>
      <c r="V117" s="208"/>
      <c r="W117" s="208"/>
      <c r="X117" s="208"/>
      <c r="Y117" s="209"/>
      <c r="Z117" s="207"/>
      <c r="AA117" s="208"/>
      <c r="AB117" s="208"/>
      <c r="AC117" s="208"/>
      <c r="AD117" s="208"/>
      <c r="AE117" s="208"/>
      <c r="AF117" s="208"/>
      <c r="AG117" s="208"/>
      <c r="AH117" s="208"/>
      <c r="AI117" s="208"/>
      <c r="AJ117" s="208"/>
      <c r="AK117" s="208"/>
      <c r="AL117" s="209"/>
      <c r="AM117" s="223"/>
      <c r="AN117" s="223"/>
      <c r="AO117" s="223"/>
      <c r="AP117" s="223"/>
      <c r="AQ117" s="223"/>
      <c r="AR117" s="223"/>
      <c r="AS117" s="223"/>
      <c r="AT117" s="223"/>
      <c r="AU117" s="223"/>
    </row>
    <row r="118" spans="1:47" s="56" customFormat="1" ht="16.5" customHeight="1">
      <c r="A118" s="52"/>
      <c r="B118" s="166"/>
      <c r="C118" s="167"/>
      <c r="D118" s="167"/>
      <c r="E118" s="167"/>
      <c r="F118" s="167"/>
      <c r="G118" s="167"/>
      <c r="H118" s="167"/>
      <c r="I118" s="167"/>
      <c r="J118" s="167"/>
      <c r="K118" s="168"/>
      <c r="L118" s="220"/>
      <c r="M118" s="221"/>
      <c r="N118" s="221"/>
      <c r="O118" s="221"/>
      <c r="P118" s="221"/>
      <c r="Q118" s="221"/>
      <c r="R118" s="222"/>
      <c r="S118" s="207"/>
      <c r="T118" s="208"/>
      <c r="U118" s="208"/>
      <c r="V118" s="208"/>
      <c r="W118" s="208"/>
      <c r="X118" s="208"/>
      <c r="Y118" s="209"/>
      <c r="Z118" s="207"/>
      <c r="AA118" s="208"/>
      <c r="AB118" s="208"/>
      <c r="AC118" s="208"/>
      <c r="AD118" s="208"/>
      <c r="AE118" s="208"/>
      <c r="AF118" s="208"/>
      <c r="AG118" s="208"/>
      <c r="AH118" s="208"/>
      <c r="AI118" s="208"/>
      <c r="AJ118" s="208"/>
      <c r="AK118" s="208"/>
      <c r="AL118" s="209"/>
      <c r="AM118" s="223"/>
      <c r="AN118" s="223"/>
      <c r="AO118" s="223"/>
      <c r="AP118" s="223"/>
      <c r="AQ118" s="223"/>
      <c r="AR118" s="223"/>
      <c r="AS118" s="223"/>
      <c r="AT118" s="223"/>
      <c r="AU118" s="223"/>
    </row>
    <row r="119" spans="1:47" s="56" customFormat="1" ht="16.5" customHeight="1">
      <c r="A119" s="52"/>
      <c r="L119" s="63"/>
      <c r="M119" s="63"/>
      <c r="N119" s="63"/>
      <c r="O119" s="63"/>
      <c r="P119" s="63"/>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row>
    <row r="120" spans="1:47" s="48" customFormat="1" ht="16.5" customHeight="1">
      <c r="A120" s="49"/>
      <c r="B120" s="62" t="s">
        <v>174</v>
      </c>
    </row>
    <row r="121" spans="1:47" s="56" customFormat="1" ht="16.5" customHeight="1">
      <c r="A121" s="52"/>
      <c r="B121" s="147" t="s">
        <v>175</v>
      </c>
      <c r="C121" s="148"/>
      <c r="D121" s="148"/>
      <c r="E121" s="148"/>
      <c r="F121" s="148"/>
      <c r="G121" s="148"/>
      <c r="H121" s="148"/>
      <c r="I121" s="148"/>
      <c r="J121" s="148"/>
      <c r="K121" s="149"/>
      <c r="L121" s="147" t="s">
        <v>176</v>
      </c>
      <c r="M121" s="148"/>
      <c r="N121" s="148"/>
      <c r="O121" s="148"/>
      <c r="P121" s="149"/>
      <c r="Q121" s="147" t="s">
        <v>177</v>
      </c>
      <c r="R121" s="148"/>
      <c r="S121" s="148"/>
      <c r="T121" s="148"/>
      <c r="U121" s="149"/>
      <c r="V121" s="147" t="s">
        <v>178</v>
      </c>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9"/>
    </row>
    <row r="122" spans="1:47" s="56" customFormat="1" ht="16.5" customHeight="1">
      <c r="A122" s="52"/>
      <c r="B122" s="166"/>
      <c r="C122" s="167"/>
      <c r="D122" s="167"/>
      <c r="E122" s="167"/>
      <c r="F122" s="167"/>
      <c r="G122" s="167"/>
      <c r="H122" s="167"/>
      <c r="I122" s="167"/>
      <c r="J122" s="167"/>
      <c r="K122" s="168"/>
      <c r="L122" s="245"/>
      <c r="M122" s="246"/>
      <c r="N122" s="246"/>
      <c r="O122" s="246"/>
      <c r="P122" s="247"/>
      <c r="Q122" s="166"/>
      <c r="R122" s="167"/>
      <c r="S122" s="167"/>
      <c r="T122" s="167"/>
      <c r="U122" s="168"/>
      <c r="V122" s="166"/>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8"/>
    </row>
    <row r="123" spans="1:47" s="56" customFormat="1" ht="16.5" customHeight="1">
      <c r="A123" s="52"/>
      <c r="B123" s="166"/>
      <c r="C123" s="167"/>
      <c r="D123" s="167"/>
      <c r="E123" s="167"/>
      <c r="F123" s="167"/>
      <c r="G123" s="167"/>
      <c r="H123" s="167"/>
      <c r="I123" s="167"/>
      <c r="J123" s="167"/>
      <c r="K123" s="168"/>
      <c r="L123" s="245"/>
      <c r="M123" s="246"/>
      <c r="N123" s="246"/>
      <c r="O123" s="246"/>
      <c r="P123" s="247"/>
      <c r="Q123" s="166"/>
      <c r="R123" s="167"/>
      <c r="S123" s="167"/>
      <c r="T123" s="167"/>
      <c r="U123" s="168"/>
      <c r="V123" s="166"/>
      <c r="W123" s="167"/>
      <c r="X123" s="167"/>
      <c r="Y123" s="167"/>
      <c r="Z123" s="167"/>
      <c r="AA123" s="167"/>
      <c r="AB123" s="167"/>
      <c r="AC123" s="167"/>
      <c r="AD123" s="167"/>
      <c r="AE123" s="167"/>
      <c r="AF123" s="167"/>
      <c r="AG123" s="167"/>
      <c r="AH123" s="167"/>
      <c r="AI123" s="167"/>
      <c r="AJ123" s="167"/>
      <c r="AK123" s="167"/>
      <c r="AL123" s="167"/>
      <c r="AM123" s="167"/>
      <c r="AN123" s="167"/>
      <c r="AO123" s="167"/>
      <c r="AP123" s="167"/>
      <c r="AQ123" s="167"/>
      <c r="AR123" s="167"/>
      <c r="AS123" s="167"/>
      <c r="AT123" s="167"/>
      <c r="AU123" s="168"/>
    </row>
    <row r="124" spans="1:47" s="56" customFormat="1" ht="16.5" customHeight="1">
      <c r="A124" s="52"/>
      <c r="B124" s="166"/>
      <c r="C124" s="167"/>
      <c r="D124" s="167"/>
      <c r="E124" s="167"/>
      <c r="F124" s="167"/>
      <c r="G124" s="167"/>
      <c r="H124" s="167"/>
      <c r="I124" s="167"/>
      <c r="J124" s="167"/>
      <c r="K124" s="168"/>
      <c r="L124" s="245"/>
      <c r="M124" s="246"/>
      <c r="N124" s="246"/>
      <c r="O124" s="246"/>
      <c r="P124" s="247"/>
      <c r="Q124" s="166"/>
      <c r="R124" s="167"/>
      <c r="S124" s="167"/>
      <c r="T124" s="167"/>
      <c r="U124" s="168"/>
      <c r="V124" s="166"/>
      <c r="W124" s="167"/>
      <c r="X124" s="167"/>
      <c r="Y124" s="167"/>
      <c r="Z124" s="167"/>
      <c r="AA124" s="167"/>
      <c r="AB124" s="167"/>
      <c r="AC124" s="167"/>
      <c r="AD124" s="167"/>
      <c r="AE124" s="167"/>
      <c r="AF124" s="167"/>
      <c r="AG124" s="167"/>
      <c r="AH124" s="167"/>
      <c r="AI124" s="167"/>
      <c r="AJ124" s="167"/>
      <c r="AK124" s="167"/>
      <c r="AL124" s="167"/>
      <c r="AM124" s="167"/>
      <c r="AN124" s="167"/>
      <c r="AO124" s="167"/>
      <c r="AP124" s="167"/>
      <c r="AQ124" s="167"/>
      <c r="AR124" s="167"/>
      <c r="AS124" s="167"/>
      <c r="AT124" s="167"/>
      <c r="AU124" s="168"/>
    </row>
    <row r="125" spans="1:47" s="56" customFormat="1" ht="16.5" customHeight="1">
      <c r="A125" s="52"/>
      <c r="B125" s="166"/>
      <c r="C125" s="167"/>
      <c r="D125" s="167"/>
      <c r="E125" s="167"/>
      <c r="F125" s="167"/>
      <c r="G125" s="167"/>
      <c r="H125" s="167"/>
      <c r="I125" s="167"/>
      <c r="J125" s="167"/>
      <c r="K125" s="168"/>
      <c r="L125" s="245"/>
      <c r="M125" s="246"/>
      <c r="N125" s="246"/>
      <c r="O125" s="246"/>
      <c r="P125" s="247"/>
      <c r="Q125" s="166"/>
      <c r="R125" s="167"/>
      <c r="S125" s="167"/>
      <c r="T125" s="167"/>
      <c r="U125" s="168"/>
      <c r="V125" s="166"/>
      <c r="W125" s="167"/>
      <c r="X125" s="167"/>
      <c r="Y125" s="167"/>
      <c r="Z125" s="167"/>
      <c r="AA125" s="167"/>
      <c r="AB125" s="167"/>
      <c r="AC125" s="167"/>
      <c r="AD125" s="167"/>
      <c r="AE125" s="167"/>
      <c r="AF125" s="167"/>
      <c r="AG125" s="167"/>
      <c r="AH125" s="167"/>
      <c r="AI125" s="167"/>
      <c r="AJ125" s="167"/>
      <c r="AK125" s="167"/>
      <c r="AL125" s="167"/>
      <c r="AM125" s="167"/>
      <c r="AN125" s="167"/>
      <c r="AO125" s="167"/>
      <c r="AP125" s="167"/>
      <c r="AQ125" s="167"/>
      <c r="AR125" s="167"/>
      <c r="AS125" s="167"/>
      <c r="AT125" s="167"/>
      <c r="AU125" s="168"/>
    </row>
    <row r="126" spans="1:47" s="56" customFormat="1" ht="16.5" customHeight="1">
      <c r="A126" s="52"/>
      <c r="B126" s="166"/>
      <c r="C126" s="167"/>
      <c r="D126" s="167"/>
      <c r="E126" s="167"/>
      <c r="F126" s="167"/>
      <c r="G126" s="167"/>
      <c r="H126" s="167"/>
      <c r="I126" s="167"/>
      <c r="J126" s="167"/>
      <c r="K126" s="168"/>
      <c r="L126" s="245"/>
      <c r="M126" s="246"/>
      <c r="N126" s="246"/>
      <c r="O126" s="246"/>
      <c r="P126" s="247"/>
      <c r="Q126" s="166"/>
      <c r="R126" s="167"/>
      <c r="S126" s="167"/>
      <c r="T126" s="167"/>
      <c r="U126" s="168"/>
      <c r="V126" s="166"/>
      <c r="W126" s="167"/>
      <c r="X126" s="167"/>
      <c r="Y126" s="167"/>
      <c r="Z126" s="167"/>
      <c r="AA126" s="167"/>
      <c r="AB126" s="167"/>
      <c r="AC126" s="167"/>
      <c r="AD126" s="167"/>
      <c r="AE126" s="167"/>
      <c r="AF126" s="167"/>
      <c r="AG126" s="167"/>
      <c r="AH126" s="167"/>
      <c r="AI126" s="167"/>
      <c r="AJ126" s="167"/>
      <c r="AK126" s="167"/>
      <c r="AL126" s="167"/>
      <c r="AM126" s="167"/>
      <c r="AN126" s="167"/>
      <c r="AO126" s="167"/>
      <c r="AP126" s="167"/>
      <c r="AQ126" s="167"/>
      <c r="AR126" s="167"/>
      <c r="AS126" s="167"/>
      <c r="AT126" s="167"/>
      <c r="AU126" s="168"/>
    </row>
    <row r="127" spans="1:47" s="56" customFormat="1" ht="16.5" customHeight="1">
      <c r="A127" s="52"/>
      <c r="B127" s="166"/>
      <c r="C127" s="167"/>
      <c r="D127" s="167"/>
      <c r="E127" s="167"/>
      <c r="F127" s="167"/>
      <c r="G127" s="167"/>
      <c r="H127" s="167"/>
      <c r="I127" s="167"/>
      <c r="J127" s="167"/>
      <c r="K127" s="168"/>
      <c r="L127" s="245"/>
      <c r="M127" s="246"/>
      <c r="N127" s="246"/>
      <c r="O127" s="246"/>
      <c r="P127" s="247"/>
      <c r="Q127" s="166"/>
      <c r="R127" s="167"/>
      <c r="S127" s="167"/>
      <c r="T127" s="167"/>
      <c r="U127" s="168"/>
      <c r="V127" s="166"/>
      <c r="W127" s="167"/>
      <c r="X127" s="167"/>
      <c r="Y127" s="167"/>
      <c r="Z127" s="167"/>
      <c r="AA127" s="167"/>
      <c r="AB127" s="167"/>
      <c r="AC127" s="167"/>
      <c r="AD127" s="167"/>
      <c r="AE127" s="167"/>
      <c r="AF127" s="167"/>
      <c r="AG127" s="167"/>
      <c r="AH127" s="167"/>
      <c r="AI127" s="167"/>
      <c r="AJ127" s="167"/>
      <c r="AK127" s="167"/>
      <c r="AL127" s="167"/>
      <c r="AM127" s="167"/>
      <c r="AN127" s="167"/>
      <c r="AO127" s="167"/>
      <c r="AP127" s="167"/>
      <c r="AQ127" s="167"/>
      <c r="AR127" s="167"/>
      <c r="AS127" s="167"/>
      <c r="AT127" s="167"/>
      <c r="AU127" s="168"/>
    </row>
    <row r="128" spans="1:47" s="56" customFormat="1" ht="16.5" customHeight="1">
      <c r="A128" s="52"/>
      <c r="B128" s="166"/>
      <c r="C128" s="167"/>
      <c r="D128" s="167"/>
      <c r="E128" s="167"/>
      <c r="F128" s="167"/>
      <c r="G128" s="167"/>
      <c r="H128" s="167"/>
      <c r="I128" s="167"/>
      <c r="J128" s="167"/>
      <c r="K128" s="168"/>
      <c r="L128" s="245"/>
      <c r="M128" s="246"/>
      <c r="N128" s="246"/>
      <c r="O128" s="246"/>
      <c r="P128" s="247"/>
      <c r="Q128" s="166"/>
      <c r="R128" s="167"/>
      <c r="S128" s="167"/>
      <c r="T128" s="167"/>
      <c r="U128" s="168"/>
      <c r="V128" s="166"/>
      <c r="W128" s="167"/>
      <c r="X128" s="167"/>
      <c r="Y128" s="167"/>
      <c r="Z128" s="167"/>
      <c r="AA128" s="167"/>
      <c r="AB128" s="167"/>
      <c r="AC128" s="167"/>
      <c r="AD128" s="167"/>
      <c r="AE128" s="167"/>
      <c r="AF128" s="167"/>
      <c r="AG128" s="167"/>
      <c r="AH128" s="167"/>
      <c r="AI128" s="167"/>
      <c r="AJ128" s="167"/>
      <c r="AK128" s="167"/>
      <c r="AL128" s="167"/>
      <c r="AM128" s="167"/>
      <c r="AN128" s="167"/>
      <c r="AO128" s="167"/>
      <c r="AP128" s="167"/>
      <c r="AQ128" s="167"/>
      <c r="AR128" s="167"/>
      <c r="AS128" s="167"/>
      <c r="AT128" s="167"/>
      <c r="AU128" s="168"/>
    </row>
    <row r="129" spans="1:47" s="56" customFormat="1" ht="16.5" customHeight="1">
      <c r="A129" s="52"/>
      <c r="B129" s="166"/>
      <c r="C129" s="167"/>
      <c r="D129" s="167"/>
      <c r="E129" s="167"/>
      <c r="F129" s="167"/>
      <c r="G129" s="167"/>
      <c r="H129" s="167"/>
      <c r="I129" s="167"/>
      <c r="J129" s="167"/>
      <c r="K129" s="168"/>
      <c r="L129" s="245"/>
      <c r="M129" s="246"/>
      <c r="N129" s="246"/>
      <c r="O129" s="246"/>
      <c r="P129" s="247"/>
      <c r="Q129" s="166"/>
      <c r="R129" s="167"/>
      <c r="S129" s="167"/>
      <c r="T129" s="167"/>
      <c r="U129" s="168"/>
      <c r="V129" s="166"/>
      <c r="W129" s="167"/>
      <c r="X129" s="167"/>
      <c r="Y129" s="167"/>
      <c r="Z129" s="167"/>
      <c r="AA129" s="167"/>
      <c r="AB129" s="167"/>
      <c r="AC129" s="167"/>
      <c r="AD129" s="167"/>
      <c r="AE129" s="167"/>
      <c r="AF129" s="167"/>
      <c r="AG129" s="167"/>
      <c r="AH129" s="167"/>
      <c r="AI129" s="167"/>
      <c r="AJ129" s="167"/>
      <c r="AK129" s="167"/>
      <c r="AL129" s="167"/>
      <c r="AM129" s="167"/>
      <c r="AN129" s="167"/>
      <c r="AO129" s="167"/>
      <c r="AP129" s="167"/>
      <c r="AQ129" s="167"/>
      <c r="AR129" s="167"/>
      <c r="AS129" s="167"/>
      <c r="AT129" s="167"/>
      <c r="AU129" s="168"/>
    </row>
    <row r="130" spans="1:47" s="56" customFormat="1" ht="16.5" customHeight="1">
      <c r="A130" s="52"/>
      <c r="B130" s="166"/>
      <c r="C130" s="167"/>
      <c r="D130" s="167"/>
      <c r="E130" s="167"/>
      <c r="F130" s="167"/>
      <c r="G130" s="167"/>
      <c r="H130" s="167"/>
      <c r="I130" s="167"/>
      <c r="J130" s="167"/>
      <c r="K130" s="168"/>
      <c r="L130" s="245"/>
      <c r="M130" s="246"/>
      <c r="N130" s="246"/>
      <c r="O130" s="246"/>
      <c r="P130" s="247"/>
      <c r="Q130" s="166"/>
      <c r="R130" s="167"/>
      <c r="S130" s="167"/>
      <c r="T130" s="167"/>
      <c r="U130" s="168"/>
      <c r="V130" s="166"/>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7"/>
      <c r="AU130" s="168"/>
    </row>
    <row r="131" spans="1:47" s="56" customFormat="1" ht="16.5" customHeight="1">
      <c r="A131" s="52"/>
      <c r="B131" s="166"/>
      <c r="C131" s="167"/>
      <c r="D131" s="167"/>
      <c r="E131" s="167"/>
      <c r="F131" s="167"/>
      <c r="G131" s="167"/>
      <c r="H131" s="167"/>
      <c r="I131" s="167"/>
      <c r="J131" s="167"/>
      <c r="K131" s="168"/>
      <c r="L131" s="245"/>
      <c r="M131" s="246"/>
      <c r="N131" s="246"/>
      <c r="O131" s="246"/>
      <c r="P131" s="247"/>
      <c r="Q131" s="166"/>
      <c r="R131" s="167"/>
      <c r="S131" s="167"/>
      <c r="T131" s="167"/>
      <c r="U131" s="168"/>
      <c r="V131" s="166"/>
      <c r="W131" s="167"/>
      <c r="X131" s="167"/>
      <c r="Y131" s="167"/>
      <c r="Z131" s="167"/>
      <c r="AA131" s="167"/>
      <c r="AB131" s="167"/>
      <c r="AC131" s="167"/>
      <c r="AD131" s="167"/>
      <c r="AE131" s="167"/>
      <c r="AF131" s="167"/>
      <c r="AG131" s="167"/>
      <c r="AH131" s="167"/>
      <c r="AI131" s="167"/>
      <c r="AJ131" s="167"/>
      <c r="AK131" s="167"/>
      <c r="AL131" s="167"/>
      <c r="AM131" s="167"/>
      <c r="AN131" s="167"/>
      <c r="AO131" s="167"/>
      <c r="AP131" s="167"/>
      <c r="AQ131" s="167"/>
      <c r="AR131" s="167"/>
      <c r="AS131" s="167"/>
      <c r="AT131" s="167"/>
      <c r="AU131" s="168"/>
    </row>
    <row r="132" spans="1:47" s="56" customFormat="1" ht="16.5" customHeight="1">
      <c r="A132" s="52"/>
    </row>
    <row r="133" spans="1:47" s="48" customFormat="1" ht="16.5" customHeight="1">
      <c r="A133" s="49"/>
      <c r="B133" s="62" t="s">
        <v>179</v>
      </c>
    </row>
    <row r="134" spans="1:47" s="56" customFormat="1" ht="16.5" customHeight="1">
      <c r="A134" s="52"/>
      <c r="B134" s="147" t="s">
        <v>180</v>
      </c>
      <c r="C134" s="148"/>
      <c r="D134" s="148"/>
      <c r="E134" s="148"/>
      <c r="F134" s="148"/>
      <c r="G134" s="148"/>
      <c r="H134" s="148"/>
      <c r="I134" s="148"/>
      <c r="J134" s="148"/>
      <c r="K134" s="149"/>
      <c r="L134" s="248"/>
      <c r="M134" s="248"/>
      <c r="N134" s="248"/>
      <c r="O134" s="248"/>
      <c r="P134" s="248"/>
      <c r="Q134" s="248"/>
      <c r="R134" s="248"/>
      <c r="S134" s="248"/>
      <c r="T134" s="248"/>
      <c r="U134" s="248"/>
      <c r="V134" s="248"/>
      <c r="W134" s="248"/>
      <c r="X134" s="248"/>
      <c r="Y134" s="147" t="s">
        <v>181</v>
      </c>
      <c r="Z134" s="148"/>
      <c r="AA134" s="148"/>
      <c r="AB134" s="148"/>
      <c r="AC134" s="148"/>
      <c r="AD134" s="148"/>
      <c r="AE134" s="148"/>
      <c r="AF134" s="148"/>
      <c r="AG134" s="148"/>
      <c r="AH134" s="149"/>
      <c r="AI134" s="248"/>
      <c r="AJ134" s="248"/>
      <c r="AK134" s="248"/>
      <c r="AL134" s="248"/>
      <c r="AM134" s="248"/>
      <c r="AN134" s="248"/>
      <c r="AO134" s="248"/>
      <c r="AP134" s="248"/>
      <c r="AQ134" s="248"/>
      <c r="AR134" s="248"/>
      <c r="AS134" s="248"/>
      <c r="AT134" s="248"/>
      <c r="AU134" s="248"/>
    </row>
    <row r="135" spans="1:47" s="66" customFormat="1" ht="16.5" customHeight="1">
      <c r="A135" s="65"/>
    </row>
  </sheetData>
  <protectedRanges>
    <protectedRange sqref="AI17:AU17 L65:X65 AI15:AU15 AI67:AU67" name="範囲1_1"/>
    <protectedRange sqref="AI18:AU18 AI16:AU16 AI65:AU65 L64:X64 L17:X17 L15:X15 L67:X67" name="範囲1_2"/>
    <protectedRange sqref="L16:M16 L18:M18" name="範囲1_3"/>
    <protectedRange sqref="R21:AU22 R25:AU28" name="範囲1_4"/>
    <protectedRange sqref="R23:AU24" name="範囲1_4_1"/>
  </protectedRanges>
  <mergeCells count="337">
    <mergeCell ref="B131:K131"/>
    <mergeCell ref="L131:P131"/>
    <mergeCell ref="Q131:U131"/>
    <mergeCell ref="V131:AU131"/>
    <mergeCell ref="B134:K134"/>
    <mergeCell ref="L134:X134"/>
    <mergeCell ref="Y134:AH134"/>
    <mergeCell ref="AI134:AU134"/>
    <mergeCell ref="B129:K129"/>
    <mergeCell ref="L129:P129"/>
    <mergeCell ref="Q129:U129"/>
    <mergeCell ref="V129:AU129"/>
    <mergeCell ref="B130:K130"/>
    <mergeCell ref="L130:P130"/>
    <mergeCell ref="Q130:U130"/>
    <mergeCell ref="V130:AU130"/>
    <mergeCell ref="B127:K127"/>
    <mergeCell ref="L127:P127"/>
    <mergeCell ref="Q127:U127"/>
    <mergeCell ref="V127:AU127"/>
    <mergeCell ref="B128:K128"/>
    <mergeCell ref="L128:P128"/>
    <mergeCell ref="Q128:U128"/>
    <mergeCell ref="V128:AU128"/>
    <mergeCell ref="B125:K125"/>
    <mergeCell ref="L125:P125"/>
    <mergeCell ref="Q125:U125"/>
    <mergeCell ref="V125:AU125"/>
    <mergeCell ref="B126:K126"/>
    <mergeCell ref="L126:P126"/>
    <mergeCell ref="Q126:U126"/>
    <mergeCell ref="V126:AU126"/>
    <mergeCell ref="B123:K123"/>
    <mergeCell ref="L123:P123"/>
    <mergeCell ref="Q123:U123"/>
    <mergeCell ref="V123:AU123"/>
    <mergeCell ref="B124:K124"/>
    <mergeCell ref="L124:P124"/>
    <mergeCell ref="Q124:U124"/>
    <mergeCell ref="V124:AU124"/>
    <mergeCell ref="B121:K121"/>
    <mergeCell ref="L121:P121"/>
    <mergeCell ref="Q121:U121"/>
    <mergeCell ref="V121:AU121"/>
    <mergeCell ref="B122:K122"/>
    <mergeCell ref="L122:P122"/>
    <mergeCell ref="Q122:U122"/>
    <mergeCell ref="V122:AU122"/>
    <mergeCell ref="B117:K117"/>
    <mergeCell ref="L117:R117"/>
    <mergeCell ref="S117:Y117"/>
    <mergeCell ref="Z117:AL117"/>
    <mergeCell ref="AM117:AU117"/>
    <mergeCell ref="B118:K118"/>
    <mergeCell ref="L118:R118"/>
    <mergeCell ref="S118:Y118"/>
    <mergeCell ref="Z118:AL118"/>
    <mergeCell ref="AM118:AU118"/>
    <mergeCell ref="B109:K109"/>
    <mergeCell ref="B104:K104"/>
    <mergeCell ref="B115:K115"/>
    <mergeCell ref="L115:R115"/>
    <mergeCell ref="S115:Y115"/>
    <mergeCell ref="Z115:AL115"/>
    <mergeCell ref="AM115:AU115"/>
    <mergeCell ref="B116:K116"/>
    <mergeCell ref="L116:R116"/>
    <mergeCell ref="S116:Y116"/>
    <mergeCell ref="Z116:AL116"/>
    <mergeCell ref="AM116:AU116"/>
    <mergeCell ref="AR110:AU110"/>
    <mergeCell ref="B110:K110"/>
    <mergeCell ref="L110:O110"/>
    <mergeCell ref="P110:S110"/>
    <mergeCell ref="T110:W110"/>
    <mergeCell ref="X110:AA110"/>
    <mergeCell ref="AB110:AE110"/>
    <mergeCell ref="AF110:AI110"/>
    <mergeCell ref="AJ110:AM110"/>
    <mergeCell ref="AN110:AQ110"/>
    <mergeCell ref="P109:S109"/>
    <mergeCell ref="P104:S104"/>
    <mergeCell ref="B60:K60"/>
    <mergeCell ref="L60:P60"/>
    <mergeCell ref="Q60:U60"/>
    <mergeCell ref="V60:AU60"/>
    <mergeCell ref="B66:K66"/>
    <mergeCell ref="L66:AU66"/>
    <mergeCell ref="B114:K114"/>
    <mergeCell ref="L114:R114"/>
    <mergeCell ref="S114:Y114"/>
    <mergeCell ref="Z114:AL114"/>
    <mergeCell ref="AM114:AU114"/>
    <mergeCell ref="B63:K63"/>
    <mergeCell ref="L63:X63"/>
    <mergeCell ref="Y63:AH63"/>
    <mergeCell ref="AI63:AU63"/>
    <mergeCell ref="B64:K64"/>
    <mergeCell ref="L64:X64"/>
    <mergeCell ref="B65:K65"/>
    <mergeCell ref="L65:X65"/>
    <mergeCell ref="Y65:AH65"/>
    <mergeCell ref="AI65:AU65"/>
    <mergeCell ref="Y64:AH64"/>
    <mergeCell ref="AI64:AU64"/>
    <mergeCell ref="B107:K107"/>
    <mergeCell ref="B58:K58"/>
    <mergeCell ref="L58:P58"/>
    <mergeCell ref="Q58:U58"/>
    <mergeCell ref="V58:AU58"/>
    <mergeCell ref="B59:K59"/>
    <mergeCell ref="L59:P59"/>
    <mergeCell ref="Q59:U59"/>
    <mergeCell ref="V59:AU59"/>
    <mergeCell ref="B57:K57"/>
    <mergeCell ref="L57:P57"/>
    <mergeCell ref="Q57:U57"/>
    <mergeCell ref="V57:AU57"/>
    <mergeCell ref="B55:K55"/>
    <mergeCell ref="L55:P55"/>
    <mergeCell ref="Q55:U55"/>
    <mergeCell ref="V55:AU55"/>
    <mergeCell ref="B56:K56"/>
    <mergeCell ref="L56:P56"/>
    <mergeCell ref="Q56:U56"/>
    <mergeCell ref="V56:AU56"/>
    <mergeCell ref="B53:K53"/>
    <mergeCell ref="L53:P53"/>
    <mergeCell ref="Q53:U53"/>
    <mergeCell ref="V53:AU53"/>
    <mergeCell ref="B54:K54"/>
    <mergeCell ref="L54:P54"/>
    <mergeCell ref="Q54:U54"/>
    <mergeCell ref="V54:AU54"/>
    <mergeCell ref="B51:K51"/>
    <mergeCell ref="L51:P51"/>
    <mergeCell ref="Q51:U51"/>
    <mergeCell ref="V51:AU51"/>
    <mergeCell ref="B52:K52"/>
    <mergeCell ref="L52:P52"/>
    <mergeCell ref="Q52:U52"/>
    <mergeCell ref="V52:AU52"/>
    <mergeCell ref="B49:K49"/>
    <mergeCell ref="L49:P49"/>
    <mergeCell ref="Q49:U49"/>
    <mergeCell ref="V49:AU49"/>
    <mergeCell ref="B50:K50"/>
    <mergeCell ref="L50:P50"/>
    <mergeCell ref="Q50:U50"/>
    <mergeCell ref="V50:AU50"/>
    <mergeCell ref="B47:K47"/>
    <mergeCell ref="L47:P47"/>
    <mergeCell ref="Q47:U47"/>
    <mergeCell ref="V47:AU47"/>
    <mergeCell ref="B48:K48"/>
    <mergeCell ref="L48:P48"/>
    <mergeCell ref="Q48:U48"/>
    <mergeCell ref="V48:AU48"/>
    <mergeCell ref="B45:K45"/>
    <mergeCell ref="L45:P45"/>
    <mergeCell ref="Q45:U45"/>
    <mergeCell ref="V45:AU45"/>
    <mergeCell ref="B46:K46"/>
    <mergeCell ref="L46:P46"/>
    <mergeCell ref="Q46:U46"/>
    <mergeCell ref="V46:AU46"/>
    <mergeCell ref="B41:K41"/>
    <mergeCell ref="L41:P41"/>
    <mergeCell ref="Q41:AU41"/>
    <mergeCell ref="B42:K42"/>
    <mergeCell ref="L42:P42"/>
    <mergeCell ref="Q42:AU42"/>
    <mergeCell ref="B39:K39"/>
    <mergeCell ref="L39:P39"/>
    <mergeCell ref="Q39:AU39"/>
    <mergeCell ref="B40:K40"/>
    <mergeCell ref="L40:P40"/>
    <mergeCell ref="Q40:AU40"/>
    <mergeCell ref="B37:K37"/>
    <mergeCell ref="L37:P37"/>
    <mergeCell ref="Q37:AU37"/>
    <mergeCell ref="B38:K38"/>
    <mergeCell ref="L38:P38"/>
    <mergeCell ref="Q38:AU38"/>
    <mergeCell ref="B35:K35"/>
    <mergeCell ref="L35:P35"/>
    <mergeCell ref="Q35:AU35"/>
    <mergeCell ref="B36:K36"/>
    <mergeCell ref="L36:P36"/>
    <mergeCell ref="Q36:AU36"/>
    <mergeCell ref="B29:K30"/>
    <mergeCell ref="L29:AU30"/>
    <mergeCell ref="B33:K33"/>
    <mergeCell ref="L33:P33"/>
    <mergeCell ref="Q33:AU33"/>
    <mergeCell ref="B34:K34"/>
    <mergeCell ref="L34:P34"/>
    <mergeCell ref="Q34:AU34"/>
    <mergeCell ref="B21:K22"/>
    <mergeCell ref="L21:AU22"/>
    <mergeCell ref="B25:K26"/>
    <mergeCell ref="L25:AU26"/>
    <mergeCell ref="B27:K28"/>
    <mergeCell ref="L27:AU28"/>
    <mergeCell ref="B23:K24"/>
    <mergeCell ref="L23:AU24"/>
    <mergeCell ref="B16:K16"/>
    <mergeCell ref="L16:X16"/>
    <mergeCell ref="Y16:AH16"/>
    <mergeCell ref="AI16:AU16"/>
    <mergeCell ref="B18:K18"/>
    <mergeCell ref="L18:X18"/>
    <mergeCell ref="Y18:AH18"/>
    <mergeCell ref="AI18:AU18"/>
    <mergeCell ref="B15:K15"/>
    <mergeCell ref="L15:X15"/>
    <mergeCell ref="Y15:AH15"/>
    <mergeCell ref="AI15:AU15"/>
    <mergeCell ref="B17:K17"/>
    <mergeCell ref="L17:X17"/>
    <mergeCell ref="Y17:AH17"/>
    <mergeCell ref="AI17:AU17"/>
    <mergeCell ref="B14:K14"/>
    <mergeCell ref="L14:X14"/>
    <mergeCell ref="Y14:AH14"/>
    <mergeCell ref="AI14:AU14"/>
    <mergeCell ref="B11:K11"/>
    <mergeCell ref="L11:X11"/>
    <mergeCell ref="Y11:AH11"/>
    <mergeCell ref="AI11:AN11"/>
    <mergeCell ref="AP11:AU11"/>
    <mergeCell ref="B12:K12"/>
    <mergeCell ref="L12:AU12"/>
    <mergeCell ref="B4:AI5"/>
    <mergeCell ref="AL4:AP4"/>
    <mergeCell ref="AQ4:AU4"/>
    <mergeCell ref="AL5:AP7"/>
    <mergeCell ref="AQ5:AU7"/>
    <mergeCell ref="AL8:AP8"/>
    <mergeCell ref="AQ8:AU8"/>
    <mergeCell ref="B13:K13"/>
    <mergeCell ref="L13:AU13"/>
    <mergeCell ref="L101:O101"/>
    <mergeCell ref="L102:O102"/>
    <mergeCell ref="L103:O103"/>
    <mergeCell ref="L104:O104"/>
    <mergeCell ref="L105:O105"/>
    <mergeCell ref="L106:O106"/>
    <mergeCell ref="L107:O107"/>
    <mergeCell ref="L108:O108"/>
    <mergeCell ref="B105:K105"/>
    <mergeCell ref="B106:K106"/>
    <mergeCell ref="B101:K101"/>
    <mergeCell ref="B102:K102"/>
    <mergeCell ref="B103:K103"/>
    <mergeCell ref="B108:K108"/>
    <mergeCell ref="P105:S105"/>
    <mergeCell ref="P106:S106"/>
    <mergeCell ref="AF101:AI101"/>
    <mergeCell ref="AF102:AI102"/>
    <mergeCell ref="AF103:AI103"/>
    <mergeCell ref="AB101:AE101"/>
    <mergeCell ref="AB102:AE102"/>
    <mergeCell ref="AB103:AE103"/>
    <mergeCell ref="AB104:AE104"/>
    <mergeCell ref="AB105:AE105"/>
    <mergeCell ref="AB106:AE106"/>
    <mergeCell ref="L109:O109"/>
    <mergeCell ref="X101:AA101"/>
    <mergeCell ref="X102:AA102"/>
    <mergeCell ref="X103:AA103"/>
    <mergeCell ref="X104:AA104"/>
    <mergeCell ref="X105:AA105"/>
    <mergeCell ref="X106:AA106"/>
    <mergeCell ref="X107:AA107"/>
    <mergeCell ref="X108:AA108"/>
    <mergeCell ref="X109:AA109"/>
    <mergeCell ref="T101:W101"/>
    <mergeCell ref="T102:W102"/>
    <mergeCell ref="T103:W103"/>
    <mergeCell ref="T104:W104"/>
    <mergeCell ref="T105:W105"/>
    <mergeCell ref="T106:W106"/>
    <mergeCell ref="T107:W107"/>
    <mergeCell ref="T108:W108"/>
    <mergeCell ref="T109:W109"/>
    <mergeCell ref="P107:S107"/>
    <mergeCell ref="P108:S108"/>
    <mergeCell ref="P101:S101"/>
    <mergeCell ref="P102:S102"/>
    <mergeCell ref="P103:S103"/>
    <mergeCell ref="AB107:AE107"/>
    <mergeCell ref="AB108:AE108"/>
    <mergeCell ref="AB109:AE109"/>
    <mergeCell ref="AJ101:AM101"/>
    <mergeCell ref="AJ102:AM102"/>
    <mergeCell ref="AJ103:AM103"/>
    <mergeCell ref="AJ104:AM104"/>
    <mergeCell ref="AJ105:AM105"/>
    <mergeCell ref="AJ106:AM106"/>
    <mergeCell ref="AJ107:AM107"/>
    <mergeCell ref="AJ108:AM108"/>
    <mergeCell ref="AJ109:AM109"/>
    <mergeCell ref="B111:K111"/>
    <mergeCell ref="L111:O111"/>
    <mergeCell ref="P111:S111"/>
    <mergeCell ref="T111:W111"/>
    <mergeCell ref="X111:AA111"/>
    <mergeCell ref="AB111:AE111"/>
    <mergeCell ref="AF111:AI111"/>
    <mergeCell ref="AR101:AU101"/>
    <mergeCell ref="AR102:AU102"/>
    <mergeCell ref="AR103:AU103"/>
    <mergeCell ref="AR104:AU104"/>
    <mergeCell ref="AR105:AU105"/>
    <mergeCell ref="AR106:AU106"/>
    <mergeCell ref="AR107:AU107"/>
    <mergeCell ref="AR108:AU108"/>
    <mergeCell ref="AR109:AU109"/>
    <mergeCell ref="AN101:AQ101"/>
    <mergeCell ref="AN102:AQ102"/>
    <mergeCell ref="AN103:AQ103"/>
    <mergeCell ref="AN104:AQ104"/>
    <mergeCell ref="AN105:AQ105"/>
    <mergeCell ref="AN106:AQ106"/>
    <mergeCell ref="AN107:AQ107"/>
    <mergeCell ref="AN108:AQ108"/>
    <mergeCell ref="AJ111:AM111"/>
    <mergeCell ref="AN111:AQ111"/>
    <mergeCell ref="AR111:AU111"/>
    <mergeCell ref="AF104:AI104"/>
    <mergeCell ref="AF105:AI105"/>
    <mergeCell ref="AF106:AI106"/>
    <mergeCell ref="AF107:AI107"/>
    <mergeCell ref="AF108:AI108"/>
    <mergeCell ref="AF109:AI109"/>
    <mergeCell ref="AN109:AQ109"/>
  </mergeCells>
  <phoneticPr fontId="2"/>
  <dataValidations count="7">
    <dataValidation type="list" allowBlank="1" showInputMessage="1" showErrorMessage="1" sqref="AI18:AU18" xr:uid="{8D08F04B-9AF3-4966-AEB6-5E6B8989AB1D}">
      <formula1>"新規開発,改良開発,その他"</formula1>
    </dataValidation>
    <dataValidation type="list" allowBlank="1" showInputMessage="1" showErrorMessage="1" sqref="L134" xr:uid="{69B65B16-1B72-4D04-8EFC-8A8A53F6FBE6}">
      <formula1>"有,無"</formula1>
    </dataValidation>
    <dataValidation allowBlank="1" showInputMessage="1" prompt="★例）納期を厳守する" sqref="R25 R27 R23" xr:uid="{FD0C5BD0-012B-4BAE-9466-E6901B77DFDD}"/>
    <dataValidation type="list" allowBlank="1" showInputMessage="1" showErrorMessage="1" sqref="L34:L42" xr:uid="{BBBAD1FF-70AB-4E9D-AF85-F0AC339C87E7}">
      <formula1>"あり（右記に文書名記入）,なし"</formula1>
    </dataValidation>
    <dataValidation type="list" allowBlank="1" showInputMessage="1" showErrorMessage="1" sqref="L46:U60" xr:uid="{07534C50-8A5F-46F4-834C-DE9BA9E740AE}">
      <formula1>"○"</formula1>
    </dataValidation>
    <dataValidation allowBlank="1" showDropDown="1" showInputMessage="1" showErrorMessage="1" sqref="B111:K111" xr:uid="{1004B0A8-7368-459C-B567-57BDFDC1A6B4}"/>
    <dataValidation type="list" allowBlank="1" showInputMessage="1" sqref="B102:K110" xr:uid="{859C218E-F886-42FC-A0E0-E4DA9A578742}">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6" max="4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C8"/>
    <pageSetUpPr fitToPage="1"/>
  </sheetPr>
  <dimension ref="A1:BG147"/>
  <sheetViews>
    <sheetView showGridLines="0" zoomScaleNormal="100" zoomScaleSheetLayoutView="75" workbookViewId="0">
      <selection activeCell="L44" sqref="L44:AU45"/>
    </sheetView>
  </sheetViews>
  <sheetFormatPr defaultColWidth="3.125" defaultRowHeight="16.5" customHeight="1"/>
  <cols>
    <col min="1" max="16384" width="3.125" style="31"/>
  </cols>
  <sheetData>
    <row r="1" spans="1:59" ht="18" customHeight="1"/>
    <row r="2" spans="1:59" ht="18" customHeight="1" thickBot="1">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row>
    <row r="3" spans="1:59" ht="16.5" customHeight="1" thickTop="1" thickBot="1"/>
    <row r="4" spans="1:59" ht="16.5" customHeight="1" thickBot="1">
      <c r="A4" s="33"/>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67"/>
      <c r="AL4" s="151" t="s">
        <v>218</v>
      </c>
      <c r="AM4" s="152"/>
      <c r="AN4" s="152"/>
      <c r="AO4" s="152"/>
      <c r="AP4" s="153"/>
      <c r="AQ4" s="151" t="s">
        <v>219</v>
      </c>
      <c r="AR4" s="152"/>
      <c r="AS4" s="152"/>
      <c r="AT4" s="152"/>
      <c r="AU4" s="153"/>
    </row>
    <row r="5" spans="1:59" ht="16.5" customHeight="1">
      <c r="A5" s="33"/>
      <c r="B5" s="252"/>
      <c r="C5" s="252"/>
      <c r="D5" s="252"/>
      <c r="E5" s="252"/>
      <c r="F5" s="252"/>
      <c r="G5" s="252"/>
      <c r="H5" s="252"/>
      <c r="I5" s="252"/>
      <c r="J5" s="252"/>
      <c r="K5" s="252"/>
      <c r="L5" s="252"/>
      <c r="M5" s="252"/>
      <c r="N5" s="252"/>
      <c r="O5" s="252"/>
      <c r="P5" s="252"/>
      <c r="Q5" s="252"/>
      <c r="R5" s="252"/>
      <c r="S5" s="252"/>
      <c r="T5" s="252"/>
      <c r="U5" s="252"/>
      <c r="V5" s="252"/>
      <c r="W5" s="252"/>
      <c r="X5" s="252"/>
      <c r="Y5" s="252"/>
      <c r="Z5" s="252"/>
      <c r="AA5" s="252"/>
      <c r="AB5" s="252"/>
      <c r="AC5" s="252"/>
      <c r="AD5" s="252"/>
      <c r="AE5" s="252"/>
      <c r="AF5" s="67"/>
      <c r="AL5" s="154" t="s">
        <v>54</v>
      </c>
      <c r="AM5" s="155"/>
      <c r="AN5" s="155"/>
      <c r="AO5" s="155"/>
      <c r="AP5" s="156"/>
      <c r="AQ5" s="154" t="s">
        <v>55</v>
      </c>
      <c r="AR5" s="155"/>
      <c r="AS5" s="155"/>
      <c r="AT5" s="155"/>
      <c r="AU5" s="156"/>
    </row>
    <row r="6" spans="1:59" ht="16.5" customHeight="1">
      <c r="A6" s="33"/>
      <c r="B6" s="33"/>
      <c r="C6" s="33"/>
      <c r="D6" s="36"/>
      <c r="E6" s="36"/>
      <c r="F6" s="36"/>
      <c r="G6" s="36"/>
      <c r="H6" s="36"/>
      <c r="I6" s="36"/>
      <c r="J6" s="36"/>
      <c r="K6" s="36"/>
      <c r="L6" s="36"/>
      <c r="M6" s="36"/>
      <c r="N6" s="36"/>
      <c r="O6" s="36"/>
      <c r="P6" s="36"/>
      <c r="Q6" s="36"/>
      <c r="R6" s="36"/>
      <c r="S6" s="36"/>
      <c r="T6" s="36"/>
      <c r="U6" s="36"/>
      <c r="V6" s="33"/>
      <c r="W6" s="36"/>
      <c r="X6" s="36"/>
      <c r="Y6" s="36"/>
      <c r="Z6" s="36"/>
      <c r="AA6" s="36"/>
      <c r="AB6" s="36"/>
      <c r="AC6" s="36"/>
      <c r="AD6" s="36"/>
      <c r="AE6" s="36"/>
      <c r="AF6" s="36"/>
      <c r="AL6" s="157"/>
      <c r="AM6" s="158"/>
      <c r="AN6" s="158"/>
      <c r="AO6" s="158"/>
      <c r="AP6" s="159"/>
      <c r="AQ6" s="157"/>
      <c r="AR6" s="158"/>
      <c r="AS6" s="158"/>
      <c r="AT6" s="158"/>
      <c r="AU6" s="159"/>
    </row>
    <row r="7" spans="1:59" ht="16.5" customHeight="1">
      <c r="A7" s="33"/>
      <c r="B7" s="36"/>
      <c r="C7" s="36"/>
      <c r="D7" s="36"/>
      <c r="E7" s="36"/>
      <c r="F7" s="36"/>
      <c r="G7" s="36"/>
      <c r="H7" s="36"/>
      <c r="I7" s="36"/>
      <c r="J7" s="36"/>
      <c r="K7" s="36"/>
      <c r="L7" s="36"/>
      <c r="M7" s="36"/>
      <c r="N7" s="36"/>
      <c r="O7" s="36"/>
      <c r="P7" s="36"/>
      <c r="Q7" s="36"/>
      <c r="R7" s="36"/>
      <c r="S7" s="36"/>
      <c r="T7" s="36"/>
      <c r="U7" s="36"/>
      <c r="V7" s="33"/>
      <c r="W7" s="36"/>
      <c r="X7" s="36"/>
      <c r="Y7" s="36"/>
      <c r="Z7" s="36"/>
      <c r="AA7" s="36"/>
      <c r="AB7" s="36"/>
      <c r="AC7" s="36"/>
      <c r="AD7" s="36"/>
      <c r="AE7" s="36"/>
      <c r="AF7" s="36"/>
      <c r="AL7" s="160"/>
      <c r="AM7" s="161"/>
      <c r="AN7" s="161"/>
      <c r="AO7" s="161"/>
      <c r="AP7" s="162"/>
      <c r="AQ7" s="160"/>
      <c r="AR7" s="161"/>
      <c r="AS7" s="161"/>
      <c r="AT7" s="161"/>
      <c r="AU7" s="162"/>
    </row>
    <row r="8" spans="1:59" ht="16.5" customHeight="1" thickBot="1">
      <c r="A8" s="33"/>
      <c r="B8" s="68" t="s">
        <v>187</v>
      </c>
      <c r="C8" s="36"/>
      <c r="D8" s="36"/>
      <c r="E8" s="36"/>
      <c r="F8" s="36"/>
      <c r="G8" s="36"/>
      <c r="H8" s="36"/>
      <c r="I8" s="36"/>
      <c r="J8" s="36"/>
      <c r="K8" s="36"/>
      <c r="L8" s="36"/>
      <c r="M8" s="36"/>
      <c r="N8" s="36"/>
      <c r="O8" s="36"/>
      <c r="P8" s="36"/>
      <c r="Q8" s="36"/>
      <c r="R8" s="36"/>
      <c r="S8" s="36"/>
      <c r="T8" s="36"/>
      <c r="U8" s="36"/>
      <c r="V8" s="33"/>
      <c r="W8" s="36"/>
      <c r="X8" s="36"/>
      <c r="Y8" s="36"/>
      <c r="Z8" s="36"/>
      <c r="AA8" s="36"/>
      <c r="AB8" s="36"/>
      <c r="AC8" s="36"/>
      <c r="AD8" s="36"/>
      <c r="AE8" s="36"/>
      <c r="AF8" s="36"/>
      <c r="AL8" s="163" t="s">
        <v>56</v>
      </c>
      <c r="AM8" s="164"/>
      <c r="AN8" s="164"/>
      <c r="AO8" s="164"/>
      <c r="AP8" s="165"/>
      <c r="AQ8" s="163" t="s">
        <v>56</v>
      </c>
      <c r="AR8" s="164"/>
      <c r="AS8" s="164"/>
      <c r="AT8" s="164"/>
      <c r="AU8" s="165"/>
    </row>
    <row r="9" spans="1:59" ht="16.5" customHeight="1">
      <c r="A9" s="33"/>
      <c r="B9" s="33"/>
      <c r="C9" s="33"/>
      <c r="D9" s="33"/>
      <c r="E9" s="33"/>
      <c r="F9" s="33"/>
      <c r="G9" s="33"/>
      <c r="H9" s="33"/>
      <c r="I9" s="33"/>
      <c r="J9" s="33"/>
      <c r="K9" s="33"/>
      <c r="L9" s="33"/>
      <c r="M9" s="33"/>
      <c r="N9" s="33"/>
      <c r="O9" s="33"/>
      <c r="P9" s="33"/>
      <c r="Q9" s="33"/>
      <c r="R9" s="33"/>
      <c r="S9" s="33"/>
      <c r="T9" s="33"/>
      <c r="U9" s="33"/>
      <c r="V9" s="37"/>
      <c r="W9" s="37"/>
      <c r="X9" s="37"/>
      <c r="Y9" s="37"/>
      <c r="Z9" s="37"/>
      <c r="AA9" s="36"/>
      <c r="AB9" s="36"/>
      <c r="AC9" s="36"/>
      <c r="AD9" s="36"/>
      <c r="AE9" s="36"/>
      <c r="AF9" s="33"/>
      <c r="AG9" s="33"/>
      <c r="AH9" s="33"/>
      <c r="AI9" s="33"/>
      <c r="AJ9" s="33"/>
      <c r="AK9" s="33"/>
      <c r="AL9" s="33"/>
      <c r="AM9" s="33"/>
      <c r="AN9" s="33"/>
      <c r="AO9" s="33"/>
      <c r="AP9" s="33"/>
      <c r="AQ9" s="33"/>
      <c r="AR9" s="33"/>
      <c r="AS9" s="33"/>
      <c r="AT9" s="33"/>
      <c r="AU9" s="33"/>
    </row>
    <row r="10" spans="1:59" ht="16.5" customHeight="1">
      <c r="A10" s="33"/>
      <c r="B10" s="39" t="s">
        <v>1</v>
      </c>
      <c r="C10" s="36"/>
      <c r="D10" s="36"/>
      <c r="E10" s="36"/>
      <c r="F10" s="36"/>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row>
    <row r="11" spans="1:59" ht="16.5" customHeight="1">
      <c r="A11" s="33"/>
      <c r="B11" s="265" t="s">
        <v>184</v>
      </c>
      <c r="C11" s="265"/>
      <c r="D11" s="265"/>
      <c r="E11" s="265"/>
      <c r="F11" s="265"/>
      <c r="G11" s="265"/>
      <c r="H11" s="265"/>
      <c r="I11" s="265"/>
      <c r="J11" s="265"/>
      <c r="K11" s="265"/>
      <c r="L11" s="266" t="str">
        <f>プロジェクト計画書!L11 &amp; ""</f>
        <v/>
      </c>
      <c r="M11" s="266"/>
      <c r="N11" s="266"/>
      <c r="O11" s="266"/>
      <c r="P11" s="266"/>
      <c r="Q11" s="266"/>
      <c r="R11" s="266"/>
      <c r="S11" s="266"/>
      <c r="T11" s="266"/>
      <c r="U11" s="266"/>
      <c r="V11" s="266"/>
      <c r="W11" s="266"/>
      <c r="X11" s="266"/>
      <c r="Y11" s="249" t="s">
        <v>13</v>
      </c>
      <c r="Z11" s="249"/>
      <c r="AA11" s="249"/>
      <c r="AB11" s="249"/>
      <c r="AC11" s="249"/>
      <c r="AD11" s="249"/>
      <c r="AE11" s="249"/>
      <c r="AF11" s="249"/>
      <c r="AG11" s="249"/>
      <c r="AH11" s="249"/>
      <c r="AI11" s="282" t="str">
        <f>IF(プロジェクト計画書!AI11="","",プロジェクト計画書!AI11)</f>
        <v/>
      </c>
      <c r="AJ11" s="283"/>
      <c r="AK11" s="283"/>
      <c r="AL11" s="283"/>
      <c r="AM11" s="283"/>
      <c r="AN11" s="283"/>
      <c r="AO11" s="69" t="s">
        <v>14</v>
      </c>
      <c r="AP11" s="283" t="str">
        <f>IF(プロジェクト計画書!AP11="","",プロジェクト計画書!AP11)</f>
        <v/>
      </c>
      <c r="AQ11" s="283"/>
      <c r="AR11" s="283"/>
      <c r="AS11" s="283"/>
      <c r="AT11" s="283"/>
      <c r="AU11" s="284"/>
    </row>
    <row r="12" spans="1:59" ht="16.5" customHeight="1">
      <c r="A12" s="33"/>
      <c r="B12" s="270" t="s">
        <v>185</v>
      </c>
      <c r="C12" s="271"/>
      <c r="D12" s="271"/>
      <c r="E12" s="271"/>
      <c r="F12" s="271"/>
      <c r="G12" s="271"/>
      <c r="H12" s="271"/>
      <c r="I12" s="271"/>
      <c r="J12" s="271"/>
      <c r="K12" s="272"/>
      <c r="L12" s="267" t="str">
        <f>プロジェクト計画書!L12 &amp; ""</f>
        <v/>
      </c>
      <c r="M12" s="268"/>
      <c r="N12" s="268"/>
      <c r="O12" s="268"/>
      <c r="P12" s="268"/>
      <c r="Q12" s="268"/>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9"/>
    </row>
    <row r="13" spans="1:59" ht="16.5" customHeight="1">
      <c r="A13" s="33"/>
      <c r="B13" s="276" t="s">
        <v>12</v>
      </c>
      <c r="C13" s="277"/>
      <c r="D13" s="277"/>
      <c r="E13" s="277"/>
      <c r="F13" s="277"/>
      <c r="G13" s="277"/>
      <c r="H13" s="277"/>
      <c r="I13" s="277"/>
      <c r="J13" s="277"/>
      <c r="K13" s="278"/>
      <c r="L13" s="279" t="str">
        <f>プロジェクト計画書!L13 &amp; ""</f>
        <v/>
      </c>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1"/>
    </row>
    <row r="14" spans="1:59" ht="16.5" customHeight="1">
      <c r="A14" s="33"/>
      <c r="B14" s="265" t="s">
        <v>186</v>
      </c>
      <c r="C14" s="265"/>
      <c r="D14" s="265"/>
      <c r="E14" s="265"/>
      <c r="F14" s="265"/>
      <c r="G14" s="265"/>
      <c r="H14" s="265"/>
      <c r="I14" s="265"/>
      <c r="J14" s="265"/>
      <c r="K14" s="265"/>
      <c r="L14" s="266" t="str">
        <f>プロジェクト計画書!L14 &amp; ""</f>
        <v/>
      </c>
      <c r="M14" s="266"/>
      <c r="N14" s="266"/>
      <c r="O14" s="266"/>
      <c r="P14" s="266"/>
      <c r="Q14" s="266"/>
      <c r="R14" s="266"/>
      <c r="S14" s="266"/>
      <c r="T14" s="266"/>
      <c r="U14" s="266"/>
      <c r="V14" s="266"/>
      <c r="W14" s="266"/>
      <c r="X14" s="266"/>
      <c r="Y14" s="249" t="s">
        <v>8</v>
      </c>
      <c r="Z14" s="249"/>
      <c r="AA14" s="249"/>
      <c r="AB14" s="249"/>
      <c r="AC14" s="249"/>
      <c r="AD14" s="249"/>
      <c r="AE14" s="249"/>
      <c r="AF14" s="249"/>
      <c r="AG14" s="249"/>
      <c r="AH14" s="250"/>
      <c r="AI14" s="259" t="str">
        <f>プロジェクト計画書!AI14 &amp; ""</f>
        <v/>
      </c>
      <c r="AJ14" s="259"/>
      <c r="AK14" s="259"/>
      <c r="AL14" s="259"/>
      <c r="AM14" s="259"/>
      <c r="AN14" s="259"/>
      <c r="AO14" s="259"/>
      <c r="AP14" s="259"/>
      <c r="AQ14" s="259"/>
      <c r="AR14" s="259"/>
      <c r="AS14" s="259"/>
      <c r="AT14" s="259"/>
      <c r="AU14" s="259"/>
      <c r="AX14" s="70"/>
      <c r="AY14" s="70"/>
      <c r="AZ14" s="70"/>
      <c r="BA14" s="70"/>
      <c r="BB14" s="70"/>
      <c r="BC14" s="70"/>
      <c r="BD14" s="70"/>
      <c r="BE14" s="70"/>
      <c r="BF14" s="70"/>
      <c r="BG14" s="70"/>
    </row>
    <row r="15" spans="1:59" ht="16.5" customHeight="1">
      <c r="A15" s="33"/>
      <c r="B15" s="276" t="s">
        <v>17</v>
      </c>
      <c r="C15" s="277"/>
      <c r="D15" s="277"/>
      <c r="E15" s="277"/>
      <c r="F15" s="277"/>
      <c r="G15" s="277"/>
      <c r="H15" s="277"/>
      <c r="I15" s="277"/>
      <c r="J15" s="277"/>
      <c r="K15" s="278"/>
      <c r="L15" s="279" t="str">
        <f>プロジェクト計画書!L15 &amp; ""</f>
        <v/>
      </c>
      <c r="M15" s="280"/>
      <c r="N15" s="280"/>
      <c r="O15" s="280"/>
      <c r="P15" s="280"/>
      <c r="Q15" s="280"/>
      <c r="R15" s="280"/>
      <c r="S15" s="280"/>
      <c r="T15" s="280"/>
      <c r="U15" s="280"/>
      <c r="V15" s="280"/>
      <c r="W15" s="280"/>
      <c r="X15" s="281"/>
      <c r="Y15" s="262" t="s">
        <v>18</v>
      </c>
      <c r="Z15" s="263"/>
      <c r="AA15" s="263"/>
      <c r="AB15" s="263"/>
      <c r="AC15" s="263"/>
      <c r="AD15" s="263"/>
      <c r="AE15" s="263"/>
      <c r="AF15" s="263"/>
      <c r="AG15" s="263"/>
      <c r="AH15" s="264"/>
      <c r="AI15" s="273" t="str">
        <f>プロジェクト計画書!AI15 &amp; ""</f>
        <v/>
      </c>
      <c r="AJ15" s="274"/>
      <c r="AK15" s="274"/>
      <c r="AL15" s="274"/>
      <c r="AM15" s="274"/>
      <c r="AN15" s="274"/>
      <c r="AO15" s="274"/>
      <c r="AP15" s="274"/>
      <c r="AQ15" s="274"/>
      <c r="AR15" s="274"/>
      <c r="AS15" s="274"/>
      <c r="AT15" s="274"/>
      <c r="AU15" s="275"/>
    </row>
    <row r="16" spans="1:59" ht="16.5" customHeight="1">
      <c r="A16" s="33"/>
      <c r="B16" s="260" t="s">
        <v>4</v>
      </c>
      <c r="C16" s="260"/>
      <c r="D16" s="260"/>
      <c r="E16" s="260"/>
      <c r="F16" s="260"/>
      <c r="G16" s="260"/>
      <c r="H16" s="260"/>
      <c r="I16" s="260"/>
      <c r="J16" s="260"/>
      <c r="K16" s="260"/>
      <c r="L16" s="256" t="str">
        <f>プロジェクト計画書!L16 &amp; ""</f>
        <v/>
      </c>
      <c r="M16" s="257"/>
      <c r="N16" s="257"/>
      <c r="O16" s="257"/>
      <c r="P16" s="257"/>
      <c r="Q16" s="257"/>
      <c r="R16" s="257"/>
      <c r="S16" s="257"/>
      <c r="T16" s="257"/>
      <c r="U16" s="257"/>
      <c r="V16" s="257"/>
      <c r="W16" s="257"/>
      <c r="X16" s="258"/>
      <c r="Y16" s="249" t="s">
        <v>11</v>
      </c>
      <c r="Z16" s="249"/>
      <c r="AA16" s="249"/>
      <c r="AB16" s="249"/>
      <c r="AC16" s="249"/>
      <c r="AD16" s="249"/>
      <c r="AE16" s="249"/>
      <c r="AF16" s="249"/>
      <c r="AG16" s="249"/>
      <c r="AH16" s="249"/>
      <c r="AI16" s="259" t="str">
        <f>プロジェクト計画書!AI16 &amp; ""</f>
        <v/>
      </c>
      <c r="AJ16" s="259"/>
      <c r="AK16" s="259"/>
      <c r="AL16" s="259"/>
      <c r="AM16" s="259"/>
      <c r="AN16" s="259"/>
      <c r="AO16" s="259"/>
      <c r="AP16" s="259"/>
      <c r="AQ16" s="259"/>
      <c r="AR16" s="259"/>
      <c r="AS16" s="259"/>
      <c r="AT16" s="259"/>
      <c r="AU16" s="259"/>
    </row>
    <row r="17" spans="1:47" ht="16.5" customHeight="1">
      <c r="A17" s="33"/>
      <c r="B17" s="276" t="s">
        <v>221</v>
      </c>
      <c r="C17" s="277"/>
      <c r="D17" s="277"/>
      <c r="E17" s="277"/>
      <c r="F17" s="277"/>
      <c r="G17" s="277"/>
      <c r="H17" s="277"/>
      <c r="I17" s="277"/>
      <c r="J17" s="277"/>
      <c r="K17" s="278"/>
      <c r="L17" s="279" t="str">
        <f>プロジェクト計画書!L17 &amp; ""</f>
        <v/>
      </c>
      <c r="M17" s="280"/>
      <c r="N17" s="280"/>
      <c r="O17" s="280"/>
      <c r="P17" s="280"/>
      <c r="Q17" s="280"/>
      <c r="R17" s="280"/>
      <c r="S17" s="280"/>
      <c r="T17" s="280"/>
      <c r="U17" s="280"/>
      <c r="V17" s="280"/>
      <c r="W17" s="280"/>
      <c r="X17" s="281"/>
      <c r="Y17" s="262" t="s">
        <v>10</v>
      </c>
      <c r="Z17" s="263"/>
      <c r="AA17" s="263"/>
      <c r="AB17" s="263"/>
      <c r="AC17" s="263"/>
      <c r="AD17" s="263"/>
      <c r="AE17" s="263"/>
      <c r="AF17" s="263"/>
      <c r="AG17" s="263"/>
      <c r="AH17" s="264"/>
      <c r="AI17" s="273" t="str">
        <f>プロジェクト計画書!AI17 &amp; ""</f>
        <v/>
      </c>
      <c r="AJ17" s="274"/>
      <c r="AK17" s="274"/>
      <c r="AL17" s="274"/>
      <c r="AM17" s="274"/>
      <c r="AN17" s="274"/>
      <c r="AO17" s="274"/>
      <c r="AP17" s="274"/>
      <c r="AQ17" s="274"/>
      <c r="AR17" s="274"/>
      <c r="AS17" s="274"/>
      <c r="AT17" s="274"/>
      <c r="AU17" s="275"/>
    </row>
    <row r="18" spans="1:47" ht="16.5" customHeight="1">
      <c r="A18" s="33"/>
      <c r="B18" s="260" t="s">
        <v>16</v>
      </c>
      <c r="C18" s="260"/>
      <c r="D18" s="260"/>
      <c r="E18" s="260"/>
      <c r="F18" s="260"/>
      <c r="G18" s="260"/>
      <c r="H18" s="260"/>
      <c r="I18" s="260"/>
      <c r="J18" s="260"/>
      <c r="K18" s="260"/>
      <c r="L18" s="261" t="str">
        <f>IF(プロジェクト計画書!L18="","",プロジェクト計画書!L18)</f>
        <v/>
      </c>
      <c r="M18" s="261"/>
      <c r="N18" s="261"/>
      <c r="O18" s="261"/>
      <c r="P18" s="261"/>
      <c r="Q18" s="261"/>
      <c r="R18" s="261"/>
      <c r="S18" s="261"/>
      <c r="T18" s="261"/>
      <c r="U18" s="261"/>
      <c r="V18" s="261"/>
      <c r="W18" s="261"/>
      <c r="X18" s="261"/>
      <c r="Y18" s="249" t="s">
        <v>19</v>
      </c>
      <c r="Z18" s="249"/>
      <c r="AA18" s="249"/>
      <c r="AB18" s="249"/>
      <c r="AC18" s="249"/>
      <c r="AD18" s="249"/>
      <c r="AE18" s="249"/>
      <c r="AF18" s="249"/>
      <c r="AG18" s="249"/>
      <c r="AH18" s="249"/>
      <c r="AI18" s="259" t="str">
        <f>プロジェクト計画書!AI18 &amp; ""</f>
        <v/>
      </c>
      <c r="AJ18" s="259"/>
      <c r="AK18" s="259"/>
      <c r="AL18" s="259"/>
      <c r="AM18" s="259"/>
      <c r="AN18" s="259"/>
      <c r="AO18" s="259"/>
      <c r="AP18" s="259"/>
      <c r="AQ18" s="259"/>
      <c r="AR18" s="259"/>
      <c r="AS18" s="259"/>
      <c r="AT18" s="259"/>
      <c r="AU18" s="259"/>
    </row>
    <row r="19" spans="1:47" ht="16.5" customHeight="1">
      <c r="A19" s="33"/>
      <c r="B19" s="195" t="s">
        <v>127</v>
      </c>
      <c r="C19" s="196"/>
      <c r="D19" s="196"/>
      <c r="E19" s="196"/>
      <c r="F19" s="196"/>
      <c r="G19" s="196"/>
      <c r="H19" s="196"/>
      <c r="I19" s="196"/>
      <c r="J19" s="196"/>
      <c r="K19" s="197"/>
      <c r="L19" s="330"/>
      <c r="M19" s="331"/>
      <c r="N19" s="331"/>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2"/>
    </row>
    <row r="20" spans="1:47" ht="16.5" customHeight="1">
      <c r="A20" s="33"/>
      <c r="B20" s="198"/>
      <c r="C20" s="199"/>
      <c r="D20" s="199"/>
      <c r="E20" s="199"/>
      <c r="F20" s="199"/>
      <c r="G20" s="199"/>
      <c r="H20" s="199"/>
      <c r="I20" s="199"/>
      <c r="J20" s="199"/>
      <c r="K20" s="200"/>
      <c r="L20" s="333"/>
      <c r="M20" s="334"/>
      <c r="N20" s="334"/>
      <c r="O20" s="334"/>
      <c r="P20" s="334"/>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5"/>
    </row>
    <row r="21" spans="1:47" ht="16.5" customHeight="1">
      <c r="A21" s="33"/>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row>
    <row r="22" spans="1:47" ht="16.5" customHeight="1">
      <c r="B22" s="71" t="s">
        <v>20</v>
      </c>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row>
    <row r="23" spans="1:47" ht="16.5" customHeight="1">
      <c r="B23" s="260" t="s">
        <v>27</v>
      </c>
      <c r="C23" s="260"/>
      <c r="D23" s="260"/>
      <c r="E23" s="260"/>
      <c r="F23" s="260"/>
      <c r="G23" s="260"/>
      <c r="H23" s="260"/>
      <c r="I23" s="260"/>
      <c r="J23" s="260"/>
      <c r="K23" s="260"/>
      <c r="L23" s="337"/>
      <c r="M23" s="338"/>
      <c r="N23" s="338"/>
      <c r="O23" s="338"/>
      <c r="P23" s="338"/>
      <c r="Q23" s="338"/>
      <c r="R23" s="338"/>
      <c r="S23" s="338"/>
      <c r="T23" s="338"/>
      <c r="U23" s="338"/>
      <c r="V23" s="338"/>
      <c r="W23" s="338"/>
      <c r="X23" s="338"/>
      <c r="Y23" s="249" t="s">
        <v>28</v>
      </c>
      <c r="Z23" s="249"/>
      <c r="AA23" s="249"/>
      <c r="AB23" s="249"/>
      <c r="AC23" s="249"/>
      <c r="AD23" s="249"/>
      <c r="AE23" s="249"/>
      <c r="AF23" s="249"/>
      <c r="AG23" s="249"/>
      <c r="AH23" s="249"/>
      <c r="AI23" s="328"/>
      <c r="AJ23" s="329"/>
      <c r="AK23" s="329"/>
      <c r="AL23" s="329"/>
      <c r="AM23" s="329"/>
      <c r="AN23" s="329"/>
      <c r="AO23" s="329"/>
      <c r="AP23" s="329"/>
      <c r="AQ23" s="329"/>
      <c r="AR23" s="329"/>
      <c r="AS23" s="329"/>
      <c r="AT23" s="329"/>
      <c r="AU23" s="329"/>
    </row>
    <row r="24" spans="1:47" ht="16.5" customHeight="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row>
    <row r="25" spans="1:47" ht="16.5" customHeight="1">
      <c r="A25" s="33"/>
      <c r="B25" s="39" t="s">
        <v>7</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72"/>
    </row>
    <row r="26" spans="1:47" ht="16.5" customHeight="1">
      <c r="B26" s="195" t="s">
        <v>5</v>
      </c>
      <c r="C26" s="196"/>
      <c r="D26" s="196"/>
      <c r="E26" s="196"/>
      <c r="F26" s="196"/>
      <c r="G26" s="196"/>
      <c r="H26" s="196"/>
      <c r="I26" s="196"/>
      <c r="J26" s="196"/>
      <c r="K26" s="197"/>
      <c r="L26" s="253" t="str">
        <f>プロジェクト計画書!L21 &amp; ""</f>
        <v/>
      </c>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5"/>
    </row>
    <row r="27" spans="1:47" ht="16.5" customHeight="1">
      <c r="A27" s="73"/>
      <c r="B27" s="198"/>
      <c r="C27" s="199"/>
      <c r="D27" s="199"/>
      <c r="E27" s="199"/>
      <c r="F27" s="199"/>
      <c r="G27" s="199"/>
      <c r="H27" s="199"/>
      <c r="I27" s="199"/>
      <c r="J27" s="199"/>
      <c r="K27" s="200"/>
      <c r="L27" s="117"/>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9"/>
    </row>
    <row r="28" spans="1:47" ht="16.5" customHeight="1">
      <c r="B28" s="195" t="s">
        <v>53</v>
      </c>
      <c r="C28" s="196"/>
      <c r="D28" s="196"/>
      <c r="E28" s="196"/>
      <c r="F28" s="196"/>
      <c r="G28" s="196"/>
      <c r="H28" s="196"/>
      <c r="I28" s="196"/>
      <c r="J28" s="196"/>
      <c r="K28" s="197"/>
      <c r="L28" s="253" t="str">
        <f>プロジェクト計画書!L23 &amp; ""</f>
        <v/>
      </c>
      <c r="M28" s="254"/>
      <c r="N28" s="254"/>
      <c r="O28" s="254"/>
      <c r="P28" s="254"/>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5"/>
    </row>
    <row r="29" spans="1:47" ht="16.5" customHeight="1">
      <c r="B29" s="198"/>
      <c r="C29" s="199"/>
      <c r="D29" s="199"/>
      <c r="E29" s="199"/>
      <c r="F29" s="199"/>
      <c r="G29" s="199"/>
      <c r="H29" s="199"/>
      <c r="I29" s="199"/>
      <c r="J29" s="199"/>
      <c r="K29" s="200"/>
      <c r="L29" s="117"/>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9"/>
    </row>
    <row r="30" spans="1:47" ht="16.5" customHeight="1">
      <c r="B30" s="195" t="s">
        <v>15</v>
      </c>
      <c r="C30" s="196"/>
      <c r="D30" s="196"/>
      <c r="E30" s="196"/>
      <c r="F30" s="196"/>
      <c r="G30" s="196"/>
      <c r="H30" s="196"/>
      <c r="I30" s="196"/>
      <c r="J30" s="196"/>
      <c r="K30" s="197"/>
      <c r="L30" s="253" t="str">
        <f>プロジェクト計画書!L25 &amp; ""</f>
        <v/>
      </c>
      <c r="M30" s="254"/>
      <c r="N30" s="254"/>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5"/>
    </row>
    <row r="31" spans="1:47" ht="16.5" customHeight="1">
      <c r="B31" s="198"/>
      <c r="C31" s="199"/>
      <c r="D31" s="199"/>
      <c r="E31" s="199"/>
      <c r="F31" s="199"/>
      <c r="G31" s="199"/>
      <c r="H31" s="199"/>
      <c r="I31" s="199"/>
      <c r="J31" s="199"/>
      <c r="K31" s="200"/>
      <c r="L31" s="117"/>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9"/>
    </row>
    <row r="32" spans="1:47" s="44" customFormat="1" ht="16.5" customHeight="1">
      <c r="B32" s="183" t="s">
        <v>51</v>
      </c>
      <c r="C32" s="184"/>
      <c r="D32" s="184"/>
      <c r="E32" s="184"/>
      <c r="F32" s="184"/>
      <c r="G32" s="184"/>
      <c r="H32" s="184"/>
      <c r="I32" s="184"/>
      <c r="J32" s="184"/>
      <c r="K32" s="185"/>
      <c r="L32" s="253" t="str">
        <f>プロジェクト計画書!L27 &amp; ""</f>
        <v/>
      </c>
      <c r="M32" s="254"/>
      <c r="N32" s="254"/>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5"/>
    </row>
    <row r="33" spans="1:47" s="44" customFormat="1" ht="16.5" customHeight="1">
      <c r="B33" s="186"/>
      <c r="C33" s="187"/>
      <c r="D33" s="187"/>
      <c r="E33" s="187"/>
      <c r="F33" s="187"/>
      <c r="G33" s="187"/>
      <c r="H33" s="187"/>
      <c r="I33" s="187"/>
      <c r="J33" s="187"/>
      <c r="K33" s="188"/>
      <c r="L33" s="117"/>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9"/>
    </row>
    <row r="34" spans="1:47" ht="16.5" customHeight="1">
      <c r="B34" s="171" t="s">
        <v>129</v>
      </c>
      <c r="C34" s="171"/>
      <c r="D34" s="171"/>
      <c r="E34" s="171"/>
      <c r="F34" s="171"/>
      <c r="G34" s="171"/>
      <c r="H34" s="171"/>
      <c r="I34" s="171"/>
      <c r="J34" s="171"/>
      <c r="K34" s="171"/>
      <c r="L34" s="253" t="str">
        <f>プロジェクト計画書!L29 &amp; ""</f>
        <v/>
      </c>
      <c r="M34" s="254"/>
      <c r="N34" s="254"/>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5"/>
    </row>
    <row r="35" spans="1:47" ht="16.5" customHeight="1">
      <c r="B35" s="171"/>
      <c r="C35" s="171"/>
      <c r="D35" s="171"/>
      <c r="E35" s="171"/>
      <c r="F35" s="171"/>
      <c r="G35" s="171"/>
      <c r="H35" s="171"/>
      <c r="I35" s="171"/>
      <c r="J35" s="171"/>
      <c r="K35" s="171"/>
      <c r="L35" s="117"/>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9"/>
    </row>
    <row r="36" spans="1:47" ht="16.5" customHeight="1">
      <c r="A36" s="33"/>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row>
    <row r="37" spans="1:47" ht="16.5" customHeight="1">
      <c r="B37" s="71" t="s">
        <v>132</v>
      </c>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row>
    <row r="38" spans="1:47" ht="16.5" customHeight="1">
      <c r="B38" s="195" t="s">
        <v>26</v>
      </c>
      <c r="C38" s="196"/>
      <c r="D38" s="196"/>
      <c r="E38" s="196"/>
      <c r="F38" s="196"/>
      <c r="G38" s="196"/>
      <c r="H38" s="196"/>
      <c r="I38" s="196"/>
      <c r="J38" s="196"/>
      <c r="K38" s="197"/>
      <c r="L38" s="189"/>
      <c r="M38" s="190"/>
      <c r="N38" s="190"/>
      <c r="O38" s="190"/>
      <c r="P38" s="190"/>
      <c r="Q38" s="190"/>
      <c r="R38" s="190"/>
      <c r="S38" s="190"/>
      <c r="T38" s="190"/>
      <c r="U38" s="190"/>
      <c r="V38" s="190"/>
      <c r="W38" s="190"/>
      <c r="X38" s="190"/>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1"/>
    </row>
    <row r="39" spans="1:47" ht="16.5" customHeight="1">
      <c r="B39" s="198"/>
      <c r="C39" s="199"/>
      <c r="D39" s="199"/>
      <c r="E39" s="199"/>
      <c r="F39" s="199"/>
      <c r="G39" s="199"/>
      <c r="H39" s="199"/>
      <c r="I39" s="199"/>
      <c r="J39" s="199"/>
      <c r="K39" s="200"/>
      <c r="L39" s="192"/>
      <c r="M39" s="193"/>
      <c r="N39" s="193"/>
      <c r="O39" s="193"/>
      <c r="P39" s="193"/>
      <c r="Q39" s="193"/>
      <c r="R39" s="193"/>
      <c r="S39" s="193"/>
      <c r="T39" s="193"/>
      <c r="U39" s="193"/>
      <c r="V39" s="193"/>
      <c r="W39" s="193"/>
      <c r="X39" s="193"/>
      <c r="Y39" s="193"/>
      <c r="Z39" s="193"/>
      <c r="AA39" s="193"/>
      <c r="AB39" s="193"/>
      <c r="AC39" s="193"/>
      <c r="AD39" s="193"/>
      <c r="AE39" s="193"/>
      <c r="AF39" s="193"/>
      <c r="AG39" s="193"/>
      <c r="AH39" s="193"/>
      <c r="AI39" s="193"/>
      <c r="AJ39" s="193"/>
      <c r="AK39" s="193"/>
      <c r="AL39" s="193"/>
      <c r="AM39" s="193"/>
      <c r="AN39" s="193"/>
      <c r="AO39" s="193"/>
      <c r="AP39" s="193"/>
      <c r="AQ39" s="193"/>
      <c r="AR39" s="193"/>
      <c r="AS39" s="193"/>
      <c r="AT39" s="193"/>
      <c r="AU39" s="194"/>
    </row>
    <row r="40" spans="1:47" ht="16.5" customHeight="1">
      <c r="B40" s="195" t="s">
        <v>25</v>
      </c>
      <c r="C40" s="196"/>
      <c r="D40" s="196"/>
      <c r="E40" s="196"/>
      <c r="F40" s="196"/>
      <c r="G40" s="196"/>
      <c r="H40" s="196"/>
      <c r="I40" s="196"/>
      <c r="J40" s="196"/>
      <c r="K40" s="197"/>
      <c r="L40" s="189"/>
      <c r="M40" s="190"/>
      <c r="N40" s="190"/>
      <c r="O40" s="190"/>
      <c r="P40" s="190"/>
      <c r="Q40" s="190"/>
      <c r="R40" s="190"/>
      <c r="S40" s="190"/>
      <c r="T40" s="190"/>
      <c r="U40" s="190"/>
      <c r="V40" s="190"/>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1"/>
    </row>
    <row r="41" spans="1:47" ht="16.5" customHeight="1">
      <c r="B41" s="198"/>
      <c r="C41" s="199"/>
      <c r="D41" s="199"/>
      <c r="E41" s="199"/>
      <c r="F41" s="199"/>
      <c r="G41" s="199"/>
      <c r="H41" s="199"/>
      <c r="I41" s="199"/>
      <c r="J41" s="199"/>
      <c r="K41" s="200"/>
      <c r="L41" s="192"/>
      <c r="M41" s="193"/>
      <c r="N41" s="193"/>
      <c r="O41" s="193"/>
      <c r="P41" s="193"/>
      <c r="Q41" s="193"/>
      <c r="R41" s="193"/>
      <c r="S41" s="193"/>
      <c r="T41" s="193"/>
      <c r="U41" s="193"/>
      <c r="V41" s="193"/>
      <c r="W41" s="193"/>
      <c r="X41" s="193"/>
      <c r="Y41" s="193"/>
      <c r="Z41" s="193"/>
      <c r="AA41" s="193"/>
      <c r="AB41" s="193"/>
      <c r="AC41" s="193"/>
      <c r="AD41" s="193"/>
      <c r="AE41" s="193"/>
      <c r="AF41" s="193"/>
      <c r="AG41" s="193"/>
      <c r="AH41" s="193"/>
      <c r="AI41" s="193"/>
      <c r="AJ41" s="193"/>
      <c r="AK41" s="193"/>
      <c r="AL41" s="193"/>
      <c r="AM41" s="193"/>
      <c r="AN41" s="193"/>
      <c r="AO41" s="193"/>
      <c r="AP41" s="193"/>
      <c r="AQ41" s="193"/>
      <c r="AR41" s="193"/>
      <c r="AS41" s="193"/>
      <c r="AT41" s="193"/>
      <c r="AU41" s="194"/>
    </row>
    <row r="42" spans="1:47" ht="16.5" customHeight="1">
      <c r="B42" s="195" t="s">
        <v>49</v>
      </c>
      <c r="C42" s="196"/>
      <c r="D42" s="196"/>
      <c r="E42" s="196"/>
      <c r="F42" s="196"/>
      <c r="G42" s="196"/>
      <c r="H42" s="196"/>
      <c r="I42" s="196"/>
      <c r="J42" s="196"/>
      <c r="K42" s="197"/>
      <c r="L42" s="189"/>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1"/>
    </row>
    <row r="43" spans="1:47" ht="16.5" customHeight="1">
      <c r="B43" s="198"/>
      <c r="C43" s="199"/>
      <c r="D43" s="199"/>
      <c r="E43" s="199"/>
      <c r="F43" s="199"/>
      <c r="G43" s="199"/>
      <c r="H43" s="199"/>
      <c r="I43" s="199"/>
      <c r="J43" s="199"/>
      <c r="K43" s="200"/>
      <c r="L43" s="192"/>
      <c r="M43" s="193"/>
      <c r="N43" s="193"/>
      <c r="O43" s="193"/>
      <c r="P43" s="193"/>
      <c r="Q43" s="193"/>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4"/>
    </row>
    <row r="44" spans="1:47" ht="16.5" customHeight="1">
      <c r="B44" s="171" t="s">
        <v>130</v>
      </c>
      <c r="C44" s="171"/>
      <c r="D44" s="171"/>
      <c r="E44" s="171"/>
      <c r="F44" s="171"/>
      <c r="G44" s="171"/>
      <c r="H44" s="171"/>
      <c r="I44" s="171"/>
      <c r="J44" s="171"/>
      <c r="K44" s="171"/>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row>
    <row r="45" spans="1:47" ht="16.5" customHeight="1">
      <c r="B45" s="171"/>
      <c r="C45" s="171"/>
      <c r="D45" s="171"/>
      <c r="E45" s="171"/>
      <c r="F45" s="171"/>
      <c r="G45" s="171"/>
      <c r="H45" s="171"/>
      <c r="I45" s="171"/>
      <c r="J45" s="171"/>
      <c r="K45" s="171"/>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row>
    <row r="46" spans="1:47" ht="16.5" customHeight="1">
      <c r="A46" s="33"/>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row>
    <row r="47" spans="1:47" ht="16.5" customHeight="1">
      <c r="B47" s="71" t="s">
        <v>131</v>
      </c>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row>
    <row r="48" spans="1:47" ht="16.5" customHeight="1">
      <c r="B48" s="322" t="s">
        <v>118</v>
      </c>
      <c r="C48" s="323"/>
      <c r="D48" s="323"/>
      <c r="E48" s="323"/>
      <c r="F48" s="323"/>
      <c r="G48" s="323"/>
      <c r="H48" s="323"/>
      <c r="I48" s="323"/>
      <c r="J48" s="323"/>
      <c r="K48" s="324"/>
      <c r="L48" s="318"/>
      <c r="M48" s="318"/>
      <c r="N48" s="318"/>
      <c r="O48" s="318"/>
      <c r="P48" s="318"/>
      <c r="Q48" s="318"/>
      <c r="R48" s="318"/>
      <c r="S48" s="318"/>
      <c r="T48" s="318"/>
      <c r="U48" s="318"/>
      <c r="V48" s="318"/>
      <c r="W48" s="318"/>
      <c r="X48" s="319"/>
      <c r="Y48" s="183" t="s">
        <v>120</v>
      </c>
      <c r="Z48" s="184"/>
      <c r="AA48" s="184"/>
      <c r="AB48" s="184"/>
      <c r="AC48" s="184"/>
      <c r="AD48" s="184"/>
      <c r="AE48" s="184"/>
      <c r="AF48" s="184"/>
      <c r="AG48" s="184"/>
      <c r="AH48" s="185"/>
      <c r="AI48" s="189"/>
      <c r="AJ48" s="190"/>
      <c r="AK48" s="190"/>
      <c r="AL48" s="190"/>
      <c r="AM48" s="190"/>
      <c r="AN48" s="190"/>
      <c r="AO48" s="190"/>
      <c r="AP48" s="190"/>
      <c r="AQ48" s="190"/>
      <c r="AR48" s="190"/>
      <c r="AS48" s="190"/>
      <c r="AT48" s="190"/>
      <c r="AU48" s="191"/>
    </row>
    <row r="49" spans="1:47" ht="16.5" customHeight="1">
      <c r="B49" s="325"/>
      <c r="C49" s="326"/>
      <c r="D49" s="326"/>
      <c r="E49" s="326"/>
      <c r="F49" s="326"/>
      <c r="G49" s="326"/>
      <c r="H49" s="326"/>
      <c r="I49" s="326"/>
      <c r="J49" s="326"/>
      <c r="K49" s="327"/>
      <c r="L49" s="320"/>
      <c r="M49" s="320"/>
      <c r="N49" s="320"/>
      <c r="O49" s="320"/>
      <c r="P49" s="320"/>
      <c r="Q49" s="320"/>
      <c r="R49" s="320"/>
      <c r="S49" s="320"/>
      <c r="T49" s="320"/>
      <c r="U49" s="320"/>
      <c r="V49" s="320"/>
      <c r="W49" s="320"/>
      <c r="X49" s="321"/>
      <c r="Y49" s="186"/>
      <c r="Z49" s="187"/>
      <c r="AA49" s="187"/>
      <c r="AB49" s="187"/>
      <c r="AC49" s="187"/>
      <c r="AD49" s="187"/>
      <c r="AE49" s="187"/>
      <c r="AF49" s="187"/>
      <c r="AG49" s="187"/>
      <c r="AH49" s="188"/>
      <c r="AI49" s="192"/>
      <c r="AJ49" s="193"/>
      <c r="AK49" s="193"/>
      <c r="AL49" s="193"/>
      <c r="AM49" s="193"/>
      <c r="AN49" s="193"/>
      <c r="AO49" s="193"/>
      <c r="AP49" s="193"/>
      <c r="AQ49" s="193"/>
      <c r="AR49" s="193"/>
      <c r="AS49" s="193"/>
      <c r="AT49" s="193"/>
      <c r="AU49" s="194"/>
    </row>
    <row r="50" spans="1:47" ht="16.5" customHeight="1">
      <c r="B50" s="294" t="s">
        <v>182</v>
      </c>
      <c r="C50" s="295"/>
      <c r="D50" s="295"/>
      <c r="E50" s="295"/>
      <c r="F50" s="295"/>
      <c r="G50" s="295"/>
      <c r="H50" s="295"/>
      <c r="I50" s="295"/>
      <c r="J50" s="295"/>
      <c r="K50" s="296"/>
      <c r="L50" s="303"/>
      <c r="M50" s="303"/>
      <c r="N50" s="303"/>
      <c r="O50" s="303"/>
      <c r="P50" s="303"/>
      <c r="Q50" s="303"/>
      <c r="R50" s="303"/>
      <c r="S50" s="303"/>
      <c r="T50" s="303"/>
      <c r="U50" s="303"/>
      <c r="V50" s="303"/>
      <c r="W50" s="303"/>
      <c r="X50" s="304"/>
      <c r="Y50" s="294" t="s">
        <v>183</v>
      </c>
      <c r="Z50" s="307"/>
      <c r="AA50" s="307"/>
      <c r="AB50" s="307"/>
      <c r="AC50" s="307"/>
      <c r="AD50" s="307"/>
      <c r="AE50" s="307"/>
      <c r="AF50" s="307"/>
      <c r="AG50" s="307"/>
      <c r="AH50" s="308"/>
      <c r="AI50" s="312"/>
      <c r="AJ50" s="313"/>
      <c r="AK50" s="313"/>
      <c r="AL50" s="313"/>
      <c r="AM50" s="313"/>
      <c r="AN50" s="313"/>
      <c r="AO50" s="313"/>
      <c r="AP50" s="313"/>
      <c r="AQ50" s="313"/>
      <c r="AR50" s="313"/>
      <c r="AS50" s="313"/>
      <c r="AT50" s="313"/>
      <c r="AU50" s="314"/>
    </row>
    <row r="51" spans="1:47" ht="16.5" customHeight="1">
      <c r="B51" s="297"/>
      <c r="C51" s="298"/>
      <c r="D51" s="298"/>
      <c r="E51" s="298"/>
      <c r="F51" s="298"/>
      <c r="G51" s="298"/>
      <c r="H51" s="298"/>
      <c r="I51" s="298"/>
      <c r="J51" s="298"/>
      <c r="K51" s="299"/>
      <c r="L51" s="305"/>
      <c r="M51" s="305"/>
      <c r="N51" s="305"/>
      <c r="O51" s="305"/>
      <c r="P51" s="305"/>
      <c r="Q51" s="305"/>
      <c r="R51" s="305"/>
      <c r="S51" s="305"/>
      <c r="T51" s="305"/>
      <c r="U51" s="305"/>
      <c r="V51" s="305"/>
      <c r="W51" s="305"/>
      <c r="X51" s="306"/>
      <c r="Y51" s="309"/>
      <c r="Z51" s="310"/>
      <c r="AA51" s="310"/>
      <c r="AB51" s="310"/>
      <c r="AC51" s="310"/>
      <c r="AD51" s="310"/>
      <c r="AE51" s="310"/>
      <c r="AF51" s="310"/>
      <c r="AG51" s="310"/>
      <c r="AH51" s="311"/>
      <c r="AI51" s="315"/>
      <c r="AJ51" s="316"/>
      <c r="AK51" s="316"/>
      <c r="AL51" s="316"/>
      <c r="AM51" s="316"/>
      <c r="AN51" s="316"/>
      <c r="AO51" s="316"/>
      <c r="AP51" s="316"/>
      <c r="AQ51" s="316"/>
      <c r="AR51" s="316"/>
      <c r="AS51" s="316"/>
      <c r="AT51" s="316"/>
      <c r="AU51" s="317"/>
    </row>
    <row r="52" spans="1:47" ht="16.5" customHeight="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row>
    <row r="53" spans="1:47" s="66" customFormat="1" ht="16.5" customHeight="1">
      <c r="B53" s="49" t="s">
        <v>36</v>
      </c>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row>
    <row r="54" spans="1:47" ht="16.5" customHeight="1">
      <c r="A54" s="33"/>
      <c r="B54" s="210" t="s">
        <v>32</v>
      </c>
      <c r="C54" s="210"/>
      <c r="D54" s="210"/>
      <c r="E54" s="210"/>
      <c r="F54" s="210"/>
      <c r="G54" s="210"/>
      <c r="H54" s="210"/>
      <c r="I54" s="210"/>
      <c r="J54" s="210"/>
      <c r="K54" s="210"/>
      <c r="L54" s="211"/>
      <c r="M54" s="211"/>
      <c r="N54" s="211"/>
      <c r="O54" s="211"/>
      <c r="P54" s="211"/>
      <c r="Q54" s="211"/>
      <c r="R54" s="211"/>
      <c r="S54" s="211"/>
      <c r="T54" s="211"/>
      <c r="U54" s="211"/>
      <c r="V54" s="211"/>
      <c r="W54" s="211"/>
      <c r="X54" s="211"/>
      <c r="Y54" s="210" t="s">
        <v>33</v>
      </c>
      <c r="Z54" s="210"/>
      <c r="AA54" s="210"/>
      <c r="AB54" s="210"/>
      <c r="AC54" s="210"/>
      <c r="AD54" s="210"/>
      <c r="AE54" s="210"/>
      <c r="AF54" s="210"/>
      <c r="AG54" s="210"/>
      <c r="AH54" s="212"/>
      <c r="AI54" s="211"/>
      <c r="AJ54" s="211"/>
      <c r="AK54" s="211"/>
      <c r="AL54" s="211"/>
      <c r="AM54" s="211"/>
      <c r="AN54" s="211"/>
      <c r="AO54" s="211"/>
      <c r="AP54" s="211"/>
      <c r="AQ54" s="211"/>
      <c r="AR54" s="211"/>
      <c r="AS54" s="211"/>
      <c r="AT54" s="211"/>
      <c r="AU54" s="211"/>
    </row>
    <row r="55" spans="1:47" ht="16.5" customHeight="1">
      <c r="A55" s="33"/>
      <c r="B55" s="204" t="s">
        <v>34</v>
      </c>
      <c r="C55" s="205"/>
      <c r="D55" s="205"/>
      <c r="E55" s="205"/>
      <c r="F55" s="205"/>
      <c r="G55" s="205"/>
      <c r="H55" s="205"/>
      <c r="I55" s="205"/>
      <c r="J55" s="205"/>
      <c r="K55" s="206"/>
      <c r="L55" s="213"/>
      <c r="M55" s="214"/>
      <c r="N55" s="214"/>
      <c r="O55" s="214"/>
      <c r="P55" s="214"/>
      <c r="Q55" s="214"/>
      <c r="R55" s="214"/>
      <c r="S55" s="214"/>
      <c r="T55" s="214"/>
      <c r="U55" s="214"/>
      <c r="V55" s="214"/>
      <c r="W55" s="214"/>
      <c r="X55" s="215"/>
      <c r="Y55" s="210" t="s">
        <v>197</v>
      </c>
      <c r="Z55" s="210"/>
      <c r="AA55" s="210"/>
      <c r="AB55" s="210"/>
      <c r="AC55" s="210"/>
      <c r="AD55" s="210"/>
      <c r="AE55" s="210"/>
      <c r="AF55" s="210"/>
      <c r="AG55" s="210"/>
      <c r="AH55" s="212"/>
      <c r="AI55" s="211"/>
      <c r="AJ55" s="211"/>
      <c r="AK55" s="211"/>
      <c r="AL55" s="211"/>
      <c r="AM55" s="211"/>
      <c r="AN55" s="211"/>
      <c r="AO55" s="211"/>
      <c r="AP55" s="211"/>
      <c r="AQ55" s="211"/>
      <c r="AR55" s="211"/>
      <c r="AS55" s="211"/>
      <c r="AT55" s="211"/>
      <c r="AU55" s="211"/>
    </row>
    <row r="56" spans="1:47" ht="16.5" customHeight="1">
      <c r="A56" s="33"/>
      <c r="B56" s="212" t="s">
        <v>35</v>
      </c>
      <c r="C56" s="212"/>
      <c r="D56" s="212"/>
      <c r="E56" s="212"/>
      <c r="F56" s="212"/>
      <c r="G56" s="212"/>
      <c r="H56" s="212"/>
      <c r="I56" s="212"/>
      <c r="J56" s="212"/>
      <c r="K56" s="212"/>
      <c r="L56" s="216"/>
      <c r="M56" s="216"/>
      <c r="N56" s="216"/>
      <c r="O56" s="216"/>
      <c r="P56" s="216"/>
      <c r="Q56" s="216"/>
      <c r="R56" s="216"/>
      <c r="S56" s="216"/>
      <c r="T56" s="216"/>
      <c r="U56" s="216"/>
      <c r="V56" s="216"/>
      <c r="W56" s="216"/>
      <c r="X56" s="216"/>
      <c r="Y56" s="204" t="s">
        <v>223</v>
      </c>
      <c r="Z56" s="205"/>
      <c r="AA56" s="205"/>
      <c r="AB56" s="205"/>
      <c r="AC56" s="205"/>
      <c r="AD56" s="205"/>
      <c r="AE56" s="205"/>
      <c r="AF56" s="205"/>
      <c r="AG56" s="205"/>
      <c r="AH56" s="206"/>
      <c r="AI56" s="217">
        <f>(L54*4*4)+(AI54*4)+(L55*5)+(AI55*5)+(L56*7)</f>
        <v>0</v>
      </c>
      <c r="AJ56" s="218"/>
      <c r="AK56" s="218"/>
      <c r="AL56" s="218"/>
      <c r="AM56" s="218"/>
      <c r="AN56" s="218"/>
      <c r="AO56" s="218"/>
      <c r="AP56" s="218"/>
      <c r="AQ56" s="218"/>
      <c r="AR56" s="218"/>
      <c r="AS56" s="218"/>
      <c r="AT56" s="218"/>
      <c r="AU56" s="219"/>
    </row>
    <row r="57" spans="1:47" s="44" customFormat="1" ht="16.5" customHeight="1">
      <c r="A57" s="42"/>
      <c r="B57" s="204" t="s">
        <v>6</v>
      </c>
      <c r="C57" s="205"/>
      <c r="D57" s="205"/>
      <c r="E57" s="205"/>
      <c r="F57" s="205"/>
      <c r="G57" s="205"/>
      <c r="H57" s="205"/>
      <c r="I57" s="205"/>
      <c r="J57" s="205"/>
      <c r="K57" s="206"/>
      <c r="L57" s="207"/>
      <c r="M57" s="208"/>
      <c r="N57" s="208"/>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9"/>
    </row>
    <row r="58" spans="1:47" ht="16.5" customHeight="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row>
    <row r="59" spans="1:47" s="66" customFormat="1" ht="16.5" customHeight="1">
      <c r="B59" s="49" t="s">
        <v>37</v>
      </c>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row>
    <row r="60" spans="1:47" s="66" customFormat="1" ht="16.5" customHeight="1">
      <c r="B60" s="249" t="s">
        <v>38</v>
      </c>
      <c r="C60" s="249"/>
      <c r="D60" s="249"/>
      <c r="E60" s="249"/>
      <c r="F60" s="249"/>
      <c r="G60" s="249"/>
      <c r="H60" s="249"/>
      <c r="I60" s="249"/>
      <c r="J60" s="249"/>
      <c r="K60" s="249"/>
      <c r="L60" s="251"/>
      <c r="M60" s="251"/>
      <c r="N60" s="251"/>
      <c r="O60" s="251"/>
      <c r="P60" s="251"/>
      <c r="Q60" s="251"/>
      <c r="R60" s="251"/>
      <c r="S60" s="251"/>
      <c r="T60" s="251"/>
      <c r="U60" s="251"/>
      <c r="V60" s="251"/>
      <c r="W60" s="251"/>
      <c r="X60" s="251"/>
      <c r="Y60" s="249" t="s">
        <v>39</v>
      </c>
      <c r="Z60" s="249"/>
      <c r="AA60" s="249"/>
      <c r="AB60" s="249"/>
      <c r="AC60" s="249"/>
      <c r="AD60" s="249"/>
      <c r="AE60" s="249"/>
      <c r="AF60" s="249"/>
      <c r="AG60" s="249"/>
      <c r="AH60" s="249"/>
      <c r="AI60" s="251"/>
      <c r="AJ60" s="251"/>
      <c r="AK60" s="251"/>
      <c r="AL60" s="251"/>
      <c r="AM60" s="251"/>
      <c r="AN60" s="251"/>
      <c r="AO60" s="251"/>
      <c r="AP60" s="251"/>
      <c r="AQ60" s="251"/>
      <c r="AR60" s="251"/>
      <c r="AS60" s="251"/>
      <c r="AT60" s="251"/>
      <c r="AU60" s="251"/>
    </row>
    <row r="61" spans="1:47" s="66" customFormat="1" ht="16.5" customHeight="1">
      <c r="B61" s="249" t="s">
        <v>40</v>
      </c>
      <c r="C61" s="249"/>
      <c r="D61" s="249"/>
      <c r="E61" s="249"/>
      <c r="F61" s="249"/>
      <c r="G61" s="249"/>
      <c r="H61" s="249"/>
      <c r="I61" s="249"/>
      <c r="J61" s="249"/>
      <c r="K61" s="250"/>
      <c r="L61" s="288"/>
      <c r="M61" s="289"/>
      <c r="N61" s="289"/>
      <c r="O61" s="289"/>
      <c r="P61" s="289"/>
      <c r="Q61" s="289"/>
      <c r="R61" s="289"/>
      <c r="S61" s="289"/>
      <c r="T61" s="289"/>
      <c r="U61" s="289"/>
      <c r="V61" s="289"/>
      <c r="W61" s="289"/>
      <c r="X61" s="290"/>
      <c r="Y61" s="249" t="s">
        <v>41</v>
      </c>
      <c r="Z61" s="249"/>
      <c r="AA61" s="249"/>
      <c r="AB61" s="249"/>
      <c r="AC61" s="249"/>
      <c r="AD61" s="249"/>
      <c r="AE61" s="249"/>
      <c r="AF61" s="249"/>
      <c r="AG61" s="249"/>
      <c r="AH61" s="250"/>
      <c r="AI61" s="339"/>
      <c r="AJ61" s="339"/>
      <c r="AK61" s="339"/>
      <c r="AL61" s="339"/>
      <c r="AM61" s="339"/>
      <c r="AN61" s="339"/>
      <c r="AO61" s="339"/>
      <c r="AP61" s="339"/>
      <c r="AQ61" s="339"/>
      <c r="AR61" s="339"/>
      <c r="AS61" s="339"/>
      <c r="AT61" s="339"/>
      <c r="AU61" s="339"/>
    </row>
    <row r="62" spans="1:47" s="66" customFormat="1" ht="16.5" customHeight="1">
      <c r="B62" s="249" t="s">
        <v>188</v>
      </c>
      <c r="C62" s="249"/>
      <c r="D62" s="249"/>
      <c r="E62" s="249"/>
      <c r="F62" s="249"/>
      <c r="G62" s="249"/>
      <c r="H62" s="249"/>
      <c r="I62" s="249"/>
      <c r="J62" s="249"/>
      <c r="K62" s="250"/>
      <c r="L62" s="291" t="str">
        <f>IF(AI56=0,"",L60/(AI56/1000))</f>
        <v/>
      </c>
      <c r="M62" s="292"/>
      <c r="N62" s="292"/>
      <c r="O62" s="292"/>
      <c r="P62" s="292"/>
      <c r="Q62" s="292"/>
      <c r="R62" s="292"/>
      <c r="S62" s="292"/>
      <c r="T62" s="292"/>
      <c r="U62" s="292"/>
      <c r="V62" s="292"/>
      <c r="W62" s="292"/>
      <c r="X62" s="293"/>
      <c r="Y62" s="249" t="s">
        <v>190</v>
      </c>
      <c r="Z62" s="249"/>
      <c r="AA62" s="249"/>
      <c r="AB62" s="249"/>
      <c r="AC62" s="249"/>
      <c r="AD62" s="249"/>
      <c r="AE62" s="249"/>
      <c r="AF62" s="249"/>
      <c r="AG62" s="249"/>
      <c r="AH62" s="250"/>
      <c r="AI62" s="336" t="str">
        <f>IF(AI56=0,"",AI60/(AI56/1000))</f>
        <v/>
      </c>
      <c r="AJ62" s="336"/>
      <c r="AK62" s="336"/>
      <c r="AL62" s="336"/>
      <c r="AM62" s="336"/>
      <c r="AN62" s="336"/>
      <c r="AO62" s="336"/>
      <c r="AP62" s="336"/>
      <c r="AQ62" s="336"/>
      <c r="AR62" s="336"/>
      <c r="AS62" s="336"/>
      <c r="AT62" s="336"/>
      <c r="AU62" s="336"/>
    </row>
    <row r="63" spans="1:47" s="66" customFormat="1" ht="16.5" customHeight="1">
      <c r="B63" s="249" t="s">
        <v>189</v>
      </c>
      <c r="C63" s="249"/>
      <c r="D63" s="249"/>
      <c r="E63" s="249"/>
      <c r="F63" s="249"/>
      <c r="G63" s="249"/>
      <c r="H63" s="249"/>
      <c r="I63" s="249"/>
      <c r="J63" s="249"/>
      <c r="K63" s="250"/>
      <c r="L63" s="291" t="str">
        <f>IF(AI56=0,"",L61/(AI56/1000))</f>
        <v/>
      </c>
      <c r="M63" s="292"/>
      <c r="N63" s="292"/>
      <c r="O63" s="292"/>
      <c r="P63" s="292"/>
      <c r="Q63" s="292"/>
      <c r="R63" s="292"/>
      <c r="S63" s="292"/>
      <c r="T63" s="292"/>
      <c r="U63" s="292"/>
      <c r="V63" s="292"/>
      <c r="W63" s="292"/>
      <c r="X63" s="293"/>
      <c r="Y63" s="249" t="s">
        <v>191</v>
      </c>
      <c r="Z63" s="249"/>
      <c r="AA63" s="249"/>
      <c r="AB63" s="249"/>
      <c r="AC63" s="249"/>
      <c r="AD63" s="249"/>
      <c r="AE63" s="249"/>
      <c r="AF63" s="249"/>
      <c r="AG63" s="249"/>
      <c r="AH63" s="250"/>
      <c r="AI63" s="291" t="str">
        <f>IF(AI56=0,"",AI61/(AI56/1000))</f>
        <v/>
      </c>
      <c r="AJ63" s="292"/>
      <c r="AK63" s="292"/>
      <c r="AL63" s="292"/>
      <c r="AM63" s="292"/>
      <c r="AN63" s="292"/>
      <c r="AO63" s="292"/>
      <c r="AP63" s="292"/>
      <c r="AQ63" s="292"/>
      <c r="AR63" s="292"/>
      <c r="AS63" s="292"/>
      <c r="AT63" s="292"/>
      <c r="AU63" s="293"/>
    </row>
    <row r="64" spans="1:47" s="66" customFormat="1" ht="16.5" customHeight="1">
      <c r="B64" s="249" t="s">
        <v>284</v>
      </c>
      <c r="C64" s="249"/>
      <c r="D64" s="249"/>
      <c r="E64" s="249"/>
      <c r="F64" s="249"/>
      <c r="G64" s="249"/>
      <c r="H64" s="249"/>
      <c r="I64" s="249"/>
      <c r="J64" s="249"/>
      <c r="K64" s="250"/>
      <c r="L64" s="251"/>
      <c r="M64" s="251"/>
      <c r="N64" s="251"/>
      <c r="O64" s="251"/>
      <c r="P64" s="251"/>
      <c r="Q64" s="251"/>
      <c r="R64" s="251"/>
      <c r="S64" s="251"/>
      <c r="T64" s="251"/>
      <c r="U64" s="251"/>
      <c r="V64" s="251"/>
      <c r="W64" s="251"/>
      <c r="X64" s="251"/>
    </row>
    <row r="65" spans="2:47" s="66" customFormat="1" ht="16.5" customHeight="1">
      <c r="B65" s="49"/>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row>
    <row r="66" spans="2:47" s="66" customFormat="1" ht="16.5" customHeight="1">
      <c r="B66" s="49" t="s">
        <v>42</v>
      </c>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row>
    <row r="67" spans="2:47" s="66" customFormat="1" ht="16.5" customHeight="1">
      <c r="B67" s="249" t="s">
        <v>43</v>
      </c>
      <c r="C67" s="249"/>
      <c r="D67" s="249"/>
      <c r="E67" s="249"/>
      <c r="F67" s="249"/>
      <c r="G67" s="249"/>
      <c r="H67" s="249"/>
      <c r="I67" s="249"/>
      <c r="J67" s="249"/>
      <c r="K67" s="249"/>
      <c r="L67" s="251"/>
      <c r="M67" s="251"/>
      <c r="N67" s="251"/>
      <c r="O67" s="251"/>
      <c r="P67" s="251"/>
      <c r="Q67" s="251"/>
      <c r="R67" s="251"/>
      <c r="S67" s="251"/>
      <c r="T67" s="251"/>
      <c r="U67" s="251"/>
      <c r="V67" s="251"/>
      <c r="W67" s="251"/>
      <c r="X67" s="251"/>
      <c r="Y67" s="249" t="s">
        <v>44</v>
      </c>
      <c r="Z67" s="249"/>
      <c r="AA67" s="249"/>
      <c r="AB67" s="249"/>
      <c r="AC67" s="249"/>
      <c r="AD67" s="249"/>
      <c r="AE67" s="249"/>
      <c r="AF67" s="249"/>
      <c r="AG67" s="249"/>
      <c r="AH67" s="249"/>
      <c r="AI67" s="251"/>
      <c r="AJ67" s="251"/>
      <c r="AK67" s="251"/>
      <c r="AL67" s="251"/>
      <c r="AM67" s="251"/>
      <c r="AN67" s="251"/>
      <c r="AO67" s="251"/>
      <c r="AP67" s="251"/>
      <c r="AQ67" s="251"/>
      <c r="AR67" s="251"/>
      <c r="AS67" s="251"/>
      <c r="AT67" s="251"/>
      <c r="AU67" s="251"/>
    </row>
    <row r="68" spans="2:47" s="66" customFormat="1" ht="16.5" customHeight="1">
      <c r="B68" s="195" t="s">
        <v>45</v>
      </c>
      <c r="C68" s="196"/>
      <c r="D68" s="196"/>
      <c r="E68" s="196"/>
      <c r="F68" s="196"/>
      <c r="G68" s="196"/>
      <c r="H68" s="196"/>
      <c r="I68" s="196"/>
      <c r="J68" s="196"/>
      <c r="K68" s="197"/>
      <c r="L68" s="189"/>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c r="AU68" s="191"/>
    </row>
    <row r="69" spans="2:47" s="66" customFormat="1" ht="16.5" customHeight="1">
      <c r="B69" s="300"/>
      <c r="C69" s="301"/>
      <c r="D69" s="301"/>
      <c r="E69" s="301"/>
      <c r="F69" s="301"/>
      <c r="G69" s="301"/>
      <c r="H69" s="301"/>
      <c r="I69" s="301"/>
      <c r="J69" s="301"/>
      <c r="K69" s="302"/>
      <c r="L69" s="285"/>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6"/>
      <c r="AK69" s="286"/>
      <c r="AL69" s="286"/>
      <c r="AM69" s="286"/>
      <c r="AN69" s="286"/>
      <c r="AO69" s="286"/>
      <c r="AP69" s="286"/>
      <c r="AQ69" s="286"/>
      <c r="AR69" s="286"/>
      <c r="AS69" s="286"/>
      <c r="AT69" s="286"/>
      <c r="AU69" s="287"/>
    </row>
    <row r="70" spans="2:47" s="66" customFormat="1" ht="16.5" customHeight="1">
      <c r="B70" s="198"/>
      <c r="C70" s="199"/>
      <c r="D70" s="199"/>
      <c r="E70" s="199"/>
      <c r="F70" s="199"/>
      <c r="G70" s="199"/>
      <c r="H70" s="199"/>
      <c r="I70" s="199"/>
      <c r="J70" s="199"/>
      <c r="K70" s="200"/>
      <c r="L70" s="192"/>
      <c r="M70" s="193"/>
      <c r="N70" s="193"/>
      <c r="O70" s="193"/>
      <c r="P70" s="193"/>
      <c r="Q70" s="193"/>
      <c r="R70" s="193"/>
      <c r="S70" s="193"/>
      <c r="T70" s="193"/>
      <c r="U70" s="193"/>
      <c r="V70" s="193"/>
      <c r="W70" s="193"/>
      <c r="X70" s="193"/>
      <c r="Y70" s="193"/>
      <c r="Z70" s="193"/>
      <c r="AA70" s="193"/>
      <c r="AB70" s="193"/>
      <c r="AC70" s="193"/>
      <c r="AD70" s="193"/>
      <c r="AE70" s="193"/>
      <c r="AF70" s="193"/>
      <c r="AG70" s="193"/>
      <c r="AH70" s="193"/>
      <c r="AI70" s="193"/>
      <c r="AJ70" s="193"/>
      <c r="AK70" s="193"/>
      <c r="AL70" s="193"/>
      <c r="AM70" s="193"/>
      <c r="AN70" s="193"/>
      <c r="AO70" s="193"/>
      <c r="AP70" s="193"/>
      <c r="AQ70" s="193"/>
      <c r="AR70" s="193"/>
      <c r="AS70" s="193"/>
      <c r="AT70" s="193"/>
      <c r="AU70" s="194"/>
    </row>
    <row r="71" spans="2:47" s="66" customFormat="1" ht="16.5" customHeight="1">
      <c r="B71" s="195" t="s">
        <v>46</v>
      </c>
      <c r="C71" s="196"/>
      <c r="D71" s="196"/>
      <c r="E71" s="196"/>
      <c r="F71" s="196"/>
      <c r="G71" s="196"/>
      <c r="H71" s="196"/>
      <c r="I71" s="196"/>
      <c r="J71" s="196"/>
      <c r="K71" s="197"/>
      <c r="L71" s="189"/>
      <c r="M71" s="190"/>
      <c r="N71" s="190"/>
      <c r="O71" s="190"/>
      <c r="P71" s="190"/>
      <c r="Q71" s="190"/>
      <c r="R71" s="190"/>
      <c r="S71" s="190"/>
      <c r="T71" s="190"/>
      <c r="U71" s="190"/>
      <c r="V71" s="190"/>
      <c r="W71" s="190"/>
      <c r="X71" s="190"/>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1"/>
    </row>
    <row r="72" spans="2:47" s="66" customFormat="1" ht="16.5" customHeight="1">
      <c r="B72" s="300"/>
      <c r="C72" s="301"/>
      <c r="D72" s="301"/>
      <c r="E72" s="301"/>
      <c r="F72" s="301"/>
      <c r="G72" s="301"/>
      <c r="H72" s="301"/>
      <c r="I72" s="301"/>
      <c r="J72" s="301"/>
      <c r="K72" s="302"/>
      <c r="L72" s="285"/>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7"/>
    </row>
    <row r="73" spans="2:47" s="66" customFormat="1" ht="16.5" customHeight="1">
      <c r="B73" s="198"/>
      <c r="C73" s="199"/>
      <c r="D73" s="199"/>
      <c r="E73" s="199"/>
      <c r="F73" s="199"/>
      <c r="G73" s="199"/>
      <c r="H73" s="199"/>
      <c r="I73" s="199"/>
      <c r="J73" s="199"/>
      <c r="K73" s="200"/>
      <c r="L73" s="192"/>
      <c r="M73" s="193"/>
      <c r="N73" s="193"/>
      <c r="O73" s="193"/>
      <c r="P73" s="193"/>
      <c r="Q73" s="193"/>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193"/>
      <c r="AS73" s="193"/>
      <c r="AT73" s="193"/>
      <c r="AU73" s="194"/>
    </row>
    <row r="74" spans="2:47" s="66" customFormat="1" ht="16.5" customHeight="1">
      <c r="B74" s="195" t="s">
        <v>47</v>
      </c>
      <c r="C74" s="196"/>
      <c r="D74" s="196"/>
      <c r="E74" s="196"/>
      <c r="F74" s="196"/>
      <c r="G74" s="196"/>
      <c r="H74" s="196"/>
      <c r="I74" s="196"/>
      <c r="J74" s="196"/>
      <c r="K74" s="197"/>
      <c r="L74" s="189"/>
      <c r="M74" s="190"/>
      <c r="N74" s="190"/>
      <c r="O74" s="190"/>
      <c r="P74" s="190"/>
      <c r="Q74" s="190"/>
      <c r="R74" s="190"/>
      <c r="S74" s="190"/>
      <c r="T74" s="190"/>
      <c r="U74" s="190"/>
      <c r="V74" s="190"/>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1"/>
    </row>
    <row r="75" spans="2:47" s="66" customFormat="1" ht="16.5" customHeight="1">
      <c r="B75" s="300"/>
      <c r="C75" s="301"/>
      <c r="D75" s="301"/>
      <c r="E75" s="301"/>
      <c r="F75" s="301"/>
      <c r="G75" s="301"/>
      <c r="H75" s="301"/>
      <c r="I75" s="301"/>
      <c r="J75" s="301"/>
      <c r="K75" s="302"/>
      <c r="L75" s="285"/>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7"/>
    </row>
    <row r="76" spans="2:47" s="66" customFormat="1" ht="16.5" customHeight="1">
      <c r="B76" s="198"/>
      <c r="C76" s="199"/>
      <c r="D76" s="199"/>
      <c r="E76" s="199"/>
      <c r="F76" s="199"/>
      <c r="G76" s="199"/>
      <c r="H76" s="199"/>
      <c r="I76" s="199"/>
      <c r="J76" s="199"/>
      <c r="K76" s="200"/>
      <c r="L76" s="192"/>
      <c r="M76" s="193"/>
      <c r="N76" s="193"/>
      <c r="O76" s="193"/>
      <c r="P76" s="193"/>
      <c r="Q76" s="193"/>
      <c r="R76" s="193"/>
      <c r="S76" s="193"/>
      <c r="T76" s="193"/>
      <c r="U76" s="193"/>
      <c r="V76" s="193"/>
      <c r="W76" s="193"/>
      <c r="X76" s="193"/>
      <c r="Y76" s="193"/>
      <c r="Z76" s="193"/>
      <c r="AA76" s="193"/>
      <c r="AB76" s="193"/>
      <c r="AC76" s="193"/>
      <c r="AD76" s="193"/>
      <c r="AE76" s="193"/>
      <c r="AF76" s="193"/>
      <c r="AG76" s="193"/>
      <c r="AH76" s="193"/>
      <c r="AI76" s="193"/>
      <c r="AJ76" s="193"/>
      <c r="AK76" s="193"/>
      <c r="AL76" s="193"/>
      <c r="AM76" s="193"/>
      <c r="AN76" s="193"/>
      <c r="AO76" s="193"/>
      <c r="AP76" s="193"/>
      <c r="AQ76" s="193"/>
      <c r="AR76" s="193"/>
      <c r="AS76" s="193"/>
      <c r="AT76" s="193"/>
      <c r="AU76" s="194"/>
    </row>
    <row r="77" spans="2:47" ht="16.5" customHeight="1">
      <c r="B77" s="171" t="s">
        <v>117</v>
      </c>
      <c r="C77" s="171"/>
      <c r="D77" s="171"/>
      <c r="E77" s="171"/>
      <c r="F77" s="171"/>
      <c r="G77" s="171"/>
      <c r="H77" s="171"/>
      <c r="I77" s="171"/>
      <c r="J77" s="171"/>
      <c r="K77" s="171"/>
      <c r="L77" s="182"/>
      <c r="M77" s="182"/>
      <c r="N77" s="182"/>
      <c r="O77" s="182"/>
      <c r="P77" s="182"/>
      <c r="Q77" s="182"/>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182"/>
      <c r="AQ77" s="182"/>
      <c r="AR77" s="182"/>
      <c r="AS77" s="182"/>
      <c r="AT77" s="182"/>
      <c r="AU77" s="182"/>
    </row>
    <row r="78" spans="2:47" ht="16.5" customHeight="1">
      <c r="B78" s="171"/>
      <c r="C78" s="171"/>
      <c r="D78" s="171"/>
      <c r="E78" s="171"/>
      <c r="F78" s="171"/>
      <c r="G78" s="171"/>
      <c r="H78" s="171"/>
      <c r="I78" s="171"/>
      <c r="J78" s="171"/>
      <c r="K78" s="171"/>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182"/>
      <c r="AQ78" s="182"/>
      <c r="AR78" s="182"/>
      <c r="AS78" s="182"/>
      <c r="AT78" s="182"/>
      <c r="AU78" s="182"/>
    </row>
    <row r="79" spans="2:47" ht="16.5" customHeight="1">
      <c r="B79" s="171"/>
      <c r="C79" s="171"/>
      <c r="D79" s="171"/>
      <c r="E79" s="171"/>
      <c r="F79" s="171"/>
      <c r="G79" s="171"/>
      <c r="H79" s="171"/>
      <c r="I79" s="171"/>
      <c r="J79" s="171"/>
      <c r="K79" s="171"/>
      <c r="L79" s="182"/>
      <c r="M79" s="182"/>
      <c r="N79" s="182"/>
      <c r="O79" s="182"/>
      <c r="P79" s="182"/>
      <c r="Q79" s="182"/>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182"/>
      <c r="AQ79" s="182"/>
      <c r="AR79" s="182"/>
      <c r="AS79" s="182"/>
      <c r="AT79" s="182"/>
      <c r="AU79" s="182"/>
    </row>
    <row r="80" spans="2:47" s="66" customFormat="1" ht="16.5" customHeight="1">
      <c r="B80" s="49"/>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row>
    <row r="81" spans="2:47" s="66" customFormat="1" ht="16.5" customHeight="1">
      <c r="B81" s="62" t="s">
        <v>247</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row>
    <row r="82" spans="2:47" s="66" customFormat="1" ht="16.5" customHeight="1">
      <c r="B82" s="147" t="s">
        <v>227</v>
      </c>
      <c r="C82" s="148"/>
      <c r="D82" s="148"/>
      <c r="E82" s="148"/>
      <c r="F82" s="148"/>
      <c r="G82" s="148"/>
      <c r="H82" s="148"/>
      <c r="I82" s="148"/>
      <c r="J82" s="148"/>
      <c r="K82" s="149"/>
      <c r="L82" s="126" t="s">
        <v>225</v>
      </c>
      <c r="M82" s="127"/>
      <c r="N82" s="127"/>
      <c r="O82" s="128"/>
      <c r="P82" s="126" t="s">
        <v>226</v>
      </c>
      <c r="Q82" s="127"/>
      <c r="R82" s="127"/>
      <c r="S82" s="128"/>
      <c r="T82" s="126" t="s">
        <v>236</v>
      </c>
      <c r="U82" s="127"/>
      <c r="V82" s="127"/>
      <c r="W82" s="128"/>
      <c r="X82" s="126" t="s">
        <v>237</v>
      </c>
      <c r="Y82" s="127"/>
      <c r="Z82" s="127"/>
      <c r="AA82" s="128"/>
      <c r="AB82" s="126" t="s">
        <v>238</v>
      </c>
      <c r="AC82" s="127"/>
      <c r="AD82" s="127"/>
      <c r="AE82" s="128"/>
      <c r="AF82" s="126" t="s">
        <v>240</v>
      </c>
      <c r="AG82" s="127"/>
      <c r="AH82" s="127"/>
      <c r="AI82" s="128"/>
      <c r="AJ82" s="126" t="s">
        <v>239</v>
      </c>
      <c r="AK82" s="127"/>
      <c r="AL82" s="127"/>
      <c r="AM82" s="128"/>
      <c r="AN82" s="126" t="s">
        <v>241</v>
      </c>
      <c r="AO82" s="127"/>
      <c r="AP82" s="127"/>
      <c r="AQ82" s="128"/>
      <c r="AR82" s="126" t="s">
        <v>242</v>
      </c>
      <c r="AS82" s="127"/>
      <c r="AT82" s="127"/>
      <c r="AU82" s="128"/>
    </row>
    <row r="83" spans="2:47" s="66" customFormat="1" ht="16.5" customHeight="1">
      <c r="B83" s="144" t="s">
        <v>245</v>
      </c>
      <c r="C83" s="145"/>
      <c r="D83" s="145"/>
      <c r="E83" s="145"/>
      <c r="F83" s="145"/>
      <c r="G83" s="145"/>
      <c r="H83" s="145"/>
      <c r="I83" s="145"/>
      <c r="J83" s="145"/>
      <c r="K83" s="146"/>
      <c r="L83" s="135"/>
      <c r="M83" s="136"/>
      <c r="N83" s="136"/>
      <c r="O83" s="137"/>
      <c r="P83" s="135"/>
      <c r="Q83" s="136"/>
      <c r="R83" s="136"/>
      <c r="S83" s="137"/>
      <c r="T83" s="141" t="str">
        <f t="shared" ref="T83:T91" si="0">IF(OR(L83="",P83=""),"",(P83-L83)/30)</f>
        <v/>
      </c>
      <c r="U83" s="142"/>
      <c r="V83" s="142"/>
      <c r="W83" s="143"/>
      <c r="X83" s="138"/>
      <c r="Y83" s="139"/>
      <c r="Z83" s="139"/>
      <c r="AA83" s="140"/>
      <c r="AB83" s="132"/>
      <c r="AC83" s="133"/>
      <c r="AD83" s="133"/>
      <c r="AE83" s="134"/>
      <c r="AF83" s="114" t="str">
        <f>IF(X83="","",AB83/X83)</f>
        <v/>
      </c>
      <c r="AG83" s="115"/>
      <c r="AH83" s="115"/>
      <c r="AI83" s="116"/>
      <c r="AJ83" s="132"/>
      <c r="AK83" s="133"/>
      <c r="AL83" s="133"/>
      <c r="AM83" s="134"/>
      <c r="AN83" s="114" t="str">
        <f>IF(AB83="","",AB83-AJ83)</f>
        <v/>
      </c>
      <c r="AO83" s="115"/>
      <c r="AP83" s="115"/>
      <c r="AQ83" s="116"/>
      <c r="AR83" s="129" t="str">
        <f>IF(AB83="","",AN83/AB83)</f>
        <v/>
      </c>
      <c r="AS83" s="130"/>
      <c r="AT83" s="130"/>
      <c r="AU83" s="131"/>
    </row>
    <row r="84" spans="2:47" s="66" customFormat="1" ht="16.5" customHeight="1">
      <c r="B84" s="144" t="s">
        <v>228</v>
      </c>
      <c r="C84" s="145"/>
      <c r="D84" s="145"/>
      <c r="E84" s="145"/>
      <c r="F84" s="145"/>
      <c r="G84" s="145"/>
      <c r="H84" s="145"/>
      <c r="I84" s="145"/>
      <c r="J84" s="145"/>
      <c r="K84" s="146"/>
      <c r="L84" s="135"/>
      <c r="M84" s="136"/>
      <c r="N84" s="136"/>
      <c r="O84" s="137"/>
      <c r="P84" s="135"/>
      <c r="Q84" s="136"/>
      <c r="R84" s="136"/>
      <c r="S84" s="137"/>
      <c r="T84" s="141" t="str">
        <f t="shared" si="0"/>
        <v/>
      </c>
      <c r="U84" s="142"/>
      <c r="V84" s="142"/>
      <c r="W84" s="143"/>
      <c r="X84" s="138"/>
      <c r="Y84" s="139"/>
      <c r="Z84" s="139"/>
      <c r="AA84" s="140"/>
      <c r="AB84" s="132"/>
      <c r="AC84" s="133"/>
      <c r="AD84" s="133"/>
      <c r="AE84" s="134"/>
      <c r="AF84" s="114" t="str">
        <f>IF(X84="","",AB84/X84)</f>
        <v/>
      </c>
      <c r="AG84" s="115"/>
      <c r="AH84" s="115"/>
      <c r="AI84" s="116"/>
      <c r="AJ84" s="132"/>
      <c r="AK84" s="133"/>
      <c r="AL84" s="133"/>
      <c r="AM84" s="134"/>
      <c r="AN84" s="114" t="str">
        <f t="shared" ref="AN84:AN92" si="1">IF(AB84="","",AB84-AJ84)</f>
        <v/>
      </c>
      <c r="AO84" s="115"/>
      <c r="AP84" s="115"/>
      <c r="AQ84" s="116"/>
      <c r="AR84" s="129" t="str">
        <f t="shared" ref="AR84:AR92" si="2">IF(AB84="","",AN84/AB84)</f>
        <v/>
      </c>
      <c r="AS84" s="130"/>
      <c r="AT84" s="130"/>
      <c r="AU84" s="131"/>
    </row>
    <row r="85" spans="2:47" s="66" customFormat="1" ht="16.5" customHeight="1">
      <c r="B85" s="144" t="s">
        <v>229</v>
      </c>
      <c r="C85" s="145"/>
      <c r="D85" s="145"/>
      <c r="E85" s="145"/>
      <c r="F85" s="145"/>
      <c r="G85" s="145"/>
      <c r="H85" s="145"/>
      <c r="I85" s="145"/>
      <c r="J85" s="145"/>
      <c r="K85" s="146"/>
      <c r="L85" s="135"/>
      <c r="M85" s="136"/>
      <c r="N85" s="136"/>
      <c r="O85" s="137"/>
      <c r="P85" s="135"/>
      <c r="Q85" s="136"/>
      <c r="R85" s="136"/>
      <c r="S85" s="137"/>
      <c r="T85" s="141" t="str">
        <f t="shared" si="0"/>
        <v/>
      </c>
      <c r="U85" s="142"/>
      <c r="V85" s="142"/>
      <c r="W85" s="143"/>
      <c r="X85" s="138"/>
      <c r="Y85" s="139"/>
      <c r="Z85" s="139"/>
      <c r="AA85" s="140"/>
      <c r="AB85" s="132"/>
      <c r="AC85" s="133"/>
      <c r="AD85" s="133"/>
      <c r="AE85" s="134"/>
      <c r="AF85" s="114" t="str">
        <f t="shared" ref="AF85:AF91" si="3">IF(X85="","",AB85/X85)</f>
        <v/>
      </c>
      <c r="AG85" s="115"/>
      <c r="AH85" s="115"/>
      <c r="AI85" s="116"/>
      <c r="AJ85" s="132"/>
      <c r="AK85" s="133"/>
      <c r="AL85" s="133"/>
      <c r="AM85" s="134"/>
      <c r="AN85" s="114" t="str">
        <f t="shared" si="1"/>
        <v/>
      </c>
      <c r="AO85" s="115"/>
      <c r="AP85" s="115"/>
      <c r="AQ85" s="116"/>
      <c r="AR85" s="129" t="str">
        <f t="shared" si="2"/>
        <v/>
      </c>
      <c r="AS85" s="130"/>
      <c r="AT85" s="130"/>
      <c r="AU85" s="131"/>
    </row>
    <row r="86" spans="2:47" s="66" customFormat="1" ht="16.5" customHeight="1">
      <c r="B86" s="144" t="s">
        <v>230</v>
      </c>
      <c r="C86" s="145"/>
      <c r="D86" s="145"/>
      <c r="E86" s="145"/>
      <c r="F86" s="145"/>
      <c r="G86" s="145"/>
      <c r="H86" s="145"/>
      <c r="I86" s="145"/>
      <c r="J86" s="145"/>
      <c r="K86" s="146"/>
      <c r="L86" s="135"/>
      <c r="M86" s="136"/>
      <c r="N86" s="136"/>
      <c r="O86" s="137"/>
      <c r="P86" s="135"/>
      <c r="Q86" s="136"/>
      <c r="R86" s="136"/>
      <c r="S86" s="137"/>
      <c r="T86" s="141" t="str">
        <f t="shared" si="0"/>
        <v/>
      </c>
      <c r="U86" s="142"/>
      <c r="V86" s="142"/>
      <c r="W86" s="143"/>
      <c r="X86" s="138"/>
      <c r="Y86" s="139"/>
      <c r="Z86" s="139"/>
      <c r="AA86" s="140"/>
      <c r="AB86" s="132"/>
      <c r="AC86" s="133"/>
      <c r="AD86" s="133"/>
      <c r="AE86" s="134"/>
      <c r="AF86" s="114" t="str">
        <f t="shared" si="3"/>
        <v/>
      </c>
      <c r="AG86" s="115"/>
      <c r="AH86" s="115"/>
      <c r="AI86" s="116"/>
      <c r="AJ86" s="132"/>
      <c r="AK86" s="133"/>
      <c r="AL86" s="133"/>
      <c r="AM86" s="134"/>
      <c r="AN86" s="114" t="str">
        <f t="shared" si="1"/>
        <v/>
      </c>
      <c r="AO86" s="115"/>
      <c r="AP86" s="115"/>
      <c r="AQ86" s="116"/>
      <c r="AR86" s="129" t="str">
        <f t="shared" si="2"/>
        <v/>
      </c>
      <c r="AS86" s="130"/>
      <c r="AT86" s="130"/>
      <c r="AU86" s="131"/>
    </row>
    <row r="87" spans="2:47" s="66" customFormat="1" ht="16.5" customHeight="1">
      <c r="B87" s="144" t="s">
        <v>231</v>
      </c>
      <c r="C87" s="145"/>
      <c r="D87" s="145"/>
      <c r="E87" s="145"/>
      <c r="F87" s="145"/>
      <c r="G87" s="145"/>
      <c r="H87" s="145"/>
      <c r="I87" s="145"/>
      <c r="J87" s="145"/>
      <c r="K87" s="146"/>
      <c r="L87" s="135"/>
      <c r="M87" s="136"/>
      <c r="N87" s="136"/>
      <c r="O87" s="137"/>
      <c r="P87" s="135"/>
      <c r="Q87" s="136"/>
      <c r="R87" s="136"/>
      <c r="S87" s="137"/>
      <c r="T87" s="141" t="str">
        <f t="shared" si="0"/>
        <v/>
      </c>
      <c r="U87" s="142"/>
      <c r="V87" s="142"/>
      <c r="W87" s="143"/>
      <c r="X87" s="138"/>
      <c r="Y87" s="139"/>
      <c r="Z87" s="139"/>
      <c r="AA87" s="140"/>
      <c r="AB87" s="132"/>
      <c r="AC87" s="133"/>
      <c r="AD87" s="133"/>
      <c r="AE87" s="134"/>
      <c r="AF87" s="114" t="str">
        <f t="shared" si="3"/>
        <v/>
      </c>
      <c r="AG87" s="115"/>
      <c r="AH87" s="115"/>
      <c r="AI87" s="116"/>
      <c r="AJ87" s="132"/>
      <c r="AK87" s="133"/>
      <c r="AL87" s="133"/>
      <c r="AM87" s="134"/>
      <c r="AN87" s="114" t="str">
        <f t="shared" si="1"/>
        <v/>
      </c>
      <c r="AO87" s="115"/>
      <c r="AP87" s="115"/>
      <c r="AQ87" s="116"/>
      <c r="AR87" s="129" t="str">
        <f t="shared" si="2"/>
        <v/>
      </c>
      <c r="AS87" s="130"/>
      <c r="AT87" s="130"/>
      <c r="AU87" s="131"/>
    </row>
    <row r="88" spans="2:47" ht="16.5" customHeight="1">
      <c r="B88" s="144" t="s">
        <v>232</v>
      </c>
      <c r="C88" s="145"/>
      <c r="D88" s="145"/>
      <c r="E88" s="145"/>
      <c r="F88" s="145"/>
      <c r="G88" s="145"/>
      <c r="H88" s="145"/>
      <c r="I88" s="145"/>
      <c r="J88" s="145"/>
      <c r="K88" s="146"/>
      <c r="L88" s="135"/>
      <c r="M88" s="136"/>
      <c r="N88" s="136"/>
      <c r="O88" s="137"/>
      <c r="P88" s="135"/>
      <c r="Q88" s="136"/>
      <c r="R88" s="136"/>
      <c r="S88" s="137"/>
      <c r="T88" s="141" t="str">
        <f t="shared" si="0"/>
        <v/>
      </c>
      <c r="U88" s="142"/>
      <c r="V88" s="142"/>
      <c r="W88" s="143"/>
      <c r="X88" s="138"/>
      <c r="Y88" s="139"/>
      <c r="Z88" s="139"/>
      <c r="AA88" s="140"/>
      <c r="AB88" s="132"/>
      <c r="AC88" s="133"/>
      <c r="AD88" s="133"/>
      <c r="AE88" s="134"/>
      <c r="AF88" s="114" t="str">
        <f t="shared" si="3"/>
        <v/>
      </c>
      <c r="AG88" s="115"/>
      <c r="AH88" s="115"/>
      <c r="AI88" s="116"/>
      <c r="AJ88" s="132"/>
      <c r="AK88" s="133"/>
      <c r="AL88" s="133"/>
      <c r="AM88" s="134"/>
      <c r="AN88" s="114" t="str">
        <f t="shared" si="1"/>
        <v/>
      </c>
      <c r="AO88" s="115"/>
      <c r="AP88" s="115"/>
      <c r="AQ88" s="116"/>
      <c r="AR88" s="129" t="str">
        <f t="shared" si="2"/>
        <v/>
      </c>
      <c r="AS88" s="130"/>
      <c r="AT88" s="130"/>
      <c r="AU88" s="131"/>
    </row>
    <row r="89" spans="2:47" ht="16.5" customHeight="1">
      <c r="B89" s="144" t="s">
        <v>233</v>
      </c>
      <c r="C89" s="145"/>
      <c r="D89" s="145"/>
      <c r="E89" s="145"/>
      <c r="F89" s="145"/>
      <c r="G89" s="145"/>
      <c r="H89" s="145"/>
      <c r="I89" s="145"/>
      <c r="J89" s="145"/>
      <c r="K89" s="146"/>
      <c r="L89" s="135"/>
      <c r="M89" s="136"/>
      <c r="N89" s="136"/>
      <c r="O89" s="137"/>
      <c r="P89" s="135"/>
      <c r="Q89" s="136"/>
      <c r="R89" s="136"/>
      <c r="S89" s="137"/>
      <c r="T89" s="141" t="str">
        <f t="shared" si="0"/>
        <v/>
      </c>
      <c r="U89" s="142"/>
      <c r="V89" s="142"/>
      <c r="W89" s="143"/>
      <c r="X89" s="138"/>
      <c r="Y89" s="139"/>
      <c r="Z89" s="139"/>
      <c r="AA89" s="140"/>
      <c r="AB89" s="132"/>
      <c r="AC89" s="133"/>
      <c r="AD89" s="133"/>
      <c r="AE89" s="134"/>
      <c r="AF89" s="114" t="str">
        <f t="shared" si="3"/>
        <v/>
      </c>
      <c r="AG89" s="115"/>
      <c r="AH89" s="115"/>
      <c r="AI89" s="116"/>
      <c r="AJ89" s="132"/>
      <c r="AK89" s="133"/>
      <c r="AL89" s="133"/>
      <c r="AM89" s="134"/>
      <c r="AN89" s="114" t="str">
        <f t="shared" si="1"/>
        <v/>
      </c>
      <c r="AO89" s="115"/>
      <c r="AP89" s="115"/>
      <c r="AQ89" s="116"/>
      <c r="AR89" s="129" t="str">
        <f t="shared" si="2"/>
        <v/>
      </c>
      <c r="AS89" s="130"/>
      <c r="AT89" s="130"/>
      <c r="AU89" s="131"/>
    </row>
    <row r="90" spans="2:47" ht="16.5" customHeight="1">
      <c r="B90" s="144" t="s">
        <v>234</v>
      </c>
      <c r="C90" s="145"/>
      <c r="D90" s="145"/>
      <c r="E90" s="145"/>
      <c r="F90" s="145"/>
      <c r="G90" s="145"/>
      <c r="H90" s="145"/>
      <c r="I90" s="145"/>
      <c r="J90" s="145"/>
      <c r="K90" s="146"/>
      <c r="L90" s="135"/>
      <c r="M90" s="136"/>
      <c r="N90" s="136"/>
      <c r="O90" s="137"/>
      <c r="P90" s="135"/>
      <c r="Q90" s="136"/>
      <c r="R90" s="136"/>
      <c r="S90" s="137"/>
      <c r="T90" s="141" t="str">
        <f t="shared" si="0"/>
        <v/>
      </c>
      <c r="U90" s="142"/>
      <c r="V90" s="142"/>
      <c r="W90" s="143"/>
      <c r="X90" s="138"/>
      <c r="Y90" s="139"/>
      <c r="Z90" s="139"/>
      <c r="AA90" s="140"/>
      <c r="AB90" s="132"/>
      <c r="AC90" s="133"/>
      <c r="AD90" s="133"/>
      <c r="AE90" s="134"/>
      <c r="AF90" s="114" t="str">
        <f t="shared" si="3"/>
        <v/>
      </c>
      <c r="AG90" s="115"/>
      <c r="AH90" s="115"/>
      <c r="AI90" s="116"/>
      <c r="AJ90" s="132"/>
      <c r="AK90" s="133"/>
      <c r="AL90" s="133"/>
      <c r="AM90" s="134"/>
      <c r="AN90" s="114" t="str">
        <f t="shared" si="1"/>
        <v/>
      </c>
      <c r="AO90" s="115"/>
      <c r="AP90" s="115"/>
      <c r="AQ90" s="116"/>
      <c r="AR90" s="129" t="str">
        <f t="shared" si="2"/>
        <v/>
      </c>
      <c r="AS90" s="130"/>
      <c r="AT90" s="130"/>
      <c r="AU90" s="131"/>
    </row>
    <row r="91" spans="2:47" ht="16.5" customHeight="1" thickBot="1">
      <c r="B91" s="227" t="s">
        <v>235</v>
      </c>
      <c r="C91" s="228"/>
      <c r="D91" s="228"/>
      <c r="E91" s="228"/>
      <c r="F91" s="228"/>
      <c r="G91" s="228"/>
      <c r="H91" s="228"/>
      <c r="I91" s="228"/>
      <c r="J91" s="228"/>
      <c r="K91" s="229"/>
      <c r="L91" s="230"/>
      <c r="M91" s="231"/>
      <c r="N91" s="231"/>
      <c r="O91" s="232"/>
      <c r="P91" s="230"/>
      <c r="Q91" s="231"/>
      <c r="R91" s="231"/>
      <c r="S91" s="232"/>
      <c r="T91" s="233" t="str">
        <f t="shared" si="0"/>
        <v/>
      </c>
      <c r="U91" s="234"/>
      <c r="V91" s="234"/>
      <c r="W91" s="235"/>
      <c r="X91" s="236"/>
      <c r="Y91" s="237"/>
      <c r="Z91" s="237"/>
      <c r="AA91" s="238"/>
      <c r="AB91" s="239"/>
      <c r="AC91" s="240"/>
      <c r="AD91" s="240"/>
      <c r="AE91" s="241"/>
      <c r="AF91" s="242" t="str">
        <f t="shared" si="3"/>
        <v/>
      </c>
      <c r="AG91" s="243"/>
      <c r="AH91" s="243"/>
      <c r="AI91" s="244"/>
      <c r="AJ91" s="239"/>
      <c r="AK91" s="240"/>
      <c r="AL91" s="240"/>
      <c r="AM91" s="241"/>
      <c r="AN91" s="242" t="str">
        <f t="shared" si="1"/>
        <v/>
      </c>
      <c r="AO91" s="243"/>
      <c r="AP91" s="243"/>
      <c r="AQ91" s="244"/>
      <c r="AR91" s="224" t="str">
        <f t="shared" si="2"/>
        <v/>
      </c>
      <c r="AS91" s="225"/>
      <c r="AT91" s="225"/>
      <c r="AU91" s="226"/>
    </row>
    <row r="92" spans="2:47" ht="16.5" customHeight="1" thickTop="1">
      <c r="B92" s="117" t="s">
        <v>244</v>
      </c>
      <c r="C92" s="118"/>
      <c r="D92" s="118"/>
      <c r="E92" s="118"/>
      <c r="F92" s="118"/>
      <c r="G92" s="118"/>
      <c r="H92" s="118"/>
      <c r="I92" s="118"/>
      <c r="J92" s="118"/>
      <c r="K92" s="119"/>
      <c r="L92" s="120" t="str">
        <f>IF(COUNTA(L83:O91)&gt;0,MIN(L83:O91),"")</f>
        <v/>
      </c>
      <c r="M92" s="121"/>
      <c r="N92" s="121"/>
      <c r="O92" s="122"/>
      <c r="P92" s="120" t="str">
        <f>IF(COUNTA(P83:S91)&gt;0,MAX(P83:S91),"")</f>
        <v/>
      </c>
      <c r="Q92" s="121"/>
      <c r="R92" s="121"/>
      <c r="S92" s="122"/>
      <c r="T92" s="123" t="str">
        <f>IF(OR(L92="",P92=""),"",(P92-L92)/30)</f>
        <v/>
      </c>
      <c r="U92" s="124"/>
      <c r="V92" s="124"/>
      <c r="W92" s="125"/>
      <c r="X92" s="123" t="str">
        <f>IF(COUNTA(X83:AA91)&gt;0,SUM(X83:AA91),"")</f>
        <v/>
      </c>
      <c r="Y92" s="124"/>
      <c r="Z92" s="124"/>
      <c r="AA92" s="125"/>
      <c r="AB92" s="108" t="str">
        <f>IF(COUNTA(AB83:AE91)&gt;0,SUM(AB83:AE91),"")</f>
        <v/>
      </c>
      <c r="AC92" s="109"/>
      <c r="AD92" s="109"/>
      <c r="AE92" s="110"/>
      <c r="AF92" s="108" t="str">
        <f>IF(X92="","",AB92/X92)</f>
        <v/>
      </c>
      <c r="AG92" s="109"/>
      <c r="AH92" s="109"/>
      <c r="AI92" s="110"/>
      <c r="AJ92" s="108" t="str">
        <f>IF(COUNTA(AJ83:AM91)&gt;0,SUM(AJ83:AM91),"")</f>
        <v/>
      </c>
      <c r="AK92" s="109"/>
      <c r="AL92" s="109"/>
      <c r="AM92" s="110"/>
      <c r="AN92" s="108" t="str">
        <f t="shared" si="1"/>
        <v/>
      </c>
      <c r="AO92" s="109"/>
      <c r="AP92" s="109"/>
      <c r="AQ92" s="110"/>
      <c r="AR92" s="111" t="str">
        <f t="shared" si="2"/>
        <v/>
      </c>
      <c r="AS92" s="112"/>
      <c r="AT92" s="112"/>
      <c r="AU92" s="113"/>
    </row>
    <row r="93" spans="2:47" ht="16.5" customHeight="1">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row>
    <row r="94" spans="2:47" ht="16.5" customHeight="1">
      <c r="B94" s="71" t="s">
        <v>29</v>
      </c>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row>
    <row r="95" spans="2:47" ht="16.5" customHeight="1">
      <c r="B95" s="189"/>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1"/>
    </row>
    <row r="96" spans="2:47" ht="16.5" customHeight="1">
      <c r="B96" s="285"/>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c r="AJ96" s="286"/>
      <c r="AK96" s="286"/>
      <c r="AL96" s="286"/>
      <c r="AM96" s="286"/>
      <c r="AN96" s="286"/>
      <c r="AO96" s="286"/>
      <c r="AP96" s="286"/>
      <c r="AQ96" s="286"/>
      <c r="AR96" s="286"/>
      <c r="AS96" s="286"/>
      <c r="AT96" s="286"/>
      <c r="AU96" s="287"/>
    </row>
    <row r="97" spans="2:47" ht="16.5" customHeight="1">
      <c r="B97" s="192"/>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c r="AA97" s="193"/>
      <c r="AB97" s="193"/>
      <c r="AC97" s="193"/>
      <c r="AD97" s="193"/>
      <c r="AE97" s="193"/>
      <c r="AF97" s="193"/>
      <c r="AG97" s="193"/>
      <c r="AH97" s="193"/>
      <c r="AI97" s="193"/>
      <c r="AJ97" s="193"/>
      <c r="AK97" s="193"/>
      <c r="AL97" s="193"/>
      <c r="AM97" s="193"/>
      <c r="AN97" s="193"/>
      <c r="AO97" s="193"/>
      <c r="AP97" s="193"/>
      <c r="AQ97" s="193"/>
      <c r="AR97" s="193"/>
      <c r="AS97" s="193"/>
      <c r="AT97" s="193"/>
      <c r="AU97" s="194"/>
    </row>
    <row r="98" spans="2:47" ht="16.5" customHeight="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row>
    <row r="99" spans="2:47" ht="16.5" customHeight="1">
      <c r="B99" s="71" t="s">
        <v>30</v>
      </c>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row>
    <row r="100" spans="2:47" ht="16.5" customHeight="1">
      <c r="B100" s="189"/>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1"/>
    </row>
    <row r="101" spans="2:47" ht="16.5" customHeight="1">
      <c r="B101" s="285"/>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c r="AO101" s="286"/>
      <c r="AP101" s="286"/>
      <c r="AQ101" s="286"/>
      <c r="AR101" s="286"/>
      <c r="AS101" s="286"/>
      <c r="AT101" s="286"/>
      <c r="AU101" s="287"/>
    </row>
    <row r="102" spans="2:47" ht="16.5" customHeight="1">
      <c r="B102" s="192"/>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c r="AA102" s="193"/>
      <c r="AB102" s="193"/>
      <c r="AC102" s="193"/>
      <c r="AD102" s="193"/>
      <c r="AE102" s="193"/>
      <c r="AF102" s="193"/>
      <c r="AG102" s="193"/>
      <c r="AH102" s="193"/>
      <c r="AI102" s="193"/>
      <c r="AJ102" s="193"/>
      <c r="AK102" s="193"/>
      <c r="AL102" s="193"/>
      <c r="AM102" s="193"/>
      <c r="AN102" s="193"/>
      <c r="AO102" s="193"/>
      <c r="AP102" s="193"/>
      <c r="AQ102" s="193"/>
      <c r="AR102" s="193"/>
      <c r="AS102" s="193"/>
      <c r="AT102" s="193"/>
      <c r="AU102" s="194"/>
    </row>
    <row r="103" spans="2:47" ht="16.5" customHeight="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row>
    <row r="104" spans="2:47" ht="16.5" customHeight="1">
      <c r="B104" s="71" t="s">
        <v>31</v>
      </c>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row>
    <row r="105" spans="2:47" ht="16.5" customHeight="1">
      <c r="B105" s="330"/>
      <c r="C105" s="331"/>
      <c r="D105" s="331"/>
      <c r="E105" s="331"/>
      <c r="F105" s="331"/>
      <c r="G105" s="331"/>
      <c r="H105" s="331"/>
      <c r="I105" s="331"/>
      <c r="J105" s="331"/>
      <c r="K105" s="331"/>
      <c r="L105" s="331"/>
      <c r="M105" s="331"/>
      <c r="N105" s="331"/>
      <c r="O105" s="331"/>
      <c r="P105" s="331"/>
      <c r="Q105" s="331"/>
      <c r="R105" s="331"/>
      <c r="S105" s="331"/>
      <c r="T105" s="331"/>
      <c r="U105" s="331"/>
      <c r="V105" s="331"/>
      <c r="W105" s="331"/>
      <c r="X105" s="331"/>
      <c r="Y105" s="331"/>
      <c r="Z105" s="331"/>
      <c r="AA105" s="331"/>
      <c r="AB105" s="331"/>
      <c r="AC105" s="331"/>
      <c r="AD105" s="331"/>
      <c r="AE105" s="331"/>
      <c r="AF105" s="331"/>
      <c r="AG105" s="331"/>
      <c r="AH105" s="331"/>
      <c r="AI105" s="331"/>
      <c r="AJ105" s="331"/>
      <c r="AK105" s="331"/>
      <c r="AL105" s="331"/>
      <c r="AM105" s="331"/>
      <c r="AN105" s="331"/>
      <c r="AO105" s="331"/>
      <c r="AP105" s="331"/>
      <c r="AQ105" s="331"/>
      <c r="AR105" s="331"/>
      <c r="AS105" s="331"/>
      <c r="AT105" s="331"/>
      <c r="AU105" s="332"/>
    </row>
    <row r="106" spans="2:47" ht="16.5" customHeight="1">
      <c r="B106" s="341"/>
      <c r="C106" s="342"/>
      <c r="D106" s="342"/>
      <c r="E106" s="342"/>
      <c r="F106" s="342"/>
      <c r="G106" s="342"/>
      <c r="H106" s="342"/>
      <c r="I106" s="342"/>
      <c r="J106" s="342"/>
      <c r="K106" s="342"/>
      <c r="L106" s="342"/>
      <c r="M106" s="342"/>
      <c r="N106" s="342"/>
      <c r="O106" s="342"/>
      <c r="P106" s="342"/>
      <c r="Q106" s="342"/>
      <c r="R106" s="342"/>
      <c r="S106" s="342"/>
      <c r="T106" s="342"/>
      <c r="U106" s="342"/>
      <c r="V106" s="342"/>
      <c r="W106" s="342"/>
      <c r="X106" s="342"/>
      <c r="Y106" s="342"/>
      <c r="Z106" s="342"/>
      <c r="AA106" s="342"/>
      <c r="AB106" s="342"/>
      <c r="AC106" s="342"/>
      <c r="AD106" s="342"/>
      <c r="AE106" s="342"/>
      <c r="AF106" s="342"/>
      <c r="AG106" s="342"/>
      <c r="AH106" s="342"/>
      <c r="AI106" s="342"/>
      <c r="AJ106" s="342"/>
      <c r="AK106" s="342"/>
      <c r="AL106" s="342"/>
      <c r="AM106" s="342"/>
      <c r="AN106" s="342"/>
      <c r="AO106" s="342"/>
      <c r="AP106" s="342"/>
      <c r="AQ106" s="342"/>
      <c r="AR106" s="342"/>
      <c r="AS106" s="342"/>
      <c r="AT106" s="342"/>
      <c r="AU106" s="343"/>
    </row>
    <row r="107" spans="2:47" ht="16.5" customHeight="1">
      <c r="B107" s="333"/>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c r="AI107" s="334"/>
      <c r="AJ107" s="334"/>
      <c r="AK107" s="334"/>
      <c r="AL107" s="334"/>
      <c r="AM107" s="334"/>
      <c r="AN107" s="334"/>
      <c r="AO107" s="334"/>
      <c r="AP107" s="334"/>
      <c r="AQ107" s="334"/>
      <c r="AR107" s="334"/>
      <c r="AS107" s="334"/>
      <c r="AT107" s="334"/>
      <c r="AU107" s="335"/>
    </row>
    <row r="108" spans="2:47" ht="16.5" customHeight="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row>
    <row r="109" spans="2:47" ht="16.5" customHeight="1">
      <c r="B109" s="71" t="s">
        <v>21</v>
      </c>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row>
    <row r="110" spans="2:47" ht="16.5" customHeight="1">
      <c r="B110" s="189" t="s">
        <v>133</v>
      </c>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1"/>
    </row>
    <row r="111" spans="2:47" ht="16.5" customHeight="1">
      <c r="B111" s="285"/>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7"/>
    </row>
    <row r="112" spans="2:47" ht="16.5" customHeight="1">
      <c r="B112" s="285"/>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c r="AO112" s="286"/>
      <c r="AP112" s="286"/>
      <c r="AQ112" s="286"/>
      <c r="AR112" s="286"/>
      <c r="AS112" s="286"/>
      <c r="AT112" s="286"/>
      <c r="AU112" s="287"/>
    </row>
    <row r="113" spans="2:47" ht="16.5" customHeight="1">
      <c r="B113" s="285"/>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c r="AJ113" s="286"/>
      <c r="AK113" s="286"/>
      <c r="AL113" s="286"/>
      <c r="AM113" s="286"/>
      <c r="AN113" s="286"/>
      <c r="AO113" s="286"/>
      <c r="AP113" s="286"/>
      <c r="AQ113" s="286"/>
      <c r="AR113" s="286"/>
      <c r="AS113" s="286"/>
      <c r="AT113" s="286"/>
      <c r="AU113" s="287"/>
    </row>
    <row r="114" spans="2:47" ht="16.5" customHeight="1">
      <c r="B114" s="285"/>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c r="AJ114" s="286"/>
      <c r="AK114" s="286"/>
      <c r="AL114" s="286"/>
      <c r="AM114" s="286"/>
      <c r="AN114" s="286"/>
      <c r="AO114" s="286"/>
      <c r="AP114" s="286"/>
      <c r="AQ114" s="286"/>
      <c r="AR114" s="286"/>
      <c r="AS114" s="286"/>
      <c r="AT114" s="286"/>
      <c r="AU114" s="287"/>
    </row>
    <row r="115" spans="2:47" ht="16.5" customHeight="1">
      <c r="B115" s="285"/>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c r="AJ115" s="286"/>
      <c r="AK115" s="286"/>
      <c r="AL115" s="286"/>
      <c r="AM115" s="286"/>
      <c r="AN115" s="286"/>
      <c r="AO115" s="286"/>
      <c r="AP115" s="286"/>
      <c r="AQ115" s="286"/>
      <c r="AR115" s="286"/>
      <c r="AS115" s="286"/>
      <c r="AT115" s="286"/>
      <c r="AU115" s="287"/>
    </row>
    <row r="116" spans="2:47" ht="16.5" customHeight="1">
      <c r="B116" s="285"/>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c r="AJ116" s="286"/>
      <c r="AK116" s="286"/>
      <c r="AL116" s="286"/>
      <c r="AM116" s="286"/>
      <c r="AN116" s="286"/>
      <c r="AO116" s="286"/>
      <c r="AP116" s="286"/>
      <c r="AQ116" s="286"/>
      <c r="AR116" s="286"/>
      <c r="AS116" s="286"/>
      <c r="AT116" s="286"/>
      <c r="AU116" s="287"/>
    </row>
    <row r="117" spans="2:47" ht="16.5" customHeight="1">
      <c r="B117" s="285"/>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c r="AJ117" s="286"/>
      <c r="AK117" s="286"/>
      <c r="AL117" s="286"/>
      <c r="AM117" s="286"/>
      <c r="AN117" s="286"/>
      <c r="AO117" s="286"/>
      <c r="AP117" s="286"/>
      <c r="AQ117" s="286"/>
      <c r="AR117" s="286"/>
      <c r="AS117" s="286"/>
      <c r="AT117" s="286"/>
      <c r="AU117" s="287"/>
    </row>
    <row r="118" spans="2:47" ht="16.5" customHeight="1">
      <c r="B118" s="285"/>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c r="AO118" s="286"/>
      <c r="AP118" s="286"/>
      <c r="AQ118" s="286"/>
      <c r="AR118" s="286"/>
      <c r="AS118" s="286"/>
      <c r="AT118" s="286"/>
      <c r="AU118" s="287"/>
    </row>
    <row r="119" spans="2:47" ht="16.5" customHeight="1">
      <c r="B119" s="285"/>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c r="AO119" s="286"/>
      <c r="AP119" s="286"/>
      <c r="AQ119" s="286"/>
      <c r="AR119" s="286"/>
      <c r="AS119" s="286"/>
      <c r="AT119" s="286"/>
      <c r="AU119" s="287"/>
    </row>
    <row r="120" spans="2:47" ht="16.5" customHeight="1">
      <c r="B120" s="285"/>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c r="AO120" s="286"/>
      <c r="AP120" s="286"/>
      <c r="AQ120" s="286"/>
      <c r="AR120" s="286"/>
      <c r="AS120" s="286"/>
      <c r="AT120" s="286"/>
      <c r="AU120" s="287"/>
    </row>
    <row r="121" spans="2:47" ht="16.5" customHeight="1">
      <c r="B121" s="192"/>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c r="AM121" s="193"/>
      <c r="AN121" s="193"/>
      <c r="AO121" s="193"/>
      <c r="AP121" s="193"/>
      <c r="AQ121" s="193"/>
      <c r="AR121" s="193"/>
      <c r="AS121" s="193"/>
      <c r="AT121" s="193"/>
      <c r="AU121" s="194"/>
    </row>
    <row r="122" spans="2:47" ht="16.5" customHeight="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row>
    <row r="123" spans="2:47" ht="16.5" customHeight="1">
      <c r="B123" s="71" t="s">
        <v>48</v>
      </c>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row>
    <row r="124" spans="2:47" ht="16.5" customHeight="1">
      <c r="B124" s="189"/>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1"/>
    </row>
    <row r="125" spans="2:47" ht="16.5" customHeight="1">
      <c r="B125" s="285"/>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c r="AJ125" s="286"/>
      <c r="AK125" s="286"/>
      <c r="AL125" s="286"/>
      <c r="AM125" s="286"/>
      <c r="AN125" s="286"/>
      <c r="AO125" s="286"/>
      <c r="AP125" s="286"/>
      <c r="AQ125" s="286"/>
      <c r="AR125" s="286"/>
      <c r="AS125" s="286"/>
      <c r="AT125" s="286"/>
      <c r="AU125" s="287"/>
    </row>
    <row r="126" spans="2:47" ht="16.5" customHeight="1">
      <c r="B126" s="285"/>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c r="AJ126" s="286"/>
      <c r="AK126" s="286"/>
      <c r="AL126" s="286"/>
      <c r="AM126" s="286"/>
      <c r="AN126" s="286"/>
      <c r="AO126" s="286"/>
      <c r="AP126" s="286"/>
      <c r="AQ126" s="286"/>
      <c r="AR126" s="286"/>
      <c r="AS126" s="286"/>
      <c r="AT126" s="286"/>
      <c r="AU126" s="287"/>
    </row>
    <row r="127" spans="2:47" ht="16.5" customHeight="1">
      <c r="B127" s="285"/>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c r="AJ127" s="286"/>
      <c r="AK127" s="286"/>
      <c r="AL127" s="286"/>
      <c r="AM127" s="286"/>
      <c r="AN127" s="286"/>
      <c r="AO127" s="286"/>
      <c r="AP127" s="286"/>
      <c r="AQ127" s="286"/>
      <c r="AR127" s="286"/>
      <c r="AS127" s="286"/>
      <c r="AT127" s="286"/>
      <c r="AU127" s="287"/>
    </row>
    <row r="128" spans="2:47" ht="16.5" customHeight="1">
      <c r="B128" s="285"/>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c r="AJ128" s="286"/>
      <c r="AK128" s="286"/>
      <c r="AL128" s="286"/>
      <c r="AM128" s="286"/>
      <c r="AN128" s="286"/>
      <c r="AO128" s="286"/>
      <c r="AP128" s="286"/>
      <c r="AQ128" s="286"/>
      <c r="AR128" s="286"/>
      <c r="AS128" s="286"/>
      <c r="AT128" s="286"/>
      <c r="AU128" s="287"/>
    </row>
    <row r="129" spans="2:47" ht="16.5" customHeight="1">
      <c r="B129" s="285"/>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c r="AJ129" s="286"/>
      <c r="AK129" s="286"/>
      <c r="AL129" s="286"/>
      <c r="AM129" s="286"/>
      <c r="AN129" s="286"/>
      <c r="AO129" s="286"/>
      <c r="AP129" s="286"/>
      <c r="AQ129" s="286"/>
      <c r="AR129" s="286"/>
      <c r="AS129" s="286"/>
      <c r="AT129" s="286"/>
      <c r="AU129" s="287"/>
    </row>
    <row r="130" spans="2:47" ht="16.5" customHeight="1">
      <c r="B130" s="285"/>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c r="AO130" s="286"/>
      <c r="AP130" s="286"/>
      <c r="AQ130" s="286"/>
      <c r="AR130" s="286"/>
      <c r="AS130" s="286"/>
      <c r="AT130" s="286"/>
      <c r="AU130" s="287"/>
    </row>
    <row r="131" spans="2:47" ht="16.5" customHeight="1">
      <c r="B131" s="285"/>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c r="AJ131" s="286"/>
      <c r="AK131" s="286"/>
      <c r="AL131" s="286"/>
      <c r="AM131" s="286"/>
      <c r="AN131" s="286"/>
      <c r="AO131" s="286"/>
      <c r="AP131" s="286"/>
      <c r="AQ131" s="286"/>
      <c r="AR131" s="286"/>
      <c r="AS131" s="286"/>
      <c r="AT131" s="286"/>
      <c r="AU131" s="287"/>
    </row>
    <row r="132" spans="2:47" ht="16.5" customHeight="1">
      <c r="B132" s="285"/>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c r="AO132" s="286"/>
      <c r="AP132" s="286"/>
      <c r="AQ132" s="286"/>
      <c r="AR132" s="286"/>
      <c r="AS132" s="286"/>
      <c r="AT132" s="286"/>
      <c r="AU132" s="287"/>
    </row>
    <row r="133" spans="2:47" ht="16.5" customHeight="1">
      <c r="B133" s="285"/>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6"/>
      <c r="AQ133" s="286"/>
      <c r="AR133" s="286"/>
      <c r="AS133" s="286"/>
      <c r="AT133" s="286"/>
      <c r="AU133" s="287"/>
    </row>
    <row r="134" spans="2:47" ht="16.5" customHeight="1">
      <c r="B134" s="285"/>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c r="AJ134" s="286"/>
      <c r="AK134" s="286"/>
      <c r="AL134" s="286"/>
      <c r="AM134" s="286"/>
      <c r="AN134" s="286"/>
      <c r="AO134" s="286"/>
      <c r="AP134" s="286"/>
      <c r="AQ134" s="286"/>
      <c r="AR134" s="286"/>
      <c r="AS134" s="286"/>
      <c r="AT134" s="286"/>
      <c r="AU134" s="287"/>
    </row>
    <row r="135" spans="2:47" ht="16.5" customHeight="1">
      <c r="B135" s="285"/>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c r="AJ135" s="286"/>
      <c r="AK135" s="286"/>
      <c r="AL135" s="286"/>
      <c r="AM135" s="286"/>
      <c r="AN135" s="286"/>
      <c r="AO135" s="286"/>
      <c r="AP135" s="286"/>
      <c r="AQ135" s="286"/>
      <c r="AR135" s="286"/>
      <c r="AS135" s="286"/>
      <c r="AT135" s="286"/>
      <c r="AU135" s="287"/>
    </row>
    <row r="136" spans="2:47" ht="16.5" customHeight="1">
      <c r="B136" s="285"/>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c r="AJ136" s="286"/>
      <c r="AK136" s="286"/>
      <c r="AL136" s="286"/>
      <c r="AM136" s="286"/>
      <c r="AN136" s="286"/>
      <c r="AO136" s="286"/>
      <c r="AP136" s="286"/>
      <c r="AQ136" s="286"/>
      <c r="AR136" s="286"/>
      <c r="AS136" s="286"/>
      <c r="AT136" s="286"/>
      <c r="AU136" s="287"/>
    </row>
    <row r="137" spans="2:47" ht="16.5" customHeight="1">
      <c r="B137" s="285"/>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c r="AJ137" s="286"/>
      <c r="AK137" s="286"/>
      <c r="AL137" s="286"/>
      <c r="AM137" s="286"/>
      <c r="AN137" s="286"/>
      <c r="AO137" s="286"/>
      <c r="AP137" s="286"/>
      <c r="AQ137" s="286"/>
      <c r="AR137" s="286"/>
      <c r="AS137" s="286"/>
      <c r="AT137" s="286"/>
      <c r="AU137" s="287"/>
    </row>
    <row r="138" spans="2:47" ht="16.5" customHeight="1">
      <c r="B138" s="285"/>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7"/>
    </row>
    <row r="139" spans="2:47" ht="16.5" customHeight="1">
      <c r="B139" s="285"/>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c r="AO139" s="286"/>
      <c r="AP139" s="286"/>
      <c r="AQ139" s="286"/>
      <c r="AR139" s="286"/>
      <c r="AS139" s="286"/>
      <c r="AT139" s="286"/>
      <c r="AU139" s="287"/>
    </row>
    <row r="140" spans="2:47" ht="16.5" customHeight="1">
      <c r="B140" s="192"/>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c r="AM140" s="193"/>
      <c r="AN140" s="193"/>
      <c r="AO140" s="193"/>
      <c r="AP140" s="193"/>
      <c r="AQ140" s="193"/>
      <c r="AR140" s="193"/>
      <c r="AS140" s="193"/>
      <c r="AT140" s="193"/>
      <c r="AU140" s="194"/>
    </row>
    <row r="142" spans="2:47" ht="16.5" customHeight="1">
      <c r="B142" s="71" t="s">
        <v>119</v>
      </c>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row>
    <row r="143" spans="2:47" ht="16.5" customHeight="1">
      <c r="B143" s="260" t="s">
        <v>22</v>
      </c>
      <c r="C143" s="260"/>
      <c r="D143" s="260"/>
      <c r="E143" s="260"/>
      <c r="F143" s="260"/>
      <c r="G143" s="260"/>
      <c r="H143" s="260"/>
      <c r="I143" s="260"/>
      <c r="J143" s="260"/>
      <c r="K143" s="260"/>
      <c r="L143" s="338"/>
      <c r="M143" s="338"/>
      <c r="N143" s="338"/>
      <c r="O143" s="338"/>
      <c r="P143" s="338"/>
      <c r="Q143" s="338"/>
      <c r="R143" s="338"/>
      <c r="S143" s="338"/>
      <c r="T143" s="338"/>
      <c r="U143" s="338"/>
      <c r="V143" s="338"/>
      <c r="W143" s="338"/>
      <c r="X143" s="338"/>
      <c r="Y143" s="260" t="s">
        <v>23</v>
      </c>
      <c r="Z143" s="260"/>
      <c r="AA143" s="260"/>
      <c r="AB143" s="260"/>
      <c r="AC143" s="260"/>
      <c r="AD143" s="260"/>
      <c r="AE143" s="260"/>
      <c r="AF143" s="260"/>
      <c r="AG143" s="260"/>
      <c r="AH143" s="260"/>
      <c r="AI143" s="340"/>
      <c r="AJ143" s="340"/>
      <c r="AK143" s="340"/>
      <c r="AL143" s="340"/>
      <c r="AM143" s="340"/>
      <c r="AN143" s="340"/>
      <c r="AO143" s="340"/>
      <c r="AP143" s="340"/>
      <c r="AQ143" s="340"/>
      <c r="AR143" s="340"/>
      <c r="AS143" s="340"/>
      <c r="AT143" s="340"/>
      <c r="AU143" s="340"/>
    </row>
    <row r="144" spans="2:47" ht="16.5" customHeight="1">
      <c r="B144" s="171" t="s">
        <v>24</v>
      </c>
      <c r="C144" s="171"/>
      <c r="D144" s="171"/>
      <c r="E144" s="171"/>
      <c r="F144" s="171"/>
      <c r="G144" s="171"/>
      <c r="H144" s="171"/>
      <c r="I144" s="171"/>
      <c r="J144" s="171"/>
      <c r="K144" s="171"/>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2"/>
      <c r="AH144" s="182"/>
      <c r="AI144" s="182"/>
      <c r="AJ144" s="182"/>
      <c r="AK144" s="182"/>
      <c r="AL144" s="182"/>
      <c r="AM144" s="182"/>
      <c r="AN144" s="182"/>
      <c r="AO144" s="182"/>
      <c r="AP144" s="182"/>
      <c r="AQ144" s="182"/>
      <c r="AR144" s="182"/>
      <c r="AS144" s="182"/>
      <c r="AT144" s="182"/>
      <c r="AU144" s="182"/>
    </row>
    <row r="145" spans="2:47" ht="16.5" customHeight="1">
      <c r="B145" s="171"/>
      <c r="C145" s="171"/>
      <c r="D145" s="171"/>
      <c r="E145" s="171"/>
      <c r="F145" s="171"/>
      <c r="G145" s="171"/>
      <c r="H145" s="171"/>
      <c r="I145" s="171"/>
      <c r="J145" s="171"/>
      <c r="K145" s="171"/>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2"/>
      <c r="AH145" s="182"/>
      <c r="AI145" s="182"/>
      <c r="AJ145" s="182"/>
      <c r="AK145" s="182"/>
      <c r="AL145" s="182"/>
      <c r="AM145" s="182"/>
      <c r="AN145" s="182"/>
      <c r="AO145" s="182"/>
      <c r="AP145" s="182"/>
      <c r="AQ145" s="182"/>
      <c r="AR145" s="182"/>
      <c r="AS145" s="182"/>
      <c r="AT145" s="182"/>
      <c r="AU145" s="182"/>
    </row>
    <row r="146" spans="2:47" ht="16.5" customHeight="1">
      <c r="B146" s="171"/>
      <c r="C146" s="171"/>
      <c r="D146" s="171"/>
      <c r="E146" s="171"/>
      <c r="F146" s="171"/>
      <c r="G146" s="171"/>
      <c r="H146" s="171"/>
      <c r="I146" s="171"/>
      <c r="J146" s="171"/>
      <c r="K146" s="171"/>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2"/>
      <c r="AH146" s="182"/>
      <c r="AI146" s="182"/>
      <c r="AJ146" s="182"/>
      <c r="AK146" s="182"/>
      <c r="AL146" s="182"/>
      <c r="AM146" s="182"/>
      <c r="AN146" s="182"/>
      <c r="AO146" s="182"/>
      <c r="AP146" s="182"/>
      <c r="AQ146" s="182"/>
      <c r="AR146" s="182"/>
      <c r="AS146" s="182"/>
      <c r="AT146" s="182"/>
      <c r="AU146" s="182"/>
    </row>
    <row r="147" spans="2:47" ht="16.5" customHeight="1">
      <c r="B147" s="171"/>
      <c r="C147" s="171"/>
      <c r="D147" s="171"/>
      <c r="E147" s="171"/>
      <c r="F147" s="171"/>
      <c r="G147" s="171"/>
      <c r="H147" s="171"/>
      <c r="I147" s="171"/>
      <c r="J147" s="171"/>
      <c r="K147" s="171"/>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2"/>
      <c r="AH147" s="182"/>
      <c r="AI147" s="182"/>
      <c r="AJ147" s="182"/>
      <c r="AK147" s="182"/>
      <c r="AL147" s="182"/>
      <c r="AM147" s="182"/>
      <c r="AN147" s="182"/>
      <c r="AO147" s="182"/>
      <c r="AP147" s="182"/>
      <c r="AQ147" s="182"/>
      <c r="AR147" s="182"/>
      <c r="AS147" s="182"/>
      <c r="AT147" s="182"/>
      <c r="AU147" s="182"/>
    </row>
  </sheetData>
  <protectedRanges>
    <protectedRange sqref="AI15:AU15 AI17:AU17" name="範囲1_1"/>
    <protectedRange sqref="AI18:AU18 AI23:AU23 AI143:AU143 AI16:AU16 L15:X15 L17:X17" name="範囲1_2"/>
    <protectedRange sqref="L23:M23 L143:M143 L48:M48 L50:M50 L16:M16 L18:M18" name="範囲1_3"/>
    <protectedRange sqref="H95:AK95 H100:AK100 H105:AK105 AI50:AU50 R93:AU93 R38:AU43 H110:AK118 AI48:AU48 R68:AU76 R26:AU35" name="範囲1_4"/>
    <protectedRange sqref="AI61:AU62" name="範囲1_1_1"/>
    <protectedRange sqref="AI63:AU63 L61:X63" name="範囲1_2_1"/>
    <protectedRange sqref="L56:X56" name="範囲1_1_3"/>
    <protectedRange sqref="AI56:AU56 L55:X55" name="範囲1_2_3"/>
  </protectedRanges>
  <mergeCells count="233">
    <mergeCell ref="L143:X143"/>
    <mergeCell ref="B74:K76"/>
    <mergeCell ref="L74:AU76"/>
    <mergeCell ref="B82:K82"/>
    <mergeCell ref="AI143:AU143"/>
    <mergeCell ref="B105:AU107"/>
    <mergeCell ref="B95:AU97"/>
    <mergeCell ref="T83:W83"/>
    <mergeCell ref="X83:AA83"/>
    <mergeCell ref="AB83:AE83"/>
    <mergeCell ref="AF83:AI83"/>
    <mergeCell ref="AJ83:AM83"/>
    <mergeCell ref="AN83:AQ83"/>
    <mergeCell ref="AB84:AE84"/>
    <mergeCell ref="AF84:AI84"/>
    <mergeCell ref="AJ84:AM84"/>
    <mergeCell ref="AN84:AQ84"/>
    <mergeCell ref="AR84:AU84"/>
    <mergeCell ref="AR85:AU85"/>
    <mergeCell ref="B86:K86"/>
    <mergeCell ref="L86:O86"/>
    <mergeCell ref="P86:S86"/>
    <mergeCell ref="T86:W86"/>
    <mergeCell ref="X86:AA86"/>
    <mergeCell ref="AL4:AP4"/>
    <mergeCell ref="AL5:AP7"/>
    <mergeCell ref="AL8:AP8"/>
    <mergeCell ref="L48:X49"/>
    <mergeCell ref="B48:K49"/>
    <mergeCell ref="AI23:AU23"/>
    <mergeCell ref="L19:AU20"/>
    <mergeCell ref="AI62:AU62"/>
    <mergeCell ref="AI17:AU17"/>
    <mergeCell ref="B32:K33"/>
    <mergeCell ref="B34:K35"/>
    <mergeCell ref="L42:AU43"/>
    <mergeCell ref="B17:K17"/>
    <mergeCell ref="L17:X17"/>
    <mergeCell ref="B19:K20"/>
    <mergeCell ref="L23:X23"/>
    <mergeCell ref="Y23:AH23"/>
    <mergeCell ref="L57:AU57"/>
    <mergeCell ref="AI55:AU55"/>
    <mergeCell ref="L60:X60"/>
    <mergeCell ref="Y60:AH60"/>
    <mergeCell ref="AI60:AU60"/>
    <mergeCell ref="Y61:AH61"/>
    <mergeCell ref="AI61:AU61"/>
    <mergeCell ref="Y62:AH62"/>
    <mergeCell ref="B100:AU102"/>
    <mergeCell ref="B63:K63"/>
    <mergeCell ref="L63:X63"/>
    <mergeCell ref="Y63:AH63"/>
    <mergeCell ref="AI63:AU63"/>
    <mergeCell ref="L55:X55"/>
    <mergeCell ref="Y55:AH55"/>
    <mergeCell ref="B77:K79"/>
    <mergeCell ref="L77:AU79"/>
    <mergeCell ref="AB82:AE82"/>
    <mergeCell ref="AF82:AI82"/>
    <mergeCell ref="AJ82:AM82"/>
    <mergeCell ref="AN82:AQ82"/>
    <mergeCell ref="AR82:AU82"/>
    <mergeCell ref="B83:K83"/>
    <mergeCell ref="L83:O83"/>
    <mergeCell ref="P83:S83"/>
    <mergeCell ref="AR83:AU83"/>
    <mergeCell ref="B84:K84"/>
    <mergeCell ref="L84:O84"/>
    <mergeCell ref="P84:S84"/>
    <mergeCell ref="T84:W84"/>
    <mergeCell ref="X84:AA84"/>
    <mergeCell ref="Y17:AH17"/>
    <mergeCell ref="L144:AU147"/>
    <mergeCell ref="L38:AU39"/>
    <mergeCell ref="L40:AU41"/>
    <mergeCell ref="B110:AU121"/>
    <mergeCell ref="B143:K143"/>
    <mergeCell ref="B50:K51"/>
    <mergeCell ref="B42:K43"/>
    <mergeCell ref="L68:AU70"/>
    <mergeCell ref="B71:K73"/>
    <mergeCell ref="L71:AU73"/>
    <mergeCell ref="B67:K67"/>
    <mergeCell ref="B23:K23"/>
    <mergeCell ref="B54:K54"/>
    <mergeCell ref="B55:K55"/>
    <mergeCell ref="B56:K56"/>
    <mergeCell ref="AI67:AU67"/>
    <mergeCell ref="B68:K70"/>
    <mergeCell ref="L50:X51"/>
    <mergeCell ref="Y50:AH51"/>
    <mergeCell ref="AI50:AU51"/>
    <mergeCell ref="AI56:AU56"/>
    <mergeCell ref="L32:AU33"/>
    <mergeCell ref="L67:X67"/>
    <mergeCell ref="B30:K31"/>
    <mergeCell ref="L30:AU31"/>
    <mergeCell ref="B144:K147"/>
    <mergeCell ref="B38:K39"/>
    <mergeCell ref="B40:K41"/>
    <mergeCell ref="L44:AU45"/>
    <mergeCell ref="B124:AU140"/>
    <mergeCell ref="B60:K60"/>
    <mergeCell ref="B61:K61"/>
    <mergeCell ref="Y143:AH143"/>
    <mergeCell ref="B57:K57"/>
    <mergeCell ref="L56:X56"/>
    <mergeCell ref="Y56:AH56"/>
    <mergeCell ref="L61:X61"/>
    <mergeCell ref="L54:X54"/>
    <mergeCell ref="Y54:AH54"/>
    <mergeCell ref="AI54:AU54"/>
    <mergeCell ref="L82:O82"/>
    <mergeCell ref="P82:S82"/>
    <mergeCell ref="T82:W82"/>
    <mergeCell ref="X82:AA82"/>
    <mergeCell ref="Y67:AH67"/>
    <mergeCell ref="B62:K62"/>
    <mergeCell ref="L62:X62"/>
    <mergeCell ref="B14:K14"/>
    <mergeCell ref="L12:AU12"/>
    <mergeCell ref="B12:K12"/>
    <mergeCell ref="AI15:AU15"/>
    <mergeCell ref="B13:K13"/>
    <mergeCell ref="L13:AU13"/>
    <mergeCell ref="AI11:AN11"/>
    <mergeCell ref="AP11:AU11"/>
    <mergeCell ref="L14:X14"/>
    <mergeCell ref="Y14:AH14"/>
    <mergeCell ref="AI14:AU14"/>
    <mergeCell ref="L15:X15"/>
    <mergeCell ref="B15:K15"/>
    <mergeCell ref="B4:AE5"/>
    <mergeCell ref="Y48:AH49"/>
    <mergeCell ref="AI48:AU49"/>
    <mergeCell ref="L34:AU35"/>
    <mergeCell ref="AQ4:AU4"/>
    <mergeCell ref="AQ5:AU7"/>
    <mergeCell ref="AQ8:AU8"/>
    <mergeCell ref="L16:X16"/>
    <mergeCell ref="Y16:AH16"/>
    <mergeCell ref="AI16:AU16"/>
    <mergeCell ref="B18:K18"/>
    <mergeCell ref="L18:X18"/>
    <mergeCell ref="Y18:AH18"/>
    <mergeCell ref="AI18:AU18"/>
    <mergeCell ref="B26:K27"/>
    <mergeCell ref="L26:AU27"/>
    <mergeCell ref="B28:K29"/>
    <mergeCell ref="L28:AU29"/>
    <mergeCell ref="B16:K16"/>
    <mergeCell ref="Y15:AH15"/>
    <mergeCell ref="B11:K11"/>
    <mergeCell ref="L11:X11"/>
    <mergeCell ref="B44:K45"/>
    <mergeCell ref="Y11:AH11"/>
    <mergeCell ref="AB86:AE86"/>
    <mergeCell ref="AF86:AI86"/>
    <mergeCell ref="AJ86:AM86"/>
    <mergeCell ref="AN86:AQ86"/>
    <mergeCell ref="AR86:AU86"/>
    <mergeCell ref="B85:K85"/>
    <mergeCell ref="L85:O85"/>
    <mergeCell ref="P85:S85"/>
    <mergeCell ref="T85:W85"/>
    <mergeCell ref="X85:AA85"/>
    <mergeCell ref="AB85:AE85"/>
    <mergeCell ref="AF85:AI85"/>
    <mergeCell ref="AJ85:AM85"/>
    <mergeCell ref="AN85:AQ85"/>
    <mergeCell ref="AR87:AU87"/>
    <mergeCell ref="B88:K88"/>
    <mergeCell ref="L88:O88"/>
    <mergeCell ref="P88:S88"/>
    <mergeCell ref="T88:W88"/>
    <mergeCell ref="X88:AA88"/>
    <mergeCell ref="AB88:AE88"/>
    <mergeCell ref="AF88:AI88"/>
    <mergeCell ref="AJ88:AM88"/>
    <mergeCell ref="AN88:AQ88"/>
    <mergeCell ref="AR88:AU88"/>
    <mergeCell ref="B87:K87"/>
    <mergeCell ref="L87:O87"/>
    <mergeCell ref="P87:S87"/>
    <mergeCell ref="T87:W87"/>
    <mergeCell ref="X87:AA87"/>
    <mergeCell ref="AB87:AE87"/>
    <mergeCell ref="AF87:AI87"/>
    <mergeCell ref="AJ87:AM87"/>
    <mergeCell ref="AN87:AQ87"/>
    <mergeCell ref="B89:K89"/>
    <mergeCell ref="L89:O89"/>
    <mergeCell ref="P89:S89"/>
    <mergeCell ref="T89:W89"/>
    <mergeCell ref="X89:AA89"/>
    <mergeCell ref="AB89:AE89"/>
    <mergeCell ref="AF89:AI89"/>
    <mergeCell ref="AJ89:AM89"/>
    <mergeCell ref="AN89:AQ89"/>
    <mergeCell ref="L90:O90"/>
    <mergeCell ref="P90:S90"/>
    <mergeCell ref="T90:W90"/>
    <mergeCell ref="X90:AA90"/>
    <mergeCell ref="AB90:AE90"/>
    <mergeCell ref="AF90:AI90"/>
    <mergeCell ref="AJ90:AM90"/>
    <mergeCell ref="AN90:AQ90"/>
    <mergeCell ref="AR90:AU90"/>
    <mergeCell ref="AR92:AU92"/>
    <mergeCell ref="B64:K64"/>
    <mergeCell ref="L64:X64"/>
    <mergeCell ref="B92:K92"/>
    <mergeCell ref="L92:O92"/>
    <mergeCell ref="P92:S92"/>
    <mergeCell ref="T92:W92"/>
    <mergeCell ref="X92:AA92"/>
    <mergeCell ref="AB92:AE92"/>
    <mergeCell ref="AF92:AI92"/>
    <mergeCell ref="AJ92:AM92"/>
    <mergeCell ref="AN92:AQ92"/>
    <mergeCell ref="B91:K91"/>
    <mergeCell ref="L91:O91"/>
    <mergeCell ref="P91:S91"/>
    <mergeCell ref="T91:W91"/>
    <mergeCell ref="X91:AA91"/>
    <mergeCell ref="AB91:AE91"/>
    <mergeCell ref="AF91:AI91"/>
    <mergeCell ref="AJ91:AM91"/>
    <mergeCell ref="AN91:AQ91"/>
    <mergeCell ref="AR91:AU91"/>
    <mergeCell ref="AR89:AU89"/>
    <mergeCell ref="B90:K90"/>
  </mergeCells>
  <phoneticPr fontId="2"/>
  <dataValidations count="6">
    <dataValidation allowBlank="1" showInputMessage="1" prompt="★例）納期を厳守する" sqref="R42 R38 R40 R68:R69 R71:R72 R74:R75" xr:uid="{00000000-0002-0000-0000-000000000000}"/>
    <dataValidation type="list" allowBlank="1" showInputMessage="1" showErrorMessage="1" sqref="AI18:AU18" xr:uid="{00000000-0002-0000-0000-000001000000}">
      <formula1>"新規開発,改良開発,その他"</formula1>
    </dataValidation>
    <dataValidation type="list" allowBlank="1" showInputMessage="1" showErrorMessage="1" sqref="L143:X143" xr:uid="{00000000-0002-0000-0000-000002000000}">
      <formula1>"依頼済み未回収,回収済み,依頼なし"</formula1>
    </dataValidation>
    <dataValidation type="list" allowBlank="1" showInputMessage="1" showErrorMessage="1" sqref="L48" xr:uid="{E63558E8-BDC1-4334-9970-52F0EA126EF8}">
      <formula1>"あり,なし"</formula1>
    </dataValidation>
    <dataValidation allowBlank="1" showDropDown="1" showInputMessage="1" showErrorMessage="1" sqref="B92:K92" xr:uid="{B5019F62-44C1-4517-B1FD-B89662077367}"/>
    <dataValidation type="list" allowBlank="1" showInputMessage="1" sqref="B83:K91" xr:uid="{D2C92F76-3375-4D6E-9456-A821E13E494D}">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oddFooter>&amp;C&amp;P / &amp;N</oddFooter>
  </headerFooter>
  <rowBreaks count="1" manualBreakCount="1">
    <brk id="79" max="4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tabColor rgb="FFFFFFC8"/>
    <pageSetUpPr fitToPage="1"/>
  </sheetPr>
  <dimension ref="A1:BG83"/>
  <sheetViews>
    <sheetView showGridLines="0" topLeftCell="A24" zoomScaleNormal="100" zoomScaleSheetLayoutView="75" workbookViewId="0">
      <selection activeCell="AY41" sqref="AY41"/>
    </sheetView>
  </sheetViews>
  <sheetFormatPr defaultColWidth="3.125" defaultRowHeight="16.899999999999999" customHeight="1"/>
  <cols>
    <col min="1" max="16384" width="3.125" style="4"/>
  </cols>
  <sheetData>
    <row r="1" spans="1:59" ht="18" customHeight="1"/>
    <row r="2" spans="1:59" ht="18" customHeight="1" thickBot="1">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row>
    <row r="3" spans="1:59" ht="16.899999999999999" customHeight="1" thickTop="1" thickBo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row>
    <row r="4" spans="1:59" ht="16.899999999999999" customHeight="1" thickBot="1">
      <c r="A4" s="2"/>
      <c r="B4" s="473"/>
      <c r="C4" s="473"/>
      <c r="D4" s="473"/>
      <c r="E4" s="473"/>
      <c r="F4" s="473"/>
      <c r="G4" s="473"/>
      <c r="H4" s="473"/>
      <c r="I4" s="473"/>
      <c r="J4" s="473"/>
      <c r="K4" s="473"/>
      <c r="L4" s="473"/>
      <c r="M4" s="473"/>
      <c r="N4" s="473"/>
      <c r="O4" s="473"/>
      <c r="P4" s="473"/>
      <c r="Q4" s="473"/>
      <c r="R4" s="473"/>
      <c r="S4" s="473"/>
      <c r="T4" s="473"/>
      <c r="U4" s="473"/>
      <c r="V4" s="473"/>
      <c r="W4" s="473"/>
      <c r="X4" s="473"/>
      <c r="Y4" s="473"/>
      <c r="Z4" s="473"/>
      <c r="AA4" s="473"/>
      <c r="AB4" s="473"/>
      <c r="AC4" s="473"/>
      <c r="AD4" s="473"/>
      <c r="AE4" s="473"/>
      <c r="AF4" s="473"/>
      <c r="AG4" s="473"/>
      <c r="AH4" s="473"/>
      <c r="AI4" s="473"/>
      <c r="AJ4" s="16"/>
      <c r="AK4" s="17"/>
      <c r="AL4" s="474" t="s">
        <v>218</v>
      </c>
      <c r="AM4" s="475"/>
      <c r="AN4" s="475"/>
      <c r="AO4" s="475"/>
      <c r="AP4" s="476"/>
      <c r="AQ4" s="474" t="s">
        <v>219</v>
      </c>
      <c r="AR4" s="475"/>
      <c r="AS4" s="475"/>
      <c r="AT4" s="475"/>
      <c r="AU4" s="476"/>
    </row>
    <row r="5" spans="1:59" ht="16.899999999999999" customHeight="1">
      <c r="A5" s="2"/>
      <c r="B5" s="473"/>
      <c r="C5" s="473"/>
      <c r="D5" s="473"/>
      <c r="E5" s="473"/>
      <c r="F5" s="473"/>
      <c r="G5" s="473"/>
      <c r="H5" s="473"/>
      <c r="I5" s="473"/>
      <c r="J5" s="473"/>
      <c r="K5" s="473"/>
      <c r="L5" s="473"/>
      <c r="M5" s="473"/>
      <c r="N5" s="473"/>
      <c r="O5" s="473"/>
      <c r="P5" s="473"/>
      <c r="Q5" s="473"/>
      <c r="R5" s="473"/>
      <c r="S5" s="473"/>
      <c r="T5" s="473"/>
      <c r="U5" s="473"/>
      <c r="V5" s="473"/>
      <c r="W5" s="473"/>
      <c r="X5" s="473"/>
      <c r="Y5" s="473"/>
      <c r="Z5" s="473"/>
      <c r="AA5" s="473"/>
      <c r="AB5" s="473"/>
      <c r="AC5" s="473"/>
      <c r="AD5" s="473"/>
      <c r="AE5" s="473"/>
      <c r="AF5" s="473"/>
      <c r="AG5" s="473"/>
      <c r="AH5" s="473"/>
      <c r="AI5" s="473"/>
      <c r="AJ5" s="16"/>
      <c r="AK5" s="2"/>
      <c r="AL5" s="477" t="s">
        <v>54</v>
      </c>
      <c r="AM5" s="478"/>
      <c r="AN5" s="478"/>
      <c r="AO5" s="478"/>
      <c r="AP5" s="479"/>
      <c r="AQ5" s="477" t="s">
        <v>55</v>
      </c>
      <c r="AR5" s="478"/>
      <c r="AS5" s="478"/>
      <c r="AT5" s="478"/>
      <c r="AU5" s="479"/>
    </row>
    <row r="6" spans="1:59" ht="16.899999999999999" customHeight="1">
      <c r="A6" s="2"/>
      <c r="B6" s="2"/>
      <c r="C6" s="2"/>
      <c r="D6" s="3"/>
      <c r="E6" s="3"/>
      <c r="F6" s="3"/>
      <c r="G6" s="3"/>
      <c r="H6" s="3"/>
      <c r="I6" s="3"/>
      <c r="J6" s="3"/>
      <c r="K6" s="3"/>
      <c r="L6" s="3"/>
      <c r="M6" s="3"/>
      <c r="N6" s="3"/>
      <c r="O6" s="3"/>
      <c r="P6" s="3"/>
      <c r="Q6" s="3"/>
      <c r="R6" s="3"/>
      <c r="S6" s="3"/>
      <c r="T6" s="3"/>
      <c r="U6" s="3"/>
      <c r="V6" s="2"/>
      <c r="W6" s="3"/>
      <c r="X6" s="3"/>
      <c r="Y6" s="3"/>
      <c r="Z6" s="3"/>
      <c r="AA6" s="3"/>
      <c r="AB6" s="3"/>
      <c r="AC6" s="3"/>
      <c r="AD6" s="3"/>
      <c r="AE6" s="3"/>
      <c r="AF6" s="3"/>
      <c r="AG6" s="3"/>
      <c r="AH6" s="3"/>
      <c r="AI6" s="3"/>
      <c r="AJ6" s="3"/>
      <c r="AK6" s="3"/>
      <c r="AL6" s="480"/>
      <c r="AM6" s="481"/>
      <c r="AN6" s="481"/>
      <c r="AO6" s="481"/>
      <c r="AP6" s="482"/>
      <c r="AQ6" s="480"/>
      <c r="AR6" s="481"/>
      <c r="AS6" s="481"/>
      <c r="AT6" s="481"/>
      <c r="AU6" s="482"/>
    </row>
    <row r="7" spans="1:59" ht="16.899999999999999" customHeight="1">
      <c r="A7" s="2"/>
      <c r="B7" s="3"/>
      <c r="C7" s="3"/>
      <c r="D7" s="3"/>
      <c r="E7" s="3"/>
      <c r="F7" s="3"/>
      <c r="G7" s="3"/>
      <c r="H7" s="3"/>
      <c r="I7" s="3"/>
      <c r="J7" s="3"/>
      <c r="K7" s="3"/>
      <c r="L7" s="3"/>
      <c r="M7" s="3"/>
      <c r="N7" s="3"/>
      <c r="O7" s="3"/>
      <c r="P7" s="3"/>
      <c r="Q7" s="3"/>
      <c r="R7" s="3"/>
      <c r="S7" s="3"/>
      <c r="T7" s="3"/>
      <c r="U7" s="3"/>
      <c r="V7" s="2"/>
      <c r="W7" s="3"/>
      <c r="X7" s="3"/>
      <c r="Y7" s="3"/>
      <c r="Z7" s="3"/>
      <c r="AA7" s="3"/>
      <c r="AB7" s="3"/>
      <c r="AC7" s="3"/>
      <c r="AD7" s="3"/>
      <c r="AE7" s="3"/>
      <c r="AF7" s="3"/>
      <c r="AG7" s="3"/>
      <c r="AH7" s="3"/>
      <c r="AI7" s="3"/>
      <c r="AJ7" s="3"/>
      <c r="AK7" s="3"/>
      <c r="AL7" s="483"/>
      <c r="AM7" s="484"/>
      <c r="AN7" s="484"/>
      <c r="AO7" s="484"/>
      <c r="AP7" s="485"/>
      <c r="AQ7" s="483"/>
      <c r="AR7" s="484"/>
      <c r="AS7" s="484"/>
      <c r="AT7" s="484"/>
      <c r="AU7" s="485"/>
    </row>
    <row r="8" spans="1:59" ht="16.899999999999999" customHeight="1" thickBot="1">
      <c r="A8" s="2"/>
      <c r="B8" s="3"/>
      <c r="C8" s="3"/>
      <c r="D8" s="3"/>
      <c r="E8" s="3"/>
      <c r="F8" s="3"/>
      <c r="G8" s="3"/>
      <c r="H8" s="3"/>
      <c r="I8" s="3"/>
      <c r="J8" s="3"/>
      <c r="K8" s="3"/>
      <c r="L8" s="3"/>
      <c r="M8" s="3"/>
      <c r="N8" s="3"/>
      <c r="O8" s="3"/>
      <c r="P8" s="3"/>
      <c r="Q8" s="3"/>
      <c r="R8" s="3"/>
      <c r="S8" s="3"/>
      <c r="T8" s="3"/>
      <c r="U8" s="3"/>
      <c r="V8" s="2"/>
      <c r="W8" s="3"/>
      <c r="X8" s="3"/>
      <c r="Y8" s="3"/>
      <c r="Z8" s="3"/>
      <c r="AA8" s="3"/>
      <c r="AB8" s="3"/>
      <c r="AC8" s="3"/>
      <c r="AD8" s="3"/>
      <c r="AE8" s="3"/>
      <c r="AF8" s="3"/>
      <c r="AG8" s="3"/>
      <c r="AH8" s="3"/>
      <c r="AI8" s="3"/>
      <c r="AJ8" s="3"/>
      <c r="AK8" s="3"/>
      <c r="AL8" s="486" t="s">
        <v>56</v>
      </c>
      <c r="AM8" s="487"/>
      <c r="AN8" s="487"/>
      <c r="AO8" s="487"/>
      <c r="AP8" s="488"/>
      <c r="AQ8" s="486" t="s">
        <v>56</v>
      </c>
      <c r="AR8" s="487"/>
      <c r="AS8" s="487"/>
      <c r="AT8" s="487"/>
      <c r="AU8" s="488"/>
    </row>
    <row r="9" spans="1:59" ht="16.899999999999999" customHeight="1">
      <c r="A9" s="2"/>
      <c r="B9" s="2"/>
      <c r="C9" s="2"/>
      <c r="D9" s="2"/>
      <c r="E9" s="2"/>
      <c r="F9" s="2"/>
      <c r="G9" s="2"/>
      <c r="H9" s="2"/>
      <c r="I9" s="2"/>
      <c r="J9" s="2"/>
      <c r="K9" s="2"/>
      <c r="L9" s="2"/>
      <c r="M9" s="2"/>
      <c r="N9" s="2"/>
      <c r="O9" s="2"/>
      <c r="P9" s="2"/>
      <c r="Q9" s="2"/>
      <c r="R9" s="2"/>
      <c r="S9" s="2"/>
      <c r="T9" s="2"/>
      <c r="U9" s="2"/>
      <c r="V9" s="1"/>
      <c r="W9" s="1"/>
      <c r="X9" s="1"/>
      <c r="Y9" s="1"/>
      <c r="Z9" s="1"/>
      <c r="AA9" s="3"/>
      <c r="AB9" s="3"/>
      <c r="AC9" s="3"/>
      <c r="AD9" s="3"/>
      <c r="AE9" s="3"/>
      <c r="AF9" s="2"/>
      <c r="AG9" s="2"/>
      <c r="AH9" s="2"/>
      <c r="AI9" s="2"/>
      <c r="AJ9" s="2"/>
      <c r="AK9" s="2"/>
      <c r="AL9" s="2"/>
      <c r="AM9" s="2"/>
      <c r="AN9" s="2"/>
      <c r="AO9" s="2"/>
      <c r="AP9" s="2"/>
      <c r="AQ9" s="2"/>
      <c r="AR9" s="2"/>
      <c r="AS9" s="2"/>
      <c r="AT9" s="2"/>
      <c r="AU9" s="2"/>
    </row>
    <row r="10" spans="1:59" ht="16.899999999999999" customHeight="1">
      <c r="A10" s="2"/>
      <c r="B10" s="8" t="s">
        <v>1</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row>
    <row r="11" spans="1:59" ht="16.899999999999999" customHeight="1">
      <c r="A11" s="2"/>
      <c r="B11" s="448" t="s">
        <v>9</v>
      </c>
      <c r="C11" s="345"/>
      <c r="D11" s="345"/>
      <c r="E11" s="345"/>
      <c r="F11" s="345"/>
      <c r="G11" s="345"/>
      <c r="H11" s="345"/>
      <c r="I11" s="345"/>
      <c r="J11" s="345"/>
      <c r="K11" s="345"/>
      <c r="L11" s="449" t="str">
        <f>プロジェクト計画書!L11 &amp; ""</f>
        <v/>
      </c>
      <c r="M11" s="449"/>
      <c r="N11" s="449"/>
      <c r="O11" s="449"/>
      <c r="P11" s="449"/>
      <c r="Q11" s="449"/>
      <c r="R11" s="449"/>
      <c r="S11" s="449"/>
      <c r="T11" s="449"/>
      <c r="U11" s="449"/>
      <c r="V11" s="449"/>
      <c r="W11" s="449"/>
      <c r="X11" s="449"/>
      <c r="Y11" s="345" t="s">
        <v>13</v>
      </c>
      <c r="Z11" s="345"/>
      <c r="AA11" s="345"/>
      <c r="AB11" s="345"/>
      <c r="AC11" s="345"/>
      <c r="AD11" s="345"/>
      <c r="AE11" s="345"/>
      <c r="AF11" s="345"/>
      <c r="AG11" s="345"/>
      <c r="AH11" s="345"/>
      <c r="AI11" s="450" t="str">
        <f>IF(プロジェクト計画書!AI11="","",プロジェクト計画書!AI11)</f>
        <v/>
      </c>
      <c r="AJ11" s="451"/>
      <c r="AK11" s="451"/>
      <c r="AL11" s="451"/>
      <c r="AM11" s="451"/>
      <c r="AN11" s="451"/>
      <c r="AO11" s="20" t="s">
        <v>14</v>
      </c>
      <c r="AP11" s="451" t="str">
        <f>IF(プロジェクト計画書!AP11="","",プロジェクト計画書!AP11)</f>
        <v/>
      </c>
      <c r="AQ11" s="451"/>
      <c r="AR11" s="451"/>
      <c r="AS11" s="451"/>
      <c r="AT11" s="451"/>
      <c r="AU11" s="452"/>
    </row>
    <row r="12" spans="1:59" ht="16.899999999999999" customHeight="1">
      <c r="A12" s="2"/>
      <c r="B12" s="432" t="s">
        <v>2</v>
      </c>
      <c r="C12" s="433"/>
      <c r="D12" s="433"/>
      <c r="E12" s="433"/>
      <c r="F12" s="433"/>
      <c r="G12" s="433"/>
      <c r="H12" s="433"/>
      <c r="I12" s="433"/>
      <c r="J12" s="433"/>
      <c r="K12" s="434"/>
      <c r="L12" s="453" t="str">
        <f>プロジェクト計画書!L12 &amp; ""</f>
        <v/>
      </c>
      <c r="M12" s="454"/>
      <c r="N12" s="454"/>
      <c r="O12" s="454"/>
      <c r="P12" s="454"/>
      <c r="Q12" s="454"/>
      <c r="R12" s="454"/>
      <c r="S12" s="454"/>
      <c r="T12" s="454"/>
      <c r="U12" s="454"/>
      <c r="V12" s="454"/>
      <c r="W12" s="454"/>
      <c r="X12" s="454"/>
      <c r="Y12" s="454"/>
      <c r="Z12" s="454"/>
      <c r="AA12" s="454"/>
      <c r="AB12" s="454"/>
      <c r="AC12" s="454"/>
      <c r="AD12" s="454"/>
      <c r="AE12" s="454"/>
      <c r="AF12" s="454"/>
      <c r="AG12" s="454"/>
      <c r="AH12" s="454"/>
      <c r="AI12" s="454"/>
      <c r="AJ12" s="454"/>
      <c r="AK12" s="454"/>
      <c r="AL12" s="454"/>
      <c r="AM12" s="454"/>
      <c r="AN12" s="454"/>
      <c r="AO12" s="454"/>
      <c r="AP12" s="454"/>
      <c r="AQ12" s="454"/>
      <c r="AR12" s="454"/>
      <c r="AS12" s="454"/>
      <c r="AT12" s="454"/>
      <c r="AU12" s="455"/>
    </row>
    <row r="13" spans="1:59" ht="16.899999999999999" customHeight="1">
      <c r="A13" s="2"/>
      <c r="B13" s="447" t="s">
        <v>12</v>
      </c>
      <c r="C13" s="433"/>
      <c r="D13" s="433"/>
      <c r="E13" s="433"/>
      <c r="F13" s="433"/>
      <c r="G13" s="433"/>
      <c r="H13" s="433"/>
      <c r="I13" s="433"/>
      <c r="J13" s="433"/>
      <c r="K13" s="434"/>
      <c r="L13" s="435" t="str">
        <f>プロジェクト計画書!L13 &amp; ""</f>
        <v/>
      </c>
      <c r="M13" s="436"/>
      <c r="N13" s="436"/>
      <c r="O13" s="436"/>
      <c r="P13" s="436"/>
      <c r="Q13" s="436"/>
      <c r="R13" s="436"/>
      <c r="S13" s="436"/>
      <c r="T13" s="436"/>
      <c r="U13" s="436"/>
      <c r="V13" s="436"/>
      <c r="W13" s="436"/>
      <c r="X13" s="436"/>
      <c r="Y13" s="436"/>
      <c r="Z13" s="436"/>
      <c r="AA13" s="436"/>
      <c r="AB13" s="436"/>
      <c r="AC13" s="436"/>
      <c r="AD13" s="436"/>
      <c r="AE13" s="436"/>
      <c r="AF13" s="436"/>
      <c r="AG13" s="436"/>
      <c r="AH13" s="436"/>
      <c r="AI13" s="436"/>
      <c r="AJ13" s="436"/>
      <c r="AK13" s="436"/>
      <c r="AL13" s="436"/>
      <c r="AM13" s="436"/>
      <c r="AN13" s="436"/>
      <c r="AO13" s="436"/>
      <c r="AP13" s="436"/>
      <c r="AQ13" s="436"/>
      <c r="AR13" s="436"/>
      <c r="AS13" s="436"/>
      <c r="AT13" s="436"/>
      <c r="AU13" s="437"/>
    </row>
    <row r="14" spans="1:59" ht="16.899999999999999" customHeight="1">
      <c r="A14" s="2"/>
      <c r="B14" s="448" t="s">
        <v>3</v>
      </c>
      <c r="C14" s="345"/>
      <c r="D14" s="345"/>
      <c r="E14" s="345"/>
      <c r="F14" s="345"/>
      <c r="G14" s="345"/>
      <c r="H14" s="345"/>
      <c r="I14" s="345"/>
      <c r="J14" s="345"/>
      <c r="K14" s="345"/>
      <c r="L14" s="449" t="str">
        <f>プロジェクト計画書!L14 &amp; ""</f>
        <v/>
      </c>
      <c r="M14" s="449"/>
      <c r="N14" s="449"/>
      <c r="O14" s="449"/>
      <c r="P14" s="449"/>
      <c r="Q14" s="449"/>
      <c r="R14" s="449"/>
      <c r="S14" s="449"/>
      <c r="T14" s="449"/>
      <c r="U14" s="449"/>
      <c r="V14" s="449"/>
      <c r="W14" s="449"/>
      <c r="X14" s="449"/>
      <c r="Y14" s="345" t="s">
        <v>8</v>
      </c>
      <c r="Z14" s="345"/>
      <c r="AA14" s="345"/>
      <c r="AB14" s="345"/>
      <c r="AC14" s="345"/>
      <c r="AD14" s="345"/>
      <c r="AE14" s="345"/>
      <c r="AF14" s="345"/>
      <c r="AG14" s="345"/>
      <c r="AH14" s="346"/>
      <c r="AI14" s="431" t="str">
        <f>プロジェクト計画書!AI14 &amp; ""</f>
        <v/>
      </c>
      <c r="AJ14" s="431"/>
      <c r="AK14" s="431"/>
      <c r="AL14" s="431"/>
      <c r="AM14" s="431"/>
      <c r="AN14" s="431"/>
      <c r="AO14" s="431"/>
      <c r="AP14" s="431"/>
      <c r="AQ14" s="431"/>
      <c r="AR14" s="431"/>
      <c r="AS14" s="431"/>
      <c r="AT14" s="431"/>
      <c r="AU14" s="431"/>
      <c r="AX14" s="19"/>
      <c r="AY14" s="19"/>
      <c r="AZ14" s="19"/>
      <c r="BA14" s="19"/>
      <c r="BB14" s="19"/>
      <c r="BC14" s="19"/>
      <c r="BD14" s="19"/>
      <c r="BE14" s="19"/>
      <c r="BF14" s="19"/>
      <c r="BG14" s="19"/>
    </row>
    <row r="15" spans="1:59" ht="16.899999999999999" customHeight="1">
      <c r="A15" s="2"/>
      <c r="B15" s="447" t="s">
        <v>17</v>
      </c>
      <c r="C15" s="433"/>
      <c r="D15" s="433"/>
      <c r="E15" s="433"/>
      <c r="F15" s="433"/>
      <c r="G15" s="433"/>
      <c r="H15" s="433"/>
      <c r="I15" s="433"/>
      <c r="J15" s="433"/>
      <c r="K15" s="434"/>
      <c r="L15" s="435" t="str">
        <f>プロジェクト計画書!L15 &amp; ""</f>
        <v/>
      </c>
      <c r="M15" s="436"/>
      <c r="N15" s="436"/>
      <c r="O15" s="436"/>
      <c r="P15" s="436"/>
      <c r="Q15" s="436"/>
      <c r="R15" s="436"/>
      <c r="S15" s="436"/>
      <c r="T15" s="436"/>
      <c r="U15" s="436"/>
      <c r="V15" s="436"/>
      <c r="W15" s="436"/>
      <c r="X15" s="437"/>
      <c r="Y15" s="438" t="s">
        <v>18</v>
      </c>
      <c r="Z15" s="439"/>
      <c r="AA15" s="439"/>
      <c r="AB15" s="439"/>
      <c r="AC15" s="439"/>
      <c r="AD15" s="439"/>
      <c r="AE15" s="439"/>
      <c r="AF15" s="439"/>
      <c r="AG15" s="439"/>
      <c r="AH15" s="440"/>
      <c r="AI15" s="441" t="str">
        <f>プロジェクト計画書!AI15 &amp; ""</f>
        <v/>
      </c>
      <c r="AJ15" s="442"/>
      <c r="AK15" s="442"/>
      <c r="AL15" s="442"/>
      <c r="AM15" s="442"/>
      <c r="AN15" s="442"/>
      <c r="AO15" s="442"/>
      <c r="AP15" s="442"/>
      <c r="AQ15" s="442"/>
      <c r="AR15" s="442"/>
      <c r="AS15" s="442"/>
      <c r="AT15" s="442"/>
      <c r="AU15" s="443"/>
    </row>
    <row r="16" spans="1:59" ht="16.899999999999999" customHeight="1">
      <c r="A16" s="2"/>
      <c r="B16" s="418" t="s">
        <v>4</v>
      </c>
      <c r="C16" s="418"/>
      <c r="D16" s="418"/>
      <c r="E16" s="418"/>
      <c r="F16" s="418"/>
      <c r="G16" s="418"/>
      <c r="H16" s="418"/>
      <c r="I16" s="418"/>
      <c r="J16" s="418"/>
      <c r="K16" s="418"/>
      <c r="L16" s="444" t="str">
        <f>プロジェクト計画書!L16 &amp; ""</f>
        <v/>
      </c>
      <c r="M16" s="445"/>
      <c r="N16" s="445"/>
      <c r="O16" s="445"/>
      <c r="P16" s="445"/>
      <c r="Q16" s="445"/>
      <c r="R16" s="445"/>
      <c r="S16" s="445"/>
      <c r="T16" s="445"/>
      <c r="U16" s="445"/>
      <c r="V16" s="445"/>
      <c r="W16" s="445"/>
      <c r="X16" s="446"/>
      <c r="Y16" s="345" t="s">
        <v>11</v>
      </c>
      <c r="Z16" s="345"/>
      <c r="AA16" s="345"/>
      <c r="AB16" s="345"/>
      <c r="AC16" s="345"/>
      <c r="AD16" s="345"/>
      <c r="AE16" s="345"/>
      <c r="AF16" s="345"/>
      <c r="AG16" s="345"/>
      <c r="AH16" s="345"/>
      <c r="AI16" s="431" t="str">
        <f>プロジェクト計画書!AI16 &amp; ""</f>
        <v/>
      </c>
      <c r="AJ16" s="431"/>
      <c r="AK16" s="431"/>
      <c r="AL16" s="431"/>
      <c r="AM16" s="431"/>
      <c r="AN16" s="431"/>
      <c r="AO16" s="431"/>
      <c r="AP16" s="431"/>
      <c r="AQ16" s="431"/>
      <c r="AR16" s="431"/>
      <c r="AS16" s="431"/>
      <c r="AT16" s="431"/>
      <c r="AU16" s="431"/>
    </row>
    <row r="17" spans="1:47" ht="16.899999999999999" customHeight="1">
      <c r="A17" s="2"/>
      <c r="B17" s="432" t="s">
        <v>221</v>
      </c>
      <c r="C17" s="433"/>
      <c r="D17" s="433"/>
      <c r="E17" s="433"/>
      <c r="F17" s="433"/>
      <c r="G17" s="433"/>
      <c r="H17" s="433"/>
      <c r="I17" s="433"/>
      <c r="J17" s="433"/>
      <c r="K17" s="434"/>
      <c r="L17" s="435" t="str">
        <f>プロジェクト計画書!L17 &amp; ""</f>
        <v/>
      </c>
      <c r="M17" s="436"/>
      <c r="N17" s="436"/>
      <c r="O17" s="436"/>
      <c r="P17" s="436"/>
      <c r="Q17" s="436"/>
      <c r="R17" s="436"/>
      <c r="S17" s="436"/>
      <c r="T17" s="436"/>
      <c r="U17" s="436"/>
      <c r="V17" s="436"/>
      <c r="W17" s="436"/>
      <c r="X17" s="437"/>
      <c r="Y17" s="438" t="s">
        <v>10</v>
      </c>
      <c r="Z17" s="439"/>
      <c r="AA17" s="439"/>
      <c r="AB17" s="439"/>
      <c r="AC17" s="439"/>
      <c r="AD17" s="439"/>
      <c r="AE17" s="439"/>
      <c r="AF17" s="439"/>
      <c r="AG17" s="439"/>
      <c r="AH17" s="440"/>
      <c r="AI17" s="441" t="str">
        <f>プロジェクト計画書!AI17 &amp; ""</f>
        <v/>
      </c>
      <c r="AJ17" s="442"/>
      <c r="AK17" s="442"/>
      <c r="AL17" s="442"/>
      <c r="AM17" s="442"/>
      <c r="AN17" s="442"/>
      <c r="AO17" s="442"/>
      <c r="AP17" s="442"/>
      <c r="AQ17" s="442"/>
      <c r="AR17" s="442"/>
      <c r="AS17" s="442"/>
      <c r="AT17" s="442"/>
      <c r="AU17" s="443"/>
    </row>
    <row r="18" spans="1:47" ht="16.899999999999999" customHeight="1">
      <c r="A18" s="2"/>
      <c r="B18" s="418" t="s">
        <v>16</v>
      </c>
      <c r="C18" s="418"/>
      <c r="D18" s="418"/>
      <c r="E18" s="418"/>
      <c r="F18" s="418"/>
      <c r="G18" s="418"/>
      <c r="H18" s="418"/>
      <c r="I18" s="418"/>
      <c r="J18" s="418"/>
      <c r="K18" s="418"/>
      <c r="L18" s="419" t="str">
        <f>IF(プロジェクト計画書!L18="","",プロジェクト計画書!L18)</f>
        <v/>
      </c>
      <c r="M18" s="419"/>
      <c r="N18" s="419"/>
      <c r="O18" s="419"/>
      <c r="P18" s="419"/>
      <c r="Q18" s="419"/>
      <c r="R18" s="419"/>
      <c r="S18" s="419"/>
      <c r="T18" s="419"/>
      <c r="U18" s="419"/>
      <c r="V18" s="419"/>
      <c r="W18" s="419"/>
      <c r="X18" s="419"/>
      <c r="Y18" s="345" t="s">
        <v>19</v>
      </c>
      <c r="Z18" s="345"/>
      <c r="AA18" s="345"/>
      <c r="AB18" s="345"/>
      <c r="AC18" s="345"/>
      <c r="AD18" s="345"/>
      <c r="AE18" s="345"/>
      <c r="AF18" s="345"/>
      <c r="AG18" s="345"/>
      <c r="AH18" s="345"/>
      <c r="AI18" s="431" t="str">
        <f>プロジェクト計画書!AI18 &amp; ""</f>
        <v/>
      </c>
      <c r="AJ18" s="431"/>
      <c r="AK18" s="431"/>
      <c r="AL18" s="431"/>
      <c r="AM18" s="431"/>
      <c r="AN18" s="431"/>
      <c r="AO18" s="431"/>
      <c r="AP18" s="431"/>
      <c r="AQ18" s="431"/>
      <c r="AR18" s="431"/>
      <c r="AS18" s="431"/>
      <c r="AT18" s="431"/>
      <c r="AU18" s="431"/>
    </row>
    <row r="19" spans="1:47" ht="16.899999999999999" customHeight="1">
      <c r="B19" s="24"/>
      <c r="C19" s="24"/>
      <c r="D19" s="24"/>
      <c r="E19" s="24"/>
      <c r="F19" s="24"/>
      <c r="G19" s="24"/>
      <c r="H19" s="24"/>
      <c r="I19" s="24"/>
      <c r="J19" s="24"/>
      <c r="K19" s="24"/>
      <c r="L19" s="25"/>
      <c r="M19" s="25"/>
      <c r="N19" s="25"/>
      <c r="O19" s="25"/>
      <c r="P19" s="25"/>
      <c r="Q19" s="25"/>
      <c r="R19" s="25"/>
      <c r="S19" s="25"/>
      <c r="T19" s="25"/>
      <c r="U19" s="25"/>
      <c r="V19" s="25"/>
      <c r="W19" s="25"/>
      <c r="X19" s="25"/>
      <c r="Y19" s="6"/>
      <c r="Z19" s="6"/>
      <c r="AA19" s="6"/>
      <c r="AB19" s="6"/>
      <c r="AC19" s="6"/>
      <c r="AD19" s="6"/>
      <c r="AE19" s="6"/>
      <c r="AF19" s="6"/>
      <c r="AG19" s="6"/>
      <c r="AH19" s="6"/>
      <c r="AI19" s="6"/>
      <c r="AJ19" s="6"/>
      <c r="AK19" s="6"/>
      <c r="AL19" s="6"/>
      <c r="AM19" s="6"/>
      <c r="AN19" s="6"/>
      <c r="AO19" s="6"/>
      <c r="AP19" s="6"/>
      <c r="AQ19" s="6"/>
      <c r="AR19" s="6"/>
      <c r="AS19" s="6"/>
      <c r="AT19" s="6"/>
      <c r="AU19" s="6"/>
    </row>
    <row r="20" spans="1:47" s="10" customFormat="1" ht="16.899999999999999" customHeight="1">
      <c r="B20" s="9" t="s">
        <v>167</v>
      </c>
    </row>
    <row r="21" spans="1:47" s="11" customFormat="1" ht="16.899999999999999" customHeight="1">
      <c r="A21" s="18"/>
      <c r="B21" s="471" t="s">
        <v>32</v>
      </c>
      <c r="C21" s="471"/>
      <c r="D21" s="471"/>
      <c r="E21" s="471"/>
      <c r="F21" s="471"/>
      <c r="G21" s="471"/>
      <c r="H21" s="471"/>
      <c r="I21" s="471"/>
      <c r="J21" s="471"/>
      <c r="K21" s="471"/>
      <c r="L21" s="420" t="str">
        <f>IF(プロジェクト計画書!L63="","",プロジェクト計画書!L63)</f>
        <v/>
      </c>
      <c r="M21" s="420"/>
      <c r="N21" s="420"/>
      <c r="O21" s="420"/>
      <c r="P21" s="420"/>
      <c r="Q21" s="420"/>
      <c r="R21" s="420"/>
      <c r="S21" s="420"/>
      <c r="T21" s="420"/>
      <c r="U21" s="420"/>
      <c r="V21" s="420"/>
      <c r="W21" s="420"/>
      <c r="X21" s="420"/>
      <c r="Y21" s="471" t="s">
        <v>33</v>
      </c>
      <c r="Z21" s="471"/>
      <c r="AA21" s="471"/>
      <c r="AB21" s="471"/>
      <c r="AC21" s="471"/>
      <c r="AD21" s="471"/>
      <c r="AE21" s="471"/>
      <c r="AF21" s="471"/>
      <c r="AG21" s="471"/>
      <c r="AH21" s="472"/>
      <c r="AI21" s="420" t="str">
        <f>IF(プロジェクト計画書!AI63="","",プロジェクト計画書!AI63)</f>
        <v/>
      </c>
      <c r="AJ21" s="420"/>
      <c r="AK21" s="420"/>
      <c r="AL21" s="420"/>
      <c r="AM21" s="420"/>
      <c r="AN21" s="420"/>
      <c r="AO21" s="420"/>
      <c r="AP21" s="420"/>
      <c r="AQ21" s="420"/>
      <c r="AR21" s="420"/>
      <c r="AS21" s="420"/>
      <c r="AT21" s="420"/>
      <c r="AU21" s="420"/>
    </row>
    <row r="22" spans="1:47" s="11" customFormat="1" ht="16.899999999999999" customHeight="1">
      <c r="A22" s="18"/>
      <c r="B22" s="463" t="s">
        <v>34</v>
      </c>
      <c r="C22" s="422"/>
      <c r="D22" s="422"/>
      <c r="E22" s="422"/>
      <c r="F22" s="422"/>
      <c r="G22" s="422"/>
      <c r="H22" s="422"/>
      <c r="I22" s="422"/>
      <c r="J22" s="422"/>
      <c r="K22" s="423"/>
      <c r="L22" s="420" t="str">
        <f>IF(プロジェクト計画書!L64="","",プロジェクト計画書!L64)</f>
        <v/>
      </c>
      <c r="M22" s="420"/>
      <c r="N22" s="420"/>
      <c r="O22" s="420"/>
      <c r="P22" s="420"/>
      <c r="Q22" s="420"/>
      <c r="R22" s="420"/>
      <c r="S22" s="420"/>
      <c r="T22" s="420"/>
      <c r="U22" s="420"/>
      <c r="V22" s="420"/>
      <c r="W22" s="420"/>
      <c r="X22" s="420"/>
      <c r="Y22" s="471" t="s">
        <v>197</v>
      </c>
      <c r="Z22" s="471"/>
      <c r="AA22" s="471"/>
      <c r="AB22" s="471"/>
      <c r="AC22" s="471"/>
      <c r="AD22" s="471"/>
      <c r="AE22" s="471"/>
      <c r="AF22" s="471"/>
      <c r="AG22" s="471"/>
      <c r="AH22" s="472"/>
      <c r="AI22" s="420" t="str">
        <f>IF(プロジェクト計画書!AI64="","",プロジェクト計画書!AI64)</f>
        <v/>
      </c>
      <c r="AJ22" s="420"/>
      <c r="AK22" s="420"/>
      <c r="AL22" s="420"/>
      <c r="AM22" s="420"/>
      <c r="AN22" s="420"/>
      <c r="AO22" s="420"/>
      <c r="AP22" s="420"/>
      <c r="AQ22" s="420"/>
      <c r="AR22" s="420"/>
      <c r="AS22" s="420"/>
      <c r="AT22" s="420"/>
      <c r="AU22" s="420"/>
    </row>
    <row r="23" spans="1:47" s="11" customFormat="1" ht="16.899999999999999" customHeight="1">
      <c r="A23" s="18"/>
      <c r="B23" s="472" t="s">
        <v>35</v>
      </c>
      <c r="C23" s="472"/>
      <c r="D23" s="472"/>
      <c r="E23" s="472"/>
      <c r="F23" s="472"/>
      <c r="G23" s="472"/>
      <c r="H23" s="472"/>
      <c r="I23" s="472"/>
      <c r="J23" s="472"/>
      <c r="K23" s="472"/>
      <c r="L23" s="420" t="str">
        <f>IF(プロジェクト計画書!L65="","",プロジェクト計画書!L65)</f>
        <v/>
      </c>
      <c r="M23" s="420"/>
      <c r="N23" s="420"/>
      <c r="O23" s="420"/>
      <c r="P23" s="420"/>
      <c r="Q23" s="420"/>
      <c r="R23" s="420"/>
      <c r="S23" s="420"/>
      <c r="T23" s="420"/>
      <c r="U23" s="420"/>
      <c r="V23" s="420"/>
      <c r="W23" s="420"/>
      <c r="X23" s="420"/>
      <c r="Y23" s="421" t="s">
        <v>223</v>
      </c>
      <c r="Z23" s="422"/>
      <c r="AA23" s="422"/>
      <c r="AB23" s="422"/>
      <c r="AC23" s="422"/>
      <c r="AD23" s="422"/>
      <c r="AE23" s="422"/>
      <c r="AF23" s="422"/>
      <c r="AG23" s="422"/>
      <c r="AH23" s="423"/>
      <c r="AI23" s="420">
        <f>IF(プロジェクト計画書!AI65="","",プロジェクト計画書!AI65)</f>
        <v>0</v>
      </c>
      <c r="AJ23" s="420"/>
      <c r="AK23" s="420"/>
      <c r="AL23" s="420"/>
      <c r="AM23" s="420"/>
      <c r="AN23" s="420"/>
      <c r="AO23" s="420"/>
      <c r="AP23" s="420"/>
      <c r="AQ23" s="420"/>
      <c r="AR23" s="420"/>
      <c r="AS23" s="420"/>
      <c r="AT23" s="420"/>
      <c r="AU23" s="420"/>
    </row>
    <row r="24" spans="1:47" s="11" customFormat="1" ht="16.899999999999999" customHeight="1">
      <c r="A24" s="18"/>
      <c r="B24" s="463" t="s">
        <v>6</v>
      </c>
      <c r="C24" s="422"/>
      <c r="D24" s="422"/>
      <c r="E24" s="422"/>
      <c r="F24" s="422"/>
      <c r="G24" s="422"/>
      <c r="H24" s="422"/>
      <c r="I24" s="422"/>
      <c r="J24" s="422"/>
      <c r="K24" s="423"/>
      <c r="L24" s="459" t="str">
        <f>IF(プロジェクト計画書!L66="","",プロジェクト計画書!L66)</f>
        <v/>
      </c>
      <c r="M24" s="460"/>
      <c r="N24" s="460"/>
      <c r="O24" s="460"/>
      <c r="P24" s="460"/>
      <c r="Q24" s="460"/>
      <c r="R24" s="460"/>
      <c r="S24" s="460"/>
      <c r="T24" s="460"/>
      <c r="U24" s="460"/>
      <c r="V24" s="460"/>
      <c r="W24" s="460"/>
      <c r="X24" s="460"/>
      <c r="Y24" s="460"/>
      <c r="Z24" s="460"/>
      <c r="AA24" s="460"/>
      <c r="AB24" s="460"/>
      <c r="AC24" s="460"/>
      <c r="AD24" s="460"/>
      <c r="AE24" s="460"/>
      <c r="AF24" s="460"/>
      <c r="AG24" s="460"/>
      <c r="AH24" s="460"/>
      <c r="AI24" s="460"/>
      <c r="AJ24" s="460"/>
      <c r="AK24" s="460"/>
      <c r="AL24" s="460"/>
      <c r="AM24" s="460"/>
      <c r="AN24" s="460"/>
      <c r="AO24" s="460"/>
      <c r="AP24" s="460"/>
      <c r="AQ24" s="460"/>
      <c r="AR24" s="460"/>
      <c r="AS24" s="460"/>
      <c r="AT24" s="460"/>
      <c r="AU24" s="461"/>
    </row>
    <row r="25" spans="1:47" s="11" customFormat="1" ht="16.899999999999999" customHeight="1"/>
    <row r="26" spans="1:47" s="5" customFormat="1" ht="16.899999999999999" customHeight="1">
      <c r="B26" s="9" t="s">
        <v>36</v>
      </c>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row>
    <row r="27" spans="1:47" ht="16.899999999999999" customHeight="1">
      <c r="A27" s="2"/>
      <c r="B27" s="471" t="s">
        <v>32</v>
      </c>
      <c r="C27" s="471"/>
      <c r="D27" s="471"/>
      <c r="E27" s="471"/>
      <c r="F27" s="471"/>
      <c r="G27" s="471"/>
      <c r="H27" s="471"/>
      <c r="I27" s="471"/>
      <c r="J27" s="471"/>
      <c r="K27" s="471"/>
      <c r="L27" s="420" t="str">
        <f>IF(プロジェクト完了報告書!L54="","",プロジェクト完了報告書!L54)</f>
        <v/>
      </c>
      <c r="M27" s="420"/>
      <c r="N27" s="420"/>
      <c r="O27" s="420"/>
      <c r="P27" s="420"/>
      <c r="Q27" s="420"/>
      <c r="R27" s="420"/>
      <c r="S27" s="420"/>
      <c r="T27" s="420"/>
      <c r="U27" s="420"/>
      <c r="V27" s="420"/>
      <c r="W27" s="420"/>
      <c r="X27" s="420"/>
      <c r="Y27" s="471" t="s">
        <v>33</v>
      </c>
      <c r="Z27" s="471"/>
      <c r="AA27" s="471"/>
      <c r="AB27" s="471"/>
      <c r="AC27" s="471"/>
      <c r="AD27" s="471"/>
      <c r="AE27" s="471"/>
      <c r="AF27" s="471"/>
      <c r="AG27" s="471"/>
      <c r="AH27" s="472"/>
      <c r="AI27" s="420" t="str">
        <f>IF(プロジェクト完了報告書!AI54="","",プロジェクト完了報告書!AI54)</f>
        <v/>
      </c>
      <c r="AJ27" s="420"/>
      <c r="AK27" s="420"/>
      <c r="AL27" s="420"/>
      <c r="AM27" s="420"/>
      <c r="AN27" s="420"/>
      <c r="AO27" s="420"/>
      <c r="AP27" s="420"/>
      <c r="AQ27" s="420"/>
      <c r="AR27" s="420"/>
      <c r="AS27" s="420"/>
      <c r="AT27" s="420"/>
      <c r="AU27" s="420"/>
    </row>
    <row r="28" spans="1:47" ht="16.899999999999999" customHeight="1">
      <c r="A28" s="2"/>
      <c r="B28" s="463" t="s">
        <v>34</v>
      </c>
      <c r="C28" s="422"/>
      <c r="D28" s="422"/>
      <c r="E28" s="422"/>
      <c r="F28" s="422"/>
      <c r="G28" s="422"/>
      <c r="H28" s="422"/>
      <c r="I28" s="422"/>
      <c r="J28" s="422"/>
      <c r="K28" s="423"/>
      <c r="L28" s="420" t="str">
        <f>IF(プロジェクト完了報告書!L55="","",プロジェクト完了報告書!L55)</f>
        <v/>
      </c>
      <c r="M28" s="420"/>
      <c r="N28" s="420"/>
      <c r="O28" s="420"/>
      <c r="P28" s="420"/>
      <c r="Q28" s="420"/>
      <c r="R28" s="420"/>
      <c r="S28" s="420"/>
      <c r="T28" s="420"/>
      <c r="U28" s="420"/>
      <c r="V28" s="420"/>
      <c r="W28" s="420"/>
      <c r="X28" s="420"/>
      <c r="Y28" s="471" t="s">
        <v>197</v>
      </c>
      <c r="Z28" s="471"/>
      <c r="AA28" s="471"/>
      <c r="AB28" s="471"/>
      <c r="AC28" s="471"/>
      <c r="AD28" s="471"/>
      <c r="AE28" s="471"/>
      <c r="AF28" s="471"/>
      <c r="AG28" s="471"/>
      <c r="AH28" s="472"/>
      <c r="AI28" s="420" t="str">
        <f>IF(プロジェクト完了報告書!AI55="","",プロジェクト完了報告書!AI55)</f>
        <v/>
      </c>
      <c r="AJ28" s="420"/>
      <c r="AK28" s="420"/>
      <c r="AL28" s="420"/>
      <c r="AM28" s="420"/>
      <c r="AN28" s="420"/>
      <c r="AO28" s="420"/>
      <c r="AP28" s="420"/>
      <c r="AQ28" s="420"/>
      <c r="AR28" s="420"/>
      <c r="AS28" s="420"/>
      <c r="AT28" s="420"/>
      <c r="AU28" s="420"/>
    </row>
    <row r="29" spans="1:47" ht="16.899999999999999" customHeight="1">
      <c r="A29" s="2"/>
      <c r="B29" s="472" t="s">
        <v>35</v>
      </c>
      <c r="C29" s="472"/>
      <c r="D29" s="472"/>
      <c r="E29" s="472"/>
      <c r="F29" s="472"/>
      <c r="G29" s="472"/>
      <c r="H29" s="472"/>
      <c r="I29" s="472"/>
      <c r="J29" s="472"/>
      <c r="K29" s="472"/>
      <c r="L29" s="420" t="str">
        <f>IF(プロジェクト完了報告書!L56="","",プロジェクト完了報告書!L56)</f>
        <v/>
      </c>
      <c r="M29" s="420"/>
      <c r="N29" s="420"/>
      <c r="O29" s="420"/>
      <c r="P29" s="420"/>
      <c r="Q29" s="420"/>
      <c r="R29" s="420"/>
      <c r="S29" s="420"/>
      <c r="T29" s="420"/>
      <c r="U29" s="420"/>
      <c r="V29" s="420"/>
      <c r="W29" s="420"/>
      <c r="X29" s="420"/>
      <c r="Y29" s="421" t="s">
        <v>223</v>
      </c>
      <c r="Z29" s="422"/>
      <c r="AA29" s="422"/>
      <c r="AB29" s="422"/>
      <c r="AC29" s="422"/>
      <c r="AD29" s="422"/>
      <c r="AE29" s="422"/>
      <c r="AF29" s="422"/>
      <c r="AG29" s="422"/>
      <c r="AH29" s="423"/>
      <c r="AI29" s="420">
        <f>IF(プロジェクト完了報告書!AI56="","",プロジェクト完了報告書!AI56)</f>
        <v>0</v>
      </c>
      <c r="AJ29" s="420"/>
      <c r="AK29" s="420"/>
      <c r="AL29" s="420"/>
      <c r="AM29" s="420"/>
      <c r="AN29" s="420"/>
      <c r="AO29" s="420"/>
      <c r="AP29" s="420"/>
      <c r="AQ29" s="420"/>
      <c r="AR29" s="420"/>
      <c r="AS29" s="420"/>
      <c r="AT29" s="420"/>
      <c r="AU29" s="420"/>
    </row>
    <row r="30" spans="1:47" s="11" customFormat="1" ht="16.899999999999999" customHeight="1">
      <c r="A30" s="18"/>
      <c r="B30" s="463" t="s">
        <v>6</v>
      </c>
      <c r="C30" s="422"/>
      <c r="D30" s="422"/>
      <c r="E30" s="422"/>
      <c r="F30" s="422"/>
      <c r="G30" s="422"/>
      <c r="H30" s="422"/>
      <c r="I30" s="422"/>
      <c r="J30" s="422"/>
      <c r="K30" s="423"/>
      <c r="L30" s="456" t="str">
        <f>IF(プロジェクト完了報告書!L57="","",プロジェクト完了報告書!L57)</f>
        <v/>
      </c>
      <c r="M30" s="457"/>
      <c r="N30" s="457"/>
      <c r="O30" s="457"/>
      <c r="P30" s="457"/>
      <c r="Q30" s="457"/>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7"/>
      <c r="AP30" s="457"/>
      <c r="AQ30" s="457"/>
      <c r="AR30" s="457"/>
      <c r="AS30" s="457"/>
      <c r="AT30" s="457"/>
      <c r="AU30" s="458"/>
    </row>
    <row r="31" spans="1:47" ht="16.899999999999999" customHeight="1">
      <c r="A31" s="2"/>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row>
    <row r="32" spans="1:47" s="5" customFormat="1" ht="16.899999999999999" customHeight="1">
      <c r="B32" s="9" t="s">
        <v>37</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row>
    <row r="33" spans="2:47" s="5" customFormat="1" ht="16.899999999999999" customHeight="1">
      <c r="B33" s="345" t="s">
        <v>38</v>
      </c>
      <c r="C33" s="345"/>
      <c r="D33" s="345"/>
      <c r="E33" s="345"/>
      <c r="F33" s="345"/>
      <c r="G33" s="345"/>
      <c r="H33" s="345"/>
      <c r="I33" s="345"/>
      <c r="J33" s="345"/>
      <c r="K33" s="345"/>
      <c r="L33" s="424" t="str">
        <f>IF(プロジェクト完了報告書!L60="","",プロジェクト完了報告書!L60)</f>
        <v/>
      </c>
      <c r="M33" s="424"/>
      <c r="N33" s="424"/>
      <c r="O33" s="424"/>
      <c r="P33" s="424"/>
      <c r="Q33" s="424"/>
      <c r="R33" s="424"/>
      <c r="S33" s="424"/>
      <c r="T33" s="424"/>
      <c r="U33" s="424"/>
      <c r="V33" s="424"/>
      <c r="W33" s="424"/>
      <c r="X33" s="424"/>
      <c r="Y33" s="345" t="s">
        <v>39</v>
      </c>
      <c r="Z33" s="345"/>
      <c r="AA33" s="345"/>
      <c r="AB33" s="345"/>
      <c r="AC33" s="345"/>
      <c r="AD33" s="345"/>
      <c r="AE33" s="345"/>
      <c r="AF33" s="345"/>
      <c r="AG33" s="345"/>
      <c r="AH33" s="345"/>
      <c r="AI33" s="424" t="str">
        <f>IF(プロジェクト完了報告書!AI60="","",プロジェクト完了報告書!AI60)</f>
        <v/>
      </c>
      <c r="AJ33" s="424"/>
      <c r="AK33" s="424"/>
      <c r="AL33" s="424"/>
      <c r="AM33" s="424"/>
      <c r="AN33" s="424"/>
      <c r="AO33" s="424"/>
      <c r="AP33" s="424"/>
      <c r="AQ33" s="424"/>
      <c r="AR33" s="424"/>
      <c r="AS33" s="424"/>
      <c r="AT33" s="424"/>
      <c r="AU33" s="424"/>
    </row>
    <row r="34" spans="2:47" s="5" customFormat="1" ht="16.899999999999999" customHeight="1">
      <c r="B34" s="345" t="s">
        <v>40</v>
      </c>
      <c r="C34" s="345"/>
      <c r="D34" s="345"/>
      <c r="E34" s="345"/>
      <c r="F34" s="345"/>
      <c r="G34" s="345"/>
      <c r="H34" s="345"/>
      <c r="I34" s="345"/>
      <c r="J34" s="345"/>
      <c r="K34" s="346"/>
      <c r="L34" s="467" t="str">
        <f>IF(プロジェクト完了報告書!L61="","",プロジェクト完了報告書!L61)</f>
        <v/>
      </c>
      <c r="M34" s="468"/>
      <c r="N34" s="468"/>
      <c r="O34" s="468"/>
      <c r="P34" s="468"/>
      <c r="Q34" s="468"/>
      <c r="R34" s="468"/>
      <c r="S34" s="468"/>
      <c r="T34" s="468"/>
      <c r="U34" s="468"/>
      <c r="V34" s="468"/>
      <c r="W34" s="468"/>
      <c r="X34" s="469"/>
      <c r="Y34" s="345" t="s">
        <v>41</v>
      </c>
      <c r="Z34" s="345"/>
      <c r="AA34" s="345"/>
      <c r="AB34" s="345"/>
      <c r="AC34" s="345"/>
      <c r="AD34" s="345"/>
      <c r="AE34" s="345"/>
      <c r="AF34" s="345"/>
      <c r="AG34" s="345"/>
      <c r="AH34" s="346"/>
      <c r="AI34" s="470" t="str">
        <f>IF(プロジェクト完了報告書!AI61="","",プロジェクト完了報告書!AI61)</f>
        <v/>
      </c>
      <c r="AJ34" s="470"/>
      <c r="AK34" s="470"/>
      <c r="AL34" s="470"/>
      <c r="AM34" s="470"/>
      <c r="AN34" s="470"/>
      <c r="AO34" s="470"/>
      <c r="AP34" s="470"/>
      <c r="AQ34" s="470"/>
      <c r="AR34" s="470"/>
      <c r="AS34" s="470"/>
      <c r="AT34" s="470"/>
      <c r="AU34" s="470"/>
    </row>
    <row r="35" spans="2:47" s="5" customFormat="1" ht="16.899999999999999" customHeight="1">
      <c r="B35" s="345" t="s">
        <v>188</v>
      </c>
      <c r="C35" s="345"/>
      <c r="D35" s="345"/>
      <c r="E35" s="345"/>
      <c r="F35" s="345"/>
      <c r="G35" s="345"/>
      <c r="H35" s="345"/>
      <c r="I35" s="345"/>
      <c r="J35" s="345"/>
      <c r="K35" s="346"/>
      <c r="L35" s="464" t="str">
        <f>IF(プロジェクト完了報告書!L62="","",プロジェクト完了報告書!L62)</f>
        <v/>
      </c>
      <c r="M35" s="465"/>
      <c r="N35" s="465"/>
      <c r="O35" s="465"/>
      <c r="P35" s="465"/>
      <c r="Q35" s="465"/>
      <c r="R35" s="465"/>
      <c r="S35" s="465"/>
      <c r="T35" s="465"/>
      <c r="U35" s="465"/>
      <c r="V35" s="465"/>
      <c r="W35" s="465"/>
      <c r="X35" s="466"/>
      <c r="Y35" s="345" t="s">
        <v>190</v>
      </c>
      <c r="Z35" s="345"/>
      <c r="AA35" s="345"/>
      <c r="AB35" s="345"/>
      <c r="AC35" s="345"/>
      <c r="AD35" s="345"/>
      <c r="AE35" s="345"/>
      <c r="AF35" s="345"/>
      <c r="AG35" s="345"/>
      <c r="AH35" s="346"/>
      <c r="AI35" s="462" t="str">
        <f>IF(プロジェクト完了報告書!AI62="","",プロジェクト完了報告書!AI62)</f>
        <v/>
      </c>
      <c r="AJ35" s="462"/>
      <c r="AK35" s="462"/>
      <c r="AL35" s="462"/>
      <c r="AM35" s="462"/>
      <c r="AN35" s="462"/>
      <c r="AO35" s="462"/>
      <c r="AP35" s="462"/>
      <c r="AQ35" s="462"/>
      <c r="AR35" s="462"/>
      <c r="AS35" s="462"/>
      <c r="AT35" s="462"/>
      <c r="AU35" s="462"/>
    </row>
    <row r="36" spans="2:47" s="5" customFormat="1" ht="16.899999999999999" customHeight="1">
      <c r="B36" s="345" t="s">
        <v>189</v>
      </c>
      <c r="C36" s="345"/>
      <c r="D36" s="345"/>
      <c r="E36" s="345"/>
      <c r="F36" s="345"/>
      <c r="G36" s="345"/>
      <c r="H36" s="345"/>
      <c r="I36" s="345"/>
      <c r="J36" s="345"/>
      <c r="K36" s="346"/>
      <c r="L36" s="462" t="str">
        <f>IF(プロジェクト完了報告書!L63="","",プロジェクト完了報告書!L63)</f>
        <v/>
      </c>
      <c r="M36" s="462"/>
      <c r="N36" s="462"/>
      <c r="O36" s="462"/>
      <c r="P36" s="462"/>
      <c r="Q36" s="462"/>
      <c r="R36" s="462"/>
      <c r="S36" s="462"/>
      <c r="T36" s="462"/>
      <c r="U36" s="462"/>
      <c r="V36" s="462"/>
      <c r="W36" s="462"/>
      <c r="X36" s="462"/>
      <c r="Y36" s="345" t="s">
        <v>191</v>
      </c>
      <c r="Z36" s="345"/>
      <c r="AA36" s="345"/>
      <c r="AB36" s="345"/>
      <c r="AC36" s="345"/>
      <c r="AD36" s="345"/>
      <c r="AE36" s="345"/>
      <c r="AF36" s="345"/>
      <c r="AG36" s="345"/>
      <c r="AH36" s="346"/>
      <c r="AI36" s="462" t="str">
        <f>IF(プロジェクト完了報告書!AI63="","",プロジェクト完了報告書!AI63)</f>
        <v/>
      </c>
      <c r="AJ36" s="462"/>
      <c r="AK36" s="462"/>
      <c r="AL36" s="462"/>
      <c r="AM36" s="462"/>
      <c r="AN36" s="462"/>
      <c r="AO36" s="462"/>
      <c r="AP36" s="462"/>
      <c r="AQ36" s="462"/>
      <c r="AR36" s="462"/>
      <c r="AS36" s="462"/>
      <c r="AT36" s="462"/>
      <c r="AU36" s="462"/>
    </row>
    <row r="37" spans="2:47" s="5" customFormat="1" ht="16.899999999999999" customHeight="1">
      <c r="B37" s="345" t="s">
        <v>285</v>
      </c>
      <c r="C37" s="345"/>
      <c r="D37" s="345"/>
      <c r="E37" s="345"/>
      <c r="F37" s="345"/>
      <c r="G37" s="345"/>
      <c r="H37" s="345"/>
      <c r="I37" s="345"/>
      <c r="J37" s="345"/>
      <c r="K37" s="346"/>
      <c r="L37" s="425" t="str">
        <f>IF(プロジェクト完了報告書!L64="","",プロジェクト完了報告書!L64)</f>
        <v/>
      </c>
      <c r="M37" s="426"/>
      <c r="N37" s="426"/>
      <c r="O37" s="426"/>
      <c r="P37" s="426"/>
      <c r="Q37" s="426"/>
      <c r="R37" s="426"/>
      <c r="S37" s="426"/>
      <c r="T37" s="426"/>
      <c r="U37" s="426"/>
      <c r="V37" s="426"/>
      <c r="W37" s="426"/>
      <c r="X37" s="427"/>
      <c r="Y37" s="428"/>
      <c r="Z37" s="429"/>
      <c r="AA37" s="429"/>
      <c r="AB37" s="429"/>
      <c r="AC37" s="429"/>
      <c r="AD37" s="429"/>
      <c r="AE37" s="429"/>
      <c r="AF37" s="429"/>
      <c r="AG37" s="429"/>
      <c r="AH37" s="430"/>
      <c r="AI37" s="344"/>
      <c r="AJ37" s="344"/>
      <c r="AK37" s="344"/>
      <c r="AL37" s="344"/>
      <c r="AM37" s="344"/>
      <c r="AN37" s="344"/>
      <c r="AO37" s="344"/>
      <c r="AP37" s="344"/>
      <c r="AQ37" s="344"/>
      <c r="AR37" s="344"/>
      <c r="AS37" s="344"/>
      <c r="AT37" s="344"/>
      <c r="AU37" s="344"/>
    </row>
    <row r="38" spans="2:47" s="5" customFormat="1" ht="16.899999999999999" customHeight="1"/>
    <row r="39" spans="2:47" s="5" customFormat="1" ht="16.899999999999999" customHeight="1">
      <c r="B39" s="49" t="s">
        <v>42</v>
      </c>
    </row>
    <row r="40" spans="2:47" s="5" customFormat="1" ht="16.899999999999999" customHeight="1">
      <c r="B40" s="345" t="s">
        <v>283</v>
      </c>
      <c r="C40" s="345"/>
      <c r="D40" s="345"/>
      <c r="E40" s="345"/>
      <c r="F40" s="345"/>
      <c r="G40" s="345"/>
      <c r="H40" s="345"/>
      <c r="I40" s="345"/>
      <c r="J40" s="345"/>
      <c r="K40" s="346"/>
      <c r="L40" s="347" t="str">
        <f>IF(プロジェクト完了報告書!L67="","",プロジェクト完了報告書!L67)</f>
        <v/>
      </c>
      <c r="M40" s="347"/>
      <c r="N40" s="347"/>
      <c r="O40" s="347"/>
      <c r="P40" s="347"/>
      <c r="Q40" s="347"/>
      <c r="R40" s="347"/>
      <c r="S40" s="347"/>
      <c r="T40" s="347"/>
      <c r="U40" s="347"/>
      <c r="V40" s="347"/>
      <c r="W40" s="347"/>
      <c r="X40" s="347"/>
      <c r="Y40" s="345" t="s">
        <v>44</v>
      </c>
      <c r="Z40" s="345"/>
      <c r="AA40" s="345"/>
      <c r="AB40" s="345"/>
      <c r="AC40" s="345"/>
      <c r="AD40" s="345"/>
      <c r="AE40" s="345"/>
      <c r="AF40" s="345"/>
      <c r="AG40" s="345"/>
      <c r="AH40" s="346"/>
      <c r="AI40" s="347" t="str">
        <f>IF(プロジェクト完了報告書!AI67="","",プロジェクト完了報告書!AI67)</f>
        <v/>
      </c>
      <c r="AJ40" s="347"/>
      <c r="AK40" s="347"/>
      <c r="AL40" s="347"/>
      <c r="AM40" s="347"/>
      <c r="AN40" s="347"/>
      <c r="AO40" s="347"/>
      <c r="AP40" s="347"/>
      <c r="AQ40" s="347"/>
      <c r="AR40" s="347"/>
      <c r="AS40" s="347"/>
      <c r="AT40" s="347"/>
      <c r="AU40" s="347"/>
    </row>
    <row r="41" spans="2:47" s="5" customFormat="1" ht="16.899999999999999" customHeight="1">
      <c r="B41" s="6"/>
      <c r="C41" s="6"/>
      <c r="D41" s="6"/>
      <c r="E41" s="6"/>
      <c r="F41" s="6"/>
      <c r="G41" s="6"/>
      <c r="H41" s="6"/>
      <c r="I41" s="6"/>
      <c r="J41" s="6"/>
      <c r="K41" s="26"/>
      <c r="L41" s="27"/>
      <c r="M41" s="27"/>
      <c r="N41" s="27"/>
      <c r="O41" s="27"/>
      <c r="P41" s="27"/>
      <c r="Q41" s="27"/>
      <c r="R41" s="27"/>
      <c r="S41" s="27"/>
      <c r="T41" s="27"/>
      <c r="U41" s="27"/>
      <c r="V41" s="27"/>
      <c r="W41" s="27"/>
      <c r="X41" s="27"/>
      <c r="Y41" s="6"/>
      <c r="Z41" s="6"/>
      <c r="AA41" s="6"/>
      <c r="AB41" s="6"/>
      <c r="AC41" s="6"/>
      <c r="AD41" s="6"/>
      <c r="AE41" s="6"/>
      <c r="AF41" s="6"/>
      <c r="AG41" s="6"/>
      <c r="AH41" s="26"/>
      <c r="AI41" s="27"/>
      <c r="AJ41" s="27"/>
      <c r="AK41" s="27"/>
      <c r="AL41" s="27"/>
      <c r="AM41" s="27"/>
      <c r="AN41" s="27"/>
      <c r="AO41" s="27"/>
      <c r="AP41" s="27"/>
      <c r="AQ41" s="27"/>
      <c r="AR41" s="27"/>
      <c r="AS41" s="27"/>
      <c r="AT41" s="27"/>
      <c r="AU41" s="27"/>
    </row>
    <row r="42" spans="2:47" s="5" customFormat="1" ht="16.899999999999999" customHeight="1">
      <c r="B42" s="6" t="s">
        <v>198</v>
      </c>
      <c r="C42" s="6"/>
      <c r="D42" s="6"/>
      <c r="E42" s="6"/>
      <c r="F42" s="6"/>
      <c r="G42" s="6"/>
      <c r="H42" s="6"/>
      <c r="I42" s="6"/>
      <c r="J42" s="6"/>
      <c r="K42" s="26"/>
      <c r="L42" s="23"/>
      <c r="M42" s="23"/>
      <c r="N42" s="23"/>
      <c r="O42" s="23"/>
      <c r="P42" s="23"/>
      <c r="Q42" s="23"/>
      <c r="R42" s="23"/>
      <c r="S42" s="23"/>
      <c r="T42" s="23"/>
      <c r="U42" s="23"/>
      <c r="V42" s="23"/>
      <c r="W42" s="23"/>
      <c r="X42" s="23"/>
      <c r="Y42" s="6"/>
      <c r="Z42" s="6"/>
      <c r="AA42" s="6"/>
      <c r="AB42" s="6"/>
      <c r="AC42" s="6"/>
      <c r="AD42" s="6"/>
      <c r="AE42" s="6"/>
      <c r="AF42" s="6"/>
      <c r="AG42" s="6"/>
      <c r="AH42" s="26"/>
      <c r="AI42" s="23"/>
      <c r="AJ42" s="23"/>
      <c r="AK42" s="23"/>
      <c r="AL42" s="23"/>
      <c r="AM42" s="23"/>
      <c r="AN42" s="23"/>
      <c r="AO42" s="23"/>
      <c r="AP42" s="23"/>
      <c r="AQ42" s="23"/>
      <c r="AR42" s="23"/>
      <c r="AS42" s="23"/>
      <c r="AT42" s="23"/>
      <c r="AU42" s="23"/>
    </row>
    <row r="43" spans="2:47" s="5" customFormat="1" ht="16.899999999999999" customHeight="1">
      <c r="B43" s="409" t="s">
        <v>194</v>
      </c>
      <c r="C43" s="409"/>
      <c r="D43" s="409"/>
      <c r="E43" s="409"/>
      <c r="F43" s="409"/>
      <c r="G43" s="409"/>
      <c r="H43" s="409"/>
      <c r="I43" s="409"/>
      <c r="J43" s="409"/>
      <c r="K43" s="409"/>
      <c r="L43" s="409"/>
      <c r="M43" s="409"/>
      <c r="N43" s="409"/>
      <c r="O43" s="409"/>
      <c r="P43" s="409"/>
      <c r="Q43" s="409"/>
      <c r="R43" s="409"/>
      <c r="S43" s="409"/>
      <c r="T43" s="409"/>
      <c r="U43" s="409"/>
      <c r="V43" s="409"/>
      <c r="W43" s="409"/>
      <c r="X43" s="409"/>
      <c r="Y43" s="409" t="s">
        <v>200</v>
      </c>
      <c r="Z43" s="409"/>
      <c r="AA43" s="409"/>
      <c r="AB43" s="409"/>
      <c r="AC43" s="409"/>
      <c r="AD43" s="409"/>
      <c r="AE43" s="409"/>
      <c r="AF43" s="409"/>
      <c r="AG43" s="409"/>
      <c r="AH43" s="409"/>
      <c r="AI43" s="409"/>
      <c r="AJ43" s="409"/>
      <c r="AK43" s="409"/>
      <c r="AL43" s="409"/>
      <c r="AM43" s="409"/>
      <c r="AN43" s="409"/>
      <c r="AO43" s="409"/>
      <c r="AP43" s="409"/>
      <c r="AQ43" s="409"/>
      <c r="AR43" s="409"/>
      <c r="AS43" s="409"/>
      <c r="AT43" s="409"/>
      <c r="AU43" s="409"/>
    </row>
    <row r="44" spans="2:47" s="5" customFormat="1" ht="16.899999999999999" customHeight="1">
      <c r="B44" s="403" t="s">
        <v>192</v>
      </c>
      <c r="C44" s="404"/>
      <c r="D44" s="404"/>
      <c r="E44" s="404"/>
      <c r="F44" s="405"/>
      <c r="G44" s="417" t="s">
        <v>195</v>
      </c>
      <c r="H44" s="417"/>
      <c r="I44" s="417"/>
      <c r="J44" s="417"/>
      <c r="K44" s="417"/>
      <c r="L44" s="410">
        <v>539.1</v>
      </c>
      <c r="M44" s="411"/>
      <c r="N44" s="411"/>
      <c r="O44" s="411"/>
      <c r="P44" s="411"/>
      <c r="Q44" s="411"/>
      <c r="R44" s="28" t="s">
        <v>199</v>
      </c>
      <c r="S44" s="414">
        <v>2393.6999999999998</v>
      </c>
      <c r="T44" s="415"/>
      <c r="U44" s="415"/>
      <c r="V44" s="415"/>
      <c r="W44" s="415"/>
      <c r="X44" s="415"/>
      <c r="Y44" s="403" t="s">
        <v>192</v>
      </c>
      <c r="Z44" s="404"/>
      <c r="AA44" s="404"/>
      <c r="AB44" s="404"/>
      <c r="AC44" s="405"/>
      <c r="AD44" s="417" t="s">
        <v>195</v>
      </c>
      <c r="AE44" s="417"/>
      <c r="AF44" s="417"/>
      <c r="AG44" s="417"/>
      <c r="AH44" s="417"/>
      <c r="AI44" s="410">
        <v>107.9</v>
      </c>
      <c r="AJ44" s="411"/>
      <c r="AK44" s="411"/>
      <c r="AL44" s="411"/>
      <c r="AM44" s="411"/>
      <c r="AN44" s="411"/>
      <c r="AO44" s="28" t="s">
        <v>199</v>
      </c>
      <c r="AP44" s="414">
        <v>659.1</v>
      </c>
      <c r="AQ44" s="415"/>
      <c r="AR44" s="415"/>
      <c r="AS44" s="415"/>
      <c r="AT44" s="415"/>
      <c r="AU44" s="415"/>
    </row>
    <row r="45" spans="2:47" s="5" customFormat="1" ht="16.899999999999999" customHeight="1">
      <c r="B45" s="406"/>
      <c r="C45" s="407"/>
      <c r="D45" s="407"/>
      <c r="E45" s="407"/>
      <c r="F45" s="408"/>
      <c r="G45" s="416" t="s">
        <v>196</v>
      </c>
      <c r="H45" s="416"/>
      <c r="I45" s="416"/>
      <c r="J45" s="416"/>
      <c r="K45" s="416"/>
      <c r="L45" s="401">
        <v>950.1</v>
      </c>
      <c r="M45" s="402"/>
      <c r="N45" s="402"/>
      <c r="O45" s="402"/>
      <c r="P45" s="402"/>
      <c r="Q45" s="402"/>
      <c r="R45" s="29" t="s">
        <v>199</v>
      </c>
      <c r="S45" s="412">
        <v>8914.1</v>
      </c>
      <c r="T45" s="413"/>
      <c r="U45" s="413"/>
      <c r="V45" s="413"/>
      <c r="W45" s="413"/>
      <c r="X45" s="413"/>
      <c r="Y45" s="406"/>
      <c r="Z45" s="407"/>
      <c r="AA45" s="407"/>
      <c r="AB45" s="407"/>
      <c r="AC45" s="408"/>
      <c r="AD45" s="416" t="s">
        <v>196</v>
      </c>
      <c r="AE45" s="416"/>
      <c r="AF45" s="416"/>
      <c r="AG45" s="416"/>
      <c r="AH45" s="416"/>
      <c r="AI45" s="401">
        <v>511.1</v>
      </c>
      <c r="AJ45" s="402"/>
      <c r="AK45" s="402"/>
      <c r="AL45" s="402"/>
      <c r="AM45" s="402"/>
      <c r="AN45" s="402"/>
      <c r="AO45" s="29" t="s">
        <v>199</v>
      </c>
      <c r="AP45" s="412">
        <v>2058.1</v>
      </c>
      <c r="AQ45" s="413"/>
      <c r="AR45" s="413"/>
      <c r="AS45" s="413"/>
      <c r="AT45" s="413"/>
      <c r="AU45" s="413"/>
    </row>
    <row r="46" spans="2:47" s="5" customFormat="1" ht="16.899999999999999" customHeight="1">
      <c r="B46" s="403" t="s">
        <v>193</v>
      </c>
      <c r="C46" s="404"/>
      <c r="D46" s="404"/>
      <c r="E46" s="404"/>
      <c r="F46" s="405"/>
      <c r="G46" s="417" t="s">
        <v>195</v>
      </c>
      <c r="H46" s="417"/>
      <c r="I46" s="417"/>
      <c r="J46" s="417"/>
      <c r="K46" s="417"/>
      <c r="L46" s="410">
        <v>36.6</v>
      </c>
      <c r="M46" s="411"/>
      <c r="N46" s="411"/>
      <c r="O46" s="411"/>
      <c r="P46" s="411"/>
      <c r="Q46" s="411"/>
      <c r="R46" s="28" t="s">
        <v>199</v>
      </c>
      <c r="S46" s="414">
        <v>159.69999999999999</v>
      </c>
      <c r="T46" s="415"/>
      <c r="U46" s="415"/>
      <c r="V46" s="415"/>
      <c r="W46" s="415"/>
      <c r="X46" s="415"/>
      <c r="Y46" s="403" t="s">
        <v>193</v>
      </c>
      <c r="Z46" s="404"/>
      <c r="AA46" s="404"/>
      <c r="AB46" s="404"/>
      <c r="AC46" s="405"/>
      <c r="AD46" s="417" t="s">
        <v>195</v>
      </c>
      <c r="AE46" s="417"/>
      <c r="AF46" s="417"/>
      <c r="AG46" s="417"/>
      <c r="AH46" s="417"/>
      <c r="AI46" s="410">
        <v>14.8</v>
      </c>
      <c r="AJ46" s="411"/>
      <c r="AK46" s="411"/>
      <c r="AL46" s="411"/>
      <c r="AM46" s="411"/>
      <c r="AN46" s="411"/>
      <c r="AO46" s="28" t="s">
        <v>199</v>
      </c>
      <c r="AP46" s="414">
        <v>104.7</v>
      </c>
      <c r="AQ46" s="415"/>
      <c r="AR46" s="415"/>
      <c r="AS46" s="415"/>
      <c r="AT46" s="415"/>
      <c r="AU46" s="415"/>
    </row>
    <row r="47" spans="2:47" s="5" customFormat="1" ht="16.899999999999999" customHeight="1">
      <c r="B47" s="406"/>
      <c r="C47" s="407"/>
      <c r="D47" s="407"/>
      <c r="E47" s="407"/>
      <c r="F47" s="408"/>
      <c r="G47" s="416" t="s">
        <v>196</v>
      </c>
      <c r="H47" s="416"/>
      <c r="I47" s="416"/>
      <c r="J47" s="416"/>
      <c r="K47" s="416"/>
      <c r="L47" s="401">
        <v>36.6</v>
      </c>
      <c r="M47" s="402"/>
      <c r="N47" s="402"/>
      <c r="O47" s="402"/>
      <c r="P47" s="402"/>
      <c r="Q47" s="402"/>
      <c r="R47" s="29" t="s">
        <v>199</v>
      </c>
      <c r="S47" s="412">
        <v>137.80000000000001</v>
      </c>
      <c r="T47" s="413"/>
      <c r="U47" s="413"/>
      <c r="V47" s="413"/>
      <c r="W47" s="413"/>
      <c r="X47" s="413"/>
      <c r="Y47" s="406"/>
      <c r="Z47" s="407"/>
      <c r="AA47" s="407"/>
      <c r="AB47" s="407"/>
      <c r="AC47" s="408"/>
      <c r="AD47" s="416" t="s">
        <v>196</v>
      </c>
      <c r="AE47" s="416"/>
      <c r="AF47" s="416"/>
      <c r="AG47" s="416"/>
      <c r="AH47" s="416"/>
      <c r="AI47" s="401">
        <v>14.7</v>
      </c>
      <c r="AJ47" s="402"/>
      <c r="AK47" s="402"/>
      <c r="AL47" s="402"/>
      <c r="AM47" s="402"/>
      <c r="AN47" s="402"/>
      <c r="AO47" s="29" t="s">
        <v>199</v>
      </c>
      <c r="AP47" s="412">
        <v>45.2</v>
      </c>
      <c r="AQ47" s="413"/>
      <c r="AR47" s="413"/>
      <c r="AS47" s="413"/>
      <c r="AT47" s="413"/>
      <c r="AU47" s="413"/>
    </row>
    <row r="48" spans="2:47" s="5" customFormat="1" ht="16.899999999999999" customHeight="1">
      <c r="B48" s="21"/>
      <c r="C48" s="21"/>
      <c r="D48" s="21"/>
      <c r="E48" s="21"/>
      <c r="F48" s="21"/>
      <c r="G48" s="21"/>
      <c r="H48" s="21"/>
      <c r="I48" s="21"/>
      <c r="J48" s="21"/>
      <c r="K48" s="22"/>
      <c r="L48" s="23"/>
      <c r="M48" s="23"/>
      <c r="N48" s="23"/>
      <c r="O48" s="23"/>
      <c r="P48" s="23"/>
      <c r="Q48" s="23"/>
      <c r="R48" s="23"/>
      <c r="S48" s="23"/>
      <c r="T48" s="23"/>
      <c r="U48" s="23"/>
      <c r="V48" s="23"/>
      <c r="W48" s="23"/>
      <c r="X48" s="23"/>
      <c r="Y48" s="21"/>
      <c r="Z48" s="21"/>
      <c r="AA48" s="21"/>
      <c r="AB48" s="21"/>
      <c r="AC48" s="21"/>
      <c r="AD48" s="21"/>
      <c r="AE48" s="21"/>
      <c r="AF48" s="21"/>
      <c r="AG48" s="21"/>
      <c r="AH48" s="22"/>
      <c r="AI48" s="23"/>
      <c r="AJ48" s="23"/>
      <c r="AK48" s="23"/>
      <c r="AL48" s="23"/>
      <c r="AM48" s="23"/>
      <c r="AN48" s="23"/>
      <c r="AO48" s="23"/>
      <c r="AP48" s="23"/>
      <c r="AQ48" s="23"/>
      <c r="AR48" s="23"/>
      <c r="AS48" s="23"/>
      <c r="AT48" s="23"/>
      <c r="AU48" s="23"/>
    </row>
    <row r="49" spans="2:47" s="5" customFormat="1" ht="16.899999999999999" customHeight="1">
      <c r="B49" s="9" t="s">
        <v>220</v>
      </c>
      <c r="C49" s="21"/>
      <c r="D49" s="21"/>
    </row>
    <row r="50" spans="2:47" s="5" customFormat="1" ht="16.899999999999999" customHeight="1">
      <c r="B50" s="399" t="s">
        <v>215</v>
      </c>
      <c r="C50" s="400"/>
      <c r="D50" s="400"/>
      <c r="E50" s="400"/>
      <c r="F50" s="400"/>
      <c r="G50" s="396" t="s">
        <v>201</v>
      </c>
      <c r="H50" s="396"/>
      <c r="I50" s="396"/>
      <c r="J50" s="396"/>
      <c r="K50" s="396" t="s">
        <v>202</v>
      </c>
      <c r="L50" s="396"/>
      <c r="M50" s="396"/>
      <c r="N50" s="396"/>
      <c r="O50" s="396" t="s">
        <v>203</v>
      </c>
      <c r="P50" s="396"/>
      <c r="Q50" s="396"/>
      <c r="R50" s="396"/>
      <c r="S50" s="396" t="s">
        <v>204</v>
      </c>
      <c r="T50" s="396"/>
      <c r="U50" s="396"/>
      <c r="V50" s="396"/>
      <c r="W50" s="396" t="s">
        <v>206</v>
      </c>
      <c r="X50" s="396"/>
      <c r="Y50" s="396"/>
      <c r="Z50" s="396"/>
      <c r="AA50" s="396" t="s">
        <v>207</v>
      </c>
      <c r="AB50" s="396"/>
      <c r="AC50" s="396"/>
      <c r="AD50" s="396"/>
      <c r="AE50" s="396" t="s">
        <v>208</v>
      </c>
      <c r="AF50" s="396"/>
      <c r="AG50" s="396"/>
      <c r="AH50" s="396"/>
      <c r="AI50" s="396" t="s">
        <v>209</v>
      </c>
      <c r="AJ50" s="396"/>
      <c r="AK50" s="396"/>
      <c r="AL50" s="397"/>
      <c r="AM50" s="398" t="s">
        <v>213</v>
      </c>
      <c r="AN50" s="396"/>
      <c r="AO50" s="396"/>
      <c r="AP50" s="396"/>
      <c r="AQ50" s="396" t="s">
        <v>205</v>
      </c>
      <c r="AR50" s="396"/>
      <c r="AS50" s="396"/>
      <c r="AT50" s="396"/>
      <c r="AU50" s="396"/>
    </row>
    <row r="51" spans="2:47" s="5" customFormat="1" ht="16.899999999999999" customHeight="1">
      <c r="B51" s="400"/>
      <c r="C51" s="400"/>
      <c r="D51" s="400"/>
      <c r="E51" s="400"/>
      <c r="F51" s="400"/>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7"/>
      <c r="AM51" s="398"/>
      <c r="AN51" s="396"/>
      <c r="AO51" s="396"/>
      <c r="AP51" s="396"/>
      <c r="AQ51" s="396"/>
      <c r="AR51" s="396"/>
      <c r="AS51" s="396"/>
      <c r="AT51" s="396"/>
      <c r="AU51" s="396"/>
    </row>
    <row r="52" spans="2:47" s="5" customFormat="1" ht="16.899999999999999" customHeight="1">
      <c r="B52" s="395" t="s">
        <v>201</v>
      </c>
      <c r="C52" s="395"/>
      <c r="D52" s="395"/>
      <c r="E52" s="395"/>
      <c r="F52" s="395"/>
      <c r="G52" s="388"/>
      <c r="H52" s="389"/>
      <c r="I52" s="389"/>
      <c r="J52" s="390"/>
      <c r="K52" s="380"/>
      <c r="L52" s="376"/>
      <c r="M52" s="376"/>
      <c r="N52" s="377"/>
      <c r="O52" s="380"/>
      <c r="P52" s="376"/>
      <c r="Q52" s="376"/>
      <c r="R52" s="377"/>
      <c r="S52" s="380"/>
      <c r="T52" s="376"/>
      <c r="U52" s="376"/>
      <c r="V52" s="377"/>
      <c r="W52" s="380"/>
      <c r="X52" s="376"/>
      <c r="Y52" s="376"/>
      <c r="Z52" s="377"/>
      <c r="AA52" s="380"/>
      <c r="AB52" s="376"/>
      <c r="AC52" s="376"/>
      <c r="AD52" s="377"/>
      <c r="AE52" s="380"/>
      <c r="AF52" s="376"/>
      <c r="AG52" s="376"/>
      <c r="AH52" s="377"/>
      <c r="AI52" s="380"/>
      <c r="AJ52" s="376"/>
      <c r="AK52" s="376"/>
      <c r="AL52" s="381"/>
      <c r="AM52" s="376">
        <f>SUM(G52:AL52)</f>
        <v>0</v>
      </c>
      <c r="AN52" s="376"/>
      <c r="AO52" s="376"/>
      <c r="AP52" s="377"/>
      <c r="AQ52" s="369" t="e">
        <f>AM52/G60</f>
        <v>#DIV/0!</v>
      </c>
      <c r="AR52" s="369"/>
      <c r="AS52" s="369"/>
      <c r="AT52" s="369"/>
      <c r="AU52" s="369"/>
    </row>
    <row r="53" spans="2:47" s="5" customFormat="1" ht="16.899999999999999" customHeight="1">
      <c r="B53" s="395" t="s">
        <v>210</v>
      </c>
      <c r="C53" s="395"/>
      <c r="D53" s="395"/>
      <c r="E53" s="395"/>
      <c r="F53" s="395"/>
      <c r="G53" s="388"/>
      <c r="H53" s="389"/>
      <c r="I53" s="389"/>
      <c r="J53" s="390"/>
      <c r="K53" s="388"/>
      <c r="L53" s="389"/>
      <c r="M53" s="389"/>
      <c r="N53" s="390"/>
      <c r="O53" s="380"/>
      <c r="P53" s="376"/>
      <c r="Q53" s="376"/>
      <c r="R53" s="377"/>
      <c r="S53" s="380"/>
      <c r="T53" s="376"/>
      <c r="U53" s="376"/>
      <c r="V53" s="377"/>
      <c r="W53" s="380"/>
      <c r="X53" s="376"/>
      <c r="Y53" s="376"/>
      <c r="Z53" s="377"/>
      <c r="AA53" s="380"/>
      <c r="AB53" s="376"/>
      <c r="AC53" s="376"/>
      <c r="AD53" s="377"/>
      <c r="AE53" s="380"/>
      <c r="AF53" s="376"/>
      <c r="AG53" s="376"/>
      <c r="AH53" s="377"/>
      <c r="AI53" s="380"/>
      <c r="AJ53" s="376"/>
      <c r="AK53" s="376"/>
      <c r="AL53" s="381"/>
      <c r="AM53" s="376">
        <f t="shared" ref="AM53:AM59" si="0">SUM(G53:AL53)</f>
        <v>0</v>
      </c>
      <c r="AN53" s="376"/>
      <c r="AO53" s="376"/>
      <c r="AP53" s="377"/>
      <c r="AQ53" s="369" t="e">
        <f>AM53/SUM(G53:N59)</f>
        <v>#DIV/0!</v>
      </c>
      <c r="AR53" s="369"/>
      <c r="AS53" s="369"/>
      <c r="AT53" s="369"/>
      <c r="AU53" s="369"/>
    </row>
    <row r="54" spans="2:47" s="5" customFormat="1" ht="16.899999999999999" customHeight="1">
      <c r="B54" s="395" t="s">
        <v>211</v>
      </c>
      <c r="C54" s="395"/>
      <c r="D54" s="395"/>
      <c r="E54" s="395"/>
      <c r="F54" s="395"/>
      <c r="G54" s="388"/>
      <c r="H54" s="389"/>
      <c r="I54" s="389"/>
      <c r="J54" s="390"/>
      <c r="K54" s="388"/>
      <c r="L54" s="389"/>
      <c r="M54" s="389"/>
      <c r="N54" s="390"/>
      <c r="O54" s="388"/>
      <c r="P54" s="389"/>
      <c r="Q54" s="389"/>
      <c r="R54" s="390"/>
      <c r="S54" s="380"/>
      <c r="T54" s="376"/>
      <c r="U54" s="376"/>
      <c r="V54" s="377"/>
      <c r="W54" s="380"/>
      <c r="X54" s="376"/>
      <c r="Y54" s="376"/>
      <c r="Z54" s="377"/>
      <c r="AA54" s="380"/>
      <c r="AB54" s="376"/>
      <c r="AC54" s="376"/>
      <c r="AD54" s="377"/>
      <c r="AE54" s="380"/>
      <c r="AF54" s="376"/>
      <c r="AG54" s="376"/>
      <c r="AH54" s="377"/>
      <c r="AI54" s="380"/>
      <c r="AJ54" s="376"/>
      <c r="AK54" s="376"/>
      <c r="AL54" s="381"/>
      <c r="AM54" s="376">
        <f t="shared" si="0"/>
        <v>0</v>
      </c>
      <c r="AN54" s="376"/>
      <c r="AO54" s="376"/>
      <c r="AP54" s="377"/>
      <c r="AQ54" s="369" t="e">
        <f>AM54/SUM(G54:R59)</f>
        <v>#DIV/0!</v>
      </c>
      <c r="AR54" s="369"/>
      <c r="AS54" s="369"/>
      <c r="AT54" s="369"/>
      <c r="AU54" s="369"/>
    </row>
    <row r="55" spans="2:47" s="5" customFormat="1" ht="16.899999999999999" customHeight="1">
      <c r="B55" s="395" t="s">
        <v>204</v>
      </c>
      <c r="C55" s="395"/>
      <c r="D55" s="395"/>
      <c r="E55" s="395"/>
      <c r="F55" s="395"/>
      <c r="G55" s="388"/>
      <c r="H55" s="389"/>
      <c r="I55" s="389"/>
      <c r="J55" s="390"/>
      <c r="K55" s="388"/>
      <c r="L55" s="389"/>
      <c r="M55" s="389"/>
      <c r="N55" s="390"/>
      <c r="O55" s="388"/>
      <c r="P55" s="389"/>
      <c r="Q55" s="389"/>
      <c r="R55" s="390"/>
      <c r="S55" s="388"/>
      <c r="T55" s="389"/>
      <c r="U55" s="389"/>
      <c r="V55" s="390"/>
      <c r="W55" s="380"/>
      <c r="X55" s="376"/>
      <c r="Y55" s="376"/>
      <c r="Z55" s="377"/>
      <c r="AA55" s="380"/>
      <c r="AB55" s="376"/>
      <c r="AC55" s="376"/>
      <c r="AD55" s="377"/>
      <c r="AE55" s="380"/>
      <c r="AF55" s="376"/>
      <c r="AG55" s="376"/>
      <c r="AH55" s="377"/>
      <c r="AI55" s="380"/>
      <c r="AJ55" s="376"/>
      <c r="AK55" s="376"/>
      <c r="AL55" s="381"/>
      <c r="AM55" s="376">
        <f t="shared" si="0"/>
        <v>0</v>
      </c>
      <c r="AN55" s="376"/>
      <c r="AO55" s="376"/>
      <c r="AP55" s="377"/>
      <c r="AQ55" s="369" t="e">
        <f>AM55/SUM(G55:V59)</f>
        <v>#DIV/0!</v>
      </c>
      <c r="AR55" s="369"/>
      <c r="AS55" s="369"/>
      <c r="AT55" s="369"/>
      <c r="AU55" s="369"/>
    </row>
    <row r="56" spans="2:47" s="5" customFormat="1" ht="16.899999999999999" customHeight="1">
      <c r="B56" s="395" t="s">
        <v>206</v>
      </c>
      <c r="C56" s="395"/>
      <c r="D56" s="395"/>
      <c r="E56" s="395"/>
      <c r="F56" s="395"/>
      <c r="G56" s="388"/>
      <c r="H56" s="389"/>
      <c r="I56" s="389"/>
      <c r="J56" s="390"/>
      <c r="K56" s="388"/>
      <c r="L56" s="389"/>
      <c r="M56" s="389"/>
      <c r="N56" s="390"/>
      <c r="O56" s="388"/>
      <c r="P56" s="389"/>
      <c r="Q56" s="389"/>
      <c r="R56" s="390"/>
      <c r="S56" s="388"/>
      <c r="T56" s="389"/>
      <c r="U56" s="389"/>
      <c r="V56" s="390"/>
      <c r="W56" s="388"/>
      <c r="X56" s="389"/>
      <c r="Y56" s="389"/>
      <c r="Z56" s="390"/>
      <c r="AA56" s="380"/>
      <c r="AB56" s="376"/>
      <c r="AC56" s="376"/>
      <c r="AD56" s="377"/>
      <c r="AE56" s="380"/>
      <c r="AF56" s="376"/>
      <c r="AG56" s="376"/>
      <c r="AH56" s="377"/>
      <c r="AI56" s="380"/>
      <c r="AJ56" s="376"/>
      <c r="AK56" s="376"/>
      <c r="AL56" s="381"/>
      <c r="AM56" s="376">
        <f t="shared" si="0"/>
        <v>0</v>
      </c>
      <c r="AN56" s="376"/>
      <c r="AO56" s="376"/>
      <c r="AP56" s="377"/>
      <c r="AQ56" s="369" t="e">
        <f>AM56/SUM(G56:Z59)</f>
        <v>#DIV/0!</v>
      </c>
      <c r="AR56" s="369"/>
      <c r="AS56" s="369"/>
      <c r="AT56" s="369"/>
      <c r="AU56" s="369"/>
    </row>
    <row r="57" spans="2:47" s="5" customFormat="1" ht="16.899999999999999" customHeight="1">
      <c r="B57" s="395" t="s">
        <v>207</v>
      </c>
      <c r="C57" s="395"/>
      <c r="D57" s="395"/>
      <c r="E57" s="395"/>
      <c r="F57" s="395"/>
      <c r="G57" s="388"/>
      <c r="H57" s="389"/>
      <c r="I57" s="389"/>
      <c r="J57" s="390"/>
      <c r="K57" s="388"/>
      <c r="L57" s="389"/>
      <c r="M57" s="389"/>
      <c r="N57" s="390"/>
      <c r="O57" s="388"/>
      <c r="P57" s="389"/>
      <c r="Q57" s="389"/>
      <c r="R57" s="390"/>
      <c r="S57" s="388"/>
      <c r="T57" s="389"/>
      <c r="U57" s="389"/>
      <c r="V57" s="390"/>
      <c r="W57" s="388"/>
      <c r="X57" s="389"/>
      <c r="Y57" s="389"/>
      <c r="Z57" s="390"/>
      <c r="AA57" s="388"/>
      <c r="AB57" s="389"/>
      <c r="AC57" s="389"/>
      <c r="AD57" s="390"/>
      <c r="AE57" s="380"/>
      <c r="AF57" s="376"/>
      <c r="AG57" s="376"/>
      <c r="AH57" s="377"/>
      <c r="AI57" s="380"/>
      <c r="AJ57" s="376"/>
      <c r="AK57" s="376"/>
      <c r="AL57" s="381"/>
      <c r="AM57" s="376">
        <f t="shared" si="0"/>
        <v>0</v>
      </c>
      <c r="AN57" s="376"/>
      <c r="AO57" s="376"/>
      <c r="AP57" s="377"/>
      <c r="AQ57" s="369" t="e">
        <f>AM57/SUM(G57:AD59)</f>
        <v>#DIV/0!</v>
      </c>
      <c r="AR57" s="369"/>
      <c r="AS57" s="369"/>
      <c r="AT57" s="369"/>
      <c r="AU57" s="369"/>
    </row>
    <row r="58" spans="2:47" s="5" customFormat="1" ht="16.899999999999999" customHeight="1">
      <c r="B58" s="395" t="s">
        <v>208</v>
      </c>
      <c r="C58" s="395"/>
      <c r="D58" s="395"/>
      <c r="E58" s="395"/>
      <c r="F58" s="395"/>
      <c r="G58" s="388"/>
      <c r="H58" s="389"/>
      <c r="I58" s="389"/>
      <c r="J58" s="390"/>
      <c r="K58" s="388"/>
      <c r="L58" s="389"/>
      <c r="M58" s="389"/>
      <c r="N58" s="390"/>
      <c r="O58" s="388"/>
      <c r="P58" s="389"/>
      <c r="Q58" s="389"/>
      <c r="R58" s="390"/>
      <c r="S58" s="388"/>
      <c r="T58" s="389"/>
      <c r="U58" s="389"/>
      <c r="V58" s="390"/>
      <c r="W58" s="388"/>
      <c r="X58" s="389"/>
      <c r="Y58" s="389"/>
      <c r="Z58" s="390"/>
      <c r="AA58" s="388"/>
      <c r="AB58" s="389"/>
      <c r="AC58" s="389"/>
      <c r="AD58" s="390"/>
      <c r="AE58" s="388"/>
      <c r="AF58" s="389"/>
      <c r="AG58" s="389"/>
      <c r="AH58" s="390"/>
      <c r="AI58" s="380"/>
      <c r="AJ58" s="376"/>
      <c r="AK58" s="376"/>
      <c r="AL58" s="381"/>
      <c r="AM58" s="376">
        <f t="shared" si="0"/>
        <v>0</v>
      </c>
      <c r="AN58" s="376"/>
      <c r="AO58" s="376"/>
      <c r="AP58" s="377"/>
      <c r="AQ58" s="369" t="e">
        <f>AM58/SUM(G58:AH59)</f>
        <v>#DIV/0!</v>
      </c>
      <c r="AR58" s="369"/>
      <c r="AS58" s="369"/>
      <c r="AT58" s="369"/>
      <c r="AU58" s="369"/>
    </row>
    <row r="59" spans="2:47" s="5" customFormat="1" ht="16.899999999999999" customHeight="1" thickBot="1">
      <c r="B59" s="393" t="s">
        <v>212</v>
      </c>
      <c r="C59" s="393"/>
      <c r="D59" s="393"/>
      <c r="E59" s="393"/>
      <c r="F59" s="393"/>
      <c r="G59" s="382"/>
      <c r="H59" s="383"/>
      <c r="I59" s="383"/>
      <c r="J59" s="391"/>
      <c r="K59" s="382"/>
      <c r="L59" s="383"/>
      <c r="M59" s="383"/>
      <c r="N59" s="391"/>
      <c r="O59" s="382"/>
      <c r="P59" s="383"/>
      <c r="Q59" s="383"/>
      <c r="R59" s="391"/>
      <c r="S59" s="382"/>
      <c r="T59" s="383"/>
      <c r="U59" s="383"/>
      <c r="V59" s="391"/>
      <c r="W59" s="382"/>
      <c r="X59" s="383"/>
      <c r="Y59" s="383"/>
      <c r="Z59" s="391"/>
      <c r="AA59" s="382"/>
      <c r="AB59" s="383"/>
      <c r="AC59" s="383"/>
      <c r="AD59" s="391"/>
      <c r="AE59" s="382"/>
      <c r="AF59" s="383"/>
      <c r="AG59" s="383"/>
      <c r="AH59" s="391"/>
      <c r="AI59" s="382"/>
      <c r="AJ59" s="383"/>
      <c r="AK59" s="383"/>
      <c r="AL59" s="384"/>
      <c r="AM59" s="378">
        <f t="shared" si="0"/>
        <v>0</v>
      </c>
      <c r="AN59" s="378"/>
      <c r="AO59" s="378"/>
      <c r="AP59" s="379"/>
      <c r="AQ59" s="370" t="e">
        <f>AM59/SUM(G59:AL59)</f>
        <v>#DIV/0!</v>
      </c>
      <c r="AR59" s="370"/>
      <c r="AS59" s="370"/>
      <c r="AT59" s="370"/>
      <c r="AU59" s="370"/>
    </row>
    <row r="60" spans="2:47" s="5" customFormat="1" ht="16.899999999999999" customHeight="1" thickTop="1">
      <c r="B60" s="394" t="s">
        <v>213</v>
      </c>
      <c r="C60" s="394"/>
      <c r="D60" s="394"/>
      <c r="E60" s="394"/>
      <c r="F60" s="394"/>
      <c r="G60" s="371">
        <f>SUM(G52:J59)</f>
        <v>0</v>
      </c>
      <c r="H60" s="366"/>
      <c r="I60" s="366"/>
      <c r="J60" s="367"/>
      <c r="K60" s="371">
        <f t="shared" ref="K60" si="1">SUM(K52:N59)</f>
        <v>0</v>
      </c>
      <c r="L60" s="366"/>
      <c r="M60" s="366"/>
      <c r="N60" s="367"/>
      <c r="O60" s="371">
        <f t="shared" ref="O60" si="2">SUM(O52:R59)</f>
        <v>0</v>
      </c>
      <c r="P60" s="366"/>
      <c r="Q60" s="366"/>
      <c r="R60" s="367"/>
      <c r="S60" s="371">
        <f t="shared" ref="S60" si="3">SUM(S52:V59)</f>
        <v>0</v>
      </c>
      <c r="T60" s="366"/>
      <c r="U60" s="366"/>
      <c r="V60" s="367"/>
      <c r="W60" s="371">
        <f t="shared" ref="W60" si="4">SUM(W52:Z59)</f>
        <v>0</v>
      </c>
      <c r="X60" s="366"/>
      <c r="Y60" s="366"/>
      <c r="Z60" s="367"/>
      <c r="AA60" s="371">
        <f t="shared" ref="AA60" si="5">SUM(AA52:AD59)</f>
        <v>0</v>
      </c>
      <c r="AB60" s="366"/>
      <c r="AC60" s="366"/>
      <c r="AD60" s="367"/>
      <c r="AE60" s="371">
        <f t="shared" ref="AE60" si="6">SUM(AE52:AH59)</f>
        <v>0</v>
      </c>
      <c r="AF60" s="366"/>
      <c r="AG60" s="366"/>
      <c r="AH60" s="367"/>
      <c r="AI60" s="371">
        <f t="shared" ref="AI60" si="7">SUM(AI52:AL59)</f>
        <v>0</v>
      </c>
      <c r="AJ60" s="366"/>
      <c r="AK60" s="366"/>
      <c r="AL60" s="372"/>
      <c r="AM60" s="366">
        <f>SUM(AM52:AP59)</f>
        <v>0</v>
      </c>
      <c r="AN60" s="366"/>
      <c r="AO60" s="366"/>
      <c r="AP60" s="367"/>
      <c r="AQ60" s="385"/>
      <c r="AR60" s="385"/>
      <c r="AS60" s="385"/>
      <c r="AT60" s="385"/>
      <c r="AU60" s="385"/>
    </row>
    <row r="61" spans="2:47" s="5" customFormat="1" ht="16.899999999999999" customHeight="1">
      <c r="B61" s="395" t="s">
        <v>214</v>
      </c>
      <c r="C61" s="395"/>
      <c r="D61" s="395"/>
      <c r="E61" s="395"/>
      <c r="F61" s="395"/>
      <c r="G61" s="373" t="e">
        <f>G60/$AM60</f>
        <v>#DIV/0!</v>
      </c>
      <c r="H61" s="374"/>
      <c r="I61" s="374"/>
      <c r="J61" s="392"/>
      <c r="K61" s="373" t="e">
        <f t="shared" ref="K61" si="8">K60/$AM60</f>
        <v>#DIV/0!</v>
      </c>
      <c r="L61" s="374"/>
      <c r="M61" s="374"/>
      <c r="N61" s="392"/>
      <c r="O61" s="373" t="e">
        <f t="shared" ref="O61" si="9">O60/$AM60</f>
        <v>#DIV/0!</v>
      </c>
      <c r="P61" s="374"/>
      <c r="Q61" s="374"/>
      <c r="R61" s="392"/>
      <c r="S61" s="373" t="e">
        <f t="shared" ref="S61" si="10">S60/$AM60</f>
        <v>#DIV/0!</v>
      </c>
      <c r="T61" s="374"/>
      <c r="U61" s="374"/>
      <c r="V61" s="392"/>
      <c r="W61" s="373" t="e">
        <f t="shared" ref="W61" si="11">W60/$AM60</f>
        <v>#DIV/0!</v>
      </c>
      <c r="X61" s="374"/>
      <c r="Y61" s="374"/>
      <c r="Z61" s="392"/>
      <c r="AA61" s="373" t="e">
        <f t="shared" ref="AA61" si="12">AA60/$AM60</f>
        <v>#DIV/0!</v>
      </c>
      <c r="AB61" s="374"/>
      <c r="AC61" s="374"/>
      <c r="AD61" s="392"/>
      <c r="AE61" s="373" t="e">
        <f t="shared" ref="AE61" si="13">AE60/$AM60</f>
        <v>#DIV/0!</v>
      </c>
      <c r="AF61" s="374"/>
      <c r="AG61" s="374"/>
      <c r="AH61" s="392"/>
      <c r="AI61" s="373" t="e">
        <f t="shared" ref="AI61" si="14">AI60/$AM60</f>
        <v>#DIV/0!</v>
      </c>
      <c r="AJ61" s="374"/>
      <c r="AK61" s="374"/>
      <c r="AL61" s="375"/>
      <c r="AM61" s="368"/>
      <c r="AN61" s="368"/>
      <c r="AO61" s="368"/>
      <c r="AP61" s="368"/>
      <c r="AQ61" s="386"/>
      <c r="AR61" s="387"/>
      <c r="AS61" s="387"/>
      <c r="AT61" s="387"/>
      <c r="AU61" s="387"/>
    </row>
    <row r="62" spans="2:47" s="5" customFormat="1" ht="16.899999999999999" customHeight="1">
      <c r="B62" s="21"/>
      <c r="C62" s="21"/>
      <c r="D62" s="21"/>
      <c r="E62" s="21"/>
      <c r="F62" s="21"/>
      <c r="G62" s="21"/>
      <c r="H62" s="21"/>
      <c r="I62" s="21"/>
      <c r="J62" s="21"/>
      <c r="K62" s="22"/>
      <c r="L62" s="23"/>
      <c r="M62" s="23"/>
      <c r="N62" s="23"/>
      <c r="O62" s="23"/>
      <c r="P62" s="23"/>
      <c r="Q62" s="23"/>
      <c r="R62" s="23"/>
      <c r="S62" s="23"/>
      <c r="T62" s="23"/>
      <c r="U62" s="23"/>
      <c r="V62" s="23"/>
      <c r="W62" s="23"/>
      <c r="X62" s="23"/>
      <c r="Y62" s="21"/>
      <c r="Z62" s="21"/>
      <c r="AA62" s="21"/>
      <c r="AB62" s="21"/>
      <c r="AC62" s="21"/>
      <c r="AD62" s="21"/>
      <c r="AE62" s="21"/>
      <c r="AF62" s="21"/>
      <c r="AG62" s="21"/>
      <c r="AH62" s="22"/>
      <c r="AI62" s="23"/>
      <c r="AJ62" s="23"/>
      <c r="AK62" s="23"/>
      <c r="AL62" s="23"/>
      <c r="AM62" s="23"/>
      <c r="AN62" s="23"/>
      <c r="AO62" s="23"/>
      <c r="AP62" s="23"/>
      <c r="AQ62" s="23"/>
      <c r="AR62" s="23"/>
      <c r="AS62" s="23"/>
      <c r="AT62" s="23"/>
      <c r="AU62" s="23"/>
    </row>
    <row r="63" spans="2:47" ht="16.899999999999999" customHeight="1">
      <c r="B63" s="7" t="s">
        <v>217</v>
      </c>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row>
    <row r="64" spans="2:47" ht="16.899999999999999" customHeight="1">
      <c r="B64" s="348"/>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c r="AA64" s="349"/>
      <c r="AB64" s="349"/>
      <c r="AC64" s="349"/>
      <c r="AD64" s="349"/>
      <c r="AE64" s="349"/>
      <c r="AF64" s="349"/>
      <c r="AG64" s="349"/>
      <c r="AH64" s="349"/>
      <c r="AI64" s="349"/>
      <c r="AJ64" s="349"/>
      <c r="AK64" s="349"/>
      <c r="AL64" s="349"/>
      <c r="AM64" s="349"/>
      <c r="AN64" s="349"/>
      <c r="AO64" s="349"/>
      <c r="AP64" s="349"/>
      <c r="AQ64" s="349"/>
      <c r="AR64" s="349"/>
      <c r="AS64" s="349"/>
      <c r="AT64" s="349"/>
      <c r="AU64" s="350"/>
    </row>
    <row r="65" spans="2:47" ht="16.899999999999999" customHeight="1">
      <c r="B65" s="351"/>
      <c r="C65" s="352"/>
      <c r="D65" s="352"/>
      <c r="E65" s="352"/>
      <c r="F65" s="352"/>
      <c r="G65" s="352"/>
      <c r="H65" s="352"/>
      <c r="I65" s="352"/>
      <c r="J65" s="352"/>
      <c r="K65" s="352"/>
      <c r="L65" s="352"/>
      <c r="M65" s="352"/>
      <c r="N65" s="352"/>
      <c r="O65" s="352"/>
      <c r="P65" s="352"/>
      <c r="Q65" s="352"/>
      <c r="R65" s="352"/>
      <c r="S65" s="352"/>
      <c r="T65" s="352"/>
      <c r="U65" s="352"/>
      <c r="V65" s="352"/>
      <c r="W65" s="352"/>
      <c r="X65" s="352"/>
      <c r="Y65" s="352"/>
      <c r="Z65" s="352"/>
      <c r="AA65" s="352"/>
      <c r="AB65" s="352"/>
      <c r="AC65" s="352"/>
      <c r="AD65" s="352"/>
      <c r="AE65" s="352"/>
      <c r="AF65" s="352"/>
      <c r="AG65" s="352"/>
      <c r="AH65" s="352"/>
      <c r="AI65" s="352"/>
      <c r="AJ65" s="352"/>
      <c r="AK65" s="352"/>
      <c r="AL65" s="352"/>
      <c r="AM65" s="352"/>
      <c r="AN65" s="352"/>
      <c r="AO65" s="352"/>
      <c r="AP65" s="352"/>
      <c r="AQ65" s="352"/>
      <c r="AR65" s="352"/>
      <c r="AS65" s="352"/>
      <c r="AT65" s="352"/>
      <c r="AU65" s="353"/>
    </row>
    <row r="66" spans="2:47" ht="16.899999999999999" customHeight="1">
      <c r="B66" s="351"/>
      <c r="C66" s="352"/>
      <c r="D66" s="352"/>
      <c r="E66" s="352"/>
      <c r="F66" s="352"/>
      <c r="G66" s="352"/>
      <c r="H66" s="352"/>
      <c r="I66" s="352"/>
      <c r="J66" s="352"/>
      <c r="K66" s="352"/>
      <c r="L66" s="352"/>
      <c r="M66" s="352"/>
      <c r="N66" s="352"/>
      <c r="O66" s="352"/>
      <c r="P66" s="352"/>
      <c r="Q66" s="352"/>
      <c r="R66" s="352"/>
      <c r="S66" s="352"/>
      <c r="T66" s="352"/>
      <c r="U66" s="352"/>
      <c r="V66" s="352"/>
      <c r="W66" s="352"/>
      <c r="X66" s="352"/>
      <c r="Y66" s="352"/>
      <c r="Z66" s="352"/>
      <c r="AA66" s="352"/>
      <c r="AB66" s="352"/>
      <c r="AC66" s="352"/>
      <c r="AD66" s="352"/>
      <c r="AE66" s="352"/>
      <c r="AF66" s="352"/>
      <c r="AG66" s="352"/>
      <c r="AH66" s="352"/>
      <c r="AI66" s="352"/>
      <c r="AJ66" s="352"/>
      <c r="AK66" s="352"/>
      <c r="AL66" s="352"/>
      <c r="AM66" s="352"/>
      <c r="AN66" s="352"/>
      <c r="AO66" s="352"/>
      <c r="AP66" s="352"/>
      <c r="AQ66" s="352"/>
      <c r="AR66" s="352"/>
      <c r="AS66" s="352"/>
      <c r="AT66" s="352"/>
      <c r="AU66" s="353"/>
    </row>
    <row r="67" spans="2:47" ht="16.899999999999999" customHeight="1">
      <c r="B67" s="351"/>
      <c r="C67" s="352"/>
      <c r="D67" s="352"/>
      <c r="E67" s="352"/>
      <c r="F67" s="352"/>
      <c r="G67" s="352"/>
      <c r="H67" s="352"/>
      <c r="I67" s="352"/>
      <c r="J67" s="352"/>
      <c r="K67" s="352"/>
      <c r="L67" s="352"/>
      <c r="M67" s="352"/>
      <c r="N67" s="352"/>
      <c r="O67" s="352"/>
      <c r="P67" s="352"/>
      <c r="Q67" s="352"/>
      <c r="R67" s="352"/>
      <c r="S67" s="352"/>
      <c r="T67" s="352"/>
      <c r="U67" s="352"/>
      <c r="V67" s="352"/>
      <c r="W67" s="352"/>
      <c r="X67" s="352"/>
      <c r="Y67" s="352"/>
      <c r="Z67" s="352"/>
      <c r="AA67" s="352"/>
      <c r="AB67" s="352"/>
      <c r="AC67" s="352"/>
      <c r="AD67" s="352"/>
      <c r="AE67" s="352"/>
      <c r="AF67" s="352"/>
      <c r="AG67" s="352"/>
      <c r="AH67" s="352"/>
      <c r="AI67" s="352"/>
      <c r="AJ67" s="352"/>
      <c r="AK67" s="352"/>
      <c r="AL67" s="352"/>
      <c r="AM67" s="352"/>
      <c r="AN67" s="352"/>
      <c r="AO67" s="352"/>
      <c r="AP67" s="352"/>
      <c r="AQ67" s="352"/>
      <c r="AR67" s="352"/>
      <c r="AS67" s="352"/>
      <c r="AT67" s="352"/>
      <c r="AU67" s="353"/>
    </row>
    <row r="68" spans="2:47" ht="16.899999999999999" customHeight="1">
      <c r="B68" s="351"/>
      <c r="C68" s="352"/>
      <c r="D68" s="352"/>
      <c r="E68" s="352"/>
      <c r="F68" s="352"/>
      <c r="G68" s="352"/>
      <c r="H68" s="352"/>
      <c r="I68" s="352"/>
      <c r="J68" s="352"/>
      <c r="K68" s="352"/>
      <c r="L68" s="352"/>
      <c r="M68" s="352"/>
      <c r="N68" s="352"/>
      <c r="O68" s="352"/>
      <c r="P68" s="352"/>
      <c r="Q68" s="352"/>
      <c r="R68" s="352"/>
      <c r="S68" s="352"/>
      <c r="T68" s="352"/>
      <c r="U68" s="352"/>
      <c r="V68" s="352"/>
      <c r="W68" s="352"/>
      <c r="X68" s="352"/>
      <c r="Y68" s="352"/>
      <c r="Z68" s="352"/>
      <c r="AA68" s="352"/>
      <c r="AB68" s="352"/>
      <c r="AC68" s="352"/>
      <c r="AD68" s="352"/>
      <c r="AE68" s="352"/>
      <c r="AF68" s="352"/>
      <c r="AG68" s="352"/>
      <c r="AH68" s="352"/>
      <c r="AI68" s="352"/>
      <c r="AJ68" s="352"/>
      <c r="AK68" s="352"/>
      <c r="AL68" s="352"/>
      <c r="AM68" s="352"/>
      <c r="AN68" s="352"/>
      <c r="AO68" s="352"/>
      <c r="AP68" s="352"/>
      <c r="AQ68" s="352"/>
      <c r="AR68" s="352"/>
      <c r="AS68" s="352"/>
      <c r="AT68" s="352"/>
      <c r="AU68" s="353"/>
    </row>
    <row r="69" spans="2:47" ht="16.899999999999999" customHeight="1">
      <c r="B69" s="351"/>
      <c r="C69" s="352"/>
      <c r="D69" s="352"/>
      <c r="E69" s="352"/>
      <c r="F69" s="352"/>
      <c r="G69" s="352"/>
      <c r="H69" s="352"/>
      <c r="I69" s="352"/>
      <c r="J69" s="352"/>
      <c r="K69" s="352"/>
      <c r="L69" s="352"/>
      <c r="M69" s="352"/>
      <c r="N69" s="352"/>
      <c r="O69" s="352"/>
      <c r="P69" s="352"/>
      <c r="Q69" s="352"/>
      <c r="R69" s="352"/>
      <c r="S69" s="352"/>
      <c r="T69" s="352"/>
      <c r="U69" s="352"/>
      <c r="V69" s="352"/>
      <c r="W69" s="352"/>
      <c r="X69" s="352"/>
      <c r="Y69" s="352"/>
      <c r="Z69" s="352"/>
      <c r="AA69" s="352"/>
      <c r="AB69" s="352"/>
      <c r="AC69" s="352"/>
      <c r="AD69" s="352"/>
      <c r="AE69" s="352"/>
      <c r="AF69" s="352"/>
      <c r="AG69" s="352"/>
      <c r="AH69" s="352"/>
      <c r="AI69" s="352"/>
      <c r="AJ69" s="352"/>
      <c r="AK69" s="352"/>
      <c r="AL69" s="352"/>
      <c r="AM69" s="352"/>
      <c r="AN69" s="352"/>
      <c r="AO69" s="352"/>
      <c r="AP69" s="352"/>
      <c r="AQ69" s="352"/>
      <c r="AR69" s="352"/>
      <c r="AS69" s="352"/>
      <c r="AT69" s="352"/>
      <c r="AU69" s="353"/>
    </row>
    <row r="70" spans="2:47" ht="16.899999999999999" customHeight="1">
      <c r="B70" s="351"/>
      <c r="C70" s="352"/>
      <c r="D70" s="352"/>
      <c r="E70" s="352"/>
      <c r="F70" s="352"/>
      <c r="G70" s="352"/>
      <c r="H70" s="352"/>
      <c r="I70" s="352"/>
      <c r="J70" s="352"/>
      <c r="K70" s="352"/>
      <c r="L70" s="352"/>
      <c r="M70" s="352"/>
      <c r="N70" s="352"/>
      <c r="O70" s="352"/>
      <c r="P70" s="352"/>
      <c r="Q70" s="352"/>
      <c r="R70" s="352"/>
      <c r="S70" s="352"/>
      <c r="T70" s="352"/>
      <c r="U70" s="352"/>
      <c r="V70" s="352"/>
      <c r="W70" s="352"/>
      <c r="X70" s="352"/>
      <c r="Y70" s="352"/>
      <c r="Z70" s="352"/>
      <c r="AA70" s="352"/>
      <c r="AB70" s="352"/>
      <c r="AC70" s="352"/>
      <c r="AD70" s="352"/>
      <c r="AE70" s="352"/>
      <c r="AF70" s="352"/>
      <c r="AG70" s="352"/>
      <c r="AH70" s="352"/>
      <c r="AI70" s="352"/>
      <c r="AJ70" s="352"/>
      <c r="AK70" s="352"/>
      <c r="AL70" s="352"/>
      <c r="AM70" s="352"/>
      <c r="AN70" s="352"/>
      <c r="AO70" s="352"/>
      <c r="AP70" s="352"/>
      <c r="AQ70" s="352"/>
      <c r="AR70" s="352"/>
      <c r="AS70" s="352"/>
      <c r="AT70" s="352"/>
      <c r="AU70" s="353"/>
    </row>
    <row r="71" spans="2:47" ht="16.899999999999999" customHeight="1">
      <c r="B71" s="354"/>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c r="AM71" s="355"/>
      <c r="AN71" s="355"/>
      <c r="AO71" s="355"/>
      <c r="AP71" s="355"/>
      <c r="AQ71" s="355"/>
      <c r="AR71" s="355"/>
      <c r="AS71" s="355"/>
      <c r="AT71" s="355"/>
      <c r="AU71" s="356"/>
    </row>
    <row r="72" spans="2:47" ht="16.899999999999999" customHeight="1">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row>
    <row r="73" spans="2:47" ht="16.899999999999999" customHeight="1">
      <c r="B73" s="7" t="s">
        <v>216</v>
      </c>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row>
    <row r="74" spans="2:47" ht="16.899999999999999" customHeight="1">
      <c r="B74" s="357"/>
      <c r="C74" s="358"/>
      <c r="D74" s="358"/>
      <c r="E74" s="358"/>
      <c r="F74" s="358"/>
      <c r="G74" s="358"/>
      <c r="H74" s="358"/>
      <c r="I74" s="358"/>
      <c r="J74" s="358"/>
      <c r="K74" s="358"/>
      <c r="L74" s="358"/>
      <c r="M74" s="358"/>
      <c r="N74" s="358"/>
      <c r="O74" s="358"/>
      <c r="P74" s="358"/>
      <c r="Q74" s="358"/>
      <c r="R74" s="358"/>
      <c r="S74" s="358"/>
      <c r="T74" s="358"/>
      <c r="U74" s="358"/>
      <c r="V74" s="358"/>
      <c r="W74" s="358"/>
      <c r="X74" s="358"/>
      <c r="Y74" s="358"/>
      <c r="Z74" s="358"/>
      <c r="AA74" s="358"/>
      <c r="AB74" s="358"/>
      <c r="AC74" s="358"/>
      <c r="AD74" s="358"/>
      <c r="AE74" s="358"/>
      <c r="AF74" s="358"/>
      <c r="AG74" s="358"/>
      <c r="AH74" s="358"/>
      <c r="AI74" s="358"/>
      <c r="AJ74" s="358"/>
      <c r="AK74" s="358"/>
      <c r="AL74" s="358"/>
      <c r="AM74" s="358"/>
      <c r="AN74" s="358"/>
      <c r="AO74" s="358"/>
      <c r="AP74" s="358"/>
      <c r="AQ74" s="358"/>
      <c r="AR74" s="358"/>
      <c r="AS74" s="358"/>
      <c r="AT74" s="358"/>
      <c r="AU74" s="359"/>
    </row>
    <row r="75" spans="2:47" ht="16.899999999999999" customHeight="1">
      <c r="B75" s="360"/>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c r="AG75" s="361"/>
      <c r="AH75" s="361"/>
      <c r="AI75" s="361"/>
      <c r="AJ75" s="361"/>
      <c r="AK75" s="361"/>
      <c r="AL75" s="361"/>
      <c r="AM75" s="361"/>
      <c r="AN75" s="361"/>
      <c r="AO75" s="361"/>
      <c r="AP75" s="361"/>
      <c r="AQ75" s="361"/>
      <c r="AR75" s="361"/>
      <c r="AS75" s="361"/>
      <c r="AT75" s="361"/>
      <c r="AU75" s="362"/>
    </row>
    <row r="76" spans="2:47" ht="16.899999999999999" customHeight="1">
      <c r="B76" s="360"/>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c r="AG76" s="361"/>
      <c r="AH76" s="361"/>
      <c r="AI76" s="361"/>
      <c r="AJ76" s="361"/>
      <c r="AK76" s="361"/>
      <c r="AL76" s="361"/>
      <c r="AM76" s="361"/>
      <c r="AN76" s="361"/>
      <c r="AO76" s="361"/>
      <c r="AP76" s="361"/>
      <c r="AQ76" s="361"/>
      <c r="AR76" s="361"/>
      <c r="AS76" s="361"/>
      <c r="AT76" s="361"/>
      <c r="AU76" s="362"/>
    </row>
    <row r="77" spans="2:47" ht="16.899999999999999" customHeight="1">
      <c r="B77" s="360"/>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c r="AG77" s="361"/>
      <c r="AH77" s="361"/>
      <c r="AI77" s="361"/>
      <c r="AJ77" s="361"/>
      <c r="AK77" s="361"/>
      <c r="AL77" s="361"/>
      <c r="AM77" s="361"/>
      <c r="AN77" s="361"/>
      <c r="AO77" s="361"/>
      <c r="AP77" s="361"/>
      <c r="AQ77" s="361"/>
      <c r="AR77" s="361"/>
      <c r="AS77" s="361"/>
      <c r="AT77" s="361"/>
      <c r="AU77" s="362"/>
    </row>
    <row r="78" spans="2:47" ht="16.899999999999999" customHeight="1">
      <c r="B78" s="360"/>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c r="AG78" s="361"/>
      <c r="AH78" s="361"/>
      <c r="AI78" s="361"/>
      <c r="AJ78" s="361"/>
      <c r="AK78" s="361"/>
      <c r="AL78" s="361"/>
      <c r="AM78" s="361"/>
      <c r="AN78" s="361"/>
      <c r="AO78" s="361"/>
      <c r="AP78" s="361"/>
      <c r="AQ78" s="361"/>
      <c r="AR78" s="361"/>
      <c r="AS78" s="361"/>
      <c r="AT78" s="361"/>
      <c r="AU78" s="362"/>
    </row>
    <row r="79" spans="2:47" ht="16.899999999999999" customHeight="1">
      <c r="B79" s="360"/>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c r="AG79" s="361"/>
      <c r="AH79" s="361"/>
      <c r="AI79" s="361"/>
      <c r="AJ79" s="361"/>
      <c r="AK79" s="361"/>
      <c r="AL79" s="361"/>
      <c r="AM79" s="361"/>
      <c r="AN79" s="361"/>
      <c r="AO79" s="361"/>
      <c r="AP79" s="361"/>
      <c r="AQ79" s="361"/>
      <c r="AR79" s="361"/>
      <c r="AS79" s="361"/>
      <c r="AT79" s="361"/>
      <c r="AU79" s="362"/>
    </row>
    <row r="80" spans="2:47" ht="16.899999999999999" customHeight="1">
      <c r="B80" s="360"/>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c r="AG80" s="361"/>
      <c r="AH80" s="361"/>
      <c r="AI80" s="361"/>
      <c r="AJ80" s="361"/>
      <c r="AK80" s="361"/>
      <c r="AL80" s="361"/>
      <c r="AM80" s="361"/>
      <c r="AN80" s="361"/>
      <c r="AO80" s="361"/>
      <c r="AP80" s="361"/>
      <c r="AQ80" s="361"/>
      <c r="AR80" s="361"/>
      <c r="AS80" s="361"/>
      <c r="AT80" s="361"/>
      <c r="AU80" s="362"/>
    </row>
    <row r="81" spans="2:47" ht="16.899999999999999" customHeight="1">
      <c r="B81" s="363"/>
      <c r="C81" s="364"/>
      <c r="D81" s="364"/>
      <c r="E81" s="364"/>
      <c r="F81" s="364"/>
      <c r="G81" s="364"/>
      <c r="H81" s="364"/>
      <c r="I81" s="364"/>
      <c r="J81" s="364"/>
      <c r="K81" s="364"/>
      <c r="L81" s="364"/>
      <c r="M81" s="364"/>
      <c r="N81" s="364"/>
      <c r="O81" s="364"/>
      <c r="P81" s="364"/>
      <c r="Q81" s="364"/>
      <c r="R81" s="364"/>
      <c r="S81" s="364"/>
      <c r="T81" s="364"/>
      <c r="U81" s="364"/>
      <c r="V81" s="364"/>
      <c r="W81" s="364"/>
      <c r="X81" s="364"/>
      <c r="Y81" s="364"/>
      <c r="Z81" s="364"/>
      <c r="AA81" s="364"/>
      <c r="AB81" s="364"/>
      <c r="AC81" s="364"/>
      <c r="AD81" s="364"/>
      <c r="AE81" s="364"/>
      <c r="AF81" s="364"/>
      <c r="AG81" s="364"/>
      <c r="AH81" s="364"/>
      <c r="AI81" s="364"/>
      <c r="AJ81" s="364"/>
      <c r="AK81" s="364"/>
      <c r="AL81" s="364"/>
      <c r="AM81" s="364"/>
      <c r="AN81" s="364"/>
      <c r="AO81" s="364"/>
      <c r="AP81" s="364"/>
      <c r="AQ81" s="364"/>
      <c r="AR81" s="364"/>
      <c r="AS81" s="364"/>
      <c r="AT81" s="364"/>
      <c r="AU81" s="365"/>
    </row>
    <row r="82" spans="2:47" s="5" customFormat="1" ht="16.899999999999999" customHeight="1">
      <c r="B82" s="21"/>
      <c r="C82" s="21"/>
      <c r="D82" s="21"/>
      <c r="E82" s="21"/>
      <c r="F82" s="21"/>
      <c r="G82" s="21"/>
      <c r="H82" s="21"/>
      <c r="I82" s="21"/>
      <c r="J82" s="21"/>
      <c r="K82" s="22"/>
      <c r="L82" s="23"/>
      <c r="M82" s="23"/>
      <c r="N82" s="23"/>
      <c r="O82" s="23"/>
      <c r="P82" s="23"/>
      <c r="Q82" s="23"/>
      <c r="R82" s="23"/>
      <c r="S82" s="23"/>
      <c r="T82" s="23"/>
      <c r="U82" s="23"/>
      <c r="V82" s="23"/>
      <c r="W82" s="23"/>
      <c r="X82" s="23"/>
      <c r="Y82" s="21"/>
      <c r="Z82" s="21"/>
      <c r="AA82" s="21"/>
      <c r="AB82" s="21"/>
      <c r="AC82" s="21"/>
      <c r="AD82" s="21"/>
      <c r="AE82" s="21"/>
      <c r="AF82" s="21"/>
      <c r="AG82" s="21"/>
      <c r="AH82" s="22"/>
      <c r="AI82" s="23"/>
      <c r="AJ82" s="23"/>
      <c r="AK82" s="23"/>
      <c r="AL82" s="23"/>
      <c r="AM82" s="23"/>
      <c r="AN82" s="23"/>
      <c r="AO82" s="23"/>
      <c r="AP82" s="23"/>
      <c r="AQ82" s="23"/>
      <c r="AR82" s="23"/>
      <c r="AS82" s="23"/>
      <c r="AT82" s="23"/>
      <c r="AU82" s="23"/>
    </row>
    <row r="83" spans="2:47" s="5" customFormat="1" ht="16.899999999999999" customHeight="1">
      <c r="B83" s="21"/>
      <c r="C83" s="21"/>
      <c r="D83" s="21"/>
      <c r="E83" s="21"/>
      <c r="F83" s="21"/>
      <c r="G83" s="21"/>
      <c r="H83" s="21"/>
      <c r="I83" s="21"/>
      <c r="J83" s="21"/>
      <c r="K83" s="22"/>
      <c r="L83" s="23"/>
      <c r="M83" s="23"/>
      <c r="N83" s="23"/>
      <c r="O83" s="23"/>
      <c r="P83" s="23"/>
      <c r="Q83" s="23"/>
      <c r="R83" s="23"/>
      <c r="S83" s="23"/>
      <c r="T83" s="23"/>
      <c r="U83" s="23"/>
      <c r="V83" s="23"/>
      <c r="W83" s="23"/>
      <c r="X83" s="23"/>
      <c r="Y83" s="21"/>
      <c r="Z83" s="21"/>
      <c r="AA83" s="21"/>
      <c r="AB83" s="21"/>
      <c r="AC83" s="21"/>
      <c r="AD83" s="21"/>
      <c r="AE83" s="21"/>
      <c r="AF83" s="21"/>
      <c r="AG83" s="21"/>
      <c r="AH83" s="22"/>
      <c r="AI83" s="23"/>
      <c r="AJ83" s="23"/>
      <c r="AK83" s="23"/>
      <c r="AL83" s="23"/>
      <c r="AM83" s="23"/>
      <c r="AN83" s="23"/>
      <c r="AO83" s="23"/>
      <c r="AP83" s="23"/>
      <c r="AQ83" s="23"/>
      <c r="AR83" s="23"/>
      <c r="AS83" s="23"/>
      <c r="AT83" s="23"/>
      <c r="AU83" s="23"/>
    </row>
  </sheetData>
  <protectedRanges>
    <protectedRange sqref="AJ46:AL47 AQ46:AS47 AI82:AU83 AM44:AN47 AT44:AU47 AI62:AU62 AQ52:AU61 AI48:AU48 L40:X40 AI34:AU37 AI40:AU42 L36:X36" name="範囲1_1_1_1"/>
    <protectedRange sqref="AT43:AU43 W43:X47 AM43:AO43 P43:R47 L82:X83 L62:X62 AH50:AH51 AD50:AD51 Z50:Z51 V50:V51 R50:R51 N50:N51 J50:J51 AP50:AP51 AL50:AL51 L48:X48 AO44:AO47 L34:X35 L41:X42 L37:X37" name="範囲1_2_1_1"/>
    <protectedRange sqref="AI15:AU15 AI17:AU17" name="範囲1_1_4"/>
    <protectedRange sqref="AI18:AU19 AI16:AU16 L15:X15 L17:X17" name="範囲1_2_4"/>
    <protectedRange sqref="L16:M16 L18:M19" name="範囲1_3_1"/>
    <protectedRange sqref="H74:AK79 H64:AK69" name="範囲1_4_2"/>
  </protectedRanges>
  <mergeCells count="241">
    <mergeCell ref="B4:AI5"/>
    <mergeCell ref="AL4:AP4"/>
    <mergeCell ref="AQ4:AU4"/>
    <mergeCell ref="AL5:AP7"/>
    <mergeCell ref="AQ5:AU7"/>
    <mergeCell ref="AL8:AP8"/>
    <mergeCell ref="AQ8:AU8"/>
    <mergeCell ref="AI33:AU33"/>
    <mergeCell ref="B24:K24"/>
    <mergeCell ref="Y28:AH28"/>
    <mergeCell ref="AI28:AU28"/>
    <mergeCell ref="B29:K29"/>
    <mergeCell ref="B21:K21"/>
    <mergeCell ref="L21:X21"/>
    <mergeCell ref="Y21:AH21"/>
    <mergeCell ref="AI21:AU21"/>
    <mergeCell ref="B22:K22"/>
    <mergeCell ref="L22:X22"/>
    <mergeCell ref="B27:K27"/>
    <mergeCell ref="L27:X27"/>
    <mergeCell ref="Y27:AH27"/>
    <mergeCell ref="AI27:AU27"/>
    <mergeCell ref="B28:K28"/>
    <mergeCell ref="L28:X28"/>
    <mergeCell ref="AI29:AU29"/>
    <mergeCell ref="L30:AU30"/>
    <mergeCell ref="Y14:AH14"/>
    <mergeCell ref="AI14:AU14"/>
    <mergeCell ref="L23:X23"/>
    <mergeCell ref="Y23:AH23"/>
    <mergeCell ref="AI23:AU23"/>
    <mergeCell ref="L24:AU24"/>
    <mergeCell ref="B36:K36"/>
    <mergeCell ref="L36:X36"/>
    <mergeCell ref="Y36:AH36"/>
    <mergeCell ref="AI36:AU36"/>
    <mergeCell ref="B30:K30"/>
    <mergeCell ref="B35:K35"/>
    <mergeCell ref="L35:X35"/>
    <mergeCell ref="Y35:AH35"/>
    <mergeCell ref="AI35:AU35"/>
    <mergeCell ref="B34:K34"/>
    <mergeCell ref="L34:X34"/>
    <mergeCell ref="Y34:AH34"/>
    <mergeCell ref="AI34:AU34"/>
    <mergeCell ref="Y22:AH22"/>
    <mergeCell ref="AI22:AU22"/>
    <mergeCell ref="B23:K23"/>
    <mergeCell ref="B13:K13"/>
    <mergeCell ref="L13:AU13"/>
    <mergeCell ref="B14:K14"/>
    <mergeCell ref="L14:X14"/>
    <mergeCell ref="B15:K15"/>
    <mergeCell ref="L15:X15"/>
    <mergeCell ref="Y15:AH15"/>
    <mergeCell ref="AI15:AU15"/>
    <mergeCell ref="B11:K11"/>
    <mergeCell ref="L11:X11"/>
    <mergeCell ref="Y11:AH11"/>
    <mergeCell ref="AI11:AN11"/>
    <mergeCell ref="AP11:AU11"/>
    <mergeCell ref="B12:K12"/>
    <mergeCell ref="L12:AU12"/>
    <mergeCell ref="AI18:AU18"/>
    <mergeCell ref="B17:K17"/>
    <mergeCell ref="L17:X17"/>
    <mergeCell ref="Y17:AH17"/>
    <mergeCell ref="AI17:AU17"/>
    <mergeCell ref="B16:K16"/>
    <mergeCell ref="L16:X16"/>
    <mergeCell ref="Y16:AH16"/>
    <mergeCell ref="AI16:AU16"/>
    <mergeCell ref="G45:K45"/>
    <mergeCell ref="G46:K46"/>
    <mergeCell ref="G47:K47"/>
    <mergeCell ref="AD44:AH44"/>
    <mergeCell ref="AD45:AH45"/>
    <mergeCell ref="AD46:AH46"/>
    <mergeCell ref="B18:K18"/>
    <mergeCell ref="L18:X18"/>
    <mergeCell ref="Y18:AH18"/>
    <mergeCell ref="L29:X29"/>
    <mergeCell ref="Y29:AH29"/>
    <mergeCell ref="B33:K33"/>
    <mergeCell ref="L33:X33"/>
    <mergeCell ref="Y33:AH33"/>
    <mergeCell ref="B37:K37"/>
    <mergeCell ref="L37:X37"/>
    <mergeCell ref="Y37:AH37"/>
    <mergeCell ref="AI47:AN47"/>
    <mergeCell ref="B44:F45"/>
    <mergeCell ref="B46:F47"/>
    <mergeCell ref="Y43:AU43"/>
    <mergeCell ref="B43:X43"/>
    <mergeCell ref="Y44:AC45"/>
    <mergeCell ref="Y46:AC47"/>
    <mergeCell ref="AI44:AN44"/>
    <mergeCell ref="AI45:AN45"/>
    <mergeCell ref="L44:Q44"/>
    <mergeCell ref="L45:Q45"/>
    <mergeCell ref="L46:Q46"/>
    <mergeCell ref="L47:Q47"/>
    <mergeCell ref="S47:X47"/>
    <mergeCell ref="AP44:AU44"/>
    <mergeCell ref="AP45:AU45"/>
    <mergeCell ref="AP46:AU46"/>
    <mergeCell ref="AP47:AU47"/>
    <mergeCell ref="AI46:AN46"/>
    <mergeCell ref="S44:X44"/>
    <mergeCell ref="S45:X45"/>
    <mergeCell ref="S46:X46"/>
    <mergeCell ref="AD47:AH47"/>
    <mergeCell ref="G44:K44"/>
    <mergeCell ref="AE50:AH51"/>
    <mergeCell ref="AI50:AL51"/>
    <mergeCell ref="AM50:AP51"/>
    <mergeCell ref="AQ50:AU51"/>
    <mergeCell ref="B50:F51"/>
    <mergeCell ref="G52:J52"/>
    <mergeCell ref="B52:F52"/>
    <mergeCell ref="G50:J51"/>
    <mergeCell ref="K50:N51"/>
    <mergeCell ref="O50:R51"/>
    <mergeCell ref="S50:V51"/>
    <mergeCell ref="W50:Z51"/>
    <mergeCell ref="AA50:AD51"/>
    <mergeCell ref="K52:N52"/>
    <mergeCell ref="O52:R52"/>
    <mergeCell ref="S52:V52"/>
    <mergeCell ref="W52:Z52"/>
    <mergeCell ref="AA52:AD52"/>
    <mergeCell ref="AE52:AH52"/>
    <mergeCell ref="AI52:AL52"/>
    <mergeCell ref="B59:F59"/>
    <mergeCell ref="B60:F60"/>
    <mergeCell ref="B61:F61"/>
    <mergeCell ref="G53:J53"/>
    <mergeCell ref="G54:J54"/>
    <mergeCell ref="G55:J55"/>
    <mergeCell ref="G56:J56"/>
    <mergeCell ref="G57:J57"/>
    <mergeCell ref="G58:J58"/>
    <mergeCell ref="G59:J59"/>
    <mergeCell ref="B53:F53"/>
    <mergeCell ref="B54:F54"/>
    <mergeCell ref="B55:F55"/>
    <mergeCell ref="B56:F56"/>
    <mergeCell ref="B57:F57"/>
    <mergeCell ref="B58:F58"/>
    <mergeCell ref="G60:J60"/>
    <mergeCell ref="G61:J61"/>
    <mergeCell ref="K53:N53"/>
    <mergeCell ref="K54:N54"/>
    <mergeCell ref="K55:N55"/>
    <mergeCell ref="K56:N56"/>
    <mergeCell ref="K57:N57"/>
    <mergeCell ref="K58:N58"/>
    <mergeCell ref="K59:N59"/>
    <mergeCell ref="K60:N60"/>
    <mergeCell ref="K61:N61"/>
    <mergeCell ref="O53:R53"/>
    <mergeCell ref="O54:R54"/>
    <mergeCell ref="O55:R55"/>
    <mergeCell ref="O56:R56"/>
    <mergeCell ref="O57:R57"/>
    <mergeCell ref="O58:R58"/>
    <mergeCell ref="O59:R59"/>
    <mergeCell ref="O60:R60"/>
    <mergeCell ref="O61:R61"/>
    <mergeCell ref="S53:V53"/>
    <mergeCell ref="S54:V54"/>
    <mergeCell ref="S55:V55"/>
    <mergeCell ref="S56:V56"/>
    <mergeCell ref="S57:V57"/>
    <mergeCell ref="S58:V58"/>
    <mergeCell ref="S59:V59"/>
    <mergeCell ref="S60:V60"/>
    <mergeCell ref="S61:V61"/>
    <mergeCell ref="W53:Z53"/>
    <mergeCell ref="W54:Z54"/>
    <mergeCell ref="W55:Z55"/>
    <mergeCell ref="W56:Z56"/>
    <mergeCell ref="W57:Z57"/>
    <mergeCell ref="W58:Z58"/>
    <mergeCell ref="W59:Z59"/>
    <mergeCell ref="W60:Z60"/>
    <mergeCell ref="W61:Z61"/>
    <mergeCell ref="AA53:AD53"/>
    <mergeCell ref="AA54:AD54"/>
    <mergeCell ref="AA55:AD55"/>
    <mergeCell ref="AA56:AD56"/>
    <mergeCell ref="AA57:AD57"/>
    <mergeCell ref="AA58:AD58"/>
    <mergeCell ref="AA59:AD59"/>
    <mergeCell ref="AA60:AD60"/>
    <mergeCell ref="AA61:AD61"/>
    <mergeCell ref="AQ60:AU60"/>
    <mergeCell ref="AQ61:AU61"/>
    <mergeCell ref="AE53:AH53"/>
    <mergeCell ref="AE54:AH54"/>
    <mergeCell ref="AE55:AH55"/>
    <mergeCell ref="AE56:AH56"/>
    <mergeCell ref="AE57:AH57"/>
    <mergeCell ref="AE58:AH58"/>
    <mergeCell ref="AE59:AH59"/>
    <mergeCell ref="AE60:AH60"/>
    <mergeCell ref="AE61:AH61"/>
    <mergeCell ref="AM57:AP57"/>
    <mergeCell ref="AM58:AP58"/>
    <mergeCell ref="AM59:AP59"/>
    <mergeCell ref="AI53:AL53"/>
    <mergeCell ref="AI54:AL54"/>
    <mergeCell ref="AI55:AL55"/>
    <mergeCell ref="AI56:AL56"/>
    <mergeCell ref="AI57:AL57"/>
    <mergeCell ref="AI58:AL58"/>
    <mergeCell ref="AI59:AL59"/>
    <mergeCell ref="AI37:AU37"/>
    <mergeCell ref="B40:K40"/>
    <mergeCell ref="L40:X40"/>
    <mergeCell ref="Y40:AH40"/>
    <mergeCell ref="AI40:AU40"/>
    <mergeCell ref="B64:AU71"/>
    <mergeCell ref="B74:AU81"/>
    <mergeCell ref="AM60:AP60"/>
    <mergeCell ref="AM61:AP61"/>
    <mergeCell ref="AQ52:AU52"/>
    <mergeCell ref="AQ53:AU53"/>
    <mergeCell ref="AQ54:AU54"/>
    <mergeCell ref="AQ55:AU55"/>
    <mergeCell ref="AQ56:AU56"/>
    <mergeCell ref="AQ57:AU57"/>
    <mergeCell ref="AQ58:AU58"/>
    <mergeCell ref="AQ59:AU59"/>
    <mergeCell ref="AI60:AL60"/>
    <mergeCell ref="AI61:AL61"/>
    <mergeCell ref="AM52:AP52"/>
    <mergeCell ref="AM53:AP53"/>
    <mergeCell ref="AM54:AP54"/>
    <mergeCell ref="AM55:AP55"/>
    <mergeCell ref="AM56:AP56"/>
  </mergeCells>
  <phoneticPr fontId="13"/>
  <conditionalFormatting sqref="L35 AI35">
    <cfRule type="expression" dxfId="1" priority="1">
      <formula>OR(AND($AI$18="新規開発",L44&lt;=L35,L35&lt;=S44),AND($AI$18="改良開発",L45&lt;=L35,L35&lt;=S45))</formula>
    </cfRule>
  </conditionalFormatting>
  <conditionalFormatting sqref="L36 AI36">
    <cfRule type="expression" dxfId="0" priority="2">
      <formula>OR(AND($AI$18="新規開発",L46&lt;=L36,L36&lt;=S46),AND($AI$18="改良開発",L47&lt;=L36,L36&lt;=S47))</formula>
    </cfRule>
  </conditionalFormatting>
  <dataValidations count="2">
    <dataValidation type="list" allowBlank="1" showInputMessage="1" showErrorMessage="1" sqref="AI19:AU19" xr:uid="{79CF97CE-5F89-4B9B-82AD-2310BFB51723}">
      <formula1>"新規開発,保守開発,その他"</formula1>
    </dataValidation>
    <dataValidation type="list" allowBlank="1" showInputMessage="1" showErrorMessage="1" sqref="AI18:AU18" xr:uid="{4DF8C108-57EA-4A9C-9F5C-FE87641B57B5}">
      <formula1>"新規開発,改良開発,その他"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dimension ref="A1:G47"/>
  <sheetViews>
    <sheetView workbookViewId="0">
      <selection activeCell="AC27" sqref="AC27"/>
    </sheetView>
  </sheetViews>
  <sheetFormatPr defaultColWidth="3.125" defaultRowHeight="18.75" customHeight="1"/>
  <sheetData>
    <row r="1" spans="1:7" ht="18.75" customHeight="1">
      <c r="A1" s="15" t="s">
        <v>116</v>
      </c>
    </row>
    <row r="3" spans="1:7" ht="18.75" customHeight="1">
      <c r="B3" s="15" t="s">
        <v>110</v>
      </c>
      <c r="C3" s="15" t="s">
        <v>134</v>
      </c>
    </row>
    <row r="5" spans="1:7" ht="18.75" customHeight="1">
      <c r="C5" s="15" t="s">
        <v>111</v>
      </c>
      <c r="D5" s="15" t="s">
        <v>57</v>
      </c>
    </row>
    <row r="6" spans="1:7" ht="18.75" customHeight="1">
      <c r="D6" s="15" t="s">
        <v>58</v>
      </c>
      <c r="E6" s="15" t="s">
        <v>59</v>
      </c>
    </row>
    <row r="7" spans="1:7" ht="18.75" customHeight="1">
      <c r="D7" s="15" t="s">
        <v>60</v>
      </c>
      <c r="E7" s="15" t="s">
        <v>61</v>
      </c>
    </row>
    <row r="8" spans="1:7" ht="18.75" customHeight="1">
      <c r="E8" s="15" t="s">
        <v>62</v>
      </c>
      <c r="F8" s="15" t="s">
        <v>63</v>
      </c>
    </row>
    <row r="9" spans="1:7" ht="18.75" customHeight="1">
      <c r="E9" s="15" t="s">
        <v>64</v>
      </c>
      <c r="F9" s="15" t="s">
        <v>65</v>
      </c>
    </row>
    <row r="10" spans="1:7" ht="18.75" customHeight="1">
      <c r="F10" s="15" t="s">
        <v>66</v>
      </c>
      <c r="G10" s="15" t="s">
        <v>67</v>
      </c>
    </row>
    <row r="11" spans="1:7" ht="18.75" customHeight="1">
      <c r="F11" s="15" t="s">
        <v>66</v>
      </c>
      <c r="G11" s="15" t="s">
        <v>68</v>
      </c>
    </row>
    <row r="12" spans="1:7" ht="18.75" customHeight="1">
      <c r="E12" s="15" t="s">
        <v>69</v>
      </c>
      <c r="F12" s="15" t="s">
        <v>70</v>
      </c>
    </row>
    <row r="13" spans="1:7" ht="18.75" customHeight="1">
      <c r="E13" s="15" t="s">
        <v>71</v>
      </c>
      <c r="F13" s="15" t="s">
        <v>72</v>
      </c>
    </row>
    <row r="14" spans="1:7" ht="18.75" customHeight="1">
      <c r="E14" s="15" t="s">
        <v>73</v>
      </c>
      <c r="F14" s="15" t="s">
        <v>74</v>
      </c>
    </row>
    <row r="15" spans="1:7" ht="18.75" customHeight="1">
      <c r="E15" s="15" t="s">
        <v>75</v>
      </c>
      <c r="F15" s="15" t="s">
        <v>76</v>
      </c>
    </row>
    <row r="16" spans="1:7" ht="18.75" customHeight="1">
      <c r="E16" s="15" t="s">
        <v>77</v>
      </c>
      <c r="F16" s="15" t="s">
        <v>78</v>
      </c>
    </row>
    <row r="17" spans="3:6" ht="18.75" customHeight="1">
      <c r="E17" s="15" t="s">
        <v>79</v>
      </c>
      <c r="F17" s="15" t="s">
        <v>80</v>
      </c>
    </row>
    <row r="19" spans="3:6" ht="18.75" customHeight="1">
      <c r="C19" s="15" t="s">
        <v>112</v>
      </c>
      <c r="D19" s="15" t="s">
        <v>81</v>
      </c>
    </row>
    <row r="20" spans="3:6" ht="18.75" customHeight="1">
      <c r="D20" s="15" t="s">
        <v>58</v>
      </c>
      <c r="E20" s="15" t="s">
        <v>82</v>
      </c>
    </row>
    <row r="21" spans="3:6" ht="18.75" customHeight="1">
      <c r="E21" s="15" t="s">
        <v>62</v>
      </c>
      <c r="F21" s="15" t="s">
        <v>83</v>
      </c>
    </row>
    <row r="22" spans="3:6" ht="18.75" customHeight="1">
      <c r="E22" s="15" t="s">
        <v>64</v>
      </c>
      <c r="F22" s="15" t="s">
        <v>84</v>
      </c>
    </row>
    <row r="23" spans="3:6" ht="18.75" customHeight="1">
      <c r="D23" s="15" t="s">
        <v>60</v>
      </c>
      <c r="E23" s="15" t="s">
        <v>85</v>
      </c>
    </row>
    <row r="25" spans="3:6" ht="18.75" customHeight="1">
      <c r="C25" s="15" t="s">
        <v>113</v>
      </c>
      <c r="D25" s="15" t="s">
        <v>86</v>
      </c>
    </row>
    <row r="26" spans="3:6" ht="18.75" customHeight="1">
      <c r="D26" s="15" t="s">
        <v>58</v>
      </c>
      <c r="E26" s="15" t="s">
        <v>87</v>
      </c>
    </row>
    <row r="27" spans="3:6" ht="18.75" customHeight="1">
      <c r="E27" s="15" t="s">
        <v>62</v>
      </c>
      <c r="F27" s="15" t="s">
        <v>88</v>
      </c>
    </row>
    <row r="28" spans="3:6" ht="18.75" customHeight="1">
      <c r="E28" s="15" t="s">
        <v>64</v>
      </c>
      <c r="F28" s="15" t="s">
        <v>89</v>
      </c>
    </row>
    <row r="29" spans="3:6" ht="18.75" customHeight="1">
      <c r="E29" s="15" t="s">
        <v>69</v>
      </c>
      <c r="F29" s="15" t="s">
        <v>90</v>
      </c>
    </row>
    <row r="30" spans="3:6" ht="18.75" customHeight="1">
      <c r="E30" s="15" t="s">
        <v>71</v>
      </c>
      <c r="F30" s="15" t="s">
        <v>91</v>
      </c>
    </row>
    <row r="31" spans="3:6" ht="18.75" customHeight="1">
      <c r="E31" s="15" t="s">
        <v>73</v>
      </c>
      <c r="F31" s="15" t="s">
        <v>92</v>
      </c>
    </row>
    <row r="32" spans="3:6" ht="18.75" customHeight="1">
      <c r="E32" s="15" t="s">
        <v>75</v>
      </c>
      <c r="F32" s="15" t="s">
        <v>93</v>
      </c>
    </row>
    <row r="33" spans="3:6" ht="18.75" customHeight="1">
      <c r="E33" s="15" t="s">
        <v>77</v>
      </c>
      <c r="F33" s="15" t="s">
        <v>94</v>
      </c>
    </row>
    <row r="34" spans="3:6" ht="18.75" customHeight="1">
      <c r="E34" s="15" t="s">
        <v>79</v>
      </c>
      <c r="F34" s="15" t="s">
        <v>95</v>
      </c>
    </row>
    <row r="35" spans="3:6" ht="18.75" customHeight="1">
      <c r="E35" s="15" t="s">
        <v>96</v>
      </c>
      <c r="F35" s="15" t="s">
        <v>97</v>
      </c>
    </row>
    <row r="36" spans="3:6" ht="18.75" customHeight="1">
      <c r="E36" s="15" t="s">
        <v>98</v>
      </c>
      <c r="F36" s="15" t="s">
        <v>99</v>
      </c>
    </row>
    <row r="37" spans="3:6" ht="18.75" customHeight="1">
      <c r="D37" s="15" t="s">
        <v>60</v>
      </c>
      <c r="E37" s="15" t="s">
        <v>100</v>
      </c>
    </row>
    <row r="39" spans="3:6" ht="18.75" customHeight="1">
      <c r="C39" s="15" t="s">
        <v>114</v>
      </c>
      <c r="D39" s="15" t="s">
        <v>101</v>
      </c>
    </row>
    <row r="40" spans="3:6" ht="18.75" customHeight="1">
      <c r="D40" s="15" t="s">
        <v>58</v>
      </c>
      <c r="E40" s="15" t="s">
        <v>102</v>
      </c>
    </row>
    <row r="41" spans="3:6" ht="18.75" customHeight="1">
      <c r="D41" s="15" t="s">
        <v>60</v>
      </c>
      <c r="E41" s="15" t="s">
        <v>103</v>
      </c>
    </row>
    <row r="42" spans="3:6" ht="18.75" customHeight="1">
      <c r="D42" s="15" t="s">
        <v>104</v>
      </c>
      <c r="E42" s="15" t="s">
        <v>105</v>
      </c>
    </row>
    <row r="44" spans="3:6" ht="18.75" customHeight="1">
      <c r="C44" s="15" t="s">
        <v>115</v>
      </c>
      <c r="D44" s="15" t="s">
        <v>106</v>
      </c>
    </row>
    <row r="45" spans="3:6" ht="18.75" customHeight="1">
      <c r="D45" s="15" t="s">
        <v>58</v>
      </c>
      <c r="E45" s="15" t="s">
        <v>107</v>
      </c>
    </row>
    <row r="46" spans="3:6" ht="18.75" customHeight="1">
      <c r="D46" s="15" t="s">
        <v>60</v>
      </c>
      <c r="E46" s="15" t="s">
        <v>108</v>
      </c>
    </row>
    <row r="47" spans="3:6" ht="18.75" customHeight="1">
      <c r="D47" s="15" t="s">
        <v>104</v>
      </c>
      <c r="E47" s="15" t="s">
        <v>109</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B1E2-5BB1-41CE-B1CF-33BD284E8156}">
  <sheetPr>
    <pageSetUpPr fitToPage="1"/>
  </sheetPr>
  <dimension ref="A1:J24"/>
  <sheetViews>
    <sheetView zoomScaleNormal="100" workbookViewId="0">
      <pane ySplit="4" topLeftCell="A9" activePane="bottomLeft" state="frozen"/>
      <selection pane="bottomLeft" activeCell="H14" sqref="H14"/>
    </sheetView>
  </sheetViews>
  <sheetFormatPr defaultColWidth="3" defaultRowHeight="16.5"/>
  <cols>
    <col min="1" max="1" width="5" style="87" customWidth="1"/>
    <col min="2" max="2" width="12.5" style="88" customWidth="1"/>
    <col min="3" max="3" width="12.5" style="89" customWidth="1"/>
    <col min="4" max="4" width="67.5" style="88" customWidth="1"/>
    <col min="5" max="5" width="20" style="90" customWidth="1"/>
    <col min="6" max="6" width="12.5" style="88" customWidth="1"/>
    <col min="7" max="7" width="20" style="91" customWidth="1"/>
    <col min="8" max="8" width="12.5" style="91" customWidth="1"/>
    <col min="9" max="9" width="50" style="91" customWidth="1"/>
    <col min="10" max="10" width="12.5" style="88" customWidth="1"/>
    <col min="11" max="16384" width="3" style="81"/>
  </cols>
  <sheetData>
    <row r="1" spans="1:10" ht="18" customHeight="1">
      <c r="A1" s="76"/>
      <c r="B1" s="77"/>
      <c r="C1" s="78"/>
      <c r="D1" s="77"/>
      <c r="E1" s="79"/>
      <c r="F1" s="77"/>
      <c r="G1" s="80"/>
      <c r="H1" s="80"/>
      <c r="I1" s="80"/>
      <c r="J1" s="77"/>
    </row>
    <row r="2" spans="1:10" ht="18" customHeight="1" thickBot="1">
      <c r="A2" s="82"/>
      <c r="B2" s="83"/>
      <c r="C2" s="84"/>
      <c r="D2" s="83"/>
      <c r="E2" s="85"/>
      <c r="F2" s="83"/>
      <c r="G2" s="86"/>
      <c r="H2" s="86"/>
      <c r="I2" s="86"/>
      <c r="J2" s="83"/>
    </row>
    <row r="3" spans="1:10" ht="18" customHeight="1" thickTop="1"/>
    <row r="4" spans="1:10" s="87" customFormat="1">
      <c r="A4" s="92" t="s">
        <v>274</v>
      </c>
      <c r="B4" s="93" t="s">
        <v>263</v>
      </c>
      <c r="C4" s="94" t="s">
        <v>262</v>
      </c>
      <c r="D4" s="93" t="s">
        <v>275</v>
      </c>
      <c r="E4" s="93" t="s">
        <v>276</v>
      </c>
      <c r="F4" s="93" t="s">
        <v>277</v>
      </c>
      <c r="G4" s="94" t="s">
        <v>278</v>
      </c>
      <c r="H4" s="94" t="s">
        <v>279</v>
      </c>
      <c r="I4" s="94" t="s">
        <v>280</v>
      </c>
      <c r="J4" s="93" t="s">
        <v>281</v>
      </c>
    </row>
    <row r="5" spans="1:10" ht="82.5">
      <c r="A5" s="95">
        <v>1</v>
      </c>
      <c r="B5" s="96">
        <v>3.1</v>
      </c>
      <c r="C5" s="97">
        <v>44579</v>
      </c>
      <c r="D5" s="98" t="s">
        <v>52</v>
      </c>
      <c r="E5" s="95" t="s">
        <v>50</v>
      </c>
      <c r="F5" s="97">
        <v>44579</v>
      </c>
      <c r="G5" s="95" t="s">
        <v>50</v>
      </c>
      <c r="H5" s="97">
        <v>44579</v>
      </c>
      <c r="I5" s="98"/>
      <c r="J5" s="99" t="str">
        <f t="shared" ref="J5:J24" ca="1" si="0">IF(B5="","",IF(F5="","更新中",IF(H5="","更新済み",IF(C5="","承認済み",IF(C5&gt;TODAY(),"発行待ち","発行済み")))))</f>
        <v>発行済み</v>
      </c>
    </row>
    <row r="6" spans="1:10" ht="181.5">
      <c r="A6" s="95">
        <v>2</v>
      </c>
      <c r="B6" s="96">
        <v>3.3</v>
      </c>
      <c r="C6" s="97">
        <v>45209</v>
      </c>
      <c r="D6" s="98" t="s">
        <v>135</v>
      </c>
      <c r="E6" s="95" t="s">
        <v>50</v>
      </c>
      <c r="F6" s="97">
        <v>45209</v>
      </c>
      <c r="G6" s="95" t="s">
        <v>50</v>
      </c>
      <c r="H6" s="97">
        <v>45209</v>
      </c>
      <c r="I6" s="98"/>
      <c r="J6" s="99" t="str">
        <f t="shared" ca="1" si="0"/>
        <v>発行済み</v>
      </c>
    </row>
    <row r="7" spans="1:10" ht="198">
      <c r="A7" s="95">
        <v>3</v>
      </c>
      <c r="B7" s="96">
        <v>3.4</v>
      </c>
      <c r="C7" s="97">
        <v>45356</v>
      </c>
      <c r="D7" s="98" t="s">
        <v>282</v>
      </c>
      <c r="E7" s="95" t="s">
        <v>50</v>
      </c>
      <c r="F7" s="97">
        <v>45356</v>
      </c>
      <c r="G7" s="95" t="s">
        <v>50</v>
      </c>
      <c r="H7" s="97">
        <v>45356</v>
      </c>
      <c r="I7" s="98"/>
      <c r="J7" s="99" t="str">
        <f t="shared" ca="1" si="0"/>
        <v>発行済み</v>
      </c>
    </row>
    <row r="8" spans="1:10">
      <c r="A8" s="95">
        <v>4</v>
      </c>
      <c r="B8" s="96">
        <v>3.5</v>
      </c>
      <c r="C8" s="97">
        <v>45405</v>
      </c>
      <c r="D8" s="98" t="s">
        <v>138</v>
      </c>
      <c r="E8" s="95" t="s">
        <v>139</v>
      </c>
      <c r="F8" s="97">
        <v>45405</v>
      </c>
      <c r="G8" s="95" t="s">
        <v>139</v>
      </c>
      <c r="H8" s="97">
        <v>45405</v>
      </c>
      <c r="I8" s="98"/>
      <c r="J8" s="99" t="str">
        <f t="shared" ca="1" si="0"/>
        <v>発行済み</v>
      </c>
    </row>
    <row r="9" spans="1:10" ht="82.5">
      <c r="A9" s="95">
        <v>5</v>
      </c>
      <c r="B9" s="96">
        <v>4</v>
      </c>
      <c r="C9" s="97">
        <v>45440</v>
      </c>
      <c r="D9" s="98" t="s">
        <v>222</v>
      </c>
      <c r="E9" s="95" t="s">
        <v>50</v>
      </c>
      <c r="F9" s="97">
        <v>45440</v>
      </c>
      <c r="G9" s="95" t="s">
        <v>50</v>
      </c>
      <c r="H9" s="97">
        <v>45440</v>
      </c>
      <c r="I9" s="98"/>
      <c r="J9" s="99" t="str">
        <f t="shared" ca="1" si="0"/>
        <v>発行済み</v>
      </c>
    </row>
    <row r="10" spans="1:10">
      <c r="A10" s="95">
        <v>6</v>
      </c>
      <c r="B10" s="96">
        <v>4.0999999999999996</v>
      </c>
      <c r="C10" s="97">
        <v>45566</v>
      </c>
      <c r="D10" s="98" t="s">
        <v>224</v>
      </c>
      <c r="E10" s="95" t="s">
        <v>50</v>
      </c>
      <c r="F10" s="97">
        <v>45566</v>
      </c>
      <c r="G10" s="95" t="s">
        <v>50</v>
      </c>
      <c r="H10" s="97">
        <v>45566</v>
      </c>
      <c r="I10" s="98"/>
      <c r="J10" s="99" t="str">
        <f t="shared" ca="1" si="0"/>
        <v>発行済み</v>
      </c>
    </row>
    <row r="11" spans="1:10" ht="148.5">
      <c r="A11" s="95">
        <v>7</v>
      </c>
      <c r="B11" s="96">
        <v>4.2</v>
      </c>
      <c r="C11" s="97">
        <v>45609</v>
      </c>
      <c r="D11" s="98" t="s">
        <v>248</v>
      </c>
      <c r="E11" s="95" t="s">
        <v>50</v>
      </c>
      <c r="F11" s="97">
        <v>45609</v>
      </c>
      <c r="G11" s="95" t="s">
        <v>50</v>
      </c>
      <c r="H11" s="97">
        <v>45609</v>
      </c>
      <c r="I11" s="98"/>
      <c r="J11" s="99" t="str">
        <f t="shared" ca="1" si="0"/>
        <v>発行済み</v>
      </c>
    </row>
    <row r="12" spans="1:10" ht="33">
      <c r="A12" s="95">
        <v>8</v>
      </c>
      <c r="B12" s="96">
        <v>4.3</v>
      </c>
      <c r="C12" s="97">
        <v>45762</v>
      </c>
      <c r="D12" s="98" t="s">
        <v>286</v>
      </c>
      <c r="E12" s="95" t="s">
        <v>50</v>
      </c>
      <c r="F12" s="97">
        <v>45692</v>
      </c>
      <c r="G12" s="95" t="s">
        <v>50</v>
      </c>
      <c r="H12" s="97">
        <v>45692</v>
      </c>
      <c r="I12" s="98"/>
      <c r="J12" s="99" t="str">
        <f t="shared" ca="1" si="0"/>
        <v>発行済み</v>
      </c>
    </row>
    <row r="13" spans="1:10">
      <c r="A13" s="95">
        <v>9</v>
      </c>
      <c r="B13" s="96">
        <v>4.4000000000000004</v>
      </c>
      <c r="C13" s="97">
        <v>45762</v>
      </c>
      <c r="D13" s="98" t="s">
        <v>287</v>
      </c>
      <c r="E13" s="95" t="s">
        <v>300</v>
      </c>
      <c r="F13" s="97">
        <v>45762</v>
      </c>
      <c r="G13" s="95" t="s">
        <v>50</v>
      </c>
      <c r="H13" s="97">
        <v>45762</v>
      </c>
      <c r="I13" s="98"/>
      <c r="J13" s="99" t="str">
        <f t="shared" ca="1" si="0"/>
        <v>発行済み</v>
      </c>
    </row>
    <row r="14" spans="1:10">
      <c r="A14" s="95">
        <v>10</v>
      </c>
      <c r="B14" s="96"/>
      <c r="C14" s="97"/>
      <c r="D14" s="98"/>
      <c r="E14" s="95"/>
      <c r="F14" s="97"/>
      <c r="G14" s="95"/>
      <c r="H14" s="97"/>
      <c r="I14" s="98"/>
      <c r="J14" s="99" t="str">
        <f t="shared" ca="1" si="0"/>
        <v/>
      </c>
    </row>
    <row r="15" spans="1:10">
      <c r="A15" s="95">
        <v>11</v>
      </c>
      <c r="B15" s="96"/>
      <c r="C15" s="97"/>
      <c r="D15" s="98"/>
      <c r="E15" s="95"/>
      <c r="F15" s="97"/>
      <c r="G15" s="95"/>
      <c r="H15" s="97"/>
      <c r="I15" s="98"/>
      <c r="J15" s="99" t="str">
        <f t="shared" ca="1" si="0"/>
        <v/>
      </c>
    </row>
    <row r="16" spans="1:10">
      <c r="A16" s="95">
        <v>12</v>
      </c>
      <c r="B16" s="96"/>
      <c r="C16" s="97"/>
      <c r="D16" s="98"/>
      <c r="E16" s="95"/>
      <c r="F16" s="97"/>
      <c r="G16" s="95"/>
      <c r="H16" s="97"/>
      <c r="I16" s="98"/>
      <c r="J16" s="99" t="str">
        <f t="shared" ca="1" si="0"/>
        <v/>
      </c>
    </row>
    <row r="17" spans="1:10">
      <c r="A17" s="95">
        <v>13</v>
      </c>
      <c r="B17" s="96"/>
      <c r="C17" s="97"/>
      <c r="D17" s="98"/>
      <c r="E17" s="95"/>
      <c r="F17" s="97"/>
      <c r="G17" s="95"/>
      <c r="H17" s="97"/>
      <c r="I17" s="98"/>
      <c r="J17" s="99" t="str">
        <f t="shared" ca="1" si="0"/>
        <v/>
      </c>
    </row>
    <row r="18" spans="1:10">
      <c r="A18" s="95">
        <v>14</v>
      </c>
      <c r="B18" s="96"/>
      <c r="C18" s="97"/>
      <c r="D18" s="98"/>
      <c r="E18" s="95"/>
      <c r="F18" s="97"/>
      <c r="G18" s="95"/>
      <c r="H18" s="97"/>
      <c r="I18" s="98"/>
      <c r="J18" s="99" t="str">
        <f t="shared" ca="1" si="0"/>
        <v/>
      </c>
    </row>
    <row r="19" spans="1:10">
      <c r="A19" s="95">
        <v>15</v>
      </c>
      <c r="B19" s="96"/>
      <c r="C19" s="97"/>
      <c r="D19" s="98"/>
      <c r="E19" s="95"/>
      <c r="F19" s="97"/>
      <c r="G19" s="95"/>
      <c r="H19" s="97"/>
      <c r="I19" s="98"/>
      <c r="J19" s="99" t="str">
        <f t="shared" ca="1" si="0"/>
        <v/>
      </c>
    </row>
    <row r="20" spans="1:10">
      <c r="A20" s="95">
        <v>16</v>
      </c>
      <c r="B20" s="96"/>
      <c r="C20" s="97"/>
      <c r="D20" s="98"/>
      <c r="E20" s="95"/>
      <c r="F20" s="97"/>
      <c r="G20" s="95"/>
      <c r="H20" s="97"/>
      <c r="I20" s="98"/>
      <c r="J20" s="99" t="str">
        <f t="shared" ca="1" si="0"/>
        <v/>
      </c>
    </row>
    <row r="21" spans="1:10">
      <c r="A21" s="95">
        <v>17</v>
      </c>
      <c r="B21" s="96"/>
      <c r="C21" s="97"/>
      <c r="D21" s="98"/>
      <c r="E21" s="95"/>
      <c r="F21" s="97"/>
      <c r="G21" s="95"/>
      <c r="H21" s="97"/>
      <c r="I21" s="98"/>
      <c r="J21" s="99" t="str">
        <f t="shared" ca="1" si="0"/>
        <v/>
      </c>
    </row>
    <row r="22" spans="1:10">
      <c r="A22" s="95">
        <v>18</v>
      </c>
      <c r="B22" s="96"/>
      <c r="C22" s="97"/>
      <c r="D22" s="98"/>
      <c r="E22" s="95"/>
      <c r="F22" s="97"/>
      <c r="G22" s="95"/>
      <c r="H22" s="97"/>
      <c r="I22" s="98"/>
      <c r="J22" s="99" t="str">
        <f t="shared" ca="1" si="0"/>
        <v/>
      </c>
    </row>
    <row r="23" spans="1:10">
      <c r="A23" s="95">
        <v>19</v>
      </c>
      <c r="B23" s="96"/>
      <c r="C23" s="97"/>
      <c r="D23" s="98"/>
      <c r="E23" s="95"/>
      <c r="F23" s="97"/>
      <c r="G23" s="95"/>
      <c r="H23" s="97"/>
      <c r="I23" s="98"/>
      <c r="J23" s="99" t="str">
        <f t="shared" ca="1" si="0"/>
        <v/>
      </c>
    </row>
    <row r="24" spans="1:10">
      <c r="A24" s="95">
        <v>20</v>
      </c>
      <c r="B24" s="96"/>
      <c r="C24" s="97"/>
      <c r="D24" s="98"/>
      <c r="E24" s="95"/>
      <c r="F24" s="97"/>
      <c r="G24" s="95"/>
      <c r="H24" s="97"/>
      <c r="I24" s="98"/>
      <c r="J24" s="99" t="str">
        <f t="shared" ca="1" si="0"/>
        <v/>
      </c>
    </row>
  </sheetData>
  <autoFilter ref="A4:J24" xr:uid="{DC53EA12-6126-43F8-9742-FF2EA1EB2EF1}"/>
  <phoneticPr fontId="2"/>
  <dataValidations count="2">
    <dataValidation type="list" allowBlank="1" showInputMessage="1" showErrorMessage="1" sqref="J5:J24" xr:uid="{58B9AD15-D910-4F97-A474-BD0D7B127996}">
      <formula1>改定ステータス</formula1>
    </dataValidation>
    <dataValidation type="list" allowBlank="1" showInputMessage="1" showErrorMessage="1" sqref="E5:E24 G5:G24" xr:uid="{43ADC933-98BD-472B-9DA3-69F33E932E13}">
      <formula1>改定担当者</formula1>
    </dataValidation>
  </dataValidations>
  <printOptions horizontalCentered="1"/>
  <pageMargins left="0.39370078740157483" right="0.39370078740157483" top="0.59055118110236227" bottom="0.39370078740157483" header="0.31496062992125984" footer="0.11811023622047245"/>
  <pageSetup paperSize="9" scale="56" fitToHeight="0" orientation="landscape" horizontalDpi="4294967293" verticalDpi="0" r:id="rId1"/>
  <headerFooter>
    <oddFooter>&amp;C&amp;9&amp;P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tabColor theme="9"/>
  </sheetPr>
  <dimension ref="A1:B25"/>
  <sheetViews>
    <sheetView tabSelected="1" zoomScaleNormal="100" workbookViewId="0">
      <selection activeCell="B26" sqref="B26"/>
    </sheetView>
  </sheetViews>
  <sheetFormatPr defaultColWidth="9" defaultRowHeight="13.5"/>
  <cols>
    <col min="1" max="1" width="9" style="12"/>
    <col min="2" max="2" width="162.125" style="12" customWidth="1"/>
    <col min="3" max="3" width="9" style="12"/>
    <col min="4" max="4" width="47.5" style="12" customWidth="1"/>
    <col min="5" max="16384" width="9" style="12"/>
  </cols>
  <sheetData>
    <row r="1" spans="1:2">
      <c r="A1" s="12" t="s">
        <v>121</v>
      </c>
      <c r="B1" s="12" t="s">
        <v>137</v>
      </c>
    </row>
    <row r="2" spans="1:2">
      <c r="A2" s="12" t="s">
        <v>122</v>
      </c>
      <c r="B2" s="12" t="str">
        <f>顧客満足度調査の依頼先担当者メールアドレス &amp; ""</f>
        <v/>
      </c>
    </row>
    <row r="3" spans="1:2">
      <c r="A3" s="12" t="s">
        <v>123</v>
      </c>
      <c r="B3" s="12" t="str">
        <f>プロジェクト完了報告書!AI16 &amp; "　" &amp; プロジェクト完了報告書!AI17</f>
        <v>　</v>
      </c>
    </row>
    <row r="4" spans="1:2">
      <c r="A4" s="12" t="s">
        <v>124</v>
      </c>
      <c r="B4" s="12" t="s">
        <v>137</v>
      </c>
    </row>
    <row r="5" spans="1:2">
      <c r="A5" s="12" t="s">
        <v>125</v>
      </c>
      <c r="B5" s="12" t="s">
        <v>136</v>
      </c>
    </row>
    <row r="6" spans="1:2" ht="409.5" customHeight="1">
      <c r="A6" s="12" t="s">
        <v>126</v>
      </c>
      <c r="B6" s="14"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 xml:space="preserve">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
ご多用中誠に恐縮ではございますが、趣旨ご理解の上、
下記アンケートサイトにアクセスいただきご回答を賜りますようお願い申し上げます。
　アンケートサイト ：　https://smilesurvey.co/start.php?s=8435515e&amp;id=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2" t="s">
        <v>128</v>
      </c>
    </row>
    <row r="25" spans="2:2" ht="17.25" customHeight="1">
      <c r="B25" s="13" t="s">
        <v>341</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0304-7C52-4471-94D2-5EA765902187}">
  <dimension ref="A1:B17"/>
  <sheetViews>
    <sheetView workbookViewId="0">
      <selection activeCell="E14" sqref="E14"/>
    </sheetView>
  </sheetViews>
  <sheetFormatPr defaultColWidth="9" defaultRowHeight="30" customHeight="1"/>
  <cols>
    <col min="1" max="1" width="21.625" style="102" bestFit="1" customWidth="1"/>
    <col min="2" max="2" width="103.125" style="107" customWidth="1"/>
    <col min="3" max="16384" width="9" style="102"/>
  </cols>
  <sheetData>
    <row r="1" spans="1:2" ht="30" customHeight="1">
      <c r="A1" s="100" t="s">
        <v>250</v>
      </c>
      <c r="B1" s="101" t="s">
        <v>251</v>
      </c>
    </row>
    <row r="2" spans="1:2" ht="30" customHeight="1">
      <c r="A2" s="100" t="s">
        <v>252</v>
      </c>
      <c r="B2" s="101" t="s">
        <v>253</v>
      </c>
    </row>
    <row r="3" spans="1:2" ht="30" customHeight="1">
      <c r="A3" s="100" t="s">
        <v>254</v>
      </c>
      <c r="B3" s="101" t="s">
        <v>255</v>
      </c>
    </row>
    <row r="4" spans="1:2" ht="30" customHeight="1">
      <c r="A4" s="100" t="s">
        <v>256</v>
      </c>
      <c r="B4" s="101" t="s">
        <v>272</v>
      </c>
    </row>
    <row r="5" spans="1:2" ht="30" customHeight="1">
      <c r="A5" s="100" t="s">
        <v>257</v>
      </c>
      <c r="B5" s="101" t="s">
        <v>273</v>
      </c>
    </row>
    <row r="6" spans="1:2" ht="30" customHeight="1">
      <c r="A6" s="100" t="s">
        <v>258</v>
      </c>
      <c r="B6" s="101" t="s">
        <v>259</v>
      </c>
    </row>
    <row r="7" spans="1:2" ht="30" customHeight="1">
      <c r="A7" s="100" t="s">
        <v>260</v>
      </c>
      <c r="B7" s="101" t="s">
        <v>261</v>
      </c>
    </row>
    <row r="8" spans="1:2" ht="30" customHeight="1">
      <c r="A8" s="100" t="s">
        <v>262</v>
      </c>
      <c r="B8" s="103">
        <f>IF(VLOOKUP(版数,改定履歴!B:C,2,FALSE)=0,"未定",VLOOKUP(版数,改定履歴!B:C,2,FALSE))</f>
        <v>45762</v>
      </c>
    </row>
    <row r="9" spans="1:2" ht="30" customHeight="1">
      <c r="A9" s="100" t="s">
        <v>263</v>
      </c>
      <c r="B9" s="104">
        <f>IF(COUNTA(改定履歴!B5:B24)&gt;0,MAX(改定履歴!B5:B24),"-")</f>
        <v>4.4000000000000004</v>
      </c>
    </row>
    <row r="10" spans="1:2" ht="30" customHeight="1">
      <c r="A10" s="100" t="s">
        <v>264</v>
      </c>
      <c r="B10" s="105" t="str">
        <f>顧客名 &amp; " " &amp; プロジェクト名</f>
        <v>株式会社システムエグゼ 千葉オフィス QMS・ISMS</v>
      </c>
    </row>
    <row r="11" spans="1:2" ht="30" customHeight="1">
      <c r="A11" s="100" t="s">
        <v>265</v>
      </c>
      <c r="B11" s="106" t="str">
        <f>文書番号 &amp; " プロジェクト計画書"</f>
        <v>53-01 プロジェクト計画書</v>
      </c>
    </row>
    <row r="12" spans="1:2" ht="30" customHeight="1">
      <c r="A12" s="100" t="s">
        <v>266</v>
      </c>
      <c r="B12" s="106" t="str">
        <f>文書番号 &amp; " プロジェクト完了報告書"</f>
        <v>53-01 プロジェクト完了報告書</v>
      </c>
    </row>
    <row r="13" spans="1:2" ht="30" customHeight="1">
      <c r="A13" s="100" t="s">
        <v>267</v>
      </c>
      <c r="B13" s="106" t="str">
        <f>文書番号 &amp; " 品質データ分析報告書"</f>
        <v>53-01 品質データ分析報告書</v>
      </c>
    </row>
    <row r="14" spans="1:2" ht="30" customHeight="1">
      <c r="A14" s="100" t="s">
        <v>268</v>
      </c>
      <c r="B14" s="106" t="str">
        <f>文書番号 &amp; " " &amp; 文書名 &amp; "‐"</f>
        <v>53-01 プロジェクト計画書・完了報告書‐</v>
      </c>
    </row>
    <row r="15" spans="1:2" ht="30" customHeight="1">
      <c r="A15" s="100" t="s">
        <v>269</v>
      </c>
      <c r="B15" s="106" t="str">
        <f>文書番号 &amp; " " &amp; 文書名 &amp; "‐改訂履歴"</f>
        <v>53-01 プロジェクト計画書・完了報告書‐改訂履歴</v>
      </c>
    </row>
    <row r="16" spans="1:2" ht="30" customHeight="1">
      <c r="A16" s="100" t="s">
        <v>270</v>
      </c>
      <c r="B16" s="106" t="str">
        <f xml:space="preserve"> "様式：" &amp; 文書番号 &amp; " " &amp; 文書名 &amp; " " &amp; TEXT(様式版数, "（第 0.0 版）")</f>
        <v>様式：53-01 プロジェクト計画書・完了報告書 (第 4.3 版)</v>
      </c>
    </row>
    <row r="17" spans="1:2" ht="30" customHeight="1">
      <c r="A17" s="100" t="s">
        <v>271</v>
      </c>
      <c r="B17" s="104">
        <v>4.3</v>
      </c>
    </row>
  </sheetData>
  <phoneticPr fontId="2"/>
  <printOptions horizontalCentered="1"/>
  <pageMargins left="0.19685039370078741" right="0.19685039370078741" top="0.39370078740157483" bottom="0.19685039370078741" header="0.31496062992125984" footer="0.31496062992125984"/>
  <pageSetup paperSize="9"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D803-E4ED-4925-A992-FEF7EBCE5261}">
  <dimension ref="A1:G21"/>
  <sheetViews>
    <sheetView workbookViewId="0">
      <selection activeCell="C2" sqref="C2"/>
    </sheetView>
  </sheetViews>
  <sheetFormatPr defaultColWidth="9" defaultRowHeight="16.5"/>
  <cols>
    <col min="1" max="1" width="20" style="491" customWidth="1"/>
    <col min="2" max="7" width="12.5" style="491" customWidth="1"/>
    <col min="8" max="16384" width="9" style="491"/>
  </cols>
  <sheetData>
    <row r="1" spans="1:7">
      <c r="A1" s="489" t="s">
        <v>288</v>
      </c>
      <c r="B1" s="489" t="s">
        <v>289</v>
      </c>
      <c r="C1" s="490" t="s">
        <v>290</v>
      </c>
      <c r="D1" s="490" t="s">
        <v>291</v>
      </c>
      <c r="E1" s="490" t="s">
        <v>292</v>
      </c>
      <c r="F1" s="490" t="s">
        <v>293</v>
      </c>
      <c r="G1" s="490" t="s">
        <v>281</v>
      </c>
    </row>
    <row r="2" spans="1:7">
      <c r="A2" s="492" t="s">
        <v>294</v>
      </c>
      <c r="B2" s="492" t="s">
        <v>295</v>
      </c>
      <c r="C2" s="492" t="s">
        <v>296</v>
      </c>
      <c r="D2" s="492" t="s">
        <v>297</v>
      </c>
      <c r="E2" s="492" t="s">
        <v>298</v>
      </c>
      <c r="F2" s="492"/>
      <c r="G2" s="492" t="s">
        <v>299</v>
      </c>
    </row>
    <row r="3" spans="1:7">
      <c r="A3" s="492" t="s">
        <v>300</v>
      </c>
      <c r="B3" s="492" t="s">
        <v>301</v>
      </c>
      <c r="C3" s="492" t="s">
        <v>302</v>
      </c>
      <c r="D3" s="492" t="s">
        <v>303</v>
      </c>
      <c r="E3" s="492" t="s">
        <v>304</v>
      </c>
      <c r="F3" s="492"/>
      <c r="G3" s="492" t="s">
        <v>305</v>
      </c>
    </row>
    <row r="4" spans="1:7">
      <c r="A4" s="492" t="s">
        <v>306</v>
      </c>
      <c r="B4" s="492" t="s">
        <v>307</v>
      </c>
      <c r="C4" s="492" t="s">
        <v>308</v>
      </c>
      <c r="D4" s="492" t="s">
        <v>309</v>
      </c>
      <c r="E4" s="492" t="s">
        <v>310</v>
      </c>
      <c r="F4" s="492"/>
      <c r="G4" s="492" t="s">
        <v>311</v>
      </c>
    </row>
    <row r="5" spans="1:7">
      <c r="A5" s="492" t="s">
        <v>261</v>
      </c>
      <c r="B5" s="492" t="s">
        <v>312</v>
      </c>
      <c r="C5" s="492" t="s">
        <v>313</v>
      </c>
      <c r="D5" s="492" t="s">
        <v>314</v>
      </c>
      <c r="E5" s="492" t="s">
        <v>315</v>
      </c>
      <c r="F5" s="492"/>
      <c r="G5" s="492" t="s">
        <v>316</v>
      </c>
    </row>
    <row r="6" spans="1:7">
      <c r="A6" s="492" t="s">
        <v>317</v>
      </c>
      <c r="B6" s="492"/>
      <c r="C6" s="492"/>
      <c r="D6" s="492"/>
      <c r="E6" s="492" t="s">
        <v>318</v>
      </c>
      <c r="F6" s="492"/>
      <c r="G6" s="492" t="s">
        <v>319</v>
      </c>
    </row>
    <row r="7" spans="1:7">
      <c r="A7" s="492" t="s">
        <v>320</v>
      </c>
      <c r="B7" s="492"/>
      <c r="C7" s="492"/>
      <c r="D7" s="492"/>
      <c r="E7" s="492" t="s">
        <v>321</v>
      </c>
      <c r="F7" s="492"/>
      <c r="G7" s="492"/>
    </row>
    <row r="8" spans="1:7">
      <c r="A8" s="492" t="s">
        <v>322</v>
      </c>
      <c r="B8" s="492"/>
      <c r="C8" s="492"/>
      <c r="D8" s="492"/>
      <c r="E8" s="492" t="s">
        <v>323</v>
      </c>
      <c r="F8" s="492"/>
      <c r="G8" s="492"/>
    </row>
    <row r="9" spans="1:7">
      <c r="A9" s="492" t="s">
        <v>324</v>
      </c>
      <c r="B9" s="492"/>
      <c r="C9" s="492"/>
      <c r="D9" s="492"/>
      <c r="E9" s="492" t="s">
        <v>325</v>
      </c>
      <c r="F9" s="492"/>
      <c r="G9" s="492"/>
    </row>
    <row r="10" spans="1:7">
      <c r="A10" s="492" t="s">
        <v>326</v>
      </c>
      <c r="B10" s="492"/>
      <c r="C10" s="492"/>
      <c r="D10" s="492"/>
      <c r="E10" s="492" t="s">
        <v>327</v>
      </c>
      <c r="F10" s="492"/>
      <c r="G10" s="492"/>
    </row>
    <row r="11" spans="1:7">
      <c r="A11" s="492" t="s">
        <v>328</v>
      </c>
      <c r="B11" s="492"/>
      <c r="C11" s="492"/>
      <c r="D11" s="492"/>
      <c r="E11" s="492" t="s">
        <v>329</v>
      </c>
      <c r="F11" s="492"/>
      <c r="G11" s="492"/>
    </row>
    <row r="12" spans="1:7">
      <c r="A12" s="492" t="s">
        <v>330</v>
      </c>
      <c r="B12" s="492"/>
      <c r="C12" s="492"/>
      <c r="D12" s="492"/>
      <c r="E12" s="492"/>
      <c r="F12" s="492"/>
      <c r="G12" s="492"/>
    </row>
    <row r="13" spans="1:7">
      <c r="A13" s="492" t="s">
        <v>331</v>
      </c>
      <c r="B13" s="492"/>
      <c r="C13" s="492"/>
      <c r="D13" s="492"/>
      <c r="E13" s="492"/>
      <c r="F13" s="492"/>
      <c r="G13" s="492"/>
    </row>
    <row r="14" spans="1:7">
      <c r="A14" s="492" t="s">
        <v>332</v>
      </c>
      <c r="B14" s="492"/>
      <c r="C14" s="492"/>
      <c r="D14" s="492"/>
      <c r="E14" s="492"/>
      <c r="F14" s="492"/>
      <c r="G14" s="492"/>
    </row>
    <row r="15" spans="1:7">
      <c r="A15" s="492" t="s">
        <v>333</v>
      </c>
      <c r="B15" s="492"/>
      <c r="C15" s="492"/>
      <c r="D15" s="492"/>
      <c r="E15" s="492"/>
      <c r="F15" s="492"/>
      <c r="G15" s="492"/>
    </row>
    <row r="16" spans="1:7">
      <c r="A16" s="492" t="s">
        <v>334</v>
      </c>
      <c r="B16" s="492"/>
      <c r="C16" s="492"/>
      <c r="D16" s="492"/>
      <c r="E16" s="492"/>
      <c r="F16" s="492"/>
      <c r="G16" s="492"/>
    </row>
    <row r="17" spans="1:7">
      <c r="A17" s="492" t="s">
        <v>335</v>
      </c>
      <c r="B17" s="492"/>
      <c r="C17" s="492"/>
      <c r="D17" s="492"/>
      <c r="E17" s="492"/>
      <c r="F17" s="492"/>
      <c r="G17" s="492"/>
    </row>
    <row r="18" spans="1:7">
      <c r="A18" s="492" t="s">
        <v>336</v>
      </c>
      <c r="B18" s="492"/>
      <c r="C18" s="492"/>
      <c r="D18" s="492"/>
      <c r="E18" s="492"/>
      <c r="F18" s="492"/>
      <c r="G18" s="492"/>
    </row>
    <row r="19" spans="1:7">
      <c r="A19" s="492" t="s">
        <v>337</v>
      </c>
      <c r="B19" s="492"/>
      <c r="C19" s="492"/>
      <c r="D19" s="492"/>
      <c r="E19" s="492"/>
      <c r="F19" s="492"/>
      <c r="G19" s="492"/>
    </row>
    <row r="20" spans="1:7">
      <c r="A20" s="492" t="s">
        <v>338</v>
      </c>
      <c r="B20" s="492"/>
      <c r="C20" s="492"/>
      <c r="D20" s="492"/>
      <c r="E20" s="492" t="s">
        <v>339</v>
      </c>
      <c r="F20" s="492"/>
      <c r="G20" s="492"/>
    </row>
    <row r="21" spans="1:7">
      <c r="A21" s="492"/>
      <c r="B21" s="492"/>
      <c r="C21" s="492"/>
      <c r="D21" s="492"/>
      <c r="E21" s="492" t="s">
        <v>340</v>
      </c>
      <c r="F21" s="492"/>
      <c r="G21" s="492"/>
    </row>
  </sheetData>
  <phoneticPr fontId="2"/>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A0BCBB-4993-4C97-B24D-A8307440F92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8A085EE-32DC-4B51-9C2B-FAA59390CD58}"/>
</file>

<file path=customXml/itemProps3.xml><?xml version="1.0" encoding="utf-8"?>
<ds:datastoreItem xmlns:ds="http://schemas.openxmlformats.org/officeDocument/2006/customXml" ds:itemID="{66CE6C9C-0F81-4BC8-AB6D-69E61E61CC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36</vt:i4>
      </vt:variant>
    </vt:vector>
  </HeadingPairs>
  <TitlesOfParts>
    <vt:vector size="44" baseType="lpstr">
      <vt:lpstr>プロジェクト計画書</vt:lpstr>
      <vt:lpstr>プロジェクト完了報告書</vt:lpstr>
      <vt:lpstr>品質データ分析報告書</vt:lpstr>
      <vt:lpstr>開発及びサポートプロセスにおけるセキュリティ</vt:lpstr>
      <vt:lpstr>改定履歴</vt:lpstr>
      <vt:lpstr>【事務局用】顧客満足度調査依頼 メール文面</vt:lpstr>
      <vt:lpstr>マスタ</vt:lpstr>
      <vt:lpstr>選択肢</vt:lpstr>
      <vt:lpstr>プロジェクト完了報告書!Print_Area</vt:lpstr>
      <vt:lpstr>プロジェクト計画書!Print_Area</vt:lpstr>
      <vt:lpstr>品質データ分析報告書!Print_Area</vt:lpstr>
      <vt:lpstr>プロジェクト完了報告書!Print_Titles</vt:lpstr>
      <vt:lpstr>プロジェクト計画書!Print_Titles</vt:lpstr>
      <vt:lpstr>改定履歴!Print_Titles</vt:lpstr>
      <vt:lpstr>品質データ分析報告書!Print_Titles</vt:lpstr>
      <vt:lpstr>ステータス</vt:lpstr>
      <vt:lpstr>マスタ!プロジェクトコード</vt:lpstr>
      <vt:lpstr>プロジェクトコード</vt:lpstr>
      <vt:lpstr>マスタ!プロジェクト名</vt:lpstr>
      <vt:lpstr>プロジェクト名</vt:lpstr>
      <vt:lpstr>ヘッダプロジェクト名</vt:lpstr>
      <vt:lpstr>ヘッダ文書名</vt:lpstr>
      <vt:lpstr>ヘッダ文書名‐改訂履歴</vt:lpstr>
      <vt:lpstr>ヘッダ文書名‐補足１</vt:lpstr>
      <vt:lpstr>ヘッダ文書名‐補足２</vt:lpstr>
      <vt:lpstr>ヘッダ文書名‐補足３</vt:lpstr>
      <vt:lpstr>ヘッダ様式名称</vt:lpstr>
      <vt:lpstr>改定ステータス</vt:lpstr>
      <vt:lpstr>改定承認形式</vt:lpstr>
      <vt:lpstr>改定担当者</vt:lpstr>
      <vt:lpstr>区分</vt:lpstr>
      <vt:lpstr>検収完了日</vt:lpstr>
      <vt:lpstr>顧客満足度調査の依頼先担当者メールアドレス</vt:lpstr>
      <vt:lpstr>顧客満足度調査の依頼先担当者名</vt:lpstr>
      <vt:lpstr>マスタ!顧客名</vt:lpstr>
      <vt:lpstr>顧客名</vt:lpstr>
      <vt:lpstr>担当者</vt:lpstr>
      <vt:lpstr>発行者</vt:lpstr>
      <vt:lpstr>発行日</vt:lpstr>
      <vt:lpstr>版数</vt:lpstr>
      <vt:lpstr>文書管理責任者</vt:lpstr>
      <vt:lpstr>文書番号</vt:lpstr>
      <vt:lpstr>文書名</vt:lpstr>
      <vt:lpstr>様式版数</vt:lpstr>
    </vt:vector>
  </TitlesOfParts>
  <Company>SECOM Trust Systems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安田 裕貴</dc:creator>
  <cp:lastModifiedBy>福田慎</cp:lastModifiedBy>
  <cp:lastPrinted>2025-02-04T02:45:24Z</cp:lastPrinted>
  <dcterms:created xsi:type="dcterms:W3CDTF">2010-04-05T07:44:49Z</dcterms:created>
  <dcterms:modified xsi:type="dcterms:W3CDTF">2025-04-15T01:59:40Z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