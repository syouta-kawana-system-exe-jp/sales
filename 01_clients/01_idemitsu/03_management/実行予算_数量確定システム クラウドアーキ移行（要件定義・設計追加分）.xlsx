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2"/>
  <workbookPr/>
  <mc:AlternateContent xmlns:mc="http://schemas.openxmlformats.org/markup-compatibility/2006">
    <mc:Choice Requires="x15">
      <x15ac:absPath xmlns:x15ac="http://schemas.microsoft.com/office/spreadsheetml/2010/11/ac" url="C:\Users\k-nomura.SYSTEM-EXE\Downloads\"/>
    </mc:Choice>
  </mc:AlternateContent>
  <xr:revisionPtr revIDLastSave="0" documentId="13_ncr:1_{572B814B-D619-467A-B5DC-8D75CFAD5095}" xr6:coauthVersionLast="36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社員工数" sheetId="1" r:id="rId1"/>
    <sheet name="外注費・経費" sheetId="2" r:id="rId2"/>
    <sheet name="リストマスタ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AF59" i="2"/>
  <c r="K4" i="2" s="1"/>
  <c r="K4" i="1" s="1"/>
  <c r="H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<sst xmlns="http://schemas.openxmlformats.org/spreadsheetml/2006/main" count="108" uniqueCount="88">
  <si>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</si>
  <si>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</si>
  <si>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</si>
  <si>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</si>
  <si>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</si>
  <si>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</si>
  <si>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</si>
  <si>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</si>
  <si>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</si>
  <si>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</si>
  <si>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</si>
  <si>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</si>
  <si>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</si>
  <si>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</si>
  <si>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</si>
  <si>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</si>
  <si>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</si>
  <si>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</si>
  <si>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</si>
  <si>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</si>
  <si>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  <phoneticPr fontId="3"/>
  </si>
  <si>
    <t>2026年度3Q</t>
    <phoneticPr fontId="3"/>
  </si>
  <si>
    <t>2026年度4Q</t>
    <phoneticPr fontId="3"/>
  </si>
  <si>
    <t>2027年度1Q</t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</si>
  <si>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</si>
  <si>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</si>
  <si>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</si>
  <si>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</si>
  <si>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</si>
  <si>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</si>
  <si>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2025年度1Q</t>
  </si>
  <si>
    <t>2025年度2Q</t>
  </si>
  <si>
    <t>2025年度3Q</t>
  </si>
  <si>
    <t>2025年度4Q</t>
  </si>
  <si>
    <t>2026年度1Q</t>
  </si>
  <si>
    <t>2026年度2Q</t>
  </si>
  <si>
    <t>2026年度3Q</t>
  </si>
  <si>
    <t>2026年度4Q</t>
  </si>
  <si>
    <t>2027年度1Q</t>
  </si>
  <si>
    <t>BP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</si>
  <si>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</si>
  <si>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</si>
  <si>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</si>
  <si>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</si>
  <si>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</si>
  <si>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</si>
  <si>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</si>
  <si>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</si>
  <si>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</si>
  <si>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</si>
  <si>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</si>
  <si>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</si>
  <si>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</si>
  <si>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</si>
  <si>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</si>
  <si>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</si>
  <si>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</si>
  <si>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</si>
  <si>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</si>
  <si>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</si>
  <si>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</si>
  <si>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</si>
  <si>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</si>
  <si>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</si>
  <si>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</si>
  <si>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</si>
  <si>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</si>
  <si>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</si>
  <si>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</si>
  <si>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</si>
  <si>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</si>
  <si>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</si>
  <si>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</si>
  <si>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</si>
  <si>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</si>
  <si>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</si>
  <si>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</si>
  <si>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</si>
  <si>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</si>
  <si>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</si>
  <si>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t>数量確定システム クラウドアーキ移行（要件定義・設計追加分）</t>
    <rPh sb="0" eb="2">
      <t>スウリョウ</t>
    </rPh>
    <rPh sb="2" eb="4">
      <t>カクテイ</t>
    </rPh>
    <rPh sb="16" eb="18">
      <t>イコウ</t>
    </rPh>
    <rPh sb="19" eb="21">
      <t>ヨウケン</t>
    </rPh>
    <rPh sb="21" eb="23">
      <t>テイギ</t>
    </rPh>
    <rPh sb="24" eb="26">
      <t>セッケイ</t>
    </rPh>
    <rPh sb="26" eb="28">
      <t>ツイカ</t>
    </rPh>
    <rPh sb="28" eb="29">
      <t>ブン</t>
    </rPh>
    <phoneticPr fontId="3"/>
  </si>
  <si>
    <t>石井徹</t>
    <rPh sb="0" eb="2">
      <t>イシイ</t>
    </rPh>
    <rPh sb="2" eb="3">
      <t>トオル</t>
    </rPh>
    <phoneticPr fontId="3"/>
  </si>
  <si>
    <t>野村康二</t>
    <rPh sb="0" eb="4">
      <t>ノムラコウジ</t>
    </rPh>
    <phoneticPr fontId="3"/>
  </si>
  <si>
    <t>NguyenTanDuoc</t>
    <phoneticPr fontId="3"/>
  </si>
  <si>
    <t>NguyenMinhTho</t>
    <phoneticPr fontId="3"/>
  </si>
  <si>
    <t>DoNguyenThiThuyDuy</t>
    <phoneticPr fontId="3"/>
  </si>
  <si>
    <t>NguyenDangThien</t>
    <phoneticPr fontId="3"/>
  </si>
  <si>
    <t>PhanNguyenTam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</si>
</sst>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9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6" fontId="4" fillId="3" borderId="4" xfId="2" applyNumberFormat="1" applyFont="1" applyFill="1" applyBorder="1" applyAlignment="1">
      <alignment vertical="center"/>
    </xf>
    <xf numFmtId="177" fontId="4" fillId="3" borderId="4" xfId="1" applyNumberFormat="1" applyFont="1" applyFill="1" applyBorder="1">
      <alignment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zoomScale="130" zoomScaleNormal="130" workbookViewId="0">
      <selection activeCell="C11" sqref="C11"/>
    </sheetView>
  </sheetViews>
  <sheetFormatPr defaultColWidth="8.09765625" defaultRowHeight="12.6" x14ac:dyDescent="0.45"/>
  <cols>
    <col min="1" max="1" width="14.59765625" style="2" customWidth="1"/>
    <col min="2" max="2" width="7.69921875" style="2" bestFit="1" customWidth="1"/>
    <col min="3" max="3" width="14.59765625" style="2" customWidth="1"/>
    <col min="4" max="31" width="7" style="2" customWidth="1"/>
    <col min="32" max="32" width="7.69921875" style="2" customWidth="1"/>
    <col min="33" max="16384" width="8.09765625" style="2"/>
  </cols>
  <sheetData>
    <row r="1" spans="1:32" ht="18.600000000000001" x14ac:dyDescent="0.45">
      <c r="A1" s="1" t="s">
        <v>0</v>
      </c>
      <c r="D1" s="3" t="s">
        <v>1</v>
      </c>
    </row>
    <row r="2" spans="1:32" ht="5.25" customHeight="1" x14ac:dyDescent="0.45">
      <c r="A2" s="1"/>
    </row>
    <row r="3" spans="1:32" x14ac:dyDescent="0.45">
      <c r="A3" s="4" t="s">
        <v>2</v>
      </c>
      <c r="B3" s="42"/>
      <c r="C3" s="43"/>
      <c r="D3" s="5" t="s">
        <v>3</v>
      </c>
      <c r="E3" s="42" t="s">
        <v>80</v>
      </c>
      <c r="F3" s="44"/>
      <c r="G3" s="44"/>
      <c r="H3" s="44"/>
      <c r="I3" s="44"/>
      <c r="J3" s="44"/>
      <c r="K3" s="44"/>
      <c r="L3" s="44"/>
      <c r="M3" s="44"/>
      <c r="N3" s="44"/>
      <c r="O3" s="43"/>
    </row>
    <row r="4" spans="1:32" x14ac:dyDescent="0.45">
      <c r="A4" s="5" t="s">
        <v>4</v>
      </c>
      <c r="B4" s="42" t="s">
        <v>5</v>
      </c>
      <c r="C4" s="43"/>
      <c r="D4" s="5" t="s">
        <v>6</v>
      </c>
      <c r="E4" s="45"/>
      <c r="F4" s="45"/>
      <c r="G4" s="5" t="s">
        <v>7</v>
      </c>
      <c r="H4" s="46">
        <f>AF59</f>
        <v>160</v>
      </c>
      <c r="I4" s="46"/>
      <c r="J4" s="5" t="s">
        <v>8</v>
      </c>
      <c r="K4" s="47">
        <f>外注費・経費!K4</f>
        <v>1850000</v>
      </c>
      <c r="L4" s="47"/>
      <c r="M4" s="5" t="s">
        <v>9</v>
      </c>
      <c r="N4" s="47">
        <v>0</v>
      </c>
      <c r="O4" s="47"/>
    </row>
    <row r="5" spans="1:32" ht="6" customHeight="1" x14ac:dyDescent="0.45"/>
    <row r="6" spans="1:32" s="6" customFormat="1" x14ac:dyDescent="0.45">
      <c r="A6" s="28" t="s">
        <v>10</v>
      </c>
      <c r="B6" s="31" t="s">
        <v>11</v>
      </c>
      <c r="C6" s="31" t="s">
        <v>12</v>
      </c>
      <c r="D6" s="34" t="s">
        <v>13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9" t="s">
        <v>14</v>
      </c>
    </row>
    <row r="7" spans="1:32" s="6" customFormat="1" ht="12" customHeight="1" x14ac:dyDescent="0.45">
      <c r="A7" s="29"/>
      <c r="B7" s="32"/>
      <c r="C7" s="32"/>
      <c r="D7" s="35" t="s">
        <v>15</v>
      </c>
      <c r="E7" s="36"/>
      <c r="F7" s="37"/>
      <c r="G7" s="35" t="s">
        <v>16</v>
      </c>
      <c r="H7" s="36"/>
      <c r="I7" s="37"/>
      <c r="J7" s="35" t="s">
        <v>17</v>
      </c>
      <c r="K7" s="36"/>
      <c r="L7" s="37"/>
      <c r="M7" s="35" t="s">
        <v>18</v>
      </c>
      <c r="N7" s="36"/>
      <c r="O7" s="37"/>
      <c r="P7" s="35" t="s">
        <v>19</v>
      </c>
      <c r="Q7" s="36"/>
      <c r="R7" s="37"/>
      <c r="S7" s="35" t="s">
        <v>20</v>
      </c>
      <c r="T7" s="36"/>
      <c r="U7" s="37"/>
      <c r="V7" s="35" t="s">
        <v>21</v>
      </c>
      <c r="W7" s="36"/>
      <c r="X7" s="37"/>
      <c r="Y7" s="35" t="s">
        <v>22</v>
      </c>
      <c r="Z7" s="36"/>
      <c r="AA7" s="37"/>
      <c r="AB7" s="35" t="s">
        <v>23</v>
      </c>
      <c r="AC7" s="36"/>
      <c r="AD7" s="37"/>
      <c r="AE7" s="38" t="s">
        <v>24</v>
      </c>
      <c r="AF7" s="40"/>
    </row>
    <row r="8" spans="1:32" s="6" customFormat="1" x14ac:dyDescent="0.45">
      <c r="A8" s="30"/>
      <c r="B8" s="33"/>
      <c r="C8" s="33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33"/>
      <c r="AF8" s="41"/>
    </row>
    <row r="9" spans="1:32" x14ac:dyDescent="0.45">
      <c r="A9" s="21" t="s">
        <v>25</v>
      </c>
      <c r="B9" s="8">
        <v>397</v>
      </c>
      <c r="C9" s="8" t="s">
        <v>81</v>
      </c>
      <c r="D9" s="22"/>
      <c r="E9" s="22"/>
      <c r="F9" s="22"/>
      <c r="G9" s="22"/>
      <c r="H9" s="22"/>
      <c r="I9" s="22"/>
      <c r="J9" s="22">
        <v>80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80</v>
      </c>
    </row>
    <row r="10" spans="1:32" x14ac:dyDescent="0.45">
      <c r="A10" s="21" t="s">
        <v>25</v>
      </c>
      <c r="B10" s="8">
        <v>692</v>
      </c>
      <c r="C10" s="8" t="s">
        <v>82</v>
      </c>
      <c r="D10" s="22"/>
      <c r="E10" s="22"/>
      <c r="F10" s="22"/>
      <c r="G10" s="22"/>
      <c r="H10" s="22"/>
      <c r="I10" s="22"/>
      <c r="J10" s="22">
        <v>80</v>
      </c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80</v>
      </c>
    </row>
    <row r="11" spans="1:32" x14ac:dyDescent="0.45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 x14ac:dyDescent="0.45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 x14ac:dyDescent="0.45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 x14ac:dyDescent="0.45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 x14ac:dyDescent="0.45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 x14ac:dyDescent="0.45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 x14ac:dyDescent="0.45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 x14ac:dyDescent="0.45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 x14ac:dyDescent="0.45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 x14ac:dyDescent="0.45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 x14ac:dyDescent="0.45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 x14ac:dyDescent="0.45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 x14ac:dyDescent="0.45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 x14ac:dyDescent="0.45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 x14ac:dyDescent="0.45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 x14ac:dyDescent="0.45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 x14ac:dyDescent="0.45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 x14ac:dyDescent="0.45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 x14ac:dyDescent="0.45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 x14ac:dyDescent="0.45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 x14ac:dyDescent="0.45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 x14ac:dyDescent="0.45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 x14ac:dyDescent="0.45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 x14ac:dyDescent="0.45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 x14ac:dyDescent="0.45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 x14ac:dyDescent="0.45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 x14ac:dyDescent="0.45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 x14ac:dyDescent="0.45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 x14ac:dyDescent="0.45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 x14ac:dyDescent="0.45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 x14ac:dyDescent="0.45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 x14ac:dyDescent="0.45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 x14ac:dyDescent="0.45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 x14ac:dyDescent="0.45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 x14ac:dyDescent="0.45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 x14ac:dyDescent="0.45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 x14ac:dyDescent="0.45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 x14ac:dyDescent="0.45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 x14ac:dyDescent="0.45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 x14ac:dyDescent="0.45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 x14ac:dyDescent="0.45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 x14ac:dyDescent="0.45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 x14ac:dyDescent="0.45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 x14ac:dyDescent="0.45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 x14ac:dyDescent="0.45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 x14ac:dyDescent="0.45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 x14ac:dyDescent="0.45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 x14ac:dyDescent="0.45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 x14ac:dyDescent="0.45">
      <c r="A59" s="25" t="s">
        <v>14</v>
      </c>
      <c r="B59" s="26"/>
      <c r="C59" s="27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0</v>
      </c>
      <c r="H59" s="23">
        <f t="shared" si="1"/>
        <v>0</v>
      </c>
      <c r="I59" s="23">
        <f t="shared" si="1"/>
        <v>0</v>
      </c>
      <c r="J59" s="23">
        <f t="shared" si="1"/>
        <v>160</v>
      </c>
      <c r="K59" s="23">
        <f t="shared" si="1"/>
        <v>0</v>
      </c>
      <c r="L59" s="23">
        <f t="shared" si="1"/>
        <v>0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160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A11:A58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tabSelected="1" zoomScale="130" zoomScaleNormal="130" workbookViewId="0">
      <selection activeCell="C10" sqref="C10"/>
    </sheetView>
  </sheetViews>
  <sheetFormatPr defaultColWidth="8.09765625" defaultRowHeight="12.6" x14ac:dyDescent="0.45"/>
  <cols>
    <col min="1" max="1" width="14.59765625" style="2" customWidth="1"/>
    <col min="2" max="2" width="7.69921875" style="2" customWidth="1"/>
    <col min="3" max="3" width="14.59765625" style="2" customWidth="1"/>
    <col min="4" max="31" width="8.19921875" style="2" customWidth="1"/>
    <col min="32" max="32" width="11.09765625" style="2" customWidth="1"/>
    <col min="33" max="16384" width="8.09765625" style="2"/>
  </cols>
  <sheetData>
    <row r="1" spans="1:32" ht="18.600000000000001" x14ac:dyDescent="0.45">
      <c r="A1" s="1" t="s">
        <v>26</v>
      </c>
    </row>
    <row r="2" spans="1:32" ht="5.25" customHeight="1" x14ac:dyDescent="0.45">
      <c r="A2" s="1"/>
    </row>
    <row r="3" spans="1:32" x14ac:dyDescent="0.45">
      <c r="A3" s="9" t="s">
        <v>2</v>
      </c>
      <c r="B3" s="42"/>
      <c r="C3" s="43"/>
      <c r="D3" s="10" t="s">
        <v>3</v>
      </c>
      <c r="E3" s="42" t="str">
        <f>社員工数!E3</f>
        <v>数量確定システム クラウドアーキ移行（要件定義・設計追加分）</v>
      </c>
      <c r="F3" s="44"/>
      <c r="G3" s="44"/>
      <c r="H3" s="44"/>
      <c r="I3" s="44"/>
      <c r="J3" s="44"/>
      <c r="K3" s="44"/>
      <c r="L3" s="44"/>
      <c r="M3" s="44"/>
      <c r="N3" s="44"/>
      <c r="O3" s="43"/>
    </row>
    <row r="4" spans="1:32" x14ac:dyDescent="0.45">
      <c r="A4" s="9" t="s">
        <v>4</v>
      </c>
      <c r="B4" s="42" t="s">
        <v>27</v>
      </c>
      <c r="C4" s="43"/>
      <c r="D4" s="11" t="s">
        <v>6</v>
      </c>
      <c r="E4" s="62">
        <f>社員工数!E4</f>
        <v>0</v>
      </c>
      <c r="F4" s="62"/>
      <c r="G4" s="11" t="s">
        <v>7</v>
      </c>
      <c r="H4" s="46">
        <f>社員工数!H4</f>
        <v>160</v>
      </c>
      <c r="I4" s="46"/>
      <c r="J4" s="11" t="s">
        <v>8</v>
      </c>
      <c r="K4" s="63">
        <f>AF59</f>
        <v>1850000</v>
      </c>
      <c r="L4" s="63"/>
      <c r="M4" s="11" t="s">
        <v>9</v>
      </c>
      <c r="N4" s="63">
        <f>SUMIF(A:A,"経費",AF:AF)</f>
        <v>0</v>
      </c>
      <c r="O4" s="63"/>
    </row>
    <row r="5" spans="1:32" ht="6" customHeight="1" x14ac:dyDescent="0.45"/>
    <row r="6" spans="1:32" s="6" customFormat="1" x14ac:dyDescent="0.45">
      <c r="A6" s="48" t="s">
        <v>10</v>
      </c>
      <c r="B6" s="51" t="s">
        <v>28</v>
      </c>
      <c r="C6" s="51" t="s">
        <v>12</v>
      </c>
      <c r="D6" s="54" t="s">
        <v>29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9" t="s">
        <v>14</v>
      </c>
    </row>
    <row r="7" spans="1:32" s="6" customFormat="1" ht="12" customHeight="1" x14ac:dyDescent="0.45">
      <c r="A7" s="49"/>
      <c r="B7" s="52"/>
      <c r="C7" s="52"/>
      <c r="D7" s="55" t="s">
        <v>30</v>
      </c>
      <c r="E7" s="56"/>
      <c r="F7" s="57"/>
      <c r="G7" s="55" t="s">
        <v>31</v>
      </c>
      <c r="H7" s="56"/>
      <c r="I7" s="57"/>
      <c r="J7" s="55" t="s">
        <v>32</v>
      </c>
      <c r="K7" s="56"/>
      <c r="L7" s="57"/>
      <c r="M7" s="55" t="s">
        <v>33</v>
      </c>
      <c r="N7" s="56"/>
      <c r="O7" s="57"/>
      <c r="P7" s="55" t="s">
        <v>34</v>
      </c>
      <c r="Q7" s="56"/>
      <c r="R7" s="57"/>
      <c r="S7" s="55" t="s">
        <v>35</v>
      </c>
      <c r="T7" s="56"/>
      <c r="U7" s="57"/>
      <c r="V7" s="55" t="s">
        <v>36</v>
      </c>
      <c r="W7" s="56"/>
      <c r="X7" s="57"/>
      <c r="Y7" s="55" t="s">
        <v>37</v>
      </c>
      <c r="Z7" s="56"/>
      <c r="AA7" s="57"/>
      <c r="AB7" s="55" t="s">
        <v>38</v>
      </c>
      <c r="AC7" s="56"/>
      <c r="AD7" s="57"/>
      <c r="AE7" s="58" t="s">
        <v>24</v>
      </c>
      <c r="AF7" s="60"/>
    </row>
    <row r="8" spans="1:32" s="6" customFormat="1" x14ac:dyDescent="0.45">
      <c r="A8" s="50"/>
      <c r="B8" s="53"/>
      <c r="C8" s="53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53"/>
      <c r="AF8" s="61"/>
    </row>
    <row r="9" spans="1:32" x14ac:dyDescent="0.45">
      <c r="A9" s="13" t="s">
        <v>39</v>
      </c>
      <c r="B9" s="14">
        <v>4189</v>
      </c>
      <c r="C9" s="13" t="s">
        <v>83</v>
      </c>
      <c r="D9" s="13"/>
      <c r="E9" s="13"/>
      <c r="F9" s="13"/>
      <c r="G9" s="13"/>
      <c r="H9" s="13"/>
      <c r="I9" s="13"/>
      <c r="J9" s="13">
        <v>450000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450000</v>
      </c>
    </row>
    <row r="10" spans="1:32" x14ac:dyDescent="0.45">
      <c r="A10" s="13" t="s">
        <v>39</v>
      </c>
      <c r="B10" s="14">
        <v>5412</v>
      </c>
      <c r="C10" s="13" t="s">
        <v>84</v>
      </c>
      <c r="D10" s="13"/>
      <c r="E10" s="13"/>
      <c r="F10" s="13"/>
      <c r="G10" s="13"/>
      <c r="H10" s="13"/>
      <c r="I10" s="13"/>
      <c r="J10" s="13">
        <v>350000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350000</v>
      </c>
    </row>
    <row r="11" spans="1:32" x14ac:dyDescent="0.45">
      <c r="A11" s="13" t="s">
        <v>39</v>
      </c>
      <c r="B11" s="14">
        <v>4657</v>
      </c>
      <c r="C11" s="13" t="s">
        <v>85</v>
      </c>
      <c r="D11" s="13"/>
      <c r="E11" s="13"/>
      <c r="F11" s="13"/>
      <c r="G11" s="13"/>
      <c r="H11" s="13"/>
      <c r="I11" s="13"/>
      <c r="J11" s="13">
        <v>350000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350000</v>
      </c>
    </row>
    <row r="12" spans="1:32" x14ac:dyDescent="0.45">
      <c r="A12" s="13" t="s">
        <v>39</v>
      </c>
      <c r="B12" s="14">
        <v>4506</v>
      </c>
      <c r="C12" s="13" t="s">
        <v>86</v>
      </c>
      <c r="D12" s="13"/>
      <c r="E12" s="13"/>
      <c r="F12" s="13"/>
      <c r="G12" s="13"/>
      <c r="H12" s="13"/>
      <c r="I12" s="13"/>
      <c r="J12" s="13">
        <v>350000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350000</v>
      </c>
    </row>
    <row r="13" spans="1:32" x14ac:dyDescent="0.45">
      <c r="A13" s="13" t="s">
        <v>39</v>
      </c>
      <c r="B13" s="14">
        <v>4959</v>
      </c>
      <c r="C13" s="13" t="s">
        <v>87</v>
      </c>
      <c r="D13" s="13"/>
      <c r="E13" s="13"/>
      <c r="F13" s="13"/>
      <c r="G13" s="13"/>
      <c r="H13" s="13"/>
      <c r="I13" s="13"/>
      <c r="J13" s="13">
        <v>350000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350000</v>
      </c>
    </row>
    <row r="14" spans="1:32" x14ac:dyDescent="0.45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 x14ac:dyDescent="0.45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 x14ac:dyDescent="0.45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 x14ac:dyDescent="0.45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 x14ac:dyDescent="0.45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 x14ac:dyDescent="0.45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 x14ac:dyDescent="0.45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 x14ac:dyDescent="0.45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 x14ac:dyDescent="0.45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 x14ac:dyDescent="0.45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 x14ac:dyDescent="0.45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 x14ac:dyDescent="0.45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 x14ac:dyDescent="0.45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 x14ac:dyDescent="0.45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 x14ac:dyDescent="0.45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 x14ac:dyDescent="0.45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 x14ac:dyDescent="0.45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 x14ac:dyDescent="0.45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 x14ac:dyDescent="0.45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 x14ac:dyDescent="0.45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 x14ac:dyDescent="0.45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 x14ac:dyDescent="0.45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 x14ac:dyDescent="0.45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 x14ac:dyDescent="0.45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 x14ac:dyDescent="0.45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 x14ac:dyDescent="0.45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 x14ac:dyDescent="0.45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 x14ac:dyDescent="0.45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 x14ac:dyDescent="0.45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 x14ac:dyDescent="0.45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 x14ac:dyDescent="0.45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 x14ac:dyDescent="0.45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 x14ac:dyDescent="0.45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 x14ac:dyDescent="0.45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 x14ac:dyDescent="0.45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 x14ac:dyDescent="0.45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 x14ac:dyDescent="0.45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 x14ac:dyDescent="0.45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 x14ac:dyDescent="0.45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 x14ac:dyDescent="0.45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 x14ac:dyDescent="0.45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 x14ac:dyDescent="0.45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 x14ac:dyDescent="0.45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 x14ac:dyDescent="0.45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 x14ac:dyDescent="0.45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 x14ac:dyDescent="0.45">
      <c r="A59" s="25" t="s">
        <v>14</v>
      </c>
      <c r="B59" s="26"/>
      <c r="C59" s="27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0</v>
      </c>
      <c r="J59" s="15">
        <f t="shared" si="1"/>
        <v>1850000</v>
      </c>
      <c r="K59" s="15">
        <f t="shared" si="1"/>
        <v>0</v>
      </c>
      <c r="L59" s="15">
        <f t="shared" si="1"/>
        <v>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1850000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03B764-5E4C-4AB0-986A-C5CCF563F30D}">
          <x14:formula1>
            <xm:f>リストマスタ!$L$3:$L$13</xm:f>
          </x14:formula1>
          <xm:sqref>A9:A58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topLeftCell="F1" workbookViewId="0">
      <selection activeCell="E20" sqref="E20"/>
    </sheetView>
  </sheetViews>
  <sheetFormatPr defaultColWidth="8.59765625" defaultRowHeight="18" x14ac:dyDescent="0.45"/>
  <cols>
    <col min="1" max="1" width="4.59765625" style="18" customWidth="1"/>
    <col min="2" max="2" width="10.5" style="18" customWidth="1"/>
    <col min="3" max="3" width="22" style="18" customWidth="1"/>
    <col min="4" max="4" width="15.09765625" style="18" customWidth="1"/>
    <col min="5" max="5" width="11.09765625" style="18" customWidth="1"/>
    <col min="6" max="6" width="58.19921875" style="18" bestFit="1" customWidth="1"/>
    <col min="7" max="7" width="11.09765625" style="18" customWidth="1"/>
    <col min="8" max="8" width="5.69921875" style="18" customWidth="1"/>
    <col min="9" max="9" width="11.69921875" style="18" customWidth="1"/>
    <col min="10" max="10" width="11.09765625" style="18" customWidth="1"/>
    <col min="11" max="11" width="17.09765625" style="18" bestFit="1" customWidth="1"/>
    <col min="12" max="12" width="11.09765625" style="18" customWidth="1"/>
    <col min="13" max="16384" width="8.59765625" style="18"/>
  </cols>
  <sheetData>
    <row r="1" spans="1:12" x14ac:dyDescent="0.45">
      <c r="A1" s="66" t="s">
        <v>40</v>
      </c>
      <c r="B1" s="17" t="s">
        <v>41</v>
      </c>
      <c r="C1" s="66" t="s">
        <v>42</v>
      </c>
      <c r="D1" s="66" t="s">
        <v>43</v>
      </c>
      <c r="E1" s="66" t="s">
        <v>44</v>
      </c>
      <c r="F1" s="66" t="s">
        <v>45</v>
      </c>
      <c r="G1" s="66" t="s">
        <v>46</v>
      </c>
      <c r="H1" s="64" t="s">
        <v>47</v>
      </c>
      <c r="I1" s="65"/>
      <c r="J1" s="66" t="s">
        <v>48</v>
      </c>
      <c r="K1" s="66" t="s">
        <v>49</v>
      </c>
      <c r="L1" s="66" t="s">
        <v>50</v>
      </c>
    </row>
    <row r="2" spans="1:12" x14ac:dyDescent="0.45">
      <c r="A2" s="66"/>
      <c r="B2" s="17" t="s">
        <v>51</v>
      </c>
      <c r="C2" s="66"/>
      <c r="D2" s="66"/>
      <c r="E2" s="66"/>
      <c r="F2" s="66"/>
      <c r="G2" s="66"/>
      <c r="H2" s="17" t="s">
        <v>40</v>
      </c>
      <c r="I2" s="17" t="s">
        <v>52</v>
      </c>
      <c r="J2" s="66"/>
      <c r="K2" s="66"/>
      <c r="L2" s="66"/>
    </row>
    <row r="3" spans="1:12" x14ac:dyDescent="0.45">
      <c r="A3" s="19">
        <v>1</v>
      </c>
      <c r="B3" s="20">
        <v>0.1</v>
      </c>
      <c r="C3" s="19" t="s">
        <v>53</v>
      </c>
      <c r="D3" s="19" t="s">
        <v>54</v>
      </c>
      <c r="E3" s="19" t="s">
        <v>55</v>
      </c>
      <c r="F3" s="19" t="s">
        <v>56</v>
      </c>
      <c r="G3" s="19" t="s">
        <v>57</v>
      </c>
      <c r="H3" s="19">
        <v>1</v>
      </c>
      <c r="I3" s="19" t="s">
        <v>58</v>
      </c>
      <c r="J3" s="19" t="s">
        <v>59</v>
      </c>
      <c r="K3" s="19" t="s">
        <v>25</v>
      </c>
      <c r="L3" s="19" t="s">
        <v>60</v>
      </c>
    </row>
    <row r="4" spans="1:12" x14ac:dyDescent="0.45">
      <c r="A4" s="19">
        <v>2</v>
      </c>
      <c r="B4" s="20"/>
      <c r="C4" s="19"/>
      <c r="D4" s="19"/>
      <c r="E4" s="19" t="s">
        <v>61</v>
      </c>
      <c r="F4" s="19" t="s">
        <v>62</v>
      </c>
      <c r="G4" s="19" t="s">
        <v>63</v>
      </c>
      <c r="H4" s="19">
        <v>2</v>
      </c>
      <c r="I4" s="19" t="s">
        <v>64</v>
      </c>
      <c r="J4" s="19" t="s">
        <v>65</v>
      </c>
      <c r="K4" s="19" t="s">
        <v>66</v>
      </c>
      <c r="L4" s="19" t="s">
        <v>67</v>
      </c>
    </row>
    <row r="5" spans="1:12" x14ac:dyDescent="0.45">
      <c r="A5" s="19">
        <v>3</v>
      </c>
      <c r="B5" s="19"/>
      <c r="C5" s="19"/>
      <c r="D5" s="19"/>
      <c r="E5" s="19"/>
      <c r="F5" s="19" t="s">
        <v>68</v>
      </c>
      <c r="G5" s="19" t="s">
        <v>69</v>
      </c>
      <c r="H5" s="19">
        <v>3</v>
      </c>
      <c r="I5" s="19" t="s">
        <v>70</v>
      </c>
      <c r="J5" s="19" t="s">
        <v>71</v>
      </c>
      <c r="K5" s="19" t="s">
        <v>72</v>
      </c>
      <c r="L5" s="19"/>
    </row>
    <row r="6" spans="1:12" x14ac:dyDescent="0.45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73</v>
      </c>
      <c r="L6" s="19"/>
    </row>
    <row r="7" spans="1:12" x14ac:dyDescent="0.45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74</v>
      </c>
      <c r="L7" s="19"/>
    </row>
    <row r="8" spans="1:12" x14ac:dyDescent="0.45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75</v>
      </c>
      <c r="L8" s="19"/>
    </row>
    <row r="9" spans="1:12" x14ac:dyDescent="0.45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76</v>
      </c>
      <c r="L9" s="19"/>
    </row>
    <row r="10" spans="1:12" x14ac:dyDescent="0.45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77</v>
      </c>
      <c r="L10" s="19"/>
    </row>
    <row r="11" spans="1:12" x14ac:dyDescent="0.45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78</v>
      </c>
      <c r="L11" s="19"/>
    </row>
    <row r="12" spans="1:12" x14ac:dyDescent="0.45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79</v>
      </c>
      <c r="L12" s="19"/>
    </row>
    <row r="13" spans="1:12" x14ac:dyDescent="0.45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9A60F8-E17A-4040-9F5A-9546630000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E6A4BA-F386-4DF4-9C1E-5FC1525CA7B8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2fd442da-66a9-4fa6-ba31-eb0d54ad138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8F1CF41-2A25-4C6E-91D9-50123C0326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社員工数</vt:lpstr>
      <vt:lpstr>外注費・経費</vt:lpstr>
      <vt:lpstr>リストマスタ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野村康二</cp:lastModifiedBy>
  <cp:revision/>
  <dcterms:created xsi:type="dcterms:W3CDTF">2021-04-22T09:34:49Z</dcterms:created>
  <dcterms:modified xsi:type="dcterms:W3CDTF">2025-10-01T03:13:05Z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