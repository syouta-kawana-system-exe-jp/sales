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45" documentId="13_ncr:1_{691ADDC3-AE0A-49E0-A32D-8FEE0169258E}" xr6:coauthVersionLast="47" xr6:coauthVersionMax="47" xr10:uidLastSave="{51DBA9C5-D803-40A5-88AD-BEB08287659F}"/>
  <bookViews>
    <workbookView xWindow="28680" yWindow="-120" windowWidth="29040" windowHeight="1584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<sst xmlns="http://schemas.openxmlformats.org/spreadsheetml/2006/main" count="105" uniqueCount="83">
  <si>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</si>
  <si>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</si>
  <si>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</si>
  <si>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</si>
  <si>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</si>
  <si>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</si>
  <si>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</si>
  <si>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</si>
  <si>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</si>
  <si>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</si>
  <si>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</si>
  <si>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</si>
  <si>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</si>
  <si>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</si>
  <si>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</si>
  <si>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</si>
  <si>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</si>
  <si>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</si>
  <si>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</si>
  <si>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</si>
  <si>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</si>
  <si>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</si>
  <si>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</si>
  <si>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</si>
  <si>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</si>
  <si>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</si>
  <si>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</si>
  <si>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</si>
  <si>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</si>
  <si>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</si>
  <si>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</si>
  <si>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</si>
  <si>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</si>
  <si>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</si>
  <si>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</si>
  <si>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</si>
  <si>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</si>
  <si>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</si>
  <si>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</si>
  <si>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</si>
  <si>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</si>
  <si>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</si>
  <si>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</si>
  <si>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</si>
  <si>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</si>
  <si>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</si>
  <si>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</si>
  <si>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</si>
  <si>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</si>
  <si>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</si>
  <si>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</si>
  <si>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</si>
  <si>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</si>
  <si>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</si>
  <si>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</si>
  <si>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</si>
  <si>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</si>
  <si>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</si>
  <si>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</si>
  <si>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</si>
  <si>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</si>
  <si>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</si>
  <si>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</si>
  <si>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</si>
  <si>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</si>
  <si>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</si>
  <si>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</si>
  <si>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</si>
  <si>
    <t>2026年度2Q</t>
    <phoneticPr fontId="3"/>
  </si>
  <si>
    <t>2026年度3Q</t>
  </si>
  <si>
    <t>2026年度3Q</t>
    <phoneticPr fontId="3"/>
  </si>
  <si>
    <t>2026年度4Q</t>
  </si>
  <si>
    <t>2026年度4Q</t>
    <phoneticPr fontId="3"/>
  </si>
  <si>
    <t>2027年度1Q</t>
  </si>
  <si>
    <t>2027年度1Q</t>
    <phoneticPr fontId="3"/>
  </si>
  <si>
    <t>2025年度1Q</t>
  </si>
  <si>
    <t>2025年度2Q</t>
  </si>
  <si>
    <t>2025年度3Q</t>
  </si>
  <si>
    <t>2025年度4Q</t>
  </si>
  <si>
    <t>2026年度1Q</t>
  </si>
  <si>
    <t>矢野幸代</t>
    <rPh sb="0" eb="2">
      <t>ヤノ</t>
    </rPh>
    <rPh sb="2" eb="4">
      <t>ユキヨ</t>
    </rPh>
    <phoneticPr fontId="3"/>
  </si>
  <si>
    <t>石井徹</t>
    <rPh sb="0" eb="2">
      <t>イシイ</t>
    </rPh>
    <rPh sb="2" eb="3">
      <t>トオル</t>
    </rPh>
    <phoneticPr fontId="3"/>
  </si>
  <si>
    <t>木村俊介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</si>
</sst>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/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60</v>
      </c>
      <c r="D1" s="3" t="s">
        <v>61</v>
      </c>
    </row>
    <row r="2" spans="1:32" ht="5.25" customHeight="1" x14ac:dyDescent="0.55000000000000004">
      <c r="A2" s="1"/>
    </row>
    <row r="3" spans="1:32" x14ac:dyDescent="0.55000000000000004">
      <c r="A3" s="4" t="s">
        <v>0</v>
      </c>
      <c r="B3" s="25"/>
      <c r="C3" s="26"/>
      <c r="D3" s="5" t="s">
        <v>1</v>
      </c>
      <c r="E3" s="25"/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5" t="s">
        <v>2</v>
      </c>
      <c r="B4" s="25" t="s">
        <v>3</v>
      </c>
      <c r="C4" s="26"/>
      <c r="D4" s="5" t="s">
        <v>4</v>
      </c>
      <c r="E4" s="28"/>
      <c r="F4" s="28"/>
      <c r="G4" s="5" t="s">
        <v>5</v>
      </c>
      <c r="H4" s="29">
        <f>AF59</f>
        <v>156</v>
      </c>
      <c r="I4" s="29"/>
      <c r="J4" s="5" t="s">
        <v>6</v>
      </c>
      <c r="K4" s="30">
        <f>外注費・経費!K4</f>
        <v>2025000</v>
      </c>
      <c r="L4" s="30"/>
      <c r="M4" s="5" t="s">
        <v>7</v>
      </c>
      <c r="N4" s="30">
        <v>0</v>
      </c>
      <c r="O4" s="30"/>
    </row>
    <row r="5" spans="1:32" ht="6" customHeight="1" x14ac:dyDescent="0.55000000000000004"/>
    <row r="6" spans="1:32" s="6" customFormat="1" x14ac:dyDescent="0.55000000000000004">
      <c r="A6" s="40" t="s">
        <v>8</v>
      </c>
      <c r="B6" s="43" t="s">
        <v>9</v>
      </c>
      <c r="C6" s="43" t="s">
        <v>10</v>
      </c>
      <c r="D6" s="46" t="s">
        <v>11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12</v>
      </c>
    </row>
    <row r="7" spans="1:32" s="6" customFormat="1" ht="12" customHeight="1" x14ac:dyDescent="0.55000000000000004">
      <c r="A7" s="41"/>
      <c r="B7" s="44"/>
      <c r="C7" s="44"/>
      <c r="D7" s="34" t="s">
        <v>62</v>
      </c>
      <c r="E7" s="35"/>
      <c r="F7" s="36"/>
      <c r="G7" s="34" t="s">
        <v>63</v>
      </c>
      <c r="H7" s="35"/>
      <c r="I7" s="36"/>
      <c r="J7" s="34" t="s">
        <v>64</v>
      </c>
      <c r="K7" s="35"/>
      <c r="L7" s="36"/>
      <c r="M7" s="34" t="s">
        <v>65</v>
      </c>
      <c r="N7" s="35"/>
      <c r="O7" s="36"/>
      <c r="P7" s="34" t="s">
        <v>66</v>
      </c>
      <c r="Q7" s="35"/>
      <c r="R7" s="36"/>
      <c r="S7" s="34" t="s">
        <v>68</v>
      </c>
      <c r="T7" s="35"/>
      <c r="U7" s="36"/>
      <c r="V7" s="34" t="s">
        <v>70</v>
      </c>
      <c r="W7" s="35"/>
      <c r="X7" s="36"/>
      <c r="Y7" s="34" t="s">
        <v>72</v>
      </c>
      <c r="Z7" s="35"/>
      <c r="AA7" s="36"/>
      <c r="AB7" s="34" t="s">
        <v>74</v>
      </c>
      <c r="AC7" s="35"/>
      <c r="AD7" s="36"/>
      <c r="AE7" s="47" t="s">
        <v>13</v>
      </c>
      <c r="AF7" s="32"/>
    </row>
    <row r="8" spans="1:32" s="6" customFormat="1" x14ac:dyDescent="0.55000000000000004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55000000000000004">
      <c r="A9" s="21" t="s">
        <v>14</v>
      </c>
      <c r="B9" s="8">
        <v>1081</v>
      </c>
      <c r="C9" s="8" t="s">
        <v>80</v>
      </c>
      <c r="D9" s="22"/>
      <c r="E9" s="22"/>
      <c r="F9" s="22">
        <v>20</v>
      </c>
      <c r="G9" s="22">
        <v>20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40</v>
      </c>
    </row>
    <row r="10" spans="1:32" x14ac:dyDescent="0.55000000000000004">
      <c r="A10" s="8" t="s">
        <v>14</v>
      </c>
      <c r="B10" s="8">
        <v>397</v>
      </c>
      <c r="C10" s="8" t="s">
        <v>81</v>
      </c>
      <c r="D10" s="22"/>
      <c r="E10" s="22"/>
      <c r="F10" s="22">
        <v>18</v>
      </c>
      <c r="G10" s="22">
        <v>18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36</v>
      </c>
    </row>
    <row r="11" spans="1:32" x14ac:dyDescent="0.5500000000000000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55000000000000004">
      <c r="A12" s="21" t="s">
        <v>14</v>
      </c>
      <c r="B12" s="8">
        <v>1081</v>
      </c>
      <c r="C12" s="8" t="s">
        <v>80</v>
      </c>
      <c r="D12" s="22"/>
      <c r="E12" s="22"/>
      <c r="F12" s="22"/>
      <c r="G12" s="22"/>
      <c r="H12" s="22">
        <v>40</v>
      </c>
      <c r="I12" s="22">
        <v>20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60</v>
      </c>
    </row>
    <row r="13" spans="1:32" x14ac:dyDescent="0.55000000000000004">
      <c r="A13" s="8" t="s">
        <v>14</v>
      </c>
      <c r="B13" s="8">
        <v>397</v>
      </c>
      <c r="C13" s="8" t="s">
        <v>81</v>
      </c>
      <c r="D13" s="22"/>
      <c r="E13" s="22"/>
      <c r="F13" s="22"/>
      <c r="G13" s="22"/>
      <c r="H13" s="22">
        <v>12</v>
      </c>
      <c r="I13" s="22">
        <v>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20</v>
      </c>
    </row>
    <row r="14" spans="1:32" x14ac:dyDescent="0.5500000000000000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37" t="s">
        <v>12</v>
      </c>
      <c r="B59" s="38"/>
      <c r="C59" s="39"/>
      <c r="D59" s="23">
        <f>SUM(D9:D58)</f>
        <v>0</v>
      </c>
      <c r="E59" s="23">
        <f t="shared" ref="E59:AF59" si="1">SUM(E9:E58)</f>
        <v>0</v>
      </c>
      <c r="F59" s="23">
        <f t="shared" si="1"/>
        <v>38</v>
      </c>
      <c r="G59" s="23">
        <f t="shared" si="1"/>
        <v>38</v>
      </c>
      <c r="H59" s="23">
        <f t="shared" si="1"/>
        <v>52</v>
      </c>
      <c r="I59" s="23">
        <f t="shared" si="1"/>
        <v>28</v>
      </c>
      <c r="J59" s="23">
        <f t="shared" si="1"/>
        <v>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156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/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15</v>
      </c>
    </row>
    <row r="2" spans="1:32" ht="5.25" customHeight="1" x14ac:dyDescent="0.55000000000000004">
      <c r="A2" s="1"/>
    </row>
    <row r="3" spans="1:32" x14ac:dyDescent="0.55000000000000004">
      <c r="A3" s="9" t="s">
        <v>0</v>
      </c>
      <c r="B3" s="25"/>
      <c r="C3" s="26"/>
      <c r="D3" s="10" t="s">
        <v>1</v>
      </c>
      <c r="E3" s="25">
        <f>社員工数!E3</f>
        <v>0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9" t="s">
        <v>2</v>
      </c>
      <c r="B4" s="25" t="s">
        <v>16</v>
      </c>
      <c r="C4" s="26"/>
      <c r="D4" s="11" t="s">
        <v>4</v>
      </c>
      <c r="E4" s="48">
        <f>社員工数!E4</f>
        <v>0</v>
      </c>
      <c r="F4" s="48"/>
      <c r="G4" s="11" t="s">
        <v>5</v>
      </c>
      <c r="H4" s="29">
        <f>社員工数!H4</f>
        <v>156</v>
      </c>
      <c r="I4" s="29"/>
      <c r="J4" s="11" t="s">
        <v>6</v>
      </c>
      <c r="K4" s="49">
        <f>AF59</f>
        <v>2025000</v>
      </c>
      <c r="L4" s="49"/>
      <c r="M4" s="11" t="s">
        <v>7</v>
      </c>
      <c r="N4" s="49">
        <f>SUMIF(A:A,"経費",AF:AF)</f>
        <v>0</v>
      </c>
      <c r="O4" s="49"/>
    </row>
    <row r="5" spans="1:32" ht="6" customHeight="1" x14ac:dyDescent="0.55000000000000004"/>
    <row r="6" spans="1:32" s="6" customFormat="1" x14ac:dyDescent="0.55000000000000004">
      <c r="A6" s="56" t="s">
        <v>8</v>
      </c>
      <c r="B6" s="59" t="s">
        <v>17</v>
      </c>
      <c r="C6" s="59" t="s">
        <v>10</v>
      </c>
      <c r="D6" s="62" t="s">
        <v>18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12</v>
      </c>
    </row>
    <row r="7" spans="1:32" s="6" customFormat="1" ht="12" customHeight="1" x14ac:dyDescent="0.55000000000000004">
      <c r="A7" s="57"/>
      <c r="B7" s="60"/>
      <c r="C7" s="60"/>
      <c r="D7" s="53" t="s">
        <v>75</v>
      </c>
      <c r="E7" s="54"/>
      <c r="F7" s="55"/>
      <c r="G7" s="53" t="s">
        <v>76</v>
      </c>
      <c r="H7" s="54"/>
      <c r="I7" s="55"/>
      <c r="J7" s="53" t="s">
        <v>77</v>
      </c>
      <c r="K7" s="54"/>
      <c r="L7" s="55"/>
      <c r="M7" s="53" t="s">
        <v>78</v>
      </c>
      <c r="N7" s="54"/>
      <c r="O7" s="55"/>
      <c r="P7" s="53" t="s">
        <v>79</v>
      </c>
      <c r="Q7" s="54"/>
      <c r="R7" s="55"/>
      <c r="S7" s="53" t="s">
        <v>67</v>
      </c>
      <c r="T7" s="54"/>
      <c r="U7" s="55"/>
      <c r="V7" s="53" t="s">
        <v>69</v>
      </c>
      <c r="W7" s="54"/>
      <c r="X7" s="55"/>
      <c r="Y7" s="53" t="s">
        <v>71</v>
      </c>
      <c r="Z7" s="54"/>
      <c r="AA7" s="55"/>
      <c r="AB7" s="53" t="s">
        <v>73</v>
      </c>
      <c r="AC7" s="54"/>
      <c r="AD7" s="55"/>
      <c r="AE7" s="63" t="s">
        <v>13</v>
      </c>
      <c r="AF7" s="51"/>
    </row>
    <row r="8" spans="1:32" s="6" customFormat="1" x14ac:dyDescent="0.55000000000000004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55000000000000004">
      <c r="A9" s="13" t="s">
        <v>19</v>
      </c>
      <c r="B9" s="14">
        <v>5284</v>
      </c>
      <c r="C9" s="13" t="s">
        <v>82</v>
      </c>
      <c r="D9" s="13"/>
      <c r="E9" s="13"/>
      <c r="F9" s="13">
        <v>450000</v>
      </c>
      <c r="G9" s="13">
        <v>450000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900000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 t="s">
        <v>19</v>
      </c>
      <c r="B11" s="14">
        <v>5284</v>
      </c>
      <c r="C11" s="13" t="s">
        <v>82</v>
      </c>
      <c r="D11" s="13"/>
      <c r="E11" s="13"/>
      <c r="F11" s="13"/>
      <c r="G11" s="13"/>
      <c r="H11" s="13">
        <v>900000</v>
      </c>
      <c r="I11" s="13">
        <v>225000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1125000</v>
      </c>
    </row>
    <row r="12" spans="1:32" x14ac:dyDescent="0.5500000000000000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37" t="s">
        <v>12</v>
      </c>
      <c r="B59" s="38"/>
      <c r="C59" s="39"/>
      <c r="D59" s="15">
        <f>SUM(D9:D58)</f>
        <v>0</v>
      </c>
      <c r="E59" s="15">
        <f t="shared" ref="E59:AF59" si="1">SUM(E9:E58)</f>
        <v>0</v>
      </c>
      <c r="F59" s="15">
        <f t="shared" si="1"/>
        <v>450000</v>
      </c>
      <c r="G59" s="15">
        <f t="shared" si="1"/>
        <v>450000</v>
      </c>
      <c r="H59" s="15">
        <f t="shared" si="1"/>
        <v>900000</v>
      </c>
      <c r="I59" s="15">
        <f t="shared" si="1"/>
        <v>225000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2025000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33203125" style="18" bestFit="1" customWidth="1"/>
    <col min="7" max="7" width="11.08203125" style="18" customWidth="1"/>
    <col min="8" max="8" width="5.83203125" style="18" customWidth="1"/>
    <col min="9" max="9" width="11.8320312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20</v>
      </c>
      <c r="B1" s="17" t="s">
        <v>21</v>
      </c>
      <c r="C1" s="66" t="s">
        <v>22</v>
      </c>
      <c r="D1" s="66" t="s">
        <v>23</v>
      </c>
      <c r="E1" s="66" t="s">
        <v>24</v>
      </c>
      <c r="F1" s="66" t="s">
        <v>25</v>
      </c>
      <c r="G1" s="66" t="s">
        <v>26</v>
      </c>
      <c r="H1" s="64" t="s">
        <v>27</v>
      </c>
      <c r="I1" s="65"/>
      <c r="J1" s="66" t="s">
        <v>28</v>
      </c>
      <c r="K1" s="66" t="s">
        <v>29</v>
      </c>
      <c r="L1" s="66" t="s">
        <v>30</v>
      </c>
    </row>
    <row r="2" spans="1:12" x14ac:dyDescent="0.55000000000000004">
      <c r="A2" s="66"/>
      <c r="B2" s="17" t="s">
        <v>31</v>
      </c>
      <c r="C2" s="66"/>
      <c r="D2" s="66"/>
      <c r="E2" s="66"/>
      <c r="F2" s="66"/>
      <c r="G2" s="66"/>
      <c r="H2" s="17" t="s">
        <v>20</v>
      </c>
      <c r="I2" s="17" t="s">
        <v>32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>
        <v>1</v>
      </c>
      <c r="I3" s="19" t="s">
        <v>38</v>
      </c>
      <c r="J3" s="19" t="s">
        <v>39</v>
      </c>
      <c r="K3" s="19" t="s">
        <v>14</v>
      </c>
      <c r="L3" s="19" t="s">
        <v>40</v>
      </c>
    </row>
    <row r="4" spans="1:12" x14ac:dyDescent="0.55000000000000004">
      <c r="A4" s="19">
        <v>2</v>
      </c>
      <c r="B4" s="20"/>
      <c r="C4" s="19"/>
      <c r="D4" s="19"/>
      <c r="E4" s="19" t="s">
        <v>41</v>
      </c>
      <c r="F4" s="19" t="s">
        <v>42</v>
      </c>
      <c r="G4" s="19" t="s">
        <v>43</v>
      </c>
      <c r="H4" s="19">
        <v>2</v>
      </c>
      <c r="I4" s="19" t="s">
        <v>44</v>
      </c>
      <c r="J4" s="19" t="s">
        <v>45</v>
      </c>
      <c r="K4" s="19" t="s">
        <v>46</v>
      </c>
      <c r="L4" s="19" t="s">
        <v>47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48</v>
      </c>
      <c r="G5" s="19" t="s">
        <v>49</v>
      </c>
      <c r="H5" s="19">
        <v>3</v>
      </c>
      <c r="I5" s="19" t="s">
        <v>50</v>
      </c>
      <c r="J5" s="19" t="s">
        <v>51</v>
      </c>
      <c r="K5" s="19" t="s">
        <v>52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53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54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55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57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58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59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5AF7BC-07D7-44B2-8DED-1CCFA021F59E}">
  <ds:schemaRefs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2fd442da-66a9-4fa6-ba31-eb0d54ad1381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48922A9-2E76-436A-9158-119B5C4564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93F651-FC93-4B5C-83C5-1917C59200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石井徹</cp:lastModifiedBy>
  <cp:revision/>
  <dcterms:created xsi:type="dcterms:W3CDTF">2021-04-22T09:34:49Z</dcterms:created>
  <dcterms:modified xsi:type="dcterms:W3CDTF">2025-06-12T06:44:29Z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