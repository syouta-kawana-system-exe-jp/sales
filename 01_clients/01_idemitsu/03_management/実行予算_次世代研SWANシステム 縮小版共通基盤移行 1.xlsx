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29" documentId="13_ncr:1_{66F080AB-3DC0-4A4E-A612-4AEEB9CDF7CD}" xr6:coauthVersionLast="47" xr6:coauthVersionMax="47" xr10:uidLastSave="{1508043B-D424-43C9-A51F-130A4BF66931}"/>
  <bookViews>
    <workbookView xWindow="-120" yWindow="-120" windowWidth="29040" windowHeight="15720" activeTab="2" xr2:uid="{00000000-000D-0000-FFFF-FFFF00000000}"/>
  </bookViews>
  <sheets>
    <sheet name="社員工数" sheetId="1" r:id="rId1"/>
    <sheet name="外注費・経費" sheetId="2" r:id="rId2"/>
    <sheet name="外注費・経費 (2)" sheetId="4" r:id="rId3"/>
    <sheet name="リストマスタ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J9" i="4"/>
  <c r="E3" i="4"/>
  <c r="L12" i="4"/>
  <c r="AF12" i="4" s="1"/>
  <c r="K12" i="4"/>
  <c r="L11" i="4"/>
  <c r="K11" i="4"/>
  <c r="J11" i="4"/>
  <c r="L10" i="4"/>
  <c r="K10" i="4"/>
  <c r="J10" i="4"/>
  <c r="L9" i="4"/>
  <c r="K9" i="4"/>
  <c r="K59" i="4" s="1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H59" i="4"/>
  <c r="G59" i="4"/>
  <c r="F59" i="4"/>
  <c r="E59" i="4"/>
  <c r="D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1" i="4"/>
  <c r="N4" i="4"/>
  <c r="H4" i="4"/>
  <c r="E4" i="4"/>
  <c r="L59" i="4" l="1"/>
  <c r="AF10" i="4"/>
  <c r="J59" i="4"/>
  <c r="AF9" i="4"/>
  <c r="I59" i="4"/>
  <c r="AF59" i="4" l="1"/>
  <c r="K4" i="4" s="1"/>
  <c r="L9" i="2"/>
  <c r="K9" i="2"/>
  <c r="J9" i="2"/>
  <c r="I9" i="2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<sst xmlns="http://schemas.openxmlformats.org/spreadsheetml/2006/main" count="137" uniqueCount="86">
  <si>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</si>
  <si>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</si>
  <si>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</si>
  <si>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</si>
  <si>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</si>
  <si>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</si>
  <si>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</si>
  <si>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</si>
  <si>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</si>
  <si>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</si>
  <si>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</si>
  <si>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</si>
  <si>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</si>
  <si>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</si>
  <si>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</si>
  <si>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</si>
  <si>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</si>
  <si>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</si>
  <si>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</si>
  <si>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</si>
  <si>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</si>
  <si>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</si>
  <si>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</si>
  <si>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</si>
  <si>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</si>
  <si>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</si>
  <si>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</si>
  <si>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</si>
  <si>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</si>
  <si>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</si>
  <si>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</si>
  <si>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</si>
  <si>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</si>
  <si>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</si>
  <si>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</si>
  <si>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</si>
  <si>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</si>
  <si>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</si>
  <si>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</si>
  <si>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</si>
  <si>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</si>
  <si>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</si>
  <si>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</si>
  <si>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</si>
  <si>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</si>
  <si>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</si>
  <si>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</si>
  <si>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</si>
  <si>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</si>
  <si>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</si>
  <si>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</si>
  <si>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</si>
  <si>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</si>
  <si>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</si>
  <si>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</si>
  <si>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</si>
  <si>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</si>
  <si>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</si>
  <si>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</si>
  <si>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</si>
  <si>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</si>
  <si>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</si>
  <si>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</si>
  <si>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</si>
  <si>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</si>
  <si>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</si>
  <si>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</si>
  <si>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</si>
  <si>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</si>
  <si>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</si>
  <si>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</si>
  <si>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</si>
  <si>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</si>
  <si>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</si>
  <si>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</si>
  <si>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</si>
  <si>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</si>
  <si>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</si>
  <si>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</si>
  <si>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</si>
  <si>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次世代研SWANシステム 縮小版共通基盤移行</t>
    <phoneticPr fontId="3"/>
  </si>
  <si>
    <t>高木義尚</t>
    <rPh sb="0" eb="2">
      <t>タカギ</t>
    </rPh>
    <rPh sb="2" eb="4">
      <t>ヨシナオ</t>
    </rPh>
    <phoneticPr fontId="3"/>
  </si>
  <si>
    <t>篠塚正裕</t>
    <phoneticPr fontId="3"/>
  </si>
  <si>
    <t>木村清一</t>
    <rPh sb="0" eb="2">
      <t>キムラ</t>
    </rPh>
    <rPh sb="2" eb="4">
      <t>セイイチ</t>
    </rPh>
    <phoneticPr fontId="3"/>
  </si>
  <si>
    <t>王志鵬</t>
    <phoneticPr fontId="3"/>
  </si>
  <si>
    <t>高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</si>
</sst>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30" zoomScaleNormal="130" workbookViewId="0">
      <selection activeCell="I9" sqref="I9"/>
    </sheetView>
  </sheetViews>
  <sheetFormatPr defaultColWidth="8.125" defaultRowHeight="12" x14ac:dyDescent="0.4"/>
  <cols>
    <col min="1" max="1" width="14.625" style="2" customWidth="1"/>
    <col min="2" max="2" width="7.75" style="2" bestFit="1" customWidth="1"/>
    <col min="3" max="3" width="14.625" style="2" customWidth="1"/>
    <col min="4" max="31" width="7" style="2" customWidth="1"/>
    <col min="32" max="32" width="7.75" style="2" customWidth="1"/>
    <col min="33" max="16384" width="8.125" style="2"/>
  </cols>
  <sheetData>
    <row r="1" spans="1:32" ht="19.5" x14ac:dyDescent="0.4">
      <c r="A1" s="1" t="s">
        <v>0</v>
      </c>
      <c r="D1" s="3" t="s">
        <v>1</v>
      </c>
    </row>
    <row r="2" spans="1:32" ht="5.25" customHeight="1" x14ac:dyDescent="0.4">
      <c r="A2" s="1"/>
    </row>
    <row r="3" spans="1:32" x14ac:dyDescent="0.4">
      <c r="A3" s="4" t="s">
        <v>2</v>
      </c>
      <c r="B3" s="42"/>
      <c r="C3" s="43"/>
      <c r="D3" s="5" t="s">
        <v>3</v>
      </c>
      <c r="E3" s="42" t="s">
        <v>80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256</v>
      </c>
      <c r="I4" s="46"/>
      <c r="J4" s="5" t="s">
        <v>8</v>
      </c>
      <c r="K4" s="47">
        <f>外注費・経費!K4</f>
        <v>3818000</v>
      </c>
      <c r="L4" s="47"/>
      <c r="M4" s="5" t="s">
        <v>9</v>
      </c>
      <c r="N4" s="47">
        <v>0</v>
      </c>
      <c r="O4" s="47"/>
    </row>
    <row r="5" spans="1:32" ht="6" customHeight="1" x14ac:dyDescent="0.4"/>
    <row r="6" spans="1:32" s="6" customFormat="1" x14ac:dyDescent="0.4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4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4">
      <c r="A9" s="21" t="s">
        <v>25</v>
      </c>
      <c r="B9" s="8">
        <v>638</v>
      </c>
      <c r="C9" s="8" t="s">
        <v>81</v>
      </c>
      <c r="D9" s="22"/>
      <c r="E9" s="22"/>
      <c r="F9" s="22"/>
      <c r="G9" s="22"/>
      <c r="H9" s="22"/>
      <c r="I9" s="22">
        <v>64</v>
      </c>
      <c r="J9" s="22">
        <v>64</v>
      </c>
      <c r="K9" s="22">
        <v>64</v>
      </c>
      <c r="L9" s="22">
        <v>64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256</v>
      </c>
    </row>
    <row r="10" spans="1:32" x14ac:dyDescent="0.4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64</v>
      </c>
      <c r="J59" s="23">
        <f t="shared" si="1"/>
        <v>64</v>
      </c>
      <c r="K59" s="23">
        <f t="shared" si="1"/>
        <v>64</v>
      </c>
      <c r="L59" s="23">
        <f t="shared" si="1"/>
        <v>64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256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A10:A58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opLeftCell="C1" zoomScale="130" zoomScaleNormal="130" workbookViewId="0">
      <selection activeCell="L12" activeCellId="1" sqref="J11:K11 L12"/>
    </sheetView>
  </sheetViews>
  <sheetFormatPr defaultColWidth="8.125" defaultRowHeight="12" x14ac:dyDescent="0.4"/>
  <cols>
    <col min="1" max="1" width="14.625" style="2" customWidth="1"/>
    <col min="2" max="2" width="7.75" style="2" customWidth="1"/>
    <col min="3" max="3" width="14.625" style="2" customWidth="1"/>
    <col min="4" max="31" width="8.25" style="2" customWidth="1"/>
    <col min="32" max="32" width="11.125" style="2" customWidth="1"/>
    <col min="33" max="16384" width="8.125" style="2"/>
  </cols>
  <sheetData>
    <row r="1" spans="1:32" ht="19.5" x14ac:dyDescent="0.4">
      <c r="A1" s="1" t="s">
        <v>26</v>
      </c>
    </row>
    <row r="2" spans="1:32" ht="5.25" customHeight="1" x14ac:dyDescent="0.4">
      <c r="A2" s="1"/>
    </row>
    <row r="3" spans="1:32" x14ac:dyDescent="0.4">
      <c r="A3" s="9" t="s">
        <v>2</v>
      </c>
      <c r="B3" s="42"/>
      <c r="C3" s="43"/>
      <c r="D3" s="10" t="s">
        <v>3</v>
      </c>
      <c r="E3" s="42" t="str">
        <f>社員工数!E3</f>
        <v>次世代研SWANシステム 縮小版共通基盤移行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256</v>
      </c>
      <c r="I4" s="46"/>
      <c r="J4" s="11" t="s">
        <v>8</v>
      </c>
      <c r="K4" s="63">
        <f>AF59</f>
        <v>3818000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"/>
    <row r="6" spans="1:32" s="6" customFormat="1" x14ac:dyDescent="0.4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">
      <c r="A9" s="13" t="s">
        <v>39</v>
      </c>
      <c r="B9" s="14"/>
      <c r="C9" s="13" t="s">
        <v>82</v>
      </c>
      <c r="D9" s="13"/>
      <c r="E9" s="13"/>
      <c r="F9" s="13"/>
      <c r="G9" s="13"/>
      <c r="H9" s="13"/>
      <c r="I9" s="13">
        <f>810000*0.2</f>
        <v>162000</v>
      </c>
      <c r="J9" s="13">
        <f>810000*0.2</f>
        <v>162000</v>
      </c>
      <c r="K9" s="13">
        <f t="shared" ref="K9:L9" si="0">810000*0.2</f>
        <v>162000</v>
      </c>
      <c r="L9" s="13">
        <f t="shared" si="0"/>
        <v>162000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648000</v>
      </c>
    </row>
    <row r="10" spans="1:32" x14ac:dyDescent="0.4">
      <c r="A10" s="13" t="s">
        <v>39</v>
      </c>
      <c r="B10" s="14"/>
      <c r="C10" s="13" t="s">
        <v>83</v>
      </c>
      <c r="D10" s="13"/>
      <c r="E10" s="13"/>
      <c r="F10" s="13"/>
      <c r="G10" s="13"/>
      <c r="H10" s="13"/>
      <c r="I10" s="13"/>
      <c r="J10" s="13">
        <v>85000</v>
      </c>
      <c r="K10" s="13">
        <v>42500</v>
      </c>
      <c r="L10" s="13">
        <v>42500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1">SUM(D10:AE10)</f>
        <v>170000</v>
      </c>
    </row>
    <row r="11" spans="1:32" x14ac:dyDescent="0.4">
      <c r="A11" s="13" t="s">
        <v>39</v>
      </c>
      <c r="B11" s="14"/>
      <c r="C11" s="13" t="s">
        <v>84</v>
      </c>
      <c r="D11" s="13"/>
      <c r="E11" s="13"/>
      <c r="F11" s="13"/>
      <c r="G11" s="13"/>
      <c r="H11" s="13"/>
      <c r="I11" s="13"/>
      <c r="J11" s="13">
        <v>750000</v>
      </c>
      <c r="K11" s="13">
        <v>750000</v>
      </c>
      <c r="L11" s="13">
        <v>375000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1"/>
        <v>1875000</v>
      </c>
    </row>
    <row r="12" spans="1:32" x14ac:dyDescent="0.4">
      <c r="A12" s="13" t="s">
        <v>39</v>
      </c>
      <c r="B12" s="14"/>
      <c r="C12" s="13" t="s">
        <v>85</v>
      </c>
      <c r="D12" s="13"/>
      <c r="E12" s="13"/>
      <c r="F12" s="13"/>
      <c r="G12" s="13"/>
      <c r="H12" s="13"/>
      <c r="I12" s="13"/>
      <c r="J12" s="13"/>
      <c r="K12" s="13">
        <v>375000</v>
      </c>
      <c r="L12" s="13">
        <v>750000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1"/>
        <v>1125000</v>
      </c>
    </row>
    <row r="13" spans="1:32" x14ac:dyDescent="0.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1"/>
        <v>0</v>
      </c>
    </row>
    <row r="14" spans="1:32" x14ac:dyDescent="0.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1"/>
        <v>0</v>
      </c>
    </row>
    <row r="15" spans="1:32" x14ac:dyDescent="0.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1"/>
        <v>0</v>
      </c>
    </row>
    <row r="16" spans="1:32" x14ac:dyDescent="0.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1"/>
        <v>0</v>
      </c>
    </row>
    <row r="17" spans="1:32" x14ac:dyDescent="0.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1"/>
        <v>0</v>
      </c>
    </row>
    <row r="18" spans="1:32" x14ac:dyDescent="0.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1"/>
        <v>0</v>
      </c>
    </row>
    <row r="19" spans="1:32" x14ac:dyDescent="0.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1"/>
        <v>0</v>
      </c>
    </row>
    <row r="20" spans="1:32" x14ac:dyDescent="0.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1"/>
        <v>0</v>
      </c>
    </row>
    <row r="21" spans="1:32" x14ac:dyDescent="0.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1"/>
        <v>0</v>
      </c>
    </row>
    <row r="22" spans="1:32" x14ac:dyDescent="0.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1"/>
        <v>0</v>
      </c>
    </row>
    <row r="23" spans="1:32" x14ac:dyDescent="0.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1"/>
        <v>0</v>
      </c>
    </row>
    <row r="24" spans="1:32" x14ac:dyDescent="0.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1"/>
        <v>0</v>
      </c>
    </row>
    <row r="25" spans="1:32" x14ac:dyDescent="0.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1"/>
        <v>0</v>
      </c>
    </row>
    <row r="26" spans="1:32" x14ac:dyDescent="0.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1"/>
        <v>0</v>
      </c>
    </row>
    <row r="27" spans="1:32" x14ac:dyDescent="0.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1"/>
        <v>0</v>
      </c>
    </row>
    <row r="28" spans="1:32" x14ac:dyDescent="0.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1"/>
        <v>0</v>
      </c>
    </row>
    <row r="29" spans="1:32" x14ac:dyDescent="0.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1"/>
        <v>0</v>
      </c>
    </row>
    <row r="30" spans="1:32" x14ac:dyDescent="0.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1"/>
        <v>0</v>
      </c>
    </row>
    <row r="31" spans="1:32" x14ac:dyDescent="0.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1"/>
        <v>0</v>
      </c>
    </row>
    <row r="32" spans="1:32" x14ac:dyDescent="0.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1"/>
        <v>0</v>
      </c>
    </row>
    <row r="33" spans="1:32" x14ac:dyDescent="0.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1"/>
        <v>0</v>
      </c>
    </row>
    <row r="34" spans="1:32" x14ac:dyDescent="0.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1"/>
        <v>0</v>
      </c>
    </row>
    <row r="35" spans="1:32" x14ac:dyDescent="0.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1"/>
        <v>0</v>
      </c>
    </row>
    <row r="36" spans="1:32" x14ac:dyDescent="0.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1"/>
        <v>0</v>
      </c>
    </row>
    <row r="37" spans="1:32" x14ac:dyDescent="0.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1"/>
        <v>0</v>
      </c>
    </row>
    <row r="38" spans="1:32" x14ac:dyDescent="0.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1"/>
        <v>0</v>
      </c>
    </row>
    <row r="39" spans="1:32" x14ac:dyDescent="0.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1"/>
        <v>0</v>
      </c>
    </row>
    <row r="40" spans="1:32" x14ac:dyDescent="0.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1"/>
        <v>0</v>
      </c>
    </row>
    <row r="41" spans="1:32" x14ac:dyDescent="0.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1"/>
        <v>0</v>
      </c>
    </row>
    <row r="42" spans="1:32" x14ac:dyDescent="0.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1"/>
        <v>0</v>
      </c>
    </row>
    <row r="43" spans="1:32" x14ac:dyDescent="0.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1"/>
        <v>0</v>
      </c>
    </row>
    <row r="44" spans="1:32" x14ac:dyDescent="0.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1"/>
        <v>0</v>
      </c>
    </row>
    <row r="45" spans="1:32" x14ac:dyDescent="0.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1"/>
        <v>0</v>
      </c>
    </row>
    <row r="46" spans="1:32" x14ac:dyDescent="0.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1"/>
        <v>0</v>
      </c>
    </row>
    <row r="47" spans="1:32" x14ac:dyDescent="0.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1"/>
        <v>0</v>
      </c>
    </row>
    <row r="48" spans="1:32" x14ac:dyDescent="0.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1"/>
        <v>0</v>
      </c>
    </row>
    <row r="49" spans="1:32" x14ac:dyDescent="0.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1"/>
        <v>0</v>
      </c>
    </row>
    <row r="50" spans="1:32" x14ac:dyDescent="0.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1"/>
        <v>0</v>
      </c>
    </row>
    <row r="51" spans="1:32" x14ac:dyDescent="0.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1"/>
        <v>0</v>
      </c>
    </row>
    <row r="52" spans="1:32" x14ac:dyDescent="0.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1"/>
        <v>0</v>
      </c>
    </row>
    <row r="53" spans="1:32" x14ac:dyDescent="0.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1"/>
        <v>0</v>
      </c>
    </row>
    <row r="54" spans="1:32" x14ac:dyDescent="0.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1"/>
        <v>0</v>
      </c>
    </row>
    <row r="55" spans="1:32" x14ac:dyDescent="0.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1"/>
        <v>0</v>
      </c>
    </row>
    <row r="56" spans="1:32" x14ac:dyDescent="0.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1"/>
        <v>0</v>
      </c>
    </row>
    <row r="57" spans="1:32" x14ac:dyDescent="0.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1"/>
        <v>0</v>
      </c>
    </row>
    <row r="58" spans="1:32" x14ac:dyDescent="0.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1"/>
        <v>0</v>
      </c>
    </row>
    <row r="59" spans="1:32" x14ac:dyDescent="0.4">
      <c r="A59" s="25" t="s">
        <v>14</v>
      </c>
      <c r="B59" s="26"/>
      <c r="C59" s="27"/>
      <c r="D59" s="15">
        <f>SUM(D9:D58)</f>
        <v>0</v>
      </c>
      <c r="E59" s="15">
        <f t="shared" ref="E59:AF59" si="2">SUM(E9:E58)</f>
        <v>0</v>
      </c>
      <c r="F59" s="15">
        <f t="shared" si="2"/>
        <v>0</v>
      </c>
      <c r="G59" s="15">
        <f t="shared" si="2"/>
        <v>0</v>
      </c>
      <c r="H59" s="15">
        <f t="shared" si="2"/>
        <v>0</v>
      </c>
      <c r="I59" s="15">
        <f t="shared" si="2"/>
        <v>162000</v>
      </c>
      <c r="J59" s="15">
        <f t="shared" si="2"/>
        <v>997000</v>
      </c>
      <c r="K59" s="15">
        <f t="shared" si="2"/>
        <v>1329500</v>
      </c>
      <c r="L59" s="15">
        <f t="shared" si="2"/>
        <v>1329500</v>
      </c>
      <c r="M59" s="15">
        <f t="shared" si="2"/>
        <v>0</v>
      </c>
      <c r="N59" s="15">
        <f t="shared" si="2"/>
        <v>0</v>
      </c>
      <c r="O59" s="15">
        <f t="shared" si="2"/>
        <v>0</v>
      </c>
      <c r="P59" s="15">
        <f t="shared" si="2"/>
        <v>0</v>
      </c>
      <c r="Q59" s="15">
        <f t="shared" si="2"/>
        <v>0</v>
      </c>
      <c r="R59" s="15">
        <f t="shared" si="2"/>
        <v>0</v>
      </c>
      <c r="S59" s="15">
        <f t="shared" si="2"/>
        <v>0</v>
      </c>
      <c r="T59" s="15">
        <f t="shared" si="2"/>
        <v>0</v>
      </c>
      <c r="U59" s="15">
        <f t="shared" si="2"/>
        <v>0</v>
      </c>
      <c r="V59" s="15">
        <f t="shared" si="2"/>
        <v>0</v>
      </c>
      <c r="W59" s="15">
        <f t="shared" si="2"/>
        <v>0</v>
      </c>
      <c r="X59" s="15">
        <f t="shared" si="2"/>
        <v>0</v>
      </c>
      <c r="Y59" s="15">
        <f t="shared" si="2"/>
        <v>0</v>
      </c>
      <c r="Z59" s="15">
        <f t="shared" si="2"/>
        <v>0</v>
      </c>
      <c r="AA59" s="15">
        <f t="shared" si="2"/>
        <v>0</v>
      </c>
      <c r="AB59" s="15">
        <f t="shared" si="2"/>
        <v>0</v>
      </c>
      <c r="AC59" s="15">
        <f t="shared" si="2"/>
        <v>0</v>
      </c>
      <c r="AD59" s="15">
        <f t="shared" si="2"/>
        <v>0</v>
      </c>
      <c r="AE59" s="15">
        <f t="shared" si="2"/>
        <v>0</v>
      </c>
      <c r="AF59" s="15">
        <f t="shared" si="2"/>
        <v>3818000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493-FF85-480B-9E12-CE59B977837E}">
  <dimension ref="A1:AF59"/>
  <sheetViews>
    <sheetView tabSelected="1" topLeftCell="C1" zoomScale="130" zoomScaleNormal="130" workbookViewId="0">
      <selection activeCell="I9" sqref="I9"/>
    </sheetView>
  </sheetViews>
  <sheetFormatPr defaultColWidth="8.125" defaultRowHeight="12" x14ac:dyDescent="0.4"/>
  <cols>
    <col min="1" max="1" width="14.625" style="2" customWidth="1"/>
    <col min="2" max="2" width="7.75" style="2" customWidth="1"/>
    <col min="3" max="3" width="14.625" style="2" customWidth="1"/>
    <col min="4" max="31" width="8.25" style="2" customWidth="1"/>
    <col min="32" max="32" width="11.125" style="2" customWidth="1"/>
    <col min="33" max="16384" width="8.125" style="2"/>
  </cols>
  <sheetData>
    <row r="1" spans="1:32" ht="19.5" x14ac:dyDescent="0.4">
      <c r="A1" s="1" t="s">
        <v>26</v>
      </c>
    </row>
    <row r="2" spans="1:32" ht="5.25" customHeight="1" x14ac:dyDescent="0.4">
      <c r="A2" s="1"/>
    </row>
    <row r="3" spans="1:32" x14ac:dyDescent="0.4">
      <c r="A3" s="9" t="s">
        <v>2</v>
      </c>
      <c r="B3" s="42"/>
      <c r="C3" s="43"/>
      <c r="D3" s="10" t="s">
        <v>3</v>
      </c>
      <c r="E3" s="42" t="str">
        <f>社員工数!E3</f>
        <v>次世代研SWANシステム 縮小版共通基盤移行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256</v>
      </c>
      <c r="I4" s="46"/>
      <c r="J4" s="11" t="s">
        <v>8</v>
      </c>
      <c r="K4" s="63">
        <f>AF59</f>
        <v>4428879.9999999991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"/>
    <row r="6" spans="1:32" s="6" customFormat="1" x14ac:dyDescent="0.4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">
      <c r="A9" s="13" t="s">
        <v>39</v>
      </c>
      <c r="B9" s="14"/>
      <c r="C9" s="13" t="s">
        <v>82</v>
      </c>
      <c r="D9" s="13"/>
      <c r="E9" s="13"/>
      <c r="F9" s="13"/>
      <c r="G9" s="13"/>
      <c r="H9" s="13"/>
      <c r="I9" s="13">
        <f>外注費・経費!I9*1.16</f>
        <v>187920</v>
      </c>
      <c r="J9" s="13">
        <f>外注費・経費!J9*1.16</f>
        <v>187920</v>
      </c>
      <c r="K9" s="13">
        <f>外注費・経費!K9*1.16</f>
        <v>187920</v>
      </c>
      <c r="L9" s="13">
        <f>外注費・経費!L9*1.16</f>
        <v>187920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751680</v>
      </c>
    </row>
    <row r="10" spans="1:32" x14ac:dyDescent="0.4">
      <c r="A10" s="13" t="s">
        <v>39</v>
      </c>
      <c r="B10" s="14"/>
      <c r="C10" s="13" t="s">
        <v>83</v>
      </c>
      <c r="D10" s="13"/>
      <c r="E10" s="13"/>
      <c r="F10" s="13"/>
      <c r="G10" s="13"/>
      <c r="H10" s="13"/>
      <c r="I10" s="13"/>
      <c r="J10" s="13">
        <f>外注費・経費!J10*1.16</f>
        <v>98600</v>
      </c>
      <c r="K10" s="13">
        <f>外注費・経費!K10*1.16</f>
        <v>49300</v>
      </c>
      <c r="L10" s="13">
        <f>外注費・経費!L10*1.16</f>
        <v>49300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197200</v>
      </c>
    </row>
    <row r="11" spans="1:32" x14ac:dyDescent="0.4">
      <c r="A11" s="13" t="s">
        <v>39</v>
      </c>
      <c r="B11" s="14"/>
      <c r="C11" s="13" t="s">
        <v>84</v>
      </c>
      <c r="D11" s="13"/>
      <c r="E11" s="13"/>
      <c r="F11" s="13"/>
      <c r="G11" s="13"/>
      <c r="H11" s="13"/>
      <c r="I11" s="13"/>
      <c r="J11" s="13">
        <f>外注費・経費!J11*1.16</f>
        <v>869999.99999999988</v>
      </c>
      <c r="K11" s="13">
        <f>外注費・経費!K11*1.16</f>
        <v>869999.99999999988</v>
      </c>
      <c r="L11" s="13">
        <f>外注費・経費!L11*1.16</f>
        <v>434999.99999999994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2174999.9999999995</v>
      </c>
    </row>
    <row r="12" spans="1:32" x14ac:dyDescent="0.4">
      <c r="A12" s="13" t="s">
        <v>39</v>
      </c>
      <c r="B12" s="14"/>
      <c r="C12" s="13" t="s">
        <v>85</v>
      </c>
      <c r="D12" s="13"/>
      <c r="E12" s="13"/>
      <c r="F12" s="13"/>
      <c r="G12" s="13"/>
      <c r="H12" s="13"/>
      <c r="I12" s="13"/>
      <c r="J12" s="13"/>
      <c r="K12" s="13">
        <f>外注費・経費!K12*1.16</f>
        <v>434999.99999999994</v>
      </c>
      <c r="L12" s="13">
        <f>外注費・経費!L12*1.16</f>
        <v>869999.99999999988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1304999.9999999998</v>
      </c>
    </row>
    <row r="13" spans="1:32" x14ac:dyDescent="0.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187920</v>
      </c>
      <c r="J59" s="15">
        <f t="shared" si="1"/>
        <v>1156520</v>
      </c>
      <c r="K59" s="15">
        <f t="shared" si="1"/>
        <v>1542220</v>
      </c>
      <c r="L59" s="15">
        <f t="shared" si="1"/>
        <v>1542220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4428879.9999999991</v>
      </c>
    </row>
  </sheetData>
  <mergeCells count="23">
    <mergeCell ref="S7:U7"/>
    <mergeCell ref="V7:X7"/>
    <mergeCell ref="Y7:AA7"/>
    <mergeCell ref="AB7:AD7"/>
    <mergeCell ref="AE7:AE8"/>
    <mergeCell ref="A59:C59"/>
    <mergeCell ref="A6:A8"/>
    <mergeCell ref="B6:B8"/>
    <mergeCell ref="C6:C8"/>
    <mergeCell ref="D6:AE6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23349A-20F9-4F1F-A5D9-D190FE428101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625" defaultRowHeight="18.75" x14ac:dyDescent="0.4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25" style="18" bestFit="1" customWidth="1"/>
    <col min="7" max="7" width="11.125" style="18" customWidth="1"/>
    <col min="8" max="8" width="5.75" style="18" customWidth="1"/>
    <col min="9" max="9" width="11.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 x14ac:dyDescent="0.4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4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4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4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4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fd442da-66a9-4fa6-ba31-eb0d54ad138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社員工数</vt:lpstr>
      <vt:lpstr>外注費・経費</vt:lpstr>
      <vt:lpstr>外注費・経費 (2)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川名翔太</cp:lastModifiedBy>
  <cp:revision/>
  <dcterms:created xsi:type="dcterms:W3CDTF">2021-04-22T09:34:49Z</dcterms:created>
  <dcterms:modified xsi:type="dcterms:W3CDTF">2025-09-29T03:22:06Z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