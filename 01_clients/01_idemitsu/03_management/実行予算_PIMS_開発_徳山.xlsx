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8" documentId="13_ncr:1_{691ADDC3-AE0A-49E0-A32D-8FEE0169258E}" xr6:coauthVersionLast="47" xr6:coauthVersionMax="47" xr10:uidLastSave="{D0A88567-F0B9-4FA7-BA86-685855E4C5A7}"/>
  <bookViews>
    <workbookView xWindow="28680" yWindow="-120" windowWidth="29040" windowHeight="158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<sst xmlns="http://schemas.openxmlformats.org/spreadsheetml/2006/main" count="107" uniqueCount="84">
  <si>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</si>
  <si>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</si>
  <si>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</si>
  <si>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</si>
  <si>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</si>
  <si>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</si>
  <si>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</si>
  <si>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</si>
  <si>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</si>
  <si>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</si>
  <si>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</si>
  <si>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</si>
  <si>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</si>
  <si>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</si>
  <si>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</si>
  <si>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</si>
  <si>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</si>
  <si>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</si>
  <si>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</si>
  <si>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</si>
  <si>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</si>
  <si>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</si>
  <si>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</si>
  <si>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</si>
  <si>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</si>
  <si>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</si>
  <si>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</si>
  <si>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</si>
  <si>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</si>
  <si>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</si>
  <si>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</si>
  <si>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</si>
  <si>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</si>
  <si>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</si>
  <si>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</si>
  <si>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</si>
  <si>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</si>
  <si>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</si>
  <si>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</si>
  <si>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</si>
  <si>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</si>
  <si>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</si>
  <si>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</si>
  <si>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</si>
  <si>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</si>
  <si>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</si>
  <si>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</si>
  <si>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</si>
  <si>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</si>
  <si>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</si>
  <si>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</si>
  <si>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</si>
  <si>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</si>
  <si>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</si>
  <si>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</si>
  <si>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</si>
  <si>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</si>
  <si>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</si>
  <si>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</si>
  <si>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</si>
  <si>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</si>
  <si>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</si>
  <si>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</si>
  <si>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</si>
  <si>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</si>
  <si>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</si>
  <si>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</si>
  <si>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</si>
  <si>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</si>
  <si>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</si>
  <si>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</si>
  <si>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</si>
  <si>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</si>
  <si>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</si>
  <si>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</si>
  <si>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</si>
  <si>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</si>
  <si>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</si>
  <si>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</si>
  <si>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</si>
  <si>
    <t>矢野幸代</t>
    <rPh sb="0" eb="2">
      <t>ヤノ</t>
    </rPh>
    <rPh sb="2" eb="4">
      <t>ユキヨ</t>
    </rPh>
    <phoneticPr fontId="3"/>
  </si>
  <si>
    <t>石井徹</t>
    <rPh sb="0" eb="2">
      <t>イシイ</t>
    </rPh>
    <rPh sb="2" eb="3">
      <t>トオル</t>
    </rPh>
    <phoneticPr fontId="3"/>
  </si>
  <si>
    <t>↓移行フェーズ</t>
    <rPh sb="1" eb="3">
      <t>イコウ</t>
    </rPh>
    <phoneticPr fontId="3"/>
  </si>
  <si>
    <t>木村俊介</t>
    <rPh sb="0" eb="2">
      <t>キムラ</t>
    </rPh>
    <rPh sb="2" eb="4">
      <t>シュンスケ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</si>
</sst>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topLeftCell="A7" workbookViewId="0">
      <selection activeCell="K15" sqref="K15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60</v>
      </c>
      <c r="D1" s="3" t="s">
        <v>61</v>
      </c>
    </row>
    <row r="2" spans="1:32" ht="5.25" customHeight="1" x14ac:dyDescent="0.55000000000000004">
      <c r="A2" s="1"/>
    </row>
    <row r="3" spans="1:32" x14ac:dyDescent="0.55000000000000004">
      <c r="A3" s="4" t="s">
        <v>0</v>
      </c>
      <c r="B3" s="25"/>
      <c r="C3" s="26"/>
      <c r="D3" s="5" t="s">
        <v>1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5" t="s">
        <v>2</v>
      </c>
      <c r="B4" s="25" t="s">
        <v>3</v>
      </c>
      <c r="C4" s="26"/>
      <c r="D4" s="5" t="s">
        <v>4</v>
      </c>
      <c r="E4" s="28"/>
      <c r="F4" s="28"/>
      <c r="G4" s="5" t="s">
        <v>5</v>
      </c>
      <c r="H4" s="29">
        <f>AF59</f>
        <v>280</v>
      </c>
      <c r="I4" s="29"/>
      <c r="J4" s="5" t="s">
        <v>6</v>
      </c>
      <c r="K4" s="30">
        <f>外注費・経費!K4</f>
        <v>990000</v>
      </c>
      <c r="L4" s="30"/>
      <c r="M4" s="5" t="s">
        <v>7</v>
      </c>
      <c r="N4" s="30">
        <v>0</v>
      </c>
      <c r="O4" s="30"/>
    </row>
    <row r="5" spans="1:32" ht="6" customHeight="1" x14ac:dyDescent="0.55000000000000004"/>
    <row r="6" spans="1:32" s="6" customFormat="1" x14ac:dyDescent="0.55000000000000004">
      <c r="A6" s="40" t="s">
        <v>8</v>
      </c>
      <c r="B6" s="43" t="s">
        <v>9</v>
      </c>
      <c r="C6" s="43" t="s">
        <v>10</v>
      </c>
      <c r="D6" s="46" t="s">
        <v>11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12</v>
      </c>
    </row>
    <row r="7" spans="1:32" s="6" customFormat="1" ht="12" customHeight="1" x14ac:dyDescent="0.55000000000000004">
      <c r="A7" s="41"/>
      <c r="B7" s="44"/>
      <c r="C7" s="44"/>
      <c r="D7" s="34" t="s">
        <v>62</v>
      </c>
      <c r="E7" s="35"/>
      <c r="F7" s="36"/>
      <c r="G7" s="34" t="s">
        <v>63</v>
      </c>
      <c r="H7" s="35"/>
      <c r="I7" s="36"/>
      <c r="J7" s="34" t="s">
        <v>64</v>
      </c>
      <c r="K7" s="35"/>
      <c r="L7" s="36"/>
      <c r="M7" s="34" t="s">
        <v>65</v>
      </c>
      <c r="N7" s="35"/>
      <c r="O7" s="36"/>
      <c r="P7" s="34" t="s">
        <v>66</v>
      </c>
      <c r="Q7" s="35"/>
      <c r="R7" s="36"/>
      <c r="S7" s="34" t="s">
        <v>68</v>
      </c>
      <c r="T7" s="35"/>
      <c r="U7" s="36"/>
      <c r="V7" s="34" t="s">
        <v>70</v>
      </c>
      <c r="W7" s="35"/>
      <c r="X7" s="36"/>
      <c r="Y7" s="34" t="s">
        <v>72</v>
      </c>
      <c r="Z7" s="35"/>
      <c r="AA7" s="36"/>
      <c r="AB7" s="34" t="s">
        <v>74</v>
      </c>
      <c r="AC7" s="35"/>
      <c r="AD7" s="36"/>
      <c r="AE7" s="47" t="s">
        <v>13</v>
      </c>
      <c r="AF7" s="32"/>
    </row>
    <row r="8" spans="1:32" s="6" customFormat="1" x14ac:dyDescent="0.5500000000000000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55000000000000004">
      <c r="A9" s="21" t="s">
        <v>14</v>
      </c>
      <c r="B9" s="8">
        <v>1081</v>
      </c>
      <c r="C9" s="8" t="s">
        <v>80</v>
      </c>
      <c r="D9" s="22"/>
      <c r="E9" s="22"/>
      <c r="F9" s="22"/>
      <c r="G9" s="22"/>
      <c r="H9" s="22"/>
      <c r="I9" s="22"/>
      <c r="J9" s="22">
        <v>80</v>
      </c>
      <c r="K9" s="22">
        <v>80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160</v>
      </c>
    </row>
    <row r="10" spans="1:32" x14ac:dyDescent="0.55000000000000004">
      <c r="A10" s="8" t="s">
        <v>14</v>
      </c>
      <c r="B10" s="8">
        <v>397</v>
      </c>
      <c r="C10" s="8" t="s">
        <v>81</v>
      </c>
      <c r="D10" s="22"/>
      <c r="E10" s="22"/>
      <c r="F10" s="22"/>
      <c r="G10" s="22"/>
      <c r="H10" s="22"/>
      <c r="I10" s="22"/>
      <c r="J10" s="22">
        <v>23</v>
      </c>
      <c r="K10" s="22">
        <v>24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47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13" t="s">
        <v>82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21" t="s">
        <v>14</v>
      </c>
      <c r="B13" s="8">
        <v>1081</v>
      </c>
      <c r="C13" s="8" t="s">
        <v>80</v>
      </c>
      <c r="D13" s="22"/>
      <c r="E13" s="22"/>
      <c r="F13" s="22"/>
      <c r="G13" s="22"/>
      <c r="H13" s="22"/>
      <c r="I13" s="22"/>
      <c r="J13" s="22"/>
      <c r="K13" s="22"/>
      <c r="L13" s="22">
        <v>16</v>
      </c>
      <c r="M13" s="22">
        <v>16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32</v>
      </c>
    </row>
    <row r="14" spans="1:32" x14ac:dyDescent="0.55000000000000004">
      <c r="A14" s="8" t="s">
        <v>14</v>
      </c>
      <c r="B14" s="8">
        <v>397</v>
      </c>
      <c r="C14" s="8" t="s">
        <v>81</v>
      </c>
      <c r="D14" s="22"/>
      <c r="E14" s="24"/>
      <c r="F14" s="22"/>
      <c r="G14" s="22"/>
      <c r="H14" s="22"/>
      <c r="I14" s="22"/>
      <c r="J14" s="22"/>
      <c r="K14" s="22"/>
      <c r="L14" s="22">
        <v>25</v>
      </c>
      <c r="M14" s="22">
        <v>16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41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37" t="s">
        <v>12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103</v>
      </c>
      <c r="K59" s="23">
        <f t="shared" si="1"/>
        <v>104</v>
      </c>
      <c r="L59" s="23">
        <f t="shared" si="1"/>
        <v>41</v>
      </c>
      <c r="M59" s="23">
        <f t="shared" si="1"/>
        <v>32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280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A15:A58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L13" sqref="L13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9" t="s">
        <v>0</v>
      </c>
      <c r="B3" s="25"/>
      <c r="C3" s="26"/>
      <c r="D3" s="10" t="s">
        <v>1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2</v>
      </c>
      <c r="B4" s="25" t="s">
        <v>16</v>
      </c>
      <c r="C4" s="26"/>
      <c r="D4" s="11" t="s">
        <v>4</v>
      </c>
      <c r="E4" s="48">
        <f>社員工数!E4</f>
        <v>0</v>
      </c>
      <c r="F4" s="48"/>
      <c r="G4" s="11" t="s">
        <v>5</v>
      </c>
      <c r="H4" s="29">
        <f>社員工数!H4</f>
        <v>280</v>
      </c>
      <c r="I4" s="29"/>
      <c r="J4" s="11" t="s">
        <v>6</v>
      </c>
      <c r="K4" s="49">
        <f>AF59</f>
        <v>990000</v>
      </c>
      <c r="L4" s="49"/>
      <c r="M4" s="11" t="s">
        <v>7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8</v>
      </c>
      <c r="B6" s="59" t="s">
        <v>17</v>
      </c>
      <c r="C6" s="59" t="s">
        <v>10</v>
      </c>
      <c r="D6" s="62" t="s">
        <v>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12</v>
      </c>
    </row>
    <row r="7" spans="1:32" s="6" customFormat="1" ht="12" customHeight="1" x14ac:dyDescent="0.55000000000000004">
      <c r="A7" s="57"/>
      <c r="B7" s="60"/>
      <c r="C7" s="60"/>
      <c r="D7" s="53" t="s">
        <v>75</v>
      </c>
      <c r="E7" s="54"/>
      <c r="F7" s="55"/>
      <c r="G7" s="53" t="s">
        <v>76</v>
      </c>
      <c r="H7" s="54"/>
      <c r="I7" s="55"/>
      <c r="J7" s="53" t="s">
        <v>77</v>
      </c>
      <c r="K7" s="54"/>
      <c r="L7" s="55"/>
      <c r="M7" s="53" t="s">
        <v>78</v>
      </c>
      <c r="N7" s="54"/>
      <c r="O7" s="55"/>
      <c r="P7" s="53" t="s">
        <v>79</v>
      </c>
      <c r="Q7" s="54"/>
      <c r="R7" s="55"/>
      <c r="S7" s="53" t="s">
        <v>67</v>
      </c>
      <c r="T7" s="54"/>
      <c r="U7" s="55"/>
      <c r="V7" s="53" t="s">
        <v>69</v>
      </c>
      <c r="W7" s="54"/>
      <c r="X7" s="55"/>
      <c r="Y7" s="53" t="s">
        <v>71</v>
      </c>
      <c r="Z7" s="54"/>
      <c r="AA7" s="55"/>
      <c r="AB7" s="53" t="s">
        <v>73</v>
      </c>
      <c r="AC7" s="54"/>
      <c r="AD7" s="55"/>
      <c r="AE7" s="63" t="s">
        <v>13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19</v>
      </c>
      <c r="B9" s="14"/>
      <c r="C9" s="13" t="s">
        <v>83</v>
      </c>
      <c r="D9" s="13"/>
      <c r="E9" s="13"/>
      <c r="F9" s="13"/>
      <c r="G9" s="13"/>
      <c r="H9" s="13"/>
      <c r="I9" s="13"/>
      <c r="J9" s="13">
        <v>900000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900000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 t="s">
        <v>82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 t="s">
        <v>19</v>
      </c>
      <c r="B12" s="14"/>
      <c r="C12" s="13" t="s">
        <v>83</v>
      </c>
      <c r="D12" s="13"/>
      <c r="E12" s="13"/>
      <c r="F12" s="13"/>
      <c r="G12" s="13"/>
      <c r="H12" s="13"/>
      <c r="I12" s="13"/>
      <c r="J12" s="13"/>
      <c r="K12" s="13"/>
      <c r="L12" s="13">
        <v>90000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90000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37" t="s">
        <v>12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900000</v>
      </c>
      <c r="K59" s="15">
        <f t="shared" si="1"/>
        <v>0</v>
      </c>
      <c r="L59" s="15">
        <f t="shared" si="1"/>
        <v>90000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990000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リストマスタ!$L$3:$L$4</xm:f>
          </x14:formula1>
          <xm:sqref>A13:A58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33203125" style="18" bestFit="1" customWidth="1"/>
    <col min="7" max="7" width="11.08203125" style="18" customWidth="1"/>
    <col min="8" max="8" width="5.83203125" style="18" customWidth="1"/>
    <col min="9" max="9" width="11.83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5500000000000000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5500000000000000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B9566-767E-43D2-893D-055AB742D5B9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0B11EDD-35CA-4428-A670-89C0AEB85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9C976D-FBA6-46A0-BC9E-AE2B70890E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2025-07-11T08:00:44Z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