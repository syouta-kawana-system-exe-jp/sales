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zu-fukuda.SYSTEM-EXE\Downloads\"/>
    </mc:Choice>
  </mc:AlternateContent>
  <bookViews>
    <workbookView xWindow="0" yWindow="0" windowWidth="17028" windowHeight="7512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>
  <authors>
    <author>渡辺圭</author>
  </authors>
  <commentList>
    <comment ref="B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<sst xmlns="http://schemas.openxmlformats.org/spreadsheetml/2006/main" count="101" uniqueCount="84">
  <si>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</si>
  <si>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</si>
  <si>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</si>
  <si>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</si>
  <si>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</si>
  <si>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</si>
  <si>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</si>
  <si>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</si>
  <si>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</si>
  <si>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</si>
  <si>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</si>
  <si>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</si>
  <si>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</si>
  <si>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</si>
  <si>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</si>
  <si>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</si>
  <si>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</si>
  <si>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</si>
  <si>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</si>
  <si>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</si>
  <si>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</si>
  <si>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</si>
  <si>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</si>
  <si>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</si>
  <si>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</si>
  <si>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</si>
  <si>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福田一希</t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</si>
  <si>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</si>
  <si>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</si>
  <si>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</si>
  <si>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</si>
  <si>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</si>
  <si>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</si>
  <si>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</si>
  <si>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</si>
  <si>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</si>
  <si>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</si>
  <si>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</si>
  <si>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</si>
  <si>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</si>
  <si>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</si>
  <si>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五石真人</t>
  </si>
  <si>
    <t>篠塚正裕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</si>
  <si>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</si>
  <si>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</si>
  <si>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</si>
  <si>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</si>
  <si>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</si>
  <si>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</si>
  <si>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</si>
  <si>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</si>
  <si>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</si>
  <si>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</si>
  <si>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</si>
  <si>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</si>
  <si>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</si>
  <si>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</si>
  <si>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</si>
  <si>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</si>
  <si>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</si>
  <si>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</si>
  <si>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</si>
  <si>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</si>
  <si>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</si>
  <si>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</si>
  <si>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</si>
  <si>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</si>
  <si>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</si>
  <si>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</si>
  <si>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</si>
  <si>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</si>
  <si>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</si>
  <si>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</si>
  <si>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</si>
  <si>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</si>
  <si>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</si>
  <si>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</si>
  <si>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</si>
  <si>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</si>
  <si>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</si>
  <si>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</si>
  <si>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</si>
  <si>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</si>
  <si>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孫イクヒ</t>
    <rPh sb="0" eb="1">
      <t>ソン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</si>
</sst>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3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 applyAlignment="1">
      <alignment vertical="center"/>
    </xf>
    <xf numFmtId="5" fontId="4" fillId="3" borderId="4" xfId="1" applyNumberFormat="1" applyFont="1" applyFill="1" applyBorder="1" applyAlignment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 applyAlignment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/>
    <cellStyle name="標準" xfId="0" builtinId="0"/>
    <cellStyle name="標準 2" xfId="1"/>
    <cellStyle name="標準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exe2021.sharepoint.com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59"/>
  <sheetViews>
    <sheetView tabSelected="1" workbookViewId="0">
      <selection activeCell="N9" sqref="N9"/>
    </sheetView>
  </sheetViews>
  <sheetFormatPr defaultColWidth="8.09765625" defaultRowHeight="12.6" x14ac:dyDescent="0.45"/>
  <cols>
    <col min="1" max="1" width="14.59765625" style="2" customWidth="1"/>
    <col min="2" max="2" width="7.8984375" style="2" bestFit="1" customWidth="1"/>
    <col min="3" max="3" width="14.59765625" style="2" customWidth="1"/>
    <col min="4" max="31" width="7" style="2" customWidth="1"/>
    <col min="32" max="32" width="7.8984375" style="2" customWidth="1"/>
    <col min="33" max="16384" width="8.09765625" style="2"/>
  </cols>
  <sheetData>
    <row r="1" spans="1:32" ht="18.600000000000001" x14ac:dyDescent="0.45">
      <c r="A1" s="1" t="s">
        <v>0</v>
      </c>
      <c r="D1" s="3" t="s">
        <v>1</v>
      </c>
    </row>
    <row r="2" spans="1:32" ht="5.25" customHeight="1" x14ac:dyDescent="0.45">
      <c r="A2" s="1"/>
    </row>
    <row r="3" spans="1:32" x14ac:dyDescent="0.45">
      <c r="A3" s="4" t="s">
        <v>2</v>
      </c>
      <c r="B3" s="25"/>
      <c r="C3" s="26"/>
      <c r="D3" s="5" t="s">
        <v>3</v>
      </c>
      <c r="E3" s="25"/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45">
      <c r="A4" s="5" t="s">
        <v>4</v>
      </c>
      <c r="B4" s="25" t="s">
        <v>5</v>
      </c>
      <c r="C4" s="26"/>
      <c r="D4" s="5" t="s">
        <v>6</v>
      </c>
      <c r="E4" s="28"/>
      <c r="F4" s="28"/>
      <c r="G4" s="5" t="s">
        <v>7</v>
      </c>
      <c r="H4" s="29">
        <f>AF59</f>
        <v>600</v>
      </c>
      <c r="I4" s="29"/>
      <c r="J4" s="5" t="s">
        <v>8</v>
      </c>
      <c r="K4" s="30">
        <f>外注費・経費!K4</f>
        <v>4000000</v>
      </c>
      <c r="L4" s="30"/>
      <c r="M4" s="5" t="s">
        <v>9</v>
      </c>
      <c r="N4" s="30">
        <v>0</v>
      </c>
      <c r="O4" s="30"/>
    </row>
    <row r="5" spans="1:32" ht="6" customHeight="1" x14ac:dyDescent="0.45"/>
    <row r="6" spans="1:32" s="6" customFormat="1" x14ac:dyDescent="0.45">
      <c r="A6" s="40" t="s">
        <v>10</v>
      </c>
      <c r="B6" s="43" t="s">
        <v>11</v>
      </c>
      <c r="C6" s="43" t="s">
        <v>12</v>
      </c>
      <c r="D6" s="46" t="s">
        <v>13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31" t="s">
        <v>14</v>
      </c>
    </row>
    <row r="7" spans="1:32" s="6" customFormat="1" ht="12" customHeight="1" x14ac:dyDescent="0.45">
      <c r="A7" s="41"/>
      <c r="B7" s="44"/>
      <c r="C7" s="44"/>
      <c r="D7" s="34" t="s">
        <v>15</v>
      </c>
      <c r="E7" s="35"/>
      <c r="F7" s="36"/>
      <c r="G7" s="34" t="s">
        <v>16</v>
      </c>
      <c r="H7" s="35"/>
      <c r="I7" s="36"/>
      <c r="J7" s="34" t="s">
        <v>17</v>
      </c>
      <c r="K7" s="35"/>
      <c r="L7" s="36"/>
      <c r="M7" s="34" t="s">
        <v>18</v>
      </c>
      <c r="N7" s="35"/>
      <c r="O7" s="36"/>
      <c r="P7" s="34" t="s">
        <v>19</v>
      </c>
      <c r="Q7" s="35"/>
      <c r="R7" s="36"/>
      <c r="S7" s="34" t="s">
        <v>20</v>
      </c>
      <c r="T7" s="35"/>
      <c r="U7" s="36"/>
      <c r="V7" s="34" t="s">
        <v>21</v>
      </c>
      <c r="W7" s="35"/>
      <c r="X7" s="36"/>
      <c r="Y7" s="34" t="s">
        <v>22</v>
      </c>
      <c r="Z7" s="35"/>
      <c r="AA7" s="36"/>
      <c r="AB7" s="34" t="s">
        <v>23</v>
      </c>
      <c r="AC7" s="35"/>
      <c r="AD7" s="36"/>
      <c r="AE7" s="47" t="s">
        <v>24</v>
      </c>
      <c r="AF7" s="32"/>
    </row>
    <row r="8" spans="1:32" s="6" customFormat="1" x14ac:dyDescent="0.45">
      <c r="A8" s="42"/>
      <c r="B8" s="45"/>
      <c r="C8" s="45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5"/>
      <c r="AF8" s="33"/>
    </row>
    <row r="9" spans="1:32" x14ac:dyDescent="0.45">
      <c r="A9" s="21" t="s">
        <v>25</v>
      </c>
      <c r="B9" s="8">
        <v>1161</v>
      </c>
      <c r="C9" s="8" t="s">
        <v>26</v>
      </c>
      <c r="D9" s="22"/>
      <c r="E9" s="22"/>
      <c r="F9" s="22"/>
      <c r="G9" s="22"/>
      <c r="H9" s="22"/>
      <c r="I9" s="22"/>
      <c r="J9" s="22"/>
      <c r="K9" s="22"/>
      <c r="L9" s="22">
        <v>100</v>
      </c>
      <c r="M9" s="22">
        <v>100</v>
      </c>
      <c r="N9" s="22">
        <v>120</v>
      </c>
      <c r="O9" s="22">
        <v>120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440</v>
      </c>
    </row>
    <row r="10" spans="1:32" x14ac:dyDescent="0.45">
      <c r="A10" s="8" t="s">
        <v>25</v>
      </c>
      <c r="B10" s="8">
        <v>1723</v>
      </c>
      <c r="C10" s="8" t="s">
        <v>83</v>
      </c>
      <c r="D10" s="22"/>
      <c r="E10" s="22"/>
      <c r="F10" s="22"/>
      <c r="G10" s="22"/>
      <c r="H10" s="22"/>
      <c r="I10" s="22"/>
      <c r="J10" s="22"/>
      <c r="K10" s="22"/>
      <c r="L10" s="22">
        <v>40</v>
      </c>
      <c r="M10" s="22">
        <v>40</v>
      </c>
      <c r="N10" s="22">
        <v>40</v>
      </c>
      <c r="O10" s="22">
        <v>40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160</v>
      </c>
    </row>
    <row r="11" spans="1:32" x14ac:dyDescent="0.45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45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45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45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45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45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45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45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45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45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45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45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45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45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45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45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45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45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45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45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45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45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45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45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45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45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45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45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45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45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45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45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45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45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45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45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45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45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45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45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45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45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45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45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45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45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45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45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45">
      <c r="A59" s="37" t="s">
        <v>14</v>
      </c>
      <c r="B59" s="38"/>
      <c r="C59" s="39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0</v>
      </c>
      <c r="K59" s="23">
        <f t="shared" si="1"/>
        <v>0</v>
      </c>
      <c r="L59" s="23">
        <f t="shared" si="1"/>
        <v>140</v>
      </c>
      <c r="M59" s="23">
        <f t="shared" si="1"/>
        <v>140</v>
      </c>
      <c r="N59" s="23">
        <f t="shared" si="1"/>
        <v>160</v>
      </c>
      <c r="O59" s="23">
        <f t="shared" si="1"/>
        <v>160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600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workbookViewId="0">
      <selection activeCell="A10" sqref="A10"/>
    </sheetView>
  </sheetViews>
  <sheetFormatPr defaultColWidth="8.09765625" defaultRowHeight="12.6" x14ac:dyDescent="0.45"/>
  <cols>
    <col min="1" max="1" width="14.59765625" style="2" customWidth="1"/>
    <col min="2" max="2" width="7.8984375" style="2" customWidth="1"/>
    <col min="3" max="3" width="14.59765625" style="2" customWidth="1"/>
    <col min="4" max="31" width="8.3984375" style="2" customWidth="1"/>
    <col min="32" max="32" width="11.09765625" style="2" customWidth="1"/>
    <col min="33" max="16384" width="8.09765625" style="2"/>
  </cols>
  <sheetData>
    <row r="1" spans="1:32" ht="18.600000000000001" x14ac:dyDescent="0.45">
      <c r="A1" s="1" t="s">
        <v>27</v>
      </c>
    </row>
    <row r="2" spans="1:32" ht="5.25" customHeight="1" x14ac:dyDescent="0.45">
      <c r="A2" s="1"/>
    </row>
    <row r="3" spans="1:32" x14ac:dyDescent="0.45">
      <c r="A3" s="9" t="s">
        <v>2</v>
      </c>
      <c r="B3" s="25"/>
      <c r="C3" s="26"/>
      <c r="D3" s="10" t="s">
        <v>3</v>
      </c>
      <c r="E3" s="25">
        <f>社員工数!E3</f>
        <v>0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45">
      <c r="A4" s="9" t="s">
        <v>4</v>
      </c>
      <c r="B4" s="25" t="s">
        <v>28</v>
      </c>
      <c r="C4" s="26"/>
      <c r="D4" s="11" t="s">
        <v>6</v>
      </c>
      <c r="E4" s="48">
        <f>社員工数!E4</f>
        <v>0</v>
      </c>
      <c r="F4" s="48"/>
      <c r="G4" s="11" t="s">
        <v>7</v>
      </c>
      <c r="H4" s="29">
        <f>社員工数!H4</f>
        <v>600</v>
      </c>
      <c r="I4" s="29"/>
      <c r="J4" s="11" t="s">
        <v>8</v>
      </c>
      <c r="K4" s="49">
        <f>AF59</f>
        <v>4000000</v>
      </c>
      <c r="L4" s="49"/>
      <c r="M4" s="11" t="s">
        <v>9</v>
      </c>
      <c r="N4" s="49">
        <f>SUMIF(A:A,"経費",AF:AF)</f>
        <v>0</v>
      </c>
      <c r="O4" s="49"/>
    </row>
    <row r="5" spans="1:32" ht="6" customHeight="1" x14ac:dyDescent="0.45"/>
    <row r="6" spans="1:32" s="6" customFormat="1" x14ac:dyDescent="0.45">
      <c r="A6" s="56" t="s">
        <v>10</v>
      </c>
      <c r="B6" s="59" t="s">
        <v>29</v>
      </c>
      <c r="C6" s="59" t="s">
        <v>12</v>
      </c>
      <c r="D6" s="62" t="s">
        <v>30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50" t="s">
        <v>14</v>
      </c>
    </row>
    <row r="7" spans="1:32" s="6" customFormat="1" ht="12" customHeight="1" x14ac:dyDescent="0.45">
      <c r="A7" s="57"/>
      <c r="B7" s="60"/>
      <c r="C7" s="60"/>
      <c r="D7" s="53" t="s">
        <v>31</v>
      </c>
      <c r="E7" s="54"/>
      <c r="F7" s="55"/>
      <c r="G7" s="53" t="s">
        <v>32</v>
      </c>
      <c r="H7" s="54"/>
      <c r="I7" s="55"/>
      <c r="J7" s="53" t="s">
        <v>33</v>
      </c>
      <c r="K7" s="54"/>
      <c r="L7" s="55"/>
      <c r="M7" s="53" t="s">
        <v>34</v>
      </c>
      <c r="N7" s="54"/>
      <c r="O7" s="55"/>
      <c r="P7" s="53" t="s">
        <v>35</v>
      </c>
      <c r="Q7" s="54"/>
      <c r="R7" s="55"/>
      <c r="S7" s="53" t="s">
        <v>36</v>
      </c>
      <c r="T7" s="54"/>
      <c r="U7" s="55"/>
      <c r="V7" s="53" t="s">
        <v>37</v>
      </c>
      <c r="W7" s="54"/>
      <c r="X7" s="55"/>
      <c r="Y7" s="53" t="s">
        <v>38</v>
      </c>
      <c r="Z7" s="54"/>
      <c r="AA7" s="55"/>
      <c r="AB7" s="53" t="s">
        <v>39</v>
      </c>
      <c r="AC7" s="54"/>
      <c r="AD7" s="55"/>
      <c r="AE7" s="63" t="s">
        <v>24</v>
      </c>
      <c r="AF7" s="51"/>
    </row>
    <row r="8" spans="1:32" s="6" customFormat="1" x14ac:dyDescent="0.45">
      <c r="A8" s="58"/>
      <c r="B8" s="61"/>
      <c r="C8" s="61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61"/>
      <c r="AF8" s="52"/>
    </row>
    <row r="9" spans="1:32" x14ac:dyDescent="0.45">
      <c r="A9" s="13" t="s">
        <v>40</v>
      </c>
      <c r="B9" s="14">
        <v>3571</v>
      </c>
      <c r="C9" s="13" t="s">
        <v>41</v>
      </c>
      <c r="D9" s="13"/>
      <c r="E9" s="13"/>
      <c r="F9" s="13"/>
      <c r="G9" s="13"/>
      <c r="H9" s="13"/>
      <c r="I9" s="13"/>
      <c r="J9" s="13"/>
      <c r="K9" s="13"/>
      <c r="L9" s="13">
        <v>500000</v>
      </c>
      <c r="M9" s="13">
        <v>500000</v>
      </c>
      <c r="N9" s="13">
        <v>500000</v>
      </c>
      <c r="O9" s="13">
        <v>500000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2000000</v>
      </c>
    </row>
    <row r="10" spans="1:32" x14ac:dyDescent="0.45">
      <c r="A10" s="13" t="s">
        <v>40</v>
      </c>
      <c r="B10" s="14">
        <v>4724</v>
      </c>
      <c r="C10" s="13" t="s">
        <v>42</v>
      </c>
      <c r="D10" s="13"/>
      <c r="E10" s="13"/>
      <c r="F10" s="13"/>
      <c r="G10" s="13"/>
      <c r="H10" s="13"/>
      <c r="I10" s="13"/>
      <c r="J10" s="13"/>
      <c r="K10" s="13"/>
      <c r="L10" s="13">
        <v>500000</v>
      </c>
      <c r="M10" s="13">
        <v>500000</v>
      </c>
      <c r="N10" s="13">
        <v>500000</v>
      </c>
      <c r="O10" s="13">
        <v>500000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2000000</v>
      </c>
    </row>
    <row r="11" spans="1:32" x14ac:dyDescent="0.45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45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45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45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45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45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45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45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45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45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45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45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45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45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45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45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45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45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45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45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45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45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45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45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45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45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45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45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45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45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45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45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45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45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45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45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45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45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45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45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45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45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45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45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45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45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45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45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45">
      <c r="A59" s="37" t="s">
        <v>14</v>
      </c>
      <c r="B59" s="38"/>
      <c r="C59" s="39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0</v>
      </c>
      <c r="L59" s="15">
        <f t="shared" si="1"/>
        <v>1000000</v>
      </c>
      <c r="M59" s="15">
        <f t="shared" si="1"/>
        <v>1000000</v>
      </c>
      <c r="N59" s="15">
        <f t="shared" si="1"/>
        <v>1000000</v>
      </c>
      <c r="O59" s="15">
        <f t="shared" si="1"/>
        <v>1000000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4000000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リストマスタ!$L$3:$L$4</xm:f>
          </x14:formula1>
          <xm:sqref>A12:A58</xm:sqref>
        </x14:dataValidation>
        <x14:dataValidation type="list" allowBlank="1" showInputMessage="1" showErrorMessage="1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E20" sqref="E20"/>
    </sheetView>
  </sheetViews>
  <sheetFormatPr defaultColWidth="8.59765625" defaultRowHeight="18" x14ac:dyDescent="0.45"/>
  <cols>
    <col min="1" max="1" width="4.59765625" style="18" customWidth="1"/>
    <col min="2" max="2" width="10.5" style="18" customWidth="1"/>
    <col min="3" max="3" width="22" style="18" customWidth="1"/>
    <col min="4" max="4" width="15.09765625" style="18" customWidth="1"/>
    <col min="5" max="5" width="11.09765625" style="18" customWidth="1"/>
    <col min="6" max="6" width="58.3984375" style="18" bestFit="1" customWidth="1"/>
    <col min="7" max="7" width="11.09765625" style="18" customWidth="1"/>
    <col min="8" max="8" width="5.8984375" style="18" customWidth="1"/>
    <col min="9" max="9" width="11.8984375" style="18" customWidth="1"/>
    <col min="10" max="10" width="11.09765625" style="18" customWidth="1"/>
    <col min="11" max="11" width="17.09765625" style="18" bestFit="1" customWidth="1"/>
    <col min="12" max="12" width="11.09765625" style="18" customWidth="1"/>
    <col min="13" max="16384" width="8.59765625" style="18"/>
  </cols>
  <sheetData>
    <row r="1" spans="1:12" x14ac:dyDescent="0.45">
      <c r="A1" s="66" t="s">
        <v>43</v>
      </c>
      <c r="B1" s="17" t="s">
        <v>44</v>
      </c>
      <c r="C1" s="66" t="s">
        <v>45</v>
      </c>
      <c r="D1" s="66" t="s">
        <v>46</v>
      </c>
      <c r="E1" s="66" t="s">
        <v>47</v>
      </c>
      <c r="F1" s="66" t="s">
        <v>48</v>
      </c>
      <c r="G1" s="66" t="s">
        <v>49</v>
      </c>
      <c r="H1" s="64" t="s">
        <v>50</v>
      </c>
      <c r="I1" s="65"/>
      <c r="J1" s="66" t="s">
        <v>51</v>
      </c>
      <c r="K1" s="66" t="s">
        <v>52</v>
      </c>
      <c r="L1" s="66" t="s">
        <v>53</v>
      </c>
    </row>
    <row r="2" spans="1:12" x14ac:dyDescent="0.45">
      <c r="A2" s="66"/>
      <c r="B2" s="17" t="s">
        <v>54</v>
      </c>
      <c r="C2" s="66"/>
      <c r="D2" s="66"/>
      <c r="E2" s="66"/>
      <c r="F2" s="66"/>
      <c r="G2" s="66"/>
      <c r="H2" s="17" t="s">
        <v>43</v>
      </c>
      <c r="I2" s="17" t="s">
        <v>55</v>
      </c>
      <c r="J2" s="66"/>
      <c r="K2" s="66"/>
      <c r="L2" s="66"/>
    </row>
    <row r="3" spans="1:12" x14ac:dyDescent="0.45">
      <c r="A3" s="19">
        <v>1</v>
      </c>
      <c r="B3" s="20">
        <v>0.1</v>
      </c>
      <c r="C3" s="19" t="s">
        <v>56</v>
      </c>
      <c r="D3" s="19" t="s">
        <v>57</v>
      </c>
      <c r="E3" s="19" t="s">
        <v>58</v>
      </c>
      <c r="F3" s="19" t="s">
        <v>59</v>
      </c>
      <c r="G3" s="19" t="s">
        <v>60</v>
      </c>
      <c r="H3" s="19">
        <v>1</v>
      </c>
      <c r="I3" s="19" t="s">
        <v>61</v>
      </c>
      <c r="J3" s="19" t="s">
        <v>62</v>
      </c>
      <c r="K3" s="19" t="s">
        <v>25</v>
      </c>
      <c r="L3" s="19" t="s">
        <v>63</v>
      </c>
    </row>
    <row r="4" spans="1:12" x14ac:dyDescent="0.45">
      <c r="A4" s="19">
        <v>2</v>
      </c>
      <c r="B4" s="20"/>
      <c r="C4" s="19"/>
      <c r="D4" s="19"/>
      <c r="E4" s="19" t="s">
        <v>64</v>
      </c>
      <c r="F4" s="19" t="s">
        <v>65</v>
      </c>
      <c r="G4" s="19" t="s">
        <v>66</v>
      </c>
      <c r="H4" s="19">
        <v>2</v>
      </c>
      <c r="I4" s="19" t="s">
        <v>67</v>
      </c>
      <c r="J4" s="19" t="s">
        <v>68</v>
      </c>
      <c r="K4" s="19" t="s">
        <v>69</v>
      </c>
      <c r="L4" s="19" t="s">
        <v>70</v>
      </c>
    </row>
    <row r="5" spans="1:12" x14ac:dyDescent="0.45">
      <c r="A5" s="19">
        <v>3</v>
      </c>
      <c r="B5" s="19"/>
      <c r="C5" s="19"/>
      <c r="D5" s="19"/>
      <c r="E5" s="19"/>
      <c r="F5" s="19" t="s">
        <v>71</v>
      </c>
      <c r="G5" s="19" t="s">
        <v>72</v>
      </c>
      <c r="H5" s="19">
        <v>3</v>
      </c>
      <c r="I5" s="19" t="s">
        <v>73</v>
      </c>
      <c r="J5" s="19" t="s">
        <v>74</v>
      </c>
      <c r="K5" s="19" t="s">
        <v>75</v>
      </c>
      <c r="L5" s="19"/>
    </row>
    <row r="6" spans="1:12" x14ac:dyDescent="0.45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76</v>
      </c>
      <c r="L6" s="19"/>
    </row>
    <row r="7" spans="1:12" x14ac:dyDescent="0.45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77</v>
      </c>
      <c r="L7" s="19"/>
    </row>
    <row r="8" spans="1:12" x14ac:dyDescent="0.45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78</v>
      </c>
      <c r="L8" s="19"/>
    </row>
    <row r="9" spans="1:12" x14ac:dyDescent="0.45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79</v>
      </c>
      <c r="L9" s="19"/>
    </row>
    <row r="10" spans="1:12" x14ac:dyDescent="0.45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80</v>
      </c>
      <c r="L10" s="19"/>
    </row>
    <row r="11" spans="1:12" x14ac:dyDescent="0.45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81</v>
      </c>
      <c r="L11" s="19"/>
    </row>
    <row r="12" spans="1:12" x14ac:dyDescent="0.45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82</v>
      </c>
      <c r="L12" s="19"/>
    </row>
    <row r="13" spans="1:12" x14ac:dyDescent="0.45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b7644d4de02ded20394603be2720d07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2cb02ba061cb2e2c8687b0626190540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62F0AD-6D40-4DDD-99CC-DAAABB355E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749517-23C8-4FD4-A47B-F6354D507FE5}"/>
</file>

<file path=customXml/itemProps3.xml><?xml version="1.0" encoding="utf-8"?>
<ds:datastoreItem xmlns:ds="http://schemas.openxmlformats.org/officeDocument/2006/customXml" ds:itemID="{BF8B1BB6-A9A6-4960-BFDE-673DD4D8071E}">
  <ds:schemaRefs>
    <ds:schemaRef ds:uri="http://schemas.microsoft.com/office/2006/metadata/properties"/>
    <ds:schemaRef ds:uri="http://schemas.microsoft.com/office/infopath/2007/PartnerControls"/>
    <ds:schemaRef ds:uri="2fd442da-66a9-4fa6-ba31-eb0d54ad13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福田 一希</cp:lastModifiedBy>
  <cp:revision/>
  <dcterms:created xsi:type="dcterms:W3CDTF">2021-04-22T09:34:49Z</dcterms:created>
  <dcterms:modified xsi:type="dcterms:W3CDTF">2025-11-19T01:11:07Z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