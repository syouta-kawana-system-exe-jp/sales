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3" documentId="13_ncr:1_{FB350E7D-7179-4472-81B2-717D6E1A7A2D}" xr6:coauthVersionLast="47" xr6:coauthVersionMax="47" xr10:uidLastSave="{2234C888-A06A-4133-8BEA-7191AFBC51FB}"/>
  <bookViews>
    <workbookView xWindow="830" yWindow="260" windowWidth="17850" windowHeight="9700" activeTab="2" xr2:uid="{00000000-000D-0000-FFFF-FFFF00000000}"/>
  </bookViews>
  <sheets>
    <sheet name="社員工数" sheetId="1" r:id="rId1"/>
    <sheet name="外注費・経費" sheetId="2" r:id="rId2"/>
    <sheet name="外注費・経費 (実行予算)" sheetId="4" r:id="rId3"/>
    <sheet name="リストマスタ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J11" i="2"/>
  <c r="J10" i="2"/>
  <c r="K12" i="2"/>
  <c r="K12" i="4" s="1"/>
  <c r="K11" i="2"/>
  <c r="K11" i="4" s="1"/>
  <c r="K10" i="2"/>
  <c r="K10" i="4" s="1"/>
  <c r="J12" i="4"/>
  <c r="J11" i="4"/>
  <c r="J10" i="4"/>
  <c r="E3" i="4"/>
  <c r="L12" i="4"/>
  <c r="L11" i="4"/>
  <c r="L10" i="4"/>
  <c r="L9" i="4"/>
  <c r="K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H59" i="4"/>
  <c r="G59" i="4"/>
  <c r="F59" i="4"/>
  <c r="E59" i="4"/>
  <c r="D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N4" i="4"/>
  <c r="E4" i="4"/>
  <c r="AF11" i="4" l="1"/>
  <c r="AF12" i="4"/>
  <c r="K59" i="4"/>
  <c r="L59" i="4"/>
  <c r="AF10" i="4"/>
  <c r="J59" i="4"/>
  <c r="AF9" i="4"/>
  <c r="I59" i="4"/>
  <c r="AF59" i="4" l="1"/>
  <c r="K4" i="4" s="1"/>
  <c r="L9" i="2"/>
  <c r="K9" i="2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  <c r="H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<sst xmlns="http://schemas.openxmlformats.org/spreadsheetml/2006/main" count="137" uniqueCount="86">
  <si>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</si>
  <si>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</si>
  <si>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</si>
  <si>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</si>
  <si>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</si>
  <si>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</si>
  <si>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</si>
  <si>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</si>
  <si>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</si>
  <si>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</si>
  <si>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</si>
  <si>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</si>
  <si>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</si>
  <si>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</si>
  <si>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</si>
  <si>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</si>
  <si>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</si>
  <si>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</si>
  <si>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</si>
  <si>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</si>
  <si>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</si>
  <si>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</si>
  <si>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</si>
  <si>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</si>
  <si>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</si>
  <si>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</si>
  <si>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</si>
  <si>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</si>
  <si>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</si>
  <si>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</si>
  <si>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</si>
  <si>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</si>
  <si>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</si>
  <si>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</si>
  <si>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</si>
  <si>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</si>
  <si>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</si>
  <si>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</si>
  <si>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</si>
  <si>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</si>
  <si>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</si>
  <si>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</si>
  <si>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</si>
  <si>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</si>
  <si>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</si>
  <si>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</si>
  <si>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</si>
  <si>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</si>
  <si>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</si>
  <si>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</si>
  <si>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</si>
  <si>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</si>
  <si>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</si>
  <si>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</si>
  <si>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</si>
  <si>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</si>
  <si>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</si>
  <si>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</si>
  <si>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</si>
  <si>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</si>
  <si>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</si>
  <si>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</si>
  <si>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</si>
  <si>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</si>
  <si>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</si>
  <si>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</si>
  <si>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</si>
  <si>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</si>
  <si>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</si>
  <si>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</si>
  <si>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</si>
  <si>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</si>
  <si>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</si>
  <si>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</si>
  <si>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</si>
  <si>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</si>
  <si>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</si>
  <si>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</si>
  <si>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</si>
  <si>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</si>
  <si>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次世代研SWANシステム 縮小版共通基盤移行</t>
    <phoneticPr fontId="3"/>
  </si>
  <si>
    <t>高木義尚</t>
    <rPh sb="0" eb="2">
      <t>タカギ</t>
    </rPh>
    <rPh sb="2" eb="4">
      <t>ヨシナオ</t>
    </rPh>
    <phoneticPr fontId="3"/>
  </si>
  <si>
    <t>篠塚正裕</t>
    <phoneticPr fontId="3"/>
  </si>
  <si>
    <t>木村清一</t>
    <rPh sb="0" eb="2">
      <t>キムラ</t>
    </rPh>
    <rPh sb="2" eb="4">
      <t>セイイチ</t>
    </rPh>
    <phoneticPr fontId="3"/>
  </si>
  <si>
    <t>王志鵬</t>
    <phoneticPr fontId="3"/>
  </si>
  <si>
    <t>高鑫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</si>
</sst>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opLeftCell="D1" zoomScale="130" zoomScaleNormal="130" workbookViewId="0">
      <selection activeCell="K9" sqref="K9"/>
    </sheetView>
  </sheetViews>
  <sheetFormatPr defaultColWidth="8.08203125" defaultRowHeight="12.5" x14ac:dyDescent="0.55000000000000004"/>
  <cols>
    <col min="1" max="1" width="14.58203125" style="2" customWidth="1"/>
    <col min="2" max="2" width="7.75" style="2" bestFit="1" customWidth="1"/>
    <col min="3" max="3" width="14.58203125" style="2" customWidth="1"/>
    <col min="4" max="31" width="7" style="2" customWidth="1"/>
    <col min="32" max="32" width="7.7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25"/>
      <c r="C3" s="26"/>
      <c r="D3" s="5" t="s">
        <v>3</v>
      </c>
      <c r="E3" s="25" t="s">
        <v>80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4</v>
      </c>
      <c r="B4" s="25" t="s">
        <v>5</v>
      </c>
      <c r="C4" s="26"/>
      <c r="D4" s="5" t="s">
        <v>6</v>
      </c>
      <c r="E4" s="28"/>
      <c r="F4" s="28"/>
      <c r="G4" s="5" t="s">
        <v>7</v>
      </c>
      <c r="H4" s="29">
        <f>AF59</f>
        <v>138</v>
      </c>
      <c r="I4" s="29"/>
      <c r="J4" s="5" t="s">
        <v>8</v>
      </c>
      <c r="K4" s="30">
        <f>外注費・経費!K4</f>
        <v>3234000</v>
      </c>
      <c r="L4" s="30"/>
      <c r="M4" s="5" t="s">
        <v>9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10</v>
      </c>
      <c r="B6" s="43" t="s">
        <v>11</v>
      </c>
      <c r="C6" s="43" t="s">
        <v>12</v>
      </c>
      <c r="D6" s="46" t="s">
        <v>13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14</v>
      </c>
    </row>
    <row r="7" spans="1:32" s="6" customFormat="1" ht="12" customHeight="1" x14ac:dyDescent="0.55000000000000004">
      <c r="A7" s="41"/>
      <c r="B7" s="44"/>
      <c r="C7" s="44"/>
      <c r="D7" s="34" t="s">
        <v>15</v>
      </c>
      <c r="E7" s="35"/>
      <c r="F7" s="36"/>
      <c r="G7" s="34" t="s">
        <v>16</v>
      </c>
      <c r="H7" s="35"/>
      <c r="I7" s="36"/>
      <c r="J7" s="34" t="s">
        <v>17</v>
      </c>
      <c r="K7" s="35"/>
      <c r="L7" s="36"/>
      <c r="M7" s="34" t="s">
        <v>18</v>
      </c>
      <c r="N7" s="35"/>
      <c r="O7" s="36"/>
      <c r="P7" s="34" t="s">
        <v>19</v>
      </c>
      <c r="Q7" s="35"/>
      <c r="R7" s="36"/>
      <c r="S7" s="34" t="s">
        <v>20</v>
      </c>
      <c r="T7" s="35"/>
      <c r="U7" s="36"/>
      <c r="V7" s="34" t="s">
        <v>21</v>
      </c>
      <c r="W7" s="35"/>
      <c r="X7" s="36"/>
      <c r="Y7" s="34" t="s">
        <v>22</v>
      </c>
      <c r="Z7" s="35"/>
      <c r="AA7" s="36"/>
      <c r="AB7" s="34" t="s">
        <v>23</v>
      </c>
      <c r="AC7" s="35"/>
      <c r="AD7" s="36"/>
      <c r="AE7" s="47" t="s">
        <v>24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25</v>
      </c>
      <c r="B9" s="8">
        <v>638</v>
      </c>
      <c r="C9" s="8" t="s">
        <v>81</v>
      </c>
      <c r="D9" s="22"/>
      <c r="E9" s="22"/>
      <c r="F9" s="22"/>
      <c r="G9" s="22"/>
      <c r="H9" s="22"/>
      <c r="I9" s="22"/>
      <c r="J9" s="22">
        <v>10</v>
      </c>
      <c r="K9" s="22">
        <v>64</v>
      </c>
      <c r="L9" s="22">
        <v>64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138</v>
      </c>
    </row>
    <row r="10" spans="1:32" x14ac:dyDescent="0.55000000000000004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14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10</v>
      </c>
      <c r="K59" s="23">
        <f t="shared" si="1"/>
        <v>64</v>
      </c>
      <c r="L59" s="23">
        <f t="shared" si="1"/>
        <v>64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138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A10:A58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>
      <selection activeCell="J18" sqref="J18"/>
    </sheetView>
  </sheetViews>
  <sheetFormatPr defaultColWidth="8.08203125" defaultRowHeight="12.5" x14ac:dyDescent="0.55000000000000004"/>
  <cols>
    <col min="1" max="1" width="14.58203125" style="2" customWidth="1"/>
    <col min="2" max="2" width="7.75" style="2" customWidth="1"/>
    <col min="3" max="3" width="14.58203125" style="2" customWidth="1"/>
    <col min="4" max="31" width="8.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26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5"/>
      <c r="C3" s="26"/>
      <c r="D3" s="10" t="s">
        <v>3</v>
      </c>
      <c r="E3" s="25" t="str">
        <f>社員工数!E3</f>
        <v>次世代研SWANシステム 縮小版共通基盤移行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4</v>
      </c>
      <c r="B4" s="25" t="s">
        <v>27</v>
      </c>
      <c r="C4" s="26"/>
      <c r="D4" s="11" t="s">
        <v>6</v>
      </c>
      <c r="E4" s="48">
        <f>社員工数!E4</f>
        <v>0</v>
      </c>
      <c r="F4" s="48"/>
      <c r="G4" s="11" t="s">
        <v>7</v>
      </c>
      <c r="H4" s="29">
        <f>社員工数!H4</f>
        <v>138</v>
      </c>
      <c r="I4" s="29"/>
      <c r="J4" s="11" t="s">
        <v>8</v>
      </c>
      <c r="K4" s="49">
        <f>AF59</f>
        <v>3234000</v>
      </c>
      <c r="L4" s="49"/>
      <c r="M4" s="11" t="s">
        <v>9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10</v>
      </c>
      <c r="B6" s="59" t="s">
        <v>28</v>
      </c>
      <c r="C6" s="59" t="s">
        <v>12</v>
      </c>
      <c r="D6" s="62" t="s">
        <v>29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14</v>
      </c>
    </row>
    <row r="7" spans="1:32" s="6" customFormat="1" ht="12" customHeight="1" x14ac:dyDescent="0.55000000000000004">
      <c r="A7" s="57"/>
      <c r="B7" s="60"/>
      <c r="C7" s="60"/>
      <c r="D7" s="53" t="s">
        <v>30</v>
      </c>
      <c r="E7" s="54"/>
      <c r="F7" s="55"/>
      <c r="G7" s="53" t="s">
        <v>31</v>
      </c>
      <c r="H7" s="54"/>
      <c r="I7" s="55"/>
      <c r="J7" s="53" t="s">
        <v>32</v>
      </c>
      <c r="K7" s="54"/>
      <c r="L7" s="55"/>
      <c r="M7" s="53" t="s">
        <v>33</v>
      </c>
      <c r="N7" s="54"/>
      <c r="O7" s="55"/>
      <c r="P7" s="53" t="s">
        <v>34</v>
      </c>
      <c r="Q7" s="54"/>
      <c r="R7" s="55"/>
      <c r="S7" s="53" t="s">
        <v>35</v>
      </c>
      <c r="T7" s="54"/>
      <c r="U7" s="55"/>
      <c r="V7" s="53" t="s">
        <v>36</v>
      </c>
      <c r="W7" s="54"/>
      <c r="X7" s="55"/>
      <c r="Y7" s="53" t="s">
        <v>37</v>
      </c>
      <c r="Z7" s="54"/>
      <c r="AA7" s="55"/>
      <c r="AB7" s="53" t="s">
        <v>38</v>
      </c>
      <c r="AC7" s="54"/>
      <c r="AD7" s="55"/>
      <c r="AE7" s="63" t="s">
        <v>24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39</v>
      </c>
      <c r="B9" s="14"/>
      <c r="C9" s="13" t="s">
        <v>82</v>
      </c>
      <c r="D9" s="13"/>
      <c r="E9" s="13"/>
      <c r="F9" s="13"/>
      <c r="G9" s="13"/>
      <c r="H9" s="13"/>
      <c r="I9" s="13"/>
      <c r="J9" s="13"/>
      <c r="K9" s="13">
        <f t="shared" ref="K9:L9" si="0">810000*0.2</f>
        <v>162000</v>
      </c>
      <c r="L9" s="13">
        <f t="shared" si="0"/>
        <v>162000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324000</v>
      </c>
    </row>
    <row r="10" spans="1:32" x14ac:dyDescent="0.55000000000000004">
      <c r="A10" s="13" t="s">
        <v>39</v>
      </c>
      <c r="B10" s="14"/>
      <c r="C10" s="13" t="s">
        <v>83</v>
      </c>
      <c r="D10" s="13"/>
      <c r="E10" s="13"/>
      <c r="F10" s="13"/>
      <c r="G10" s="13"/>
      <c r="H10" s="13"/>
      <c r="I10" s="13"/>
      <c r="J10" s="13">
        <f>42500/5*1</f>
        <v>8500</v>
      </c>
      <c r="K10" s="13">
        <f>42500/5*4</f>
        <v>34000</v>
      </c>
      <c r="L10" s="13">
        <v>42500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1">SUM(D10:AE10)</f>
        <v>85000</v>
      </c>
    </row>
    <row r="11" spans="1:32" x14ac:dyDescent="0.55000000000000004">
      <c r="A11" s="13" t="s">
        <v>39</v>
      </c>
      <c r="B11" s="14"/>
      <c r="C11" s="13" t="s">
        <v>84</v>
      </c>
      <c r="D11" s="13"/>
      <c r="E11" s="13"/>
      <c r="F11" s="13"/>
      <c r="G11" s="13"/>
      <c r="H11" s="13"/>
      <c r="I11" s="13"/>
      <c r="J11" s="13">
        <f>750000/5*1</f>
        <v>150000</v>
      </c>
      <c r="K11" s="13">
        <f>750000/5*4</f>
        <v>600000</v>
      </c>
      <c r="L11" s="13">
        <v>375000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1"/>
        <v>1125000</v>
      </c>
    </row>
    <row r="12" spans="1:32" x14ac:dyDescent="0.55000000000000004">
      <c r="A12" s="13" t="s">
        <v>39</v>
      </c>
      <c r="B12" s="14"/>
      <c r="C12" s="13" t="s">
        <v>85</v>
      </c>
      <c r="D12" s="13"/>
      <c r="E12" s="13"/>
      <c r="F12" s="13"/>
      <c r="G12" s="13"/>
      <c r="H12" s="13"/>
      <c r="I12" s="13"/>
      <c r="J12" s="13">
        <f>850000/5*1</f>
        <v>170000</v>
      </c>
      <c r="K12" s="13">
        <f>850000/5*4</f>
        <v>680000</v>
      </c>
      <c r="L12" s="13">
        <v>850000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1"/>
        <v>1700000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1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1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1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1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1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1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1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1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1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1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1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1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1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1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1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1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1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1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1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1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1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1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1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1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1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1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1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1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1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1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1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1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1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1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1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1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1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1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1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1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1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1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1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1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1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1"/>
        <v>0</v>
      </c>
    </row>
    <row r="59" spans="1:32" x14ac:dyDescent="0.55000000000000004">
      <c r="A59" s="37" t="s">
        <v>14</v>
      </c>
      <c r="B59" s="38"/>
      <c r="C59" s="39"/>
      <c r="D59" s="15">
        <f>SUM(D9:D58)</f>
        <v>0</v>
      </c>
      <c r="E59" s="15">
        <f t="shared" ref="E59:AF59" si="2">SUM(E9:E58)</f>
        <v>0</v>
      </c>
      <c r="F59" s="15">
        <f t="shared" si="2"/>
        <v>0</v>
      </c>
      <c r="G59" s="15">
        <f t="shared" si="2"/>
        <v>0</v>
      </c>
      <c r="H59" s="15">
        <f t="shared" si="2"/>
        <v>0</v>
      </c>
      <c r="I59" s="15">
        <f t="shared" si="2"/>
        <v>0</v>
      </c>
      <c r="J59" s="15">
        <f t="shared" si="2"/>
        <v>328500</v>
      </c>
      <c r="K59" s="15">
        <f t="shared" si="2"/>
        <v>1476000</v>
      </c>
      <c r="L59" s="15">
        <f t="shared" si="2"/>
        <v>1429500</v>
      </c>
      <c r="M59" s="15">
        <f t="shared" si="2"/>
        <v>0</v>
      </c>
      <c r="N59" s="15">
        <f t="shared" si="2"/>
        <v>0</v>
      </c>
      <c r="O59" s="15">
        <f t="shared" si="2"/>
        <v>0</v>
      </c>
      <c r="P59" s="15">
        <f t="shared" si="2"/>
        <v>0</v>
      </c>
      <c r="Q59" s="15">
        <f t="shared" si="2"/>
        <v>0</v>
      </c>
      <c r="R59" s="15">
        <f t="shared" si="2"/>
        <v>0</v>
      </c>
      <c r="S59" s="15">
        <f t="shared" si="2"/>
        <v>0</v>
      </c>
      <c r="T59" s="15">
        <f t="shared" si="2"/>
        <v>0</v>
      </c>
      <c r="U59" s="15">
        <f t="shared" si="2"/>
        <v>0</v>
      </c>
      <c r="V59" s="15">
        <f t="shared" si="2"/>
        <v>0</v>
      </c>
      <c r="W59" s="15">
        <f t="shared" si="2"/>
        <v>0</v>
      </c>
      <c r="X59" s="15">
        <f t="shared" si="2"/>
        <v>0</v>
      </c>
      <c r="Y59" s="15">
        <f t="shared" si="2"/>
        <v>0</v>
      </c>
      <c r="Z59" s="15">
        <f t="shared" si="2"/>
        <v>0</v>
      </c>
      <c r="AA59" s="15">
        <f t="shared" si="2"/>
        <v>0</v>
      </c>
      <c r="AB59" s="15">
        <f t="shared" si="2"/>
        <v>0</v>
      </c>
      <c r="AC59" s="15">
        <f t="shared" si="2"/>
        <v>0</v>
      </c>
      <c r="AD59" s="15">
        <f t="shared" si="2"/>
        <v>0</v>
      </c>
      <c r="AE59" s="15">
        <f t="shared" si="2"/>
        <v>0</v>
      </c>
      <c r="AF59" s="15">
        <f t="shared" si="2"/>
        <v>3234000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493-FF85-480B-9E12-CE59B977837E}">
  <dimension ref="A1:AF59"/>
  <sheetViews>
    <sheetView tabSelected="1" topLeftCell="C1" zoomScale="130" zoomScaleNormal="130" workbookViewId="0">
      <selection activeCell="H18" sqref="H18"/>
    </sheetView>
  </sheetViews>
  <sheetFormatPr defaultColWidth="8.08203125" defaultRowHeight="12.5" x14ac:dyDescent="0.55000000000000004"/>
  <cols>
    <col min="1" max="1" width="14.58203125" style="2" customWidth="1"/>
    <col min="2" max="2" width="7.75" style="2" customWidth="1"/>
    <col min="3" max="3" width="14.58203125" style="2" customWidth="1"/>
    <col min="4" max="31" width="8.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26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5"/>
      <c r="C3" s="26"/>
      <c r="D3" s="10" t="s">
        <v>3</v>
      </c>
      <c r="E3" s="25" t="str">
        <f>社員工数!E3</f>
        <v>次世代研SWANシステム 縮小版共通基盤移行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4</v>
      </c>
      <c r="B4" s="25" t="s">
        <v>27</v>
      </c>
      <c r="C4" s="26"/>
      <c r="D4" s="11" t="s">
        <v>6</v>
      </c>
      <c r="E4" s="48">
        <f>社員工数!E4</f>
        <v>0</v>
      </c>
      <c r="F4" s="48"/>
      <c r="G4" s="11" t="s">
        <v>7</v>
      </c>
      <c r="H4" s="29">
        <f>社員工数!H4</f>
        <v>138</v>
      </c>
      <c r="I4" s="29"/>
      <c r="J4" s="11" t="s">
        <v>8</v>
      </c>
      <c r="K4" s="49">
        <f>AF59</f>
        <v>3751440</v>
      </c>
      <c r="L4" s="49"/>
      <c r="M4" s="11" t="s">
        <v>9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10</v>
      </c>
      <c r="B6" s="59" t="s">
        <v>28</v>
      </c>
      <c r="C6" s="59" t="s">
        <v>12</v>
      </c>
      <c r="D6" s="62" t="s">
        <v>29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14</v>
      </c>
    </row>
    <row r="7" spans="1:32" s="6" customFormat="1" ht="12" customHeight="1" x14ac:dyDescent="0.55000000000000004">
      <c r="A7" s="57"/>
      <c r="B7" s="60"/>
      <c r="C7" s="60"/>
      <c r="D7" s="53" t="s">
        <v>30</v>
      </c>
      <c r="E7" s="54"/>
      <c r="F7" s="55"/>
      <c r="G7" s="53" t="s">
        <v>31</v>
      </c>
      <c r="H7" s="54"/>
      <c r="I7" s="55"/>
      <c r="J7" s="53" t="s">
        <v>32</v>
      </c>
      <c r="K7" s="54"/>
      <c r="L7" s="55"/>
      <c r="M7" s="53" t="s">
        <v>33</v>
      </c>
      <c r="N7" s="54"/>
      <c r="O7" s="55"/>
      <c r="P7" s="53" t="s">
        <v>34</v>
      </c>
      <c r="Q7" s="54"/>
      <c r="R7" s="55"/>
      <c r="S7" s="53" t="s">
        <v>35</v>
      </c>
      <c r="T7" s="54"/>
      <c r="U7" s="55"/>
      <c r="V7" s="53" t="s">
        <v>36</v>
      </c>
      <c r="W7" s="54"/>
      <c r="X7" s="55"/>
      <c r="Y7" s="53" t="s">
        <v>37</v>
      </c>
      <c r="Z7" s="54"/>
      <c r="AA7" s="55"/>
      <c r="AB7" s="53" t="s">
        <v>38</v>
      </c>
      <c r="AC7" s="54"/>
      <c r="AD7" s="55"/>
      <c r="AE7" s="63" t="s">
        <v>24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39</v>
      </c>
      <c r="B9" s="14"/>
      <c r="C9" s="13" t="s">
        <v>82</v>
      </c>
      <c r="D9" s="13"/>
      <c r="E9" s="13"/>
      <c r="F9" s="13"/>
      <c r="G9" s="13"/>
      <c r="H9" s="13"/>
      <c r="I9" s="13"/>
      <c r="J9" s="13"/>
      <c r="K9" s="13">
        <f>外注費・経費!K9*1.16</f>
        <v>187920</v>
      </c>
      <c r="L9" s="13">
        <f>外注費・経費!L9*1.16</f>
        <v>187920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375840</v>
      </c>
    </row>
    <row r="10" spans="1:32" x14ac:dyDescent="0.55000000000000004">
      <c r="A10" s="13" t="s">
        <v>39</v>
      </c>
      <c r="B10" s="14"/>
      <c r="C10" s="13" t="s">
        <v>83</v>
      </c>
      <c r="D10" s="13"/>
      <c r="E10" s="13"/>
      <c r="F10" s="13"/>
      <c r="G10" s="13"/>
      <c r="H10" s="13"/>
      <c r="I10" s="13"/>
      <c r="J10" s="13">
        <f>外注費・経費!J10*1.16</f>
        <v>9860</v>
      </c>
      <c r="K10" s="13">
        <f>外注費・経費!K10*1.16</f>
        <v>39440</v>
      </c>
      <c r="L10" s="13">
        <f>外注費・経費!L10*1.16</f>
        <v>49300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98600</v>
      </c>
    </row>
    <row r="11" spans="1:32" x14ac:dyDescent="0.55000000000000004">
      <c r="A11" s="13" t="s">
        <v>39</v>
      </c>
      <c r="B11" s="14"/>
      <c r="C11" s="13" t="s">
        <v>84</v>
      </c>
      <c r="D11" s="13"/>
      <c r="E11" s="13"/>
      <c r="F11" s="13"/>
      <c r="G11" s="13"/>
      <c r="H11" s="13"/>
      <c r="I11" s="13"/>
      <c r="J11" s="13">
        <f>外注費・経費!J11*1.16</f>
        <v>174000</v>
      </c>
      <c r="K11" s="13">
        <f>外注費・経費!K11*1.16</f>
        <v>696000</v>
      </c>
      <c r="L11" s="13">
        <f>外注費・経費!L11*1.16</f>
        <v>434999.99999999994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1305000</v>
      </c>
    </row>
    <row r="12" spans="1:32" x14ac:dyDescent="0.55000000000000004">
      <c r="A12" s="13" t="s">
        <v>39</v>
      </c>
      <c r="B12" s="14"/>
      <c r="C12" s="13" t="s">
        <v>85</v>
      </c>
      <c r="D12" s="13"/>
      <c r="E12" s="13"/>
      <c r="F12" s="13"/>
      <c r="G12" s="13"/>
      <c r="H12" s="13"/>
      <c r="I12" s="13"/>
      <c r="J12" s="13">
        <f>外注費・経費!J12*1.16</f>
        <v>197200</v>
      </c>
      <c r="K12" s="13">
        <f>外注費・経費!K12*1.16</f>
        <v>788800</v>
      </c>
      <c r="L12" s="13">
        <f>外注費・経費!L12*1.16</f>
        <v>985999.99999999988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1972000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14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381060</v>
      </c>
      <c r="K59" s="15">
        <f t="shared" si="1"/>
        <v>1712160</v>
      </c>
      <c r="L59" s="15">
        <f t="shared" si="1"/>
        <v>1658220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3751440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23349A-20F9-4F1F-A5D9-D190FE428101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25" style="18" bestFit="1" customWidth="1"/>
    <col min="7" max="7" width="11.08203125" style="18" customWidth="1"/>
    <col min="8" max="8" width="5.75" style="18" customWidth="1"/>
    <col min="9" max="9" width="11.7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55000000000000004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55000000000000004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2fd442da-66a9-4fa6-ba31-eb0d54ad1381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社員工数</vt:lpstr>
      <vt:lpstr>外注費・経費</vt:lpstr>
      <vt:lpstr>外注費・経費 (実行予算)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髙木義尚</cp:lastModifiedBy>
  <cp:revision/>
  <dcterms:created xsi:type="dcterms:W3CDTF">2021-04-22T09:34:49Z</dcterms:created>
  <dcterms:modified xsi:type="dcterms:W3CDTF">2025-10-16T06:11:13Z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