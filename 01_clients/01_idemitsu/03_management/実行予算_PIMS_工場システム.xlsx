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38" documentId="13_ncr:1_{691ADDC3-AE0A-49E0-A32D-8FEE0169258E}" xr6:coauthVersionLast="47" xr6:coauthVersionMax="47" xr10:uidLastSave="{56CA87A5-E775-4646-A7C9-D5465DF2CFB2}"/>
  <bookViews>
    <workbookView xWindow="28680" yWindow="-120" windowWidth="29040" windowHeight="158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<sst xmlns="http://schemas.openxmlformats.org/spreadsheetml/2006/main" count="101" uniqueCount="84">
  <si>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</si>
  <si>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</si>
  <si>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</si>
  <si>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</si>
  <si>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</si>
  <si>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</si>
  <si>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</si>
  <si>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</si>
  <si>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</si>
  <si>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</si>
  <si>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</si>
  <si>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</si>
  <si>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</si>
  <si>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</si>
  <si>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</si>
  <si>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</si>
  <si>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</si>
  <si>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</si>
  <si>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</si>
  <si>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</si>
  <si>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</si>
  <si>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</si>
  <si>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</si>
  <si>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</si>
  <si>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</si>
  <si>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</si>
  <si>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</si>
  <si>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</si>
  <si>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</si>
  <si>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</si>
  <si>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</si>
  <si>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</si>
  <si>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</si>
  <si>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</si>
  <si>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</si>
  <si>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</si>
  <si>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</si>
  <si>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</si>
  <si>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</si>
  <si>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</si>
  <si>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</si>
  <si>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</si>
  <si>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</si>
  <si>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</si>
  <si>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</si>
  <si>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</si>
  <si>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</si>
  <si>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</si>
  <si>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</si>
  <si>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</si>
  <si>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</si>
  <si>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</si>
  <si>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</si>
  <si>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</si>
  <si>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</si>
  <si>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</si>
  <si>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</si>
  <si>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</si>
  <si>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</si>
  <si>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</si>
  <si>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</si>
  <si>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</si>
  <si>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</si>
  <si>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</si>
  <si>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</si>
  <si>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</si>
  <si>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</si>
  <si>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</si>
  <si>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</si>
  <si>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</si>
  <si>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</si>
  <si>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</si>
  <si>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</si>
  <si>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</si>
  <si>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</si>
  <si>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</si>
  <si>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</si>
  <si>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</si>
  <si>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</si>
  <si>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</si>
  <si>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石井徹</t>
    <rPh sb="0" eb="2">
      <t>イシイ</t>
    </rPh>
    <rPh sb="2" eb="3">
      <t>トオル</t>
    </rPh>
    <phoneticPr fontId="3"/>
  </si>
  <si>
    <t>天川絢弥</t>
    <rPh sb="0" eb="2">
      <t>アマカワ</t>
    </rPh>
    <phoneticPr fontId="3"/>
  </si>
  <si>
    <t>馬場勇輝</t>
    <phoneticPr fontId="3"/>
  </si>
  <si>
    <t>姚振翔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</si>
</sst>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59"/>
  <sheetViews>
    <sheetView tabSelected="1" zoomScale="145" zoomScaleNormal="145" workbookViewId="0">
      <selection activeCell="A9" sqref="A9:C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208</v>
      </c>
      <c r="I4" s="29"/>
      <c r="J4" s="5" t="s">
        <v>6</v>
      </c>
      <c r="K4" s="30">
        <f>外注費・経費!K4</f>
        <v>800000</v>
      </c>
      <c r="L4" s="30"/>
      <c r="M4" s="5" t="s">
        <v>7</v>
      </c>
      <c r="N4" s="30">
        <v>0</v>
      </c>
      <c r="O4" s="30"/>
    </row>
    <row r="5" spans="1:32" ht="6" customHeight="1" x14ac:dyDescent="0.55000000000000004"/>
    <row r="6" spans="1:32" s="6" customFormat="1" ht="13" customHeight="1" x14ac:dyDescent="0.5500000000000000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5500000000000000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14</v>
      </c>
      <c r="B9" s="8">
        <v>397</v>
      </c>
      <c r="C9" s="8" t="s">
        <v>80</v>
      </c>
      <c r="D9" s="22"/>
      <c r="E9" s="22"/>
      <c r="F9" s="22"/>
      <c r="G9" s="22"/>
      <c r="H9" s="22">
        <v>20</v>
      </c>
      <c r="I9" s="22"/>
      <c r="J9" s="22">
        <v>20</v>
      </c>
      <c r="K9" s="22">
        <v>20</v>
      </c>
      <c r="L9" s="22">
        <v>20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80</v>
      </c>
    </row>
    <row r="10" spans="1:32" x14ac:dyDescent="0.55000000000000004">
      <c r="A10" s="8" t="s">
        <v>14</v>
      </c>
      <c r="B10" s="8">
        <v>1191</v>
      </c>
      <c r="C10" s="8" t="s">
        <v>81</v>
      </c>
      <c r="D10" s="22"/>
      <c r="E10" s="22"/>
      <c r="F10" s="22"/>
      <c r="G10" s="22"/>
      <c r="H10" s="22"/>
      <c r="I10" s="22"/>
      <c r="J10" s="22"/>
      <c r="K10" s="22">
        <v>32</v>
      </c>
      <c r="L10" s="22">
        <v>32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64</v>
      </c>
    </row>
    <row r="11" spans="1:32" x14ac:dyDescent="0.55000000000000004">
      <c r="A11" s="8" t="s">
        <v>14</v>
      </c>
      <c r="B11" s="8">
        <v>1574</v>
      </c>
      <c r="C11" s="8" t="s">
        <v>82</v>
      </c>
      <c r="D11" s="22"/>
      <c r="E11" s="22"/>
      <c r="F11" s="22"/>
      <c r="G11" s="22"/>
      <c r="H11" s="22"/>
      <c r="I11" s="22"/>
      <c r="J11" s="22"/>
      <c r="K11" s="22">
        <v>32</v>
      </c>
      <c r="L11" s="22">
        <v>32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64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21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20</v>
      </c>
      <c r="I59" s="23">
        <f t="shared" si="1"/>
        <v>0</v>
      </c>
      <c r="J59" s="23">
        <f t="shared" si="1"/>
        <v>20</v>
      </c>
      <c r="K59" s="23">
        <f t="shared" si="1"/>
        <v>84</v>
      </c>
      <c r="L59" s="23">
        <f t="shared" si="1"/>
        <v>84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208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59"/>
  <sheetViews>
    <sheetView workbookViewId="0">
      <selection activeCell="H9" sqref="H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208</v>
      </c>
      <c r="I4" s="29"/>
      <c r="J4" s="11" t="s">
        <v>6</v>
      </c>
      <c r="K4" s="49">
        <f>AF59</f>
        <v>800000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5500000000000000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19</v>
      </c>
      <c r="B9" s="14"/>
      <c r="C9" s="13" t="s">
        <v>83</v>
      </c>
      <c r="D9" s="13"/>
      <c r="E9" s="13"/>
      <c r="F9" s="13"/>
      <c r="G9" s="13"/>
      <c r="H9" s="13">
        <v>800000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800000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800000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800000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38903-DC9D-4960-A6E4-4E213A7CF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A4620B-761B-4291-A80E-C0A9532F7627}">
  <ds:schemaRefs>
    <ds:schemaRef ds:uri="http://purl.org/dc/dcmitype/"/>
    <ds:schemaRef ds:uri="2fd442da-66a9-4fa6-ba31-eb0d54ad1381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8CBDF0-2BF0-4B6A-8162-E39E577B0D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2025-08-04T04:31:28Z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