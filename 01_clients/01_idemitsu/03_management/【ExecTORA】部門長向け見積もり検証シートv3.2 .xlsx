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work\01.業務\01_出光関連\23.四課保守開発\新IRIS操業品質 再構築\"/>
    </mc:Choice>
  </mc:AlternateContent>
  <bookViews>
    <workbookView xWindow="0" yWindow="0" windowWidth="22104" windowHeight="9684" activeTab="1"/>
  </bookViews>
  <sheets>
    <sheet name="使い方" sheetId="2" r:id="rId1"/>
    <sheet name="部門長向け見積もり検証シート" sheetId="1" r:id="rId2"/>
    <sheet name="保守開発見積もり検証シート" sheetId="3" r:id="rId3"/>
    <sheet name="プロジェクト計画シミュレータ"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9" i="4" l="1"/>
  <c r="E19" i="4"/>
  <c r="G18" i="4"/>
  <c r="E18" i="4"/>
  <c r="E15" i="4"/>
  <c r="K6" i="4" s="1"/>
  <c r="D15" i="4"/>
  <c r="F11" i="4" s="1"/>
  <c r="D14" i="4"/>
  <c r="I10" i="4" s="1"/>
  <c r="D13" i="4"/>
  <c r="E13" i="4" s="1"/>
  <c r="H12" i="4" l="1"/>
  <c r="H11" i="4"/>
  <c r="K8" i="4"/>
  <c r="K4" i="4"/>
  <c r="M4" i="4"/>
  <c r="F8" i="4"/>
  <c r="F6" i="4"/>
  <c r="I4" i="4"/>
  <c r="F7" i="4"/>
  <c r="F12" i="4"/>
  <c r="M7" i="4"/>
  <c r="M10" i="4"/>
  <c r="F5" i="4"/>
  <c r="I7" i="4"/>
  <c r="F9" i="4"/>
  <c r="D22" i="4"/>
  <c r="E16" i="4"/>
  <c r="F15" i="4" s="1"/>
  <c r="G16" i="4" l="1"/>
  <c r="B36" i="3" l="1"/>
  <c r="B35" i="3"/>
  <c r="B28" i="3"/>
  <c r="B27" i="3"/>
  <c r="B20" i="3"/>
  <c r="B38" i="3" s="1"/>
  <c r="B42" i="3" s="1"/>
  <c r="B19" i="3"/>
  <c r="B18" i="3"/>
  <c r="B11" i="3"/>
  <c r="B39" i="3" l="1"/>
  <c r="B51" i="3" s="1"/>
  <c r="D38" i="3"/>
  <c r="D42" i="3" s="1"/>
  <c r="B48" i="3" l="1"/>
  <c r="B47" i="3"/>
  <c r="H36" i="3"/>
  <c r="F35" i="3"/>
  <c r="H28" i="3"/>
  <c r="H27" i="3"/>
  <c r="H20" i="3"/>
  <c r="F19" i="3"/>
  <c r="H18" i="3"/>
  <c r="H11" i="3"/>
  <c r="B30" i="1"/>
  <c r="B29" i="1"/>
  <c r="B22" i="1"/>
  <c r="B21" i="1"/>
  <c r="B14" i="1"/>
  <c r="B13" i="1"/>
  <c r="B12" i="1"/>
  <c r="B5" i="1"/>
  <c r="L11" i="3" l="1"/>
  <c r="K11" i="3"/>
  <c r="N11" i="3"/>
  <c r="J11" i="3"/>
  <c r="M11" i="3"/>
  <c r="O36" i="3"/>
  <c r="K36" i="3"/>
  <c r="N36" i="3"/>
  <c r="J36" i="3"/>
  <c r="L36" i="3"/>
  <c r="M36" i="3"/>
  <c r="O28" i="3"/>
  <c r="K28" i="3"/>
  <c r="N28" i="3"/>
  <c r="J28" i="3"/>
  <c r="M28" i="3"/>
  <c r="L28" i="3"/>
  <c r="L27" i="3"/>
  <c r="O27" i="3"/>
  <c r="K27" i="3"/>
  <c r="N27" i="3"/>
  <c r="J27" i="3"/>
  <c r="M27" i="3"/>
  <c r="N20" i="3"/>
  <c r="J20" i="3"/>
  <c r="M20" i="3"/>
  <c r="L20" i="3"/>
  <c r="O20" i="3"/>
  <c r="K20" i="3"/>
  <c r="M18" i="3"/>
  <c r="L18" i="3"/>
  <c r="N18" i="3"/>
  <c r="J18" i="3"/>
  <c r="O18" i="3"/>
  <c r="K18" i="3"/>
  <c r="F20" i="3"/>
  <c r="H19" i="3"/>
  <c r="O11" i="3"/>
  <c r="H35" i="3"/>
  <c r="F36" i="3"/>
  <c r="F11" i="3"/>
  <c r="F27" i="3"/>
  <c r="F18" i="3"/>
  <c r="F28" i="3"/>
  <c r="B33" i="1"/>
  <c r="H29" i="1"/>
  <c r="F29" i="1"/>
  <c r="H30" i="1"/>
  <c r="F30" i="1"/>
  <c r="F22" i="1"/>
  <c r="H22" i="1"/>
  <c r="F21" i="1"/>
  <c r="H21" i="1"/>
  <c r="H12" i="1"/>
  <c r="F12" i="1"/>
  <c r="H13" i="1"/>
  <c r="F13" i="1"/>
  <c r="F14" i="1"/>
  <c r="H14" i="1"/>
  <c r="H5" i="1"/>
  <c r="F5" i="1"/>
  <c r="F56" i="1" l="1"/>
  <c r="F57" i="1" s="1"/>
  <c r="B32" i="1"/>
  <c r="C34" i="1" s="1"/>
  <c r="D32" i="1"/>
  <c r="M35" i="3"/>
  <c r="L35" i="3"/>
  <c r="J35" i="3"/>
  <c r="O35" i="3"/>
  <c r="K35" i="3"/>
  <c r="N35" i="3"/>
  <c r="N19" i="3"/>
  <c r="J19" i="3"/>
  <c r="M19" i="3"/>
  <c r="O19" i="3"/>
  <c r="K19" i="3"/>
  <c r="L19" i="3"/>
  <c r="C40" i="3"/>
  <c r="F39" i="3"/>
  <c r="D53" i="3"/>
  <c r="B43" i="3"/>
  <c r="B55" i="3"/>
  <c r="H39" i="3"/>
  <c r="D49" i="1"/>
  <c r="M29" i="1"/>
  <c r="K29" i="1"/>
  <c r="J29" i="1"/>
  <c r="L29" i="1"/>
  <c r="O29" i="1"/>
  <c r="N29" i="1"/>
  <c r="O30" i="1"/>
  <c r="K30" i="1"/>
  <c r="M30" i="1"/>
  <c r="L30" i="1"/>
  <c r="N30" i="1"/>
  <c r="J30" i="1"/>
  <c r="M21" i="1"/>
  <c r="L21" i="1"/>
  <c r="O21" i="1"/>
  <c r="K21" i="1"/>
  <c r="N21" i="1"/>
  <c r="J21" i="1"/>
  <c r="O22" i="1"/>
  <c r="K22" i="1"/>
  <c r="N22" i="1"/>
  <c r="J22" i="1"/>
  <c r="L22" i="1"/>
  <c r="M22" i="1"/>
  <c r="L13" i="1"/>
  <c r="O13" i="1"/>
  <c r="K13" i="1"/>
  <c r="M13" i="1"/>
  <c r="N13" i="1"/>
  <c r="J13" i="1"/>
  <c r="O14" i="1"/>
  <c r="N14" i="1"/>
  <c r="J14" i="1"/>
  <c r="M14" i="1"/>
  <c r="L14" i="1"/>
  <c r="K14" i="1"/>
  <c r="N12" i="1"/>
  <c r="J12" i="1"/>
  <c r="O12" i="1"/>
  <c r="M12" i="1"/>
  <c r="K12" i="1"/>
  <c r="L12" i="1"/>
  <c r="N5" i="1"/>
  <c r="J5" i="1"/>
  <c r="M5" i="1"/>
  <c r="L5" i="1"/>
  <c r="O5" i="1"/>
  <c r="K5" i="1"/>
  <c r="B45" i="1"/>
  <c r="O39" i="3" l="1"/>
  <c r="K39" i="3"/>
  <c r="N39" i="3"/>
  <c r="J39" i="3"/>
  <c r="L39" i="3"/>
  <c r="M39" i="3"/>
  <c r="J47" i="3"/>
  <c r="H47" i="3"/>
  <c r="B56" i="3"/>
  <c r="N47" i="3"/>
  <c r="F47" i="3"/>
  <c r="L47" i="3"/>
  <c r="G53" i="3"/>
  <c r="F43" i="3"/>
  <c r="H43" i="3"/>
  <c r="N48" i="3"/>
  <c r="F48" i="3"/>
  <c r="L48" i="3"/>
  <c r="J48" i="3"/>
  <c r="H48" i="3"/>
  <c r="B42" i="1"/>
  <c r="F33" i="1"/>
  <c r="H33" i="1"/>
  <c r="B47" i="1"/>
  <c r="B37" i="1"/>
  <c r="G49" i="1" s="1"/>
  <c r="B41" i="1"/>
  <c r="C44" i="3" l="1"/>
  <c r="L43" i="3"/>
  <c r="O43" i="3"/>
  <c r="K43" i="3"/>
  <c r="N43" i="3"/>
  <c r="J43" i="3"/>
  <c r="M43" i="3"/>
  <c r="J42" i="1"/>
  <c r="N42" i="1"/>
  <c r="H42" i="1"/>
  <c r="L42" i="1"/>
  <c r="F42" i="1"/>
  <c r="B52" i="1"/>
  <c r="F41" i="1"/>
  <c r="H41" i="1"/>
  <c r="N41" i="1"/>
  <c r="L41" i="1"/>
  <c r="J41" i="1"/>
  <c r="M33" i="1"/>
  <c r="O33" i="1"/>
  <c r="N33" i="1"/>
  <c r="L33" i="1"/>
  <c r="K33" i="1"/>
  <c r="J33" i="1"/>
  <c r="B36" i="1"/>
  <c r="D36" i="1"/>
  <c r="F37" i="1"/>
  <c r="H37" i="1"/>
  <c r="B51" i="1"/>
  <c r="O37" i="1" l="1"/>
  <c r="K37" i="1"/>
  <c r="N37" i="1"/>
  <c r="J37" i="1"/>
  <c r="M37" i="1"/>
  <c r="L37" i="1"/>
  <c r="C38" i="1"/>
</calcChain>
</file>

<file path=xl/comments1.xml><?xml version="1.0" encoding="utf-8"?>
<comments xmlns="http://schemas.openxmlformats.org/spreadsheetml/2006/main">
  <authors>
    <author>作成者</author>
    <author>相田一英</author>
  </authors>
  <commentList>
    <comment ref="G3" authorId="0" shapeId="0">
      <text>
        <r>
          <rPr>
            <sz val="9"/>
            <color indexed="81"/>
            <rFont val="ＭＳ Ｐゴシック"/>
            <family val="3"/>
            <charset val="128"/>
          </rPr>
          <t>新規開発の場合の工数配分統計値（P75）。
※ P75 なので、国内のプロジェクトの 75％は、この統計値に近い値を取る。
※ ソフトウェア開発データ白書2014-2015</t>
        </r>
      </text>
    </comment>
    <comment ref="H3" authorId="0" shapeId="0">
      <text>
        <r>
          <rPr>
            <sz val="9"/>
            <color indexed="81"/>
            <rFont val="ＭＳ Ｐゴシック"/>
            <family val="3"/>
            <charset val="128"/>
          </rPr>
          <t>改修（改良開発）の場合の工数配分統計値（P75）。
いわゆる保守開発時の数字。
※ P75 なので、国内のプロジェクトの 75％は、この統計値に近い値を取る。
※ ソフトウェア開発データ白書2014-2015</t>
        </r>
      </text>
    </comment>
    <comment ref="J3" authorId="0" shapeId="0">
      <text>
        <r>
          <rPr>
            <b/>
            <sz val="9"/>
            <color indexed="81"/>
            <rFont val="MS P ゴシック"/>
            <family val="3"/>
            <charset val="128"/>
          </rPr>
          <t>ベンダー視点の比率に換算し直している(※概算)</t>
        </r>
      </text>
    </comment>
    <comment ref="L3" authorId="0" shapeId="0">
      <text>
        <r>
          <rPr>
            <sz val="9"/>
            <color indexed="81"/>
            <rFont val="ＭＳ Ｐゴシック"/>
            <family val="3"/>
            <charset val="128"/>
          </rPr>
          <t>JUAS 統計は、調査対象件数は少ないが、長年継続的に調査されており、2012年～2016年まで、概ねこの工期比率に準じた統計値が発表されている。</t>
        </r>
      </text>
    </comment>
    <comment ref="N3" authorId="0" shapeId="0">
      <text>
        <r>
          <rPr>
            <sz val="9"/>
            <color indexed="81"/>
            <rFont val="ＭＳ Ｐゴシック"/>
            <family val="3"/>
            <charset val="128"/>
          </rPr>
          <t>JUAS 統計は、調査対象件数は少ないが、長年継続的に調査されており、2012年～2016年まで、概ねこの工期比率に準じた統計値が発表されている。</t>
        </r>
      </text>
    </comment>
    <comment ref="J4" authorId="0" shapeId="0">
      <text>
        <r>
          <rPr>
            <b/>
            <sz val="9"/>
            <color indexed="81"/>
            <rFont val="MS P ゴシック"/>
            <family val="3"/>
            <charset val="128"/>
          </rPr>
          <t>10～15％の間が妥当で、大型プロジェクトの方が比率は低くなる.</t>
        </r>
      </text>
    </comment>
    <comment ref="G9" authorId="0" shapeId="0">
      <text>
        <r>
          <rPr>
            <sz val="9"/>
            <color indexed="81"/>
            <rFont val="ＭＳ Ｐゴシック"/>
            <family val="3"/>
            <charset val="128"/>
          </rPr>
          <t>IPA 統計ではやや小さく出ているが、当社実績では、多くの場合、性能テストや仕様変更の発生により、結合テストと同等かより大きな工数が必要な場合が多い。
当社では、システムテストは結合テストの 1.2倍程度の工数を確保する事を推奨する。</t>
        </r>
      </text>
    </comment>
    <comment ref="J10" authorId="0" shapeId="0">
      <text>
        <r>
          <rPr>
            <b/>
            <sz val="9"/>
            <color indexed="81"/>
            <rFont val="MS P ゴシック"/>
            <family val="3"/>
            <charset val="128"/>
          </rPr>
          <t>UAT工数の5％がベンダー工数と換算している,</t>
        </r>
      </text>
    </comment>
    <comment ref="H11" authorId="0" shapeId="0">
      <text>
        <r>
          <rPr>
            <sz val="9"/>
            <color indexed="81"/>
            <rFont val="ＭＳ Ｐゴシック"/>
            <family val="3"/>
            <charset val="128"/>
          </rPr>
          <t>データ移行工数が、全体工数に対して、
・8％未満を過小と判定
・20％以上を過大と判定
※ あくまでも参考値
データ移行コストは、場合によっては別契約にした方が良い程、状況によって大きく異るため、統計ベースであっても評価が難しい。</t>
        </r>
      </text>
    </comment>
    <comment ref="H12" authorId="0" shapeId="0">
      <text>
        <r>
          <rPr>
            <sz val="9"/>
            <color indexed="81"/>
            <rFont val="ＭＳ Ｐゴシック"/>
            <family val="3"/>
            <charset val="128"/>
          </rPr>
          <t>管理工数が全体工数に対し、
・10％未満を過小と判定。
・10～20％を妥当と判定。
・20％より大きい場合、妥当ではあるがやや多めと判定。
※ あくまでも参考値。
管理費は本来「工期」「体制」依存。工数比にはあまり意味が無い。正しい数字は別途シミュレーションを行って試算する事。</t>
        </r>
      </text>
    </comment>
    <comment ref="E13" authorId="0" shapeId="0">
      <text>
        <r>
          <rPr>
            <sz val="9"/>
            <color indexed="81"/>
            <rFont val="ＭＳ Ｐゴシック"/>
            <family val="3"/>
            <charset val="128"/>
          </rPr>
          <t>JUAS 統計による要件定義工数評価。
統計的には総工数の 10％以上
（※ プロジェクト規模非依存）</t>
        </r>
      </text>
    </comment>
    <comment ref="F15" authorId="1" shapeId="0">
      <text>
        <r>
          <rPr>
            <sz val="9"/>
            <color indexed="81"/>
            <rFont val="MS P ゴシック"/>
            <family val="3"/>
            <charset val="128"/>
          </rPr>
          <t>JUAS 統計に基いた安全判断。
統計上、最適工期よりも 30％以上工期が短い場合、プロジェクトが失敗する可能性が非常に高くなる。</t>
        </r>
      </text>
    </comment>
    <comment ref="C16" authorId="0" shapeId="0">
      <text>
        <r>
          <rPr>
            <sz val="9"/>
            <color indexed="81"/>
            <rFont val="ＭＳ Ｐゴシック"/>
            <family val="3"/>
            <charset val="128"/>
          </rPr>
          <t>JUAS 統計に基づく最適工期。
＝投入人月の立方根の 2.5 倍
（2004年調査、2013年調査の値を勘案）</t>
        </r>
      </text>
    </comment>
    <comment ref="C18" authorId="0" shapeId="0">
      <text>
        <r>
          <rPr>
            <sz val="9"/>
            <color indexed="81"/>
            <rFont val="ＭＳ Ｐゴシック"/>
            <family val="3"/>
            <charset val="128"/>
          </rPr>
          <t>JUAS 統計による、ユーザーレビューに必要なユーザー側の工数。
→ この工数はユーザー負担になるので、事前に工数確保の申し入れが必要となる。</t>
        </r>
      </text>
    </comment>
    <comment ref="C22" authorId="0" shapeId="0">
      <text>
        <r>
          <rPr>
            <sz val="9"/>
            <color indexed="81"/>
            <rFont val="ＭＳ Ｐゴシック"/>
            <family val="3"/>
            <charset val="128"/>
          </rPr>
          <t>JUAS 統計による、納品後（リリース後）３ヵ月間に検出される欠陥数。
欠陥数＝人月*0.25
(全体の75％のプロジェクトがこの目標を達成している)</t>
        </r>
      </text>
    </comment>
  </commentList>
</comments>
</file>

<file path=xl/sharedStrings.xml><?xml version="1.0" encoding="utf-8"?>
<sst xmlns="http://schemas.openxmlformats.org/spreadsheetml/2006/main" count="452" uniqueCount="228">
  <si>
    <t>画面数＋帳票数から予想される総工数（人月）</t>
    <rPh sb="0" eb="2">
      <t>ガメン</t>
    </rPh>
    <rPh sb="2" eb="3">
      <t>スウ</t>
    </rPh>
    <rPh sb="4" eb="6">
      <t>チョウヒョウ</t>
    </rPh>
    <rPh sb="6" eb="7">
      <t>スウ</t>
    </rPh>
    <rPh sb="9" eb="11">
      <t>ヨソウ</t>
    </rPh>
    <rPh sb="14" eb="15">
      <t>ソウ</t>
    </rPh>
    <rPh sb="15" eb="17">
      <t>コウスウ</t>
    </rPh>
    <rPh sb="18" eb="20">
      <t>ニンゲツ</t>
    </rPh>
    <phoneticPr fontId="2"/>
  </si>
  <si>
    <t>※NESMA逆算</t>
    <rPh sb="6" eb="8">
      <t>ギャクサン</t>
    </rPh>
    <phoneticPr fontId="2"/>
  </si>
  <si>
    <t>画面数、帳票数、バッチ処理数から予想される総工数（人月）</t>
    <rPh sb="0" eb="2">
      <t>ガメン</t>
    </rPh>
    <rPh sb="2" eb="3">
      <t>スウ</t>
    </rPh>
    <rPh sb="4" eb="6">
      <t>チョウヒョウ</t>
    </rPh>
    <rPh sb="6" eb="7">
      <t>スウ</t>
    </rPh>
    <rPh sb="11" eb="13">
      <t>ショリ</t>
    </rPh>
    <rPh sb="13" eb="14">
      <t>スウ</t>
    </rPh>
    <rPh sb="16" eb="18">
      <t>ヨソウ</t>
    </rPh>
    <rPh sb="21" eb="22">
      <t>ソウ</t>
    </rPh>
    <rPh sb="22" eb="24">
      <t>コウスウ</t>
    </rPh>
    <rPh sb="25" eb="27">
      <t>ニンゲツ</t>
    </rPh>
    <phoneticPr fontId="2"/>
  </si>
  <si>
    <t>画面数＋帳票数から予想される総工数2（人月）</t>
    <rPh sb="0" eb="2">
      <t>ガメン</t>
    </rPh>
    <rPh sb="2" eb="3">
      <t>スウ</t>
    </rPh>
    <rPh sb="4" eb="6">
      <t>チョウヒョウ</t>
    </rPh>
    <rPh sb="6" eb="7">
      <t>スウ</t>
    </rPh>
    <rPh sb="9" eb="11">
      <t>ヨソウ</t>
    </rPh>
    <rPh sb="14" eb="15">
      <t>ソウ</t>
    </rPh>
    <rPh sb="15" eb="17">
      <t>コウスウ</t>
    </rPh>
    <rPh sb="19" eb="21">
      <t>ニンゲツ</t>
    </rPh>
    <phoneticPr fontId="2"/>
  </si>
  <si>
    <t>画面数＋帳票数から予想される総工数3（人月）</t>
    <phoneticPr fontId="2"/>
  </si>
  <si>
    <t>画面数、帳票数、外部I/Fから予想される総工数（人月）</t>
    <rPh sb="0" eb="2">
      <t>ガメン</t>
    </rPh>
    <rPh sb="2" eb="3">
      <t>スウ</t>
    </rPh>
    <rPh sb="4" eb="6">
      <t>チョウヒョウ</t>
    </rPh>
    <rPh sb="6" eb="7">
      <t>スウ</t>
    </rPh>
    <rPh sb="8" eb="10">
      <t>ガイブ</t>
    </rPh>
    <rPh sb="15" eb="17">
      <t>ヨソウ</t>
    </rPh>
    <rPh sb="20" eb="21">
      <t>ソウ</t>
    </rPh>
    <rPh sb="21" eb="23">
      <t>コウスウ</t>
    </rPh>
    <rPh sb="24" eb="26">
      <t>ニンゲツ</t>
    </rPh>
    <phoneticPr fontId="2"/>
  </si>
  <si>
    <t>※JUAS最適工期逆算</t>
    <rPh sb="5" eb="7">
      <t>サイテキ</t>
    </rPh>
    <rPh sb="7" eb="9">
      <t>コウキ</t>
    </rPh>
    <rPh sb="9" eb="11">
      <t>ギャクサン</t>
    </rPh>
    <phoneticPr fontId="2"/>
  </si>
  <si>
    <t>物理テーブル数、外部I/F数から予想される総工数（人月）</t>
    <rPh sb="0" eb="2">
      <t>ブツリ</t>
    </rPh>
    <rPh sb="6" eb="7">
      <t>スウ</t>
    </rPh>
    <rPh sb="8" eb="10">
      <t>ガイブ</t>
    </rPh>
    <rPh sb="13" eb="14">
      <t>スウ</t>
    </rPh>
    <rPh sb="16" eb="18">
      <t>ヨソウ</t>
    </rPh>
    <rPh sb="21" eb="22">
      <t>ソウ</t>
    </rPh>
    <rPh sb="22" eb="24">
      <t>コウスウ</t>
    </rPh>
    <rPh sb="25" eb="27">
      <t>ニンゲツ</t>
    </rPh>
    <phoneticPr fontId="2"/>
  </si>
  <si>
    <t>※NESMA試算（低精度）</t>
    <rPh sb="6" eb="8">
      <t>シサン</t>
    </rPh>
    <rPh sb="9" eb="12">
      <t>テイセイド</t>
    </rPh>
    <phoneticPr fontId="2"/>
  </si>
  <si>
    <t>※NESMA試算（±50％精度）</t>
    <rPh sb="6" eb="8">
      <t>シサン</t>
    </rPh>
    <rPh sb="13" eb="15">
      <t>セイド</t>
    </rPh>
    <phoneticPr fontId="2"/>
  </si>
  <si>
    <t>～</t>
    <phoneticPr fontId="2"/>
  </si>
  <si>
    <t>※参考</t>
    <rPh sb="1" eb="3">
      <t>サンコウ</t>
    </rPh>
    <phoneticPr fontId="2"/>
  </si>
  <si>
    <t>予測される妥当な工数（人月）</t>
    <rPh sb="0" eb="2">
      <t>ヨソク</t>
    </rPh>
    <rPh sb="5" eb="7">
      <t>ダトウ</t>
    </rPh>
    <rPh sb="8" eb="10">
      <t>コウスウ</t>
    </rPh>
    <rPh sb="11" eb="13">
      <t>ニンゲツ</t>
    </rPh>
    <phoneticPr fontId="2"/>
  </si>
  <si>
    <t>予測される妥当な工数から予想される最適工期（ヶ月）</t>
    <rPh sb="12" eb="14">
      <t>ヨソウ</t>
    </rPh>
    <rPh sb="17" eb="19">
      <t>サイテキ</t>
    </rPh>
    <rPh sb="19" eb="21">
      <t>コウキ</t>
    </rPh>
    <rPh sb="23" eb="24">
      <t>ゲツ</t>
    </rPh>
    <phoneticPr fontId="2"/>
  </si>
  <si>
    <t>※JUAS最適工期計算</t>
    <rPh sb="5" eb="7">
      <t>サイテキ</t>
    </rPh>
    <rPh sb="7" eb="9">
      <t>コウキ</t>
    </rPh>
    <rPh sb="9" eb="11">
      <t>ケイサン</t>
    </rPh>
    <phoneticPr fontId="2"/>
  </si>
  <si>
    <t>規模から推定される失敗確率</t>
    <rPh sb="0" eb="2">
      <t>キボ</t>
    </rPh>
    <rPh sb="4" eb="6">
      <t>スイテイ</t>
    </rPh>
    <rPh sb="9" eb="11">
      <t>シッパイ</t>
    </rPh>
    <rPh sb="11" eb="13">
      <t>カクリツ</t>
    </rPh>
    <phoneticPr fontId="2"/>
  </si>
  <si>
    <t>予測される妥当な工数から予想されるファンクションポイント</t>
    <phoneticPr fontId="2"/>
  </si>
  <si>
    <t>※独自係数概算</t>
    <rPh sb="1" eb="3">
      <t>ドクジ</t>
    </rPh>
    <rPh sb="3" eb="5">
      <t>ケイスウ</t>
    </rPh>
    <rPh sb="5" eb="7">
      <t>ガイサン</t>
    </rPh>
    <phoneticPr fontId="2"/>
  </si>
  <si>
    <t>予測される妥当な工数範囲（人月）（±50％範囲）</t>
    <rPh sb="0" eb="2">
      <t>ヨソク</t>
    </rPh>
    <rPh sb="5" eb="7">
      <t>ダトウ</t>
    </rPh>
    <rPh sb="8" eb="10">
      <t>コウスウ</t>
    </rPh>
    <rPh sb="10" eb="12">
      <t>ハンイ</t>
    </rPh>
    <rPh sb="13" eb="15">
      <t>ニンゲツ</t>
    </rPh>
    <rPh sb="21" eb="23">
      <t>ハンイ</t>
    </rPh>
    <phoneticPr fontId="2"/>
  </si>
  <si>
    <t>論理エンティティ数、外部I/F数から予想される総工数（人月）</t>
    <rPh sb="0" eb="2">
      <t>ロンリ</t>
    </rPh>
    <rPh sb="8" eb="9">
      <t>スウ</t>
    </rPh>
    <rPh sb="18" eb="20">
      <t>ヨソウ</t>
    </rPh>
    <rPh sb="23" eb="24">
      <t>ソウ</t>
    </rPh>
    <rPh sb="24" eb="26">
      <t>コウスウ</t>
    </rPh>
    <rPh sb="27" eb="29">
      <t>ニンゲツ</t>
    </rPh>
    <phoneticPr fontId="2"/>
  </si>
  <si>
    <t>要件定義</t>
    <rPh sb="0" eb="2">
      <t>ヨウケン</t>
    </rPh>
    <rPh sb="2" eb="4">
      <t>テイギ</t>
    </rPh>
    <phoneticPr fontId="2"/>
  </si>
  <si>
    <t>基本設計～UAT</t>
    <rPh sb="0" eb="2">
      <t>キホン</t>
    </rPh>
    <rPh sb="2" eb="4">
      <t>セッケイ</t>
    </rPh>
    <phoneticPr fontId="2"/>
  </si>
  <si>
    <t>工期に関するリスク</t>
    <rPh sb="0" eb="2">
      <t>コウキ</t>
    </rPh>
    <rPh sb="3" eb="4">
      <t>カン</t>
    </rPh>
    <phoneticPr fontId="2"/>
  </si>
  <si>
    <t>※JUAS簡易計算(OP法1)</t>
    <rPh sb="5" eb="7">
      <t>カンイ</t>
    </rPh>
    <rPh sb="7" eb="9">
      <t>ケイサン</t>
    </rPh>
    <rPh sb="12" eb="13">
      <t>ホウ</t>
    </rPh>
    <phoneticPr fontId="2"/>
  </si>
  <si>
    <t>※JUAS簡易計算(OP法2)</t>
    <rPh sb="5" eb="7">
      <t>カンイ</t>
    </rPh>
    <rPh sb="7" eb="9">
      <t>ケイサン</t>
    </rPh>
    <phoneticPr fontId="2"/>
  </si>
  <si>
    <t>※JUAS簡易計算(OP法2')</t>
    <rPh sb="5" eb="7">
      <t>カンイ</t>
    </rPh>
    <rPh sb="7" eb="9">
      <t>ケイサン</t>
    </rPh>
    <phoneticPr fontId="2"/>
  </si>
  <si>
    <t>データ移行があった場合に予想される移行工数（人月）</t>
    <rPh sb="3" eb="5">
      <t>イコウ</t>
    </rPh>
    <rPh sb="9" eb="11">
      <t>バアイ</t>
    </rPh>
    <rPh sb="12" eb="14">
      <t>ヨソウ</t>
    </rPh>
    <rPh sb="17" eb="19">
      <t>イコウ</t>
    </rPh>
    <rPh sb="19" eb="21">
      <t>コウスウ</t>
    </rPh>
    <rPh sb="22" eb="24">
      <t>ニンゲツ</t>
    </rPh>
    <phoneticPr fontId="2"/>
  </si>
  <si>
    <r>
      <t>以上</t>
    </r>
    <r>
      <rPr>
        <sz val="11"/>
        <color theme="1"/>
        <rFont val="Yu Gothic"/>
        <family val="3"/>
        <charset val="128"/>
        <scheme val="minor"/>
      </rPr>
      <t xml:space="preserve"> ※ 一般的には開発規模の10％以上が必要だと言われている。</t>
    </r>
    <rPh sb="0" eb="2">
      <t>イジョウ</t>
    </rPh>
    <rPh sb="5" eb="8">
      <t>イッパンテキ</t>
    </rPh>
    <rPh sb="10" eb="12">
      <t>カイハツ</t>
    </rPh>
    <rPh sb="12" eb="14">
      <t>キボ</t>
    </rPh>
    <rPh sb="18" eb="20">
      <t>イジョウ</t>
    </rPh>
    <rPh sb="21" eb="23">
      <t>ヒツヨウ</t>
    </rPh>
    <rPh sb="25" eb="26">
      <t>イ</t>
    </rPh>
    <phoneticPr fontId="2"/>
  </si>
  <si>
    <t>※画面数（CRUD別）を入力. 概ね同等の粒度で定義されていれば機能数で代替も可能</t>
    <rPh sb="1" eb="3">
      <t>ガメン</t>
    </rPh>
    <rPh sb="3" eb="4">
      <t>スウ</t>
    </rPh>
    <rPh sb="9" eb="10">
      <t>ベツ</t>
    </rPh>
    <rPh sb="12" eb="14">
      <t>ニュウリョク</t>
    </rPh>
    <rPh sb="16" eb="17">
      <t>オオム</t>
    </rPh>
    <rPh sb="18" eb="20">
      <t>ドウトウ</t>
    </rPh>
    <rPh sb="21" eb="23">
      <t>リュウド</t>
    </rPh>
    <rPh sb="24" eb="26">
      <t>テイギ</t>
    </rPh>
    <rPh sb="32" eb="34">
      <t>キノウ</t>
    </rPh>
    <rPh sb="34" eb="35">
      <t>スウ</t>
    </rPh>
    <rPh sb="36" eb="38">
      <t>ダイタイ</t>
    </rPh>
    <rPh sb="39" eb="41">
      <t>カノウ</t>
    </rPh>
    <phoneticPr fontId="2"/>
  </si>
  <si>
    <t>※帳票数を入力</t>
    <rPh sb="1" eb="3">
      <t>チョウヒョウ</t>
    </rPh>
    <rPh sb="3" eb="4">
      <t>スウ</t>
    </rPh>
    <rPh sb="5" eb="7">
      <t>ニュウリョク</t>
    </rPh>
    <phoneticPr fontId="2"/>
  </si>
  <si>
    <t>※バッチ処理数を入力</t>
    <rPh sb="4" eb="6">
      <t>ショリ</t>
    </rPh>
    <rPh sb="6" eb="7">
      <t>スウ</t>
    </rPh>
    <rPh sb="8" eb="10">
      <t>ニュウリョク</t>
    </rPh>
    <phoneticPr fontId="2"/>
  </si>
  <si>
    <t>※外部I/F数を入力. 不明時は関連システム数で代替も可能</t>
    <rPh sb="1" eb="3">
      <t>ガイブ</t>
    </rPh>
    <rPh sb="6" eb="7">
      <t>スウ</t>
    </rPh>
    <rPh sb="8" eb="10">
      <t>ニュウリョク</t>
    </rPh>
    <rPh sb="12" eb="14">
      <t>フメイ</t>
    </rPh>
    <rPh sb="14" eb="15">
      <t>ジ</t>
    </rPh>
    <rPh sb="16" eb="18">
      <t>カンレン</t>
    </rPh>
    <rPh sb="22" eb="23">
      <t>スウ</t>
    </rPh>
    <rPh sb="24" eb="26">
      <t>ダイタイ</t>
    </rPh>
    <rPh sb="27" eb="29">
      <t>カノウ</t>
    </rPh>
    <phoneticPr fontId="2"/>
  </si>
  <si>
    <t>※既存システムの物理テーブル数を入力</t>
    <rPh sb="1" eb="3">
      <t>キソン</t>
    </rPh>
    <rPh sb="8" eb="10">
      <t>ブツリ</t>
    </rPh>
    <rPh sb="14" eb="15">
      <t>スウ</t>
    </rPh>
    <rPh sb="16" eb="18">
      <t>ニュウリョク</t>
    </rPh>
    <phoneticPr fontId="2"/>
  </si>
  <si>
    <t>※要求分析を行い論理エンティティ数を入力</t>
    <rPh sb="1" eb="3">
      <t>ヨウキュウ</t>
    </rPh>
    <rPh sb="3" eb="5">
      <t>ブンセキ</t>
    </rPh>
    <rPh sb="6" eb="7">
      <t>オコナ</t>
    </rPh>
    <rPh sb="8" eb="10">
      <t>ロンリ</t>
    </rPh>
    <rPh sb="16" eb="17">
      <t>スウ</t>
    </rPh>
    <rPh sb="18" eb="20">
      <t>ニュウリョク</t>
    </rPh>
    <phoneticPr fontId="2"/>
  </si>
  <si>
    <t>パッケージ/ローコードでの妥当な工数範囲（人月）（±50％範囲）</t>
    <rPh sb="13" eb="15">
      <t>ダトウ</t>
    </rPh>
    <rPh sb="16" eb="18">
      <t>コウスウ</t>
    </rPh>
    <rPh sb="18" eb="20">
      <t>ハンイ</t>
    </rPh>
    <rPh sb="21" eb="23">
      <t>ニンゲツ</t>
    </rPh>
    <rPh sb="29" eb="31">
      <t>ハンイ</t>
    </rPh>
    <phoneticPr fontId="2"/>
  </si>
  <si>
    <t>パッケージ/ローコードでの妥当な工数予測（人月）</t>
    <rPh sb="13" eb="15">
      <t>ダトウ</t>
    </rPh>
    <rPh sb="16" eb="18">
      <t>コウスウ</t>
    </rPh>
    <rPh sb="18" eb="20">
      <t>ヨソク</t>
    </rPh>
    <rPh sb="21" eb="23">
      <t>ニンゲツ</t>
    </rPh>
    <phoneticPr fontId="2"/>
  </si>
  <si>
    <t>■『部門長向け見積もり検証シート』の使い方</t>
    <rPh sb="18" eb="19">
      <t>ツカ</t>
    </rPh>
    <rPh sb="20" eb="21">
      <t>カタ</t>
    </rPh>
    <phoneticPr fontId="2"/>
  </si>
  <si>
    <t>① お客様から提示された要求資料（RFPなど）でまずはスケジュールをチェックします。</t>
    <rPh sb="3" eb="5">
      <t>キャクサマ</t>
    </rPh>
    <rPh sb="7" eb="9">
      <t>テイジ</t>
    </rPh>
    <rPh sb="12" eb="14">
      <t>ヨウキュウ</t>
    </rPh>
    <rPh sb="14" eb="16">
      <t>シリョウ</t>
    </rPh>
    <phoneticPr fontId="2"/>
  </si>
  <si>
    <t>01. 開発工期（ヶ月）</t>
    <rPh sb="4" eb="6">
      <t>カイハツ</t>
    </rPh>
    <rPh sb="6" eb="8">
      <t>コウキ</t>
    </rPh>
    <rPh sb="10" eb="11">
      <t>ゲツ</t>
    </rPh>
    <phoneticPr fontId="2"/>
  </si>
  <si>
    <t>02. 画面数（機能数で代替しても良い）</t>
    <rPh sb="4" eb="6">
      <t>ガメン</t>
    </rPh>
    <rPh sb="6" eb="7">
      <t>スウ</t>
    </rPh>
    <rPh sb="8" eb="10">
      <t>キノウ</t>
    </rPh>
    <rPh sb="10" eb="11">
      <t>スウ</t>
    </rPh>
    <rPh sb="12" eb="14">
      <t>ダイタイ</t>
    </rPh>
    <rPh sb="17" eb="18">
      <t>ヨ</t>
    </rPh>
    <phoneticPr fontId="2"/>
  </si>
  <si>
    <t>03. 帳票数</t>
    <rPh sb="4" eb="6">
      <t>チョウヒョウ</t>
    </rPh>
    <rPh sb="6" eb="7">
      <t>スウ</t>
    </rPh>
    <phoneticPr fontId="2"/>
  </si>
  <si>
    <t>04. バッチ処理数</t>
    <rPh sb="7" eb="9">
      <t>ショリ</t>
    </rPh>
    <rPh sb="9" eb="10">
      <t>スウ</t>
    </rPh>
    <phoneticPr fontId="2"/>
  </si>
  <si>
    <t>05. 外部I/F数</t>
    <rPh sb="4" eb="6">
      <t>ガイブ</t>
    </rPh>
    <rPh sb="9" eb="10">
      <t>スウ</t>
    </rPh>
    <phoneticPr fontId="2"/>
  </si>
  <si>
    <t>07. 論理エンティティ数</t>
    <rPh sb="4" eb="6">
      <t>ロンリ</t>
    </rPh>
    <rPh sb="12" eb="13">
      <t>スウ</t>
    </rPh>
    <phoneticPr fontId="2"/>
  </si>
  <si>
    <t>計算された＜開発工期から予想される総工数（人月）＞が、最適工期から逆算した推定工数です。</t>
    <rPh sb="0" eb="2">
      <t>ケイサン</t>
    </rPh>
    <rPh sb="27" eb="29">
      <t>サイテキ</t>
    </rPh>
    <rPh sb="29" eb="31">
      <t>コウキ</t>
    </rPh>
    <rPh sb="33" eb="35">
      <t>ギャクサン</t>
    </rPh>
    <rPh sb="37" eb="39">
      <t>スイテイ</t>
    </rPh>
    <rPh sb="39" eb="41">
      <t>コウスウ</t>
    </rPh>
    <phoneticPr fontId="2"/>
  </si>
  <si>
    <t>○ 前提</t>
    <rPh sb="2" eb="4">
      <t>ゼンテイ</t>
    </rPh>
    <phoneticPr fontId="2"/>
  </si>
  <si>
    <t>本シートで扱う「工数（人月）」とはシステム規模を表現するために便宜的に使用する単位です。</t>
    <rPh sb="0" eb="1">
      <t>ホン</t>
    </rPh>
    <rPh sb="5" eb="6">
      <t>アツカ</t>
    </rPh>
    <rPh sb="8" eb="10">
      <t>コウスウ</t>
    </rPh>
    <rPh sb="11" eb="13">
      <t>ニンゲツ</t>
    </rPh>
    <rPh sb="21" eb="23">
      <t>キボ</t>
    </rPh>
    <rPh sb="24" eb="26">
      <t>ヒョウゲン</t>
    </rPh>
    <rPh sb="31" eb="34">
      <t>ベンギテキ</t>
    </rPh>
    <rPh sb="35" eb="37">
      <t>シヨウ</t>
    </rPh>
    <rPh sb="39" eb="41">
      <t>タンイ</t>
    </rPh>
    <phoneticPr fontId="2"/>
  </si>
  <si>
    <t>つまり、請負契約での規模見積もりを前提としており、作業時間見積もり等には使用出来ません。</t>
    <rPh sb="4" eb="8">
      <t>ウケオイ</t>
    </rPh>
    <rPh sb="10" eb="12">
      <t>キボ</t>
    </rPh>
    <rPh sb="12" eb="14">
      <t>ミツ</t>
    </rPh>
    <rPh sb="17" eb="19">
      <t>ゼンテイ</t>
    </rPh>
    <rPh sb="25" eb="27">
      <t>サギョウ</t>
    </rPh>
    <rPh sb="27" eb="29">
      <t>ジカン</t>
    </rPh>
    <rPh sb="29" eb="31">
      <t>ミツ</t>
    </rPh>
    <rPh sb="33" eb="34">
      <t>ナド</t>
    </rPh>
    <rPh sb="36" eb="38">
      <t>シヨウ</t>
    </rPh>
    <rPh sb="38" eb="40">
      <t>デキ</t>
    </rPh>
    <phoneticPr fontId="2"/>
  </si>
  <si>
    <t>要件定義／基本設計～UAT の工数・工期比率は IPA の調査データに基づきます。</t>
    <rPh sb="0" eb="2">
      <t>ヨウケン</t>
    </rPh>
    <rPh sb="2" eb="4">
      <t>テイギ</t>
    </rPh>
    <rPh sb="5" eb="7">
      <t>キホン</t>
    </rPh>
    <rPh sb="7" eb="9">
      <t>セッケイ</t>
    </rPh>
    <rPh sb="15" eb="17">
      <t>コウスウ</t>
    </rPh>
    <rPh sb="18" eb="20">
      <t>コウキ</t>
    </rPh>
    <rPh sb="20" eb="22">
      <t>ヒリツ</t>
    </rPh>
    <rPh sb="29" eb="31">
      <t>チョウサ</t>
    </rPh>
    <rPh sb="35" eb="36">
      <t>モト</t>
    </rPh>
    <phoneticPr fontId="2"/>
  </si>
  <si>
    <t>どちらも新規開発（※つまり保守開発ではない）に対するP75 値を元にしています。</t>
    <rPh sb="4" eb="6">
      <t>シンキ</t>
    </rPh>
    <rPh sb="6" eb="8">
      <t>カイハツ</t>
    </rPh>
    <rPh sb="13" eb="15">
      <t>ホシュ</t>
    </rPh>
    <rPh sb="15" eb="17">
      <t>カイハツ</t>
    </rPh>
    <rPh sb="23" eb="24">
      <t>タイ</t>
    </rPh>
    <rPh sb="30" eb="31">
      <t>アタイ</t>
    </rPh>
    <rPh sb="32" eb="33">
      <t>モト</t>
    </rPh>
    <phoneticPr fontId="2"/>
  </si>
  <si>
    <t>② 要求資料で画面数と帳票数を探します。画面はCRUDを分けて数えます。</t>
    <rPh sb="2" eb="4">
      <t>ヨウキュウ</t>
    </rPh>
    <rPh sb="4" eb="6">
      <t>シリョウ</t>
    </rPh>
    <rPh sb="7" eb="9">
      <t>ガメン</t>
    </rPh>
    <rPh sb="9" eb="10">
      <t>スウ</t>
    </rPh>
    <rPh sb="11" eb="13">
      <t>チョウヒョウ</t>
    </rPh>
    <rPh sb="13" eb="14">
      <t>スウ</t>
    </rPh>
    <rPh sb="15" eb="16">
      <t>サガ</t>
    </rPh>
    <rPh sb="20" eb="22">
      <t>ガメン</t>
    </rPh>
    <rPh sb="28" eb="29">
      <t>ワ</t>
    </rPh>
    <rPh sb="31" eb="32">
      <t>カゾ</t>
    </rPh>
    <phoneticPr fontId="2"/>
  </si>
  <si>
    <t>超概算見積もり程度であればこの数字を使用しても問題ありませんが、予算見積もり（※）には使えません。</t>
    <rPh sb="0" eb="3">
      <t>チョウガイサン</t>
    </rPh>
    <rPh sb="3" eb="5">
      <t>ミツ</t>
    </rPh>
    <rPh sb="7" eb="9">
      <t>テイド</t>
    </rPh>
    <rPh sb="15" eb="17">
      <t>スウジ</t>
    </rPh>
    <rPh sb="18" eb="20">
      <t>シヨウ</t>
    </rPh>
    <rPh sb="23" eb="25">
      <t>モンダイ</t>
    </rPh>
    <rPh sb="32" eb="34">
      <t>ヨサン</t>
    </rPh>
    <rPh sb="34" eb="36">
      <t>ミツ</t>
    </rPh>
    <rPh sb="43" eb="44">
      <t>ツカ</t>
    </rPh>
    <phoneticPr fontId="2"/>
  </si>
  <si>
    <t>（※ 理論的／期待精度的には予算見積もりにも使用出来ますが、実証データがありません）</t>
    <rPh sb="3" eb="6">
      <t>リロンテキ</t>
    </rPh>
    <rPh sb="7" eb="9">
      <t>キタイ</t>
    </rPh>
    <rPh sb="9" eb="11">
      <t>セイド</t>
    </rPh>
    <rPh sb="11" eb="12">
      <t>テキ</t>
    </rPh>
    <rPh sb="14" eb="16">
      <t>ヨサン</t>
    </rPh>
    <rPh sb="16" eb="18">
      <t>ミツ</t>
    </rPh>
    <rPh sb="22" eb="24">
      <t>シヨウ</t>
    </rPh>
    <rPh sb="24" eb="26">
      <t>デキ</t>
    </rPh>
    <rPh sb="30" eb="32">
      <t>ジッショウ</t>
    </rPh>
    <phoneticPr fontId="2"/>
  </si>
  <si>
    <t>→ 画面数が発見出来なかった場合は、代替として機能数を使っても構いません。</t>
    <rPh sb="2" eb="4">
      <t>ガメン</t>
    </rPh>
    <rPh sb="4" eb="5">
      <t>スウ</t>
    </rPh>
    <rPh sb="6" eb="8">
      <t>ハッケン</t>
    </rPh>
    <rPh sb="8" eb="10">
      <t>デキ</t>
    </rPh>
    <rPh sb="14" eb="16">
      <t>バアイ</t>
    </rPh>
    <rPh sb="18" eb="20">
      <t>ダイタイ</t>
    </rPh>
    <rPh sb="23" eb="25">
      <t>キノウ</t>
    </rPh>
    <rPh sb="25" eb="26">
      <t>スウ</t>
    </rPh>
    <rPh sb="27" eb="28">
      <t>ツカ</t>
    </rPh>
    <rPh sb="31" eb="32">
      <t>カマ</t>
    </rPh>
    <phoneticPr fontId="2"/>
  </si>
  <si>
    <t>→ バッチ処理数が発見出来なかった場合は、代替として画面数×0.1 程度の数字を入力します。</t>
    <rPh sb="5" eb="7">
      <t>ショリ</t>
    </rPh>
    <rPh sb="7" eb="8">
      <t>スウ</t>
    </rPh>
    <rPh sb="9" eb="11">
      <t>ハッケン</t>
    </rPh>
    <rPh sb="11" eb="13">
      <t>デキ</t>
    </rPh>
    <rPh sb="17" eb="19">
      <t>バアイ</t>
    </rPh>
    <rPh sb="21" eb="23">
      <t>ダイタイ</t>
    </rPh>
    <rPh sb="26" eb="28">
      <t>ガメン</t>
    </rPh>
    <rPh sb="28" eb="29">
      <t>スウ</t>
    </rPh>
    <rPh sb="34" eb="36">
      <t>テイド</t>
    </rPh>
    <rPh sb="37" eb="39">
      <t>スウジ</t>
    </rPh>
    <rPh sb="40" eb="42">
      <t>ニュウリョク</t>
    </rPh>
    <phoneticPr fontId="2"/>
  </si>
  <si>
    <t>外部 I/F 数が発見出来なかった場合は、代替として関連システム数をそのまま入力します。</t>
    <rPh sb="0" eb="2">
      <t>ガイブ</t>
    </rPh>
    <rPh sb="7" eb="8">
      <t>スウ</t>
    </rPh>
    <rPh sb="9" eb="11">
      <t>ハッケン</t>
    </rPh>
    <rPh sb="11" eb="13">
      <t>デキ</t>
    </rPh>
    <rPh sb="17" eb="19">
      <t>バアイ</t>
    </rPh>
    <rPh sb="21" eb="23">
      <t>ダイタイ</t>
    </rPh>
    <rPh sb="26" eb="28">
      <t>カンレン</t>
    </rPh>
    <rPh sb="32" eb="33">
      <t>スウ</t>
    </rPh>
    <rPh sb="38" eb="40">
      <t>ニュウリョク</t>
    </rPh>
    <phoneticPr fontId="2"/>
  </si>
  <si>
    <t>いずれも発見出来なかった場合は空欄のままでも構いません。</t>
    <rPh sb="4" eb="6">
      <t>ハッケン</t>
    </rPh>
    <rPh sb="6" eb="8">
      <t>デキ</t>
    </rPh>
    <rPh sb="12" eb="14">
      <t>バアイ</t>
    </rPh>
    <rPh sb="15" eb="17">
      <t>クウラン</t>
    </rPh>
    <rPh sb="22" eb="23">
      <t>カマ</t>
    </rPh>
    <phoneticPr fontId="2"/>
  </si>
  <si>
    <t>06. 物理テーブル数</t>
    <rPh sb="4" eb="6">
      <t>ブツリ</t>
    </rPh>
    <rPh sb="10" eb="11">
      <t>スウ</t>
    </rPh>
    <phoneticPr fontId="2"/>
  </si>
  <si>
    <t>物理テーブル数は、既存システムが存在する場合のみ有効なメトリクスです。</t>
    <rPh sb="0" eb="6">
      <t>ブツ</t>
    </rPh>
    <rPh sb="6" eb="7">
      <t>スウ</t>
    </rPh>
    <rPh sb="9" eb="11">
      <t>キソン</t>
    </rPh>
    <rPh sb="16" eb="18">
      <t>ソンザイ</t>
    </rPh>
    <rPh sb="20" eb="22">
      <t>バアイ</t>
    </rPh>
    <rPh sb="24" eb="26">
      <t>ユウコウ</t>
    </rPh>
    <phoneticPr fontId="2"/>
  </si>
  <si>
    <t>完全な新規開発の場合は空欄のままで構いません。</t>
    <rPh sb="0" eb="2">
      <t>カンゼン</t>
    </rPh>
    <rPh sb="3" eb="5">
      <t>シンキ</t>
    </rPh>
    <rPh sb="5" eb="7">
      <t>カイハツ</t>
    </rPh>
    <rPh sb="8" eb="10">
      <t>バアイ</t>
    </rPh>
    <rPh sb="11" eb="13">
      <t>クウラン</t>
    </rPh>
    <rPh sb="17" eb="18">
      <t>カマ</t>
    </rPh>
    <phoneticPr fontId="2"/>
  </si>
  <si>
    <t>論理エンティティ数は、要求資料に対し用語分析を行い導き出します。</t>
    <rPh sb="0" eb="2">
      <t>ロンリ</t>
    </rPh>
    <rPh sb="8" eb="9">
      <t>スウ</t>
    </rPh>
    <rPh sb="16" eb="17">
      <t>タイ</t>
    </rPh>
    <rPh sb="18" eb="20">
      <t>ヨウゴ</t>
    </rPh>
    <rPh sb="20" eb="22">
      <t>ブンセキ</t>
    </rPh>
    <rPh sb="23" eb="24">
      <t>オコナ</t>
    </rPh>
    <rPh sb="25" eb="26">
      <t>ミチビ</t>
    </rPh>
    <rPh sb="27" eb="28">
      <t>ダ</t>
    </rPh>
    <phoneticPr fontId="2"/>
  </si>
  <si>
    <t>（※ 稀にお客様の方で分析済みの場合があるので、お客様に確認してみてください）</t>
    <rPh sb="3" eb="4">
      <t>マレ</t>
    </rPh>
    <rPh sb="6" eb="8">
      <t>キャクサマ</t>
    </rPh>
    <rPh sb="9" eb="10">
      <t>ホウ</t>
    </rPh>
    <rPh sb="11" eb="13">
      <t>ブンセキ</t>
    </rPh>
    <rPh sb="13" eb="14">
      <t>ズ</t>
    </rPh>
    <rPh sb="16" eb="18">
      <t>バアイ</t>
    </rPh>
    <rPh sb="25" eb="27">
      <t>キャクサマ</t>
    </rPh>
    <rPh sb="28" eb="30">
      <t>カクニン</t>
    </rPh>
    <phoneticPr fontId="2"/>
  </si>
  <si>
    <r>
      <t>→ 工期を</t>
    </r>
    <r>
      <rPr>
        <b/>
        <sz val="11"/>
        <color rgb="FF0070C0"/>
        <rFont val="Yu Gothic"/>
        <family val="3"/>
        <charset val="128"/>
        <scheme val="minor"/>
      </rPr>
      <t>＜01. 開発工期（ヶ月）＞</t>
    </r>
    <r>
      <rPr>
        <sz val="11"/>
        <color theme="1"/>
        <rFont val="Yu Gothic"/>
        <family val="2"/>
        <scheme val="minor"/>
      </rPr>
      <t>に入力します。</t>
    </r>
    <rPh sb="2" eb="4">
      <t>コウキ</t>
    </rPh>
    <rPh sb="20" eb="22">
      <t>ニュウリョク</t>
    </rPh>
    <phoneticPr fontId="2"/>
  </si>
  <si>
    <r>
      <t>→ それぞれ</t>
    </r>
    <r>
      <rPr>
        <b/>
        <sz val="11"/>
        <color rgb="FF0070C0"/>
        <rFont val="Yu Gothic"/>
        <family val="3"/>
        <charset val="128"/>
        <scheme val="minor"/>
      </rPr>
      <t>＜02. 画面数（機能数で代替しても良い）＞＜03. 帳票数＞</t>
    </r>
    <r>
      <rPr>
        <sz val="11"/>
        <color theme="1"/>
        <rFont val="Yu Gothic"/>
        <family val="2"/>
        <scheme val="minor"/>
      </rPr>
      <t>に入力します。</t>
    </r>
    <rPh sb="38" eb="40">
      <t>ニュウリョク</t>
    </rPh>
    <phoneticPr fontId="2"/>
  </si>
  <si>
    <r>
      <t>→ それぞれ</t>
    </r>
    <r>
      <rPr>
        <b/>
        <sz val="11"/>
        <color rgb="FF0070C0"/>
        <rFont val="Yu Gothic"/>
        <family val="3"/>
        <charset val="128"/>
        <scheme val="minor"/>
      </rPr>
      <t>＜04. バッチ処理数＞＜05. 外部I/F数＞</t>
    </r>
    <r>
      <rPr>
        <sz val="11"/>
        <color theme="1"/>
        <rFont val="Yu Gothic"/>
        <family val="2"/>
        <scheme val="minor"/>
      </rPr>
      <t>に入力します。</t>
    </r>
    <rPh sb="31" eb="33">
      <t>ニュウリョク</t>
    </rPh>
    <phoneticPr fontId="2"/>
  </si>
  <si>
    <r>
      <t>→ それぞれ</t>
    </r>
    <r>
      <rPr>
        <b/>
        <sz val="11"/>
        <color rgb="FF0070C0"/>
        <rFont val="Yu Gothic"/>
        <family val="3"/>
        <charset val="128"/>
        <scheme val="minor"/>
      </rPr>
      <t>＜06. 物理テーブル数＞＜07. 論理エンティティ数＞</t>
    </r>
    <r>
      <rPr>
        <sz val="11"/>
        <color theme="1"/>
        <rFont val="Yu Gothic"/>
        <family val="2"/>
        <scheme val="minor"/>
      </rPr>
      <t>に入力します。</t>
    </r>
    <rPh sb="35" eb="37">
      <t>ニュウリョク</t>
    </rPh>
    <phoneticPr fontId="2"/>
  </si>
  <si>
    <t>この段階で三種類の工数予測計算が実行されます。これらは参考データです。</t>
    <rPh sb="2" eb="4">
      <t>ダンカイ</t>
    </rPh>
    <rPh sb="5" eb="6">
      <t>サン</t>
    </rPh>
    <rPh sb="6" eb="8">
      <t>シュルイ</t>
    </rPh>
    <rPh sb="9" eb="11">
      <t>コウスウ</t>
    </rPh>
    <rPh sb="11" eb="13">
      <t>ヨソク</t>
    </rPh>
    <rPh sb="13" eb="15">
      <t>ケイサン</t>
    </rPh>
    <rPh sb="16" eb="18">
      <t>ジッコウ</t>
    </rPh>
    <rPh sb="27" eb="29">
      <t>サンコウ</t>
    </rPh>
    <phoneticPr fontId="2"/>
  </si>
  <si>
    <t>この段階で改めて工数予測計算が実行されます。①よりも若干期待精度が向上しています。</t>
    <rPh sb="2" eb="4">
      <t>ダンカイ</t>
    </rPh>
    <rPh sb="5" eb="6">
      <t>アラタ</t>
    </rPh>
    <rPh sb="8" eb="10">
      <t>コウスウ</t>
    </rPh>
    <rPh sb="10" eb="12">
      <t>ヨソク</t>
    </rPh>
    <rPh sb="12" eb="14">
      <t>ケイサン</t>
    </rPh>
    <rPh sb="15" eb="17">
      <t>ジッコウ</t>
    </rPh>
    <rPh sb="26" eb="28">
      <t>ジャッカン</t>
    </rPh>
    <rPh sb="28" eb="30">
      <t>キタイ</t>
    </rPh>
    <rPh sb="30" eb="32">
      <t>セイド</t>
    </rPh>
    <rPh sb="33" eb="35">
      <t>コウジョウ</t>
    </rPh>
    <phoneticPr fontId="2"/>
  </si>
  <si>
    <t>この段階で改めて工数予測計算が実行されます。①②よりも若干期待精度が向上しています。</t>
    <rPh sb="2" eb="4">
      <t>ダンカイ</t>
    </rPh>
    <rPh sb="5" eb="6">
      <t>アラタ</t>
    </rPh>
    <rPh sb="8" eb="10">
      <t>コウスウ</t>
    </rPh>
    <rPh sb="10" eb="12">
      <t>ヨソク</t>
    </rPh>
    <rPh sb="12" eb="14">
      <t>ケイサン</t>
    </rPh>
    <rPh sb="15" eb="17">
      <t>ジッコウ</t>
    </rPh>
    <rPh sb="27" eb="29">
      <t>ジャッカン</t>
    </rPh>
    <rPh sb="29" eb="31">
      <t>キタイ</t>
    </rPh>
    <rPh sb="31" eb="33">
      <t>セイド</t>
    </rPh>
    <rPh sb="34" eb="36">
      <t>コウジョウ</t>
    </rPh>
    <phoneticPr fontId="2"/>
  </si>
  <si>
    <t>③ 要求資料でバッチ処理数と外部I/F数を探します。</t>
    <rPh sb="2" eb="4">
      <t>ヨウキュウ</t>
    </rPh>
    <rPh sb="4" eb="6">
      <t>シリョウ</t>
    </rPh>
    <rPh sb="10" eb="12">
      <t>ショリ</t>
    </rPh>
    <rPh sb="12" eb="13">
      <t>スウ</t>
    </rPh>
    <rPh sb="13" eb="14">
      <t>カクスウ</t>
    </rPh>
    <rPh sb="14" eb="16">
      <t>ガイブ</t>
    </rPh>
    <rPh sb="19" eb="20">
      <t>スウ</t>
    </rPh>
    <rPh sb="21" eb="22">
      <t>サガ</t>
    </rPh>
    <phoneticPr fontId="2"/>
  </si>
  <si>
    <t>④ 要求資料で物理テーブル数と論理エンティティ数を探します。</t>
    <rPh sb="2" eb="4">
      <t>ヨウキュウ</t>
    </rPh>
    <rPh sb="4" eb="6">
      <t>シリョウ</t>
    </rPh>
    <rPh sb="7" eb="9">
      <t>ブツリ</t>
    </rPh>
    <rPh sb="13" eb="14">
      <t>スウ</t>
    </rPh>
    <rPh sb="14" eb="15">
      <t>カクスウ</t>
    </rPh>
    <rPh sb="15" eb="17">
      <t>ロンリ</t>
    </rPh>
    <rPh sb="23" eb="24">
      <t>スウ</t>
    </rPh>
    <rPh sb="25" eb="26">
      <t>サガ</t>
    </rPh>
    <phoneticPr fontId="2"/>
  </si>
  <si>
    <t>⑤ シートの最後に、①～④ から予測される工数・工期、その他分析結果が表示されます。</t>
    <rPh sb="6" eb="8">
      <t>サイゴ</t>
    </rPh>
    <rPh sb="16" eb="18">
      <t>ヨソク</t>
    </rPh>
    <rPh sb="21" eb="23">
      <t>コウスウ</t>
    </rPh>
    <rPh sb="24" eb="26">
      <t>コウキ</t>
    </rPh>
    <rPh sb="29" eb="30">
      <t>タ</t>
    </rPh>
    <rPh sb="30" eb="32">
      <t>ブンセキ</t>
    </rPh>
    <rPh sb="32" eb="34">
      <t>ケッカ</t>
    </rPh>
    <rPh sb="35" eb="37">
      <t>ヒョウジ</t>
    </rPh>
    <phoneticPr fontId="2"/>
  </si>
  <si>
    <t>この内容を元に、実際に見積もり担当者が提示してきた提案や見積もりを評価します。</t>
    <rPh sb="2" eb="4">
      <t>ナイヨウ</t>
    </rPh>
    <rPh sb="5" eb="6">
      <t>モト</t>
    </rPh>
    <rPh sb="8" eb="10">
      <t>ジッサイ</t>
    </rPh>
    <rPh sb="11" eb="13">
      <t>ミツ</t>
    </rPh>
    <rPh sb="15" eb="18">
      <t>タントウシャ</t>
    </rPh>
    <rPh sb="19" eb="21">
      <t>テイジ</t>
    </rPh>
    <rPh sb="25" eb="27">
      <t>テイアン</t>
    </rPh>
    <rPh sb="28" eb="30">
      <t>ミツ</t>
    </rPh>
    <rPh sb="33" eb="35">
      <t>ヒョウカ</t>
    </rPh>
    <phoneticPr fontId="2"/>
  </si>
  <si>
    <t>NESMA法により計算されるFPから工数へ変換するための係数も、過去にJFPUGが公開したものを使用しています。</t>
    <rPh sb="5" eb="6">
      <t>ホウ</t>
    </rPh>
    <rPh sb="9" eb="11">
      <t>ケイサン</t>
    </rPh>
    <rPh sb="18" eb="20">
      <t>コウスウ</t>
    </rPh>
    <rPh sb="21" eb="23">
      <t>ヘンカン</t>
    </rPh>
    <rPh sb="28" eb="30">
      <t>ケイスウ</t>
    </rPh>
    <rPh sb="32" eb="34">
      <t>カコ</t>
    </rPh>
    <rPh sb="41" eb="43">
      <t>コウカイ</t>
    </rPh>
    <rPh sb="48" eb="50">
      <t>シヨウ</t>
    </rPh>
    <phoneticPr fontId="2"/>
  </si>
  <si>
    <t>つまり本シートによる計算は全て各団体の調査・統計データに基づくものであり、客観的なものです。</t>
    <rPh sb="3" eb="4">
      <t>ホン</t>
    </rPh>
    <rPh sb="10" eb="12">
      <t>ケイサン</t>
    </rPh>
    <rPh sb="13" eb="14">
      <t>スベ</t>
    </rPh>
    <rPh sb="15" eb="16">
      <t>カク</t>
    </rPh>
    <rPh sb="16" eb="18">
      <t>ダンタイ</t>
    </rPh>
    <rPh sb="19" eb="21">
      <t>チョウサ</t>
    </rPh>
    <rPh sb="22" eb="24">
      <t>トウケイ</t>
    </rPh>
    <rPh sb="28" eb="29">
      <t>モト</t>
    </rPh>
    <rPh sb="37" eb="40">
      <t>キャッカンテキ</t>
    </rPh>
    <phoneticPr fontId="2"/>
  </si>
  <si>
    <t>期待精度的にはJUAS系の計算よりもNESMA/JFPUG 系の計算の方が高い事がわかっています。</t>
    <rPh sb="0" eb="2">
      <t>キタイ</t>
    </rPh>
    <rPh sb="2" eb="4">
      <t>セイド</t>
    </rPh>
    <rPh sb="4" eb="5">
      <t>テキ</t>
    </rPh>
    <rPh sb="11" eb="12">
      <t>ケイ</t>
    </rPh>
    <rPh sb="13" eb="15">
      <t>ケイサン</t>
    </rPh>
    <rPh sb="30" eb="31">
      <t>ケイ</t>
    </rPh>
    <rPh sb="32" eb="34">
      <t>ケイサン</t>
    </rPh>
    <rPh sb="35" eb="36">
      <t>ホウ</t>
    </rPh>
    <rPh sb="37" eb="38">
      <t>タカ</t>
    </rPh>
    <rPh sb="39" eb="40">
      <t>コト</t>
    </rPh>
    <phoneticPr fontId="2"/>
  </si>
  <si>
    <t>画面数や帳票数から積算する見積もり方式は(一般的には)低精度で、値が小さく出ます。</t>
    <rPh sb="0" eb="2">
      <t>ガメン</t>
    </rPh>
    <rPh sb="2" eb="3">
      <t>スウ</t>
    </rPh>
    <rPh sb="4" eb="6">
      <t>チョウヒョウ</t>
    </rPh>
    <rPh sb="6" eb="7">
      <t>スウ</t>
    </rPh>
    <rPh sb="9" eb="11">
      <t>セキサン</t>
    </rPh>
    <rPh sb="13" eb="15">
      <t>ミツ</t>
    </rPh>
    <rPh sb="17" eb="19">
      <t>ホウシキ</t>
    </rPh>
    <rPh sb="21" eb="24">
      <t>イッパンテキ</t>
    </rPh>
    <rPh sb="27" eb="30">
      <t>テイセイド</t>
    </rPh>
    <rPh sb="32" eb="33">
      <t>アタイ</t>
    </rPh>
    <rPh sb="34" eb="35">
      <t>チイ</t>
    </rPh>
    <rPh sb="37" eb="38">
      <t>デ</t>
    </rPh>
    <phoneticPr fontId="2"/>
  </si>
  <si>
    <t>原則として、工数がこの±50％範囲外にある見積もりが当社から提出される事はほぼありません。</t>
    <rPh sb="0" eb="2">
      <t>ゲンソク</t>
    </rPh>
    <rPh sb="6" eb="8">
      <t>コウスウ</t>
    </rPh>
    <rPh sb="15" eb="17">
      <t>ハンイ</t>
    </rPh>
    <rPh sb="17" eb="18">
      <t>ガイ</t>
    </rPh>
    <rPh sb="21" eb="23">
      <t>ミツ</t>
    </rPh>
    <rPh sb="26" eb="28">
      <t>トウシャ</t>
    </rPh>
    <rPh sb="30" eb="32">
      <t>テイシュツ</t>
    </rPh>
    <rPh sb="35" eb="36">
      <t>コト</t>
    </rPh>
    <phoneticPr fontId="2"/>
  </si>
  <si>
    <t>当然ですが、理想は予測される妥当な工数よりも大きな見積もりとする事です。</t>
    <rPh sb="0" eb="2">
      <t>トウゼン</t>
    </rPh>
    <rPh sb="6" eb="8">
      <t>リソウ</t>
    </rPh>
    <rPh sb="22" eb="23">
      <t>オオ</t>
    </rPh>
    <rPh sb="25" eb="27">
      <t>ミツ</t>
    </rPh>
    <rPh sb="32" eb="33">
      <t>コト</t>
    </rPh>
    <phoneticPr fontId="2"/>
  </si>
  <si>
    <t>ただし、当社の現実としては予測される妥当な工数よりも小さな数字が提示される事の方が多いです。</t>
    <rPh sb="4" eb="6">
      <t>トウシャ</t>
    </rPh>
    <rPh sb="7" eb="9">
      <t>ゲンジツ</t>
    </rPh>
    <rPh sb="26" eb="27">
      <t>チイ</t>
    </rPh>
    <rPh sb="29" eb="31">
      <t>スウジ</t>
    </rPh>
    <rPh sb="32" eb="34">
      <t>テイジ</t>
    </rPh>
    <rPh sb="37" eb="38">
      <t>コト</t>
    </rPh>
    <rPh sb="39" eb="40">
      <t>ホウ</t>
    </rPh>
    <rPh sb="41" eb="42">
      <t>オオ</t>
    </rPh>
    <phoneticPr fontId="2"/>
  </si>
  <si>
    <t>（小さな数字の場合、利益率が下がりリスクに対する脆弱性が増大します）</t>
    <rPh sb="1" eb="2">
      <t>チイ</t>
    </rPh>
    <rPh sb="4" eb="6">
      <t>スウジ</t>
    </rPh>
    <rPh sb="7" eb="9">
      <t>バアイ</t>
    </rPh>
    <rPh sb="10" eb="13">
      <t>リエ</t>
    </rPh>
    <rPh sb="14" eb="15">
      <t>サ</t>
    </rPh>
    <rPh sb="21" eb="22">
      <t>タイ</t>
    </rPh>
    <rPh sb="24" eb="27">
      <t>ゼイ</t>
    </rPh>
    <rPh sb="28" eb="30">
      <t>ゾウダイ</t>
    </rPh>
    <phoneticPr fontId="2"/>
  </si>
  <si>
    <t>パッケージ/ローコードの場合の数字は、当社実績から得られた基準です。</t>
    <rPh sb="12" eb="14">
      <t>バアイ</t>
    </rPh>
    <rPh sb="15" eb="17">
      <t>スウジ</t>
    </rPh>
    <rPh sb="19" eb="21">
      <t>トウシャ</t>
    </rPh>
    <rPh sb="21" eb="23">
      <t>ジッセキ</t>
    </rPh>
    <rPh sb="25" eb="26">
      <t>エ</t>
    </rPh>
    <rPh sb="29" eb="31">
      <t>キジュン</t>
    </rPh>
    <phoneticPr fontId="2"/>
  </si>
  <si>
    <t>08. 検証対象工数（人月）※担当者が見積もった見積書の実際の工数</t>
    <rPh sb="4" eb="6">
      <t>ケンショウ</t>
    </rPh>
    <rPh sb="6" eb="8">
      <t>タイショウ</t>
    </rPh>
    <rPh sb="8" eb="10">
      <t>コウスウ</t>
    </rPh>
    <rPh sb="11" eb="13">
      <t>ニンゲツ</t>
    </rPh>
    <rPh sb="15" eb="18">
      <t>タントウシャ</t>
    </rPh>
    <rPh sb="19" eb="21">
      <t>ミツ</t>
    </rPh>
    <rPh sb="24" eb="27">
      <t>ミツモリショ</t>
    </rPh>
    <rPh sb="28" eb="30">
      <t>ジッサイ</t>
    </rPh>
    <rPh sb="31" eb="33">
      <t>コウスウ</t>
    </rPh>
    <phoneticPr fontId="2"/>
  </si>
  <si>
    <t>09. 検証対象工数（人月）※担当者が見積もった見積書の実際の工数</t>
    <rPh sb="4" eb="6">
      <t>ケンショウ</t>
    </rPh>
    <rPh sb="6" eb="8">
      <t>タイショウ</t>
    </rPh>
    <rPh sb="8" eb="10">
      <t>コウスウ</t>
    </rPh>
    <rPh sb="11" eb="13">
      <t>ニンゲツ</t>
    </rPh>
    <phoneticPr fontId="2"/>
  </si>
  <si>
    <t>↑ お客様が提示した工期をそのまま入力します。</t>
    <rPh sb="3" eb="5">
      <t>キャクサマ</t>
    </rPh>
    <rPh sb="6" eb="8">
      <t>テイジ</t>
    </rPh>
    <rPh sb="10" eb="12">
      <t>コウキ</t>
    </rPh>
    <rPh sb="17" eb="19">
      <t>ニュウリョク</t>
    </rPh>
    <phoneticPr fontId="2"/>
  </si>
  <si>
    <t>↓ JUAS最適工期計算から逆算し、その工期で計画すべき最適なソフトウェア規模を予測します。</t>
    <rPh sb="6" eb="8">
      <t>サイテキ</t>
    </rPh>
    <rPh sb="8" eb="10">
      <t>コウキ</t>
    </rPh>
    <rPh sb="10" eb="12">
      <t>ケイサン</t>
    </rPh>
    <rPh sb="14" eb="16">
      <t>ギャクサン</t>
    </rPh>
    <rPh sb="20" eb="22">
      <t>コウキ</t>
    </rPh>
    <rPh sb="23" eb="25">
      <t>ケイカク</t>
    </rPh>
    <rPh sb="28" eb="30">
      <t>サイテキ</t>
    </rPh>
    <rPh sb="37" eb="39">
      <t>キボ</t>
    </rPh>
    <rPh sb="40" eb="42">
      <t>ヨソク</t>
    </rPh>
    <phoneticPr fontId="2"/>
  </si>
  <si>
    <t>↑ 機能一覧(CRUD単位)の機能数をそのまま入力します。不明な場合は、期待精度は落ちますが画面数でも
    構いません。帳表数は不明の場合は空欄でも構いません。</t>
    <rPh sb="2" eb="4">
      <t>キノウ</t>
    </rPh>
    <rPh sb="4" eb="6">
      <t>イチラン</t>
    </rPh>
    <rPh sb="11" eb="13">
      <t>タンイ</t>
    </rPh>
    <rPh sb="15" eb="17">
      <t>キノウ</t>
    </rPh>
    <rPh sb="17" eb="18">
      <t>スウ</t>
    </rPh>
    <rPh sb="23" eb="25">
      <t>ニュウリョク</t>
    </rPh>
    <rPh sb="29" eb="31">
      <t>フメイ</t>
    </rPh>
    <rPh sb="32" eb="34">
      <t>バアイ</t>
    </rPh>
    <rPh sb="36" eb="38">
      <t>キタイ</t>
    </rPh>
    <rPh sb="38" eb="40">
      <t>セイド</t>
    </rPh>
    <rPh sb="41" eb="42">
      <t>オ</t>
    </rPh>
    <rPh sb="46" eb="48">
      <t>ガメン</t>
    </rPh>
    <rPh sb="48" eb="49">
      <t>スウ</t>
    </rPh>
    <rPh sb="56" eb="57">
      <t>カマ</t>
    </rPh>
    <rPh sb="62" eb="64">
      <t>チョウヒョウ</t>
    </rPh>
    <rPh sb="64" eb="65">
      <t>スウ</t>
    </rPh>
    <rPh sb="66" eb="68">
      <t>フメイ</t>
    </rPh>
    <rPh sb="69" eb="71">
      <t>バアイ</t>
    </rPh>
    <rPh sb="72" eb="74">
      <t>クウラン</t>
    </rPh>
    <rPh sb="76" eb="81">
      <t>カマ</t>
    </rPh>
    <phoneticPr fontId="2"/>
  </si>
  <si>
    <t>↓ オブジェクトポイント法２種、FP法（NESMA法）１種で工数予測を行います。
    対象工程は要件定義～ユーザーテストです。</t>
    <rPh sb="12" eb="13">
      <t>ホウ</t>
    </rPh>
    <rPh sb="14" eb="15">
      <t>シュ</t>
    </rPh>
    <rPh sb="18" eb="19">
      <t>ホウ</t>
    </rPh>
    <rPh sb="25" eb="26">
      <t>ホウ</t>
    </rPh>
    <rPh sb="28" eb="29">
      <t>シュ</t>
    </rPh>
    <rPh sb="30" eb="32">
      <t>コウスウ</t>
    </rPh>
    <rPh sb="32" eb="34">
      <t>ヨソク</t>
    </rPh>
    <rPh sb="35" eb="36">
      <t>オコナ</t>
    </rPh>
    <rPh sb="45" eb="47">
      <t>タイショウ</t>
    </rPh>
    <rPh sb="47" eb="49">
      <t>コウテイ</t>
    </rPh>
    <rPh sb="50" eb="52">
      <t>ヨウケン</t>
    </rPh>
    <rPh sb="52" eb="54">
      <t>テイギ</t>
    </rPh>
    <phoneticPr fontId="2"/>
  </si>
  <si>
    <t>↑ バッチ処理とはいわゆるストアドプロシージャのような独立したアプリケーションの事です。
    外部 I/F 数は、はっきりしない場合は関連する周辺システム数をそのまま入力してください。</t>
    <rPh sb="5" eb="7">
      <t>ショリ</t>
    </rPh>
    <rPh sb="27" eb="29">
      <t>ドクリツ</t>
    </rPh>
    <rPh sb="40" eb="41">
      <t>コト</t>
    </rPh>
    <rPh sb="49" eb="51">
      <t>ガイブ</t>
    </rPh>
    <rPh sb="56" eb="57">
      <t>スウ</t>
    </rPh>
    <rPh sb="66" eb="68">
      <t>バアイ</t>
    </rPh>
    <rPh sb="69" eb="71">
      <t>カンレン</t>
    </rPh>
    <rPh sb="73" eb="75">
      <t>シュウヘン</t>
    </rPh>
    <rPh sb="79" eb="80">
      <t>スウ</t>
    </rPh>
    <rPh sb="85" eb="87">
      <t>ニュウリョク</t>
    </rPh>
    <phoneticPr fontId="2"/>
  </si>
  <si>
    <t>↓ オブジェクトポイント法２種の工数予測再計算を行います。02,03 より若干期待精度が向上します。
    対象工程は要件定義～ユーザーテストです。</t>
    <rPh sb="12" eb="13">
      <t>ホウ</t>
    </rPh>
    <rPh sb="14" eb="15">
      <t>シュ</t>
    </rPh>
    <rPh sb="16" eb="18">
      <t>コウスウ</t>
    </rPh>
    <rPh sb="18" eb="20">
      <t>ヨソク</t>
    </rPh>
    <rPh sb="20" eb="23">
      <t>サイケイサン</t>
    </rPh>
    <rPh sb="24" eb="25">
      <t>オコナ</t>
    </rPh>
    <rPh sb="37" eb="39">
      <t>ジャッカン</t>
    </rPh>
    <rPh sb="39" eb="41">
      <t>キタイ</t>
    </rPh>
    <rPh sb="41" eb="43">
      <t>セイド</t>
    </rPh>
    <rPh sb="44" eb="46">
      <t>コウジョウ</t>
    </rPh>
    <rPh sb="55" eb="57">
      <t>タイショウ</t>
    </rPh>
    <rPh sb="57" eb="59">
      <t>コウテイ</t>
    </rPh>
    <rPh sb="60" eb="62">
      <t>ヨウケン</t>
    </rPh>
    <rPh sb="62" eb="64">
      <t>テイギ</t>
    </rPh>
    <phoneticPr fontId="2"/>
  </si>
  <si>
    <t>↑ 物理テーブル数では若干期待精度が低くなります。論理エンティティ数は、いわゆる概念或いは論理
   データモデル上のエンティティ数で、NESMA法本来の期待精度を得る事が出来ます。</t>
    <rPh sb="73" eb="74">
      <t>ホウ</t>
    </rPh>
    <rPh sb="74" eb="76">
      <t>ホンライ</t>
    </rPh>
    <rPh sb="77" eb="79">
      <t>キタイ</t>
    </rPh>
    <rPh sb="79" eb="81">
      <t>セイド</t>
    </rPh>
    <rPh sb="82" eb="83">
      <t>エ</t>
    </rPh>
    <rPh sb="84" eb="85">
      <t>コト</t>
    </rPh>
    <rPh sb="86" eb="88">
      <t>デキ</t>
    </rPh>
    <phoneticPr fontId="2"/>
  </si>
  <si>
    <t>↓ FP法（NESMA法）１種で、期待精度の異なる２つの工数予測を行います。
    対象工程は要件定義～ユーザーテストです。</t>
    <rPh sb="4" eb="5">
      <t>ホウ</t>
    </rPh>
    <rPh sb="11" eb="12">
      <t>ホウ</t>
    </rPh>
    <rPh sb="14" eb="15">
      <t>シュ</t>
    </rPh>
    <rPh sb="17" eb="19">
      <t>キタイ</t>
    </rPh>
    <rPh sb="19" eb="21">
      <t>セイド</t>
    </rPh>
    <rPh sb="22" eb="23">
      <t>コト</t>
    </rPh>
    <rPh sb="28" eb="30">
      <t>コウスウ</t>
    </rPh>
    <rPh sb="34" eb="36">
      <t>タイショウ</t>
    </rPh>
    <rPh sb="36" eb="38">
      <t>コウテイ</t>
    </rPh>
    <rPh sb="39" eb="41">
      <t>ヨウケン</t>
    </rPh>
    <rPh sb="41" eb="43">
      <t>テイギ</t>
    </rPh>
    <phoneticPr fontId="2"/>
  </si>
  <si>
    <t>↑ スクラッチ開発の場合はこちらを使用。別の手法で得られた工数を入力すると、上記シミュレーション
    結果と比較し簡易評価を表示します。</t>
    <rPh sb="7" eb="9">
      <t>カイハツ</t>
    </rPh>
    <rPh sb="10" eb="12">
      <t>バアイ</t>
    </rPh>
    <rPh sb="17" eb="19">
      <t>シヨウ</t>
    </rPh>
    <rPh sb="20" eb="21">
      <t>ベツ</t>
    </rPh>
    <rPh sb="22" eb="24">
      <t>シュホウ</t>
    </rPh>
    <rPh sb="25" eb="26">
      <t>エ</t>
    </rPh>
    <rPh sb="29" eb="31">
      <t>コウスウ</t>
    </rPh>
    <rPh sb="32" eb="34">
      <t>ニュウリョク</t>
    </rPh>
    <rPh sb="38" eb="40">
      <t>ジョウキ</t>
    </rPh>
    <rPh sb="53" eb="55">
      <t>ケッカ</t>
    </rPh>
    <rPh sb="56" eb="58">
      <t>ヒカク</t>
    </rPh>
    <rPh sb="59" eb="61">
      <t>カンイ</t>
    </rPh>
    <rPh sb="61" eb="63">
      <t>ヒョウカ</t>
    </rPh>
    <rPh sb="64" eb="66">
      <t>ヒョウジ</t>
    </rPh>
    <phoneticPr fontId="2"/>
  </si>
  <si>
    <t>↑ スクラッチ開発の工数予測数字を元に最適工数を計算します。
    工期下限を下回ったプロジェクトは高確率で炎上しますので注意が必要です。</t>
    <rPh sb="10" eb="12">
      <t>コウスウ</t>
    </rPh>
    <rPh sb="12" eb="14">
      <t>ヨソク</t>
    </rPh>
    <rPh sb="14" eb="16">
      <t>スウジ</t>
    </rPh>
    <rPh sb="17" eb="18">
      <t>モト</t>
    </rPh>
    <rPh sb="19" eb="21">
      <t>サイテキ</t>
    </rPh>
    <rPh sb="21" eb="23">
      <t>コウスウ</t>
    </rPh>
    <rPh sb="24" eb="26">
      <t>ケイサン</t>
    </rPh>
    <rPh sb="35" eb="37">
      <t>コウキ</t>
    </rPh>
    <rPh sb="37" eb="39">
      <t>カゲン</t>
    </rPh>
    <rPh sb="40" eb="42">
      <t>シタマワ</t>
    </rPh>
    <rPh sb="51" eb="54">
      <t>コウカクリツ</t>
    </rPh>
    <rPh sb="55" eb="57">
      <t>エンジョウ</t>
    </rPh>
    <rPh sb="62" eb="64">
      <t>チュウイ</t>
    </rPh>
    <rPh sb="65" eb="67">
      <t>ヒツヨウ</t>
    </rPh>
    <phoneticPr fontId="2"/>
  </si>
  <si>
    <t>↓ その他一般的に言われているメトリクスを概算します。</t>
    <rPh sb="4" eb="5">
      <t>タ</t>
    </rPh>
    <rPh sb="5" eb="8">
      <t>イッパンテキ</t>
    </rPh>
    <rPh sb="9" eb="10">
      <t>イ</t>
    </rPh>
    <rPh sb="21" eb="23">
      <t>ガイサン</t>
    </rPh>
    <phoneticPr fontId="2"/>
  </si>
  <si>
    <r>
      <t>同、工期下限（ヶ月）</t>
    </r>
    <r>
      <rPr>
        <b/>
        <sz val="11"/>
        <color rgb="FFFF0000"/>
        <rFont val="Yu Gothic"/>
        <family val="3"/>
        <charset val="128"/>
        <scheme val="minor"/>
      </rPr>
      <t>（※これ以下は原則許容出来ない）</t>
    </r>
    <rPh sb="0" eb="1">
      <t>ドウ</t>
    </rPh>
    <rPh sb="2" eb="4">
      <t>コウキ</t>
    </rPh>
    <rPh sb="4" eb="6">
      <t>カゲン</t>
    </rPh>
    <rPh sb="8" eb="9">
      <t>ゲツ</t>
    </rPh>
    <rPh sb="14" eb="16">
      <t>イカ</t>
    </rPh>
    <rPh sb="17" eb="19">
      <t>ゲンソク</t>
    </rPh>
    <rPh sb="19" eb="21">
      <t>キョヨウ</t>
    </rPh>
    <rPh sb="21" eb="23">
      <t>デキ</t>
    </rPh>
    <phoneticPr fontId="2"/>
  </si>
  <si>
    <t>何らかの問題がある可能性がありますので、リスクドライバとしての可能性を考慮すべきです。</t>
    <rPh sb="0" eb="1">
      <t>ナン</t>
    </rPh>
    <rPh sb="4" eb="6">
      <t>モンダイ</t>
    </rPh>
    <rPh sb="9" eb="12">
      <t>カノウセイ</t>
    </rPh>
    <rPh sb="31" eb="34">
      <t>カノウセイ</t>
    </rPh>
    <rPh sb="35" eb="37">
      <t>コウリョ</t>
    </rPh>
    <phoneticPr fontId="2"/>
  </si>
  <si>
    <t>この段階で、③ で計算された数字と ④ の数字が大きく乖離する場合、分析対象のシステムに設計上の</t>
    <rPh sb="2" eb="4">
      <t>ダンカイ</t>
    </rPh>
    <rPh sb="9" eb="11">
      <t>ケイサン</t>
    </rPh>
    <rPh sb="14" eb="16">
      <t>スウジ</t>
    </rPh>
    <rPh sb="21" eb="23">
      <t>スウジ</t>
    </rPh>
    <rPh sb="24" eb="25">
      <t>オオ</t>
    </rPh>
    <rPh sb="27" eb="29">
      <t>カイリ</t>
    </rPh>
    <rPh sb="31" eb="33">
      <t>バアイ</t>
    </rPh>
    <rPh sb="34" eb="36">
      <t>ブンセキ</t>
    </rPh>
    <rPh sb="36" eb="38">
      <t>タイショウ</t>
    </rPh>
    <phoneticPr fontId="2"/>
  </si>
  <si>
    <t>（※ 特にデータ移行のコストを大きく肥大させるリスクがあります）</t>
    <rPh sb="3" eb="4">
      <t>トク</t>
    </rPh>
    <rPh sb="8" eb="10">
      <t>イコウ</t>
    </rPh>
    <rPh sb="15" eb="16">
      <t>オオ</t>
    </rPh>
    <rPh sb="18" eb="20">
      <t>ヒダイ</t>
    </rPh>
    <phoneticPr fontId="2"/>
  </si>
  <si>
    <t>ほぼ下限の見積もりが提示される事がままありますが、かなり高確率でトラブルが発生しています。</t>
    <rPh sb="2" eb="4">
      <t>カゲン</t>
    </rPh>
    <rPh sb="5" eb="7">
      <t>ミツ</t>
    </rPh>
    <rPh sb="10" eb="12">
      <t>テイジ</t>
    </rPh>
    <rPh sb="15" eb="16">
      <t>コト</t>
    </rPh>
    <rPh sb="28" eb="31">
      <t>コウカクリ</t>
    </rPh>
    <rPh sb="37" eb="39">
      <t>ハッセイ</t>
    </rPh>
    <phoneticPr fontId="2"/>
  </si>
  <si>
    <t>参考</t>
    <rPh sb="0" eb="2">
      <t>サンコウ</t>
    </rPh>
    <phoneticPr fontId="2"/>
  </si>
  <si>
    <t>基本設計</t>
    <rPh sb="0" eb="2">
      <t>キホン</t>
    </rPh>
    <rPh sb="2" eb="4">
      <t>セッケイ</t>
    </rPh>
    <phoneticPr fontId="2"/>
  </si>
  <si>
    <t>詳細設計</t>
    <rPh sb="0" eb="2">
      <t>ショウサイ</t>
    </rPh>
    <rPh sb="2" eb="4">
      <t>セッケイ</t>
    </rPh>
    <phoneticPr fontId="2"/>
  </si>
  <si>
    <t>製造+UT</t>
    <rPh sb="0" eb="2">
      <t>セイゾウ</t>
    </rPh>
    <phoneticPr fontId="2"/>
  </si>
  <si>
    <t>結合テスト</t>
    <rPh sb="0" eb="2">
      <t>ケツゴウ</t>
    </rPh>
    <phoneticPr fontId="2"/>
  </si>
  <si>
    <t>システムテスト</t>
    <phoneticPr fontId="2"/>
  </si>
  <si>
    <t>UAT</t>
    <phoneticPr fontId="2"/>
  </si>
  <si>
    <t>s</t>
    <phoneticPr fontId="2"/>
  </si>
  <si>
    <t>↑ パッケージカスタマイズ或いはローコード開発の場合はこちらを使用。上記シミュレーションの
   結果を再シミュレーションした結果と、別の手法で得られた工数を比較し簡易評価を表示します。</t>
    <rPh sb="24" eb="26">
      <t>バアイ</t>
    </rPh>
    <rPh sb="31" eb="33">
      <t>シヨウ</t>
    </rPh>
    <rPh sb="34" eb="36">
      <t>ジョウキ</t>
    </rPh>
    <rPh sb="49" eb="51">
      <t>ケッカ</t>
    </rPh>
    <rPh sb="52" eb="53">
      <t>サイ</t>
    </rPh>
    <rPh sb="63" eb="65">
      <t>ケッカ</t>
    </rPh>
    <rPh sb="67" eb="68">
      <t>ベツ</t>
    </rPh>
    <rPh sb="69" eb="71">
      <t>シュホウ</t>
    </rPh>
    <rPh sb="72" eb="73">
      <t>エ</t>
    </rPh>
    <rPh sb="76" eb="78">
      <t>コウスウ</t>
    </rPh>
    <rPh sb="79" eb="81">
      <t>ヒカク</t>
    </rPh>
    <rPh sb="82" eb="84">
      <t>カンイ</t>
    </rPh>
    <rPh sb="84" eb="86">
      <t>ヒョウカ</t>
    </rPh>
    <rPh sb="87" eb="89">
      <t>ヒョウジ</t>
    </rPh>
    <phoneticPr fontId="2"/>
  </si>
  <si>
    <t>要件定義の工期／工数は JUAS 及び IPA データに基づいて計算していますが、この工程はユーザー工程なので、</t>
    <rPh sb="0" eb="2">
      <t>ヨウケン</t>
    </rPh>
    <rPh sb="2" eb="4">
      <t>テイギ</t>
    </rPh>
    <rPh sb="5" eb="7">
      <t>コウキ</t>
    </rPh>
    <rPh sb="8" eb="10">
      <t>コウスウ</t>
    </rPh>
    <rPh sb="17" eb="18">
      <t>オヨ</t>
    </rPh>
    <rPh sb="28" eb="29">
      <t>モト</t>
    </rPh>
    <rPh sb="32" eb="34">
      <t>ケイサン</t>
    </rPh>
    <rPh sb="43" eb="45">
      <t>コウテイ</t>
    </rPh>
    <rPh sb="50" eb="52">
      <t>コウテイ</t>
    </rPh>
    <phoneticPr fontId="2"/>
  </si>
  <si>
    <t>実際の案件においては大きく揺らぎます。これは、ユーザー側がどこまでベンダーに委託するのかによる揺らぎで、</t>
    <rPh sb="0" eb="2">
      <t>ジッサイ</t>
    </rPh>
    <rPh sb="3" eb="5">
      <t>アンケン</t>
    </rPh>
    <rPh sb="10" eb="11">
      <t>オオ</t>
    </rPh>
    <rPh sb="13" eb="14">
      <t>ユ</t>
    </rPh>
    <rPh sb="27" eb="28">
      <t>ガワ</t>
    </rPh>
    <rPh sb="38" eb="40">
      <t>イタク</t>
    </rPh>
    <rPh sb="47" eb="48">
      <t>ユ</t>
    </rPh>
    <phoneticPr fontId="2"/>
  </si>
  <si>
    <t>実質、要件定義前の企画工程から委託される場合も多く、その場合は工期・工数ともにこの試算の二倍程度になる事もあります。</t>
    <rPh sb="0" eb="2">
      <t>ジッシツ</t>
    </rPh>
    <rPh sb="3" eb="5">
      <t>ヨウケン</t>
    </rPh>
    <rPh sb="5" eb="7">
      <t>テイギ</t>
    </rPh>
    <rPh sb="7" eb="8">
      <t>マエ</t>
    </rPh>
    <rPh sb="9" eb="11">
      <t>キカク</t>
    </rPh>
    <rPh sb="11" eb="13">
      <t>コウテイ</t>
    </rPh>
    <rPh sb="15" eb="17">
      <t>イタク</t>
    </rPh>
    <rPh sb="20" eb="22">
      <t>バアイ</t>
    </rPh>
    <rPh sb="23" eb="24">
      <t>オオ</t>
    </rPh>
    <rPh sb="28" eb="30">
      <t>バアイ</t>
    </rPh>
    <rPh sb="31" eb="33">
      <t>コウキ</t>
    </rPh>
    <rPh sb="34" eb="36">
      <t>コウスウ</t>
    </rPh>
    <rPh sb="41" eb="43">
      <t>シサン</t>
    </rPh>
    <rPh sb="44" eb="45">
      <t>ニ</t>
    </rPh>
    <rPh sb="45" eb="46">
      <t>バイ</t>
    </rPh>
    <rPh sb="46" eb="48">
      <t>テイド</t>
    </rPh>
    <rPh sb="51" eb="52">
      <t>コト</t>
    </rPh>
    <phoneticPr fontId="2"/>
  </si>
  <si>
    <t>逆に、内製体質が強い顧客の場合は、実施的には要件定義を発注せず、ベンダーの要求確認だけを想定している場合もあります。</t>
    <rPh sb="0" eb="1">
      <t>ギャク</t>
    </rPh>
    <rPh sb="3" eb="5">
      <t>ナイセイ</t>
    </rPh>
    <rPh sb="5" eb="7">
      <t>タイシツ</t>
    </rPh>
    <rPh sb="8" eb="9">
      <t>ツヨ</t>
    </rPh>
    <rPh sb="10" eb="12">
      <t>コキャク</t>
    </rPh>
    <rPh sb="13" eb="15">
      <t>バアイ</t>
    </rPh>
    <rPh sb="17" eb="19">
      <t>ジッシ</t>
    </rPh>
    <rPh sb="19" eb="20">
      <t>テキ</t>
    </rPh>
    <rPh sb="22" eb="24">
      <t>ヨウケン</t>
    </rPh>
    <rPh sb="24" eb="26">
      <t>テイギ</t>
    </rPh>
    <rPh sb="27" eb="29">
      <t>ハッチュウ</t>
    </rPh>
    <rPh sb="37" eb="39">
      <t>ヨウキュウ</t>
    </rPh>
    <rPh sb="39" eb="41">
      <t>カクニン</t>
    </rPh>
    <rPh sb="44" eb="46">
      <t>ソウテイ</t>
    </rPh>
    <rPh sb="50" eb="52">
      <t>バアイ</t>
    </rPh>
    <phoneticPr fontId="2"/>
  </si>
  <si>
    <t>この場合は工期・工数ともにこの試算の半分程度になる事もあります（※）</t>
    <rPh sb="2" eb="4">
      <t>バアイ</t>
    </rPh>
    <rPh sb="5" eb="7">
      <t>コウキ</t>
    </rPh>
    <rPh sb="8" eb="10">
      <t>コウスウ</t>
    </rPh>
    <rPh sb="15" eb="17">
      <t>シサン</t>
    </rPh>
    <rPh sb="18" eb="20">
      <t>ハンブン</t>
    </rPh>
    <rPh sb="20" eb="22">
      <t>テイド</t>
    </rPh>
    <rPh sb="25" eb="26">
      <t>コト</t>
    </rPh>
    <phoneticPr fontId="2"/>
  </si>
  <si>
    <t>（※ そのような案件は、潜在的なリスクが比較的高めの案件なので、PJ計画上の注意と配慮が必要です）</t>
    <rPh sb="12" eb="15">
      <t>センザイテキ</t>
    </rPh>
    <rPh sb="20" eb="23">
      <t>ヒカクテキ</t>
    </rPh>
    <rPh sb="23" eb="24">
      <t>タカ</t>
    </rPh>
    <rPh sb="34" eb="36">
      <t>ケイカク</t>
    </rPh>
    <rPh sb="36" eb="37">
      <t>ジョウ</t>
    </rPh>
    <rPh sb="41" eb="43">
      <t>ハイリョ</t>
    </rPh>
    <phoneticPr fontId="2"/>
  </si>
  <si>
    <t>「参考」として試算される基本設計～UAT までの工数は、IPA の新規開発向けデータ（※）の配分を元に計算したものです。</t>
    <rPh sb="1" eb="3">
      <t>サンコウ</t>
    </rPh>
    <rPh sb="7" eb="9">
      <t>シサン</t>
    </rPh>
    <rPh sb="12" eb="14">
      <t>キホン</t>
    </rPh>
    <rPh sb="14" eb="16">
      <t>セッケイ</t>
    </rPh>
    <rPh sb="24" eb="26">
      <t>コウスウ</t>
    </rPh>
    <rPh sb="33" eb="35">
      <t>シンキ</t>
    </rPh>
    <rPh sb="35" eb="37">
      <t>カイハツ</t>
    </rPh>
    <rPh sb="37" eb="38">
      <t>ム</t>
    </rPh>
    <rPh sb="46" eb="48">
      <t>ハイブン</t>
    </rPh>
    <rPh sb="49" eb="50">
      <t>モト</t>
    </rPh>
    <rPh sb="51" eb="53">
      <t>ケイサン</t>
    </rPh>
    <phoneticPr fontId="2"/>
  </si>
  <si>
    <t>（※ 保守開発向けではありません）</t>
    <rPh sb="3" eb="5">
      <t>ホシュ</t>
    </rPh>
    <rPh sb="5" eb="7">
      <t>カイハツ</t>
    </rPh>
    <rPh sb="7" eb="8">
      <t>ム</t>
    </rPh>
    <phoneticPr fontId="2"/>
  </si>
  <si>
    <r>
      <rPr>
        <b/>
        <u/>
        <sz val="11"/>
        <color rgb="FFFF0000"/>
        <rFont val="Yu Gothic"/>
        <family val="3"/>
        <charset val="128"/>
        <scheme val="minor"/>
      </rPr>
      <t>手動テストだけしか実施しない特殊なプロジェクト</t>
    </r>
    <r>
      <rPr>
        <sz val="11"/>
        <color theme="1"/>
        <rFont val="Yu Gothic"/>
        <family val="2"/>
        <scheme val="minor"/>
      </rPr>
      <t>に対しては適用出来ませんのでご注意願います。</t>
    </r>
    <rPh sb="0" eb="2">
      <t>シュドウ</t>
    </rPh>
    <rPh sb="9" eb="11">
      <t>ジッシ</t>
    </rPh>
    <rPh sb="14" eb="16">
      <t>トクシュ</t>
    </rPh>
    <rPh sb="24" eb="25">
      <t>タイ</t>
    </rPh>
    <rPh sb="28" eb="30">
      <t>テキヨウ</t>
    </rPh>
    <rPh sb="30" eb="32">
      <t>デキ</t>
    </rPh>
    <rPh sb="38" eb="40">
      <t>チュウイ</t>
    </rPh>
    <rPh sb="40" eb="41">
      <t>ネガ</t>
    </rPh>
    <phoneticPr fontId="2"/>
  </si>
  <si>
    <r>
      <t>この工数配分は、絶対条件として</t>
    </r>
    <r>
      <rPr>
        <b/>
        <u/>
        <sz val="11"/>
        <color rgb="FF0070C0"/>
        <rFont val="Yu Gothic"/>
        <family val="3"/>
        <charset val="128"/>
        <scheme val="minor"/>
      </rPr>
      <t>単体テストに（xUnit 等による）自動テストを採用した、一般的なプロジェクト</t>
    </r>
    <r>
      <rPr>
        <sz val="11"/>
        <color theme="1"/>
        <rFont val="Yu Gothic"/>
        <family val="2"/>
        <scheme val="minor"/>
      </rPr>
      <t>のもので、</t>
    </r>
    <rPh sb="2" eb="4">
      <t>コウスウ</t>
    </rPh>
    <rPh sb="4" eb="6">
      <t>ハイブン</t>
    </rPh>
    <rPh sb="8" eb="10">
      <t>ゼッタイ</t>
    </rPh>
    <rPh sb="10" eb="12">
      <t>ジョウケン</t>
    </rPh>
    <rPh sb="15" eb="17">
      <t>タンタイ</t>
    </rPh>
    <rPh sb="28" eb="29">
      <t>ナド</t>
    </rPh>
    <rPh sb="33" eb="35">
      <t>ジドウ</t>
    </rPh>
    <rPh sb="39" eb="41">
      <t>サイヨウ</t>
    </rPh>
    <rPh sb="44" eb="47">
      <t>イッパンテキ</t>
    </rPh>
    <phoneticPr fontId="2"/>
  </si>
  <si>
    <t>円</t>
    <rPh sb="0" eb="1">
      <t>エン</t>
    </rPh>
    <phoneticPr fontId="2"/>
  </si>
  <si>
    <t>％（スクラッチ）</t>
    <phoneticPr fontId="2"/>
  </si>
  <si>
    <t>％（パッケージ/ローコード）</t>
    <phoneticPr fontId="2"/>
  </si>
  <si>
    <t>要件定義～基本設計</t>
    <rPh sb="0" eb="2">
      <t>ヨウケン</t>
    </rPh>
    <rPh sb="2" eb="4">
      <t>テイギ</t>
    </rPh>
    <rPh sb="5" eb="7">
      <t>キホン</t>
    </rPh>
    <rPh sb="7" eb="9">
      <t>セッケイ</t>
    </rPh>
    <phoneticPr fontId="2"/>
  </si>
  <si>
    <t>詳細設計～UT</t>
    <rPh sb="0" eb="2">
      <t>ショウサイ</t>
    </rPh>
    <rPh sb="2" eb="4">
      <t>セッケイ</t>
    </rPh>
    <phoneticPr fontId="2"/>
  </si>
  <si>
    <t>結合テスト～UAT</t>
    <rPh sb="0" eb="2">
      <t>ケツゴウ</t>
    </rPh>
    <phoneticPr fontId="2"/>
  </si>
  <si>
    <r>
      <rPr>
        <b/>
        <sz val="11"/>
        <color rgb="FF00B050"/>
        <rFont val="Yu Gothic"/>
        <family val="3"/>
        <charset val="128"/>
        <scheme val="minor"/>
      </rPr>
      <t>見積もり金額から粗利率をシミュレーション</t>
    </r>
    <r>
      <rPr>
        <b/>
        <sz val="11"/>
        <color theme="5" tint="-0.249977111117893"/>
        <rFont val="Yu Gothic"/>
        <family val="3"/>
        <charset val="128"/>
        <scheme val="minor"/>
      </rPr>
      <t>（</t>
    </r>
    <r>
      <rPr>
        <b/>
        <sz val="11"/>
        <color rgb="FFFF0000"/>
        <rFont val="Yu Gothic"/>
        <family val="3"/>
        <charset val="128"/>
        <scheme val="minor"/>
      </rPr>
      <t>※研究中/実験的機能）</t>
    </r>
    <rPh sb="0" eb="2">
      <t>ミツ</t>
    </rPh>
    <rPh sb="4" eb="6">
      <t>キンガク</t>
    </rPh>
    <rPh sb="8" eb="11">
      <t>アラリリツ</t>
    </rPh>
    <rPh sb="22" eb="24">
      <t>ケンキュウ</t>
    </rPh>
    <rPh sb="24" eb="25">
      <t>チュウ</t>
    </rPh>
    <rPh sb="26" eb="29">
      <t>ジッケンテキ</t>
    </rPh>
    <rPh sb="29" eb="31">
      <t>キノウ</t>
    </rPh>
    <phoneticPr fontId="2"/>
  </si>
  <si>
    <t>10. PMO 人数</t>
    <rPh sb="8" eb="10">
      <t>ニンズウ</t>
    </rPh>
    <phoneticPr fontId="2"/>
  </si>
  <si>
    <t>人</t>
    <rPh sb="0" eb="1">
      <t>ニン</t>
    </rPh>
    <phoneticPr fontId="2"/>
  </si>
  <si>
    <t>11. チームリーダー数（チーム数）</t>
    <rPh sb="11" eb="12">
      <t>スウ</t>
    </rPh>
    <rPh sb="16" eb="17">
      <t>スウ</t>
    </rPh>
    <phoneticPr fontId="2"/>
  </si>
  <si>
    <t>12. チームサブリーダー数</t>
    <rPh sb="13" eb="14">
      <t>スウ</t>
    </rPh>
    <phoneticPr fontId="2"/>
  </si>
  <si>
    <t>13. お客様担当者数</t>
    <rPh sb="5" eb="7">
      <t>キャクサマ</t>
    </rPh>
    <rPh sb="7" eb="10">
      <t>タントウシャ</t>
    </rPh>
    <rPh sb="10" eb="11">
      <t>スウ</t>
    </rPh>
    <phoneticPr fontId="2"/>
  </si>
  <si>
    <t>部門</t>
    <rPh sb="0" eb="2">
      <t>ブモン</t>
    </rPh>
    <phoneticPr fontId="2"/>
  </si>
  <si>
    <t>14. お客様関係部門数</t>
    <rPh sb="5" eb="7">
      <t>キャクサマ</t>
    </rPh>
    <rPh sb="7" eb="9">
      <t>カンケイ</t>
    </rPh>
    <rPh sb="9" eb="11">
      <t>ブモン</t>
    </rPh>
    <rPh sb="11" eb="12">
      <t>スウ</t>
    </rPh>
    <phoneticPr fontId="2"/>
  </si>
  <si>
    <t>お客様指定の開発工期（01. 開発工期）と上記シミュレーション結果、及び以下のメトリクスから必要な管理費（コミュニケーション費用）をシミュレーションします。</t>
    <rPh sb="1" eb="3">
      <t>キャクサマ</t>
    </rPh>
    <rPh sb="3" eb="5">
      <t>シテイ</t>
    </rPh>
    <rPh sb="6" eb="8">
      <t>カイハツ</t>
    </rPh>
    <rPh sb="8" eb="10">
      <t>コウキ</t>
    </rPh>
    <rPh sb="21" eb="23">
      <t>ジョウキ</t>
    </rPh>
    <rPh sb="31" eb="33">
      <t>ケッカ</t>
    </rPh>
    <rPh sb="34" eb="35">
      <t>オヨ</t>
    </rPh>
    <rPh sb="36" eb="38">
      <t>イカ</t>
    </rPh>
    <rPh sb="46" eb="48">
      <t>ヒツヨウ</t>
    </rPh>
    <rPh sb="49" eb="52">
      <t>カンリヒ</t>
    </rPh>
    <rPh sb="62" eb="64">
      <t>ヒヨウ</t>
    </rPh>
    <phoneticPr fontId="2"/>
  </si>
  <si>
    <t>管理工数</t>
    <rPh sb="0" eb="2">
      <t>カンリ</t>
    </rPh>
    <rPh sb="2" eb="4">
      <t>コウスウ</t>
    </rPh>
    <phoneticPr fontId="2"/>
  </si>
  <si>
    <t>人月を上記シミュレーションに追加推奨。</t>
    <rPh sb="0" eb="2">
      <t>ニンゲツ</t>
    </rPh>
    <rPh sb="3" eb="5">
      <t>ジョウキ</t>
    </rPh>
    <rPh sb="14" eb="16">
      <t>ツイカ</t>
    </rPh>
    <rPh sb="16" eb="18">
      <t>スイショウ</t>
    </rPh>
    <phoneticPr fontId="2"/>
  </si>
  <si>
    <t>追加推奨値</t>
    <rPh sb="0" eb="2">
      <t>ツイカ</t>
    </rPh>
    <rPh sb="2" eb="4">
      <t>スイショウ</t>
    </rPh>
    <rPh sb="4" eb="5">
      <t>チ</t>
    </rPh>
    <phoneticPr fontId="2"/>
  </si>
  <si>
    <t>人月 ※標準的なプロジェクト</t>
    <rPh sb="0" eb="2">
      <t>ニンゲツ</t>
    </rPh>
    <rPh sb="4" eb="6">
      <t>ヒョウジュン</t>
    </rPh>
    <rPh sb="6" eb="7">
      <t>テキ</t>
    </rPh>
    <phoneticPr fontId="2"/>
  </si>
  <si>
    <t>開発工期から予想される総工数（人月）</t>
    <phoneticPr fontId="2"/>
  </si>
  <si>
    <r>
      <t>本シートは</t>
    </r>
    <r>
      <rPr>
        <b/>
        <sz val="11"/>
        <color rgb="FFFF0000"/>
        <rFont val="Yu Gothic"/>
        <family val="3"/>
        <charset val="128"/>
        <scheme val="minor"/>
      </rPr>
      <t>見積もりシートではなく</t>
    </r>
    <r>
      <rPr>
        <b/>
        <sz val="11"/>
        <color theme="1"/>
        <rFont val="Yu Gothic"/>
        <family val="3"/>
        <charset val="128"/>
        <scheme val="minor"/>
      </rPr>
      <t>、見積もりの検証用データを得るための、</t>
    </r>
    <r>
      <rPr>
        <b/>
        <sz val="11"/>
        <color rgb="FF00B050"/>
        <rFont val="Yu Gothic"/>
        <family val="3"/>
        <charset val="128"/>
        <scheme val="minor"/>
      </rPr>
      <t>一種のものさし</t>
    </r>
    <r>
      <rPr>
        <b/>
        <sz val="11"/>
        <color theme="1"/>
        <rFont val="Yu Gothic"/>
        <family val="3"/>
        <charset val="128"/>
        <scheme val="minor"/>
      </rPr>
      <t>です。</t>
    </r>
    <rPh sb="0" eb="1">
      <t>ホン</t>
    </rPh>
    <rPh sb="5" eb="7">
      <t>ミツ</t>
    </rPh>
    <rPh sb="17" eb="19">
      <t>ミツ</t>
    </rPh>
    <rPh sb="22" eb="24">
      <t>ケンショウ</t>
    </rPh>
    <rPh sb="24" eb="25">
      <t>ヨウ</t>
    </rPh>
    <rPh sb="29" eb="30">
      <t>エ</t>
    </rPh>
    <rPh sb="35" eb="37">
      <t>イッシュ</t>
    </rPh>
    <phoneticPr fontId="2"/>
  </si>
  <si>
    <r>
      <t>■管理費（簡易）シミュレータ</t>
    </r>
    <r>
      <rPr>
        <b/>
        <sz val="11"/>
        <color rgb="FFFF0000"/>
        <rFont val="Yu Gothic"/>
        <family val="3"/>
        <charset val="128"/>
        <scheme val="minor"/>
      </rPr>
      <t>（※研究中/実験的機能）</t>
    </r>
    <rPh sb="1" eb="3">
      <t>カンリ</t>
    </rPh>
    <rPh sb="3" eb="4">
      <t>ヒ</t>
    </rPh>
    <rPh sb="5" eb="7">
      <t>カンイ</t>
    </rPh>
    <phoneticPr fontId="2"/>
  </si>
  <si>
    <r>
      <t xml:space="preserve">こちらのシートは、概ねの規模として </t>
    </r>
    <r>
      <rPr>
        <b/>
        <sz val="11"/>
        <color rgb="FF0070C0"/>
        <rFont val="Yu Gothic"/>
        <family val="3"/>
        <charset val="128"/>
        <scheme val="minor"/>
      </rPr>
      <t>3000万円未満の保守開発</t>
    </r>
    <r>
      <rPr>
        <sz val="11"/>
        <color theme="1"/>
        <rFont val="Yu Gothic"/>
        <family val="2"/>
        <scheme val="minor"/>
      </rPr>
      <t>の見積もりを検証するシートです。</t>
    </r>
    <rPh sb="9" eb="10">
      <t>オオム</t>
    </rPh>
    <rPh sb="12" eb="14">
      <t>キボ</t>
    </rPh>
    <rPh sb="22" eb="23">
      <t>マン</t>
    </rPh>
    <rPh sb="23" eb="24">
      <t>エン</t>
    </rPh>
    <rPh sb="24" eb="26">
      <t>ミマン</t>
    </rPh>
    <rPh sb="27" eb="29">
      <t>ホシュ</t>
    </rPh>
    <rPh sb="29" eb="31">
      <t>カイハツ</t>
    </rPh>
    <rPh sb="32" eb="34">
      <t>ミツ</t>
    </rPh>
    <rPh sb="37" eb="39">
      <t>ケンショウ</t>
    </rPh>
    <phoneticPr fontId="2"/>
  </si>
  <si>
    <t>■『保守開発見積もり検証シート』の使い方</t>
    <rPh sb="17" eb="18">
      <t>ツカ</t>
    </rPh>
    <rPh sb="19" eb="20">
      <t>カタ</t>
    </rPh>
    <phoneticPr fontId="2"/>
  </si>
  <si>
    <t>基本的な仕組みは『部門長向け見積もり検証シート』と大きく変わりませんが、保守開発の特徴に合わせ、</t>
    <rPh sb="0" eb="3">
      <t>キホンテキ</t>
    </rPh>
    <rPh sb="4" eb="6">
      <t>シク</t>
    </rPh>
    <rPh sb="25" eb="26">
      <t>オオ</t>
    </rPh>
    <rPh sb="28" eb="29">
      <t>カ</t>
    </rPh>
    <rPh sb="36" eb="38">
      <t>ホシュ</t>
    </rPh>
    <rPh sb="38" eb="40">
      <t>カイハツ</t>
    </rPh>
    <rPh sb="41" eb="43">
      <t>トクチョウ</t>
    </rPh>
    <rPh sb="44" eb="45">
      <t>ア</t>
    </rPh>
    <phoneticPr fontId="2"/>
  </si>
  <si>
    <t>①</t>
    <phoneticPr fontId="2"/>
  </si>
  <si>
    <t>要求に対する不確実性評価を下げています。</t>
    <rPh sb="0" eb="2">
      <t>ヨウキュウ</t>
    </rPh>
    <rPh sb="3" eb="4">
      <t>タイ</t>
    </rPh>
    <rPh sb="6" eb="10">
      <t>フカクジツセイ</t>
    </rPh>
    <rPh sb="10" eb="12">
      <t>ヒョウカ</t>
    </rPh>
    <rPh sb="13" eb="14">
      <t>サ</t>
    </rPh>
    <phoneticPr fontId="2"/>
  </si>
  <si>
    <t>②</t>
    <phoneticPr fontId="2"/>
  </si>
  <si>
    <t>工数配分をIPAデータの「改良開発」のデータに変更しています。</t>
    <rPh sb="0" eb="2">
      <t>コウスウ</t>
    </rPh>
    <rPh sb="2" eb="4">
      <t>ハイブン</t>
    </rPh>
    <rPh sb="13" eb="15">
      <t>カイリョウ</t>
    </rPh>
    <rPh sb="15" eb="17">
      <t>カイハツ</t>
    </rPh>
    <rPh sb="23" eb="25">
      <t>ヘンコウ</t>
    </rPh>
    <phoneticPr fontId="2"/>
  </si>
  <si>
    <t>⑥ 管理費シミュレーターによる管理費の補正</t>
    <rPh sb="2" eb="5">
      <t>カンリヒ</t>
    </rPh>
    <rPh sb="15" eb="18">
      <t>カンリヒ</t>
    </rPh>
    <rPh sb="19" eb="21">
      <t>ホセイ</t>
    </rPh>
    <phoneticPr fontId="2"/>
  </si>
  <si>
    <t>実験的機能として管理費（コミュニケーション費用）の簡易シミュレーターが付属しています。</t>
    <rPh sb="0" eb="3">
      <t>ジッケンテキ</t>
    </rPh>
    <rPh sb="3" eb="5">
      <t>キノウ</t>
    </rPh>
    <rPh sb="8" eb="10">
      <t>カンリ</t>
    </rPh>
    <rPh sb="10" eb="11">
      <t>ヒ</t>
    </rPh>
    <rPh sb="21" eb="23">
      <t>ヒヨウ</t>
    </rPh>
    <rPh sb="25" eb="27">
      <t>カンイ</t>
    </rPh>
    <rPh sb="35" eb="37">
      <t>フゾク</t>
    </rPh>
    <phoneticPr fontId="2"/>
  </si>
  <si>
    <t>上記工数シミュレーションには一定割合で管理費も含まれていますが、プロジェクトが大型になればなるほど、</t>
    <rPh sb="0" eb="2">
      <t>ジョウキ</t>
    </rPh>
    <rPh sb="2" eb="4">
      <t>コウスウ</t>
    </rPh>
    <rPh sb="14" eb="16">
      <t>イッテイ</t>
    </rPh>
    <rPh sb="16" eb="18">
      <t>ワリアイ</t>
    </rPh>
    <rPh sb="19" eb="22">
      <t>カンリヒ</t>
    </rPh>
    <rPh sb="23" eb="24">
      <t>フク</t>
    </rPh>
    <rPh sb="39" eb="41">
      <t>オオガタ</t>
    </rPh>
    <phoneticPr fontId="2"/>
  </si>
  <si>
    <r>
      <rPr>
        <b/>
        <u/>
        <sz val="11"/>
        <color rgb="FFFF0000"/>
        <rFont val="Yu Gothic"/>
        <family val="3"/>
        <charset val="128"/>
        <scheme val="minor"/>
      </rPr>
      <t>管理費は工期及びプロジェクト体制に依存</t>
    </r>
    <r>
      <rPr>
        <sz val="11"/>
        <color theme="1"/>
        <rFont val="Yu Gothic"/>
        <family val="2"/>
        <scheme val="minor"/>
      </rPr>
      <t>します（逆に言えば規模/工数とはほぼ無関係です）.</t>
    </r>
    <rPh sb="0" eb="2">
      <t>カンリ</t>
    </rPh>
    <rPh sb="2" eb="3">
      <t>ヒ</t>
    </rPh>
    <rPh sb="4" eb="6">
      <t>コウキ</t>
    </rPh>
    <rPh sb="6" eb="7">
      <t>オヨ</t>
    </rPh>
    <rPh sb="14" eb="16">
      <t>タイセイ</t>
    </rPh>
    <rPh sb="17" eb="19">
      <t>イゾン</t>
    </rPh>
    <rPh sb="23" eb="24">
      <t>ギャク</t>
    </rPh>
    <rPh sb="25" eb="26">
      <t>イ</t>
    </rPh>
    <rPh sb="28" eb="30">
      <t>キボ</t>
    </rPh>
    <rPh sb="31" eb="33">
      <t>コウスウ</t>
    </rPh>
    <rPh sb="37" eb="40">
      <t>ムカンケイ</t>
    </rPh>
    <phoneticPr fontId="2"/>
  </si>
  <si>
    <t>実際に必要な管理費と乖離していきます。このシミュレーターでは、どの程度の工数を追加すべきかを概算します。</t>
    <rPh sb="0" eb="2">
      <t>ジッサイ</t>
    </rPh>
    <rPh sb="3" eb="5">
      <t>ヒツヨウ</t>
    </rPh>
    <rPh sb="6" eb="9">
      <t>カンリヒ</t>
    </rPh>
    <rPh sb="10" eb="12">
      <t>カイリ</t>
    </rPh>
    <rPh sb="33" eb="35">
      <t>テイド</t>
    </rPh>
    <rPh sb="36" eb="38">
      <t>コウスウ</t>
    </rPh>
    <rPh sb="39" eb="41">
      <t>ツイカ</t>
    </rPh>
    <rPh sb="46" eb="48">
      <t>ガイサン</t>
    </rPh>
    <phoneticPr fontId="2"/>
  </si>
  <si>
    <r>
      <t>しかしながら、「保守開発」とは本来準委任契約で行うものであり、</t>
    </r>
    <r>
      <rPr>
        <b/>
        <u/>
        <sz val="11"/>
        <color rgb="FFFF0000"/>
        <rFont val="Yu Gothic"/>
        <family val="3"/>
        <charset val="128"/>
        <scheme val="minor"/>
      </rPr>
      <t>請負契約の場合と見積もりの水準が</t>
    </r>
    <rPh sb="8" eb="10">
      <t>ホシュ</t>
    </rPh>
    <rPh sb="10" eb="12">
      <t>カイハツ</t>
    </rPh>
    <rPh sb="15" eb="17">
      <t>ホンライ</t>
    </rPh>
    <rPh sb="17" eb="22">
      <t>ジュン</t>
    </rPh>
    <rPh sb="23" eb="24">
      <t>オコナ</t>
    </rPh>
    <rPh sb="31" eb="35">
      <t>ウケオ</t>
    </rPh>
    <rPh sb="36" eb="38">
      <t>バアイ</t>
    </rPh>
    <rPh sb="39" eb="41">
      <t>ミツ</t>
    </rPh>
    <rPh sb="44" eb="46">
      <t>スイジュン</t>
    </rPh>
    <phoneticPr fontId="2"/>
  </si>
  <si>
    <r>
      <rPr>
        <b/>
        <u/>
        <sz val="11"/>
        <color rgb="FFFF0000"/>
        <rFont val="Yu Gothic"/>
        <family val="3"/>
        <charset val="128"/>
        <scheme val="minor"/>
      </rPr>
      <t>大きく異なります</t>
    </r>
    <r>
      <rPr>
        <sz val="11"/>
        <color theme="1"/>
        <rFont val="Yu Gothic"/>
        <family val="2"/>
        <scheme val="minor"/>
      </rPr>
      <t>。概ね1000万円超で、請負契約で受託し、かつ開発メンバーが通常の保守メンバーとは</t>
    </r>
    <rPh sb="0" eb="1">
      <t>オオ</t>
    </rPh>
    <rPh sb="3" eb="4">
      <t>コト</t>
    </rPh>
    <rPh sb="9" eb="10">
      <t>オオム</t>
    </rPh>
    <rPh sb="15" eb="16">
      <t>マン</t>
    </rPh>
    <rPh sb="16" eb="17">
      <t>エン</t>
    </rPh>
    <rPh sb="17" eb="18">
      <t>チョウ</t>
    </rPh>
    <rPh sb="20" eb="24">
      <t>ウケ</t>
    </rPh>
    <rPh sb="25" eb="27">
      <t>ジュタク</t>
    </rPh>
    <rPh sb="31" eb="33">
      <t>カイハツ</t>
    </rPh>
    <rPh sb="38" eb="40">
      <t>ツウジョウ</t>
    </rPh>
    <rPh sb="41" eb="43">
      <t>ホシュ</t>
    </rPh>
    <phoneticPr fontId="2"/>
  </si>
  <si>
    <t>異なる場合は、こちらの見積もり水準を採用すべきではありません。</t>
    <rPh sb="0" eb="1">
      <t>コト</t>
    </rPh>
    <rPh sb="3" eb="5">
      <t>バアイ</t>
    </rPh>
    <rPh sb="11" eb="13">
      <t>ミツ</t>
    </rPh>
    <rPh sb="15" eb="17">
      <t>スイジュン</t>
    </rPh>
    <rPh sb="18" eb="20">
      <t>サイヨウ</t>
    </rPh>
    <phoneticPr fontId="2"/>
  </si>
  <si>
    <t>可能であれば、お客様にきちんとした説明を行った上で『部門長向け見積もり検証シート』ベースの</t>
    <rPh sb="0" eb="2">
      <t>カノウ</t>
    </rPh>
    <rPh sb="8" eb="10">
      <t>キャクサマ</t>
    </rPh>
    <rPh sb="17" eb="19">
      <t>セツメイ</t>
    </rPh>
    <rPh sb="20" eb="21">
      <t>オコナ</t>
    </rPh>
    <rPh sb="23" eb="24">
      <t>ウエ</t>
    </rPh>
    <phoneticPr fontId="2"/>
  </si>
  <si>
    <t>「正しい」見積もり水準で、計画及び金額見積もりを行ってください。</t>
    <rPh sb="1" eb="2">
      <t>タダ</t>
    </rPh>
    <rPh sb="5" eb="7">
      <t>ミツ</t>
    </rPh>
    <rPh sb="9" eb="11">
      <t>スイジュン</t>
    </rPh>
    <rPh sb="13" eb="15">
      <t>ケイカク</t>
    </rPh>
    <rPh sb="15" eb="16">
      <t>オヨ</t>
    </rPh>
    <rPh sb="17" eb="19">
      <t>キンガク</t>
    </rPh>
    <rPh sb="19" eb="21">
      <t>ミツ</t>
    </rPh>
    <rPh sb="24" eb="25">
      <t>オコナ</t>
    </rPh>
    <phoneticPr fontId="2"/>
  </si>
  <si>
    <t>最適工期</t>
    <rPh sb="0" eb="2">
      <t>サイテキ</t>
    </rPh>
    <rPh sb="2" eb="4">
      <t>コウキ</t>
    </rPh>
    <phoneticPr fontId="18"/>
  </si>
  <si>
    <t>ヵ月</t>
    <rPh sb="1" eb="2">
      <t>ゲツ</t>
    </rPh>
    <phoneticPr fontId="18"/>
  </si>
  <si>
    <t>工数</t>
    <rPh sb="0" eb="2">
      <t>コウスウ</t>
    </rPh>
    <phoneticPr fontId="18"/>
  </si>
  <si>
    <t>ユーザ視点工数</t>
    <rPh sb="3" eb="5">
      <t>シテン</t>
    </rPh>
    <rPh sb="5" eb="7">
      <t>コウスウ</t>
    </rPh>
    <phoneticPr fontId="18"/>
  </si>
  <si>
    <t>工期</t>
    <rPh sb="0" eb="2">
      <t>コウキ</t>
    </rPh>
    <phoneticPr fontId="18"/>
  </si>
  <si>
    <t>工程</t>
    <rPh sb="0" eb="2">
      <t>コウテイ</t>
    </rPh>
    <phoneticPr fontId="18"/>
  </si>
  <si>
    <t>工数(人月)</t>
    <rPh sb="0" eb="2">
      <t>コウスウ</t>
    </rPh>
    <rPh sb="3" eb="5">
      <t>ニンゲツ</t>
    </rPh>
    <phoneticPr fontId="18"/>
  </si>
  <si>
    <t>工期(月)</t>
    <rPh sb="0" eb="2">
      <t>コウキ</t>
    </rPh>
    <rPh sb="3" eb="4">
      <t>ツキ</t>
    </rPh>
    <phoneticPr fontId="18"/>
  </si>
  <si>
    <t>工数比率</t>
    <rPh sb="0" eb="2">
      <t>コウスウ</t>
    </rPh>
    <rPh sb="2" eb="4">
      <t>ヒリツ</t>
    </rPh>
    <phoneticPr fontId="18"/>
  </si>
  <si>
    <t>IPA比率(新規)</t>
    <rPh sb="3" eb="5">
      <t>ヒリツ</t>
    </rPh>
    <rPh sb="6" eb="8">
      <t>シンキ</t>
    </rPh>
    <phoneticPr fontId="18"/>
  </si>
  <si>
    <t>IPA(新規)</t>
    <rPh sb="4" eb="6">
      <t>シンキ</t>
    </rPh>
    <phoneticPr fontId="18"/>
  </si>
  <si>
    <t>工期比率</t>
    <rPh sb="0" eb="2">
      <t>コウキ</t>
    </rPh>
    <rPh sb="2" eb="4">
      <t>ヒリツ</t>
    </rPh>
    <phoneticPr fontId="18"/>
  </si>
  <si>
    <t>JUAS比率</t>
    <rPh sb="4" eb="6">
      <t>ヒリツ</t>
    </rPh>
    <phoneticPr fontId="18"/>
  </si>
  <si>
    <t>IPA比率</t>
    <rPh sb="3" eb="5">
      <t>ヒリツ</t>
    </rPh>
    <phoneticPr fontId="18"/>
  </si>
  <si>
    <t>要件定義</t>
    <rPh sb="0" eb="4">
      <t>ヨウケンテイギ</t>
    </rPh>
    <phoneticPr fontId="18"/>
  </si>
  <si>
    <t>─</t>
    <phoneticPr fontId="18"/>
  </si>
  <si>
    <t>開発五工程</t>
    <phoneticPr fontId="18"/>
  </si>
  <si>
    <t>基本設計</t>
    <phoneticPr fontId="18"/>
  </si>
  <si>
    <t>詳細設計</t>
    <phoneticPr fontId="18"/>
  </si>
  <si>
    <t>結合テスト</t>
    <phoneticPr fontId="18"/>
  </si>
  <si>
    <t>システムテスト</t>
    <phoneticPr fontId="18"/>
  </si>
  <si>
    <t>データ移行</t>
    <rPh sb="3" eb="5">
      <t>イコウ</t>
    </rPh>
    <phoneticPr fontId="18"/>
  </si>
  <si>
    <t>移行工数比率</t>
    <rPh sb="0" eb="2">
      <t>イコウ</t>
    </rPh>
    <rPh sb="2" eb="4">
      <t>コウスウ</t>
    </rPh>
    <rPh sb="4" eb="6">
      <t>ヒリツ</t>
    </rPh>
    <phoneticPr fontId="18"/>
  </si>
  <si>
    <t>％</t>
    <phoneticPr fontId="18"/>
  </si>
  <si>
    <t>管理工数</t>
    <rPh sb="0" eb="2">
      <t>カンリ</t>
    </rPh>
    <rPh sb="2" eb="4">
      <t>コウスウ</t>
    </rPh>
    <phoneticPr fontId="18"/>
  </si>
  <si>
    <t>管理工数比率</t>
    <rPh sb="0" eb="2">
      <t>カンリ</t>
    </rPh>
    <rPh sb="2" eb="4">
      <t>コウスウ</t>
    </rPh>
    <rPh sb="4" eb="6">
      <t>ヒリツ</t>
    </rPh>
    <phoneticPr fontId="18"/>
  </si>
  <si>
    <t>開発五工程合計</t>
    <rPh sb="0" eb="2">
      <t>カイハツ</t>
    </rPh>
    <rPh sb="2" eb="5">
      <t>ゴコウテイ</t>
    </rPh>
    <rPh sb="5" eb="7">
      <t>ゴウケイ</t>
    </rPh>
    <phoneticPr fontId="18"/>
  </si>
  <si>
    <t>合計</t>
    <rPh sb="0" eb="2">
      <t>ゴウケイ</t>
    </rPh>
    <phoneticPr fontId="18"/>
  </si>
  <si>
    <t>年</t>
    <rPh sb="0" eb="1">
      <t>ネン</t>
    </rPh>
    <phoneticPr fontId="18"/>
  </si>
  <si>
    <t>その他統計メトリクス</t>
    <rPh sb="2" eb="3">
      <t>タ</t>
    </rPh>
    <rPh sb="3" eb="5">
      <t>トウケイ</t>
    </rPh>
    <phoneticPr fontId="18"/>
  </si>
  <si>
    <t>ユーザーレビュー時間</t>
    <rPh sb="8" eb="10">
      <t>ジカン</t>
    </rPh>
    <phoneticPr fontId="18"/>
  </si>
  <si>
    <t>要件定義書</t>
    <rPh sb="0" eb="4">
      <t>ヨウケンテイギ</t>
    </rPh>
    <rPh sb="4" eb="5">
      <t>ショ</t>
    </rPh>
    <phoneticPr fontId="18"/>
  </si>
  <si>
    <t>人月(以上)</t>
    <rPh sb="0" eb="2">
      <t>ニンゲツ</t>
    </rPh>
    <rPh sb="3" eb="5">
      <t>イジョウ</t>
    </rPh>
    <phoneticPr fontId="18"/>
  </si>
  <si>
    <t>時間(以上)</t>
    <rPh sb="0" eb="2">
      <t>ジカン</t>
    </rPh>
    <rPh sb="3" eb="5">
      <t>イジョウ</t>
    </rPh>
    <phoneticPr fontId="18"/>
  </si>
  <si>
    <t>基本設計書</t>
    <rPh sb="0" eb="2">
      <t>キホン</t>
    </rPh>
    <rPh sb="2" eb="5">
      <t>セッケイショ</t>
    </rPh>
    <phoneticPr fontId="18"/>
  </si>
  <si>
    <t>納品時欠陥率</t>
    <rPh sb="0" eb="2">
      <t>ノウヒン</t>
    </rPh>
    <rPh sb="2" eb="3">
      <t>ジ</t>
    </rPh>
    <rPh sb="3" eb="5">
      <t>ケッカン</t>
    </rPh>
    <rPh sb="5" eb="6">
      <t>リツ</t>
    </rPh>
    <phoneticPr fontId="18"/>
  </si>
  <si>
    <t>許容欠陥数</t>
    <rPh sb="0" eb="2">
      <t>キョヨウ</t>
    </rPh>
    <rPh sb="2" eb="4">
      <t>ケッカン</t>
    </rPh>
    <rPh sb="4" eb="5">
      <t>スウ</t>
    </rPh>
    <phoneticPr fontId="18"/>
  </si>
  <si>
    <t>件(以下)</t>
    <rPh sb="0" eb="1">
      <t>ケン</t>
    </rPh>
    <rPh sb="2" eb="4">
      <t>イカ</t>
    </rPh>
    <phoneticPr fontId="18"/>
  </si>
  <si>
    <t>※ 初期品質目標として提示することを推奨</t>
    <rPh sb="2" eb="4">
      <t>ショキ</t>
    </rPh>
    <rPh sb="4" eb="6">
      <t>ヒンシツ</t>
    </rPh>
    <rPh sb="6" eb="8">
      <t>モクヒョウ</t>
    </rPh>
    <rPh sb="11" eb="13">
      <t>テイジ</t>
    </rPh>
    <rPh sb="18" eb="20">
      <t>スイショウ</t>
    </rPh>
    <phoneticPr fontId="18"/>
  </si>
  <si>
    <r>
      <t>■</t>
    </r>
    <r>
      <rPr>
        <b/>
        <u/>
        <sz val="11"/>
        <color theme="1"/>
        <rFont val="Meiryo UI"/>
        <family val="3"/>
        <charset val="128"/>
      </rPr>
      <t>プロジェクト計画シミュレータ</t>
    </r>
    <phoneticPr fontId="18"/>
  </si>
  <si>
    <t>要件定義～UAT</t>
    <rPh sb="0" eb="2">
      <t>ヨウケン</t>
    </rPh>
    <rPh sb="2" eb="4">
      <t>テイギ</t>
    </rPh>
    <phoneticPr fontId="18"/>
  </si>
  <si>
    <t>■『プロジェクト計画シミュレータ』の使い方</t>
    <rPh sb="18" eb="19">
      <t>ツカ</t>
    </rPh>
    <rPh sb="20" eb="21">
      <t>カタ</t>
    </rPh>
    <phoneticPr fontId="2"/>
  </si>
  <si>
    <t>UAT</t>
    <phoneticPr fontId="18"/>
  </si>
  <si>
    <t>製造＋UT</t>
    <phoneticPr fontId="18"/>
  </si>
  <si>
    <t>こちらのシートは、各開発工程毎の工期や工数の比率をシミュレーションするシートです。</t>
    <rPh sb="9" eb="10">
      <t>カク</t>
    </rPh>
    <rPh sb="10" eb="12">
      <t>カイハツ</t>
    </rPh>
    <rPh sb="12" eb="14">
      <t>コウテイ</t>
    </rPh>
    <rPh sb="14" eb="15">
      <t>ゴト</t>
    </rPh>
    <rPh sb="16" eb="18">
      <t>コウキ</t>
    </rPh>
    <rPh sb="19" eb="21">
      <t>コウスウ</t>
    </rPh>
    <rPh sb="22" eb="24">
      <t>ヒリツ</t>
    </rPh>
    <phoneticPr fontId="2"/>
  </si>
  <si>
    <t>より具体的・詳細な計画検証を行うためのものです。</t>
    <rPh sb="2" eb="5">
      <t>グタイテキ</t>
    </rPh>
    <rPh sb="6" eb="8">
      <t>ショウサイ</t>
    </rPh>
    <rPh sb="9" eb="11">
      <t>ケイカク</t>
    </rPh>
    <rPh sb="11" eb="13">
      <t>ケンショウ</t>
    </rPh>
    <rPh sb="14" eb="15">
      <t>オコナ</t>
    </rPh>
    <phoneticPr fontId="2"/>
  </si>
  <si>
    <t>見積もり検証シートで定めた全体工数を基に、プロジェクト計画や、一部工程だけを受託する際のシミュレーションなど、</t>
    <rPh sb="10" eb="11">
      <t>サダ</t>
    </rPh>
    <rPh sb="13" eb="15">
      <t>ゼンタイ</t>
    </rPh>
    <rPh sb="15" eb="17">
      <t>コウスウ</t>
    </rPh>
    <rPh sb="18" eb="19">
      <t>モト</t>
    </rPh>
    <rPh sb="27" eb="29">
      <t>ケイカク</t>
    </rPh>
    <rPh sb="31" eb="33">
      <t>イチブ</t>
    </rPh>
    <rPh sb="33" eb="35">
      <t>コウテイ</t>
    </rPh>
    <rPh sb="38" eb="40">
      <t>ジュタク</t>
    </rPh>
    <rPh sb="42" eb="43">
      <t>サイ</t>
    </rPh>
    <phoneticPr fontId="2"/>
  </si>
  <si>
    <t>IPA比率(保守)</t>
    <rPh sb="3" eb="5">
      <t>ヒリツ</t>
    </rPh>
    <rPh sb="6" eb="8">
      <t>ホシュ</t>
    </rPh>
    <phoneticPr fontId="18"/>
  </si>
  <si>
    <t>①  『部門長向け見積もり検証シート』『保守開発見積もり検証シート』などで総工数の見積もりを検証する</t>
    <rPh sb="37" eb="38">
      <t>ソウ</t>
    </rPh>
    <rPh sb="38" eb="40">
      <t>コウスウ</t>
    </rPh>
    <rPh sb="41" eb="43">
      <t>ミツ</t>
    </rPh>
    <rPh sb="46" eb="48">
      <t>ケンショウ</t>
    </rPh>
    <phoneticPr fontId="2"/>
  </si>
  <si>
    <t>『プロジェクト計画シミュレータ』は工数や工期の配分をシミュレートするためのツールであり、</t>
    <rPh sb="17" eb="19">
      <t>コウスウ</t>
    </rPh>
    <rPh sb="20" eb="22">
      <t>コウキ</t>
    </rPh>
    <rPh sb="23" eb="25">
      <t>ハイブン</t>
    </rPh>
    <phoneticPr fontId="2"/>
  </si>
  <si>
    <t>見積もりそのものの検証ツールではないのでご注意願います。</t>
    <rPh sb="0" eb="2">
      <t>ミツ</t>
    </rPh>
    <rPh sb="9" eb="11">
      <t>ケンショウ</t>
    </rPh>
    <rPh sb="21" eb="23">
      <t>チュウイ</t>
    </rPh>
    <rPh sb="23" eb="24">
      <t>ネガ</t>
    </rPh>
    <phoneticPr fontId="2"/>
  </si>
  <si>
    <t>② 各工程に割り当てる工数、工期を入力する</t>
    <rPh sb="2" eb="3">
      <t>カク</t>
    </rPh>
    <rPh sb="3" eb="5">
      <t>コウテイ</t>
    </rPh>
    <rPh sb="6" eb="7">
      <t>ワ</t>
    </rPh>
    <rPh sb="8" eb="9">
      <t>ア</t>
    </rPh>
    <rPh sb="11" eb="13">
      <t>コウスウ</t>
    </rPh>
    <rPh sb="14" eb="16">
      <t>コウキ</t>
    </rPh>
    <rPh sb="17" eb="19">
      <t>ニュウリョク</t>
    </rPh>
    <phoneticPr fontId="2"/>
  </si>
  <si>
    <t>白いセルに工数と工期を入力すると、右側の評価欄に工数比と工期比が計算され表示されます。</t>
    <rPh sb="0" eb="1">
      <t>シロ</t>
    </rPh>
    <rPh sb="5" eb="7">
      <t>コウスウ</t>
    </rPh>
    <rPh sb="8" eb="10">
      <t>コウキ</t>
    </rPh>
    <rPh sb="11" eb="13">
      <t>ニュウリョク</t>
    </rPh>
    <rPh sb="17" eb="19">
      <t>ミギガワ</t>
    </rPh>
    <rPh sb="20" eb="22">
      <t>ヒョウカ</t>
    </rPh>
    <rPh sb="22" eb="23">
      <t>ラン</t>
    </rPh>
    <rPh sb="24" eb="26">
      <t>コウスウ</t>
    </rPh>
    <rPh sb="26" eb="27">
      <t>ヒ</t>
    </rPh>
    <rPh sb="28" eb="30">
      <t>コウキ</t>
    </rPh>
    <rPh sb="30" eb="31">
      <t>ヒ</t>
    </rPh>
    <rPh sb="32" eb="34">
      <t>ケイサン</t>
    </rPh>
    <rPh sb="36" eb="38">
      <t>ヒョウジ</t>
    </rPh>
    <phoneticPr fontId="2"/>
  </si>
  <si>
    <t>その横にIPAデータやJUASデータに基づいた比率が表示されていますので、その数字と大きく乖離しないように、</t>
    <rPh sb="2" eb="3">
      <t>ヨコ</t>
    </rPh>
    <rPh sb="19" eb="20">
      <t>モト</t>
    </rPh>
    <rPh sb="23" eb="25">
      <t>ヒリツ</t>
    </rPh>
    <rPh sb="26" eb="28">
      <t>ヒョウジ</t>
    </rPh>
    <rPh sb="39" eb="41">
      <t>スウジ</t>
    </rPh>
    <rPh sb="42" eb="43">
      <t>オオ</t>
    </rPh>
    <rPh sb="45" eb="47">
      <t>カイリ</t>
    </rPh>
    <phoneticPr fontId="2"/>
  </si>
  <si>
    <t>入力した工数や工期を調整します。</t>
    <rPh sb="0" eb="2">
      <t>ニュウリョク</t>
    </rPh>
    <rPh sb="4" eb="6">
      <t>コウスウ</t>
    </rPh>
    <rPh sb="7" eb="9">
      <t>コウキ</t>
    </rPh>
    <rPh sb="10" eb="12">
      <t>チョウセイ</t>
    </rPh>
    <phoneticPr fontId="2"/>
  </si>
  <si>
    <t>③ IPA/JUAS 比率とずれる場合、何故ずれるのか／ずらすのかの説明を記述する</t>
    <rPh sb="11" eb="13">
      <t>ヒリツ</t>
    </rPh>
    <rPh sb="17" eb="19">
      <t>バアイ</t>
    </rPh>
    <rPh sb="20" eb="22">
      <t>ナゼ</t>
    </rPh>
    <rPh sb="34" eb="36">
      <t>セツメイ</t>
    </rPh>
    <rPh sb="37" eb="39">
      <t>キジュツ</t>
    </rPh>
    <phoneticPr fontId="2"/>
  </si>
  <si>
    <r>
      <t>シミュレーションの目的は IPA/JUAS 比率に合わせる事</t>
    </r>
    <r>
      <rPr>
        <b/>
        <sz val="11"/>
        <color rgb="FFFF0000"/>
        <rFont val="Yu Gothic"/>
        <family val="3"/>
        <charset val="128"/>
        <scheme val="minor"/>
      </rPr>
      <t>ではありません</t>
    </r>
    <r>
      <rPr>
        <sz val="11"/>
        <color theme="1"/>
        <rFont val="Yu Gothic"/>
        <family val="2"/>
        <scheme val="minor"/>
      </rPr>
      <t>。</t>
    </r>
    <rPh sb="9" eb="11">
      <t>モクテキ</t>
    </rPh>
    <rPh sb="22" eb="24">
      <t>ヒリツ</t>
    </rPh>
    <rPh sb="25" eb="26">
      <t>ア</t>
    </rPh>
    <rPh sb="29" eb="30">
      <t>コト</t>
    </rPh>
    <phoneticPr fontId="2"/>
  </si>
  <si>
    <t>この比率はあくまでも参考値であり、実際の計画はプロジェクト固有の状況に応じて比率の増減を行います。</t>
    <rPh sb="2" eb="4">
      <t>ヒリツ</t>
    </rPh>
    <rPh sb="10" eb="13">
      <t>サンコウチ</t>
    </rPh>
    <rPh sb="17" eb="19">
      <t>ジッサイ</t>
    </rPh>
    <rPh sb="20" eb="22">
      <t>ケイカク</t>
    </rPh>
    <rPh sb="29" eb="31">
      <t>コユウ</t>
    </rPh>
    <rPh sb="32" eb="34">
      <t>ジョウキョウ</t>
    </rPh>
    <rPh sb="35" eb="36">
      <t>オウ</t>
    </rPh>
    <rPh sb="38" eb="40">
      <t>ヒリツ</t>
    </rPh>
    <rPh sb="41" eb="43">
      <t>ゾウゲン</t>
    </rPh>
    <rPh sb="44" eb="45">
      <t>オコナ</t>
    </rPh>
    <phoneticPr fontId="2"/>
  </si>
  <si>
    <t>例えば、その工程が4月～5月に予定されている場合、ゴールデンウィークの影響を鑑み、その分工期を伸ばす必要があります。</t>
    <rPh sb="0" eb="1">
      <t>タト</t>
    </rPh>
    <rPh sb="6" eb="8">
      <t>コウテイ</t>
    </rPh>
    <rPh sb="10" eb="11">
      <t>ガツ</t>
    </rPh>
    <rPh sb="13" eb="14">
      <t>ガツ</t>
    </rPh>
    <rPh sb="15" eb="17">
      <t>ヨテイ</t>
    </rPh>
    <rPh sb="22" eb="24">
      <t>バアイ</t>
    </rPh>
    <rPh sb="35" eb="37">
      <t>エイキョウ</t>
    </rPh>
    <rPh sb="38" eb="39">
      <t>カンガ</t>
    </rPh>
    <rPh sb="43" eb="44">
      <t>ブン</t>
    </rPh>
    <rPh sb="44" eb="46">
      <t>コウキ</t>
    </rPh>
    <rPh sb="47" eb="48">
      <t>ノ</t>
    </rPh>
    <rPh sb="50" eb="52">
      <t>ヒツヨウ</t>
    </rPh>
    <phoneticPr fontId="2"/>
  </si>
  <si>
    <t>或いは、マルチベンダーが参画する大型プロジェクトの場合、システムテスト等、複数ベンダーが共同で当たる工程は、</t>
    <rPh sb="0" eb="1">
      <t>アル</t>
    </rPh>
    <rPh sb="12" eb="14">
      <t>サンカク</t>
    </rPh>
    <rPh sb="16" eb="18">
      <t>オオガタ</t>
    </rPh>
    <rPh sb="25" eb="27">
      <t>バアイ</t>
    </rPh>
    <rPh sb="35" eb="36">
      <t>ナド</t>
    </rPh>
    <rPh sb="37" eb="39">
      <t>フクスウ</t>
    </rPh>
    <rPh sb="44" eb="46">
      <t>キョウドウ</t>
    </rPh>
    <rPh sb="47" eb="48">
      <t>ア</t>
    </rPh>
    <rPh sb="50" eb="52">
      <t>コウテイ</t>
    </rPh>
    <phoneticPr fontId="2"/>
  </si>
  <si>
    <t>（スケジュール調整が難しいため）工期を長めにとるのが正解です。</t>
    <rPh sb="7" eb="9">
      <t>チョウセイ</t>
    </rPh>
    <rPh sb="10" eb="11">
      <t>ムズカ</t>
    </rPh>
    <rPh sb="16" eb="18">
      <t>コウキ</t>
    </rPh>
    <rPh sb="19" eb="20">
      <t>ナガ</t>
    </rPh>
    <rPh sb="26" eb="28">
      <t>セイカイ</t>
    </rPh>
    <phoneticPr fontId="2"/>
  </si>
  <si>
    <t>また、要件定義工程は、お客様によっては本来「企画プロセス」で（お客様が）行うべき作業も全て含む場合があり、</t>
    <rPh sb="3" eb="5">
      <t>ヨウケン</t>
    </rPh>
    <rPh sb="5" eb="7">
      <t>テイギ</t>
    </rPh>
    <rPh sb="7" eb="9">
      <t>コウテイ</t>
    </rPh>
    <rPh sb="12" eb="14">
      <t>キャクサマ</t>
    </rPh>
    <rPh sb="19" eb="21">
      <t>ホンライ</t>
    </rPh>
    <rPh sb="22" eb="24">
      <t>キカク</t>
    </rPh>
    <rPh sb="32" eb="34">
      <t>キャクサマ</t>
    </rPh>
    <rPh sb="36" eb="37">
      <t>オコナ</t>
    </rPh>
    <rPh sb="40" eb="42">
      <t>サギョウ</t>
    </rPh>
    <rPh sb="43" eb="44">
      <t>スベ</t>
    </rPh>
    <rPh sb="45" eb="46">
      <t>フク</t>
    </rPh>
    <rPh sb="47" eb="49">
      <t>バアイ</t>
    </rPh>
    <phoneticPr fontId="2"/>
  </si>
  <si>
    <t>極端に長工期・大工数を必要とする場合もあります。</t>
    <rPh sb="0" eb="2">
      <t>キョクタン</t>
    </rPh>
    <rPh sb="3" eb="4">
      <t>チョウ</t>
    </rPh>
    <rPh sb="4" eb="6">
      <t>コウキ</t>
    </rPh>
    <rPh sb="7" eb="8">
      <t>ダイ</t>
    </rPh>
    <rPh sb="8" eb="10">
      <t>コウスウ</t>
    </rPh>
    <rPh sb="11" eb="13">
      <t>ヒツヨウ</t>
    </rPh>
    <rPh sb="16" eb="18">
      <t>バアイ</t>
    </rPh>
    <phoneticPr fontId="2"/>
  </si>
  <si>
    <t>そのような場合は、要件定義の実数字を入れてしまうと、基本設計以降のシミュレーションが成立しなくなってしまうので、</t>
    <rPh sb="5" eb="7">
      <t>バアイ</t>
    </rPh>
    <rPh sb="9" eb="11">
      <t>ヨウケン</t>
    </rPh>
    <rPh sb="11" eb="13">
      <t>テイギ</t>
    </rPh>
    <rPh sb="14" eb="15">
      <t>ジツ</t>
    </rPh>
    <rPh sb="15" eb="17">
      <t>スウジ</t>
    </rPh>
    <rPh sb="18" eb="19">
      <t>イ</t>
    </rPh>
    <rPh sb="26" eb="28">
      <t>キホン</t>
    </rPh>
    <rPh sb="28" eb="30">
      <t>セッケイ</t>
    </rPh>
    <rPh sb="30" eb="32">
      <t>イコウ</t>
    </rPh>
    <rPh sb="42" eb="44">
      <t>セイリツ</t>
    </rPh>
    <phoneticPr fontId="2"/>
  </si>
  <si>
    <t>仮の値として基本設計と同じ数字を入れるなどの対策が必要です。</t>
    <rPh sb="0" eb="1">
      <t>カリ</t>
    </rPh>
    <rPh sb="2" eb="3">
      <t>アタイ</t>
    </rPh>
    <rPh sb="6" eb="8">
      <t>キホン</t>
    </rPh>
    <rPh sb="8" eb="10">
      <t>セッケイ</t>
    </rPh>
    <rPh sb="11" eb="12">
      <t>オナ</t>
    </rPh>
    <rPh sb="13" eb="15">
      <t>スウジ</t>
    </rPh>
    <rPh sb="16" eb="17">
      <t>イ</t>
    </rPh>
    <rPh sb="22" eb="24">
      <t>タイサク</t>
    </rPh>
    <rPh sb="25" eb="27">
      <t>ヒツヨウ</t>
    </rPh>
    <phoneticPr fontId="2"/>
  </si>
  <si>
    <t>レビュアーに対する説明に便利です。</t>
    <rPh sb="6" eb="7">
      <t>タイ</t>
    </rPh>
    <rPh sb="9" eb="11">
      <t>セツメイ</t>
    </rPh>
    <rPh sb="12" eb="14">
      <t>ベンリ</t>
    </rPh>
    <phoneticPr fontId="2"/>
  </si>
  <si>
    <r>
      <t>このような</t>
    </r>
    <r>
      <rPr>
        <b/>
        <sz val="11"/>
        <color rgb="FF0070C0"/>
        <rFont val="Yu Gothic"/>
        <family val="3"/>
        <charset val="128"/>
        <scheme val="minor"/>
      </rPr>
      <t>プロジェクト固有の特殊事情は、シート上に（フキダシなどのオブジェクトを使用して）記述</t>
    </r>
    <r>
      <rPr>
        <sz val="11"/>
        <color theme="1"/>
        <rFont val="Yu Gothic"/>
        <family val="2"/>
        <scheme val="minor"/>
      </rPr>
      <t>しておくと、</t>
    </r>
    <rPh sb="11" eb="13">
      <t>コユウ</t>
    </rPh>
    <rPh sb="14" eb="16">
      <t>トクシュ</t>
    </rPh>
    <rPh sb="16" eb="18">
      <t>ジジョウ</t>
    </rPh>
    <rPh sb="23" eb="24">
      <t>ジョウ</t>
    </rPh>
    <rPh sb="40" eb="42">
      <t>シヨウ</t>
    </rPh>
    <rPh sb="45" eb="47">
      <t>キジュツ</t>
    </rPh>
    <phoneticPr fontId="2"/>
  </si>
  <si>
    <t>④ 簡易な警告表示や、その他統計メトリクス等を確認し、実際のプロジェクト計画に活かす</t>
    <rPh sb="2" eb="4">
      <t>カンイ</t>
    </rPh>
    <rPh sb="5" eb="7">
      <t>ケイコク</t>
    </rPh>
    <rPh sb="7" eb="9">
      <t>ヒョウジ</t>
    </rPh>
    <rPh sb="13" eb="14">
      <t>タ</t>
    </rPh>
    <rPh sb="14" eb="16">
      <t>トウケイ</t>
    </rPh>
    <rPh sb="21" eb="22">
      <t>ナド</t>
    </rPh>
    <rPh sb="23" eb="25">
      <t>カクニン</t>
    </rPh>
    <rPh sb="27" eb="29">
      <t>ジッサイ</t>
    </rPh>
    <rPh sb="36" eb="38">
      <t>ケイカク</t>
    </rPh>
    <rPh sb="39" eb="40">
      <t>イ</t>
    </rPh>
    <phoneticPr fontId="2"/>
  </si>
  <si>
    <t>オプションとしてごく簡単な警告機能や、必要とされるユーザーレビュー時間の予測、リリース後の残留欠陥数などが表示されます。</t>
    <rPh sb="10" eb="12">
      <t>カンタン</t>
    </rPh>
    <rPh sb="13" eb="15">
      <t>ケイコク</t>
    </rPh>
    <rPh sb="15" eb="17">
      <t>キノウ</t>
    </rPh>
    <rPh sb="19" eb="21">
      <t>ヒツヨウ</t>
    </rPh>
    <rPh sb="33" eb="35">
      <t>ジカン</t>
    </rPh>
    <rPh sb="36" eb="38">
      <t>ヨソク</t>
    </rPh>
    <rPh sb="43" eb="44">
      <t>ゴ</t>
    </rPh>
    <rPh sb="45" eb="47">
      <t>ザンリュウ</t>
    </rPh>
    <rPh sb="47" eb="49">
      <t>ケッカン</t>
    </rPh>
    <rPh sb="49" eb="50">
      <t>スウ</t>
    </rPh>
    <rPh sb="53" eb="55">
      <t>ヒョウジ</t>
    </rPh>
    <phoneticPr fontId="2"/>
  </si>
  <si>
    <t>プロジェクト計画の調整や、品質目標の設定などにご利用ください。</t>
    <rPh sb="6" eb="8">
      <t>ケイカク</t>
    </rPh>
    <rPh sb="9" eb="11">
      <t>チョウセイ</t>
    </rPh>
    <rPh sb="13" eb="15">
      <t>ヒンシツ</t>
    </rPh>
    <rPh sb="15" eb="17">
      <t>モクヒョウ</t>
    </rPh>
    <rPh sb="18" eb="20">
      <t>セッテイ</t>
    </rPh>
    <rPh sb="24" eb="26">
      <t>リヨウ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</si>
</sst>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_ "/>
    <numFmt numFmtId="177" formatCode="0.00_ "/>
    <numFmt numFmtId="178" formatCode="0.0_ "/>
    <numFmt numFmtId="179" formatCode="#,##0_ "/>
  </numFmts>
  <fonts count="24">
    <font>
      <sz val="11"/>
      <color theme="1"/>
      <name val="Yu Gothic"/>
      <family val="2"/>
      <scheme val="minor"/>
    </font>
    <font>
      <sz val="11"/>
      <color theme="1"/>
      <name val="Yu Gothic"/>
      <family val="2"/>
      <charset val="128"/>
      <scheme val="minor"/>
    </font>
    <font>
      <sz val="6"/>
      <name val="Yu Gothic"/>
      <family val="3"/>
      <charset val="128"/>
      <scheme val="minor"/>
    </font>
    <font>
      <b/>
      <sz val="11"/>
      <color theme="1"/>
      <name val="Yu Gothic"/>
      <family val="3"/>
      <charset val="128"/>
      <scheme val="minor"/>
    </font>
    <font>
      <b/>
      <sz val="11"/>
      <color rgb="FF0070C0"/>
      <name val="Yu Gothic"/>
      <family val="3"/>
      <charset val="128"/>
      <scheme val="minor"/>
    </font>
    <font>
      <b/>
      <sz val="11"/>
      <color theme="5" tint="-0.249977111117893"/>
      <name val="Yu Gothic"/>
      <family val="3"/>
      <charset val="128"/>
      <scheme val="minor"/>
    </font>
    <font>
      <b/>
      <sz val="11"/>
      <color rgb="FFFF0000"/>
      <name val="Yu Gothic"/>
      <family val="3"/>
      <charset val="128"/>
      <scheme val="minor"/>
    </font>
    <font>
      <b/>
      <sz val="11"/>
      <color theme="0"/>
      <name val="Yu Gothic"/>
      <family val="3"/>
      <charset val="128"/>
      <scheme val="minor"/>
    </font>
    <font>
      <sz val="10"/>
      <color theme="1"/>
      <name val="Yu Gothic"/>
      <family val="3"/>
      <charset val="128"/>
      <scheme val="minor"/>
    </font>
    <font>
      <sz val="11"/>
      <color theme="0"/>
      <name val="Yu Gothic"/>
      <family val="2"/>
      <scheme val="minor"/>
    </font>
    <font>
      <sz val="11"/>
      <color theme="1"/>
      <name val="Yu Gothic"/>
      <family val="3"/>
      <charset val="128"/>
      <scheme val="minor"/>
    </font>
    <font>
      <b/>
      <sz val="11"/>
      <color theme="1"/>
      <name val="Yu Gothic"/>
      <family val="3"/>
      <charset val="128"/>
    </font>
    <font>
      <b/>
      <sz val="11"/>
      <color rgb="FF00B050"/>
      <name val="Yu Gothic"/>
      <family val="3"/>
      <charset val="128"/>
      <scheme val="minor"/>
    </font>
    <font>
      <sz val="11"/>
      <name val="Yu Gothic"/>
      <family val="3"/>
      <charset val="128"/>
      <scheme val="minor"/>
    </font>
    <font>
      <b/>
      <u/>
      <sz val="11"/>
      <color rgb="FFFF0000"/>
      <name val="Yu Gothic"/>
      <family val="3"/>
      <charset val="128"/>
      <scheme val="minor"/>
    </font>
    <font>
      <b/>
      <u/>
      <sz val="11"/>
      <color rgb="FF0070C0"/>
      <name val="Yu Gothic"/>
      <family val="3"/>
      <charset val="128"/>
      <scheme val="minor"/>
    </font>
    <font>
      <sz val="11"/>
      <color theme="1"/>
      <name val="Yu Gothic"/>
      <family val="2"/>
      <charset val="128"/>
    </font>
    <font>
      <sz val="11"/>
      <color theme="1"/>
      <name val="Meiryo UI"/>
      <family val="3"/>
      <charset val="128"/>
    </font>
    <font>
      <sz val="6"/>
      <name val="Yu Gothic"/>
      <family val="2"/>
      <charset val="128"/>
      <scheme val="minor"/>
    </font>
    <font>
      <b/>
      <sz val="11"/>
      <color theme="1"/>
      <name val="Meiryo UI"/>
      <family val="3"/>
      <charset val="128"/>
    </font>
    <font>
      <sz val="9"/>
      <color indexed="81"/>
      <name val="ＭＳ Ｐゴシック"/>
      <family val="3"/>
      <charset val="128"/>
    </font>
    <font>
      <b/>
      <sz val="9"/>
      <color indexed="81"/>
      <name val="MS P ゴシック"/>
      <family val="3"/>
      <charset val="128"/>
    </font>
    <font>
      <b/>
      <u/>
      <sz val="11"/>
      <color theme="1"/>
      <name val="Meiryo UI"/>
      <family val="3"/>
      <charset val="128"/>
    </font>
    <font>
      <sz val="9"/>
      <color indexed="81"/>
      <name val="MS P ゴシック"/>
      <family val="3"/>
      <charset val="128"/>
    </font>
  </fonts>
  <fills count="15">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249977111117893"/>
        <bgColor indexed="64"/>
      </patternFill>
    </fill>
  </fills>
  <borders count="4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hair">
        <color auto="1"/>
      </bottom>
      <diagonal/>
    </border>
    <border>
      <left/>
      <right/>
      <top style="hair">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style="thin">
        <color auto="1"/>
      </top>
      <bottom/>
      <diagonal/>
    </border>
    <border>
      <left style="thick">
        <color auto="1"/>
      </left>
      <right/>
      <top/>
      <bottom style="thin">
        <color auto="1"/>
      </bottom>
      <diagonal/>
    </border>
    <border>
      <left style="thick">
        <color auto="1"/>
      </left>
      <right/>
      <top style="thick">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auto="1"/>
      </left>
      <right/>
      <top/>
      <bottom/>
      <diagonal/>
    </border>
    <border>
      <left/>
      <right style="thin">
        <color indexed="64"/>
      </right>
      <top/>
      <bottom/>
      <diagonal/>
    </border>
    <border>
      <left/>
      <right style="medium">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auto="1"/>
      </bottom>
      <diagonal/>
    </border>
    <border>
      <left/>
      <right style="medium">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2">
    <xf numFmtId="0" fontId="0" fillId="0" borderId="0"/>
    <xf numFmtId="0" fontId="1" fillId="0" borderId="0">
      <alignment vertical="center"/>
    </xf>
  </cellStyleXfs>
  <cellXfs count="166">
    <xf numFmtId="0" fontId="0" fillId="0" borderId="0" xfId="0"/>
    <xf numFmtId="177" fontId="3" fillId="2" borderId="1" xfId="0" applyNumberFormat="1" applyFont="1" applyFill="1" applyBorder="1"/>
    <xf numFmtId="178" fontId="3" fillId="2" borderId="1" xfId="0" applyNumberFormat="1" applyFont="1" applyFill="1" applyBorder="1"/>
    <xf numFmtId="178" fontId="6" fillId="2" borderId="1" xfId="0" applyNumberFormat="1" applyFont="1" applyFill="1" applyBorder="1" applyAlignment="1">
      <alignment horizontal="right"/>
    </xf>
    <xf numFmtId="176" fontId="3" fillId="2" borderId="1" xfId="0" applyNumberFormat="1" applyFont="1" applyFill="1" applyBorder="1"/>
    <xf numFmtId="177" fontId="7" fillId="4" borderId="1" xfId="0" applyNumberFormat="1" applyFont="1" applyFill="1" applyBorder="1"/>
    <xf numFmtId="178" fontId="7" fillId="4" borderId="1" xfId="0" applyNumberFormat="1" applyFont="1" applyFill="1" applyBorder="1"/>
    <xf numFmtId="177" fontId="0" fillId="2" borderId="1" xfId="0" applyNumberFormat="1" applyFill="1" applyBorder="1" applyAlignment="1">
      <alignment horizontal="right"/>
    </xf>
    <xf numFmtId="177" fontId="0" fillId="2" borderId="1" xfId="0" applyNumberFormat="1" applyFill="1" applyBorder="1"/>
    <xf numFmtId="177" fontId="0" fillId="3" borderId="1" xfId="0" applyNumberFormat="1" applyFill="1" applyBorder="1" applyAlignment="1">
      <alignment horizontal="right"/>
    </xf>
    <xf numFmtId="177" fontId="0" fillId="3" borderId="1" xfId="0" applyNumberFormat="1" applyFill="1" applyBorder="1"/>
    <xf numFmtId="178" fontId="0" fillId="2" borderId="1" xfId="0" applyNumberFormat="1" applyFill="1" applyBorder="1" applyAlignment="1">
      <alignment horizontal="right"/>
    </xf>
    <xf numFmtId="178" fontId="0" fillId="2" borderId="1" xfId="0" applyNumberFormat="1" applyFill="1" applyBorder="1"/>
    <xf numFmtId="178" fontId="9" fillId="4" borderId="1" xfId="0" applyNumberFormat="1" applyFont="1" applyFill="1" applyBorder="1" applyAlignment="1">
      <alignment horizontal="right"/>
    </xf>
    <xf numFmtId="178" fontId="9" fillId="4" borderId="1" xfId="0" applyNumberFormat="1" applyFont="1" applyFill="1" applyBorder="1"/>
    <xf numFmtId="0" fontId="3" fillId="0" borderId="0" xfId="0" applyFont="1"/>
    <xf numFmtId="176" fontId="0" fillId="6" borderId="0" xfId="0" applyNumberFormat="1" applyFill="1"/>
    <xf numFmtId="0" fontId="11" fillId="0" borderId="0" xfId="0" applyFont="1"/>
    <xf numFmtId="0" fontId="4" fillId="0" borderId="0" xfId="0" applyFont="1"/>
    <xf numFmtId="0" fontId="8" fillId="9" borderId="1" xfId="0" applyFont="1" applyFill="1" applyBorder="1" applyAlignment="1">
      <alignment horizontal="center"/>
    </xf>
    <xf numFmtId="0" fontId="4" fillId="9" borderId="9" xfId="0" applyFont="1" applyFill="1" applyBorder="1" applyAlignment="1">
      <alignment wrapText="1"/>
    </xf>
    <xf numFmtId="0" fontId="0" fillId="6" borderId="7" xfId="0" applyFill="1" applyBorder="1" applyAlignment="1">
      <alignment wrapText="1"/>
    </xf>
    <xf numFmtId="0" fontId="0" fillId="6" borderId="0" xfId="0" applyFill="1"/>
    <xf numFmtId="0" fontId="0" fillId="6" borderId="8" xfId="0" applyFill="1" applyBorder="1"/>
    <xf numFmtId="0" fontId="3" fillId="5" borderId="9" xfId="0" applyFont="1" applyFill="1" applyBorder="1" applyAlignment="1">
      <alignment wrapText="1"/>
    </xf>
    <xf numFmtId="0" fontId="3" fillId="6" borderId="7" xfId="0" applyFont="1" applyFill="1" applyBorder="1" applyAlignment="1">
      <alignment wrapText="1"/>
    </xf>
    <xf numFmtId="0" fontId="0" fillId="6" borderId="7" xfId="0" applyFill="1" applyBorder="1"/>
    <xf numFmtId="0" fontId="4" fillId="9" borderId="10" xfId="0" applyFont="1" applyFill="1" applyBorder="1" applyAlignment="1">
      <alignment wrapText="1"/>
    </xf>
    <xf numFmtId="0" fontId="3" fillId="7" borderId="9" xfId="0" applyFont="1" applyFill="1" applyBorder="1" applyAlignment="1">
      <alignment wrapText="1"/>
    </xf>
    <xf numFmtId="0" fontId="5" fillId="9" borderId="10" xfId="0" applyFont="1" applyFill="1" applyBorder="1" applyAlignment="1">
      <alignment wrapText="1"/>
    </xf>
    <xf numFmtId="0" fontId="5" fillId="9" borderId="10" xfId="0" applyFont="1" applyFill="1" applyBorder="1"/>
    <xf numFmtId="0" fontId="4" fillId="9" borderId="10" xfId="0" applyFont="1" applyFill="1" applyBorder="1"/>
    <xf numFmtId="0" fontId="6" fillId="9" borderId="10" xfId="0" applyFont="1" applyFill="1" applyBorder="1"/>
    <xf numFmtId="0" fontId="0" fillId="6" borderId="11" xfId="0" applyFill="1" applyBorder="1"/>
    <xf numFmtId="0" fontId="0" fillId="6" borderId="12" xfId="0" applyFill="1" applyBorder="1"/>
    <xf numFmtId="0" fontId="0" fillId="6" borderId="13" xfId="0" applyFill="1" applyBorder="1"/>
    <xf numFmtId="177" fontId="3" fillId="2" borderId="14" xfId="0" applyNumberFormat="1" applyFont="1" applyFill="1" applyBorder="1"/>
    <xf numFmtId="177" fontId="3" fillId="3" borderId="14" xfId="0" applyNumberFormat="1" applyFont="1" applyFill="1" applyBorder="1"/>
    <xf numFmtId="0" fontId="3" fillId="5" borderId="15" xfId="0" applyFont="1" applyFill="1" applyBorder="1" applyAlignment="1">
      <alignment wrapText="1"/>
    </xf>
    <xf numFmtId="0" fontId="0" fillId="6" borderId="16" xfId="0" applyFill="1" applyBorder="1" applyAlignment="1">
      <alignment wrapText="1"/>
    </xf>
    <xf numFmtId="0" fontId="0" fillId="6" borderId="5" xfId="0" applyFill="1" applyBorder="1"/>
    <xf numFmtId="0" fontId="0" fillId="6" borderId="6" xfId="0" applyFill="1" applyBorder="1"/>
    <xf numFmtId="0" fontId="0" fillId="5" borderId="7" xfId="0" applyFill="1" applyBorder="1"/>
    <xf numFmtId="0" fontId="0" fillId="5" borderId="0" xfId="0" applyFill="1"/>
    <xf numFmtId="0" fontId="0" fillId="5" borderId="8" xfId="0" applyFill="1" applyBorder="1"/>
    <xf numFmtId="0" fontId="3" fillId="5" borderId="0" xfId="0" applyFont="1" applyFill="1"/>
    <xf numFmtId="0" fontId="0" fillId="7" borderId="0" xfId="0" applyFill="1" applyAlignment="1">
      <alignment horizontal="center"/>
    </xf>
    <xf numFmtId="0" fontId="0" fillId="7" borderId="0" xfId="0" applyFill="1"/>
    <xf numFmtId="0" fontId="0" fillId="7" borderId="8" xfId="0" applyFill="1" applyBorder="1"/>
    <xf numFmtId="177" fontId="6" fillId="7" borderId="0" xfId="0" applyNumberFormat="1" applyFont="1" applyFill="1"/>
    <xf numFmtId="0" fontId="0" fillId="7" borderId="2" xfId="0" applyFill="1" applyBorder="1"/>
    <xf numFmtId="0" fontId="0" fillId="7" borderId="7" xfId="0" applyFill="1" applyBorder="1"/>
    <xf numFmtId="0" fontId="3" fillId="7" borderId="0" xfId="0" applyFont="1" applyFill="1"/>
    <xf numFmtId="0" fontId="6" fillId="7" borderId="0" xfId="0" applyFont="1" applyFill="1"/>
    <xf numFmtId="0" fontId="13" fillId="0" borderId="0" xfId="0" applyFont="1"/>
    <xf numFmtId="0" fontId="0" fillId="7" borderId="0" xfId="0" applyFill="1" applyAlignment="1">
      <alignment vertical="top" wrapText="1"/>
    </xf>
    <xf numFmtId="0" fontId="0" fillId="5" borderId="0" xfId="0" applyFill="1" applyAlignment="1">
      <alignment vertical="top" wrapText="1"/>
    </xf>
    <xf numFmtId="0" fontId="0" fillId="10" borderId="1" xfId="0" applyFill="1" applyBorder="1" applyAlignment="1">
      <alignment horizontal="center"/>
    </xf>
    <xf numFmtId="0" fontId="0" fillId="10" borderId="1" xfId="0" applyFill="1" applyBorder="1" applyAlignment="1">
      <alignment horizontal="center" shrinkToFit="1"/>
    </xf>
    <xf numFmtId="177" fontId="0" fillId="11" borderId="1" xfId="0" applyNumberFormat="1" applyFill="1" applyBorder="1"/>
    <xf numFmtId="0" fontId="10" fillId="0" borderId="0" xfId="0" applyFont="1"/>
    <xf numFmtId="0" fontId="12" fillId="9" borderId="10" xfId="0" applyFont="1" applyFill="1" applyBorder="1"/>
    <xf numFmtId="176" fontId="12" fillId="2" borderId="1" xfId="0" applyNumberFormat="1" applyFont="1" applyFill="1" applyBorder="1"/>
    <xf numFmtId="176" fontId="12" fillId="11" borderId="1" xfId="0" applyNumberFormat="1" applyFont="1" applyFill="1" applyBorder="1"/>
    <xf numFmtId="0" fontId="3" fillId="12" borderId="7" xfId="0" applyFont="1" applyFill="1" applyBorder="1"/>
    <xf numFmtId="0" fontId="0" fillId="12" borderId="0" xfId="0" applyFill="1" applyAlignment="1">
      <alignment vertical="top" wrapText="1"/>
    </xf>
    <xf numFmtId="0" fontId="0" fillId="12" borderId="8" xfId="0" applyFill="1" applyBorder="1"/>
    <xf numFmtId="0" fontId="0" fillId="12" borderId="7" xfId="0" applyFill="1" applyBorder="1"/>
    <xf numFmtId="0" fontId="3" fillId="12" borderId="9" xfId="0" applyFont="1" applyFill="1" applyBorder="1" applyAlignment="1">
      <alignment wrapText="1"/>
    </xf>
    <xf numFmtId="0" fontId="0" fillId="12" borderId="0" xfId="0" applyFill="1" applyAlignment="1">
      <alignment vertical="top"/>
    </xf>
    <xf numFmtId="178" fontId="0" fillId="8" borderId="19" xfId="0" applyNumberFormat="1" applyFill="1" applyBorder="1"/>
    <xf numFmtId="176" fontId="0" fillId="0" borderId="19" xfId="0" applyNumberFormat="1" applyBorder="1"/>
    <xf numFmtId="0" fontId="6" fillId="9" borderId="9" xfId="0" applyFont="1" applyFill="1" applyBorder="1"/>
    <xf numFmtId="179" fontId="10" fillId="8" borderId="19" xfId="0" applyNumberFormat="1" applyFont="1" applyFill="1" applyBorder="1"/>
    <xf numFmtId="0" fontId="16" fillId="0" borderId="0" xfId="0" applyFont="1" applyAlignment="1">
      <alignment horizontal="center"/>
    </xf>
    <xf numFmtId="0" fontId="17" fillId="0" borderId="0" xfId="1" applyFont="1">
      <alignment vertical="center"/>
    </xf>
    <xf numFmtId="0" fontId="17" fillId="13" borderId="1" xfId="1" applyFont="1" applyFill="1" applyBorder="1">
      <alignment vertical="center"/>
    </xf>
    <xf numFmtId="0" fontId="17" fillId="0" borderId="1" xfId="1" applyFont="1" applyBorder="1">
      <alignment vertical="center"/>
    </xf>
    <xf numFmtId="0" fontId="19" fillId="2" borderId="14" xfId="1" applyFont="1" applyFill="1" applyBorder="1">
      <alignment vertical="center"/>
    </xf>
    <xf numFmtId="178" fontId="17" fillId="2" borderId="1" xfId="1" applyNumberFormat="1" applyFont="1" applyFill="1" applyBorder="1">
      <alignment vertical="center"/>
    </xf>
    <xf numFmtId="178" fontId="19" fillId="2" borderId="14" xfId="1" applyNumberFormat="1" applyFont="1" applyFill="1" applyBorder="1">
      <alignment vertical="center"/>
    </xf>
    <xf numFmtId="178" fontId="19" fillId="2" borderId="1" xfId="1" applyNumberFormat="1" applyFont="1" applyFill="1" applyBorder="1">
      <alignment vertical="center"/>
    </xf>
    <xf numFmtId="0" fontId="17" fillId="0" borderId="14" xfId="1" applyFont="1" applyBorder="1">
      <alignment vertical="center"/>
    </xf>
    <xf numFmtId="0" fontId="17" fillId="14" borderId="0" xfId="1" applyFont="1" applyFill="1">
      <alignment vertical="center"/>
    </xf>
    <xf numFmtId="0" fontId="17" fillId="14" borderId="0" xfId="1" applyFont="1" applyFill="1" applyAlignment="1">
      <alignment horizontal="center" vertical="center"/>
    </xf>
    <xf numFmtId="176" fontId="17" fillId="2" borderId="1" xfId="1" applyNumberFormat="1" applyFont="1" applyFill="1" applyBorder="1" applyAlignment="1">
      <alignment horizontal="center" vertical="center"/>
    </xf>
    <xf numFmtId="0" fontId="19" fillId="12" borderId="1" xfId="1" applyFont="1" applyFill="1" applyBorder="1" applyAlignment="1">
      <alignment horizontal="center" vertical="center"/>
    </xf>
    <xf numFmtId="0" fontId="19" fillId="12" borderId="14" xfId="1" applyFont="1" applyFill="1" applyBorder="1" applyAlignment="1">
      <alignment horizontal="center" vertical="center"/>
    </xf>
    <xf numFmtId="176" fontId="17" fillId="2" borderId="1" xfId="1" applyNumberFormat="1" applyFont="1" applyFill="1" applyBorder="1">
      <alignment vertical="center"/>
    </xf>
    <xf numFmtId="0" fontId="17" fillId="0" borderId="35" xfId="1" applyFont="1" applyBorder="1">
      <alignment vertical="center"/>
    </xf>
    <xf numFmtId="178" fontId="17" fillId="2" borderId="35" xfId="1" applyNumberFormat="1" applyFont="1" applyFill="1" applyBorder="1">
      <alignment vertical="center"/>
    </xf>
    <xf numFmtId="0" fontId="19" fillId="12" borderId="35" xfId="1" applyFont="1" applyFill="1" applyBorder="1" applyAlignment="1">
      <alignment horizontal="center" vertical="center"/>
    </xf>
    <xf numFmtId="0" fontId="17" fillId="12" borderId="36" xfId="1" applyFont="1" applyFill="1" applyBorder="1" applyAlignment="1">
      <alignment horizontal="center" vertical="center"/>
    </xf>
    <xf numFmtId="176" fontId="17" fillId="2" borderId="14" xfId="1" applyNumberFormat="1" applyFont="1" applyFill="1" applyBorder="1" applyAlignment="1">
      <alignment horizontal="center" vertical="center"/>
    </xf>
    <xf numFmtId="0" fontId="19" fillId="12" borderId="26" xfId="1" applyFont="1" applyFill="1" applyBorder="1" applyAlignment="1">
      <alignment horizontal="center" vertical="center"/>
    </xf>
    <xf numFmtId="176" fontId="17" fillId="2" borderId="14" xfId="1" applyNumberFormat="1" applyFont="1" applyFill="1" applyBorder="1">
      <alignment vertical="center"/>
    </xf>
    <xf numFmtId="0" fontId="17" fillId="12" borderId="17" xfId="1" applyFont="1" applyFill="1" applyBorder="1" applyAlignment="1">
      <alignment horizontal="center" vertical="center"/>
    </xf>
    <xf numFmtId="176" fontId="17" fillId="2" borderId="25" xfId="1" applyNumberFormat="1" applyFont="1" applyFill="1" applyBorder="1" applyAlignment="1">
      <alignment horizontal="center" vertical="center"/>
    </xf>
    <xf numFmtId="0" fontId="19" fillId="12" borderId="25" xfId="1" applyFont="1" applyFill="1" applyBorder="1" applyAlignment="1">
      <alignment horizontal="center" vertical="center"/>
    </xf>
    <xf numFmtId="176" fontId="17" fillId="2" borderId="25" xfId="1" applyNumberFormat="1" applyFont="1" applyFill="1" applyBorder="1">
      <alignment vertical="center"/>
    </xf>
    <xf numFmtId="0" fontId="17" fillId="0" borderId="38" xfId="1" applyFont="1" applyBorder="1">
      <alignment vertical="center"/>
    </xf>
    <xf numFmtId="178" fontId="17" fillId="2" borderId="38" xfId="1" applyNumberFormat="1" applyFont="1" applyFill="1" applyBorder="1">
      <alignment vertical="center"/>
    </xf>
    <xf numFmtId="0" fontId="19" fillId="12" borderId="38" xfId="1" applyFont="1" applyFill="1" applyBorder="1" applyAlignment="1">
      <alignment horizontal="center" vertical="center"/>
    </xf>
    <xf numFmtId="0" fontId="17" fillId="12" borderId="39" xfId="1" applyFont="1" applyFill="1" applyBorder="1" applyAlignment="1">
      <alignment horizontal="center" vertical="center"/>
    </xf>
    <xf numFmtId="176" fontId="17" fillId="2" borderId="26" xfId="1" applyNumberFormat="1" applyFont="1" applyFill="1" applyBorder="1" applyAlignment="1">
      <alignment horizontal="center" vertical="center"/>
    </xf>
    <xf numFmtId="176" fontId="17" fillId="2" borderId="26" xfId="1" applyNumberFormat="1" applyFont="1" applyFill="1" applyBorder="1">
      <alignment vertical="center"/>
    </xf>
    <xf numFmtId="0" fontId="17" fillId="0" borderId="26" xfId="1" applyFont="1" applyBorder="1">
      <alignment vertical="center"/>
    </xf>
    <xf numFmtId="178" fontId="17" fillId="2" borderId="17" xfId="1" applyNumberFormat="1" applyFont="1" applyFill="1" applyBorder="1">
      <alignment vertical="center"/>
    </xf>
    <xf numFmtId="0" fontId="17" fillId="2" borderId="1" xfId="1" applyFont="1" applyFill="1" applyBorder="1">
      <alignment vertical="center"/>
    </xf>
    <xf numFmtId="0" fontId="17" fillId="2" borderId="14" xfId="1" applyFont="1" applyFill="1" applyBorder="1">
      <alignment vertical="center"/>
    </xf>
    <xf numFmtId="177" fontId="17" fillId="2" borderId="1" xfId="1" applyNumberFormat="1" applyFont="1" applyFill="1" applyBorder="1">
      <alignment vertical="center"/>
    </xf>
    <xf numFmtId="0" fontId="19" fillId="5" borderId="32" xfId="1" applyFont="1" applyFill="1" applyBorder="1">
      <alignment vertical="center"/>
    </xf>
    <xf numFmtId="0" fontId="17" fillId="5" borderId="2" xfId="1" applyFont="1" applyFill="1" applyBorder="1">
      <alignment vertical="center"/>
    </xf>
    <xf numFmtId="0" fontId="17" fillId="5" borderId="0" xfId="1" applyFont="1" applyFill="1">
      <alignment vertical="center"/>
    </xf>
    <xf numFmtId="0" fontId="17" fillId="5" borderId="28" xfId="1" applyFont="1" applyFill="1" applyBorder="1">
      <alignment vertical="center"/>
    </xf>
    <xf numFmtId="0" fontId="17" fillId="5" borderId="33" xfId="1" applyFont="1" applyFill="1" applyBorder="1">
      <alignment vertical="center"/>
    </xf>
    <xf numFmtId="0" fontId="17" fillId="5" borderId="22" xfId="1" applyFont="1" applyFill="1" applyBorder="1">
      <alignment vertical="center"/>
    </xf>
    <xf numFmtId="0" fontId="17" fillId="5" borderId="17" xfId="1" applyFont="1" applyFill="1" applyBorder="1">
      <alignment vertical="center"/>
    </xf>
    <xf numFmtId="0" fontId="17" fillId="5" borderId="28" xfId="1" applyFont="1" applyFill="1" applyBorder="1" applyAlignment="1">
      <alignment horizontal="center" vertical="center"/>
    </xf>
    <xf numFmtId="0" fontId="17" fillId="5" borderId="24" xfId="1" applyFont="1" applyFill="1" applyBorder="1">
      <alignment vertical="center"/>
    </xf>
    <xf numFmtId="0" fontId="17" fillId="5" borderId="1" xfId="1" applyFont="1" applyFill="1" applyBorder="1">
      <alignment vertical="center"/>
    </xf>
    <xf numFmtId="0" fontId="17" fillId="5" borderId="1" xfId="1" applyFont="1" applyFill="1" applyBorder="1" applyAlignment="1">
      <alignment horizontal="center" vertical="center"/>
    </xf>
    <xf numFmtId="0" fontId="19" fillId="5" borderId="1" xfId="1" applyFont="1" applyFill="1" applyBorder="1" applyAlignment="1">
      <alignment horizontal="center" vertical="center"/>
    </xf>
    <xf numFmtId="0" fontId="19" fillId="5" borderId="26" xfId="1" applyFont="1" applyFill="1" applyBorder="1" applyAlignment="1">
      <alignment horizontal="center" vertical="center"/>
    </xf>
    <xf numFmtId="0" fontId="17" fillId="5" borderId="26" xfId="1" applyFont="1" applyFill="1" applyBorder="1" applyAlignment="1">
      <alignment horizontal="center" vertical="center"/>
    </xf>
    <xf numFmtId="0" fontId="17" fillId="5" borderId="14" xfId="1" applyFont="1" applyFill="1" applyBorder="1" applyAlignment="1">
      <alignment horizontal="center" vertical="center"/>
    </xf>
    <xf numFmtId="0" fontId="17" fillId="5" borderId="14" xfId="1" applyFont="1" applyFill="1" applyBorder="1">
      <alignment vertical="center"/>
    </xf>
    <xf numFmtId="0" fontId="17" fillId="5" borderId="20" xfId="1" applyFont="1" applyFill="1" applyBorder="1">
      <alignment vertical="center"/>
    </xf>
    <xf numFmtId="0" fontId="17" fillId="5" borderId="35" xfId="1" applyFont="1" applyFill="1" applyBorder="1">
      <alignment vertical="center"/>
    </xf>
    <xf numFmtId="0" fontId="17" fillId="5" borderId="21" xfId="1" applyFont="1" applyFill="1" applyBorder="1">
      <alignment vertical="center"/>
    </xf>
    <xf numFmtId="0" fontId="17" fillId="5" borderId="37" xfId="1" applyFont="1" applyFill="1" applyBorder="1">
      <alignment vertical="center"/>
    </xf>
    <xf numFmtId="0" fontId="17" fillId="5" borderId="38" xfId="1" applyFont="1" applyFill="1" applyBorder="1">
      <alignment vertical="center"/>
    </xf>
    <xf numFmtId="0" fontId="17" fillId="5" borderId="26" xfId="1" applyFont="1" applyFill="1" applyBorder="1">
      <alignment vertical="center"/>
    </xf>
    <xf numFmtId="0" fontId="19" fillId="5" borderId="14" xfId="1" applyFont="1" applyFill="1" applyBorder="1">
      <alignment vertical="center"/>
    </xf>
    <xf numFmtId="0" fontId="17" fillId="5" borderId="27" xfId="1" applyFont="1" applyFill="1" applyBorder="1">
      <alignment vertical="center"/>
    </xf>
    <xf numFmtId="0" fontId="17" fillId="5" borderId="30" xfId="1" applyFont="1" applyFill="1" applyBorder="1">
      <alignment vertical="center"/>
    </xf>
    <xf numFmtId="0" fontId="17" fillId="5" borderId="32" xfId="1" applyFont="1" applyFill="1" applyBorder="1">
      <alignment vertical="center"/>
    </xf>
    <xf numFmtId="0" fontId="17" fillId="5" borderId="31" xfId="1" applyFont="1" applyFill="1" applyBorder="1">
      <alignment vertical="center"/>
    </xf>
    <xf numFmtId="0" fontId="0" fillId="7" borderId="0" xfId="0" applyFill="1" applyAlignment="1">
      <alignment vertical="top" wrapText="1"/>
    </xf>
    <xf numFmtId="0" fontId="0" fillId="5" borderId="4" xfId="0" applyFill="1" applyBorder="1" applyAlignment="1">
      <alignment vertical="top" wrapText="1"/>
    </xf>
    <xf numFmtId="0" fontId="0" fillId="5" borderId="0" xfId="0" applyFill="1" applyAlignment="1">
      <alignment vertical="top" wrapText="1"/>
    </xf>
    <xf numFmtId="0" fontId="0" fillId="5" borderId="3" xfId="0" applyFill="1" applyBorder="1" applyAlignment="1">
      <alignment vertical="top" wrapText="1"/>
    </xf>
    <xf numFmtId="0" fontId="10" fillId="10" borderId="17" xfId="0" applyFont="1" applyFill="1" applyBorder="1" applyAlignment="1">
      <alignment horizontal="center" shrinkToFit="1"/>
    </xf>
    <xf numFmtId="0" fontId="10" fillId="10" borderId="18" xfId="0" applyFont="1" applyFill="1" applyBorder="1" applyAlignment="1">
      <alignment horizontal="center" shrinkToFit="1"/>
    </xf>
    <xf numFmtId="178" fontId="0" fillId="2" borderId="17" xfId="0" applyNumberFormat="1" applyFill="1" applyBorder="1" applyAlignment="1">
      <alignment horizontal="center"/>
    </xf>
    <xf numFmtId="178" fontId="0" fillId="2" borderId="18" xfId="0" applyNumberFormat="1" applyFill="1" applyBorder="1" applyAlignment="1">
      <alignment horizontal="center"/>
    </xf>
    <xf numFmtId="0" fontId="0" fillId="12" borderId="0" xfId="0" applyFill="1" applyAlignment="1">
      <alignment vertical="top" wrapText="1"/>
    </xf>
    <xf numFmtId="0" fontId="0" fillId="12" borderId="4" xfId="0" applyFill="1" applyBorder="1" applyAlignment="1">
      <alignment vertical="top" wrapText="1"/>
    </xf>
    <xf numFmtId="178" fontId="9" fillId="4" borderId="17" xfId="0" applyNumberFormat="1" applyFont="1" applyFill="1" applyBorder="1" applyAlignment="1">
      <alignment horizontal="center"/>
    </xf>
    <xf numFmtId="178" fontId="9" fillId="4" borderId="18" xfId="0" applyNumberFormat="1" applyFont="1" applyFill="1" applyBorder="1" applyAlignment="1">
      <alignment horizontal="center"/>
    </xf>
    <xf numFmtId="0" fontId="0" fillId="7" borderId="4" xfId="0" applyFill="1" applyBorder="1" applyAlignment="1">
      <alignment vertical="top" wrapText="1"/>
    </xf>
    <xf numFmtId="0" fontId="17" fillId="12" borderId="1" xfId="1" applyFont="1" applyFill="1" applyBorder="1" applyAlignment="1">
      <alignment horizontal="center" vertical="center"/>
    </xf>
    <xf numFmtId="0" fontId="19" fillId="5" borderId="1" xfId="1" applyFont="1" applyFill="1" applyBorder="1">
      <alignment vertical="center"/>
    </xf>
    <xf numFmtId="178" fontId="17" fillId="2" borderId="34" xfId="1" applyNumberFormat="1" applyFont="1" applyFill="1" applyBorder="1" applyAlignment="1">
      <alignment horizontal="center" vertical="center"/>
    </xf>
    <xf numFmtId="178" fontId="17" fillId="2" borderId="29" xfId="1" applyNumberFormat="1" applyFont="1" applyFill="1" applyBorder="1" applyAlignment="1">
      <alignment horizontal="center" vertical="center"/>
    </xf>
    <xf numFmtId="178" fontId="17" fillId="2" borderId="23" xfId="1" applyNumberFormat="1" applyFont="1" applyFill="1" applyBorder="1" applyAlignment="1">
      <alignment horizontal="center" vertical="center"/>
    </xf>
    <xf numFmtId="178" fontId="17" fillId="2" borderId="26" xfId="1" applyNumberFormat="1" applyFont="1" applyFill="1" applyBorder="1" applyAlignment="1">
      <alignment horizontal="center" vertical="center"/>
    </xf>
    <xf numFmtId="0" fontId="19" fillId="12" borderId="14" xfId="1" applyFont="1" applyFill="1" applyBorder="1" applyAlignment="1">
      <alignment horizontal="center" vertical="center"/>
    </xf>
    <xf numFmtId="0" fontId="19" fillId="12" borderId="25" xfId="1" applyFont="1" applyFill="1" applyBorder="1" applyAlignment="1">
      <alignment horizontal="center" vertical="center"/>
    </xf>
    <xf numFmtId="0" fontId="19" fillId="12" borderId="26" xfId="1" applyFont="1" applyFill="1" applyBorder="1" applyAlignment="1">
      <alignment horizontal="center" vertical="center"/>
    </xf>
    <xf numFmtId="0" fontId="17" fillId="12" borderId="17" xfId="1" applyFont="1" applyFill="1" applyBorder="1" applyAlignment="1">
      <alignment horizontal="center" vertical="center"/>
    </xf>
    <xf numFmtId="0" fontId="17" fillId="12" borderId="28" xfId="1" applyFont="1" applyFill="1" applyBorder="1" applyAlignment="1">
      <alignment horizontal="center" vertical="center"/>
    </xf>
    <xf numFmtId="0" fontId="17" fillId="12" borderId="18" xfId="1" applyFont="1" applyFill="1" applyBorder="1" applyAlignment="1">
      <alignment horizontal="center" vertical="center"/>
    </xf>
    <xf numFmtId="0" fontId="17" fillId="5" borderId="17" xfId="1" applyFont="1" applyFill="1" applyBorder="1" applyAlignment="1">
      <alignment horizontal="center" vertical="center"/>
    </xf>
    <xf numFmtId="0" fontId="17" fillId="5" borderId="18" xfId="1" applyFont="1" applyFill="1" applyBorder="1" applyAlignment="1">
      <alignment horizontal="center" vertical="center"/>
    </xf>
    <xf numFmtId="0" fontId="17" fillId="5" borderId="28" xfId="1" applyFont="1" applyFill="1" applyBorder="1" applyAlignment="1">
      <alignment horizontal="center" vertical="center"/>
    </xf>
  </cellXfs>
  <cellStyles count="2">
    <cellStyle name="標準" xfId="0" builtinId="0"/>
    <cellStyle name="標準 2" xfId="1"/>
  </cellStyles>
  <dxfs count="6">
    <dxf>
      <font>
        <b/>
        <i val="0"/>
        <color theme="0"/>
      </font>
      <fill>
        <patternFill>
          <bgColor rgb="FFFF0000"/>
        </patternFill>
      </fill>
    </dxf>
    <dxf>
      <font>
        <b/>
        <i val="0"/>
        <color theme="0"/>
      </font>
      <fill>
        <patternFill>
          <bgColor rgb="FFFF0000"/>
        </patternFill>
      </fill>
    </dxf>
    <dxf>
      <font>
        <b/>
        <i val="0"/>
        <color rgb="FFFF0000"/>
      </font>
      <fill>
        <patternFill>
          <bgColor rgb="FFFFC000"/>
        </patternFill>
      </fill>
    </dxf>
    <dxf>
      <font>
        <b/>
        <i val="0"/>
        <color theme="0"/>
      </font>
      <fill>
        <patternFill>
          <bgColor rgb="FFFF0000"/>
        </patternFill>
      </fill>
    </dxf>
    <dxf>
      <font>
        <b/>
        <i val="0"/>
        <color rgb="FFFF0000"/>
      </font>
      <fill>
        <patternFill>
          <bgColor rgb="FFFFC00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106680</xdr:rowOff>
    </xdr:from>
    <xdr:to>
      <xdr:col>3</xdr:col>
      <xdr:colOff>1051560</xdr:colOff>
      <xdr:row>5</xdr:row>
      <xdr:rowOff>83820</xdr:rowOff>
    </xdr:to>
    <xdr:sp macro="" textlink="">
      <xdr:nvSpPr>
        <xdr:cNvPr id="2" name="正方形/長方形 1">
          <a:extLst>
            <a:ext uri="{FF2B5EF4-FFF2-40B4-BE49-F238E27FC236}">
              <a16:creationId xmlns:a16="http://schemas.microsoft.com/office/drawing/2014/main" id="{CBE9C786-64AC-2E32-BD08-E095A6E83365}"/>
            </a:ext>
          </a:extLst>
        </xdr:cNvPr>
        <xdr:cNvSpPr/>
      </xdr:nvSpPr>
      <xdr:spPr>
        <a:xfrm>
          <a:off x="91440" y="106680"/>
          <a:ext cx="7414260" cy="1120140"/>
        </a:xfrm>
        <a:prstGeom prst="rect">
          <a:avLst/>
        </a:prstGeom>
        <a:solidFill>
          <a:schemeClr val="accent2">
            <a:lumMod val="20000"/>
            <a:lumOff val="80000"/>
          </a:schemeClr>
        </a:solid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sng">
              <a:solidFill>
                <a:srgbClr val="FF0000"/>
              </a:solidFill>
              <a:latin typeface="Meiryo UI" panose="020B0604030504040204" pitchFamily="50" charset="-128"/>
              <a:ea typeface="Meiryo UI" panose="020B0604030504040204" pitchFamily="50" charset="-128"/>
            </a:rPr>
            <a:t>保守開発</a:t>
          </a:r>
          <a:r>
            <a:rPr kumimoji="1" lang="ja-JP" altLang="en-US" sz="1200">
              <a:solidFill>
                <a:sysClr val="windowText" lastClr="000000"/>
              </a:solidFill>
              <a:latin typeface="Meiryo UI" panose="020B0604030504040204" pitchFamily="50" charset="-128"/>
              <a:ea typeface="Meiryo UI" panose="020B0604030504040204" pitchFamily="50" charset="-128"/>
            </a:rPr>
            <a:t>において、比較的改修規模が大きくなり</a:t>
          </a:r>
          <a:r>
            <a:rPr kumimoji="1" lang="ja-JP" altLang="en-US" sz="1200" b="1" u="sng">
              <a:solidFill>
                <a:srgbClr val="FF0000"/>
              </a:solidFill>
              <a:latin typeface="Meiryo UI" panose="020B0604030504040204" pitchFamily="50" charset="-128"/>
              <a:ea typeface="Meiryo UI" panose="020B0604030504040204" pitchFamily="50" charset="-128"/>
            </a:rPr>
            <a:t>請負契約で独立した見積もり</a:t>
          </a:r>
          <a:r>
            <a:rPr kumimoji="1" lang="ja-JP" altLang="en-US" sz="1200">
              <a:solidFill>
                <a:sysClr val="windowText" lastClr="000000"/>
              </a:solidFill>
              <a:latin typeface="Meiryo UI" panose="020B0604030504040204" pitchFamily="50" charset="-128"/>
              <a:ea typeface="Meiryo UI" panose="020B0604030504040204" pitchFamily="50" charset="-128"/>
            </a:rPr>
            <a:t>を行う場合、</a:t>
          </a:r>
          <a:r>
            <a:rPr kumimoji="1" lang="ja-JP" altLang="en-US" sz="1200" b="1" u="sng">
              <a:solidFill>
                <a:srgbClr val="FF0000"/>
              </a:solidFill>
              <a:latin typeface="Meiryo UI" panose="020B0604030504040204" pitchFamily="50" charset="-128"/>
              <a:ea typeface="Meiryo UI" panose="020B0604030504040204" pitchFamily="50" charset="-128"/>
            </a:rPr>
            <a:t>本来であれば新規開発と同じ水準</a:t>
          </a:r>
          <a:r>
            <a:rPr kumimoji="1" lang="ja-JP" altLang="en-US" sz="1200">
              <a:solidFill>
                <a:sysClr val="windowText" lastClr="000000"/>
              </a:solidFill>
              <a:latin typeface="Meiryo UI" panose="020B0604030504040204" pitchFamily="50" charset="-128"/>
              <a:ea typeface="Meiryo UI" panose="020B0604030504040204" pitchFamily="50" charset="-128"/>
            </a:rPr>
            <a:t>で見積もりを行うべきです。しかし、保守の延長上の作業だけを想定し、</a:t>
          </a:r>
          <a:r>
            <a:rPr kumimoji="1" lang="ja-JP" altLang="en-US" sz="1200" b="1" u="sng">
              <a:solidFill>
                <a:srgbClr val="FF0000"/>
              </a:solidFill>
              <a:latin typeface="Meiryo UI" panose="020B0604030504040204" pitchFamily="50" charset="-128"/>
              <a:ea typeface="Meiryo UI" panose="020B0604030504040204" pitchFamily="50" charset="-128"/>
            </a:rPr>
            <a:t>準委任契約と同等の見積もり水準で見積もってしまう例が多いのが実情</a:t>
          </a:r>
          <a:r>
            <a:rPr kumimoji="1" lang="ja-JP" altLang="en-US" sz="1200">
              <a:solidFill>
                <a:sysClr val="windowText" lastClr="000000"/>
              </a:solidFill>
              <a:latin typeface="Meiryo UI" panose="020B0604030504040204" pitchFamily="50" charset="-128"/>
              <a:ea typeface="Meiryo UI" panose="020B0604030504040204" pitchFamily="50" charset="-128"/>
            </a:rPr>
            <a:t>です。このシートは実情に合わせた検証を行う目的で調整されていますが、規模が</a:t>
          </a:r>
          <a:r>
            <a:rPr kumimoji="1" lang="en-US" altLang="ja-JP" sz="1200" b="1" u="sng">
              <a:solidFill>
                <a:srgbClr val="FF0000"/>
              </a:solidFill>
              <a:latin typeface="Meiryo UI" panose="020B0604030504040204" pitchFamily="50" charset="-128"/>
              <a:ea typeface="Meiryo UI" panose="020B0604030504040204" pitchFamily="50" charset="-128"/>
            </a:rPr>
            <a:t>1000</a:t>
          </a:r>
          <a:r>
            <a:rPr kumimoji="1" lang="ja-JP" altLang="en-US" sz="1200" b="1" u="sng">
              <a:solidFill>
                <a:srgbClr val="FF0000"/>
              </a:solidFill>
              <a:latin typeface="Meiryo UI" panose="020B0604030504040204" pitchFamily="50" charset="-128"/>
              <a:ea typeface="Meiryo UI" panose="020B0604030504040204" pitchFamily="50" charset="-128"/>
            </a:rPr>
            <a:t>万円を超えた場合は、可能であれば見積もり水準の見直しを</a:t>
          </a:r>
          <a:r>
            <a:rPr kumimoji="1" lang="ja-JP" altLang="en-US" sz="1200">
              <a:solidFill>
                <a:sysClr val="windowText" lastClr="000000"/>
              </a:solidFill>
              <a:latin typeface="Meiryo UI" panose="020B0604030504040204" pitchFamily="50" charset="-128"/>
              <a:ea typeface="Meiryo UI" panose="020B0604030504040204" pitchFamily="50" charset="-128"/>
            </a:rPr>
            <a:t>ご検討ください。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5"/>
  <sheetViews>
    <sheetView workbookViewId="0"/>
  </sheetViews>
  <sheetFormatPr defaultRowHeight="18"/>
  <sheetData>
    <row r="1" spans="1:2">
      <c r="A1" s="15" t="s">
        <v>36</v>
      </c>
    </row>
    <row r="3" spans="1:2">
      <c r="A3" s="15" t="s">
        <v>45</v>
      </c>
    </row>
    <row r="4" spans="1:2">
      <c r="B4" s="15" t="s">
        <v>139</v>
      </c>
    </row>
    <row r="5" spans="1:2">
      <c r="B5" t="s">
        <v>51</v>
      </c>
    </row>
    <row r="6" spans="1:2">
      <c r="B6" t="s">
        <v>52</v>
      </c>
    </row>
    <row r="8" spans="1:2">
      <c r="B8" t="s">
        <v>46</v>
      </c>
    </row>
    <row r="9" spans="1:2">
      <c r="B9" t="s">
        <v>47</v>
      </c>
    </row>
    <row r="11" spans="1:2">
      <c r="B11" t="s">
        <v>48</v>
      </c>
    </row>
    <row r="12" spans="1:2">
      <c r="B12" t="s">
        <v>49</v>
      </c>
    </row>
    <row r="13" spans="1:2">
      <c r="B13" t="s">
        <v>73</v>
      </c>
    </row>
    <row r="14" spans="1:2">
      <c r="B14" t="s">
        <v>74</v>
      </c>
    </row>
    <row r="16" spans="1:2">
      <c r="B16" t="s">
        <v>109</v>
      </c>
    </row>
    <row r="17" spans="1:2">
      <c r="B17" t="s">
        <v>110</v>
      </c>
    </row>
    <row r="18" spans="1:2">
      <c r="B18" t="s">
        <v>111</v>
      </c>
    </row>
    <row r="19" spans="1:2">
      <c r="B19" t="s">
        <v>112</v>
      </c>
    </row>
    <row r="20" spans="1:2">
      <c r="B20" t="s">
        <v>113</v>
      </c>
    </row>
    <row r="21" spans="1:2">
      <c r="B21" t="s">
        <v>114</v>
      </c>
    </row>
    <row r="23" spans="1:2">
      <c r="B23" t="s">
        <v>115</v>
      </c>
    </row>
    <row r="24" spans="1:2">
      <c r="B24" t="s">
        <v>116</v>
      </c>
    </row>
    <row r="25" spans="1:2">
      <c r="B25" t="s">
        <v>118</v>
      </c>
    </row>
    <row r="26" spans="1:2">
      <c r="B26" s="60" t="s">
        <v>117</v>
      </c>
    </row>
    <row r="28" spans="1:2">
      <c r="B28" t="s">
        <v>76</v>
      </c>
    </row>
    <row r="29" spans="1:2">
      <c r="B29" t="s">
        <v>75</v>
      </c>
    </row>
    <row r="31" spans="1:2">
      <c r="A31" s="17" t="s">
        <v>37</v>
      </c>
    </row>
    <row r="33" spans="1:2">
      <c r="B33" t="s">
        <v>62</v>
      </c>
    </row>
    <row r="34" spans="1:2">
      <c r="B34" t="s">
        <v>44</v>
      </c>
    </row>
    <row r="36" spans="1:2">
      <c r="A36" s="15" t="s">
        <v>50</v>
      </c>
    </row>
    <row r="38" spans="1:2">
      <c r="B38" t="s">
        <v>63</v>
      </c>
    </row>
    <row r="40" spans="1:2">
      <c r="B40" t="s">
        <v>53</v>
      </c>
    </row>
    <row r="41" spans="1:2">
      <c r="B41" t="s">
        <v>56</v>
      </c>
    </row>
    <row r="43" spans="1:2">
      <c r="B43" s="18" t="s">
        <v>66</v>
      </c>
    </row>
    <row r="45" spans="1:2">
      <c r="A45" s="15" t="s">
        <v>69</v>
      </c>
    </row>
    <row r="47" spans="1:2">
      <c r="B47" t="s">
        <v>64</v>
      </c>
    </row>
    <row r="49" spans="1:2">
      <c r="B49" t="s">
        <v>54</v>
      </c>
    </row>
    <row r="50" spans="1:2">
      <c r="B50" t="s">
        <v>55</v>
      </c>
    </row>
    <row r="51" spans="1:2">
      <c r="B51" t="s">
        <v>56</v>
      </c>
    </row>
    <row r="53" spans="1:2">
      <c r="B53" s="18" t="s">
        <v>67</v>
      </c>
    </row>
    <row r="55" spans="1:2">
      <c r="A55" s="15" t="s">
        <v>70</v>
      </c>
    </row>
    <row r="57" spans="1:2">
      <c r="B57" t="s">
        <v>58</v>
      </c>
    </row>
    <row r="58" spans="1:2">
      <c r="B58" t="s">
        <v>59</v>
      </c>
    </row>
    <row r="60" spans="1:2">
      <c r="B60" t="s">
        <v>60</v>
      </c>
    </row>
    <row r="61" spans="1:2">
      <c r="B61" t="s">
        <v>61</v>
      </c>
    </row>
    <row r="63" spans="1:2">
      <c r="B63" t="s">
        <v>65</v>
      </c>
    </row>
    <row r="65" spans="1:2">
      <c r="B65" s="18" t="s">
        <v>68</v>
      </c>
    </row>
    <row r="66" spans="1:2">
      <c r="B66" s="54" t="s">
        <v>97</v>
      </c>
    </row>
    <row r="67" spans="1:2">
      <c r="B67" s="54" t="s">
        <v>96</v>
      </c>
    </row>
    <row r="68" spans="1:2">
      <c r="B68" s="54" t="s">
        <v>98</v>
      </c>
    </row>
    <row r="70" spans="1:2">
      <c r="A70" s="15" t="s">
        <v>71</v>
      </c>
    </row>
    <row r="72" spans="1:2">
      <c r="B72" t="s">
        <v>72</v>
      </c>
    </row>
    <row r="74" spans="1:2">
      <c r="B74" t="s">
        <v>77</v>
      </c>
    </row>
    <row r="75" spans="1:2">
      <c r="B75" t="s">
        <v>99</v>
      </c>
    </row>
    <row r="77" spans="1:2">
      <c r="B77" t="s">
        <v>78</v>
      </c>
    </row>
    <row r="78" spans="1:2">
      <c r="B78" t="s">
        <v>79</v>
      </c>
    </row>
    <row r="79" spans="1:2">
      <c r="B79" t="s">
        <v>80</v>
      </c>
    </row>
    <row r="81" spans="1:2">
      <c r="B81" t="s">
        <v>81</v>
      </c>
    </row>
    <row r="83" spans="1:2">
      <c r="A83" s="15" t="s">
        <v>148</v>
      </c>
    </row>
    <row r="84" spans="1:2">
      <c r="A84" s="15"/>
    </row>
    <row r="85" spans="1:2">
      <c r="A85" s="15"/>
      <c r="B85" t="s">
        <v>149</v>
      </c>
    </row>
    <row r="86" spans="1:2">
      <c r="A86" s="15"/>
      <c r="B86" s="60" t="s">
        <v>151</v>
      </c>
    </row>
    <row r="87" spans="1:2">
      <c r="A87" s="15"/>
      <c r="B87" t="s">
        <v>150</v>
      </c>
    </row>
    <row r="88" spans="1:2">
      <c r="A88" s="15"/>
      <c r="B88" t="s">
        <v>152</v>
      </c>
    </row>
    <row r="91" spans="1:2">
      <c r="A91" s="15" t="s">
        <v>142</v>
      </c>
    </row>
    <row r="93" spans="1:2">
      <c r="A93" s="15" t="s">
        <v>45</v>
      </c>
    </row>
    <row r="94" spans="1:2">
      <c r="B94" t="s">
        <v>141</v>
      </c>
    </row>
    <row r="95" spans="1:2">
      <c r="B95" t="s">
        <v>143</v>
      </c>
    </row>
    <row r="97" spans="1:3">
      <c r="B97" s="74" t="s">
        <v>144</v>
      </c>
      <c r="C97" t="s">
        <v>145</v>
      </c>
    </row>
    <row r="98" spans="1:3">
      <c r="B98" s="74" t="s">
        <v>146</v>
      </c>
      <c r="C98" t="s">
        <v>147</v>
      </c>
    </row>
    <row r="100" spans="1:3">
      <c r="B100" t="s">
        <v>153</v>
      </c>
    </row>
    <row r="101" spans="1:3">
      <c r="B101" s="60" t="s">
        <v>154</v>
      </c>
    </row>
    <row r="102" spans="1:3">
      <c r="B102" s="60" t="s">
        <v>155</v>
      </c>
    </row>
    <row r="103" spans="1:3">
      <c r="B103" s="60" t="s">
        <v>156</v>
      </c>
    </row>
    <row r="104" spans="1:3">
      <c r="B104" s="60" t="s">
        <v>157</v>
      </c>
    </row>
    <row r="105" spans="1:3">
      <c r="B105" s="60"/>
    </row>
    <row r="107" spans="1:3">
      <c r="A107" s="15" t="s">
        <v>199</v>
      </c>
    </row>
    <row r="109" spans="1:3">
      <c r="A109" s="15" t="s">
        <v>45</v>
      </c>
    </row>
    <row r="110" spans="1:3">
      <c r="B110" t="s">
        <v>202</v>
      </c>
    </row>
    <row r="111" spans="1:3">
      <c r="B111" t="s">
        <v>204</v>
      </c>
    </row>
    <row r="112" spans="1:3">
      <c r="B112" t="s">
        <v>203</v>
      </c>
    </row>
    <row r="114" spans="1:2">
      <c r="A114" s="15" t="s">
        <v>206</v>
      </c>
    </row>
    <row r="116" spans="1:2">
      <c r="B116" t="s">
        <v>207</v>
      </c>
    </row>
    <row r="117" spans="1:2">
      <c r="B117" t="s">
        <v>208</v>
      </c>
    </row>
    <row r="119" spans="1:2">
      <c r="A119" s="15" t="s">
        <v>209</v>
      </c>
    </row>
    <row r="121" spans="1:2">
      <c r="B121" t="s">
        <v>210</v>
      </c>
    </row>
    <row r="122" spans="1:2">
      <c r="B122" t="s">
        <v>211</v>
      </c>
    </row>
    <row r="123" spans="1:2">
      <c r="B123" t="s">
        <v>212</v>
      </c>
    </row>
    <row r="125" spans="1:2">
      <c r="A125" s="15" t="s">
        <v>213</v>
      </c>
    </row>
    <row r="127" spans="1:2">
      <c r="B127" t="s">
        <v>214</v>
      </c>
    </row>
    <row r="128" spans="1:2">
      <c r="B128" t="s">
        <v>215</v>
      </c>
    </row>
    <row r="130" spans="1:2">
      <c r="B130" t="s">
        <v>216</v>
      </c>
    </row>
    <row r="131" spans="1:2">
      <c r="B131" t="s">
        <v>217</v>
      </c>
    </row>
    <row r="132" spans="1:2">
      <c r="B132" t="s">
        <v>218</v>
      </c>
    </row>
    <row r="134" spans="1:2">
      <c r="B134" t="s">
        <v>219</v>
      </c>
    </row>
    <row r="135" spans="1:2">
      <c r="B135" t="s">
        <v>220</v>
      </c>
    </row>
    <row r="136" spans="1:2">
      <c r="B136" t="s">
        <v>221</v>
      </c>
    </row>
    <row r="137" spans="1:2">
      <c r="B137" t="s">
        <v>222</v>
      </c>
    </row>
    <row r="139" spans="1:2">
      <c r="B139" t="s">
        <v>224</v>
      </c>
    </row>
    <row r="140" spans="1:2">
      <c r="B140" t="s">
        <v>223</v>
      </c>
    </row>
    <row r="142" spans="1:2">
      <c r="A142" s="15" t="s">
        <v>225</v>
      </c>
    </row>
    <row r="144" spans="1:2">
      <c r="B144" t="s">
        <v>226</v>
      </c>
    </row>
    <row r="145" spans="2:2">
      <c r="B145" t="s">
        <v>227</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6"/>
  <sheetViews>
    <sheetView tabSelected="1" zoomScaleNormal="100" workbookViewId="0">
      <pane xSplit="4" ySplit="1" topLeftCell="E2" activePane="bottomRight" state="frozen"/>
      <selection pane="topRight" activeCell="E1" sqref="E1"/>
      <selection pane="bottomLeft" activeCell="A2" sqref="A2"/>
      <selection pane="bottomRight" activeCell="A2" sqref="A2"/>
    </sheetView>
  </sheetViews>
  <sheetFormatPr defaultRowHeight="18"/>
  <cols>
    <col min="1" max="1" width="57.5" customWidth="1"/>
    <col min="2" max="2" width="16.796875" customWidth="1"/>
    <col min="3" max="3" width="10.3984375" customWidth="1"/>
    <col min="4" max="4" width="15.5" customWidth="1"/>
    <col min="5" max="5" width="10.796875" customWidth="1"/>
    <col min="6" max="6" width="8.296875" customWidth="1"/>
    <col min="7" max="7" width="13.796875" customWidth="1"/>
    <col min="8" max="8" width="8.59765625" customWidth="1"/>
    <col min="9" max="9" width="5.796875" customWidth="1"/>
    <col min="10" max="15" width="9.69921875" customWidth="1"/>
    <col min="16" max="16" width="2.8984375" customWidth="1"/>
    <col min="17" max="17" width="3.69921875" customWidth="1"/>
  </cols>
  <sheetData>
    <row r="1" spans="1:17" ht="9" customHeight="1" thickTop="1" thickBot="1">
      <c r="A1" s="39"/>
      <c r="B1" s="40"/>
      <c r="C1" s="40"/>
      <c r="D1" s="40"/>
      <c r="E1" s="40"/>
      <c r="F1" s="40"/>
      <c r="G1" s="40"/>
      <c r="H1" s="40"/>
      <c r="I1" s="40"/>
      <c r="J1" s="40"/>
      <c r="K1" s="40"/>
      <c r="L1" s="40"/>
      <c r="M1" s="40"/>
      <c r="N1" s="40"/>
      <c r="O1" s="40"/>
      <c r="P1" s="40"/>
      <c r="Q1" s="41"/>
    </row>
    <row r="2" spans="1:17" ht="19.2" thickTop="1" thickBot="1">
      <c r="A2" s="38" t="s">
        <v>38</v>
      </c>
      <c r="B2" s="70">
        <v>10</v>
      </c>
      <c r="C2" s="45"/>
      <c r="D2" s="43"/>
      <c r="E2" s="43"/>
      <c r="F2" s="43"/>
      <c r="G2" s="43"/>
      <c r="H2" s="43"/>
      <c r="I2" s="43"/>
      <c r="J2" s="43"/>
      <c r="K2" s="43"/>
      <c r="L2" s="43"/>
      <c r="M2" s="43"/>
      <c r="N2" s="43"/>
      <c r="O2" s="43"/>
      <c r="P2" s="43"/>
      <c r="Q2" s="44"/>
    </row>
    <row r="3" spans="1:17" ht="18.600000000000001" thickTop="1">
      <c r="A3" s="42"/>
      <c r="B3" s="43" t="s">
        <v>84</v>
      </c>
      <c r="C3" s="43"/>
      <c r="D3" s="43"/>
      <c r="E3" s="43"/>
      <c r="F3" s="43"/>
      <c r="G3" s="43"/>
      <c r="H3" s="43"/>
      <c r="I3" s="43"/>
      <c r="J3" s="43"/>
      <c r="K3" s="43"/>
      <c r="L3" s="43"/>
      <c r="M3" s="43"/>
      <c r="N3" s="43"/>
      <c r="O3" s="43"/>
      <c r="P3" s="43"/>
      <c r="Q3" s="44"/>
    </row>
    <row r="4" spans="1:17">
      <c r="A4" s="42"/>
      <c r="B4" s="43" t="s">
        <v>85</v>
      </c>
      <c r="C4" s="43"/>
      <c r="D4" s="43"/>
      <c r="E4" s="43"/>
      <c r="F4" s="43"/>
      <c r="G4" s="43"/>
      <c r="H4" s="43"/>
      <c r="I4" s="43"/>
      <c r="J4" s="58" t="s">
        <v>101</v>
      </c>
      <c r="K4" s="58" t="s">
        <v>102</v>
      </c>
      <c r="L4" s="58" t="s">
        <v>103</v>
      </c>
      <c r="M4" s="58" t="s">
        <v>104</v>
      </c>
      <c r="N4" s="58" t="s">
        <v>105</v>
      </c>
      <c r="O4" s="58" t="s">
        <v>106</v>
      </c>
      <c r="P4" s="43"/>
      <c r="Q4" s="44"/>
    </row>
    <row r="5" spans="1:17">
      <c r="A5" s="20" t="s">
        <v>138</v>
      </c>
      <c r="B5" s="1">
        <f>(B2/2.67)^3</f>
        <v>52.537114450475194</v>
      </c>
      <c r="C5" s="43" t="s">
        <v>6</v>
      </c>
      <c r="D5" s="43"/>
      <c r="E5" s="19" t="s">
        <v>20</v>
      </c>
      <c r="F5" s="7">
        <f>(B5/100)*15</f>
        <v>7.8805671675712796</v>
      </c>
      <c r="G5" s="19" t="s">
        <v>21</v>
      </c>
      <c r="H5" s="8">
        <f>(B5/100)*85</f>
        <v>44.656547282903915</v>
      </c>
      <c r="I5" s="57" t="s">
        <v>100</v>
      </c>
      <c r="J5" s="8">
        <f>H5*(15/97)</f>
        <v>6.9056516416861724</v>
      </c>
      <c r="K5" s="8">
        <f>H5*(15/97)</f>
        <v>6.9056516416861724</v>
      </c>
      <c r="L5" s="8">
        <f>H5*(30/97)</f>
        <v>13.811303283372345</v>
      </c>
      <c r="M5" s="8">
        <f>H5*(15/97)</f>
        <v>6.9056516416861724</v>
      </c>
      <c r="N5" s="8">
        <f>H5*(15/97)</f>
        <v>6.9056516416861724</v>
      </c>
      <c r="O5" s="8">
        <f>H5*(7/97)</f>
        <v>3.2226374327868803</v>
      </c>
      <c r="P5" s="43"/>
      <c r="Q5" s="44"/>
    </row>
    <row r="6" spans="1:17" ht="9" customHeight="1" thickBot="1">
      <c r="A6" s="21"/>
      <c r="B6" s="22"/>
      <c r="C6" s="22"/>
      <c r="D6" s="22"/>
      <c r="E6" s="22"/>
      <c r="F6" s="22"/>
      <c r="G6" s="22"/>
      <c r="H6" s="22"/>
      <c r="I6" s="22"/>
      <c r="J6" s="22"/>
      <c r="K6" s="22"/>
      <c r="L6" s="22"/>
      <c r="M6" s="22"/>
      <c r="N6" s="22"/>
      <c r="O6" s="22"/>
      <c r="P6" s="22"/>
      <c r="Q6" s="23"/>
    </row>
    <row r="7" spans="1:17" ht="19.2" thickTop="1" thickBot="1">
      <c r="A7" s="24" t="s">
        <v>39</v>
      </c>
      <c r="B7" s="71">
        <v>18</v>
      </c>
      <c r="C7" s="45" t="s">
        <v>28</v>
      </c>
      <c r="D7" s="43"/>
      <c r="E7" s="43"/>
      <c r="F7" s="43"/>
      <c r="G7" s="43"/>
      <c r="H7" s="43"/>
      <c r="I7" s="43"/>
      <c r="J7" s="43"/>
      <c r="K7" s="43"/>
      <c r="L7" s="43"/>
      <c r="M7" s="43"/>
      <c r="N7" s="43"/>
      <c r="O7" s="43"/>
      <c r="P7" s="43"/>
      <c r="Q7" s="44"/>
    </row>
    <row r="8" spans="1:17" ht="19.2" thickTop="1" thickBot="1">
      <c r="A8" s="24" t="s">
        <v>40</v>
      </c>
      <c r="B8" s="71">
        <v>0</v>
      </c>
      <c r="C8" s="45" t="s">
        <v>29</v>
      </c>
      <c r="D8" s="43"/>
      <c r="E8" s="43"/>
      <c r="F8" s="43"/>
      <c r="G8" s="43"/>
      <c r="H8" s="43"/>
      <c r="I8" s="43"/>
      <c r="J8" s="43"/>
      <c r="K8" s="43"/>
      <c r="L8" s="43"/>
      <c r="M8" s="43"/>
      <c r="N8" s="43"/>
      <c r="O8" s="43"/>
      <c r="P8" s="43"/>
      <c r="Q8" s="44"/>
    </row>
    <row r="9" spans="1:17" ht="36" customHeight="1" thickTop="1">
      <c r="A9" s="42">
        <v>47</v>
      </c>
      <c r="B9" s="141" t="s">
        <v>86</v>
      </c>
      <c r="C9" s="141"/>
      <c r="D9" s="141"/>
      <c r="E9" s="141"/>
      <c r="F9" s="141"/>
      <c r="G9" s="141"/>
      <c r="H9" s="141"/>
      <c r="I9" s="56"/>
      <c r="J9" s="56"/>
      <c r="K9" s="56"/>
      <c r="L9" s="56"/>
      <c r="M9" s="56"/>
      <c r="N9" s="56"/>
      <c r="O9" s="56"/>
      <c r="P9" s="56"/>
      <c r="Q9" s="44"/>
    </row>
    <row r="10" spans="1:17">
      <c r="A10" s="42"/>
      <c r="B10" s="139" t="s">
        <v>87</v>
      </c>
      <c r="C10" s="139"/>
      <c r="D10" s="139"/>
      <c r="E10" s="139"/>
      <c r="F10" s="139"/>
      <c r="G10" s="139"/>
      <c r="H10" s="139"/>
      <c r="I10" s="56"/>
      <c r="J10" s="56"/>
      <c r="K10" s="56"/>
      <c r="L10" s="56"/>
      <c r="M10" s="56" t="s">
        <v>107</v>
      </c>
      <c r="N10" s="56"/>
      <c r="O10" s="56"/>
      <c r="P10" s="56"/>
      <c r="Q10" s="44"/>
    </row>
    <row r="11" spans="1:17">
      <c r="A11" s="42"/>
      <c r="B11" s="140"/>
      <c r="C11" s="140"/>
      <c r="D11" s="140"/>
      <c r="E11" s="140"/>
      <c r="F11" s="140"/>
      <c r="G11" s="140"/>
      <c r="H11" s="140"/>
      <c r="I11" s="43"/>
      <c r="J11" s="58" t="s">
        <v>101</v>
      </c>
      <c r="K11" s="58" t="s">
        <v>102</v>
      </c>
      <c r="L11" s="58" t="s">
        <v>103</v>
      </c>
      <c r="M11" s="58" t="s">
        <v>104</v>
      </c>
      <c r="N11" s="58" t="s">
        <v>105</v>
      </c>
      <c r="O11" s="58" t="s">
        <v>106</v>
      </c>
      <c r="P11" s="56"/>
      <c r="Q11" s="44"/>
    </row>
    <row r="12" spans="1:17">
      <c r="A12" s="20" t="s">
        <v>0</v>
      </c>
      <c r="B12" s="1">
        <f>(B7+B8)*1.55</f>
        <v>27.900000000000002</v>
      </c>
      <c r="C12" s="43" t="s">
        <v>23</v>
      </c>
      <c r="D12" s="43"/>
      <c r="E12" s="19" t="s">
        <v>20</v>
      </c>
      <c r="F12" s="7">
        <f>(B12/100)*15</f>
        <v>4.1850000000000005</v>
      </c>
      <c r="G12" s="19" t="s">
        <v>21</v>
      </c>
      <c r="H12" s="8">
        <f>(B12/100)*85</f>
        <v>23.715000000000003</v>
      </c>
      <c r="I12" s="57" t="s">
        <v>100</v>
      </c>
      <c r="J12" s="8">
        <f>H12*(15/97)</f>
        <v>3.6672680412371141</v>
      </c>
      <c r="K12" s="8">
        <f>H12*(15/97)</f>
        <v>3.6672680412371141</v>
      </c>
      <c r="L12" s="8">
        <f>H12*(30/97)</f>
        <v>7.3345360824742283</v>
      </c>
      <c r="M12" s="8">
        <f>H12*(15/97)</f>
        <v>3.6672680412371141</v>
      </c>
      <c r="N12" s="8">
        <f>H12*(15/97)</f>
        <v>3.6672680412371141</v>
      </c>
      <c r="O12" s="8">
        <f>H12*(7/97)</f>
        <v>1.7113917525773197</v>
      </c>
      <c r="P12" s="43"/>
      <c r="Q12" s="44"/>
    </row>
    <row r="13" spans="1:17">
      <c r="A13" s="20" t="s">
        <v>3</v>
      </c>
      <c r="B13" s="1">
        <f>(B7+B8)*1.3+(B7+B8)*0.8*0.1+(B7+B8)*0.1*0.3</f>
        <v>25.380000000000003</v>
      </c>
      <c r="C13" s="43" t="s">
        <v>24</v>
      </c>
      <c r="D13" s="43"/>
      <c r="E13" s="19" t="s">
        <v>20</v>
      </c>
      <c r="F13" s="7">
        <f t="shared" ref="F13:F14" si="0">(B13/100)*15</f>
        <v>3.8070000000000004</v>
      </c>
      <c r="G13" s="19" t="s">
        <v>21</v>
      </c>
      <c r="H13" s="8">
        <f t="shared" ref="H13:H14" si="1">(B13/100)*85</f>
        <v>21.573</v>
      </c>
      <c r="I13" s="57" t="s">
        <v>100</v>
      </c>
      <c r="J13" s="8">
        <f>H13*(15/97)</f>
        <v>3.336030927835052</v>
      </c>
      <c r="K13" s="8">
        <f>H13*(15/97)</f>
        <v>3.336030927835052</v>
      </c>
      <c r="L13" s="8">
        <f>H13*(30/97)</f>
        <v>6.6720618556701039</v>
      </c>
      <c r="M13" s="8">
        <f>H13*(15/97)</f>
        <v>3.336030927835052</v>
      </c>
      <c r="N13" s="8">
        <f>H13*(15/97)</f>
        <v>3.336030927835052</v>
      </c>
      <c r="O13" s="8">
        <f>H13*(7/97)</f>
        <v>1.5568144329896907</v>
      </c>
      <c r="P13" s="43"/>
      <c r="Q13" s="44"/>
    </row>
    <row r="14" spans="1:17">
      <c r="A14" s="20" t="s">
        <v>4</v>
      </c>
      <c r="B14" s="1">
        <f>((B7+B8)*0.8*35+(B7+B8)*0.1*15)*1.29/20</f>
        <v>34.249499999999998</v>
      </c>
      <c r="C14" s="43" t="s">
        <v>1</v>
      </c>
      <c r="D14" s="43"/>
      <c r="E14" s="19" t="s">
        <v>20</v>
      </c>
      <c r="F14" s="7">
        <f t="shared" si="0"/>
        <v>5.1374250000000004</v>
      </c>
      <c r="G14" s="19" t="s">
        <v>21</v>
      </c>
      <c r="H14" s="8">
        <f t="shared" si="1"/>
        <v>29.112075000000001</v>
      </c>
      <c r="I14" s="57" t="s">
        <v>100</v>
      </c>
      <c r="J14" s="8">
        <f>H14*(15/97)</f>
        <v>4.501867268041237</v>
      </c>
      <c r="K14" s="8">
        <f>H14*(15/97)</f>
        <v>4.501867268041237</v>
      </c>
      <c r="L14" s="8">
        <f>H14*(30/97)</f>
        <v>9.0037345360824741</v>
      </c>
      <c r="M14" s="8">
        <f>H14*(15/97)</f>
        <v>4.501867268041237</v>
      </c>
      <c r="N14" s="8">
        <f>H14*(15/97)</f>
        <v>4.501867268041237</v>
      </c>
      <c r="O14" s="8">
        <f>H14*(7/97)</f>
        <v>2.1008713917525772</v>
      </c>
      <c r="P14" s="43"/>
      <c r="Q14" s="44"/>
    </row>
    <row r="15" spans="1:17" ht="8.4" customHeight="1" thickBot="1">
      <c r="A15" s="25"/>
      <c r="B15" s="16"/>
      <c r="C15" s="22"/>
      <c r="D15" s="22"/>
      <c r="E15" s="22"/>
      <c r="F15" s="22"/>
      <c r="G15" s="22"/>
      <c r="H15" s="22"/>
      <c r="I15" s="22"/>
      <c r="J15" s="22"/>
      <c r="K15" s="22"/>
      <c r="L15" s="22"/>
      <c r="M15" s="22"/>
      <c r="N15" s="22"/>
      <c r="O15" s="22"/>
      <c r="P15" s="22"/>
      <c r="Q15" s="23"/>
    </row>
    <row r="16" spans="1:17" ht="19.2" thickTop="1" thickBot="1">
      <c r="A16" s="24" t="s">
        <v>41</v>
      </c>
      <c r="B16" s="71">
        <v>24</v>
      </c>
      <c r="C16" s="45" t="s">
        <v>30</v>
      </c>
      <c r="D16" s="43"/>
      <c r="E16" s="43"/>
      <c r="F16" s="43"/>
      <c r="G16" s="43"/>
      <c r="H16" s="43"/>
      <c r="I16" s="43"/>
      <c r="J16" s="43"/>
      <c r="K16" s="43"/>
      <c r="L16" s="43"/>
      <c r="M16" s="43"/>
      <c r="N16" s="43"/>
      <c r="O16" s="43"/>
      <c r="P16" s="43"/>
      <c r="Q16" s="44"/>
    </row>
    <row r="17" spans="1:17" ht="19.2" thickTop="1" thickBot="1">
      <c r="A17" s="24" t="s">
        <v>42</v>
      </c>
      <c r="B17" s="71">
        <v>118</v>
      </c>
      <c r="C17" s="45" t="s">
        <v>31</v>
      </c>
      <c r="D17" s="43"/>
      <c r="E17" s="43"/>
      <c r="F17" s="43"/>
      <c r="G17" s="43"/>
      <c r="H17" s="43"/>
      <c r="I17" s="43"/>
      <c r="J17" s="43"/>
      <c r="K17" s="43"/>
      <c r="L17" s="43"/>
      <c r="M17" s="43"/>
      <c r="N17" s="43"/>
      <c r="O17" s="43"/>
      <c r="P17" s="43"/>
      <c r="Q17" s="44"/>
    </row>
    <row r="18" spans="1:17" ht="36" customHeight="1" thickTop="1">
      <c r="A18" s="42"/>
      <c r="B18" s="141" t="s">
        <v>88</v>
      </c>
      <c r="C18" s="141"/>
      <c r="D18" s="141"/>
      <c r="E18" s="141"/>
      <c r="F18" s="141"/>
      <c r="G18" s="141"/>
      <c r="H18" s="141"/>
      <c r="I18" s="56"/>
      <c r="J18" s="56"/>
      <c r="K18" s="56"/>
      <c r="L18" s="56"/>
      <c r="M18" s="56"/>
      <c r="N18" s="56"/>
      <c r="O18" s="56"/>
      <c r="P18" s="56"/>
      <c r="Q18" s="44"/>
    </row>
    <row r="19" spans="1:17">
      <c r="A19" s="42"/>
      <c r="B19" s="139" t="s">
        <v>89</v>
      </c>
      <c r="C19" s="139"/>
      <c r="D19" s="139"/>
      <c r="E19" s="139"/>
      <c r="F19" s="139"/>
      <c r="G19" s="139"/>
      <c r="H19" s="139"/>
      <c r="I19" s="56"/>
      <c r="J19" s="56"/>
      <c r="K19" s="56"/>
      <c r="L19" s="56"/>
      <c r="M19" s="56"/>
      <c r="N19" s="56"/>
      <c r="O19" s="56"/>
      <c r="P19" s="56"/>
      <c r="Q19" s="44"/>
    </row>
    <row r="20" spans="1:17">
      <c r="A20" s="42"/>
      <c r="B20" s="140"/>
      <c r="C20" s="140"/>
      <c r="D20" s="140"/>
      <c r="E20" s="140"/>
      <c r="F20" s="140"/>
      <c r="G20" s="140"/>
      <c r="H20" s="140"/>
      <c r="I20" s="43"/>
      <c r="J20" s="58" t="s">
        <v>101</v>
      </c>
      <c r="K20" s="58" t="s">
        <v>102</v>
      </c>
      <c r="L20" s="58" t="s">
        <v>103</v>
      </c>
      <c r="M20" s="58" t="s">
        <v>104</v>
      </c>
      <c r="N20" s="58" t="s">
        <v>105</v>
      </c>
      <c r="O20" s="58" t="s">
        <v>106</v>
      </c>
      <c r="P20" s="56"/>
      <c r="Q20" s="44"/>
    </row>
    <row r="21" spans="1:17">
      <c r="A21" s="20" t="s">
        <v>2</v>
      </c>
      <c r="B21" s="1">
        <f>IF(AND(B7+B8&gt;0,B16&gt;0),((B7+B8)*1.3+(B7+B8)*0.8*0.1+B16*0.3),0)</f>
        <v>32.040000000000006</v>
      </c>
      <c r="C21" s="43" t="s">
        <v>25</v>
      </c>
      <c r="D21" s="43"/>
      <c r="E21" s="19" t="s">
        <v>20</v>
      </c>
      <c r="F21" s="7">
        <f>(B21/100)*15</f>
        <v>4.8060000000000009</v>
      </c>
      <c r="G21" s="19" t="s">
        <v>21</v>
      </c>
      <c r="H21" s="8">
        <f>(B21/100)*85</f>
        <v>27.234000000000005</v>
      </c>
      <c r="I21" s="57" t="s">
        <v>100</v>
      </c>
      <c r="J21" s="8">
        <f>H21*(15/97)</f>
        <v>4.2114432989690735</v>
      </c>
      <c r="K21" s="8">
        <f>H21*(15/97)</f>
        <v>4.2114432989690735</v>
      </c>
      <c r="L21" s="8">
        <f>H21*(30/97)</f>
        <v>8.4228865979381471</v>
      </c>
      <c r="M21" s="8">
        <f>H21*(15/97)</f>
        <v>4.2114432989690735</v>
      </c>
      <c r="N21" s="8">
        <f>H21*(15/97)</f>
        <v>4.2114432989690735</v>
      </c>
      <c r="O21" s="8">
        <f>H21*(7/97)</f>
        <v>1.9653402061855672</v>
      </c>
      <c r="P21" s="43"/>
      <c r="Q21" s="44"/>
    </row>
    <row r="22" spans="1:17">
      <c r="A22" s="20" t="s">
        <v>5</v>
      </c>
      <c r="B22" s="1">
        <f>IF(AND(B7+B8&gt;0,B17&gt;0),((B7+B8)*0.8*35+B17*15)*1.29/20,0)</f>
        <v>146.673</v>
      </c>
      <c r="C22" s="43" t="s">
        <v>1</v>
      </c>
      <c r="D22" s="43"/>
      <c r="E22" s="19" t="s">
        <v>20</v>
      </c>
      <c r="F22" s="7">
        <f>(B22/100)*15</f>
        <v>22.000950000000003</v>
      </c>
      <c r="G22" s="19" t="s">
        <v>21</v>
      </c>
      <c r="H22" s="8">
        <f>(B22/100)*85</f>
        <v>124.67205000000001</v>
      </c>
      <c r="I22" s="57" t="s">
        <v>100</v>
      </c>
      <c r="J22" s="8">
        <f>H22*(15/97)</f>
        <v>19.279182989690725</v>
      </c>
      <c r="K22" s="8">
        <f>H22*(15/97)</f>
        <v>19.279182989690725</v>
      </c>
      <c r="L22" s="8">
        <f>H22*(30/97)</f>
        <v>38.558365979381449</v>
      </c>
      <c r="M22" s="8">
        <f>H22*(15/97)</f>
        <v>19.279182989690725</v>
      </c>
      <c r="N22" s="8">
        <f>H22*(15/97)</f>
        <v>19.279182989690725</v>
      </c>
      <c r="O22" s="8">
        <f>H22*(7/97)</f>
        <v>8.9969520618556711</v>
      </c>
      <c r="P22" s="43"/>
      <c r="Q22" s="44"/>
    </row>
    <row r="23" spans="1:17" ht="6" customHeight="1" thickBot="1">
      <c r="A23" s="26"/>
      <c r="B23" s="22"/>
      <c r="C23" s="22"/>
      <c r="D23" s="22"/>
      <c r="E23" s="22"/>
      <c r="F23" s="22"/>
      <c r="G23" s="22"/>
      <c r="H23" s="22"/>
      <c r="I23" s="22"/>
      <c r="J23" s="22"/>
      <c r="K23" s="22"/>
      <c r="L23" s="22"/>
      <c r="M23" s="22"/>
      <c r="N23" s="22"/>
      <c r="O23" s="22"/>
      <c r="P23" s="22"/>
      <c r="Q23" s="23"/>
    </row>
    <row r="24" spans="1:17" ht="19.2" thickTop="1" thickBot="1">
      <c r="A24" s="24" t="s">
        <v>57</v>
      </c>
      <c r="B24" s="71"/>
      <c r="C24" s="45" t="s">
        <v>32</v>
      </c>
      <c r="D24" s="43"/>
      <c r="E24" s="43"/>
      <c r="F24" s="43"/>
      <c r="G24" s="43"/>
      <c r="H24" s="43"/>
      <c r="I24" s="43"/>
      <c r="J24" s="43"/>
      <c r="K24" s="43"/>
      <c r="L24" s="43"/>
      <c r="M24" s="43"/>
      <c r="N24" s="43"/>
      <c r="O24" s="43"/>
      <c r="P24" s="43"/>
      <c r="Q24" s="44"/>
    </row>
    <row r="25" spans="1:17" ht="19.2" thickTop="1" thickBot="1">
      <c r="A25" s="24" t="s">
        <v>43</v>
      </c>
      <c r="B25" s="71"/>
      <c r="C25" s="45" t="s">
        <v>33</v>
      </c>
      <c r="D25" s="43"/>
      <c r="E25" s="43"/>
      <c r="F25" s="43"/>
      <c r="G25" s="43"/>
      <c r="H25" s="43"/>
      <c r="I25" s="43"/>
      <c r="J25" s="43"/>
      <c r="K25" s="43"/>
      <c r="L25" s="43"/>
      <c r="M25" s="43"/>
      <c r="N25" s="43"/>
      <c r="O25" s="43"/>
      <c r="P25" s="43"/>
      <c r="Q25" s="44"/>
    </row>
    <row r="26" spans="1:17" ht="36" customHeight="1" thickTop="1">
      <c r="A26" s="42"/>
      <c r="B26" s="141" t="s">
        <v>90</v>
      </c>
      <c r="C26" s="141"/>
      <c r="D26" s="141"/>
      <c r="E26" s="141"/>
      <c r="F26" s="141"/>
      <c r="G26" s="141"/>
      <c r="H26" s="141"/>
      <c r="I26" s="56"/>
      <c r="J26" s="56"/>
      <c r="K26" s="56"/>
      <c r="L26" s="56"/>
      <c r="M26" s="56"/>
      <c r="N26" s="56"/>
      <c r="O26" s="56"/>
      <c r="P26" s="56"/>
      <c r="Q26" s="44"/>
    </row>
    <row r="27" spans="1:17">
      <c r="A27" s="42"/>
      <c r="B27" s="139" t="s">
        <v>91</v>
      </c>
      <c r="C27" s="139"/>
      <c r="D27" s="139"/>
      <c r="E27" s="139"/>
      <c r="F27" s="139"/>
      <c r="G27" s="139"/>
      <c r="H27" s="139"/>
      <c r="I27" s="56"/>
      <c r="J27" s="56"/>
      <c r="K27" s="56"/>
      <c r="L27" s="56"/>
      <c r="M27" s="56"/>
      <c r="N27" s="56"/>
      <c r="O27" s="56"/>
      <c r="P27" s="56"/>
      <c r="Q27" s="44"/>
    </row>
    <row r="28" spans="1:17">
      <c r="A28" s="42"/>
      <c r="B28" s="140"/>
      <c r="C28" s="140"/>
      <c r="D28" s="140"/>
      <c r="E28" s="140"/>
      <c r="F28" s="140"/>
      <c r="G28" s="140"/>
      <c r="H28" s="140"/>
      <c r="I28" s="43"/>
      <c r="J28" s="58" t="s">
        <v>101</v>
      </c>
      <c r="K28" s="58" t="s">
        <v>102</v>
      </c>
      <c r="L28" s="58" t="s">
        <v>103</v>
      </c>
      <c r="M28" s="58" t="s">
        <v>104</v>
      </c>
      <c r="N28" s="58" t="s">
        <v>105</v>
      </c>
      <c r="O28" s="58" t="s">
        <v>106</v>
      </c>
      <c r="P28" s="56"/>
      <c r="Q28" s="44"/>
    </row>
    <row r="29" spans="1:17">
      <c r="A29" s="20" t="s">
        <v>7</v>
      </c>
      <c r="B29" s="1">
        <f>IF(B24&gt;0,((B24*35+B17*15)*1.29/20),0)</f>
        <v>0</v>
      </c>
      <c r="C29" s="43" t="s">
        <v>8</v>
      </c>
      <c r="D29" s="43"/>
      <c r="E29" s="19" t="s">
        <v>20</v>
      </c>
      <c r="F29" s="7">
        <f>(B29/100)*15</f>
        <v>0</v>
      </c>
      <c r="G29" s="19" t="s">
        <v>21</v>
      </c>
      <c r="H29" s="8">
        <f>(B29/100)*85</f>
        <v>0</v>
      </c>
      <c r="I29" s="57" t="s">
        <v>100</v>
      </c>
      <c r="J29" s="8">
        <f>H29*(15/97)</f>
        <v>0</v>
      </c>
      <c r="K29" s="8">
        <f>H29*(15/97)</f>
        <v>0</v>
      </c>
      <c r="L29" s="8">
        <f>H29*(30/97)</f>
        <v>0</v>
      </c>
      <c r="M29" s="8">
        <f>H29*(15/97)</f>
        <v>0</v>
      </c>
      <c r="N29" s="8">
        <f>H29*(15/97)</f>
        <v>0</v>
      </c>
      <c r="O29" s="8">
        <f>H29*(7/97)</f>
        <v>0</v>
      </c>
      <c r="P29" s="43"/>
      <c r="Q29" s="44"/>
    </row>
    <row r="30" spans="1:17">
      <c r="A30" s="20" t="s">
        <v>19</v>
      </c>
      <c r="B30" s="1">
        <f>IF(B25&gt;0,(B25*35+B17*15)*1.29/20,0)</f>
        <v>0</v>
      </c>
      <c r="C30" s="43" t="s">
        <v>9</v>
      </c>
      <c r="D30" s="43"/>
      <c r="E30" s="19" t="s">
        <v>20</v>
      </c>
      <c r="F30" s="7">
        <f>(B30/100)*15</f>
        <v>0</v>
      </c>
      <c r="G30" s="19" t="s">
        <v>21</v>
      </c>
      <c r="H30" s="8">
        <f>(B30/100)*85</f>
        <v>0</v>
      </c>
      <c r="I30" s="57" t="s">
        <v>100</v>
      </c>
      <c r="J30" s="8">
        <f>H30*(15/97)</f>
        <v>0</v>
      </c>
      <c r="K30" s="8">
        <f>H30*(15/97)</f>
        <v>0</v>
      </c>
      <c r="L30" s="8">
        <f>H30*(30/97)</f>
        <v>0</v>
      </c>
      <c r="M30" s="8">
        <f>H30*(15/97)</f>
        <v>0</v>
      </c>
      <c r="N30" s="8">
        <f>H30*(15/97)</f>
        <v>0</v>
      </c>
      <c r="O30" s="8">
        <f>H30*(7/97)</f>
        <v>0</v>
      </c>
      <c r="P30" s="43"/>
      <c r="Q30" s="44"/>
    </row>
    <row r="31" spans="1:17" ht="6.6" customHeight="1">
      <c r="A31" s="26"/>
      <c r="B31" s="22"/>
      <c r="C31" s="22"/>
      <c r="D31" s="22"/>
      <c r="E31" s="22"/>
      <c r="F31" s="22"/>
      <c r="G31" s="22"/>
      <c r="H31" s="22"/>
      <c r="I31" s="22"/>
      <c r="J31" s="22"/>
      <c r="K31" s="22"/>
      <c r="L31" s="22"/>
      <c r="M31" s="22"/>
      <c r="N31" s="22"/>
      <c r="O31" s="22"/>
      <c r="P31" s="22"/>
      <c r="Q31" s="23"/>
    </row>
    <row r="32" spans="1:17">
      <c r="A32" s="27" t="s">
        <v>18</v>
      </c>
      <c r="B32" s="5">
        <f>B33*0.5</f>
        <v>14.58825</v>
      </c>
      <c r="C32" s="46" t="s">
        <v>10</v>
      </c>
      <c r="D32" s="5">
        <f>B33*1.5</f>
        <v>43.764749999999999</v>
      </c>
      <c r="E32" s="47" t="s">
        <v>11</v>
      </c>
      <c r="F32" s="47"/>
      <c r="G32" s="47"/>
      <c r="H32" s="47"/>
      <c r="I32" s="47"/>
      <c r="J32" s="58" t="s">
        <v>101</v>
      </c>
      <c r="K32" s="58" t="s">
        <v>102</v>
      </c>
      <c r="L32" s="58" t="s">
        <v>103</v>
      </c>
      <c r="M32" s="58" t="s">
        <v>104</v>
      </c>
      <c r="N32" s="58" t="s">
        <v>105</v>
      </c>
      <c r="O32" s="58" t="s">
        <v>106</v>
      </c>
      <c r="P32" s="47"/>
      <c r="Q32" s="48"/>
    </row>
    <row r="33" spans="1:17" ht="18.600000000000001" thickBot="1">
      <c r="A33" s="27" t="s">
        <v>12</v>
      </c>
      <c r="B33" s="36">
        <f>SUM(B12:B14)/3</f>
        <v>29.176500000000001</v>
      </c>
      <c r="C33" s="47" t="s">
        <v>11</v>
      </c>
      <c r="D33" s="47"/>
      <c r="E33" s="19" t="s">
        <v>20</v>
      </c>
      <c r="F33" s="7">
        <f>(B33/100)*15</f>
        <v>4.3764750000000001</v>
      </c>
      <c r="G33" s="19" t="s">
        <v>21</v>
      </c>
      <c r="H33" s="8">
        <f>(B33/100)*85</f>
        <v>24.800024999999998</v>
      </c>
      <c r="I33" s="57" t="s">
        <v>100</v>
      </c>
      <c r="J33" s="8">
        <f>H33*(15/97)</f>
        <v>3.8350554123711338</v>
      </c>
      <c r="K33" s="8">
        <f>H33*(15/97)</f>
        <v>3.8350554123711338</v>
      </c>
      <c r="L33" s="8">
        <f>H33*(30/97)</f>
        <v>7.6701108247422676</v>
      </c>
      <c r="M33" s="8">
        <f>H33*(15/97)</f>
        <v>3.8350554123711338</v>
      </c>
      <c r="N33" s="8">
        <f>H33*(15/97)</f>
        <v>3.8350554123711338</v>
      </c>
      <c r="O33" s="8">
        <f>H33*(7/97)</f>
        <v>1.7896925257731955</v>
      </c>
      <c r="P33" s="55"/>
      <c r="Q33" s="48"/>
    </row>
    <row r="34" spans="1:17" ht="19.2" thickTop="1" thickBot="1">
      <c r="A34" s="28" t="s">
        <v>82</v>
      </c>
      <c r="B34" s="71">
        <v>42.4</v>
      </c>
      <c r="C34" s="49" t="str">
        <f>IF(B34 &lt;= 0,"", IF(B34 &lt; B32, "【非常に危険】許容される予測下限を下回っています。", IF(B34 &lt; B33*0.85, "【危険】見積もりがやや過小である懸念があります。", IF(B34 &lt; B33, "【警告】許容範囲ではありますが、予測される妥当な見積もりを下回っています。", IF(B34 &gt;=D32, "【問題】見積もりが過剰です。", "【妥当】妥当な範囲に収まっています。")))))</f>
        <v>【妥当】妥当な範囲に収まっています。</v>
      </c>
      <c r="D34" s="47"/>
      <c r="E34" s="50"/>
      <c r="F34" s="50"/>
      <c r="G34" s="50"/>
      <c r="H34" s="50"/>
      <c r="I34" s="55"/>
      <c r="J34" s="55"/>
      <c r="K34" s="55"/>
      <c r="L34" s="55"/>
      <c r="M34" s="55"/>
      <c r="N34" s="55"/>
      <c r="O34" s="55"/>
      <c r="P34" s="55"/>
      <c r="Q34" s="48"/>
    </row>
    <row r="35" spans="1:17" ht="38.4" customHeight="1" thickTop="1">
      <c r="A35" s="51"/>
      <c r="B35" s="138" t="s">
        <v>92</v>
      </c>
      <c r="C35" s="138"/>
      <c r="D35" s="138"/>
      <c r="E35" s="138"/>
      <c r="F35" s="138"/>
      <c r="G35" s="138"/>
      <c r="H35" s="138"/>
      <c r="I35" s="55"/>
      <c r="J35" s="55"/>
      <c r="K35" s="55"/>
      <c r="L35" s="55"/>
      <c r="M35" s="55"/>
      <c r="N35" s="55"/>
      <c r="O35" s="55"/>
      <c r="P35" s="55"/>
      <c r="Q35" s="48"/>
    </row>
    <row r="36" spans="1:17">
      <c r="A36" s="27" t="s">
        <v>34</v>
      </c>
      <c r="B36" s="5">
        <f>B37*0.5</f>
        <v>11.6706</v>
      </c>
      <c r="C36" s="46" t="s">
        <v>10</v>
      </c>
      <c r="D36" s="5">
        <f>B37*1.5</f>
        <v>35.011800000000001</v>
      </c>
      <c r="E36" s="47" t="s">
        <v>11</v>
      </c>
      <c r="F36" s="47"/>
      <c r="G36" s="47"/>
      <c r="H36" s="47"/>
      <c r="I36" s="47"/>
      <c r="J36" s="58" t="s">
        <v>101</v>
      </c>
      <c r="K36" s="58" t="s">
        <v>102</v>
      </c>
      <c r="L36" s="58" t="s">
        <v>103</v>
      </c>
      <c r="M36" s="58" t="s">
        <v>104</v>
      </c>
      <c r="N36" s="58" t="s">
        <v>105</v>
      </c>
      <c r="O36" s="58" t="s">
        <v>106</v>
      </c>
      <c r="P36" s="47"/>
      <c r="Q36" s="48"/>
    </row>
    <row r="37" spans="1:17" ht="18.600000000000001" thickBot="1">
      <c r="A37" s="27" t="s">
        <v>35</v>
      </c>
      <c r="B37" s="37">
        <f>B33*0.8</f>
        <v>23.341200000000001</v>
      </c>
      <c r="C37" s="47" t="s">
        <v>11</v>
      </c>
      <c r="D37" s="47"/>
      <c r="E37" s="19" t="s">
        <v>20</v>
      </c>
      <c r="F37" s="9">
        <f>(B37/100)*15</f>
        <v>3.5011800000000002</v>
      </c>
      <c r="G37" s="19" t="s">
        <v>21</v>
      </c>
      <c r="H37" s="10">
        <f>(B37/100)*85</f>
        <v>19.840019999999999</v>
      </c>
      <c r="I37" s="57" t="s">
        <v>100</v>
      </c>
      <c r="J37" s="59">
        <f>H37*(15/97)</f>
        <v>3.0680443298969071</v>
      </c>
      <c r="K37" s="59">
        <f>H37*(15/97)</f>
        <v>3.0680443298969071</v>
      </c>
      <c r="L37" s="59">
        <f>H37*(30/97)</f>
        <v>6.1360886597938142</v>
      </c>
      <c r="M37" s="59">
        <f>H37*(15/97)</f>
        <v>3.0680443298969071</v>
      </c>
      <c r="N37" s="59">
        <f>H37*(15/97)</f>
        <v>3.0680443298969071</v>
      </c>
      <c r="O37" s="59">
        <f>H37*(7/97)</f>
        <v>1.4317540206185566</v>
      </c>
      <c r="P37" s="55"/>
      <c r="Q37" s="48"/>
    </row>
    <row r="38" spans="1:17" ht="19.2" thickTop="1" thickBot="1">
      <c r="A38" s="28" t="s">
        <v>83</v>
      </c>
      <c r="B38" s="71"/>
      <c r="C38" s="49" t="str">
        <f>IF(B38 &lt;= 0,"", IF(B38 &lt; B36, "【非常に危険】許容される予測下限を下回っています。", IF(B38 &lt; B37*0.85, "【危険】見積もりがやや過小である懸念があります。", IF(B38 &lt; B37, "【警告】許容範囲ではありますが、予測される妥当な見積もりを下回っています。", IF(B38 &gt;=D36, "【問題】見積もりが過剰です。", "【妥当】妥当な範囲に収まっています。")))))</f>
        <v/>
      </c>
      <c r="D38" s="47"/>
      <c r="E38" s="50"/>
      <c r="F38" s="50"/>
      <c r="G38" s="50"/>
      <c r="H38" s="50"/>
      <c r="I38" s="55"/>
      <c r="J38" s="55"/>
      <c r="K38" s="55"/>
      <c r="L38" s="55"/>
      <c r="M38" s="55"/>
      <c r="N38" s="55"/>
      <c r="O38" s="55"/>
      <c r="P38" s="55"/>
      <c r="Q38" s="48"/>
    </row>
    <row r="39" spans="1:17" ht="18.600000000000001" thickTop="1">
      <c r="A39" s="51"/>
      <c r="B39" s="138" t="s">
        <v>108</v>
      </c>
      <c r="C39" s="138"/>
      <c r="D39" s="138"/>
      <c r="E39" s="138"/>
      <c r="F39" s="138"/>
      <c r="G39" s="138"/>
      <c r="H39" s="138"/>
      <c r="I39" s="55"/>
      <c r="J39" s="55"/>
      <c r="K39" s="55"/>
      <c r="L39" s="55"/>
      <c r="M39" s="55"/>
      <c r="N39" s="55"/>
      <c r="O39" s="55"/>
      <c r="P39" s="55"/>
      <c r="Q39" s="48"/>
    </row>
    <row r="40" spans="1:17">
      <c r="A40" s="51"/>
      <c r="B40" s="138"/>
      <c r="C40" s="138"/>
      <c r="D40" s="138"/>
      <c r="E40" s="138"/>
      <c r="F40" s="138"/>
      <c r="G40" s="138"/>
      <c r="H40" s="138"/>
      <c r="I40" s="47"/>
      <c r="J40" s="142" t="s">
        <v>122</v>
      </c>
      <c r="K40" s="143"/>
      <c r="L40" s="142" t="s">
        <v>123</v>
      </c>
      <c r="M40" s="143"/>
      <c r="N40" s="142" t="s">
        <v>124</v>
      </c>
      <c r="O40" s="143"/>
      <c r="P40" s="55"/>
      <c r="Q40" s="48"/>
    </row>
    <row r="41" spans="1:17">
      <c r="A41" s="29" t="s">
        <v>13</v>
      </c>
      <c r="B41" s="2">
        <f>B33^(1/3)*2.6</f>
        <v>8.0041965690494301</v>
      </c>
      <c r="C41" s="47" t="s">
        <v>14</v>
      </c>
      <c r="D41" s="47"/>
      <c r="E41" s="19" t="s">
        <v>20</v>
      </c>
      <c r="F41" s="11">
        <f>(B41/100)*23</f>
        <v>1.840965210881369</v>
      </c>
      <c r="G41" s="19" t="s">
        <v>21</v>
      </c>
      <c r="H41" s="12">
        <f>(B41/100)*77</f>
        <v>6.163231358168062</v>
      </c>
      <c r="I41" s="57" t="s">
        <v>100</v>
      </c>
      <c r="J41" s="144">
        <f>(B41/100)*32</f>
        <v>2.5613429020958178</v>
      </c>
      <c r="K41" s="145"/>
      <c r="L41" s="144">
        <f>(B41/100)*36</f>
        <v>2.8815107648577949</v>
      </c>
      <c r="M41" s="145"/>
      <c r="N41" s="144">
        <f>(B41/100)*32</f>
        <v>2.5613429020958178</v>
      </c>
      <c r="O41" s="145"/>
      <c r="P41" s="55"/>
      <c r="Q41" s="48"/>
    </row>
    <row r="42" spans="1:17">
      <c r="A42" s="30" t="s">
        <v>95</v>
      </c>
      <c r="B42" s="6">
        <f>(B33^(1/3)*2.6)*0.7</f>
        <v>5.6029375983346004</v>
      </c>
      <c r="C42" s="47" t="s">
        <v>14</v>
      </c>
      <c r="D42" s="47"/>
      <c r="E42" s="19" t="s">
        <v>20</v>
      </c>
      <c r="F42" s="13">
        <f>(B42/100)*23</f>
        <v>1.2886756476169581</v>
      </c>
      <c r="G42" s="19" t="s">
        <v>21</v>
      </c>
      <c r="H42" s="14">
        <f>(B42/100)*77</f>
        <v>4.3142619507176425</v>
      </c>
      <c r="I42" s="57" t="s">
        <v>100</v>
      </c>
      <c r="J42" s="148">
        <f>(B42/100)*32</f>
        <v>1.792940031467072</v>
      </c>
      <c r="K42" s="149"/>
      <c r="L42" s="148">
        <f>(B42/100)*36</f>
        <v>2.0170575354004558</v>
      </c>
      <c r="M42" s="149"/>
      <c r="N42" s="148">
        <f>(B42/100)*32</f>
        <v>1.792940031467072</v>
      </c>
      <c r="O42" s="149"/>
      <c r="P42" s="55"/>
      <c r="Q42" s="48"/>
    </row>
    <row r="43" spans="1:17" ht="42.6" customHeight="1">
      <c r="A43" s="51"/>
      <c r="B43" s="138" t="s">
        <v>93</v>
      </c>
      <c r="C43" s="138"/>
      <c r="D43" s="138"/>
      <c r="E43" s="138"/>
      <c r="F43" s="138"/>
      <c r="G43" s="138"/>
      <c r="H43" s="138"/>
      <c r="I43" s="55"/>
      <c r="J43" s="55"/>
      <c r="K43" s="55"/>
      <c r="L43" s="55"/>
      <c r="M43" s="55"/>
      <c r="N43" s="55"/>
      <c r="O43" s="55"/>
      <c r="P43" s="55"/>
      <c r="Q43" s="48"/>
    </row>
    <row r="44" spans="1:17" ht="24.6" customHeight="1">
      <c r="A44" s="51"/>
      <c r="B44" s="150" t="s">
        <v>94</v>
      </c>
      <c r="C44" s="150"/>
      <c r="D44" s="150"/>
      <c r="E44" s="150"/>
      <c r="F44" s="150"/>
      <c r="G44" s="150"/>
      <c r="H44" s="150"/>
      <c r="I44" s="55"/>
      <c r="J44" s="55"/>
      <c r="K44" s="55"/>
      <c r="L44" s="55"/>
      <c r="M44" s="55"/>
      <c r="N44" s="55"/>
      <c r="O44" s="55"/>
      <c r="P44" s="55"/>
      <c r="Q44" s="48"/>
    </row>
    <row r="45" spans="1:17">
      <c r="A45" s="31" t="s">
        <v>26</v>
      </c>
      <c r="B45" s="4">
        <f>B33*0.1</f>
        <v>2.9176500000000001</v>
      </c>
      <c r="C45" s="52" t="s">
        <v>27</v>
      </c>
      <c r="D45" s="47"/>
      <c r="E45" s="47"/>
      <c r="F45" s="47"/>
      <c r="G45" s="47"/>
      <c r="H45" s="47"/>
      <c r="I45" s="47"/>
      <c r="J45" s="47"/>
      <c r="K45" s="47"/>
      <c r="L45" s="47"/>
      <c r="M45" s="47"/>
      <c r="N45" s="47"/>
      <c r="O45" s="47"/>
      <c r="P45" s="47"/>
      <c r="Q45" s="48"/>
    </row>
    <row r="46" spans="1:17" ht="5.4" customHeight="1">
      <c r="A46" s="51"/>
      <c r="B46" s="47"/>
      <c r="C46" s="47"/>
      <c r="D46" s="47"/>
      <c r="E46" s="47"/>
      <c r="F46" s="47"/>
      <c r="G46" s="47"/>
      <c r="H46" s="47"/>
      <c r="I46" s="47"/>
      <c r="J46" s="47"/>
      <c r="K46" s="47"/>
      <c r="L46" s="47"/>
      <c r="M46" s="47"/>
      <c r="N46" s="47"/>
      <c r="O46" s="47"/>
      <c r="P46" s="47"/>
      <c r="Q46" s="48"/>
    </row>
    <row r="47" spans="1:17">
      <c r="A47" s="61" t="s">
        <v>16</v>
      </c>
      <c r="B47" s="62">
        <f>(B33/1.29)*20</f>
        <v>452.34883720930236</v>
      </c>
      <c r="C47" s="47" t="s">
        <v>17</v>
      </c>
      <c r="D47" s="47"/>
      <c r="E47" s="47"/>
      <c r="F47" s="47"/>
      <c r="G47" s="47"/>
      <c r="H47" s="47"/>
      <c r="I47" s="47"/>
      <c r="J47" s="47"/>
      <c r="K47" s="47"/>
      <c r="L47" s="47"/>
      <c r="M47" s="47"/>
      <c r="N47" s="47"/>
      <c r="O47" s="47"/>
      <c r="P47" s="47"/>
      <c r="Q47" s="48"/>
    </row>
    <row r="48" spans="1:17" ht="5.4" customHeight="1" thickBot="1">
      <c r="A48" s="51"/>
      <c r="B48" s="47"/>
      <c r="C48" s="47"/>
      <c r="D48" s="47"/>
      <c r="E48" s="47"/>
      <c r="F48" s="47"/>
      <c r="G48" s="47"/>
      <c r="H48" s="47"/>
      <c r="I48" s="47"/>
      <c r="J48" s="47"/>
      <c r="K48" s="47"/>
      <c r="L48" s="47"/>
      <c r="M48" s="47"/>
      <c r="N48" s="47"/>
      <c r="O48" s="47"/>
      <c r="P48" s="47"/>
      <c r="Q48" s="48"/>
    </row>
    <row r="49" spans="1:17" ht="19.2" thickTop="1" thickBot="1">
      <c r="A49" s="72" t="s">
        <v>125</v>
      </c>
      <c r="B49" s="73"/>
      <c r="C49" s="47" t="s">
        <v>119</v>
      </c>
      <c r="D49" s="62" t="str">
        <f>IF(B49&gt;0, 100-((B33*(950000-280000))/B49)*100,"")</f>
        <v/>
      </c>
      <c r="E49" s="47" t="s">
        <v>120</v>
      </c>
      <c r="F49" s="47"/>
      <c r="G49" s="63" t="str">
        <f>IF(B49&gt;0, 100-((B37*(950000-280000))/B49)*100,"")</f>
        <v/>
      </c>
      <c r="H49" s="47" t="s">
        <v>121</v>
      </c>
      <c r="I49" s="47"/>
      <c r="J49" s="47"/>
      <c r="K49" s="47"/>
      <c r="L49" s="47"/>
      <c r="M49" s="47"/>
      <c r="N49" s="47"/>
      <c r="O49" s="47"/>
      <c r="P49" s="47"/>
      <c r="Q49" s="48"/>
    </row>
    <row r="50" spans="1:17" ht="6.6" customHeight="1" thickTop="1">
      <c r="A50" s="51"/>
      <c r="B50" s="47"/>
      <c r="C50" s="47"/>
      <c r="D50" s="47"/>
      <c r="E50" s="47"/>
      <c r="F50" s="47"/>
      <c r="G50" s="47"/>
      <c r="H50" s="47"/>
      <c r="I50" s="47"/>
      <c r="J50" s="47"/>
      <c r="K50" s="47"/>
      <c r="L50" s="47"/>
      <c r="M50" s="47"/>
      <c r="N50" s="47"/>
      <c r="O50" s="47"/>
      <c r="P50" s="47"/>
      <c r="Q50" s="48"/>
    </row>
    <row r="51" spans="1:17">
      <c r="A51" s="32" t="s">
        <v>15</v>
      </c>
      <c r="B51" s="3" t="str">
        <f>IF(B47&gt;=100000,"86％",IF(B47&gt;=10000,"70％",IF(B47&gt;=1000,"40％",IF(B47&gt;=100,"20％","─"))))</f>
        <v>20％</v>
      </c>
      <c r="C51" s="47" t="s">
        <v>11</v>
      </c>
      <c r="D51" s="47"/>
      <c r="E51" s="47"/>
      <c r="F51" s="47"/>
      <c r="G51" s="47"/>
      <c r="H51" s="47"/>
      <c r="I51" s="47"/>
      <c r="J51" s="47"/>
      <c r="K51" s="47"/>
      <c r="L51" s="47"/>
      <c r="M51" s="47"/>
      <c r="N51" s="47"/>
      <c r="O51" s="47"/>
      <c r="P51" s="47"/>
      <c r="Q51" s="48"/>
    </row>
    <row r="52" spans="1:17">
      <c r="A52" s="32" t="s">
        <v>22</v>
      </c>
      <c r="B52" s="53" t="str">
        <f xml:space="preserve"> IF(B2="","（評価値の入力がありません）",IF(B2&lt;=(B41*0.85),"■顧客指定の工期が最適工期に比べ短く高リスク状態です。工期の延期を推奨します。",IF(B2&gt;=(B41*1.2),"■工期が長すぎる可能性があります。管理費の肥大が懸念されるため、最適工期の採用を推奨します。","特になし")))</f>
        <v>■工期が長すぎる可能性があります。管理費の肥大が懸念されるため、最適工期の採用を推奨します。</v>
      </c>
      <c r="C52" s="47"/>
      <c r="D52" s="47"/>
      <c r="E52" s="47"/>
      <c r="F52" s="47"/>
      <c r="G52" s="47"/>
      <c r="H52" s="47"/>
      <c r="I52" s="47"/>
      <c r="J52" s="47"/>
      <c r="K52" s="47"/>
      <c r="L52" s="47"/>
      <c r="M52" s="47"/>
      <c r="N52" s="47"/>
      <c r="O52" s="47"/>
      <c r="P52" s="47"/>
      <c r="Q52" s="48"/>
    </row>
    <row r="53" spans="1:17" ht="6.6" customHeight="1">
      <c r="A53" s="26"/>
      <c r="B53" s="22"/>
      <c r="C53" s="22"/>
      <c r="D53" s="22"/>
      <c r="E53" s="22"/>
      <c r="F53" s="22"/>
      <c r="G53" s="22"/>
      <c r="H53" s="22"/>
      <c r="I53" s="22"/>
      <c r="J53" s="22"/>
      <c r="K53" s="22"/>
      <c r="L53" s="22"/>
      <c r="M53" s="22"/>
      <c r="N53" s="22"/>
      <c r="O53" s="22"/>
      <c r="P53" s="22"/>
      <c r="Q53" s="23"/>
    </row>
    <row r="54" spans="1:17">
      <c r="A54" s="64" t="s">
        <v>140</v>
      </c>
      <c r="B54" s="147"/>
      <c r="C54" s="147"/>
      <c r="D54" s="147"/>
      <c r="E54" s="147"/>
      <c r="F54" s="147"/>
      <c r="G54" s="147"/>
      <c r="H54" s="147"/>
      <c r="I54" s="65"/>
      <c r="J54" s="65"/>
      <c r="K54" s="65"/>
      <c r="L54" s="65"/>
      <c r="M54" s="65"/>
      <c r="N54" s="65"/>
      <c r="O54" s="65"/>
      <c r="P54" s="65"/>
      <c r="Q54" s="66"/>
    </row>
    <row r="55" spans="1:17" ht="18.600000000000001" thickBot="1">
      <c r="A55" s="67" t="s">
        <v>133</v>
      </c>
      <c r="B55" s="65"/>
      <c r="C55" s="65"/>
      <c r="D55" s="65"/>
      <c r="E55" s="65"/>
      <c r="F55" s="65"/>
      <c r="G55" s="65"/>
      <c r="H55" s="65"/>
      <c r="I55" s="65"/>
      <c r="J55" s="65"/>
      <c r="K55" s="65"/>
      <c r="L55" s="65"/>
      <c r="M55" s="65"/>
      <c r="N55" s="65"/>
      <c r="O55" s="65"/>
      <c r="P55" s="65"/>
      <c r="Q55" s="66"/>
    </row>
    <row r="56" spans="1:17" ht="19.2" thickTop="1" thickBot="1">
      <c r="A56" s="68" t="s">
        <v>126</v>
      </c>
      <c r="B56" s="71"/>
      <c r="C56" s="65" t="s">
        <v>127</v>
      </c>
      <c r="D56" s="65"/>
      <c r="E56" s="19" t="s">
        <v>134</v>
      </c>
      <c r="F56" s="11" t="e">
        <f>((1+B56)*1.5*B2/2+IF(B56&gt;0,(1+B56)*1.2*B2*4,0)+IF(B56&gt;1,(1+B56+B57)*1.2*B2*4,0)+(B33/B2-(1+B56))*(5/60)*B2*20+(B33/B2-1)*1.2*B2*4+IF(B57&gt;0,B57*0.5*B2*20,0)+(1+SUM(B56:B57))*1.2*B2+(1+SUM(B57:B58))*1.2*B2*4)/(20*8)*1.1*(1+B60/10)*(IF((B59/B57)&gt;=1,(1-(B59/B57)/80),(1+(B59/B57)/80)))</f>
        <v>#DIV/0!</v>
      </c>
      <c r="G56" s="69" t="s">
        <v>137</v>
      </c>
      <c r="H56" s="65"/>
      <c r="I56" s="65"/>
      <c r="J56" s="65"/>
      <c r="K56" s="65"/>
      <c r="L56" s="65"/>
      <c r="M56" s="65"/>
      <c r="N56" s="65"/>
      <c r="O56" s="65"/>
      <c r="P56" s="65"/>
      <c r="Q56" s="66"/>
    </row>
    <row r="57" spans="1:17" ht="19.2" thickTop="1" thickBot="1">
      <c r="A57" s="68" t="s">
        <v>128</v>
      </c>
      <c r="B57" s="71"/>
      <c r="C57" s="65" t="s">
        <v>127</v>
      </c>
      <c r="D57" s="65"/>
      <c r="E57" s="19" t="s">
        <v>136</v>
      </c>
      <c r="F57" s="11" t="e">
        <f>IF((B33*0.15)&gt;=F56, 0, F56-(B33*0.15))</f>
        <v>#DIV/0!</v>
      </c>
      <c r="G57" s="69" t="s">
        <v>135</v>
      </c>
      <c r="H57" s="65"/>
      <c r="I57" s="65"/>
      <c r="J57" s="65"/>
      <c r="K57" s="65"/>
      <c r="L57" s="65"/>
      <c r="M57" s="65"/>
      <c r="N57" s="65"/>
      <c r="O57" s="65"/>
      <c r="P57" s="65"/>
      <c r="Q57" s="66"/>
    </row>
    <row r="58" spans="1:17" ht="19.2" thickTop="1" thickBot="1">
      <c r="A58" s="68" t="s">
        <v>129</v>
      </c>
      <c r="B58" s="71"/>
      <c r="C58" s="65" t="s">
        <v>127</v>
      </c>
      <c r="D58" s="65"/>
      <c r="E58" s="65"/>
      <c r="F58" s="65"/>
      <c r="G58" s="65"/>
      <c r="H58" s="65"/>
      <c r="I58" s="65"/>
      <c r="J58" s="65"/>
      <c r="K58" s="65"/>
      <c r="L58" s="65"/>
      <c r="M58" s="65"/>
      <c r="N58" s="65"/>
      <c r="O58" s="65"/>
      <c r="P58" s="65"/>
      <c r="Q58" s="66"/>
    </row>
    <row r="59" spans="1:17" ht="19.2" thickTop="1" thickBot="1">
      <c r="A59" s="68" t="s">
        <v>130</v>
      </c>
      <c r="B59" s="71"/>
      <c r="C59" s="65" t="s">
        <v>127</v>
      </c>
      <c r="D59" s="65"/>
      <c r="E59" s="65"/>
      <c r="F59" s="65"/>
      <c r="G59" s="65"/>
      <c r="H59" s="65"/>
      <c r="I59" s="65"/>
      <c r="J59" s="65"/>
      <c r="K59" s="65"/>
      <c r="L59" s="65"/>
      <c r="M59" s="65"/>
      <c r="N59" s="65"/>
      <c r="O59" s="65"/>
      <c r="P59" s="65"/>
      <c r="Q59" s="66"/>
    </row>
    <row r="60" spans="1:17" ht="19.2" thickTop="1" thickBot="1">
      <c r="A60" s="68" t="s">
        <v>132</v>
      </c>
      <c r="B60" s="71"/>
      <c r="C60" s="65" t="s">
        <v>131</v>
      </c>
      <c r="D60" s="65"/>
      <c r="E60" s="65"/>
      <c r="F60" s="65"/>
      <c r="G60" s="65"/>
      <c r="H60" s="65"/>
      <c r="I60" s="65"/>
      <c r="J60" s="65"/>
      <c r="K60" s="65"/>
      <c r="L60" s="65"/>
      <c r="M60" s="65"/>
      <c r="N60" s="65"/>
      <c r="O60" s="65"/>
      <c r="P60" s="65"/>
      <c r="Q60" s="66"/>
    </row>
    <row r="61" spans="1:17" ht="18.600000000000001" thickTop="1">
      <c r="A61" s="67"/>
      <c r="B61" s="146"/>
      <c r="C61" s="146"/>
      <c r="D61" s="146"/>
      <c r="E61" s="146"/>
      <c r="F61" s="146"/>
      <c r="G61" s="146"/>
      <c r="H61" s="146"/>
      <c r="I61" s="65"/>
      <c r="J61" s="65"/>
      <c r="K61" s="65"/>
      <c r="L61" s="65"/>
      <c r="M61" s="65"/>
      <c r="N61" s="65"/>
      <c r="O61" s="65"/>
      <c r="P61" s="65"/>
      <c r="Q61" s="66"/>
    </row>
    <row r="62" spans="1:17" ht="9" customHeight="1" thickBot="1">
      <c r="A62" s="33"/>
      <c r="B62" s="34"/>
      <c r="C62" s="34"/>
      <c r="D62" s="34"/>
      <c r="E62" s="34"/>
      <c r="F62" s="34"/>
      <c r="G62" s="34"/>
      <c r="H62" s="34"/>
      <c r="I62" s="34"/>
      <c r="J62" s="34"/>
      <c r="K62" s="34"/>
      <c r="L62" s="34"/>
      <c r="M62" s="34"/>
      <c r="N62" s="34"/>
      <c r="O62" s="34"/>
      <c r="P62" s="34"/>
      <c r="Q62" s="35"/>
    </row>
    <row r="63" spans="1:17" ht="18.600000000000001" thickTop="1"/>
    <row r="66" spans="5:5">
      <c r="E66">
        <v>12</v>
      </c>
    </row>
  </sheetData>
  <mergeCells count="21">
    <mergeCell ref="B61:H61"/>
    <mergeCell ref="B54:H54"/>
    <mergeCell ref="J42:K42"/>
    <mergeCell ref="L42:M42"/>
    <mergeCell ref="N42:O42"/>
    <mergeCell ref="B44:H44"/>
    <mergeCell ref="J40:K40"/>
    <mergeCell ref="L40:M40"/>
    <mergeCell ref="N40:O40"/>
    <mergeCell ref="J41:K41"/>
    <mergeCell ref="L41:M41"/>
    <mergeCell ref="N41:O41"/>
    <mergeCell ref="B35:H35"/>
    <mergeCell ref="B43:H43"/>
    <mergeCell ref="B27:H28"/>
    <mergeCell ref="B39:H40"/>
    <mergeCell ref="B9:H9"/>
    <mergeCell ref="B18:H18"/>
    <mergeCell ref="B26:H26"/>
    <mergeCell ref="B10:H11"/>
    <mergeCell ref="B19:H20"/>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Q58"/>
  <sheetViews>
    <sheetView zoomScaleNormal="100" workbookViewId="0">
      <pane xSplit="4" ySplit="7" topLeftCell="E8" activePane="bottomRight" state="frozen"/>
      <selection pane="topRight" activeCell="E1" sqref="E1"/>
      <selection pane="bottomLeft" activeCell="A2" sqref="A2"/>
      <selection pane="bottomRight" activeCell="A24" sqref="A24"/>
    </sheetView>
  </sheetViews>
  <sheetFormatPr defaultRowHeight="18"/>
  <cols>
    <col min="1" max="1" width="57.5" customWidth="1"/>
    <col min="2" max="2" width="16.796875" customWidth="1"/>
    <col min="3" max="3" width="10.3984375" customWidth="1"/>
    <col min="4" max="4" width="15.5" customWidth="1"/>
    <col min="5" max="5" width="10.796875" customWidth="1"/>
    <col min="6" max="6" width="8.296875" customWidth="1"/>
    <col min="7" max="7" width="13.796875" customWidth="1"/>
    <col min="8" max="8" width="8.59765625" customWidth="1"/>
    <col min="9" max="9" width="5.796875" customWidth="1"/>
    <col min="10" max="15" width="9.69921875" customWidth="1"/>
    <col min="16" max="16" width="2.8984375" customWidth="1"/>
    <col min="17" max="17" width="3.69921875" customWidth="1"/>
  </cols>
  <sheetData>
    <row r="6" spans="1:17" ht="18.600000000000001" thickBot="1"/>
    <row r="7" spans="1:17" ht="9" customHeight="1" thickTop="1" thickBot="1">
      <c r="A7" s="39"/>
      <c r="B7" s="40"/>
      <c r="C7" s="40"/>
      <c r="D7" s="40"/>
      <c r="E7" s="40"/>
      <c r="F7" s="40"/>
      <c r="G7" s="40"/>
      <c r="H7" s="40"/>
      <c r="I7" s="40"/>
      <c r="J7" s="40"/>
      <c r="K7" s="40"/>
      <c r="L7" s="40"/>
      <c r="M7" s="40"/>
      <c r="N7" s="40"/>
      <c r="O7" s="40"/>
      <c r="P7" s="40"/>
      <c r="Q7" s="41"/>
    </row>
    <row r="8" spans="1:17" ht="19.2" thickTop="1" thickBot="1">
      <c r="A8" s="38" t="s">
        <v>38</v>
      </c>
      <c r="B8" s="70"/>
      <c r="C8" s="45"/>
      <c r="D8" s="43"/>
      <c r="E8" s="43"/>
      <c r="F8" s="43"/>
      <c r="G8" s="43"/>
      <c r="H8" s="43"/>
      <c r="I8" s="43"/>
      <c r="J8" s="43"/>
      <c r="K8" s="43"/>
      <c r="L8" s="43"/>
      <c r="M8" s="43"/>
      <c r="N8" s="43"/>
      <c r="O8" s="43"/>
      <c r="P8" s="43"/>
      <c r="Q8" s="44"/>
    </row>
    <row r="9" spans="1:17" ht="18.600000000000001" thickTop="1">
      <c r="A9" s="42"/>
      <c r="B9" s="43" t="s">
        <v>84</v>
      </c>
      <c r="C9" s="43"/>
      <c r="D9" s="43"/>
      <c r="E9" s="43"/>
      <c r="F9" s="43"/>
      <c r="G9" s="43"/>
      <c r="H9" s="43"/>
      <c r="I9" s="43"/>
      <c r="J9" s="43"/>
      <c r="K9" s="43"/>
      <c r="L9" s="43"/>
      <c r="M9" s="43"/>
      <c r="N9" s="43"/>
      <c r="O9" s="43"/>
      <c r="P9" s="43"/>
      <c r="Q9" s="44"/>
    </row>
    <row r="10" spans="1:17">
      <c r="A10" s="42"/>
      <c r="B10" s="43" t="s">
        <v>85</v>
      </c>
      <c r="C10" s="43"/>
      <c r="D10" s="43"/>
      <c r="E10" s="43"/>
      <c r="F10" s="43"/>
      <c r="G10" s="43"/>
      <c r="H10" s="43"/>
      <c r="I10" s="43"/>
      <c r="J10" s="58" t="s">
        <v>101</v>
      </c>
      <c r="K10" s="58" t="s">
        <v>102</v>
      </c>
      <c r="L10" s="58" t="s">
        <v>103</v>
      </c>
      <c r="M10" s="58" t="s">
        <v>104</v>
      </c>
      <c r="N10" s="58" t="s">
        <v>105</v>
      </c>
      <c r="O10" s="58" t="s">
        <v>106</v>
      </c>
      <c r="P10" s="43"/>
      <c r="Q10" s="44"/>
    </row>
    <row r="11" spans="1:17">
      <c r="A11" s="20" t="s">
        <v>138</v>
      </c>
      <c r="B11" s="1">
        <f>((B8/2.67)^3)*0.8</f>
        <v>0</v>
      </c>
      <c r="C11" s="43" t="s">
        <v>6</v>
      </c>
      <c r="D11" s="43"/>
      <c r="E11" s="19" t="s">
        <v>20</v>
      </c>
      <c r="F11" s="7">
        <f>(B11/100)*15</f>
        <v>0</v>
      </c>
      <c r="G11" s="19" t="s">
        <v>21</v>
      </c>
      <c r="H11" s="8">
        <f>(B11/100)*85</f>
        <v>0</v>
      </c>
      <c r="I11" s="57" t="s">
        <v>100</v>
      </c>
      <c r="J11" s="8">
        <f>H11*(19/97)</f>
        <v>0</v>
      </c>
      <c r="K11" s="8">
        <f>H11*(18/97)</f>
        <v>0</v>
      </c>
      <c r="L11" s="8">
        <f>H11*(28/97)</f>
        <v>0</v>
      </c>
      <c r="M11" s="8">
        <f>H11*(17/97)</f>
        <v>0</v>
      </c>
      <c r="N11" s="8">
        <f>H11*(18/97)</f>
        <v>0</v>
      </c>
      <c r="O11" s="8">
        <f>H11*(7/97)</f>
        <v>0</v>
      </c>
      <c r="P11" s="43"/>
      <c r="Q11" s="44"/>
    </row>
    <row r="12" spans="1:17" ht="9" customHeight="1" thickBot="1">
      <c r="A12" s="21"/>
      <c r="B12" s="22"/>
      <c r="C12" s="22"/>
      <c r="D12" s="22"/>
      <c r="E12" s="22"/>
      <c r="F12" s="22"/>
      <c r="G12" s="22"/>
      <c r="H12" s="22"/>
      <c r="I12" s="22"/>
      <c r="J12" s="22"/>
      <c r="K12" s="22"/>
      <c r="L12" s="22"/>
      <c r="M12" s="22"/>
      <c r="N12" s="22"/>
      <c r="O12" s="22"/>
      <c r="P12" s="22"/>
      <c r="Q12" s="23"/>
    </row>
    <row r="13" spans="1:17" ht="19.2" thickTop="1" thickBot="1">
      <c r="A13" s="24" t="s">
        <v>39</v>
      </c>
      <c r="B13" s="71"/>
      <c r="C13" s="45" t="s">
        <v>28</v>
      </c>
      <c r="D13" s="43"/>
      <c r="E13" s="43"/>
      <c r="F13" s="43"/>
      <c r="G13" s="43"/>
      <c r="H13" s="43"/>
      <c r="I13" s="43"/>
      <c r="J13" s="43"/>
      <c r="K13" s="43"/>
      <c r="L13" s="43"/>
      <c r="M13" s="43"/>
      <c r="N13" s="43"/>
      <c r="O13" s="43"/>
      <c r="P13" s="43"/>
      <c r="Q13" s="44"/>
    </row>
    <row r="14" spans="1:17" ht="19.2" thickTop="1" thickBot="1">
      <c r="A14" s="24" t="s">
        <v>40</v>
      </c>
      <c r="B14" s="71"/>
      <c r="C14" s="45" t="s">
        <v>29</v>
      </c>
      <c r="D14" s="43"/>
      <c r="E14" s="43"/>
      <c r="F14" s="43"/>
      <c r="G14" s="43"/>
      <c r="H14" s="43"/>
      <c r="I14" s="43"/>
      <c r="J14" s="43"/>
      <c r="K14" s="43"/>
      <c r="L14" s="43"/>
      <c r="M14" s="43"/>
      <c r="N14" s="43"/>
      <c r="O14" s="43"/>
      <c r="P14" s="43"/>
      <c r="Q14" s="44"/>
    </row>
    <row r="15" spans="1:17" ht="36" customHeight="1" thickTop="1">
      <c r="A15" s="42"/>
      <c r="B15" s="141" t="s">
        <v>86</v>
      </c>
      <c r="C15" s="141"/>
      <c r="D15" s="141"/>
      <c r="E15" s="141"/>
      <c r="F15" s="141"/>
      <c r="G15" s="141"/>
      <c r="H15" s="141"/>
      <c r="I15" s="56"/>
      <c r="J15" s="56"/>
      <c r="K15" s="56"/>
      <c r="L15" s="56"/>
      <c r="M15" s="56"/>
      <c r="N15" s="56"/>
      <c r="O15" s="56"/>
      <c r="P15" s="56"/>
      <c r="Q15" s="44"/>
    </row>
    <row r="16" spans="1:17">
      <c r="A16" s="42"/>
      <c r="B16" s="139" t="s">
        <v>87</v>
      </c>
      <c r="C16" s="139"/>
      <c r="D16" s="139"/>
      <c r="E16" s="139"/>
      <c r="F16" s="139"/>
      <c r="G16" s="139"/>
      <c r="H16" s="139"/>
      <c r="I16" s="56"/>
      <c r="J16" s="56"/>
      <c r="K16" s="56"/>
      <c r="L16" s="56"/>
      <c r="M16" s="56" t="s">
        <v>107</v>
      </c>
      <c r="N16" s="56"/>
      <c r="O16" s="56"/>
      <c r="P16" s="56"/>
      <c r="Q16" s="44"/>
    </row>
    <row r="17" spans="1:17">
      <c r="A17" s="42"/>
      <c r="B17" s="140"/>
      <c r="C17" s="140"/>
      <c r="D17" s="140"/>
      <c r="E17" s="140"/>
      <c r="F17" s="140"/>
      <c r="G17" s="140"/>
      <c r="H17" s="140"/>
      <c r="I17" s="43"/>
      <c r="J17" s="58" t="s">
        <v>101</v>
      </c>
      <c r="K17" s="58" t="s">
        <v>102</v>
      </c>
      <c r="L17" s="58" t="s">
        <v>103</v>
      </c>
      <c r="M17" s="58" t="s">
        <v>104</v>
      </c>
      <c r="N17" s="58" t="s">
        <v>105</v>
      </c>
      <c r="O17" s="58" t="s">
        <v>106</v>
      </c>
      <c r="P17" s="56"/>
      <c r="Q17" s="44"/>
    </row>
    <row r="18" spans="1:17">
      <c r="A18" s="20" t="s">
        <v>0</v>
      </c>
      <c r="B18" s="1">
        <f>((B13+B14)*1.55)*0.8</f>
        <v>0</v>
      </c>
      <c r="C18" s="43" t="s">
        <v>23</v>
      </c>
      <c r="D18" s="43"/>
      <c r="E18" s="19" t="s">
        <v>20</v>
      </c>
      <c r="F18" s="7">
        <f>(B18/100)*15</f>
        <v>0</v>
      </c>
      <c r="G18" s="19" t="s">
        <v>21</v>
      </c>
      <c r="H18" s="8">
        <f>(B18/100)*85</f>
        <v>0</v>
      </c>
      <c r="I18" s="57" t="s">
        <v>100</v>
      </c>
      <c r="J18" s="8">
        <f t="shared" ref="J18:J20" si="0">H18*(19/97)</f>
        <v>0</v>
      </c>
      <c r="K18" s="8">
        <f t="shared" ref="K18:K20" si="1">H18*(18/97)</f>
        <v>0</v>
      </c>
      <c r="L18" s="8">
        <f t="shared" ref="L18:L20" si="2">H18*(28/97)</f>
        <v>0</v>
      </c>
      <c r="M18" s="8">
        <f t="shared" ref="M18:M20" si="3">H18*(17/97)</f>
        <v>0</v>
      </c>
      <c r="N18" s="8">
        <f t="shared" ref="N18:N20" si="4">H18*(18/97)</f>
        <v>0</v>
      </c>
      <c r="O18" s="8">
        <f t="shared" ref="O18:O20" si="5">H18*(7/97)</f>
        <v>0</v>
      </c>
      <c r="P18" s="43"/>
      <c r="Q18" s="44"/>
    </row>
    <row r="19" spans="1:17">
      <c r="A19" s="20" t="s">
        <v>3</v>
      </c>
      <c r="B19" s="1">
        <f>((B13+B14)*1.3+(B13+B14)*0.8*0.1+(B13+B14)*0.1*0.3)*0.8</f>
        <v>0</v>
      </c>
      <c r="C19" s="43" t="s">
        <v>24</v>
      </c>
      <c r="D19" s="43"/>
      <c r="E19" s="19" t="s">
        <v>20</v>
      </c>
      <c r="F19" s="7">
        <f t="shared" ref="F19:F20" si="6">(B19/100)*15</f>
        <v>0</v>
      </c>
      <c r="G19" s="19" t="s">
        <v>21</v>
      </c>
      <c r="H19" s="8">
        <f t="shared" ref="H19:H20" si="7">(B19/100)*85</f>
        <v>0</v>
      </c>
      <c r="I19" s="57" t="s">
        <v>100</v>
      </c>
      <c r="J19" s="8">
        <f t="shared" si="0"/>
        <v>0</v>
      </c>
      <c r="K19" s="8">
        <f t="shared" si="1"/>
        <v>0</v>
      </c>
      <c r="L19" s="8">
        <f t="shared" si="2"/>
        <v>0</v>
      </c>
      <c r="M19" s="8">
        <f t="shared" si="3"/>
        <v>0</v>
      </c>
      <c r="N19" s="8">
        <f t="shared" si="4"/>
        <v>0</v>
      </c>
      <c r="O19" s="8">
        <f t="shared" si="5"/>
        <v>0</v>
      </c>
      <c r="P19" s="43"/>
      <c r="Q19" s="44"/>
    </row>
    <row r="20" spans="1:17">
      <c r="A20" s="20" t="s">
        <v>4</v>
      </c>
      <c r="B20" s="1">
        <f>(((B13+B14)*0.8*35+(B13+B14)*0.1*15)*1.29/20)*0.8</f>
        <v>0</v>
      </c>
      <c r="C20" s="43" t="s">
        <v>1</v>
      </c>
      <c r="D20" s="43"/>
      <c r="E20" s="19" t="s">
        <v>20</v>
      </c>
      <c r="F20" s="7">
        <f t="shared" si="6"/>
        <v>0</v>
      </c>
      <c r="G20" s="19" t="s">
        <v>21</v>
      </c>
      <c r="H20" s="8">
        <f t="shared" si="7"/>
        <v>0</v>
      </c>
      <c r="I20" s="57" t="s">
        <v>100</v>
      </c>
      <c r="J20" s="8">
        <f t="shared" si="0"/>
        <v>0</v>
      </c>
      <c r="K20" s="8">
        <f t="shared" si="1"/>
        <v>0</v>
      </c>
      <c r="L20" s="8">
        <f t="shared" si="2"/>
        <v>0</v>
      </c>
      <c r="M20" s="8">
        <f t="shared" si="3"/>
        <v>0</v>
      </c>
      <c r="N20" s="8">
        <f t="shared" si="4"/>
        <v>0</v>
      </c>
      <c r="O20" s="8">
        <f t="shared" si="5"/>
        <v>0</v>
      </c>
      <c r="P20" s="43"/>
      <c r="Q20" s="44"/>
    </row>
    <row r="21" spans="1:17" ht="8.4" customHeight="1" thickBot="1">
      <c r="A21" s="25"/>
      <c r="B21" s="16"/>
      <c r="C21" s="22"/>
      <c r="D21" s="22"/>
      <c r="E21" s="22"/>
      <c r="F21" s="22"/>
      <c r="G21" s="22"/>
      <c r="H21" s="22"/>
      <c r="I21" s="22"/>
      <c r="J21" s="22"/>
      <c r="K21" s="22"/>
      <c r="L21" s="22"/>
      <c r="M21" s="22"/>
      <c r="N21" s="22"/>
      <c r="O21" s="22"/>
      <c r="P21" s="22"/>
      <c r="Q21" s="23"/>
    </row>
    <row r="22" spans="1:17" ht="19.2" thickTop="1" thickBot="1">
      <c r="A22" s="24" t="s">
        <v>41</v>
      </c>
      <c r="B22" s="71"/>
      <c r="C22" s="45" t="s">
        <v>30</v>
      </c>
      <c r="D22" s="43"/>
      <c r="E22" s="43"/>
      <c r="F22" s="43"/>
      <c r="G22" s="43"/>
      <c r="H22" s="43"/>
      <c r="I22" s="43"/>
      <c r="J22" s="43"/>
      <c r="K22" s="43"/>
      <c r="L22" s="43"/>
      <c r="M22" s="43"/>
      <c r="N22" s="43"/>
      <c r="O22" s="43"/>
      <c r="P22" s="43"/>
      <c r="Q22" s="44"/>
    </row>
    <row r="23" spans="1:17" ht="19.2" thickTop="1" thickBot="1">
      <c r="A23" s="24" t="s">
        <v>42</v>
      </c>
      <c r="B23" s="71"/>
      <c r="C23" s="45" t="s">
        <v>31</v>
      </c>
      <c r="D23" s="43"/>
      <c r="E23" s="43"/>
      <c r="F23" s="43"/>
      <c r="G23" s="43"/>
      <c r="H23" s="43"/>
      <c r="I23" s="43"/>
      <c r="J23" s="43"/>
      <c r="K23" s="43"/>
      <c r="L23" s="43"/>
      <c r="M23" s="43"/>
      <c r="N23" s="43"/>
      <c r="O23" s="43"/>
      <c r="P23" s="43"/>
      <c r="Q23" s="44"/>
    </row>
    <row r="24" spans="1:17" ht="36" customHeight="1" thickTop="1">
      <c r="A24" s="42"/>
      <c r="B24" s="141" t="s">
        <v>88</v>
      </c>
      <c r="C24" s="141"/>
      <c r="D24" s="141"/>
      <c r="E24" s="141"/>
      <c r="F24" s="141"/>
      <c r="G24" s="141"/>
      <c r="H24" s="141"/>
      <c r="I24" s="56"/>
      <c r="J24" s="56"/>
      <c r="K24" s="56"/>
      <c r="L24" s="56"/>
      <c r="M24" s="56"/>
      <c r="N24" s="56"/>
      <c r="O24" s="56"/>
      <c r="P24" s="56"/>
      <c r="Q24" s="44"/>
    </row>
    <row r="25" spans="1:17">
      <c r="A25" s="42"/>
      <c r="B25" s="139" t="s">
        <v>89</v>
      </c>
      <c r="C25" s="139"/>
      <c r="D25" s="139"/>
      <c r="E25" s="139"/>
      <c r="F25" s="139"/>
      <c r="G25" s="139"/>
      <c r="H25" s="139"/>
      <c r="I25" s="56"/>
      <c r="J25" s="56"/>
      <c r="K25" s="56"/>
      <c r="L25" s="56"/>
      <c r="M25" s="56"/>
      <c r="N25" s="56"/>
      <c r="O25" s="56"/>
      <c r="P25" s="56"/>
      <c r="Q25" s="44"/>
    </row>
    <row r="26" spans="1:17">
      <c r="A26" s="42"/>
      <c r="B26" s="140"/>
      <c r="C26" s="140"/>
      <c r="D26" s="140"/>
      <c r="E26" s="140"/>
      <c r="F26" s="140"/>
      <c r="G26" s="140"/>
      <c r="H26" s="140"/>
      <c r="I26" s="43"/>
      <c r="J26" s="58" t="s">
        <v>101</v>
      </c>
      <c r="K26" s="58" t="s">
        <v>102</v>
      </c>
      <c r="L26" s="58" t="s">
        <v>103</v>
      </c>
      <c r="M26" s="58" t="s">
        <v>104</v>
      </c>
      <c r="N26" s="58" t="s">
        <v>105</v>
      </c>
      <c r="O26" s="58" t="s">
        <v>106</v>
      </c>
      <c r="P26" s="56"/>
      <c r="Q26" s="44"/>
    </row>
    <row r="27" spans="1:17">
      <c r="A27" s="20" t="s">
        <v>2</v>
      </c>
      <c r="B27" s="1">
        <f>(IF(AND(B13+B14&gt;0,B22&gt;0),((B13+B14)*1.3+(B13+B14)*0.8*0.1+B22*0.3),0))*0.8</f>
        <v>0</v>
      </c>
      <c r="C27" s="43" t="s">
        <v>25</v>
      </c>
      <c r="D27" s="43"/>
      <c r="E27" s="19" t="s">
        <v>20</v>
      </c>
      <c r="F27" s="7">
        <f>(B27/100)*15</f>
        <v>0</v>
      </c>
      <c r="G27" s="19" t="s">
        <v>21</v>
      </c>
      <c r="H27" s="8">
        <f>(B27/100)*85</f>
        <v>0</v>
      </c>
      <c r="I27" s="57" t="s">
        <v>100</v>
      </c>
      <c r="J27" s="8">
        <f t="shared" ref="J27:J28" si="8">H27*(19/97)</f>
        <v>0</v>
      </c>
      <c r="K27" s="8">
        <f t="shared" ref="K27:K28" si="9">H27*(18/97)</f>
        <v>0</v>
      </c>
      <c r="L27" s="8">
        <f t="shared" ref="L27:L28" si="10">H27*(28/97)</f>
        <v>0</v>
      </c>
      <c r="M27" s="8">
        <f t="shared" ref="M27:M28" si="11">H27*(17/97)</f>
        <v>0</v>
      </c>
      <c r="N27" s="8">
        <f t="shared" ref="N27:N28" si="12">H27*(18/97)</f>
        <v>0</v>
      </c>
      <c r="O27" s="8">
        <f t="shared" ref="O27:O28" si="13">H27*(7/97)</f>
        <v>0</v>
      </c>
      <c r="P27" s="43"/>
      <c r="Q27" s="44"/>
    </row>
    <row r="28" spans="1:17">
      <c r="A28" s="20" t="s">
        <v>5</v>
      </c>
      <c r="B28" s="1">
        <f>(IF(AND(B13+B14&gt;0,B23&gt;0),((B13+B14)*0.8*35+B23*15)*1.29/20,0))*0.8</f>
        <v>0</v>
      </c>
      <c r="C28" s="43" t="s">
        <v>1</v>
      </c>
      <c r="D28" s="43"/>
      <c r="E28" s="19" t="s">
        <v>20</v>
      </c>
      <c r="F28" s="7">
        <f>(B28/100)*15</f>
        <v>0</v>
      </c>
      <c r="G28" s="19" t="s">
        <v>21</v>
      </c>
      <c r="H28" s="8">
        <f>(B28/100)*85</f>
        <v>0</v>
      </c>
      <c r="I28" s="57" t="s">
        <v>100</v>
      </c>
      <c r="J28" s="8">
        <f t="shared" si="8"/>
        <v>0</v>
      </c>
      <c r="K28" s="8">
        <f t="shared" si="9"/>
        <v>0</v>
      </c>
      <c r="L28" s="8">
        <f t="shared" si="10"/>
        <v>0</v>
      </c>
      <c r="M28" s="8">
        <f t="shared" si="11"/>
        <v>0</v>
      </c>
      <c r="N28" s="8">
        <f t="shared" si="12"/>
        <v>0</v>
      </c>
      <c r="O28" s="8">
        <f t="shared" si="13"/>
        <v>0</v>
      </c>
      <c r="P28" s="43"/>
      <c r="Q28" s="44"/>
    </row>
    <row r="29" spans="1:17" ht="6" customHeight="1" thickBot="1">
      <c r="A29" s="26"/>
      <c r="B29" s="22"/>
      <c r="C29" s="22"/>
      <c r="D29" s="22"/>
      <c r="E29" s="22"/>
      <c r="F29" s="22"/>
      <c r="G29" s="22"/>
      <c r="H29" s="22"/>
      <c r="I29" s="22"/>
      <c r="J29" s="22"/>
      <c r="K29" s="22"/>
      <c r="L29" s="22"/>
      <c r="M29" s="22"/>
      <c r="N29" s="22"/>
      <c r="O29" s="22"/>
      <c r="P29" s="22"/>
      <c r="Q29" s="23"/>
    </row>
    <row r="30" spans="1:17" ht="19.2" thickTop="1" thickBot="1">
      <c r="A30" s="24" t="s">
        <v>57</v>
      </c>
      <c r="B30" s="71"/>
      <c r="C30" s="45" t="s">
        <v>32</v>
      </c>
      <c r="D30" s="43"/>
      <c r="E30" s="43"/>
      <c r="F30" s="43"/>
      <c r="G30" s="43"/>
      <c r="H30" s="43"/>
      <c r="I30" s="43"/>
      <c r="J30" s="43"/>
      <c r="K30" s="43"/>
      <c r="L30" s="43"/>
      <c r="M30" s="43"/>
      <c r="N30" s="43"/>
      <c r="O30" s="43"/>
      <c r="P30" s="43"/>
      <c r="Q30" s="44"/>
    </row>
    <row r="31" spans="1:17" ht="19.2" thickTop="1" thickBot="1">
      <c r="A31" s="24" t="s">
        <v>43</v>
      </c>
      <c r="B31" s="71"/>
      <c r="C31" s="45" t="s">
        <v>33</v>
      </c>
      <c r="D31" s="43"/>
      <c r="E31" s="43"/>
      <c r="F31" s="43"/>
      <c r="G31" s="43"/>
      <c r="H31" s="43"/>
      <c r="I31" s="43"/>
      <c r="J31" s="43"/>
      <c r="K31" s="43"/>
      <c r="L31" s="43"/>
      <c r="M31" s="43"/>
      <c r="N31" s="43"/>
      <c r="O31" s="43"/>
      <c r="P31" s="43"/>
      <c r="Q31" s="44"/>
    </row>
    <row r="32" spans="1:17" ht="36" customHeight="1" thickTop="1">
      <c r="A32" s="42"/>
      <c r="B32" s="141" t="s">
        <v>90</v>
      </c>
      <c r="C32" s="141"/>
      <c r="D32" s="141"/>
      <c r="E32" s="141"/>
      <c r="F32" s="141"/>
      <c r="G32" s="141"/>
      <c r="H32" s="141"/>
      <c r="I32" s="56"/>
      <c r="J32" s="56"/>
      <c r="K32" s="56"/>
      <c r="L32" s="56"/>
      <c r="M32" s="56"/>
      <c r="N32" s="56"/>
      <c r="O32" s="56"/>
      <c r="P32" s="56"/>
      <c r="Q32" s="44"/>
    </row>
    <row r="33" spans="1:17">
      <c r="A33" s="42"/>
      <c r="B33" s="139" t="s">
        <v>91</v>
      </c>
      <c r="C33" s="139"/>
      <c r="D33" s="139"/>
      <c r="E33" s="139"/>
      <c r="F33" s="139"/>
      <c r="G33" s="139"/>
      <c r="H33" s="139"/>
      <c r="I33" s="56"/>
      <c r="J33" s="56"/>
      <c r="K33" s="56"/>
      <c r="L33" s="56"/>
      <c r="M33" s="56"/>
      <c r="N33" s="56"/>
      <c r="O33" s="56"/>
      <c r="P33" s="56"/>
      <c r="Q33" s="44"/>
    </row>
    <row r="34" spans="1:17">
      <c r="A34" s="42"/>
      <c r="B34" s="140"/>
      <c r="C34" s="140"/>
      <c r="D34" s="140"/>
      <c r="E34" s="140"/>
      <c r="F34" s="140"/>
      <c r="G34" s="140"/>
      <c r="H34" s="140"/>
      <c r="I34" s="43"/>
      <c r="J34" s="58" t="s">
        <v>101</v>
      </c>
      <c r="K34" s="58" t="s">
        <v>102</v>
      </c>
      <c r="L34" s="58" t="s">
        <v>103</v>
      </c>
      <c r="M34" s="58" t="s">
        <v>104</v>
      </c>
      <c r="N34" s="58" t="s">
        <v>105</v>
      </c>
      <c r="O34" s="58" t="s">
        <v>106</v>
      </c>
      <c r="P34" s="56"/>
      <c r="Q34" s="44"/>
    </row>
    <row r="35" spans="1:17">
      <c r="A35" s="20" t="s">
        <v>7</v>
      </c>
      <c r="B35" s="1">
        <f>(IF(B30&gt;0,((B30*35+B23*15)*1.29/20),0))*0.8</f>
        <v>0</v>
      </c>
      <c r="C35" s="43" t="s">
        <v>8</v>
      </c>
      <c r="D35" s="43"/>
      <c r="E35" s="19" t="s">
        <v>20</v>
      </c>
      <c r="F35" s="7">
        <f>(B35/100)*15</f>
        <v>0</v>
      </c>
      <c r="G35" s="19" t="s">
        <v>21</v>
      </c>
      <c r="H35" s="8">
        <f>(B35/100)*85</f>
        <v>0</v>
      </c>
      <c r="I35" s="57" t="s">
        <v>100</v>
      </c>
      <c r="J35" s="8">
        <f t="shared" ref="J35:J36" si="14">H35*(19/97)</f>
        <v>0</v>
      </c>
      <c r="K35" s="8">
        <f t="shared" ref="K35:K36" si="15">H35*(18/97)</f>
        <v>0</v>
      </c>
      <c r="L35" s="8">
        <f t="shared" ref="L35:L36" si="16">H35*(28/97)</f>
        <v>0</v>
      </c>
      <c r="M35" s="8">
        <f t="shared" ref="M35:M36" si="17">H35*(17/97)</f>
        <v>0</v>
      </c>
      <c r="N35" s="8">
        <f t="shared" ref="N35:N36" si="18">H35*(18/97)</f>
        <v>0</v>
      </c>
      <c r="O35" s="8">
        <f t="shared" ref="O35:O36" si="19">H35*(7/97)</f>
        <v>0</v>
      </c>
      <c r="P35" s="43"/>
      <c r="Q35" s="44"/>
    </row>
    <row r="36" spans="1:17">
      <c r="A36" s="20" t="s">
        <v>19</v>
      </c>
      <c r="B36" s="1">
        <f>(IF(B31&gt;0,(B31*35+B23*15)*1.29/20,0))*0.8</f>
        <v>0</v>
      </c>
      <c r="C36" s="43" t="s">
        <v>9</v>
      </c>
      <c r="D36" s="43"/>
      <c r="E36" s="19" t="s">
        <v>20</v>
      </c>
      <c r="F36" s="7">
        <f>(B36/100)*15</f>
        <v>0</v>
      </c>
      <c r="G36" s="19" t="s">
        <v>21</v>
      </c>
      <c r="H36" s="8">
        <f>(B36/100)*85</f>
        <v>0</v>
      </c>
      <c r="I36" s="57" t="s">
        <v>100</v>
      </c>
      <c r="J36" s="8">
        <f t="shared" si="14"/>
        <v>0</v>
      </c>
      <c r="K36" s="8">
        <f t="shared" si="15"/>
        <v>0</v>
      </c>
      <c r="L36" s="8">
        <f t="shared" si="16"/>
        <v>0</v>
      </c>
      <c r="M36" s="8">
        <f t="shared" si="17"/>
        <v>0</v>
      </c>
      <c r="N36" s="8">
        <f t="shared" si="18"/>
        <v>0</v>
      </c>
      <c r="O36" s="8">
        <f t="shared" si="19"/>
        <v>0</v>
      </c>
      <c r="P36" s="43"/>
      <c r="Q36" s="44"/>
    </row>
    <row r="37" spans="1:17" ht="6.6" customHeight="1">
      <c r="A37" s="26"/>
      <c r="B37" s="22"/>
      <c r="C37" s="22"/>
      <c r="D37" s="22"/>
      <c r="E37" s="22"/>
      <c r="F37" s="22"/>
      <c r="G37" s="22"/>
      <c r="H37" s="22"/>
      <c r="I37" s="22"/>
      <c r="J37" s="22"/>
      <c r="K37" s="22"/>
      <c r="L37" s="22"/>
      <c r="M37" s="22"/>
      <c r="N37" s="22"/>
      <c r="O37" s="22"/>
      <c r="P37" s="22"/>
      <c r="Q37" s="23"/>
    </row>
    <row r="38" spans="1:17">
      <c r="A38" s="27" t="s">
        <v>18</v>
      </c>
      <c r="B38" s="5">
        <f>((SUM(B18:B20)/3)/0.8)*0.5</f>
        <v>0</v>
      </c>
      <c r="C38" s="46" t="s">
        <v>10</v>
      </c>
      <c r="D38" s="5">
        <f>((SUM(B18:B20)/3)/0.8)*1.5</f>
        <v>0</v>
      </c>
      <c r="E38" s="47" t="s">
        <v>11</v>
      </c>
      <c r="F38" s="47"/>
      <c r="G38" s="47"/>
      <c r="H38" s="47"/>
      <c r="I38" s="47"/>
      <c r="J38" s="58" t="s">
        <v>101</v>
      </c>
      <c r="K38" s="58" t="s">
        <v>102</v>
      </c>
      <c r="L38" s="58" t="s">
        <v>103</v>
      </c>
      <c r="M38" s="58" t="s">
        <v>104</v>
      </c>
      <c r="N38" s="58" t="s">
        <v>105</v>
      </c>
      <c r="O38" s="58" t="s">
        <v>106</v>
      </c>
      <c r="P38" s="47"/>
      <c r="Q38" s="48"/>
    </row>
    <row r="39" spans="1:17" ht="18.600000000000001" thickBot="1">
      <c r="A39" s="27" t="s">
        <v>12</v>
      </c>
      <c r="B39" s="36">
        <f>SUM(B18:B20)/3</f>
        <v>0</v>
      </c>
      <c r="C39" s="47" t="s">
        <v>11</v>
      </c>
      <c r="D39" s="47"/>
      <c r="E39" s="19" t="s">
        <v>20</v>
      </c>
      <c r="F39" s="7">
        <f>(B39/100)*15</f>
        <v>0</v>
      </c>
      <c r="G39" s="19" t="s">
        <v>21</v>
      </c>
      <c r="H39" s="8">
        <f>(B39/100)*85</f>
        <v>0</v>
      </c>
      <c r="I39" s="57" t="s">
        <v>100</v>
      </c>
      <c r="J39" s="8">
        <f t="shared" ref="J39" si="20">H39*(19/97)</f>
        <v>0</v>
      </c>
      <c r="K39" s="8">
        <f t="shared" ref="K39" si="21">H39*(18/97)</f>
        <v>0</v>
      </c>
      <c r="L39" s="8">
        <f t="shared" ref="L39" si="22">H39*(28/97)</f>
        <v>0</v>
      </c>
      <c r="M39" s="8">
        <f t="shared" ref="M39" si="23">H39*(17/97)</f>
        <v>0</v>
      </c>
      <c r="N39" s="8">
        <f t="shared" ref="N39" si="24">H39*(18/97)</f>
        <v>0</v>
      </c>
      <c r="O39" s="8">
        <f t="shared" ref="O39" si="25">H39*(7/97)</f>
        <v>0</v>
      </c>
      <c r="P39" s="55"/>
      <c r="Q39" s="48"/>
    </row>
    <row r="40" spans="1:17" ht="19.2" thickTop="1" thickBot="1">
      <c r="A40" s="28" t="s">
        <v>82</v>
      </c>
      <c r="B40" s="71"/>
      <c r="C40" s="49" t="str">
        <f>IF(B40 &lt;= 0,"", IF(B40 &lt; B38, "【非常に危険】許容される予測下限を下回っています。", IF(B40 &lt; B39*0.85, "【危険】見積もりがやや過小である懸念があります。", IF(B40 &lt; B39, "【警告】許容範囲ではありますが、予測される妥当な見積もりを下回っています。", IF(B40 &gt;=D38, "【問題】見積もりが過剰です。", "【妥当】妥当な範囲に収まっています。")))))</f>
        <v/>
      </c>
      <c r="D40" s="47"/>
      <c r="E40" s="50"/>
      <c r="F40" s="50"/>
      <c r="G40" s="50"/>
      <c r="H40" s="50"/>
      <c r="I40" s="55"/>
      <c r="J40" s="55"/>
      <c r="K40" s="55"/>
      <c r="L40" s="55"/>
      <c r="M40" s="55"/>
      <c r="N40" s="55"/>
      <c r="O40" s="55"/>
      <c r="P40" s="55"/>
      <c r="Q40" s="48"/>
    </row>
    <row r="41" spans="1:17" ht="38.4" customHeight="1" thickTop="1">
      <c r="A41" s="51"/>
      <c r="B41" s="138" t="s">
        <v>92</v>
      </c>
      <c r="C41" s="138"/>
      <c r="D41" s="138"/>
      <c r="E41" s="138"/>
      <c r="F41" s="138"/>
      <c r="G41" s="138"/>
      <c r="H41" s="138"/>
      <c r="I41" s="55"/>
      <c r="J41" s="55"/>
      <c r="K41" s="55"/>
      <c r="L41" s="55"/>
      <c r="M41" s="55"/>
      <c r="N41" s="55"/>
      <c r="O41" s="55"/>
      <c r="P41" s="55"/>
      <c r="Q41" s="48"/>
    </row>
    <row r="42" spans="1:17">
      <c r="A42" s="27" t="s">
        <v>34</v>
      </c>
      <c r="B42" s="5">
        <f>B38*0.8</f>
        <v>0</v>
      </c>
      <c r="C42" s="46" t="s">
        <v>10</v>
      </c>
      <c r="D42" s="5">
        <f>D38*0.8</f>
        <v>0</v>
      </c>
      <c r="E42" s="47" t="s">
        <v>11</v>
      </c>
      <c r="F42" s="47"/>
      <c r="G42" s="47"/>
      <c r="H42" s="47"/>
      <c r="I42" s="47"/>
      <c r="J42" s="58" t="s">
        <v>101</v>
      </c>
      <c r="K42" s="58" t="s">
        <v>102</v>
      </c>
      <c r="L42" s="58" t="s">
        <v>103</v>
      </c>
      <c r="M42" s="58" t="s">
        <v>104</v>
      </c>
      <c r="N42" s="58" t="s">
        <v>105</v>
      </c>
      <c r="O42" s="58" t="s">
        <v>106</v>
      </c>
      <c r="P42" s="47"/>
      <c r="Q42" s="48"/>
    </row>
    <row r="43" spans="1:17" ht="18.600000000000001" thickBot="1">
      <c r="A43" s="27" t="s">
        <v>35</v>
      </c>
      <c r="B43" s="37">
        <f>B39*0.8</f>
        <v>0</v>
      </c>
      <c r="C43" s="47" t="s">
        <v>11</v>
      </c>
      <c r="D43" s="47"/>
      <c r="E43" s="19" t="s">
        <v>20</v>
      </c>
      <c r="F43" s="9">
        <f>(B43/100)*15</f>
        <v>0</v>
      </c>
      <c r="G43" s="19" t="s">
        <v>21</v>
      </c>
      <c r="H43" s="10">
        <f>(B43/100)*85</f>
        <v>0</v>
      </c>
      <c r="I43" s="57" t="s">
        <v>100</v>
      </c>
      <c r="J43" s="59">
        <f>H43*(15/97)</f>
        <v>0</v>
      </c>
      <c r="K43" s="59">
        <f>H43*(15/97)</f>
        <v>0</v>
      </c>
      <c r="L43" s="59">
        <f>H43*(30/97)</f>
        <v>0</v>
      </c>
      <c r="M43" s="59">
        <f>H43*(15/97)</f>
        <v>0</v>
      </c>
      <c r="N43" s="59">
        <f>H43*(15/97)</f>
        <v>0</v>
      </c>
      <c r="O43" s="59">
        <f>H43*(7/97)</f>
        <v>0</v>
      </c>
      <c r="P43" s="55"/>
      <c r="Q43" s="48"/>
    </row>
    <row r="44" spans="1:17" ht="19.2" thickTop="1" thickBot="1">
      <c r="A44" s="28" t="s">
        <v>83</v>
      </c>
      <c r="B44" s="71"/>
      <c r="C44" s="49" t="str">
        <f>IF(B44 &lt;= 0,"", IF(B44 &lt; B42, "【非常に危険】許容される予測下限を下回っています。", IF(B44 &lt; B43*0.85, "【危険】見積もりがやや過小である懸念があります。", IF(B44 &lt; B43, "【警告】許容範囲ではありますが、予測される妥当な見積もりを下回っています。", IF(B44 &gt;=D42, "【問題】見積もりが過剰です。", "【妥当】妥当な範囲に収まっています。")))))</f>
        <v/>
      </c>
      <c r="D44" s="47"/>
      <c r="E44" s="50"/>
      <c r="F44" s="50"/>
      <c r="G44" s="50"/>
      <c r="H44" s="50"/>
      <c r="I44" s="55"/>
      <c r="J44" s="55"/>
      <c r="K44" s="55"/>
      <c r="L44" s="55"/>
      <c r="M44" s="55"/>
      <c r="N44" s="55"/>
      <c r="O44" s="55"/>
      <c r="P44" s="55"/>
      <c r="Q44" s="48"/>
    </row>
    <row r="45" spans="1:17" ht="18.600000000000001" thickTop="1">
      <c r="A45" s="51"/>
      <c r="B45" s="138" t="s">
        <v>108</v>
      </c>
      <c r="C45" s="138"/>
      <c r="D45" s="138"/>
      <c r="E45" s="138"/>
      <c r="F45" s="138"/>
      <c r="G45" s="138"/>
      <c r="H45" s="138"/>
      <c r="I45" s="55"/>
      <c r="J45" s="55"/>
      <c r="K45" s="55"/>
      <c r="L45" s="55"/>
      <c r="M45" s="55"/>
      <c r="N45" s="55"/>
      <c r="O45" s="55"/>
      <c r="P45" s="55"/>
      <c r="Q45" s="48"/>
    </row>
    <row r="46" spans="1:17">
      <c r="A46" s="51"/>
      <c r="B46" s="138"/>
      <c r="C46" s="138"/>
      <c r="D46" s="138"/>
      <c r="E46" s="138"/>
      <c r="F46" s="138"/>
      <c r="G46" s="138"/>
      <c r="H46" s="138"/>
      <c r="I46" s="47"/>
      <c r="J46" s="142" t="s">
        <v>122</v>
      </c>
      <c r="K46" s="143"/>
      <c r="L46" s="142" t="s">
        <v>123</v>
      </c>
      <c r="M46" s="143"/>
      <c r="N46" s="142" t="s">
        <v>124</v>
      </c>
      <c r="O46" s="143"/>
      <c r="P46" s="55"/>
      <c r="Q46" s="48"/>
    </row>
    <row r="47" spans="1:17">
      <c r="A47" s="29" t="s">
        <v>13</v>
      </c>
      <c r="B47" s="2">
        <f>(B39/0.8)^(1/3)*2.6</f>
        <v>0</v>
      </c>
      <c r="C47" s="47" t="s">
        <v>14</v>
      </c>
      <c r="D47" s="47"/>
      <c r="E47" s="19" t="s">
        <v>20</v>
      </c>
      <c r="F47" s="11">
        <f>(B47/100)*23</f>
        <v>0</v>
      </c>
      <c r="G47" s="19" t="s">
        <v>21</v>
      </c>
      <c r="H47" s="12">
        <f>(B47/100)*77</f>
        <v>0</v>
      </c>
      <c r="I47" s="57" t="s">
        <v>100</v>
      </c>
      <c r="J47" s="144">
        <f>(B47/100)*32</f>
        <v>0</v>
      </c>
      <c r="K47" s="145"/>
      <c r="L47" s="144">
        <f>(B47/100)*36</f>
        <v>0</v>
      </c>
      <c r="M47" s="145"/>
      <c r="N47" s="144">
        <f>(B47/100)*32</f>
        <v>0</v>
      </c>
      <c r="O47" s="145"/>
      <c r="P47" s="55"/>
      <c r="Q47" s="48"/>
    </row>
    <row r="48" spans="1:17">
      <c r="A48" s="30" t="s">
        <v>95</v>
      </c>
      <c r="B48" s="6">
        <f>((B39/0.8)^(1/3)*2.6)*0.7</f>
        <v>0</v>
      </c>
      <c r="C48" s="47" t="s">
        <v>14</v>
      </c>
      <c r="D48" s="47"/>
      <c r="E48" s="19" t="s">
        <v>20</v>
      </c>
      <c r="F48" s="13">
        <f>(B48/100)*23</f>
        <v>0</v>
      </c>
      <c r="G48" s="19" t="s">
        <v>21</v>
      </c>
      <c r="H48" s="14">
        <f>(B48/100)*77</f>
        <v>0</v>
      </c>
      <c r="I48" s="57" t="s">
        <v>100</v>
      </c>
      <c r="J48" s="148">
        <f>(B48/100)*32</f>
        <v>0</v>
      </c>
      <c r="K48" s="149"/>
      <c r="L48" s="148">
        <f>(B48/100)*36</f>
        <v>0</v>
      </c>
      <c r="M48" s="149"/>
      <c r="N48" s="148">
        <f>(B48/100)*32</f>
        <v>0</v>
      </c>
      <c r="O48" s="149"/>
      <c r="P48" s="55"/>
      <c r="Q48" s="48"/>
    </row>
    <row r="49" spans="1:17" ht="42.6" customHeight="1">
      <c r="A49" s="51"/>
      <c r="B49" s="138" t="s">
        <v>93</v>
      </c>
      <c r="C49" s="138"/>
      <c r="D49" s="138"/>
      <c r="E49" s="138"/>
      <c r="F49" s="138"/>
      <c r="G49" s="138"/>
      <c r="H49" s="138"/>
      <c r="I49" s="55"/>
      <c r="J49" s="55"/>
      <c r="K49" s="55"/>
      <c r="L49" s="55"/>
      <c r="M49" s="55"/>
      <c r="N49" s="55"/>
      <c r="O49" s="55"/>
      <c r="P49" s="55"/>
      <c r="Q49" s="48"/>
    </row>
    <row r="50" spans="1:17" ht="24.6" customHeight="1">
      <c r="A50" s="51"/>
      <c r="B50" s="150" t="s">
        <v>94</v>
      </c>
      <c r="C50" s="150"/>
      <c r="D50" s="150"/>
      <c r="E50" s="150"/>
      <c r="F50" s="150"/>
      <c r="G50" s="150"/>
      <c r="H50" s="150"/>
      <c r="I50" s="55"/>
      <c r="J50" s="55"/>
      <c r="K50" s="55"/>
      <c r="L50" s="55"/>
      <c r="M50" s="55"/>
      <c r="N50" s="55"/>
      <c r="O50" s="55"/>
      <c r="P50" s="55"/>
      <c r="Q50" s="48"/>
    </row>
    <row r="51" spans="1:17">
      <c r="A51" s="61" t="s">
        <v>16</v>
      </c>
      <c r="B51" s="62">
        <f>((B39/0.8)/1.29)*20</f>
        <v>0</v>
      </c>
      <c r="C51" s="47" t="s">
        <v>17</v>
      </c>
      <c r="D51" s="47"/>
      <c r="E51" s="47"/>
      <c r="F51" s="47"/>
      <c r="G51" s="47"/>
      <c r="H51" s="47"/>
      <c r="I51" s="47"/>
      <c r="J51" s="47"/>
      <c r="K51" s="47"/>
      <c r="L51" s="47"/>
      <c r="M51" s="47"/>
      <c r="N51" s="47"/>
      <c r="O51" s="47"/>
      <c r="P51" s="47"/>
      <c r="Q51" s="48"/>
    </row>
    <row r="52" spans="1:17" ht="5.4" customHeight="1" thickBot="1">
      <c r="A52" s="51"/>
      <c r="B52" s="47"/>
      <c r="C52" s="47"/>
      <c r="D52" s="47"/>
      <c r="E52" s="47"/>
      <c r="F52" s="47"/>
      <c r="G52" s="47"/>
      <c r="H52" s="47"/>
      <c r="I52" s="47"/>
      <c r="J52" s="47"/>
      <c r="K52" s="47"/>
      <c r="L52" s="47"/>
      <c r="M52" s="47"/>
      <c r="N52" s="47"/>
      <c r="O52" s="47"/>
      <c r="P52" s="47"/>
      <c r="Q52" s="48"/>
    </row>
    <row r="53" spans="1:17" ht="19.2" thickTop="1" thickBot="1">
      <c r="A53" s="72" t="s">
        <v>125</v>
      </c>
      <c r="B53" s="73"/>
      <c r="C53" s="47" t="s">
        <v>119</v>
      </c>
      <c r="D53" s="62" t="str">
        <f>IF(B53&gt;0, 100-((B39*(950000-280000))/B53)*100,"")</f>
        <v/>
      </c>
      <c r="E53" s="47" t="s">
        <v>120</v>
      </c>
      <c r="F53" s="47"/>
      <c r="G53" s="63" t="str">
        <f>IF(B53&gt;0, 100-((B43*(950000-280000))/B53)*100,"")</f>
        <v/>
      </c>
      <c r="H53" s="47" t="s">
        <v>121</v>
      </c>
      <c r="I53" s="47"/>
      <c r="J53" s="47"/>
      <c r="K53" s="47"/>
      <c r="L53" s="47"/>
      <c r="M53" s="47"/>
      <c r="N53" s="47"/>
      <c r="O53" s="47"/>
      <c r="P53" s="47"/>
      <c r="Q53" s="48"/>
    </row>
    <row r="54" spans="1:17" ht="6.6" customHeight="1" thickTop="1">
      <c r="A54" s="51"/>
      <c r="B54" s="47"/>
      <c r="C54" s="47"/>
      <c r="D54" s="47"/>
      <c r="E54" s="47"/>
      <c r="F54" s="47"/>
      <c r="G54" s="47"/>
      <c r="H54" s="47"/>
      <c r="I54" s="47"/>
      <c r="J54" s="47"/>
      <c r="K54" s="47"/>
      <c r="L54" s="47"/>
      <c r="M54" s="47"/>
      <c r="N54" s="47"/>
      <c r="O54" s="47"/>
      <c r="P54" s="47"/>
      <c r="Q54" s="48"/>
    </row>
    <row r="55" spans="1:17">
      <c r="A55" s="32" t="s">
        <v>15</v>
      </c>
      <c r="B55" s="3" t="str">
        <f>IF(B51&gt;=100000,"86％",IF(B51&gt;=10000,"70％",IF(B51&gt;=1000,"40％",IF(B51&gt;=100,"20％","─"))))</f>
        <v>─</v>
      </c>
      <c r="C55" s="47" t="s">
        <v>11</v>
      </c>
      <c r="D55" s="47"/>
      <c r="E55" s="47"/>
      <c r="F55" s="47"/>
      <c r="G55" s="47"/>
      <c r="H55" s="47"/>
      <c r="I55" s="47"/>
      <c r="J55" s="47"/>
      <c r="K55" s="47"/>
      <c r="L55" s="47"/>
      <c r="M55" s="47"/>
      <c r="N55" s="47"/>
      <c r="O55" s="47"/>
      <c r="P55" s="47"/>
      <c r="Q55" s="48"/>
    </row>
    <row r="56" spans="1:17">
      <c r="A56" s="32" t="s">
        <v>22</v>
      </c>
      <c r="B56" s="53" t="str">
        <f xml:space="preserve"> IF(B8="","（評価値の入力がありません）",IF(B8&lt;=(B47*0.85),"■顧客指定の工期が最適工期に比べ短く高リスク状態です。工期の延期を推奨します。",IF(B8&gt;=(B47*1.2),"■工期が長すぎる可能性があります。管理費の肥大が懸念されるため、最適工期の採用を推奨します。","特になし")))</f>
        <v>（評価値の入力がありません）</v>
      </c>
      <c r="C56" s="47"/>
      <c r="D56" s="47"/>
      <c r="E56" s="47"/>
      <c r="F56" s="47"/>
      <c r="G56" s="47"/>
      <c r="H56" s="47"/>
      <c r="I56" s="47"/>
      <c r="J56" s="47"/>
      <c r="K56" s="47"/>
      <c r="L56" s="47"/>
      <c r="M56" s="47"/>
      <c r="N56" s="47"/>
      <c r="O56" s="47"/>
      <c r="P56" s="47"/>
      <c r="Q56" s="48"/>
    </row>
    <row r="57" spans="1:17" ht="9" customHeight="1" thickBot="1">
      <c r="A57" s="33"/>
      <c r="B57" s="34"/>
      <c r="C57" s="34"/>
      <c r="D57" s="34"/>
      <c r="E57" s="34"/>
      <c r="F57" s="34"/>
      <c r="G57" s="34"/>
      <c r="H57" s="34"/>
      <c r="I57" s="34"/>
      <c r="J57" s="34"/>
      <c r="K57" s="34"/>
      <c r="L57" s="34"/>
      <c r="M57" s="34"/>
      <c r="N57" s="34"/>
      <c r="O57" s="34"/>
      <c r="P57" s="34"/>
      <c r="Q57" s="35"/>
    </row>
    <row r="58" spans="1:17" ht="18.600000000000001" thickTop="1"/>
  </sheetData>
  <mergeCells count="19">
    <mergeCell ref="J47:K47"/>
    <mergeCell ref="L47:M47"/>
    <mergeCell ref="N47:O47"/>
    <mergeCell ref="B15:H15"/>
    <mergeCell ref="B16:H17"/>
    <mergeCell ref="B24:H24"/>
    <mergeCell ref="B25:H26"/>
    <mergeCell ref="B32:H32"/>
    <mergeCell ref="B33:H34"/>
    <mergeCell ref="B41:H41"/>
    <mergeCell ref="B45:H46"/>
    <mergeCell ref="J46:K46"/>
    <mergeCell ref="L46:M46"/>
    <mergeCell ref="N46:O46"/>
    <mergeCell ref="J48:K48"/>
    <mergeCell ref="L48:M48"/>
    <mergeCell ref="N48:O48"/>
    <mergeCell ref="B49:H49"/>
    <mergeCell ref="B50:H50"/>
  </mergeCells>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23"/>
  <sheetViews>
    <sheetView zoomScale="115" zoomScaleNormal="115" workbookViewId="0">
      <selection activeCell="C22" sqref="C22"/>
    </sheetView>
  </sheetViews>
  <sheetFormatPr defaultColWidth="8.09765625" defaultRowHeight="15"/>
  <cols>
    <col min="1" max="1" width="3.09765625" style="75" customWidth="1"/>
    <col min="2" max="2" width="10.296875" style="75" customWidth="1"/>
    <col min="3" max="3" width="21.796875" style="75" customWidth="1"/>
    <col min="4" max="4" width="17.69921875" style="75" customWidth="1"/>
    <col min="5" max="5" width="13.296875" style="75" customWidth="1"/>
    <col min="6" max="6" width="13.796875" style="75" customWidth="1"/>
    <col min="7" max="7" width="14.3984375" style="75" customWidth="1"/>
    <col min="8" max="8" width="13.3984375" style="75" customWidth="1"/>
    <col min="9" max="10" width="11.8984375" style="75" customWidth="1"/>
    <col min="11" max="11" width="10.296875" style="75" customWidth="1"/>
    <col min="12" max="14" width="10.8984375" style="75" customWidth="1"/>
    <col min="15" max="16384" width="8.09765625" style="75"/>
  </cols>
  <sheetData>
    <row r="1" spans="1:15">
      <c r="A1" s="111" t="s">
        <v>197</v>
      </c>
      <c r="B1" s="112"/>
      <c r="C1" s="113"/>
      <c r="D1" s="113"/>
      <c r="E1" s="113"/>
      <c r="F1" s="114"/>
      <c r="G1" s="114"/>
      <c r="H1" s="114"/>
      <c r="I1" s="112"/>
      <c r="J1" s="112"/>
      <c r="K1" s="114"/>
      <c r="L1" s="114"/>
      <c r="M1" s="114"/>
      <c r="N1" s="114"/>
      <c r="O1" s="115"/>
    </row>
    <row r="2" spans="1:15">
      <c r="A2" s="116"/>
      <c r="B2" s="113"/>
      <c r="C2" s="113"/>
      <c r="D2" s="113"/>
      <c r="E2" s="113"/>
      <c r="F2" s="117"/>
      <c r="G2" s="118" t="s">
        <v>160</v>
      </c>
      <c r="H2" s="114"/>
      <c r="I2" s="163" t="s">
        <v>161</v>
      </c>
      <c r="J2" s="164"/>
      <c r="K2" s="163" t="s">
        <v>162</v>
      </c>
      <c r="L2" s="165"/>
      <c r="M2" s="165"/>
      <c r="N2" s="164"/>
      <c r="O2" s="119"/>
    </row>
    <row r="3" spans="1:15">
      <c r="A3" s="116"/>
      <c r="B3" s="113"/>
      <c r="C3" s="120" t="s">
        <v>163</v>
      </c>
      <c r="D3" s="121" t="s">
        <v>164</v>
      </c>
      <c r="E3" s="121" t="s">
        <v>165</v>
      </c>
      <c r="F3" s="122" t="s">
        <v>166</v>
      </c>
      <c r="G3" s="121" t="s">
        <v>167</v>
      </c>
      <c r="H3" s="121" t="s">
        <v>205</v>
      </c>
      <c r="I3" s="123" t="s">
        <v>166</v>
      </c>
      <c r="J3" s="124" t="s">
        <v>168</v>
      </c>
      <c r="K3" s="122" t="s">
        <v>169</v>
      </c>
      <c r="L3" s="121" t="s">
        <v>170</v>
      </c>
      <c r="M3" s="122" t="s">
        <v>169</v>
      </c>
      <c r="N3" s="125" t="s">
        <v>171</v>
      </c>
      <c r="O3" s="119"/>
    </row>
    <row r="4" spans="1:15" ht="15.6" thickBot="1">
      <c r="A4" s="116"/>
      <c r="B4" s="113"/>
      <c r="C4" s="126" t="s">
        <v>172</v>
      </c>
      <c r="D4" s="82"/>
      <c r="E4" s="82"/>
      <c r="F4" s="83"/>
      <c r="G4" s="84" t="s">
        <v>173</v>
      </c>
      <c r="H4" s="83"/>
      <c r="I4" s="85" t="e">
        <f>100*D4/D14</f>
        <v>#DIV/0!</v>
      </c>
      <c r="J4" s="86">
        <v>15</v>
      </c>
      <c r="K4" s="153" t="e">
        <f>(E4+E5)*100/E15</f>
        <v>#DIV/0!</v>
      </c>
      <c r="L4" s="157">
        <v>32</v>
      </c>
      <c r="M4" s="88" t="e">
        <f>100*E4/E15</f>
        <v>#DIV/0!</v>
      </c>
      <c r="N4" s="86">
        <v>23</v>
      </c>
      <c r="O4" s="119"/>
    </row>
    <row r="5" spans="1:15">
      <c r="A5" s="116"/>
      <c r="B5" s="127" t="s">
        <v>174</v>
      </c>
      <c r="C5" s="128" t="s">
        <v>175</v>
      </c>
      <c r="D5" s="89"/>
      <c r="E5" s="89"/>
      <c r="F5" s="90" t="e">
        <f>100*D5/D13</f>
        <v>#DIV/0!</v>
      </c>
      <c r="G5" s="91">
        <v>17</v>
      </c>
      <c r="H5" s="92">
        <v>19</v>
      </c>
      <c r="I5" s="93"/>
      <c r="J5" s="87"/>
      <c r="K5" s="154"/>
      <c r="L5" s="159"/>
      <c r="M5" s="95"/>
      <c r="N5" s="87"/>
      <c r="O5" s="119"/>
    </row>
    <row r="6" spans="1:15">
      <c r="A6" s="116"/>
      <c r="B6" s="129"/>
      <c r="C6" s="120" t="s">
        <v>176</v>
      </c>
      <c r="D6" s="77"/>
      <c r="E6" s="77"/>
      <c r="F6" s="79" t="e">
        <f>100*D6/D13</f>
        <v>#DIV/0!</v>
      </c>
      <c r="G6" s="86">
        <v>17</v>
      </c>
      <c r="H6" s="96">
        <v>18</v>
      </c>
      <c r="I6" s="97"/>
      <c r="J6" s="98"/>
      <c r="K6" s="153" t="e">
        <f>(E6+E7)*100/E15</f>
        <v>#DIV/0!</v>
      </c>
      <c r="L6" s="157">
        <v>36</v>
      </c>
      <c r="M6" s="99"/>
      <c r="N6" s="98"/>
      <c r="O6" s="119"/>
    </row>
    <row r="7" spans="1:15">
      <c r="A7" s="116"/>
      <c r="B7" s="129"/>
      <c r="C7" s="120" t="s">
        <v>201</v>
      </c>
      <c r="D7" s="77"/>
      <c r="E7" s="77"/>
      <c r="F7" s="79" t="e">
        <f>100*D7/D13</f>
        <v>#DIV/0!</v>
      </c>
      <c r="G7" s="86">
        <v>35</v>
      </c>
      <c r="H7" s="96">
        <v>28</v>
      </c>
      <c r="I7" s="97" t="e">
        <f>100*D13/D14</f>
        <v>#DIV/0!</v>
      </c>
      <c r="J7" s="98">
        <v>80</v>
      </c>
      <c r="K7" s="154"/>
      <c r="L7" s="159"/>
      <c r="M7" s="99" t="e">
        <f>100*SUM(E5:E9)/E15</f>
        <v>#DIV/0!</v>
      </c>
      <c r="N7" s="98">
        <v>60</v>
      </c>
      <c r="O7" s="119"/>
    </row>
    <row r="8" spans="1:15">
      <c r="A8" s="116"/>
      <c r="B8" s="129"/>
      <c r="C8" s="120" t="s">
        <v>177</v>
      </c>
      <c r="D8" s="77"/>
      <c r="E8" s="77"/>
      <c r="F8" s="79" t="e">
        <f>100*D8/D13</f>
        <v>#DIV/0!</v>
      </c>
      <c r="G8" s="86">
        <v>17</v>
      </c>
      <c r="H8" s="96">
        <v>17</v>
      </c>
      <c r="I8" s="97"/>
      <c r="J8" s="98"/>
      <c r="K8" s="153" t="e">
        <f>SUM(E8:E10)*100/E15</f>
        <v>#DIV/0!</v>
      </c>
      <c r="L8" s="157">
        <v>32</v>
      </c>
      <c r="M8" s="99"/>
      <c r="N8" s="98"/>
      <c r="O8" s="119"/>
    </row>
    <row r="9" spans="1:15" ht="15.6" thickBot="1">
      <c r="A9" s="116"/>
      <c r="B9" s="130"/>
      <c r="C9" s="131" t="s">
        <v>178</v>
      </c>
      <c r="D9" s="100"/>
      <c r="E9" s="100"/>
      <c r="F9" s="101" t="e">
        <f>100*D9/D13</f>
        <v>#DIV/0!</v>
      </c>
      <c r="G9" s="102">
        <v>14</v>
      </c>
      <c r="H9" s="103">
        <v>18</v>
      </c>
      <c r="I9" s="104"/>
      <c r="J9" s="94"/>
      <c r="K9" s="155"/>
      <c r="L9" s="158"/>
      <c r="M9" s="105"/>
      <c r="N9" s="94"/>
      <c r="O9" s="119"/>
    </row>
    <row r="10" spans="1:15">
      <c r="A10" s="116"/>
      <c r="B10" s="113"/>
      <c r="C10" s="132" t="s">
        <v>200</v>
      </c>
      <c r="D10" s="106"/>
      <c r="E10" s="106"/>
      <c r="F10" s="83"/>
      <c r="G10" s="84" t="s">
        <v>173</v>
      </c>
      <c r="H10" s="83"/>
      <c r="I10" s="85" t="e">
        <f>100*D10/D14</f>
        <v>#DIV/0!</v>
      </c>
      <c r="J10" s="86">
        <v>5</v>
      </c>
      <c r="K10" s="156"/>
      <c r="L10" s="159"/>
      <c r="M10" s="88" t="e">
        <f>100*E10/E15</f>
        <v>#DIV/0!</v>
      </c>
      <c r="N10" s="86">
        <v>17</v>
      </c>
      <c r="O10" s="119"/>
    </row>
    <row r="11" spans="1:15">
      <c r="A11" s="116"/>
      <c r="B11" s="113"/>
      <c r="C11" s="120" t="s">
        <v>179</v>
      </c>
      <c r="D11" s="77"/>
      <c r="E11" s="76" t="s">
        <v>180</v>
      </c>
      <c r="F11" s="79" t="e">
        <f>100*D11/D15</f>
        <v>#DIV/0!</v>
      </c>
      <c r="G11" s="76" t="s">
        <v>181</v>
      </c>
      <c r="H11" s="160" t="e">
        <f>IF(D11*100/D15&lt;8,"過小",IF(D11*100/D15&gt;=20,"過大","妥当"))</f>
        <v>#DIV/0!</v>
      </c>
      <c r="I11" s="161"/>
      <c r="J11" s="161"/>
      <c r="K11" s="161"/>
      <c r="L11" s="162"/>
      <c r="M11" s="113"/>
      <c r="N11" s="113"/>
      <c r="O11" s="119"/>
    </row>
    <row r="12" spans="1:15">
      <c r="A12" s="116"/>
      <c r="B12" s="113"/>
      <c r="C12" s="120" t="s">
        <v>182</v>
      </c>
      <c r="D12" s="77"/>
      <c r="E12" s="76" t="s">
        <v>183</v>
      </c>
      <c r="F12" s="107" t="e">
        <f>100*D12/D15</f>
        <v>#DIV/0!</v>
      </c>
      <c r="G12" s="76" t="s">
        <v>181</v>
      </c>
      <c r="H12" s="160" t="e">
        <f>IF(D12*100/D15&gt;=10,IF(D12*100/D15&lt;=20,"妥当","妥当(多め)"),"不足")</f>
        <v>#DIV/0!</v>
      </c>
      <c r="I12" s="161"/>
      <c r="J12" s="161"/>
      <c r="K12" s="161"/>
      <c r="L12" s="162"/>
      <c r="M12" s="113"/>
      <c r="N12" s="113"/>
      <c r="O12" s="119"/>
    </row>
    <row r="13" spans="1:15">
      <c r="A13" s="116"/>
      <c r="B13" s="113"/>
      <c r="C13" s="120" t="s">
        <v>184</v>
      </c>
      <c r="D13" s="108">
        <f>SUM(D5:D9)</f>
        <v>0</v>
      </c>
      <c r="E13" s="160" t="e">
        <f>IF((D4/D13)*100&lt;10,"要件定義工数不足","─")</f>
        <v>#DIV/0!</v>
      </c>
      <c r="F13" s="161"/>
      <c r="G13" s="162"/>
      <c r="H13" s="113"/>
      <c r="I13" s="113"/>
      <c r="J13" s="113"/>
      <c r="K13" s="113"/>
      <c r="L13" s="113"/>
      <c r="M13" s="113"/>
      <c r="N13" s="113"/>
      <c r="O13" s="119"/>
    </row>
    <row r="14" spans="1:15">
      <c r="A14" s="116"/>
      <c r="B14" s="113"/>
      <c r="C14" s="126" t="s">
        <v>198</v>
      </c>
      <c r="D14" s="109">
        <f>SUM(D4:D10)</f>
        <v>0</v>
      </c>
      <c r="E14" s="113"/>
      <c r="F14" s="113"/>
      <c r="G14" s="113"/>
      <c r="H14" s="113"/>
      <c r="I14" s="113"/>
      <c r="J14" s="113"/>
      <c r="K14" s="113"/>
      <c r="L14" s="113"/>
      <c r="M14" s="113"/>
      <c r="N14" s="113"/>
      <c r="O14" s="119"/>
    </row>
    <row r="15" spans="1:15">
      <c r="A15" s="116"/>
      <c r="B15" s="113"/>
      <c r="C15" s="133" t="s">
        <v>185</v>
      </c>
      <c r="D15" s="78">
        <f>SUM(D4:D12)</f>
        <v>0</v>
      </c>
      <c r="E15" s="80">
        <f>SUM(E4:E10)</f>
        <v>0</v>
      </c>
      <c r="F15" s="151" t="e">
        <f>IF(E16&lt;=E15,IF((E15-E16)*100/E15&gt;=30,"安全工期(多め)","安全工期"),IF(((E16-E15)*100/E16)&gt;=30,"工期不足(危険)","工期不足"))</f>
        <v>#DIV/0!</v>
      </c>
      <c r="G15" s="151"/>
      <c r="H15" s="113"/>
      <c r="I15" s="113"/>
      <c r="J15" s="113"/>
      <c r="K15" s="113"/>
      <c r="L15" s="113"/>
      <c r="M15" s="113"/>
      <c r="N15" s="113"/>
      <c r="O15" s="119"/>
    </row>
    <row r="16" spans="1:15">
      <c r="A16" s="134"/>
      <c r="B16" s="135"/>
      <c r="C16" s="152" t="s">
        <v>158</v>
      </c>
      <c r="D16" s="152"/>
      <c r="E16" s="81">
        <f>D15^(1/3)*2.6</f>
        <v>0</v>
      </c>
      <c r="F16" s="132" t="s">
        <v>159</v>
      </c>
      <c r="G16" s="110">
        <f>E16/12</f>
        <v>0</v>
      </c>
      <c r="H16" s="120" t="s">
        <v>186</v>
      </c>
      <c r="I16" s="135"/>
      <c r="J16" s="135"/>
      <c r="K16" s="135"/>
      <c r="L16" s="135"/>
      <c r="M16" s="135"/>
      <c r="N16" s="135"/>
      <c r="O16" s="137"/>
    </row>
    <row r="17" spans="1:15">
      <c r="A17" s="136" t="s">
        <v>187</v>
      </c>
      <c r="B17" s="112"/>
      <c r="C17" s="112"/>
      <c r="D17" s="112"/>
      <c r="E17" s="112"/>
      <c r="F17" s="112"/>
      <c r="G17" s="112"/>
      <c r="H17" s="112"/>
      <c r="I17" s="112"/>
      <c r="J17" s="112"/>
      <c r="K17" s="112"/>
      <c r="L17" s="112"/>
      <c r="M17" s="112"/>
      <c r="N17" s="112"/>
      <c r="O17" s="115"/>
    </row>
    <row r="18" spans="1:15">
      <c r="A18" s="116"/>
      <c r="B18" s="113"/>
      <c r="C18" s="126" t="s">
        <v>188</v>
      </c>
      <c r="D18" s="120" t="s">
        <v>189</v>
      </c>
      <c r="E18" s="79">
        <f>D4*0.2</f>
        <v>0</v>
      </c>
      <c r="F18" s="120" t="s">
        <v>190</v>
      </c>
      <c r="G18" s="79">
        <f>D4*20*8*0.2</f>
        <v>0</v>
      </c>
      <c r="H18" s="120" t="s">
        <v>191</v>
      </c>
      <c r="I18" s="113"/>
      <c r="J18" s="113"/>
      <c r="K18" s="113"/>
      <c r="L18" s="113"/>
      <c r="M18" s="113"/>
      <c r="N18" s="113"/>
      <c r="O18" s="119"/>
    </row>
    <row r="19" spans="1:15">
      <c r="A19" s="116"/>
      <c r="B19" s="113"/>
      <c r="C19" s="132"/>
      <c r="D19" s="120" t="s">
        <v>192</v>
      </c>
      <c r="E19" s="79">
        <f>D5*0.2</f>
        <v>0</v>
      </c>
      <c r="F19" s="120" t="s">
        <v>190</v>
      </c>
      <c r="G19" s="79">
        <f>D5*20*8*0.2</f>
        <v>0</v>
      </c>
      <c r="H19" s="120" t="s">
        <v>191</v>
      </c>
      <c r="I19" s="113"/>
      <c r="J19" s="113"/>
      <c r="K19" s="113"/>
      <c r="L19" s="113"/>
      <c r="M19" s="113"/>
      <c r="N19" s="113"/>
      <c r="O19" s="119"/>
    </row>
    <row r="20" spans="1:15">
      <c r="A20" s="134"/>
      <c r="B20" s="135"/>
      <c r="C20" s="135"/>
      <c r="D20" s="135"/>
      <c r="E20" s="135"/>
      <c r="F20" s="135"/>
      <c r="G20" s="135"/>
      <c r="H20" s="135"/>
      <c r="I20" s="135"/>
      <c r="J20" s="135"/>
      <c r="K20" s="135"/>
      <c r="L20" s="135"/>
      <c r="M20" s="135"/>
      <c r="N20" s="135"/>
      <c r="O20" s="137"/>
    </row>
    <row r="21" spans="1:15">
      <c r="A21" s="136" t="s">
        <v>193</v>
      </c>
      <c r="B21" s="112"/>
      <c r="C21" s="112"/>
      <c r="D21" s="112"/>
      <c r="E21" s="112"/>
      <c r="F21" s="112"/>
      <c r="G21" s="112"/>
      <c r="H21" s="112"/>
      <c r="I21" s="112"/>
      <c r="J21" s="112"/>
      <c r="K21" s="112"/>
      <c r="L21" s="112"/>
      <c r="M21" s="112"/>
      <c r="N21" s="112"/>
      <c r="O21" s="115"/>
    </row>
    <row r="22" spans="1:15">
      <c r="A22" s="116"/>
      <c r="B22" s="113"/>
      <c r="C22" s="120" t="s">
        <v>194</v>
      </c>
      <c r="D22" s="79">
        <f>D15*0.25</f>
        <v>0</v>
      </c>
      <c r="E22" s="120" t="s">
        <v>195</v>
      </c>
      <c r="F22" s="113" t="s">
        <v>196</v>
      </c>
      <c r="G22" s="113"/>
      <c r="H22" s="113"/>
      <c r="I22" s="113"/>
      <c r="J22" s="113"/>
      <c r="K22" s="113"/>
      <c r="L22" s="113"/>
      <c r="M22" s="113"/>
      <c r="N22" s="113"/>
      <c r="O22" s="119"/>
    </row>
    <row r="23" spans="1:15">
      <c r="A23" s="134"/>
      <c r="B23" s="135"/>
      <c r="C23" s="135"/>
      <c r="D23" s="135"/>
      <c r="E23" s="135"/>
      <c r="F23" s="135"/>
      <c r="G23" s="135"/>
      <c r="H23" s="135"/>
      <c r="I23" s="135"/>
      <c r="J23" s="135"/>
      <c r="K23" s="135"/>
      <c r="L23" s="135"/>
      <c r="M23" s="135"/>
      <c r="N23" s="135"/>
      <c r="O23" s="137"/>
    </row>
  </sheetData>
  <mergeCells count="13">
    <mergeCell ref="I2:J2"/>
    <mergeCell ref="K2:N2"/>
    <mergeCell ref="K4:K5"/>
    <mergeCell ref="L4:L5"/>
    <mergeCell ref="L6:L7"/>
    <mergeCell ref="F15:G15"/>
    <mergeCell ref="C16:D16"/>
    <mergeCell ref="K6:K7"/>
    <mergeCell ref="K8:K10"/>
    <mergeCell ref="L8:L10"/>
    <mergeCell ref="H11:L11"/>
    <mergeCell ref="H12:L12"/>
    <mergeCell ref="E13:G13"/>
  </mergeCells>
  <phoneticPr fontId="2"/>
  <conditionalFormatting sqref="E13:G13">
    <cfRule type="cellIs" dxfId="5" priority="8" operator="equal">
      <formula>"要件定義工数不足"</formula>
    </cfRule>
  </conditionalFormatting>
  <conditionalFormatting sqref="F15:G15">
    <cfRule type="cellIs" dxfId="4" priority="1" operator="equal">
      <formula>"工期不足"</formula>
    </cfRule>
    <cfRule type="cellIs" dxfId="3" priority="2" operator="equal">
      <formula>"工期不足(危険)"</formula>
    </cfRule>
  </conditionalFormatting>
  <conditionalFormatting sqref="H11:L11">
    <cfRule type="cellIs" dxfId="2" priority="4" operator="equal">
      <formula>"過大"</formula>
    </cfRule>
    <cfRule type="cellIs" dxfId="1" priority="5" operator="equal">
      <formula>"過小"</formula>
    </cfRule>
  </conditionalFormatting>
  <conditionalFormatting sqref="H12:L12">
    <cfRule type="cellIs" dxfId="0" priority="3" operator="equal">
      <formula>"不足"</formula>
    </cfRule>
  </conditionalFormatting>
  <pageMargins left="0.33" right="0.36" top="0.56000000000000005" bottom="0.43" header="0.31496062992125984" footer="0.31496062992125984"/>
  <pageSetup paperSize="9" scale="87" orientation="landscape" r:id="rId1"/>
  <headerFooter>
    <oddHeader>&amp;L&amp;A&amp;R印刷日：&amp;D</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6490A3-ACA7-481C-BEBD-E584250184C2}"/>
</file>

<file path=customXml/itemProps2.xml><?xml version="1.0" encoding="utf-8"?>
<ds:datastoreItem xmlns:ds="http://schemas.openxmlformats.org/officeDocument/2006/customXml" ds:itemID="{540CE03E-EF0B-4E79-9BA9-64CD7C45AD58}"/>
</file>

<file path=customXml/itemProps3.xml><?xml version="1.0" encoding="utf-8"?>
<ds:datastoreItem xmlns:ds="http://schemas.openxmlformats.org/officeDocument/2006/customXml" ds:itemID="{2F48827E-F47A-49F4-8574-CCED5F5235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使い方</vt:lpstr>
      <vt:lpstr>部門長向け見積もり検証シート</vt:lpstr>
      <vt:lpstr>保守開発見積もり検証シート</vt:lpstr>
      <vt:lpstr>プロジェクト計画シミュレータ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相田一英</dc:creator>
  <cp:lastModifiedBy>福田 一希</cp:lastModifiedBy>
  <dcterms:created xsi:type="dcterms:W3CDTF">2015-06-05T18:19:34Z</dcterms:created>
  <dcterms:modified xsi:type="dcterms:W3CDTF">2025-03-27T06:51:34Z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