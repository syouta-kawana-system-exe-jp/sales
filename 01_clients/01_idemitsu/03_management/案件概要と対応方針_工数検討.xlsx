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01"/>
  <workbookPr filterPrivacy="1"/>
  <xr:revisionPtr revIDLastSave="64" documentId="11_E53D4E07AD12802617908A195E62B26905C0104B" xr6:coauthVersionLast="47" xr6:coauthVersionMax="47" xr10:uidLastSave="{83B9C92B-12D2-4BC7-9D2B-0D1247A82A5F}"/>
  <bookViews>
    <workbookView xWindow="0" yWindow="0" windowWidth="22260" windowHeight="12645" firstSheet="3" xr2:uid="{00000000-000D-0000-FFFF-FFFF00000000}"/>
  </bookViews>
  <sheets>
    <sheet name="修正案" sheetId="3" r:id="rId1"/>
    <sheet name="工数見積もり" sheetId="5" r:id="rId2"/>
    <sheet name="工数見積もり (2)" sheetId="8" state="hidden" r:id="rId3"/>
    <sheet name="スケジュール" sheetId="7" r:id="rId4"/>
    <sheet name="既存不具合対応 (2)" sheetId="4" state="hidden" r:id="rId5"/>
    <sheet name="テーブル構成改善" sheetId="2" state="hidden" r:id="rId6"/>
    <sheet name="取込処理改善" sheetId="1" state="hidden" r:id="rId7"/>
  </sheets>
  <definedNames>
    <definedName name="_xlnm._FilterDatabase" localSheetId="1" hidden="1">工数見積もり!#REF!</definedName>
    <definedName name="_xlnm._FilterDatabase" localSheetId="2" hidden="1">'工数見積もり (2)'!#REF!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3" i="7" l="1"/>
  <c r="L53" i="7"/>
  <c r="K53" i="7"/>
  <c r="J53" i="7"/>
  <c r="I53" i="7"/>
  <c r="H53" i="7"/>
  <c r="G53" i="7"/>
  <c r="F53" i="7"/>
  <c r="E53" i="7"/>
  <c r="N53" i="7" s="1"/>
  <c r="O53" i="7" s="1"/>
  <c r="P53" i="7" s="1"/>
  <c r="M48" i="7"/>
  <c r="L48" i="7"/>
  <c r="K48" i="7"/>
  <c r="J48" i="7"/>
  <c r="I48" i="7"/>
  <c r="H48" i="7"/>
  <c r="G48" i="7"/>
  <c r="F48" i="7"/>
  <c r="N48" i="7" s="1"/>
  <c r="E48" i="7"/>
  <c r="H35" i="5"/>
  <c r="H36" i="5"/>
  <c r="H37" i="5"/>
  <c r="H39" i="5"/>
  <c r="H40" i="5"/>
  <c r="H34" i="5"/>
  <c r="G50" i="5"/>
  <c r="G47" i="5"/>
  <c r="G48" i="5"/>
  <c r="G49" i="5"/>
  <c r="G46" i="5"/>
  <c r="H47" i="5" l="1"/>
  <c r="I47" i="5" s="1"/>
  <c r="H48" i="5"/>
  <c r="I48" i="5" s="1"/>
  <c r="H49" i="5"/>
  <c r="I49" i="5" s="1"/>
  <c r="H50" i="5"/>
  <c r="I50" i="5" s="1"/>
  <c r="H46" i="5"/>
  <c r="I46" i="5" s="1"/>
  <c r="G8" i="5"/>
  <c r="G7" i="5"/>
  <c r="G5" i="5"/>
  <c r="G4" i="5"/>
  <c r="G3" i="5"/>
  <c r="G6" i="5" l="1"/>
  <c r="I6" i="5" s="1"/>
  <c r="I57" i="8"/>
  <c r="I58" i="8" s="1"/>
  <c r="H49" i="8"/>
  <c r="H48" i="8"/>
  <c r="H47" i="8"/>
  <c r="H46" i="8"/>
  <c r="H45" i="8"/>
  <c r="H39" i="8"/>
  <c r="H38" i="8"/>
  <c r="H36" i="8"/>
  <c r="H35" i="8"/>
  <c r="H34" i="8"/>
  <c r="H33" i="8"/>
  <c r="G10" i="8"/>
  <c r="F9" i="8"/>
  <c r="G9" i="8" s="1"/>
  <c r="I8" i="8"/>
  <c r="I7" i="8"/>
  <c r="I6" i="8"/>
  <c r="I5" i="8"/>
  <c r="I4" i="8"/>
  <c r="I3" i="8"/>
  <c r="F9" i="5"/>
  <c r="G9" i="5" s="1"/>
  <c r="G10" i="5" s="1"/>
  <c r="I4" i="5"/>
  <c r="I5" i="5"/>
  <c r="I7" i="5"/>
  <c r="I8" i="5"/>
  <c r="I3" i="5"/>
  <c r="I58" i="5"/>
  <c r="I59" i="5" s="1"/>
  <c r="I9" i="8" l="1"/>
  <c r="I9" i="5"/>
  <c r="I10" i="5" s="1"/>
  <c r="I10" i="8"/>
</calcChain>
</file>

<file path=xl/sharedStrings.xml><?xml version="1.0" encoding="utf-8"?>
<sst xmlns="http://schemas.openxmlformats.org/spreadsheetml/2006/main" count="1191" uniqueCount="219">
  <si>
    <t>背景</t>
    <rPh sb="0" eb="2">
      <t>ハイケイ</t>
    </rPh>
    <phoneticPr fontId="1"/>
  </si>
  <si>
    <t>2025年の8月から各事業所ごとにサーバの更新を行うので周辺システムの更新対応を行う</t>
  </si>
  <si>
    <t>・北海道：9月</t>
  </si>
  <si>
    <t>・千葉：10月</t>
  </si>
  <si>
    <t>・愛知：8月</t>
  </si>
  <si>
    <t>・徳山：11月</t>
  </si>
  <si>
    <t>・四日市：1月</t>
  </si>
  <si>
    <t>PIMSDBのクライアントのバージョンアップ</t>
    <phoneticPr fontId="1"/>
  </si>
  <si>
    <t>工場の3システムについては、バージョンアップ作業を実施予定</t>
    <rPh sb="0" eb="2">
      <t>コウジョウ</t>
    </rPh>
    <rPh sb="22" eb="24">
      <t>サギョウ</t>
    </rPh>
    <rPh sb="25" eb="27">
      <t>ジッシ</t>
    </rPh>
    <rPh sb="27" eb="29">
      <t>ヨテイ</t>
    </rPh>
    <phoneticPr fontId="1"/>
  </si>
  <si>
    <t>対応方針</t>
    <rPh sb="0" eb="2">
      <t>タイオウ</t>
    </rPh>
    <rPh sb="2" eb="4">
      <t>ホウシン</t>
    </rPh>
    <phoneticPr fontId="1"/>
  </si>
  <si>
    <t>PIMSDB接続をしているファイルの向け先変更を行う</t>
    <rPh sb="6" eb="8">
      <t>セツゾク</t>
    </rPh>
    <rPh sb="18" eb="19">
      <t>ム</t>
    </rPh>
    <rPh sb="20" eb="21">
      <t>サキ</t>
    </rPh>
    <rPh sb="21" eb="23">
      <t>ヘンコウ</t>
    </rPh>
    <rPh sb="24" eb="25">
      <t>オコナ</t>
    </rPh>
    <phoneticPr fontId="1"/>
  </si>
  <si>
    <t>PIMSDBのクライアントのバージョンアップを実施する</t>
    <rPh sb="23" eb="25">
      <t>ジッシ</t>
    </rPh>
    <phoneticPr fontId="1"/>
  </si>
  <si>
    <t>対応タスク</t>
    <rPh sb="0" eb="2">
      <t>タイオウ</t>
    </rPh>
    <phoneticPr fontId="1"/>
  </si>
  <si>
    <t>XenApp</t>
    <phoneticPr fontId="1"/>
  </si>
  <si>
    <t>要件定義</t>
    <rPh sb="0" eb="4">
      <t>ヨウケンテイギ</t>
    </rPh>
    <phoneticPr fontId="1"/>
  </si>
  <si>
    <t>人日</t>
    <rPh sb="0" eb="2">
      <t>ニンニチ</t>
    </rPh>
    <phoneticPr fontId="1"/>
  </si>
  <si>
    <t>人月</t>
    <rPh sb="0" eb="2">
      <t>ニンゲツ</t>
    </rPh>
    <phoneticPr fontId="1"/>
  </si>
  <si>
    <t>準委任</t>
    <rPh sb="0" eb="3">
      <t>ジュンイニン</t>
    </rPh>
    <phoneticPr fontId="1"/>
  </si>
  <si>
    <t>基本・詳細設計</t>
    <rPh sb="0" eb="2">
      <t>キホン</t>
    </rPh>
    <rPh sb="3" eb="5">
      <t>ショウサイ</t>
    </rPh>
    <rPh sb="5" eb="7">
      <t>セッケイ</t>
    </rPh>
    <phoneticPr fontId="1"/>
  </si>
  <si>
    <t>請負</t>
    <rPh sb="0" eb="2">
      <t>ウケオイ</t>
    </rPh>
    <phoneticPr fontId="1"/>
  </si>
  <si>
    <t>開発</t>
    <rPh sb="0" eb="2">
      <t>カイハツ</t>
    </rPh>
    <phoneticPr fontId="1"/>
  </si>
  <si>
    <t>結合テスト</t>
    <rPh sb="0" eb="2">
      <t>ケツゴウ</t>
    </rPh>
    <phoneticPr fontId="1"/>
  </si>
  <si>
    <t>受入テスト</t>
    <rPh sb="0" eb="2">
      <t>ウケイレ</t>
    </rPh>
    <phoneticPr fontId="1"/>
  </si>
  <si>
    <t>本番作業</t>
    <rPh sb="0" eb="4">
      <t>ホンバンサギョウ</t>
    </rPh>
    <phoneticPr fontId="1"/>
  </si>
  <si>
    <t>請負/準委任</t>
    <rPh sb="0" eb="2">
      <t>ウケオイ</t>
    </rPh>
    <rPh sb="3" eb="6">
      <t>ジュンイニン</t>
    </rPh>
    <phoneticPr fontId="1"/>
  </si>
  <si>
    <t>初期流動は準委任</t>
    <rPh sb="0" eb="4">
      <t>ショキリュウドウ</t>
    </rPh>
    <rPh sb="5" eb="8">
      <t>ジュンイニン</t>
    </rPh>
    <phoneticPr fontId="1"/>
  </si>
  <si>
    <t>管理費</t>
    <rPh sb="0" eb="3">
      <t>カンリヒ</t>
    </rPh>
    <phoneticPr fontId="1"/>
  </si>
  <si>
    <t>15%＋会議費(週1回3時間)</t>
    <rPh sb="4" eb="7">
      <t>カイギヒ</t>
    </rPh>
    <rPh sb="8" eb="9">
      <t>シュウ</t>
    </rPh>
    <rPh sb="10" eb="11">
      <t>カイ</t>
    </rPh>
    <rPh sb="12" eb="14">
      <t>ジカン</t>
    </rPh>
    <phoneticPr fontId="1"/>
  </si>
  <si>
    <t>人日+15%</t>
    <rPh sb="0" eb="2">
      <t>ニンニチ</t>
    </rPh>
    <phoneticPr fontId="1"/>
  </si>
  <si>
    <t>-</t>
    <phoneticPr fontId="1"/>
  </si>
  <si>
    <t>合計</t>
    <rPh sb="0" eb="2">
      <t>ゴウケイ</t>
    </rPh>
    <phoneticPr fontId="1"/>
  </si>
  <si>
    <t>前提条件</t>
    <rPh sb="0" eb="4">
      <t>ゼンテイジョウケン</t>
    </rPh>
    <phoneticPr fontId="1"/>
  </si>
  <si>
    <t>開発のエクセルの工数は、２０１９年から２０２２年にかけて行った「情報系ヒストリアン更新対応」案件で実際に修正したファイルの本数をベースにしております。</t>
  </si>
  <si>
    <t>エクセルの本数については、要件定義時に精査し確定させます。</t>
    <rPh sb="5" eb="7">
      <t>ホンスウ</t>
    </rPh>
    <rPh sb="13" eb="18">
      <t>ヨウケンテイギジ</t>
    </rPh>
    <rPh sb="19" eb="21">
      <t>セイサ</t>
    </rPh>
    <rPh sb="22" eb="24">
      <t>カクテイ</t>
    </rPh>
    <phoneticPr fontId="1"/>
  </si>
  <si>
    <t>本案件の対応内容は、向け先の変更のみで、ロジックの修正は実施しない想定をしております。</t>
    <rPh sb="0" eb="3">
      <t>ホンアンケン</t>
    </rPh>
    <rPh sb="4" eb="6">
      <t>タイオウ</t>
    </rPh>
    <rPh sb="6" eb="8">
      <t>ナイヨウ</t>
    </rPh>
    <rPh sb="10" eb="11">
      <t>ム</t>
    </rPh>
    <rPh sb="12" eb="13">
      <t>サキ</t>
    </rPh>
    <rPh sb="14" eb="16">
      <t>ヘンコウ</t>
    </rPh>
    <rPh sb="25" eb="27">
      <t>シュウセイ</t>
    </rPh>
    <rPh sb="28" eb="30">
      <t>ジッシ</t>
    </rPh>
    <rPh sb="33" eb="35">
      <t>ソウテイ</t>
    </rPh>
    <phoneticPr fontId="1"/>
  </si>
  <si>
    <t>テストでは、エラー時にのみエビデンスを取得します。</t>
    <rPh sb="9" eb="10">
      <t>ジ</t>
    </rPh>
    <rPh sb="19" eb="21">
      <t>シュトク</t>
    </rPh>
    <phoneticPr fontId="1"/>
  </si>
  <si>
    <t>本案件のテストは、改修対象のエクセルの１割を対象にサンプリングしテストすることを想定しております。</t>
    <rPh sb="0" eb="3">
      <t>ホンアンケン</t>
    </rPh>
    <rPh sb="9" eb="11">
      <t>カイシュウ</t>
    </rPh>
    <rPh sb="11" eb="13">
      <t>タイショウ</t>
    </rPh>
    <rPh sb="20" eb="21">
      <t>ワリ</t>
    </rPh>
    <rPh sb="22" eb="24">
      <t>タイショウ</t>
    </rPh>
    <rPh sb="40" eb="42">
      <t>ソウテイ</t>
    </rPh>
    <phoneticPr fontId="1"/>
  </si>
  <si>
    <t>初期流動は、準委任契約を想定しており、期間中は、対象外のファイルでも可能な限り対応することを想定しております。・</t>
  </si>
  <si>
    <t>◆</t>
    <phoneticPr fontId="1"/>
  </si>
  <si>
    <t>XenApp_PIMSDB接続ファイル向け先変更対応</t>
    <rPh sb="13" eb="15">
      <t>セツゾク</t>
    </rPh>
    <rPh sb="19" eb="20">
      <t>ム</t>
    </rPh>
    <rPh sb="21" eb="22">
      <t>サキ</t>
    </rPh>
    <rPh sb="22" eb="24">
      <t>ヘンコウ</t>
    </rPh>
    <rPh sb="24" eb="26">
      <t>タイオウ</t>
    </rPh>
    <phoneticPr fontId="1"/>
  </si>
  <si>
    <t>備考</t>
    <rPh sb="0" eb="2">
      <t>ビコウ</t>
    </rPh>
    <phoneticPr fontId="1"/>
  </si>
  <si>
    <t>簡易動作検証による修正方法検証</t>
    <rPh sb="0" eb="6">
      <t>カンイドウサケンショウ</t>
    </rPh>
    <rPh sb="9" eb="11">
      <t>シュウセイ</t>
    </rPh>
    <rPh sb="11" eb="13">
      <t>ホウホウ</t>
    </rPh>
    <rPh sb="13" eb="15">
      <t>ケンショウ</t>
    </rPh>
    <phoneticPr fontId="1"/>
  </si>
  <si>
    <t>端末へのインストール及び動作検証</t>
    <rPh sb="0" eb="2">
      <t>タンマツ</t>
    </rPh>
    <rPh sb="10" eb="11">
      <t>オヨ</t>
    </rPh>
    <rPh sb="12" eb="16">
      <t>ドウサケンショウ</t>
    </rPh>
    <phoneticPr fontId="1"/>
  </si>
  <si>
    <t>対象ファイル一覧の整理</t>
    <rPh sb="0" eb="2">
      <t>タイショウ</t>
    </rPh>
    <rPh sb="6" eb="8">
      <t>イチラン</t>
    </rPh>
    <rPh sb="9" eb="11">
      <t>セイリ</t>
    </rPh>
    <phoneticPr fontId="1"/>
  </si>
  <si>
    <t>外だしファイルか、腹持ちのシート上か等の修正個所も整理したい</t>
    <rPh sb="0" eb="1">
      <t>ソト</t>
    </rPh>
    <rPh sb="9" eb="11">
      <t>ハラモ</t>
    </rPh>
    <rPh sb="16" eb="17">
      <t>ジョウ</t>
    </rPh>
    <rPh sb="18" eb="19">
      <t>ナド</t>
    </rPh>
    <rPh sb="20" eb="22">
      <t>シュウセイ</t>
    </rPh>
    <rPh sb="22" eb="24">
      <t>カショ</t>
    </rPh>
    <rPh sb="25" eb="27">
      <t>セイリ</t>
    </rPh>
    <phoneticPr fontId="1"/>
  </si>
  <si>
    <t>テストの範囲、方式検討</t>
    <rPh sb="4" eb="6">
      <t>ハンイ</t>
    </rPh>
    <rPh sb="7" eb="11">
      <t>ホウシキケントウ</t>
    </rPh>
    <phoneticPr fontId="1"/>
  </si>
  <si>
    <t>移行方式の検討</t>
    <rPh sb="0" eb="4">
      <t>イコウホウシキ</t>
    </rPh>
    <rPh sb="5" eb="7">
      <t>ケントウ</t>
    </rPh>
    <phoneticPr fontId="1"/>
  </si>
  <si>
    <t>変更仕様書作成</t>
    <rPh sb="0" eb="5">
      <t>ヘンコウシヨウショ</t>
    </rPh>
    <rPh sb="5" eb="7">
      <t>サクセイ</t>
    </rPh>
    <phoneticPr fontId="1"/>
  </si>
  <si>
    <t>パターンごとの修正方法を整理</t>
    <rPh sb="7" eb="9">
      <t>シュウセイ</t>
    </rPh>
    <rPh sb="9" eb="11">
      <t>ホウホウ</t>
    </rPh>
    <rPh sb="12" eb="14">
      <t>セイリ</t>
    </rPh>
    <phoneticPr fontId="1"/>
  </si>
  <si>
    <t>テスト仕様書の作成</t>
    <phoneticPr fontId="1"/>
  </si>
  <si>
    <t>要件定義時に作成したファイル一覧を元に作成</t>
    <rPh sb="0" eb="5">
      <t>ヨウケンテイギジ</t>
    </rPh>
    <rPh sb="6" eb="8">
      <t>サクセイ</t>
    </rPh>
    <rPh sb="14" eb="16">
      <t>イチラン</t>
    </rPh>
    <rPh sb="17" eb="18">
      <t>モト</t>
    </rPh>
    <rPh sb="19" eb="21">
      <t>サクセイ</t>
    </rPh>
    <phoneticPr fontId="1"/>
  </si>
  <si>
    <t>移行用ツールの設計</t>
    <rPh sb="0" eb="3">
      <t>イコウヨウ</t>
    </rPh>
    <rPh sb="7" eb="9">
      <t>セッケイ</t>
    </rPh>
    <phoneticPr fontId="1"/>
  </si>
  <si>
    <t>移行方式に合わせて必要なツールを設計</t>
    <rPh sb="0" eb="4">
      <t>イコウホウシキ</t>
    </rPh>
    <rPh sb="5" eb="6">
      <t>ア</t>
    </rPh>
    <rPh sb="9" eb="11">
      <t>ヒツヨウ</t>
    </rPh>
    <rPh sb="16" eb="18">
      <t>セッケイ</t>
    </rPh>
    <phoneticPr fontId="1"/>
  </si>
  <si>
    <t>移行バッチの作成</t>
    <rPh sb="0" eb="2">
      <t>イコウ</t>
    </rPh>
    <rPh sb="6" eb="8">
      <t>サクセイ</t>
    </rPh>
    <phoneticPr fontId="1"/>
  </si>
  <si>
    <t>移行ツールの設計書に基づいたバッチの作成、複数作成することを想定</t>
    <rPh sb="0" eb="2">
      <t>イコウ</t>
    </rPh>
    <rPh sb="6" eb="9">
      <t>セッケイショ</t>
    </rPh>
    <rPh sb="10" eb="11">
      <t>モト</t>
    </rPh>
    <rPh sb="18" eb="20">
      <t>サクセイ</t>
    </rPh>
    <rPh sb="21" eb="23">
      <t>フクスウ</t>
    </rPh>
    <rPh sb="23" eb="25">
      <t>サクセイ</t>
    </rPh>
    <rPh sb="30" eb="32">
      <t>ソウテイ</t>
    </rPh>
    <phoneticPr fontId="1"/>
  </si>
  <si>
    <t>過去案件参考資料：</t>
    <rPh sb="0" eb="4">
      <t>カコアンケン</t>
    </rPh>
    <rPh sb="4" eb="6">
      <t>サンコウ</t>
    </rPh>
    <rPh sb="6" eb="8">
      <t>シリョウ</t>
    </rPh>
    <phoneticPr fontId="1"/>
  </si>
  <si>
    <t>https://app.box.com/folder/160850577328</t>
    <phoneticPr fontId="1"/>
  </si>
  <si>
    <t>エクセルファイル</t>
    <phoneticPr fontId="1"/>
  </si>
  <si>
    <t>修正内容は、向け先の変更のみを想定</t>
    <rPh sb="0" eb="4">
      <t>シュウセイナイヨウ</t>
    </rPh>
    <rPh sb="6" eb="7">
      <t>ム</t>
    </rPh>
    <rPh sb="8" eb="9">
      <t>サキ</t>
    </rPh>
    <rPh sb="10" eb="12">
      <t>ヘンコウ</t>
    </rPh>
    <rPh sb="15" eb="17">
      <t>ソウテイ</t>
    </rPh>
    <phoneticPr fontId="1"/>
  </si>
  <si>
    <t>1ファイルあたり</t>
    <phoneticPr fontId="1"/>
  </si>
  <si>
    <t>10分</t>
    <rPh sb="2" eb="3">
      <t>フン</t>
    </rPh>
    <phoneticPr fontId="1"/>
  </si>
  <si>
    <t>1日8時間で48ファイル対応想定</t>
    <rPh sb="1" eb="2">
      <t>ニチ</t>
    </rPh>
    <rPh sb="3" eb="5">
      <t>ジカン</t>
    </rPh>
    <rPh sb="12" eb="14">
      <t>タイオウ</t>
    </rPh>
    <rPh sb="14" eb="16">
      <t>ソウテイ</t>
    </rPh>
    <phoneticPr fontId="1"/>
  </si>
  <si>
    <t>↓前回更新時改修ファイル数</t>
    <rPh sb="1" eb="3">
      <t>ゼンカイ</t>
    </rPh>
    <rPh sb="3" eb="6">
      <t>コウシンジ</t>
    </rPh>
    <rPh sb="6" eb="8">
      <t>カイシュウ</t>
    </rPh>
    <rPh sb="12" eb="13">
      <t>スウ</t>
    </rPh>
    <phoneticPr fontId="1"/>
  </si>
  <si>
    <t>いつのどの案件か明確にしておく</t>
    <rPh sb="5" eb="7">
      <t>アンケン</t>
    </rPh>
    <rPh sb="8" eb="10">
      <t>メイカク</t>
    </rPh>
    <phoneticPr fontId="1"/>
  </si>
  <si>
    <t>前提に算出のベースを記載</t>
    <rPh sb="0" eb="2">
      <t>ゼンテイ</t>
    </rPh>
    <rPh sb="3" eb="5">
      <t>サンシュツ</t>
    </rPh>
    <rPh sb="10" eb="12">
      <t>キサイ</t>
    </rPh>
    <phoneticPr fontId="1"/>
  </si>
  <si>
    <t>北海道分</t>
    <rPh sb="0" eb="3">
      <t>ホッカイドウ</t>
    </rPh>
    <rPh sb="3" eb="4">
      <t>ブン</t>
    </rPh>
    <phoneticPr fontId="1"/>
  </si>
  <si>
    <t>要件定義で精査して確定させることを記載しておく</t>
    <rPh sb="0" eb="4">
      <t>ヨウケンテイギ</t>
    </rPh>
    <rPh sb="5" eb="7">
      <t>セイサ</t>
    </rPh>
    <rPh sb="9" eb="11">
      <t>カクテイ</t>
    </rPh>
    <rPh sb="17" eb="19">
      <t>キサイ</t>
    </rPh>
    <phoneticPr fontId="1"/>
  </si>
  <si>
    <t>千葉分</t>
    <rPh sb="0" eb="3">
      <t>チバブン</t>
    </rPh>
    <phoneticPr fontId="1"/>
  </si>
  <si>
    <t>愛知分</t>
    <rPh sb="0" eb="2">
      <t>アイチ</t>
    </rPh>
    <rPh sb="2" eb="3">
      <t>ブン</t>
    </rPh>
    <phoneticPr fontId="1"/>
  </si>
  <si>
    <t>徳山分</t>
    <rPh sb="0" eb="3">
      <t>トクヤマブン</t>
    </rPh>
    <phoneticPr fontId="1"/>
  </si>
  <si>
    <t>四日市は新規のため総数</t>
    <rPh sb="0" eb="3">
      <t>ヨッカイチ</t>
    </rPh>
    <rPh sb="4" eb="6">
      <t>シンキ</t>
    </rPh>
    <rPh sb="9" eb="11">
      <t>ソウスウ</t>
    </rPh>
    <phoneticPr fontId="1"/>
  </si>
  <si>
    <t>四日市分</t>
    <rPh sb="0" eb="3">
      <t>ヨッカイチ</t>
    </rPh>
    <rPh sb="3" eb="4">
      <t>ブン</t>
    </rPh>
    <phoneticPr fontId="1"/>
  </si>
  <si>
    <t>総数</t>
    <rPh sb="0" eb="2">
      <t>ソウスウ</t>
    </rPh>
    <phoneticPr fontId="1"/>
  </si>
  <si>
    <t>フォルダ構成から日付やバックアップなどの文言を含むものを目視で除外</t>
    <rPh sb="4" eb="6">
      <t>コウセイ</t>
    </rPh>
    <rPh sb="8" eb="10">
      <t>ヒヅケ</t>
    </rPh>
    <rPh sb="20" eb="22">
      <t>モンゴン</t>
    </rPh>
    <rPh sb="23" eb="24">
      <t>フク</t>
    </rPh>
    <rPh sb="28" eb="30">
      <t>モクシ</t>
    </rPh>
    <rPh sb="31" eb="33">
      <t>ジョガイ</t>
    </rPh>
    <phoneticPr fontId="1"/>
  </si>
  <si>
    <t>移行用ツールのテスト</t>
    <rPh sb="0" eb="3">
      <t>イコウヨウ</t>
    </rPh>
    <phoneticPr fontId="1"/>
  </si>
  <si>
    <t>エクセルの接続確認テスト</t>
    <rPh sb="5" eb="7">
      <t>セツゾク</t>
    </rPh>
    <rPh sb="7" eb="9">
      <t>カクニン</t>
    </rPh>
    <phoneticPr fontId="1"/>
  </si>
  <si>
    <t>前提に、正常時のエビデンスは取得せず</t>
    <rPh sb="0" eb="2">
      <t>ゼンテイ</t>
    </rPh>
    <rPh sb="4" eb="6">
      <t>セイジョウ</t>
    </rPh>
    <rPh sb="6" eb="7">
      <t>ジ</t>
    </rPh>
    <rPh sb="14" eb="16">
      <t>シュトク</t>
    </rPh>
    <phoneticPr fontId="1"/>
  </si>
  <si>
    <t>15分</t>
    <rPh sb="2" eb="3">
      <t>フン</t>
    </rPh>
    <phoneticPr fontId="1"/>
  </si>
  <si>
    <t>1日8時間で32ファイル対応想定</t>
    <rPh sb="1" eb="2">
      <t>ニチ</t>
    </rPh>
    <rPh sb="3" eb="5">
      <t>ジカン</t>
    </rPh>
    <rPh sb="12" eb="14">
      <t>タイオウ</t>
    </rPh>
    <rPh sb="14" eb="16">
      <t>ソウテイ</t>
    </rPh>
    <phoneticPr fontId="1"/>
  </si>
  <si>
    <t>エラー時のみ取得することを記載する</t>
    <rPh sb="3" eb="4">
      <t>ジ</t>
    </rPh>
    <rPh sb="6" eb="8">
      <t>シュトク</t>
    </rPh>
    <rPh sb="13" eb="15">
      <t>キサイ</t>
    </rPh>
    <phoneticPr fontId="1"/>
  </si>
  <si>
    <t>各所でサンプリングしてテスト</t>
    <rPh sb="0" eb="2">
      <t>カクショ</t>
    </rPh>
    <phoneticPr fontId="1"/>
  </si>
  <si>
    <t>10%程度</t>
    <rPh sb="3" eb="5">
      <t>テイド</t>
    </rPh>
    <phoneticPr fontId="1"/>
  </si>
  <si>
    <t>前提に、改修対象の1割を対象とし、要件定義のテスト範囲決めの際に相談させていただく</t>
    <rPh sb="0" eb="2">
      <t>ゼンテイ</t>
    </rPh>
    <rPh sb="4" eb="6">
      <t>カイシュウ</t>
    </rPh>
    <rPh sb="6" eb="8">
      <t>タイショウ</t>
    </rPh>
    <rPh sb="10" eb="11">
      <t>ワリ</t>
    </rPh>
    <rPh sb="12" eb="14">
      <t>タイショウ</t>
    </rPh>
    <rPh sb="17" eb="21">
      <t>ヨウケンテイギ</t>
    </rPh>
    <rPh sb="25" eb="27">
      <t>ハンイ</t>
    </rPh>
    <rPh sb="27" eb="28">
      <t>ギ</t>
    </rPh>
    <rPh sb="30" eb="31">
      <t>サイ</t>
    </rPh>
    <rPh sb="32" eb="34">
      <t>ソウダン</t>
    </rPh>
    <phoneticPr fontId="1"/>
  </si>
  <si>
    <t>動作確認支援</t>
    <rPh sb="0" eb="4">
      <t>ドウサカクニン</t>
    </rPh>
    <rPh sb="4" eb="6">
      <t>シエン</t>
    </rPh>
    <phoneticPr fontId="1"/>
  </si>
  <si>
    <t>環境整備等</t>
    <rPh sb="0" eb="2">
      <t>カンキョウ</t>
    </rPh>
    <rPh sb="2" eb="4">
      <t>セイビ</t>
    </rPh>
    <rPh sb="4" eb="5">
      <t>トウ</t>
    </rPh>
    <phoneticPr fontId="1"/>
  </si>
  <si>
    <t>不具合・問合せ対応</t>
    <rPh sb="0" eb="3">
      <t>フグアイ</t>
    </rPh>
    <rPh sb="4" eb="6">
      <t>トイアワ</t>
    </rPh>
    <rPh sb="7" eb="9">
      <t>タイオウ</t>
    </rPh>
    <phoneticPr fontId="1"/>
  </si>
  <si>
    <t>前提として、ロジックの変更はしない</t>
    <rPh sb="0" eb="2">
      <t>ゼンテイ</t>
    </rPh>
    <rPh sb="11" eb="13">
      <t>ヘンコウ</t>
    </rPh>
    <phoneticPr fontId="1"/>
  </si>
  <si>
    <t>本番稼働</t>
    <rPh sb="0" eb="4">
      <t>ホンバンカドウ</t>
    </rPh>
    <phoneticPr fontId="1"/>
  </si>
  <si>
    <t>手順書作成</t>
    <rPh sb="0" eb="3">
      <t>テジュンショ</t>
    </rPh>
    <rPh sb="3" eb="5">
      <t>サクセイ</t>
    </rPh>
    <phoneticPr fontId="1"/>
  </si>
  <si>
    <t>手順書作成1.5人日×5所</t>
    <rPh sb="0" eb="2">
      <t>テジュン</t>
    </rPh>
    <rPh sb="2" eb="3">
      <t>ショ</t>
    </rPh>
    <rPh sb="3" eb="5">
      <t>サクセイ</t>
    </rPh>
    <rPh sb="8" eb="10">
      <t>ニンニチ</t>
    </rPh>
    <rPh sb="12" eb="13">
      <t>ショ</t>
    </rPh>
    <phoneticPr fontId="1"/>
  </si>
  <si>
    <t>本番リリース作業</t>
    <rPh sb="0" eb="2">
      <t>ホンバン</t>
    </rPh>
    <rPh sb="6" eb="8">
      <t>サギョウ</t>
    </rPh>
    <phoneticPr fontId="1"/>
  </si>
  <si>
    <t>本番6時間×4人×5所</t>
    <rPh sb="0" eb="2">
      <t>ホンバン</t>
    </rPh>
    <rPh sb="3" eb="5">
      <t>ジカン</t>
    </rPh>
    <rPh sb="7" eb="8">
      <t>ニン</t>
    </rPh>
    <rPh sb="10" eb="11">
      <t>ショ</t>
    </rPh>
    <phoneticPr fontId="1"/>
  </si>
  <si>
    <t>初回稼働確認</t>
    <rPh sb="0" eb="4">
      <t>ショカイカドウ</t>
    </rPh>
    <rPh sb="4" eb="6">
      <t>カクニン</t>
    </rPh>
    <phoneticPr fontId="1"/>
  </si>
  <si>
    <t>5日間×2人×5所</t>
    <rPh sb="1" eb="2">
      <t>ニチ</t>
    </rPh>
    <rPh sb="2" eb="3">
      <t>カン</t>
    </rPh>
    <rPh sb="4" eb="6">
      <t>フタリ</t>
    </rPh>
    <rPh sb="8" eb="9">
      <t>ショ</t>
    </rPh>
    <phoneticPr fontId="1"/>
  </si>
  <si>
    <t>初期流動期間中は可能な限り対応する</t>
    <phoneticPr fontId="1"/>
  </si>
  <si>
    <t>準委任契約、対象外のファイルも対応する</t>
    <rPh sb="0" eb="3">
      <t>ジュンイニン</t>
    </rPh>
    <rPh sb="3" eb="5">
      <t>ケイヤク</t>
    </rPh>
    <rPh sb="6" eb="8">
      <t>タイショウ</t>
    </rPh>
    <rPh sb="8" eb="9">
      <t>ガイ</t>
    </rPh>
    <rPh sb="15" eb="17">
      <t>タイオウ</t>
    </rPh>
    <phoneticPr fontId="1"/>
  </si>
  <si>
    <t>パターン整理等でもう少し積む</t>
    <rPh sb="4" eb="6">
      <t>セイリ</t>
    </rPh>
    <rPh sb="6" eb="7">
      <t>トウ</t>
    </rPh>
    <rPh sb="10" eb="11">
      <t>スコ</t>
    </rPh>
    <rPh sb="12" eb="13">
      <t>ツ</t>
    </rPh>
    <phoneticPr fontId="1"/>
  </si>
  <si>
    <t>足りるか少し不安</t>
    <rPh sb="0" eb="1">
      <t>タ</t>
    </rPh>
    <rPh sb="4" eb="5">
      <t>スコ</t>
    </rPh>
    <rPh sb="6" eb="8">
      <t>フアン</t>
    </rPh>
    <phoneticPr fontId="1"/>
  </si>
  <si>
    <t>過去案件のツールの存在等確認する</t>
    <rPh sb="0" eb="4">
      <t>カコアンケン</t>
    </rPh>
    <rPh sb="9" eb="11">
      <t>ソンザイ</t>
    </rPh>
    <rPh sb="11" eb="12">
      <t>トウ</t>
    </rPh>
    <rPh sb="12" eb="14">
      <t>カクニン</t>
    </rPh>
    <phoneticPr fontId="1"/>
  </si>
  <si>
    <t>3%程度</t>
    <rPh sb="2" eb="4">
      <t>テイド</t>
    </rPh>
    <phoneticPr fontId="1"/>
  </si>
  <si>
    <t>10%で計算してみる</t>
    <rPh sb="4" eb="6">
      <t>ケイサン</t>
    </rPh>
    <phoneticPr fontId="1"/>
  </si>
  <si>
    <t>前提として、対象となっていないファイルで修正が必要な場合は、別発注</t>
    <rPh sb="0" eb="2">
      <t>ゼンテイ</t>
    </rPh>
    <rPh sb="6" eb="8">
      <t>タイショウ</t>
    </rPh>
    <rPh sb="20" eb="22">
      <t>シュウセイ</t>
    </rPh>
    <rPh sb="23" eb="25">
      <t>ヒツヨウ</t>
    </rPh>
    <rPh sb="26" eb="28">
      <t>バアイ</t>
    </rPh>
    <rPh sb="30" eb="31">
      <t>ベツ</t>
    </rPh>
    <rPh sb="31" eb="33">
      <t>ハッチュウ</t>
    </rPh>
    <phoneticPr fontId="1"/>
  </si>
  <si>
    <t>ざっくりスケジュール</t>
    <phoneticPr fontId="1"/>
  </si>
  <si>
    <t>２０２５年</t>
    <rPh sb="4" eb="5">
      <t>ネン</t>
    </rPh>
    <phoneticPr fontId="1"/>
  </si>
  <si>
    <t>PIMSDBスケジュール</t>
    <phoneticPr fontId="1"/>
  </si>
  <si>
    <t>４月</t>
    <rPh sb="1" eb="2">
      <t>ガツ</t>
    </rPh>
    <phoneticPr fontId="1"/>
  </si>
  <si>
    <t>５月</t>
    <rPh sb="1" eb="2">
      <t>ガツ</t>
    </rPh>
    <phoneticPr fontId="1"/>
  </si>
  <si>
    <t>６月</t>
  </si>
  <si>
    <t>７月</t>
  </si>
  <si>
    <t>８月</t>
  </si>
  <si>
    <t>９月</t>
  </si>
  <si>
    <t>１０月</t>
  </si>
  <si>
    <t>１１月</t>
  </si>
  <si>
    <t>１２月</t>
  </si>
  <si>
    <t>１月</t>
  </si>
  <si>
    <t>２月</t>
  </si>
  <si>
    <t>３月</t>
  </si>
  <si>
    <t>北海道</t>
    <rPh sb="0" eb="3">
      <t>ホッカイドウ</t>
    </rPh>
    <phoneticPr fontId="1"/>
  </si>
  <si>
    <t>リリース</t>
    <phoneticPr fontId="1"/>
  </si>
  <si>
    <t>千葉</t>
    <rPh sb="0" eb="2">
      <t>チバ</t>
    </rPh>
    <phoneticPr fontId="1"/>
  </si>
  <si>
    <t>愛知</t>
    <rPh sb="0" eb="2">
      <t>アイチ</t>
    </rPh>
    <phoneticPr fontId="1"/>
  </si>
  <si>
    <t>徳山</t>
    <rPh sb="0" eb="2">
      <t>トクヤマ</t>
    </rPh>
    <phoneticPr fontId="1"/>
  </si>
  <si>
    <t>四日市</t>
    <rPh sb="0" eb="3">
      <t>ヨッカイチ</t>
    </rPh>
    <phoneticPr fontId="1"/>
  </si>
  <si>
    <t>XenApp移行スケジュール</t>
    <rPh sb="6" eb="8">
      <t>イコウ</t>
    </rPh>
    <phoneticPr fontId="1"/>
  </si>
  <si>
    <t>　愛知</t>
    <rPh sb="1" eb="3">
      <t>アイチ</t>
    </rPh>
    <phoneticPr fontId="1"/>
  </si>
  <si>
    <t>初期流動</t>
    <rPh sb="0" eb="4">
      <t>ショキリュウドウ</t>
    </rPh>
    <phoneticPr fontId="1"/>
  </si>
  <si>
    <t>　北海道</t>
    <rPh sb="1" eb="4">
      <t>ホッカイドウ</t>
    </rPh>
    <phoneticPr fontId="1"/>
  </si>
  <si>
    <t>　千葉</t>
    <rPh sb="1" eb="3">
      <t>チバ</t>
    </rPh>
    <phoneticPr fontId="1"/>
  </si>
  <si>
    <t>　徳山</t>
    <rPh sb="1" eb="3">
      <t>トクヤマ</t>
    </rPh>
    <phoneticPr fontId="1"/>
  </si>
  <si>
    <t>　四日市</t>
    <rPh sb="1" eb="4">
      <t>ヨッカイチ</t>
    </rPh>
    <phoneticPr fontId="1"/>
  </si>
  <si>
    <t>売上</t>
  </si>
  <si>
    <t>PM</t>
  </si>
  <si>
    <t>作業者</t>
  </si>
  <si>
    <t>原価</t>
  </si>
  <si>
    <t>利益</t>
  </si>
  <si>
    <t>利益率</t>
  </si>
  <si>
    <t>既存不具合修正対応について</t>
    <rPh sb="0" eb="2">
      <t>キゾン</t>
    </rPh>
    <rPh sb="2" eb="5">
      <t>フグアイ</t>
    </rPh>
    <rPh sb="5" eb="7">
      <t>シュウセイ</t>
    </rPh>
    <rPh sb="7" eb="9">
      <t>タイオウ</t>
    </rPh>
    <phoneticPr fontId="1"/>
  </si>
  <si>
    <t>既存不具合とは</t>
    <rPh sb="0" eb="2">
      <t>キゾン</t>
    </rPh>
    <rPh sb="2" eb="5">
      <t>フグアイ</t>
    </rPh>
    <phoneticPr fontId="1"/>
  </si>
  <si>
    <t>新IRISでは、工程試験結果を、装置略号、装置品名略号、試験項目、試料採取日時の四項目で一意にしておりますが、</t>
    <rPh sb="0" eb="1">
      <t>シン</t>
    </rPh>
    <rPh sb="18" eb="20">
      <t>リャクゴウ</t>
    </rPh>
    <phoneticPr fontId="1"/>
  </si>
  <si>
    <t>オフラス・LAB-AIDEでは、工程試験結果を、装置略号、装置品名略号、試験項目、試料採取日時の四項目に加え、周期、用途を追加した計６項目で一意にしております。</t>
    <rPh sb="16" eb="22">
      <t>コウテイシケンケッカ</t>
    </rPh>
    <rPh sb="24" eb="26">
      <t>ソウチ</t>
    </rPh>
    <rPh sb="26" eb="28">
      <t>リャクゴウ</t>
    </rPh>
    <rPh sb="29" eb="33">
      <t>ソウチヒンメイ</t>
    </rPh>
    <rPh sb="33" eb="35">
      <t>リャクゴウ</t>
    </rPh>
    <rPh sb="36" eb="38">
      <t>シケン</t>
    </rPh>
    <rPh sb="38" eb="40">
      <t>コウモク</t>
    </rPh>
    <rPh sb="41" eb="43">
      <t>シリョウ</t>
    </rPh>
    <rPh sb="48" eb="51">
      <t>ヨンコウモク</t>
    </rPh>
    <rPh sb="52" eb="53">
      <t>クワ</t>
    </rPh>
    <rPh sb="55" eb="57">
      <t>シュウキ</t>
    </rPh>
    <rPh sb="58" eb="60">
      <t>ヨウト</t>
    </rPh>
    <rPh sb="61" eb="63">
      <t>ツイカ</t>
    </rPh>
    <rPh sb="65" eb="66">
      <t>ケイ</t>
    </rPh>
    <rPh sb="67" eb="69">
      <t>コウモク</t>
    </rPh>
    <rPh sb="70" eb="72">
      <t>イチイ</t>
    </rPh>
    <phoneticPr fontId="1"/>
  </si>
  <si>
    <t>そのため、オフラス側では別々に管理できていた工程試験結果が、新IRISでは、周期、用途が違っていても、装置略号、装置品名略号、試験項目、試料採取日時が一致していると</t>
    <rPh sb="9" eb="10">
      <t>ガワ</t>
    </rPh>
    <rPh sb="12" eb="14">
      <t>ベツベツ</t>
    </rPh>
    <rPh sb="15" eb="17">
      <t>カンリ</t>
    </rPh>
    <rPh sb="22" eb="24">
      <t>コウテイ</t>
    </rPh>
    <rPh sb="24" eb="26">
      <t>シケン</t>
    </rPh>
    <rPh sb="26" eb="28">
      <t>ケッカ</t>
    </rPh>
    <rPh sb="30" eb="31">
      <t>シン</t>
    </rPh>
    <rPh sb="38" eb="40">
      <t>シュウキ</t>
    </rPh>
    <rPh sb="41" eb="43">
      <t>ヨウト</t>
    </rPh>
    <rPh sb="44" eb="45">
      <t>チガ</t>
    </rPh>
    <rPh sb="51" eb="53">
      <t>ソウチ</t>
    </rPh>
    <rPh sb="53" eb="55">
      <t>リャクゴウ</t>
    </rPh>
    <rPh sb="56" eb="58">
      <t>ソウチ</t>
    </rPh>
    <rPh sb="58" eb="62">
      <t>ヒンメイリャクゴウ</t>
    </rPh>
    <rPh sb="63" eb="65">
      <t>シケン</t>
    </rPh>
    <rPh sb="65" eb="67">
      <t>コウモク</t>
    </rPh>
    <rPh sb="68" eb="70">
      <t>シリョウ</t>
    </rPh>
    <rPh sb="75" eb="77">
      <t>イッチ</t>
    </rPh>
    <phoneticPr fontId="1"/>
  </si>
  <si>
    <t>上書きして、先に連携されていたデータが消滅する状況となっております。</t>
    <rPh sb="0" eb="2">
      <t>ウワガ</t>
    </rPh>
    <rPh sb="6" eb="7">
      <t>サキ</t>
    </rPh>
    <rPh sb="8" eb="10">
      <t>レンケイ</t>
    </rPh>
    <rPh sb="19" eb="21">
      <t>ショウメツ</t>
    </rPh>
    <rPh sb="23" eb="25">
      <t>ジョウキョウ</t>
    </rPh>
    <phoneticPr fontId="1"/>
  </si>
  <si>
    <t>愛知事業所では、この不具合を解消するために、昨年度、テーブル定義の更新を行っております。</t>
    <rPh sb="0" eb="2">
      <t>アイチ</t>
    </rPh>
    <rPh sb="2" eb="5">
      <t>ジギョウショ</t>
    </rPh>
    <rPh sb="10" eb="13">
      <t>フグアイ</t>
    </rPh>
    <rPh sb="14" eb="16">
      <t>カイショウ</t>
    </rPh>
    <rPh sb="22" eb="25">
      <t>サクネンド</t>
    </rPh>
    <rPh sb="30" eb="32">
      <t>テイギ</t>
    </rPh>
    <rPh sb="33" eb="35">
      <t>コウシン</t>
    </rPh>
    <rPh sb="36" eb="37">
      <t>オコナ</t>
    </rPh>
    <phoneticPr fontId="1"/>
  </si>
  <si>
    <t>※以下、項目の背景色が、濃い色がキー項目となります。</t>
    <rPh sb="1" eb="3">
      <t>イカ</t>
    </rPh>
    <rPh sb="4" eb="6">
      <t>コウモク</t>
    </rPh>
    <rPh sb="7" eb="9">
      <t>ハイケイ</t>
    </rPh>
    <rPh sb="9" eb="10">
      <t>ショク</t>
    </rPh>
    <rPh sb="12" eb="13">
      <t>コ</t>
    </rPh>
    <rPh sb="14" eb="15">
      <t>イロ</t>
    </rPh>
    <rPh sb="18" eb="20">
      <t>コウモク</t>
    </rPh>
    <phoneticPr fontId="1"/>
  </si>
  <si>
    <t>連携元</t>
    <rPh sb="0" eb="3">
      <t>レンケイモト</t>
    </rPh>
    <phoneticPr fontId="1"/>
  </si>
  <si>
    <t>オフラス</t>
    <phoneticPr fontId="1"/>
  </si>
  <si>
    <t>連携時刻</t>
    <rPh sb="0" eb="4">
      <t>レンケイジコク</t>
    </rPh>
    <phoneticPr fontId="1"/>
  </si>
  <si>
    <t>装置略号</t>
    <rPh sb="0" eb="2">
      <t>ソウチ</t>
    </rPh>
    <rPh sb="2" eb="4">
      <t>リャクゴウ</t>
    </rPh>
    <phoneticPr fontId="1"/>
  </si>
  <si>
    <t>装置品名略号</t>
    <rPh sb="0" eb="2">
      <t>ソウチ</t>
    </rPh>
    <rPh sb="2" eb="4">
      <t>ヒンメイ</t>
    </rPh>
    <rPh sb="4" eb="6">
      <t>リャクゴウ</t>
    </rPh>
    <phoneticPr fontId="1"/>
  </si>
  <si>
    <t>試験項目</t>
    <rPh sb="0" eb="2">
      <t>シケン</t>
    </rPh>
    <rPh sb="2" eb="4">
      <t>コウモク</t>
    </rPh>
    <phoneticPr fontId="1"/>
  </si>
  <si>
    <t>周期</t>
    <rPh sb="0" eb="2">
      <t>シュウキ</t>
    </rPh>
    <phoneticPr fontId="1"/>
  </si>
  <si>
    <t>用途</t>
    <rPh sb="0" eb="2">
      <t>ヨウト</t>
    </rPh>
    <phoneticPr fontId="1"/>
  </si>
  <si>
    <t>バリュー</t>
    <phoneticPr fontId="1"/>
  </si>
  <si>
    <t>採取日時</t>
    <phoneticPr fontId="1"/>
  </si>
  <si>
    <t>A1</t>
    <phoneticPr fontId="1"/>
  </si>
  <si>
    <t>A1_REG</t>
    <phoneticPr fontId="1"/>
  </si>
  <si>
    <t>SG</t>
    <phoneticPr fontId="1"/>
  </si>
  <si>
    <t>W1</t>
    <phoneticPr fontId="1"/>
  </si>
  <si>
    <t>TES</t>
    <phoneticPr fontId="1"/>
  </si>
  <si>
    <t>SP</t>
    <phoneticPr fontId="1"/>
  </si>
  <si>
    <t>なし</t>
    <phoneticPr fontId="1"/>
  </si>
  <si>
    <t>連携先</t>
    <rPh sb="0" eb="3">
      <t>レンケイサキ</t>
    </rPh>
    <phoneticPr fontId="1"/>
  </si>
  <si>
    <t>新IRIS</t>
    <rPh sb="0" eb="1">
      <t>シン</t>
    </rPh>
    <phoneticPr fontId="1"/>
  </si>
  <si>
    <t>連携後の状態</t>
    <rPh sb="0" eb="3">
      <t>レンケイゴ</t>
    </rPh>
    <rPh sb="4" eb="6">
      <t>ジョウタイ</t>
    </rPh>
    <phoneticPr fontId="1"/>
  </si>
  <si>
    <t>←</t>
    <phoneticPr fontId="1"/>
  </si>
  <si>
    <t>W1のデータが消滅</t>
    <rPh sb="7" eb="9">
      <t>ショウメツ</t>
    </rPh>
    <phoneticPr fontId="1"/>
  </si>
  <si>
    <t>仮に下記の通り、W1とSPが逆に連携されると今度は、SPのデータが消える</t>
    <rPh sb="0" eb="1">
      <t>カリ</t>
    </rPh>
    <rPh sb="2" eb="4">
      <t>カキ</t>
    </rPh>
    <rPh sb="5" eb="6">
      <t>トオ</t>
    </rPh>
    <rPh sb="14" eb="15">
      <t>ギャク</t>
    </rPh>
    <rPh sb="16" eb="18">
      <t>レンケイ</t>
    </rPh>
    <rPh sb="22" eb="24">
      <t>コンド</t>
    </rPh>
    <rPh sb="33" eb="34">
      <t>キ</t>
    </rPh>
    <phoneticPr fontId="1"/>
  </si>
  <si>
    <t>日付時点のデータ</t>
    <rPh sb="0" eb="2">
      <t>ヒヅケ</t>
    </rPh>
    <rPh sb="2" eb="4">
      <t>ジテン</t>
    </rPh>
    <phoneticPr fontId="1"/>
  </si>
  <si>
    <t>SPのデータが消滅</t>
    <rPh sb="7" eb="9">
      <t>ショウメツ</t>
    </rPh>
    <phoneticPr fontId="1"/>
  </si>
  <si>
    <t>データの連携フロー</t>
    <rPh sb="4" eb="6">
      <t>レンケイ</t>
    </rPh>
    <phoneticPr fontId="1"/>
  </si>
  <si>
    <t>通常時</t>
    <rPh sb="0" eb="2">
      <t>ツウジョウ</t>
    </rPh>
    <rPh sb="2" eb="3">
      <t>ジ</t>
    </rPh>
    <phoneticPr fontId="1"/>
  </si>
  <si>
    <t>オフラスDB</t>
    <phoneticPr fontId="1"/>
  </si>
  <si>
    <t>オフラス連携ファイル</t>
    <rPh sb="4" eb="6">
      <t>レンケイ</t>
    </rPh>
    <phoneticPr fontId="1"/>
  </si>
  <si>
    <t>新IRISDB</t>
    <rPh sb="0" eb="1">
      <t>シン</t>
    </rPh>
    <phoneticPr fontId="1"/>
  </si>
  <si>
    <t>→</t>
    <phoneticPr fontId="1"/>
  </si>
  <si>
    <t>↑</t>
    <phoneticPr fontId="1"/>
  </si>
  <si>
    <t>ここで、登録前に既にデータがあるかどうか確認し、</t>
    <rPh sb="4" eb="6">
      <t>トウロク</t>
    </rPh>
    <rPh sb="6" eb="7">
      <t>マエ</t>
    </rPh>
    <rPh sb="8" eb="9">
      <t>スデ</t>
    </rPh>
    <rPh sb="20" eb="22">
      <t>カクニン</t>
    </rPh>
    <phoneticPr fontId="1"/>
  </si>
  <si>
    <t>データが在れば、Update文で上書きする</t>
    <rPh sb="14" eb="15">
      <t>ブン</t>
    </rPh>
    <rPh sb="16" eb="18">
      <t>ウワガ</t>
    </rPh>
    <phoneticPr fontId="1"/>
  </si>
  <si>
    <t>エラー時</t>
    <rPh sb="3" eb="4">
      <t>ジ</t>
    </rPh>
    <phoneticPr fontId="1"/>
  </si>
  <si>
    <t>←下記の処理でロールバックされる為、結果的に取り込まれない</t>
    <rPh sb="1" eb="3">
      <t>カキ</t>
    </rPh>
    <rPh sb="4" eb="6">
      <t>ショリ</t>
    </rPh>
    <rPh sb="16" eb="17">
      <t>タメ</t>
    </rPh>
    <rPh sb="18" eb="20">
      <t>ケッカ</t>
    </rPh>
    <rPh sb="20" eb="21">
      <t>テキ</t>
    </rPh>
    <rPh sb="22" eb="23">
      <t>ト</t>
    </rPh>
    <rPh sb="24" eb="25">
      <t>コ</t>
    </rPh>
    <phoneticPr fontId="1"/>
  </si>
  <si>
    <t>既に同じキー項目があるため一意制約違反のため取り込まれずロールバックする</t>
    <rPh sb="0" eb="1">
      <t>スデ</t>
    </rPh>
    <rPh sb="2" eb="3">
      <t>オナ</t>
    </rPh>
    <rPh sb="6" eb="8">
      <t>コウモク</t>
    </rPh>
    <rPh sb="13" eb="15">
      <t>イチイ</t>
    </rPh>
    <rPh sb="15" eb="19">
      <t>セイヤクイハン</t>
    </rPh>
    <rPh sb="22" eb="23">
      <t>ト</t>
    </rPh>
    <rPh sb="24" eb="25">
      <t>コ</t>
    </rPh>
    <phoneticPr fontId="1"/>
  </si>
  <si>
    <t>B2</t>
    <phoneticPr fontId="1"/>
  </si>
  <si>
    <t>B2_SPR</t>
    <phoneticPr fontId="1"/>
  </si>
  <si>
    <t>上記のエラー発生時点で処理が止まるため取り込まれない</t>
    <rPh sb="0" eb="2">
      <t>ジョウキ</t>
    </rPh>
    <rPh sb="6" eb="8">
      <t>ハッセイ</t>
    </rPh>
    <rPh sb="8" eb="9">
      <t>ジ</t>
    </rPh>
    <rPh sb="9" eb="10">
      <t>テン</t>
    </rPh>
    <rPh sb="11" eb="13">
      <t>ショリ</t>
    </rPh>
    <rPh sb="14" eb="15">
      <t>ト</t>
    </rPh>
    <rPh sb="19" eb="20">
      <t>ト</t>
    </rPh>
    <rPh sb="21" eb="22">
      <t>コ</t>
    </rPh>
    <phoneticPr fontId="1"/>
  </si>
  <si>
    <t>1連携の１レコードごとに存在チェックをしているが</t>
    <rPh sb="1" eb="3">
      <t>レンケイ</t>
    </rPh>
    <rPh sb="12" eb="14">
      <t>ソンザイ</t>
    </rPh>
    <phoneticPr fontId="1"/>
  </si>
  <si>
    <t>この時点で、DB上にデータはないためすべてのレコードで</t>
    <rPh sb="2" eb="4">
      <t>ジテン</t>
    </rPh>
    <rPh sb="8" eb="9">
      <t>ジョウ</t>
    </rPh>
    <phoneticPr fontId="1"/>
  </si>
  <si>
    <t>既存不具合を修正するために、新IRISのキー項目をオフラスに合わせる修正を行います。</t>
    <rPh sb="0" eb="2">
      <t>キゾン</t>
    </rPh>
    <rPh sb="2" eb="5">
      <t>フグアイ</t>
    </rPh>
    <rPh sb="6" eb="8">
      <t>シュウセイ</t>
    </rPh>
    <rPh sb="14" eb="15">
      <t>シン</t>
    </rPh>
    <rPh sb="22" eb="24">
      <t>コウモク</t>
    </rPh>
    <rPh sb="30" eb="31">
      <t>ア</t>
    </rPh>
    <rPh sb="34" eb="36">
      <t>シュウセイ</t>
    </rPh>
    <rPh sb="37" eb="38">
      <t>オコナ</t>
    </rPh>
    <phoneticPr fontId="1"/>
  </si>
  <si>
    <t>インサート文を発行するため、同連携ファイル内で重複しているデータは</t>
    <rPh sb="5" eb="6">
      <t>ブン</t>
    </rPh>
    <rPh sb="7" eb="9">
      <t>ハッコウ</t>
    </rPh>
    <rPh sb="14" eb="15">
      <t>ドウ</t>
    </rPh>
    <rPh sb="15" eb="17">
      <t>レンケイ</t>
    </rPh>
    <rPh sb="21" eb="22">
      <t>ナイ</t>
    </rPh>
    <rPh sb="23" eb="25">
      <t>ジュウフク</t>
    </rPh>
    <phoneticPr fontId="1"/>
  </si>
  <si>
    <t>また、新IRISのキー項目の増加に伴い、取込用実行ファイルと、参照用エクセルツールの修正を行います。</t>
    <rPh sb="3" eb="4">
      <t>シン</t>
    </rPh>
    <rPh sb="11" eb="13">
      <t>コウモク</t>
    </rPh>
    <rPh sb="14" eb="16">
      <t>ゾウカ</t>
    </rPh>
    <rPh sb="17" eb="18">
      <t>トモナ</t>
    </rPh>
    <rPh sb="20" eb="22">
      <t>トリコミ</t>
    </rPh>
    <rPh sb="22" eb="23">
      <t>ヨウ</t>
    </rPh>
    <rPh sb="23" eb="25">
      <t>ジッコウ</t>
    </rPh>
    <rPh sb="31" eb="33">
      <t>サンショウ</t>
    </rPh>
    <rPh sb="33" eb="34">
      <t>ヨウ</t>
    </rPh>
    <rPh sb="42" eb="44">
      <t>シュウセイ</t>
    </rPh>
    <rPh sb="45" eb="46">
      <t>オコナ</t>
    </rPh>
    <phoneticPr fontId="1"/>
  </si>
  <si>
    <t>インサート文を上から一件ずつ取り込むタイミングで一意制約違反となり</t>
    <rPh sb="5" eb="6">
      <t>ブン</t>
    </rPh>
    <rPh sb="7" eb="8">
      <t>ウエ</t>
    </rPh>
    <rPh sb="10" eb="12">
      <t>イッケン</t>
    </rPh>
    <rPh sb="14" eb="15">
      <t>ト</t>
    </rPh>
    <rPh sb="16" eb="17">
      <t>コ</t>
    </rPh>
    <rPh sb="24" eb="28">
      <t>イチイセイヤク</t>
    </rPh>
    <rPh sb="28" eb="30">
      <t>イハン</t>
    </rPh>
    <phoneticPr fontId="1"/>
  </si>
  <si>
    <t>連携ファイルの全データでロールバックされる</t>
    <rPh sb="0" eb="2">
      <t>レンケイ</t>
    </rPh>
    <rPh sb="7" eb="8">
      <t>ゼン</t>
    </rPh>
    <phoneticPr fontId="1"/>
  </si>
  <si>
    <t>キー項目の変更</t>
    <rPh sb="2" eb="4">
      <t>コウモク</t>
    </rPh>
    <rPh sb="5" eb="7">
      <t>ヘンコウ</t>
    </rPh>
    <phoneticPr fontId="1"/>
  </si>
  <si>
    <t>現状</t>
    <rPh sb="0" eb="2">
      <t>ゲンジョウ</t>
    </rPh>
    <phoneticPr fontId="1"/>
  </si>
  <si>
    <t>更新後</t>
    <rPh sb="0" eb="3">
      <t>コウシンゴ</t>
    </rPh>
    <phoneticPr fontId="1"/>
  </si>
  <si>
    <t>上記の通り、周期と用途をキー項目として設定することで、新IRIS側でも下記のように取り込めるようにします。</t>
    <rPh sb="0" eb="2">
      <t>ジョウキ</t>
    </rPh>
    <rPh sb="3" eb="4">
      <t>トオ</t>
    </rPh>
    <rPh sb="6" eb="8">
      <t>シュウキ</t>
    </rPh>
    <rPh sb="9" eb="11">
      <t>ヨウト</t>
    </rPh>
    <rPh sb="14" eb="16">
      <t>コウモク</t>
    </rPh>
    <rPh sb="19" eb="21">
      <t>セッテイ</t>
    </rPh>
    <rPh sb="27" eb="28">
      <t>シン</t>
    </rPh>
    <rPh sb="32" eb="33">
      <t>ガワ</t>
    </rPh>
    <rPh sb="35" eb="37">
      <t>カキ</t>
    </rPh>
    <rPh sb="41" eb="42">
      <t>ト</t>
    </rPh>
    <rPh sb="43" eb="44">
      <t>コ</t>
    </rPh>
    <phoneticPr fontId="1"/>
  </si>
  <si>
    <t>欠損せず、正常に取り込める</t>
    <rPh sb="0" eb="2">
      <t>ケッソン</t>
    </rPh>
    <rPh sb="5" eb="7">
      <t>セイジョウ</t>
    </rPh>
    <rPh sb="8" eb="9">
      <t>ト</t>
    </rPh>
    <rPh sb="10" eb="11">
      <t>コ</t>
    </rPh>
    <phoneticPr fontId="1"/>
  </si>
  <si>
    <t>新IRISでは、工程試験結果を、装置略号、装置品名略号、試験項目、試料採取日の四項目で一意にしておりますが、</t>
    <rPh sb="0" eb="1">
      <t>シン</t>
    </rPh>
    <rPh sb="18" eb="20">
      <t>リャクゴウ</t>
    </rPh>
    <phoneticPr fontId="1"/>
  </si>
  <si>
    <t>オフラス・LAB-AIDEでは、工程試験結果を、装置略号、装置品名略号、試験項目、試料採取日の四項目に加え、周期、用途を追加した計６項目で一意にしております。</t>
    <rPh sb="16" eb="22">
      <t>コウテイシケンケッカ</t>
    </rPh>
    <rPh sb="24" eb="26">
      <t>ソウチ</t>
    </rPh>
    <rPh sb="26" eb="28">
      <t>リャクゴウ</t>
    </rPh>
    <rPh sb="29" eb="33">
      <t>ソウチヒンメイ</t>
    </rPh>
    <rPh sb="33" eb="35">
      <t>リャクゴウ</t>
    </rPh>
    <rPh sb="36" eb="38">
      <t>シケン</t>
    </rPh>
    <rPh sb="38" eb="40">
      <t>コウモク</t>
    </rPh>
    <rPh sb="41" eb="43">
      <t>シリョウ</t>
    </rPh>
    <rPh sb="43" eb="46">
      <t>サイシュビ</t>
    </rPh>
    <rPh sb="47" eb="50">
      <t>ヨンコウモク</t>
    </rPh>
    <rPh sb="51" eb="52">
      <t>クワ</t>
    </rPh>
    <rPh sb="54" eb="56">
      <t>シュウキ</t>
    </rPh>
    <rPh sb="57" eb="59">
      <t>ヨウト</t>
    </rPh>
    <rPh sb="60" eb="62">
      <t>ツイカ</t>
    </rPh>
    <rPh sb="64" eb="65">
      <t>ケイ</t>
    </rPh>
    <rPh sb="66" eb="68">
      <t>コウモク</t>
    </rPh>
    <rPh sb="69" eb="71">
      <t>イチイ</t>
    </rPh>
    <phoneticPr fontId="1"/>
  </si>
  <si>
    <t>そのため、オフラス側では別々に管理できていた工程試験結果が、新IRISでは、周期、用途が違っていても、装置略号、装置品名略号、試験項目、試料採取日が一致していると</t>
    <rPh sb="9" eb="10">
      <t>ガワ</t>
    </rPh>
    <rPh sb="12" eb="14">
      <t>ベツベツ</t>
    </rPh>
    <rPh sb="15" eb="17">
      <t>カンリ</t>
    </rPh>
    <rPh sb="22" eb="24">
      <t>コウテイ</t>
    </rPh>
    <rPh sb="24" eb="26">
      <t>シケン</t>
    </rPh>
    <rPh sb="26" eb="28">
      <t>ケッカ</t>
    </rPh>
    <rPh sb="30" eb="31">
      <t>シン</t>
    </rPh>
    <rPh sb="38" eb="40">
      <t>シュウキ</t>
    </rPh>
    <rPh sb="41" eb="43">
      <t>ヨウト</t>
    </rPh>
    <rPh sb="44" eb="45">
      <t>チガ</t>
    </rPh>
    <rPh sb="51" eb="53">
      <t>ソウチ</t>
    </rPh>
    <rPh sb="53" eb="55">
      <t>リャクゴウ</t>
    </rPh>
    <rPh sb="56" eb="58">
      <t>ソウチ</t>
    </rPh>
    <rPh sb="58" eb="62">
      <t>ヒンメイリャクゴウ</t>
    </rPh>
    <rPh sb="63" eb="65">
      <t>シケン</t>
    </rPh>
    <rPh sb="65" eb="67">
      <t>コウモク</t>
    </rPh>
    <rPh sb="68" eb="70">
      <t>シリョウ</t>
    </rPh>
    <rPh sb="70" eb="73">
      <t>サイシュビ</t>
    </rPh>
    <rPh sb="74" eb="76">
      <t>イッチ</t>
    </rPh>
    <phoneticPr fontId="1"/>
  </si>
  <si>
    <t>採取日</t>
    <rPh sb="0" eb="3">
      <t>サイシュビ</t>
    </rPh>
    <phoneticPr fontId="1"/>
  </si>
  <si>
    <t>データの連携フローとエラー事例</t>
    <rPh sb="4" eb="6">
      <t>レンケイ</t>
    </rPh>
    <rPh sb="13" eb="15">
      <t>ジレイ</t>
    </rPh>
    <phoneticPr fontId="1"/>
  </si>
  <si>
    <t>←下記の処理で一意制約違反が発生した為ロールバックされる為取り込まれない</t>
    <rPh sb="1" eb="3">
      <t>カキ</t>
    </rPh>
    <rPh sb="4" eb="6">
      <t>ショリ</t>
    </rPh>
    <rPh sb="7" eb="13">
      <t>イチイセイヤクイハン</t>
    </rPh>
    <rPh sb="14" eb="16">
      <t>ハッセイ</t>
    </rPh>
    <rPh sb="18" eb="19">
      <t>タメ</t>
    </rPh>
    <rPh sb="28" eb="29">
      <t>タメ</t>
    </rPh>
    <rPh sb="29" eb="30">
      <t>ト</t>
    </rPh>
    <rPh sb="31" eb="32">
      <t>コ</t>
    </rPh>
    <phoneticPr fontId="1"/>
  </si>
  <si>
    <t>既に同じキー項目があるため一意制約違反</t>
    <rPh sb="0" eb="1">
      <t>スデ</t>
    </rPh>
    <rPh sb="2" eb="3">
      <t>オナ</t>
    </rPh>
    <rPh sb="6" eb="8">
      <t>コウモク</t>
    </rPh>
    <rPh sb="13" eb="15">
      <t>イチイ</t>
    </rPh>
    <rPh sb="15" eb="19">
      <t>セイヤクイハン</t>
    </rPh>
    <phoneticPr fontId="1"/>
  </si>
  <si>
    <t>上記のエラー発生時にロールバックされているため取り込まれない</t>
    <rPh sb="0" eb="2">
      <t>ジョウキ</t>
    </rPh>
    <rPh sb="6" eb="8">
      <t>ハッセイ</t>
    </rPh>
    <rPh sb="8" eb="9">
      <t>ジ</t>
    </rPh>
    <rPh sb="23" eb="24">
      <t>ト</t>
    </rPh>
    <rPh sb="25" eb="26">
      <t>コ</t>
    </rPh>
    <phoneticPr fontId="1"/>
  </si>
  <si>
    <t>キーとして追加</t>
    <rPh sb="5" eb="7">
      <t>ツイカ</t>
    </rPh>
    <phoneticPr fontId="1"/>
  </si>
  <si>
    <t>新IRIS工程試験結果取込処理修正対応について</t>
    <rPh sb="0" eb="1">
      <t>シン</t>
    </rPh>
    <rPh sb="5" eb="7">
      <t>コウテイ</t>
    </rPh>
    <rPh sb="7" eb="11">
      <t>シケンケッカ</t>
    </rPh>
    <rPh sb="11" eb="13">
      <t>トリコミ</t>
    </rPh>
    <rPh sb="13" eb="15">
      <t>ショリ</t>
    </rPh>
    <rPh sb="15" eb="17">
      <t>シュウセイ</t>
    </rPh>
    <rPh sb="17" eb="19">
      <t>タイオウ</t>
    </rPh>
    <phoneticPr fontId="1"/>
  </si>
  <si>
    <t>北海道製油所で問い合わせのあった不具合について</t>
    <rPh sb="0" eb="3">
      <t>ホッカイドウ</t>
    </rPh>
    <rPh sb="3" eb="6">
      <t>セイユジョ</t>
    </rPh>
    <rPh sb="7" eb="8">
      <t>ト</t>
    </rPh>
    <rPh sb="9" eb="10">
      <t>ア</t>
    </rPh>
    <rPh sb="16" eb="19">
      <t>フグアイ</t>
    </rPh>
    <phoneticPr fontId="1"/>
  </si>
  <si>
    <t>北海道製油所で問い合わせのあった不具合については、既存不具合を前提とした不具合です。</t>
  </si>
  <si>
    <t>通常、別の連携として、連携されてくれば、キーが同じでも上書き処理します。この時、周期や、用途が違っていても取込は可能です。</t>
    <rPh sb="0" eb="2">
      <t>ツウジョウ</t>
    </rPh>
    <rPh sb="3" eb="4">
      <t>ベツ</t>
    </rPh>
    <rPh sb="5" eb="7">
      <t>レンケイ</t>
    </rPh>
    <rPh sb="11" eb="13">
      <t>レンケイ</t>
    </rPh>
    <rPh sb="23" eb="24">
      <t>オナ</t>
    </rPh>
    <rPh sb="27" eb="29">
      <t>ウワガ</t>
    </rPh>
    <rPh sb="30" eb="32">
      <t>ショリ</t>
    </rPh>
    <rPh sb="38" eb="39">
      <t>トキ</t>
    </rPh>
    <rPh sb="40" eb="42">
      <t>シュウキ</t>
    </rPh>
    <rPh sb="44" eb="46">
      <t>ヨウト</t>
    </rPh>
    <rPh sb="47" eb="48">
      <t>チガ</t>
    </rPh>
    <rPh sb="53" eb="55">
      <t>トリコミ</t>
    </rPh>
    <rPh sb="56" eb="58">
      <t>カノウ</t>
    </rPh>
    <phoneticPr fontId="1"/>
  </si>
  <si>
    <t>今回は、新IRIS側のキー項目(装置略号、装置品名略号、試験項目、採取日)で値が同じデータが、同じ連携ファイルで連携された場合に、</t>
    <rPh sb="0" eb="2">
      <t>コンカイ</t>
    </rPh>
    <rPh sb="4" eb="5">
      <t>シン</t>
    </rPh>
    <rPh sb="9" eb="10">
      <t>ガワ</t>
    </rPh>
    <rPh sb="13" eb="15">
      <t>コウモク</t>
    </rPh>
    <rPh sb="16" eb="18">
      <t>ソウチ</t>
    </rPh>
    <rPh sb="18" eb="20">
      <t>リャクゴウ</t>
    </rPh>
    <rPh sb="21" eb="27">
      <t>ソウチヒンメイリャクゴウ</t>
    </rPh>
    <rPh sb="28" eb="32">
      <t>シケンコウモク</t>
    </rPh>
    <rPh sb="33" eb="36">
      <t>サイシュビ</t>
    </rPh>
    <rPh sb="38" eb="39">
      <t>アタイ</t>
    </rPh>
    <rPh sb="40" eb="41">
      <t>オナ</t>
    </rPh>
    <rPh sb="47" eb="48">
      <t>オナ</t>
    </rPh>
    <rPh sb="49" eb="51">
      <t>レンケイ</t>
    </rPh>
    <rPh sb="56" eb="58">
      <t>レンケイ</t>
    </rPh>
    <rPh sb="61" eb="63">
      <t>バアイ</t>
    </rPh>
    <phoneticPr fontId="1"/>
  </si>
  <si>
    <t>一意制約違反でエラーとなり、処理がロールバックされてしまうため、その連携のデータすべてが取り込まれない事象となります。</t>
    <rPh sb="0" eb="2">
      <t>イチイ</t>
    </rPh>
    <rPh sb="2" eb="4">
      <t>セイヤク</t>
    </rPh>
    <rPh sb="4" eb="6">
      <t>イハン</t>
    </rPh>
    <rPh sb="14" eb="16">
      <t>ショリ</t>
    </rPh>
    <rPh sb="34" eb="36">
      <t>レンケイ</t>
    </rPh>
    <rPh sb="44" eb="45">
      <t>ト</t>
    </rPh>
    <rPh sb="46" eb="47">
      <t>コ</t>
    </rPh>
    <rPh sb="51" eb="53">
      <t>ジショウ</t>
    </rPh>
    <phoneticPr fontId="1"/>
  </si>
  <si>
    <t>対応方針</t>
    <rPh sb="0" eb="4">
      <t>タイオウホウシン</t>
    </rPh>
    <phoneticPr fontId="1"/>
  </si>
  <si>
    <t>取込処理時に一意制約違反が発生した場合、エラーを無視して次の取り込み処理を実施するように修正します。</t>
    <rPh sb="0" eb="5">
      <t>トリコミショリジ</t>
    </rPh>
    <rPh sb="6" eb="12">
      <t>イチイセイヤクイハン</t>
    </rPh>
    <rPh sb="13" eb="15">
      <t>ハッセイ</t>
    </rPh>
    <rPh sb="17" eb="19">
      <t>バアイ</t>
    </rPh>
    <rPh sb="24" eb="26">
      <t>ムシ</t>
    </rPh>
    <rPh sb="28" eb="29">
      <t>ツギ</t>
    </rPh>
    <rPh sb="30" eb="31">
      <t>ト</t>
    </rPh>
    <rPh sb="32" eb="33">
      <t>コ</t>
    </rPh>
    <rPh sb="34" eb="36">
      <t>ショリ</t>
    </rPh>
    <rPh sb="37" eb="39">
      <t>ジッシ</t>
    </rPh>
    <rPh sb="44" eb="46">
      <t>シュウセイ</t>
    </rPh>
    <phoneticPr fontId="1"/>
  </si>
  <si>
    <t>既に同じキー項目があるため一意制約違反のためスキップ</t>
    <rPh sb="0" eb="1">
      <t>スデ</t>
    </rPh>
    <rPh sb="2" eb="3">
      <t>オナ</t>
    </rPh>
    <rPh sb="6" eb="8">
      <t>コウモク</t>
    </rPh>
    <rPh sb="13" eb="15">
      <t>イチイ</t>
    </rPh>
    <rPh sb="15" eb="19">
      <t>セイヤクイハン</t>
    </rPh>
    <phoneticPr fontId="1"/>
  </si>
  <si>
    <t>重複したデータは取り込まれませんが、その他のデータは、取り込まれますが、重複したデータは取り込まれません。</t>
    <rPh sb="0" eb="2">
      <t>ジュウフク</t>
    </rPh>
    <rPh sb="8" eb="9">
      <t>ト</t>
    </rPh>
    <rPh sb="10" eb="11">
      <t>コ</t>
    </rPh>
    <rPh sb="20" eb="21">
      <t>ホカ</t>
    </rPh>
    <rPh sb="27" eb="28">
      <t>ト</t>
    </rPh>
    <rPh sb="29" eb="30">
      <t>コ</t>
    </rPh>
    <rPh sb="36" eb="38">
      <t>ジュウフク</t>
    </rPh>
    <rPh sb="44" eb="45">
      <t>ト</t>
    </rPh>
    <rPh sb="46" eb="47">
      <t>コ</t>
    </rPh>
    <phoneticPr fontId="1"/>
  </si>
  <si>
    <t>この場合、先勝ちとなるため、キー項目が同じデータで、SPが先に上に書かれていれば、SPが登録され、W1が上に書かれていれば、W1が登録されるようになります。</t>
    <rPh sb="2" eb="4">
      <t>バアイ</t>
    </rPh>
    <rPh sb="5" eb="7">
      <t>サキガ</t>
    </rPh>
    <rPh sb="16" eb="18">
      <t>コウモク</t>
    </rPh>
    <rPh sb="19" eb="20">
      <t>オナ</t>
    </rPh>
    <rPh sb="29" eb="30">
      <t>サキ</t>
    </rPh>
    <rPh sb="31" eb="32">
      <t>ウエ</t>
    </rPh>
    <rPh sb="33" eb="34">
      <t>カ</t>
    </rPh>
    <rPh sb="44" eb="46">
      <t>トウロク</t>
    </rPh>
    <rPh sb="52" eb="53">
      <t>ウエ</t>
    </rPh>
    <rPh sb="54" eb="55">
      <t>カ</t>
    </rPh>
    <rPh sb="65" eb="67">
      <t>トウロク</t>
    </rPh>
    <phoneticPr fontId="1"/>
  </si>
  <si>
    <t>懸念事項</t>
    <rPh sb="0" eb="4">
      <t>ケネンジコウ</t>
    </rPh>
    <phoneticPr fontId="1"/>
  </si>
  <si>
    <t>A1:A1_REG:SG:SP:TESのデータを時系列で確認すると、不規則にデータが抜け落ちることになります。このデータについて、リカバリが必要になった際、</t>
    <rPh sb="24" eb="27">
      <t>ジケイレツ</t>
    </rPh>
    <rPh sb="28" eb="30">
      <t>カクニン</t>
    </rPh>
    <rPh sb="34" eb="37">
      <t>フキソク</t>
    </rPh>
    <rPh sb="42" eb="43">
      <t>ヌ</t>
    </rPh>
    <rPh sb="44" eb="45">
      <t>オ</t>
    </rPh>
    <rPh sb="70" eb="72">
      <t>ヒツヨウ</t>
    </rPh>
    <rPh sb="76" eb="77">
      <t>サイ</t>
    </rPh>
    <phoneticPr fontId="1"/>
  </si>
  <si>
    <t>一件ずつ取り込み状況を確認しながら対象を抽出するか、リカバリが必要な期間中の連携をすべて連携し直すか、いずれにしてもリカバリにそれなりの工数と時間がかかることが予想されます。</t>
    <rPh sb="17" eb="19">
      <t>タイショウ</t>
    </rPh>
    <rPh sb="20" eb="22">
      <t>チュウシュツ</t>
    </rPh>
    <rPh sb="31" eb="33">
      <t>ヒツヨウ</t>
    </rPh>
    <rPh sb="34" eb="36">
      <t>キカン</t>
    </rPh>
    <rPh sb="36" eb="37">
      <t>チュウ</t>
    </rPh>
    <rPh sb="38" eb="40">
      <t>レンケイ</t>
    </rPh>
    <rPh sb="44" eb="46">
      <t>レンケイ</t>
    </rPh>
    <rPh sb="47" eb="48">
      <t>ナオ</t>
    </rPh>
    <rPh sb="68" eb="70">
      <t>コウスウ</t>
    </rPh>
    <rPh sb="71" eb="73">
      <t>ジカン</t>
    </rPh>
    <rPh sb="80" eb="82">
      <t>ヨソウ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</si>
</sst>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_-[$¥-411]* #,##0_-;\-[$¥-411]* #,##0_-;_-[$¥-411]* &quot;-&quot;??_-;_-@_-"/>
    <numFmt numFmtId="177" formatCode="0.0_);[Red]\(0.0\)"/>
    <numFmt numFmtId="178" formatCode="0.00_);[Red]\(0.00\)"/>
    <numFmt numFmtId="179" formatCode="_-[$¥-411]* #,##0_-;\-[$¥-411]* #,##0_-;_-[$¥-411]* &quot;-&quot;?_-;_-@_-"/>
  </numFmts>
  <fonts count="5">
    <font>
      <sz val="11"/>
      <color theme="1"/>
      <name val="游ゴシック"/>
      <family val="2"/>
      <scheme val="minor"/>
    </font>
    <font>
      <sz val="6"/>
      <name val="游ゴシック"/>
      <family val="3"/>
      <charset val="128"/>
      <scheme val="minor"/>
    </font>
    <font>
      <sz val="11"/>
      <name val="游ゴシック"/>
      <family val="2"/>
      <scheme val="minor"/>
    </font>
    <font>
      <sz val="11"/>
      <name val="游ゴシック"/>
      <family val="3"/>
      <charset val="128"/>
      <scheme val="minor"/>
    </font>
    <font>
      <u/>
      <sz val="11"/>
      <color theme="10"/>
      <name val="游ゴシック"/>
      <family val="2"/>
      <scheme val="minor"/>
    </font>
  </fonts>
  <fills count="7">
    <fill>
      <patternFill patternType="none"/>
    </fill>
    <fill>
      <patternFill patternType="gray125"/>
    </fill>
    <fill>
      <patternFill patternType="solid">
        <fgColor theme="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46">
    <xf numFmtId="0" fontId="0" fillId="0" borderId="0" xfId="0"/>
    <xf numFmtId="14" fontId="0" fillId="0" borderId="1" xfId="0" applyNumberFormat="1" applyBorder="1"/>
    <xf numFmtId="0" fontId="0" fillId="0" borderId="1" xfId="0" applyBorder="1"/>
    <xf numFmtId="0" fontId="0" fillId="5" borderId="1" xfId="0" applyFill="1" applyBorder="1"/>
    <xf numFmtId="0" fontId="0" fillId="3" borderId="1" xfId="0" applyFill="1" applyBorder="1"/>
    <xf numFmtId="0" fontId="0" fillId="4" borderId="1" xfId="0" applyFill="1" applyBorder="1"/>
    <xf numFmtId="0" fontId="0" fillId="2" borderId="1" xfId="0" applyFill="1" applyBorder="1"/>
    <xf numFmtId="0" fontId="2" fillId="5" borderId="1" xfId="0" applyFont="1" applyFill="1" applyBorder="1"/>
    <xf numFmtId="0" fontId="3" fillId="5" borderId="1" xfId="0" applyFont="1" applyFill="1" applyBorder="1"/>
    <xf numFmtId="56" fontId="0" fillId="0" borderId="0" xfId="0" applyNumberFormat="1"/>
    <xf numFmtId="0" fontId="0" fillId="0" borderId="2" xfId="0" applyBorder="1"/>
    <xf numFmtId="0" fontId="0" fillId="0" borderId="2" xfId="0" applyBorder="1" applyAlignment="1">
      <alignment horizontal="center"/>
    </xf>
    <xf numFmtId="0" fontId="0" fillId="0" borderId="3" xfId="0" applyBorder="1"/>
    <xf numFmtId="14" fontId="0" fillId="0" borderId="3" xfId="0" applyNumberFormat="1" applyBorder="1"/>
    <xf numFmtId="20" fontId="0" fillId="0" borderId="0" xfId="0" applyNumberFormat="1"/>
    <xf numFmtId="0" fontId="0" fillId="2" borderId="4" xfId="0" applyFill="1" applyBorder="1"/>
    <xf numFmtId="0" fontId="0" fillId="4" borderId="5" xfId="0" applyFill="1" applyBorder="1"/>
    <xf numFmtId="0" fontId="0" fillId="6" borderId="6" xfId="0" applyFill="1" applyBorder="1"/>
    <xf numFmtId="0" fontId="0" fillId="6" borderId="7" xfId="0" applyFill="1" applyBorder="1"/>
    <xf numFmtId="14" fontId="0" fillId="0" borderId="0" xfId="0" applyNumberFormat="1"/>
    <xf numFmtId="0" fontId="0" fillId="0" borderId="0" xfId="0" applyAlignment="1">
      <alignment horizontal="right"/>
    </xf>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9" fontId="0" fillId="0" borderId="0" xfId="0" applyNumberFormat="1"/>
    <xf numFmtId="0" fontId="0" fillId="0" borderId="15" xfId="0" applyBorder="1"/>
    <xf numFmtId="0" fontId="0" fillId="0" borderId="16" xfId="0" applyBorder="1"/>
    <xf numFmtId="0" fontId="0" fillId="6" borderId="0" xfId="0" applyFill="1"/>
    <xf numFmtId="9" fontId="0" fillId="0" borderId="3" xfId="0" applyNumberFormat="1" applyBorder="1"/>
    <xf numFmtId="0" fontId="2" fillId="6" borderId="9" xfId="0" applyFont="1" applyFill="1" applyBorder="1"/>
    <xf numFmtId="0" fontId="2" fillId="0" borderId="0" xfId="0" applyFont="1"/>
    <xf numFmtId="0" fontId="2" fillId="6" borderId="13" xfId="0" applyFont="1" applyFill="1" applyBorder="1"/>
    <xf numFmtId="0" fontId="4" fillId="0" borderId="0" xfId="1"/>
    <xf numFmtId="0" fontId="2" fillId="0" borderId="9" xfId="0" applyFont="1" applyBorder="1"/>
    <xf numFmtId="0" fontId="2" fillId="0" borderId="13" xfId="0" applyFont="1" applyBorder="1"/>
    <xf numFmtId="0" fontId="0" fillId="0" borderId="4" xfId="0" applyBorder="1"/>
    <xf numFmtId="0" fontId="0" fillId="0" borderId="5" xfId="0" applyBorder="1"/>
    <xf numFmtId="176" fontId="0" fillId="0" borderId="0" xfId="0" applyNumberFormat="1"/>
    <xf numFmtId="177" fontId="0" fillId="0" borderId="0" xfId="0" applyNumberFormat="1"/>
    <xf numFmtId="178" fontId="0" fillId="0" borderId="0" xfId="0" applyNumberFormat="1"/>
    <xf numFmtId="179" fontId="0" fillId="0" borderId="0" xfId="0" applyNumberFormat="1"/>
    <xf numFmtId="0" fontId="0" fillId="0" borderId="0" xfId="0" applyAlignment="1">
      <alignment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4</xdr:col>
      <xdr:colOff>19050</xdr:colOff>
      <xdr:row>17</xdr:row>
      <xdr:rowOff>28575</xdr:rowOff>
    </xdr:from>
    <xdr:to>
      <xdr:col>5</xdr:col>
      <xdr:colOff>0</xdr:colOff>
      <xdr:row>17</xdr:row>
      <xdr:rowOff>209550</xdr:rowOff>
    </xdr:to>
    <xdr:sp macro="" textlink="">
      <xdr:nvSpPr>
        <xdr:cNvPr id="2" name="ホームベース 1">
          <a:extLst>
            <a:ext uri="{FF2B5EF4-FFF2-40B4-BE49-F238E27FC236}">
              <a16:creationId xmlns:a16="http://schemas.microsoft.com/office/drawing/2014/main" id="{00000000-0008-0000-0300-000002000000}"/>
            </a:ext>
          </a:extLst>
        </xdr:cNvPr>
        <xdr:cNvSpPr/>
      </xdr:nvSpPr>
      <xdr:spPr>
        <a:xfrm>
          <a:off x="4133850" y="2647950"/>
          <a:ext cx="666750" cy="18097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19050</xdr:colOff>
      <xdr:row>18</xdr:row>
      <xdr:rowOff>28576</xdr:rowOff>
    </xdr:from>
    <xdr:to>
      <xdr:col>5</xdr:col>
      <xdr:colOff>333375</xdr:colOff>
      <xdr:row>18</xdr:row>
      <xdr:rowOff>209550</xdr:rowOff>
    </xdr:to>
    <xdr:sp macro="" textlink="">
      <xdr:nvSpPr>
        <xdr:cNvPr id="3" name="ホームベース 2">
          <a:extLst>
            <a:ext uri="{FF2B5EF4-FFF2-40B4-BE49-F238E27FC236}">
              <a16:creationId xmlns:a16="http://schemas.microsoft.com/office/drawing/2014/main" id="{00000000-0008-0000-0300-000003000000}"/>
            </a:ext>
          </a:extLst>
        </xdr:cNvPr>
        <xdr:cNvSpPr/>
      </xdr:nvSpPr>
      <xdr:spPr>
        <a:xfrm>
          <a:off x="4819650" y="2886076"/>
          <a:ext cx="314325" cy="180974"/>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314325</xdr:colOff>
      <xdr:row>21</xdr:row>
      <xdr:rowOff>19051</xdr:rowOff>
    </xdr:from>
    <xdr:to>
      <xdr:col>6</xdr:col>
      <xdr:colOff>657224</xdr:colOff>
      <xdr:row>21</xdr:row>
      <xdr:rowOff>200025</xdr:rowOff>
    </xdr:to>
    <xdr:sp macro="" textlink="">
      <xdr:nvSpPr>
        <xdr:cNvPr id="7" name="ホームベース 6">
          <a:extLst>
            <a:ext uri="{FF2B5EF4-FFF2-40B4-BE49-F238E27FC236}">
              <a16:creationId xmlns:a16="http://schemas.microsoft.com/office/drawing/2014/main" id="{00000000-0008-0000-0300-000007000000}"/>
            </a:ext>
          </a:extLst>
        </xdr:cNvPr>
        <xdr:cNvSpPr/>
      </xdr:nvSpPr>
      <xdr:spPr>
        <a:xfrm>
          <a:off x="5800725" y="3590926"/>
          <a:ext cx="342899" cy="180974"/>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371475</xdr:colOff>
      <xdr:row>19</xdr:row>
      <xdr:rowOff>38099</xdr:rowOff>
    </xdr:from>
    <xdr:to>
      <xdr:col>5</xdr:col>
      <xdr:colOff>666750</xdr:colOff>
      <xdr:row>19</xdr:row>
      <xdr:rowOff>200024</xdr:rowOff>
    </xdr:to>
    <xdr:sp macro="" textlink="">
      <xdr:nvSpPr>
        <xdr:cNvPr id="12" name="ホームベース 11">
          <a:extLst>
            <a:ext uri="{FF2B5EF4-FFF2-40B4-BE49-F238E27FC236}">
              <a16:creationId xmlns:a16="http://schemas.microsoft.com/office/drawing/2014/main" id="{00000000-0008-0000-0300-00000C000000}"/>
            </a:ext>
          </a:extLst>
        </xdr:cNvPr>
        <xdr:cNvSpPr/>
      </xdr:nvSpPr>
      <xdr:spPr>
        <a:xfrm>
          <a:off x="5172075" y="3133724"/>
          <a:ext cx="295275" cy="16192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28575</xdr:colOff>
      <xdr:row>20</xdr:row>
      <xdr:rowOff>47625</xdr:rowOff>
    </xdr:from>
    <xdr:to>
      <xdr:col>6</xdr:col>
      <xdr:colOff>266701</xdr:colOff>
      <xdr:row>20</xdr:row>
      <xdr:rowOff>200025</xdr:rowOff>
    </xdr:to>
    <xdr:sp macro="" textlink="">
      <xdr:nvSpPr>
        <xdr:cNvPr id="13" name="ホームベース 12">
          <a:extLst>
            <a:ext uri="{FF2B5EF4-FFF2-40B4-BE49-F238E27FC236}">
              <a16:creationId xmlns:a16="http://schemas.microsoft.com/office/drawing/2014/main" id="{00000000-0008-0000-0300-00000D000000}"/>
            </a:ext>
          </a:extLst>
        </xdr:cNvPr>
        <xdr:cNvSpPr/>
      </xdr:nvSpPr>
      <xdr:spPr>
        <a:xfrm>
          <a:off x="5514975" y="3381375"/>
          <a:ext cx="238126" cy="1524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238125</xdr:colOff>
      <xdr:row>23</xdr:row>
      <xdr:rowOff>47625</xdr:rowOff>
    </xdr:from>
    <xdr:to>
      <xdr:col>7</xdr:col>
      <xdr:colOff>447675</xdr:colOff>
      <xdr:row>23</xdr:row>
      <xdr:rowOff>190500</xdr:rowOff>
    </xdr:to>
    <xdr:sp macro="" textlink="">
      <xdr:nvSpPr>
        <xdr:cNvPr id="15" name="ホームベース 14">
          <a:extLst>
            <a:ext uri="{FF2B5EF4-FFF2-40B4-BE49-F238E27FC236}">
              <a16:creationId xmlns:a16="http://schemas.microsoft.com/office/drawing/2014/main" id="{00000000-0008-0000-0300-00000F000000}"/>
            </a:ext>
          </a:extLst>
        </xdr:cNvPr>
        <xdr:cNvSpPr/>
      </xdr:nvSpPr>
      <xdr:spPr>
        <a:xfrm>
          <a:off x="6410325" y="4095750"/>
          <a:ext cx="209550" cy="14287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285750</xdr:colOff>
      <xdr:row>28</xdr:row>
      <xdr:rowOff>57150</xdr:rowOff>
    </xdr:from>
    <xdr:to>
      <xdr:col>8</xdr:col>
      <xdr:colOff>495300</xdr:colOff>
      <xdr:row>28</xdr:row>
      <xdr:rowOff>200025</xdr:rowOff>
    </xdr:to>
    <xdr:sp macro="" textlink="">
      <xdr:nvSpPr>
        <xdr:cNvPr id="16" name="ホームベース 15">
          <a:extLst>
            <a:ext uri="{FF2B5EF4-FFF2-40B4-BE49-F238E27FC236}">
              <a16:creationId xmlns:a16="http://schemas.microsoft.com/office/drawing/2014/main" id="{00000000-0008-0000-0300-000010000000}"/>
            </a:ext>
          </a:extLst>
        </xdr:cNvPr>
        <xdr:cNvSpPr/>
      </xdr:nvSpPr>
      <xdr:spPr>
        <a:xfrm>
          <a:off x="7143750" y="5295900"/>
          <a:ext cx="209550" cy="14287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228600</xdr:colOff>
      <xdr:row>33</xdr:row>
      <xdr:rowOff>57150</xdr:rowOff>
    </xdr:from>
    <xdr:to>
      <xdr:col>9</xdr:col>
      <xdr:colOff>438150</xdr:colOff>
      <xdr:row>33</xdr:row>
      <xdr:rowOff>200025</xdr:rowOff>
    </xdr:to>
    <xdr:sp macro="" textlink="">
      <xdr:nvSpPr>
        <xdr:cNvPr id="17" name="ホームベース 16">
          <a:extLst>
            <a:ext uri="{FF2B5EF4-FFF2-40B4-BE49-F238E27FC236}">
              <a16:creationId xmlns:a16="http://schemas.microsoft.com/office/drawing/2014/main" id="{00000000-0008-0000-0300-000011000000}"/>
            </a:ext>
          </a:extLst>
        </xdr:cNvPr>
        <xdr:cNvSpPr/>
      </xdr:nvSpPr>
      <xdr:spPr>
        <a:xfrm>
          <a:off x="7772400" y="6486525"/>
          <a:ext cx="209550" cy="14287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285750</xdr:colOff>
      <xdr:row>38</xdr:row>
      <xdr:rowOff>66675</xdr:rowOff>
    </xdr:from>
    <xdr:to>
      <xdr:col>10</xdr:col>
      <xdr:colOff>495300</xdr:colOff>
      <xdr:row>38</xdr:row>
      <xdr:rowOff>209550</xdr:rowOff>
    </xdr:to>
    <xdr:sp macro="" textlink="">
      <xdr:nvSpPr>
        <xdr:cNvPr id="18" name="ホームベース 17">
          <a:extLst>
            <a:ext uri="{FF2B5EF4-FFF2-40B4-BE49-F238E27FC236}">
              <a16:creationId xmlns:a16="http://schemas.microsoft.com/office/drawing/2014/main" id="{00000000-0008-0000-0300-000012000000}"/>
            </a:ext>
          </a:extLst>
        </xdr:cNvPr>
        <xdr:cNvSpPr/>
      </xdr:nvSpPr>
      <xdr:spPr>
        <a:xfrm>
          <a:off x="8515350" y="7686675"/>
          <a:ext cx="209550" cy="14287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285750</xdr:colOff>
      <xdr:row>43</xdr:row>
      <xdr:rowOff>47625</xdr:rowOff>
    </xdr:from>
    <xdr:to>
      <xdr:col>12</xdr:col>
      <xdr:colOff>495300</xdr:colOff>
      <xdr:row>43</xdr:row>
      <xdr:rowOff>190500</xdr:rowOff>
    </xdr:to>
    <xdr:sp macro="" textlink="">
      <xdr:nvSpPr>
        <xdr:cNvPr id="19" name="ホームベース 18">
          <a:extLst>
            <a:ext uri="{FF2B5EF4-FFF2-40B4-BE49-F238E27FC236}">
              <a16:creationId xmlns:a16="http://schemas.microsoft.com/office/drawing/2014/main" id="{00000000-0008-0000-0300-000013000000}"/>
            </a:ext>
          </a:extLst>
        </xdr:cNvPr>
        <xdr:cNvSpPr/>
      </xdr:nvSpPr>
      <xdr:spPr>
        <a:xfrm>
          <a:off x="9886950" y="8858250"/>
          <a:ext cx="209550" cy="14287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380999</xdr:colOff>
      <xdr:row>29</xdr:row>
      <xdr:rowOff>47625</xdr:rowOff>
    </xdr:from>
    <xdr:to>
      <xdr:col>7</xdr:col>
      <xdr:colOff>314324</xdr:colOff>
      <xdr:row>29</xdr:row>
      <xdr:rowOff>200025</xdr:rowOff>
    </xdr:to>
    <xdr:sp macro="" textlink="">
      <xdr:nvSpPr>
        <xdr:cNvPr id="20" name="ホームベース 19">
          <a:extLst>
            <a:ext uri="{FF2B5EF4-FFF2-40B4-BE49-F238E27FC236}">
              <a16:creationId xmlns:a16="http://schemas.microsoft.com/office/drawing/2014/main" id="{00000000-0008-0000-0300-000014000000}"/>
            </a:ext>
          </a:extLst>
        </xdr:cNvPr>
        <xdr:cNvSpPr/>
      </xdr:nvSpPr>
      <xdr:spPr>
        <a:xfrm>
          <a:off x="5181599" y="5524500"/>
          <a:ext cx="1304925" cy="1524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19050</xdr:colOff>
      <xdr:row>24</xdr:row>
      <xdr:rowOff>28575</xdr:rowOff>
    </xdr:from>
    <xdr:to>
      <xdr:col>6</xdr:col>
      <xdr:colOff>276225</xdr:colOff>
      <xdr:row>24</xdr:row>
      <xdr:rowOff>200025</xdr:rowOff>
    </xdr:to>
    <xdr:sp macro="" textlink="">
      <xdr:nvSpPr>
        <xdr:cNvPr id="21" name="ホームベース 20">
          <a:extLst>
            <a:ext uri="{FF2B5EF4-FFF2-40B4-BE49-F238E27FC236}">
              <a16:creationId xmlns:a16="http://schemas.microsoft.com/office/drawing/2014/main" id="{00000000-0008-0000-0300-000015000000}"/>
            </a:ext>
          </a:extLst>
        </xdr:cNvPr>
        <xdr:cNvSpPr/>
      </xdr:nvSpPr>
      <xdr:spPr>
        <a:xfrm>
          <a:off x="5505450" y="4314825"/>
          <a:ext cx="257175" cy="17145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466724</xdr:colOff>
      <xdr:row>34</xdr:row>
      <xdr:rowOff>38100</xdr:rowOff>
    </xdr:from>
    <xdr:to>
      <xdr:col>8</xdr:col>
      <xdr:colOff>161925</xdr:colOff>
      <xdr:row>34</xdr:row>
      <xdr:rowOff>200025</xdr:rowOff>
    </xdr:to>
    <xdr:sp macro="" textlink="">
      <xdr:nvSpPr>
        <xdr:cNvPr id="22" name="ホームベース 21">
          <a:extLst>
            <a:ext uri="{FF2B5EF4-FFF2-40B4-BE49-F238E27FC236}">
              <a16:creationId xmlns:a16="http://schemas.microsoft.com/office/drawing/2014/main" id="{00000000-0008-0000-0300-000016000000}"/>
            </a:ext>
          </a:extLst>
        </xdr:cNvPr>
        <xdr:cNvSpPr/>
      </xdr:nvSpPr>
      <xdr:spPr>
        <a:xfrm>
          <a:off x="6638924" y="6705600"/>
          <a:ext cx="381001" cy="16192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485775</xdr:colOff>
      <xdr:row>39</xdr:row>
      <xdr:rowOff>28575</xdr:rowOff>
    </xdr:from>
    <xdr:to>
      <xdr:col>10</xdr:col>
      <xdr:colOff>104775</xdr:colOff>
      <xdr:row>39</xdr:row>
      <xdr:rowOff>190500</xdr:rowOff>
    </xdr:to>
    <xdr:sp macro="" textlink="">
      <xdr:nvSpPr>
        <xdr:cNvPr id="23" name="ホームベース 22">
          <a:extLst>
            <a:ext uri="{FF2B5EF4-FFF2-40B4-BE49-F238E27FC236}">
              <a16:creationId xmlns:a16="http://schemas.microsoft.com/office/drawing/2014/main" id="{00000000-0008-0000-0300-000017000000}"/>
            </a:ext>
          </a:extLst>
        </xdr:cNvPr>
        <xdr:cNvSpPr/>
      </xdr:nvSpPr>
      <xdr:spPr>
        <a:xfrm>
          <a:off x="6657975" y="7886700"/>
          <a:ext cx="1676400" cy="16192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285750</xdr:colOff>
      <xdr:row>25</xdr:row>
      <xdr:rowOff>38100</xdr:rowOff>
    </xdr:from>
    <xdr:to>
      <xdr:col>6</xdr:col>
      <xdr:colOff>533400</xdr:colOff>
      <xdr:row>25</xdr:row>
      <xdr:rowOff>190499</xdr:rowOff>
    </xdr:to>
    <xdr:sp macro="" textlink="">
      <xdr:nvSpPr>
        <xdr:cNvPr id="25" name="ホームベース 24">
          <a:extLst>
            <a:ext uri="{FF2B5EF4-FFF2-40B4-BE49-F238E27FC236}">
              <a16:creationId xmlns:a16="http://schemas.microsoft.com/office/drawing/2014/main" id="{00000000-0008-0000-0300-000019000000}"/>
            </a:ext>
          </a:extLst>
        </xdr:cNvPr>
        <xdr:cNvSpPr/>
      </xdr:nvSpPr>
      <xdr:spPr>
        <a:xfrm>
          <a:off x="5772150" y="4562475"/>
          <a:ext cx="247650" cy="152399"/>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333375</xdr:colOff>
      <xdr:row>30</xdr:row>
      <xdr:rowOff>57151</xdr:rowOff>
    </xdr:from>
    <xdr:to>
      <xdr:col>7</xdr:col>
      <xdr:colOff>590550</xdr:colOff>
      <xdr:row>30</xdr:row>
      <xdr:rowOff>180975</xdr:rowOff>
    </xdr:to>
    <xdr:sp macro="" textlink="">
      <xdr:nvSpPr>
        <xdr:cNvPr id="26" name="ホームベース 25">
          <a:extLst>
            <a:ext uri="{FF2B5EF4-FFF2-40B4-BE49-F238E27FC236}">
              <a16:creationId xmlns:a16="http://schemas.microsoft.com/office/drawing/2014/main" id="{00000000-0008-0000-0300-00001A000000}"/>
            </a:ext>
          </a:extLst>
        </xdr:cNvPr>
        <xdr:cNvSpPr/>
      </xdr:nvSpPr>
      <xdr:spPr>
        <a:xfrm>
          <a:off x="6505575" y="5772151"/>
          <a:ext cx="257175" cy="123824"/>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152400</xdr:colOff>
      <xdr:row>35</xdr:row>
      <xdr:rowOff>28575</xdr:rowOff>
    </xdr:from>
    <xdr:to>
      <xdr:col>8</xdr:col>
      <xdr:colOff>400050</xdr:colOff>
      <xdr:row>35</xdr:row>
      <xdr:rowOff>200024</xdr:rowOff>
    </xdr:to>
    <xdr:sp macro="" textlink="">
      <xdr:nvSpPr>
        <xdr:cNvPr id="27" name="ホームベース 26">
          <a:extLst>
            <a:ext uri="{FF2B5EF4-FFF2-40B4-BE49-F238E27FC236}">
              <a16:creationId xmlns:a16="http://schemas.microsoft.com/office/drawing/2014/main" id="{00000000-0008-0000-0300-00001B000000}"/>
            </a:ext>
          </a:extLst>
        </xdr:cNvPr>
        <xdr:cNvSpPr/>
      </xdr:nvSpPr>
      <xdr:spPr>
        <a:xfrm>
          <a:off x="7010400" y="6934200"/>
          <a:ext cx="247650" cy="171449"/>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171450</xdr:colOff>
      <xdr:row>40</xdr:row>
      <xdr:rowOff>38101</xdr:rowOff>
    </xdr:from>
    <xdr:to>
      <xdr:col>10</xdr:col>
      <xdr:colOff>647700</xdr:colOff>
      <xdr:row>40</xdr:row>
      <xdr:rowOff>219075</xdr:rowOff>
    </xdr:to>
    <xdr:sp macro="" textlink="">
      <xdr:nvSpPr>
        <xdr:cNvPr id="28" name="ホームベース 27">
          <a:extLst>
            <a:ext uri="{FF2B5EF4-FFF2-40B4-BE49-F238E27FC236}">
              <a16:creationId xmlns:a16="http://schemas.microsoft.com/office/drawing/2014/main" id="{00000000-0008-0000-0300-00001C000000}"/>
            </a:ext>
          </a:extLst>
        </xdr:cNvPr>
        <xdr:cNvSpPr/>
      </xdr:nvSpPr>
      <xdr:spPr>
        <a:xfrm>
          <a:off x="8401050" y="8134351"/>
          <a:ext cx="476250" cy="180974"/>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142875</xdr:colOff>
      <xdr:row>26</xdr:row>
      <xdr:rowOff>28575</xdr:rowOff>
    </xdr:from>
    <xdr:to>
      <xdr:col>7</xdr:col>
      <xdr:colOff>485775</xdr:colOff>
      <xdr:row>26</xdr:row>
      <xdr:rowOff>200025</xdr:rowOff>
    </xdr:to>
    <xdr:sp macro="" textlink="">
      <xdr:nvSpPr>
        <xdr:cNvPr id="29" name="ホームベース 28">
          <a:extLst>
            <a:ext uri="{FF2B5EF4-FFF2-40B4-BE49-F238E27FC236}">
              <a16:creationId xmlns:a16="http://schemas.microsoft.com/office/drawing/2014/main" id="{00000000-0008-0000-0300-00001D000000}"/>
            </a:ext>
          </a:extLst>
        </xdr:cNvPr>
        <xdr:cNvSpPr/>
      </xdr:nvSpPr>
      <xdr:spPr>
        <a:xfrm>
          <a:off x="6315075" y="4791075"/>
          <a:ext cx="342900" cy="17145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66675</xdr:colOff>
      <xdr:row>31</xdr:row>
      <xdr:rowOff>57150</xdr:rowOff>
    </xdr:from>
    <xdr:to>
      <xdr:col>8</xdr:col>
      <xdr:colOff>561975</xdr:colOff>
      <xdr:row>31</xdr:row>
      <xdr:rowOff>200025</xdr:rowOff>
    </xdr:to>
    <xdr:sp macro="" textlink="">
      <xdr:nvSpPr>
        <xdr:cNvPr id="30" name="ホームベース 29">
          <a:extLst>
            <a:ext uri="{FF2B5EF4-FFF2-40B4-BE49-F238E27FC236}">
              <a16:creationId xmlns:a16="http://schemas.microsoft.com/office/drawing/2014/main" id="{00000000-0008-0000-0300-00001E000000}"/>
            </a:ext>
          </a:extLst>
        </xdr:cNvPr>
        <xdr:cNvSpPr/>
      </xdr:nvSpPr>
      <xdr:spPr>
        <a:xfrm>
          <a:off x="6924675" y="6010275"/>
          <a:ext cx="495300" cy="142875"/>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447675</xdr:colOff>
      <xdr:row>36</xdr:row>
      <xdr:rowOff>28575</xdr:rowOff>
    </xdr:from>
    <xdr:to>
      <xdr:col>9</xdr:col>
      <xdr:colOff>666751</xdr:colOff>
      <xdr:row>36</xdr:row>
      <xdr:rowOff>200025</xdr:rowOff>
    </xdr:to>
    <xdr:sp macro="" textlink="">
      <xdr:nvSpPr>
        <xdr:cNvPr id="31" name="ホームベース 30">
          <a:extLst>
            <a:ext uri="{FF2B5EF4-FFF2-40B4-BE49-F238E27FC236}">
              <a16:creationId xmlns:a16="http://schemas.microsoft.com/office/drawing/2014/main" id="{00000000-0008-0000-0300-00001F000000}"/>
            </a:ext>
          </a:extLst>
        </xdr:cNvPr>
        <xdr:cNvSpPr/>
      </xdr:nvSpPr>
      <xdr:spPr>
        <a:xfrm>
          <a:off x="7305675" y="7172325"/>
          <a:ext cx="904876" cy="17145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19049</xdr:colOff>
      <xdr:row>41</xdr:row>
      <xdr:rowOff>28575</xdr:rowOff>
    </xdr:from>
    <xdr:to>
      <xdr:col>11</xdr:col>
      <xdr:colOff>676274</xdr:colOff>
      <xdr:row>41</xdr:row>
      <xdr:rowOff>200025</xdr:rowOff>
    </xdr:to>
    <xdr:sp macro="" textlink="">
      <xdr:nvSpPr>
        <xdr:cNvPr id="32" name="ホームベース 31">
          <a:extLst>
            <a:ext uri="{FF2B5EF4-FFF2-40B4-BE49-F238E27FC236}">
              <a16:creationId xmlns:a16="http://schemas.microsoft.com/office/drawing/2014/main" id="{00000000-0008-0000-0300-000020000000}"/>
            </a:ext>
          </a:extLst>
        </xdr:cNvPr>
        <xdr:cNvSpPr/>
      </xdr:nvSpPr>
      <xdr:spPr>
        <a:xfrm>
          <a:off x="8934449" y="8362950"/>
          <a:ext cx="657225" cy="17145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19050</xdr:colOff>
      <xdr:row>22</xdr:row>
      <xdr:rowOff>38100</xdr:rowOff>
    </xdr:from>
    <xdr:to>
      <xdr:col>7</xdr:col>
      <xdr:colOff>190500</xdr:colOff>
      <xdr:row>22</xdr:row>
      <xdr:rowOff>219075</xdr:rowOff>
    </xdr:to>
    <xdr:sp macro="" textlink="">
      <xdr:nvSpPr>
        <xdr:cNvPr id="24" name="フローチャート: 結合子 23">
          <a:extLst>
            <a:ext uri="{FF2B5EF4-FFF2-40B4-BE49-F238E27FC236}">
              <a16:creationId xmlns:a16="http://schemas.microsoft.com/office/drawing/2014/main" id="{00000000-0008-0000-0300-000018000000}"/>
            </a:ext>
          </a:extLst>
        </xdr:cNvPr>
        <xdr:cNvSpPr/>
      </xdr:nvSpPr>
      <xdr:spPr>
        <a:xfrm>
          <a:off x="6191250" y="3848100"/>
          <a:ext cx="171450" cy="180975"/>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47625</xdr:colOff>
      <xdr:row>27</xdr:row>
      <xdr:rowOff>28575</xdr:rowOff>
    </xdr:from>
    <xdr:to>
      <xdr:col>8</xdr:col>
      <xdr:colOff>219075</xdr:colOff>
      <xdr:row>27</xdr:row>
      <xdr:rowOff>209550</xdr:rowOff>
    </xdr:to>
    <xdr:sp macro="" textlink="">
      <xdr:nvSpPr>
        <xdr:cNvPr id="35" name="フローチャート: 結合子 34">
          <a:extLst>
            <a:ext uri="{FF2B5EF4-FFF2-40B4-BE49-F238E27FC236}">
              <a16:creationId xmlns:a16="http://schemas.microsoft.com/office/drawing/2014/main" id="{00000000-0008-0000-0300-000023000000}"/>
            </a:ext>
          </a:extLst>
        </xdr:cNvPr>
        <xdr:cNvSpPr/>
      </xdr:nvSpPr>
      <xdr:spPr>
        <a:xfrm>
          <a:off x="6905625" y="5029200"/>
          <a:ext cx="171450" cy="180975"/>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28575</xdr:colOff>
      <xdr:row>32</xdr:row>
      <xdr:rowOff>38100</xdr:rowOff>
    </xdr:from>
    <xdr:to>
      <xdr:col>9</xdr:col>
      <xdr:colOff>200025</xdr:colOff>
      <xdr:row>32</xdr:row>
      <xdr:rowOff>219075</xdr:rowOff>
    </xdr:to>
    <xdr:sp macro="" textlink="">
      <xdr:nvSpPr>
        <xdr:cNvPr id="36" name="フローチャート: 結合子 35">
          <a:extLst>
            <a:ext uri="{FF2B5EF4-FFF2-40B4-BE49-F238E27FC236}">
              <a16:creationId xmlns:a16="http://schemas.microsoft.com/office/drawing/2014/main" id="{00000000-0008-0000-0300-000024000000}"/>
            </a:ext>
          </a:extLst>
        </xdr:cNvPr>
        <xdr:cNvSpPr/>
      </xdr:nvSpPr>
      <xdr:spPr>
        <a:xfrm>
          <a:off x="7572375" y="6229350"/>
          <a:ext cx="171450" cy="180975"/>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76200</xdr:colOff>
      <xdr:row>37</xdr:row>
      <xdr:rowOff>28575</xdr:rowOff>
    </xdr:from>
    <xdr:to>
      <xdr:col>10</xdr:col>
      <xdr:colOff>247650</xdr:colOff>
      <xdr:row>37</xdr:row>
      <xdr:rowOff>209550</xdr:rowOff>
    </xdr:to>
    <xdr:sp macro="" textlink="">
      <xdr:nvSpPr>
        <xdr:cNvPr id="37" name="フローチャート: 結合子 36">
          <a:extLst>
            <a:ext uri="{FF2B5EF4-FFF2-40B4-BE49-F238E27FC236}">
              <a16:creationId xmlns:a16="http://schemas.microsoft.com/office/drawing/2014/main" id="{00000000-0008-0000-0300-000025000000}"/>
            </a:ext>
          </a:extLst>
        </xdr:cNvPr>
        <xdr:cNvSpPr/>
      </xdr:nvSpPr>
      <xdr:spPr>
        <a:xfrm>
          <a:off x="8305800" y="7410450"/>
          <a:ext cx="171450" cy="180975"/>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47625</xdr:colOff>
      <xdr:row>42</xdr:row>
      <xdr:rowOff>28575</xdr:rowOff>
    </xdr:from>
    <xdr:to>
      <xdr:col>12</xdr:col>
      <xdr:colOff>219075</xdr:colOff>
      <xdr:row>42</xdr:row>
      <xdr:rowOff>209550</xdr:rowOff>
    </xdr:to>
    <xdr:sp macro="" textlink="">
      <xdr:nvSpPr>
        <xdr:cNvPr id="38" name="フローチャート: 結合子 37">
          <a:extLst>
            <a:ext uri="{FF2B5EF4-FFF2-40B4-BE49-F238E27FC236}">
              <a16:creationId xmlns:a16="http://schemas.microsoft.com/office/drawing/2014/main" id="{00000000-0008-0000-0300-000026000000}"/>
            </a:ext>
          </a:extLst>
        </xdr:cNvPr>
        <xdr:cNvSpPr/>
      </xdr:nvSpPr>
      <xdr:spPr>
        <a:xfrm>
          <a:off x="9648825" y="8601075"/>
          <a:ext cx="171450" cy="180975"/>
        </a:xfrm>
        <a:prstGeom prst="flowChartConnector">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pp.box.com/folder/160850577328"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5:E114"/>
  <sheetViews>
    <sheetView showGridLines="0" tabSelected="1" topLeftCell="A5" zoomScale="120" zoomScaleNormal="120" workbookViewId="0">
      <selection activeCell="D24" sqref="D24"/>
    </sheetView>
  </sheetViews>
  <sheetFormatPr defaultRowHeight="18.75"/>
  <cols>
    <col min="1" max="1" width="9.25" customWidth="1"/>
    <col min="2" max="2" width="4.375" customWidth="1"/>
    <col min="3" max="3" width="4" customWidth="1"/>
    <col min="4" max="4" width="9.25" bestFit="1" customWidth="1"/>
    <col min="5" max="5" width="13.125" customWidth="1"/>
    <col min="11" max="11" width="10.25" bestFit="1" customWidth="1"/>
  </cols>
  <sheetData>
    <row r="5" spans="3:4">
      <c r="C5" t="s">
        <v>0</v>
      </c>
    </row>
    <row r="6" spans="3:4">
      <c r="D6" t="s">
        <v>1</v>
      </c>
    </row>
    <row r="8" spans="3:4">
      <c r="D8" t="s">
        <v>2</v>
      </c>
    </row>
    <row r="10" spans="3:4">
      <c r="D10" t="s">
        <v>3</v>
      </c>
    </row>
    <row r="12" spans="3:4">
      <c r="D12" t="s">
        <v>4</v>
      </c>
    </row>
    <row r="14" spans="3:4">
      <c r="D14" t="s">
        <v>5</v>
      </c>
    </row>
    <row r="16" spans="3:4">
      <c r="D16" t="s">
        <v>6</v>
      </c>
    </row>
    <row r="18" spans="3:5">
      <c r="D18" t="s">
        <v>7</v>
      </c>
    </row>
    <row r="19" spans="3:5">
      <c r="E19" t="s">
        <v>8</v>
      </c>
    </row>
    <row r="21" spans="3:5">
      <c r="C21" t="s">
        <v>9</v>
      </c>
    </row>
    <row r="22" spans="3:5">
      <c r="D22" t="s">
        <v>10</v>
      </c>
    </row>
    <row r="23" spans="3:5">
      <c r="D23" t="s">
        <v>11</v>
      </c>
    </row>
    <row r="31" spans="3:5">
      <c r="D31" s="20"/>
    </row>
    <row r="53" spans="4:4">
      <c r="D53" s="20"/>
    </row>
    <row r="81" spans="4:4">
      <c r="D81" s="20"/>
    </row>
    <row r="82" spans="4:4">
      <c r="D82" s="20"/>
    </row>
    <row r="83" spans="4:4">
      <c r="D83" s="20"/>
    </row>
    <row r="84" spans="4:4">
      <c r="D84" s="20"/>
    </row>
    <row r="85" spans="4:4">
      <c r="D85" s="20"/>
    </row>
    <row r="86" spans="4:4">
      <c r="D86" s="20"/>
    </row>
    <row r="87" spans="4:4">
      <c r="D87" s="20"/>
    </row>
    <row r="112" spans="4:4">
      <c r="D112" s="20"/>
    </row>
    <row r="114" spans="4:4">
      <c r="D114" s="20"/>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9"/>
  <sheetViews>
    <sheetView workbookViewId="0">
      <selection activeCell="D17" sqref="D17"/>
    </sheetView>
  </sheetViews>
  <sheetFormatPr defaultRowHeight="18.75"/>
  <cols>
    <col min="2" max="2" width="3.375" bestFit="1" customWidth="1"/>
    <col min="4" max="4" width="24.625" customWidth="1"/>
    <col min="5" max="5" width="29.625" bestFit="1" customWidth="1"/>
    <col min="6" max="6" width="23.5" bestFit="1" customWidth="1"/>
    <col min="7" max="7" width="9.375" bestFit="1" customWidth="1"/>
    <col min="8" max="8" width="27.625" bestFit="1" customWidth="1"/>
    <col min="10" max="10" width="46" bestFit="1" customWidth="1"/>
  </cols>
  <sheetData>
    <row r="1" spans="1:12">
      <c r="A1" t="s">
        <v>12</v>
      </c>
    </row>
    <row r="3" spans="1:12">
      <c r="C3" t="s">
        <v>13</v>
      </c>
      <c r="D3" t="s">
        <v>14</v>
      </c>
      <c r="G3">
        <f>SUM(I22:I25)</f>
        <v>20</v>
      </c>
      <c r="H3" t="s">
        <v>15</v>
      </c>
      <c r="I3">
        <f>G3/20</f>
        <v>1</v>
      </c>
      <c r="J3" t="s">
        <v>16</v>
      </c>
      <c r="K3" t="s">
        <v>17</v>
      </c>
    </row>
    <row r="4" spans="1:12">
      <c r="D4" t="s">
        <v>18</v>
      </c>
      <c r="G4">
        <f>SUM(I26:I28)</f>
        <v>11</v>
      </c>
      <c r="H4" t="s">
        <v>15</v>
      </c>
      <c r="I4">
        <f t="shared" ref="I4:I8" si="0">G4/20</f>
        <v>0.55000000000000004</v>
      </c>
      <c r="J4" t="s">
        <v>16</v>
      </c>
      <c r="K4" t="s">
        <v>19</v>
      </c>
    </row>
    <row r="5" spans="1:12">
      <c r="D5" t="s">
        <v>20</v>
      </c>
      <c r="G5">
        <f>SUM(I29:I41)</f>
        <v>108.25</v>
      </c>
      <c r="H5" t="s">
        <v>15</v>
      </c>
      <c r="I5">
        <f t="shared" si="0"/>
        <v>5.4124999999999996</v>
      </c>
      <c r="J5" t="s">
        <v>16</v>
      </c>
      <c r="K5" t="s">
        <v>19</v>
      </c>
    </row>
    <row r="6" spans="1:12">
      <c r="D6" t="s">
        <v>21</v>
      </c>
      <c r="G6">
        <f>SUM(I42:I51)</f>
        <v>17.5</v>
      </c>
      <c r="H6" t="s">
        <v>15</v>
      </c>
      <c r="I6">
        <f t="shared" si="0"/>
        <v>0.875</v>
      </c>
      <c r="J6" t="s">
        <v>16</v>
      </c>
      <c r="K6" t="s">
        <v>19</v>
      </c>
    </row>
    <row r="7" spans="1:12">
      <c r="D7" t="s">
        <v>22</v>
      </c>
      <c r="G7">
        <f>SUM(I52:I54)</f>
        <v>8</v>
      </c>
      <c r="H7" t="s">
        <v>15</v>
      </c>
      <c r="I7">
        <f t="shared" si="0"/>
        <v>0.4</v>
      </c>
      <c r="J7" t="s">
        <v>16</v>
      </c>
      <c r="K7" t="s">
        <v>19</v>
      </c>
    </row>
    <row r="8" spans="1:12">
      <c r="D8" t="s">
        <v>23</v>
      </c>
      <c r="G8">
        <f>SUM(I55:I57)</f>
        <v>72.5</v>
      </c>
      <c r="H8" t="s">
        <v>15</v>
      </c>
      <c r="I8">
        <f t="shared" si="0"/>
        <v>3.625</v>
      </c>
      <c r="J8" t="s">
        <v>16</v>
      </c>
      <c r="K8" t="s">
        <v>24</v>
      </c>
      <c r="L8" t="s">
        <v>25</v>
      </c>
    </row>
    <row r="9" spans="1:12">
      <c r="D9" t="s">
        <v>26</v>
      </c>
      <c r="E9" s="28" t="s">
        <v>27</v>
      </c>
      <c r="F9">
        <f>36*3</f>
        <v>108</v>
      </c>
      <c r="G9">
        <f>F9/8+ROUND(SUM(G3:G8)*0.15,0)</f>
        <v>49.5</v>
      </c>
      <c r="H9" t="s">
        <v>28</v>
      </c>
      <c r="I9">
        <f>SUM(I3:I8)*0.15+(G9/20)</f>
        <v>4.2543749999999996</v>
      </c>
      <c r="J9" t="s">
        <v>16</v>
      </c>
      <c r="K9" t="s">
        <v>29</v>
      </c>
    </row>
    <row r="10" spans="1:12">
      <c r="D10" t="s">
        <v>30</v>
      </c>
      <c r="G10">
        <f>SUM(G3:G9)</f>
        <v>286.75</v>
      </c>
      <c r="H10" t="s">
        <v>15</v>
      </c>
      <c r="I10">
        <f>SUM(I3:I9)</f>
        <v>16.116875</v>
      </c>
      <c r="J10" t="s">
        <v>16</v>
      </c>
      <c r="K10" t="s">
        <v>29</v>
      </c>
    </row>
    <row r="13" spans="1:12">
      <c r="C13" t="s">
        <v>31</v>
      </c>
    </row>
    <row r="14" spans="1:12" ht="15.75">
      <c r="C14">
        <v>5</v>
      </c>
      <c r="D14" t="s">
        <v>32</v>
      </c>
    </row>
    <row r="15" spans="1:12">
      <c r="C15">
        <v>6</v>
      </c>
      <c r="D15" t="s">
        <v>33</v>
      </c>
    </row>
    <row r="16" spans="1:12">
      <c r="C16">
        <v>7</v>
      </c>
      <c r="D16" t="s">
        <v>34</v>
      </c>
    </row>
    <row r="17" spans="2:12">
      <c r="C17">
        <v>8</v>
      </c>
      <c r="D17" t="s">
        <v>35</v>
      </c>
    </row>
    <row r="18" spans="2:12">
      <c r="C18">
        <v>9</v>
      </c>
      <c r="D18" t="s">
        <v>36</v>
      </c>
    </row>
    <row r="19" spans="2:12" ht="76.5">
      <c r="C19">
        <v>10</v>
      </c>
      <c r="D19" s="45" t="s">
        <v>37</v>
      </c>
    </row>
    <row r="21" spans="2:12">
      <c r="B21" s="20" t="s">
        <v>38</v>
      </c>
      <c r="C21" s="21" t="s">
        <v>39</v>
      </c>
      <c r="D21" s="22"/>
      <c r="E21" s="22"/>
      <c r="F21" s="22"/>
      <c r="G21" s="22"/>
      <c r="H21" s="22"/>
      <c r="I21" s="22" t="s">
        <v>15</v>
      </c>
      <c r="J21" s="23" t="s">
        <v>40</v>
      </c>
    </row>
    <row r="22" spans="2:12">
      <c r="B22" s="20"/>
      <c r="C22" s="24"/>
      <c r="D22" s="21" t="s">
        <v>14</v>
      </c>
      <c r="E22" s="21" t="s">
        <v>41</v>
      </c>
      <c r="F22" s="22" t="s">
        <v>42</v>
      </c>
      <c r="G22" s="22"/>
      <c r="H22" s="22"/>
      <c r="I22" s="22">
        <v>2</v>
      </c>
      <c r="J22" s="23"/>
    </row>
    <row r="23" spans="2:12">
      <c r="B23" s="20"/>
      <c r="C23" s="24"/>
      <c r="D23" s="24"/>
      <c r="E23" s="24" t="s">
        <v>43</v>
      </c>
      <c r="F23" t="s">
        <v>44</v>
      </c>
      <c r="I23">
        <v>10</v>
      </c>
      <c r="J23" s="12"/>
    </row>
    <row r="24" spans="2:12">
      <c r="B24" s="20"/>
      <c r="C24" s="24"/>
      <c r="D24" s="24"/>
      <c r="E24" s="24" t="s">
        <v>45</v>
      </c>
      <c r="I24">
        <v>3</v>
      </c>
      <c r="J24" s="12"/>
    </row>
    <row r="25" spans="2:12">
      <c r="B25" s="20"/>
      <c r="C25" s="24"/>
      <c r="D25" s="25"/>
      <c r="E25" s="25" t="s">
        <v>46</v>
      </c>
      <c r="F25" s="26"/>
      <c r="G25" s="26"/>
      <c r="H25" s="26"/>
      <c r="I25" s="26">
        <v>5</v>
      </c>
      <c r="J25" s="27"/>
    </row>
    <row r="26" spans="2:12">
      <c r="B26" s="20"/>
      <c r="C26" s="24"/>
      <c r="D26" s="21" t="s">
        <v>18</v>
      </c>
      <c r="E26" s="21" t="s">
        <v>47</v>
      </c>
      <c r="F26" s="22" t="s">
        <v>48</v>
      </c>
      <c r="G26" s="22"/>
      <c r="H26" s="22"/>
      <c r="I26" s="37">
        <v>3</v>
      </c>
      <c r="J26" s="23"/>
    </row>
    <row r="27" spans="2:12">
      <c r="B27" s="20"/>
      <c r="C27" s="24"/>
      <c r="D27" s="24"/>
      <c r="E27" s="24" t="s">
        <v>49</v>
      </c>
      <c r="F27" t="s">
        <v>50</v>
      </c>
      <c r="I27" s="34">
        <v>3</v>
      </c>
      <c r="J27" s="12"/>
    </row>
    <row r="28" spans="2:12">
      <c r="B28" s="20"/>
      <c r="C28" s="24"/>
      <c r="D28" s="25"/>
      <c r="E28" s="25" t="s">
        <v>51</v>
      </c>
      <c r="F28" s="26" t="s">
        <v>52</v>
      </c>
      <c r="G28" s="26"/>
      <c r="H28" s="26"/>
      <c r="I28" s="38">
        <v>5</v>
      </c>
      <c r="J28" s="27"/>
    </row>
    <row r="29" spans="2:12">
      <c r="C29" s="24"/>
      <c r="D29" s="21" t="s">
        <v>20</v>
      </c>
      <c r="E29" s="21" t="s">
        <v>53</v>
      </c>
      <c r="F29" s="22" t="s">
        <v>54</v>
      </c>
      <c r="G29" s="22"/>
      <c r="H29" s="22"/>
      <c r="I29" s="37">
        <v>5</v>
      </c>
      <c r="J29" s="23"/>
      <c r="K29" t="s">
        <v>55</v>
      </c>
      <c r="L29" s="36" t="s">
        <v>56</v>
      </c>
    </row>
    <row r="30" spans="2:12">
      <c r="C30" s="24"/>
      <c r="D30" s="24"/>
      <c r="E30" s="24" t="s">
        <v>57</v>
      </c>
      <c r="F30" t="s">
        <v>58</v>
      </c>
      <c r="J30" s="12"/>
    </row>
    <row r="31" spans="2:12">
      <c r="C31" s="24"/>
      <c r="D31" s="24"/>
      <c r="E31" s="24"/>
      <c r="F31" t="s">
        <v>59</v>
      </c>
      <c r="G31" t="s">
        <v>60</v>
      </c>
      <c r="H31" t="s">
        <v>61</v>
      </c>
      <c r="J31" s="12"/>
    </row>
    <row r="32" spans="2:12">
      <c r="C32" s="24"/>
      <c r="D32" s="24"/>
      <c r="E32" s="24"/>
      <c r="H32">
        <v>48</v>
      </c>
      <c r="J32" s="12"/>
    </row>
    <row r="33" spans="3:11">
      <c r="C33" s="24"/>
      <c r="D33" s="24"/>
      <c r="E33" s="24"/>
      <c r="G33" t="s">
        <v>62</v>
      </c>
      <c r="J33" s="12" t="s">
        <v>63</v>
      </c>
      <c r="K33" t="s">
        <v>64</v>
      </c>
    </row>
    <row r="34" spans="3:11">
      <c r="C34" s="24"/>
      <c r="D34" s="24"/>
      <c r="E34" s="24"/>
      <c r="F34" t="s">
        <v>65</v>
      </c>
      <c r="G34">
        <v>355</v>
      </c>
      <c r="H34">
        <f>G34/$H$32</f>
        <v>7.395833333333333</v>
      </c>
      <c r="I34">
        <v>7.4</v>
      </c>
      <c r="J34" s="12"/>
      <c r="K34" t="s">
        <v>66</v>
      </c>
    </row>
    <row r="35" spans="3:11">
      <c r="C35" s="24"/>
      <c r="D35" s="24"/>
      <c r="E35" s="24"/>
      <c r="F35" t="s">
        <v>67</v>
      </c>
      <c r="G35">
        <v>1499</v>
      </c>
      <c r="H35">
        <f t="shared" ref="H35:H40" si="1">G35/$H$32</f>
        <v>31.229166666666668</v>
      </c>
      <c r="I35">
        <v>31.3</v>
      </c>
      <c r="J35" s="12"/>
    </row>
    <row r="36" spans="3:11">
      <c r="C36" s="24"/>
      <c r="D36" s="24"/>
      <c r="E36" s="24"/>
      <c r="F36" t="s">
        <v>68</v>
      </c>
      <c r="G36">
        <v>348</v>
      </c>
      <c r="H36">
        <f t="shared" si="1"/>
        <v>7.25</v>
      </c>
      <c r="I36">
        <v>7.25</v>
      </c>
      <c r="J36" s="12"/>
    </row>
    <row r="37" spans="3:11">
      <c r="C37" s="24"/>
      <c r="D37" s="24"/>
      <c r="E37" s="24"/>
      <c r="F37" t="s">
        <v>69</v>
      </c>
      <c r="G37">
        <v>589</v>
      </c>
      <c r="H37">
        <f t="shared" si="1"/>
        <v>12.270833333333334</v>
      </c>
      <c r="I37">
        <v>12.3</v>
      </c>
      <c r="J37" s="12"/>
    </row>
    <row r="38" spans="3:11">
      <c r="C38" s="24"/>
      <c r="D38" s="24"/>
      <c r="E38" s="24"/>
      <c r="G38" t="s">
        <v>70</v>
      </c>
      <c r="J38" s="12"/>
    </row>
    <row r="39" spans="3:11">
      <c r="C39" s="24"/>
      <c r="D39" s="24"/>
      <c r="E39" s="24"/>
      <c r="F39" t="s">
        <v>71</v>
      </c>
      <c r="G39">
        <v>4668</v>
      </c>
      <c r="H39">
        <f t="shared" si="1"/>
        <v>97.25</v>
      </c>
      <c r="J39" s="12" t="s">
        <v>72</v>
      </c>
    </row>
    <row r="40" spans="3:11">
      <c r="C40" s="24"/>
      <c r="D40" s="24"/>
      <c r="E40" s="24"/>
      <c r="G40">
        <v>2166</v>
      </c>
      <c r="H40">
        <f t="shared" si="1"/>
        <v>45.125</v>
      </c>
      <c r="I40">
        <v>45</v>
      </c>
      <c r="J40" s="12" t="s">
        <v>73</v>
      </c>
    </row>
    <row r="41" spans="3:11">
      <c r="C41" s="24"/>
      <c r="D41" s="25"/>
      <c r="E41" s="25"/>
      <c r="F41" s="26"/>
      <c r="G41" s="26"/>
      <c r="H41" s="26"/>
      <c r="I41" s="26"/>
      <c r="J41" s="27"/>
    </row>
    <row r="42" spans="3:11">
      <c r="C42" s="24"/>
      <c r="D42" s="21" t="s">
        <v>21</v>
      </c>
      <c r="E42" s="21" t="s">
        <v>74</v>
      </c>
      <c r="F42" s="22"/>
      <c r="G42" s="22"/>
      <c r="H42" s="22"/>
      <c r="I42" s="22">
        <v>2</v>
      </c>
      <c r="J42" s="23"/>
    </row>
    <row r="43" spans="3:11">
      <c r="C43" s="24"/>
      <c r="D43" s="24"/>
      <c r="E43" s="24" t="s">
        <v>75</v>
      </c>
      <c r="J43" s="12"/>
      <c r="K43" t="s">
        <v>76</v>
      </c>
    </row>
    <row r="44" spans="3:11">
      <c r="C44" s="24"/>
      <c r="D44" s="24"/>
      <c r="E44" s="24"/>
      <c r="F44" t="s">
        <v>59</v>
      </c>
      <c r="G44" s="28" t="s">
        <v>77</v>
      </c>
      <c r="H44" t="s">
        <v>78</v>
      </c>
      <c r="J44" s="12"/>
      <c r="K44" t="s">
        <v>79</v>
      </c>
    </row>
    <row r="45" spans="3:11">
      <c r="C45" s="24"/>
      <c r="D45" s="24"/>
      <c r="E45" s="24"/>
      <c r="F45" t="s">
        <v>80</v>
      </c>
      <c r="G45" s="28" t="s">
        <v>81</v>
      </c>
      <c r="J45" s="32"/>
      <c r="K45" t="s">
        <v>82</v>
      </c>
    </row>
    <row r="46" spans="3:11">
      <c r="C46" s="24"/>
      <c r="D46" s="24"/>
      <c r="E46" s="24"/>
      <c r="F46" t="s">
        <v>65</v>
      </c>
      <c r="G46">
        <f>G34</f>
        <v>355</v>
      </c>
      <c r="H46">
        <f>G46*0.1</f>
        <v>35.5</v>
      </c>
      <c r="I46">
        <f>ROUND(H46/32,1)</f>
        <v>1.1000000000000001</v>
      </c>
      <c r="J46" s="12"/>
    </row>
    <row r="47" spans="3:11">
      <c r="C47" s="24"/>
      <c r="D47" s="24"/>
      <c r="E47" s="24"/>
      <c r="F47" t="s">
        <v>67</v>
      </c>
      <c r="G47">
        <f t="shared" ref="G47:G49" si="2">G35</f>
        <v>1499</v>
      </c>
      <c r="H47">
        <f t="shared" ref="H47:H50" si="3">G47*0.1</f>
        <v>149.9</v>
      </c>
      <c r="I47">
        <f t="shared" ref="I47:I50" si="4">ROUND(H47/32,1)</f>
        <v>4.7</v>
      </c>
      <c r="J47" s="12"/>
    </row>
    <row r="48" spans="3:11">
      <c r="C48" s="24"/>
      <c r="D48" s="24"/>
      <c r="E48" s="24"/>
      <c r="F48" t="s">
        <v>68</v>
      </c>
      <c r="G48">
        <f t="shared" si="2"/>
        <v>348</v>
      </c>
      <c r="H48">
        <f t="shared" si="3"/>
        <v>34.800000000000004</v>
      </c>
      <c r="I48">
        <f t="shared" si="4"/>
        <v>1.1000000000000001</v>
      </c>
      <c r="J48" s="12"/>
    </row>
    <row r="49" spans="3:11">
      <c r="C49" s="24"/>
      <c r="D49" s="24"/>
      <c r="E49" s="24"/>
      <c r="F49" t="s">
        <v>69</v>
      </c>
      <c r="G49">
        <f t="shared" si="2"/>
        <v>589</v>
      </c>
      <c r="H49">
        <f t="shared" si="3"/>
        <v>58.900000000000006</v>
      </c>
      <c r="I49">
        <f t="shared" si="4"/>
        <v>1.8</v>
      </c>
      <c r="J49" s="12"/>
    </row>
    <row r="50" spans="3:11">
      <c r="C50" s="24"/>
      <c r="D50" s="24"/>
      <c r="E50" s="24"/>
      <c r="F50" t="s">
        <v>71</v>
      </c>
      <c r="G50">
        <f>G40</f>
        <v>2166</v>
      </c>
      <c r="H50">
        <f t="shared" si="3"/>
        <v>216.60000000000002</v>
      </c>
      <c r="I50">
        <f t="shared" si="4"/>
        <v>6.8</v>
      </c>
      <c r="J50" s="12"/>
    </row>
    <row r="51" spans="3:11">
      <c r="C51" s="24"/>
      <c r="D51" s="25"/>
      <c r="E51" s="25"/>
      <c r="F51" s="26"/>
      <c r="G51" s="26"/>
      <c r="H51" s="26"/>
      <c r="I51" s="26"/>
      <c r="J51" s="27"/>
    </row>
    <row r="52" spans="3:11">
      <c r="C52" s="24"/>
      <c r="D52" s="21" t="s">
        <v>22</v>
      </c>
      <c r="E52" s="21" t="s">
        <v>83</v>
      </c>
      <c r="F52" s="22" t="s">
        <v>84</v>
      </c>
      <c r="G52" s="22"/>
      <c r="H52" s="22"/>
      <c r="I52" s="22">
        <v>3</v>
      </c>
      <c r="J52" s="23"/>
    </row>
    <row r="53" spans="3:11">
      <c r="C53" s="24"/>
      <c r="D53" s="24"/>
      <c r="E53" s="24" t="s">
        <v>85</v>
      </c>
      <c r="I53">
        <v>5</v>
      </c>
      <c r="J53" s="12"/>
      <c r="K53" t="s">
        <v>86</v>
      </c>
    </row>
    <row r="54" spans="3:11">
      <c r="C54" s="24"/>
      <c r="D54" s="25"/>
      <c r="E54" s="25"/>
      <c r="F54" s="26"/>
      <c r="G54" s="26"/>
      <c r="H54" s="26"/>
      <c r="I54" s="26"/>
      <c r="J54" s="27"/>
    </row>
    <row r="55" spans="3:11">
      <c r="C55" s="24"/>
      <c r="D55" s="21" t="s">
        <v>87</v>
      </c>
      <c r="E55" s="21" t="s">
        <v>88</v>
      </c>
      <c r="F55" s="22" t="s">
        <v>89</v>
      </c>
      <c r="G55" s="22"/>
      <c r="H55" s="22"/>
      <c r="I55" s="22">
        <v>7.5</v>
      </c>
      <c r="J55" s="23"/>
    </row>
    <row r="56" spans="3:11">
      <c r="C56" s="24"/>
      <c r="D56" s="24"/>
      <c r="E56" s="24" t="s">
        <v>90</v>
      </c>
      <c r="F56" t="s">
        <v>91</v>
      </c>
      <c r="I56">
        <v>15</v>
      </c>
      <c r="J56" s="12"/>
    </row>
    <row r="57" spans="3:11">
      <c r="C57" s="24"/>
      <c r="D57" s="25"/>
      <c r="E57" s="25" t="s">
        <v>92</v>
      </c>
      <c r="F57" s="26" t="s">
        <v>93</v>
      </c>
      <c r="G57" s="26"/>
      <c r="H57" s="26" t="s">
        <v>94</v>
      </c>
      <c r="I57" s="26">
        <v>50</v>
      </c>
      <c r="J57" s="27" t="s">
        <v>95</v>
      </c>
    </row>
    <row r="58" spans="3:11">
      <c r="C58" s="25"/>
      <c r="D58" s="25" t="s">
        <v>30</v>
      </c>
      <c r="E58" s="25"/>
      <c r="F58" s="26"/>
      <c r="G58" s="26"/>
      <c r="H58" s="26"/>
      <c r="I58" s="26">
        <f>SUM(I22:I57)</f>
        <v>237.25</v>
      </c>
      <c r="J58" s="27" t="s">
        <v>15</v>
      </c>
    </row>
    <row r="59" spans="3:11">
      <c r="I59">
        <f>I58/20</f>
        <v>11.862500000000001</v>
      </c>
      <c r="J59" t="s">
        <v>16</v>
      </c>
    </row>
  </sheetData>
  <phoneticPr fontId="1"/>
  <hyperlinks>
    <hyperlink ref="L29"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8"/>
  <sheetViews>
    <sheetView topLeftCell="A2" workbookViewId="0">
      <selection activeCell="H27" sqref="H27"/>
    </sheetView>
  </sheetViews>
  <sheetFormatPr defaultRowHeight="18.75"/>
  <cols>
    <col min="2" max="2" width="3.375" bestFit="1" customWidth="1"/>
    <col min="4" max="4" width="24.625" customWidth="1"/>
    <col min="5" max="5" width="29.625" bestFit="1" customWidth="1"/>
    <col min="6" max="6" width="23.5" bestFit="1" customWidth="1"/>
    <col min="8" max="8" width="27.625" bestFit="1" customWidth="1"/>
    <col min="10" max="10" width="46" bestFit="1" customWidth="1"/>
  </cols>
  <sheetData>
    <row r="1" spans="1:12">
      <c r="A1" t="s">
        <v>12</v>
      </c>
    </row>
    <row r="3" spans="1:12">
      <c r="C3" t="s">
        <v>13</v>
      </c>
      <c r="D3" t="s">
        <v>14</v>
      </c>
      <c r="G3">
        <v>10</v>
      </c>
      <c r="H3" t="s">
        <v>15</v>
      </c>
      <c r="I3">
        <f>G3/20</f>
        <v>0.5</v>
      </c>
      <c r="J3" t="s">
        <v>16</v>
      </c>
      <c r="K3" t="s">
        <v>17</v>
      </c>
    </row>
    <row r="4" spans="1:12">
      <c r="D4" t="s">
        <v>18</v>
      </c>
      <c r="G4">
        <v>4</v>
      </c>
      <c r="H4" t="s">
        <v>15</v>
      </c>
      <c r="I4">
        <f t="shared" ref="I4:I8" si="0">G4/20</f>
        <v>0.2</v>
      </c>
      <c r="J4" t="s">
        <v>16</v>
      </c>
      <c r="K4" t="s">
        <v>19</v>
      </c>
    </row>
    <row r="5" spans="1:12">
      <c r="D5" t="s">
        <v>20</v>
      </c>
      <c r="G5">
        <v>104.25</v>
      </c>
      <c r="H5" t="s">
        <v>15</v>
      </c>
      <c r="I5">
        <f t="shared" si="0"/>
        <v>5.2125000000000004</v>
      </c>
      <c r="J5" t="s">
        <v>16</v>
      </c>
      <c r="K5" t="s">
        <v>19</v>
      </c>
    </row>
    <row r="6" spans="1:12">
      <c r="D6" t="s">
        <v>21</v>
      </c>
      <c r="G6">
        <v>15.1</v>
      </c>
      <c r="H6" t="s">
        <v>15</v>
      </c>
      <c r="I6">
        <f t="shared" si="0"/>
        <v>0.755</v>
      </c>
      <c r="J6" t="s">
        <v>16</v>
      </c>
      <c r="K6" t="s">
        <v>19</v>
      </c>
    </row>
    <row r="7" spans="1:12">
      <c r="D7" t="s">
        <v>22</v>
      </c>
      <c r="G7">
        <v>8</v>
      </c>
      <c r="H7" t="s">
        <v>15</v>
      </c>
      <c r="I7">
        <f t="shared" si="0"/>
        <v>0.4</v>
      </c>
      <c r="J7" t="s">
        <v>16</v>
      </c>
      <c r="K7" t="s">
        <v>19</v>
      </c>
    </row>
    <row r="8" spans="1:12">
      <c r="D8" t="s">
        <v>23</v>
      </c>
      <c r="G8">
        <v>33.700000000000003</v>
      </c>
      <c r="H8" t="s">
        <v>15</v>
      </c>
      <c r="I8">
        <f t="shared" si="0"/>
        <v>1.6850000000000001</v>
      </c>
      <c r="J8" t="s">
        <v>16</v>
      </c>
      <c r="K8" t="s">
        <v>24</v>
      </c>
      <c r="L8" t="s">
        <v>25</v>
      </c>
    </row>
    <row r="9" spans="1:12">
      <c r="D9" t="s">
        <v>26</v>
      </c>
      <c r="E9" s="28" t="s">
        <v>27</v>
      </c>
      <c r="F9">
        <f>36*3</f>
        <v>108</v>
      </c>
      <c r="G9">
        <f>F9/8</f>
        <v>13.5</v>
      </c>
      <c r="H9" t="s">
        <v>15</v>
      </c>
      <c r="I9">
        <f>SUM(I3:I8)*0.15+(G9/20)</f>
        <v>1.9878750000000003</v>
      </c>
      <c r="J9" t="s">
        <v>16</v>
      </c>
      <c r="K9" t="s">
        <v>29</v>
      </c>
    </row>
    <row r="10" spans="1:12">
      <c r="D10" t="s">
        <v>30</v>
      </c>
      <c r="G10">
        <f>SUM(G3:G8)</f>
        <v>175.05</v>
      </c>
      <c r="H10" t="s">
        <v>15</v>
      </c>
      <c r="I10">
        <f>SUM(I3:I9)</f>
        <v>10.740375000000002</v>
      </c>
      <c r="J10" t="s">
        <v>16</v>
      </c>
      <c r="K10" t="s">
        <v>29</v>
      </c>
    </row>
    <row r="13" spans="1:12">
      <c r="C13" t="s">
        <v>31</v>
      </c>
    </row>
    <row r="20" spans="2:11">
      <c r="B20" s="20" t="s">
        <v>38</v>
      </c>
      <c r="C20" s="21" t="s">
        <v>39</v>
      </c>
      <c r="D20" s="22"/>
      <c r="E20" s="22"/>
      <c r="F20" s="22"/>
      <c r="G20" s="22"/>
      <c r="H20" s="22"/>
      <c r="I20" s="22" t="s">
        <v>15</v>
      </c>
      <c r="J20" s="23" t="s">
        <v>40</v>
      </c>
    </row>
    <row r="21" spans="2:11">
      <c r="B21" s="20"/>
      <c r="C21" s="24"/>
      <c r="D21" s="21" t="s">
        <v>14</v>
      </c>
      <c r="E21" s="21" t="s">
        <v>41</v>
      </c>
      <c r="F21" s="22" t="s">
        <v>42</v>
      </c>
      <c r="G21" s="22"/>
      <c r="H21" s="22"/>
      <c r="I21" s="22">
        <v>2</v>
      </c>
      <c r="J21" s="23"/>
    </row>
    <row r="22" spans="2:11">
      <c r="B22" s="20"/>
      <c r="C22" s="24"/>
      <c r="D22" s="24"/>
      <c r="E22" s="24" t="s">
        <v>43</v>
      </c>
      <c r="F22" t="s">
        <v>44</v>
      </c>
      <c r="I22">
        <v>7</v>
      </c>
      <c r="J22" s="12"/>
    </row>
    <row r="23" spans="2:11">
      <c r="B23" s="20"/>
      <c r="C23" s="24"/>
      <c r="D23" s="24"/>
      <c r="E23" s="24" t="s">
        <v>45</v>
      </c>
      <c r="I23">
        <v>3</v>
      </c>
      <c r="J23" s="12"/>
    </row>
    <row r="24" spans="2:11">
      <c r="B24" s="20"/>
      <c r="C24" s="24"/>
      <c r="D24" s="25"/>
      <c r="E24" s="25" t="s">
        <v>46</v>
      </c>
      <c r="F24" s="26"/>
      <c r="G24" s="26"/>
      <c r="H24" s="26"/>
      <c r="I24" s="26">
        <v>5</v>
      </c>
      <c r="J24" s="27"/>
    </row>
    <row r="25" spans="2:11">
      <c r="B25" s="20"/>
      <c r="C25" s="24"/>
      <c r="D25" s="21" t="s">
        <v>18</v>
      </c>
      <c r="E25" s="21" t="s">
        <v>47</v>
      </c>
      <c r="F25" s="22"/>
      <c r="G25" s="22"/>
      <c r="H25" s="22"/>
      <c r="I25" s="33">
        <v>1</v>
      </c>
      <c r="J25" s="23" t="s">
        <v>96</v>
      </c>
    </row>
    <row r="26" spans="2:11">
      <c r="B26" s="20"/>
      <c r="C26" s="24"/>
      <c r="D26" s="24"/>
      <c r="E26" s="24" t="s">
        <v>49</v>
      </c>
      <c r="I26" s="34">
        <v>3</v>
      </c>
      <c r="J26" s="12"/>
    </row>
    <row r="27" spans="2:11">
      <c r="B27" s="20"/>
      <c r="C27" s="24"/>
      <c r="D27" s="25"/>
      <c r="E27" s="25" t="s">
        <v>51</v>
      </c>
      <c r="F27" s="26"/>
      <c r="G27" s="26"/>
      <c r="H27" s="26"/>
      <c r="I27" s="35">
        <v>1</v>
      </c>
      <c r="J27" s="27" t="s">
        <v>97</v>
      </c>
    </row>
    <row r="28" spans="2:11">
      <c r="C28" s="24"/>
      <c r="D28" s="21" t="s">
        <v>20</v>
      </c>
      <c r="E28" s="21" t="s">
        <v>53</v>
      </c>
      <c r="F28" s="22"/>
      <c r="G28" s="22"/>
      <c r="H28" s="22"/>
      <c r="I28" s="33">
        <v>1</v>
      </c>
      <c r="J28" s="23" t="s">
        <v>98</v>
      </c>
    </row>
    <row r="29" spans="2:11">
      <c r="C29" s="24"/>
      <c r="D29" s="24"/>
      <c r="E29" s="24" t="s">
        <v>57</v>
      </c>
      <c r="F29" t="s">
        <v>58</v>
      </c>
      <c r="J29" s="12"/>
    </row>
    <row r="30" spans="2:11">
      <c r="C30" s="24"/>
      <c r="D30" s="24"/>
      <c r="E30" s="24"/>
      <c r="F30" t="s">
        <v>59</v>
      </c>
      <c r="G30" t="s">
        <v>60</v>
      </c>
      <c r="H30" t="s">
        <v>61</v>
      </c>
      <c r="J30" s="12"/>
    </row>
    <row r="31" spans="2:11">
      <c r="C31" s="24"/>
      <c r="D31" s="24"/>
      <c r="E31" s="24"/>
      <c r="J31" s="12"/>
    </row>
    <row r="32" spans="2:11">
      <c r="C32" s="24"/>
      <c r="D32" s="24"/>
      <c r="E32" s="24"/>
      <c r="G32" t="s">
        <v>62</v>
      </c>
      <c r="J32" s="12" t="s">
        <v>63</v>
      </c>
      <c r="K32" t="s">
        <v>64</v>
      </c>
    </row>
    <row r="33" spans="3:11">
      <c r="C33" s="24"/>
      <c r="D33" s="24"/>
      <c r="E33" s="24"/>
      <c r="F33" t="s">
        <v>65</v>
      </c>
      <c r="G33">
        <v>355</v>
      </c>
      <c r="H33">
        <f>G33/48</f>
        <v>7.395833333333333</v>
      </c>
      <c r="I33">
        <v>7.4</v>
      </c>
      <c r="J33" s="12"/>
      <c r="K33" t="s">
        <v>66</v>
      </c>
    </row>
    <row r="34" spans="3:11">
      <c r="C34" s="24"/>
      <c r="D34" s="24"/>
      <c r="E34" s="24"/>
      <c r="F34" t="s">
        <v>67</v>
      </c>
      <c r="G34">
        <v>1499</v>
      </c>
      <c r="H34">
        <f t="shared" ref="H34:H39" si="1">G34/48</f>
        <v>31.229166666666668</v>
      </c>
      <c r="I34">
        <v>31.3</v>
      </c>
      <c r="J34" s="12"/>
    </row>
    <row r="35" spans="3:11">
      <c r="C35" s="24"/>
      <c r="D35" s="24"/>
      <c r="E35" s="24"/>
      <c r="F35" t="s">
        <v>68</v>
      </c>
      <c r="G35">
        <v>348</v>
      </c>
      <c r="H35">
        <f t="shared" si="1"/>
        <v>7.25</v>
      </c>
      <c r="I35">
        <v>7.25</v>
      </c>
      <c r="J35" s="12"/>
    </row>
    <row r="36" spans="3:11">
      <c r="C36" s="24"/>
      <c r="D36" s="24"/>
      <c r="E36" s="24"/>
      <c r="F36" t="s">
        <v>69</v>
      </c>
      <c r="G36">
        <v>589</v>
      </c>
      <c r="H36">
        <f t="shared" si="1"/>
        <v>12.270833333333334</v>
      </c>
      <c r="I36">
        <v>12.3</v>
      </c>
      <c r="J36" s="12"/>
    </row>
    <row r="37" spans="3:11">
      <c r="C37" s="24"/>
      <c r="D37" s="24"/>
      <c r="E37" s="24"/>
      <c r="G37" t="s">
        <v>70</v>
      </c>
      <c r="J37" s="12"/>
    </row>
    <row r="38" spans="3:11">
      <c r="C38" s="24"/>
      <c r="D38" s="24"/>
      <c r="E38" s="24"/>
      <c r="F38" t="s">
        <v>71</v>
      </c>
      <c r="G38">
        <v>4668</v>
      </c>
      <c r="H38">
        <f t="shared" si="1"/>
        <v>97.25</v>
      </c>
      <c r="J38" s="12" t="s">
        <v>72</v>
      </c>
    </row>
    <row r="39" spans="3:11">
      <c r="C39" s="24"/>
      <c r="D39" s="24"/>
      <c r="E39" s="24"/>
      <c r="G39">
        <v>2166</v>
      </c>
      <c r="H39">
        <f t="shared" si="1"/>
        <v>45.125</v>
      </c>
      <c r="I39">
        <v>45</v>
      </c>
      <c r="J39" s="12" t="s">
        <v>73</v>
      </c>
    </row>
    <row r="40" spans="3:11">
      <c r="C40" s="24"/>
      <c r="D40" s="25"/>
      <c r="E40" s="25"/>
      <c r="F40" s="26"/>
      <c r="G40" s="26"/>
      <c r="H40" s="26"/>
      <c r="I40" s="26"/>
      <c r="J40" s="27"/>
    </row>
    <row r="41" spans="3:11">
      <c r="C41" s="24"/>
      <c r="D41" s="21" t="s">
        <v>21</v>
      </c>
      <c r="E41" s="21" t="s">
        <v>74</v>
      </c>
      <c r="F41" s="22"/>
      <c r="G41" s="22"/>
      <c r="H41" s="22"/>
      <c r="I41" s="22">
        <v>0.5</v>
      </c>
      <c r="J41" s="23"/>
    </row>
    <row r="42" spans="3:11">
      <c r="C42" s="24"/>
      <c r="D42" s="24"/>
      <c r="E42" s="24" t="s">
        <v>75</v>
      </c>
      <c r="J42" s="12"/>
      <c r="K42" t="s">
        <v>76</v>
      </c>
    </row>
    <row r="43" spans="3:11">
      <c r="C43" s="24"/>
      <c r="D43" s="24"/>
      <c r="E43" s="24"/>
      <c r="F43" t="s">
        <v>59</v>
      </c>
      <c r="G43" s="28" t="s">
        <v>77</v>
      </c>
      <c r="H43" t="s">
        <v>78</v>
      </c>
      <c r="J43" s="12"/>
      <c r="K43" t="s">
        <v>79</v>
      </c>
    </row>
    <row r="44" spans="3:11">
      <c r="C44" s="24"/>
      <c r="D44" s="24"/>
      <c r="E44" s="24"/>
      <c r="F44" t="s">
        <v>80</v>
      </c>
      <c r="G44" s="28" t="s">
        <v>99</v>
      </c>
      <c r="J44" s="32" t="s">
        <v>100</v>
      </c>
      <c r="K44" t="s">
        <v>82</v>
      </c>
    </row>
    <row r="45" spans="3:11">
      <c r="C45" s="24"/>
      <c r="D45" s="24"/>
      <c r="E45" s="24"/>
      <c r="F45" t="s">
        <v>65</v>
      </c>
      <c r="G45">
        <v>355</v>
      </c>
      <c r="H45" s="31">
        <f>G45*0.03</f>
        <v>10.65</v>
      </c>
      <c r="I45" s="31">
        <v>0.3</v>
      </c>
      <c r="J45" s="12">
        <v>0.34375</v>
      </c>
    </row>
    <row r="46" spans="3:11">
      <c r="C46" s="24"/>
      <c r="D46" s="24"/>
      <c r="E46" s="24"/>
      <c r="F46" t="s">
        <v>67</v>
      </c>
      <c r="G46">
        <v>1499</v>
      </c>
      <c r="H46" s="31">
        <f t="shared" ref="H46:H49" si="2">G46*0.03</f>
        <v>44.97</v>
      </c>
      <c r="I46" s="31">
        <v>1.4</v>
      </c>
      <c r="J46" s="12">
        <v>1.40625</v>
      </c>
    </row>
    <row r="47" spans="3:11">
      <c r="C47" s="24"/>
      <c r="D47" s="24"/>
      <c r="E47" s="24"/>
      <c r="F47" t="s">
        <v>68</v>
      </c>
      <c r="G47">
        <v>348</v>
      </c>
      <c r="H47" s="31">
        <f t="shared" si="2"/>
        <v>10.44</v>
      </c>
      <c r="I47" s="31">
        <v>0.3</v>
      </c>
      <c r="J47" s="12">
        <v>0.3125</v>
      </c>
    </row>
    <row r="48" spans="3:11">
      <c r="C48" s="24"/>
      <c r="D48" s="24"/>
      <c r="E48" s="24"/>
      <c r="F48" t="s">
        <v>69</v>
      </c>
      <c r="G48">
        <v>589</v>
      </c>
      <c r="H48" s="31">
        <f t="shared" si="2"/>
        <v>17.669999999999998</v>
      </c>
      <c r="I48" s="31">
        <v>0.6</v>
      </c>
      <c r="J48" s="12">
        <v>0.5625</v>
      </c>
    </row>
    <row r="49" spans="3:11">
      <c r="C49" s="24"/>
      <c r="D49" s="24"/>
      <c r="E49" s="24"/>
      <c r="F49" t="s">
        <v>71</v>
      </c>
      <c r="G49">
        <v>2166</v>
      </c>
      <c r="H49" s="31">
        <f t="shared" si="2"/>
        <v>64.98</v>
      </c>
      <c r="I49" s="31">
        <v>2</v>
      </c>
      <c r="J49" s="12">
        <v>2.03125</v>
      </c>
    </row>
    <row r="50" spans="3:11">
      <c r="C50" s="24"/>
      <c r="D50" s="25"/>
      <c r="E50" s="25"/>
      <c r="F50" s="26"/>
      <c r="G50" s="26"/>
      <c r="H50" s="26"/>
      <c r="I50" s="26"/>
      <c r="J50" s="27"/>
    </row>
    <row r="51" spans="3:11">
      <c r="C51" s="24"/>
      <c r="D51" s="21" t="s">
        <v>22</v>
      </c>
      <c r="E51" s="21" t="s">
        <v>83</v>
      </c>
      <c r="F51" s="22" t="s">
        <v>84</v>
      </c>
      <c r="G51" s="22"/>
      <c r="H51" s="22"/>
      <c r="I51" s="22">
        <v>3</v>
      </c>
      <c r="J51" s="23"/>
    </row>
    <row r="52" spans="3:11">
      <c r="C52" s="24"/>
      <c r="D52" s="24"/>
      <c r="E52" s="24" t="s">
        <v>85</v>
      </c>
      <c r="I52">
        <v>5</v>
      </c>
      <c r="J52" s="12"/>
      <c r="K52" t="s">
        <v>86</v>
      </c>
    </row>
    <row r="53" spans="3:11">
      <c r="C53" s="24"/>
      <c r="D53" s="25"/>
      <c r="E53" s="25"/>
      <c r="F53" s="26"/>
      <c r="G53" s="26"/>
      <c r="H53" s="26"/>
      <c r="I53" s="26"/>
      <c r="J53" s="27"/>
    </row>
    <row r="54" spans="3:11">
      <c r="C54" s="24"/>
      <c r="D54" s="21" t="s">
        <v>87</v>
      </c>
      <c r="E54" s="21" t="s">
        <v>88</v>
      </c>
      <c r="F54" s="22" t="s">
        <v>89</v>
      </c>
      <c r="G54" s="22"/>
      <c r="H54" s="22"/>
      <c r="I54" s="22">
        <v>7.5</v>
      </c>
      <c r="J54" s="23"/>
    </row>
    <row r="55" spans="3:11">
      <c r="C55" s="24"/>
      <c r="D55" s="24"/>
      <c r="E55" s="24" t="s">
        <v>90</v>
      </c>
      <c r="F55" t="s">
        <v>91</v>
      </c>
      <c r="I55">
        <v>15</v>
      </c>
      <c r="J55" s="12"/>
    </row>
    <row r="56" spans="3:11">
      <c r="C56" s="24"/>
      <c r="D56" s="25"/>
      <c r="E56" s="25" t="s">
        <v>92</v>
      </c>
      <c r="F56" s="26" t="s">
        <v>93</v>
      </c>
      <c r="G56" s="26"/>
      <c r="H56" s="26" t="s">
        <v>94</v>
      </c>
      <c r="I56" s="26">
        <v>50</v>
      </c>
      <c r="J56" s="27" t="s">
        <v>95</v>
      </c>
      <c r="K56" t="s">
        <v>101</v>
      </c>
    </row>
    <row r="57" spans="3:11">
      <c r="C57" s="25"/>
      <c r="D57" s="25" t="s">
        <v>30</v>
      </c>
      <c r="E57" s="25"/>
      <c r="F57" s="26"/>
      <c r="G57" s="26"/>
      <c r="H57" s="26"/>
      <c r="I57" s="26">
        <f>SUM(I21:I56)</f>
        <v>211.85</v>
      </c>
      <c r="J57" s="27" t="s">
        <v>15</v>
      </c>
    </row>
    <row r="58" spans="3:11">
      <c r="I58">
        <f>I57/20</f>
        <v>10.592499999999999</v>
      </c>
      <c r="J58" t="s">
        <v>16</v>
      </c>
    </row>
  </sheetData>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P53"/>
  <sheetViews>
    <sheetView topLeftCell="A32" workbookViewId="0">
      <selection activeCell="C52" sqref="C52"/>
    </sheetView>
  </sheetViews>
  <sheetFormatPr defaultRowHeight="18.75"/>
  <cols>
    <col min="2" max="2" width="24.5" customWidth="1"/>
    <col min="3" max="3" width="13.75" customWidth="1"/>
    <col min="5" max="13" width="11.125" bestFit="1" customWidth="1"/>
    <col min="14" max="14" width="12.25" bestFit="1" customWidth="1"/>
    <col min="15" max="15" width="11.125" bestFit="1" customWidth="1"/>
  </cols>
  <sheetData>
    <row r="3" spans="2:15">
      <c r="B3" s="39" t="s">
        <v>102</v>
      </c>
      <c r="C3" s="40"/>
      <c r="D3" s="21" t="s">
        <v>103</v>
      </c>
      <c r="E3" s="22"/>
      <c r="F3" s="22"/>
      <c r="G3" s="22"/>
      <c r="H3" s="22"/>
      <c r="I3" s="22"/>
      <c r="J3" s="22"/>
      <c r="K3" s="22"/>
      <c r="L3" s="22"/>
      <c r="M3" s="22">
        <v>2026</v>
      </c>
      <c r="N3" s="22"/>
      <c r="O3" s="23"/>
    </row>
    <row r="4" spans="2:15">
      <c r="B4" s="24" t="s">
        <v>104</v>
      </c>
      <c r="D4" s="29" t="s">
        <v>105</v>
      </c>
      <c r="E4" s="29" t="s">
        <v>106</v>
      </c>
      <c r="F4" s="29" t="s">
        <v>107</v>
      </c>
      <c r="G4" s="29" t="s">
        <v>108</v>
      </c>
      <c r="H4" s="29" t="s">
        <v>109</v>
      </c>
      <c r="I4" s="29" t="s">
        <v>110</v>
      </c>
      <c r="J4" s="29" t="s">
        <v>111</v>
      </c>
      <c r="K4" s="29" t="s">
        <v>112</v>
      </c>
      <c r="L4" s="29" t="s">
        <v>113</v>
      </c>
      <c r="M4" s="29" t="s">
        <v>114</v>
      </c>
      <c r="N4" s="29" t="s">
        <v>115</v>
      </c>
      <c r="O4" s="29" t="s">
        <v>116</v>
      </c>
    </row>
    <row r="5" spans="2:15">
      <c r="B5" s="24" t="s">
        <v>117</v>
      </c>
      <c r="D5" s="10"/>
      <c r="E5" s="10"/>
      <c r="F5" s="10"/>
      <c r="G5" s="10"/>
      <c r="H5" s="10"/>
      <c r="I5" s="10" t="s">
        <v>118</v>
      </c>
      <c r="J5" s="10"/>
      <c r="K5" s="10"/>
      <c r="L5" s="10"/>
      <c r="M5" s="10"/>
      <c r="N5" s="10"/>
      <c r="O5" s="10"/>
    </row>
    <row r="6" spans="2:15">
      <c r="B6" s="24" t="s">
        <v>119</v>
      </c>
      <c r="D6" s="10"/>
      <c r="E6" s="10"/>
      <c r="F6" s="10"/>
      <c r="G6" s="10"/>
      <c r="H6" s="10"/>
      <c r="I6" s="10"/>
      <c r="J6" s="10" t="s">
        <v>118</v>
      </c>
      <c r="K6" s="10"/>
      <c r="L6" s="10"/>
      <c r="M6" s="10"/>
      <c r="N6" s="10"/>
      <c r="O6" s="10"/>
    </row>
    <row r="7" spans="2:15">
      <c r="B7" s="24" t="s">
        <v>120</v>
      </c>
      <c r="D7" s="10"/>
      <c r="E7" s="10"/>
      <c r="F7" s="10"/>
      <c r="G7" s="10"/>
      <c r="H7" s="10" t="s">
        <v>118</v>
      </c>
      <c r="I7" s="10"/>
      <c r="J7" s="10"/>
      <c r="K7" s="10"/>
      <c r="L7" s="10"/>
      <c r="M7" s="10"/>
      <c r="N7" s="10"/>
      <c r="O7" s="10"/>
    </row>
    <row r="8" spans="2:15">
      <c r="B8" s="24" t="s">
        <v>121</v>
      </c>
      <c r="D8" s="10"/>
      <c r="E8" s="10"/>
      <c r="F8" s="10"/>
      <c r="G8" s="10"/>
      <c r="H8" s="10"/>
      <c r="I8" s="10"/>
      <c r="J8" s="10"/>
      <c r="K8" s="10" t="s">
        <v>118</v>
      </c>
      <c r="L8" s="10"/>
      <c r="M8" s="10"/>
      <c r="N8" s="10"/>
      <c r="O8" s="10"/>
    </row>
    <row r="9" spans="2:15">
      <c r="B9" s="24" t="s">
        <v>122</v>
      </c>
      <c r="D9" s="10"/>
      <c r="E9" s="10"/>
      <c r="F9" s="10"/>
      <c r="G9" s="10"/>
      <c r="H9" s="10"/>
      <c r="I9" s="10"/>
      <c r="J9" s="10"/>
      <c r="K9" s="10"/>
      <c r="L9" s="10"/>
      <c r="M9" s="10" t="s">
        <v>118</v>
      </c>
      <c r="N9" s="10"/>
      <c r="O9" s="10"/>
    </row>
    <row r="10" spans="2:15">
      <c r="B10" s="25"/>
      <c r="C10" s="27"/>
      <c r="D10" s="10"/>
      <c r="E10" s="10"/>
      <c r="F10" s="10"/>
      <c r="G10" s="10"/>
      <c r="H10" s="10"/>
      <c r="I10" s="10"/>
      <c r="J10" s="10"/>
      <c r="K10" s="10"/>
      <c r="L10" s="10"/>
      <c r="M10" s="10"/>
      <c r="N10" s="10"/>
      <c r="O10" s="10"/>
    </row>
    <row r="11" spans="2:15">
      <c r="B11" s="24" t="s">
        <v>123</v>
      </c>
      <c r="D11" s="29" t="s">
        <v>105</v>
      </c>
      <c r="E11" s="29" t="s">
        <v>106</v>
      </c>
      <c r="F11" s="29" t="s">
        <v>107</v>
      </c>
      <c r="G11" s="29" t="s">
        <v>108</v>
      </c>
      <c r="H11" s="29" t="s">
        <v>109</v>
      </c>
      <c r="I11" s="29" t="s">
        <v>110</v>
      </c>
      <c r="J11" s="29" t="s">
        <v>111</v>
      </c>
      <c r="K11" s="29" t="s">
        <v>112</v>
      </c>
      <c r="L11" s="29" t="s">
        <v>113</v>
      </c>
      <c r="M11" s="29" t="s">
        <v>114</v>
      </c>
      <c r="N11" s="29" t="s">
        <v>115</v>
      </c>
      <c r="O11" s="29" t="s">
        <v>116</v>
      </c>
    </row>
    <row r="12" spans="2:15" hidden="1">
      <c r="B12" s="24" t="s">
        <v>117</v>
      </c>
      <c r="D12" s="10"/>
      <c r="E12" s="10"/>
      <c r="F12" s="10"/>
      <c r="G12" s="10"/>
      <c r="H12" s="10"/>
      <c r="I12" s="10"/>
      <c r="J12" s="10"/>
      <c r="K12" s="10"/>
      <c r="L12" s="10"/>
      <c r="M12" s="10"/>
      <c r="N12" s="10"/>
      <c r="O12" s="10"/>
    </row>
    <row r="13" spans="2:15" hidden="1">
      <c r="B13" s="24" t="s">
        <v>119</v>
      </c>
      <c r="D13" s="10"/>
      <c r="E13" s="10"/>
      <c r="F13" s="10"/>
      <c r="G13" s="10"/>
      <c r="H13" s="10"/>
      <c r="I13" s="10"/>
      <c r="J13" s="10"/>
      <c r="K13" s="10"/>
      <c r="L13" s="10"/>
      <c r="M13" s="10"/>
      <c r="N13" s="10"/>
      <c r="O13" s="10"/>
    </row>
    <row r="14" spans="2:15" hidden="1">
      <c r="B14" s="24" t="s">
        <v>120</v>
      </c>
      <c r="D14" s="10"/>
      <c r="E14" s="10"/>
      <c r="F14" s="10"/>
      <c r="G14" s="10"/>
      <c r="H14" s="10"/>
      <c r="I14" s="10"/>
      <c r="J14" s="10"/>
      <c r="K14" s="10"/>
      <c r="L14" s="10"/>
      <c r="M14" s="10"/>
      <c r="N14" s="10"/>
      <c r="O14" s="10"/>
    </row>
    <row r="15" spans="2:15" hidden="1">
      <c r="B15" s="24" t="s">
        <v>121</v>
      </c>
      <c r="D15" s="10"/>
      <c r="E15" s="10"/>
      <c r="F15" s="10"/>
      <c r="G15" s="10"/>
      <c r="H15" s="10"/>
      <c r="I15" s="10"/>
      <c r="J15" s="10"/>
      <c r="K15" s="10"/>
      <c r="L15" s="10"/>
      <c r="M15" s="10"/>
      <c r="N15" s="10"/>
      <c r="O15" s="10"/>
    </row>
    <row r="16" spans="2:15" hidden="1">
      <c r="B16" s="24" t="s">
        <v>122</v>
      </c>
      <c r="D16" s="10"/>
      <c r="E16" s="10"/>
      <c r="F16" s="10"/>
      <c r="G16" s="10"/>
      <c r="H16" s="10"/>
      <c r="I16" s="10"/>
      <c r="J16" s="10"/>
      <c r="K16" s="10"/>
      <c r="L16" s="10"/>
      <c r="M16" s="10"/>
      <c r="N16" s="10"/>
      <c r="O16" s="10"/>
    </row>
    <row r="17" spans="2:15" hidden="1">
      <c r="B17" s="24"/>
      <c r="D17" s="10"/>
      <c r="E17" s="10"/>
      <c r="F17" s="10"/>
      <c r="G17" s="10"/>
      <c r="H17" s="10"/>
      <c r="I17" s="10"/>
      <c r="J17" s="10"/>
      <c r="K17" s="10"/>
      <c r="L17" s="10"/>
      <c r="M17" s="10"/>
      <c r="N17" s="10"/>
      <c r="O17" s="10"/>
    </row>
    <row r="18" spans="2:15">
      <c r="B18" s="24" t="s">
        <v>14</v>
      </c>
      <c r="D18" s="10"/>
      <c r="E18" s="10"/>
      <c r="F18" s="10"/>
      <c r="G18" s="10"/>
      <c r="H18" s="10"/>
      <c r="I18" s="10"/>
      <c r="J18" s="10"/>
      <c r="K18" s="10"/>
      <c r="L18" s="10"/>
      <c r="M18" s="10"/>
      <c r="N18" s="10"/>
      <c r="O18" s="10"/>
    </row>
    <row r="19" spans="2:15">
      <c r="B19" s="24" t="s">
        <v>18</v>
      </c>
      <c r="D19" s="10"/>
      <c r="E19" s="10"/>
      <c r="F19" s="10"/>
      <c r="G19" s="10"/>
      <c r="H19" s="10"/>
      <c r="I19" s="10"/>
      <c r="J19" s="10"/>
      <c r="K19" s="10"/>
      <c r="L19" s="10"/>
      <c r="M19" s="10"/>
      <c r="N19" s="10"/>
      <c r="O19" s="10"/>
    </row>
    <row r="20" spans="2:15">
      <c r="B20" s="24" t="s">
        <v>124</v>
      </c>
      <c r="C20" t="s">
        <v>20</v>
      </c>
      <c r="D20" s="10"/>
      <c r="E20" s="10"/>
      <c r="F20" s="10"/>
      <c r="G20" s="10"/>
      <c r="H20" s="10"/>
      <c r="I20" s="10"/>
      <c r="J20" s="10"/>
      <c r="K20" s="10"/>
      <c r="L20" s="10"/>
      <c r="M20" s="10"/>
      <c r="N20" s="10"/>
      <c r="O20" s="10"/>
    </row>
    <row r="21" spans="2:15">
      <c r="B21" s="24" t="s">
        <v>124</v>
      </c>
      <c r="C21" t="s">
        <v>21</v>
      </c>
      <c r="D21" s="10"/>
      <c r="E21" s="10"/>
      <c r="F21" s="10"/>
      <c r="G21" s="10"/>
      <c r="H21" s="10"/>
      <c r="I21" s="10"/>
      <c r="J21" s="10"/>
      <c r="K21" s="10"/>
      <c r="L21" s="10"/>
      <c r="M21" s="10"/>
      <c r="N21" s="10"/>
      <c r="O21" s="10"/>
    </row>
    <row r="22" spans="2:15">
      <c r="B22" s="24" t="s">
        <v>124</v>
      </c>
      <c r="C22" t="s">
        <v>22</v>
      </c>
      <c r="D22" s="10"/>
      <c r="E22" s="10"/>
      <c r="F22" s="10"/>
      <c r="G22" s="10"/>
      <c r="H22" s="10"/>
      <c r="I22" s="10"/>
      <c r="J22" s="10"/>
      <c r="K22" s="10"/>
      <c r="L22" s="10"/>
      <c r="M22" s="10"/>
      <c r="N22" s="10"/>
      <c r="O22" s="10"/>
    </row>
    <row r="23" spans="2:15">
      <c r="B23" s="24" t="s">
        <v>124</v>
      </c>
      <c r="C23" t="s">
        <v>23</v>
      </c>
      <c r="D23" s="10"/>
      <c r="E23" s="10"/>
      <c r="F23" s="10"/>
      <c r="G23" s="10"/>
      <c r="H23" s="10"/>
      <c r="I23" s="10"/>
      <c r="J23" s="10"/>
      <c r="K23" s="10"/>
      <c r="L23" s="10"/>
      <c r="M23" s="10"/>
      <c r="N23" s="10"/>
      <c r="O23" s="10"/>
    </row>
    <row r="24" spans="2:15">
      <c r="B24" s="24" t="s">
        <v>124</v>
      </c>
      <c r="C24" t="s">
        <v>125</v>
      </c>
      <c r="D24" s="10"/>
      <c r="E24" s="10"/>
      <c r="F24" s="10"/>
      <c r="G24" s="10"/>
      <c r="H24" s="10"/>
      <c r="I24" s="10"/>
      <c r="J24" s="10"/>
      <c r="K24" s="10"/>
      <c r="L24" s="10"/>
      <c r="M24" s="10"/>
      <c r="N24" s="10"/>
      <c r="O24" s="10"/>
    </row>
    <row r="25" spans="2:15">
      <c r="B25" s="24" t="s">
        <v>126</v>
      </c>
      <c r="C25" t="s">
        <v>20</v>
      </c>
      <c r="D25" s="10"/>
      <c r="E25" s="10"/>
      <c r="F25" s="10"/>
      <c r="G25" s="10"/>
      <c r="H25" s="10"/>
      <c r="I25" s="10"/>
      <c r="J25" s="10"/>
      <c r="K25" s="10"/>
      <c r="L25" s="10"/>
      <c r="M25" s="10"/>
      <c r="N25" s="10"/>
      <c r="O25" s="10"/>
    </row>
    <row r="26" spans="2:15">
      <c r="B26" s="24" t="s">
        <v>126</v>
      </c>
      <c r="C26" t="s">
        <v>21</v>
      </c>
      <c r="D26" s="10"/>
      <c r="E26" s="10"/>
      <c r="F26" s="10"/>
      <c r="G26" s="10"/>
      <c r="H26" s="10"/>
      <c r="I26" s="10"/>
      <c r="J26" s="10"/>
      <c r="K26" s="10"/>
      <c r="L26" s="10"/>
      <c r="M26" s="10"/>
      <c r="N26" s="10"/>
      <c r="O26" s="10"/>
    </row>
    <row r="27" spans="2:15">
      <c r="B27" s="24" t="s">
        <v>126</v>
      </c>
      <c r="C27" t="s">
        <v>22</v>
      </c>
      <c r="D27" s="10"/>
      <c r="E27" s="10"/>
      <c r="F27" s="10"/>
      <c r="G27" s="10"/>
      <c r="H27" s="10"/>
      <c r="I27" s="10"/>
      <c r="J27" s="10"/>
      <c r="K27" s="10"/>
      <c r="L27" s="10"/>
      <c r="M27" s="10"/>
      <c r="N27" s="10"/>
      <c r="O27" s="10"/>
    </row>
    <row r="28" spans="2:15">
      <c r="B28" s="24" t="s">
        <v>126</v>
      </c>
      <c r="C28" t="s">
        <v>23</v>
      </c>
      <c r="D28" s="10"/>
      <c r="E28" s="10"/>
      <c r="F28" s="10"/>
      <c r="G28" s="10"/>
      <c r="H28" s="10"/>
      <c r="I28" s="10"/>
      <c r="J28" s="10"/>
      <c r="K28" s="10"/>
      <c r="L28" s="10"/>
      <c r="M28" s="10"/>
      <c r="N28" s="10"/>
      <c r="O28" s="10"/>
    </row>
    <row r="29" spans="2:15">
      <c r="B29" s="24" t="s">
        <v>126</v>
      </c>
      <c r="C29" t="s">
        <v>125</v>
      </c>
      <c r="D29" s="10"/>
      <c r="E29" s="10"/>
      <c r="F29" s="10"/>
      <c r="G29" s="10"/>
      <c r="H29" s="10"/>
      <c r="I29" s="10"/>
      <c r="J29" s="10"/>
      <c r="K29" s="10"/>
      <c r="L29" s="10"/>
      <c r="M29" s="10"/>
      <c r="N29" s="10"/>
      <c r="O29" s="10"/>
    </row>
    <row r="30" spans="2:15">
      <c r="B30" s="24" t="s">
        <v>127</v>
      </c>
      <c r="C30" t="s">
        <v>20</v>
      </c>
      <c r="D30" s="10"/>
      <c r="E30" s="10"/>
      <c r="F30" s="10"/>
      <c r="G30" s="10"/>
      <c r="H30" s="10"/>
      <c r="I30" s="10"/>
      <c r="J30" s="10"/>
      <c r="K30" s="10"/>
      <c r="L30" s="10"/>
      <c r="M30" s="10"/>
      <c r="N30" s="10"/>
      <c r="O30" s="10"/>
    </row>
    <row r="31" spans="2:15">
      <c r="B31" s="24" t="s">
        <v>127</v>
      </c>
      <c r="C31" t="s">
        <v>21</v>
      </c>
      <c r="D31" s="10"/>
      <c r="E31" s="10"/>
      <c r="F31" s="10"/>
      <c r="G31" s="10"/>
      <c r="H31" s="10"/>
      <c r="I31" s="10"/>
      <c r="J31" s="10"/>
      <c r="K31" s="10"/>
      <c r="L31" s="10"/>
      <c r="M31" s="10"/>
      <c r="N31" s="10"/>
      <c r="O31" s="10"/>
    </row>
    <row r="32" spans="2:15">
      <c r="B32" s="24" t="s">
        <v>127</v>
      </c>
      <c r="C32" t="s">
        <v>22</v>
      </c>
      <c r="D32" s="10"/>
      <c r="E32" s="10"/>
      <c r="F32" s="10"/>
      <c r="G32" s="10"/>
      <c r="H32" s="10"/>
      <c r="I32" s="10"/>
      <c r="J32" s="10"/>
      <c r="K32" s="10"/>
      <c r="L32" s="10"/>
      <c r="M32" s="10"/>
      <c r="N32" s="10"/>
      <c r="O32" s="10"/>
    </row>
    <row r="33" spans="2:15">
      <c r="B33" s="24" t="s">
        <v>127</v>
      </c>
      <c r="C33" t="s">
        <v>23</v>
      </c>
      <c r="D33" s="10"/>
      <c r="E33" s="10"/>
      <c r="F33" s="10"/>
      <c r="G33" s="10"/>
      <c r="H33" s="10"/>
      <c r="I33" s="10"/>
      <c r="J33" s="10"/>
      <c r="K33" s="10"/>
      <c r="L33" s="10"/>
      <c r="M33" s="10"/>
      <c r="N33" s="10"/>
      <c r="O33" s="10"/>
    </row>
    <row r="34" spans="2:15">
      <c r="B34" s="24" t="s">
        <v>127</v>
      </c>
      <c r="C34" t="s">
        <v>125</v>
      </c>
      <c r="D34" s="10"/>
      <c r="E34" s="10"/>
      <c r="F34" s="10"/>
      <c r="G34" s="10"/>
      <c r="H34" s="10"/>
      <c r="I34" s="10"/>
      <c r="J34" s="10"/>
      <c r="K34" s="10"/>
      <c r="L34" s="10"/>
      <c r="M34" s="10"/>
      <c r="N34" s="10"/>
      <c r="O34" s="10"/>
    </row>
    <row r="35" spans="2:15">
      <c r="B35" s="24" t="s">
        <v>128</v>
      </c>
      <c r="C35" t="s">
        <v>20</v>
      </c>
      <c r="D35" s="10"/>
      <c r="E35" s="10"/>
      <c r="F35" s="10"/>
      <c r="G35" s="10"/>
      <c r="H35" s="10"/>
      <c r="I35" s="10"/>
      <c r="J35" s="10"/>
      <c r="K35" s="10"/>
      <c r="L35" s="10"/>
      <c r="M35" s="10"/>
      <c r="N35" s="10"/>
      <c r="O35" s="10"/>
    </row>
    <row r="36" spans="2:15">
      <c r="B36" s="24" t="s">
        <v>128</v>
      </c>
      <c r="C36" t="s">
        <v>21</v>
      </c>
      <c r="D36" s="10"/>
      <c r="E36" s="10"/>
      <c r="F36" s="10"/>
      <c r="G36" s="10"/>
      <c r="H36" s="10"/>
      <c r="I36" s="10"/>
      <c r="J36" s="10"/>
      <c r="K36" s="10"/>
      <c r="L36" s="10"/>
      <c r="M36" s="10"/>
      <c r="N36" s="10"/>
      <c r="O36" s="10"/>
    </row>
    <row r="37" spans="2:15">
      <c r="B37" s="24" t="s">
        <v>128</v>
      </c>
      <c r="C37" t="s">
        <v>22</v>
      </c>
      <c r="D37" s="10"/>
      <c r="E37" s="10"/>
      <c r="F37" s="10"/>
      <c r="G37" s="10"/>
      <c r="H37" s="10"/>
      <c r="I37" s="10"/>
      <c r="J37" s="10"/>
      <c r="K37" s="10"/>
      <c r="L37" s="10"/>
      <c r="M37" s="10"/>
      <c r="N37" s="10"/>
      <c r="O37" s="10"/>
    </row>
    <row r="38" spans="2:15">
      <c r="B38" s="24" t="s">
        <v>128</v>
      </c>
      <c r="C38" t="s">
        <v>23</v>
      </c>
      <c r="D38" s="10"/>
      <c r="E38" s="10"/>
      <c r="F38" s="10"/>
      <c r="G38" s="10"/>
      <c r="H38" s="10"/>
      <c r="I38" s="10"/>
      <c r="J38" s="10"/>
      <c r="K38" s="10"/>
      <c r="L38" s="10"/>
      <c r="M38" s="10"/>
      <c r="N38" s="10"/>
      <c r="O38" s="10"/>
    </row>
    <row r="39" spans="2:15">
      <c r="B39" s="24" t="s">
        <v>128</v>
      </c>
      <c r="C39" t="s">
        <v>125</v>
      </c>
      <c r="D39" s="10"/>
      <c r="E39" s="10"/>
      <c r="F39" s="10"/>
      <c r="G39" s="10"/>
      <c r="H39" s="10"/>
      <c r="I39" s="10"/>
      <c r="J39" s="10"/>
      <c r="K39" s="10"/>
      <c r="L39" s="10"/>
      <c r="M39" s="10"/>
      <c r="N39" s="10"/>
      <c r="O39" s="10"/>
    </row>
    <row r="40" spans="2:15">
      <c r="B40" s="24" t="s">
        <v>129</v>
      </c>
      <c r="C40" t="s">
        <v>20</v>
      </c>
      <c r="D40" s="10"/>
      <c r="E40" s="10"/>
      <c r="F40" s="10"/>
      <c r="G40" s="10"/>
      <c r="H40" s="10"/>
      <c r="I40" s="10"/>
      <c r="J40" s="10"/>
      <c r="K40" s="10"/>
      <c r="L40" s="10"/>
      <c r="M40" s="10"/>
      <c r="N40" s="10"/>
      <c r="O40" s="10"/>
    </row>
    <row r="41" spans="2:15">
      <c r="B41" s="24" t="s">
        <v>129</v>
      </c>
      <c r="C41" t="s">
        <v>21</v>
      </c>
      <c r="D41" s="10"/>
      <c r="E41" s="10"/>
      <c r="F41" s="10"/>
      <c r="G41" s="10"/>
      <c r="H41" s="10"/>
      <c r="I41" s="10"/>
      <c r="J41" s="10"/>
      <c r="K41" s="10"/>
      <c r="L41" s="10"/>
      <c r="M41" s="10"/>
      <c r="N41" s="10"/>
      <c r="O41" s="10"/>
    </row>
    <row r="42" spans="2:15">
      <c r="B42" s="24" t="s">
        <v>129</v>
      </c>
      <c r="C42" t="s">
        <v>22</v>
      </c>
      <c r="D42" s="10"/>
      <c r="E42" s="10"/>
      <c r="F42" s="10"/>
      <c r="G42" s="10"/>
      <c r="H42" s="10"/>
      <c r="I42" s="10"/>
      <c r="J42" s="10"/>
      <c r="K42" s="10"/>
      <c r="L42" s="10"/>
      <c r="M42" s="10"/>
      <c r="N42" s="10"/>
      <c r="O42" s="10"/>
    </row>
    <row r="43" spans="2:15">
      <c r="B43" s="24" t="s">
        <v>129</v>
      </c>
      <c r="C43" t="s">
        <v>23</v>
      </c>
      <c r="D43" s="10"/>
      <c r="E43" s="10"/>
      <c r="F43" s="10"/>
      <c r="G43" s="10"/>
      <c r="H43" s="10"/>
      <c r="I43" s="10"/>
      <c r="J43" s="10"/>
      <c r="K43" s="10"/>
      <c r="L43" s="10"/>
      <c r="M43" s="10"/>
      <c r="N43" s="10"/>
      <c r="O43" s="10"/>
    </row>
    <row r="44" spans="2:15">
      <c r="B44" s="25" t="s">
        <v>129</v>
      </c>
      <c r="C44" s="27" t="s">
        <v>125</v>
      </c>
      <c r="D44" s="30"/>
      <c r="E44" s="30"/>
      <c r="F44" s="30"/>
      <c r="G44" s="30"/>
      <c r="H44" s="30"/>
      <c r="I44" s="30"/>
      <c r="J44" s="30"/>
      <c r="K44" s="30"/>
      <c r="L44" s="30"/>
      <c r="M44" s="30"/>
      <c r="N44" s="30"/>
      <c r="O44" s="30"/>
    </row>
    <row r="45" spans="2:15">
      <c r="C45" t="s">
        <v>130</v>
      </c>
    </row>
    <row r="46" spans="2:15">
      <c r="B46" t="s">
        <v>131</v>
      </c>
      <c r="C46" s="41">
        <v>1400000</v>
      </c>
      <c r="D46" s="42"/>
      <c r="E46" s="43">
        <v>0.25</v>
      </c>
      <c r="F46" s="43">
        <v>0.25</v>
      </c>
      <c r="G46" s="43">
        <v>0.25</v>
      </c>
      <c r="H46" s="43">
        <v>0.25</v>
      </c>
      <c r="I46" s="43">
        <v>0.25</v>
      </c>
      <c r="J46" s="43">
        <v>0.25</v>
      </c>
      <c r="K46" s="43">
        <v>0.25</v>
      </c>
      <c r="L46" s="43">
        <v>0.25</v>
      </c>
      <c r="M46" s="43">
        <v>0.25</v>
      </c>
      <c r="N46" s="42"/>
      <c r="O46" s="42"/>
    </row>
    <row r="47" spans="2:15">
      <c r="B47" t="s">
        <v>132</v>
      </c>
      <c r="C47" s="41">
        <v>1000000</v>
      </c>
      <c r="D47" s="42"/>
      <c r="E47" s="43">
        <v>1</v>
      </c>
      <c r="F47" s="43">
        <v>1.5</v>
      </c>
      <c r="G47" s="43">
        <v>1.5</v>
      </c>
      <c r="H47" s="43">
        <v>1.5</v>
      </c>
      <c r="I47" s="43">
        <v>1.5</v>
      </c>
      <c r="J47" s="43">
        <v>1.5</v>
      </c>
      <c r="K47" s="43">
        <v>1.5</v>
      </c>
      <c r="L47" s="43">
        <v>1</v>
      </c>
      <c r="M47" s="43">
        <v>1</v>
      </c>
      <c r="N47" s="42"/>
      <c r="O47" s="42"/>
    </row>
    <row r="48" spans="2:15">
      <c r="E48" s="44">
        <f>($C46*E46)+($C47*E47)</f>
        <v>1350000</v>
      </c>
      <c r="F48" s="44">
        <f t="shared" ref="F48:M48" si="0">($C46*F46)+($C47*F47)</f>
        <v>1850000</v>
      </c>
      <c r="G48" s="44">
        <f t="shared" si="0"/>
        <v>1850000</v>
      </c>
      <c r="H48" s="44">
        <f t="shared" si="0"/>
        <v>1850000</v>
      </c>
      <c r="I48" s="44">
        <f t="shared" si="0"/>
        <v>1850000</v>
      </c>
      <c r="J48" s="44">
        <f t="shared" si="0"/>
        <v>1850000</v>
      </c>
      <c r="K48" s="44">
        <f t="shared" si="0"/>
        <v>1850000</v>
      </c>
      <c r="L48" s="44">
        <f t="shared" si="0"/>
        <v>1350000</v>
      </c>
      <c r="M48" s="44">
        <f t="shared" si="0"/>
        <v>1350000</v>
      </c>
      <c r="N48" s="44">
        <f>SUM(E48:M48)</f>
        <v>15150000</v>
      </c>
    </row>
    <row r="49" spans="2:16">
      <c r="E49" s="44"/>
      <c r="F49" s="44"/>
      <c r="G49" s="44"/>
      <c r="H49" s="44"/>
      <c r="I49" s="44"/>
      <c r="J49" s="44"/>
      <c r="K49" s="44"/>
      <c r="L49" s="44"/>
      <c r="M49" s="44"/>
    </row>
    <row r="50" spans="2:16">
      <c r="C50" t="s">
        <v>133</v>
      </c>
    </row>
    <row r="51" spans="2:16">
      <c r="B51" t="s">
        <v>131</v>
      </c>
      <c r="C51" s="41">
        <v>900000</v>
      </c>
    </row>
    <row r="52" spans="2:16">
      <c r="B52" t="s">
        <v>132</v>
      </c>
      <c r="C52" s="41">
        <v>800000</v>
      </c>
      <c r="O52" t="s">
        <v>134</v>
      </c>
      <c r="P52" t="s">
        <v>135</v>
      </c>
    </row>
    <row r="53" spans="2:16">
      <c r="E53" s="44">
        <f>($C51*E46)+($C52*E47)</f>
        <v>1025000</v>
      </c>
      <c r="F53" s="44">
        <f t="shared" ref="F53:M53" si="1">($C51*F46)+($C52*F47)</f>
        <v>1425000</v>
      </c>
      <c r="G53" s="44">
        <f t="shared" si="1"/>
        <v>1425000</v>
      </c>
      <c r="H53" s="44">
        <f t="shared" si="1"/>
        <v>1425000</v>
      </c>
      <c r="I53" s="44">
        <f t="shared" si="1"/>
        <v>1425000</v>
      </c>
      <c r="J53" s="44">
        <f t="shared" si="1"/>
        <v>1425000</v>
      </c>
      <c r="K53" s="44">
        <f t="shared" si="1"/>
        <v>1425000</v>
      </c>
      <c r="L53" s="44">
        <f t="shared" si="1"/>
        <v>1025000</v>
      </c>
      <c r="M53" s="44">
        <f t="shared" si="1"/>
        <v>1025000</v>
      </c>
      <c r="N53" s="44">
        <f>SUM(E53:M53)</f>
        <v>11625000</v>
      </c>
      <c r="O53" s="44">
        <f>N48-N53</f>
        <v>3525000</v>
      </c>
      <c r="P53" s="28">
        <f>O53/N48</f>
        <v>0.23267326732673269</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AD82"/>
  <sheetViews>
    <sheetView showGridLines="0" topLeftCell="M44" zoomScale="130" zoomScaleNormal="130" workbookViewId="0">
      <selection activeCell="M74" sqref="M74"/>
    </sheetView>
  </sheetViews>
  <sheetFormatPr defaultRowHeight="18.75"/>
  <cols>
    <col min="1" max="1" width="9.25" customWidth="1"/>
    <col min="2" max="2" width="4.375" customWidth="1"/>
    <col min="3" max="3" width="4" customWidth="1"/>
    <col min="4" max="4" width="9.25" bestFit="1" customWidth="1"/>
    <col min="5" max="5" width="13.125" customWidth="1"/>
    <col min="11" max="11" width="10.25" bestFit="1" customWidth="1"/>
  </cols>
  <sheetData>
    <row r="3" spans="2:12">
      <c r="B3" t="s">
        <v>136</v>
      </c>
    </row>
    <row r="5" spans="2:12">
      <c r="C5" t="s">
        <v>137</v>
      </c>
    </row>
    <row r="6" spans="2:12">
      <c r="D6" t="s">
        <v>138</v>
      </c>
    </row>
    <row r="7" spans="2:12">
      <c r="D7" t="s">
        <v>139</v>
      </c>
    </row>
    <row r="8" spans="2:12">
      <c r="D8" t="s">
        <v>140</v>
      </c>
    </row>
    <row r="9" spans="2:12">
      <c r="D9" t="s">
        <v>141</v>
      </c>
    </row>
    <row r="11" spans="2:12">
      <c r="D11" t="s">
        <v>142</v>
      </c>
    </row>
    <row r="13" spans="2:12">
      <c r="E13" t="s">
        <v>143</v>
      </c>
    </row>
    <row r="15" spans="2:12">
      <c r="D15" t="s">
        <v>144</v>
      </c>
      <c r="E15" t="s">
        <v>145</v>
      </c>
    </row>
    <row r="16" spans="2:12">
      <c r="E16" s="12" t="s">
        <v>146</v>
      </c>
      <c r="F16" s="7" t="s">
        <v>147</v>
      </c>
      <c r="G16" s="8" t="s">
        <v>148</v>
      </c>
      <c r="H16" s="8" t="s">
        <v>149</v>
      </c>
      <c r="I16" s="8" t="s">
        <v>150</v>
      </c>
      <c r="J16" s="8" t="s">
        <v>151</v>
      </c>
      <c r="K16" s="4" t="s">
        <v>152</v>
      </c>
      <c r="L16" s="8" t="s">
        <v>153</v>
      </c>
    </row>
    <row r="17" spans="4:15">
      <c r="E17" s="13">
        <v>45451</v>
      </c>
      <c r="F17" s="2" t="s">
        <v>154</v>
      </c>
      <c r="G17" s="2" t="s">
        <v>155</v>
      </c>
      <c r="H17" s="2" t="s">
        <v>156</v>
      </c>
      <c r="I17" s="2" t="s">
        <v>157</v>
      </c>
      <c r="J17" s="2" t="s">
        <v>158</v>
      </c>
      <c r="K17" s="2">
        <v>1.5</v>
      </c>
      <c r="L17" s="1">
        <v>45450</v>
      </c>
    </row>
    <row r="18" spans="4:15">
      <c r="E18" s="13">
        <v>45452</v>
      </c>
      <c r="F18" s="2" t="s">
        <v>154</v>
      </c>
      <c r="G18" s="2" t="s">
        <v>155</v>
      </c>
      <c r="H18" s="2" t="s">
        <v>156</v>
      </c>
      <c r="I18" s="2" t="s">
        <v>159</v>
      </c>
      <c r="J18" s="2" t="s">
        <v>160</v>
      </c>
      <c r="K18" s="2">
        <v>1.6</v>
      </c>
      <c r="L18" s="1">
        <v>45450</v>
      </c>
    </row>
    <row r="20" spans="4:15">
      <c r="D20" t="s">
        <v>161</v>
      </c>
      <c r="E20" t="s">
        <v>162</v>
      </c>
    </row>
    <row r="21" spans="4:15">
      <c r="E21" s="12" t="s">
        <v>163</v>
      </c>
      <c r="F21" s="6" t="s">
        <v>147</v>
      </c>
      <c r="G21" s="6" t="s">
        <v>148</v>
      </c>
      <c r="H21" s="6" t="s">
        <v>149</v>
      </c>
      <c r="I21" s="5" t="s">
        <v>150</v>
      </c>
      <c r="J21" s="5" t="s">
        <v>151</v>
      </c>
      <c r="K21" s="5" t="s">
        <v>152</v>
      </c>
      <c r="L21" s="6" t="s">
        <v>153</v>
      </c>
    </row>
    <row r="22" spans="4:15">
      <c r="E22" s="13">
        <v>45452</v>
      </c>
      <c r="F22" s="2" t="s">
        <v>154</v>
      </c>
      <c r="G22" s="2" t="s">
        <v>155</v>
      </c>
      <c r="H22" s="2" t="s">
        <v>156</v>
      </c>
      <c r="I22" s="2" t="s">
        <v>159</v>
      </c>
      <c r="J22" s="2" t="s">
        <v>160</v>
      </c>
      <c r="K22" s="2">
        <v>1.6</v>
      </c>
      <c r="L22" s="1">
        <v>45450</v>
      </c>
      <c r="N22" t="s">
        <v>164</v>
      </c>
      <c r="O22" t="s">
        <v>165</v>
      </c>
    </row>
    <row r="25" spans="4:15">
      <c r="D25" t="s">
        <v>166</v>
      </c>
    </row>
    <row r="26" spans="4:15">
      <c r="E26" t="s">
        <v>145</v>
      </c>
    </row>
    <row r="27" spans="4:15">
      <c r="E27" s="12" t="s">
        <v>146</v>
      </c>
      <c r="F27" s="3" t="s">
        <v>147</v>
      </c>
      <c r="G27" s="3" t="s">
        <v>148</v>
      </c>
      <c r="H27" s="3" t="s">
        <v>149</v>
      </c>
      <c r="I27" s="3" t="s">
        <v>150</v>
      </c>
      <c r="J27" s="3" t="s">
        <v>151</v>
      </c>
      <c r="K27" s="4" t="s">
        <v>152</v>
      </c>
      <c r="L27" s="3" t="s">
        <v>153</v>
      </c>
    </row>
    <row r="28" spans="4:15">
      <c r="E28" s="13">
        <v>45451</v>
      </c>
      <c r="F28" s="2" t="s">
        <v>154</v>
      </c>
      <c r="G28" s="2" t="s">
        <v>155</v>
      </c>
      <c r="H28" s="2" t="s">
        <v>156</v>
      </c>
      <c r="I28" s="2" t="s">
        <v>159</v>
      </c>
      <c r="J28" s="2" t="s">
        <v>160</v>
      </c>
      <c r="K28" s="2">
        <v>1.6</v>
      </c>
      <c r="L28" s="1">
        <v>45450</v>
      </c>
    </row>
    <row r="29" spans="4:15">
      <c r="E29" s="13">
        <v>45452</v>
      </c>
      <c r="F29" s="2" t="s">
        <v>154</v>
      </c>
      <c r="G29" s="2" t="s">
        <v>155</v>
      </c>
      <c r="H29" s="2" t="s">
        <v>156</v>
      </c>
      <c r="I29" s="2" t="s">
        <v>157</v>
      </c>
      <c r="J29" s="2" t="s">
        <v>158</v>
      </c>
      <c r="K29" s="2">
        <v>1.5</v>
      </c>
      <c r="L29" s="1">
        <v>45450</v>
      </c>
    </row>
    <row r="31" spans="4:15">
      <c r="E31" t="s">
        <v>162</v>
      </c>
    </row>
    <row r="32" spans="4:15">
      <c r="E32" s="12" t="s">
        <v>167</v>
      </c>
      <c r="F32" s="6" t="s">
        <v>147</v>
      </c>
      <c r="G32" s="6" t="s">
        <v>148</v>
      </c>
      <c r="H32" s="6" t="s">
        <v>149</v>
      </c>
      <c r="I32" s="5" t="s">
        <v>150</v>
      </c>
      <c r="J32" s="5" t="s">
        <v>151</v>
      </c>
      <c r="K32" s="5" t="s">
        <v>152</v>
      </c>
      <c r="L32" s="6" t="s">
        <v>153</v>
      </c>
    </row>
    <row r="33" spans="4:29">
      <c r="E33" s="13">
        <v>45452</v>
      </c>
      <c r="F33" s="2" t="s">
        <v>154</v>
      </c>
      <c r="G33" s="2" t="s">
        <v>155</v>
      </c>
      <c r="H33" s="2" t="s">
        <v>156</v>
      </c>
      <c r="I33" s="2" t="s">
        <v>157</v>
      </c>
      <c r="J33" s="2" t="s">
        <v>158</v>
      </c>
      <c r="K33" s="2">
        <v>1.5</v>
      </c>
      <c r="L33" s="1">
        <v>45450</v>
      </c>
      <c r="N33" t="s">
        <v>164</v>
      </c>
      <c r="O33" t="s">
        <v>168</v>
      </c>
    </row>
    <row r="36" spans="4:29">
      <c r="D36" t="s">
        <v>169</v>
      </c>
    </row>
    <row r="37" spans="4:29" hidden="1">
      <c r="E37" t="s">
        <v>170</v>
      </c>
    </row>
    <row r="40" spans="4:29">
      <c r="E40" s="19">
        <v>45452</v>
      </c>
      <c r="F40" s="14">
        <v>0.55555555555555558</v>
      </c>
      <c r="G40" t="s">
        <v>171</v>
      </c>
      <c r="O40" t="s">
        <v>172</v>
      </c>
      <c r="W40" t="s">
        <v>173</v>
      </c>
    </row>
    <row r="41" spans="4:29">
      <c r="G41" s="7" t="s">
        <v>147</v>
      </c>
      <c r="H41" s="8" t="s">
        <v>148</v>
      </c>
      <c r="I41" s="8" t="s">
        <v>149</v>
      </c>
      <c r="J41" s="8" t="s">
        <v>150</v>
      </c>
      <c r="K41" s="8" t="s">
        <v>151</v>
      </c>
      <c r="L41" s="4" t="s">
        <v>152</v>
      </c>
      <c r="M41" s="8" t="s">
        <v>153</v>
      </c>
      <c r="O41" s="7" t="s">
        <v>147</v>
      </c>
      <c r="P41" s="8" t="s">
        <v>148</v>
      </c>
      <c r="Q41" s="8" t="s">
        <v>149</v>
      </c>
      <c r="R41" s="8" t="s">
        <v>150</v>
      </c>
      <c r="S41" s="8" t="s">
        <v>151</v>
      </c>
      <c r="T41" s="4" t="s">
        <v>152</v>
      </c>
      <c r="U41" s="8" t="s">
        <v>153</v>
      </c>
      <c r="W41" s="6" t="s">
        <v>147</v>
      </c>
      <c r="X41" s="6" t="s">
        <v>148</v>
      </c>
      <c r="Y41" s="6" t="s">
        <v>149</v>
      </c>
      <c r="Z41" s="5" t="s">
        <v>150</v>
      </c>
      <c r="AA41" s="5" t="s">
        <v>151</v>
      </c>
      <c r="AB41" s="5" t="s">
        <v>152</v>
      </c>
      <c r="AC41" s="6" t="s">
        <v>153</v>
      </c>
    </row>
    <row r="42" spans="4:29">
      <c r="G42" s="2" t="s">
        <v>154</v>
      </c>
      <c r="H42" s="2" t="s">
        <v>155</v>
      </c>
      <c r="I42" s="2" t="s">
        <v>156</v>
      </c>
      <c r="J42" s="2" t="s">
        <v>157</v>
      </c>
      <c r="K42" s="2" t="s">
        <v>160</v>
      </c>
      <c r="L42" s="2">
        <v>1.5</v>
      </c>
      <c r="M42" s="1">
        <v>45450</v>
      </c>
      <c r="N42" s="11" t="s">
        <v>174</v>
      </c>
      <c r="O42" s="2" t="s">
        <v>154</v>
      </c>
      <c r="P42" s="2" t="s">
        <v>155</v>
      </c>
      <c r="Q42" s="2" t="s">
        <v>156</v>
      </c>
      <c r="R42" s="2" t="s">
        <v>157</v>
      </c>
      <c r="S42" s="2" t="s">
        <v>160</v>
      </c>
      <c r="T42" s="2">
        <v>1.5</v>
      </c>
      <c r="U42" s="1">
        <v>45450</v>
      </c>
      <c r="V42" s="11" t="s">
        <v>174</v>
      </c>
      <c r="W42" s="2" t="s">
        <v>154</v>
      </c>
      <c r="X42" s="2" t="s">
        <v>155</v>
      </c>
      <c r="Y42" s="2" t="s">
        <v>156</v>
      </c>
      <c r="Z42" s="2" t="s">
        <v>157</v>
      </c>
      <c r="AA42" s="2" t="s">
        <v>160</v>
      </c>
      <c r="AB42" s="2">
        <v>1.5</v>
      </c>
      <c r="AC42" s="1">
        <v>45450</v>
      </c>
    </row>
    <row r="45" spans="4:29">
      <c r="E45" s="19">
        <v>45452</v>
      </c>
      <c r="F45" s="14">
        <v>0.56944444444444442</v>
      </c>
      <c r="G45" t="s">
        <v>171</v>
      </c>
      <c r="O45" t="s">
        <v>172</v>
      </c>
      <c r="W45" t="s">
        <v>173</v>
      </c>
    </row>
    <row r="46" spans="4:29">
      <c r="G46" s="7" t="s">
        <v>147</v>
      </c>
      <c r="H46" s="8" t="s">
        <v>148</v>
      </c>
      <c r="I46" s="8" t="s">
        <v>149</v>
      </c>
      <c r="J46" s="8" t="s">
        <v>150</v>
      </c>
      <c r="K46" s="8" t="s">
        <v>151</v>
      </c>
      <c r="L46" s="4" t="s">
        <v>152</v>
      </c>
      <c r="M46" s="8" t="s">
        <v>153</v>
      </c>
      <c r="O46" s="7" t="s">
        <v>147</v>
      </c>
      <c r="P46" s="8" t="s">
        <v>148</v>
      </c>
      <c r="Q46" s="8" t="s">
        <v>149</v>
      </c>
      <c r="R46" s="8" t="s">
        <v>150</v>
      </c>
      <c r="S46" s="8" t="s">
        <v>151</v>
      </c>
      <c r="T46" s="4" t="s">
        <v>152</v>
      </c>
      <c r="U46" s="8" t="s">
        <v>153</v>
      </c>
      <c r="W46" s="6" t="s">
        <v>147</v>
      </c>
      <c r="X46" s="6" t="s">
        <v>148</v>
      </c>
      <c r="Y46" s="6" t="s">
        <v>149</v>
      </c>
      <c r="Z46" s="5" t="s">
        <v>150</v>
      </c>
      <c r="AA46" s="5" t="s">
        <v>151</v>
      </c>
      <c r="AB46" s="5" t="s">
        <v>152</v>
      </c>
      <c r="AC46" s="6" t="s">
        <v>153</v>
      </c>
    </row>
    <row r="47" spans="4:29">
      <c r="G47" s="2" t="s">
        <v>154</v>
      </c>
      <c r="H47" s="2" t="s">
        <v>155</v>
      </c>
      <c r="I47" s="2" t="s">
        <v>156</v>
      </c>
      <c r="J47" s="2" t="s">
        <v>159</v>
      </c>
      <c r="K47" s="2" t="s">
        <v>158</v>
      </c>
      <c r="L47" s="2">
        <v>1.6</v>
      </c>
      <c r="M47" s="1">
        <v>45450</v>
      </c>
      <c r="N47" s="11" t="s">
        <v>174</v>
      </c>
      <c r="O47" s="2" t="s">
        <v>154</v>
      </c>
      <c r="P47" s="2" t="s">
        <v>155</v>
      </c>
      <c r="Q47" s="2" t="s">
        <v>156</v>
      </c>
      <c r="R47" s="2" t="s">
        <v>159</v>
      </c>
      <c r="S47" s="2" t="s">
        <v>158</v>
      </c>
      <c r="T47" s="2">
        <v>1.6</v>
      </c>
      <c r="U47" s="1">
        <v>45450</v>
      </c>
      <c r="V47" s="11" t="s">
        <v>174</v>
      </c>
      <c r="W47" s="2" t="s">
        <v>154</v>
      </c>
      <c r="X47" s="2" t="s">
        <v>155</v>
      </c>
      <c r="Y47" s="2" t="s">
        <v>156</v>
      </c>
      <c r="Z47" s="2" t="s">
        <v>159</v>
      </c>
      <c r="AA47" s="2" t="s">
        <v>158</v>
      </c>
      <c r="AB47" s="2">
        <v>1.5</v>
      </c>
      <c r="AC47" s="1">
        <v>45450</v>
      </c>
    </row>
    <row r="48" spans="4:29">
      <c r="G48" s="2" t="s">
        <v>154</v>
      </c>
      <c r="H48" s="2" t="s">
        <v>155</v>
      </c>
      <c r="I48" s="2" t="s">
        <v>156</v>
      </c>
      <c r="J48" s="2" t="s">
        <v>157</v>
      </c>
      <c r="K48" s="2" t="s">
        <v>160</v>
      </c>
      <c r="L48" s="2">
        <v>1.5</v>
      </c>
      <c r="M48" s="1">
        <v>45450</v>
      </c>
      <c r="V48" t="s">
        <v>175</v>
      </c>
    </row>
    <row r="49" spans="3:30">
      <c r="V49" t="s">
        <v>176</v>
      </c>
    </row>
    <row r="50" spans="3:30">
      <c r="V50" t="s">
        <v>177</v>
      </c>
    </row>
    <row r="51" spans="3:30" hidden="1">
      <c r="E51" t="s">
        <v>178</v>
      </c>
    </row>
    <row r="52" spans="3:30" hidden="1">
      <c r="F52" s="9">
        <v>45452</v>
      </c>
    </row>
    <row r="53" spans="3:30" hidden="1">
      <c r="F53" s="14">
        <v>0.57291666666666663</v>
      </c>
      <c r="G53" t="s">
        <v>171</v>
      </c>
      <c r="O53" t="s">
        <v>172</v>
      </c>
      <c r="W53" t="s">
        <v>173</v>
      </c>
    </row>
    <row r="54" spans="3:30" hidden="1">
      <c r="G54" s="7" t="s">
        <v>147</v>
      </c>
      <c r="H54" s="8" t="s">
        <v>148</v>
      </c>
      <c r="I54" s="8" t="s">
        <v>149</v>
      </c>
      <c r="J54" s="8" t="s">
        <v>150</v>
      </c>
      <c r="K54" s="8" t="s">
        <v>151</v>
      </c>
      <c r="L54" s="4" t="s">
        <v>152</v>
      </c>
      <c r="M54" s="8" t="s">
        <v>153</v>
      </c>
      <c r="O54" s="7" t="s">
        <v>147</v>
      </c>
      <c r="P54" s="8" t="s">
        <v>148</v>
      </c>
      <c r="Q54" s="8" t="s">
        <v>149</v>
      </c>
      <c r="R54" s="8" t="s">
        <v>150</v>
      </c>
      <c r="S54" s="8" t="s">
        <v>151</v>
      </c>
      <c r="T54" s="4" t="s">
        <v>152</v>
      </c>
      <c r="U54" s="8" t="s">
        <v>153</v>
      </c>
      <c r="W54" s="6" t="s">
        <v>147</v>
      </c>
      <c r="X54" s="6" t="s">
        <v>148</v>
      </c>
      <c r="Y54" s="6" t="s">
        <v>149</v>
      </c>
      <c r="Z54" s="5" t="s">
        <v>150</v>
      </c>
      <c r="AA54" s="5" t="s">
        <v>151</v>
      </c>
      <c r="AB54" s="5" t="s">
        <v>152</v>
      </c>
      <c r="AC54" s="6" t="s">
        <v>153</v>
      </c>
    </row>
    <row r="55" spans="3:30" hidden="1">
      <c r="G55" s="2" t="s">
        <v>154</v>
      </c>
      <c r="H55" s="2" t="s">
        <v>155</v>
      </c>
      <c r="I55" s="2" t="s">
        <v>156</v>
      </c>
      <c r="J55" s="2" t="s">
        <v>159</v>
      </c>
      <c r="K55" s="2" t="s">
        <v>158</v>
      </c>
      <c r="L55" s="2">
        <v>1.6</v>
      </c>
      <c r="M55" s="1">
        <v>45450</v>
      </c>
      <c r="N55" s="11" t="s">
        <v>174</v>
      </c>
      <c r="O55" s="2" t="s">
        <v>154</v>
      </c>
      <c r="P55" s="2" t="s">
        <v>155</v>
      </c>
      <c r="Q55" s="2" t="s">
        <v>156</v>
      </c>
      <c r="R55" s="2" t="s">
        <v>159</v>
      </c>
      <c r="S55" s="2" t="s">
        <v>158</v>
      </c>
      <c r="T55" s="2">
        <v>1.6</v>
      </c>
      <c r="U55" s="1">
        <v>45450</v>
      </c>
      <c r="V55" s="11" t="s">
        <v>174</v>
      </c>
      <c r="W55" s="2" t="s">
        <v>154</v>
      </c>
      <c r="X55" s="2" t="s">
        <v>155</v>
      </c>
      <c r="Y55" s="2" t="s">
        <v>156</v>
      </c>
      <c r="Z55" s="2" t="s">
        <v>159</v>
      </c>
      <c r="AA55" s="2" t="s">
        <v>158</v>
      </c>
      <c r="AB55" s="2">
        <v>1.5</v>
      </c>
      <c r="AC55" s="1">
        <v>45450</v>
      </c>
      <c r="AD55" s="10" t="s">
        <v>179</v>
      </c>
    </row>
    <row r="56" spans="3:30" hidden="1">
      <c r="G56" s="2" t="s">
        <v>154</v>
      </c>
      <c r="H56" s="2" t="s">
        <v>155</v>
      </c>
      <c r="I56" s="2" t="s">
        <v>156</v>
      </c>
      <c r="J56" s="2" t="s">
        <v>157</v>
      </c>
      <c r="K56" s="2" t="s">
        <v>160</v>
      </c>
      <c r="L56" s="2">
        <v>1.5</v>
      </c>
      <c r="M56" s="1">
        <v>45450</v>
      </c>
      <c r="O56" s="2" t="s">
        <v>154</v>
      </c>
      <c r="P56" s="2" t="s">
        <v>155</v>
      </c>
      <c r="Q56" s="2" t="s">
        <v>156</v>
      </c>
      <c r="R56" s="2" t="s">
        <v>157</v>
      </c>
      <c r="S56" s="2" t="s">
        <v>160</v>
      </c>
      <c r="T56" s="2">
        <v>1.5</v>
      </c>
      <c r="U56" s="1">
        <v>45450</v>
      </c>
      <c r="V56" s="11" t="s">
        <v>174</v>
      </c>
      <c r="W56" s="10" t="s">
        <v>180</v>
      </c>
    </row>
    <row r="57" spans="3:30" hidden="1">
      <c r="G57" s="2" t="s">
        <v>181</v>
      </c>
      <c r="H57" s="2" t="s">
        <v>182</v>
      </c>
      <c r="I57" s="2" t="s">
        <v>156</v>
      </c>
      <c r="J57" s="2" t="s">
        <v>159</v>
      </c>
      <c r="K57" s="2" t="s">
        <v>158</v>
      </c>
      <c r="L57" s="2">
        <v>4.0999999999999996</v>
      </c>
      <c r="M57" s="1">
        <v>45450</v>
      </c>
      <c r="O57" s="2" t="s">
        <v>181</v>
      </c>
      <c r="P57" s="2" t="s">
        <v>182</v>
      </c>
      <c r="Q57" s="2" t="s">
        <v>156</v>
      </c>
      <c r="R57" s="2" t="s">
        <v>159</v>
      </c>
      <c r="S57" s="2" t="s">
        <v>158</v>
      </c>
      <c r="T57" s="2">
        <v>4.0999999999999996</v>
      </c>
      <c r="U57" s="1">
        <v>45450</v>
      </c>
      <c r="V57" s="11" t="s">
        <v>174</v>
      </c>
      <c r="W57" s="10" t="s">
        <v>183</v>
      </c>
    </row>
    <row r="58" spans="3:30" hidden="1">
      <c r="V58" t="s">
        <v>175</v>
      </c>
    </row>
    <row r="59" spans="3:30" hidden="1">
      <c r="V59" t="s">
        <v>184</v>
      </c>
    </row>
    <row r="60" spans="3:30">
      <c r="C60" t="s">
        <v>9</v>
      </c>
      <c r="V60" t="s">
        <v>185</v>
      </c>
    </row>
    <row r="61" spans="3:30">
      <c r="D61" t="s">
        <v>186</v>
      </c>
      <c r="V61" t="s">
        <v>187</v>
      </c>
    </row>
    <row r="62" spans="3:30">
      <c r="D62" t="s">
        <v>188</v>
      </c>
      <c r="V62" t="s">
        <v>189</v>
      </c>
    </row>
    <row r="63" spans="3:30">
      <c r="V63" t="s">
        <v>190</v>
      </c>
    </row>
    <row r="64" spans="3:30">
      <c r="E64" t="s">
        <v>191</v>
      </c>
    </row>
    <row r="65" spans="4:12">
      <c r="F65" t="s">
        <v>192</v>
      </c>
      <c r="G65" t="s">
        <v>145</v>
      </c>
    </row>
    <row r="66" spans="4:12">
      <c r="F66" s="3" t="s">
        <v>147</v>
      </c>
      <c r="G66" s="3" t="s">
        <v>148</v>
      </c>
      <c r="H66" s="3" t="s">
        <v>149</v>
      </c>
      <c r="I66" s="3" t="s">
        <v>150</v>
      </c>
      <c r="J66" s="3" t="s">
        <v>151</v>
      </c>
      <c r="K66" s="4" t="s">
        <v>152</v>
      </c>
      <c r="L66" s="3" t="s">
        <v>153</v>
      </c>
    </row>
    <row r="67" spans="4:12">
      <c r="F67" s="2" t="s">
        <v>154</v>
      </c>
      <c r="G67" s="2" t="s">
        <v>155</v>
      </c>
      <c r="H67" s="2" t="s">
        <v>156</v>
      </c>
      <c r="I67" s="2" t="s">
        <v>159</v>
      </c>
      <c r="J67" s="2" t="s">
        <v>160</v>
      </c>
      <c r="K67" s="2">
        <v>1.6</v>
      </c>
      <c r="L67" s="1">
        <v>45450</v>
      </c>
    </row>
    <row r="68" spans="4:12">
      <c r="F68" s="2" t="s">
        <v>154</v>
      </c>
      <c r="G68" s="2" t="s">
        <v>155</v>
      </c>
      <c r="H68" s="2" t="s">
        <v>156</v>
      </c>
      <c r="I68" s="2" t="s">
        <v>157</v>
      </c>
      <c r="J68" s="2" t="s">
        <v>158</v>
      </c>
      <c r="K68" s="2">
        <v>1.5</v>
      </c>
      <c r="L68" s="1">
        <v>45450</v>
      </c>
    </row>
    <row r="70" spans="4:12">
      <c r="F70" t="s">
        <v>192</v>
      </c>
      <c r="G70" t="s">
        <v>162</v>
      </c>
    </row>
    <row r="71" spans="4:12">
      <c r="F71" s="6" t="s">
        <v>147</v>
      </c>
      <c r="G71" s="6" t="s">
        <v>148</v>
      </c>
      <c r="H71" s="6" t="s">
        <v>149</v>
      </c>
      <c r="I71" s="5" t="s">
        <v>150</v>
      </c>
      <c r="J71" s="5" t="s">
        <v>151</v>
      </c>
      <c r="K71" s="5" t="s">
        <v>152</v>
      </c>
      <c r="L71" s="6" t="s">
        <v>153</v>
      </c>
    </row>
    <row r="73" spans="4:12" ht="19.5" thickBot="1">
      <c r="F73" t="s">
        <v>193</v>
      </c>
      <c r="G73" t="s">
        <v>162</v>
      </c>
    </row>
    <row r="74" spans="4:12" ht="19.5" thickBot="1">
      <c r="F74" s="6" t="s">
        <v>147</v>
      </c>
      <c r="G74" s="6" t="s">
        <v>148</v>
      </c>
      <c r="H74" s="15" t="s">
        <v>149</v>
      </c>
      <c r="I74" s="17" t="s">
        <v>150</v>
      </c>
      <c r="J74" s="18" t="s">
        <v>151</v>
      </c>
      <c r="K74" s="16" t="s">
        <v>152</v>
      </c>
      <c r="L74" s="6" t="s">
        <v>153</v>
      </c>
    </row>
    <row r="77" spans="4:12">
      <c r="D77" t="s">
        <v>194</v>
      </c>
    </row>
    <row r="79" spans="4:12">
      <c r="F79" t="s">
        <v>162</v>
      </c>
    </row>
    <row r="80" spans="4:12">
      <c r="F80" s="6" t="s">
        <v>147</v>
      </c>
      <c r="G80" s="6" t="s">
        <v>148</v>
      </c>
      <c r="H80" s="6" t="s">
        <v>149</v>
      </c>
      <c r="I80" s="6" t="s">
        <v>150</v>
      </c>
      <c r="J80" s="6" t="s">
        <v>151</v>
      </c>
      <c r="K80" s="5" t="s">
        <v>152</v>
      </c>
      <c r="L80" s="6" t="s">
        <v>153</v>
      </c>
    </row>
    <row r="81" spans="6:15">
      <c r="F81" s="2" t="s">
        <v>154</v>
      </c>
      <c r="G81" s="2" t="s">
        <v>155</v>
      </c>
      <c r="H81" s="2" t="s">
        <v>156</v>
      </c>
      <c r="I81" s="2" t="s">
        <v>159</v>
      </c>
      <c r="J81" s="2" t="s">
        <v>160</v>
      </c>
      <c r="K81" s="2">
        <v>1.6</v>
      </c>
      <c r="L81" s="1">
        <v>45450</v>
      </c>
      <c r="N81" t="s">
        <v>174</v>
      </c>
      <c r="O81" t="s">
        <v>195</v>
      </c>
    </row>
    <row r="82" spans="6:15">
      <c r="F82" s="2" t="s">
        <v>154</v>
      </c>
      <c r="G82" s="2" t="s">
        <v>155</v>
      </c>
      <c r="H82" s="2" t="s">
        <v>156</v>
      </c>
      <c r="I82" s="2" t="s">
        <v>157</v>
      </c>
      <c r="J82" s="2" t="s">
        <v>158</v>
      </c>
      <c r="K82" s="2">
        <v>1.5</v>
      </c>
      <c r="L82" s="1">
        <v>45450</v>
      </c>
    </row>
  </sheetData>
  <phoneticPr fontId="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AD82"/>
  <sheetViews>
    <sheetView topLeftCell="A38" zoomScale="130" zoomScaleNormal="130" workbookViewId="0">
      <selection activeCell="C54" sqref="C54"/>
    </sheetView>
  </sheetViews>
  <sheetFormatPr defaultRowHeight="18.75"/>
  <cols>
    <col min="4" max="4" width="9.25" bestFit="1" customWidth="1"/>
    <col min="11" max="11" width="10.25" bestFit="1" customWidth="1"/>
  </cols>
  <sheetData>
    <row r="3" spans="2:12">
      <c r="B3" t="s">
        <v>136</v>
      </c>
    </row>
    <row r="5" spans="2:12">
      <c r="C5" t="s">
        <v>137</v>
      </c>
    </row>
    <row r="6" spans="2:12">
      <c r="D6" t="s">
        <v>196</v>
      </c>
    </row>
    <row r="7" spans="2:12">
      <c r="D7" t="s">
        <v>197</v>
      </c>
    </row>
    <row r="8" spans="2:12">
      <c r="D8" t="s">
        <v>198</v>
      </c>
    </row>
    <row r="9" spans="2:12">
      <c r="D9" t="s">
        <v>141</v>
      </c>
    </row>
    <row r="11" spans="2:12">
      <c r="D11" t="s">
        <v>142</v>
      </c>
    </row>
    <row r="13" spans="2:12">
      <c r="E13" t="s">
        <v>143</v>
      </c>
    </row>
    <row r="15" spans="2:12">
      <c r="D15" t="s">
        <v>144</v>
      </c>
      <c r="E15" t="s">
        <v>145</v>
      </c>
    </row>
    <row r="16" spans="2:12">
      <c r="E16" s="4" t="s">
        <v>146</v>
      </c>
      <c r="F16" s="7" t="s">
        <v>147</v>
      </c>
      <c r="G16" s="8" t="s">
        <v>148</v>
      </c>
      <c r="H16" s="8" t="s">
        <v>149</v>
      </c>
      <c r="I16" s="8" t="s">
        <v>150</v>
      </c>
      <c r="J16" s="8" t="s">
        <v>151</v>
      </c>
      <c r="K16" s="4" t="s">
        <v>152</v>
      </c>
      <c r="L16" s="8" t="s">
        <v>199</v>
      </c>
    </row>
    <row r="17" spans="4:15">
      <c r="E17" s="1">
        <v>45451</v>
      </c>
      <c r="F17" s="2" t="s">
        <v>154</v>
      </c>
      <c r="G17" s="2" t="s">
        <v>155</v>
      </c>
      <c r="H17" s="2" t="s">
        <v>156</v>
      </c>
      <c r="I17" s="2" t="s">
        <v>157</v>
      </c>
      <c r="J17" s="2" t="s">
        <v>160</v>
      </c>
      <c r="K17" s="2">
        <v>1.5</v>
      </c>
      <c r="L17" s="1">
        <v>45450</v>
      </c>
    </row>
    <row r="18" spans="4:15">
      <c r="E18" s="1">
        <v>45452</v>
      </c>
      <c r="F18" s="2" t="s">
        <v>154</v>
      </c>
      <c r="G18" s="2" t="s">
        <v>155</v>
      </c>
      <c r="H18" s="2" t="s">
        <v>156</v>
      </c>
      <c r="I18" s="2" t="s">
        <v>159</v>
      </c>
      <c r="J18" s="2" t="s">
        <v>158</v>
      </c>
      <c r="K18" s="2">
        <v>1.6</v>
      </c>
      <c r="L18" s="1">
        <v>45450</v>
      </c>
    </row>
    <row r="20" spans="4:15">
      <c r="D20" t="s">
        <v>161</v>
      </c>
      <c r="E20" t="s">
        <v>162</v>
      </c>
    </row>
    <row r="21" spans="4:15">
      <c r="E21" s="5" t="s">
        <v>167</v>
      </c>
      <c r="F21" s="6" t="s">
        <v>147</v>
      </c>
      <c r="G21" s="6" t="s">
        <v>148</v>
      </c>
      <c r="H21" s="6" t="s">
        <v>149</v>
      </c>
      <c r="I21" s="5" t="s">
        <v>150</v>
      </c>
      <c r="J21" s="5" t="s">
        <v>151</v>
      </c>
      <c r="K21" s="5" t="s">
        <v>152</v>
      </c>
      <c r="L21" s="6" t="s">
        <v>199</v>
      </c>
    </row>
    <row r="22" spans="4:15">
      <c r="E22" s="1">
        <v>45452</v>
      </c>
      <c r="F22" s="2" t="s">
        <v>154</v>
      </c>
      <c r="G22" s="2" t="s">
        <v>155</v>
      </c>
      <c r="H22" s="2" t="s">
        <v>156</v>
      </c>
      <c r="I22" s="2" t="s">
        <v>159</v>
      </c>
      <c r="J22" s="2" t="s">
        <v>158</v>
      </c>
      <c r="K22" s="2">
        <v>1.6</v>
      </c>
      <c r="L22" s="1">
        <v>45450</v>
      </c>
      <c r="N22" t="s">
        <v>164</v>
      </c>
      <c r="O22" t="s">
        <v>165</v>
      </c>
    </row>
    <row r="25" spans="4:15">
      <c r="D25" t="s">
        <v>166</v>
      </c>
    </row>
    <row r="26" spans="4:15">
      <c r="E26" t="s">
        <v>145</v>
      </c>
    </row>
    <row r="27" spans="4:15">
      <c r="E27" s="4" t="s">
        <v>146</v>
      </c>
      <c r="F27" s="3" t="s">
        <v>147</v>
      </c>
      <c r="G27" s="3" t="s">
        <v>148</v>
      </c>
      <c r="H27" s="3" t="s">
        <v>149</v>
      </c>
      <c r="I27" s="3" t="s">
        <v>150</v>
      </c>
      <c r="J27" s="3" t="s">
        <v>151</v>
      </c>
      <c r="K27" s="4" t="s">
        <v>152</v>
      </c>
      <c r="L27" s="3" t="s">
        <v>199</v>
      </c>
    </row>
    <row r="28" spans="4:15">
      <c r="E28" s="1">
        <v>45451</v>
      </c>
      <c r="F28" s="2" t="s">
        <v>154</v>
      </c>
      <c r="G28" s="2" t="s">
        <v>155</v>
      </c>
      <c r="H28" s="2" t="s">
        <v>156</v>
      </c>
      <c r="I28" s="2" t="s">
        <v>159</v>
      </c>
      <c r="J28" s="2" t="s">
        <v>160</v>
      </c>
      <c r="K28" s="2">
        <v>1.6</v>
      </c>
      <c r="L28" s="1">
        <v>45450</v>
      </c>
    </row>
    <row r="29" spans="4:15">
      <c r="E29" s="1">
        <v>45452</v>
      </c>
      <c r="F29" s="2" t="s">
        <v>154</v>
      </c>
      <c r="G29" s="2" t="s">
        <v>155</v>
      </c>
      <c r="H29" s="2" t="s">
        <v>156</v>
      </c>
      <c r="I29" s="2" t="s">
        <v>157</v>
      </c>
      <c r="J29" s="2" t="s">
        <v>158</v>
      </c>
      <c r="K29" s="2">
        <v>1.5</v>
      </c>
      <c r="L29" s="1">
        <v>45450</v>
      </c>
    </row>
    <row r="31" spans="4:15">
      <c r="E31" t="s">
        <v>162</v>
      </c>
    </row>
    <row r="32" spans="4:15">
      <c r="E32" s="5" t="s">
        <v>167</v>
      </c>
      <c r="F32" s="6" t="s">
        <v>147</v>
      </c>
      <c r="G32" s="6" t="s">
        <v>148</v>
      </c>
      <c r="H32" s="6" t="s">
        <v>149</v>
      </c>
      <c r="I32" s="5" t="s">
        <v>150</v>
      </c>
      <c r="J32" s="5" t="s">
        <v>151</v>
      </c>
      <c r="K32" s="5" t="s">
        <v>152</v>
      </c>
      <c r="L32" s="6" t="s">
        <v>199</v>
      </c>
    </row>
    <row r="33" spans="4:29">
      <c r="E33" s="1">
        <v>45452</v>
      </c>
      <c r="F33" s="2" t="s">
        <v>154</v>
      </c>
      <c r="G33" s="2" t="s">
        <v>155</v>
      </c>
      <c r="H33" s="2" t="s">
        <v>156</v>
      </c>
      <c r="I33" s="2" t="s">
        <v>157</v>
      </c>
      <c r="J33" s="2" t="s">
        <v>158</v>
      </c>
      <c r="K33" s="2">
        <v>1.5</v>
      </c>
      <c r="L33" s="1">
        <v>45450</v>
      </c>
      <c r="N33" t="s">
        <v>164</v>
      </c>
      <c r="O33" t="s">
        <v>168</v>
      </c>
    </row>
    <row r="36" spans="4:29">
      <c r="D36" t="s">
        <v>200</v>
      </c>
    </row>
    <row r="37" spans="4:29">
      <c r="E37" t="s">
        <v>170</v>
      </c>
    </row>
    <row r="39" spans="4:29">
      <c r="F39" s="9">
        <v>45451</v>
      </c>
    </row>
    <row r="40" spans="4:29">
      <c r="G40" t="s">
        <v>171</v>
      </c>
      <c r="O40" t="s">
        <v>172</v>
      </c>
      <c r="W40" t="s">
        <v>173</v>
      </c>
    </row>
    <row r="41" spans="4:29">
      <c r="G41" s="7" t="s">
        <v>147</v>
      </c>
      <c r="H41" s="8" t="s">
        <v>148</v>
      </c>
      <c r="I41" s="8" t="s">
        <v>149</v>
      </c>
      <c r="J41" s="8" t="s">
        <v>150</v>
      </c>
      <c r="K41" s="8" t="s">
        <v>151</v>
      </c>
      <c r="L41" s="4" t="s">
        <v>152</v>
      </c>
      <c r="M41" s="8" t="s">
        <v>199</v>
      </c>
      <c r="O41" s="7" t="s">
        <v>147</v>
      </c>
      <c r="P41" s="8" t="s">
        <v>148</v>
      </c>
      <c r="Q41" s="8" t="s">
        <v>149</v>
      </c>
      <c r="R41" s="8" t="s">
        <v>150</v>
      </c>
      <c r="S41" s="8" t="s">
        <v>151</v>
      </c>
      <c r="T41" s="4" t="s">
        <v>152</v>
      </c>
      <c r="U41" s="8" t="s">
        <v>199</v>
      </c>
      <c r="W41" s="6" t="s">
        <v>147</v>
      </c>
      <c r="X41" s="6" t="s">
        <v>148</v>
      </c>
      <c r="Y41" s="6" t="s">
        <v>149</v>
      </c>
      <c r="Z41" s="5" t="s">
        <v>150</v>
      </c>
      <c r="AA41" s="5" t="s">
        <v>151</v>
      </c>
      <c r="AB41" s="5" t="s">
        <v>152</v>
      </c>
      <c r="AC41" s="6" t="s">
        <v>199</v>
      </c>
    </row>
    <row r="42" spans="4:29">
      <c r="G42" s="2" t="s">
        <v>154</v>
      </c>
      <c r="H42" s="2" t="s">
        <v>155</v>
      </c>
      <c r="I42" s="2" t="s">
        <v>156</v>
      </c>
      <c r="J42" s="2" t="s">
        <v>157</v>
      </c>
      <c r="K42" s="2" t="s">
        <v>160</v>
      </c>
      <c r="L42" s="2">
        <v>1.5</v>
      </c>
      <c r="M42" s="1">
        <v>45450</v>
      </c>
      <c r="N42" s="11" t="s">
        <v>174</v>
      </c>
      <c r="O42" s="2" t="s">
        <v>154</v>
      </c>
      <c r="P42" s="2" t="s">
        <v>155</v>
      </c>
      <c r="Q42" s="2" t="s">
        <v>156</v>
      </c>
      <c r="R42" s="2" t="s">
        <v>157</v>
      </c>
      <c r="S42" s="2" t="s">
        <v>160</v>
      </c>
      <c r="T42" s="2">
        <v>1.5</v>
      </c>
      <c r="U42" s="1">
        <v>45450</v>
      </c>
      <c r="V42" s="11" t="s">
        <v>174</v>
      </c>
      <c r="W42" s="2" t="s">
        <v>154</v>
      </c>
      <c r="X42" s="2" t="s">
        <v>155</v>
      </c>
      <c r="Y42" s="2" t="s">
        <v>156</v>
      </c>
      <c r="Z42" s="2" t="s">
        <v>157</v>
      </c>
      <c r="AA42" s="2" t="s">
        <v>160</v>
      </c>
      <c r="AB42" s="2">
        <v>1.5</v>
      </c>
      <c r="AC42" s="1">
        <v>45450</v>
      </c>
    </row>
    <row r="45" spans="4:29">
      <c r="F45" s="9">
        <v>45452</v>
      </c>
      <c r="G45" t="s">
        <v>171</v>
      </c>
      <c r="O45" t="s">
        <v>172</v>
      </c>
      <c r="W45" t="s">
        <v>173</v>
      </c>
    </row>
    <row r="46" spans="4:29">
      <c r="G46" s="7" t="s">
        <v>147</v>
      </c>
      <c r="H46" s="8" t="s">
        <v>148</v>
      </c>
      <c r="I46" s="8" t="s">
        <v>149</v>
      </c>
      <c r="J46" s="8" t="s">
        <v>150</v>
      </c>
      <c r="K46" s="8" t="s">
        <v>151</v>
      </c>
      <c r="L46" s="4" t="s">
        <v>152</v>
      </c>
      <c r="M46" s="8" t="s">
        <v>199</v>
      </c>
      <c r="O46" s="7" t="s">
        <v>147</v>
      </c>
      <c r="P46" s="8" t="s">
        <v>148</v>
      </c>
      <c r="Q46" s="8" t="s">
        <v>149</v>
      </c>
      <c r="R46" s="8" t="s">
        <v>150</v>
      </c>
      <c r="S46" s="8" t="s">
        <v>151</v>
      </c>
      <c r="T46" s="4" t="s">
        <v>152</v>
      </c>
      <c r="U46" s="8" t="s">
        <v>199</v>
      </c>
      <c r="W46" s="6" t="s">
        <v>147</v>
      </c>
      <c r="X46" s="6" t="s">
        <v>148</v>
      </c>
      <c r="Y46" s="6" t="s">
        <v>149</v>
      </c>
      <c r="Z46" s="5" t="s">
        <v>150</v>
      </c>
      <c r="AA46" s="5" t="s">
        <v>151</v>
      </c>
      <c r="AB46" s="5" t="s">
        <v>152</v>
      </c>
      <c r="AC46" s="6" t="s">
        <v>199</v>
      </c>
    </row>
    <row r="47" spans="4:29">
      <c r="G47" s="2" t="s">
        <v>154</v>
      </c>
      <c r="H47" s="2" t="s">
        <v>155</v>
      </c>
      <c r="I47" s="2" t="s">
        <v>156</v>
      </c>
      <c r="J47" s="2" t="s">
        <v>159</v>
      </c>
      <c r="K47" s="2" t="s">
        <v>158</v>
      </c>
      <c r="L47" s="2">
        <v>1.6</v>
      </c>
      <c r="M47" s="1">
        <v>45450</v>
      </c>
      <c r="N47" s="11" t="s">
        <v>174</v>
      </c>
      <c r="O47" s="2" t="s">
        <v>154</v>
      </c>
      <c r="P47" s="2" t="s">
        <v>155</v>
      </c>
      <c r="Q47" s="2" t="s">
        <v>156</v>
      </c>
      <c r="R47" s="2" t="s">
        <v>159</v>
      </c>
      <c r="S47" s="2" t="s">
        <v>158</v>
      </c>
      <c r="T47" s="2">
        <v>1.6</v>
      </c>
      <c r="U47" s="1">
        <v>45450</v>
      </c>
      <c r="V47" s="11" t="s">
        <v>174</v>
      </c>
      <c r="W47" s="2" t="s">
        <v>154</v>
      </c>
      <c r="X47" s="2" t="s">
        <v>155</v>
      </c>
      <c r="Y47" s="2" t="s">
        <v>156</v>
      </c>
      <c r="Z47" s="2" t="s">
        <v>159</v>
      </c>
      <c r="AA47" s="2" t="s">
        <v>158</v>
      </c>
      <c r="AB47" s="2">
        <v>1.5</v>
      </c>
      <c r="AC47" s="1">
        <v>45450</v>
      </c>
    </row>
    <row r="48" spans="4:29">
      <c r="G48" s="2" t="s">
        <v>154</v>
      </c>
      <c r="H48" s="2" t="s">
        <v>155</v>
      </c>
      <c r="I48" s="2" t="s">
        <v>156</v>
      </c>
      <c r="J48" s="2" t="s">
        <v>157</v>
      </c>
      <c r="K48" s="2" t="s">
        <v>160</v>
      </c>
      <c r="L48" s="2">
        <v>1.5</v>
      </c>
      <c r="M48" s="1">
        <v>45450</v>
      </c>
    </row>
    <row r="51" spans="3:30">
      <c r="E51" t="s">
        <v>178</v>
      </c>
    </row>
    <row r="53" spans="3:30">
      <c r="F53" s="9">
        <v>45452</v>
      </c>
      <c r="G53" t="s">
        <v>171</v>
      </c>
      <c r="O53" t="s">
        <v>172</v>
      </c>
      <c r="W53" t="s">
        <v>173</v>
      </c>
    </row>
    <row r="54" spans="3:30">
      <c r="G54" s="7" t="s">
        <v>147</v>
      </c>
      <c r="H54" s="8" t="s">
        <v>148</v>
      </c>
      <c r="I54" s="8" t="s">
        <v>149</v>
      </c>
      <c r="J54" s="8" t="s">
        <v>150</v>
      </c>
      <c r="K54" s="8" t="s">
        <v>151</v>
      </c>
      <c r="L54" s="4" t="s">
        <v>152</v>
      </c>
      <c r="M54" s="8" t="s">
        <v>199</v>
      </c>
      <c r="O54" s="7" t="s">
        <v>147</v>
      </c>
      <c r="P54" s="8" t="s">
        <v>148</v>
      </c>
      <c r="Q54" s="8" t="s">
        <v>149</v>
      </c>
      <c r="R54" s="8" t="s">
        <v>150</v>
      </c>
      <c r="S54" s="8" t="s">
        <v>151</v>
      </c>
      <c r="T54" s="4" t="s">
        <v>152</v>
      </c>
      <c r="U54" s="8" t="s">
        <v>199</v>
      </c>
      <c r="W54" s="6" t="s">
        <v>147</v>
      </c>
      <c r="X54" s="6" t="s">
        <v>148</v>
      </c>
      <c r="Y54" s="6" t="s">
        <v>149</v>
      </c>
      <c r="Z54" s="5" t="s">
        <v>150</v>
      </c>
      <c r="AA54" s="5" t="s">
        <v>151</v>
      </c>
      <c r="AB54" s="5" t="s">
        <v>152</v>
      </c>
      <c r="AC54" s="6" t="s">
        <v>199</v>
      </c>
    </row>
    <row r="55" spans="3:30">
      <c r="G55" s="2" t="s">
        <v>154</v>
      </c>
      <c r="H55" s="2" t="s">
        <v>155</v>
      </c>
      <c r="I55" s="2" t="s">
        <v>156</v>
      </c>
      <c r="J55" s="2" t="s">
        <v>159</v>
      </c>
      <c r="K55" s="2" t="s">
        <v>158</v>
      </c>
      <c r="L55" s="2">
        <v>1.6</v>
      </c>
      <c r="M55" s="1">
        <v>45450</v>
      </c>
      <c r="N55" s="11" t="s">
        <v>174</v>
      </c>
      <c r="O55" s="2" t="s">
        <v>154</v>
      </c>
      <c r="P55" s="2" t="s">
        <v>155</v>
      </c>
      <c r="Q55" s="2" t="s">
        <v>156</v>
      </c>
      <c r="R55" s="2" t="s">
        <v>159</v>
      </c>
      <c r="S55" s="2" t="s">
        <v>158</v>
      </c>
      <c r="T55" s="2">
        <v>1.6</v>
      </c>
      <c r="U55" s="1">
        <v>45450</v>
      </c>
      <c r="V55" s="11" t="s">
        <v>174</v>
      </c>
      <c r="W55" s="2" t="s">
        <v>154</v>
      </c>
      <c r="X55" s="2" t="s">
        <v>155</v>
      </c>
      <c r="Y55" s="2" t="s">
        <v>156</v>
      </c>
      <c r="Z55" s="2" t="s">
        <v>159</v>
      </c>
      <c r="AA55" s="2" t="s">
        <v>158</v>
      </c>
      <c r="AB55" s="2">
        <v>1.5</v>
      </c>
      <c r="AC55" s="1">
        <v>45450</v>
      </c>
      <c r="AD55" s="10" t="s">
        <v>201</v>
      </c>
    </row>
    <row r="56" spans="3:30">
      <c r="G56" s="2" t="s">
        <v>154</v>
      </c>
      <c r="H56" s="2" t="s">
        <v>155</v>
      </c>
      <c r="I56" s="2" t="s">
        <v>156</v>
      </c>
      <c r="J56" s="2" t="s">
        <v>157</v>
      </c>
      <c r="K56" s="2" t="s">
        <v>160</v>
      </c>
      <c r="L56" s="2">
        <v>1.5</v>
      </c>
      <c r="M56" s="1">
        <v>45450</v>
      </c>
      <c r="O56" s="2" t="s">
        <v>154</v>
      </c>
      <c r="P56" s="2" t="s">
        <v>155</v>
      </c>
      <c r="Q56" s="2" t="s">
        <v>156</v>
      </c>
      <c r="R56" s="2" t="s">
        <v>157</v>
      </c>
      <c r="S56" s="2" t="s">
        <v>160</v>
      </c>
      <c r="T56" s="2">
        <v>1.5</v>
      </c>
      <c r="U56" s="1">
        <v>45450</v>
      </c>
      <c r="V56" s="11" t="s">
        <v>174</v>
      </c>
      <c r="W56" s="10" t="s">
        <v>202</v>
      </c>
    </row>
    <row r="57" spans="3:30">
      <c r="G57" s="2" t="s">
        <v>181</v>
      </c>
      <c r="H57" s="2" t="s">
        <v>182</v>
      </c>
      <c r="I57" s="2" t="s">
        <v>156</v>
      </c>
      <c r="J57" s="2" t="s">
        <v>159</v>
      </c>
      <c r="K57" s="2" t="s">
        <v>158</v>
      </c>
      <c r="L57" s="2">
        <v>4.0999999999999996</v>
      </c>
      <c r="M57" s="1">
        <v>45450</v>
      </c>
      <c r="O57" s="2" t="s">
        <v>181</v>
      </c>
      <c r="P57" s="2" t="s">
        <v>182</v>
      </c>
      <c r="Q57" s="2" t="s">
        <v>156</v>
      </c>
      <c r="R57" s="2" t="s">
        <v>159</v>
      </c>
      <c r="S57" s="2" t="s">
        <v>158</v>
      </c>
      <c r="T57" s="2">
        <v>4.0999999999999996</v>
      </c>
      <c r="U57" s="1">
        <v>45450</v>
      </c>
      <c r="V57" s="11" t="s">
        <v>174</v>
      </c>
      <c r="W57" s="10" t="s">
        <v>203</v>
      </c>
    </row>
    <row r="60" spans="3:30">
      <c r="C60" t="s">
        <v>9</v>
      </c>
    </row>
    <row r="61" spans="3:30">
      <c r="D61" t="s">
        <v>186</v>
      </c>
    </row>
    <row r="62" spans="3:30">
      <c r="D62" t="s">
        <v>188</v>
      </c>
    </row>
    <row r="64" spans="3:30">
      <c r="D64" t="s">
        <v>191</v>
      </c>
    </row>
    <row r="65" spans="4:12">
      <c r="E65" t="s">
        <v>145</v>
      </c>
    </row>
    <row r="66" spans="4:12">
      <c r="E66" s="4" t="s">
        <v>146</v>
      </c>
      <c r="F66" s="3" t="s">
        <v>147</v>
      </c>
      <c r="G66" s="3" t="s">
        <v>148</v>
      </c>
      <c r="H66" s="3" t="s">
        <v>149</v>
      </c>
      <c r="I66" s="3" t="s">
        <v>150</v>
      </c>
      <c r="J66" s="3" t="s">
        <v>151</v>
      </c>
      <c r="K66" s="4" t="s">
        <v>152</v>
      </c>
      <c r="L66" s="3" t="s">
        <v>199</v>
      </c>
    </row>
    <row r="67" spans="4:12">
      <c r="E67" s="1">
        <v>45451</v>
      </c>
      <c r="F67" s="2" t="s">
        <v>154</v>
      </c>
      <c r="G67" s="2" t="s">
        <v>155</v>
      </c>
      <c r="H67" s="2" t="s">
        <v>156</v>
      </c>
      <c r="I67" s="2" t="s">
        <v>159</v>
      </c>
      <c r="J67" s="2" t="s">
        <v>160</v>
      </c>
      <c r="K67" s="2">
        <v>1.6</v>
      </c>
      <c r="L67" s="1">
        <v>45450</v>
      </c>
    </row>
    <row r="68" spans="4:12">
      <c r="E68" s="1">
        <v>45452</v>
      </c>
      <c r="F68" s="2" t="s">
        <v>154</v>
      </c>
      <c r="G68" s="2" t="s">
        <v>155</v>
      </c>
      <c r="H68" s="2" t="s">
        <v>156</v>
      </c>
      <c r="I68" s="2" t="s">
        <v>157</v>
      </c>
      <c r="J68" s="2" t="s">
        <v>158</v>
      </c>
      <c r="K68" s="2">
        <v>1.5</v>
      </c>
      <c r="L68" s="1">
        <v>45450</v>
      </c>
    </row>
    <row r="70" spans="4:12">
      <c r="D70" t="s">
        <v>192</v>
      </c>
      <c r="E70" t="s">
        <v>162</v>
      </c>
    </row>
    <row r="71" spans="4:12">
      <c r="E71" s="5" t="s">
        <v>167</v>
      </c>
      <c r="F71" s="6" t="s">
        <v>147</v>
      </c>
      <c r="G71" s="6" t="s">
        <v>148</v>
      </c>
      <c r="H71" s="6" t="s">
        <v>149</v>
      </c>
      <c r="I71" s="5" t="s">
        <v>150</v>
      </c>
      <c r="J71" s="5" t="s">
        <v>151</v>
      </c>
      <c r="K71" s="5" t="s">
        <v>152</v>
      </c>
      <c r="L71" s="6" t="s">
        <v>199</v>
      </c>
    </row>
    <row r="73" spans="4:12">
      <c r="D73" t="s">
        <v>193</v>
      </c>
      <c r="E73" t="s">
        <v>162</v>
      </c>
      <c r="I73" t="s">
        <v>204</v>
      </c>
      <c r="J73" t="s">
        <v>204</v>
      </c>
    </row>
    <row r="74" spans="4:12">
      <c r="E74" s="5" t="s">
        <v>167</v>
      </c>
      <c r="F74" s="6" t="s">
        <v>147</v>
      </c>
      <c r="G74" s="6" t="s">
        <v>148</v>
      </c>
      <c r="H74" s="6" t="s">
        <v>149</v>
      </c>
      <c r="I74" s="6" t="s">
        <v>150</v>
      </c>
      <c r="J74" s="6" t="s">
        <v>151</v>
      </c>
      <c r="K74" s="5" t="s">
        <v>152</v>
      </c>
      <c r="L74" s="6" t="s">
        <v>199</v>
      </c>
    </row>
    <row r="77" spans="4:12">
      <c r="D77" t="s">
        <v>194</v>
      </c>
    </row>
    <row r="79" spans="4:12">
      <c r="E79" t="s">
        <v>162</v>
      </c>
    </row>
    <row r="80" spans="4:12">
      <c r="E80" s="5" t="s">
        <v>167</v>
      </c>
      <c r="F80" s="6" t="s">
        <v>147</v>
      </c>
      <c r="G80" s="6" t="s">
        <v>148</v>
      </c>
      <c r="H80" s="6" t="s">
        <v>149</v>
      </c>
      <c r="I80" s="6" t="s">
        <v>150</v>
      </c>
      <c r="J80" s="6" t="s">
        <v>151</v>
      </c>
      <c r="K80" s="5" t="s">
        <v>152</v>
      </c>
      <c r="L80" s="6" t="s">
        <v>199</v>
      </c>
    </row>
    <row r="81" spans="5:15">
      <c r="E81" s="1">
        <v>45451</v>
      </c>
      <c r="F81" s="2" t="s">
        <v>154</v>
      </c>
      <c r="G81" s="2" t="s">
        <v>155</v>
      </c>
      <c r="H81" s="2" t="s">
        <v>156</v>
      </c>
      <c r="I81" s="2" t="s">
        <v>159</v>
      </c>
      <c r="J81" s="2" t="s">
        <v>160</v>
      </c>
      <c r="K81" s="2">
        <v>1.6</v>
      </c>
      <c r="L81" s="1">
        <v>45450</v>
      </c>
      <c r="N81" t="s">
        <v>174</v>
      </c>
      <c r="O81" t="s">
        <v>195</v>
      </c>
    </row>
    <row r="82" spans="5:15">
      <c r="E82" s="1">
        <v>45452</v>
      </c>
      <c r="F82" s="2" t="s">
        <v>154</v>
      </c>
      <c r="G82" s="2" t="s">
        <v>155</v>
      </c>
      <c r="H82" s="2" t="s">
        <v>156</v>
      </c>
      <c r="I82" s="2" t="s">
        <v>157</v>
      </c>
      <c r="J82" s="2" t="s">
        <v>158</v>
      </c>
      <c r="K82" s="2">
        <v>1.5</v>
      </c>
      <c r="L82" s="1">
        <v>45450</v>
      </c>
    </row>
  </sheetData>
  <phoneticPr fontId="1"/>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AD50"/>
  <sheetViews>
    <sheetView topLeftCell="C10" zoomScale="130" zoomScaleNormal="130" workbookViewId="0">
      <selection activeCell="C54" sqref="C54"/>
    </sheetView>
  </sheetViews>
  <sheetFormatPr defaultRowHeight="18.75"/>
  <sheetData>
    <row r="3" spans="2:29">
      <c r="B3" t="s">
        <v>205</v>
      </c>
    </row>
    <row r="5" spans="2:29">
      <c r="C5" t="s">
        <v>206</v>
      </c>
    </row>
    <row r="7" spans="2:29">
      <c r="D7" t="s">
        <v>207</v>
      </c>
    </row>
    <row r="8" spans="2:29">
      <c r="D8" t="s">
        <v>208</v>
      </c>
    </row>
    <row r="9" spans="2:29">
      <c r="D9" t="s">
        <v>209</v>
      </c>
    </row>
    <row r="10" spans="2:29">
      <c r="D10" t="s">
        <v>210</v>
      </c>
    </row>
    <row r="12" spans="2:29">
      <c r="E12" t="s">
        <v>170</v>
      </c>
    </row>
    <row r="14" spans="2:29">
      <c r="F14" s="9">
        <v>45451</v>
      </c>
    </row>
    <row r="15" spans="2:29">
      <c r="G15" t="s">
        <v>171</v>
      </c>
      <c r="O15" t="s">
        <v>172</v>
      </c>
      <c r="W15" t="s">
        <v>173</v>
      </c>
    </row>
    <row r="16" spans="2:29">
      <c r="G16" s="7" t="s">
        <v>147</v>
      </c>
      <c r="H16" s="8" t="s">
        <v>148</v>
      </c>
      <c r="I16" s="8" t="s">
        <v>149</v>
      </c>
      <c r="J16" s="8" t="s">
        <v>150</v>
      </c>
      <c r="K16" s="8" t="s">
        <v>151</v>
      </c>
      <c r="L16" s="4" t="s">
        <v>152</v>
      </c>
      <c r="M16" s="8" t="s">
        <v>199</v>
      </c>
      <c r="O16" s="7" t="s">
        <v>147</v>
      </c>
      <c r="P16" s="8" t="s">
        <v>148</v>
      </c>
      <c r="Q16" s="8" t="s">
        <v>149</v>
      </c>
      <c r="R16" s="8" t="s">
        <v>150</v>
      </c>
      <c r="S16" s="8" t="s">
        <v>151</v>
      </c>
      <c r="T16" s="4" t="s">
        <v>152</v>
      </c>
      <c r="U16" s="8" t="s">
        <v>199</v>
      </c>
      <c r="W16" s="6" t="s">
        <v>147</v>
      </c>
      <c r="X16" s="6" t="s">
        <v>148</v>
      </c>
      <c r="Y16" s="6" t="s">
        <v>149</v>
      </c>
      <c r="Z16" s="5" t="s">
        <v>150</v>
      </c>
      <c r="AA16" s="5" t="s">
        <v>151</v>
      </c>
      <c r="AB16" s="5" t="s">
        <v>152</v>
      </c>
      <c r="AC16" s="6" t="s">
        <v>199</v>
      </c>
    </row>
    <row r="17" spans="5:30">
      <c r="G17" s="2" t="s">
        <v>154</v>
      </c>
      <c r="H17" s="2" t="s">
        <v>155</v>
      </c>
      <c r="I17" s="2" t="s">
        <v>156</v>
      </c>
      <c r="J17" s="2" t="s">
        <v>157</v>
      </c>
      <c r="K17" s="2" t="s">
        <v>160</v>
      </c>
      <c r="L17" s="2">
        <v>1.5</v>
      </c>
      <c r="M17" s="1">
        <v>45450</v>
      </c>
      <c r="N17" s="11" t="s">
        <v>174</v>
      </c>
      <c r="O17" s="2" t="s">
        <v>154</v>
      </c>
      <c r="P17" s="2" t="s">
        <v>155</v>
      </c>
      <c r="Q17" s="2" t="s">
        <v>156</v>
      </c>
      <c r="R17" s="2" t="s">
        <v>157</v>
      </c>
      <c r="S17" s="2" t="s">
        <v>160</v>
      </c>
      <c r="T17" s="2">
        <v>1.5</v>
      </c>
      <c r="U17" s="1">
        <v>45450</v>
      </c>
      <c r="V17" s="11" t="s">
        <v>174</v>
      </c>
      <c r="W17" s="2" t="s">
        <v>154</v>
      </c>
      <c r="X17" s="2" t="s">
        <v>155</v>
      </c>
      <c r="Y17" s="2" t="s">
        <v>156</v>
      </c>
      <c r="Z17" s="2" t="s">
        <v>157</v>
      </c>
      <c r="AA17" s="2" t="s">
        <v>160</v>
      </c>
      <c r="AB17" s="2">
        <v>1.5</v>
      </c>
      <c r="AC17" s="1">
        <v>45450</v>
      </c>
    </row>
    <row r="20" spans="5:30">
      <c r="F20" s="9">
        <v>45452</v>
      </c>
      <c r="G20" t="s">
        <v>171</v>
      </c>
      <c r="O20" t="s">
        <v>172</v>
      </c>
      <c r="W20" t="s">
        <v>173</v>
      </c>
    </row>
    <row r="21" spans="5:30">
      <c r="G21" s="7" t="s">
        <v>147</v>
      </c>
      <c r="H21" s="8" t="s">
        <v>148</v>
      </c>
      <c r="I21" s="8" t="s">
        <v>149</v>
      </c>
      <c r="J21" s="8" t="s">
        <v>150</v>
      </c>
      <c r="K21" s="8" t="s">
        <v>151</v>
      </c>
      <c r="L21" s="4" t="s">
        <v>152</v>
      </c>
      <c r="M21" s="8" t="s">
        <v>199</v>
      </c>
      <c r="O21" s="7" t="s">
        <v>147</v>
      </c>
      <c r="P21" s="8" t="s">
        <v>148</v>
      </c>
      <c r="Q21" s="8" t="s">
        <v>149</v>
      </c>
      <c r="R21" s="8" t="s">
        <v>150</v>
      </c>
      <c r="S21" s="8" t="s">
        <v>151</v>
      </c>
      <c r="T21" s="4" t="s">
        <v>152</v>
      </c>
      <c r="U21" s="8" t="s">
        <v>199</v>
      </c>
      <c r="W21" s="6" t="s">
        <v>147</v>
      </c>
      <c r="X21" s="6" t="s">
        <v>148</v>
      </c>
      <c r="Y21" s="6" t="s">
        <v>149</v>
      </c>
      <c r="Z21" s="5" t="s">
        <v>150</v>
      </c>
      <c r="AA21" s="5" t="s">
        <v>151</v>
      </c>
      <c r="AB21" s="5" t="s">
        <v>152</v>
      </c>
      <c r="AC21" s="6" t="s">
        <v>199</v>
      </c>
    </row>
    <row r="22" spans="5:30">
      <c r="G22" s="2" t="s">
        <v>154</v>
      </c>
      <c r="H22" s="2" t="s">
        <v>155</v>
      </c>
      <c r="I22" s="2" t="s">
        <v>156</v>
      </c>
      <c r="J22" s="2" t="s">
        <v>159</v>
      </c>
      <c r="K22" s="2" t="s">
        <v>158</v>
      </c>
      <c r="L22" s="2">
        <v>1.6</v>
      </c>
      <c r="M22" s="1">
        <v>45450</v>
      </c>
      <c r="N22" s="11" t="s">
        <v>174</v>
      </c>
      <c r="O22" s="2" t="s">
        <v>154</v>
      </c>
      <c r="P22" s="2" t="s">
        <v>155</v>
      </c>
      <c r="Q22" s="2" t="s">
        <v>156</v>
      </c>
      <c r="R22" s="2" t="s">
        <v>159</v>
      </c>
      <c r="S22" s="2" t="s">
        <v>158</v>
      </c>
      <c r="T22" s="2">
        <v>1.6</v>
      </c>
      <c r="U22" s="1">
        <v>45450</v>
      </c>
      <c r="V22" s="11" t="s">
        <v>174</v>
      </c>
      <c r="W22" s="2" t="s">
        <v>154</v>
      </c>
      <c r="X22" s="2" t="s">
        <v>155</v>
      </c>
      <c r="Y22" s="2" t="s">
        <v>156</v>
      </c>
      <c r="Z22" s="2" t="s">
        <v>159</v>
      </c>
      <c r="AA22" s="2" t="s">
        <v>158</v>
      </c>
      <c r="AB22" s="2">
        <v>1.5</v>
      </c>
      <c r="AC22" s="1">
        <v>45450</v>
      </c>
    </row>
    <row r="23" spans="5:30">
      <c r="G23" s="2" t="s">
        <v>154</v>
      </c>
      <c r="H23" s="2" t="s">
        <v>155</v>
      </c>
      <c r="I23" s="2" t="s">
        <v>156</v>
      </c>
      <c r="J23" s="2" t="s">
        <v>157</v>
      </c>
      <c r="K23" s="2" t="s">
        <v>160</v>
      </c>
      <c r="L23" s="2">
        <v>1.5</v>
      </c>
      <c r="M23" s="1">
        <v>45450</v>
      </c>
    </row>
    <row r="26" spans="5:30">
      <c r="E26" t="s">
        <v>178</v>
      </c>
    </row>
    <row r="28" spans="5:30">
      <c r="F28" s="9">
        <v>45452</v>
      </c>
      <c r="G28" t="s">
        <v>171</v>
      </c>
      <c r="O28" t="s">
        <v>172</v>
      </c>
      <c r="W28" t="s">
        <v>173</v>
      </c>
    </row>
    <row r="29" spans="5:30">
      <c r="G29" s="7" t="s">
        <v>147</v>
      </c>
      <c r="H29" s="8" t="s">
        <v>148</v>
      </c>
      <c r="I29" s="8" t="s">
        <v>149</v>
      </c>
      <c r="J29" s="8" t="s">
        <v>150</v>
      </c>
      <c r="K29" s="8" t="s">
        <v>151</v>
      </c>
      <c r="L29" s="4" t="s">
        <v>152</v>
      </c>
      <c r="M29" s="8" t="s">
        <v>199</v>
      </c>
      <c r="O29" s="7" t="s">
        <v>147</v>
      </c>
      <c r="P29" s="8" t="s">
        <v>148</v>
      </c>
      <c r="Q29" s="8" t="s">
        <v>149</v>
      </c>
      <c r="R29" s="8" t="s">
        <v>150</v>
      </c>
      <c r="S29" s="8" t="s">
        <v>151</v>
      </c>
      <c r="T29" s="4" t="s">
        <v>152</v>
      </c>
      <c r="U29" s="8" t="s">
        <v>199</v>
      </c>
      <c r="W29" s="6" t="s">
        <v>147</v>
      </c>
      <c r="X29" s="6" t="s">
        <v>148</v>
      </c>
      <c r="Y29" s="6" t="s">
        <v>149</v>
      </c>
      <c r="Z29" s="5" t="s">
        <v>150</v>
      </c>
      <c r="AA29" s="5" t="s">
        <v>151</v>
      </c>
      <c r="AB29" s="5" t="s">
        <v>152</v>
      </c>
      <c r="AC29" s="6" t="s">
        <v>199</v>
      </c>
    </row>
    <row r="30" spans="5:30">
      <c r="G30" s="2" t="s">
        <v>154</v>
      </c>
      <c r="H30" s="2" t="s">
        <v>155</v>
      </c>
      <c r="I30" s="2" t="s">
        <v>156</v>
      </c>
      <c r="J30" s="2" t="s">
        <v>159</v>
      </c>
      <c r="K30" s="2" t="s">
        <v>158</v>
      </c>
      <c r="L30" s="2">
        <v>1.6</v>
      </c>
      <c r="M30" s="1">
        <v>45450</v>
      </c>
      <c r="N30" s="11" t="s">
        <v>174</v>
      </c>
      <c r="O30" s="2" t="s">
        <v>154</v>
      </c>
      <c r="P30" s="2" t="s">
        <v>155</v>
      </c>
      <c r="Q30" s="2" t="s">
        <v>156</v>
      </c>
      <c r="R30" s="2" t="s">
        <v>159</v>
      </c>
      <c r="S30" s="2" t="s">
        <v>158</v>
      </c>
      <c r="T30" s="2">
        <v>1.6</v>
      </c>
      <c r="U30" s="1">
        <v>45450</v>
      </c>
      <c r="V30" s="11" t="s">
        <v>174</v>
      </c>
      <c r="W30" s="2" t="s">
        <v>154</v>
      </c>
      <c r="X30" s="2" t="s">
        <v>155</v>
      </c>
      <c r="Y30" s="2" t="s">
        <v>156</v>
      </c>
      <c r="Z30" s="2" t="s">
        <v>159</v>
      </c>
      <c r="AA30" s="2" t="s">
        <v>158</v>
      </c>
      <c r="AB30" s="2">
        <v>1.5</v>
      </c>
      <c r="AC30" s="1">
        <v>45450</v>
      </c>
      <c r="AD30" s="10" t="s">
        <v>201</v>
      </c>
    </row>
    <row r="31" spans="5:30">
      <c r="G31" s="2" t="s">
        <v>154</v>
      </c>
      <c r="H31" s="2" t="s">
        <v>155</v>
      </c>
      <c r="I31" s="2" t="s">
        <v>156</v>
      </c>
      <c r="J31" s="2" t="s">
        <v>157</v>
      </c>
      <c r="K31" s="2" t="s">
        <v>160</v>
      </c>
      <c r="L31" s="2">
        <v>1.5</v>
      </c>
      <c r="M31" s="1">
        <v>45450</v>
      </c>
      <c r="O31" s="2" t="s">
        <v>154</v>
      </c>
      <c r="P31" s="2" t="s">
        <v>155</v>
      </c>
      <c r="Q31" s="2" t="s">
        <v>156</v>
      </c>
      <c r="R31" s="2" t="s">
        <v>157</v>
      </c>
      <c r="S31" s="2" t="s">
        <v>160</v>
      </c>
      <c r="T31" s="2">
        <v>1.5</v>
      </c>
      <c r="U31" s="1">
        <v>45450</v>
      </c>
      <c r="V31" s="11" t="s">
        <v>174</v>
      </c>
      <c r="W31" s="10" t="s">
        <v>202</v>
      </c>
    </row>
    <row r="32" spans="5:30">
      <c r="G32" s="2" t="s">
        <v>181</v>
      </c>
      <c r="H32" s="2" t="s">
        <v>182</v>
      </c>
      <c r="I32" s="2" t="s">
        <v>156</v>
      </c>
      <c r="J32" s="2" t="s">
        <v>159</v>
      </c>
      <c r="K32" s="2" t="s">
        <v>158</v>
      </c>
      <c r="L32" s="2">
        <v>4.0999999999999996</v>
      </c>
      <c r="M32" s="1">
        <v>45450</v>
      </c>
      <c r="O32" s="2" t="s">
        <v>181</v>
      </c>
      <c r="P32" s="2" t="s">
        <v>182</v>
      </c>
      <c r="Q32" s="2" t="s">
        <v>156</v>
      </c>
      <c r="R32" s="2" t="s">
        <v>159</v>
      </c>
      <c r="S32" s="2" t="s">
        <v>158</v>
      </c>
      <c r="T32" s="2">
        <v>4.0999999999999996</v>
      </c>
      <c r="U32" s="1">
        <v>45450</v>
      </c>
      <c r="V32" s="11" t="s">
        <v>174</v>
      </c>
      <c r="W32" s="10" t="s">
        <v>203</v>
      </c>
    </row>
    <row r="34" spans="3:29">
      <c r="C34" t="s">
        <v>211</v>
      </c>
    </row>
    <row r="35" spans="3:29">
      <c r="D35" t="s">
        <v>212</v>
      </c>
    </row>
    <row r="38" spans="3:29">
      <c r="F38" s="9">
        <v>45452</v>
      </c>
      <c r="G38" t="s">
        <v>171</v>
      </c>
      <c r="O38" t="s">
        <v>172</v>
      </c>
      <c r="W38" t="s">
        <v>173</v>
      </c>
    </row>
    <row r="39" spans="3:29">
      <c r="G39" s="7" t="s">
        <v>147</v>
      </c>
      <c r="H39" s="8" t="s">
        <v>148</v>
      </c>
      <c r="I39" s="8" t="s">
        <v>149</v>
      </c>
      <c r="J39" s="8" t="s">
        <v>150</v>
      </c>
      <c r="K39" s="8" t="s">
        <v>151</v>
      </c>
      <c r="L39" s="4" t="s">
        <v>152</v>
      </c>
      <c r="M39" s="8" t="s">
        <v>199</v>
      </c>
      <c r="O39" s="7" t="s">
        <v>147</v>
      </c>
      <c r="P39" s="8" t="s">
        <v>148</v>
      </c>
      <c r="Q39" s="8" t="s">
        <v>149</v>
      </c>
      <c r="R39" s="8" t="s">
        <v>150</v>
      </c>
      <c r="S39" s="8" t="s">
        <v>151</v>
      </c>
      <c r="T39" s="4" t="s">
        <v>152</v>
      </c>
      <c r="U39" s="8" t="s">
        <v>199</v>
      </c>
      <c r="W39" s="6" t="s">
        <v>147</v>
      </c>
      <c r="X39" s="6" t="s">
        <v>148</v>
      </c>
      <c r="Y39" s="6" t="s">
        <v>149</v>
      </c>
      <c r="Z39" s="5" t="s">
        <v>150</v>
      </c>
      <c r="AA39" s="5" t="s">
        <v>151</v>
      </c>
      <c r="AB39" s="5" t="s">
        <v>152</v>
      </c>
      <c r="AC39" s="6" t="s">
        <v>199</v>
      </c>
    </row>
    <row r="40" spans="3:29">
      <c r="G40" s="2" t="s">
        <v>154</v>
      </c>
      <c r="H40" s="2" t="s">
        <v>155</v>
      </c>
      <c r="I40" s="2" t="s">
        <v>156</v>
      </c>
      <c r="J40" s="2" t="s">
        <v>159</v>
      </c>
      <c r="K40" s="2" t="s">
        <v>158</v>
      </c>
      <c r="L40" s="2">
        <v>1.6</v>
      </c>
      <c r="M40" s="1">
        <v>45450</v>
      </c>
      <c r="N40" s="11" t="s">
        <v>174</v>
      </c>
      <c r="O40" s="2" t="s">
        <v>154</v>
      </c>
      <c r="P40" s="2" t="s">
        <v>155</v>
      </c>
      <c r="Q40" s="2" t="s">
        <v>156</v>
      </c>
      <c r="R40" s="2" t="s">
        <v>159</v>
      </c>
      <c r="S40" s="2" t="s">
        <v>158</v>
      </c>
      <c r="T40" s="2">
        <v>1.6</v>
      </c>
      <c r="U40" s="1">
        <v>45450</v>
      </c>
      <c r="V40" s="11" t="s">
        <v>174</v>
      </c>
      <c r="W40" s="2" t="s">
        <v>154</v>
      </c>
      <c r="X40" s="2" t="s">
        <v>155</v>
      </c>
      <c r="Y40" s="2" t="s">
        <v>156</v>
      </c>
      <c r="Z40" s="2" t="s">
        <v>159</v>
      </c>
      <c r="AA40" s="2" t="s">
        <v>158</v>
      </c>
      <c r="AB40" s="2">
        <v>1.5</v>
      </c>
      <c r="AC40" s="1">
        <v>45450</v>
      </c>
    </row>
    <row r="41" spans="3:29">
      <c r="G41" s="2" t="s">
        <v>154</v>
      </c>
      <c r="H41" s="2" t="s">
        <v>155</v>
      </c>
      <c r="I41" s="2" t="s">
        <v>156</v>
      </c>
      <c r="J41" s="2" t="s">
        <v>157</v>
      </c>
      <c r="K41" s="2" t="s">
        <v>160</v>
      </c>
      <c r="L41" s="2">
        <v>1.5</v>
      </c>
      <c r="M41" s="1">
        <v>45450</v>
      </c>
      <c r="N41" s="11" t="s">
        <v>174</v>
      </c>
      <c r="O41" s="2" t="s">
        <v>154</v>
      </c>
      <c r="P41" s="2" t="s">
        <v>155</v>
      </c>
      <c r="Q41" s="2" t="s">
        <v>156</v>
      </c>
      <c r="R41" s="2" t="s">
        <v>157</v>
      </c>
      <c r="S41" s="2" t="s">
        <v>160</v>
      </c>
      <c r="T41" s="2">
        <v>1.5</v>
      </c>
      <c r="U41" s="1">
        <v>45450</v>
      </c>
      <c r="V41" s="11" t="s">
        <v>174</v>
      </c>
      <c r="W41" s="10" t="s">
        <v>213</v>
      </c>
    </row>
    <row r="42" spans="3:29">
      <c r="G42" s="2" t="s">
        <v>181</v>
      </c>
      <c r="H42" s="2" t="s">
        <v>182</v>
      </c>
      <c r="I42" s="2" t="s">
        <v>156</v>
      </c>
      <c r="J42" s="2" t="s">
        <v>159</v>
      </c>
      <c r="K42" s="2" t="s">
        <v>158</v>
      </c>
      <c r="L42" s="2">
        <v>4.0999999999999996</v>
      </c>
      <c r="M42" s="1">
        <v>45450</v>
      </c>
      <c r="N42" s="11" t="s">
        <v>174</v>
      </c>
      <c r="O42" s="2" t="s">
        <v>181</v>
      </c>
      <c r="P42" s="2" t="s">
        <v>182</v>
      </c>
      <c r="Q42" s="2" t="s">
        <v>156</v>
      </c>
      <c r="R42" s="2" t="s">
        <v>159</v>
      </c>
      <c r="S42" s="2" t="s">
        <v>158</v>
      </c>
      <c r="T42" s="2">
        <v>4.0999999999999996</v>
      </c>
      <c r="U42" s="1">
        <v>45450</v>
      </c>
      <c r="V42" s="11" t="s">
        <v>174</v>
      </c>
      <c r="W42" s="2" t="s">
        <v>181</v>
      </c>
      <c r="X42" s="2" t="s">
        <v>182</v>
      </c>
      <c r="Y42" s="2" t="s">
        <v>156</v>
      </c>
      <c r="Z42" s="2" t="s">
        <v>159</v>
      </c>
      <c r="AA42" s="2" t="s">
        <v>158</v>
      </c>
      <c r="AB42" s="2">
        <v>4.0999999999999996</v>
      </c>
      <c r="AC42" s="1">
        <v>45450</v>
      </c>
    </row>
    <row r="45" spans="3:29">
      <c r="D45" t="s">
        <v>214</v>
      </c>
    </row>
    <row r="46" spans="3:29">
      <c r="D46" t="s">
        <v>215</v>
      </c>
    </row>
    <row r="48" spans="3:29">
      <c r="C48" t="s">
        <v>216</v>
      </c>
    </row>
    <row r="49" spans="4:4">
      <c r="D49" t="s">
        <v>217</v>
      </c>
    </row>
    <row r="50" spans="4:4">
      <c r="D50" t="s">
        <v>218</v>
      </c>
    </row>
  </sheetData>
  <phoneticPr fontId="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4" ma:contentTypeDescription="新しいドキュメントを作成します。" ma:contentTypeScope="" ma:versionID="8d136f6bca879cb90346a66279902dfa">
  <xsd:schema xmlns:xsd="http://www.w3.org/2001/XMLSchema" xmlns:xs="http://www.w3.org/2001/XMLSchema" xmlns:p="http://schemas.microsoft.com/office/2006/metadata/properties" xmlns:ns2="2fd442da-66a9-4fa6-ba31-eb0d54ad1381" targetNamespace="http://schemas.microsoft.com/office/2006/metadata/properties" ma:root="true" ma:fieldsID="5b8a779dc52d08a32251a6f3465a5e55"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4E561C-6E4F-4CE5-A2CE-1DAA2CC13469}"/>
</file>

<file path=customXml/itemProps2.xml><?xml version="1.0" encoding="utf-8"?>
<ds:datastoreItem xmlns:ds="http://schemas.openxmlformats.org/officeDocument/2006/customXml" ds:itemID="{B2FB87A2-BACF-413B-9413-5A1AFF5A05D3}"/>
</file>

<file path=customXml/itemProps3.xml><?xml version="1.0" encoding="utf-8"?>
<ds:datastoreItem xmlns:ds="http://schemas.openxmlformats.org/officeDocument/2006/customXml" ds:itemID="{3A5925CF-3A45-4BCF-9E79-EECD9D4724E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野村康二</cp:lastModifiedBy>
  <cp:revision/>
  <dcterms:created xsi:type="dcterms:W3CDTF">2015-06-05T18:19:34Z</dcterms:created>
  <dcterms:modified xsi:type="dcterms:W3CDTF">2025-04-08T08:35:24Z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ies>
</file>