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73" documentId="13_ncr:1_{AC500C0E-378D-40BE-A190-5FF1D43E1F70}" xr6:coauthVersionLast="47" xr6:coauthVersionMax="47" xr10:uidLastSave="{A1E7ECFE-53C0-493E-BB58-1602DA7B9446}"/>
  <bookViews>
    <workbookView xWindow="28680" yWindow="-120" windowWidth="29040" windowHeight="16440" xr2:uid="{00000000-000D-0000-FFFF-FFFF00000000}"/>
  </bookViews>
  <sheets>
    <sheet name="割振り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5" l="1"/>
  <c r="D9" i="5"/>
  <c r="D37" i="5"/>
  <c r="D46" i="5"/>
  <c r="K30" i="5"/>
  <c r="J30" i="5"/>
  <c r="I30" i="5"/>
  <c r="E30" i="5"/>
  <c r="F30" i="5"/>
  <c r="D30" i="5"/>
  <c r="D20" i="5"/>
  <c r="K20" i="5"/>
  <c r="J20" i="5"/>
  <c r="E20" i="5"/>
  <c r="F20" i="5"/>
  <c r="J37" i="5"/>
  <c r="K37" i="5"/>
  <c r="I37" i="5"/>
  <c r="E37" i="5"/>
  <c r="F37" i="5"/>
  <c r="I46" i="5"/>
  <c r="E46" i="5"/>
  <c r="F46" i="5"/>
  <c r="K9" i="5"/>
  <c r="J9" i="5"/>
  <c r="I9" i="5"/>
  <c r="F9" i="5"/>
  <c r="E9" i="5"/>
  <c r="K46" i="5"/>
  <c r="J46" i="5"/>
  <c r="G9" i="5" l="1"/>
  <c r="L20" i="5"/>
  <c r="L9" i="5"/>
  <c r="L37" i="5"/>
  <c r="G37" i="5"/>
  <c r="G46" i="5"/>
  <c r="L46" i="5"/>
  <c r="L30" i="5"/>
  <c r="G30" i="5"/>
  <c r="L49" i="5" l="1"/>
  <c r="G20" i="5"/>
  <c r="G49" i="5" s="1"/>
</calcChain>
</file>

<file path=xl/sharedStrings.xml><?xml version="1.0" encoding="utf-8"?>
<sst xmlns="http://schemas.openxmlformats.org/spreadsheetml/2006/main" count="71" uniqueCount="54">
  <si>
    <t>顧客請求</t>
    <rPh sb="0" eb="2">
      <t>コキャク</t>
    </rPh>
    <rPh sb="2" eb="4">
      <t>セイキュウ</t>
    </rPh>
    <phoneticPr fontId="1"/>
  </si>
  <si>
    <t>支払い</t>
    <rPh sb="0" eb="2">
      <t>シハラ</t>
    </rPh>
    <phoneticPr fontId="1"/>
  </si>
  <si>
    <t>案件名：</t>
    <rPh sb="0" eb="3">
      <t>アンケンメイ</t>
    </rPh>
    <phoneticPr fontId="1"/>
  </si>
  <si>
    <t>備考</t>
    <rPh sb="0" eb="2">
      <t>ビコウ</t>
    </rPh>
    <phoneticPr fontId="1"/>
  </si>
  <si>
    <t>川名翔太</t>
    <rPh sb="0" eb="2">
      <t>カワナ</t>
    </rPh>
    <rPh sb="2" eb="3">
      <t>カケル</t>
    </rPh>
    <rPh sb="3" eb="4">
      <t>タ</t>
    </rPh>
    <phoneticPr fontId="1"/>
  </si>
  <si>
    <t>プロパー</t>
    <phoneticPr fontId="1"/>
  </si>
  <si>
    <t>青木眞斗</t>
    <phoneticPr fontId="1"/>
  </si>
  <si>
    <t>山田晃洋</t>
    <phoneticPr fontId="1"/>
  </si>
  <si>
    <t>BP</t>
    <phoneticPr fontId="1"/>
  </si>
  <si>
    <t>平野学</t>
    <phoneticPr fontId="1"/>
  </si>
  <si>
    <t>CDF要員</t>
    <phoneticPr fontId="1"/>
  </si>
  <si>
    <t>NguyenThanhLuan-ev</t>
    <phoneticPr fontId="1"/>
  </si>
  <si>
    <t>BuiThanhTan-ev</t>
    <phoneticPr fontId="1"/>
  </si>
  <si>
    <t>TranNguyenTienDat-ev</t>
    <phoneticPr fontId="1"/>
  </si>
  <si>
    <t>SDMくん_設備図書機能構築要員</t>
    <phoneticPr fontId="1"/>
  </si>
  <si>
    <t>注文番号</t>
    <rPh sb="0" eb="4">
      <t>チュウモンバンゴウ</t>
    </rPh>
    <phoneticPr fontId="1"/>
  </si>
  <si>
    <t>繁多一暁</t>
    <phoneticPr fontId="1"/>
  </si>
  <si>
    <t>岩本肇</t>
    <phoneticPr fontId="1"/>
  </si>
  <si>
    <t>宇野詩織</t>
    <phoneticPr fontId="1"/>
  </si>
  <si>
    <t>寺﨑巧人</t>
    <rPh sb="0" eb="2">
      <t>テラサキ</t>
    </rPh>
    <rPh sb="2" eb="4">
      <t>タクト</t>
    </rPh>
    <phoneticPr fontId="1"/>
  </si>
  <si>
    <t>中村昭人</t>
    <phoneticPr fontId="1"/>
  </si>
  <si>
    <t>大多和いずみ</t>
    <rPh sb="0" eb="3">
      <t>オオタワ</t>
    </rPh>
    <phoneticPr fontId="1"/>
  </si>
  <si>
    <t>SDMくん_保全費分析機能開発要員</t>
    <phoneticPr fontId="1"/>
  </si>
  <si>
    <t>NguyenVanMinhTriet-ev</t>
    <phoneticPr fontId="1"/>
  </si>
  <si>
    <t>池野貴明</t>
  </si>
  <si>
    <t>-</t>
    <phoneticPr fontId="1"/>
  </si>
  <si>
    <t>鬼澤唯人</t>
    <rPh sb="0" eb="4">
      <t>キザワユイト</t>
    </rPh>
    <phoneticPr fontId="1"/>
  </si>
  <si>
    <t>ﾙｰﾝﾃｨｰｳｨｰﾝﾎｱｲ</t>
    <phoneticPr fontId="1"/>
  </si>
  <si>
    <t>SDMくん_保守要員</t>
    <rPh sb="6" eb="8">
      <t>ホシュ</t>
    </rPh>
    <rPh sb="8" eb="10">
      <t>ヨウイン</t>
    </rPh>
    <phoneticPr fontId="1"/>
  </si>
  <si>
    <t>鶴岡智幸</t>
    <phoneticPr fontId="1"/>
  </si>
  <si>
    <t>内山瞳</t>
    <phoneticPr fontId="1"/>
  </si>
  <si>
    <t>紺谷大輔</t>
    <phoneticPr fontId="1"/>
  </si>
  <si>
    <t>藤崎弘己</t>
    <phoneticPr fontId="1"/>
  </si>
  <si>
    <t>望月貴史</t>
    <phoneticPr fontId="1"/>
  </si>
  <si>
    <t>管理者</t>
    <rPh sb="0" eb="3">
      <t>カンリシャ</t>
    </rPh>
    <phoneticPr fontId="1"/>
  </si>
  <si>
    <t>10月</t>
    <rPh sb="2" eb="3">
      <t>ガツ</t>
    </rPh>
    <phoneticPr fontId="1"/>
  </si>
  <si>
    <t>11月</t>
  </si>
  <si>
    <t>12月</t>
  </si>
  <si>
    <t>SDMくん_25年度新機能開発要員</t>
    <phoneticPr fontId="1"/>
  </si>
  <si>
    <t>SDMくん_運転保全連携システム機能移行要員</t>
    <phoneticPr fontId="1"/>
  </si>
  <si>
    <t>李華栄さんの代わり</t>
    <rPh sb="6" eb="7">
      <t>カ</t>
    </rPh>
    <phoneticPr fontId="1"/>
  </si>
  <si>
    <t>ブリッジ①</t>
    <phoneticPr fontId="1"/>
  </si>
  <si>
    <t>PG</t>
    <phoneticPr fontId="1"/>
  </si>
  <si>
    <t>ﾚﾌｨﾝﾄﾞｩｯｸ</t>
    <phoneticPr fontId="1"/>
  </si>
  <si>
    <t>ｸﾞｴﾝﾀﾝｻﾝ</t>
    <phoneticPr fontId="1"/>
  </si>
  <si>
    <t>ﾌﾞｲﾀﾝﾀﾝ</t>
    <phoneticPr fontId="1"/>
  </si>
  <si>
    <t>ﾁｬﾝｸﾞｴﾝﾃｨｴﾝﾀｯﾄﾞ</t>
    <phoneticPr fontId="1"/>
  </si>
  <si>
    <t>ﾌﾞｰﾃｨﾝ</t>
    <phoneticPr fontId="1"/>
  </si>
  <si>
    <t>オフショア</t>
    <phoneticPr fontId="1"/>
  </si>
  <si>
    <t xml:space="preserve">ブリッジ②　単価：60万×0.5人月 </t>
    <rPh sb="6" eb="8">
      <t>タンカ</t>
    </rPh>
    <rPh sb="11" eb="12">
      <t>マン</t>
    </rPh>
    <rPh sb="16" eb="17">
      <t>ニン</t>
    </rPh>
    <rPh sb="17" eb="18">
      <t>ゲツ</t>
    </rPh>
    <phoneticPr fontId="1"/>
  </si>
  <si>
    <t>ｸﾞｴﾝｳﾞｧﾝﾐﾝﾁｪｯﾄ</t>
    <phoneticPr fontId="1"/>
  </si>
  <si>
    <t>LeHuynhDuc-ev</t>
    <phoneticPr fontId="1"/>
  </si>
  <si>
    <t>VuThinh-ev</t>
    <phoneticPr fontId="1"/>
  </si>
  <si>
    <t>固定</t>
    <rPh sb="0" eb="2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</si>
</sst>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left"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76" fontId="0" fillId="5" borderId="0" xfId="0" applyNumberForma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>
      <alignment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176" fontId="4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0" fontId="0" fillId="6" borderId="1" xfId="0" applyFill="1" applyBorder="1" applyAlignment="1">
      <alignment horizontal="right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7" borderId="1" xfId="0" applyFill="1" applyBorder="1">
      <alignment vertical="center"/>
    </xf>
    <xf numFmtId="176" fontId="7" fillId="0" borderId="0" xfId="0" applyNumberFormat="1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Fill="1" applyBorder="1">
      <alignment vertical="center"/>
    </xf>
    <xf numFmtId="176" fontId="8" fillId="0" borderId="0" xfId="0" applyNumberFormat="1" applyFont="1">
      <alignment vertical="center"/>
    </xf>
    <xf numFmtId="0" fontId="7" fillId="6" borderId="0" xfId="0" applyFont="1" applyFill="1">
      <alignment vertical="center"/>
    </xf>
    <xf numFmtId="0" fontId="9" fillId="6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CCCCFF"/>
      <color rgb="FFCC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845A-FA15-4E09-84DC-05C47DD222A4}">
  <dimension ref="A1:L49"/>
  <sheetViews>
    <sheetView tabSelected="1" topLeftCell="A16" zoomScaleNormal="100" workbookViewId="0">
      <selection activeCell="B33" sqref="B33"/>
    </sheetView>
  </sheetViews>
  <sheetFormatPr defaultRowHeight="18" x14ac:dyDescent="0.55000000000000004"/>
  <cols>
    <col min="1" max="1" width="10.58203125" customWidth="1"/>
    <col min="2" max="2" width="64.08203125" bestFit="1" customWidth="1"/>
    <col min="3" max="3" width="31.58203125" customWidth="1"/>
    <col min="4" max="4" width="12.08203125" style="9" customWidth="1"/>
    <col min="5" max="6" width="12.08203125" customWidth="1"/>
    <col min="7" max="7" width="17.08203125" customWidth="1"/>
    <col min="8" max="8" width="3.33203125" customWidth="1"/>
    <col min="9" max="9" width="11.5" style="9" bestFit="1" customWidth="1"/>
    <col min="10" max="11" width="11.5" bestFit="1" customWidth="1"/>
    <col min="12" max="12" width="15.58203125" bestFit="1" customWidth="1"/>
  </cols>
  <sheetData>
    <row r="1" spans="1:12" x14ac:dyDescent="0.55000000000000004">
      <c r="D1" s="30" t="s">
        <v>0</v>
      </c>
      <c r="E1" s="30"/>
      <c r="F1" s="30"/>
      <c r="G1" s="30"/>
      <c r="H1" s="15"/>
      <c r="I1" s="30" t="s">
        <v>1</v>
      </c>
      <c r="J1" s="30"/>
      <c r="K1" s="30"/>
      <c r="L1" s="30"/>
    </row>
    <row r="2" spans="1:12" x14ac:dyDescent="0.55000000000000004">
      <c r="D2" s="11" t="s">
        <v>35</v>
      </c>
      <c r="E2" s="11" t="s">
        <v>36</v>
      </c>
      <c r="F2" s="11" t="s">
        <v>37</v>
      </c>
      <c r="I2" s="11" t="s">
        <v>35</v>
      </c>
      <c r="J2" s="11" t="s">
        <v>36</v>
      </c>
      <c r="K2" s="11" t="s">
        <v>37</v>
      </c>
    </row>
    <row r="3" spans="1:12" x14ac:dyDescent="0.55000000000000004">
      <c r="A3" s="1" t="s">
        <v>2</v>
      </c>
      <c r="B3" s="2" t="s">
        <v>38</v>
      </c>
      <c r="C3" s="26" t="s">
        <v>3</v>
      </c>
      <c r="E3" s="9"/>
      <c r="F3" s="9"/>
      <c r="J3" s="9"/>
      <c r="K3" s="9"/>
    </row>
    <row r="4" spans="1:12" x14ac:dyDescent="0.55000000000000004">
      <c r="A4" s="3">
        <v>1</v>
      </c>
      <c r="B4" s="3" t="s">
        <v>4</v>
      </c>
      <c r="C4" s="3" t="s">
        <v>34</v>
      </c>
      <c r="D4" s="9">
        <v>700000</v>
      </c>
      <c r="E4" s="9">
        <v>700000</v>
      </c>
      <c r="F4" s="9">
        <v>700000</v>
      </c>
      <c r="I4" s="9">
        <v>700000</v>
      </c>
      <c r="J4" s="9">
        <v>700000</v>
      </c>
      <c r="K4" s="9">
        <v>700000</v>
      </c>
    </row>
    <row r="5" spans="1:12" x14ac:dyDescent="0.55000000000000004">
      <c r="A5" s="3">
        <v>2</v>
      </c>
      <c r="B5" s="3" t="s">
        <v>29</v>
      </c>
      <c r="C5" s="3" t="s">
        <v>5</v>
      </c>
      <c r="D5" s="19">
        <v>1000000</v>
      </c>
      <c r="E5" s="19">
        <v>1000000</v>
      </c>
      <c r="F5" s="19">
        <v>1000000</v>
      </c>
      <c r="I5" s="9">
        <v>1000000</v>
      </c>
      <c r="J5" s="9">
        <v>1000000</v>
      </c>
      <c r="K5" s="9">
        <v>1000000</v>
      </c>
    </row>
    <row r="6" spans="1:12" x14ac:dyDescent="0.55000000000000004">
      <c r="A6" s="3">
        <v>3</v>
      </c>
      <c r="B6" s="3" t="s">
        <v>6</v>
      </c>
      <c r="C6" s="3" t="s">
        <v>5</v>
      </c>
      <c r="D6" s="19">
        <v>1000000</v>
      </c>
      <c r="E6" s="19">
        <v>1000000</v>
      </c>
      <c r="F6" s="19">
        <v>1000000</v>
      </c>
      <c r="I6" s="9">
        <v>1000000</v>
      </c>
      <c r="J6" s="9">
        <v>1000000</v>
      </c>
      <c r="K6" s="9">
        <v>1000000</v>
      </c>
    </row>
    <row r="7" spans="1:12" x14ac:dyDescent="0.55000000000000004">
      <c r="A7" s="3">
        <v>4</v>
      </c>
      <c r="B7" s="3" t="s">
        <v>7</v>
      </c>
      <c r="C7" s="13" t="s">
        <v>8</v>
      </c>
      <c r="D7" s="19">
        <v>900000</v>
      </c>
      <c r="E7" s="19">
        <v>900000</v>
      </c>
      <c r="F7" s="19">
        <v>900000</v>
      </c>
      <c r="I7" s="19">
        <v>720000</v>
      </c>
      <c r="J7" s="19">
        <v>720000</v>
      </c>
      <c r="K7" s="19">
        <v>720000</v>
      </c>
    </row>
    <row r="8" spans="1:12" x14ac:dyDescent="0.55000000000000004">
      <c r="A8" s="3">
        <v>5</v>
      </c>
      <c r="B8" s="3" t="s">
        <v>9</v>
      </c>
      <c r="C8" s="13" t="s">
        <v>10</v>
      </c>
      <c r="D8" s="19">
        <v>1000000</v>
      </c>
      <c r="E8" s="19">
        <v>1000000</v>
      </c>
      <c r="F8" s="19">
        <v>1000000</v>
      </c>
      <c r="I8" s="9">
        <v>880000</v>
      </c>
      <c r="J8" s="9">
        <v>880000</v>
      </c>
      <c r="K8" s="9">
        <v>880000</v>
      </c>
    </row>
    <row r="9" spans="1:12" x14ac:dyDescent="0.55000000000000004">
      <c r="C9" s="12"/>
      <c r="D9" s="9">
        <f>SUM(D4:D8)</f>
        <v>4600000</v>
      </c>
      <c r="E9" s="9">
        <f t="shared" ref="E9" si="0">SUM(E4:E8)</f>
        <v>4600000</v>
      </c>
      <c r="F9" s="9">
        <f t="shared" ref="F9" si="1">SUM(F4:F8)</f>
        <v>4600000</v>
      </c>
      <c r="G9" s="9">
        <f>SUM(D9:F9)</f>
        <v>13800000</v>
      </c>
      <c r="I9" s="9">
        <f>SUM(I4:I8)</f>
        <v>4300000</v>
      </c>
      <c r="J9" s="9">
        <f>SUM(J4:J8)</f>
        <v>4300000</v>
      </c>
      <c r="K9" s="9">
        <f>SUM(K4:K8)</f>
        <v>4300000</v>
      </c>
      <c r="L9" s="9">
        <f>SUM(I9:K9)</f>
        <v>12900000</v>
      </c>
    </row>
    <row r="10" spans="1:12" x14ac:dyDescent="0.55000000000000004">
      <c r="C10" s="12"/>
      <c r="E10" s="9"/>
      <c r="F10" s="9"/>
      <c r="G10" s="9"/>
      <c r="J10" s="9"/>
      <c r="K10" s="9"/>
      <c r="L10" s="9"/>
    </row>
    <row r="11" spans="1:12" x14ac:dyDescent="0.55000000000000004">
      <c r="E11" s="9"/>
      <c r="F11" s="9"/>
      <c r="J11" s="9"/>
      <c r="K11" s="9"/>
    </row>
    <row r="12" spans="1:12" x14ac:dyDescent="0.55000000000000004">
      <c r="A12" s="17" t="s">
        <v>2</v>
      </c>
      <c r="B12" s="18" t="s">
        <v>39</v>
      </c>
      <c r="C12" s="25" t="s">
        <v>3</v>
      </c>
    </row>
    <row r="13" spans="1:12" x14ac:dyDescent="0.55000000000000004">
      <c r="A13" s="3">
        <v>6</v>
      </c>
      <c r="B13" s="3" t="s">
        <v>27</v>
      </c>
      <c r="C13" s="3" t="s">
        <v>41</v>
      </c>
      <c r="D13" s="9">
        <v>900000</v>
      </c>
      <c r="E13" s="9">
        <v>900000</v>
      </c>
      <c r="F13" s="9">
        <v>900000</v>
      </c>
      <c r="I13" s="10">
        <v>800000</v>
      </c>
      <c r="J13" s="10">
        <v>800000</v>
      </c>
      <c r="K13" s="10">
        <v>800000</v>
      </c>
    </row>
    <row r="14" spans="1:12" x14ac:dyDescent="0.55000000000000004">
      <c r="A14" s="3">
        <v>7</v>
      </c>
      <c r="B14" s="3" t="s">
        <v>44</v>
      </c>
      <c r="C14" s="3" t="s">
        <v>11</v>
      </c>
      <c r="D14" s="9">
        <v>700000</v>
      </c>
      <c r="E14" s="9">
        <v>700000</v>
      </c>
      <c r="F14" s="9">
        <v>700000</v>
      </c>
      <c r="I14" s="9">
        <v>450000</v>
      </c>
      <c r="J14" s="9">
        <v>450000</v>
      </c>
      <c r="K14" s="9">
        <v>450000</v>
      </c>
    </row>
    <row r="15" spans="1:12" x14ac:dyDescent="0.55000000000000004">
      <c r="A15" s="3">
        <v>8</v>
      </c>
      <c r="B15" s="3" t="s">
        <v>45</v>
      </c>
      <c r="C15" s="3" t="s">
        <v>12</v>
      </c>
      <c r="D15" s="9">
        <v>700000</v>
      </c>
      <c r="E15" s="9">
        <v>700000</v>
      </c>
      <c r="F15" s="9">
        <v>700000</v>
      </c>
      <c r="I15" s="9">
        <v>350000</v>
      </c>
      <c r="J15" s="9">
        <v>350000</v>
      </c>
      <c r="K15" s="9">
        <v>350000</v>
      </c>
    </row>
    <row r="16" spans="1:12" x14ac:dyDescent="0.55000000000000004">
      <c r="A16" s="3">
        <v>9</v>
      </c>
      <c r="B16" s="3" t="s">
        <v>46</v>
      </c>
      <c r="C16" s="3" t="s">
        <v>13</v>
      </c>
      <c r="D16" s="9">
        <v>700000</v>
      </c>
      <c r="E16" s="9">
        <v>700000</v>
      </c>
      <c r="F16" s="9">
        <v>700000</v>
      </c>
      <c r="I16" s="9">
        <v>350000</v>
      </c>
      <c r="J16" s="9">
        <v>350000</v>
      </c>
      <c r="K16" s="9">
        <v>350000</v>
      </c>
    </row>
    <row r="17" spans="1:12" x14ac:dyDescent="0.55000000000000004">
      <c r="A17" s="3">
        <v>10</v>
      </c>
      <c r="B17" s="3" t="s">
        <v>50</v>
      </c>
      <c r="C17" s="3" t="s">
        <v>23</v>
      </c>
      <c r="D17" s="9">
        <v>700000</v>
      </c>
      <c r="E17" s="9">
        <v>700000</v>
      </c>
      <c r="F17" s="9">
        <v>700000</v>
      </c>
      <c r="I17" s="9">
        <v>350000</v>
      </c>
      <c r="J17" s="9">
        <v>350000</v>
      </c>
      <c r="K17" s="9">
        <v>350000</v>
      </c>
    </row>
    <row r="18" spans="1:12" x14ac:dyDescent="0.55000000000000004">
      <c r="A18" s="3">
        <v>11</v>
      </c>
      <c r="B18" s="31" t="s">
        <v>43</v>
      </c>
      <c r="C18" s="3" t="s">
        <v>51</v>
      </c>
      <c r="D18" s="9">
        <v>700000</v>
      </c>
      <c r="E18" s="9">
        <v>700000</v>
      </c>
      <c r="F18" s="9">
        <v>700000</v>
      </c>
      <c r="I18" s="9">
        <v>350000</v>
      </c>
      <c r="J18" s="9">
        <v>350000</v>
      </c>
      <c r="K18" s="9">
        <v>350000</v>
      </c>
    </row>
    <row r="19" spans="1:12" x14ac:dyDescent="0.55000000000000004">
      <c r="A19" s="3">
        <v>12</v>
      </c>
      <c r="B19" s="31" t="s">
        <v>47</v>
      </c>
      <c r="C19" s="3" t="s">
        <v>52</v>
      </c>
      <c r="D19" s="9">
        <v>700000</v>
      </c>
      <c r="E19" s="9">
        <v>700000</v>
      </c>
      <c r="F19" s="9">
        <v>700000</v>
      </c>
      <c r="I19" s="9">
        <v>350000</v>
      </c>
      <c r="J19" s="9">
        <v>350000</v>
      </c>
      <c r="K19" s="9">
        <v>350000</v>
      </c>
    </row>
    <row r="20" spans="1:12" x14ac:dyDescent="0.55000000000000004">
      <c r="D20" s="9">
        <f>SUM(D13:D19)</f>
        <v>5100000</v>
      </c>
      <c r="E20" s="9">
        <f t="shared" ref="E20:F20" si="2">SUM(E13:E19)</f>
        <v>5100000</v>
      </c>
      <c r="F20" s="9">
        <f t="shared" si="2"/>
        <v>5100000</v>
      </c>
      <c r="G20" s="9">
        <f>SUM(D20:F20)</f>
        <v>15300000</v>
      </c>
      <c r="I20" s="9">
        <f>SUM(I13:I19)</f>
        <v>3000000</v>
      </c>
      <c r="J20" s="9">
        <f t="shared" ref="J20" si="3">SUM(J13:J19)</f>
        <v>3000000</v>
      </c>
      <c r="K20" s="9">
        <f t="shared" ref="K20" si="4">SUM(K13:K19)</f>
        <v>3000000</v>
      </c>
      <c r="L20" s="9">
        <f>SUM(I20:K20)</f>
        <v>9000000</v>
      </c>
    </row>
    <row r="21" spans="1:12" x14ac:dyDescent="0.55000000000000004">
      <c r="E21" s="9"/>
      <c r="F21" s="9"/>
      <c r="G21" s="9"/>
      <c r="J21" s="9"/>
      <c r="K21" s="9"/>
      <c r="L21" s="9"/>
    </row>
    <row r="22" spans="1:12" x14ac:dyDescent="0.55000000000000004">
      <c r="E22" s="9"/>
      <c r="F22" s="9"/>
      <c r="J22" s="9"/>
      <c r="K22" s="9"/>
    </row>
    <row r="23" spans="1:12" x14ac:dyDescent="0.55000000000000004">
      <c r="A23" s="6" t="s">
        <v>2</v>
      </c>
      <c r="B23" s="7" t="s">
        <v>14</v>
      </c>
      <c r="C23" s="8" t="s">
        <v>15</v>
      </c>
    </row>
    <row r="24" spans="1:12" x14ac:dyDescent="0.55000000000000004">
      <c r="A24" s="3">
        <v>13</v>
      </c>
      <c r="B24" s="3" t="s">
        <v>30</v>
      </c>
      <c r="C24" s="14" t="s">
        <v>5</v>
      </c>
      <c r="D24" s="9">
        <v>1000000</v>
      </c>
      <c r="E24" s="9">
        <v>1000000</v>
      </c>
      <c r="F24" s="9">
        <v>1000000</v>
      </c>
      <c r="I24" s="9">
        <v>1000000</v>
      </c>
      <c r="J24" s="9">
        <v>1000000</v>
      </c>
      <c r="K24" s="9">
        <v>1000000</v>
      </c>
    </row>
    <row r="25" spans="1:12" x14ac:dyDescent="0.55000000000000004">
      <c r="A25" s="3">
        <v>14</v>
      </c>
      <c r="B25" s="3" t="s">
        <v>16</v>
      </c>
      <c r="C25" s="3"/>
      <c r="D25" s="9">
        <v>900000</v>
      </c>
      <c r="E25" s="9">
        <v>900000</v>
      </c>
      <c r="F25" s="9">
        <v>900000</v>
      </c>
      <c r="I25" s="20">
        <v>790000</v>
      </c>
      <c r="J25" s="20">
        <v>790000</v>
      </c>
      <c r="K25" s="20">
        <v>790000</v>
      </c>
    </row>
    <row r="26" spans="1:12" x14ac:dyDescent="0.55000000000000004">
      <c r="A26" s="3">
        <v>15</v>
      </c>
      <c r="B26" s="3" t="s">
        <v>17</v>
      </c>
      <c r="C26" s="13"/>
      <c r="D26" s="9">
        <v>900000</v>
      </c>
      <c r="E26" s="9">
        <v>900000</v>
      </c>
      <c r="F26" s="9">
        <v>900000</v>
      </c>
      <c r="I26" s="21">
        <v>800000</v>
      </c>
      <c r="J26" s="21">
        <v>800000</v>
      </c>
      <c r="K26" s="21">
        <v>800000</v>
      </c>
    </row>
    <row r="27" spans="1:12" x14ac:dyDescent="0.55000000000000004">
      <c r="A27" s="3">
        <v>16</v>
      </c>
      <c r="B27" s="3" t="s">
        <v>18</v>
      </c>
      <c r="C27" s="14"/>
      <c r="D27" s="9">
        <v>900000</v>
      </c>
      <c r="E27" s="9">
        <v>900000</v>
      </c>
      <c r="F27" s="9">
        <v>900000</v>
      </c>
      <c r="I27" s="20">
        <v>700000</v>
      </c>
      <c r="J27" s="20">
        <v>700000</v>
      </c>
      <c r="K27" s="20">
        <v>700000</v>
      </c>
    </row>
    <row r="28" spans="1:12" x14ac:dyDescent="0.55000000000000004">
      <c r="A28" s="3">
        <v>17</v>
      </c>
      <c r="B28" s="3" t="s">
        <v>19</v>
      </c>
      <c r="C28" s="14"/>
      <c r="D28" s="9">
        <v>900000</v>
      </c>
      <c r="E28" s="9">
        <v>900000</v>
      </c>
      <c r="F28" s="9">
        <v>900000</v>
      </c>
      <c r="I28" s="21">
        <v>670000</v>
      </c>
      <c r="J28" s="21">
        <v>670000</v>
      </c>
      <c r="K28" s="21">
        <v>670000</v>
      </c>
    </row>
    <row r="29" spans="1:12" x14ac:dyDescent="0.55000000000000004">
      <c r="A29" s="3">
        <v>18</v>
      </c>
      <c r="B29" s="3" t="s">
        <v>20</v>
      </c>
      <c r="C29" s="14"/>
      <c r="D29" s="9">
        <v>900000</v>
      </c>
      <c r="E29" s="9">
        <v>900000</v>
      </c>
      <c r="F29" s="9">
        <v>900000</v>
      </c>
      <c r="I29" s="21">
        <v>800000</v>
      </c>
      <c r="J29" s="21">
        <v>800000</v>
      </c>
      <c r="K29" s="21">
        <v>800000</v>
      </c>
    </row>
    <row r="30" spans="1:12" x14ac:dyDescent="0.55000000000000004">
      <c r="C30" s="12"/>
      <c r="D30" s="9">
        <f>SUM(D24:D29)</f>
        <v>5500000</v>
      </c>
      <c r="E30" s="9">
        <f t="shared" ref="E30:F30" si="5">SUM(E24:E29)</f>
        <v>5500000</v>
      </c>
      <c r="F30" s="9">
        <f t="shared" si="5"/>
        <v>5500000</v>
      </c>
      <c r="G30" s="9">
        <f>SUM(D30:F30)</f>
        <v>16500000</v>
      </c>
      <c r="H30" s="9"/>
      <c r="I30" s="9">
        <f>SUM(I24:I29)</f>
        <v>4760000</v>
      </c>
      <c r="J30" s="9">
        <f t="shared" ref="J30" si="6">SUM(J24:J29)</f>
        <v>4760000</v>
      </c>
      <c r="K30" s="9">
        <f t="shared" ref="K30" si="7">SUM(K24:K29)</f>
        <v>4760000</v>
      </c>
      <c r="L30" s="9">
        <f>SUM(I30:K30)</f>
        <v>14280000</v>
      </c>
    </row>
    <row r="31" spans="1:12" x14ac:dyDescent="0.55000000000000004">
      <c r="E31" s="9"/>
      <c r="F31" s="9"/>
      <c r="G31" s="9"/>
      <c r="J31" s="9"/>
      <c r="K31" s="9"/>
      <c r="L31" s="9"/>
    </row>
    <row r="32" spans="1:12" x14ac:dyDescent="0.55000000000000004">
      <c r="E32" s="9"/>
      <c r="F32" s="9"/>
      <c r="J32" s="9"/>
      <c r="K32" s="9"/>
    </row>
    <row r="33" spans="1:12" x14ac:dyDescent="0.55000000000000004">
      <c r="A33" s="22" t="s">
        <v>2</v>
      </c>
      <c r="B33" s="23" t="s">
        <v>22</v>
      </c>
      <c r="C33" s="24" t="s">
        <v>15</v>
      </c>
    </row>
    <row r="34" spans="1:12" x14ac:dyDescent="0.55000000000000004">
      <c r="A34" s="3">
        <v>19</v>
      </c>
      <c r="B34" s="3" t="s">
        <v>21</v>
      </c>
      <c r="C34" s="3"/>
      <c r="D34" s="9">
        <v>900000</v>
      </c>
      <c r="E34" s="9">
        <v>900000</v>
      </c>
      <c r="F34" s="9">
        <v>900000</v>
      </c>
      <c r="I34" s="21">
        <v>450000</v>
      </c>
      <c r="J34" s="21">
        <v>450000</v>
      </c>
      <c r="K34" s="21">
        <v>450000</v>
      </c>
    </row>
    <row r="35" spans="1:12" x14ac:dyDescent="0.55000000000000004">
      <c r="A35" s="3">
        <v>20</v>
      </c>
      <c r="B35" s="28" t="s">
        <v>48</v>
      </c>
      <c r="C35" s="3" t="s">
        <v>49</v>
      </c>
      <c r="D35" s="29">
        <v>300000</v>
      </c>
      <c r="E35" s="29">
        <v>300000</v>
      </c>
      <c r="F35" s="29">
        <v>300000</v>
      </c>
      <c r="G35" s="33" t="s">
        <v>53</v>
      </c>
      <c r="I35" s="32">
        <v>400000</v>
      </c>
      <c r="J35" s="32">
        <v>400000</v>
      </c>
      <c r="K35" s="32">
        <v>400000</v>
      </c>
    </row>
    <row r="36" spans="1:12" x14ac:dyDescent="0.55000000000000004">
      <c r="A36" s="3">
        <v>21</v>
      </c>
      <c r="B36" s="28" t="s">
        <v>40</v>
      </c>
      <c r="C36" s="14" t="s">
        <v>42</v>
      </c>
      <c r="D36" s="29">
        <v>600000</v>
      </c>
      <c r="E36" s="29">
        <v>600000</v>
      </c>
      <c r="F36" s="29">
        <v>600000</v>
      </c>
      <c r="G36" s="34" t="s">
        <v>53</v>
      </c>
      <c r="I36" s="9">
        <v>350000</v>
      </c>
      <c r="J36" s="9">
        <v>350000</v>
      </c>
      <c r="K36" s="9">
        <v>350000</v>
      </c>
    </row>
    <row r="37" spans="1:12" x14ac:dyDescent="0.55000000000000004">
      <c r="C37" s="12"/>
      <c r="D37" s="9">
        <f>SUM(D34:D36)</f>
        <v>1800000</v>
      </c>
      <c r="E37" s="9">
        <f t="shared" ref="E37:F37" si="8">SUM(E34:E36)</f>
        <v>1800000</v>
      </c>
      <c r="F37" s="9">
        <f t="shared" si="8"/>
        <v>1800000</v>
      </c>
      <c r="G37" s="9">
        <f>SUM(D37:F37)</f>
        <v>5400000</v>
      </c>
      <c r="H37" s="9"/>
      <c r="I37" s="9">
        <f>SUM(I34:I36)</f>
        <v>1200000</v>
      </c>
      <c r="J37" s="9">
        <f t="shared" ref="J37:K37" si="9">SUM(J34:J36)</f>
        <v>1200000</v>
      </c>
      <c r="K37" s="9">
        <f t="shared" si="9"/>
        <v>1200000</v>
      </c>
      <c r="L37" s="9">
        <f>SUM(I37:K37)</f>
        <v>3600000</v>
      </c>
    </row>
    <row r="38" spans="1:12" x14ac:dyDescent="0.55000000000000004">
      <c r="E38" s="9"/>
      <c r="F38" s="9"/>
      <c r="G38" s="9"/>
    </row>
    <row r="39" spans="1:12" x14ac:dyDescent="0.55000000000000004">
      <c r="E39" s="9"/>
      <c r="F39" s="9"/>
      <c r="G39" s="9"/>
      <c r="H39" s="9"/>
      <c r="J39" s="9"/>
      <c r="K39" s="9"/>
      <c r="L39" s="9"/>
    </row>
    <row r="40" spans="1:12" x14ac:dyDescent="0.55000000000000004">
      <c r="A40" s="4" t="s">
        <v>2</v>
      </c>
      <c r="B40" s="5" t="s">
        <v>28</v>
      </c>
      <c r="C40" s="27" t="s">
        <v>15</v>
      </c>
    </row>
    <row r="41" spans="1:12" x14ac:dyDescent="0.55000000000000004">
      <c r="A41" s="3">
        <v>22</v>
      </c>
      <c r="B41" s="3" t="s">
        <v>24</v>
      </c>
      <c r="C41" s="3" t="s">
        <v>25</v>
      </c>
      <c r="D41" s="19">
        <v>1000000</v>
      </c>
      <c r="E41" s="19">
        <v>1000000</v>
      </c>
      <c r="F41" s="19">
        <v>1000000</v>
      </c>
      <c r="I41" s="9">
        <v>1000000</v>
      </c>
      <c r="J41" s="9">
        <v>1000000</v>
      </c>
      <c r="K41" s="9">
        <v>1000000</v>
      </c>
    </row>
    <row r="42" spans="1:12" x14ac:dyDescent="0.55000000000000004">
      <c r="A42" s="3">
        <v>23</v>
      </c>
      <c r="B42" s="3" t="s">
        <v>31</v>
      </c>
      <c r="C42" s="3" t="s">
        <v>25</v>
      </c>
      <c r="D42" s="19">
        <v>1000000</v>
      </c>
      <c r="E42" s="19">
        <v>1000000</v>
      </c>
      <c r="F42" s="19">
        <v>1000000</v>
      </c>
      <c r="I42" s="9">
        <v>1000000</v>
      </c>
      <c r="J42" s="9">
        <v>1000000</v>
      </c>
      <c r="K42" s="9">
        <v>1000000</v>
      </c>
    </row>
    <row r="43" spans="1:12" x14ac:dyDescent="0.55000000000000004">
      <c r="A43" s="3">
        <v>24</v>
      </c>
      <c r="B43" s="3" t="s">
        <v>32</v>
      </c>
      <c r="C43" s="3" t="s">
        <v>25</v>
      </c>
      <c r="D43" s="19">
        <v>1000000</v>
      </c>
      <c r="E43" s="19">
        <v>1000000</v>
      </c>
      <c r="F43" s="19">
        <v>1000000</v>
      </c>
      <c r="I43" s="9">
        <v>1000000</v>
      </c>
      <c r="J43" s="9">
        <v>1000000</v>
      </c>
      <c r="K43" s="9">
        <v>1000000</v>
      </c>
    </row>
    <row r="44" spans="1:12" x14ac:dyDescent="0.55000000000000004">
      <c r="A44" s="3">
        <v>25</v>
      </c>
      <c r="B44" s="3" t="s">
        <v>33</v>
      </c>
      <c r="C44" s="3" t="s">
        <v>25</v>
      </c>
      <c r="D44" s="19">
        <v>1000000</v>
      </c>
      <c r="E44" s="19">
        <v>1000000</v>
      </c>
      <c r="F44" s="19">
        <v>1000000</v>
      </c>
      <c r="I44" s="9">
        <v>1000000</v>
      </c>
      <c r="J44" s="9">
        <v>1000000</v>
      </c>
      <c r="K44" s="9">
        <v>1000000</v>
      </c>
    </row>
    <row r="45" spans="1:12" x14ac:dyDescent="0.55000000000000004">
      <c r="A45" s="3">
        <v>26</v>
      </c>
      <c r="B45" s="3" t="s">
        <v>26</v>
      </c>
      <c r="C45" s="3" t="s">
        <v>25</v>
      </c>
      <c r="D45" s="19">
        <v>1000000</v>
      </c>
      <c r="E45" s="19">
        <v>1000000</v>
      </c>
      <c r="F45" s="19">
        <v>1000000</v>
      </c>
      <c r="I45" s="9">
        <v>1000000</v>
      </c>
      <c r="J45" s="9">
        <v>1000000</v>
      </c>
      <c r="K45" s="9">
        <v>1000000</v>
      </c>
    </row>
    <row r="46" spans="1:12" x14ac:dyDescent="0.55000000000000004">
      <c r="D46" s="9">
        <f>SUM(D41:D45)</f>
        <v>5000000</v>
      </c>
      <c r="E46" s="9">
        <f t="shared" ref="E46:F46" si="10">SUM(E41:E45)</f>
        <v>5000000</v>
      </c>
      <c r="F46" s="9">
        <f t="shared" si="10"/>
        <v>5000000</v>
      </c>
      <c r="G46" s="9">
        <f>SUM(D46:F46)</f>
        <v>15000000</v>
      </c>
      <c r="H46" s="9"/>
      <c r="I46" s="9">
        <f>SUM(I41:I45)</f>
        <v>5000000</v>
      </c>
      <c r="J46" s="9">
        <f>SUM(J41:J45)</f>
        <v>5000000</v>
      </c>
      <c r="K46" s="9">
        <f>SUM(K41:K45)</f>
        <v>5000000</v>
      </c>
      <c r="L46" s="9">
        <f>SUM(I46:K46)</f>
        <v>15000000</v>
      </c>
    </row>
    <row r="47" spans="1:12" x14ac:dyDescent="0.55000000000000004">
      <c r="E47" s="9"/>
      <c r="F47" s="9"/>
      <c r="G47" s="9"/>
      <c r="H47" s="9"/>
      <c r="J47" s="9"/>
      <c r="K47" s="9"/>
      <c r="L47" s="9"/>
    </row>
    <row r="49" spans="7:12" ht="22.5" x14ac:dyDescent="0.55000000000000004">
      <c r="G49" s="16">
        <f>SUM(G1:G47)</f>
        <v>66000000</v>
      </c>
      <c r="L49" s="16">
        <f>SUM(L1:L47)</f>
        <v>54780000</v>
      </c>
    </row>
  </sheetData>
  <mergeCells count="2">
    <mergeCell ref="D1:G1"/>
    <mergeCell ref="I1:L1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D5CE0A-DA21-41B5-BF7C-D3EE1BFAD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AADB11-63DC-4AE6-9589-BB86A2AB1A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2370B-3F3D-46D5-9221-CFFE543561C8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2fd442da-66a9-4fa6-ba31-eb0d54ad138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割振り</vt:lpstr>
    </vt:vector>
  </TitlesOfParts>
  <Manager/>
  <Company>（株）システムエグゼ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鈴木 邦彦</dc:creator>
  <cp:keywords/>
  <dc:description/>
  <cp:lastModifiedBy>髙浦祐朗</cp:lastModifiedBy>
  <cp:revision/>
  <dcterms:created xsi:type="dcterms:W3CDTF">2022-04-13T10:31:00Z</dcterms:created>
  <dcterms:modified xsi:type="dcterms:W3CDTF">2025-09-11T05:28:02Z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