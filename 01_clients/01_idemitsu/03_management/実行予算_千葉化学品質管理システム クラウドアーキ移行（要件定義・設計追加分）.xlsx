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C:\Users\k-nomura.SYSTEM-EXE\Downloads\"/>
    </mc:Choice>
  </mc:AlternateContent>
  <xr:revisionPtr revIDLastSave="0" documentId="13_ncr:1_{E48E07AA-F1D0-4AB9-B28A-B9493FC6A53E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<sst xmlns="http://schemas.openxmlformats.org/spreadsheetml/2006/main" count="97" uniqueCount="82">
  <si>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</si>
  <si>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</si>
  <si>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</si>
  <si>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</si>
  <si>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</si>
  <si>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</si>
  <si>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</si>
  <si>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</si>
  <si>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</si>
  <si>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</si>
  <si>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</si>
  <si>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</si>
  <si>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</si>
  <si>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</si>
  <si>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</si>
  <si>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</si>
  <si>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</si>
  <si>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</si>
  <si>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</si>
  <si>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</si>
  <si>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</si>
  <si>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</si>
  <si>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</si>
  <si>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</si>
  <si>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</si>
  <si>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</si>
  <si>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</si>
  <si>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</si>
  <si>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</si>
  <si>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</si>
  <si>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</si>
  <si>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</si>
  <si>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</si>
  <si>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</si>
  <si>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</si>
  <si>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</si>
  <si>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</si>
  <si>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</si>
  <si>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</si>
  <si>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</si>
  <si>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</si>
  <si>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</si>
  <si>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</si>
  <si>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</si>
  <si>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</si>
  <si>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</si>
  <si>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</si>
  <si>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</si>
  <si>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</si>
  <si>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</si>
  <si>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</si>
  <si>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</si>
  <si>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</si>
  <si>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</si>
  <si>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</si>
  <si>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</si>
  <si>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</si>
  <si>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</si>
  <si>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</si>
  <si>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</si>
  <si>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</si>
  <si>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</si>
  <si>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</si>
  <si>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</si>
  <si>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</si>
  <si>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</si>
  <si>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</si>
  <si>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</si>
  <si>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</si>
  <si>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</si>
  <si>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</si>
  <si>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</si>
  <si>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</si>
  <si>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</si>
  <si>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</si>
  <si>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</si>
  <si>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</si>
  <si>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</si>
  <si>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</si>
  <si>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</si>
  <si>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天川絢弥</t>
  </si>
  <si>
    <t>DoLyAnhThu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</si>
</sst>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/>
  </sheetViews>
  <sheetFormatPr defaultColWidth="8.09765625" defaultRowHeight="12.6" x14ac:dyDescent="0.45"/>
  <cols>
    <col min="1" max="1" width="14.59765625" style="2" customWidth="1"/>
    <col min="2" max="2" width="7.69921875" style="2" bestFit="1" customWidth="1"/>
    <col min="3" max="3" width="14.59765625" style="2" customWidth="1"/>
    <col min="4" max="31" width="7" style="2" customWidth="1"/>
    <col min="32" max="32" width="7.69921875" style="2" customWidth="1"/>
    <col min="33" max="16384" width="8.09765625" style="2"/>
  </cols>
  <sheetData>
    <row r="1" spans="1:32" ht="18.600000000000001" x14ac:dyDescent="0.45">
      <c r="A1" s="1" t="s">
        <v>0</v>
      </c>
      <c r="D1" s="3" t="s">
        <v>1</v>
      </c>
    </row>
    <row r="2" spans="1:32" ht="5.25" customHeight="1" x14ac:dyDescent="0.45">
      <c r="A2" s="1"/>
    </row>
    <row r="3" spans="1:32" x14ac:dyDescent="0.45">
      <c r="A3" s="4" t="s">
        <v>2</v>
      </c>
      <c r="B3" s="42"/>
      <c r="C3" s="43"/>
      <c r="D3" s="5" t="s">
        <v>3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5" t="s">
        <v>4</v>
      </c>
      <c r="B4" s="42" t="s">
        <v>5</v>
      </c>
      <c r="C4" s="43"/>
      <c r="D4" s="5" t="s">
        <v>6</v>
      </c>
      <c r="E4" s="45"/>
      <c r="F4" s="45"/>
      <c r="G4" s="5" t="s">
        <v>7</v>
      </c>
      <c r="H4" s="46">
        <f>AF59</f>
        <v>80</v>
      </c>
      <c r="I4" s="46"/>
      <c r="J4" s="5" t="s">
        <v>8</v>
      </c>
      <c r="K4" s="47">
        <f>外注費・経費!K4</f>
        <v>350000</v>
      </c>
      <c r="L4" s="47"/>
      <c r="M4" s="5" t="s">
        <v>9</v>
      </c>
      <c r="N4" s="47">
        <v>0</v>
      </c>
      <c r="O4" s="47"/>
    </row>
    <row r="5" spans="1:32" ht="6" customHeight="1" x14ac:dyDescent="0.45"/>
    <row r="6" spans="1:32" s="6" customFormat="1" x14ac:dyDescent="0.45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45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45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45">
      <c r="A9" s="21" t="s">
        <v>25</v>
      </c>
      <c r="B9" s="8">
        <v>1191</v>
      </c>
      <c r="C9" s="8" t="s">
        <v>80</v>
      </c>
      <c r="D9" s="22"/>
      <c r="E9" s="22"/>
      <c r="F9" s="22"/>
      <c r="G9" s="22"/>
      <c r="H9" s="22"/>
      <c r="I9" s="22"/>
      <c r="J9" s="22">
        <v>80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80</v>
      </c>
    </row>
    <row r="10" spans="1:32" x14ac:dyDescent="0.45">
      <c r="A10" s="21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45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5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5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5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5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5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5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5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5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5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5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5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5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5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5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5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5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5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5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5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5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5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5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5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5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5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5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5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5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5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5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5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5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5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5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5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5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5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5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5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5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5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5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5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5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5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5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5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5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80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80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="130" zoomScaleNormal="130" workbookViewId="0">
      <selection activeCell="D13" sqref="D13"/>
    </sheetView>
  </sheetViews>
  <sheetFormatPr defaultColWidth="8.09765625" defaultRowHeight="12.6" x14ac:dyDescent="0.45"/>
  <cols>
    <col min="1" max="1" width="14.59765625" style="2" customWidth="1"/>
    <col min="2" max="2" width="7.69921875" style="2" customWidth="1"/>
    <col min="3" max="3" width="14.59765625" style="2" customWidth="1"/>
    <col min="4" max="31" width="8.19921875" style="2" customWidth="1"/>
    <col min="32" max="32" width="11.09765625" style="2" customWidth="1"/>
    <col min="33" max="16384" width="8.09765625" style="2"/>
  </cols>
  <sheetData>
    <row r="1" spans="1:32" ht="18.600000000000001" x14ac:dyDescent="0.45">
      <c r="A1" s="1" t="s">
        <v>26</v>
      </c>
    </row>
    <row r="2" spans="1:32" ht="5.25" customHeight="1" x14ac:dyDescent="0.45">
      <c r="A2" s="1"/>
    </row>
    <row r="3" spans="1:32" x14ac:dyDescent="0.45">
      <c r="A3" s="9" t="s">
        <v>2</v>
      </c>
      <c r="B3" s="42"/>
      <c r="C3" s="43"/>
      <c r="D3" s="10" t="s">
        <v>3</v>
      </c>
      <c r="E3" s="42">
        <f>社員工数!E3</f>
        <v>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80</v>
      </c>
      <c r="I4" s="46"/>
      <c r="J4" s="11" t="s">
        <v>8</v>
      </c>
      <c r="K4" s="63">
        <f>AF59</f>
        <v>350000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45"/>
    <row r="6" spans="1:32" s="6" customFormat="1" x14ac:dyDescent="0.45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45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45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45">
      <c r="A9" s="13" t="s">
        <v>39</v>
      </c>
      <c r="B9" s="14">
        <v>4958</v>
      </c>
      <c r="C9" s="13" t="s">
        <v>81</v>
      </c>
      <c r="D9" s="13"/>
      <c r="E9" s="13"/>
      <c r="F9" s="13"/>
      <c r="G9" s="13"/>
      <c r="H9" s="13"/>
      <c r="I9" s="13"/>
      <c r="J9" s="13">
        <v>350000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350000</v>
      </c>
    </row>
    <row r="10" spans="1:32" x14ac:dyDescent="0.45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45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5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5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5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5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5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5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5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350000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350000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9765625" defaultRowHeight="18" x14ac:dyDescent="0.45"/>
  <cols>
    <col min="1" max="1" width="4.59765625" style="18" customWidth="1"/>
    <col min="2" max="2" width="10.5" style="18" customWidth="1"/>
    <col min="3" max="3" width="22" style="18" customWidth="1"/>
    <col min="4" max="4" width="15.09765625" style="18" customWidth="1"/>
    <col min="5" max="5" width="11.09765625" style="18" customWidth="1"/>
    <col min="6" max="6" width="58.19921875" style="18" bestFit="1" customWidth="1"/>
    <col min="7" max="7" width="11.09765625" style="18" customWidth="1"/>
    <col min="8" max="8" width="5.69921875" style="18" customWidth="1"/>
    <col min="9" max="9" width="11.69921875" style="18" customWidth="1"/>
    <col min="10" max="10" width="11.09765625" style="18" customWidth="1"/>
    <col min="11" max="11" width="17.09765625" style="18" bestFit="1" customWidth="1"/>
    <col min="12" max="12" width="11.09765625" style="18" customWidth="1"/>
    <col min="13" max="16384" width="8.59765625" style="18"/>
  </cols>
  <sheetData>
    <row r="1" spans="1:12" x14ac:dyDescent="0.45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45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45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45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45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45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45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45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45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45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45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45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45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E6A4BA-F386-4DF4-9C1E-5FC1525CA7B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fd442da-66a9-4fa6-ba31-eb0d54ad138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2025-10-01T03:29:27Z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