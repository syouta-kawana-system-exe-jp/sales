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4"/>
  <workbookPr/>
  <mc:AlternateContent xmlns:mc="http://schemas.openxmlformats.org/markup-compatibility/2006">
    <mc:Choice Requires="x15">
      <x15ac:absPath xmlns:x15ac="http://schemas.microsoft.com/office/spreadsheetml/2010/11/ac" url="C:\社内業務\見積・契約\出光興産株式会社\L3.5\"/>
    </mc:Choice>
  </mc:AlternateContent>
  <xr:revisionPtr revIDLastSave="0" documentId="13_ncr:1_{41E81B30-4A00-4712-BD93-4276E3DE4D36}" xr6:coauthVersionLast="47" xr6:coauthVersionMax="47" xr10:uidLastSave="{00000000-0000-0000-0000-000000000000}"/>
  <bookViews>
    <workbookView xWindow="19090" yWindow="-110" windowWidth="38620" windowHeight="21220" tabRatio="790" firstSheet="6" activeTab="6" xr2:uid="{00000000-000D-0000-FFFF-FFFF00000000}"/>
  </bookViews>
  <sheets>
    <sheet name="依頼概要" sheetId="6" r:id="rId1"/>
    <sheet name="想定作業" sheetId="7" r:id="rId2"/>
    <sheet name="概要図(千葉)" sheetId="8" r:id="rId3"/>
    <sheet name="概要図(徳山)" sheetId="9" r:id="rId4"/>
    <sheet name="システム概要" sheetId="2" r:id="rId5"/>
    <sheet name="見積 (サマリ)" sheetId="10" state="hidden" r:id="rId6"/>
    <sheet name="スケジュール案" sheetId="3" r:id="rId7"/>
    <sheet name="陸上出荷スケジュール" sheetId="24" r:id="rId8"/>
    <sheet name="スケジュール案（金額情報含む)" sheetId="25" r:id="rId9"/>
    <sheet name="見積（数量確定システム）_bk" sheetId="5" state="hidden" r:id="rId10"/>
    <sheet name="見積（〇〇システム）" sheetId="11" state="hidden" r:id="rId11"/>
    <sheet name="見積（徳山L3.5）" sheetId="22" state="hidden" r:id="rId12"/>
    <sheet name="見積（千葉L3.5）" sheetId="23" state="hidden" r:id="rId13"/>
    <sheet name="Sheet1" sheetId="1" state="hidden" r:id="rId14"/>
  </sheets>
  <definedNames>
    <definedName name="_xlnm._FilterDatabase" localSheetId="6" hidden="1">スケジュール案!$A$143:$B$159</definedName>
    <definedName name="_xlnm._FilterDatabase" localSheetId="8" hidden="1">'スケジュール案（金額情報含む)'!$A$143:$B$159</definedName>
    <definedName name="_xlnm._FilterDatabase" localSheetId="5" hidden="1">'見積 (サマリ)'!$B$4:$AS$5</definedName>
    <definedName name="_xlnm._FilterDatabase" localSheetId="10" hidden="1">'見積（〇〇システム）'!$B$4:$Y$31</definedName>
    <definedName name="_xlnm._FilterDatabase" localSheetId="9" hidden="1">'見積（数量確定システム）_bk'!$B$4:$Y$14</definedName>
    <definedName name="_xlnm._FilterDatabase" localSheetId="12" hidden="1">'見積（千葉L3.5）'!$B$3:$G$18</definedName>
    <definedName name="_xlnm._FilterDatabase" localSheetId="11" hidden="1">'見積（徳山L3.5）'!$B$3:$G$21</definedName>
    <definedName name="AccessDatabase" hidden="1">"C:\Documents and Settings\kawana.OHSAKI\My Documents\作業中\ＤＢらいぶらり.mdb"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38" i="25" l="1"/>
  <c r="Q235" i="25"/>
  <c r="Q231" i="25"/>
  <c r="Q226" i="25"/>
  <c r="B183" i="25"/>
  <c r="B182" i="25"/>
  <c r="R159" i="25"/>
  <c r="Q159" i="25"/>
  <c r="N159" i="25"/>
  <c r="J159" i="25"/>
  <c r="I159" i="25"/>
  <c r="F159" i="25"/>
  <c r="AQ158" i="25"/>
  <c r="AP158" i="25"/>
  <c r="AO158" i="25"/>
  <c r="AN158" i="25"/>
  <c r="AM158" i="25"/>
  <c r="AL158" i="25"/>
  <c r="AK158" i="25"/>
  <c r="AJ158" i="25"/>
  <c r="AI158" i="25"/>
  <c r="AH158" i="25"/>
  <c r="AG158" i="25"/>
  <c r="AF158" i="25"/>
  <c r="AE158" i="25"/>
  <c r="AD158" i="25"/>
  <c r="AC158" i="25"/>
  <c r="AB158" i="25"/>
  <c r="AA158" i="25"/>
  <c r="Z158" i="25"/>
  <c r="Y158" i="25"/>
  <c r="X158" i="25"/>
  <c r="W158" i="25"/>
  <c r="W159" i="25" s="1"/>
  <c r="V158" i="25"/>
  <c r="U158" i="25"/>
  <c r="T158" i="25"/>
  <c r="S158" i="25"/>
  <c r="R158" i="25"/>
  <c r="Q158" i="25"/>
  <c r="P158" i="25"/>
  <c r="O158" i="25"/>
  <c r="O159" i="25" s="1"/>
  <c r="N158" i="25"/>
  <c r="M158" i="25"/>
  <c r="L158" i="25"/>
  <c r="K158" i="25"/>
  <c r="J158" i="25"/>
  <c r="I158" i="25"/>
  <c r="H158" i="25"/>
  <c r="G158" i="25"/>
  <c r="G159" i="25" s="1"/>
  <c r="F158" i="25"/>
  <c r="E158" i="25"/>
  <c r="D158" i="25"/>
  <c r="C158" i="25"/>
  <c r="AR72" i="25"/>
  <c r="AR71" i="25"/>
  <c r="AP70" i="25"/>
  <c r="AO70" i="25"/>
  <c r="AN70" i="25"/>
  <c r="AH70" i="25"/>
  <c r="AG70" i="25"/>
  <c r="AF70" i="25"/>
  <c r="Z70" i="25"/>
  <c r="Y70" i="25"/>
  <c r="X70" i="25"/>
  <c r="R70" i="25"/>
  <c r="Q70" i="25"/>
  <c r="P70" i="25"/>
  <c r="J70" i="25"/>
  <c r="I70" i="25"/>
  <c r="H70" i="25"/>
  <c r="AP69" i="25"/>
  <c r="AM69" i="25"/>
  <c r="AH69" i="25"/>
  <c r="AE69" i="25"/>
  <c r="Z69" i="25"/>
  <c r="W69" i="25"/>
  <c r="R69" i="25"/>
  <c r="O69" i="25"/>
  <c r="J69" i="25"/>
  <c r="G69" i="25"/>
  <c r="AQ68" i="25"/>
  <c r="AQ70" i="25" s="1"/>
  <c r="AP68" i="25"/>
  <c r="AO68" i="25"/>
  <c r="AO69" i="25" s="1"/>
  <c r="AN68" i="25"/>
  <c r="AN69" i="25" s="1"/>
  <c r="AM68" i="25"/>
  <c r="AM70" i="25" s="1"/>
  <c r="AL68" i="25"/>
  <c r="AL70" i="25" s="1"/>
  <c r="AK68" i="25"/>
  <c r="AK70" i="25" s="1"/>
  <c r="AJ68" i="25"/>
  <c r="AJ70" i="25" s="1"/>
  <c r="AI68" i="25"/>
  <c r="AI69" i="25" s="1"/>
  <c r="AH68" i="25"/>
  <c r="AG68" i="25"/>
  <c r="AG69" i="25" s="1"/>
  <c r="AF68" i="25"/>
  <c r="AF69" i="25" s="1"/>
  <c r="AE68" i="25"/>
  <c r="AE70" i="25" s="1"/>
  <c r="AD68" i="25"/>
  <c r="AD70" i="25" s="1"/>
  <c r="AC68" i="25"/>
  <c r="AC70" i="25" s="1"/>
  <c r="AB68" i="25"/>
  <c r="AB70" i="25" s="1"/>
  <c r="AA68" i="25"/>
  <c r="AA159" i="25" s="1"/>
  <c r="Z68" i="25"/>
  <c r="Z159" i="25" s="1"/>
  <c r="Y68" i="25"/>
  <c r="Y159" i="25" s="1"/>
  <c r="X68" i="25"/>
  <c r="X159" i="25" s="1"/>
  <c r="W68" i="25"/>
  <c r="W70" i="25" s="1"/>
  <c r="V68" i="25"/>
  <c r="V70" i="25" s="1"/>
  <c r="U68" i="25"/>
  <c r="U70" i="25" s="1"/>
  <c r="T68" i="25"/>
  <c r="T70" i="25" s="1"/>
  <c r="S68" i="25"/>
  <c r="S70" i="25" s="1"/>
  <c r="R68" i="25"/>
  <c r="Q68" i="25"/>
  <c r="Q69" i="25" s="1"/>
  <c r="P68" i="25"/>
  <c r="P159" i="25" s="1"/>
  <c r="O68" i="25"/>
  <c r="O70" i="25" s="1"/>
  <c r="N68" i="25"/>
  <c r="N70" i="25" s="1"/>
  <c r="M68" i="25"/>
  <c r="M70" i="25" s="1"/>
  <c r="L68" i="25"/>
  <c r="L70" i="25" s="1"/>
  <c r="K68" i="25"/>
  <c r="K69" i="25" s="1"/>
  <c r="J68" i="25"/>
  <c r="I68" i="25"/>
  <c r="I69" i="25" s="1"/>
  <c r="H68" i="25"/>
  <c r="H159" i="25" s="1"/>
  <c r="G68" i="25"/>
  <c r="G70" i="25" s="1"/>
  <c r="F68" i="25"/>
  <c r="F70" i="25" s="1"/>
  <c r="E68" i="25"/>
  <c r="E70" i="25" s="1"/>
  <c r="D68" i="25"/>
  <c r="D70" i="25" s="1"/>
  <c r="C68" i="25"/>
  <c r="C70" i="25" s="1"/>
  <c r="B67" i="25"/>
  <c r="B66" i="25"/>
  <c r="B65" i="25"/>
  <c r="B64" i="25"/>
  <c r="B63" i="25"/>
  <c r="B62" i="25"/>
  <c r="B61" i="25"/>
  <c r="AF32" i="25"/>
  <c r="AF31" i="25"/>
  <c r="AE30" i="25"/>
  <c r="AD30" i="25"/>
  <c r="X30" i="25"/>
  <c r="W30" i="25"/>
  <c r="V30" i="25"/>
  <c r="P30" i="25"/>
  <c r="O30" i="25"/>
  <c r="N30" i="25"/>
  <c r="H30" i="25"/>
  <c r="G30" i="25"/>
  <c r="F30" i="25"/>
  <c r="AE29" i="25"/>
  <c r="AD29" i="25"/>
  <c r="AC29" i="25"/>
  <c r="AB29" i="25"/>
  <c r="W29" i="25"/>
  <c r="V29" i="25"/>
  <c r="U29" i="25"/>
  <c r="T29" i="25"/>
  <c r="O29" i="25"/>
  <c r="N29" i="25"/>
  <c r="M29" i="25"/>
  <c r="L29" i="25"/>
  <c r="G29" i="25"/>
  <c r="F29" i="25"/>
  <c r="E29" i="25"/>
  <c r="D29" i="25"/>
  <c r="AE28" i="25"/>
  <c r="AD28" i="25"/>
  <c r="AC28" i="25"/>
  <c r="AC30" i="25" s="1"/>
  <c r="AB28" i="25"/>
  <c r="AB30" i="25" s="1"/>
  <c r="AA28" i="25"/>
  <c r="AA29" i="25" s="1"/>
  <c r="Z28" i="25"/>
  <c r="Z29" i="25" s="1"/>
  <c r="Y28" i="25"/>
  <c r="Y29" i="25" s="1"/>
  <c r="X28" i="25"/>
  <c r="X29" i="25" s="1"/>
  <c r="W28" i="25"/>
  <c r="V28" i="25"/>
  <c r="U28" i="25"/>
  <c r="U30" i="25" s="1"/>
  <c r="T28" i="25"/>
  <c r="T30" i="25" s="1"/>
  <c r="S28" i="25"/>
  <c r="S29" i="25" s="1"/>
  <c r="R28" i="25"/>
  <c r="R29" i="25" s="1"/>
  <c r="Q28" i="25"/>
  <c r="Q29" i="25" s="1"/>
  <c r="P28" i="25"/>
  <c r="P29" i="25" s="1"/>
  <c r="O28" i="25"/>
  <c r="N28" i="25"/>
  <c r="M28" i="25"/>
  <c r="M30" i="25" s="1"/>
  <c r="L28" i="25"/>
  <c r="L30" i="25" s="1"/>
  <c r="K28" i="25"/>
  <c r="K29" i="25" s="1"/>
  <c r="J28" i="25"/>
  <c r="J29" i="25" s="1"/>
  <c r="I28" i="25"/>
  <c r="I29" i="25" s="1"/>
  <c r="H28" i="25"/>
  <c r="H29" i="25" s="1"/>
  <c r="G28" i="25"/>
  <c r="F28" i="25"/>
  <c r="E28" i="25"/>
  <c r="E30" i="25" s="1"/>
  <c r="D28" i="25"/>
  <c r="D30" i="25" s="1"/>
  <c r="C28" i="25"/>
  <c r="C29" i="25" s="1"/>
  <c r="B65" i="3"/>
  <c r="B63" i="3"/>
  <c r="B62" i="3"/>
  <c r="B61" i="3"/>
  <c r="B64" i="3"/>
  <c r="B66" i="3"/>
  <c r="B67" i="3"/>
  <c r="AF29" i="25" l="1"/>
  <c r="AF33" i="25" s="1"/>
  <c r="S69" i="25"/>
  <c r="D69" i="25"/>
  <c r="T69" i="25"/>
  <c r="AJ69" i="25"/>
  <c r="K159" i="25"/>
  <c r="T159" i="25"/>
  <c r="C69" i="25"/>
  <c r="AQ69" i="25"/>
  <c r="L69" i="25"/>
  <c r="AB69" i="25"/>
  <c r="C159" i="25"/>
  <c r="S159" i="25"/>
  <c r="I30" i="25"/>
  <c r="Q30" i="25"/>
  <c r="Y30" i="25"/>
  <c r="E69" i="25"/>
  <c r="M69" i="25"/>
  <c r="U69" i="25"/>
  <c r="AC69" i="25"/>
  <c r="AK69" i="25"/>
  <c r="K70" i="25"/>
  <c r="AR70" i="25" s="1"/>
  <c r="AR74" i="25" s="1"/>
  <c r="AA70" i="25"/>
  <c r="AI70" i="25"/>
  <c r="D159" i="25"/>
  <c r="L159" i="25"/>
  <c r="AB159" i="25"/>
  <c r="J30" i="25"/>
  <c r="R30" i="25"/>
  <c r="Z30" i="25"/>
  <c r="F69" i="25"/>
  <c r="N69" i="25"/>
  <c r="V69" i="25"/>
  <c r="AD69" i="25"/>
  <c r="AL69" i="25"/>
  <c r="E159" i="25"/>
  <c r="M159" i="25"/>
  <c r="U159" i="25"/>
  <c r="AC159" i="25"/>
  <c r="V159" i="25"/>
  <c r="AA69" i="25"/>
  <c r="K30" i="25"/>
  <c r="AA30" i="25"/>
  <c r="P69" i="25"/>
  <c r="C30" i="25"/>
  <c r="S30" i="25"/>
  <c r="H69" i="25"/>
  <c r="X69" i="25"/>
  <c r="Y69" i="25"/>
  <c r="D158" i="3"/>
  <c r="E158" i="3"/>
  <c r="F158" i="3"/>
  <c r="G158" i="3"/>
  <c r="H158" i="3"/>
  <c r="I158" i="3"/>
  <c r="J158" i="3"/>
  <c r="K158" i="3"/>
  <c r="L158" i="3"/>
  <c r="M158" i="3"/>
  <c r="N158" i="3"/>
  <c r="O158" i="3"/>
  <c r="P158" i="3"/>
  <c r="Q158" i="3"/>
  <c r="R158" i="3"/>
  <c r="S158" i="3"/>
  <c r="T158" i="3"/>
  <c r="U158" i="3"/>
  <c r="V158" i="3"/>
  <c r="W158" i="3"/>
  <c r="X158" i="3"/>
  <c r="Y158" i="3"/>
  <c r="Z158" i="3"/>
  <c r="AA158" i="3"/>
  <c r="AB158" i="3"/>
  <c r="AC158" i="3"/>
  <c r="AD158" i="3"/>
  <c r="AE158" i="3"/>
  <c r="AF158" i="3"/>
  <c r="AG158" i="3"/>
  <c r="AH158" i="3"/>
  <c r="AI158" i="3"/>
  <c r="AJ158" i="3"/>
  <c r="AK158" i="3"/>
  <c r="AL158" i="3"/>
  <c r="AM158" i="3"/>
  <c r="AN158" i="3"/>
  <c r="AO158" i="3"/>
  <c r="AP158" i="3"/>
  <c r="AQ158" i="3"/>
  <c r="C158" i="3"/>
  <c r="AR72" i="3"/>
  <c r="AR71" i="3"/>
  <c r="AQ68" i="3"/>
  <c r="AQ69" i="3" s="1"/>
  <c r="AP68" i="3"/>
  <c r="AP69" i="3" s="1"/>
  <c r="AO68" i="3"/>
  <c r="AO70" i="3" s="1"/>
  <c r="AN68" i="3"/>
  <c r="AN70" i="3" s="1"/>
  <c r="AM68" i="3"/>
  <c r="AM70" i="3" s="1"/>
  <c r="AL68" i="3"/>
  <c r="AL70" i="3" s="1"/>
  <c r="AK68" i="3"/>
  <c r="AK70" i="3" s="1"/>
  <c r="AJ68" i="3"/>
  <c r="AJ69" i="3" s="1"/>
  <c r="AI68" i="3"/>
  <c r="AI69" i="3" s="1"/>
  <c r="AH68" i="3"/>
  <c r="AH69" i="3" s="1"/>
  <c r="AG68" i="3"/>
  <c r="AG70" i="3" s="1"/>
  <c r="AF68" i="3"/>
  <c r="AF70" i="3" s="1"/>
  <c r="AE68" i="3"/>
  <c r="AE70" i="3" s="1"/>
  <c r="AD68" i="3"/>
  <c r="AD70" i="3" s="1"/>
  <c r="AC68" i="3"/>
  <c r="AC69" i="3" s="1"/>
  <c r="AB68" i="3"/>
  <c r="AB69" i="3" s="1"/>
  <c r="AA68" i="3"/>
  <c r="AA69" i="3" s="1"/>
  <c r="Z68" i="3"/>
  <c r="Z69" i="3" s="1"/>
  <c r="Y68" i="3"/>
  <c r="Y70" i="3" s="1"/>
  <c r="X68" i="3"/>
  <c r="X70" i="3" s="1"/>
  <c r="W68" i="3"/>
  <c r="W70" i="3" s="1"/>
  <c r="V68" i="3"/>
  <c r="V70" i="3" s="1"/>
  <c r="U68" i="3"/>
  <c r="U69" i="3" s="1"/>
  <c r="T68" i="3"/>
  <c r="T70" i="3" s="1"/>
  <c r="S68" i="3"/>
  <c r="S69" i="3" s="1"/>
  <c r="R68" i="3"/>
  <c r="R69" i="3" s="1"/>
  <c r="Q68" i="3"/>
  <c r="Q70" i="3" s="1"/>
  <c r="P68" i="3"/>
  <c r="P70" i="3" s="1"/>
  <c r="O68" i="3"/>
  <c r="O70" i="3" s="1"/>
  <c r="N68" i="3"/>
  <c r="N69" i="3" s="1"/>
  <c r="M68" i="3"/>
  <c r="M69" i="3" s="1"/>
  <c r="L68" i="3"/>
  <c r="L69" i="3" s="1"/>
  <c r="K68" i="3"/>
  <c r="K69" i="3" s="1"/>
  <c r="J68" i="3"/>
  <c r="J69" i="3" s="1"/>
  <c r="I68" i="3"/>
  <c r="I70" i="3" s="1"/>
  <c r="H68" i="3"/>
  <c r="H70" i="3" s="1"/>
  <c r="G68" i="3"/>
  <c r="G70" i="3" s="1"/>
  <c r="F68" i="3"/>
  <c r="F70" i="3" s="1"/>
  <c r="E68" i="3"/>
  <c r="E69" i="3" s="1"/>
  <c r="D68" i="3"/>
  <c r="D69" i="3" s="1"/>
  <c r="C68" i="3"/>
  <c r="C69" i="3" s="1"/>
  <c r="AF30" i="25" l="1"/>
  <c r="AF34" i="25" s="1"/>
  <c r="AF35" i="25" s="1"/>
  <c r="AF36" i="25" s="1"/>
  <c r="AR69" i="25"/>
  <c r="AR73" i="25" s="1"/>
  <c r="O159" i="3"/>
  <c r="N159" i="3"/>
  <c r="E159" i="3"/>
  <c r="Z159" i="3"/>
  <c r="R159" i="3"/>
  <c r="J159" i="3"/>
  <c r="G159" i="3"/>
  <c r="Q159" i="3"/>
  <c r="AB159" i="3"/>
  <c r="T159" i="3"/>
  <c r="L159" i="3"/>
  <c r="AA159" i="3"/>
  <c r="S159" i="3"/>
  <c r="K159" i="3"/>
  <c r="C159" i="3"/>
  <c r="AC159" i="3"/>
  <c r="W159" i="3"/>
  <c r="P159" i="3"/>
  <c r="H159" i="3"/>
  <c r="V159" i="3"/>
  <c r="U159" i="3"/>
  <c r="I159" i="3"/>
  <c r="M159" i="3"/>
  <c r="Y159" i="3"/>
  <c r="X159" i="3"/>
  <c r="D159" i="3"/>
  <c r="F159" i="3"/>
  <c r="AM69" i="3"/>
  <c r="U70" i="3"/>
  <c r="D70" i="3"/>
  <c r="E70" i="3"/>
  <c r="W69" i="3"/>
  <c r="N70" i="3"/>
  <c r="T69" i="3"/>
  <c r="AJ70" i="3"/>
  <c r="AL69" i="3"/>
  <c r="V69" i="3"/>
  <c r="AB70" i="3"/>
  <c r="F69" i="3"/>
  <c r="AC70" i="3"/>
  <c r="G69" i="3"/>
  <c r="AD69" i="3"/>
  <c r="L70" i="3"/>
  <c r="AE69" i="3"/>
  <c r="M70" i="3"/>
  <c r="O69" i="3"/>
  <c r="H69" i="3"/>
  <c r="AF69" i="3"/>
  <c r="J70" i="3"/>
  <c r="R70" i="3"/>
  <c r="Z70" i="3"/>
  <c r="AH70" i="3"/>
  <c r="AP70" i="3"/>
  <c r="AK69" i="3"/>
  <c r="C70" i="3"/>
  <c r="K70" i="3"/>
  <c r="S70" i="3"/>
  <c r="AA70" i="3"/>
  <c r="AI70" i="3"/>
  <c r="AQ70" i="3"/>
  <c r="P69" i="3"/>
  <c r="AN69" i="3"/>
  <c r="X69" i="3"/>
  <c r="I69" i="3"/>
  <c r="Q69" i="3"/>
  <c r="Y69" i="3"/>
  <c r="AG69" i="3"/>
  <c r="AO69" i="3"/>
  <c r="AR69" i="3" l="1"/>
  <c r="AR73" i="3" s="1"/>
  <c r="AR70" i="3"/>
  <c r="AR74" i="3" s="1"/>
  <c r="AK7" i="10" l="1"/>
  <c r="AJ7" i="10"/>
  <c r="AG6" i="10" l="1"/>
  <c r="AF6" i="10"/>
  <c r="AE6" i="10"/>
  <c r="AD6" i="10"/>
  <c r="AC6" i="10"/>
  <c r="AB6" i="10"/>
  <c r="E18" i="23"/>
  <c r="I12" i="23"/>
  <c r="H12" i="23"/>
  <c r="I11" i="23"/>
  <c r="H11" i="23"/>
  <c r="I9" i="23"/>
  <c r="H9" i="23"/>
  <c r="H15" i="22"/>
  <c r="H14" i="22"/>
  <c r="I15" i="22"/>
  <c r="I14" i="22"/>
  <c r="H13" i="22"/>
  <c r="H12" i="22"/>
  <c r="I13" i="22"/>
  <c r="I12" i="22"/>
  <c r="H10" i="22"/>
  <c r="H9" i="22"/>
  <c r="I10" i="22"/>
  <c r="I9" i="22"/>
  <c r="AH6" i="10" l="1"/>
  <c r="AL6" i="10" s="1"/>
  <c r="AI6" i="10"/>
  <c r="AM6" i="10" s="1"/>
  <c r="AF32" i="3"/>
  <c r="AF31" i="3"/>
  <c r="AE28" i="3"/>
  <c r="AD28" i="3"/>
  <c r="AC28" i="3"/>
  <c r="AB28" i="3"/>
  <c r="AA28" i="3"/>
  <c r="Z28" i="3"/>
  <c r="Y28" i="3"/>
  <c r="X28" i="3"/>
  <c r="W28" i="3"/>
  <c r="V28" i="3"/>
  <c r="U28" i="3"/>
  <c r="T28" i="3"/>
  <c r="S28" i="3"/>
  <c r="R28" i="3"/>
  <c r="Q28" i="3"/>
  <c r="P28" i="3"/>
  <c r="O28" i="3"/>
  <c r="N28" i="3"/>
  <c r="M28" i="3"/>
  <c r="L28" i="3"/>
  <c r="K28" i="3"/>
  <c r="J28" i="3"/>
  <c r="I28" i="3"/>
  <c r="H28" i="3"/>
  <c r="G28" i="3"/>
  <c r="F28" i="3"/>
  <c r="E28" i="3"/>
  <c r="D28" i="3"/>
  <c r="C28" i="3"/>
  <c r="C30" i="3" l="1"/>
  <c r="C29" i="3"/>
  <c r="D30" i="3"/>
  <c r="D29" i="3"/>
  <c r="E30" i="3"/>
  <c r="E29" i="3"/>
  <c r="F30" i="3"/>
  <c r="F29" i="3"/>
  <c r="G30" i="3"/>
  <c r="G29" i="3"/>
  <c r="H30" i="3"/>
  <c r="H29" i="3"/>
  <c r="I30" i="3"/>
  <c r="I29" i="3"/>
  <c r="J30" i="3"/>
  <c r="J29" i="3"/>
  <c r="K30" i="3"/>
  <c r="K29" i="3"/>
  <c r="L30" i="3"/>
  <c r="L29" i="3"/>
  <c r="M30" i="3"/>
  <c r="M29" i="3"/>
  <c r="N30" i="3"/>
  <c r="N29" i="3"/>
  <c r="O30" i="3"/>
  <c r="O29" i="3"/>
  <c r="P30" i="3"/>
  <c r="P29" i="3"/>
  <c r="Q30" i="3"/>
  <c r="Q29" i="3"/>
  <c r="R30" i="3"/>
  <c r="R29" i="3"/>
  <c r="S30" i="3"/>
  <c r="S29" i="3"/>
  <c r="T30" i="3"/>
  <c r="T29" i="3"/>
  <c r="U30" i="3"/>
  <c r="U29" i="3"/>
  <c r="V30" i="3"/>
  <c r="V29" i="3"/>
  <c r="W30" i="3"/>
  <c r="W29" i="3"/>
  <c r="X30" i="3"/>
  <c r="X29" i="3"/>
  <c r="Y30" i="3"/>
  <c r="Y29" i="3"/>
  <c r="Z30" i="3"/>
  <c r="Z29" i="3"/>
  <c r="AA30" i="3"/>
  <c r="AA29" i="3"/>
  <c r="AB30" i="3"/>
  <c r="AB29" i="3"/>
  <c r="AC30" i="3"/>
  <c r="AC29" i="3"/>
  <c r="AD30" i="3"/>
  <c r="AD29" i="3"/>
  <c r="AE30" i="3"/>
  <c r="AE29" i="3"/>
  <c r="L7" i="10"/>
  <c r="AF5" i="10"/>
  <c r="AF7" i="10" s="1"/>
  <c r="AE5" i="10"/>
  <c r="AE7" i="10" s="1"/>
  <c r="AD5" i="10"/>
  <c r="AD7" i="10" s="1"/>
  <c r="AC5" i="10"/>
  <c r="AC7" i="10" s="1"/>
  <c r="AF29" i="3" l="1"/>
  <c r="AF33" i="3" s="1"/>
  <c r="AF30" i="3"/>
  <c r="AF34" i="3" s="1"/>
  <c r="AB5" i="10"/>
  <c r="AB7" i="10" s="1"/>
  <c r="AF35" i="3" l="1"/>
  <c r="AF36" i="3" s="1"/>
  <c r="X7" i="10"/>
  <c r="Y7" i="10"/>
  <c r="E21" i="22"/>
  <c r="AG5" i="10"/>
  <c r="AG7" i="10" s="1"/>
  <c r="AH7" i="10" s="1"/>
  <c r="AC9" i="10" l="1"/>
  <c r="AF9" i="10"/>
  <c r="AB9" i="10"/>
  <c r="AI5" i="10"/>
  <c r="AH5" i="10"/>
  <c r="AL5" i="10" s="1"/>
  <c r="AL7" i="10" s="1"/>
  <c r="AM5" i="10" l="1"/>
  <c r="AM7" i="10" s="1"/>
  <c r="AI7" i="10"/>
  <c r="E7" i="10"/>
  <c r="E9" i="10" s="1"/>
  <c r="T7" i="10"/>
  <c r="AD9" i="10"/>
  <c r="S7" i="10"/>
  <c r="H7" i="10"/>
  <c r="H9" i="10" s="1"/>
  <c r="R7" i="10" l="1"/>
  <c r="R9" i="10" s="1"/>
  <c r="Q7" i="10"/>
  <c r="Q9" i="10" s="1"/>
  <c r="D7" i="10"/>
  <c r="AE9" i="10"/>
  <c r="H6" i="5"/>
  <c r="I6" i="5" s="1"/>
  <c r="H7" i="5"/>
  <c r="I7" i="5"/>
  <c r="H8" i="5"/>
  <c r="I8" i="5" s="1"/>
  <c r="H9" i="5"/>
  <c r="I9" i="5" s="1"/>
  <c r="H10" i="5"/>
  <c r="I10" i="5" s="1"/>
  <c r="H11" i="5"/>
  <c r="I11" i="5"/>
  <c r="H12" i="5"/>
  <c r="I12" i="5"/>
  <c r="H13" i="5"/>
  <c r="I13" i="5"/>
  <c r="H14" i="5"/>
  <c r="I14" i="5" s="1"/>
  <c r="U7" i="10" l="1"/>
  <c r="M7" i="10"/>
  <c r="M6" i="5"/>
  <c r="N6" i="5" s="1"/>
  <c r="M7" i="5"/>
  <c r="N7" i="5" s="1"/>
  <c r="M11" i="5"/>
  <c r="N11" i="5" s="1"/>
  <c r="M8" i="5"/>
  <c r="N8" i="5" s="1"/>
  <c r="M9" i="5"/>
  <c r="N9" i="5" s="1"/>
  <c r="M10" i="5"/>
  <c r="N10" i="5" s="1"/>
  <c r="M12" i="5"/>
  <c r="N12" i="5" s="1"/>
  <c r="M13" i="5"/>
  <c r="N13" i="5" s="1"/>
  <c r="M14" i="5"/>
  <c r="N14" i="5" s="1"/>
  <c r="Q16" i="5"/>
  <c r="P16" i="5"/>
  <c r="O16" i="5"/>
  <c r="S35" i="11"/>
  <c r="N35" i="11"/>
  <c r="I35" i="11"/>
  <c r="Q33" i="11"/>
  <c r="Q36" i="11" s="1"/>
  <c r="P33" i="11"/>
  <c r="P36" i="11" s="1"/>
  <c r="O33" i="11"/>
  <c r="O36" i="11" s="1"/>
  <c r="L33" i="11"/>
  <c r="L36" i="11" s="1"/>
  <c r="K33" i="11"/>
  <c r="K36" i="11" s="1"/>
  <c r="J33" i="11"/>
  <c r="J36" i="11" s="1"/>
  <c r="G33" i="11"/>
  <c r="G36" i="11" s="1"/>
  <c r="F33" i="11"/>
  <c r="F36" i="11" s="1"/>
  <c r="E33" i="11"/>
  <c r="E36" i="11" s="1"/>
  <c r="R31" i="11"/>
  <c r="S31" i="11" s="1"/>
  <c r="M31" i="11"/>
  <c r="N31" i="11" s="1"/>
  <c r="H31" i="11"/>
  <c r="I31" i="11" s="1"/>
  <c r="R30" i="11"/>
  <c r="S30" i="11" s="1"/>
  <c r="M30" i="11"/>
  <c r="N30" i="11" s="1"/>
  <c r="H30" i="11"/>
  <c r="I30" i="11" s="1"/>
  <c r="R29" i="11"/>
  <c r="S29" i="11" s="1"/>
  <c r="M29" i="11"/>
  <c r="N29" i="11" s="1"/>
  <c r="H29" i="11"/>
  <c r="I29" i="11" s="1"/>
  <c r="R28" i="11"/>
  <c r="S28" i="11" s="1"/>
  <c r="M28" i="11"/>
  <c r="N28" i="11" s="1"/>
  <c r="H28" i="11"/>
  <c r="I28" i="11" s="1"/>
  <c r="R27" i="11"/>
  <c r="S27" i="11" s="1"/>
  <c r="M27" i="11"/>
  <c r="N27" i="11" s="1"/>
  <c r="H27" i="11"/>
  <c r="I27" i="11" s="1"/>
  <c r="R26" i="11"/>
  <c r="S26" i="11" s="1"/>
  <c r="M26" i="11"/>
  <c r="N26" i="11" s="1"/>
  <c r="H26" i="11"/>
  <c r="I26" i="11" s="1"/>
  <c r="R25" i="11"/>
  <c r="S25" i="11" s="1"/>
  <c r="M25" i="11"/>
  <c r="N25" i="11" s="1"/>
  <c r="H25" i="11"/>
  <c r="I25" i="11" s="1"/>
  <c r="R24" i="11"/>
  <c r="S24" i="11" s="1"/>
  <c r="M24" i="11"/>
  <c r="N24" i="11" s="1"/>
  <c r="H24" i="11"/>
  <c r="I24" i="11" s="1"/>
  <c r="R23" i="11"/>
  <c r="S23" i="11" s="1"/>
  <c r="M23" i="11"/>
  <c r="N23" i="11" s="1"/>
  <c r="H23" i="11"/>
  <c r="I23" i="11" s="1"/>
  <c r="R22" i="11"/>
  <c r="S22" i="11" s="1"/>
  <c r="M22" i="11"/>
  <c r="N22" i="11" s="1"/>
  <c r="H22" i="11"/>
  <c r="I22" i="11" s="1"/>
  <c r="R21" i="11"/>
  <c r="S21" i="11" s="1"/>
  <c r="M21" i="11"/>
  <c r="N21" i="11" s="1"/>
  <c r="H21" i="11"/>
  <c r="I21" i="11" s="1"/>
  <c r="R20" i="11"/>
  <c r="S20" i="11" s="1"/>
  <c r="M20" i="11"/>
  <c r="N20" i="11" s="1"/>
  <c r="H20" i="11"/>
  <c r="I20" i="11" s="1"/>
  <c r="R19" i="11"/>
  <c r="S19" i="11" s="1"/>
  <c r="M19" i="11"/>
  <c r="N19" i="11" s="1"/>
  <c r="H19" i="11"/>
  <c r="I19" i="11" s="1"/>
  <c r="R18" i="11"/>
  <c r="S18" i="11" s="1"/>
  <c r="M18" i="11"/>
  <c r="N18" i="11" s="1"/>
  <c r="H18" i="11"/>
  <c r="I18" i="11" s="1"/>
  <c r="R17" i="11"/>
  <c r="M17" i="11"/>
  <c r="H17" i="11"/>
  <c r="R16" i="11"/>
  <c r="S16" i="11" s="1"/>
  <c r="M16" i="11"/>
  <c r="N16" i="11" s="1"/>
  <c r="H16" i="11"/>
  <c r="I16" i="11" s="1"/>
  <c r="R15" i="11"/>
  <c r="S15" i="11" s="1"/>
  <c r="M15" i="11"/>
  <c r="N15" i="11" s="1"/>
  <c r="H15" i="11"/>
  <c r="I15" i="11" s="1"/>
  <c r="R14" i="11"/>
  <c r="S14" i="11" s="1"/>
  <c r="M14" i="11"/>
  <c r="N14" i="11" s="1"/>
  <c r="H14" i="11"/>
  <c r="I14" i="11" s="1"/>
  <c r="R13" i="11"/>
  <c r="S13" i="11" s="1"/>
  <c r="M13" i="11"/>
  <c r="N13" i="11" s="1"/>
  <c r="H13" i="11"/>
  <c r="I13" i="11" s="1"/>
  <c r="R12" i="11"/>
  <c r="S12" i="11" s="1"/>
  <c r="M12" i="11"/>
  <c r="N12" i="11" s="1"/>
  <c r="H12" i="11"/>
  <c r="I12" i="11" s="1"/>
  <c r="R11" i="11"/>
  <c r="S11" i="11" s="1"/>
  <c r="M11" i="11"/>
  <c r="N11" i="11" s="1"/>
  <c r="H11" i="11"/>
  <c r="I11" i="11" s="1"/>
  <c r="R10" i="11"/>
  <c r="S10" i="11" s="1"/>
  <c r="M10" i="11"/>
  <c r="N10" i="11" s="1"/>
  <c r="H10" i="11"/>
  <c r="I10" i="11" s="1"/>
  <c r="R9" i="11"/>
  <c r="S9" i="11" s="1"/>
  <c r="M9" i="11"/>
  <c r="N9" i="11" s="1"/>
  <c r="H9" i="11"/>
  <c r="I9" i="11" s="1"/>
  <c r="R8" i="11"/>
  <c r="S8" i="11" s="1"/>
  <c r="M8" i="11"/>
  <c r="N8" i="11" s="1"/>
  <c r="H8" i="11"/>
  <c r="I8" i="11" s="1"/>
  <c r="R7" i="11"/>
  <c r="S7" i="11" s="1"/>
  <c r="M7" i="11"/>
  <c r="N7" i="11" s="1"/>
  <c r="H7" i="11"/>
  <c r="I7" i="11" s="1"/>
  <c r="R6" i="11"/>
  <c r="S6" i="11" s="1"/>
  <c r="M6" i="11"/>
  <c r="N6" i="11" s="1"/>
  <c r="H6" i="11"/>
  <c r="I6" i="11" s="1"/>
  <c r="R5" i="11"/>
  <c r="S5" i="11" s="1"/>
  <c r="M5" i="11"/>
  <c r="N5" i="11" s="1"/>
  <c r="H5" i="11"/>
  <c r="I5" i="11" s="1"/>
  <c r="Z7" i="10" l="1"/>
  <c r="W7" i="10"/>
  <c r="N7" i="10"/>
  <c r="AG9" i="10"/>
  <c r="H33" i="11"/>
  <c r="H36" i="11" s="1"/>
  <c r="I17" i="11"/>
  <c r="M33" i="11"/>
  <c r="M36" i="11" s="1"/>
  <c r="N36" i="11" s="1"/>
  <c r="N17" i="11"/>
  <c r="N33" i="11" s="1"/>
  <c r="R33" i="11"/>
  <c r="R36" i="11" s="1"/>
  <c r="S36" i="11" s="1"/>
  <c r="S17" i="11"/>
  <c r="S33" i="11" s="1"/>
  <c r="I36" i="11"/>
  <c r="I33" i="11"/>
  <c r="K7" i="10" l="1"/>
  <c r="O7" i="10"/>
  <c r="L16" i="5"/>
  <c r="K16" i="5"/>
  <c r="J16" i="5"/>
  <c r="G16" i="5"/>
  <c r="F16" i="5"/>
  <c r="E16" i="5"/>
  <c r="E19" i="5" s="1"/>
  <c r="AA7" i="10" l="1"/>
  <c r="R14" i="5"/>
  <c r="S14" i="5" s="1"/>
  <c r="R13" i="5"/>
  <c r="S13" i="5" s="1"/>
  <c r="R12" i="5"/>
  <c r="S12" i="5" s="1"/>
  <c r="R8" i="5"/>
  <c r="S8" i="5" s="1"/>
  <c r="S18" i="5"/>
  <c r="N18" i="5"/>
  <c r="I18" i="5"/>
  <c r="Q19" i="5"/>
  <c r="P19" i="5"/>
  <c r="O19" i="5"/>
  <c r="L19" i="5"/>
  <c r="K19" i="5"/>
  <c r="J19" i="5"/>
  <c r="G19" i="5"/>
  <c r="F19" i="5"/>
  <c r="R11" i="5"/>
  <c r="R7" i="5"/>
  <c r="S7" i="5" s="1"/>
  <c r="R5" i="5"/>
  <c r="M5" i="5"/>
  <c r="H5" i="5"/>
  <c r="T9" i="10"/>
  <c r="S9" i="10"/>
  <c r="P7" i="10"/>
  <c r="G7" i="10"/>
  <c r="G9" i="10" s="1"/>
  <c r="F7" i="10"/>
  <c r="D9" i="10"/>
  <c r="F9" i="10" l="1"/>
  <c r="P9" i="10"/>
  <c r="V7" i="10"/>
  <c r="N5" i="5"/>
  <c r="N16" i="5" s="1"/>
  <c r="M16" i="5"/>
  <c r="M19" i="5" s="1"/>
  <c r="N19" i="5" s="1"/>
  <c r="H16" i="5"/>
  <c r="H19" i="5" s="1"/>
  <c r="I19" i="5" s="1"/>
  <c r="S5" i="5"/>
  <c r="R16" i="5"/>
  <c r="R19" i="5" s="1"/>
  <c r="S19" i="5" s="1"/>
  <c r="S11" i="5"/>
  <c r="I5" i="5"/>
  <c r="U9" i="10"/>
  <c r="I7" i="10"/>
  <c r="J11" i="1"/>
  <c r="J10" i="1"/>
  <c r="I9" i="10" l="1"/>
  <c r="J9" i="10" s="1"/>
  <c r="J7" i="10"/>
  <c r="I16" i="5"/>
  <c r="S16" i="5"/>
  <c r="J15" i="1"/>
  <c r="J13" i="1"/>
  <c r="J12" i="1"/>
  <c r="H28" i="1" l="1"/>
  <c r="H27" i="1"/>
  <c r="F28" i="1"/>
  <c r="F31" i="1"/>
  <c r="F32" i="1"/>
  <c r="F30" i="1"/>
  <c r="F33" i="1" l="1"/>
  <c r="F29" i="1"/>
</calcChain>
</file>

<file path=xl/sharedStrings.xml><?xml version="1.0" encoding="utf-8"?>
<sst xmlns="http://schemas.openxmlformats.org/spreadsheetml/2006/main" count="1112" uniqueCount="504">
  <si>
    <t>1.    経緯</t>
  </si>
  <si>
    <t>館林DCセンターの廃止に伴い、現在のサーバ郡を移転する必要がある。</t>
    <phoneticPr fontId="2"/>
  </si>
  <si>
    <t>期日までに以下のいずれかの対応をとる必要がある。</t>
  </si>
  <si>
    <t>（１）次期アーキテクチャとしてAzure環境に再構築</t>
  </si>
  <si>
    <t>（２）Azureに構築される縮小版の共通基盤に移行</t>
    <phoneticPr fontId="2"/>
  </si>
  <si>
    <t>　　　※現状よりスペックは低下、Oracleは19C</t>
  </si>
  <si>
    <t>加えて、館林DC以外（現地）のサーバに関してWindows2016サーバはサポート期限切れに伴い、再構築を行う必要がある。</t>
    <rPh sb="0" eb="1">
      <t>クワ</t>
    </rPh>
    <rPh sb="4" eb="6">
      <t>タテバヤシ</t>
    </rPh>
    <rPh sb="8" eb="10">
      <t>イガイ</t>
    </rPh>
    <rPh sb="11" eb="13">
      <t>ゲンチ</t>
    </rPh>
    <rPh sb="19" eb="20">
      <t>カン</t>
    </rPh>
    <rPh sb="41" eb="44">
      <t>キゲンギ</t>
    </rPh>
    <rPh sb="46" eb="47">
      <t>トモナ</t>
    </rPh>
    <rPh sb="49" eb="52">
      <t>サイコウチク</t>
    </rPh>
    <rPh sb="53" eb="54">
      <t>オコナ</t>
    </rPh>
    <rPh sb="55" eb="57">
      <t>ヒツヨウ</t>
    </rPh>
    <phoneticPr fontId="2"/>
  </si>
  <si>
    <t>2.    依頼事項</t>
  </si>
  <si>
    <t>各システム毎に概算見積を行ってほしい。</t>
  </si>
  <si>
    <t>移行後の構成として複数パターン考えられる場合はパターン毎の見積が欲しい。</t>
  </si>
  <si>
    <t>基本的な移行方針は以下の通り</t>
  </si>
  <si>
    <t>対象：現行共通基盤を利用しているシステム</t>
  </si>
  <si>
    <t>時期：2025/4以降見込（2024年度中に新共通基盤構築予定のため）※出光内部確認中</t>
  </si>
  <si>
    <t>出光側で構築した次期アーキテクチャ（新共通基盤）へアプリ、帳票、バッチを移行</t>
  </si>
  <si>
    <t>各基盤の大きな変化点は以下の通り　※詳細は別資料参照</t>
  </si>
  <si>
    <t>アプリ基盤：WebLogic⇒Azure WebApps Apachee Tomcat</t>
  </si>
  <si>
    <t>帳票基盤：現行踏襲（List Creator）</t>
    <phoneticPr fontId="2"/>
  </si>
  <si>
    <t>DB基盤：新共通基盤DBにはOracleが選択肢にないため、DBのみ個別に構築しOracleを継続する。</t>
  </si>
  <si>
    <t>連携基盤：現行踏襲？（連携NASについては資料から読み取れず）</t>
  </si>
  <si>
    <t>バッチ基盤：Systemwalker Operation Manager⇒A-AUTO</t>
  </si>
  <si>
    <t>（２）Azureに構築される縮小版の共通基盤に移行</t>
  </si>
  <si>
    <t>時期：2024年度３Q以降見込（最速で2024年度２Q中に縮小版共通基盤構築予定のため）※出光内部確認中</t>
  </si>
  <si>
    <t>出光側で構築した縮小版共通基盤へアプリ、帳票、バッチを移行</t>
  </si>
  <si>
    <t>縮小版共通基盤の構成は現行共通基盤を踏襲した形となるが、OS,MWのバージョンは変更となる見込み</t>
  </si>
  <si>
    <t>※DBは四課要望により（1）と同様、個別に構築も要検討</t>
  </si>
  <si>
    <t>（３）現地Windows2016サーバ再構築</t>
  </si>
  <si>
    <t>対象：現行、現地（各事業所）に構築されているシステム</t>
  </si>
  <si>
    <t>時期：こちらからの提案次第</t>
  </si>
  <si>
    <t>WindowsSever2016サポート期限切れに伴い、最新のOS、MWに更新する。</t>
  </si>
  <si>
    <t>機能、サーバ構成は現行踏襲とする。</t>
  </si>
  <si>
    <t>OS：Windows2016⇒2022</t>
  </si>
  <si>
    <t>DB：Oracle12c⇒22c、SQLServer2016⇒2022</t>
  </si>
  <si>
    <t>帳票：Excel2016⇒Office 365</t>
  </si>
  <si>
    <t>バッチ：Systemwalker Operation Manager継続</t>
    <phoneticPr fontId="2"/>
  </si>
  <si>
    <t>アプリ：WebLogic継続</t>
  </si>
  <si>
    <t>3.    希望期日</t>
  </si>
  <si>
    <t>2024/2中に概算見積提示</t>
  </si>
  <si>
    <t>前提</t>
  </si>
  <si>
    <t>業務・機能変更は行わない。</t>
  </si>
  <si>
    <t>サーバ構成は現行踏襲とする。</t>
  </si>
  <si>
    <t>DBは現行踏襲（Oracle、SQLSever継続）</t>
  </si>
  <si>
    <t>JavaフレームワークはStruts継続</t>
    <phoneticPr fontId="2"/>
  </si>
  <si>
    <t>テストは新規構築した本番環境（次期本番機）にて行う。</t>
  </si>
  <si>
    <t>※検証、予備環境は最低限の動作確認（アプリ起動、ログイン確認程度）を想定</t>
  </si>
  <si>
    <t>想定作業</t>
  </si>
  <si>
    <t>全パターン共通</t>
    <rPh sb="0" eb="1">
      <t>ゼン</t>
    </rPh>
    <rPh sb="5" eb="7">
      <t>キョウツウ</t>
    </rPh>
    <phoneticPr fontId="2"/>
  </si>
  <si>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2"/>
  </si>
  <si>
    <t>データ移行</t>
  </si>
  <si>
    <t>アプリ動作検証（全画面、帳票、バッチ、IF打鍵※現新比較）</t>
  </si>
  <si>
    <t>アプリケーション構築、ミドルウェアのセットアップ</t>
  </si>
  <si>
    <t>IF連携ID変更（連携NASを利用しているもの）※新システム</t>
  </si>
  <si>
    <t>DB構築（構成の検討から）</t>
    <rPh sb="2" eb="4">
      <t>コウチク</t>
    </rPh>
    <rPh sb="5" eb="7">
      <t>コウセイ</t>
    </rPh>
    <rPh sb="8" eb="10">
      <t>ケントウ</t>
    </rPh>
    <phoneticPr fontId="2"/>
  </si>
  <si>
    <t>※本見積は各システム毎に個別にOracle構築を想定</t>
  </si>
  <si>
    <t>Office 365化に伴うExcel帳票の非互換調査、対応</t>
    <rPh sb="10" eb="11">
      <t>カ</t>
    </rPh>
    <rPh sb="12" eb="13">
      <t>トモナ</t>
    </rPh>
    <rPh sb="19" eb="21">
      <t>チョウヒョウ</t>
    </rPh>
    <rPh sb="22" eb="27">
      <t>ヒゴカンチョウサ</t>
    </rPh>
    <rPh sb="28" eb="30">
      <t>タイオウ</t>
    </rPh>
    <phoneticPr fontId="2"/>
  </si>
  <si>
    <t>DBバージョンアップ（19c⇒22c）に伴う非互換調査、対応</t>
  </si>
  <si>
    <t>WebLogic⇒Tomcat移行に伴う非互換調査、対応</t>
  </si>
  <si>
    <t>スケジューラ変更（Systemwalker Operation Manager⇒A-AUTO）に伴う非互換調査、対応</t>
  </si>
  <si>
    <t>全パターン共通の作業のみ</t>
    <rPh sb="8" eb="10">
      <t>サギョウ</t>
    </rPh>
    <phoneticPr fontId="2"/>
  </si>
  <si>
    <t>JDKとWLSはマイナーバージョンアップされるが、Strutsへの非互換は無い認識</t>
    <rPh sb="33" eb="36">
      <t>ヒゴカン</t>
    </rPh>
    <rPh sb="37" eb="38">
      <t>ナ</t>
    </rPh>
    <rPh sb="39" eb="41">
      <t>ニンシキ</t>
    </rPh>
    <phoneticPr fontId="2"/>
  </si>
  <si>
    <t>※DBを個別構築する場合は以下が追加</t>
  </si>
  <si>
    <t>サーバ構築（実際の構築作業は出光だが、スペック見積等）</t>
  </si>
  <si>
    <t>DB構築</t>
  </si>
  <si>
    <t>DBバージョンアップ（Oracle19c⇒22c、SQLServer2016⇒2022）に伴う非互換調査、対応</t>
  </si>
  <si>
    <t>.NET Framework非互換調査、64bit非互換調査（製品倉庫、ABC、数量ポリマー）</t>
    <phoneticPr fontId="2"/>
  </si>
  <si>
    <t>Office 365化に伴うExcel帳票の非互換調査、対応（製品倉庫のみ）</t>
  </si>
  <si>
    <t>Azure環境制約（Dドライブ、OSユーザ）※ヤード予備機がAzure構築のため、現地本番も構成合わせる必要</t>
  </si>
  <si>
    <t>ファイル連携</t>
    <rPh sb="4" eb="6">
      <t>レンケイ</t>
    </rPh>
    <phoneticPr fontId="4"/>
  </si>
  <si>
    <t>工場系保守対象</t>
    <rPh sb="0" eb="2">
      <t>コウジョウ</t>
    </rPh>
    <rPh sb="2" eb="3">
      <t>ケイ</t>
    </rPh>
    <rPh sb="3" eb="5">
      <t>ホシュ</t>
    </rPh>
    <rPh sb="5" eb="7">
      <t>タイショウ</t>
    </rPh>
    <phoneticPr fontId="4"/>
  </si>
  <si>
    <t>館林管理</t>
    <rPh sb="0" eb="2">
      <t>タテバヤシ</t>
    </rPh>
    <rPh sb="2" eb="4">
      <t>カンリ</t>
    </rPh>
    <phoneticPr fontId="7"/>
  </si>
  <si>
    <t>DBデータ連携</t>
    <rPh sb="5" eb="7">
      <t>レンケイ</t>
    </rPh>
    <phoneticPr fontId="4"/>
  </si>
  <si>
    <t>工場系保守対象外</t>
    <rPh sb="0" eb="2">
      <t>コウジョウ</t>
    </rPh>
    <rPh sb="2" eb="3">
      <t>ケイ</t>
    </rPh>
    <rPh sb="3" eb="5">
      <t>ホシュ</t>
    </rPh>
    <rPh sb="5" eb="8">
      <t>タイショウガイ</t>
    </rPh>
    <phoneticPr fontId="4"/>
  </si>
  <si>
    <t>現地管理</t>
    <rPh sb="0" eb="2">
      <t>ゲンチ</t>
    </rPh>
    <rPh sb="2" eb="4">
      <t>カンリ</t>
    </rPh>
    <phoneticPr fontId="7"/>
  </si>
  <si>
    <t>Azure環境</t>
  </si>
  <si>
    <t>システム概要</t>
    <rPh sb="4" eb="6">
      <t>ガイヨウ</t>
    </rPh>
    <phoneticPr fontId="2"/>
  </si>
  <si>
    <t>システム規模</t>
    <rPh sb="4" eb="6">
      <t>キボ</t>
    </rPh>
    <phoneticPr fontId="2"/>
  </si>
  <si>
    <t>共通基盤利用状況（現状）</t>
    <rPh sb="0" eb="4">
      <t>キョウツウキバン</t>
    </rPh>
    <rPh sb="4" eb="6">
      <t>リヨウ</t>
    </rPh>
    <rPh sb="6" eb="8">
      <t>ジョウキョウ</t>
    </rPh>
    <rPh sb="9" eb="11">
      <t>ゲンジョウ</t>
    </rPh>
    <phoneticPr fontId="2"/>
  </si>
  <si>
    <t>サービス: サービス番号</t>
  </si>
  <si>
    <t>サービス名</t>
  </si>
  <si>
    <t>保守領域</t>
    <rPh sb="0" eb="2">
      <t>ホシュ</t>
    </rPh>
    <rPh sb="2" eb="4">
      <t>リョウイキ</t>
    </rPh>
    <phoneticPr fontId="4"/>
  </si>
  <si>
    <t>移行状況</t>
    <rPh sb="0" eb="2">
      <t>イコウ</t>
    </rPh>
    <rPh sb="2" eb="4">
      <t>ジョウキョウ</t>
    </rPh>
    <phoneticPr fontId="2"/>
  </si>
  <si>
    <t>作業パターン
※想定作業シート参照</t>
    <rPh sb="0" eb="2">
      <t>サギョウ</t>
    </rPh>
    <rPh sb="8" eb="10">
      <t>ソウテイ</t>
    </rPh>
    <rPh sb="10" eb="12">
      <t>サギョウ</t>
    </rPh>
    <rPh sb="15" eb="17">
      <t>サンショウ</t>
    </rPh>
    <phoneticPr fontId="2"/>
  </si>
  <si>
    <t>業務概要</t>
    <rPh sb="0" eb="2">
      <t>ギョウム</t>
    </rPh>
    <rPh sb="2" eb="4">
      <t>ガイヨウ</t>
    </rPh>
    <phoneticPr fontId="2"/>
  </si>
  <si>
    <t>OS</t>
    <phoneticPr fontId="2"/>
  </si>
  <si>
    <t>アプリ</t>
    <phoneticPr fontId="2"/>
  </si>
  <si>
    <t>DB</t>
    <phoneticPr fontId="2"/>
  </si>
  <si>
    <t>ミドルウェア</t>
    <phoneticPr fontId="2"/>
  </si>
  <si>
    <t>フレームワーク</t>
  </si>
  <si>
    <t>その他</t>
    <rPh sb="2" eb="3">
      <t>タ</t>
    </rPh>
    <phoneticPr fontId="2"/>
  </si>
  <si>
    <t>サーバ構成</t>
  </si>
  <si>
    <t>画面</t>
    <rPh sb="0" eb="2">
      <t>ガメン</t>
    </rPh>
    <phoneticPr fontId="2"/>
  </si>
  <si>
    <t>帳票</t>
    <rPh sb="0" eb="2">
      <t>チョウヒョウ</t>
    </rPh>
    <phoneticPr fontId="2"/>
  </si>
  <si>
    <t>バッチ</t>
    <phoneticPr fontId="2"/>
  </si>
  <si>
    <t>IF</t>
    <phoneticPr fontId="2"/>
  </si>
  <si>
    <t>テーブル</t>
    <phoneticPr fontId="2"/>
  </si>
  <si>
    <t>共通AP</t>
    <phoneticPr fontId="4"/>
  </si>
  <si>
    <t>共通DB</t>
    <phoneticPr fontId="4"/>
  </si>
  <si>
    <t>連携</t>
    <phoneticPr fontId="4"/>
  </si>
  <si>
    <t>レポート</t>
    <phoneticPr fontId="4"/>
  </si>
  <si>
    <t>認証</t>
    <phoneticPr fontId="4"/>
  </si>
  <si>
    <t>バッチ</t>
    <phoneticPr fontId="4"/>
  </si>
  <si>
    <t>SVC-00000710</t>
  </si>
  <si>
    <t>千葉数量確定システム</t>
  </si>
  <si>
    <t>工場系</t>
    <rPh sb="0" eb="2">
      <t>コウジョウ</t>
    </rPh>
    <rPh sb="2" eb="3">
      <t>ケイ</t>
    </rPh>
    <phoneticPr fontId="4"/>
  </si>
  <si>
    <t>未実施（共通基盤）</t>
    <rPh sb="0" eb="3">
      <t>ミジッシ</t>
    </rPh>
    <rPh sb="4" eb="8">
      <t>キョウツウキバン</t>
    </rPh>
    <phoneticPr fontId="2"/>
  </si>
  <si>
    <t>（1）or（2）</t>
    <phoneticPr fontId="2"/>
  </si>
  <si>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2"/>
  </si>
  <si>
    <t>Red Hat Enterprise Linux7.3</t>
    <phoneticPr fontId="2"/>
  </si>
  <si>
    <t>java 1.8.0_152
WebLogic 12.2.1.2.0</t>
  </si>
  <si>
    <t>Oracle19C</t>
  </si>
  <si>
    <t>Systemwalker Operation Manager</t>
  </si>
  <si>
    <t>struts 1.2.9</t>
    <phoneticPr fontId="2"/>
  </si>
  <si>
    <t>本番
　共通基盤（館林）
検証
　共通基盤（館林）</t>
  </si>
  <si>
    <t>千葉：41
徳山：30</t>
  </si>
  <si>
    <t>千葉：23
徳山：7</t>
  </si>
  <si>
    <t>共通：2
千葉：9
徳山：4</t>
  </si>
  <si>
    <t>千葉：8
徳山：4</t>
  </si>
  <si>
    <t>共通：58
千葉：16
徳山：9</t>
  </si>
  <si>
    <t>〇</t>
  </si>
  <si>
    <t>×</t>
  </si>
  <si>
    <t>e</t>
  </si>
  <si>
    <t>SVC-00000857</t>
  </si>
  <si>
    <t>徳山工場数量確定システム</t>
  </si>
  <si>
    <t>-</t>
    <phoneticPr fontId="2"/>
  </si>
  <si>
    <t>千葉工場用役管理システム</t>
    <rPh sb="0" eb="2">
      <t>チバ</t>
    </rPh>
    <rPh sb="2" eb="4">
      <t>コウジョウ</t>
    </rPh>
    <rPh sb="4" eb="6">
      <t>ヨウエキ</t>
    </rPh>
    <rPh sb="6" eb="8">
      <t>カンリ</t>
    </rPh>
    <phoneticPr fontId="4"/>
  </si>
  <si>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2"/>
  </si>
  <si>
    <t>struts 1.2.9</t>
  </si>
  <si>
    <t>千葉：28
徳山：17</t>
  </si>
  <si>
    <t>千葉：43
徳山：6</t>
  </si>
  <si>
    <t>共通：0
千葉：0
徳山：0</t>
  </si>
  <si>
    <t>千葉：0
徳山：0</t>
  </si>
  <si>
    <t>共通：11
千葉：1
徳山：11</t>
  </si>
  <si>
    <t>SVC-00000858</t>
  </si>
  <si>
    <t>徳山工場用役管理システム</t>
  </si>
  <si>
    <t>SVC-00001700</t>
    <phoneticPr fontId="2"/>
  </si>
  <si>
    <t>千葉化学品質管理システム</t>
    <rPh sb="0" eb="2">
      <t>チバ</t>
    </rPh>
    <rPh sb="2" eb="4">
      <t>カガク</t>
    </rPh>
    <rPh sb="4" eb="6">
      <t>ヒンシツ</t>
    </rPh>
    <rPh sb="6" eb="8">
      <t>カンリ</t>
    </rPh>
    <phoneticPr fontId="4"/>
  </si>
  <si>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2"/>
  </si>
  <si>
    <t>java 1.8.0_131
WebLogic 12.2.1.2.0</t>
  </si>
  <si>
    <t>List Creatorでの帳票作成</t>
    <rPh sb="14" eb="16">
      <t>チョウヒョウ</t>
    </rPh>
    <rPh sb="16" eb="18">
      <t>サクセイ</t>
    </rPh>
    <phoneticPr fontId="2"/>
  </si>
  <si>
    <t>SVC-00000854</t>
  </si>
  <si>
    <t>ＬＭＰＰ包装システム</t>
    <phoneticPr fontId="2"/>
  </si>
  <si>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2"/>
  </si>
  <si>
    <t>本番
　共通基盤（館林）
検証
　共通基盤（館林）</t>
    <phoneticPr fontId="2"/>
  </si>
  <si>
    <t>SVC-00000877</t>
  </si>
  <si>
    <t>工場DB</t>
  </si>
  <si>
    <t>未実施（共通基盤）
※アプリはXenApp</t>
    <rPh sb="0" eb="3">
      <t>ミジッシ</t>
    </rPh>
    <rPh sb="4" eb="8">
      <t>キョウツウキバン</t>
    </rPh>
    <phoneticPr fontId="2"/>
  </si>
  <si>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2"/>
  </si>
  <si>
    <t>Excel</t>
    <phoneticPr fontId="2"/>
  </si>
  <si>
    <t>SVC-00000705</t>
  </si>
  <si>
    <t>千葉ヤ－ド操業システム</t>
  </si>
  <si>
    <t>未実施（共通基盤）</t>
  </si>
  <si>
    <t>（3）</t>
  </si>
  <si>
    <t>千葉事業所及び徳山事業所の石油化学品の入出荷を管理するシステム。</t>
    <rPh sb="17" eb="18">
      <t>ヒン</t>
    </rPh>
    <rPh sb="19" eb="22">
      <t>ニュウシュッカ</t>
    </rPh>
    <rPh sb="23" eb="25">
      <t>カンリ</t>
    </rPh>
    <phoneticPr fontId="2"/>
  </si>
  <si>
    <t>WindowsServer2016</t>
    <phoneticPr fontId="2"/>
  </si>
  <si>
    <t>SQLServer2016</t>
  </si>
  <si>
    <t>Systemwalker Operation Manager
OWFT</t>
  </si>
  <si>
    <t>本番
　AP/DBサーバ×2（現地）
　AP/DB予備×2（館林）
検証
　AP/DBサーバ×2（館林）</t>
  </si>
  <si>
    <t>千葉：20
徳山：19</t>
    <rPh sb="0" eb="2">
      <t>チバ</t>
    </rPh>
    <rPh sb="6" eb="8">
      <t>トクヤマ</t>
    </rPh>
    <phoneticPr fontId="2"/>
  </si>
  <si>
    <t>千葉：16
徳山：15</t>
    <phoneticPr fontId="2"/>
  </si>
  <si>
    <t>SVC-00000707</t>
  </si>
  <si>
    <t>徳山ヤ－ド操業システム</t>
  </si>
  <si>
    <t>SVC-00000704</t>
  </si>
  <si>
    <t>千葉製品倉庫システム</t>
    <phoneticPr fontId="2"/>
  </si>
  <si>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</si>
  <si>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2"/>
  </si>
  <si>
    <t>VB.NET</t>
    <phoneticPr fontId="2"/>
  </si>
  <si>
    <t>Oracle12C</t>
  </si>
  <si>
    <t>本番
　AP/DBサーバ（現地）
検証
　APサーバ（館林）</t>
    <phoneticPr fontId="2"/>
  </si>
  <si>
    <t>SVC-00000901</t>
  </si>
  <si>
    <t>千葉工場数量確定システム（ポリマ－）</t>
    <phoneticPr fontId="2"/>
  </si>
  <si>
    <t>未実施（現地サーバ）</t>
    <rPh sb="0" eb="3">
      <t>ミジッシ</t>
    </rPh>
    <rPh sb="4" eb="6">
      <t>ゲンチ</t>
    </rPh>
    <phoneticPr fontId="2"/>
  </si>
  <si>
    <t>千葉事業所(工場)で生産されているポリマー製品の生産、在庫、PL(パイプライン)出荷、品目転換数量の管理を行うシステム。</t>
    <phoneticPr fontId="2"/>
  </si>
  <si>
    <t>ASP.NET</t>
    <phoneticPr fontId="2"/>
  </si>
  <si>
    <t>SVC-00000711</t>
  </si>
  <si>
    <t>ＡＢＣ数量確定システム</t>
    <phoneticPr fontId="2"/>
  </si>
  <si>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2"/>
  </si>
  <si>
    <t>C#</t>
    <phoneticPr fontId="2"/>
  </si>
  <si>
    <t>千葉L3.5</t>
    <rPh sb="0" eb="2">
      <t>チバ</t>
    </rPh>
    <phoneticPr fontId="4"/>
  </si>
  <si>
    <t>L3層に存在するシステムとL4層に存在するシステムの中継となるサーバ</t>
    <rPh sb="2" eb="3">
      <t>ソウ</t>
    </rPh>
    <rPh sb="4" eb="6">
      <t>ソンザイ</t>
    </rPh>
    <rPh sb="15" eb="16">
      <t>ソウ</t>
    </rPh>
    <rPh sb="17" eb="19">
      <t>ソンザイ</t>
    </rPh>
    <rPh sb="26" eb="28">
      <t>チュウケイ</t>
    </rPh>
    <phoneticPr fontId="2"/>
  </si>
  <si>
    <t>本番
　APサーバ（現地）
検証
　APサーバ（館林）</t>
    <phoneticPr fontId="2"/>
  </si>
  <si>
    <r>
      <t>千葉：52
徳山：</t>
    </r>
    <r>
      <rPr>
        <sz val="11"/>
        <color rgb="FFFF0000"/>
        <rFont val="游ゴシック"/>
        <family val="3"/>
        <charset val="128"/>
        <scheme val="minor"/>
      </rPr>
      <t>22</t>
    </r>
    <phoneticPr fontId="2"/>
  </si>
  <si>
    <t>徳山L3.5</t>
    <rPh sb="0" eb="2">
      <t>トクヤマ</t>
    </rPh>
    <phoneticPr fontId="4"/>
  </si>
  <si>
    <t>パターン</t>
    <phoneticPr fontId="2"/>
  </si>
  <si>
    <t>（１）次期アーキテクチャとしてAzure環境に再構築</t>
    <phoneticPr fontId="2"/>
  </si>
  <si>
    <t>（３）現地Windows2016サーバ再構築</t>
    <phoneticPr fontId="2"/>
  </si>
  <si>
    <t>備考</t>
    <rPh sb="0" eb="2">
      <t>ビコウ</t>
    </rPh>
    <phoneticPr fontId="7"/>
  </si>
  <si>
    <t>アプリ</t>
  </si>
  <si>
    <t>DB</t>
  </si>
  <si>
    <t>全体</t>
  </si>
  <si>
    <t>No.</t>
    <phoneticPr fontId="7"/>
  </si>
  <si>
    <t>システム</t>
    <phoneticPr fontId="7"/>
  </si>
  <si>
    <t>調査・要件定義</t>
  </si>
  <si>
    <t>設計</t>
  </si>
  <si>
    <t>製造</t>
    <rPh sb="0" eb="2">
      <t>セイゾウ</t>
    </rPh>
    <phoneticPr fontId="7"/>
  </si>
  <si>
    <t>試験</t>
  </si>
  <si>
    <t>本番稼働</t>
  </si>
  <si>
    <t>管理</t>
    <rPh sb="0" eb="2">
      <t>カンリ</t>
    </rPh>
    <phoneticPr fontId="7"/>
  </si>
  <si>
    <t>工数計</t>
  </si>
  <si>
    <t>金額</t>
  </si>
  <si>
    <t>L3.5（徳山）</t>
    <phoneticPr fontId="2"/>
  </si>
  <si>
    <t>MEK対応連携含む</t>
    <rPh sb="3" eb="5">
      <t>タイオウ</t>
    </rPh>
    <rPh sb="5" eb="7">
      <t>レンケイ</t>
    </rPh>
    <rPh sb="7" eb="8">
      <t>フク</t>
    </rPh>
    <phoneticPr fontId="2"/>
  </si>
  <si>
    <t>L3.5（千葉）</t>
    <phoneticPr fontId="2"/>
  </si>
  <si>
    <t>計</t>
  </si>
  <si>
    <t>単価</t>
  </si>
  <si>
    <t>スケジュール案（工場系システム。陸上出荷、L3.5、PIMS）</t>
    <rPh sb="8" eb="11">
      <t>コウジョウケイ</t>
    </rPh>
    <rPh sb="16" eb="20">
      <t>リクジョウシュッカ</t>
    </rPh>
    <phoneticPr fontId="2"/>
  </si>
  <si>
    <t>システム</t>
  </si>
  <si>
    <t>担当</t>
  </si>
  <si>
    <t>2025年</t>
    <rPh sb="4" eb="5">
      <t>ネン</t>
    </rPh>
    <phoneticPr fontId="2"/>
  </si>
  <si>
    <t>2026年</t>
    <rPh sb="4" eb="5">
      <t>ネン</t>
    </rPh>
    <phoneticPr fontId="2"/>
  </si>
  <si>
    <t>2027年</t>
    <phoneticPr fontId="2"/>
  </si>
  <si>
    <t>1月</t>
    <rPh sb="1" eb="2">
      <t>ガツ</t>
    </rPh>
    <phoneticPr fontId="2"/>
  </si>
  <si>
    <t>2月</t>
  </si>
  <si>
    <t>3月</t>
  </si>
  <si>
    <t>4月</t>
  </si>
  <si>
    <t>5月</t>
  </si>
  <si>
    <t>6月</t>
  </si>
  <si>
    <t>7月</t>
  </si>
  <si>
    <t>8月</t>
  </si>
  <si>
    <t>9月</t>
  </si>
  <si>
    <t>10月</t>
  </si>
  <si>
    <t>11月</t>
  </si>
  <si>
    <t>12月</t>
  </si>
  <si>
    <t>マイルストン</t>
  </si>
  <si>
    <t>★新共通基盤構築</t>
  </si>
  <si>
    <t>★館林DC廃止</t>
  </si>
  <si>
    <t>　　　　　　　　★L3.5サポート終了</t>
    <phoneticPr fontId="2"/>
  </si>
  <si>
    <t>▲陸上出荷とのIFテスト</t>
    <rPh sb="1" eb="5">
      <t>リクジョウシュッカ</t>
    </rPh>
    <phoneticPr fontId="2"/>
  </si>
  <si>
    <t>新IRIS・XenAPP</t>
  </si>
  <si>
    <t>数量確定システム（千葉・徳山）</t>
  </si>
  <si>
    <t>用役管理システム（千葉・徳山）</t>
  </si>
  <si>
    <t>ＬＭＰＰ包装システム</t>
  </si>
  <si>
    <t>千葉製品倉庫システム</t>
  </si>
  <si>
    <t>千葉工場数量確定システム（ポリマ－）</t>
  </si>
  <si>
    <t>ＡＢＣ数量確定システム</t>
  </si>
  <si>
    <t>陸上出荷（MEK）</t>
    <rPh sb="0" eb="4">
      <t>リクジョウシュッカ</t>
    </rPh>
    <phoneticPr fontId="2"/>
  </si>
  <si>
    <t>PIMS徳山</t>
    <rPh sb="4" eb="6">
      <t>トクヤマ</t>
    </rPh>
    <phoneticPr fontId="2"/>
  </si>
  <si>
    <t>PIMS千葉</t>
    <rPh sb="4" eb="6">
      <t>チバ</t>
    </rPh>
    <phoneticPr fontId="2"/>
  </si>
  <si>
    <t>想定要員数（作業者のみ）</t>
  </si>
  <si>
    <t>数量確定・用役管理</t>
  </si>
  <si>
    <t>千葉化学・包装・工場DB</t>
  </si>
  <si>
    <t>ヤード操業</t>
  </si>
  <si>
    <t>PRM（製品倉庫・数量ポリ・ABC）</t>
  </si>
  <si>
    <t>陸上出荷（MEK）</t>
    <phoneticPr fontId="2"/>
  </si>
  <si>
    <t>L3.5</t>
  </si>
  <si>
    <t>合計</t>
  </si>
  <si>
    <t>作業者</t>
  </si>
  <si>
    <t>売上(1,000k)</t>
  </si>
  <si>
    <t>経費(800k)</t>
  </si>
  <si>
    <t>管理者</t>
  </si>
  <si>
    <t>売上(1,400k)</t>
  </si>
  <si>
    <t>経費(1,000k)</t>
  </si>
  <si>
    <t>売上合計</t>
  </si>
  <si>
    <t>経費合計</t>
  </si>
  <si>
    <t>粗利</t>
  </si>
  <si>
    <t>粗利率</t>
  </si>
  <si>
    <t>制約事項</t>
    <rPh sb="0" eb="4">
      <t>セイヤクジコウ</t>
    </rPh>
    <phoneticPr fontId="2"/>
  </si>
  <si>
    <t>2025/11 陸上出荷・MEK疎通テスト</t>
    <rPh sb="8" eb="12">
      <t>リクジョウシュッカ</t>
    </rPh>
    <rPh sb="16" eb="18">
      <t>ソツウ</t>
    </rPh>
    <phoneticPr fontId="2"/>
  </si>
  <si>
    <t>2025/下旬 L3.5の契約可能</t>
    <rPh sb="5" eb="7">
      <t>ゲジュン</t>
    </rPh>
    <rPh sb="13" eb="15">
      <t>ケイヤク</t>
    </rPh>
    <rPh sb="15" eb="17">
      <t>カノウ</t>
    </rPh>
    <phoneticPr fontId="2"/>
  </si>
  <si>
    <t>L3.5（徳山）とMEKは本番リリース揃えたい（システムテスト工程からは一緒にしたい）</t>
    <rPh sb="5" eb="7">
      <t>トクヤマ</t>
    </rPh>
    <rPh sb="13" eb="15">
      <t>ホンバン</t>
    </rPh>
    <rPh sb="19" eb="20">
      <t>ソロ</t>
    </rPh>
    <rPh sb="31" eb="33">
      <t>コウテイ</t>
    </rPh>
    <rPh sb="36" eb="38">
      <t>イッショ</t>
    </rPh>
    <phoneticPr fontId="2"/>
  </si>
  <si>
    <t>2026/12 L3.5サポート終了</t>
    <rPh sb="16" eb="18">
      <t>シュウリョウ</t>
    </rPh>
    <phoneticPr fontId="2"/>
  </si>
  <si>
    <t>進め方</t>
    <rPh sb="0" eb="1">
      <t>スス</t>
    </rPh>
    <rPh sb="2" eb="3">
      <t>カタ</t>
    </rPh>
    <phoneticPr fontId="2"/>
  </si>
  <si>
    <t>② MEK要件 + (L3.5) + MEK設計以降 ※厳しめ：11月IFテスト有</t>
  </si>
  <si>
    <t>　※L3.5を12月までにリリースからのMEK開発</t>
    <phoneticPr fontId="2"/>
  </si>
  <si>
    <t>　　➡ただしMEK要件定義は事前。</t>
  </si>
  <si>
    <t>数量確定</t>
    <phoneticPr fontId="2"/>
  </si>
  <si>
    <t>用役管理</t>
    <phoneticPr fontId="2"/>
  </si>
  <si>
    <t>PIMS</t>
    <phoneticPr fontId="2"/>
  </si>
  <si>
    <t>L3.5(徳山)</t>
    <rPh sb="5" eb="7">
      <t>トクヤマ</t>
    </rPh>
    <phoneticPr fontId="2"/>
  </si>
  <si>
    <t>L3.5(千葉)</t>
    <phoneticPr fontId="2"/>
  </si>
  <si>
    <t>参考</t>
    <rPh sb="0" eb="2">
      <t>サンコウ</t>
    </rPh>
    <phoneticPr fontId="2"/>
  </si>
  <si>
    <t>L3.5</t>
    <phoneticPr fontId="2"/>
  </si>
  <si>
    <t>要員計画</t>
    <rPh sb="0" eb="2">
      <t>ヨウイン</t>
    </rPh>
    <rPh sb="2" eb="4">
      <t>ケイカク</t>
    </rPh>
    <phoneticPr fontId="2"/>
  </si>
  <si>
    <t>作業開始月</t>
    <rPh sb="0" eb="2">
      <t>サギョウ</t>
    </rPh>
    <rPh sb="2" eb="4">
      <t>カイシ</t>
    </rPh>
    <rPh sb="4" eb="5">
      <t>ツキ</t>
    </rPh>
    <phoneticPr fontId="2"/>
  </si>
  <si>
    <t>案件名</t>
    <rPh sb="0" eb="3">
      <t>アンケンメイ</t>
    </rPh>
    <phoneticPr fontId="2"/>
  </si>
  <si>
    <t>作業者名</t>
    <rPh sb="0" eb="4">
      <t>サギョウシャメイ</t>
    </rPh>
    <phoneticPr fontId="2"/>
  </si>
  <si>
    <t>作業終了月</t>
    <rPh sb="0" eb="2">
      <t>サギョウ</t>
    </rPh>
    <rPh sb="2" eb="4">
      <t>シュウリョウ</t>
    </rPh>
    <rPh sb="4" eb="5">
      <t>ツキ</t>
    </rPh>
    <phoneticPr fontId="2"/>
  </si>
  <si>
    <t>３名増</t>
    <rPh sb="1" eb="3">
      <t>メイゾウ</t>
    </rPh>
    <phoneticPr fontId="2"/>
  </si>
  <si>
    <t>天川</t>
    <rPh sb="0" eb="2">
      <t>アマカワ</t>
    </rPh>
    <phoneticPr fontId="2"/>
  </si>
  <si>
    <t>馬場</t>
    <rPh sb="0" eb="2">
      <t>ババ</t>
    </rPh>
    <phoneticPr fontId="2"/>
  </si>
  <si>
    <t>千葉化学・包装・工場DB</t>
    <phoneticPr fontId="2"/>
  </si>
  <si>
    <t>石井</t>
    <rPh sb="0" eb="2">
      <t>イシイ</t>
    </rPh>
    <phoneticPr fontId="2"/>
  </si>
  <si>
    <t>伊達</t>
    <rPh sb="0" eb="2">
      <t>ダテ</t>
    </rPh>
    <phoneticPr fontId="2"/>
  </si>
  <si>
    <t>要員A</t>
    <rPh sb="0" eb="2">
      <t>ヨウイン</t>
    </rPh>
    <phoneticPr fontId="2"/>
  </si>
  <si>
    <t>PIMS(千葉・徳山)</t>
    <rPh sb="5" eb="7">
      <t>チバ</t>
    </rPh>
    <rPh sb="8" eb="10">
      <t>トクヤマ</t>
    </rPh>
    <phoneticPr fontId="2"/>
  </si>
  <si>
    <t>徳山L3.5</t>
    <rPh sb="0" eb="2">
      <t>トクヤマ</t>
    </rPh>
    <phoneticPr fontId="2"/>
  </si>
  <si>
    <t>要員B</t>
    <rPh sb="0" eb="2">
      <t>ヨウイン</t>
    </rPh>
    <phoneticPr fontId="2"/>
  </si>
  <si>
    <t>要員C</t>
    <rPh sb="0" eb="2">
      <t>ヨウイン</t>
    </rPh>
    <phoneticPr fontId="2"/>
  </si>
  <si>
    <t>要員D</t>
    <rPh sb="0" eb="2">
      <t>ヨウイン</t>
    </rPh>
    <phoneticPr fontId="2"/>
  </si>
  <si>
    <t>要員E</t>
    <rPh sb="0" eb="2">
      <t>ヨウイン</t>
    </rPh>
    <phoneticPr fontId="2"/>
  </si>
  <si>
    <t>要員F</t>
    <rPh sb="0" eb="2">
      <t>ヨウイン</t>
    </rPh>
    <phoneticPr fontId="2"/>
  </si>
  <si>
    <t>陸出荷システム更新スケジュール</t>
    <rPh sb="0" eb="1">
      <t>リク</t>
    </rPh>
    <rPh sb="1" eb="3">
      <t>シュッカ</t>
    </rPh>
    <rPh sb="7" eb="9">
      <t>コウシン</t>
    </rPh>
    <phoneticPr fontId="2"/>
  </si>
  <si>
    <t>項目</t>
    <rPh sb="0" eb="2">
      <t>コウモク</t>
    </rPh>
    <phoneticPr fontId="2"/>
  </si>
  <si>
    <t>11月</t>
    <rPh sb="2" eb="3">
      <t>ガツ</t>
    </rPh>
    <phoneticPr fontId="2"/>
  </si>
  <si>
    <t>12月</t>
    <rPh sb="2" eb="3">
      <t>ガツ</t>
    </rPh>
    <phoneticPr fontId="2"/>
  </si>
  <si>
    <t>2月</t>
    <rPh sb="1" eb="2">
      <t>ガツ</t>
    </rPh>
    <phoneticPr fontId="2"/>
  </si>
  <si>
    <t>陸上システム更新</t>
    <rPh sb="0" eb="2">
      <t>リクジョウ</t>
    </rPh>
    <rPh sb="6" eb="8">
      <t>コウシン</t>
    </rPh>
    <phoneticPr fontId="2"/>
  </si>
  <si>
    <t>1：ハードウェア</t>
    <phoneticPr fontId="2"/>
  </si>
  <si>
    <t>設計</t>
    <rPh sb="0" eb="2">
      <t>セッケイ</t>
    </rPh>
    <phoneticPr fontId="2"/>
  </si>
  <si>
    <t>手配</t>
    <rPh sb="0" eb="2">
      <t>テハイ</t>
    </rPh>
    <phoneticPr fontId="2"/>
  </si>
  <si>
    <t>2：ソフトウェア</t>
    <phoneticPr fontId="2"/>
  </si>
  <si>
    <t>機能設計</t>
    <rPh sb="0" eb="2">
      <t>キノウ</t>
    </rPh>
    <rPh sb="2" eb="4">
      <t>セッケイ</t>
    </rPh>
    <phoneticPr fontId="2"/>
  </si>
  <si>
    <t>制作</t>
    <rPh sb="0" eb="2">
      <t>セイサク</t>
    </rPh>
    <phoneticPr fontId="2"/>
  </si>
  <si>
    <t>単体・結合テスト</t>
    <rPh sb="0" eb="2">
      <t>タンタイ</t>
    </rPh>
    <rPh sb="3" eb="5">
      <t>ケツゴウ</t>
    </rPh>
    <phoneticPr fontId="2"/>
  </si>
  <si>
    <t>受入検査</t>
    <rPh sb="0" eb="4">
      <t>ウケイレケンサ</t>
    </rPh>
    <phoneticPr fontId="2"/>
  </si>
  <si>
    <t>通信テスト:燃基地</t>
    <rPh sb="0" eb="2">
      <t>ツウシン</t>
    </rPh>
    <phoneticPr fontId="2"/>
  </si>
  <si>
    <t>出光立会検査</t>
    <rPh sb="0" eb="6">
      <t>イデミツタチアイケンサ</t>
    </rPh>
    <phoneticPr fontId="2"/>
  </si>
  <si>
    <t>資材搬出</t>
    <rPh sb="0" eb="2">
      <t>シザイ</t>
    </rPh>
    <rPh sb="2" eb="4">
      <t>ハンシュツ</t>
    </rPh>
    <phoneticPr fontId="2"/>
  </si>
  <si>
    <t>3：現地調整</t>
    <rPh sb="2" eb="6">
      <t>ゲンチチョウセイ</t>
    </rPh>
    <phoneticPr fontId="2"/>
  </si>
  <si>
    <t>【通信テスト】</t>
    <rPh sb="1" eb="3">
      <t>ツウシン</t>
    </rPh>
    <phoneticPr fontId="2"/>
  </si>
  <si>
    <t>対:運転制御</t>
    <rPh sb="0" eb="1">
      <t>タイ</t>
    </rPh>
    <rPh sb="2" eb="6">
      <t>ウンテンセイギョ</t>
    </rPh>
    <phoneticPr fontId="2"/>
  </si>
  <si>
    <t>対:燃料油基地</t>
    <rPh sb="0" eb="1">
      <t>タイ</t>
    </rPh>
    <rPh sb="2" eb="7">
      <t>ネンリョウユキチ</t>
    </rPh>
    <phoneticPr fontId="2"/>
  </si>
  <si>
    <t>対:ヤード操業</t>
    <rPh sb="0" eb="1">
      <t>タイ</t>
    </rPh>
    <rPh sb="5" eb="7">
      <t>ソウギョウ</t>
    </rPh>
    <phoneticPr fontId="2"/>
  </si>
  <si>
    <t>現場事前工事</t>
    <rPh sb="0" eb="6">
      <t>ゲンバジゼンコウジ</t>
    </rPh>
    <phoneticPr fontId="2"/>
  </si>
  <si>
    <t>その他確認事項</t>
    <rPh sb="2" eb="3">
      <t>ホカ</t>
    </rPh>
    <rPh sb="3" eb="7">
      <t>カクニンジコウ</t>
    </rPh>
    <phoneticPr fontId="2"/>
  </si>
  <si>
    <t>4:切替工事・初期流動</t>
    <rPh sb="2" eb="6">
      <t>キリカエコウジ</t>
    </rPh>
    <rPh sb="7" eb="11">
      <t>ショキリュウドウ</t>
    </rPh>
    <phoneticPr fontId="2"/>
  </si>
  <si>
    <t>5:完成図書提出</t>
    <rPh sb="2" eb="6">
      <t>カンセイトショ</t>
    </rPh>
    <rPh sb="6" eb="8">
      <t>テイシュツ</t>
    </rPh>
    <phoneticPr fontId="2"/>
  </si>
  <si>
    <t>6:検収</t>
    <rPh sb="2" eb="4">
      <t>ケンシュウ</t>
    </rPh>
    <phoneticPr fontId="2"/>
  </si>
  <si>
    <t>MEK取込について</t>
    <rPh sb="3" eb="5">
      <t>トリコミ</t>
    </rPh>
    <phoneticPr fontId="2"/>
  </si>
  <si>
    <t>【陸上システム】</t>
    <rPh sb="1" eb="3">
      <t>リクジョウ</t>
    </rPh>
    <phoneticPr fontId="2"/>
  </si>
  <si>
    <t>1：要件定義・仕様決め</t>
    <rPh sb="2" eb="6">
      <t>ヨウケンテイギ</t>
    </rPh>
    <rPh sb="7" eb="10">
      <t>シヨウギ</t>
    </rPh>
    <phoneticPr fontId="2"/>
  </si>
  <si>
    <t>2：制作</t>
    <rPh sb="2" eb="4">
      <t>セイサク</t>
    </rPh>
    <phoneticPr fontId="2"/>
  </si>
  <si>
    <t>3：単体・結合テスト</t>
    <rPh sb="2" eb="4">
      <t>タンタイ</t>
    </rPh>
    <rPh sb="5" eb="7">
      <t>ケツゴウ</t>
    </rPh>
    <phoneticPr fontId="2"/>
  </si>
  <si>
    <t>4：出光立会検査</t>
    <rPh sb="2" eb="4">
      <t>イデミツ</t>
    </rPh>
    <rPh sb="4" eb="8">
      <t>タチアイケンサ</t>
    </rPh>
    <phoneticPr fontId="2"/>
  </si>
  <si>
    <t>5：現地通信テスト</t>
    <rPh sb="2" eb="4">
      <t>ゲンチ</t>
    </rPh>
    <rPh sb="4" eb="6">
      <t>ツウシン</t>
    </rPh>
    <phoneticPr fontId="2"/>
  </si>
  <si>
    <t>6：導入・初期流動</t>
    <rPh sb="2" eb="4">
      <t>ドウニュウ</t>
    </rPh>
    <rPh sb="5" eb="9">
      <t>ショキリュウドウ</t>
    </rPh>
    <phoneticPr fontId="2"/>
  </si>
  <si>
    <t>7：完成図書提出</t>
    <rPh sb="2" eb="6">
      <t>カンセイトショ</t>
    </rPh>
    <rPh sb="6" eb="8">
      <t>テイシュツ</t>
    </rPh>
    <phoneticPr fontId="2"/>
  </si>
  <si>
    <t>8：検収</t>
    <rPh sb="2" eb="4">
      <t>ケンシュウ</t>
    </rPh>
    <phoneticPr fontId="2"/>
  </si>
  <si>
    <t>【OWFT関連】</t>
    <rPh sb="5" eb="7">
      <t>カンレン</t>
    </rPh>
    <phoneticPr fontId="2"/>
  </si>
  <si>
    <t>1：電文内容(出光から提示)</t>
    <rPh sb="2" eb="6">
      <t>デンブンナイヨウ</t>
    </rPh>
    <rPh sb="7" eb="9">
      <t>イデミツ</t>
    </rPh>
    <rPh sb="11" eb="13">
      <t>テイジ</t>
    </rPh>
    <phoneticPr fontId="2"/>
  </si>
  <si>
    <t>2：通信要件定義・確定</t>
    <rPh sb="2" eb="4">
      <t>ツウシン</t>
    </rPh>
    <rPh sb="4" eb="6">
      <t>ヨウケン</t>
    </rPh>
    <rPh sb="6" eb="8">
      <t>テイギ</t>
    </rPh>
    <rPh sb="9" eb="11">
      <t>カクテイ</t>
    </rPh>
    <phoneticPr fontId="2"/>
  </si>
  <si>
    <t>3：制作</t>
    <rPh sb="2" eb="4">
      <t>セイサク</t>
    </rPh>
    <phoneticPr fontId="2"/>
  </si>
  <si>
    <t>4：単体・結合テスト</t>
    <phoneticPr fontId="2"/>
  </si>
  <si>
    <t>5：現地通信確認</t>
    <rPh sb="2" eb="4">
      <t>ゲンチ</t>
    </rPh>
    <rPh sb="4" eb="8">
      <t>ツウシンカクニン</t>
    </rPh>
    <phoneticPr fontId="2"/>
  </si>
  <si>
    <t>6：稼働</t>
    <rPh sb="2" eb="4">
      <t>カドウ</t>
    </rPh>
    <phoneticPr fontId="2"/>
  </si>
  <si>
    <t>【ヤード操業システム】</t>
    <rPh sb="4" eb="6">
      <t>ソウギョウ</t>
    </rPh>
    <phoneticPr fontId="2"/>
  </si>
  <si>
    <t>4：リリース物確認(模擬等で可能？)</t>
    <rPh sb="6" eb="7">
      <t>ブツ</t>
    </rPh>
    <rPh sb="7" eb="9">
      <t>カクニン</t>
    </rPh>
    <rPh sb="10" eb="13">
      <t>モギトウ</t>
    </rPh>
    <rPh sb="14" eb="16">
      <t>カノウ</t>
    </rPh>
    <phoneticPr fontId="2"/>
  </si>
  <si>
    <t>要員</t>
    <rPh sb="0" eb="2">
      <t>ヨウイン</t>
    </rPh>
    <phoneticPr fontId="2"/>
  </si>
  <si>
    <t>参考情報</t>
    <rPh sb="0" eb="2">
      <t>サンコウ</t>
    </rPh>
    <rPh sb="2" eb="4">
      <t>ジョウホウ</t>
    </rPh>
    <phoneticPr fontId="2"/>
  </si>
  <si>
    <t>作業スケジュール</t>
    <rPh sb="0" eb="2">
      <t>サギョウ</t>
    </rPh>
    <phoneticPr fontId="2"/>
  </si>
  <si>
    <t>調査・要件定義</t>
    <rPh sb="0" eb="2">
      <t>チョウサ</t>
    </rPh>
    <rPh sb="3" eb="5">
      <t>ヨウケン</t>
    </rPh>
    <rPh sb="5" eb="7">
      <t>テイギ</t>
    </rPh>
    <phoneticPr fontId="2"/>
  </si>
  <si>
    <t>製造</t>
    <rPh sb="0" eb="2">
      <t>セイゾウ</t>
    </rPh>
    <phoneticPr fontId="2"/>
  </si>
  <si>
    <t>結合テスト</t>
    <rPh sb="0" eb="2">
      <t>ケツゴウ</t>
    </rPh>
    <phoneticPr fontId="2"/>
  </si>
  <si>
    <t>システムテスト</t>
    <phoneticPr fontId="2"/>
  </si>
  <si>
    <t>ユーザテスト</t>
    <phoneticPr fontId="2"/>
  </si>
  <si>
    <t>本番稼働</t>
    <rPh sb="0" eb="2">
      <t>ホンバン</t>
    </rPh>
    <rPh sb="2" eb="4">
      <t>カドウ</t>
    </rPh>
    <phoneticPr fontId="2"/>
  </si>
  <si>
    <t>初期流動</t>
    <rPh sb="0" eb="4">
      <t>ショキリュウドウ</t>
    </rPh>
    <phoneticPr fontId="2"/>
  </si>
  <si>
    <t>L3.5(千葉)</t>
    <rPh sb="5" eb="7">
      <t>チバ</t>
    </rPh>
    <phoneticPr fontId="2"/>
  </si>
  <si>
    <t>MEK</t>
    <phoneticPr fontId="2"/>
  </si>
  <si>
    <t>No.</t>
  </si>
  <si>
    <t>契約種別</t>
  </si>
  <si>
    <t>フェーズ</t>
  </si>
  <si>
    <t>区分</t>
  </si>
  <si>
    <t>工程</t>
  </si>
  <si>
    <t>工数（人月）</t>
  </si>
  <si>
    <t>金額（税抜き）</t>
  </si>
  <si>
    <t>準委任契約</t>
  </si>
  <si>
    <t>要件定義・設計</t>
  </si>
  <si>
    <t>概算</t>
  </si>
  <si>
    <t>要件定義</t>
  </si>
  <si>
    <t>基本設計</t>
  </si>
  <si>
    <t>プロジェクト管理</t>
  </si>
  <si>
    <t>小計</t>
  </si>
  <si>
    <t>請負契約</t>
  </si>
  <si>
    <t>開発</t>
  </si>
  <si>
    <t>詳細設計</t>
  </si>
  <si>
    <t>結合テスト</t>
  </si>
  <si>
    <t>システムテスト</t>
  </si>
  <si>
    <t>運用テスト</t>
  </si>
  <si>
    <t>本番移行</t>
  </si>
  <si>
    <t>初期流動</t>
  </si>
  <si>
    <t>システム名：数量確定システム</t>
    <rPh sb="4" eb="5">
      <t>メイ</t>
    </rPh>
    <rPh sb="6" eb="8">
      <t>スウリョウ</t>
    </rPh>
    <rPh sb="8" eb="10">
      <t>カクテイ</t>
    </rPh>
    <phoneticPr fontId="2"/>
  </si>
  <si>
    <t>想定工数(人月)</t>
    <rPh sb="0" eb="4">
      <t>ソウテイコウスウ</t>
    </rPh>
    <rPh sb="5" eb="7">
      <t>ニンゲツ</t>
    </rPh>
    <phoneticPr fontId="7"/>
  </si>
  <si>
    <t>変更箇所カテゴリ</t>
    <rPh sb="0" eb="2">
      <t>ヘンコウ</t>
    </rPh>
    <rPh sb="2" eb="4">
      <t>カショ</t>
    </rPh>
    <phoneticPr fontId="7"/>
  </si>
  <si>
    <t>タスク</t>
    <phoneticPr fontId="7"/>
  </si>
  <si>
    <t>要件定義・設計</t>
    <rPh sb="0" eb="4">
      <t>ヨウケンテイギ</t>
    </rPh>
    <rPh sb="5" eb="7">
      <t>セッケイ</t>
    </rPh>
    <phoneticPr fontId="7"/>
  </si>
  <si>
    <t>試験・本番稼働</t>
    <rPh sb="0" eb="2">
      <t>シケン</t>
    </rPh>
    <rPh sb="3" eb="7">
      <t>ホンバンカドウ</t>
    </rPh>
    <phoneticPr fontId="7"/>
  </si>
  <si>
    <t>全体工数</t>
    <rPh sb="0" eb="2">
      <t>ゼンタイ</t>
    </rPh>
    <rPh sb="2" eb="4">
      <t>コウスウ</t>
    </rPh>
    <phoneticPr fontId="7"/>
  </si>
  <si>
    <t>Azure移行</t>
    <rPh sb="5" eb="7">
      <t>イコウ</t>
    </rPh>
    <phoneticPr fontId="7"/>
  </si>
  <si>
    <t>IP,ホスト名変更に伴う各種（IF、DB等）向け先変更、検証</t>
    <phoneticPr fontId="2"/>
  </si>
  <si>
    <t>アプリ動作検証（各パターンで検証範囲は異なる）</t>
    <phoneticPr fontId="2"/>
  </si>
  <si>
    <t>サーバ更新</t>
    <rPh sb="3" eb="5">
      <t>コウシン</t>
    </rPh>
    <phoneticPr fontId="2"/>
  </si>
  <si>
    <t>アプリケーション構築、ミドルウェアのセットアップ</t>
    <phoneticPr fontId="2"/>
  </si>
  <si>
    <t>DB移行</t>
    <rPh sb="2" eb="4">
      <t>イコウ</t>
    </rPh>
    <phoneticPr fontId="7"/>
  </si>
  <si>
    <t>データ移行</t>
    <phoneticPr fontId="2"/>
  </si>
  <si>
    <t>DB構築（構成の検討から）</t>
    <phoneticPr fontId="2"/>
  </si>
  <si>
    <t>DBバージョンアップ（19c⇒22c）に伴う非互換調査、対応</t>
    <phoneticPr fontId="2"/>
  </si>
  <si>
    <t>Office更新</t>
    <rPh sb="6" eb="8">
      <t>コウシン</t>
    </rPh>
    <phoneticPr fontId="7"/>
  </si>
  <si>
    <t>テンプレートファイル調査・対応</t>
    <rPh sb="10" eb="12">
      <t>チョウサ</t>
    </rPh>
    <rPh sb="13" eb="15">
      <t>タイオウ</t>
    </rPh>
    <phoneticPr fontId="7"/>
  </si>
  <si>
    <t>TOMCAT移行</t>
    <rPh sb="6" eb="8">
      <t>イコウ</t>
    </rPh>
    <phoneticPr fontId="7"/>
  </si>
  <si>
    <t>アプリケーションの移行</t>
    <rPh sb="9" eb="11">
      <t>イコウ</t>
    </rPh>
    <phoneticPr fontId="7"/>
  </si>
  <si>
    <t>ミドルウェア移行</t>
    <rPh sb="6" eb="8">
      <t>イコウ</t>
    </rPh>
    <phoneticPr fontId="7"/>
  </si>
  <si>
    <t>A-Auto検証</t>
    <rPh sb="6" eb="8">
      <t>ケンショウ</t>
    </rPh>
    <phoneticPr fontId="7"/>
  </si>
  <si>
    <t>非互換検証</t>
    <rPh sb="0" eb="3">
      <t>ヒゴカン</t>
    </rPh>
    <rPh sb="3" eb="5">
      <t>ケンショウ</t>
    </rPh>
    <phoneticPr fontId="7"/>
  </si>
  <si>
    <t>オペマネのA-Auto更新</t>
    <rPh sb="11" eb="13">
      <t>コウシン</t>
    </rPh>
    <phoneticPr fontId="7"/>
  </si>
  <si>
    <t>A-AUTO14本</t>
    <phoneticPr fontId="2"/>
  </si>
  <si>
    <t>合計工数</t>
    <rPh sb="0" eb="2">
      <t>ゴウケイ</t>
    </rPh>
    <rPh sb="2" eb="4">
      <t>コウスウ</t>
    </rPh>
    <phoneticPr fontId="7"/>
  </si>
  <si>
    <t>単価(千円)</t>
    <rPh sb="0" eb="2">
      <t>タンカ</t>
    </rPh>
    <rPh sb="3" eb="5">
      <t>センエン</t>
    </rPh>
    <phoneticPr fontId="7"/>
  </si>
  <si>
    <t>金額(千円)</t>
    <rPh sb="0" eb="2">
      <t>キンガク</t>
    </rPh>
    <rPh sb="3" eb="5">
      <t>センエン</t>
    </rPh>
    <phoneticPr fontId="7"/>
  </si>
  <si>
    <t>システム名：</t>
    <rPh sb="4" eb="5">
      <t>メイ</t>
    </rPh>
    <phoneticPr fontId="2"/>
  </si>
  <si>
    <t>アプリケーション構築、向け先変更、IF検証、ミドルウェアのセットアップ</t>
    <phoneticPr fontId="2"/>
  </si>
  <si>
    <t>参考：Windows Server 2012  更新対応</t>
    <rPh sb="0" eb="2">
      <t>サンコウ</t>
    </rPh>
    <rPh sb="26" eb="28">
      <t>タイオウ</t>
    </rPh>
    <phoneticPr fontId="2"/>
  </si>
  <si>
    <t>アプリケーション構築、向け先変更、IF検証、ミドルウェアのセットアップ</t>
  </si>
  <si>
    <t>向け先変更、IF検証、ミドルウェアのセットアップ</t>
    <phoneticPr fontId="2"/>
  </si>
  <si>
    <t>OS更新</t>
    <rPh sb="2" eb="4">
      <t>コウシン</t>
    </rPh>
    <phoneticPr fontId="7"/>
  </si>
  <si>
    <t>.netFramework非互換調査、64bit非互換調査</t>
    <rPh sb="13" eb="16">
      <t>ヒゴカン</t>
    </rPh>
    <rPh sb="16" eb="18">
      <t>チョウサ</t>
    </rPh>
    <rPh sb="24" eb="27">
      <t>ヒゴカン</t>
    </rPh>
    <rPh sb="27" eb="29">
      <t>チョウサ</t>
    </rPh>
    <phoneticPr fontId="7"/>
  </si>
  <si>
    <t>バージョンアップ、データ移行、向け先変更</t>
    <rPh sb="12" eb="14">
      <t>イコウ</t>
    </rPh>
    <phoneticPr fontId="7"/>
  </si>
  <si>
    <t>A-AUTO6本</t>
    <phoneticPr fontId="2"/>
  </si>
  <si>
    <t>徳山L3.5</t>
    <phoneticPr fontId="2"/>
  </si>
  <si>
    <t>作業パターン：</t>
  </si>
  <si>
    <t>タスク</t>
  </si>
  <si>
    <t>概算工数</t>
  </si>
  <si>
    <t>成果物</t>
  </si>
  <si>
    <t>要件定義書</t>
  </si>
  <si>
    <t>現行サーバの構成確認
通信経路（FW）設定調査</t>
    <phoneticPr fontId="2"/>
  </si>
  <si>
    <t>IP,ホスト名変更に伴う影響箇所調査</t>
    <phoneticPr fontId="2"/>
  </si>
  <si>
    <t>IP,ホスト名使用箇所GREP調査</t>
    <phoneticPr fontId="2"/>
  </si>
  <si>
    <t>次工程以降正式見積</t>
  </si>
  <si>
    <t>移行方式設計</t>
  </si>
  <si>
    <t>アプリ移行方式設計書（出光フォーマット）
移行計画書</t>
  </si>
  <si>
    <t>アプリ移行方式設計書作成（出光フォーマット）
移行計画書作成</t>
    <rPh sb="7" eb="12">
      <t>セッケイショサクセイ</t>
    </rPh>
    <rPh sb="13" eb="15">
      <t>イデミツ</t>
    </rPh>
    <rPh sb="23" eb="27">
      <t>イコウケイカク</t>
    </rPh>
    <rPh sb="27" eb="28">
      <t>ショ</t>
    </rPh>
    <rPh sb="28" eb="30">
      <t>サクセイ</t>
    </rPh>
    <phoneticPr fontId="2"/>
  </si>
  <si>
    <t>サーバ構築ヒアリングシート
FW設定依頼書</t>
  </si>
  <si>
    <t>ヒアリングシートの作成</t>
    <phoneticPr fontId="2"/>
  </si>
  <si>
    <t>IP,ホスト名変更に伴う影響箇所対応</t>
    <phoneticPr fontId="2"/>
  </si>
  <si>
    <t>基本設計書、詳細設計書
運用ドキュメント</t>
  </si>
  <si>
    <t>設計書、運用ドキュメント修正
バッチ＋IF=15
15*20%を想定</t>
    <phoneticPr fontId="2"/>
  </si>
  <si>
    <t>IP,ホスト名変更に伴う影響箇所対応(MEK対応分)</t>
    <phoneticPr fontId="2"/>
  </si>
  <si>
    <t>設計書、運用ドキュメント修正
IF=8
8*20%を想定</t>
    <phoneticPr fontId="2"/>
  </si>
  <si>
    <t>OWFT、IIS等のMWインストール・セットアップ、フォルダ作成
※オペマネは出光様にてご対応
本番、検証（検証は同等構成のため少な目に設定）</t>
  </si>
  <si>
    <t>IP,ホスト名変更に伴う影響箇所対応</t>
  </si>
  <si>
    <t>PG一式</t>
  </si>
  <si>
    <t>PG修正
バッチ＋IF=15
15*20%を想定</t>
    <phoneticPr fontId="2"/>
  </si>
  <si>
    <t>PG修正
IF=8
8*20%を想定</t>
    <phoneticPr fontId="2"/>
  </si>
  <si>
    <t>内部テスト</t>
  </si>
  <si>
    <t>テスト仕様書兼結果報告書</t>
  </si>
  <si>
    <t>各検証機とL3.5間のテスト(L3層はダミーで実施)
オペマネのジョブテスト
機能数（バッチ＋IF）=15
15連携全てテスト</t>
    <phoneticPr fontId="2"/>
  </si>
  <si>
    <t>内部テスト(MEK対応分)</t>
    <phoneticPr fontId="2"/>
  </si>
  <si>
    <t>各検証機とL3.5間のテスト(L3層はダミーで実施)
オペマネのジョブテスト
機能数（IF）=8
8連携全てテスト</t>
    <phoneticPr fontId="2"/>
  </si>
  <si>
    <t>非機能テスト</t>
  </si>
  <si>
    <t>バックアップ（連携ファイル）、
性能（一部バッチをサンプリングし実施）</t>
  </si>
  <si>
    <t>IFテスト</t>
  </si>
  <si>
    <t>他システムとの連携テスト
下位：運転管理(徳山)、陸上出荷
上位：ヤード操業(徳山)
他シスとのテスト調整
テスト実施：17</t>
    <phoneticPr fontId="2"/>
  </si>
  <si>
    <t>アプリ移行</t>
  </si>
  <si>
    <t>本番移行手順書</t>
  </si>
  <si>
    <t>移行手順書作成＋出光内の移行方式レビュー支援
移行作業（入出荷に関わるため業務調整等で手間）
システム毎に実施（4回を想定）</t>
  </si>
  <si>
    <t>初期流動管理表</t>
  </si>
  <si>
    <t>月末月初挟む2ヶ月×2名（入出荷に関わるため緊急性高い）</t>
  </si>
  <si>
    <t>PJ管理</t>
  </si>
  <si>
    <t>プロジェクト計画書
課題管理表
スケジュール（WBS）
議事録
レビュー管理表</t>
  </si>
  <si>
    <t>PJ管理、定例会、各工程完了レビュー</t>
    <rPh sb="2" eb="4">
      <t>カンリ</t>
    </rPh>
    <rPh sb="5" eb="7">
      <t>テイレイ</t>
    </rPh>
    <rPh sb="7" eb="8">
      <t>カイ</t>
    </rPh>
    <rPh sb="9" eb="12">
      <t>カクコウテイ</t>
    </rPh>
    <rPh sb="12" eb="14">
      <t>カンリョウ</t>
    </rPh>
    <phoneticPr fontId="2"/>
  </si>
  <si>
    <t>千葉L3.5</t>
    <rPh sb="0" eb="2">
      <t>チバ</t>
    </rPh>
    <phoneticPr fontId="2"/>
  </si>
  <si>
    <t>設計書、運用ドキュメント修正
バッチ＋IF=53
53*20%を想定</t>
    <phoneticPr fontId="2"/>
  </si>
  <si>
    <t>PG修正
バッチ＋IF=53
53*20%を想定</t>
    <phoneticPr fontId="2"/>
  </si>
  <si>
    <t>各検証機とL3.5間のテスト(L3層はダミーで実施)
オペマネのジョブテスト
機能数（バッチ＋IF）=53
53連携全てテスト</t>
    <phoneticPr fontId="2"/>
  </si>
  <si>
    <t>他システムとの連携テスト
下位：運転管理(千葉)、UX、TCM、第１ABC、第2ABC
上位：ヤード操業(千葉)、PRMAPDB
他シスとのテスト調整
テスト実施：17</t>
    <phoneticPr fontId="2"/>
  </si>
  <si>
    <t>【対応方針】</t>
    <rPh sb="1" eb="3">
      <t>タイオウ</t>
    </rPh>
    <rPh sb="3" eb="5">
      <t>ホウシン</t>
    </rPh>
    <phoneticPr fontId="2"/>
  </si>
  <si>
    <t>・共通基盤DBに乗っているDB(数量確定、工場DB、品管、包装)は縮小基盤へ移動</t>
    <rPh sb="1" eb="3">
      <t>キョウツウ</t>
    </rPh>
    <rPh sb="3" eb="5">
      <t>キバン</t>
    </rPh>
    <rPh sb="8" eb="9">
      <t>ノ</t>
    </rPh>
    <rPh sb="33" eb="35">
      <t>シュクショウ</t>
    </rPh>
    <rPh sb="35" eb="37">
      <t>キバン</t>
    </rPh>
    <rPh sb="38" eb="40">
      <t>イドウ</t>
    </rPh>
    <phoneticPr fontId="2"/>
  </si>
  <si>
    <t>・基本全てのオペマネはA-AUTOに変更</t>
    <rPh sb="1" eb="3">
      <t>キホン</t>
    </rPh>
    <rPh sb="3" eb="4">
      <t>スベ</t>
    </rPh>
    <rPh sb="18" eb="20">
      <t>ヘンコウ</t>
    </rPh>
    <phoneticPr fontId="2"/>
  </si>
  <si>
    <t>・独立したサーバとして寄せられるシステムは寄せる(数量確定システムと用役管理システム、品管と包装)</t>
    <rPh sb="1" eb="3">
      <t>ドクリツ</t>
    </rPh>
    <rPh sb="11" eb="12">
      <t>ヨ</t>
    </rPh>
    <rPh sb="21" eb="22">
      <t>ヨ</t>
    </rPh>
    <rPh sb="25" eb="27">
      <t>スウリョウ</t>
    </rPh>
    <rPh sb="27" eb="29">
      <t>カクテイ</t>
    </rPh>
    <rPh sb="34" eb="36">
      <t>ヨウエキ</t>
    </rPh>
    <rPh sb="36" eb="38">
      <t>カンリ</t>
    </rPh>
    <rPh sb="43" eb="45">
      <t>ヒンカン</t>
    </rPh>
    <rPh sb="46" eb="48">
      <t>ホウソウ</t>
    </rPh>
    <phoneticPr fontId="2"/>
  </si>
  <si>
    <t>【対象】</t>
    <rPh sb="1" eb="3">
      <t>タイショウ</t>
    </rPh>
    <phoneticPr fontId="2"/>
  </si>
  <si>
    <t>No</t>
    <phoneticPr fontId="2"/>
  </si>
  <si>
    <t>サーバ名</t>
  </si>
  <si>
    <t>構成</t>
    <rPh sb="0" eb="2">
      <t>コウセイ</t>
    </rPh>
    <phoneticPr fontId="2"/>
  </si>
  <si>
    <t>超概算(人月)</t>
    <rPh sb="0" eb="1">
      <t>チョウ</t>
    </rPh>
    <rPh sb="1" eb="3">
      <t>ガイサン</t>
    </rPh>
    <rPh sb="4" eb="6">
      <t>ニンゲツ</t>
    </rPh>
    <phoneticPr fontId="2"/>
  </si>
  <si>
    <t>内訳</t>
    <phoneticPr fontId="2"/>
  </si>
  <si>
    <t>内訳(端数切り上げ)</t>
    <rPh sb="0" eb="2">
      <t>ウチワケ</t>
    </rPh>
    <rPh sb="3" eb="5">
      <t>ハスウ</t>
    </rPh>
    <rPh sb="5" eb="6">
      <t>キ</t>
    </rPh>
    <rPh sb="7" eb="8">
      <t>ア</t>
    </rPh>
    <phoneticPr fontId="2"/>
  </si>
  <si>
    <t>備考</t>
    <rPh sb="0" eb="2">
      <t>ビコウ</t>
    </rPh>
    <phoneticPr fontId="2"/>
  </si>
  <si>
    <t>千葉ヤード操業サーバ</t>
    <rPh sb="0" eb="2">
      <t>チバ</t>
    </rPh>
    <rPh sb="5" eb="7">
      <t>ソウギョウ</t>
    </rPh>
    <phoneticPr fontId="2"/>
  </si>
  <si>
    <t>WindowsServer2022
SQLServer2022</t>
    <phoneticPr fontId="2"/>
  </si>
  <si>
    <t>ベース金額
+webシステムテスト
+webシステムテスト修正
+tomcat非互換
+個別DB</t>
    <phoneticPr fontId="2"/>
  </si>
  <si>
    <t>4
+0.5
+0.25
+0.5
+0.5</t>
    <phoneticPr fontId="2"/>
  </si>
  <si>
    <t>Azure構築
A-AOUT化無し</t>
    <rPh sb="5" eb="7">
      <t>コウチク</t>
    </rPh>
    <phoneticPr fontId="2"/>
  </si>
  <si>
    <t>徳山ヤード操業サーバ</t>
    <rPh sb="0" eb="2">
      <t>トクヤマ</t>
    </rPh>
    <rPh sb="5" eb="7">
      <t>ソウギョウ</t>
    </rPh>
    <phoneticPr fontId="2"/>
  </si>
  <si>
    <t>数量用役システムサーバ</t>
    <rPh sb="0" eb="2">
      <t>スウリョウ</t>
    </rPh>
    <rPh sb="2" eb="4">
      <t>ヨウエキ</t>
    </rPh>
    <phoneticPr fontId="2"/>
  </si>
  <si>
    <t>Red Hat Enterprise Linux8.6</t>
    <phoneticPr fontId="2"/>
  </si>
  <si>
    <t>ベース金額
+webシステムテスト×4
+webシステムテスト修正×4
+tomcat非互換×2
+A-AUTO14本</t>
    <rPh sb="58" eb="59">
      <t>ホン</t>
    </rPh>
    <phoneticPr fontId="2"/>
  </si>
  <si>
    <t>4
+0.5*4
+0.25*4
+0.5*2
+0.5(14*5/8/20)</t>
    <phoneticPr fontId="2"/>
  </si>
  <si>
    <t>Azure構築</t>
    <rPh sb="5" eb="7">
      <t>コウチク</t>
    </rPh>
    <phoneticPr fontId="2"/>
  </si>
  <si>
    <t>品管包装システムサーバ</t>
    <rPh sb="0" eb="2">
      <t>ヒンカン</t>
    </rPh>
    <rPh sb="2" eb="4">
      <t>ホウソウ</t>
    </rPh>
    <phoneticPr fontId="2"/>
  </si>
  <si>
    <t xml:space="preserve">Red Hat Enterprise Linux8.6 </t>
    <phoneticPr fontId="2"/>
  </si>
  <si>
    <t>ベース金額
+webシステムテスト×2
+webシステムテスト修正×2
+tomcat非互換×2
+A-AUTO6本</t>
    <rPh sb="57" eb="58">
      <t>ホン</t>
    </rPh>
    <phoneticPr fontId="2"/>
  </si>
  <si>
    <t>4
+0.5*2
+0.25*2
+0.5*2
+0.25(6*5/8/20)</t>
    <phoneticPr fontId="2"/>
  </si>
  <si>
    <t>工場DB</t>
    <rPh sb="0" eb="2">
      <t>コウジョウ</t>
    </rPh>
    <phoneticPr fontId="2"/>
  </si>
  <si>
    <t>Azure構築、DB構築後のエクセルでのテスト実施</t>
    <rPh sb="5" eb="7">
      <t>コウチク</t>
    </rPh>
    <rPh sb="10" eb="12">
      <t>コウチク</t>
    </rPh>
    <rPh sb="12" eb="13">
      <t>アト</t>
    </rPh>
    <rPh sb="23" eb="25">
      <t>ジッシ</t>
    </rPh>
    <phoneticPr fontId="2"/>
  </si>
  <si>
    <t>PRMサーバ</t>
    <phoneticPr fontId="2"/>
  </si>
  <si>
    <t>WindowsServer2022
Oracle22c</t>
    <phoneticPr fontId="2"/>
  </si>
  <si>
    <t>ベース金額
+webシステムテスト×3
+webシステムテスト修正×3
+個別DB</t>
    <rPh sb="37" eb="39">
      <t>コベツ</t>
    </rPh>
    <phoneticPr fontId="2"/>
  </si>
  <si>
    <t>4
+0.5*3
+0.25*3
+0.5</t>
    <phoneticPr fontId="2"/>
  </si>
  <si>
    <t>Azure構築、
PRM資産の為DB個別構築想定</t>
    <rPh sb="5" eb="7">
      <t>コウチク</t>
    </rPh>
    <rPh sb="12" eb="14">
      <t>シサン</t>
    </rPh>
    <rPh sb="15" eb="16">
      <t>タメ</t>
    </rPh>
    <rPh sb="18" eb="20">
      <t>コベツ</t>
    </rPh>
    <rPh sb="20" eb="22">
      <t>コウチク</t>
    </rPh>
    <rPh sb="22" eb="24">
      <t>ソウテイ</t>
    </rPh>
    <phoneticPr fontId="2"/>
  </si>
  <si>
    <t>千葉L3.5サーバ</t>
    <rPh sb="0" eb="2">
      <t>チバ</t>
    </rPh>
    <phoneticPr fontId="2"/>
  </si>
  <si>
    <t>WindowsServer2022</t>
    <phoneticPr fontId="2"/>
  </si>
  <si>
    <t>ベース金額</t>
    <phoneticPr fontId="2"/>
  </si>
  <si>
    <t>現地作成
A-AOUT化無し</t>
    <rPh sb="11" eb="12">
      <t>カ</t>
    </rPh>
    <rPh sb="12" eb="13">
      <t>ナ</t>
    </rPh>
    <phoneticPr fontId="2"/>
  </si>
  <si>
    <t>徳山L3.5サーバ</t>
    <rPh sb="0" eb="2">
      <t>トクヤマ</t>
    </rPh>
    <phoneticPr fontId="2"/>
  </si>
  <si>
    <t xml:space="preserve">ベース金額
</t>
    <phoneticPr fontId="2"/>
  </si>
  <si>
    <t>現地作成
A-AOUT化無し</t>
    <phoneticPr fontId="2"/>
  </si>
  <si>
    <t>DBサーバ</t>
    <phoneticPr fontId="2"/>
  </si>
  <si>
    <t>Oracle22c</t>
    <phoneticPr fontId="2"/>
  </si>
  <si>
    <t>縮小基盤への移設</t>
    <rPh sb="0" eb="4">
      <t>シュクショウキバン</t>
    </rPh>
    <rPh sb="6" eb="8">
      <t>イセツ</t>
    </rPh>
    <phoneticPr fontId="2"/>
  </si>
  <si>
    <t>(参考)2012サーバ更新</t>
    <rPh sb="1" eb="3">
      <t>サンコウ</t>
    </rPh>
    <phoneticPr fontId="2"/>
  </si>
  <si>
    <t>ベース金額：4人月(内容：調査、基本設計、環境構築、結合テスト 、システムテスト、本番移行・初期流動、プロジェクト管理)</t>
    <rPh sb="3" eb="5">
      <t>キンガク</t>
    </rPh>
    <rPh sb="7" eb="9">
      <t>ニンゲツ</t>
    </rPh>
    <rPh sb="10" eb="12">
      <t>ナイヨウ</t>
    </rPh>
    <phoneticPr fontId="2"/>
  </si>
  <si>
    <t>webシステムテスト：0.5人月</t>
    <rPh sb="14" eb="16">
      <t>ニンゲツ</t>
    </rPh>
    <phoneticPr fontId="2"/>
  </si>
  <si>
    <t>webシステムテスト修正：0.25人月</t>
    <rPh sb="10" eb="12">
      <t>シュウセイ</t>
    </rPh>
    <rPh sb="17" eb="19">
      <t>ニンゲツ</t>
    </rPh>
    <phoneticPr fontId="2"/>
  </si>
  <si>
    <t>tomcat非互換：0.5人月</t>
    <rPh sb="6" eb="9">
      <t>ヒゴカン</t>
    </rPh>
    <rPh sb="13" eb="15">
      <t>ニンゲツ</t>
    </rPh>
    <phoneticPr fontId="2"/>
  </si>
  <si>
    <t>個別DB：0.5人月</t>
    <rPh sb="0" eb="2">
      <t>コベツ</t>
    </rPh>
    <rPh sb="8" eb="10">
      <t>ニンゲツ</t>
    </rPh>
    <phoneticPr fontId="2"/>
  </si>
  <si>
    <t>A-AUTO：1本＊5H</t>
    <rPh sb="8" eb="9">
      <t>ホン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</si>
</sst>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0_);[Red]\(0\)"/>
    <numFmt numFmtId="177" formatCode="0.0_);[Red]\(0.0\)"/>
    <numFmt numFmtId="178" formatCode="0.00_);[Red]\(0.00\)"/>
    <numFmt numFmtId="179" formatCode="0.0"/>
    <numFmt numFmtId="180" formatCode="_-[$¥-411]* #,##0.00_-;\-[$¥-411]* #,##0.00_-;_-[$¥-411]* &quot;-&quot;??_-;_-@_-"/>
    <numFmt numFmtId="181" formatCode="_-[$¥-411]* #,##0_-;\-[$¥-411]* #,##0_-;_-[$¥-411]* &quot;-&quot;??_-;_-@_-"/>
  </numFmts>
  <fonts count="24">
    <font>
      <sz val="11"/>
      <color theme="1"/>
      <name val="游ゴシック"/>
      <family val="2"/>
      <charset val="128"/>
      <scheme val="minor"/>
    </font>
    <font>
      <sz val="11"/>
      <color theme="1"/>
      <name val="メイリオ"/>
      <family val="3"/>
      <charset val="128"/>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trike/>
      <sz val="11"/>
      <color theme="1"/>
      <name val="游ゴシック"/>
      <family val="2"/>
      <charset val="128"/>
      <scheme val="minor"/>
    </font>
    <font>
      <sz val="11"/>
      <name val="游ゴシック"/>
      <family val="3"/>
      <charset val="128"/>
      <scheme val="minor"/>
    </font>
    <font>
      <sz val="11"/>
      <color rgb="FFFF0000"/>
      <name val="游ゴシック"/>
      <family val="3"/>
      <charset val="128"/>
      <scheme val="minor"/>
    </font>
    <font>
      <sz val="11"/>
      <color theme="1"/>
      <name val="游ゴシック"/>
      <family val="2"/>
      <charset val="128"/>
      <scheme val="minor"/>
    </font>
    <font>
      <sz val="11"/>
      <name val="ＭＳ Ｐゴシック"/>
      <family val="3"/>
      <charset val="128"/>
    </font>
    <font>
      <b/>
      <sz val="14"/>
      <color rgb="FFFF0000"/>
      <name val="游ゴシック"/>
      <family val="2"/>
      <charset val="128"/>
      <scheme val="minor"/>
    </font>
    <font>
      <sz val="11"/>
      <color theme="1"/>
      <name val="Meiryo UI"/>
      <family val="3"/>
      <charset val="128"/>
    </font>
    <font>
      <b/>
      <sz val="14"/>
      <name val="游ゴシック"/>
      <family val="2"/>
      <charset val="128"/>
      <scheme val="minor"/>
    </font>
    <font>
      <sz val="11"/>
      <color theme="7" tint="0.79998168889431442"/>
      <name val="游ゴシック"/>
      <family val="2"/>
      <charset val="128"/>
      <scheme val="minor"/>
    </font>
    <font>
      <b/>
      <sz val="11"/>
      <color theme="7" tint="0.79998168889431442"/>
      <name val="游ゴシック"/>
      <family val="3"/>
      <charset val="128"/>
      <scheme val="minor"/>
    </font>
  </fonts>
  <fills count="16">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0000"/>
        <bgColor indexed="64"/>
      </patternFill>
    </fill>
    <fill>
      <patternFill patternType="solid">
        <fgColor theme="7"/>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auto="1"/>
      </top>
      <bottom style="thin">
        <color auto="1"/>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style="medium">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top style="thin">
        <color rgb="FF000000"/>
      </top>
      <bottom/>
      <diagonal/>
    </border>
    <border>
      <left style="thin">
        <color rgb="FF000000"/>
      </left>
      <right/>
      <top style="thin">
        <color rgb="FF000000"/>
      </top>
      <bottom/>
      <diagonal/>
    </border>
    <border>
      <left style="medium">
        <color rgb="FF000000"/>
      </left>
      <right/>
      <top/>
      <bottom/>
      <diagonal/>
    </border>
    <border>
      <left style="thin">
        <color rgb="FF000000"/>
      </left>
      <right style="medium">
        <color rgb="FF000000"/>
      </right>
      <top/>
      <bottom style="thin">
        <color rgb="FF000000"/>
      </bottom>
      <diagonal/>
    </border>
    <border>
      <left/>
      <right style="thin">
        <color rgb="FF000000"/>
      </right>
      <top style="thin">
        <color rgb="FF000000"/>
      </top>
      <bottom/>
      <diagonal/>
    </border>
  </borders>
  <cellStyleXfs count="7">
    <xf numFmtId="0" fontId="0" fillId="0" borderId="0">
      <alignment vertical="center"/>
    </xf>
    <xf numFmtId="0" fontId="6" fillId="0" borderId="0"/>
    <xf numFmtId="38" fontId="6" fillId="0" borderId="0" applyFont="0" applyFill="0" applyBorder="0" applyAlignment="0" applyProtection="0">
      <alignment vertical="center"/>
    </xf>
    <xf numFmtId="0" fontId="9" fillId="0" borderId="0">
      <alignment vertical="center"/>
    </xf>
    <xf numFmtId="0" fontId="18" fillId="0" borderId="0"/>
    <xf numFmtId="0" fontId="18" fillId="0" borderId="0">
      <alignment vertical="center"/>
    </xf>
    <xf numFmtId="0" fontId="17" fillId="0" borderId="0">
      <alignment vertical="center"/>
    </xf>
  </cellStyleXfs>
  <cellXfs count="278">
    <xf numFmtId="0" fontId="0" fillId="0" borderId="0" xfId="0">
      <alignment vertical="center"/>
    </xf>
    <xf numFmtId="0" fontId="1" fillId="0" borderId="0" xfId="0" applyFont="1">
      <alignment vertical="center"/>
    </xf>
    <xf numFmtId="0" fontId="1" fillId="2" borderId="1" xfId="0" applyFont="1" applyFill="1" applyBorder="1">
      <alignment vertical="center"/>
    </xf>
    <xf numFmtId="49" fontId="1" fillId="2" borderId="1" xfId="0" applyNumberFormat="1" applyFont="1" applyFill="1" applyBorder="1">
      <alignment vertical="center"/>
    </xf>
    <xf numFmtId="0" fontId="1" fillId="0" borderId="1" xfId="0" applyFont="1" applyBorder="1">
      <alignment vertical="center"/>
    </xf>
    <xf numFmtId="49" fontId="1" fillId="0" borderId="1" xfId="0" applyNumberFormat="1" applyFont="1" applyBorder="1" applyAlignment="1">
      <alignment vertical="center" wrapText="1"/>
    </xf>
    <xf numFmtId="49" fontId="1" fillId="0" borderId="1" xfId="0" applyNumberFormat="1" applyFont="1" applyBorder="1">
      <alignment vertical="center"/>
    </xf>
    <xf numFmtId="0" fontId="3" fillId="3" borderId="1" xfId="0" applyFont="1" applyFill="1" applyBorder="1" applyAlignment="1">
      <alignment horizontal="center" vertical="center" wrapText="1"/>
    </xf>
    <xf numFmtId="49" fontId="5" fillId="0" borderId="1" xfId="0" applyNumberFormat="1" applyFont="1" applyBorder="1" applyAlignment="1">
      <alignment vertical="center" wrapText="1"/>
    </xf>
    <xf numFmtId="49" fontId="5" fillId="0" borderId="1" xfId="0" applyNumberFormat="1" applyFont="1" applyBorder="1" applyAlignment="1">
      <alignment horizontal="center" vertical="center" wrapText="1"/>
    </xf>
    <xf numFmtId="0" fontId="5" fillId="0" borderId="1" xfId="0" applyFont="1" applyBorder="1">
      <alignment vertical="center"/>
    </xf>
    <xf numFmtId="0" fontId="5" fillId="0" borderId="1" xfId="0" applyFont="1" applyBorder="1" applyAlignment="1">
      <alignment horizontal="center" vertical="center"/>
    </xf>
    <xf numFmtId="0" fontId="5" fillId="0" borderId="0" xfId="0" applyFont="1">
      <alignment vertical="center"/>
    </xf>
    <xf numFmtId="0" fontId="5" fillId="0" borderId="0" xfId="0" applyFont="1" applyAlignment="1">
      <alignment horizontal="center" vertical="center"/>
    </xf>
    <xf numFmtId="0" fontId="0" fillId="0" borderId="1" xfId="0" applyBorder="1">
      <alignment vertical="center"/>
    </xf>
    <xf numFmtId="176" fontId="1" fillId="0" borderId="1" xfId="0" applyNumberFormat="1" applyFont="1" applyBorder="1" applyAlignment="1">
      <alignment vertical="center" wrapText="1"/>
    </xf>
    <xf numFmtId="177" fontId="1" fillId="0" borderId="1" xfId="0" applyNumberFormat="1" applyFont="1" applyBorder="1" applyAlignment="1">
      <alignment vertical="center" wrapText="1"/>
    </xf>
    <xf numFmtId="178" fontId="1" fillId="0" borderId="1" xfId="0" applyNumberFormat="1" applyFont="1" applyBorder="1" applyAlignment="1">
      <alignment vertical="center" wrapText="1"/>
    </xf>
    <xf numFmtId="2" fontId="0" fillId="0" borderId="0" xfId="0" applyNumberFormat="1">
      <alignment vertical="center"/>
    </xf>
    <xf numFmtId="0" fontId="6" fillId="4" borderId="4" xfId="1" applyFill="1" applyBorder="1"/>
    <xf numFmtId="0" fontId="6" fillId="4" borderId="5" xfId="1" applyFill="1" applyBorder="1"/>
    <xf numFmtId="0" fontId="6" fillId="0" borderId="0" xfId="1"/>
    <xf numFmtId="0" fontId="6" fillId="4" borderId="7" xfId="1" applyFill="1" applyBorder="1"/>
    <xf numFmtId="0" fontId="6" fillId="4" borderId="7" xfId="1" applyFill="1" applyBorder="1" applyAlignment="1">
      <alignment wrapText="1"/>
    </xf>
    <xf numFmtId="0" fontId="6" fillId="0" borderId="1" xfId="1" applyBorder="1"/>
    <xf numFmtId="0" fontId="6" fillId="0" borderId="1" xfId="1" applyBorder="1" applyAlignment="1">
      <alignment wrapText="1"/>
    </xf>
    <xf numFmtId="2" fontId="6" fillId="0" borderId="1" xfId="1" applyNumberFormat="1" applyBorder="1"/>
    <xf numFmtId="14" fontId="6" fillId="0" borderId="1" xfId="1" applyNumberFormat="1" applyBorder="1"/>
    <xf numFmtId="0" fontId="8" fillId="0" borderId="0" xfId="1" applyFont="1"/>
    <xf numFmtId="38" fontId="0" fillId="0" borderId="1" xfId="2" applyFont="1" applyBorder="1" applyAlignment="1"/>
    <xf numFmtId="49" fontId="5" fillId="5" borderId="1" xfId="0" applyNumberFormat="1" applyFont="1" applyFill="1" applyBorder="1" applyAlignment="1">
      <alignment horizontal="center" vertical="center" wrapText="1"/>
    </xf>
    <xf numFmtId="49" fontId="5" fillId="5" borderId="1" xfId="0" applyNumberFormat="1" applyFont="1" applyFill="1" applyBorder="1" applyAlignment="1">
      <alignment vertical="center" wrapText="1"/>
    </xf>
    <xf numFmtId="0" fontId="9" fillId="0" borderId="0" xfId="3">
      <alignment vertical="center"/>
    </xf>
    <xf numFmtId="0" fontId="9" fillId="6" borderId="0" xfId="3" applyFill="1">
      <alignment vertical="center"/>
    </xf>
    <xf numFmtId="0" fontId="10" fillId="7" borderId="0" xfId="3" applyFont="1" applyFill="1">
      <alignment vertical="center"/>
    </xf>
    <xf numFmtId="0" fontId="9" fillId="2" borderId="0" xfId="3" applyFill="1">
      <alignment vertical="center"/>
    </xf>
    <xf numFmtId="0" fontId="9" fillId="8" borderId="0" xfId="3" applyFill="1">
      <alignment vertical="center"/>
    </xf>
    <xf numFmtId="0" fontId="11" fillId="0" borderId="0" xfId="3" applyFont="1">
      <alignment vertical="center"/>
    </xf>
    <xf numFmtId="0" fontId="6" fillId="4" borderId="14" xfId="1" applyFill="1" applyBorder="1" applyAlignment="1">
      <alignment wrapText="1"/>
    </xf>
    <xf numFmtId="0" fontId="6" fillId="4" borderId="15" xfId="1" applyFill="1" applyBorder="1" applyAlignment="1">
      <alignment wrapText="1"/>
    </xf>
    <xf numFmtId="0" fontId="6" fillId="4" borderId="16" xfId="1" applyFill="1" applyBorder="1" applyAlignment="1">
      <alignment wrapText="1"/>
    </xf>
    <xf numFmtId="2" fontId="6" fillId="0" borderId="17" xfId="1" applyNumberFormat="1" applyBorder="1"/>
    <xf numFmtId="2" fontId="6" fillId="0" borderId="18" xfId="1" applyNumberFormat="1" applyBorder="1"/>
    <xf numFmtId="0" fontId="6" fillId="0" borderId="19" xfId="1" applyBorder="1"/>
    <xf numFmtId="0" fontId="6" fillId="0" borderId="20" xfId="1" applyBorder="1"/>
    <xf numFmtId="38" fontId="0" fillId="0" borderId="17" xfId="2" applyFont="1" applyBorder="1" applyAlignment="1"/>
    <xf numFmtId="38" fontId="0" fillId="0" borderId="18" xfId="2" applyFont="1" applyBorder="1" applyAlignment="1"/>
    <xf numFmtId="38" fontId="0" fillId="0" borderId="21" xfId="2" applyFont="1" applyBorder="1" applyAlignment="1"/>
    <xf numFmtId="38" fontId="0" fillId="0" borderId="22" xfId="2" applyFont="1" applyBorder="1" applyAlignment="1"/>
    <xf numFmtId="38" fontId="0" fillId="0" borderId="23" xfId="2" applyFont="1" applyBorder="1" applyAlignment="1"/>
    <xf numFmtId="0" fontId="6" fillId="4" borderId="1" xfId="1" applyFill="1" applyBorder="1" applyAlignment="1">
      <alignment horizontal="right"/>
    </xf>
    <xf numFmtId="2" fontId="6" fillId="0" borderId="1" xfId="0" applyNumberFormat="1" applyFont="1" applyBorder="1" applyAlignment="1"/>
    <xf numFmtId="0" fontId="9" fillId="9" borderId="0" xfId="3" applyFill="1">
      <alignment vertical="center"/>
    </xf>
    <xf numFmtId="0" fontId="0" fillId="0" borderId="0" xfId="1" applyFont="1"/>
    <xf numFmtId="0" fontId="3" fillId="3" borderId="9" xfId="0" applyFont="1" applyFill="1" applyBorder="1" applyAlignment="1">
      <alignment horizontal="center" vertical="center" wrapText="1"/>
    </xf>
    <xf numFmtId="0" fontId="5" fillId="0" borderId="1" xfId="0" applyFont="1" applyBorder="1" applyAlignment="1">
      <alignment vertical="center" wrapText="1"/>
    </xf>
    <xf numFmtId="181" fontId="12" fillId="0" borderId="33" xfId="1" applyNumberFormat="1" applyFont="1" applyBorder="1" applyAlignment="1">
      <alignment horizontal="right" vertical="center"/>
    </xf>
    <xf numFmtId="181" fontId="12" fillId="0" borderId="49" xfId="1" applyNumberFormat="1" applyFont="1" applyBorder="1" applyAlignment="1">
      <alignment horizontal="right" vertical="center"/>
    </xf>
    <xf numFmtId="0" fontId="6" fillId="0" borderId="0" xfId="1" applyAlignment="1">
      <alignment vertical="center"/>
    </xf>
    <xf numFmtId="0" fontId="12" fillId="2" borderId="36" xfId="1" applyFont="1" applyFill="1" applyBorder="1" applyAlignment="1">
      <alignment vertical="center"/>
    </xf>
    <xf numFmtId="0" fontId="12" fillId="2" borderId="41" xfId="1" applyFont="1" applyFill="1" applyBorder="1" applyAlignment="1">
      <alignment horizontal="right" vertical="center"/>
    </xf>
    <xf numFmtId="0" fontId="12" fillId="8" borderId="25" xfId="1" applyFont="1" applyFill="1" applyBorder="1" applyAlignment="1">
      <alignment vertical="center" wrapText="1"/>
    </xf>
    <xf numFmtId="0" fontId="12" fillId="8" borderId="33" xfId="1" applyFont="1" applyFill="1" applyBorder="1" applyAlignment="1">
      <alignment vertical="center" wrapText="1"/>
    </xf>
    <xf numFmtId="0" fontId="12" fillId="11" borderId="25" xfId="1" applyFont="1" applyFill="1" applyBorder="1" applyAlignment="1">
      <alignment vertical="center" wrapText="1"/>
    </xf>
    <xf numFmtId="0" fontId="12" fillId="11" borderId="46" xfId="1" applyFont="1" applyFill="1" applyBorder="1" applyAlignment="1">
      <alignment vertical="center" wrapText="1"/>
    </xf>
    <xf numFmtId="0" fontId="12" fillId="2" borderId="37" xfId="1" applyFont="1" applyFill="1" applyBorder="1" applyAlignment="1">
      <alignment vertical="center"/>
    </xf>
    <xf numFmtId="0" fontId="12" fillId="2" borderId="8" xfId="1" applyFont="1" applyFill="1" applyBorder="1" applyAlignment="1">
      <alignment vertical="center"/>
    </xf>
    <xf numFmtId="0" fontId="6" fillId="0" borderId="38" xfId="1" applyBorder="1" applyAlignment="1">
      <alignment vertical="center"/>
    </xf>
    <xf numFmtId="0" fontId="5" fillId="0" borderId="2" xfId="0" applyFont="1" applyBorder="1">
      <alignment vertical="center"/>
    </xf>
    <xf numFmtId="14" fontId="6" fillId="0" borderId="40" xfId="1" applyNumberFormat="1" applyBorder="1" applyAlignment="1">
      <alignment vertical="center"/>
    </xf>
    <xf numFmtId="0" fontId="8" fillId="0" borderId="56" xfId="1" applyFont="1" applyBorder="1" applyAlignment="1">
      <alignment vertical="center"/>
    </xf>
    <xf numFmtId="181" fontId="13" fillId="0" borderId="45" xfId="2" applyNumberFormat="1" applyFont="1" applyBorder="1" applyAlignment="1">
      <alignment vertical="center"/>
    </xf>
    <xf numFmtId="181" fontId="13" fillId="0" borderId="25" xfId="2" applyNumberFormat="1" applyFont="1" applyBorder="1" applyAlignment="1">
      <alignment vertical="center"/>
    </xf>
    <xf numFmtId="180" fontId="13" fillId="0" borderId="33" xfId="2" applyNumberFormat="1" applyFont="1" applyBorder="1" applyAlignment="1">
      <alignment vertical="center"/>
    </xf>
    <xf numFmtId="181" fontId="13" fillId="0" borderId="33" xfId="2" applyNumberFormat="1" applyFont="1" applyBorder="1" applyAlignment="1">
      <alignment vertical="center"/>
    </xf>
    <xf numFmtId="0" fontId="6" fillId="0" borderId="55" xfId="1" applyBorder="1" applyAlignment="1">
      <alignment vertical="center"/>
    </xf>
    <xf numFmtId="181" fontId="13" fillId="0" borderId="47" xfId="2" applyNumberFormat="1" applyFont="1" applyBorder="1" applyAlignment="1">
      <alignment vertical="center"/>
    </xf>
    <xf numFmtId="181" fontId="13" fillId="0" borderId="48" xfId="2" applyNumberFormat="1" applyFont="1" applyBorder="1" applyAlignment="1">
      <alignment vertical="center"/>
    </xf>
    <xf numFmtId="181" fontId="13" fillId="0" borderId="50" xfId="2" applyNumberFormat="1" applyFont="1" applyBorder="1" applyAlignment="1">
      <alignment vertical="center"/>
    </xf>
    <xf numFmtId="0" fontId="6" fillId="0" borderId="57" xfId="1" applyBorder="1" applyAlignment="1">
      <alignment vertical="center"/>
    </xf>
    <xf numFmtId="181" fontId="12" fillId="0" borderId="46" xfId="1" applyNumberFormat="1" applyFont="1" applyBorder="1" applyAlignment="1">
      <alignment horizontal="right" vertical="center"/>
    </xf>
    <xf numFmtId="179" fontId="0" fillId="0" borderId="25" xfId="1" applyNumberFormat="1" applyFont="1" applyBorder="1" applyAlignment="1">
      <alignment horizontal="center" vertical="center"/>
    </xf>
    <xf numFmtId="179" fontId="6" fillId="0" borderId="45" xfId="1" applyNumberFormat="1" applyBorder="1" applyAlignment="1">
      <alignment vertical="center"/>
    </xf>
    <xf numFmtId="179" fontId="6" fillId="0" borderId="25" xfId="1" applyNumberFormat="1" applyBorder="1" applyAlignment="1">
      <alignment vertical="center"/>
    </xf>
    <xf numFmtId="179" fontId="12" fillId="0" borderId="42" xfId="1" applyNumberFormat="1" applyFont="1" applyBorder="1" applyAlignment="1">
      <alignment vertical="center"/>
    </xf>
    <xf numFmtId="179" fontId="12" fillId="0" borderId="43" xfId="1" applyNumberFormat="1" applyFont="1" applyBorder="1" applyAlignment="1">
      <alignment vertical="center"/>
    </xf>
    <xf numFmtId="179" fontId="12" fillId="0" borderId="25" xfId="1" applyNumberFormat="1" applyFont="1" applyBorder="1" applyAlignment="1">
      <alignment vertical="center"/>
    </xf>
    <xf numFmtId="0" fontId="12" fillId="2" borderId="60" xfId="1" applyFont="1" applyFill="1" applyBorder="1" applyAlignment="1">
      <alignment vertical="center"/>
    </xf>
    <xf numFmtId="0" fontId="12" fillId="2" borderId="61" xfId="1" applyFont="1" applyFill="1" applyBorder="1" applyAlignment="1">
      <alignment vertical="center"/>
    </xf>
    <xf numFmtId="0" fontId="12" fillId="10" borderId="62" xfId="1" applyFont="1" applyFill="1" applyBorder="1" applyAlignment="1">
      <alignment vertical="center" wrapText="1"/>
    </xf>
    <xf numFmtId="0" fontId="12" fillId="10" borderId="28" xfId="1" applyFont="1" applyFill="1" applyBorder="1" applyAlignment="1">
      <alignment vertical="center" wrapText="1"/>
    </xf>
    <xf numFmtId="0" fontId="12" fillId="10" borderId="31" xfId="1" applyFont="1" applyFill="1" applyBorder="1" applyAlignment="1">
      <alignment vertical="center" wrapText="1"/>
    </xf>
    <xf numFmtId="0" fontId="12" fillId="10" borderId="46" xfId="1" applyFont="1" applyFill="1" applyBorder="1" applyAlignment="1">
      <alignment vertical="center" wrapText="1"/>
    </xf>
    <xf numFmtId="181" fontId="12" fillId="0" borderId="44" xfId="1" applyNumberFormat="1" applyFont="1" applyBorder="1" applyAlignment="1">
      <alignment horizontal="right" vertical="center"/>
    </xf>
    <xf numFmtId="180" fontId="13" fillId="0" borderId="46" xfId="2" applyNumberFormat="1" applyFont="1" applyBorder="1" applyAlignment="1">
      <alignment vertical="center"/>
    </xf>
    <xf numFmtId="181" fontId="13" fillId="0" borderId="64" xfId="2" applyNumberFormat="1" applyFont="1" applyBorder="1" applyAlignment="1">
      <alignment vertical="center"/>
    </xf>
    <xf numFmtId="0" fontId="12" fillId="8" borderId="30" xfId="1" applyFont="1" applyFill="1" applyBorder="1" applyAlignment="1">
      <alignment vertical="center" wrapText="1"/>
    </xf>
    <xf numFmtId="179" fontId="6" fillId="0" borderId="30" xfId="1" applyNumberFormat="1" applyBorder="1" applyAlignment="1">
      <alignment vertical="center"/>
    </xf>
    <xf numFmtId="179" fontId="12" fillId="0" borderId="65" xfId="1" applyNumberFormat="1" applyFont="1" applyBorder="1" applyAlignment="1">
      <alignment vertical="center"/>
    </xf>
    <xf numFmtId="181" fontId="13" fillId="0" borderId="30" xfId="2" applyNumberFormat="1" applyFont="1" applyBorder="1" applyAlignment="1">
      <alignment vertical="center"/>
    </xf>
    <xf numFmtId="181" fontId="13" fillId="0" borderId="66" xfId="2" applyNumberFormat="1" applyFont="1" applyBorder="1" applyAlignment="1">
      <alignment vertical="center"/>
    </xf>
    <xf numFmtId="181" fontId="12" fillId="0" borderId="25" xfId="1" applyNumberFormat="1" applyFont="1" applyBorder="1" applyAlignment="1">
      <alignment horizontal="right" vertical="center"/>
    </xf>
    <xf numFmtId="0" fontId="12" fillId="11" borderId="33" xfId="1" applyFont="1" applyFill="1" applyBorder="1" applyAlignment="1">
      <alignment vertical="center" wrapText="1"/>
    </xf>
    <xf numFmtId="0" fontId="12" fillId="11" borderId="30" xfId="1" applyFont="1" applyFill="1" applyBorder="1" applyAlignment="1">
      <alignment vertical="center" wrapText="1"/>
    </xf>
    <xf numFmtId="179" fontId="12" fillId="0" borderId="30" xfId="1" applyNumberFormat="1" applyFont="1" applyBorder="1" applyAlignment="1">
      <alignment vertical="center"/>
    </xf>
    <xf numFmtId="179" fontId="12" fillId="0" borderId="28" xfId="1" applyNumberFormat="1" applyFont="1" applyBorder="1" applyAlignment="1">
      <alignment vertical="center"/>
    </xf>
    <xf numFmtId="181" fontId="12" fillId="0" borderId="31" xfId="1" applyNumberFormat="1" applyFont="1" applyBorder="1" applyAlignment="1">
      <alignment horizontal="right" vertical="center"/>
    </xf>
    <xf numFmtId="0" fontId="12" fillId="8" borderId="46" xfId="1" applyFont="1" applyFill="1" applyBorder="1" applyAlignment="1">
      <alignment vertical="center" wrapText="1"/>
    </xf>
    <xf numFmtId="181" fontId="13" fillId="0" borderId="46" xfId="2" applyNumberFormat="1" applyFont="1" applyBorder="1" applyAlignment="1">
      <alignment vertical="center"/>
    </xf>
    <xf numFmtId="179" fontId="12" fillId="0" borderId="32" xfId="1" applyNumberFormat="1" applyFont="1" applyBorder="1" applyAlignment="1">
      <alignment vertical="center"/>
    </xf>
    <xf numFmtId="0" fontId="0" fillId="0" borderId="25" xfId="0" applyBorder="1">
      <alignment vertical="center"/>
    </xf>
    <xf numFmtId="0" fontId="0" fillId="12" borderId="25" xfId="0" applyFill="1" applyBorder="1">
      <alignment vertical="center"/>
    </xf>
    <xf numFmtId="49" fontId="5" fillId="12" borderId="25" xfId="0" applyNumberFormat="1" applyFont="1" applyFill="1" applyBorder="1" applyAlignment="1">
      <alignment vertical="center" wrapText="1"/>
    </xf>
    <xf numFmtId="0" fontId="5" fillId="12" borderId="25" xfId="0" applyFont="1" applyFill="1" applyBorder="1">
      <alignment vertical="center"/>
    </xf>
    <xf numFmtId="0" fontId="14" fillId="0" borderId="0" xfId="0" applyFont="1">
      <alignment vertical="center"/>
    </xf>
    <xf numFmtId="0" fontId="0" fillId="0" borderId="33" xfId="0" applyBorder="1">
      <alignment vertical="center"/>
    </xf>
    <xf numFmtId="14" fontId="0" fillId="0" borderId="33" xfId="1" applyNumberFormat="1" applyFont="1" applyBorder="1"/>
    <xf numFmtId="0" fontId="0" fillId="12" borderId="33" xfId="0" applyFill="1" applyBorder="1">
      <alignment vertical="center"/>
    </xf>
    <xf numFmtId="0" fontId="0" fillId="12" borderId="7" xfId="0" applyFill="1" applyBorder="1">
      <alignment vertical="center"/>
    </xf>
    <xf numFmtId="0" fontId="0" fillId="12" borderId="28" xfId="0" applyFill="1" applyBorder="1">
      <alignment vertical="center"/>
    </xf>
    <xf numFmtId="0" fontId="13" fillId="0" borderId="25" xfId="0" applyFont="1" applyBorder="1">
      <alignment vertical="center"/>
    </xf>
    <xf numFmtId="0" fontId="0" fillId="0" borderId="26" xfId="0" applyBorder="1">
      <alignment vertical="center"/>
    </xf>
    <xf numFmtId="0" fontId="0" fillId="0" borderId="28" xfId="0" applyBorder="1">
      <alignment vertical="center"/>
    </xf>
    <xf numFmtId="0" fontId="0" fillId="12" borderId="31" xfId="0" applyFill="1" applyBorder="1">
      <alignment vertical="center"/>
    </xf>
    <xf numFmtId="0" fontId="13" fillId="0" borderId="0" xfId="0" applyFont="1">
      <alignment vertical="center"/>
    </xf>
    <xf numFmtId="0" fontId="0" fillId="12" borderId="70" xfId="0" applyFill="1" applyBorder="1">
      <alignment vertical="center"/>
    </xf>
    <xf numFmtId="181" fontId="0" fillId="0" borderId="0" xfId="0" applyNumberFormat="1">
      <alignment vertical="center"/>
    </xf>
    <xf numFmtId="181" fontId="0" fillId="4" borderId="25" xfId="0" applyNumberFormat="1" applyFill="1" applyBorder="1">
      <alignment vertical="center"/>
    </xf>
    <xf numFmtId="9" fontId="0" fillId="4" borderId="25" xfId="0" applyNumberFormat="1" applyFill="1" applyBorder="1">
      <alignment vertical="center"/>
    </xf>
    <xf numFmtId="0" fontId="15" fillId="4" borderId="25" xfId="1" applyFont="1" applyFill="1" applyBorder="1"/>
    <xf numFmtId="0" fontId="15" fillId="4" borderId="25" xfId="1" applyFont="1" applyFill="1" applyBorder="1" applyAlignment="1">
      <alignment wrapText="1"/>
    </xf>
    <xf numFmtId="0" fontId="15" fillId="5" borderId="26" xfId="1" applyFont="1" applyFill="1" applyBorder="1" applyAlignment="1">
      <alignment horizontal="left" vertical="center" wrapText="1"/>
    </xf>
    <xf numFmtId="0" fontId="15" fillId="0" borderId="25" xfId="1" applyFont="1" applyBorder="1" applyAlignment="1">
      <alignment vertical="top" wrapText="1"/>
    </xf>
    <xf numFmtId="0" fontId="15" fillId="0" borderId="25" xfId="1" applyFont="1" applyBorder="1"/>
    <xf numFmtId="0" fontId="15" fillId="0" borderId="33" xfId="1" applyFont="1" applyBorder="1" applyAlignment="1">
      <alignment wrapText="1"/>
    </xf>
    <xf numFmtId="179" fontId="15" fillId="0" borderId="25" xfId="1" applyNumberFormat="1" applyFont="1" applyBorder="1"/>
    <xf numFmtId="179" fontId="15" fillId="0" borderId="26" xfId="1" applyNumberFormat="1" applyFont="1" applyBorder="1" applyAlignment="1">
      <alignment horizontal="center" vertical="center"/>
    </xf>
    <xf numFmtId="0" fontId="15" fillId="0" borderId="33" xfId="1" applyFont="1" applyBorder="1"/>
    <xf numFmtId="0" fontId="15" fillId="0" borderId="25" xfId="1" applyFont="1" applyBorder="1" applyAlignment="1">
      <alignment vertical="top"/>
    </xf>
    <xf numFmtId="14" fontId="15" fillId="0" borderId="33" xfId="1" applyNumberFormat="1" applyFont="1" applyBorder="1" applyAlignment="1">
      <alignment wrapText="1"/>
    </xf>
    <xf numFmtId="0" fontId="15" fillId="0" borderId="33" xfId="1" applyFont="1" applyBorder="1" applyAlignment="1">
      <alignment vertical="center" wrapText="1"/>
    </xf>
    <xf numFmtId="0" fontId="15" fillId="0" borderId="33" xfId="1" applyFont="1" applyBorder="1" applyAlignment="1">
      <alignment horizontal="left" vertical="center" wrapText="1"/>
    </xf>
    <xf numFmtId="0" fontId="15" fillId="0" borderId="33" xfId="1" applyFont="1" applyBorder="1" applyAlignment="1">
      <alignment horizontal="left" vertical="center"/>
    </xf>
    <xf numFmtId="0" fontId="6" fillId="0" borderId="71" xfId="1" applyBorder="1" applyAlignment="1">
      <alignment vertical="center"/>
    </xf>
    <xf numFmtId="179" fontId="6" fillId="0" borderId="62" xfId="1" applyNumberFormat="1" applyBorder="1" applyAlignment="1">
      <alignment vertical="center"/>
    </xf>
    <xf numFmtId="179" fontId="6" fillId="0" borderId="28" xfId="1" applyNumberFormat="1" applyBorder="1" applyAlignment="1">
      <alignment vertical="center"/>
    </xf>
    <xf numFmtId="181" fontId="12" fillId="0" borderId="72" xfId="1" applyNumberFormat="1" applyFont="1" applyBorder="1" applyAlignment="1">
      <alignment horizontal="right" vertical="center"/>
    </xf>
    <xf numFmtId="179" fontId="6" fillId="0" borderId="32" xfId="1" applyNumberFormat="1" applyBorder="1" applyAlignment="1">
      <alignment vertical="center"/>
    </xf>
    <xf numFmtId="14" fontId="6" fillId="0" borderId="59" xfId="1" applyNumberFormat="1" applyBorder="1" applyAlignment="1">
      <alignment vertical="center"/>
    </xf>
    <xf numFmtId="0" fontId="0" fillId="13" borderId="28" xfId="0" applyFill="1" applyBorder="1">
      <alignment vertical="center"/>
    </xf>
    <xf numFmtId="0" fontId="3" fillId="0" borderId="0" xfId="0" applyFont="1">
      <alignment vertical="center"/>
    </xf>
    <xf numFmtId="0" fontId="0" fillId="13" borderId="25" xfId="0" applyFill="1" applyBorder="1">
      <alignment vertical="center"/>
    </xf>
    <xf numFmtId="0" fontId="0" fillId="13" borderId="33" xfId="0" applyFill="1" applyBorder="1">
      <alignment vertical="center"/>
    </xf>
    <xf numFmtId="0" fontId="0" fillId="13" borderId="1" xfId="0" applyFill="1" applyBorder="1">
      <alignment vertical="center"/>
    </xf>
    <xf numFmtId="6" fontId="0" fillId="0" borderId="0" xfId="0" applyNumberFormat="1">
      <alignment vertical="center"/>
    </xf>
    <xf numFmtId="0" fontId="0" fillId="12" borderId="1" xfId="0" applyFill="1" applyBorder="1">
      <alignment vertical="center"/>
    </xf>
    <xf numFmtId="0" fontId="19" fillId="0" borderId="30" xfId="0" applyFont="1" applyBorder="1">
      <alignment vertical="center"/>
    </xf>
    <xf numFmtId="0" fontId="19" fillId="0" borderId="25" xfId="0" applyFont="1" applyBorder="1">
      <alignment vertical="center"/>
    </xf>
    <xf numFmtId="0" fontId="0" fillId="0" borderId="73" xfId="0" applyBorder="1">
      <alignment vertical="center"/>
    </xf>
    <xf numFmtId="0" fontId="5" fillId="0" borderId="25" xfId="0" applyFont="1" applyBorder="1">
      <alignment vertical="center"/>
    </xf>
    <xf numFmtId="0" fontId="5" fillId="0" borderId="28" xfId="0" applyFont="1" applyBorder="1">
      <alignment vertical="center"/>
    </xf>
    <xf numFmtId="0" fontId="5" fillId="0" borderId="26" xfId="0" applyFont="1" applyBorder="1">
      <alignment vertical="center"/>
    </xf>
    <xf numFmtId="0" fontId="5" fillId="14" borderId="26" xfId="0" applyFont="1" applyFill="1" applyBorder="1">
      <alignment vertical="center"/>
    </xf>
    <xf numFmtId="0" fontId="5" fillId="11" borderId="25" xfId="0" applyFont="1" applyFill="1" applyBorder="1">
      <alignment vertical="center"/>
    </xf>
    <xf numFmtId="0" fontId="5" fillId="11" borderId="28" xfId="0" applyFont="1" applyFill="1" applyBorder="1">
      <alignment vertical="center"/>
    </xf>
    <xf numFmtId="0" fontId="5" fillId="11" borderId="26" xfId="0" applyFont="1" applyFill="1" applyBorder="1">
      <alignment vertical="center"/>
    </xf>
    <xf numFmtId="0" fontId="5" fillId="14" borderId="25" xfId="0" applyFont="1" applyFill="1" applyBorder="1">
      <alignment vertical="center"/>
    </xf>
    <xf numFmtId="0" fontId="5" fillId="14" borderId="28" xfId="0" applyFont="1" applyFill="1" applyBorder="1">
      <alignment vertical="center"/>
    </xf>
    <xf numFmtId="0" fontId="20" fillId="0" borderId="0" xfId="0" applyFont="1">
      <alignment vertical="center"/>
    </xf>
    <xf numFmtId="0" fontId="20" fillId="0" borderId="1" xfId="0" applyFont="1" applyBorder="1" applyAlignment="1">
      <alignment horizontal="center" vertical="center"/>
    </xf>
    <xf numFmtId="0" fontId="20" fillId="0" borderId="1" xfId="0" applyFont="1" applyBorder="1">
      <alignment vertical="center"/>
    </xf>
    <xf numFmtId="0" fontId="20" fillId="4" borderId="1" xfId="0" applyFont="1" applyFill="1" applyBorder="1">
      <alignment vertical="center"/>
    </xf>
    <xf numFmtId="0" fontId="20" fillId="0" borderId="1" xfId="0" applyFont="1" applyBorder="1" applyAlignment="1">
      <alignment horizontal="left" vertical="center"/>
    </xf>
    <xf numFmtId="0" fontId="21" fillId="0" borderId="30" xfId="0" applyFont="1" applyBorder="1">
      <alignment vertical="center"/>
    </xf>
    <xf numFmtId="0" fontId="21" fillId="0" borderId="25" xfId="0" applyFont="1" applyBorder="1">
      <alignment vertical="center"/>
    </xf>
    <xf numFmtId="0" fontId="5" fillId="0" borderId="73" xfId="0" applyFont="1" applyBorder="1">
      <alignment vertical="center"/>
    </xf>
    <xf numFmtId="0" fontId="3" fillId="15" borderId="26" xfId="0" applyFont="1" applyFill="1" applyBorder="1">
      <alignment vertical="center"/>
    </xf>
    <xf numFmtId="0" fontId="0" fillId="0" borderId="30" xfId="0" applyBorder="1">
      <alignment vertical="center"/>
    </xf>
    <xf numFmtId="0" fontId="0" fillId="0" borderId="32" xfId="0" applyBorder="1">
      <alignment vertical="center"/>
    </xf>
    <xf numFmtId="0" fontId="3" fillId="12" borderId="1" xfId="0" applyFont="1" applyFill="1" applyBorder="1">
      <alignment vertical="center"/>
    </xf>
    <xf numFmtId="0" fontId="22" fillId="12" borderId="25" xfId="0" applyFont="1" applyFill="1" applyBorder="1">
      <alignment vertical="center"/>
    </xf>
    <xf numFmtId="0" fontId="0" fillId="11" borderId="0" xfId="0" applyFill="1">
      <alignment vertical="center"/>
    </xf>
    <xf numFmtId="0" fontId="0" fillId="14" borderId="0" xfId="0" applyFill="1">
      <alignment vertical="center"/>
    </xf>
    <xf numFmtId="0" fontId="0" fillId="12" borderId="2" xfId="0" applyFill="1" applyBorder="1">
      <alignment vertical="center"/>
    </xf>
    <xf numFmtId="0" fontId="3" fillId="12" borderId="4" xfId="0" applyFont="1" applyFill="1" applyBorder="1">
      <alignment vertical="center"/>
    </xf>
    <xf numFmtId="0" fontId="3" fillId="12" borderId="7" xfId="0" applyFont="1" applyFill="1" applyBorder="1">
      <alignment vertical="center"/>
    </xf>
    <xf numFmtId="0" fontId="23" fillId="12" borderId="29" xfId="0" applyFont="1" applyFill="1" applyBorder="1">
      <alignment vertical="center"/>
    </xf>
    <xf numFmtId="0" fontId="23" fillId="12" borderId="7" xfId="0" applyFont="1" applyFill="1" applyBorder="1">
      <alignment vertical="center"/>
    </xf>
    <xf numFmtId="49" fontId="5" fillId="0" borderId="4"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0" fontId="5" fillId="0" borderId="1" xfId="0" applyFont="1" applyBorder="1" applyAlignment="1">
      <alignment vertical="center" wrapText="1"/>
    </xf>
    <xf numFmtId="49" fontId="5" fillId="0" borderId="4" xfId="0" applyNumberFormat="1" applyFont="1" applyBorder="1" applyAlignment="1">
      <alignment vertical="center" wrapText="1"/>
    </xf>
    <xf numFmtId="49" fontId="5" fillId="0" borderId="7" xfId="0" applyNumberFormat="1" applyFont="1" applyBorder="1" applyAlignment="1">
      <alignment vertical="center" wrapText="1"/>
    </xf>
    <xf numFmtId="0" fontId="5" fillId="0" borderId="4" xfId="0" applyFont="1" applyBorder="1" applyAlignment="1">
      <alignment vertical="center" wrapText="1"/>
    </xf>
    <xf numFmtId="0" fontId="0" fillId="0" borderId="4" xfId="0" applyBorder="1" applyAlignment="1">
      <alignment horizontal="left" vertical="top" wrapText="1"/>
    </xf>
    <xf numFmtId="0" fontId="0" fillId="0" borderId="7" xfId="0" applyBorder="1" applyAlignment="1">
      <alignment horizontal="left" vertical="top"/>
    </xf>
    <xf numFmtId="0" fontId="5" fillId="0" borderId="7" xfId="0" applyFont="1" applyBorder="1" applyAlignment="1">
      <alignment vertical="center" wrapText="1"/>
    </xf>
    <xf numFmtId="49" fontId="5" fillId="0" borderId="1" xfId="0" applyNumberFormat="1" applyFont="1" applyBorder="1" applyAlignment="1">
      <alignment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49" fontId="5" fillId="0" borderId="29" xfId="0" applyNumberFormat="1" applyFont="1" applyBorder="1" applyAlignment="1">
      <alignment vertical="center" wrapText="1"/>
    </xf>
    <xf numFmtId="0" fontId="12" fillId="10" borderId="33" xfId="1" applyFont="1" applyFill="1" applyBorder="1" applyAlignment="1">
      <alignment horizontal="center" vertical="center" wrapText="1"/>
    </xf>
    <xf numFmtId="0" fontId="12" fillId="10" borderId="40" xfId="1" applyFont="1" applyFill="1" applyBorder="1" applyAlignment="1">
      <alignment horizontal="center" vertical="center" wrapText="1"/>
    </xf>
    <xf numFmtId="0" fontId="12" fillId="4" borderId="51" xfId="1" applyFont="1" applyFill="1" applyBorder="1" applyAlignment="1">
      <alignment horizontal="right" vertical="center"/>
    </xf>
    <xf numFmtId="0" fontId="12" fillId="4" borderId="52" xfId="1" applyFont="1" applyFill="1" applyBorder="1" applyAlignment="1">
      <alignment horizontal="right" vertical="center"/>
    </xf>
    <xf numFmtId="0" fontId="12" fillId="4" borderId="39" xfId="1" applyFont="1" applyFill="1" applyBorder="1" applyAlignment="1">
      <alignment horizontal="right" vertical="center"/>
    </xf>
    <xf numFmtId="0" fontId="12" fillId="4" borderId="35" xfId="1" applyFont="1" applyFill="1" applyBorder="1" applyAlignment="1">
      <alignment horizontal="right" vertical="center"/>
    </xf>
    <xf numFmtId="0" fontId="12" fillId="4" borderId="53" xfId="1" applyFont="1" applyFill="1" applyBorder="1" applyAlignment="1">
      <alignment horizontal="right" vertical="center"/>
    </xf>
    <xf numFmtId="0" fontId="12" fillId="4" borderId="54" xfId="1" applyFont="1" applyFill="1" applyBorder="1" applyAlignment="1">
      <alignment horizontal="right" vertical="center"/>
    </xf>
    <xf numFmtId="0" fontId="12" fillId="2" borderId="58" xfId="1" applyFont="1" applyFill="1" applyBorder="1" applyAlignment="1">
      <alignment horizontal="center" vertical="center"/>
    </xf>
    <xf numFmtId="0" fontId="12" fillId="2" borderId="34" xfId="1" applyFont="1" applyFill="1" applyBorder="1" applyAlignment="1">
      <alignment horizontal="center" vertical="center"/>
    </xf>
    <xf numFmtId="0" fontId="12" fillId="2" borderId="59" xfId="1" applyFont="1" applyFill="1" applyBorder="1" applyAlignment="1">
      <alignment horizontal="center" vertical="center"/>
    </xf>
    <xf numFmtId="0" fontId="12" fillId="10" borderId="42" xfId="1" applyFont="1" applyFill="1" applyBorder="1" applyAlignment="1">
      <alignment horizontal="left" vertical="center"/>
    </xf>
    <xf numFmtId="0" fontId="12" fillId="10" borderId="43" xfId="1" applyFont="1" applyFill="1" applyBorder="1" applyAlignment="1">
      <alignment horizontal="left" vertical="center"/>
    </xf>
    <xf numFmtId="0" fontId="12" fillId="10" borderId="63" xfId="1" applyFont="1" applyFill="1" applyBorder="1" applyAlignment="1">
      <alignment horizontal="left" vertical="center"/>
    </xf>
    <xf numFmtId="0" fontId="12" fillId="10" borderId="44" xfId="1" applyFont="1" applyFill="1" applyBorder="1" applyAlignment="1">
      <alignment horizontal="left" vertical="center"/>
    </xf>
    <xf numFmtId="0" fontId="12" fillId="10" borderId="39" xfId="1" applyFont="1" applyFill="1" applyBorder="1" applyAlignment="1">
      <alignment horizontal="center" vertical="center" wrapText="1"/>
    </xf>
    <xf numFmtId="0" fontId="12" fillId="10" borderId="35" xfId="1" applyFont="1" applyFill="1" applyBorder="1" applyAlignment="1">
      <alignment horizontal="center" vertical="center" wrapText="1"/>
    </xf>
    <xf numFmtId="0" fontId="12" fillId="10" borderId="25" xfId="1" applyFont="1" applyFill="1" applyBorder="1" applyAlignment="1">
      <alignment horizontal="center" vertical="center" wrapText="1"/>
    </xf>
    <xf numFmtId="0" fontId="12" fillId="8" borderId="52" xfId="1" applyFont="1" applyFill="1" applyBorder="1" applyAlignment="1">
      <alignment horizontal="left" vertical="center"/>
    </xf>
    <xf numFmtId="0" fontId="12" fillId="8" borderId="67" xfId="1" applyFont="1" applyFill="1" applyBorder="1" applyAlignment="1">
      <alignment horizontal="left" vertical="center"/>
    </xf>
    <xf numFmtId="0" fontId="12" fillId="11" borderId="52" xfId="1" applyFont="1" applyFill="1" applyBorder="1" applyAlignment="1">
      <alignment horizontal="left" vertical="center"/>
    </xf>
    <xf numFmtId="0" fontId="12" fillId="11" borderId="68" xfId="1" applyFont="1" applyFill="1" applyBorder="1" applyAlignment="1">
      <alignment horizontal="left" vertical="center"/>
    </xf>
    <xf numFmtId="0" fontId="12" fillId="11" borderId="67" xfId="1" applyFont="1" applyFill="1" applyBorder="1" applyAlignment="1">
      <alignment horizontal="left" vertical="center"/>
    </xf>
    <xf numFmtId="0" fontId="12" fillId="11" borderId="35" xfId="1" applyFont="1" applyFill="1" applyBorder="1" applyAlignment="1">
      <alignment horizontal="center" vertical="center" wrapText="1"/>
    </xf>
    <xf numFmtId="0" fontId="12" fillId="11" borderId="25" xfId="1" applyFont="1" applyFill="1" applyBorder="1" applyAlignment="1">
      <alignment horizontal="center" vertical="center" wrapText="1"/>
    </xf>
    <xf numFmtId="0" fontId="12" fillId="11" borderId="40" xfId="1" applyFont="1" applyFill="1" applyBorder="1" applyAlignment="1">
      <alignment horizontal="center" vertical="center" wrapText="1"/>
    </xf>
    <xf numFmtId="0" fontId="12" fillId="8" borderId="33" xfId="1" applyFont="1" applyFill="1" applyBorder="1" applyAlignment="1">
      <alignment horizontal="center" vertical="center" wrapText="1"/>
    </xf>
    <xf numFmtId="0" fontId="12" fillId="8" borderId="40" xfId="1" applyFont="1" applyFill="1" applyBorder="1" applyAlignment="1">
      <alignment horizontal="center" vertical="center" wrapText="1"/>
    </xf>
    <xf numFmtId="0" fontId="12" fillId="8" borderId="35" xfId="1" applyFont="1" applyFill="1" applyBorder="1" applyAlignment="1">
      <alignment horizontal="center" vertical="center" wrapText="1"/>
    </xf>
    <xf numFmtId="0" fontId="12" fillId="8" borderId="30" xfId="1" applyFont="1" applyFill="1" applyBorder="1" applyAlignment="1">
      <alignment horizontal="center" vertical="center" wrapText="1"/>
    </xf>
    <xf numFmtId="0" fontId="0" fillId="12" borderId="70" xfId="0" applyFill="1" applyBorder="1" applyAlignment="1">
      <alignment horizontal="center" vertical="center"/>
    </xf>
    <xf numFmtId="0" fontId="0" fillId="12" borderId="73" xfId="0" applyFill="1" applyBorder="1" applyAlignment="1">
      <alignment horizontal="center" vertical="center"/>
    </xf>
    <xf numFmtId="0" fontId="0" fillId="12" borderId="31" xfId="0" applyFill="1" applyBorder="1" applyAlignment="1">
      <alignment horizontal="center" vertical="center"/>
    </xf>
    <xf numFmtId="0" fontId="0" fillId="12" borderId="32" xfId="0" applyFill="1" applyBorder="1" applyAlignment="1">
      <alignment horizontal="center" vertical="center"/>
    </xf>
    <xf numFmtId="0" fontId="13" fillId="12" borderId="28" xfId="0" applyFont="1" applyFill="1" applyBorder="1" applyAlignment="1">
      <alignment horizontal="right" vertical="center"/>
    </xf>
    <xf numFmtId="0" fontId="0" fillId="12" borderId="26" xfId="0" applyFill="1" applyBorder="1" applyAlignment="1">
      <alignment horizontal="center" vertical="center"/>
    </xf>
    <xf numFmtId="0" fontId="0" fillId="12" borderId="28" xfId="0" applyFill="1" applyBorder="1" applyAlignment="1">
      <alignment horizontal="center" vertical="center"/>
    </xf>
    <xf numFmtId="0" fontId="13" fillId="12" borderId="25" xfId="0" applyFont="1" applyFill="1" applyBorder="1" applyAlignment="1">
      <alignment horizontal="right" vertical="center"/>
    </xf>
    <xf numFmtId="0" fontId="0" fillId="12" borderId="33" xfId="0" applyFill="1" applyBorder="1" applyAlignment="1">
      <alignment horizontal="center" vertical="center"/>
    </xf>
    <xf numFmtId="0" fontId="0" fillId="12" borderId="35" xfId="0" applyFill="1" applyBorder="1" applyAlignment="1">
      <alignment horizontal="center" vertical="center"/>
    </xf>
    <xf numFmtId="0" fontId="0" fillId="12" borderId="25" xfId="0" applyFill="1" applyBorder="1" applyAlignment="1">
      <alignment horizontal="center" vertical="center"/>
    </xf>
    <xf numFmtId="0" fontId="0" fillId="4" borderId="25" xfId="0" applyFill="1" applyBorder="1" applyAlignment="1">
      <alignment horizontal="center" vertical="center"/>
    </xf>
    <xf numFmtId="0" fontId="0" fillId="0" borderId="69" xfId="0" applyBorder="1" applyAlignment="1">
      <alignment horizontal="center" vertical="center"/>
    </xf>
    <xf numFmtId="0" fontId="0" fillId="0" borderId="0" xfId="0" applyAlignment="1">
      <alignment horizontal="center" vertical="center"/>
    </xf>
    <xf numFmtId="0" fontId="20" fillId="0" borderId="1" xfId="0" applyFont="1" applyBorder="1" applyAlignment="1">
      <alignment horizontal="center" vertical="center"/>
    </xf>
    <xf numFmtId="0" fontId="6" fillId="4" borderId="13" xfId="1" applyFill="1" applyBorder="1" applyAlignment="1">
      <alignment wrapText="1"/>
    </xf>
    <xf numFmtId="0" fontId="6" fillId="4" borderId="6" xfId="1" applyFill="1" applyBorder="1" applyAlignment="1">
      <alignment wrapText="1"/>
    </xf>
    <xf numFmtId="0" fontId="6" fillId="4" borderId="3" xfId="1" applyFill="1" applyBorder="1" applyAlignment="1">
      <alignment wrapText="1"/>
    </xf>
    <xf numFmtId="0" fontId="6" fillId="4" borderId="24" xfId="1" applyFill="1" applyBorder="1" applyAlignment="1">
      <alignment horizontal="center"/>
    </xf>
    <xf numFmtId="0" fontId="6" fillId="4" borderId="11" xfId="1" applyFill="1" applyBorder="1" applyAlignment="1">
      <alignment horizontal="center"/>
    </xf>
    <xf numFmtId="0" fontId="6" fillId="4" borderId="12" xfId="1" applyFill="1" applyBorder="1" applyAlignment="1">
      <alignment horizontal="center"/>
    </xf>
    <xf numFmtId="0" fontId="6" fillId="4" borderId="10" xfId="1" applyFill="1" applyBorder="1" applyAlignment="1">
      <alignment horizontal="center"/>
    </xf>
    <xf numFmtId="0" fontId="0" fillId="4" borderId="25" xfId="1" applyFont="1" applyFill="1" applyBorder="1" applyAlignment="1">
      <alignment horizontal="right"/>
    </xf>
    <xf numFmtId="0" fontId="15" fillId="5" borderId="26" xfId="1" applyFont="1" applyFill="1" applyBorder="1" applyAlignment="1">
      <alignment vertical="center" wrapText="1"/>
    </xf>
    <xf numFmtId="0" fontId="15" fillId="5" borderId="27" xfId="1" applyFont="1" applyFill="1" applyBorder="1" applyAlignment="1">
      <alignment vertical="center" wrapText="1"/>
    </xf>
    <xf numFmtId="179" fontId="15" fillId="0" borderId="26" xfId="1" applyNumberFormat="1" applyFont="1" applyBorder="1" applyAlignment="1">
      <alignment horizontal="center" vertical="center"/>
    </xf>
    <xf numFmtId="179" fontId="15" fillId="0" borderId="27" xfId="1" applyNumberFormat="1" applyFont="1" applyBorder="1" applyAlignment="1">
      <alignment horizontal="center" vertical="center"/>
    </xf>
    <xf numFmtId="179" fontId="15" fillId="0" borderId="28" xfId="1" applyNumberFormat="1" applyFont="1" applyBorder="1" applyAlignment="1">
      <alignment horizontal="center" vertical="center"/>
    </xf>
    <xf numFmtId="0" fontId="15" fillId="5" borderId="28" xfId="1" applyFont="1" applyFill="1" applyBorder="1" applyAlignment="1">
      <alignment vertical="center" wrapText="1"/>
    </xf>
    <xf numFmtId="0" fontId="15" fillId="0" borderId="26" xfId="1" applyFont="1" applyBorder="1" applyAlignment="1">
      <alignment horizontal="left" vertical="center" wrapText="1"/>
    </xf>
    <xf numFmtId="0" fontId="15" fillId="0" borderId="28" xfId="1" applyFont="1" applyBorder="1" applyAlignment="1">
      <alignment horizontal="left" vertical="center" wrapText="1"/>
    </xf>
    <xf numFmtId="0" fontId="15" fillId="0" borderId="27" xfId="1" applyFont="1" applyBorder="1" applyAlignment="1">
      <alignment horizontal="left" vertical="center" wrapText="1"/>
    </xf>
    <xf numFmtId="0" fontId="15" fillId="5" borderId="26" xfId="1" applyFont="1" applyFill="1" applyBorder="1" applyAlignment="1">
      <alignment horizontal="left" vertical="center" wrapText="1"/>
    </xf>
    <xf numFmtId="0" fontId="15" fillId="5" borderId="27" xfId="1" applyFont="1" applyFill="1" applyBorder="1" applyAlignment="1">
      <alignment horizontal="left" vertical="center" wrapText="1"/>
    </xf>
    <xf numFmtId="0" fontId="15" fillId="5" borderId="28" xfId="1" applyFont="1" applyFill="1" applyBorder="1" applyAlignment="1">
      <alignment horizontal="left" vertical="center" wrapText="1"/>
    </xf>
    <xf numFmtId="179" fontId="15" fillId="0" borderId="26" xfId="1" applyNumberFormat="1" applyFont="1" applyBorder="1" applyAlignment="1">
      <alignment horizontal="center" vertical="center" wrapText="1"/>
    </xf>
    <xf numFmtId="179" fontId="15" fillId="0" borderId="27" xfId="1" applyNumberFormat="1" applyFont="1" applyBorder="1" applyAlignment="1">
      <alignment horizontal="center" vertical="center" wrapText="1"/>
    </xf>
    <xf numFmtId="179" fontId="15" fillId="0" borderId="28" xfId="1" applyNumberFormat="1" applyFont="1" applyBorder="1" applyAlignment="1">
      <alignment horizontal="center" vertical="center" wrapText="1"/>
    </xf>
    <xf numFmtId="49" fontId="1" fillId="0" borderId="2" xfId="0" applyNumberFormat="1" applyFont="1" applyBorder="1" applyAlignment="1">
      <alignment horizontal="left" vertical="center"/>
    </xf>
    <xf numFmtId="49" fontId="1" fillId="0" borderId="3" xfId="0" applyNumberFormat="1" applyFont="1" applyBorder="1" applyAlignment="1">
      <alignment horizontal="left" vertical="center"/>
    </xf>
    <xf numFmtId="49" fontId="1" fillId="0" borderId="1" xfId="0" applyNumberFormat="1" applyFont="1" applyBorder="1" applyAlignment="1">
      <alignment horizontal="left" vertical="center"/>
    </xf>
    <xf numFmtId="49" fontId="1" fillId="2" borderId="1" xfId="0" applyNumberFormat="1" applyFont="1" applyFill="1" applyBorder="1" applyAlignment="1">
      <alignment horizontal="left" vertical="center"/>
    </xf>
    <xf numFmtId="0" fontId="5" fillId="0" borderId="7" xfId="0" applyFont="1" applyBorder="1" applyAlignment="1">
      <alignment vertical="center"/>
    </xf>
    <xf numFmtId="0" fontId="5" fillId="0" borderId="4" xfId="0" applyFont="1" applyBorder="1" applyAlignment="1">
      <alignment vertical="center"/>
    </xf>
    <xf numFmtId="0" fontId="5" fillId="0" borderId="1" xfId="0" quotePrefix="1" applyFont="1" applyBorder="1" applyAlignment="1">
      <alignment vertical="center"/>
    </xf>
    <xf numFmtId="0" fontId="5" fillId="0" borderId="1" xfId="0" applyFont="1" applyBorder="1" applyAlignment="1">
      <alignment vertical="center"/>
    </xf>
    <xf numFmtId="0" fontId="0" fillId="12" borderId="1" xfId="0" applyFill="1" applyBorder="1" applyAlignment="1">
      <alignment vertical="center"/>
    </xf>
  </cellXfs>
  <cellStyles count="7">
    <cellStyle name="桁区切り 2" xfId="2" xr:uid="{00000000-0005-0000-0000-000000000000}"/>
    <cellStyle name="標準" xfId="0" builtinId="0"/>
    <cellStyle name="標準 2" xfId="1" xr:uid="{00000000-0005-0000-0000-000002000000}"/>
    <cellStyle name="標準 2 2" xfId="5" xr:uid="{B34C0474-46F8-4ABD-8B0D-7F5899E8D7ED}"/>
    <cellStyle name="標準 2 3" xfId="4" xr:uid="{E42760BB-DE28-4AE4-9E4C-30D83430C523}"/>
    <cellStyle name="標準 28" xfId="3" xr:uid="{00000000-0005-0000-0000-000003000000}"/>
    <cellStyle name="標準 6" xfId="6" xr:uid="{2F7C2E8C-99B2-4723-B159-28CF65D2381D}"/>
  </cellStyles>
  <dxfs count="0"/>
  <tableStyles count="0" defaultTableStyle="TableStyleMedium2" defaultPivotStyle="PivotStyleLight16"/>
  <colors>
    <mruColors>
      <color rgb="FF1581E6"/>
      <color rgb="FF1B9FCF"/>
      <color rgb="FF2863C9"/>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323850</xdr:colOff>
      <xdr:row>31</xdr:row>
      <xdr:rowOff>0</xdr:rowOff>
    </xdr:from>
    <xdr:to>
      <xdr:col>16</xdr:col>
      <xdr:colOff>47625</xdr:colOff>
      <xdr:row>40</xdr:row>
      <xdr:rowOff>105752</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81075" y="5972175"/>
          <a:ext cx="9305925" cy="2171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27</xdr:row>
      <xdr:rowOff>209550</xdr:rowOff>
    </xdr:from>
    <xdr:to>
      <xdr:col>6</xdr:col>
      <xdr:colOff>419100</xdr:colOff>
      <xdr:row>29</xdr:row>
      <xdr:rowOff>190500</xdr:rowOff>
    </xdr:to>
    <xdr:sp macro="" textlink="">
      <xdr:nvSpPr>
        <xdr:cNvPr id="2" name="テキスト ボックス 1">
          <a:extLst>
            <a:ext uri="{FF2B5EF4-FFF2-40B4-BE49-F238E27FC236}">
              <a16:creationId xmlns:a16="http://schemas.microsoft.com/office/drawing/2014/main" id="{6EE3AF5C-72BB-715B-9E4C-AFD7BF015742}"/>
            </a:ext>
          </a:extLst>
        </xdr:cNvPr>
        <xdr:cNvSpPr txBox="1"/>
      </xdr:nvSpPr>
      <xdr:spPr>
        <a:xfrm>
          <a:off x="161925" y="6181725"/>
          <a:ext cx="3914775" cy="438150"/>
        </a:xfrm>
        <a:prstGeom prst="rect">
          <a:avLst/>
        </a:prstGeom>
        <a:solidFill>
          <a:srgbClr val="FFFF00"/>
        </a:solidFill>
        <a:ln w="9525" cmpd="sng">
          <a:solidFill>
            <a:schemeClr val="tx1"/>
          </a:solidFill>
        </a:ln>
      </xdr:spPr>
      <xdr:txBody>
        <a:bodyPr spcFirstLastPara="0" vertOverflow="clip" horzOverflow="clip" wrap="square" lIns="91440" tIns="45720" rIns="91440" bIns="45720" rtlCol="0" anchor="t">
          <a:noAutofit/>
        </a:bodyPr>
        <a:lstStyle/>
        <a:p>
          <a:pPr marL="0" indent="0" algn="l"/>
          <a:r>
            <a:rPr lang="ja-JP" altLang="en-US" sz="1100" b="0" i="0" u="none" strike="noStrike">
              <a:solidFill>
                <a:srgbClr val="000000"/>
              </a:solidFill>
              <a:latin typeface="Calibri" panose="020F0502020204030204" pitchFamily="34" charset="0"/>
              <a:cs typeface="Calibri" panose="020F0502020204030204" pitchFamily="34" charset="0"/>
            </a:rPr>
            <a:t>メリットが感じられないため、個別構築パターンは本見積では考えない</a:t>
          </a:r>
          <a:endParaRPr lang="ja-JP" altLang="en-US" sz="1100" b="0" i="0" u="none" strike="noStrike">
            <a:solidFill>
              <a:srgbClr val="000000"/>
            </a:solidFill>
            <a:latin typeface="+mn-lt"/>
            <a:ea typeface="+mn-lt"/>
            <a:cs typeface="+mn-lt"/>
          </a:endParaRPr>
        </a:p>
        <a:p>
          <a:pPr marL="0" indent="0" algn="l"/>
          <a:endParaRPr lang="ja-JP" altLang="en-US" sz="1100">
            <a:latin typeface="+mn-lt"/>
            <a:ea typeface="+mn-lt"/>
            <a:cs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314325</xdr:colOff>
      <xdr:row>128</xdr:row>
      <xdr:rowOff>152400</xdr:rowOff>
    </xdr:from>
    <xdr:to>
      <xdr:col>8</xdr:col>
      <xdr:colOff>609600</xdr:colOff>
      <xdr:row>136</xdr:row>
      <xdr:rowOff>152401</xdr:rowOff>
    </xdr:to>
    <xdr:sp macro="" textlink="">
      <xdr:nvSpPr>
        <xdr:cNvPr id="223" name="正方形/長方形 222">
          <a:extLst>
            <a:ext uri="{FF2B5EF4-FFF2-40B4-BE49-F238E27FC236}">
              <a16:creationId xmlns:a16="http://schemas.microsoft.com/office/drawing/2014/main" id="{00000000-0008-0000-0200-0000DF000000}"/>
            </a:ext>
          </a:extLst>
        </xdr:cNvPr>
        <xdr:cNvSpPr/>
      </xdr:nvSpPr>
      <xdr:spPr>
        <a:xfrm>
          <a:off x="314325" y="21827067"/>
          <a:ext cx="5205942" cy="1354667"/>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122</xdr:row>
      <xdr:rowOff>1</xdr:rowOff>
    </xdr:from>
    <xdr:to>
      <xdr:col>22</xdr:col>
      <xdr:colOff>0</xdr:colOff>
      <xdr:row>140</xdr:row>
      <xdr:rowOff>1</xdr:rowOff>
    </xdr:to>
    <xdr:sp macro="" textlink="">
      <xdr:nvSpPr>
        <xdr:cNvPr id="224" name="正方形/長方形 223">
          <a:extLst>
            <a:ext uri="{FF2B5EF4-FFF2-40B4-BE49-F238E27FC236}">
              <a16:creationId xmlns:a16="http://schemas.microsoft.com/office/drawing/2014/main" id="{00000000-0008-0000-0200-0000E0000000}"/>
            </a:ext>
            <a:ext uri="{147F2762-F138-4A5C-976F-8EAC2B608ADB}">
              <a16:predDERef xmlns:a16="http://schemas.microsoft.com/office/drawing/2014/main" pred="{00000000-0008-0000-0200-000051000000}"/>
            </a:ext>
          </a:extLst>
        </xdr:cNvPr>
        <xdr:cNvSpPr/>
      </xdr:nvSpPr>
      <xdr:spPr>
        <a:xfrm>
          <a:off x="5524500" y="20658668"/>
          <a:ext cx="7979833" cy="30480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314325</xdr:colOff>
      <xdr:row>70</xdr:row>
      <xdr:rowOff>152400</xdr:rowOff>
    </xdr:from>
    <xdr:to>
      <xdr:col>8</xdr:col>
      <xdr:colOff>609600</xdr:colOff>
      <xdr:row>78</xdr:row>
      <xdr:rowOff>152400</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a:xfrm>
          <a:off x="314325" y="11487150"/>
          <a:ext cx="5248275" cy="12954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64</xdr:row>
      <xdr:rowOff>142875</xdr:rowOff>
    </xdr:from>
    <xdr:to>
      <xdr:col>22</xdr:col>
      <xdr:colOff>10584</xdr:colOff>
      <xdr:row>82</xdr:row>
      <xdr:rowOff>0</xdr:rowOff>
    </xdr:to>
    <xdr:sp macro="" textlink="">
      <xdr:nvSpPr>
        <xdr:cNvPr id="77" name="正方形/長方形 76">
          <a:extLst>
            <a:ext uri="{FF2B5EF4-FFF2-40B4-BE49-F238E27FC236}">
              <a16:creationId xmlns:a16="http://schemas.microsoft.com/office/drawing/2014/main" id="{00000000-0008-0000-0200-00004D000000}"/>
            </a:ext>
            <a:ext uri="{147F2762-F138-4A5C-976F-8EAC2B608ADB}">
              <a16:predDERef xmlns:a16="http://schemas.microsoft.com/office/drawing/2014/main" pred="{00000000-0008-0000-0200-000051000000}"/>
            </a:ext>
          </a:extLst>
        </xdr:cNvPr>
        <xdr:cNvSpPr/>
      </xdr:nvSpPr>
      <xdr:spPr>
        <a:xfrm>
          <a:off x="5524500" y="10980208"/>
          <a:ext cx="7990417" cy="2905125"/>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11641</xdr:colOff>
      <xdr:row>75</xdr:row>
      <xdr:rowOff>127000</xdr:rowOff>
    </xdr:from>
    <xdr:to>
      <xdr:col>16</xdr:col>
      <xdr:colOff>264584</xdr:colOff>
      <xdr:row>81</xdr:row>
      <xdr:rowOff>66673</xdr:rowOff>
    </xdr:to>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7991474" y="12827000"/>
          <a:ext cx="2094443" cy="9556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xdr:col>
      <xdr:colOff>371474</xdr:colOff>
      <xdr:row>65</xdr:row>
      <xdr:rowOff>83607</xdr:rowOff>
    </xdr:from>
    <xdr:to>
      <xdr:col>13</xdr:col>
      <xdr:colOff>10584</xdr:colOff>
      <xdr:row>81</xdr:row>
      <xdr:rowOff>66673</xdr:rowOff>
    </xdr:to>
    <xdr:sp macro="" textlink="">
      <xdr:nvSpPr>
        <xdr:cNvPr id="221" name="正方形/長方形 220">
          <a:extLst>
            <a:ext uri="{FF2B5EF4-FFF2-40B4-BE49-F238E27FC236}">
              <a16:creationId xmlns:a16="http://schemas.microsoft.com/office/drawing/2014/main" id="{00000000-0008-0000-0200-0000DD000000}"/>
            </a:ext>
          </a:extLst>
        </xdr:cNvPr>
        <xdr:cNvSpPr/>
      </xdr:nvSpPr>
      <xdr:spPr>
        <a:xfrm>
          <a:off x="5895974" y="11090274"/>
          <a:ext cx="2094443"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0</xdr:col>
      <xdr:colOff>296332</xdr:colOff>
      <xdr:row>86</xdr:row>
      <xdr:rowOff>162982</xdr:rowOff>
    </xdr:from>
    <xdr:to>
      <xdr:col>13</xdr:col>
      <xdr:colOff>486831</xdr:colOff>
      <xdr:row>111</xdr:row>
      <xdr:rowOff>11906</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a:xfrm>
          <a:off x="296332" y="14725649"/>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134225" y="2093913"/>
          <a:ext cx="3086100" cy="2772496"/>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603252</xdr:colOff>
      <xdr:row>2</xdr:row>
      <xdr:rowOff>74083</xdr:rowOff>
    </xdr:from>
    <xdr:to>
      <xdr:col>2</xdr:col>
      <xdr:colOff>550335</xdr:colOff>
      <xdr:row>5</xdr:row>
      <xdr:rowOff>52916</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a:xfrm>
          <a:off x="603252" y="412750"/>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0</xdr:col>
      <xdr:colOff>308239</xdr:colOff>
      <xdr:row>87</xdr:row>
      <xdr:rowOff>11906</xdr:rowOff>
    </xdr:from>
    <xdr:to>
      <xdr:col>17</xdr:col>
      <xdr:colOff>31750</xdr:colOff>
      <xdr:row>95</xdr:row>
      <xdr:rowOff>11905</xdr:rowOff>
    </xdr:to>
    <xdr:sp macro="" textlink="">
      <xdr:nvSpPr>
        <xdr:cNvPr id="78" name="正方形/長方形 77">
          <a:extLst>
            <a:ext uri="{FF2B5EF4-FFF2-40B4-BE49-F238E27FC236}">
              <a16:creationId xmlns:a16="http://schemas.microsoft.com/office/drawing/2014/main" id="{00000000-0008-0000-0200-00004E000000}"/>
            </a:ext>
            <a:ext uri="{147F2762-F138-4A5C-976F-8EAC2B608ADB}">
              <a16:predDERef xmlns:a16="http://schemas.microsoft.com/office/drawing/2014/main" pred="{00000000-0008-0000-0200-00004D000000}"/>
            </a:ext>
          </a:extLst>
        </xdr:cNvPr>
        <xdr:cNvSpPr/>
      </xdr:nvSpPr>
      <xdr:spPr>
        <a:xfrm>
          <a:off x="308239" y="14743906"/>
          <a:ext cx="10338594"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22488</xdr:colOff>
      <xdr:row>103</xdr:row>
      <xdr:rowOff>0</xdr:rowOff>
    </xdr:from>
    <xdr:to>
      <xdr:col>14</xdr:col>
      <xdr:colOff>367769</xdr:colOff>
      <xdr:row>111</xdr:row>
      <xdr:rowOff>0</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5642238" y="17441333"/>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10582</xdr:colOff>
      <xdr:row>64</xdr:row>
      <xdr:rowOff>0</xdr:rowOff>
    </xdr:from>
    <xdr:to>
      <xdr:col>8</xdr:col>
      <xdr:colOff>10582</xdr:colOff>
      <xdr:row>70</xdr:row>
      <xdr:rowOff>0</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3132665"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10582</xdr:colOff>
      <xdr:row>72</xdr:row>
      <xdr:rowOff>0</xdr:rowOff>
    </xdr:from>
    <xdr:to>
      <xdr:col>8</xdr:col>
      <xdr:colOff>10582</xdr:colOff>
      <xdr:row>78</xdr:row>
      <xdr:rowOff>0</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a:xfrm>
          <a:off x="3132665" y="1219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10582</xdr:colOff>
      <xdr:row>88</xdr:row>
      <xdr:rowOff>0</xdr:rowOff>
    </xdr:from>
    <xdr:to>
      <xdr:col>8</xdr:col>
      <xdr:colOff>10582</xdr:colOff>
      <xdr:row>94</xdr:row>
      <xdr:rowOff>0</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a:xfrm>
          <a:off x="3132665"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10582</xdr:colOff>
      <xdr:row>88</xdr:row>
      <xdr:rowOff>0</xdr:rowOff>
    </xdr:from>
    <xdr:to>
      <xdr:col>12</xdr:col>
      <xdr:colOff>10582</xdr:colOff>
      <xdr:row>94</xdr:row>
      <xdr:rowOff>0</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5630332"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10582</xdr:colOff>
      <xdr:row>96</xdr:row>
      <xdr:rowOff>0</xdr:rowOff>
    </xdr:from>
    <xdr:to>
      <xdr:col>10</xdr:col>
      <xdr:colOff>10582</xdr:colOff>
      <xdr:row>102</xdr:row>
      <xdr:rowOff>0</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4381499" y="16256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10582</xdr:colOff>
      <xdr:row>74</xdr:row>
      <xdr:rowOff>-1</xdr:rowOff>
    </xdr:from>
    <xdr:to>
      <xdr:col>13</xdr:col>
      <xdr:colOff>10582</xdr:colOff>
      <xdr:row>80</xdr:row>
      <xdr:rowOff>-1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254749" y="12530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新バッチ基盤サーバ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75</xdr:row>
      <xdr:rowOff>127000</xdr:rowOff>
    </xdr:from>
    <xdr:to>
      <xdr:col>16</xdr:col>
      <xdr:colOff>10582</xdr:colOff>
      <xdr:row>80</xdr:row>
      <xdr:rowOff>-1</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8127999" y="12827000"/>
          <a:ext cx="1873250" cy="719666"/>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新共通基盤帳票サーバ</a:t>
          </a:r>
          <a:endParaRPr kumimoji="1" lang="en-US" altLang="ja-JP" sz="1100">
            <a:solidFill>
              <a:sysClr val="windowText" lastClr="000000"/>
            </a:solidFill>
            <a:latin typeface="+mn-lt"/>
            <a:ea typeface="+mn-ea"/>
            <a:cs typeface="+mn-cs"/>
          </a:endParaRP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endParaRPr kumimoji="1" lang="en-US" altLang="ja-JP" sz="800">
            <a:solidFill>
              <a:sysClr val="windowText" lastClr="000000"/>
            </a:solidFill>
            <a:latin typeface="+mn-lt"/>
            <a:ea typeface="+mn-ea"/>
            <a:cs typeface="+mn-cs"/>
          </a:endParaRPr>
        </a:p>
      </xdr:txBody>
    </xdr:sp>
    <xdr:clientData/>
  </xdr:twoCellAnchor>
  <xdr:twoCellAnchor>
    <xdr:from>
      <xdr:col>1</xdr:col>
      <xdr:colOff>10582</xdr:colOff>
      <xdr:row>72</xdr:row>
      <xdr:rowOff>0</xdr:rowOff>
    </xdr:from>
    <xdr:to>
      <xdr:col>4</xdr:col>
      <xdr:colOff>10582</xdr:colOff>
      <xdr:row>78</xdr:row>
      <xdr:rowOff>0</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a:xfrm>
          <a:off x="634999" y="12192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10582</xdr:colOff>
      <xdr:row>64</xdr:row>
      <xdr:rowOff>0</xdr:rowOff>
    </xdr:from>
    <xdr:to>
      <xdr:col>4</xdr:col>
      <xdr:colOff>10582</xdr:colOff>
      <xdr:row>70</xdr:row>
      <xdr:rowOff>0</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634999"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10582</xdr:colOff>
      <xdr:row>104</xdr:row>
      <xdr:rowOff>-1</xdr:rowOff>
    </xdr:from>
    <xdr:to>
      <xdr:col>10</xdr:col>
      <xdr:colOff>10582</xdr:colOff>
      <xdr:row>110</xdr:row>
      <xdr:rowOff>-1</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4381499"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10582</xdr:colOff>
      <xdr:row>104</xdr:row>
      <xdr:rowOff>-1</xdr:rowOff>
    </xdr:from>
    <xdr:to>
      <xdr:col>14</xdr:col>
      <xdr:colOff>10582</xdr:colOff>
      <xdr:row>110</xdr:row>
      <xdr:rowOff>-1</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a:xfrm>
          <a:off x="6879165"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10582</xdr:colOff>
      <xdr:row>104</xdr:row>
      <xdr:rowOff>-1</xdr:rowOff>
    </xdr:from>
    <xdr:to>
      <xdr:col>6</xdr:col>
      <xdr:colOff>10582</xdr:colOff>
      <xdr:row>110</xdr:row>
      <xdr:rowOff>-1</xdr:rowOff>
    </xdr:to>
    <xdr:sp macro="" textlink="">
      <xdr:nvSpPr>
        <xdr:cNvPr id="94" name="正方形/長方形 93">
          <a:extLst>
            <a:ext uri="{FF2B5EF4-FFF2-40B4-BE49-F238E27FC236}">
              <a16:creationId xmlns:a16="http://schemas.microsoft.com/office/drawing/2014/main" id="{00000000-0008-0000-0200-00005E000000}"/>
            </a:ext>
          </a:extLst>
        </xdr:cNvPr>
        <xdr:cNvSpPr/>
      </xdr:nvSpPr>
      <xdr:spPr>
        <a:xfrm>
          <a:off x="1883832"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353482</xdr:colOff>
      <xdr:row>70</xdr:row>
      <xdr:rowOff>0</xdr:rowOff>
    </xdr:from>
    <xdr:to>
      <xdr:col>2</xdr:col>
      <xdr:colOff>353482</xdr:colOff>
      <xdr:row>72</xdr:row>
      <xdr:rowOff>0</xdr:rowOff>
    </xdr:to>
    <xdr:cxnSp macro="">
      <xdr:nvCxnSpPr>
        <xdr:cNvPr id="95" name="直線コネクタ 94">
          <a:extLst>
            <a:ext uri="{FF2B5EF4-FFF2-40B4-BE49-F238E27FC236}">
              <a16:creationId xmlns:a16="http://schemas.microsoft.com/office/drawing/2014/main" id="{00000000-0008-0000-0200-00005F000000}"/>
            </a:ext>
          </a:extLst>
        </xdr:cNvPr>
        <xdr:cNvCxnSpPr>
          <a:stCxn id="91" idx="2"/>
          <a:endCxn id="90" idx="0"/>
        </xdr:cNvCxnSpPr>
      </xdr:nvCxnSpPr>
      <xdr:spPr>
        <a:xfrm>
          <a:off x="1602315"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320145</xdr:colOff>
      <xdr:row>78</xdr:row>
      <xdr:rowOff>0</xdr:rowOff>
    </xdr:from>
    <xdr:to>
      <xdr:col>5</xdr:col>
      <xdr:colOff>10582</xdr:colOff>
      <xdr:row>91</xdr:row>
      <xdr:rowOff>0</xdr:rowOff>
    </xdr:to>
    <xdr:cxnSp macro="">
      <xdr:nvCxnSpPr>
        <xdr:cNvPr id="96" name="カギ線コネクタ 95">
          <a:extLst>
            <a:ext uri="{FF2B5EF4-FFF2-40B4-BE49-F238E27FC236}">
              <a16:creationId xmlns:a16="http://schemas.microsoft.com/office/drawing/2014/main" id="{00000000-0008-0000-0200-000060000000}"/>
            </a:ext>
          </a:extLst>
        </xdr:cNvPr>
        <xdr:cNvCxnSpPr>
          <a:stCxn id="90" idx="2"/>
          <a:endCxn id="85" idx="1"/>
        </xdr:cNvCxnSpPr>
      </xdr:nvCxnSpPr>
      <xdr:spPr>
        <a:xfrm rot="16200000" flipH="1">
          <a:off x="1250155" y="13526823"/>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70</xdr:row>
      <xdr:rowOff>0</xdr:rowOff>
    </xdr:from>
    <xdr:to>
      <xdr:col>6</xdr:col>
      <xdr:colOff>353482</xdr:colOff>
      <xdr:row>72</xdr:row>
      <xdr:rowOff>0</xdr:rowOff>
    </xdr:to>
    <xdr:cxnSp macro="">
      <xdr:nvCxnSpPr>
        <xdr:cNvPr id="97" name="直線コネクタ 96">
          <a:extLst>
            <a:ext uri="{FF2B5EF4-FFF2-40B4-BE49-F238E27FC236}">
              <a16:creationId xmlns:a16="http://schemas.microsoft.com/office/drawing/2014/main" id="{00000000-0008-0000-0200-000061000000}"/>
            </a:ext>
          </a:extLst>
        </xdr:cNvPr>
        <xdr:cNvCxnSpPr>
          <a:stCxn id="83" idx="2"/>
          <a:endCxn id="84" idx="0"/>
        </xdr:cNvCxnSpPr>
      </xdr:nvCxnSpPr>
      <xdr:spPr>
        <a:xfrm>
          <a:off x="4099982"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320145</xdr:colOff>
      <xdr:row>78</xdr:row>
      <xdr:rowOff>0</xdr:rowOff>
    </xdr:from>
    <xdr:to>
      <xdr:col>6</xdr:col>
      <xdr:colOff>320145</xdr:colOff>
      <xdr:row>88</xdr:row>
      <xdr:rowOff>0</xdr:rowOff>
    </xdr:to>
    <xdr:cxnSp macro="">
      <xdr:nvCxnSpPr>
        <xdr:cNvPr id="98" name="直線コネクタ 97">
          <a:extLst>
            <a:ext uri="{FF2B5EF4-FFF2-40B4-BE49-F238E27FC236}">
              <a16:creationId xmlns:a16="http://schemas.microsoft.com/office/drawing/2014/main" id="{00000000-0008-0000-0200-000062000000}"/>
            </a:ext>
          </a:extLst>
        </xdr:cNvPr>
        <xdr:cNvCxnSpPr>
          <a:stCxn id="84" idx="2"/>
          <a:endCxn id="85" idx="0"/>
        </xdr:cNvCxnSpPr>
      </xdr:nvCxnSpPr>
      <xdr:spPr>
        <a:xfrm>
          <a:off x="4066645" y="13208000"/>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343957</xdr:colOff>
      <xdr:row>77</xdr:row>
      <xdr:rowOff>47623</xdr:rowOff>
    </xdr:from>
    <xdr:to>
      <xdr:col>10</xdr:col>
      <xdr:colOff>355864</xdr:colOff>
      <xdr:row>88</xdr:row>
      <xdr:rowOff>0</xdr:rowOff>
    </xdr:to>
    <xdr:cxnSp macro="">
      <xdr:nvCxnSpPr>
        <xdr:cNvPr id="99" name="カギ線コネクタ 98">
          <a:extLst>
            <a:ext uri="{FF2B5EF4-FFF2-40B4-BE49-F238E27FC236}">
              <a16:creationId xmlns:a16="http://schemas.microsoft.com/office/drawing/2014/main" id="{00000000-0008-0000-0200-000063000000}"/>
            </a:ext>
          </a:extLst>
        </xdr:cNvPr>
        <xdr:cNvCxnSpPr>
          <a:endCxn id="86" idx="0"/>
        </xdr:cNvCxnSpPr>
      </xdr:nvCxnSpPr>
      <xdr:spPr>
        <a:xfrm rot="16200000" flipH="1">
          <a:off x="5062139" y="13363441"/>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94</xdr:row>
      <xdr:rowOff>0</xdr:rowOff>
    </xdr:from>
    <xdr:to>
      <xdr:col>10</xdr:col>
      <xdr:colOff>353482</xdr:colOff>
      <xdr:row>96</xdr:row>
      <xdr:rowOff>0</xdr:rowOff>
    </xdr:to>
    <xdr:cxnSp macro="">
      <xdr:nvCxnSpPr>
        <xdr:cNvPr id="100" name="カギ線コネクタ 99">
          <a:extLst>
            <a:ext uri="{FF2B5EF4-FFF2-40B4-BE49-F238E27FC236}">
              <a16:creationId xmlns:a16="http://schemas.microsoft.com/office/drawing/2014/main" id="{00000000-0008-0000-0200-000064000000}"/>
            </a:ext>
          </a:extLst>
        </xdr:cNvPr>
        <xdr:cNvCxnSpPr>
          <a:stCxn id="86" idx="2"/>
          <a:endCxn id="87" idx="0"/>
        </xdr:cNvCxnSpPr>
      </xdr:nvCxnSpPr>
      <xdr:spPr>
        <a:xfrm rot="5400000">
          <a:off x="5803898" y="15462250"/>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94</xdr:row>
      <xdr:rowOff>0</xdr:rowOff>
    </xdr:from>
    <xdr:to>
      <xdr:col>7</xdr:col>
      <xdr:colOff>10582</xdr:colOff>
      <xdr:row>99</xdr:row>
      <xdr:rowOff>0</xdr:rowOff>
    </xdr:to>
    <xdr:cxnSp macro="">
      <xdr:nvCxnSpPr>
        <xdr:cNvPr id="101" name="カギ線コネクタ 100">
          <a:extLst>
            <a:ext uri="{FF2B5EF4-FFF2-40B4-BE49-F238E27FC236}">
              <a16:creationId xmlns:a16="http://schemas.microsoft.com/office/drawing/2014/main" id="{00000000-0008-0000-0200-000065000000}"/>
            </a:ext>
          </a:extLst>
        </xdr:cNvPr>
        <xdr:cNvCxnSpPr>
          <a:stCxn id="85" idx="2"/>
          <a:endCxn id="87" idx="1"/>
        </xdr:cNvCxnSpPr>
      </xdr:nvCxnSpPr>
      <xdr:spPr>
        <a:xfrm rot="16200000" flipH="1">
          <a:off x="3817407" y="16199908"/>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353482</xdr:colOff>
      <xdr:row>102</xdr:row>
      <xdr:rowOff>0</xdr:rowOff>
    </xdr:from>
    <xdr:to>
      <xdr:col>8</xdr:col>
      <xdr:colOff>353482</xdr:colOff>
      <xdr:row>104</xdr:row>
      <xdr:rowOff>-1</xdr:rowOff>
    </xdr:to>
    <xdr:cxnSp macro="">
      <xdr:nvCxnSpPr>
        <xdr:cNvPr id="102" name="カギ線コネクタ 101">
          <a:extLst>
            <a:ext uri="{FF2B5EF4-FFF2-40B4-BE49-F238E27FC236}">
              <a16:creationId xmlns:a16="http://schemas.microsoft.com/office/drawing/2014/main" id="{00000000-0008-0000-0200-000066000000}"/>
            </a:ext>
          </a:extLst>
        </xdr:cNvPr>
        <xdr:cNvCxnSpPr>
          <a:stCxn id="87" idx="2"/>
          <a:endCxn id="94" idx="0"/>
        </xdr:cNvCxnSpPr>
      </xdr:nvCxnSpPr>
      <xdr:spPr>
        <a:xfrm rot="5400000">
          <a:off x="3930649" y="16192500"/>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12</xdr:col>
      <xdr:colOff>353482</xdr:colOff>
      <xdr:row>104</xdr:row>
      <xdr:rowOff>-1</xdr:rowOff>
    </xdr:to>
    <xdr:cxnSp macro="">
      <xdr:nvCxnSpPr>
        <xdr:cNvPr id="103" name="カギ線コネクタ 102">
          <a:extLst>
            <a:ext uri="{FF2B5EF4-FFF2-40B4-BE49-F238E27FC236}">
              <a16:creationId xmlns:a16="http://schemas.microsoft.com/office/drawing/2014/main" id="{00000000-0008-0000-0200-000067000000}"/>
            </a:ext>
          </a:extLst>
        </xdr:cNvPr>
        <xdr:cNvCxnSpPr>
          <a:stCxn id="87" idx="2"/>
          <a:endCxn id="93" idx="0"/>
        </xdr:cNvCxnSpPr>
      </xdr:nvCxnSpPr>
      <xdr:spPr>
        <a:xfrm rot="16200000" flipH="1">
          <a:off x="6428316" y="16192499"/>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8</xdr:col>
      <xdr:colOff>353482</xdr:colOff>
      <xdr:row>104</xdr:row>
      <xdr:rowOff>-1</xdr:rowOff>
    </xdr:to>
    <xdr:cxnSp macro="">
      <xdr:nvCxnSpPr>
        <xdr:cNvPr id="104" name="直線コネクタ 103">
          <a:extLst>
            <a:ext uri="{FF2B5EF4-FFF2-40B4-BE49-F238E27FC236}">
              <a16:creationId xmlns:a16="http://schemas.microsoft.com/office/drawing/2014/main" id="{00000000-0008-0000-0200-000068000000}"/>
            </a:ext>
          </a:extLst>
        </xdr:cNvPr>
        <xdr:cNvCxnSpPr>
          <a:stCxn id="87" idx="2"/>
          <a:endCxn id="92" idx="0"/>
        </xdr:cNvCxnSpPr>
      </xdr:nvCxnSpPr>
      <xdr:spPr>
        <a:xfrm>
          <a:off x="5348815" y="17272000"/>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73</xdr:row>
      <xdr:rowOff>9525</xdr:rowOff>
    </xdr:from>
    <xdr:to>
      <xdr:col>10</xdr:col>
      <xdr:colOff>29632</xdr:colOff>
      <xdr:row>73</xdr:row>
      <xdr:rowOff>9525</xdr:rowOff>
    </xdr:to>
    <xdr:cxnSp macro="">
      <xdr:nvCxnSpPr>
        <xdr:cNvPr id="105" name="直線コネクタ 104">
          <a:extLst>
            <a:ext uri="{FF2B5EF4-FFF2-40B4-BE49-F238E27FC236}">
              <a16:creationId xmlns:a16="http://schemas.microsoft.com/office/drawing/2014/main" id="{00000000-0008-0000-0200-000069000000}"/>
            </a:ext>
          </a:extLst>
        </xdr:cNvPr>
        <xdr:cNvCxnSpPr/>
      </xdr:nvCxnSpPr>
      <xdr:spPr>
        <a:xfrm>
          <a:off x="5005915" y="12370858"/>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34396</xdr:colOff>
      <xdr:row>96</xdr:row>
      <xdr:rowOff>0</xdr:rowOff>
    </xdr:from>
    <xdr:to>
      <xdr:col>17</xdr:col>
      <xdr:colOff>34395</xdr:colOff>
      <xdr:row>102</xdr:row>
      <xdr:rowOff>0</xdr:rowOff>
    </xdr:to>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8776229" y="16256000"/>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333999</xdr:colOff>
      <xdr:row>93</xdr:row>
      <xdr:rowOff>146971</xdr:rowOff>
    </xdr:from>
    <xdr:to>
      <xdr:col>15</xdr:col>
      <xdr:colOff>376429</xdr:colOff>
      <xdr:row>96</xdr:row>
      <xdr:rowOff>0</xdr:rowOff>
    </xdr:to>
    <xdr:cxnSp macro="">
      <xdr:nvCxnSpPr>
        <xdr:cNvPr id="107" name="カギ線コネクタ 106">
          <a:extLst>
            <a:ext uri="{FF2B5EF4-FFF2-40B4-BE49-F238E27FC236}">
              <a16:creationId xmlns:a16="http://schemas.microsoft.com/office/drawing/2014/main" id="{00000000-0008-0000-0200-00006B000000}"/>
            </a:ext>
          </a:extLst>
        </xdr:cNvPr>
        <xdr:cNvCxnSpPr>
          <a:endCxn id="106" idx="0"/>
        </xdr:cNvCxnSpPr>
      </xdr:nvCxnSpPr>
      <xdr:spPr>
        <a:xfrm rot="16200000" flipH="1">
          <a:off x="8292116" y="14805437"/>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355862</xdr:colOff>
      <xdr:row>68</xdr:row>
      <xdr:rowOff>-1</xdr:rowOff>
    </xdr:from>
    <xdr:to>
      <xdr:col>17</xdr:col>
      <xdr:colOff>34394</xdr:colOff>
      <xdr:row>99</xdr:row>
      <xdr:rowOff>0</xdr:rowOff>
    </xdr:to>
    <xdr:cxnSp macro="">
      <xdr:nvCxnSpPr>
        <xdr:cNvPr id="108" name="カギ線コネクタ 107">
          <a:extLst>
            <a:ext uri="{FF2B5EF4-FFF2-40B4-BE49-F238E27FC236}">
              <a16:creationId xmlns:a16="http://schemas.microsoft.com/office/drawing/2014/main" id="{00000000-0008-0000-0200-00006C000000}"/>
            </a:ext>
          </a:extLst>
        </xdr:cNvPr>
        <xdr:cNvCxnSpPr>
          <a:stCxn id="110" idx="0"/>
          <a:endCxn id="106" idx="3"/>
        </xdr:cNvCxnSpPr>
      </xdr:nvCxnSpPr>
      <xdr:spPr>
        <a:xfrm rot="16200000" flipH="1">
          <a:off x="6312294" y="12426817"/>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439206</xdr:colOff>
      <xdr:row>98</xdr:row>
      <xdr:rowOff>162982</xdr:rowOff>
    </xdr:from>
    <xdr:to>
      <xdr:col>15</xdr:col>
      <xdr:colOff>379677</xdr:colOff>
      <xdr:row>102</xdr:row>
      <xdr:rowOff>0</xdr:rowOff>
    </xdr:to>
    <xdr:cxnSp macro="">
      <xdr:nvCxnSpPr>
        <xdr:cNvPr id="109" name="カギ線コネクタ 108">
          <a:extLst>
            <a:ext uri="{FF2B5EF4-FFF2-40B4-BE49-F238E27FC236}">
              <a16:creationId xmlns:a16="http://schemas.microsoft.com/office/drawing/2014/main" id="{00000000-0008-0000-0200-00006D000000}"/>
            </a:ext>
          </a:extLst>
        </xdr:cNvPr>
        <xdr:cNvCxnSpPr>
          <a:endCxn id="106" idx="2"/>
        </xdr:cNvCxnSpPr>
      </xdr:nvCxnSpPr>
      <xdr:spPr>
        <a:xfrm>
          <a:off x="3561289" y="16757649"/>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10582</xdr:colOff>
      <xdr:row>68</xdr:row>
      <xdr:rowOff>-1</xdr:rowOff>
    </xdr:from>
    <xdr:to>
      <xdr:col>13</xdr:col>
      <xdr:colOff>10582</xdr:colOff>
      <xdr:row>74</xdr:row>
      <xdr:rowOff>-1</xdr:rowOff>
    </xdr:to>
    <xdr:sp macro="" textlink="">
      <xdr:nvSpPr>
        <xdr:cNvPr id="110" name="正方形/長方形 109">
          <a:extLst>
            <a:ext uri="{FF2B5EF4-FFF2-40B4-BE49-F238E27FC236}">
              <a16:creationId xmlns:a16="http://schemas.microsoft.com/office/drawing/2014/main" id="{00000000-0008-0000-0200-00006E000000}"/>
            </a:ext>
          </a:extLst>
        </xdr:cNvPr>
        <xdr:cNvSpPr/>
      </xdr:nvSpPr>
      <xdr:spPr>
        <a:xfrm>
          <a:off x="6254749" y="11514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a:t>
          </a:r>
          <a:r>
            <a:rPr kumimoji="1" lang="en-US" altLang="ja-JP" sz="1100">
              <a:solidFill>
                <a:sysClr val="windowText" lastClr="000000"/>
              </a:solidFill>
              <a:latin typeface="+mn-lt"/>
              <a:ea typeface="+mn-ea"/>
              <a:cs typeface="+mn-cs"/>
            </a:rPr>
            <a:t>AP</a:t>
          </a:r>
          <a:r>
            <a:rPr kumimoji="1" lang="ja-JP" altLang="en-US" sz="1100">
              <a:solidFill>
                <a:sysClr val="windowText" lastClr="000000"/>
              </a:solidFill>
              <a:latin typeface="+mn-lt"/>
              <a:ea typeface="+mn-ea"/>
              <a:cs typeface="+mn-cs"/>
            </a:rPr>
            <a:t>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68</xdr:row>
      <xdr:rowOff>4231</xdr:rowOff>
    </xdr:from>
    <xdr:to>
      <xdr:col>16</xdr:col>
      <xdr:colOff>10582</xdr:colOff>
      <xdr:row>75</xdr:row>
      <xdr:rowOff>137583</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7990415" y="11518898"/>
          <a:ext cx="1841500" cy="1318685"/>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r>
            <a:rPr kumimoji="1" lang="ja-JP" altLang="en-US" sz="800">
              <a:solidFill>
                <a:sysClr val="windowText" lastClr="000000"/>
              </a:solidFill>
            </a:rPr>
            <a:t>・工場</a:t>
          </a:r>
          <a:r>
            <a:rPr kumimoji="1" lang="en-US" altLang="ja-JP" sz="800">
              <a:solidFill>
                <a:sysClr val="windowText" lastClr="000000"/>
              </a:solidFill>
            </a:rPr>
            <a:t>DB</a:t>
          </a:r>
          <a:endParaRPr kumimoji="1" lang="ja-JP" altLang="en-US"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11</xdr:col>
      <xdr:colOff>129648</xdr:colOff>
      <xdr:row>80</xdr:row>
      <xdr:rowOff>35718</xdr:rowOff>
    </xdr:from>
    <xdr:to>
      <xdr:col>12</xdr:col>
      <xdr:colOff>10586</xdr:colOff>
      <xdr:row>83</xdr:row>
      <xdr:rowOff>137584</xdr:rowOff>
    </xdr:to>
    <xdr:cxnSp macro="">
      <xdr:nvCxnSpPr>
        <xdr:cNvPr id="112" name="カギ線コネクタ 111">
          <a:extLst>
            <a:ext uri="{FF2B5EF4-FFF2-40B4-BE49-F238E27FC236}">
              <a16:creationId xmlns:a16="http://schemas.microsoft.com/office/drawing/2014/main" id="{00000000-0008-0000-0200-000070000000}"/>
            </a:ext>
          </a:extLst>
        </xdr:cNvPr>
        <xdr:cNvCxnSpPr>
          <a:stCxn id="113" idx="1"/>
        </xdr:cNvCxnSpPr>
      </xdr:nvCxnSpPr>
      <xdr:spPr>
        <a:xfrm rot="10800000">
          <a:off x="6998231" y="13582385"/>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10585</xdr:colOff>
      <xdr:row>83</xdr:row>
      <xdr:rowOff>1</xdr:rowOff>
    </xdr:from>
    <xdr:to>
      <xdr:col>15</xdr:col>
      <xdr:colOff>116417</xdr:colOff>
      <xdr:row>84</xdr:row>
      <xdr:rowOff>105833</xdr:rowOff>
    </xdr:to>
    <xdr:sp macro="" textlink="">
      <xdr:nvSpPr>
        <xdr:cNvPr id="113" name="正方形/長方形 112">
          <a:extLst>
            <a:ext uri="{FF2B5EF4-FFF2-40B4-BE49-F238E27FC236}">
              <a16:creationId xmlns:a16="http://schemas.microsoft.com/office/drawing/2014/main" id="{00000000-0008-0000-0200-000071000000}"/>
            </a:ext>
          </a:extLst>
        </xdr:cNvPr>
        <xdr:cNvSpPr/>
      </xdr:nvSpPr>
      <xdr:spPr>
        <a:xfrm>
          <a:off x="7503585" y="14054668"/>
          <a:ext cx="1979082"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182032</xdr:colOff>
      <xdr:row>82</xdr:row>
      <xdr:rowOff>19050</xdr:rowOff>
    </xdr:from>
    <xdr:to>
      <xdr:col>2</xdr:col>
      <xdr:colOff>182032</xdr:colOff>
      <xdr:row>83</xdr:row>
      <xdr:rowOff>133350</xdr:rowOff>
    </xdr:to>
    <xdr:cxnSp macro="">
      <xdr:nvCxnSpPr>
        <xdr:cNvPr id="114" name="直線矢印コネクタ 113">
          <a:extLst>
            <a:ext uri="{FF2B5EF4-FFF2-40B4-BE49-F238E27FC236}">
              <a16:creationId xmlns:a16="http://schemas.microsoft.com/office/drawing/2014/main" id="{00000000-0008-0000-0200-000072000000}"/>
            </a:ext>
          </a:extLst>
        </xdr:cNvPr>
        <xdr:cNvCxnSpPr/>
      </xdr:nvCxnSpPr>
      <xdr:spPr>
        <a:xfrm flipV="1">
          <a:off x="1430865"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508263</xdr:colOff>
      <xdr:row>83</xdr:row>
      <xdr:rowOff>90487</xdr:rowOff>
    </xdr:from>
    <xdr:to>
      <xdr:col>9</xdr:col>
      <xdr:colOff>184413</xdr:colOff>
      <xdr:row>83</xdr:row>
      <xdr:rowOff>90488</xdr:rowOff>
    </xdr:to>
    <xdr:cxnSp macro="">
      <xdr:nvCxnSpPr>
        <xdr:cNvPr id="115" name="直線矢印コネクタ 114">
          <a:extLst>
            <a:ext uri="{FF2B5EF4-FFF2-40B4-BE49-F238E27FC236}">
              <a16:creationId xmlns:a16="http://schemas.microsoft.com/office/drawing/2014/main" id="{00000000-0008-0000-0200-000073000000}"/>
            </a:ext>
          </a:extLst>
        </xdr:cNvPr>
        <xdr:cNvCxnSpPr/>
      </xdr:nvCxnSpPr>
      <xdr:spPr>
        <a:xfrm flipH="1">
          <a:off x="5503596" y="14145154"/>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210607</xdr:colOff>
      <xdr:row>95</xdr:row>
      <xdr:rowOff>28574</xdr:rowOff>
    </xdr:from>
    <xdr:to>
      <xdr:col>6</xdr:col>
      <xdr:colOff>210607</xdr:colOff>
      <xdr:row>96</xdr:row>
      <xdr:rowOff>142876</xdr:rowOff>
    </xdr:to>
    <xdr:cxnSp macro="">
      <xdr:nvCxnSpPr>
        <xdr:cNvPr id="116" name="直線矢印コネクタ 115">
          <a:extLst>
            <a:ext uri="{FF2B5EF4-FFF2-40B4-BE49-F238E27FC236}">
              <a16:creationId xmlns:a16="http://schemas.microsoft.com/office/drawing/2014/main" id="{00000000-0008-0000-0200-000074000000}"/>
            </a:ext>
          </a:extLst>
        </xdr:cNvPr>
        <xdr:cNvCxnSpPr/>
      </xdr:nvCxnSpPr>
      <xdr:spPr>
        <a:xfrm flipV="1">
          <a:off x="3957107" y="16115241"/>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20106</xdr:colOff>
      <xdr:row>82</xdr:row>
      <xdr:rowOff>14287</xdr:rowOff>
    </xdr:from>
    <xdr:to>
      <xdr:col>11</xdr:col>
      <xdr:colOff>20106</xdr:colOff>
      <xdr:row>83</xdr:row>
      <xdr:rowOff>133350</xdr:rowOff>
    </xdr:to>
    <xdr:cxnSp macro="">
      <xdr:nvCxnSpPr>
        <xdr:cNvPr id="117" name="直線矢印コネクタ 116">
          <a:extLst>
            <a:ext uri="{FF2B5EF4-FFF2-40B4-BE49-F238E27FC236}">
              <a16:creationId xmlns:a16="http://schemas.microsoft.com/office/drawing/2014/main" id="{00000000-0008-0000-0200-000075000000}"/>
            </a:ext>
          </a:extLst>
        </xdr:cNvPr>
        <xdr:cNvCxnSpPr/>
      </xdr:nvCxnSpPr>
      <xdr:spPr>
        <a:xfrm flipV="1">
          <a:off x="6888689" y="13899620"/>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508264</xdr:colOff>
      <xdr:row>94</xdr:row>
      <xdr:rowOff>76200</xdr:rowOff>
    </xdr:from>
    <xdr:to>
      <xdr:col>9</xdr:col>
      <xdr:colOff>184414</xdr:colOff>
      <xdr:row>94</xdr:row>
      <xdr:rowOff>76201</xdr:rowOff>
    </xdr:to>
    <xdr:cxnSp macro="">
      <xdr:nvCxnSpPr>
        <xdr:cNvPr id="118" name="直線矢印コネクタ 117">
          <a:extLst>
            <a:ext uri="{FF2B5EF4-FFF2-40B4-BE49-F238E27FC236}">
              <a16:creationId xmlns:a16="http://schemas.microsoft.com/office/drawing/2014/main" id="{00000000-0008-0000-0200-000076000000}"/>
            </a:ext>
          </a:extLst>
        </xdr:cNvPr>
        <xdr:cNvCxnSpPr/>
      </xdr:nvCxnSpPr>
      <xdr:spPr>
        <a:xfrm flipH="1">
          <a:off x="5503597" y="15993533"/>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110594</xdr:colOff>
      <xdr:row>94</xdr:row>
      <xdr:rowOff>76200</xdr:rowOff>
    </xdr:from>
    <xdr:to>
      <xdr:col>12</xdr:col>
      <xdr:colOff>472544</xdr:colOff>
      <xdr:row>94</xdr:row>
      <xdr:rowOff>76201</xdr:rowOff>
    </xdr:to>
    <xdr:cxnSp macro="">
      <xdr:nvCxnSpPr>
        <xdr:cNvPr id="119" name="直線矢印コネクタ 118">
          <a:extLst>
            <a:ext uri="{FF2B5EF4-FFF2-40B4-BE49-F238E27FC236}">
              <a16:creationId xmlns:a16="http://schemas.microsoft.com/office/drawing/2014/main" id="{00000000-0008-0000-0200-000077000000}"/>
            </a:ext>
          </a:extLst>
        </xdr:cNvPr>
        <xdr:cNvCxnSpPr/>
      </xdr:nvCxnSpPr>
      <xdr:spPr>
        <a:xfrm flipH="1">
          <a:off x="7603594" y="15993533"/>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187228</xdr:colOff>
      <xdr:row>102</xdr:row>
      <xdr:rowOff>162792</xdr:rowOff>
    </xdr:from>
    <xdr:to>
      <xdr:col>15</xdr:col>
      <xdr:colOff>192423</xdr:colOff>
      <xdr:row>105</xdr:row>
      <xdr:rowOff>8659</xdr:rowOff>
    </xdr:to>
    <xdr:cxnSp macro="">
      <xdr:nvCxnSpPr>
        <xdr:cNvPr id="120" name="直線矢印コネクタ 119">
          <a:extLst>
            <a:ext uri="{FF2B5EF4-FFF2-40B4-BE49-F238E27FC236}">
              <a16:creationId xmlns:a16="http://schemas.microsoft.com/office/drawing/2014/main" id="{00000000-0008-0000-0200-000078000000}"/>
            </a:ext>
          </a:extLst>
        </xdr:cNvPr>
        <xdr:cNvCxnSpPr/>
      </xdr:nvCxnSpPr>
      <xdr:spPr>
        <a:xfrm flipH="1" flipV="1">
          <a:off x="9553478" y="17434792"/>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82</xdr:row>
      <xdr:rowOff>19050</xdr:rowOff>
    </xdr:from>
    <xdr:to>
      <xdr:col>6</xdr:col>
      <xdr:colOff>201082</xdr:colOff>
      <xdr:row>83</xdr:row>
      <xdr:rowOff>133350</xdr:rowOff>
    </xdr:to>
    <xdr:cxnSp macro="">
      <xdr:nvCxnSpPr>
        <xdr:cNvPr id="121" name="直線矢印コネクタ 120">
          <a:extLst>
            <a:ext uri="{FF2B5EF4-FFF2-40B4-BE49-F238E27FC236}">
              <a16:creationId xmlns:a16="http://schemas.microsoft.com/office/drawing/2014/main" id="{00000000-0008-0000-0200-000079000000}"/>
            </a:ext>
          </a:extLst>
        </xdr:cNvPr>
        <xdr:cNvCxnSpPr/>
      </xdr:nvCxnSpPr>
      <xdr:spPr>
        <a:xfrm flipV="1">
          <a:off x="3947582"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343957</xdr:colOff>
      <xdr:row>66</xdr:row>
      <xdr:rowOff>76200</xdr:rowOff>
    </xdr:from>
    <xdr:to>
      <xdr:col>12</xdr:col>
      <xdr:colOff>20107</xdr:colOff>
      <xdr:row>66</xdr:row>
      <xdr:rowOff>76201</xdr:rowOff>
    </xdr:to>
    <xdr:cxnSp macro="">
      <xdr:nvCxnSpPr>
        <xdr:cNvPr id="122" name="直線矢印コネクタ 121">
          <a:extLst>
            <a:ext uri="{FF2B5EF4-FFF2-40B4-BE49-F238E27FC236}">
              <a16:creationId xmlns:a16="http://schemas.microsoft.com/office/drawing/2014/main" id="{00000000-0008-0000-0200-00007A000000}"/>
            </a:ext>
          </a:extLst>
        </xdr:cNvPr>
        <xdr:cNvCxnSpPr/>
      </xdr:nvCxnSpPr>
      <xdr:spPr>
        <a:xfrm flipH="1">
          <a:off x="7212540" y="11252200"/>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76</xdr:row>
      <xdr:rowOff>0</xdr:rowOff>
    </xdr:from>
    <xdr:to>
      <xdr:col>10</xdr:col>
      <xdr:colOff>29632</xdr:colOff>
      <xdr:row>76</xdr:row>
      <xdr:rowOff>0</xdr:rowOff>
    </xdr:to>
    <xdr:cxnSp macro="">
      <xdr:nvCxnSpPr>
        <xdr:cNvPr id="123" name="直線コネクタ 122">
          <a:extLst>
            <a:ext uri="{FF2B5EF4-FFF2-40B4-BE49-F238E27FC236}">
              <a16:creationId xmlns:a16="http://schemas.microsoft.com/office/drawing/2014/main" id="{00000000-0008-0000-0200-00007B000000}"/>
            </a:ext>
          </a:extLst>
        </xdr:cNvPr>
        <xdr:cNvCxnSpPr/>
      </xdr:nvCxnSpPr>
      <xdr:spPr>
        <a:xfrm>
          <a:off x="5005915" y="12869333"/>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72</xdr:row>
      <xdr:rowOff>76200</xdr:rowOff>
    </xdr:from>
    <xdr:to>
      <xdr:col>9</xdr:col>
      <xdr:colOff>182032</xdr:colOff>
      <xdr:row>72</xdr:row>
      <xdr:rowOff>76201</xdr:rowOff>
    </xdr:to>
    <xdr:cxnSp macro="">
      <xdr:nvCxnSpPr>
        <xdr:cNvPr id="124" name="直線矢印コネクタ 123">
          <a:extLst>
            <a:ext uri="{FF2B5EF4-FFF2-40B4-BE49-F238E27FC236}">
              <a16:creationId xmlns:a16="http://schemas.microsoft.com/office/drawing/2014/main" id="{00000000-0008-0000-0200-00007C000000}"/>
            </a:ext>
          </a:extLst>
        </xdr:cNvPr>
        <xdr:cNvCxnSpPr/>
      </xdr:nvCxnSpPr>
      <xdr:spPr>
        <a:xfrm flipH="1">
          <a:off x="5501215" y="12268200"/>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76</xdr:row>
      <xdr:rowOff>95250</xdr:rowOff>
    </xdr:from>
    <xdr:to>
      <xdr:col>9</xdr:col>
      <xdr:colOff>182032</xdr:colOff>
      <xdr:row>76</xdr:row>
      <xdr:rowOff>95251</xdr:rowOff>
    </xdr:to>
    <xdr:cxnSp macro="">
      <xdr:nvCxnSpPr>
        <xdr:cNvPr id="125" name="直線矢印コネクタ 124">
          <a:extLst>
            <a:ext uri="{FF2B5EF4-FFF2-40B4-BE49-F238E27FC236}">
              <a16:creationId xmlns:a16="http://schemas.microsoft.com/office/drawing/2014/main" id="{00000000-0008-0000-0200-00007D000000}"/>
            </a:ext>
          </a:extLst>
        </xdr:cNvPr>
        <xdr:cNvCxnSpPr/>
      </xdr:nvCxnSpPr>
      <xdr:spPr>
        <a:xfrm flipH="1">
          <a:off x="5501215" y="12964583"/>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70</xdr:row>
      <xdr:rowOff>28575</xdr:rowOff>
    </xdr:from>
    <xdr:to>
      <xdr:col>6</xdr:col>
      <xdr:colOff>201082</xdr:colOff>
      <xdr:row>71</xdr:row>
      <xdr:rowOff>142875</xdr:rowOff>
    </xdr:to>
    <xdr:cxnSp macro="">
      <xdr:nvCxnSpPr>
        <xdr:cNvPr id="126" name="直線矢印コネクタ 125">
          <a:extLst>
            <a:ext uri="{FF2B5EF4-FFF2-40B4-BE49-F238E27FC236}">
              <a16:creationId xmlns:a16="http://schemas.microsoft.com/office/drawing/2014/main" id="{00000000-0008-0000-0200-00007E000000}"/>
            </a:ext>
          </a:extLst>
        </xdr:cNvPr>
        <xdr:cNvCxnSpPr/>
      </xdr:nvCxnSpPr>
      <xdr:spPr>
        <a:xfrm flipV="1">
          <a:off x="3947582" y="1188190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182032</xdr:colOff>
      <xdr:row>70</xdr:row>
      <xdr:rowOff>19050</xdr:rowOff>
    </xdr:from>
    <xdr:to>
      <xdr:col>2</xdr:col>
      <xdr:colOff>182032</xdr:colOff>
      <xdr:row>71</xdr:row>
      <xdr:rowOff>133350</xdr:rowOff>
    </xdr:to>
    <xdr:cxnSp macro="">
      <xdr:nvCxnSpPr>
        <xdr:cNvPr id="127" name="直線矢印コネクタ 126">
          <a:extLst>
            <a:ext uri="{FF2B5EF4-FFF2-40B4-BE49-F238E27FC236}">
              <a16:creationId xmlns:a16="http://schemas.microsoft.com/office/drawing/2014/main" id="{00000000-0008-0000-0200-00007F000000}"/>
            </a:ext>
          </a:extLst>
        </xdr:cNvPr>
        <xdr:cNvCxnSpPr/>
      </xdr:nvCxnSpPr>
      <xdr:spPr>
        <a:xfrm flipV="1">
          <a:off x="1430865" y="11872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201082</xdr:colOff>
      <xdr:row>102</xdr:row>
      <xdr:rowOff>28575</xdr:rowOff>
    </xdr:from>
    <xdr:to>
      <xdr:col>8</xdr:col>
      <xdr:colOff>201082</xdr:colOff>
      <xdr:row>103</xdr:row>
      <xdr:rowOff>142876</xdr:rowOff>
    </xdr:to>
    <xdr:cxnSp macro="">
      <xdr:nvCxnSpPr>
        <xdr:cNvPr id="128" name="直線矢印コネクタ 127">
          <a:extLst>
            <a:ext uri="{FF2B5EF4-FFF2-40B4-BE49-F238E27FC236}">
              <a16:creationId xmlns:a16="http://schemas.microsoft.com/office/drawing/2014/main" id="{00000000-0008-0000-0200-000080000000}"/>
            </a:ext>
          </a:extLst>
        </xdr:cNvPr>
        <xdr:cNvCxnSpPr/>
      </xdr:nvCxnSpPr>
      <xdr:spPr>
        <a:xfrm flipV="1">
          <a:off x="5196415" y="1730057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182032</xdr:colOff>
      <xdr:row>102</xdr:row>
      <xdr:rowOff>76200</xdr:rowOff>
    </xdr:from>
    <xdr:to>
      <xdr:col>6</xdr:col>
      <xdr:colOff>543982</xdr:colOff>
      <xdr:row>102</xdr:row>
      <xdr:rowOff>76201</xdr:rowOff>
    </xdr:to>
    <xdr:cxnSp macro="">
      <xdr:nvCxnSpPr>
        <xdr:cNvPr id="129" name="直線矢印コネクタ 128">
          <a:extLst>
            <a:ext uri="{FF2B5EF4-FFF2-40B4-BE49-F238E27FC236}">
              <a16:creationId xmlns:a16="http://schemas.microsoft.com/office/drawing/2014/main" id="{00000000-0008-0000-0200-000081000000}"/>
            </a:ext>
          </a:extLst>
        </xdr:cNvPr>
        <xdr:cNvCxnSpPr/>
      </xdr:nvCxnSpPr>
      <xdr:spPr>
        <a:xfrm flipH="1">
          <a:off x="3928532"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172507</xdr:colOff>
      <xdr:row>102</xdr:row>
      <xdr:rowOff>76200</xdr:rowOff>
    </xdr:from>
    <xdr:to>
      <xdr:col>10</xdr:col>
      <xdr:colOff>534457</xdr:colOff>
      <xdr:row>102</xdr:row>
      <xdr:rowOff>76201</xdr:rowOff>
    </xdr:to>
    <xdr:cxnSp macro="">
      <xdr:nvCxnSpPr>
        <xdr:cNvPr id="130" name="直線矢印コネクタ 129">
          <a:extLst>
            <a:ext uri="{FF2B5EF4-FFF2-40B4-BE49-F238E27FC236}">
              <a16:creationId xmlns:a16="http://schemas.microsoft.com/office/drawing/2014/main" id="{00000000-0008-0000-0200-000082000000}"/>
            </a:ext>
          </a:extLst>
        </xdr:cNvPr>
        <xdr:cNvCxnSpPr/>
      </xdr:nvCxnSpPr>
      <xdr:spPr>
        <a:xfrm flipH="1">
          <a:off x="6416674"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291569</xdr:colOff>
      <xdr:row>91</xdr:row>
      <xdr:rowOff>130969</xdr:rowOff>
    </xdr:from>
    <xdr:to>
      <xdr:col>8</xdr:col>
      <xdr:colOff>13228</xdr:colOff>
      <xdr:row>93</xdr:row>
      <xdr:rowOff>146971</xdr:rowOff>
    </xdr:to>
    <xdr:sp macro="" textlink="">
      <xdr:nvSpPr>
        <xdr:cNvPr id="131" name="円柱 130">
          <a:extLst>
            <a:ext uri="{FF2B5EF4-FFF2-40B4-BE49-F238E27FC236}">
              <a16:creationId xmlns:a16="http://schemas.microsoft.com/office/drawing/2014/main" id="{00000000-0008-0000-0200-000083000000}"/>
            </a:ext>
          </a:extLst>
        </xdr:cNvPr>
        <xdr:cNvSpPr/>
      </xdr:nvSpPr>
      <xdr:spPr>
        <a:xfrm>
          <a:off x="4662486" y="15540302"/>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286807</xdr:colOff>
      <xdr:row>71</xdr:row>
      <xdr:rowOff>123824</xdr:rowOff>
    </xdr:from>
    <xdr:to>
      <xdr:col>16</xdr:col>
      <xdr:colOff>14815</xdr:colOff>
      <xdr:row>73</xdr:row>
      <xdr:rowOff>139827</xdr:rowOff>
    </xdr:to>
    <xdr:sp macro="" textlink="">
      <xdr:nvSpPr>
        <xdr:cNvPr id="132" name="円柱 131">
          <a:extLst>
            <a:ext uri="{FF2B5EF4-FFF2-40B4-BE49-F238E27FC236}">
              <a16:creationId xmlns:a16="http://schemas.microsoft.com/office/drawing/2014/main" id="{00000000-0008-0000-0200-000084000000}"/>
            </a:ext>
          </a:extLst>
        </xdr:cNvPr>
        <xdr:cNvSpPr/>
      </xdr:nvSpPr>
      <xdr:spPr>
        <a:xfrm>
          <a:off x="9653057" y="12146491"/>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334432</xdr:colOff>
      <xdr:row>70</xdr:row>
      <xdr:rowOff>150813</xdr:rowOff>
    </xdr:from>
    <xdr:to>
      <xdr:col>16</xdr:col>
      <xdr:colOff>324907</xdr:colOff>
      <xdr:row>88</xdr:row>
      <xdr:rowOff>8659</xdr:rowOff>
    </xdr:to>
    <xdr:grpSp>
      <xdr:nvGrpSpPr>
        <xdr:cNvPr id="133" name="グループ化 132">
          <a:extLst>
            <a:ext uri="{FF2B5EF4-FFF2-40B4-BE49-F238E27FC236}">
              <a16:creationId xmlns:a16="http://schemas.microsoft.com/office/drawing/2014/main" id="{00000000-0008-0000-0200-000085000000}"/>
            </a:ext>
          </a:extLst>
        </xdr:cNvPr>
        <xdr:cNvGrpSpPr/>
      </xdr:nvGrpSpPr>
      <xdr:grpSpPr>
        <a:xfrm>
          <a:off x="7144807" y="11485563"/>
          <a:ext cx="3086100" cy="2772496"/>
          <a:chOff x="7867650" y="1350963"/>
          <a:chExt cx="3419475" cy="2945528"/>
        </a:xfrm>
      </xdr:grpSpPr>
      <xdr:cxnSp macro="">
        <xdr:nvCxnSpPr>
          <xdr:cNvPr id="134" name="直線コネクタ 133">
            <a:extLst>
              <a:ext uri="{FF2B5EF4-FFF2-40B4-BE49-F238E27FC236}">
                <a16:creationId xmlns:a16="http://schemas.microsoft.com/office/drawing/2014/main" id="{00000000-0008-0000-0200-000086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5" name="直線コネクタ 134">
            <a:extLst>
              <a:ext uri="{FF2B5EF4-FFF2-40B4-BE49-F238E27FC236}">
                <a16:creationId xmlns:a16="http://schemas.microsoft.com/office/drawing/2014/main" id="{00000000-0008-0000-0200-000087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200-000088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200-000089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172507</xdr:colOff>
      <xdr:row>86</xdr:row>
      <xdr:rowOff>66674</xdr:rowOff>
    </xdr:from>
    <xdr:to>
      <xdr:col>14</xdr:col>
      <xdr:colOff>534457</xdr:colOff>
      <xdr:row>86</xdr:row>
      <xdr:rowOff>66675</xdr:rowOff>
    </xdr:to>
    <xdr:cxnSp macro="">
      <xdr:nvCxnSpPr>
        <xdr:cNvPr id="138" name="直線矢印コネクタ 137">
          <a:extLst>
            <a:ext uri="{FF2B5EF4-FFF2-40B4-BE49-F238E27FC236}">
              <a16:creationId xmlns:a16="http://schemas.microsoft.com/office/drawing/2014/main" id="{00000000-0008-0000-0200-00008A000000}"/>
            </a:ext>
          </a:extLst>
        </xdr:cNvPr>
        <xdr:cNvCxnSpPr/>
      </xdr:nvCxnSpPr>
      <xdr:spPr>
        <a:xfrm flipH="1">
          <a:off x="8914340" y="14629341"/>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329672</xdr:colOff>
      <xdr:row>96</xdr:row>
      <xdr:rowOff>0</xdr:rowOff>
    </xdr:from>
    <xdr:to>
      <xdr:col>13</xdr:col>
      <xdr:colOff>332050</xdr:colOff>
      <xdr:row>101</xdr:row>
      <xdr:rowOff>154780</xdr:rowOff>
    </xdr:to>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6573839" y="16256000"/>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287673</xdr:colOff>
      <xdr:row>91</xdr:row>
      <xdr:rowOff>129887</xdr:rowOff>
    </xdr:from>
    <xdr:to>
      <xdr:col>12</xdr:col>
      <xdr:colOff>15681</xdr:colOff>
      <xdr:row>93</xdr:row>
      <xdr:rowOff>145889</xdr:rowOff>
    </xdr:to>
    <xdr:sp macro="" textlink="">
      <xdr:nvSpPr>
        <xdr:cNvPr id="140" name="円柱 139">
          <a:extLst>
            <a:ext uri="{FF2B5EF4-FFF2-40B4-BE49-F238E27FC236}">
              <a16:creationId xmlns:a16="http://schemas.microsoft.com/office/drawing/2014/main" id="{00000000-0008-0000-0200-00008C000000}"/>
            </a:ext>
          </a:extLst>
        </xdr:cNvPr>
        <xdr:cNvSpPr/>
      </xdr:nvSpPr>
      <xdr:spPr>
        <a:xfrm>
          <a:off x="7156256" y="15539220"/>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46300</xdr:colOff>
      <xdr:row>94</xdr:row>
      <xdr:rowOff>0</xdr:rowOff>
    </xdr:from>
    <xdr:to>
      <xdr:col>11</xdr:col>
      <xdr:colOff>46300</xdr:colOff>
      <xdr:row>95</xdr:row>
      <xdr:rowOff>154780</xdr:rowOff>
    </xdr:to>
    <xdr:cxnSp macro="">
      <xdr:nvCxnSpPr>
        <xdr:cNvPr id="141" name="直線コネクタ 140">
          <a:extLst>
            <a:ext uri="{FF2B5EF4-FFF2-40B4-BE49-F238E27FC236}">
              <a16:creationId xmlns:a16="http://schemas.microsoft.com/office/drawing/2014/main" id="{00000000-0008-0000-0200-00008D000000}"/>
            </a:ext>
          </a:extLst>
        </xdr:cNvPr>
        <xdr:cNvCxnSpPr/>
      </xdr:nvCxnSpPr>
      <xdr:spPr>
        <a:xfrm>
          <a:off x="6914883" y="15917333"/>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591607</xdr:colOff>
      <xdr:row>94</xdr:row>
      <xdr:rowOff>16671</xdr:rowOff>
    </xdr:from>
    <xdr:to>
      <xdr:col>10</xdr:col>
      <xdr:colOff>591607</xdr:colOff>
      <xdr:row>95</xdr:row>
      <xdr:rowOff>130971</xdr:rowOff>
    </xdr:to>
    <xdr:cxnSp macro="">
      <xdr:nvCxnSpPr>
        <xdr:cNvPr id="142" name="直線矢印コネクタ 141">
          <a:extLst>
            <a:ext uri="{FF2B5EF4-FFF2-40B4-BE49-F238E27FC236}">
              <a16:creationId xmlns:a16="http://schemas.microsoft.com/office/drawing/2014/main" id="{00000000-0008-0000-0200-00008E000000}"/>
            </a:ext>
          </a:extLst>
        </xdr:cNvPr>
        <xdr:cNvCxnSpPr/>
      </xdr:nvCxnSpPr>
      <xdr:spPr>
        <a:xfrm flipV="1">
          <a:off x="6835774" y="15934004"/>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427301</xdr:colOff>
      <xdr:row>93</xdr:row>
      <xdr:rowOff>154781</xdr:rowOff>
    </xdr:from>
    <xdr:to>
      <xdr:col>5</xdr:col>
      <xdr:colOff>427301</xdr:colOff>
      <xdr:row>99</xdr:row>
      <xdr:rowOff>0</xdr:rowOff>
    </xdr:to>
    <xdr:cxnSp macro="">
      <xdr:nvCxnSpPr>
        <xdr:cNvPr id="143" name="直線コネクタ 142">
          <a:extLst>
            <a:ext uri="{FF2B5EF4-FFF2-40B4-BE49-F238E27FC236}">
              <a16:creationId xmlns:a16="http://schemas.microsoft.com/office/drawing/2014/main" id="{00000000-0008-0000-0200-00008F000000}"/>
            </a:ext>
          </a:extLst>
        </xdr:cNvPr>
        <xdr:cNvCxnSpPr/>
      </xdr:nvCxnSpPr>
      <xdr:spPr>
        <a:xfrm>
          <a:off x="3549384" y="15902781"/>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13228</xdr:colOff>
      <xdr:row>77</xdr:row>
      <xdr:rowOff>64292</xdr:rowOff>
    </xdr:from>
    <xdr:to>
      <xdr:col>8</xdr:col>
      <xdr:colOff>355863</xdr:colOff>
      <xdr:row>77</xdr:row>
      <xdr:rowOff>64292</xdr:rowOff>
    </xdr:to>
    <xdr:cxnSp macro="">
      <xdr:nvCxnSpPr>
        <xdr:cNvPr id="144" name="直線コネクタ 143">
          <a:extLst>
            <a:ext uri="{FF2B5EF4-FFF2-40B4-BE49-F238E27FC236}">
              <a16:creationId xmlns:a16="http://schemas.microsoft.com/office/drawing/2014/main" id="{00000000-0008-0000-0200-000090000000}"/>
            </a:ext>
          </a:extLst>
        </xdr:cNvPr>
        <xdr:cNvCxnSpPr/>
      </xdr:nvCxnSpPr>
      <xdr:spPr>
        <a:xfrm>
          <a:off x="5008561" y="13102959"/>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570175</xdr:colOff>
      <xdr:row>79</xdr:row>
      <xdr:rowOff>83343</xdr:rowOff>
    </xdr:from>
    <xdr:to>
      <xdr:col>5</xdr:col>
      <xdr:colOff>52917</xdr:colOff>
      <xdr:row>81</xdr:row>
      <xdr:rowOff>21167</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1819008" y="13460676"/>
          <a:ext cx="1355992" cy="27649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332052</xdr:colOff>
      <xdr:row>75</xdr:row>
      <xdr:rowOff>0</xdr:rowOff>
    </xdr:from>
    <xdr:to>
      <xdr:col>5</xdr:col>
      <xdr:colOff>10583</xdr:colOff>
      <xdr:row>79</xdr:row>
      <xdr:rowOff>83343</xdr:rowOff>
    </xdr:to>
    <xdr:cxnSp macro="">
      <xdr:nvCxnSpPr>
        <xdr:cNvPr id="146" name="カギ線コネクタ 145">
          <a:extLst>
            <a:ext uri="{FF2B5EF4-FFF2-40B4-BE49-F238E27FC236}">
              <a16:creationId xmlns:a16="http://schemas.microsoft.com/office/drawing/2014/main" id="{00000000-0008-0000-0200-000092000000}"/>
            </a:ext>
          </a:extLst>
        </xdr:cNvPr>
        <xdr:cNvCxnSpPr>
          <a:endCxn id="84" idx="1"/>
        </xdr:cNvCxnSpPr>
      </xdr:nvCxnSpPr>
      <xdr:spPr>
        <a:xfrm rot="5400000" flipH="1" flipV="1">
          <a:off x="2600855" y="12928864"/>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448732</xdr:colOff>
      <xdr:row>76</xdr:row>
      <xdr:rowOff>40482</xdr:rowOff>
    </xdr:from>
    <xdr:to>
      <xdr:col>4</xdr:col>
      <xdr:colOff>448732</xdr:colOff>
      <xdr:row>77</xdr:row>
      <xdr:rowOff>154782</xdr:rowOff>
    </xdr:to>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flipV="1">
          <a:off x="2946399" y="1290981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xdr:row>
      <xdr:rowOff>0</xdr:rowOff>
    </xdr:from>
    <xdr:to>
      <xdr:col>12</xdr:col>
      <xdr:colOff>613833</xdr:colOff>
      <xdr:row>60</xdr:row>
      <xdr:rowOff>148166</xdr:rowOff>
    </xdr:to>
    <xdr:sp macro="" textlink="">
      <xdr:nvSpPr>
        <xdr:cNvPr id="148" name="正方形/長方形 147">
          <a:extLst>
            <a:ext uri="{FF2B5EF4-FFF2-40B4-BE49-F238E27FC236}">
              <a16:creationId xmlns:a16="http://schemas.microsoft.com/office/drawing/2014/main" id="{00000000-0008-0000-0200-000094000000}"/>
            </a:ext>
          </a:extLst>
        </xdr:cNvPr>
        <xdr:cNvSpPr/>
      </xdr:nvSpPr>
      <xdr:spPr>
        <a:xfrm>
          <a:off x="624417" y="9821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0</xdr:col>
      <xdr:colOff>308251</xdr:colOff>
      <xdr:row>145</xdr:row>
      <xdr:rowOff>11907</xdr:rowOff>
    </xdr:from>
    <xdr:to>
      <xdr:col>16</xdr:col>
      <xdr:colOff>379689</xdr:colOff>
      <xdr:row>153</xdr:row>
      <xdr:rowOff>11906</xdr:rowOff>
    </xdr:to>
    <xdr:sp macro="" textlink="">
      <xdr:nvSpPr>
        <xdr:cNvPr id="150" name="正方形/長方形 149">
          <a:extLst>
            <a:ext uri="{FF2B5EF4-FFF2-40B4-BE49-F238E27FC236}">
              <a16:creationId xmlns:a16="http://schemas.microsoft.com/office/drawing/2014/main" id="{00000000-0008-0000-0200-000096000000}"/>
            </a:ext>
          </a:extLst>
        </xdr:cNvPr>
        <xdr:cNvSpPr/>
      </xdr:nvSpPr>
      <xdr:spPr>
        <a:xfrm>
          <a:off x="308251" y="24565240"/>
          <a:ext cx="10062105"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296344</xdr:colOff>
      <xdr:row>144</xdr:row>
      <xdr:rowOff>162983</xdr:rowOff>
    </xdr:from>
    <xdr:to>
      <xdr:col>13</xdr:col>
      <xdr:colOff>486843</xdr:colOff>
      <xdr:row>169</xdr:row>
      <xdr:rowOff>11907</xdr:rowOff>
    </xdr:to>
    <xdr:sp macro="" textlink="">
      <xdr:nvSpPr>
        <xdr:cNvPr id="151" name="正方形/長方形 150">
          <a:extLst>
            <a:ext uri="{FF2B5EF4-FFF2-40B4-BE49-F238E27FC236}">
              <a16:creationId xmlns:a16="http://schemas.microsoft.com/office/drawing/2014/main" id="{00000000-0008-0000-0200-000097000000}"/>
            </a:ext>
          </a:extLst>
        </xdr:cNvPr>
        <xdr:cNvSpPr/>
      </xdr:nvSpPr>
      <xdr:spPr>
        <a:xfrm>
          <a:off x="296344" y="24546983"/>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22500</xdr:colOff>
      <xdr:row>161</xdr:row>
      <xdr:rowOff>0</xdr:rowOff>
    </xdr:from>
    <xdr:to>
      <xdr:col>14</xdr:col>
      <xdr:colOff>367781</xdr:colOff>
      <xdr:row>169</xdr:row>
      <xdr:rowOff>1</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642250" y="27262667"/>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382068</xdr:colOff>
      <xdr:row>123</xdr:row>
      <xdr:rowOff>9525</xdr:rowOff>
    </xdr:from>
    <xdr:to>
      <xdr:col>16</xdr:col>
      <xdr:colOff>372543</xdr:colOff>
      <xdr:row>138</xdr:row>
      <xdr:rowOff>161924</xdr:rowOff>
    </xdr:to>
    <xdr:sp macro="" textlink="">
      <xdr:nvSpPr>
        <xdr:cNvPr id="154" name="正方形/長方形 153">
          <a:extLst>
            <a:ext uri="{FF2B5EF4-FFF2-40B4-BE49-F238E27FC236}">
              <a16:creationId xmlns:a16="http://schemas.microsoft.com/office/drawing/2014/main" id="{00000000-0008-0000-0200-00009A000000}"/>
            </a:ext>
          </a:extLst>
        </xdr:cNvPr>
        <xdr:cNvSpPr/>
      </xdr:nvSpPr>
      <xdr:spPr>
        <a:xfrm>
          <a:off x="6001818" y="20837525"/>
          <a:ext cx="4361392"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5</xdr:col>
      <xdr:colOff>10594</xdr:colOff>
      <xdr:row>122</xdr:row>
      <xdr:rowOff>0</xdr:rowOff>
    </xdr:from>
    <xdr:to>
      <xdr:col>8</xdr:col>
      <xdr:colOff>10594</xdr:colOff>
      <xdr:row>128</xdr:row>
      <xdr:rowOff>0</xdr:rowOff>
    </xdr:to>
    <xdr:sp macro="" textlink="">
      <xdr:nvSpPr>
        <xdr:cNvPr id="155" name="正方形/長方形 154">
          <a:extLst>
            <a:ext uri="{FF2B5EF4-FFF2-40B4-BE49-F238E27FC236}">
              <a16:creationId xmlns:a16="http://schemas.microsoft.com/office/drawing/2014/main" id="{00000000-0008-0000-0200-00009B000000}"/>
            </a:ext>
          </a:extLst>
        </xdr:cNvPr>
        <xdr:cNvSpPr/>
      </xdr:nvSpPr>
      <xdr:spPr>
        <a:xfrm>
          <a:off x="3132677"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10594</xdr:colOff>
      <xdr:row>130</xdr:row>
      <xdr:rowOff>1</xdr:rowOff>
    </xdr:from>
    <xdr:to>
      <xdr:col>8</xdr:col>
      <xdr:colOff>10594</xdr:colOff>
      <xdr:row>136</xdr:row>
      <xdr:rowOff>1</xdr:rowOff>
    </xdr:to>
    <xdr:sp macro="" textlink="">
      <xdr:nvSpPr>
        <xdr:cNvPr id="156" name="正方形/長方形 155">
          <a:extLst>
            <a:ext uri="{FF2B5EF4-FFF2-40B4-BE49-F238E27FC236}">
              <a16:creationId xmlns:a16="http://schemas.microsoft.com/office/drawing/2014/main" id="{00000000-0008-0000-0200-00009C000000}"/>
            </a:ext>
          </a:extLst>
        </xdr:cNvPr>
        <xdr:cNvSpPr/>
      </xdr:nvSpPr>
      <xdr:spPr>
        <a:xfrm>
          <a:off x="3132677" y="2201333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10594</xdr:colOff>
      <xdr:row>146</xdr:row>
      <xdr:rowOff>0</xdr:rowOff>
    </xdr:from>
    <xdr:to>
      <xdr:col>8</xdr:col>
      <xdr:colOff>10594</xdr:colOff>
      <xdr:row>152</xdr:row>
      <xdr:rowOff>0</xdr:rowOff>
    </xdr:to>
    <xdr:sp macro="" textlink="">
      <xdr:nvSpPr>
        <xdr:cNvPr id="157" name="正方形/長方形 156">
          <a:extLst>
            <a:ext uri="{FF2B5EF4-FFF2-40B4-BE49-F238E27FC236}">
              <a16:creationId xmlns:a16="http://schemas.microsoft.com/office/drawing/2014/main" id="{00000000-0008-0000-0200-00009D000000}"/>
            </a:ext>
          </a:extLst>
        </xdr:cNvPr>
        <xdr:cNvSpPr/>
      </xdr:nvSpPr>
      <xdr:spPr>
        <a:xfrm>
          <a:off x="3132677"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9</xdr:col>
      <xdr:colOff>10594</xdr:colOff>
      <xdr:row>146</xdr:row>
      <xdr:rowOff>0</xdr:rowOff>
    </xdr:from>
    <xdr:to>
      <xdr:col>12</xdr:col>
      <xdr:colOff>10594</xdr:colOff>
      <xdr:row>152</xdr:row>
      <xdr:rowOff>0</xdr:rowOff>
    </xdr:to>
    <xdr:sp macro="" textlink="">
      <xdr:nvSpPr>
        <xdr:cNvPr id="158" name="正方形/長方形 157">
          <a:extLst>
            <a:ext uri="{FF2B5EF4-FFF2-40B4-BE49-F238E27FC236}">
              <a16:creationId xmlns:a16="http://schemas.microsoft.com/office/drawing/2014/main" id="{00000000-0008-0000-0200-00009E000000}"/>
            </a:ext>
          </a:extLst>
        </xdr:cNvPr>
        <xdr:cNvSpPr/>
      </xdr:nvSpPr>
      <xdr:spPr>
        <a:xfrm>
          <a:off x="5630344"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10594</xdr:colOff>
      <xdr:row>154</xdr:row>
      <xdr:rowOff>1</xdr:rowOff>
    </xdr:from>
    <xdr:to>
      <xdr:col>10</xdr:col>
      <xdr:colOff>10594</xdr:colOff>
      <xdr:row>160</xdr:row>
      <xdr:rowOff>1</xdr:rowOff>
    </xdr:to>
    <xdr:sp macro="" textlink="">
      <xdr:nvSpPr>
        <xdr:cNvPr id="159" name="正方形/長方形 158">
          <a:extLst>
            <a:ext uri="{FF2B5EF4-FFF2-40B4-BE49-F238E27FC236}">
              <a16:creationId xmlns:a16="http://schemas.microsoft.com/office/drawing/2014/main" id="{00000000-0008-0000-0200-00009F000000}"/>
            </a:ext>
          </a:extLst>
        </xdr:cNvPr>
        <xdr:cNvSpPr/>
      </xdr:nvSpPr>
      <xdr:spPr>
        <a:xfrm>
          <a:off x="4381511" y="26077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10594</xdr:colOff>
      <xdr:row>132</xdr:row>
      <xdr:rowOff>0</xdr:rowOff>
    </xdr:from>
    <xdr:to>
      <xdr:col>13</xdr:col>
      <xdr:colOff>10594</xdr:colOff>
      <xdr:row>138</xdr:row>
      <xdr:rowOff>0</xdr:rowOff>
    </xdr:to>
    <xdr:sp macro="" textlink="">
      <xdr:nvSpPr>
        <xdr:cNvPr id="160" name="正方形/長方形 159">
          <a:extLst>
            <a:ext uri="{FF2B5EF4-FFF2-40B4-BE49-F238E27FC236}">
              <a16:creationId xmlns:a16="http://schemas.microsoft.com/office/drawing/2014/main" id="{00000000-0008-0000-0200-0000A0000000}"/>
            </a:ext>
          </a:extLst>
        </xdr:cNvPr>
        <xdr:cNvSpPr/>
      </xdr:nvSpPr>
      <xdr:spPr>
        <a:xfrm>
          <a:off x="625476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10594</xdr:colOff>
      <xdr:row>132</xdr:row>
      <xdr:rowOff>0</xdr:rowOff>
    </xdr:from>
    <xdr:to>
      <xdr:col>16</xdr:col>
      <xdr:colOff>10594</xdr:colOff>
      <xdr:row>138</xdr:row>
      <xdr:rowOff>0</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12801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xdr:col>
      <xdr:colOff>10594</xdr:colOff>
      <xdr:row>130</xdr:row>
      <xdr:rowOff>1</xdr:rowOff>
    </xdr:from>
    <xdr:to>
      <xdr:col>4</xdr:col>
      <xdr:colOff>10594</xdr:colOff>
      <xdr:row>136</xdr:row>
      <xdr:rowOff>1</xdr:rowOff>
    </xdr:to>
    <xdr:sp macro="" textlink="">
      <xdr:nvSpPr>
        <xdr:cNvPr id="162" name="正方形/長方形 161">
          <a:extLst>
            <a:ext uri="{FF2B5EF4-FFF2-40B4-BE49-F238E27FC236}">
              <a16:creationId xmlns:a16="http://schemas.microsoft.com/office/drawing/2014/main" id="{00000000-0008-0000-0200-0000A2000000}"/>
            </a:ext>
          </a:extLst>
        </xdr:cNvPr>
        <xdr:cNvSpPr/>
      </xdr:nvSpPr>
      <xdr:spPr>
        <a:xfrm>
          <a:off x="635011" y="22013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10594</xdr:colOff>
      <xdr:row>122</xdr:row>
      <xdr:rowOff>0</xdr:rowOff>
    </xdr:from>
    <xdr:to>
      <xdr:col>4</xdr:col>
      <xdr:colOff>10594</xdr:colOff>
      <xdr:row>128</xdr:row>
      <xdr:rowOff>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635011"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10594</xdr:colOff>
      <xdr:row>162</xdr:row>
      <xdr:rowOff>0</xdr:rowOff>
    </xdr:from>
    <xdr:to>
      <xdr:col>10</xdr:col>
      <xdr:colOff>10594</xdr:colOff>
      <xdr:row>168</xdr:row>
      <xdr:rowOff>0</xdr:rowOff>
    </xdr:to>
    <xdr:sp macro="" textlink="">
      <xdr:nvSpPr>
        <xdr:cNvPr id="164" name="正方形/長方形 163">
          <a:extLst>
            <a:ext uri="{FF2B5EF4-FFF2-40B4-BE49-F238E27FC236}">
              <a16:creationId xmlns:a16="http://schemas.microsoft.com/office/drawing/2014/main" id="{00000000-0008-0000-0200-0000A4000000}"/>
            </a:ext>
          </a:extLst>
        </xdr:cNvPr>
        <xdr:cNvSpPr/>
      </xdr:nvSpPr>
      <xdr:spPr>
        <a:xfrm>
          <a:off x="4381511"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10594</xdr:colOff>
      <xdr:row>162</xdr:row>
      <xdr:rowOff>0</xdr:rowOff>
    </xdr:from>
    <xdr:to>
      <xdr:col>14</xdr:col>
      <xdr:colOff>10594</xdr:colOff>
      <xdr:row>168</xdr:row>
      <xdr:rowOff>0</xdr:rowOff>
    </xdr:to>
    <xdr:sp macro="" textlink="">
      <xdr:nvSpPr>
        <xdr:cNvPr id="165" name="正方形/長方形 164">
          <a:extLst>
            <a:ext uri="{FF2B5EF4-FFF2-40B4-BE49-F238E27FC236}">
              <a16:creationId xmlns:a16="http://schemas.microsoft.com/office/drawing/2014/main" id="{00000000-0008-0000-0200-0000A5000000}"/>
            </a:ext>
          </a:extLst>
        </xdr:cNvPr>
        <xdr:cNvSpPr/>
      </xdr:nvSpPr>
      <xdr:spPr>
        <a:xfrm>
          <a:off x="6879177"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10594</xdr:colOff>
      <xdr:row>162</xdr:row>
      <xdr:rowOff>0</xdr:rowOff>
    </xdr:from>
    <xdr:to>
      <xdr:col>6</xdr:col>
      <xdr:colOff>10594</xdr:colOff>
      <xdr:row>168</xdr:row>
      <xdr:rowOff>0</xdr:rowOff>
    </xdr:to>
    <xdr:sp macro="" textlink="">
      <xdr:nvSpPr>
        <xdr:cNvPr id="166" name="正方形/長方形 165">
          <a:extLst>
            <a:ext uri="{FF2B5EF4-FFF2-40B4-BE49-F238E27FC236}">
              <a16:creationId xmlns:a16="http://schemas.microsoft.com/office/drawing/2014/main" id="{00000000-0008-0000-0200-0000A6000000}"/>
            </a:ext>
          </a:extLst>
        </xdr:cNvPr>
        <xdr:cNvSpPr/>
      </xdr:nvSpPr>
      <xdr:spPr>
        <a:xfrm>
          <a:off x="1883844"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353494</xdr:colOff>
      <xdr:row>128</xdr:row>
      <xdr:rowOff>0</xdr:rowOff>
    </xdr:from>
    <xdr:to>
      <xdr:col>2</xdr:col>
      <xdr:colOff>353494</xdr:colOff>
      <xdr:row>130</xdr:row>
      <xdr:rowOff>1</xdr:rowOff>
    </xdr:to>
    <xdr:cxnSp macro="">
      <xdr:nvCxnSpPr>
        <xdr:cNvPr id="167" name="直線コネクタ 166">
          <a:extLst>
            <a:ext uri="{FF2B5EF4-FFF2-40B4-BE49-F238E27FC236}">
              <a16:creationId xmlns:a16="http://schemas.microsoft.com/office/drawing/2014/main" id="{00000000-0008-0000-0200-0000A7000000}"/>
            </a:ext>
          </a:extLst>
        </xdr:cNvPr>
        <xdr:cNvCxnSpPr>
          <a:stCxn id="163" idx="2"/>
          <a:endCxn id="162" idx="0"/>
        </xdr:cNvCxnSpPr>
      </xdr:nvCxnSpPr>
      <xdr:spPr>
        <a:xfrm>
          <a:off x="1602327"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320157</xdr:colOff>
      <xdr:row>136</xdr:row>
      <xdr:rowOff>1</xdr:rowOff>
    </xdr:from>
    <xdr:to>
      <xdr:col>5</xdr:col>
      <xdr:colOff>10594</xdr:colOff>
      <xdr:row>149</xdr:row>
      <xdr:rowOff>0</xdr:rowOff>
    </xdr:to>
    <xdr:cxnSp macro="">
      <xdr:nvCxnSpPr>
        <xdr:cNvPr id="168" name="カギ線コネクタ 167">
          <a:extLst>
            <a:ext uri="{FF2B5EF4-FFF2-40B4-BE49-F238E27FC236}">
              <a16:creationId xmlns:a16="http://schemas.microsoft.com/office/drawing/2014/main" id="{00000000-0008-0000-0200-0000A8000000}"/>
            </a:ext>
          </a:extLst>
        </xdr:cNvPr>
        <xdr:cNvCxnSpPr>
          <a:stCxn id="162" idx="2"/>
          <a:endCxn id="157" idx="1"/>
        </xdr:cNvCxnSpPr>
      </xdr:nvCxnSpPr>
      <xdr:spPr>
        <a:xfrm rot="16200000" flipH="1">
          <a:off x="1250167" y="23348157"/>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128</xdr:row>
      <xdr:rowOff>0</xdr:rowOff>
    </xdr:from>
    <xdr:to>
      <xdr:col>6</xdr:col>
      <xdr:colOff>353494</xdr:colOff>
      <xdr:row>130</xdr:row>
      <xdr:rowOff>1</xdr:rowOff>
    </xdr:to>
    <xdr:cxnSp macro="">
      <xdr:nvCxnSpPr>
        <xdr:cNvPr id="169" name="直線コネクタ 168">
          <a:extLst>
            <a:ext uri="{FF2B5EF4-FFF2-40B4-BE49-F238E27FC236}">
              <a16:creationId xmlns:a16="http://schemas.microsoft.com/office/drawing/2014/main" id="{00000000-0008-0000-0200-0000A9000000}"/>
            </a:ext>
          </a:extLst>
        </xdr:cNvPr>
        <xdr:cNvCxnSpPr>
          <a:stCxn id="155" idx="2"/>
          <a:endCxn id="156" idx="0"/>
        </xdr:cNvCxnSpPr>
      </xdr:nvCxnSpPr>
      <xdr:spPr>
        <a:xfrm>
          <a:off x="4099994"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320157</xdr:colOff>
      <xdr:row>136</xdr:row>
      <xdr:rowOff>1</xdr:rowOff>
    </xdr:from>
    <xdr:to>
      <xdr:col>6</xdr:col>
      <xdr:colOff>320157</xdr:colOff>
      <xdr:row>146</xdr:row>
      <xdr:rowOff>0</xdr:rowOff>
    </xdr:to>
    <xdr:cxnSp macro="">
      <xdr:nvCxnSpPr>
        <xdr:cNvPr id="170" name="直線コネクタ 169">
          <a:extLst>
            <a:ext uri="{FF2B5EF4-FFF2-40B4-BE49-F238E27FC236}">
              <a16:creationId xmlns:a16="http://schemas.microsoft.com/office/drawing/2014/main" id="{00000000-0008-0000-0200-0000AA000000}"/>
            </a:ext>
          </a:extLst>
        </xdr:cNvPr>
        <xdr:cNvCxnSpPr>
          <a:stCxn id="156" idx="2"/>
          <a:endCxn id="157" idx="0"/>
        </xdr:cNvCxnSpPr>
      </xdr:nvCxnSpPr>
      <xdr:spPr>
        <a:xfrm>
          <a:off x="4066657" y="2302933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343969</xdr:colOff>
      <xdr:row>135</xdr:row>
      <xdr:rowOff>47624</xdr:rowOff>
    </xdr:from>
    <xdr:to>
      <xdr:col>10</xdr:col>
      <xdr:colOff>355876</xdr:colOff>
      <xdr:row>146</xdr:row>
      <xdr:rowOff>0</xdr:rowOff>
    </xdr:to>
    <xdr:cxnSp macro="">
      <xdr:nvCxnSpPr>
        <xdr:cNvPr id="171" name="カギ線コネクタ 170">
          <a:extLst>
            <a:ext uri="{FF2B5EF4-FFF2-40B4-BE49-F238E27FC236}">
              <a16:creationId xmlns:a16="http://schemas.microsoft.com/office/drawing/2014/main" id="{00000000-0008-0000-0200-0000AB000000}"/>
            </a:ext>
          </a:extLst>
        </xdr:cNvPr>
        <xdr:cNvCxnSpPr>
          <a:endCxn id="158" idx="0"/>
        </xdr:cNvCxnSpPr>
      </xdr:nvCxnSpPr>
      <xdr:spPr>
        <a:xfrm rot="16200000" flipH="1">
          <a:off x="5062151" y="23184775"/>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152</xdr:row>
      <xdr:rowOff>0</xdr:rowOff>
    </xdr:from>
    <xdr:to>
      <xdr:col>10</xdr:col>
      <xdr:colOff>353494</xdr:colOff>
      <xdr:row>154</xdr:row>
      <xdr:rowOff>1</xdr:rowOff>
    </xdr:to>
    <xdr:cxnSp macro="">
      <xdr:nvCxnSpPr>
        <xdr:cNvPr id="172" name="カギ線コネクタ 171">
          <a:extLst>
            <a:ext uri="{FF2B5EF4-FFF2-40B4-BE49-F238E27FC236}">
              <a16:creationId xmlns:a16="http://schemas.microsoft.com/office/drawing/2014/main" id="{00000000-0008-0000-0200-0000AC000000}"/>
            </a:ext>
          </a:extLst>
        </xdr:cNvPr>
        <xdr:cNvCxnSpPr>
          <a:stCxn id="158" idx="2"/>
          <a:endCxn id="159" idx="0"/>
        </xdr:cNvCxnSpPr>
      </xdr:nvCxnSpPr>
      <xdr:spPr>
        <a:xfrm rot="5400000">
          <a:off x="5803910" y="25283584"/>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152</xdr:row>
      <xdr:rowOff>0</xdr:rowOff>
    </xdr:from>
    <xdr:to>
      <xdr:col>7</xdr:col>
      <xdr:colOff>10594</xdr:colOff>
      <xdr:row>157</xdr:row>
      <xdr:rowOff>1</xdr:rowOff>
    </xdr:to>
    <xdr:cxnSp macro="">
      <xdr:nvCxnSpPr>
        <xdr:cNvPr id="173" name="カギ線コネクタ 172">
          <a:extLst>
            <a:ext uri="{FF2B5EF4-FFF2-40B4-BE49-F238E27FC236}">
              <a16:creationId xmlns:a16="http://schemas.microsoft.com/office/drawing/2014/main" id="{00000000-0008-0000-0200-0000AD000000}"/>
            </a:ext>
          </a:extLst>
        </xdr:cNvPr>
        <xdr:cNvCxnSpPr>
          <a:stCxn id="157" idx="2"/>
          <a:endCxn id="159" idx="1"/>
        </xdr:cNvCxnSpPr>
      </xdr:nvCxnSpPr>
      <xdr:spPr>
        <a:xfrm rot="16200000" flipH="1">
          <a:off x="3817419" y="26021242"/>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353494</xdr:colOff>
      <xdr:row>160</xdr:row>
      <xdr:rowOff>1</xdr:rowOff>
    </xdr:from>
    <xdr:to>
      <xdr:col>8</xdr:col>
      <xdr:colOff>353494</xdr:colOff>
      <xdr:row>162</xdr:row>
      <xdr:rowOff>0</xdr:rowOff>
    </xdr:to>
    <xdr:cxnSp macro="">
      <xdr:nvCxnSpPr>
        <xdr:cNvPr id="174" name="カギ線コネクタ 173">
          <a:extLst>
            <a:ext uri="{FF2B5EF4-FFF2-40B4-BE49-F238E27FC236}">
              <a16:creationId xmlns:a16="http://schemas.microsoft.com/office/drawing/2014/main" id="{00000000-0008-0000-0200-0000AE000000}"/>
            </a:ext>
          </a:extLst>
        </xdr:cNvPr>
        <xdr:cNvCxnSpPr>
          <a:stCxn id="159" idx="2"/>
          <a:endCxn id="166" idx="0"/>
        </xdr:cNvCxnSpPr>
      </xdr:nvCxnSpPr>
      <xdr:spPr>
        <a:xfrm rot="5400000">
          <a:off x="3930661" y="26013834"/>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12</xdr:col>
      <xdr:colOff>353494</xdr:colOff>
      <xdr:row>162</xdr:row>
      <xdr:rowOff>0</xdr:rowOff>
    </xdr:to>
    <xdr:cxnSp macro="">
      <xdr:nvCxnSpPr>
        <xdr:cNvPr id="175" name="カギ線コネクタ 174">
          <a:extLst>
            <a:ext uri="{FF2B5EF4-FFF2-40B4-BE49-F238E27FC236}">
              <a16:creationId xmlns:a16="http://schemas.microsoft.com/office/drawing/2014/main" id="{00000000-0008-0000-0200-0000AF000000}"/>
            </a:ext>
          </a:extLst>
        </xdr:cNvPr>
        <xdr:cNvCxnSpPr>
          <a:stCxn id="159" idx="2"/>
          <a:endCxn id="165" idx="0"/>
        </xdr:cNvCxnSpPr>
      </xdr:nvCxnSpPr>
      <xdr:spPr>
        <a:xfrm rot="16200000" flipH="1">
          <a:off x="6428328" y="26013833"/>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8</xdr:col>
      <xdr:colOff>353494</xdr:colOff>
      <xdr:row>162</xdr:row>
      <xdr:rowOff>0</xdr:rowOff>
    </xdr:to>
    <xdr:cxnSp macro="">
      <xdr:nvCxnSpPr>
        <xdr:cNvPr id="176" name="直線コネクタ 175">
          <a:extLst>
            <a:ext uri="{FF2B5EF4-FFF2-40B4-BE49-F238E27FC236}">
              <a16:creationId xmlns:a16="http://schemas.microsoft.com/office/drawing/2014/main" id="{00000000-0008-0000-0200-0000B0000000}"/>
            </a:ext>
          </a:extLst>
        </xdr:cNvPr>
        <xdr:cNvCxnSpPr>
          <a:stCxn id="159" idx="2"/>
          <a:endCxn id="164" idx="0"/>
        </xdr:cNvCxnSpPr>
      </xdr:nvCxnSpPr>
      <xdr:spPr>
        <a:xfrm>
          <a:off x="5348827" y="27093334"/>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131</xdr:row>
      <xdr:rowOff>9525</xdr:rowOff>
    </xdr:from>
    <xdr:to>
      <xdr:col>10</xdr:col>
      <xdr:colOff>29644</xdr:colOff>
      <xdr:row>131</xdr:row>
      <xdr:rowOff>9525</xdr:rowOff>
    </xdr:to>
    <xdr:cxnSp macro="">
      <xdr:nvCxnSpPr>
        <xdr:cNvPr id="177" name="直線コネクタ 176">
          <a:extLst>
            <a:ext uri="{FF2B5EF4-FFF2-40B4-BE49-F238E27FC236}">
              <a16:creationId xmlns:a16="http://schemas.microsoft.com/office/drawing/2014/main" id="{00000000-0008-0000-0200-0000B1000000}"/>
            </a:ext>
          </a:extLst>
        </xdr:cNvPr>
        <xdr:cNvCxnSpPr/>
      </xdr:nvCxnSpPr>
      <xdr:spPr>
        <a:xfrm>
          <a:off x="5005927" y="2219219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34408</xdr:colOff>
      <xdr:row>154</xdr:row>
      <xdr:rowOff>1</xdr:rowOff>
    </xdr:from>
    <xdr:to>
      <xdr:col>17</xdr:col>
      <xdr:colOff>34407</xdr:colOff>
      <xdr:row>160</xdr:row>
      <xdr:rowOff>1</xdr:rowOff>
    </xdr:to>
    <xdr:sp macro="" textlink="">
      <xdr:nvSpPr>
        <xdr:cNvPr id="178" name="正方形/長方形 177">
          <a:extLst>
            <a:ext uri="{FF2B5EF4-FFF2-40B4-BE49-F238E27FC236}">
              <a16:creationId xmlns:a16="http://schemas.microsoft.com/office/drawing/2014/main" id="{00000000-0008-0000-0200-0000B2000000}"/>
            </a:ext>
          </a:extLst>
        </xdr:cNvPr>
        <xdr:cNvSpPr/>
      </xdr:nvSpPr>
      <xdr:spPr>
        <a:xfrm>
          <a:off x="8776241" y="26077334"/>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334011</xdr:colOff>
      <xdr:row>151</xdr:row>
      <xdr:rowOff>146972</xdr:rowOff>
    </xdr:from>
    <xdr:to>
      <xdr:col>15</xdr:col>
      <xdr:colOff>376441</xdr:colOff>
      <xdr:row>154</xdr:row>
      <xdr:rowOff>1</xdr:rowOff>
    </xdr:to>
    <xdr:cxnSp macro="">
      <xdr:nvCxnSpPr>
        <xdr:cNvPr id="179" name="カギ線コネクタ 178">
          <a:extLst>
            <a:ext uri="{FF2B5EF4-FFF2-40B4-BE49-F238E27FC236}">
              <a16:creationId xmlns:a16="http://schemas.microsoft.com/office/drawing/2014/main" id="{00000000-0008-0000-0200-0000B3000000}"/>
            </a:ext>
          </a:extLst>
        </xdr:cNvPr>
        <xdr:cNvCxnSpPr>
          <a:endCxn id="178" idx="0"/>
        </xdr:cNvCxnSpPr>
      </xdr:nvCxnSpPr>
      <xdr:spPr>
        <a:xfrm rot="16200000" flipH="1">
          <a:off x="8292128" y="24626771"/>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355874</xdr:colOff>
      <xdr:row>126</xdr:row>
      <xdr:rowOff>0</xdr:rowOff>
    </xdr:from>
    <xdr:to>
      <xdr:col>17</xdr:col>
      <xdr:colOff>34406</xdr:colOff>
      <xdr:row>157</xdr:row>
      <xdr:rowOff>1</xdr:rowOff>
    </xdr:to>
    <xdr:cxnSp macro="">
      <xdr:nvCxnSpPr>
        <xdr:cNvPr id="180" name="カギ線コネクタ 179">
          <a:extLst>
            <a:ext uri="{FF2B5EF4-FFF2-40B4-BE49-F238E27FC236}">
              <a16:creationId xmlns:a16="http://schemas.microsoft.com/office/drawing/2014/main" id="{00000000-0008-0000-0200-0000B4000000}"/>
            </a:ext>
          </a:extLst>
        </xdr:cNvPr>
        <xdr:cNvCxnSpPr>
          <a:stCxn id="182" idx="0"/>
          <a:endCxn id="178" idx="3"/>
        </xdr:cNvCxnSpPr>
      </xdr:nvCxnSpPr>
      <xdr:spPr>
        <a:xfrm rot="16200000" flipH="1">
          <a:off x="6312306" y="22248151"/>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439218</xdr:colOff>
      <xdr:row>156</xdr:row>
      <xdr:rowOff>162983</xdr:rowOff>
    </xdr:from>
    <xdr:to>
      <xdr:col>15</xdr:col>
      <xdr:colOff>379689</xdr:colOff>
      <xdr:row>160</xdr:row>
      <xdr:rowOff>1</xdr:rowOff>
    </xdr:to>
    <xdr:cxnSp macro="">
      <xdr:nvCxnSpPr>
        <xdr:cNvPr id="181" name="カギ線コネクタ 180">
          <a:extLst>
            <a:ext uri="{FF2B5EF4-FFF2-40B4-BE49-F238E27FC236}">
              <a16:creationId xmlns:a16="http://schemas.microsoft.com/office/drawing/2014/main" id="{00000000-0008-0000-0200-0000B5000000}"/>
            </a:ext>
          </a:extLst>
        </xdr:cNvPr>
        <xdr:cNvCxnSpPr>
          <a:endCxn id="178" idx="2"/>
        </xdr:cNvCxnSpPr>
      </xdr:nvCxnSpPr>
      <xdr:spPr>
        <a:xfrm>
          <a:off x="3561301" y="26578983"/>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10594</xdr:colOff>
      <xdr:row>126</xdr:row>
      <xdr:rowOff>0</xdr:rowOff>
    </xdr:from>
    <xdr:to>
      <xdr:col>13</xdr:col>
      <xdr:colOff>10594</xdr:colOff>
      <xdr:row>132</xdr:row>
      <xdr:rowOff>0</xdr:rowOff>
    </xdr:to>
    <xdr:sp macro="" textlink="">
      <xdr:nvSpPr>
        <xdr:cNvPr id="182" name="正方形/長方形 181">
          <a:extLst>
            <a:ext uri="{FF2B5EF4-FFF2-40B4-BE49-F238E27FC236}">
              <a16:creationId xmlns:a16="http://schemas.microsoft.com/office/drawing/2014/main" id="{00000000-0008-0000-0200-0000B6000000}"/>
            </a:ext>
          </a:extLst>
        </xdr:cNvPr>
        <xdr:cNvSpPr/>
      </xdr:nvSpPr>
      <xdr:spPr>
        <a:xfrm>
          <a:off x="625476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10594</xdr:colOff>
      <xdr:row>126</xdr:row>
      <xdr:rowOff>0</xdr:rowOff>
    </xdr:from>
    <xdr:to>
      <xdr:col>16</xdr:col>
      <xdr:colOff>10594</xdr:colOff>
      <xdr:row>132</xdr:row>
      <xdr:rowOff>0</xdr:rowOff>
    </xdr:to>
    <xdr:sp macro="" textlink="">
      <xdr:nvSpPr>
        <xdr:cNvPr id="183" name="正方形/長方形 182">
          <a:extLst>
            <a:ext uri="{FF2B5EF4-FFF2-40B4-BE49-F238E27FC236}">
              <a16:creationId xmlns:a16="http://schemas.microsoft.com/office/drawing/2014/main" id="{00000000-0008-0000-0200-0000B7000000}"/>
            </a:ext>
          </a:extLst>
        </xdr:cNvPr>
        <xdr:cNvSpPr/>
      </xdr:nvSpPr>
      <xdr:spPr>
        <a:xfrm>
          <a:off x="812801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xdr:txBody>
    </xdr:sp>
    <xdr:clientData/>
  </xdr:twoCellAnchor>
  <xdr:twoCellAnchor>
    <xdr:from>
      <xdr:col>11</xdr:col>
      <xdr:colOff>129660</xdr:colOff>
      <xdr:row>138</xdr:row>
      <xdr:rowOff>35719</xdr:rowOff>
    </xdr:from>
    <xdr:to>
      <xdr:col>12</xdr:col>
      <xdr:colOff>10598</xdr:colOff>
      <xdr:row>141</xdr:row>
      <xdr:rowOff>142877</xdr:rowOff>
    </xdr:to>
    <xdr:cxnSp macro="">
      <xdr:nvCxnSpPr>
        <xdr:cNvPr id="184" name="カギ線コネクタ 183">
          <a:extLst>
            <a:ext uri="{FF2B5EF4-FFF2-40B4-BE49-F238E27FC236}">
              <a16:creationId xmlns:a16="http://schemas.microsoft.com/office/drawing/2014/main" id="{00000000-0008-0000-0200-0000B8000000}"/>
            </a:ext>
          </a:extLst>
        </xdr:cNvPr>
        <xdr:cNvCxnSpPr>
          <a:stCxn id="185" idx="1"/>
        </xdr:cNvCxnSpPr>
      </xdr:nvCxnSpPr>
      <xdr:spPr>
        <a:xfrm rot="10800000">
          <a:off x="6998243" y="23403719"/>
          <a:ext cx="505355" cy="615158"/>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10597</xdr:colOff>
      <xdr:row>141</xdr:row>
      <xdr:rowOff>3</xdr:rowOff>
    </xdr:from>
    <xdr:to>
      <xdr:col>15</xdr:col>
      <xdr:colOff>116417</xdr:colOff>
      <xdr:row>142</xdr:row>
      <xdr:rowOff>116418</xdr:rowOff>
    </xdr:to>
    <xdr:sp macro="" textlink="">
      <xdr:nvSpPr>
        <xdr:cNvPr id="185" name="正方形/長方形 184">
          <a:extLst>
            <a:ext uri="{FF2B5EF4-FFF2-40B4-BE49-F238E27FC236}">
              <a16:creationId xmlns:a16="http://schemas.microsoft.com/office/drawing/2014/main" id="{00000000-0008-0000-0200-0000B9000000}"/>
            </a:ext>
          </a:extLst>
        </xdr:cNvPr>
        <xdr:cNvSpPr/>
      </xdr:nvSpPr>
      <xdr:spPr>
        <a:xfrm>
          <a:off x="7503597" y="23876003"/>
          <a:ext cx="1979070" cy="28574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182044</xdr:colOff>
      <xdr:row>140</xdr:row>
      <xdr:rowOff>19050</xdr:rowOff>
    </xdr:from>
    <xdr:to>
      <xdr:col>2</xdr:col>
      <xdr:colOff>182044</xdr:colOff>
      <xdr:row>141</xdr:row>
      <xdr:rowOff>133351</xdr:rowOff>
    </xdr:to>
    <xdr:cxnSp macro="">
      <xdr:nvCxnSpPr>
        <xdr:cNvPr id="186" name="直線矢印コネクタ 185">
          <a:extLst>
            <a:ext uri="{FF2B5EF4-FFF2-40B4-BE49-F238E27FC236}">
              <a16:creationId xmlns:a16="http://schemas.microsoft.com/office/drawing/2014/main" id="{00000000-0008-0000-0200-0000BA000000}"/>
            </a:ext>
          </a:extLst>
        </xdr:cNvPr>
        <xdr:cNvCxnSpPr/>
      </xdr:nvCxnSpPr>
      <xdr:spPr>
        <a:xfrm flipV="1">
          <a:off x="1430877"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508275</xdr:colOff>
      <xdr:row>141</xdr:row>
      <xdr:rowOff>90488</xdr:rowOff>
    </xdr:from>
    <xdr:to>
      <xdr:col>9</xdr:col>
      <xdr:colOff>184425</xdr:colOff>
      <xdr:row>141</xdr:row>
      <xdr:rowOff>90489</xdr:rowOff>
    </xdr:to>
    <xdr:cxnSp macro="">
      <xdr:nvCxnSpPr>
        <xdr:cNvPr id="187" name="直線矢印コネクタ 186">
          <a:extLst>
            <a:ext uri="{FF2B5EF4-FFF2-40B4-BE49-F238E27FC236}">
              <a16:creationId xmlns:a16="http://schemas.microsoft.com/office/drawing/2014/main" id="{00000000-0008-0000-0200-0000BB000000}"/>
            </a:ext>
          </a:extLst>
        </xdr:cNvPr>
        <xdr:cNvCxnSpPr/>
      </xdr:nvCxnSpPr>
      <xdr:spPr>
        <a:xfrm flipH="1">
          <a:off x="5503608" y="23966488"/>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210619</xdr:colOff>
      <xdr:row>153</xdr:row>
      <xdr:rowOff>28575</xdr:rowOff>
    </xdr:from>
    <xdr:to>
      <xdr:col>6</xdr:col>
      <xdr:colOff>210619</xdr:colOff>
      <xdr:row>154</xdr:row>
      <xdr:rowOff>142877</xdr:rowOff>
    </xdr:to>
    <xdr:cxnSp macro="">
      <xdr:nvCxnSpPr>
        <xdr:cNvPr id="188" name="直線矢印コネクタ 187">
          <a:extLst>
            <a:ext uri="{FF2B5EF4-FFF2-40B4-BE49-F238E27FC236}">
              <a16:creationId xmlns:a16="http://schemas.microsoft.com/office/drawing/2014/main" id="{00000000-0008-0000-0200-0000BC000000}"/>
            </a:ext>
          </a:extLst>
        </xdr:cNvPr>
        <xdr:cNvCxnSpPr/>
      </xdr:nvCxnSpPr>
      <xdr:spPr>
        <a:xfrm flipV="1">
          <a:off x="3957119" y="25936575"/>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20118</xdr:colOff>
      <xdr:row>140</xdr:row>
      <xdr:rowOff>14287</xdr:rowOff>
    </xdr:from>
    <xdr:to>
      <xdr:col>11</xdr:col>
      <xdr:colOff>20118</xdr:colOff>
      <xdr:row>141</xdr:row>
      <xdr:rowOff>133351</xdr:rowOff>
    </xdr:to>
    <xdr:cxnSp macro="">
      <xdr:nvCxnSpPr>
        <xdr:cNvPr id="189" name="直線矢印コネクタ 188">
          <a:extLst>
            <a:ext uri="{FF2B5EF4-FFF2-40B4-BE49-F238E27FC236}">
              <a16:creationId xmlns:a16="http://schemas.microsoft.com/office/drawing/2014/main" id="{00000000-0008-0000-0200-0000BD000000}"/>
            </a:ext>
          </a:extLst>
        </xdr:cNvPr>
        <xdr:cNvCxnSpPr/>
      </xdr:nvCxnSpPr>
      <xdr:spPr>
        <a:xfrm flipV="1">
          <a:off x="6888701" y="23720954"/>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508276</xdr:colOff>
      <xdr:row>152</xdr:row>
      <xdr:rowOff>76200</xdr:rowOff>
    </xdr:from>
    <xdr:to>
      <xdr:col>9</xdr:col>
      <xdr:colOff>184426</xdr:colOff>
      <xdr:row>152</xdr:row>
      <xdr:rowOff>76201</xdr:rowOff>
    </xdr:to>
    <xdr:cxnSp macro="">
      <xdr:nvCxnSpPr>
        <xdr:cNvPr id="190" name="直線矢印コネクタ 189">
          <a:extLst>
            <a:ext uri="{FF2B5EF4-FFF2-40B4-BE49-F238E27FC236}">
              <a16:creationId xmlns:a16="http://schemas.microsoft.com/office/drawing/2014/main" id="{00000000-0008-0000-0200-0000BE000000}"/>
            </a:ext>
          </a:extLst>
        </xdr:cNvPr>
        <xdr:cNvCxnSpPr/>
      </xdr:nvCxnSpPr>
      <xdr:spPr>
        <a:xfrm flipH="1">
          <a:off x="5503609" y="25814867"/>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110606</xdr:colOff>
      <xdr:row>152</xdr:row>
      <xdr:rowOff>76200</xdr:rowOff>
    </xdr:from>
    <xdr:to>
      <xdr:col>12</xdr:col>
      <xdr:colOff>472556</xdr:colOff>
      <xdr:row>152</xdr:row>
      <xdr:rowOff>76201</xdr:rowOff>
    </xdr:to>
    <xdr:cxnSp macro="">
      <xdr:nvCxnSpPr>
        <xdr:cNvPr id="191" name="直線矢印コネクタ 190">
          <a:extLst>
            <a:ext uri="{FF2B5EF4-FFF2-40B4-BE49-F238E27FC236}">
              <a16:creationId xmlns:a16="http://schemas.microsoft.com/office/drawing/2014/main" id="{00000000-0008-0000-0200-0000BF000000}"/>
            </a:ext>
          </a:extLst>
        </xdr:cNvPr>
        <xdr:cNvCxnSpPr/>
      </xdr:nvCxnSpPr>
      <xdr:spPr>
        <a:xfrm flipH="1">
          <a:off x="7603606" y="2581486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187240</xdr:colOff>
      <xdr:row>160</xdr:row>
      <xdr:rowOff>162793</xdr:rowOff>
    </xdr:from>
    <xdr:to>
      <xdr:col>15</xdr:col>
      <xdr:colOff>192435</xdr:colOff>
      <xdr:row>163</xdr:row>
      <xdr:rowOff>8660</xdr:rowOff>
    </xdr:to>
    <xdr:cxnSp macro="">
      <xdr:nvCxnSpPr>
        <xdr:cNvPr id="192" name="直線矢印コネクタ 191">
          <a:extLst>
            <a:ext uri="{FF2B5EF4-FFF2-40B4-BE49-F238E27FC236}">
              <a16:creationId xmlns:a16="http://schemas.microsoft.com/office/drawing/2014/main" id="{00000000-0008-0000-0200-0000C0000000}"/>
            </a:ext>
          </a:extLst>
        </xdr:cNvPr>
        <xdr:cNvCxnSpPr/>
      </xdr:nvCxnSpPr>
      <xdr:spPr>
        <a:xfrm flipH="1" flipV="1">
          <a:off x="9553490" y="27256126"/>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140</xdr:row>
      <xdr:rowOff>19050</xdr:rowOff>
    </xdr:from>
    <xdr:to>
      <xdr:col>6</xdr:col>
      <xdr:colOff>201094</xdr:colOff>
      <xdr:row>141</xdr:row>
      <xdr:rowOff>133351</xdr:rowOff>
    </xdr:to>
    <xdr:cxnSp macro="">
      <xdr:nvCxnSpPr>
        <xdr:cNvPr id="193" name="直線矢印コネクタ 192">
          <a:extLst>
            <a:ext uri="{FF2B5EF4-FFF2-40B4-BE49-F238E27FC236}">
              <a16:creationId xmlns:a16="http://schemas.microsoft.com/office/drawing/2014/main" id="{00000000-0008-0000-0200-0000C1000000}"/>
            </a:ext>
          </a:extLst>
        </xdr:cNvPr>
        <xdr:cNvCxnSpPr/>
      </xdr:nvCxnSpPr>
      <xdr:spPr>
        <a:xfrm flipV="1">
          <a:off x="3947594"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343969</xdr:colOff>
      <xdr:row>124</xdr:row>
      <xdr:rowOff>76201</xdr:rowOff>
    </xdr:from>
    <xdr:to>
      <xdr:col>12</xdr:col>
      <xdr:colOff>20119</xdr:colOff>
      <xdr:row>124</xdr:row>
      <xdr:rowOff>76202</xdr:rowOff>
    </xdr:to>
    <xdr:cxnSp macro="">
      <xdr:nvCxnSpPr>
        <xdr:cNvPr id="194" name="直線矢印コネクタ 193">
          <a:extLst>
            <a:ext uri="{FF2B5EF4-FFF2-40B4-BE49-F238E27FC236}">
              <a16:creationId xmlns:a16="http://schemas.microsoft.com/office/drawing/2014/main" id="{00000000-0008-0000-0200-0000C2000000}"/>
            </a:ext>
          </a:extLst>
        </xdr:cNvPr>
        <xdr:cNvCxnSpPr/>
      </xdr:nvCxnSpPr>
      <xdr:spPr>
        <a:xfrm flipH="1">
          <a:off x="7212552" y="21073534"/>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134</xdr:row>
      <xdr:rowOff>0</xdr:rowOff>
    </xdr:from>
    <xdr:to>
      <xdr:col>10</xdr:col>
      <xdr:colOff>29644</xdr:colOff>
      <xdr:row>134</xdr:row>
      <xdr:rowOff>0</xdr:rowOff>
    </xdr:to>
    <xdr:cxnSp macro="">
      <xdr:nvCxnSpPr>
        <xdr:cNvPr id="195" name="直線コネクタ 194">
          <a:extLst>
            <a:ext uri="{FF2B5EF4-FFF2-40B4-BE49-F238E27FC236}">
              <a16:creationId xmlns:a16="http://schemas.microsoft.com/office/drawing/2014/main" id="{00000000-0008-0000-0200-0000C3000000}"/>
            </a:ext>
          </a:extLst>
        </xdr:cNvPr>
        <xdr:cNvCxnSpPr/>
      </xdr:nvCxnSpPr>
      <xdr:spPr>
        <a:xfrm>
          <a:off x="5005927" y="2269066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130</xdr:row>
      <xdr:rowOff>76201</xdr:rowOff>
    </xdr:from>
    <xdr:to>
      <xdr:col>9</xdr:col>
      <xdr:colOff>182044</xdr:colOff>
      <xdr:row>130</xdr:row>
      <xdr:rowOff>76202</xdr:rowOff>
    </xdr:to>
    <xdr:cxnSp macro="">
      <xdr:nvCxnSpPr>
        <xdr:cNvPr id="196" name="直線矢印コネクタ 195">
          <a:extLst>
            <a:ext uri="{FF2B5EF4-FFF2-40B4-BE49-F238E27FC236}">
              <a16:creationId xmlns:a16="http://schemas.microsoft.com/office/drawing/2014/main" id="{00000000-0008-0000-0200-0000C4000000}"/>
            </a:ext>
          </a:extLst>
        </xdr:cNvPr>
        <xdr:cNvCxnSpPr/>
      </xdr:nvCxnSpPr>
      <xdr:spPr>
        <a:xfrm flipH="1">
          <a:off x="5501227" y="2208953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134</xdr:row>
      <xdr:rowOff>95250</xdr:rowOff>
    </xdr:from>
    <xdr:to>
      <xdr:col>9</xdr:col>
      <xdr:colOff>182044</xdr:colOff>
      <xdr:row>134</xdr:row>
      <xdr:rowOff>95251</xdr:rowOff>
    </xdr:to>
    <xdr:cxnSp macro="">
      <xdr:nvCxnSpPr>
        <xdr:cNvPr id="197" name="直線矢印コネクタ 196">
          <a:extLst>
            <a:ext uri="{FF2B5EF4-FFF2-40B4-BE49-F238E27FC236}">
              <a16:creationId xmlns:a16="http://schemas.microsoft.com/office/drawing/2014/main" id="{00000000-0008-0000-0200-0000C5000000}"/>
            </a:ext>
          </a:extLst>
        </xdr:cNvPr>
        <xdr:cNvCxnSpPr/>
      </xdr:nvCxnSpPr>
      <xdr:spPr>
        <a:xfrm flipH="1">
          <a:off x="5501227" y="2278591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128</xdr:row>
      <xdr:rowOff>28575</xdr:rowOff>
    </xdr:from>
    <xdr:to>
      <xdr:col>6</xdr:col>
      <xdr:colOff>201094</xdr:colOff>
      <xdr:row>129</xdr:row>
      <xdr:rowOff>142876</xdr:rowOff>
    </xdr:to>
    <xdr:cxnSp macro="">
      <xdr:nvCxnSpPr>
        <xdr:cNvPr id="198" name="直線矢印コネクタ 197">
          <a:extLst>
            <a:ext uri="{FF2B5EF4-FFF2-40B4-BE49-F238E27FC236}">
              <a16:creationId xmlns:a16="http://schemas.microsoft.com/office/drawing/2014/main" id="{00000000-0008-0000-0200-0000C6000000}"/>
            </a:ext>
          </a:extLst>
        </xdr:cNvPr>
        <xdr:cNvCxnSpPr/>
      </xdr:nvCxnSpPr>
      <xdr:spPr>
        <a:xfrm flipV="1">
          <a:off x="3947594" y="21703242"/>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182044</xdr:colOff>
      <xdr:row>128</xdr:row>
      <xdr:rowOff>19050</xdr:rowOff>
    </xdr:from>
    <xdr:to>
      <xdr:col>2</xdr:col>
      <xdr:colOff>182044</xdr:colOff>
      <xdr:row>129</xdr:row>
      <xdr:rowOff>133351</xdr:rowOff>
    </xdr:to>
    <xdr:cxnSp macro="">
      <xdr:nvCxnSpPr>
        <xdr:cNvPr id="199" name="直線矢印コネクタ 198">
          <a:extLst>
            <a:ext uri="{FF2B5EF4-FFF2-40B4-BE49-F238E27FC236}">
              <a16:creationId xmlns:a16="http://schemas.microsoft.com/office/drawing/2014/main" id="{00000000-0008-0000-0200-0000C7000000}"/>
            </a:ext>
          </a:extLst>
        </xdr:cNvPr>
        <xdr:cNvCxnSpPr/>
      </xdr:nvCxnSpPr>
      <xdr:spPr>
        <a:xfrm flipV="1">
          <a:off x="1430877" y="21693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201094</xdr:colOff>
      <xdr:row>160</xdr:row>
      <xdr:rowOff>28576</xdr:rowOff>
    </xdr:from>
    <xdr:to>
      <xdr:col>8</xdr:col>
      <xdr:colOff>201094</xdr:colOff>
      <xdr:row>161</xdr:row>
      <xdr:rowOff>142876</xdr:rowOff>
    </xdr:to>
    <xdr:cxnSp macro="">
      <xdr:nvCxnSpPr>
        <xdr:cNvPr id="200" name="直線矢印コネクタ 199">
          <a:extLst>
            <a:ext uri="{FF2B5EF4-FFF2-40B4-BE49-F238E27FC236}">
              <a16:creationId xmlns:a16="http://schemas.microsoft.com/office/drawing/2014/main" id="{00000000-0008-0000-0200-0000C8000000}"/>
            </a:ext>
          </a:extLst>
        </xdr:cNvPr>
        <xdr:cNvCxnSpPr/>
      </xdr:nvCxnSpPr>
      <xdr:spPr>
        <a:xfrm flipV="1">
          <a:off x="5196427" y="2712190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182044</xdr:colOff>
      <xdr:row>160</xdr:row>
      <xdr:rowOff>76201</xdr:rowOff>
    </xdr:from>
    <xdr:to>
      <xdr:col>6</xdr:col>
      <xdr:colOff>543994</xdr:colOff>
      <xdr:row>160</xdr:row>
      <xdr:rowOff>76202</xdr:rowOff>
    </xdr:to>
    <xdr:cxnSp macro="">
      <xdr:nvCxnSpPr>
        <xdr:cNvPr id="201" name="直線矢印コネクタ 200">
          <a:extLst>
            <a:ext uri="{FF2B5EF4-FFF2-40B4-BE49-F238E27FC236}">
              <a16:creationId xmlns:a16="http://schemas.microsoft.com/office/drawing/2014/main" id="{00000000-0008-0000-0200-0000C9000000}"/>
            </a:ext>
          </a:extLst>
        </xdr:cNvPr>
        <xdr:cNvCxnSpPr/>
      </xdr:nvCxnSpPr>
      <xdr:spPr>
        <a:xfrm flipH="1">
          <a:off x="3928544"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172519</xdr:colOff>
      <xdr:row>160</xdr:row>
      <xdr:rowOff>76201</xdr:rowOff>
    </xdr:from>
    <xdr:to>
      <xdr:col>10</xdr:col>
      <xdr:colOff>534469</xdr:colOff>
      <xdr:row>160</xdr:row>
      <xdr:rowOff>76202</xdr:rowOff>
    </xdr:to>
    <xdr:cxnSp macro="">
      <xdr:nvCxnSpPr>
        <xdr:cNvPr id="202" name="直線矢印コネクタ 201">
          <a:extLst>
            <a:ext uri="{FF2B5EF4-FFF2-40B4-BE49-F238E27FC236}">
              <a16:creationId xmlns:a16="http://schemas.microsoft.com/office/drawing/2014/main" id="{00000000-0008-0000-0200-0000CA000000}"/>
            </a:ext>
          </a:extLst>
        </xdr:cNvPr>
        <xdr:cNvCxnSpPr/>
      </xdr:nvCxnSpPr>
      <xdr:spPr>
        <a:xfrm flipH="1">
          <a:off x="6416686"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291581</xdr:colOff>
      <xdr:row>149</xdr:row>
      <xdr:rowOff>130969</xdr:rowOff>
    </xdr:from>
    <xdr:to>
      <xdr:col>8</xdr:col>
      <xdr:colOff>13240</xdr:colOff>
      <xdr:row>151</xdr:row>
      <xdr:rowOff>146972</xdr:rowOff>
    </xdr:to>
    <xdr:sp macro="" textlink="">
      <xdr:nvSpPr>
        <xdr:cNvPr id="203" name="円柱 202">
          <a:extLst>
            <a:ext uri="{FF2B5EF4-FFF2-40B4-BE49-F238E27FC236}">
              <a16:creationId xmlns:a16="http://schemas.microsoft.com/office/drawing/2014/main" id="{00000000-0008-0000-0200-0000CB000000}"/>
            </a:ext>
          </a:extLst>
        </xdr:cNvPr>
        <xdr:cNvSpPr/>
      </xdr:nvSpPr>
      <xdr:spPr>
        <a:xfrm>
          <a:off x="4662498" y="25361636"/>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286819</xdr:colOff>
      <xdr:row>129</xdr:row>
      <xdr:rowOff>123825</xdr:rowOff>
    </xdr:from>
    <xdr:to>
      <xdr:col>16</xdr:col>
      <xdr:colOff>14827</xdr:colOff>
      <xdr:row>131</xdr:row>
      <xdr:rowOff>139827</xdr:rowOff>
    </xdr:to>
    <xdr:sp macro="" textlink="">
      <xdr:nvSpPr>
        <xdr:cNvPr id="204" name="円柱 203">
          <a:extLst>
            <a:ext uri="{FF2B5EF4-FFF2-40B4-BE49-F238E27FC236}">
              <a16:creationId xmlns:a16="http://schemas.microsoft.com/office/drawing/2014/main" id="{00000000-0008-0000-0200-0000CC000000}"/>
            </a:ext>
          </a:extLst>
        </xdr:cNvPr>
        <xdr:cNvSpPr/>
      </xdr:nvSpPr>
      <xdr:spPr>
        <a:xfrm>
          <a:off x="9653069" y="21967825"/>
          <a:ext cx="352425" cy="354669"/>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334444</xdr:colOff>
      <xdr:row>128</xdr:row>
      <xdr:rowOff>150813</xdr:rowOff>
    </xdr:from>
    <xdr:to>
      <xdr:col>16</xdr:col>
      <xdr:colOff>324919</xdr:colOff>
      <xdr:row>146</xdr:row>
      <xdr:rowOff>8659</xdr:rowOff>
    </xdr:to>
    <xdr:grpSp>
      <xdr:nvGrpSpPr>
        <xdr:cNvPr id="205" name="グループ化 204">
          <a:extLst>
            <a:ext uri="{FF2B5EF4-FFF2-40B4-BE49-F238E27FC236}">
              <a16:creationId xmlns:a16="http://schemas.microsoft.com/office/drawing/2014/main" id="{00000000-0008-0000-0200-0000CD000000}"/>
            </a:ext>
          </a:extLst>
        </xdr:cNvPr>
        <xdr:cNvGrpSpPr/>
      </xdr:nvGrpSpPr>
      <xdr:grpSpPr>
        <a:xfrm>
          <a:off x="7144819" y="20877213"/>
          <a:ext cx="3086100" cy="2772496"/>
          <a:chOff x="7867650" y="1350963"/>
          <a:chExt cx="3419475" cy="2945528"/>
        </a:xfrm>
      </xdr:grpSpPr>
      <xdr:cxnSp macro="">
        <xdr:nvCxnSpPr>
          <xdr:cNvPr id="206" name="直線コネクタ 205">
            <a:extLst>
              <a:ext uri="{FF2B5EF4-FFF2-40B4-BE49-F238E27FC236}">
                <a16:creationId xmlns:a16="http://schemas.microsoft.com/office/drawing/2014/main" id="{00000000-0008-0000-0200-0000CE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7" name="直線コネクタ 206">
            <a:extLst>
              <a:ext uri="{FF2B5EF4-FFF2-40B4-BE49-F238E27FC236}">
                <a16:creationId xmlns:a16="http://schemas.microsoft.com/office/drawing/2014/main" id="{00000000-0008-0000-0200-0000CF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a16="http://schemas.microsoft.com/office/drawing/2014/main" id="{00000000-0008-0000-0200-0000D0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9" name="直線コネクタ 208">
            <a:extLst>
              <a:ext uri="{FF2B5EF4-FFF2-40B4-BE49-F238E27FC236}">
                <a16:creationId xmlns:a16="http://schemas.microsoft.com/office/drawing/2014/main" id="{00000000-0008-0000-0200-0000D1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172519</xdr:colOff>
      <xdr:row>144</xdr:row>
      <xdr:rowOff>66675</xdr:rowOff>
    </xdr:from>
    <xdr:to>
      <xdr:col>14</xdr:col>
      <xdr:colOff>534469</xdr:colOff>
      <xdr:row>144</xdr:row>
      <xdr:rowOff>66676</xdr:rowOff>
    </xdr:to>
    <xdr:cxnSp macro="">
      <xdr:nvCxnSpPr>
        <xdr:cNvPr id="210" name="直線矢印コネクタ 209">
          <a:extLst>
            <a:ext uri="{FF2B5EF4-FFF2-40B4-BE49-F238E27FC236}">
              <a16:creationId xmlns:a16="http://schemas.microsoft.com/office/drawing/2014/main" id="{00000000-0008-0000-0200-0000D2000000}"/>
            </a:ext>
          </a:extLst>
        </xdr:cNvPr>
        <xdr:cNvCxnSpPr/>
      </xdr:nvCxnSpPr>
      <xdr:spPr>
        <a:xfrm flipH="1">
          <a:off x="8914352" y="244506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329684</xdr:colOff>
      <xdr:row>154</xdr:row>
      <xdr:rowOff>1</xdr:rowOff>
    </xdr:from>
    <xdr:to>
      <xdr:col>13</xdr:col>
      <xdr:colOff>332062</xdr:colOff>
      <xdr:row>159</xdr:row>
      <xdr:rowOff>154781</xdr:rowOff>
    </xdr:to>
    <xdr:sp macro="" textlink="">
      <xdr:nvSpPr>
        <xdr:cNvPr id="211" name="正方形/長方形 210">
          <a:extLst>
            <a:ext uri="{FF2B5EF4-FFF2-40B4-BE49-F238E27FC236}">
              <a16:creationId xmlns:a16="http://schemas.microsoft.com/office/drawing/2014/main" id="{00000000-0008-0000-0200-0000D3000000}"/>
            </a:ext>
          </a:extLst>
        </xdr:cNvPr>
        <xdr:cNvSpPr/>
      </xdr:nvSpPr>
      <xdr:spPr>
        <a:xfrm>
          <a:off x="6573851" y="26077334"/>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287685</xdr:colOff>
      <xdr:row>149</xdr:row>
      <xdr:rowOff>129887</xdr:rowOff>
    </xdr:from>
    <xdr:to>
      <xdr:col>12</xdr:col>
      <xdr:colOff>15693</xdr:colOff>
      <xdr:row>151</xdr:row>
      <xdr:rowOff>145890</xdr:rowOff>
    </xdr:to>
    <xdr:sp macro="" textlink="">
      <xdr:nvSpPr>
        <xdr:cNvPr id="212" name="円柱 211">
          <a:extLst>
            <a:ext uri="{FF2B5EF4-FFF2-40B4-BE49-F238E27FC236}">
              <a16:creationId xmlns:a16="http://schemas.microsoft.com/office/drawing/2014/main" id="{00000000-0008-0000-0200-0000D4000000}"/>
            </a:ext>
          </a:extLst>
        </xdr:cNvPr>
        <xdr:cNvSpPr/>
      </xdr:nvSpPr>
      <xdr:spPr>
        <a:xfrm>
          <a:off x="7156268" y="25360554"/>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46312</xdr:colOff>
      <xdr:row>152</xdr:row>
      <xdr:rowOff>0</xdr:rowOff>
    </xdr:from>
    <xdr:to>
      <xdr:col>11</xdr:col>
      <xdr:colOff>46312</xdr:colOff>
      <xdr:row>153</xdr:row>
      <xdr:rowOff>154781</xdr:rowOff>
    </xdr:to>
    <xdr:cxnSp macro="">
      <xdr:nvCxnSpPr>
        <xdr:cNvPr id="213" name="直線コネクタ 212">
          <a:extLst>
            <a:ext uri="{FF2B5EF4-FFF2-40B4-BE49-F238E27FC236}">
              <a16:creationId xmlns:a16="http://schemas.microsoft.com/office/drawing/2014/main" id="{00000000-0008-0000-0200-0000D5000000}"/>
            </a:ext>
          </a:extLst>
        </xdr:cNvPr>
        <xdr:cNvCxnSpPr/>
      </xdr:nvCxnSpPr>
      <xdr:spPr>
        <a:xfrm>
          <a:off x="6914895" y="25738667"/>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591619</xdr:colOff>
      <xdr:row>152</xdr:row>
      <xdr:rowOff>16671</xdr:rowOff>
    </xdr:from>
    <xdr:to>
      <xdr:col>10</xdr:col>
      <xdr:colOff>591619</xdr:colOff>
      <xdr:row>153</xdr:row>
      <xdr:rowOff>130972</xdr:rowOff>
    </xdr:to>
    <xdr:cxnSp macro="">
      <xdr:nvCxnSpPr>
        <xdr:cNvPr id="214" name="直線矢印コネクタ 213">
          <a:extLst>
            <a:ext uri="{FF2B5EF4-FFF2-40B4-BE49-F238E27FC236}">
              <a16:creationId xmlns:a16="http://schemas.microsoft.com/office/drawing/2014/main" id="{00000000-0008-0000-0200-0000D6000000}"/>
            </a:ext>
          </a:extLst>
        </xdr:cNvPr>
        <xdr:cNvCxnSpPr/>
      </xdr:nvCxnSpPr>
      <xdr:spPr>
        <a:xfrm flipV="1">
          <a:off x="6835786" y="2575533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427313</xdr:colOff>
      <xdr:row>151</xdr:row>
      <xdr:rowOff>154782</xdr:rowOff>
    </xdr:from>
    <xdr:to>
      <xdr:col>5</xdr:col>
      <xdr:colOff>427313</xdr:colOff>
      <xdr:row>157</xdr:row>
      <xdr:rowOff>1</xdr:rowOff>
    </xdr:to>
    <xdr:cxnSp macro="">
      <xdr:nvCxnSpPr>
        <xdr:cNvPr id="215" name="直線コネクタ 214">
          <a:extLst>
            <a:ext uri="{FF2B5EF4-FFF2-40B4-BE49-F238E27FC236}">
              <a16:creationId xmlns:a16="http://schemas.microsoft.com/office/drawing/2014/main" id="{00000000-0008-0000-0200-0000D7000000}"/>
            </a:ext>
          </a:extLst>
        </xdr:cNvPr>
        <xdr:cNvCxnSpPr/>
      </xdr:nvCxnSpPr>
      <xdr:spPr>
        <a:xfrm>
          <a:off x="3549396" y="25724115"/>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13240</xdr:colOff>
      <xdr:row>135</xdr:row>
      <xdr:rowOff>64293</xdr:rowOff>
    </xdr:from>
    <xdr:to>
      <xdr:col>8</xdr:col>
      <xdr:colOff>355875</xdr:colOff>
      <xdr:row>135</xdr:row>
      <xdr:rowOff>64293</xdr:rowOff>
    </xdr:to>
    <xdr:cxnSp macro="">
      <xdr:nvCxnSpPr>
        <xdr:cNvPr id="216" name="直線コネクタ 215">
          <a:extLst>
            <a:ext uri="{FF2B5EF4-FFF2-40B4-BE49-F238E27FC236}">
              <a16:creationId xmlns:a16="http://schemas.microsoft.com/office/drawing/2014/main" id="{00000000-0008-0000-0200-0000D8000000}"/>
            </a:ext>
          </a:extLst>
        </xdr:cNvPr>
        <xdr:cNvCxnSpPr/>
      </xdr:nvCxnSpPr>
      <xdr:spPr>
        <a:xfrm>
          <a:off x="5008573" y="22924293"/>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570187</xdr:colOff>
      <xdr:row>137</xdr:row>
      <xdr:rowOff>83343</xdr:rowOff>
    </xdr:from>
    <xdr:to>
      <xdr:col>5</xdr:col>
      <xdr:colOff>21167</xdr:colOff>
      <xdr:row>139</xdr:row>
      <xdr:rowOff>42334</xdr:rowOff>
    </xdr:to>
    <xdr:sp macro="" textlink="">
      <xdr:nvSpPr>
        <xdr:cNvPr id="217" name="正方形/長方形 216">
          <a:extLst>
            <a:ext uri="{FF2B5EF4-FFF2-40B4-BE49-F238E27FC236}">
              <a16:creationId xmlns:a16="http://schemas.microsoft.com/office/drawing/2014/main" id="{00000000-0008-0000-0200-0000D9000000}"/>
            </a:ext>
          </a:extLst>
        </xdr:cNvPr>
        <xdr:cNvSpPr/>
      </xdr:nvSpPr>
      <xdr:spPr>
        <a:xfrm>
          <a:off x="1819020" y="23282010"/>
          <a:ext cx="1324230" cy="29765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332064</xdr:colOff>
      <xdr:row>133</xdr:row>
      <xdr:rowOff>1</xdr:rowOff>
    </xdr:from>
    <xdr:to>
      <xdr:col>5</xdr:col>
      <xdr:colOff>10595</xdr:colOff>
      <xdr:row>137</xdr:row>
      <xdr:rowOff>83343</xdr:rowOff>
    </xdr:to>
    <xdr:cxnSp macro="">
      <xdr:nvCxnSpPr>
        <xdr:cNvPr id="218" name="カギ線コネクタ 217">
          <a:extLst>
            <a:ext uri="{FF2B5EF4-FFF2-40B4-BE49-F238E27FC236}">
              <a16:creationId xmlns:a16="http://schemas.microsoft.com/office/drawing/2014/main" id="{00000000-0008-0000-0200-0000DA000000}"/>
            </a:ext>
          </a:extLst>
        </xdr:cNvPr>
        <xdr:cNvCxnSpPr>
          <a:endCxn id="156" idx="1"/>
        </xdr:cNvCxnSpPr>
      </xdr:nvCxnSpPr>
      <xdr:spPr>
        <a:xfrm rot="5400000" flipH="1" flipV="1">
          <a:off x="2600867" y="22750198"/>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448744</xdr:colOff>
      <xdr:row>134</xdr:row>
      <xdr:rowOff>40482</xdr:rowOff>
    </xdr:from>
    <xdr:to>
      <xdr:col>4</xdr:col>
      <xdr:colOff>448744</xdr:colOff>
      <xdr:row>135</xdr:row>
      <xdr:rowOff>154783</xdr:rowOff>
    </xdr:to>
    <xdr:cxnSp macro="">
      <xdr:nvCxnSpPr>
        <xdr:cNvPr id="219" name="直線矢印コネクタ 218">
          <a:extLst>
            <a:ext uri="{FF2B5EF4-FFF2-40B4-BE49-F238E27FC236}">
              <a16:creationId xmlns:a16="http://schemas.microsoft.com/office/drawing/2014/main" id="{00000000-0008-0000-0200-0000DB000000}"/>
            </a:ext>
          </a:extLst>
        </xdr:cNvPr>
        <xdr:cNvCxnSpPr/>
      </xdr:nvCxnSpPr>
      <xdr:spPr>
        <a:xfrm flipV="1">
          <a:off x="2946411" y="2273114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xdr:colOff>
      <xdr:row>116</xdr:row>
      <xdr:rowOff>0</xdr:rowOff>
    </xdr:from>
    <xdr:to>
      <xdr:col>12</xdr:col>
      <xdr:colOff>613845</xdr:colOff>
      <xdr:row>118</xdr:row>
      <xdr:rowOff>148167</xdr:rowOff>
    </xdr:to>
    <xdr:sp macro="" textlink="">
      <xdr:nvSpPr>
        <xdr:cNvPr id="220" name="正方形/長方形 219">
          <a:extLst>
            <a:ext uri="{FF2B5EF4-FFF2-40B4-BE49-F238E27FC236}">
              <a16:creationId xmlns:a16="http://schemas.microsoft.com/office/drawing/2014/main" id="{00000000-0008-0000-0200-0000DC000000}"/>
            </a:ext>
          </a:extLst>
        </xdr:cNvPr>
        <xdr:cNvSpPr/>
      </xdr:nvSpPr>
      <xdr:spPr>
        <a:xfrm>
          <a:off x="624429" y="19642667"/>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14</xdr:col>
      <xdr:colOff>219075</xdr:colOff>
      <xdr:row>120</xdr:row>
      <xdr:rowOff>114300</xdr:rowOff>
    </xdr:from>
    <xdr:to>
      <xdr:col>18</xdr:col>
      <xdr:colOff>200025</xdr:colOff>
      <xdr:row>126</xdr:row>
      <xdr:rowOff>19050</xdr:rowOff>
    </xdr:to>
    <xdr:sp macro="" textlink="">
      <xdr:nvSpPr>
        <xdr:cNvPr id="75" name="四角形吹き出し 74">
          <a:extLst>
            <a:ext uri="{FF2B5EF4-FFF2-40B4-BE49-F238E27FC236}">
              <a16:creationId xmlns:a16="http://schemas.microsoft.com/office/drawing/2014/main" id="{00000000-0008-0000-0200-00004B000000}"/>
            </a:ext>
            <a:ext uri="{147F2762-F138-4A5C-976F-8EAC2B608ADB}">
              <a16:predDERef xmlns:a16="http://schemas.microsoft.com/office/drawing/2014/main" pred="{00000000-0008-0000-0200-0000DC000000}"/>
            </a:ext>
          </a:extLst>
        </xdr:cNvPr>
        <xdr:cNvSpPr/>
      </xdr:nvSpPr>
      <xdr:spPr>
        <a:xfrm>
          <a:off x="8886825" y="19545300"/>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74</xdr:row>
      <xdr:rowOff>84667</xdr:rowOff>
    </xdr:from>
    <xdr:to>
      <xdr:col>21</xdr:col>
      <xdr:colOff>0</xdr:colOff>
      <xdr:row>80</xdr:row>
      <xdr:rowOff>84667</xdr:rowOff>
    </xdr:to>
    <xdr:sp macro="" textlink="">
      <xdr:nvSpPr>
        <xdr:cNvPr id="227" name="正方形/長方形 226">
          <a:extLst>
            <a:ext uri="{FF2B5EF4-FFF2-40B4-BE49-F238E27FC236}">
              <a16:creationId xmlns:a16="http://schemas.microsoft.com/office/drawing/2014/main" id="{00000000-0008-0000-0200-0000E3000000}"/>
            </a:ext>
          </a:extLst>
        </xdr:cNvPr>
        <xdr:cNvSpPr/>
      </xdr:nvSpPr>
      <xdr:spPr>
        <a:xfrm>
          <a:off x="11049000" y="12615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132</xdr:row>
      <xdr:rowOff>0</xdr:rowOff>
    </xdr:from>
    <xdr:to>
      <xdr:col>21</xdr:col>
      <xdr:colOff>0</xdr:colOff>
      <xdr:row>138</xdr:row>
      <xdr:rowOff>0</xdr:rowOff>
    </xdr:to>
    <xdr:sp macro="" textlink="">
      <xdr:nvSpPr>
        <xdr:cNvPr id="229" name="正方形/長方形 228">
          <a:extLst>
            <a:ext uri="{FF2B5EF4-FFF2-40B4-BE49-F238E27FC236}">
              <a16:creationId xmlns:a16="http://schemas.microsoft.com/office/drawing/2014/main" id="{00000000-0008-0000-0200-0000E5000000}"/>
            </a:ext>
          </a:extLst>
        </xdr:cNvPr>
        <xdr:cNvSpPr/>
      </xdr:nvSpPr>
      <xdr:spPr>
        <a:xfrm>
          <a:off x="11049000" y="22352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78</xdr:row>
      <xdr:rowOff>28575</xdr:rowOff>
    </xdr:from>
    <xdr:to>
      <xdr:col>20</xdr:col>
      <xdr:colOff>581025</xdr:colOff>
      <xdr:row>80</xdr:row>
      <xdr:rowOff>44577</xdr:rowOff>
    </xdr:to>
    <xdr:sp macro="" textlink="">
      <xdr:nvSpPr>
        <xdr:cNvPr id="149" name="Can 148">
          <a:extLst>
            <a:ext uri="{FF2B5EF4-FFF2-40B4-BE49-F238E27FC236}">
              <a16:creationId xmlns:a16="http://schemas.microsoft.com/office/drawing/2014/main" id="{B0F0C5DE-99D9-410B-B0DB-7698E982D8AB}"/>
            </a:ext>
            <a:ext uri="{147F2762-F138-4A5C-976F-8EAC2B608ADB}">
              <a16:predDERef xmlns:a16="http://schemas.microsoft.com/office/drawing/2014/main" pred="{5DB3981E-A136-4BFC-AEFE-44F92EDE149A}"/>
            </a:ext>
          </a:extLst>
        </xdr:cNvPr>
        <xdr:cNvSpPr/>
      </xdr:nvSpPr>
      <xdr:spPr>
        <a:xfrm>
          <a:off x="12620625" y="1265872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135</xdr:row>
      <xdr:rowOff>123825</xdr:rowOff>
    </xdr:from>
    <xdr:to>
      <xdr:col>20</xdr:col>
      <xdr:colOff>581025</xdr:colOff>
      <xdr:row>137</xdr:row>
      <xdr:rowOff>139827</xdr:rowOff>
    </xdr:to>
    <xdr:sp macro="" textlink="">
      <xdr:nvSpPr>
        <xdr:cNvPr id="153" name="Can 152">
          <a:extLst>
            <a:ext uri="{FF2B5EF4-FFF2-40B4-BE49-F238E27FC236}">
              <a16:creationId xmlns:a16="http://schemas.microsoft.com/office/drawing/2014/main" id="{D9FB2786-FC1F-4385-B25B-92A705A37BAC}"/>
            </a:ext>
            <a:ext uri="{147F2762-F138-4A5C-976F-8EAC2B608ADB}">
              <a16:predDERef xmlns:a16="http://schemas.microsoft.com/office/drawing/2014/main" pred="{B0F0C5DE-99D9-410B-B0DB-7698E982D8AB}"/>
            </a:ext>
          </a:extLst>
        </xdr:cNvPr>
        <xdr:cNvSpPr/>
      </xdr:nvSpPr>
      <xdr:spPr>
        <a:xfrm>
          <a:off x="12620625" y="219837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345282</xdr:colOff>
      <xdr:row>58</xdr:row>
      <xdr:rowOff>0</xdr:rowOff>
    </xdr:from>
    <xdr:to>
      <xdr:col>22</xdr:col>
      <xdr:colOff>0</xdr:colOff>
      <xdr:row>82</xdr:row>
      <xdr:rowOff>2646</xdr:rowOff>
    </xdr:to>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800615" y="9821333"/>
          <a:ext cx="10703718"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391583</xdr:colOff>
      <xdr:row>69</xdr:row>
      <xdr:rowOff>84667</xdr:rowOff>
    </xdr:from>
    <xdr:to>
      <xdr:col>16</xdr:col>
      <xdr:colOff>148167</xdr:colOff>
      <xdr:row>76</xdr:row>
      <xdr:rowOff>80960</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5916083" y="11768667"/>
          <a:ext cx="4053417" cy="1181626"/>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xdr:row>
      <xdr:rowOff>0</xdr:rowOff>
    </xdr:from>
    <xdr:to>
      <xdr:col>2</xdr:col>
      <xdr:colOff>571500</xdr:colOff>
      <xdr:row>6</xdr:row>
      <xdr:rowOff>148166</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624417" y="677333"/>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4</xdr:col>
      <xdr:colOff>345283</xdr:colOff>
      <xdr:row>82</xdr:row>
      <xdr:rowOff>14554</xdr:rowOff>
    </xdr:from>
    <xdr:to>
      <xdr:col>8</xdr:col>
      <xdr:colOff>333377</xdr:colOff>
      <xdr:row>97</xdr:row>
      <xdr:rowOff>26460</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842950" y="13561221"/>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90</xdr:row>
      <xdr:rowOff>14552</xdr:rowOff>
    </xdr:from>
    <xdr:to>
      <xdr:col>8</xdr:col>
      <xdr:colOff>333376</xdr:colOff>
      <xdr:row>106</xdr:row>
      <xdr:rowOff>14552</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624417" y="14915885"/>
          <a:ext cx="4704292" cy="2709334"/>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59</xdr:row>
      <xdr:rowOff>2647</xdr:rowOff>
    </xdr:from>
    <xdr:to>
      <xdr:col>8</xdr:col>
      <xdr:colOff>1</xdr:colOff>
      <xdr:row>65</xdr:row>
      <xdr:rowOff>2647</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3122084" y="9654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67</xdr:row>
      <xdr:rowOff>2647</xdr:rowOff>
    </xdr:from>
    <xdr:to>
      <xdr:col>8</xdr:col>
      <xdr:colOff>1</xdr:colOff>
      <xdr:row>73</xdr:row>
      <xdr:rowOff>2647</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3122084" y="11009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83</xdr:row>
      <xdr:rowOff>2647</xdr:rowOff>
    </xdr:from>
    <xdr:to>
      <xdr:col>8</xdr:col>
      <xdr:colOff>1</xdr:colOff>
      <xdr:row>89</xdr:row>
      <xdr:rowOff>2647</xdr:rowOff>
    </xdr:to>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3122084" y="13718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新徳山ヤード操業サーバ</a:t>
          </a:r>
          <a:endParaRPr kumimoji="1" lang="en-US" altLang="ja-JP" sz="1100">
            <a:solidFill>
              <a:sysClr val="windowText" lastClr="000000"/>
            </a:solidFill>
          </a:endParaRP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91</xdr:row>
      <xdr:rowOff>2647</xdr:rowOff>
    </xdr:from>
    <xdr:to>
      <xdr:col>8</xdr:col>
      <xdr:colOff>1</xdr:colOff>
      <xdr:row>97</xdr:row>
      <xdr:rowOff>2647</xdr:rowOff>
    </xdr:to>
    <xdr:sp macro="" textlink="">
      <xdr:nvSpPr>
        <xdr:cNvPr id="49" name="正方形/長方形 48">
          <a:extLst>
            <a:ext uri="{FF2B5EF4-FFF2-40B4-BE49-F238E27FC236}">
              <a16:creationId xmlns:a16="http://schemas.microsoft.com/office/drawing/2014/main" id="{00000000-0008-0000-0300-000031000000}"/>
            </a:ext>
          </a:extLst>
        </xdr:cNvPr>
        <xdr:cNvSpPr/>
      </xdr:nvSpPr>
      <xdr:spPr>
        <a:xfrm>
          <a:off x="3122084" y="1507331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91</xdr:row>
      <xdr:rowOff>2647</xdr:rowOff>
    </xdr:from>
    <xdr:to>
      <xdr:col>12</xdr:col>
      <xdr:colOff>1</xdr:colOff>
      <xdr:row>97</xdr:row>
      <xdr:rowOff>2647</xdr:rowOff>
    </xdr:to>
    <xdr:sp macro="" textlink="">
      <xdr:nvSpPr>
        <xdr:cNvPr id="50" name="正方形/長方形 49">
          <a:extLst>
            <a:ext uri="{FF2B5EF4-FFF2-40B4-BE49-F238E27FC236}">
              <a16:creationId xmlns:a16="http://schemas.microsoft.com/office/drawing/2014/main" id="{00000000-0008-0000-0300-000032000000}"/>
            </a:ext>
          </a:extLst>
        </xdr:cNvPr>
        <xdr:cNvSpPr/>
      </xdr:nvSpPr>
      <xdr:spPr>
        <a:xfrm>
          <a:off x="5619751" y="15073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73</xdr:row>
      <xdr:rowOff>2647</xdr:rowOff>
    </xdr:from>
    <xdr:to>
      <xdr:col>6</xdr:col>
      <xdr:colOff>345283</xdr:colOff>
      <xdr:row>83</xdr:row>
      <xdr:rowOff>2647</xdr:rowOff>
    </xdr:to>
    <xdr:cxnSp macro="">
      <xdr:nvCxnSpPr>
        <xdr:cNvPr id="51" name="直線コネクタ 50">
          <a:extLst>
            <a:ext uri="{FF2B5EF4-FFF2-40B4-BE49-F238E27FC236}">
              <a16:creationId xmlns:a16="http://schemas.microsoft.com/office/drawing/2014/main" id="{00000000-0008-0000-0300-000033000000}"/>
            </a:ext>
          </a:extLst>
        </xdr:cNvPr>
        <xdr:cNvCxnSpPr>
          <a:stCxn id="47" idx="2"/>
          <a:endCxn id="48" idx="0"/>
        </xdr:cNvCxnSpPr>
      </xdr:nvCxnSpPr>
      <xdr:spPr>
        <a:xfrm>
          <a:off x="4091783" y="1202531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89</xdr:row>
      <xdr:rowOff>2647</xdr:rowOff>
    </xdr:from>
    <xdr:to>
      <xdr:col>10</xdr:col>
      <xdr:colOff>342901</xdr:colOff>
      <xdr:row>91</xdr:row>
      <xdr:rowOff>2647</xdr:rowOff>
    </xdr:to>
    <xdr:cxnSp macro="">
      <xdr:nvCxnSpPr>
        <xdr:cNvPr id="52" name="カギ線コネクタ 51">
          <a:extLst>
            <a:ext uri="{FF2B5EF4-FFF2-40B4-BE49-F238E27FC236}">
              <a16:creationId xmlns:a16="http://schemas.microsoft.com/office/drawing/2014/main" id="{00000000-0008-0000-0300-000034000000}"/>
            </a:ext>
          </a:extLst>
        </xdr:cNvPr>
        <xdr:cNvCxnSpPr>
          <a:stCxn id="48" idx="2"/>
          <a:endCxn id="50" idx="0"/>
        </xdr:cNvCxnSpPr>
      </xdr:nvCxnSpPr>
      <xdr:spPr>
        <a:xfrm rot="16200000" flipH="1">
          <a:off x="5168901" y="13655147"/>
          <a:ext cx="338667"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65</xdr:row>
      <xdr:rowOff>2647</xdr:rowOff>
    </xdr:from>
    <xdr:to>
      <xdr:col>6</xdr:col>
      <xdr:colOff>342901</xdr:colOff>
      <xdr:row>67</xdr:row>
      <xdr:rowOff>2647</xdr:rowOff>
    </xdr:to>
    <xdr:cxnSp macro="">
      <xdr:nvCxnSpPr>
        <xdr:cNvPr id="53" name="直線コネクタ 52">
          <a:extLst>
            <a:ext uri="{FF2B5EF4-FFF2-40B4-BE49-F238E27FC236}">
              <a16:creationId xmlns:a16="http://schemas.microsoft.com/office/drawing/2014/main" id="{00000000-0008-0000-0300-000035000000}"/>
            </a:ext>
          </a:extLst>
        </xdr:cNvPr>
        <xdr:cNvCxnSpPr>
          <a:stCxn id="46" idx="2"/>
          <a:endCxn id="47" idx="0"/>
        </xdr:cNvCxnSpPr>
      </xdr:nvCxnSpPr>
      <xdr:spPr>
        <a:xfrm>
          <a:off x="4089401" y="1067064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89</xdr:row>
      <xdr:rowOff>2647</xdr:rowOff>
    </xdr:from>
    <xdr:to>
      <xdr:col>6</xdr:col>
      <xdr:colOff>228601</xdr:colOff>
      <xdr:row>91</xdr:row>
      <xdr:rowOff>2647</xdr:rowOff>
    </xdr:to>
    <xdr:cxnSp macro="">
      <xdr:nvCxnSpPr>
        <xdr:cNvPr id="54" name="直線コネクタ 53">
          <a:extLst>
            <a:ext uri="{FF2B5EF4-FFF2-40B4-BE49-F238E27FC236}">
              <a16:creationId xmlns:a16="http://schemas.microsoft.com/office/drawing/2014/main" id="{00000000-0008-0000-0300-000036000000}"/>
            </a:ext>
          </a:extLst>
        </xdr:cNvPr>
        <xdr:cNvCxnSpPr/>
      </xdr:nvCxnSpPr>
      <xdr:spPr>
        <a:xfrm>
          <a:off x="3975101" y="14734647"/>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99</xdr:row>
      <xdr:rowOff>2648</xdr:rowOff>
    </xdr:from>
    <xdr:to>
      <xdr:col>8</xdr:col>
      <xdr:colOff>1</xdr:colOff>
      <xdr:row>105</xdr:row>
      <xdr:rowOff>2648</xdr:rowOff>
    </xdr:to>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3122084"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97</xdr:row>
      <xdr:rowOff>2647</xdr:rowOff>
    </xdr:from>
    <xdr:to>
      <xdr:col>6</xdr:col>
      <xdr:colOff>342901</xdr:colOff>
      <xdr:row>99</xdr:row>
      <xdr:rowOff>2648</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49" idx="2"/>
          <a:endCxn id="55" idx="0"/>
        </xdr:cNvCxnSpPr>
      </xdr:nvCxnSpPr>
      <xdr:spPr>
        <a:xfrm>
          <a:off x="4089401" y="16089314"/>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89</xdr:row>
      <xdr:rowOff>31222</xdr:rowOff>
    </xdr:from>
    <xdr:to>
      <xdr:col>6</xdr:col>
      <xdr:colOff>95251</xdr:colOff>
      <xdr:row>90</xdr:row>
      <xdr:rowOff>145524</xdr:rowOff>
    </xdr:to>
    <xdr:cxnSp macro="">
      <xdr:nvCxnSpPr>
        <xdr:cNvPr id="57" name="直線矢印コネクタ 56">
          <a:extLst>
            <a:ext uri="{FF2B5EF4-FFF2-40B4-BE49-F238E27FC236}">
              <a16:creationId xmlns:a16="http://schemas.microsoft.com/office/drawing/2014/main" id="{00000000-0008-0000-0300-000039000000}"/>
            </a:ext>
          </a:extLst>
        </xdr:cNvPr>
        <xdr:cNvCxnSpPr/>
      </xdr:nvCxnSpPr>
      <xdr:spPr>
        <a:xfrm flipV="1">
          <a:off x="3841751" y="14763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97</xdr:row>
      <xdr:rowOff>31222</xdr:rowOff>
    </xdr:from>
    <xdr:to>
      <xdr:col>6</xdr:col>
      <xdr:colOff>473867</xdr:colOff>
      <xdr:row>98</xdr:row>
      <xdr:rowOff>145523</xdr:rowOff>
    </xdr:to>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4220367" y="1611788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77</xdr:row>
      <xdr:rowOff>78847</xdr:rowOff>
    </xdr:from>
    <xdr:to>
      <xdr:col>6</xdr:col>
      <xdr:colOff>188120</xdr:colOff>
      <xdr:row>79</xdr:row>
      <xdr:rowOff>26461</xdr:rowOff>
    </xdr:to>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3934620" y="12778847"/>
          <a:ext cx="0" cy="28628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89</xdr:row>
      <xdr:rowOff>78847</xdr:rowOff>
    </xdr:from>
    <xdr:to>
      <xdr:col>8</xdr:col>
      <xdr:colOff>495301</xdr:colOff>
      <xdr:row>89</xdr:row>
      <xdr:rowOff>78848</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5128684" y="14810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65</xdr:row>
      <xdr:rowOff>21697</xdr:rowOff>
    </xdr:from>
    <xdr:to>
      <xdr:col>6</xdr:col>
      <xdr:colOff>188120</xdr:colOff>
      <xdr:row>66</xdr:row>
      <xdr:rowOff>135999</xdr:rowOff>
    </xdr:to>
    <xdr:cxnSp macro="">
      <xdr:nvCxnSpPr>
        <xdr:cNvPr id="61" name="直線矢印コネクタ 60">
          <a:extLst>
            <a:ext uri="{FF2B5EF4-FFF2-40B4-BE49-F238E27FC236}">
              <a16:creationId xmlns:a16="http://schemas.microsoft.com/office/drawing/2014/main" id="{00000000-0008-0000-0300-00003D000000}"/>
            </a:ext>
          </a:extLst>
        </xdr:cNvPr>
        <xdr:cNvCxnSpPr/>
      </xdr:nvCxnSpPr>
      <xdr:spPr>
        <a:xfrm flipV="1">
          <a:off x="3934620" y="10689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85</xdr:row>
      <xdr:rowOff>52654</xdr:rowOff>
    </xdr:from>
    <xdr:to>
      <xdr:col>10</xdr:col>
      <xdr:colOff>64295</xdr:colOff>
      <xdr:row>85</xdr:row>
      <xdr:rowOff>52655</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a:off x="6012657" y="14107321"/>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86</xdr:row>
      <xdr:rowOff>135997</xdr:rowOff>
    </xdr:from>
    <xdr:to>
      <xdr:col>8</xdr:col>
      <xdr:colOff>5101</xdr:colOff>
      <xdr:row>88</xdr:row>
      <xdr:rowOff>151999</xdr:rowOff>
    </xdr:to>
    <xdr:sp macro="" textlink="">
      <xdr:nvSpPr>
        <xdr:cNvPr id="63" name="円柱 62">
          <a:extLst>
            <a:ext uri="{FF2B5EF4-FFF2-40B4-BE49-F238E27FC236}">
              <a16:creationId xmlns:a16="http://schemas.microsoft.com/office/drawing/2014/main" id="{00000000-0008-0000-0300-00003F000000}"/>
            </a:ext>
          </a:extLst>
        </xdr:cNvPr>
        <xdr:cNvSpPr/>
      </xdr:nvSpPr>
      <xdr:spPr>
        <a:xfrm>
          <a:off x="4648009" y="14359997"/>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60</xdr:row>
      <xdr:rowOff>97898</xdr:rowOff>
    </xdr:from>
    <xdr:to>
      <xdr:col>13</xdr:col>
      <xdr:colOff>10584</xdr:colOff>
      <xdr:row>76</xdr:row>
      <xdr:rowOff>83608</xdr:rowOff>
    </xdr:to>
    <xdr:sp macro="" textlink="">
      <xdr:nvSpPr>
        <xdr:cNvPr id="64" name="正方形/長方形 63">
          <a:extLst>
            <a:ext uri="{FF2B5EF4-FFF2-40B4-BE49-F238E27FC236}">
              <a16:creationId xmlns:a16="http://schemas.microsoft.com/office/drawing/2014/main" id="{00000000-0008-0000-0300-000040000000}"/>
            </a:ext>
          </a:extLst>
        </xdr:cNvPr>
        <xdr:cNvSpPr/>
      </xdr:nvSpPr>
      <xdr:spPr>
        <a:xfrm>
          <a:off x="5905500" y="10257898"/>
          <a:ext cx="2084917"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10</xdr:col>
      <xdr:colOff>9526</xdr:colOff>
      <xdr:row>69</xdr:row>
      <xdr:rowOff>88373</xdr:rowOff>
    </xdr:from>
    <xdr:to>
      <xdr:col>13</xdr:col>
      <xdr:colOff>9526</xdr:colOff>
      <xdr:row>75</xdr:row>
      <xdr:rowOff>88373</xdr:rowOff>
    </xdr:to>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25369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69</xdr:row>
      <xdr:rowOff>88373</xdr:rowOff>
    </xdr:from>
    <xdr:to>
      <xdr:col>16</xdr:col>
      <xdr:colOff>9526</xdr:colOff>
      <xdr:row>75</xdr:row>
      <xdr:rowOff>88373</xdr:rowOff>
    </xdr:to>
    <xdr:sp macro="" textlink="">
      <xdr:nvSpPr>
        <xdr:cNvPr id="66" name="正方形/長方形 65">
          <a:extLst>
            <a:ext uri="{FF2B5EF4-FFF2-40B4-BE49-F238E27FC236}">
              <a16:creationId xmlns:a16="http://schemas.microsoft.com/office/drawing/2014/main" id="{00000000-0008-0000-0300-000042000000}"/>
            </a:ext>
          </a:extLst>
        </xdr:cNvPr>
        <xdr:cNvSpPr/>
      </xdr:nvSpPr>
      <xdr:spPr>
        <a:xfrm>
          <a:off x="812694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63</xdr:row>
      <xdr:rowOff>88373</xdr:rowOff>
    </xdr:from>
    <xdr:to>
      <xdr:col>13</xdr:col>
      <xdr:colOff>9526</xdr:colOff>
      <xdr:row>69</xdr:row>
      <xdr:rowOff>88373</xdr:rowOff>
    </xdr:to>
    <xdr:sp macro="" textlink="">
      <xdr:nvSpPr>
        <xdr:cNvPr id="67" name="正方形/長方形 66">
          <a:extLst>
            <a:ext uri="{FF2B5EF4-FFF2-40B4-BE49-F238E27FC236}">
              <a16:creationId xmlns:a16="http://schemas.microsoft.com/office/drawing/2014/main" id="{00000000-0008-0000-0300-000043000000}"/>
            </a:ext>
          </a:extLst>
        </xdr:cNvPr>
        <xdr:cNvSpPr/>
      </xdr:nvSpPr>
      <xdr:spPr>
        <a:xfrm>
          <a:off x="6253693" y="10417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63</xdr:row>
      <xdr:rowOff>88373</xdr:rowOff>
    </xdr:from>
    <xdr:to>
      <xdr:col>16</xdr:col>
      <xdr:colOff>9526</xdr:colOff>
      <xdr:row>69</xdr:row>
      <xdr:rowOff>88373</xdr:rowOff>
    </xdr:to>
    <xdr:sp macro="" textlink="">
      <xdr:nvSpPr>
        <xdr:cNvPr id="68" name="正方形/長方形 67">
          <a:extLst>
            <a:ext uri="{FF2B5EF4-FFF2-40B4-BE49-F238E27FC236}">
              <a16:creationId xmlns:a16="http://schemas.microsoft.com/office/drawing/2014/main" id="{00000000-0008-0000-0300-000044000000}"/>
            </a:ext>
          </a:extLst>
        </xdr:cNvPr>
        <xdr:cNvSpPr/>
      </xdr:nvSpPr>
      <xdr:spPr>
        <a:xfrm>
          <a:off x="8126943" y="10417706"/>
          <a:ext cx="1873250" cy="1016000"/>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67</xdr:row>
      <xdr:rowOff>45510</xdr:rowOff>
    </xdr:from>
    <xdr:to>
      <xdr:col>16</xdr:col>
      <xdr:colOff>1059</xdr:colOff>
      <xdr:row>69</xdr:row>
      <xdr:rowOff>61513</xdr:rowOff>
    </xdr:to>
    <xdr:sp macro="" textlink="">
      <xdr:nvSpPr>
        <xdr:cNvPr id="69" name="円柱 68">
          <a:extLst>
            <a:ext uri="{FF2B5EF4-FFF2-40B4-BE49-F238E27FC236}">
              <a16:creationId xmlns:a16="http://schemas.microsoft.com/office/drawing/2014/main" id="{00000000-0008-0000-0300-000045000000}"/>
            </a:ext>
          </a:extLst>
        </xdr:cNvPr>
        <xdr:cNvSpPr/>
      </xdr:nvSpPr>
      <xdr:spPr>
        <a:xfrm>
          <a:off x="9652001" y="11052177"/>
          <a:ext cx="3397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68</xdr:row>
      <xdr:rowOff>66942</xdr:rowOff>
    </xdr:from>
    <xdr:to>
      <xdr:col>10</xdr:col>
      <xdr:colOff>19051</xdr:colOff>
      <xdr:row>68</xdr:row>
      <xdr:rowOff>66942</xdr:rowOff>
    </xdr:to>
    <xdr:cxnSp macro="">
      <xdr:nvCxnSpPr>
        <xdr:cNvPr id="70" name="直線コネクタ 69">
          <a:extLst>
            <a:ext uri="{FF2B5EF4-FFF2-40B4-BE49-F238E27FC236}">
              <a16:creationId xmlns:a16="http://schemas.microsoft.com/office/drawing/2014/main" id="{00000000-0008-0000-0300-000046000000}"/>
            </a:ext>
          </a:extLst>
        </xdr:cNvPr>
        <xdr:cNvCxnSpPr/>
      </xdr:nvCxnSpPr>
      <xdr:spPr>
        <a:xfrm>
          <a:off x="4995334" y="11242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71</xdr:row>
      <xdr:rowOff>57417</xdr:rowOff>
    </xdr:from>
    <xdr:to>
      <xdr:col>10</xdr:col>
      <xdr:colOff>19051</xdr:colOff>
      <xdr:row>71</xdr:row>
      <xdr:rowOff>57417</xdr:rowOff>
    </xdr:to>
    <xdr:cxnSp macro="">
      <xdr:nvCxnSpPr>
        <xdr:cNvPr id="71" name="直線コネクタ 70">
          <a:extLst>
            <a:ext uri="{FF2B5EF4-FFF2-40B4-BE49-F238E27FC236}">
              <a16:creationId xmlns:a16="http://schemas.microsoft.com/office/drawing/2014/main" id="{00000000-0008-0000-0300-000047000000}"/>
            </a:ext>
          </a:extLst>
        </xdr:cNvPr>
        <xdr:cNvCxnSpPr/>
      </xdr:nvCxnSpPr>
      <xdr:spPr>
        <a:xfrm>
          <a:off x="4995334" y="11741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67</xdr:row>
      <xdr:rowOff>133617</xdr:rowOff>
    </xdr:from>
    <xdr:to>
      <xdr:col>9</xdr:col>
      <xdr:colOff>171451</xdr:colOff>
      <xdr:row>67</xdr:row>
      <xdr:rowOff>133618</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H="1">
          <a:off x="5490634" y="1114028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71</xdr:row>
      <xdr:rowOff>152667</xdr:rowOff>
    </xdr:from>
    <xdr:to>
      <xdr:col>9</xdr:col>
      <xdr:colOff>171451</xdr:colOff>
      <xdr:row>71</xdr:row>
      <xdr:rowOff>152668</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5490634" y="11836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83</xdr:row>
      <xdr:rowOff>14554</xdr:rowOff>
    </xdr:from>
    <xdr:to>
      <xdr:col>4</xdr:col>
      <xdr:colOff>14286</xdr:colOff>
      <xdr:row>89</xdr:row>
      <xdr:rowOff>2648</xdr:rowOff>
    </xdr:to>
    <xdr:sp macro="" textlink="">
      <xdr:nvSpPr>
        <xdr:cNvPr id="74" name="正方形/長方形 73">
          <a:extLst>
            <a:ext uri="{FF2B5EF4-FFF2-40B4-BE49-F238E27FC236}">
              <a16:creationId xmlns:a16="http://schemas.microsoft.com/office/drawing/2014/main" id="{00000000-0008-0000-0300-00004A000000}"/>
            </a:ext>
          </a:extLst>
        </xdr:cNvPr>
        <xdr:cNvSpPr/>
      </xdr:nvSpPr>
      <xdr:spPr>
        <a:xfrm>
          <a:off x="636324" y="13730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86</xdr:row>
      <xdr:rowOff>2647</xdr:rowOff>
    </xdr:from>
    <xdr:to>
      <xdr:col>5</xdr:col>
      <xdr:colOff>1</xdr:colOff>
      <xdr:row>86</xdr:row>
      <xdr:rowOff>8601</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48" idx="1"/>
          <a:endCxn id="74" idx="3"/>
        </xdr:cNvCxnSpPr>
      </xdr:nvCxnSpPr>
      <xdr:spPr>
        <a:xfrm flipH="1">
          <a:off x="2511953" y="14226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76</xdr:row>
      <xdr:rowOff>83608</xdr:rowOff>
    </xdr:from>
    <xdr:to>
      <xdr:col>11</xdr:col>
      <xdr:colOff>195793</xdr:colOff>
      <xdr:row>86</xdr:row>
      <xdr:rowOff>2647</xdr:rowOff>
    </xdr:to>
    <xdr:cxnSp macro="">
      <xdr:nvCxnSpPr>
        <xdr:cNvPr id="76" name="カギ線コネクタ 75">
          <a:extLst>
            <a:ext uri="{FF2B5EF4-FFF2-40B4-BE49-F238E27FC236}">
              <a16:creationId xmlns:a16="http://schemas.microsoft.com/office/drawing/2014/main" id="{00000000-0008-0000-0300-00004C000000}"/>
            </a:ext>
          </a:extLst>
        </xdr:cNvPr>
        <xdr:cNvCxnSpPr>
          <a:stCxn id="64" idx="2"/>
          <a:endCxn id="48" idx="3"/>
        </xdr:cNvCxnSpPr>
      </xdr:nvCxnSpPr>
      <xdr:spPr>
        <a:xfrm rot="5400000">
          <a:off x="5123128" y="12740482"/>
          <a:ext cx="1612373" cy="2037291"/>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99</xdr:row>
      <xdr:rowOff>2648</xdr:rowOff>
    </xdr:from>
    <xdr:to>
      <xdr:col>4</xdr:col>
      <xdr:colOff>440532</xdr:colOff>
      <xdr:row>105</xdr:row>
      <xdr:rowOff>2648</xdr:rowOff>
    </xdr:to>
    <xdr:sp macro="" textlink="">
      <xdr:nvSpPr>
        <xdr:cNvPr id="77" name="正方形/長方形 76">
          <a:extLst>
            <a:ext uri="{FF2B5EF4-FFF2-40B4-BE49-F238E27FC236}">
              <a16:creationId xmlns:a16="http://schemas.microsoft.com/office/drawing/2014/main" id="{00000000-0008-0000-0300-00004D000000}"/>
            </a:ext>
          </a:extLst>
        </xdr:cNvPr>
        <xdr:cNvSpPr/>
      </xdr:nvSpPr>
      <xdr:spPr>
        <a:xfrm>
          <a:off x="1064949"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97</xdr:row>
      <xdr:rowOff>2647</xdr:rowOff>
    </xdr:from>
    <xdr:to>
      <xdr:col>6</xdr:col>
      <xdr:colOff>345284</xdr:colOff>
      <xdr:row>99</xdr:row>
      <xdr:rowOff>2648</xdr:rowOff>
    </xdr:to>
    <xdr:cxnSp macro="">
      <xdr:nvCxnSpPr>
        <xdr:cNvPr id="78" name="カギ線コネクタ 77">
          <a:extLst>
            <a:ext uri="{FF2B5EF4-FFF2-40B4-BE49-F238E27FC236}">
              <a16:creationId xmlns:a16="http://schemas.microsoft.com/office/drawing/2014/main" id="{00000000-0008-0000-0300-00004E000000}"/>
            </a:ext>
          </a:extLst>
        </xdr:cNvPr>
        <xdr:cNvCxnSpPr>
          <a:stCxn id="49" idx="2"/>
          <a:endCxn id="77" idx="0"/>
        </xdr:cNvCxnSpPr>
      </xdr:nvCxnSpPr>
      <xdr:spPr>
        <a:xfrm rot="5400000">
          <a:off x="2860809" y="15197007"/>
          <a:ext cx="338667"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97</xdr:row>
      <xdr:rowOff>74085</xdr:rowOff>
    </xdr:from>
    <xdr:to>
      <xdr:col>4</xdr:col>
      <xdr:colOff>492920</xdr:colOff>
      <xdr:row>97</xdr:row>
      <xdr:rowOff>74086</xdr:rowOff>
    </xdr:to>
    <xdr:cxnSp macro="">
      <xdr:nvCxnSpPr>
        <xdr:cNvPr id="79" name="直線矢印コネクタ 78">
          <a:extLst>
            <a:ext uri="{FF2B5EF4-FFF2-40B4-BE49-F238E27FC236}">
              <a16:creationId xmlns:a16="http://schemas.microsoft.com/office/drawing/2014/main" id="{00000000-0008-0000-0300-00004F000000}"/>
            </a:ext>
          </a:extLst>
        </xdr:cNvPr>
        <xdr:cNvCxnSpPr/>
      </xdr:nvCxnSpPr>
      <xdr:spPr>
        <a:xfrm flipH="1">
          <a:off x="2628637" y="16160752"/>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85</xdr:row>
      <xdr:rowOff>50273</xdr:rowOff>
    </xdr:from>
    <xdr:to>
      <xdr:col>4</xdr:col>
      <xdr:colOff>540545</xdr:colOff>
      <xdr:row>85</xdr:row>
      <xdr:rowOff>50274</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flipH="1">
          <a:off x="2676262" y="1410494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12</xdr:col>
      <xdr:colOff>613833</xdr:colOff>
      <xdr:row>56</xdr:row>
      <xdr:rowOff>148166</xdr:rowOff>
    </xdr:to>
    <xdr:sp macro="" textlink="">
      <xdr:nvSpPr>
        <xdr:cNvPr id="84" name="正方形/長方形 83">
          <a:extLst>
            <a:ext uri="{FF2B5EF4-FFF2-40B4-BE49-F238E27FC236}">
              <a16:creationId xmlns:a16="http://schemas.microsoft.com/office/drawing/2014/main" id="{00000000-0008-0000-0300-000054000000}"/>
            </a:ext>
          </a:extLst>
        </xdr:cNvPr>
        <xdr:cNvSpPr/>
      </xdr:nvSpPr>
      <xdr:spPr>
        <a:xfrm>
          <a:off x="624417" y="9144000"/>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4</xdr:col>
      <xdr:colOff>345283</xdr:colOff>
      <xdr:row>137</xdr:row>
      <xdr:rowOff>14553</xdr:rowOff>
    </xdr:from>
    <xdr:to>
      <xdr:col>8</xdr:col>
      <xdr:colOff>333377</xdr:colOff>
      <xdr:row>152</xdr:row>
      <xdr:rowOff>26459</xdr:rowOff>
    </xdr:to>
    <xdr:sp macro="" textlink="">
      <xdr:nvSpPr>
        <xdr:cNvPr id="85" name="正方形/長方形 84">
          <a:extLst>
            <a:ext uri="{FF2B5EF4-FFF2-40B4-BE49-F238E27FC236}">
              <a16:creationId xmlns:a16="http://schemas.microsoft.com/office/drawing/2014/main" id="{00000000-0008-0000-0300-000055000000}"/>
            </a:ext>
          </a:extLst>
        </xdr:cNvPr>
        <xdr:cNvSpPr/>
      </xdr:nvSpPr>
      <xdr:spPr>
        <a:xfrm>
          <a:off x="2842950" y="23213220"/>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145</xdr:row>
      <xdr:rowOff>14552</xdr:rowOff>
    </xdr:from>
    <xdr:to>
      <xdr:col>8</xdr:col>
      <xdr:colOff>333376</xdr:colOff>
      <xdr:row>161</xdr:row>
      <xdr:rowOff>14551</xdr:rowOff>
    </xdr:to>
    <xdr:sp macro="" textlink="">
      <xdr:nvSpPr>
        <xdr:cNvPr id="86" name="正方形/長方形 85">
          <a:extLst>
            <a:ext uri="{FF2B5EF4-FFF2-40B4-BE49-F238E27FC236}">
              <a16:creationId xmlns:a16="http://schemas.microsoft.com/office/drawing/2014/main" id="{00000000-0008-0000-0300-000056000000}"/>
            </a:ext>
          </a:extLst>
        </xdr:cNvPr>
        <xdr:cNvSpPr/>
      </xdr:nvSpPr>
      <xdr:spPr>
        <a:xfrm>
          <a:off x="624417" y="24567885"/>
          <a:ext cx="4704292" cy="2709333"/>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345282</xdr:colOff>
      <xdr:row>113</xdr:row>
      <xdr:rowOff>-1</xdr:rowOff>
    </xdr:from>
    <xdr:to>
      <xdr:col>22</xdr:col>
      <xdr:colOff>21167</xdr:colOff>
      <xdr:row>137</xdr:row>
      <xdr:rowOff>2645</xdr:rowOff>
    </xdr:to>
    <xdr:sp macro="" textlink="">
      <xdr:nvSpPr>
        <xdr:cNvPr id="87" name="正方形/長方形 86">
          <a:extLst>
            <a:ext uri="{FF2B5EF4-FFF2-40B4-BE49-F238E27FC236}">
              <a16:creationId xmlns:a16="http://schemas.microsoft.com/office/drawing/2014/main" id="{00000000-0008-0000-0300-000057000000}"/>
            </a:ext>
          </a:extLst>
        </xdr:cNvPr>
        <xdr:cNvSpPr/>
      </xdr:nvSpPr>
      <xdr:spPr>
        <a:xfrm>
          <a:off x="2800615" y="19134666"/>
          <a:ext cx="10724885"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114</xdr:row>
      <xdr:rowOff>2647</xdr:rowOff>
    </xdr:from>
    <xdr:to>
      <xdr:col>8</xdr:col>
      <xdr:colOff>1</xdr:colOff>
      <xdr:row>120</xdr:row>
      <xdr:rowOff>2647</xdr:rowOff>
    </xdr:to>
    <xdr:sp macro="" textlink="">
      <xdr:nvSpPr>
        <xdr:cNvPr id="88" name="正方形/長方形 87">
          <a:extLst>
            <a:ext uri="{FF2B5EF4-FFF2-40B4-BE49-F238E27FC236}">
              <a16:creationId xmlns:a16="http://schemas.microsoft.com/office/drawing/2014/main" id="{00000000-0008-0000-0300-000058000000}"/>
            </a:ext>
          </a:extLst>
        </xdr:cNvPr>
        <xdr:cNvSpPr/>
      </xdr:nvSpPr>
      <xdr:spPr>
        <a:xfrm>
          <a:off x="3122084" y="19306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122</xdr:row>
      <xdr:rowOff>2646</xdr:rowOff>
    </xdr:from>
    <xdr:to>
      <xdr:col>8</xdr:col>
      <xdr:colOff>1</xdr:colOff>
      <xdr:row>128</xdr:row>
      <xdr:rowOff>2646</xdr:rowOff>
    </xdr:to>
    <xdr:sp macro="" textlink="">
      <xdr:nvSpPr>
        <xdr:cNvPr id="89" name="正方形/長方形 88">
          <a:extLst>
            <a:ext uri="{FF2B5EF4-FFF2-40B4-BE49-F238E27FC236}">
              <a16:creationId xmlns:a16="http://schemas.microsoft.com/office/drawing/2014/main" id="{00000000-0008-0000-0300-000059000000}"/>
            </a:ext>
          </a:extLst>
        </xdr:cNvPr>
        <xdr:cNvSpPr/>
      </xdr:nvSpPr>
      <xdr:spPr>
        <a:xfrm>
          <a:off x="3122084" y="20661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138</xdr:row>
      <xdr:rowOff>2647</xdr:rowOff>
    </xdr:from>
    <xdr:to>
      <xdr:col>8</xdr:col>
      <xdr:colOff>1</xdr:colOff>
      <xdr:row>144</xdr:row>
      <xdr:rowOff>2647</xdr:rowOff>
    </xdr:to>
    <xdr:sp macro="" textlink="">
      <xdr:nvSpPr>
        <xdr:cNvPr id="90" name="正方形/長方形 89">
          <a:extLst>
            <a:ext uri="{FF2B5EF4-FFF2-40B4-BE49-F238E27FC236}">
              <a16:creationId xmlns:a16="http://schemas.microsoft.com/office/drawing/2014/main" id="{00000000-0008-0000-0300-00005A000000}"/>
            </a:ext>
          </a:extLst>
        </xdr:cNvPr>
        <xdr:cNvSpPr/>
      </xdr:nvSpPr>
      <xdr:spPr>
        <a:xfrm>
          <a:off x="3122084" y="23370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146</xdr:row>
      <xdr:rowOff>2646</xdr:rowOff>
    </xdr:from>
    <xdr:to>
      <xdr:col>8</xdr:col>
      <xdr:colOff>1</xdr:colOff>
      <xdr:row>152</xdr:row>
      <xdr:rowOff>2646</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122084" y="2472531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146</xdr:row>
      <xdr:rowOff>2646</xdr:rowOff>
    </xdr:from>
    <xdr:to>
      <xdr:col>12</xdr:col>
      <xdr:colOff>1</xdr:colOff>
      <xdr:row>152</xdr:row>
      <xdr:rowOff>2646</xdr:rowOff>
    </xdr:to>
    <xdr:sp macro="" textlink="">
      <xdr:nvSpPr>
        <xdr:cNvPr id="92" name="正方形/長方形 91">
          <a:extLst>
            <a:ext uri="{FF2B5EF4-FFF2-40B4-BE49-F238E27FC236}">
              <a16:creationId xmlns:a16="http://schemas.microsoft.com/office/drawing/2014/main" id="{00000000-0008-0000-0300-00005C000000}"/>
            </a:ext>
          </a:extLst>
        </xdr:cNvPr>
        <xdr:cNvSpPr/>
      </xdr:nvSpPr>
      <xdr:spPr>
        <a:xfrm>
          <a:off x="5619751" y="24725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128</xdr:row>
      <xdr:rowOff>2646</xdr:rowOff>
    </xdr:from>
    <xdr:to>
      <xdr:col>6</xdr:col>
      <xdr:colOff>345283</xdr:colOff>
      <xdr:row>138</xdr:row>
      <xdr:rowOff>2647</xdr:rowOff>
    </xdr:to>
    <xdr:cxnSp macro="">
      <xdr:nvCxnSpPr>
        <xdr:cNvPr id="93" name="直線コネクタ 92">
          <a:extLst>
            <a:ext uri="{FF2B5EF4-FFF2-40B4-BE49-F238E27FC236}">
              <a16:creationId xmlns:a16="http://schemas.microsoft.com/office/drawing/2014/main" id="{00000000-0008-0000-0300-00005D000000}"/>
            </a:ext>
          </a:extLst>
        </xdr:cNvPr>
        <xdr:cNvCxnSpPr>
          <a:stCxn id="89" idx="2"/>
          <a:endCxn id="90" idx="0"/>
        </xdr:cNvCxnSpPr>
      </xdr:nvCxnSpPr>
      <xdr:spPr>
        <a:xfrm>
          <a:off x="4091783" y="21677313"/>
          <a:ext cx="0" cy="169333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144</xdr:row>
      <xdr:rowOff>2647</xdr:rowOff>
    </xdr:from>
    <xdr:to>
      <xdr:col>10</xdr:col>
      <xdr:colOff>342901</xdr:colOff>
      <xdr:row>146</xdr:row>
      <xdr:rowOff>2646</xdr:rowOff>
    </xdr:to>
    <xdr:cxnSp macro="">
      <xdr:nvCxnSpPr>
        <xdr:cNvPr id="94" name="カギ線コネクタ 93">
          <a:extLst>
            <a:ext uri="{FF2B5EF4-FFF2-40B4-BE49-F238E27FC236}">
              <a16:creationId xmlns:a16="http://schemas.microsoft.com/office/drawing/2014/main" id="{00000000-0008-0000-0300-00005E000000}"/>
            </a:ext>
          </a:extLst>
        </xdr:cNvPr>
        <xdr:cNvCxnSpPr>
          <a:stCxn id="90" idx="2"/>
          <a:endCxn id="92" idx="0"/>
        </xdr:cNvCxnSpPr>
      </xdr:nvCxnSpPr>
      <xdr:spPr>
        <a:xfrm rot="16200000" flipH="1">
          <a:off x="5168902" y="23307146"/>
          <a:ext cx="338666"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120</xdr:row>
      <xdr:rowOff>2647</xdr:rowOff>
    </xdr:from>
    <xdr:to>
      <xdr:col>6</xdr:col>
      <xdr:colOff>342901</xdr:colOff>
      <xdr:row>122</xdr:row>
      <xdr:rowOff>2646</xdr:rowOff>
    </xdr:to>
    <xdr:cxnSp macro="">
      <xdr:nvCxnSpPr>
        <xdr:cNvPr id="95" name="直線コネクタ 94">
          <a:extLst>
            <a:ext uri="{FF2B5EF4-FFF2-40B4-BE49-F238E27FC236}">
              <a16:creationId xmlns:a16="http://schemas.microsoft.com/office/drawing/2014/main" id="{00000000-0008-0000-0300-00005F000000}"/>
            </a:ext>
          </a:extLst>
        </xdr:cNvPr>
        <xdr:cNvCxnSpPr>
          <a:stCxn id="88" idx="2"/>
          <a:endCxn id="89" idx="0"/>
        </xdr:cNvCxnSpPr>
      </xdr:nvCxnSpPr>
      <xdr:spPr>
        <a:xfrm>
          <a:off x="4089401" y="20322647"/>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144</xdr:row>
      <xdr:rowOff>2647</xdr:rowOff>
    </xdr:from>
    <xdr:to>
      <xdr:col>6</xdr:col>
      <xdr:colOff>228601</xdr:colOff>
      <xdr:row>146</xdr:row>
      <xdr:rowOff>2646</xdr:rowOff>
    </xdr:to>
    <xdr:cxnSp macro="">
      <xdr:nvCxnSpPr>
        <xdr:cNvPr id="96" name="直線コネクタ 95">
          <a:extLst>
            <a:ext uri="{FF2B5EF4-FFF2-40B4-BE49-F238E27FC236}">
              <a16:creationId xmlns:a16="http://schemas.microsoft.com/office/drawing/2014/main" id="{00000000-0008-0000-0300-000060000000}"/>
            </a:ext>
          </a:extLst>
        </xdr:cNvPr>
        <xdr:cNvCxnSpPr/>
      </xdr:nvCxnSpPr>
      <xdr:spPr>
        <a:xfrm>
          <a:off x="3975101" y="24386647"/>
          <a:ext cx="0" cy="338666"/>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154</xdr:row>
      <xdr:rowOff>2648</xdr:rowOff>
    </xdr:from>
    <xdr:to>
      <xdr:col>8</xdr:col>
      <xdr:colOff>1</xdr:colOff>
      <xdr:row>160</xdr:row>
      <xdr:rowOff>2648</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3122084"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152</xdr:row>
      <xdr:rowOff>2646</xdr:rowOff>
    </xdr:from>
    <xdr:to>
      <xdr:col>6</xdr:col>
      <xdr:colOff>342901</xdr:colOff>
      <xdr:row>154</xdr:row>
      <xdr:rowOff>2648</xdr:rowOff>
    </xdr:to>
    <xdr:cxnSp macro="">
      <xdr:nvCxnSpPr>
        <xdr:cNvPr id="98" name="直線コネクタ 97">
          <a:extLst>
            <a:ext uri="{FF2B5EF4-FFF2-40B4-BE49-F238E27FC236}">
              <a16:creationId xmlns:a16="http://schemas.microsoft.com/office/drawing/2014/main" id="{00000000-0008-0000-0300-000062000000}"/>
            </a:ext>
          </a:extLst>
        </xdr:cNvPr>
        <xdr:cNvCxnSpPr>
          <a:stCxn id="91" idx="2"/>
          <a:endCxn id="97" idx="0"/>
        </xdr:cNvCxnSpPr>
      </xdr:nvCxnSpPr>
      <xdr:spPr>
        <a:xfrm>
          <a:off x="4089401" y="25741313"/>
          <a:ext cx="0" cy="338668"/>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144</xdr:row>
      <xdr:rowOff>31222</xdr:rowOff>
    </xdr:from>
    <xdr:to>
      <xdr:col>6</xdr:col>
      <xdr:colOff>95251</xdr:colOff>
      <xdr:row>145</xdr:row>
      <xdr:rowOff>145524</xdr:rowOff>
    </xdr:to>
    <xdr:cxnSp macro="">
      <xdr:nvCxnSpPr>
        <xdr:cNvPr id="99" name="直線矢印コネクタ 98">
          <a:extLst>
            <a:ext uri="{FF2B5EF4-FFF2-40B4-BE49-F238E27FC236}">
              <a16:creationId xmlns:a16="http://schemas.microsoft.com/office/drawing/2014/main" id="{00000000-0008-0000-0300-000063000000}"/>
            </a:ext>
          </a:extLst>
        </xdr:cNvPr>
        <xdr:cNvCxnSpPr/>
      </xdr:nvCxnSpPr>
      <xdr:spPr>
        <a:xfrm flipV="1">
          <a:off x="3841751" y="24415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152</xdr:row>
      <xdr:rowOff>31221</xdr:rowOff>
    </xdr:from>
    <xdr:to>
      <xdr:col>6</xdr:col>
      <xdr:colOff>473867</xdr:colOff>
      <xdr:row>153</xdr:row>
      <xdr:rowOff>145523</xdr:rowOff>
    </xdr:to>
    <xdr:cxnSp macro="">
      <xdr:nvCxnSpPr>
        <xdr:cNvPr id="100" name="直線矢印コネクタ 99">
          <a:extLst>
            <a:ext uri="{FF2B5EF4-FFF2-40B4-BE49-F238E27FC236}">
              <a16:creationId xmlns:a16="http://schemas.microsoft.com/office/drawing/2014/main" id="{00000000-0008-0000-0300-000064000000}"/>
            </a:ext>
          </a:extLst>
        </xdr:cNvPr>
        <xdr:cNvCxnSpPr/>
      </xdr:nvCxnSpPr>
      <xdr:spPr>
        <a:xfrm flipV="1">
          <a:off x="4220367" y="25769888"/>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132</xdr:row>
      <xdr:rowOff>78847</xdr:rowOff>
    </xdr:from>
    <xdr:to>
      <xdr:col>6</xdr:col>
      <xdr:colOff>188120</xdr:colOff>
      <xdr:row>134</xdr:row>
      <xdr:rowOff>26460</xdr:rowOff>
    </xdr:to>
    <xdr:cxnSp macro="">
      <xdr:nvCxnSpPr>
        <xdr:cNvPr id="101" name="直線矢印コネクタ 100">
          <a:extLst>
            <a:ext uri="{FF2B5EF4-FFF2-40B4-BE49-F238E27FC236}">
              <a16:creationId xmlns:a16="http://schemas.microsoft.com/office/drawing/2014/main" id="{00000000-0008-0000-0300-000065000000}"/>
            </a:ext>
          </a:extLst>
        </xdr:cNvPr>
        <xdr:cNvCxnSpPr/>
      </xdr:nvCxnSpPr>
      <xdr:spPr>
        <a:xfrm flipV="1">
          <a:off x="3934620" y="22430847"/>
          <a:ext cx="0" cy="286280"/>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144</xdr:row>
      <xdr:rowOff>78847</xdr:rowOff>
    </xdr:from>
    <xdr:to>
      <xdr:col>8</xdr:col>
      <xdr:colOff>495301</xdr:colOff>
      <xdr:row>144</xdr:row>
      <xdr:rowOff>78848</xdr:rowOff>
    </xdr:to>
    <xdr:cxnSp macro="">
      <xdr:nvCxnSpPr>
        <xdr:cNvPr id="102" name="直線矢印コネクタ 101">
          <a:extLst>
            <a:ext uri="{FF2B5EF4-FFF2-40B4-BE49-F238E27FC236}">
              <a16:creationId xmlns:a16="http://schemas.microsoft.com/office/drawing/2014/main" id="{00000000-0008-0000-0300-000066000000}"/>
            </a:ext>
          </a:extLst>
        </xdr:cNvPr>
        <xdr:cNvCxnSpPr/>
      </xdr:nvCxnSpPr>
      <xdr:spPr>
        <a:xfrm flipH="1">
          <a:off x="5128684" y="24462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120</xdr:row>
      <xdr:rowOff>21697</xdr:rowOff>
    </xdr:from>
    <xdr:to>
      <xdr:col>6</xdr:col>
      <xdr:colOff>188120</xdr:colOff>
      <xdr:row>121</xdr:row>
      <xdr:rowOff>135999</xdr:rowOff>
    </xdr:to>
    <xdr:cxnSp macro="">
      <xdr:nvCxnSpPr>
        <xdr:cNvPr id="103" name="直線矢印コネクタ 102">
          <a:extLst>
            <a:ext uri="{FF2B5EF4-FFF2-40B4-BE49-F238E27FC236}">
              <a16:creationId xmlns:a16="http://schemas.microsoft.com/office/drawing/2014/main" id="{00000000-0008-0000-0300-000067000000}"/>
            </a:ext>
          </a:extLst>
        </xdr:cNvPr>
        <xdr:cNvCxnSpPr/>
      </xdr:nvCxnSpPr>
      <xdr:spPr>
        <a:xfrm flipV="1">
          <a:off x="3934620" y="20341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140</xdr:row>
      <xdr:rowOff>52653</xdr:rowOff>
    </xdr:from>
    <xdr:to>
      <xdr:col>10</xdr:col>
      <xdr:colOff>64295</xdr:colOff>
      <xdr:row>140</xdr:row>
      <xdr:rowOff>52654</xdr:rowOff>
    </xdr:to>
    <xdr:cxnSp macro="">
      <xdr:nvCxnSpPr>
        <xdr:cNvPr id="104" name="直線矢印コネクタ 103">
          <a:extLst>
            <a:ext uri="{FF2B5EF4-FFF2-40B4-BE49-F238E27FC236}">
              <a16:creationId xmlns:a16="http://schemas.microsoft.com/office/drawing/2014/main" id="{00000000-0008-0000-0300-000068000000}"/>
            </a:ext>
          </a:extLst>
        </xdr:cNvPr>
        <xdr:cNvCxnSpPr/>
      </xdr:nvCxnSpPr>
      <xdr:spPr>
        <a:xfrm flipH="1">
          <a:off x="6012657" y="23759320"/>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141</xdr:row>
      <xdr:rowOff>135997</xdr:rowOff>
    </xdr:from>
    <xdr:to>
      <xdr:col>8</xdr:col>
      <xdr:colOff>5101</xdr:colOff>
      <xdr:row>143</xdr:row>
      <xdr:rowOff>151998</xdr:rowOff>
    </xdr:to>
    <xdr:sp macro="" textlink="">
      <xdr:nvSpPr>
        <xdr:cNvPr id="105" name="円柱 104">
          <a:extLst>
            <a:ext uri="{FF2B5EF4-FFF2-40B4-BE49-F238E27FC236}">
              <a16:creationId xmlns:a16="http://schemas.microsoft.com/office/drawing/2014/main" id="{00000000-0008-0000-0300-000069000000}"/>
            </a:ext>
          </a:extLst>
        </xdr:cNvPr>
        <xdr:cNvSpPr/>
      </xdr:nvSpPr>
      <xdr:spPr>
        <a:xfrm>
          <a:off x="4648009" y="24011997"/>
          <a:ext cx="352425" cy="354668"/>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115</xdr:row>
      <xdr:rowOff>97898</xdr:rowOff>
    </xdr:from>
    <xdr:to>
      <xdr:col>16</xdr:col>
      <xdr:colOff>371475</xdr:colOff>
      <xdr:row>131</xdr:row>
      <xdr:rowOff>83607</xdr:rowOff>
    </xdr:to>
    <xdr:sp macro="" textlink="">
      <xdr:nvSpPr>
        <xdr:cNvPr id="106" name="正方形/長方形 105">
          <a:extLst>
            <a:ext uri="{FF2B5EF4-FFF2-40B4-BE49-F238E27FC236}">
              <a16:creationId xmlns:a16="http://schemas.microsoft.com/office/drawing/2014/main" id="{00000000-0008-0000-0300-00006A000000}"/>
            </a:ext>
          </a:extLst>
        </xdr:cNvPr>
        <xdr:cNvSpPr/>
      </xdr:nvSpPr>
      <xdr:spPr>
        <a:xfrm>
          <a:off x="6000750" y="19571231"/>
          <a:ext cx="4361392"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10</xdr:col>
      <xdr:colOff>9526</xdr:colOff>
      <xdr:row>124</xdr:row>
      <xdr:rowOff>88373</xdr:rowOff>
    </xdr:from>
    <xdr:to>
      <xdr:col>13</xdr:col>
      <xdr:colOff>9526</xdr:colOff>
      <xdr:row>130</xdr:row>
      <xdr:rowOff>88373</xdr:rowOff>
    </xdr:to>
    <xdr:sp macro="" textlink="">
      <xdr:nvSpPr>
        <xdr:cNvPr id="107" name="正方形/長方形 106">
          <a:extLst>
            <a:ext uri="{FF2B5EF4-FFF2-40B4-BE49-F238E27FC236}">
              <a16:creationId xmlns:a16="http://schemas.microsoft.com/office/drawing/2014/main" id="{00000000-0008-0000-0300-00006B000000}"/>
            </a:ext>
          </a:extLst>
        </xdr:cNvPr>
        <xdr:cNvSpPr/>
      </xdr:nvSpPr>
      <xdr:spPr>
        <a:xfrm>
          <a:off x="625369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124</xdr:row>
      <xdr:rowOff>88373</xdr:rowOff>
    </xdr:from>
    <xdr:to>
      <xdr:col>16</xdr:col>
      <xdr:colOff>9526</xdr:colOff>
      <xdr:row>130</xdr:row>
      <xdr:rowOff>88373</xdr:rowOff>
    </xdr:to>
    <xdr:sp macro="" textlink="">
      <xdr:nvSpPr>
        <xdr:cNvPr id="108" name="正方形/長方形 107">
          <a:extLst>
            <a:ext uri="{FF2B5EF4-FFF2-40B4-BE49-F238E27FC236}">
              <a16:creationId xmlns:a16="http://schemas.microsoft.com/office/drawing/2014/main" id="{00000000-0008-0000-0300-00006C000000}"/>
            </a:ext>
          </a:extLst>
        </xdr:cNvPr>
        <xdr:cNvSpPr/>
      </xdr:nvSpPr>
      <xdr:spPr>
        <a:xfrm>
          <a:off x="812694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118</xdr:row>
      <xdr:rowOff>88373</xdr:rowOff>
    </xdr:from>
    <xdr:to>
      <xdr:col>13</xdr:col>
      <xdr:colOff>9526</xdr:colOff>
      <xdr:row>124</xdr:row>
      <xdr:rowOff>88373</xdr:rowOff>
    </xdr:to>
    <xdr:sp macro="" textlink="">
      <xdr:nvSpPr>
        <xdr:cNvPr id="109" name="正方形/長方形 108">
          <a:extLst>
            <a:ext uri="{FF2B5EF4-FFF2-40B4-BE49-F238E27FC236}">
              <a16:creationId xmlns:a16="http://schemas.microsoft.com/office/drawing/2014/main" id="{00000000-0008-0000-0300-00006D000000}"/>
            </a:ext>
          </a:extLst>
        </xdr:cNvPr>
        <xdr:cNvSpPr/>
      </xdr:nvSpPr>
      <xdr:spPr>
        <a:xfrm>
          <a:off x="625369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118</xdr:row>
      <xdr:rowOff>88373</xdr:rowOff>
    </xdr:from>
    <xdr:to>
      <xdr:col>16</xdr:col>
      <xdr:colOff>9526</xdr:colOff>
      <xdr:row>124</xdr:row>
      <xdr:rowOff>88373</xdr:rowOff>
    </xdr:to>
    <xdr:sp macro="" textlink="">
      <xdr:nvSpPr>
        <xdr:cNvPr id="110" name="正方形/長方形 109">
          <a:extLst>
            <a:ext uri="{FF2B5EF4-FFF2-40B4-BE49-F238E27FC236}">
              <a16:creationId xmlns:a16="http://schemas.microsoft.com/office/drawing/2014/main" id="{00000000-0008-0000-0300-00006E000000}"/>
            </a:ext>
          </a:extLst>
        </xdr:cNvPr>
        <xdr:cNvSpPr/>
      </xdr:nvSpPr>
      <xdr:spPr>
        <a:xfrm>
          <a:off x="812694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122</xdr:row>
      <xdr:rowOff>45509</xdr:rowOff>
    </xdr:from>
    <xdr:to>
      <xdr:col>16</xdr:col>
      <xdr:colOff>1059</xdr:colOff>
      <xdr:row>124</xdr:row>
      <xdr:rowOff>61513</xdr:rowOff>
    </xdr:to>
    <xdr:sp macro="" textlink="">
      <xdr:nvSpPr>
        <xdr:cNvPr id="111" name="円柱 110">
          <a:extLst>
            <a:ext uri="{FF2B5EF4-FFF2-40B4-BE49-F238E27FC236}">
              <a16:creationId xmlns:a16="http://schemas.microsoft.com/office/drawing/2014/main" id="{00000000-0008-0000-0300-00006F000000}"/>
            </a:ext>
          </a:extLst>
        </xdr:cNvPr>
        <xdr:cNvSpPr/>
      </xdr:nvSpPr>
      <xdr:spPr>
        <a:xfrm>
          <a:off x="9652001" y="20704176"/>
          <a:ext cx="339725" cy="354670"/>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123</xdr:row>
      <xdr:rowOff>66942</xdr:rowOff>
    </xdr:from>
    <xdr:to>
      <xdr:col>10</xdr:col>
      <xdr:colOff>19051</xdr:colOff>
      <xdr:row>123</xdr:row>
      <xdr:rowOff>66942</xdr:rowOff>
    </xdr:to>
    <xdr:cxnSp macro="">
      <xdr:nvCxnSpPr>
        <xdr:cNvPr id="112" name="直線コネクタ 111">
          <a:extLst>
            <a:ext uri="{FF2B5EF4-FFF2-40B4-BE49-F238E27FC236}">
              <a16:creationId xmlns:a16="http://schemas.microsoft.com/office/drawing/2014/main" id="{00000000-0008-0000-0300-000070000000}"/>
            </a:ext>
          </a:extLst>
        </xdr:cNvPr>
        <xdr:cNvCxnSpPr/>
      </xdr:nvCxnSpPr>
      <xdr:spPr>
        <a:xfrm>
          <a:off x="4995334" y="20894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126</xdr:row>
      <xdr:rowOff>57417</xdr:rowOff>
    </xdr:from>
    <xdr:to>
      <xdr:col>10</xdr:col>
      <xdr:colOff>19051</xdr:colOff>
      <xdr:row>126</xdr:row>
      <xdr:rowOff>57417</xdr:rowOff>
    </xdr:to>
    <xdr:cxnSp macro="">
      <xdr:nvCxnSpPr>
        <xdr:cNvPr id="113" name="直線コネクタ 112">
          <a:extLst>
            <a:ext uri="{FF2B5EF4-FFF2-40B4-BE49-F238E27FC236}">
              <a16:creationId xmlns:a16="http://schemas.microsoft.com/office/drawing/2014/main" id="{00000000-0008-0000-0300-000071000000}"/>
            </a:ext>
          </a:extLst>
        </xdr:cNvPr>
        <xdr:cNvCxnSpPr/>
      </xdr:nvCxnSpPr>
      <xdr:spPr>
        <a:xfrm>
          <a:off x="4995334" y="21393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122</xdr:row>
      <xdr:rowOff>133616</xdr:rowOff>
    </xdr:from>
    <xdr:to>
      <xdr:col>9</xdr:col>
      <xdr:colOff>171451</xdr:colOff>
      <xdr:row>122</xdr:row>
      <xdr:rowOff>133617</xdr:rowOff>
    </xdr:to>
    <xdr:cxnSp macro="">
      <xdr:nvCxnSpPr>
        <xdr:cNvPr id="114" name="直線矢印コネクタ 113">
          <a:extLst>
            <a:ext uri="{FF2B5EF4-FFF2-40B4-BE49-F238E27FC236}">
              <a16:creationId xmlns:a16="http://schemas.microsoft.com/office/drawing/2014/main" id="{00000000-0008-0000-0300-000072000000}"/>
            </a:ext>
          </a:extLst>
        </xdr:cNvPr>
        <xdr:cNvCxnSpPr/>
      </xdr:nvCxnSpPr>
      <xdr:spPr>
        <a:xfrm flipH="1">
          <a:off x="5490634" y="20792283"/>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126</xdr:row>
      <xdr:rowOff>152667</xdr:rowOff>
    </xdr:from>
    <xdr:to>
      <xdr:col>9</xdr:col>
      <xdr:colOff>171451</xdr:colOff>
      <xdr:row>126</xdr:row>
      <xdr:rowOff>152668</xdr:rowOff>
    </xdr:to>
    <xdr:cxnSp macro="">
      <xdr:nvCxnSpPr>
        <xdr:cNvPr id="115" name="直線矢印コネクタ 114">
          <a:extLst>
            <a:ext uri="{FF2B5EF4-FFF2-40B4-BE49-F238E27FC236}">
              <a16:creationId xmlns:a16="http://schemas.microsoft.com/office/drawing/2014/main" id="{00000000-0008-0000-0300-000073000000}"/>
            </a:ext>
          </a:extLst>
        </xdr:cNvPr>
        <xdr:cNvCxnSpPr/>
      </xdr:nvCxnSpPr>
      <xdr:spPr>
        <a:xfrm flipH="1">
          <a:off x="5490634" y="21488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138</xdr:row>
      <xdr:rowOff>14554</xdr:rowOff>
    </xdr:from>
    <xdr:to>
      <xdr:col>4</xdr:col>
      <xdr:colOff>14286</xdr:colOff>
      <xdr:row>144</xdr:row>
      <xdr:rowOff>2648</xdr:rowOff>
    </xdr:to>
    <xdr:sp macro="" textlink="">
      <xdr:nvSpPr>
        <xdr:cNvPr id="116" name="正方形/長方形 115">
          <a:extLst>
            <a:ext uri="{FF2B5EF4-FFF2-40B4-BE49-F238E27FC236}">
              <a16:creationId xmlns:a16="http://schemas.microsoft.com/office/drawing/2014/main" id="{00000000-0008-0000-0300-000074000000}"/>
            </a:ext>
          </a:extLst>
        </xdr:cNvPr>
        <xdr:cNvSpPr/>
      </xdr:nvSpPr>
      <xdr:spPr>
        <a:xfrm>
          <a:off x="636324" y="23382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141</xdr:row>
      <xdr:rowOff>2647</xdr:rowOff>
    </xdr:from>
    <xdr:to>
      <xdr:col>5</xdr:col>
      <xdr:colOff>1</xdr:colOff>
      <xdr:row>141</xdr:row>
      <xdr:rowOff>8601</xdr:rowOff>
    </xdr:to>
    <xdr:cxnSp macro="">
      <xdr:nvCxnSpPr>
        <xdr:cNvPr id="117" name="直線コネクタ 116">
          <a:extLst>
            <a:ext uri="{FF2B5EF4-FFF2-40B4-BE49-F238E27FC236}">
              <a16:creationId xmlns:a16="http://schemas.microsoft.com/office/drawing/2014/main" id="{00000000-0008-0000-0300-000075000000}"/>
            </a:ext>
          </a:extLst>
        </xdr:cNvPr>
        <xdr:cNvCxnSpPr>
          <a:stCxn id="90" idx="1"/>
          <a:endCxn id="116" idx="3"/>
        </xdr:cNvCxnSpPr>
      </xdr:nvCxnSpPr>
      <xdr:spPr>
        <a:xfrm flipH="1">
          <a:off x="2511953" y="23878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131</xdr:row>
      <xdr:rowOff>83607</xdr:rowOff>
    </xdr:from>
    <xdr:to>
      <xdr:col>13</xdr:col>
      <xdr:colOff>30956</xdr:colOff>
      <xdr:row>141</xdr:row>
      <xdr:rowOff>2647</xdr:rowOff>
    </xdr:to>
    <xdr:cxnSp macro="">
      <xdr:nvCxnSpPr>
        <xdr:cNvPr id="118" name="カギ線コネクタ 117">
          <a:extLst>
            <a:ext uri="{FF2B5EF4-FFF2-40B4-BE49-F238E27FC236}">
              <a16:creationId xmlns:a16="http://schemas.microsoft.com/office/drawing/2014/main" id="{00000000-0008-0000-0300-000076000000}"/>
            </a:ext>
          </a:extLst>
        </xdr:cNvPr>
        <xdr:cNvCxnSpPr>
          <a:stCxn id="106" idx="2"/>
          <a:endCxn id="90" idx="3"/>
        </xdr:cNvCxnSpPr>
      </xdr:nvCxnSpPr>
      <xdr:spPr>
        <a:xfrm rot="5400000">
          <a:off x="5765667" y="21495941"/>
          <a:ext cx="1612373" cy="3153039"/>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154</xdr:row>
      <xdr:rowOff>2648</xdr:rowOff>
    </xdr:from>
    <xdr:to>
      <xdr:col>4</xdr:col>
      <xdr:colOff>440532</xdr:colOff>
      <xdr:row>160</xdr:row>
      <xdr:rowOff>2648</xdr:rowOff>
    </xdr:to>
    <xdr:sp macro="" textlink="">
      <xdr:nvSpPr>
        <xdr:cNvPr id="119" name="正方形/長方形 118">
          <a:extLst>
            <a:ext uri="{FF2B5EF4-FFF2-40B4-BE49-F238E27FC236}">
              <a16:creationId xmlns:a16="http://schemas.microsoft.com/office/drawing/2014/main" id="{00000000-0008-0000-0300-000077000000}"/>
            </a:ext>
          </a:extLst>
        </xdr:cNvPr>
        <xdr:cNvSpPr/>
      </xdr:nvSpPr>
      <xdr:spPr>
        <a:xfrm>
          <a:off x="1064949"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152</xdr:row>
      <xdr:rowOff>2646</xdr:rowOff>
    </xdr:from>
    <xdr:to>
      <xdr:col>6</xdr:col>
      <xdr:colOff>345284</xdr:colOff>
      <xdr:row>154</xdr:row>
      <xdr:rowOff>2648</xdr:rowOff>
    </xdr:to>
    <xdr:cxnSp macro="">
      <xdr:nvCxnSpPr>
        <xdr:cNvPr id="120" name="カギ線コネクタ 119">
          <a:extLst>
            <a:ext uri="{FF2B5EF4-FFF2-40B4-BE49-F238E27FC236}">
              <a16:creationId xmlns:a16="http://schemas.microsoft.com/office/drawing/2014/main" id="{00000000-0008-0000-0300-000078000000}"/>
            </a:ext>
          </a:extLst>
        </xdr:cNvPr>
        <xdr:cNvCxnSpPr>
          <a:stCxn id="91" idx="2"/>
          <a:endCxn id="119" idx="0"/>
        </xdr:cNvCxnSpPr>
      </xdr:nvCxnSpPr>
      <xdr:spPr>
        <a:xfrm rot="5400000">
          <a:off x="2860809" y="24849006"/>
          <a:ext cx="338668"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152</xdr:row>
      <xdr:rowOff>74084</xdr:rowOff>
    </xdr:from>
    <xdr:to>
      <xdr:col>4</xdr:col>
      <xdr:colOff>492920</xdr:colOff>
      <xdr:row>152</xdr:row>
      <xdr:rowOff>74085</xdr:rowOff>
    </xdr:to>
    <xdr:cxnSp macro="">
      <xdr:nvCxnSpPr>
        <xdr:cNvPr id="121" name="直線矢印コネクタ 120">
          <a:extLst>
            <a:ext uri="{FF2B5EF4-FFF2-40B4-BE49-F238E27FC236}">
              <a16:creationId xmlns:a16="http://schemas.microsoft.com/office/drawing/2014/main" id="{00000000-0008-0000-0300-000079000000}"/>
            </a:ext>
          </a:extLst>
        </xdr:cNvPr>
        <xdr:cNvCxnSpPr/>
      </xdr:nvCxnSpPr>
      <xdr:spPr>
        <a:xfrm flipH="1">
          <a:off x="2628637" y="25812751"/>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140</xdr:row>
      <xdr:rowOff>50272</xdr:rowOff>
    </xdr:from>
    <xdr:to>
      <xdr:col>4</xdr:col>
      <xdr:colOff>540545</xdr:colOff>
      <xdr:row>140</xdr:row>
      <xdr:rowOff>50273</xdr:rowOff>
    </xdr:to>
    <xdr:cxnSp macro="">
      <xdr:nvCxnSpPr>
        <xdr:cNvPr id="122" name="直線矢印コネクタ 121">
          <a:extLst>
            <a:ext uri="{FF2B5EF4-FFF2-40B4-BE49-F238E27FC236}">
              <a16:creationId xmlns:a16="http://schemas.microsoft.com/office/drawing/2014/main" id="{00000000-0008-0000-0300-00007A000000}"/>
            </a:ext>
          </a:extLst>
        </xdr:cNvPr>
        <xdr:cNvCxnSpPr/>
      </xdr:nvCxnSpPr>
      <xdr:spPr>
        <a:xfrm flipH="1">
          <a:off x="2676262" y="23756939"/>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12</xdr:col>
      <xdr:colOff>613833</xdr:colOff>
      <xdr:row>111</xdr:row>
      <xdr:rowOff>148166</xdr:rowOff>
    </xdr:to>
    <xdr:sp macro="" textlink="">
      <xdr:nvSpPr>
        <xdr:cNvPr id="123" name="正方形/長方形 122">
          <a:extLst>
            <a:ext uri="{FF2B5EF4-FFF2-40B4-BE49-F238E27FC236}">
              <a16:creationId xmlns:a16="http://schemas.microsoft.com/office/drawing/2014/main" id="{00000000-0008-0000-0300-00007B000000}"/>
            </a:ext>
          </a:extLst>
        </xdr:cNvPr>
        <xdr:cNvSpPr/>
      </xdr:nvSpPr>
      <xdr:spPr>
        <a:xfrm>
          <a:off x="624417" y="18457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13</xdr:col>
      <xdr:colOff>485775</xdr:colOff>
      <xdr:row>112</xdr:row>
      <xdr:rowOff>142875</xdr:rowOff>
    </xdr:from>
    <xdr:to>
      <xdr:col>17</xdr:col>
      <xdr:colOff>466725</xdr:colOff>
      <xdr:row>118</xdr:row>
      <xdr:rowOff>47625</xdr:rowOff>
    </xdr:to>
    <xdr:sp macro="" textlink="">
      <xdr:nvSpPr>
        <xdr:cNvPr id="81" name="四角形吹き出し 80">
          <a:extLst>
            <a:ext uri="{FF2B5EF4-FFF2-40B4-BE49-F238E27FC236}">
              <a16:creationId xmlns:a16="http://schemas.microsoft.com/office/drawing/2014/main" id="{00000000-0008-0000-0300-000051000000}"/>
            </a:ext>
            <a:ext uri="{147F2762-F138-4A5C-976F-8EAC2B608ADB}">
              <a16:predDERef xmlns:a16="http://schemas.microsoft.com/office/drawing/2014/main" pred="{00000000-0008-0000-0300-00007B000000}"/>
            </a:ext>
          </a:extLst>
        </xdr:cNvPr>
        <xdr:cNvSpPr/>
      </xdr:nvSpPr>
      <xdr:spPr>
        <a:xfrm>
          <a:off x="8534400" y="18278475"/>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69</xdr:row>
      <xdr:rowOff>0</xdr:rowOff>
    </xdr:from>
    <xdr:to>
      <xdr:col>21</xdr:col>
      <xdr:colOff>0</xdr:colOff>
      <xdr:row>75</xdr:row>
      <xdr:rowOff>0</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11049000" y="11684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124</xdr:row>
      <xdr:rowOff>0</xdr:rowOff>
    </xdr:from>
    <xdr:to>
      <xdr:col>21</xdr:col>
      <xdr:colOff>0</xdr:colOff>
      <xdr:row>130</xdr:row>
      <xdr:rowOff>0</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11049000" y="20997333"/>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72</xdr:row>
      <xdr:rowOff>104775</xdr:rowOff>
    </xdr:from>
    <xdr:to>
      <xdr:col>20</xdr:col>
      <xdr:colOff>590550</xdr:colOff>
      <xdr:row>74</xdr:row>
      <xdr:rowOff>120777</xdr:rowOff>
    </xdr:to>
    <xdr:sp macro="" textlink="">
      <xdr:nvSpPr>
        <xdr:cNvPr id="83" name="Can 82">
          <a:extLst>
            <a:ext uri="{FF2B5EF4-FFF2-40B4-BE49-F238E27FC236}">
              <a16:creationId xmlns:a16="http://schemas.microsoft.com/office/drawing/2014/main" id="{EC948A82-0E56-4C2B-BA00-C1D3AEDEFD12}"/>
            </a:ext>
            <a:ext uri="{147F2762-F138-4A5C-976F-8EAC2B608ADB}">
              <a16:predDERef xmlns:a16="http://schemas.microsoft.com/office/drawing/2014/main" pred="{46113F12-8830-40B8-BEA4-E966581A8A08}"/>
            </a:ext>
          </a:extLst>
        </xdr:cNvPr>
        <xdr:cNvSpPr/>
      </xdr:nvSpPr>
      <xdr:spPr>
        <a:xfrm>
          <a:off x="12630150" y="117633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127</xdr:row>
      <xdr:rowOff>114300</xdr:rowOff>
    </xdr:from>
    <xdr:to>
      <xdr:col>20</xdr:col>
      <xdr:colOff>590550</xdr:colOff>
      <xdr:row>129</xdr:row>
      <xdr:rowOff>130302</xdr:rowOff>
    </xdr:to>
    <xdr:sp macro="" textlink="">
      <xdr:nvSpPr>
        <xdr:cNvPr id="125" name="Can 124">
          <a:extLst>
            <a:ext uri="{FF2B5EF4-FFF2-40B4-BE49-F238E27FC236}">
              <a16:creationId xmlns:a16="http://schemas.microsoft.com/office/drawing/2014/main" id="{E06EDFCD-9F7B-4937-87E9-2EDFEC660DA5}"/>
            </a:ext>
            <a:ext uri="{147F2762-F138-4A5C-976F-8EAC2B608ADB}">
              <a16:predDERef xmlns:a16="http://schemas.microsoft.com/office/drawing/2014/main" pred="{EC948A82-0E56-4C2B-BA00-C1D3AEDEFD12}"/>
            </a:ext>
          </a:extLst>
        </xdr:cNvPr>
        <xdr:cNvSpPr/>
      </xdr:nvSpPr>
      <xdr:spPr>
        <a:xfrm>
          <a:off x="12630150" y="206787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10160</xdr:colOff>
      <xdr:row>6</xdr:row>
      <xdr:rowOff>25400</xdr:rowOff>
    </xdr:from>
    <xdr:to>
      <xdr:col>4</xdr:col>
      <xdr:colOff>7620</xdr:colOff>
      <xdr:row>11</xdr:row>
      <xdr:rowOff>0</xdr:rowOff>
    </xdr:to>
    <xdr:sp macro="" textlink="">
      <xdr:nvSpPr>
        <xdr:cNvPr id="7" name="五角形 6">
          <a:extLst>
            <a:ext uri="{FF2B5EF4-FFF2-40B4-BE49-F238E27FC236}">
              <a16:creationId xmlns:a16="http://schemas.microsoft.com/office/drawing/2014/main" id="{148C59BC-7928-4D5D-B4A1-5FBA8966A392}"/>
            </a:ext>
            <a:ext uri="{147F2762-F138-4A5C-976F-8EAC2B608ADB}">
              <a16:predDERef xmlns:a16="http://schemas.microsoft.com/office/drawing/2014/main" pred="{20713F6C-3BE1-4DFD-ABF2-FAFEAA474A54}"/>
            </a:ext>
          </a:extLst>
        </xdr:cNvPr>
        <xdr:cNvSpPr/>
      </xdr:nvSpPr>
      <xdr:spPr>
        <a:xfrm>
          <a:off x="5388610" y="1168400"/>
          <a:ext cx="1438910" cy="11176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4</xdr:col>
      <xdr:colOff>6351</xdr:colOff>
      <xdr:row>6</xdr:row>
      <xdr:rowOff>25400</xdr:rowOff>
    </xdr:from>
    <xdr:to>
      <xdr:col>4</xdr:col>
      <xdr:colOff>1437641</xdr:colOff>
      <xdr:row>11</xdr:row>
      <xdr:rowOff>0</xdr:rowOff>
    </xdr:to>
    <xdr:sp macro="" textlink="">
      <xdr:nvSpPr>
        <xdr:cNvPr id="8" name="五角形 7">
          <a:extLst>
            <a:ext uri="{FF2B5EF4-FFF2-40B4-BE49-F238E27FC236}">
              <a16:creationId xmlns:a16="http://schemas.microsoft.com/office/drawing/2014/main" id="{4D44EC08-BB0A-43B0-8CEE-78221D9406E2}"/>
            </a:ext>
            <a:ext uri="{147F2762-F138-4A5C-976F-8EAC2B608ADB}">
              <a16:predDERef xmlns:a16="http://schemas.microsoft.com/office/drawing/2014/main" pred="{148C59BC-7928-4D5D-B4A1-5FBA8966A392}"/>
            </a:ext>
          </a:extLst>
        </xdr:cNvPr>
        <xdr:cNvSpPr/>
      </xdr:nvSpPr>
      <xdr:spPr>
        <a:xfrm>
          <a:off x="6826251" y="1168400"/>
          <a:ext cx="1431290" cy="11176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5</xdr:col>
      <xdr:colOff>6351</xdr:colOff>
      <xdr:row>6</xdr:row>
      <xdr:rowOff>27940</xdr:rowOff>
    </xdr:from>
    <xdr:to>
      <xdr:col>6</xdr:col>
      <xdr:colOff>3811</xdr:colOff>
      <xdr:row>11</xdr:row>
      <xdr:rowOff>0</xdr:rowOff>
    </xdr:to>
    <xdr:sp macro="" textlink="">
      <xdr:nvSpPr>
        <xdr:cNvPr id="9" name="五角形 8">
          <a:extLst>
            <a:ext uri="{FF2B5EF4-FFF2-40B4-BE49-F238E27FC236}">
              <a16:creationId xmlns:a16="http://schemas.microsoft.com/office/drawing/2014/main" id="{65A2E0FB-E68B-4B5E-860D-83874575ACD3}"/>
            </a:ext>
            <a:ext uri="{147F2762-F138-4A5C-976F-8EAC2B608ADB}">
              <a16:predDERef xmlns:a16="http://schemas.microsoft.com/office/drawing/2014/main" pred="{4D44EC08-BB0A-43B0-8CEE-78221D9406E2}"/>
            </a:ext>
          </a:extLst>
        </xdr:cNvPr>
        <xdr:cNvSpPr/>
      </xdr:nvSpPr>
      <xdr:spPr>
        <a:xfrm>
          <a:off x="8267701" y="1170940"/>
          <a:ext cx="1438910" cy="111506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15</xdr:col>
      <xdr:colOff>0</xdr:colOff>
      <xdr:row>11</xdr:row>
      <xdr:rowOff>0</xdr:rowOff>
    </xdr:from>
    <xdr:to>
      <xdr:col>17</xdr:col>
      <xdr:colOff>476250</xdr:colOff>
      <xdr:row>14</xdr:row>
      <xdr:rowOff>0</xdr:rowOff>
    </xdr:to>
    <xdr:sp macro="" textlink="">
      <xdr:nvSpPr>
        <xdr:cNvPr id="22" name="五角形 21">
          <a:extLst>
            <a:ext uri="{FF2B5EF4-FFF2-40B4-BE49-F238E27FC236}">
              <a16:creationId xmlns:a16="http://schemas.microsoft.com/office/drawing/2014/main" id="{DCD0FA00-438B-4F3B-B60D-568F39371084}"/>
            </a:ext>
            <a:ext uri="{147F2762-F138-4A5C-976F-8EAC2B608ADB}">
              <a16:predDERef xmlns:a16="http://schemas.microsoft.com/office/drawing/2014/main" pred="{2ED0E677-487D-4105-B3A7-71E0F4B8D0B2}"/>
            </a:ext>
          </a:extLst>
        </xdr:cNvPr>
        <xdr:cNvSpPr/>
      </xdr:nvSpPr>
      <xdr:spPr>
        <a:xfrm>
          <a:off x="14963775" y="2743200"/>
          <a:ext cx="1485900" cy="11430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18</xdr:col>
      <xdr:colOff>0</xdr:colOff>
      <xdr:row>11</xdr:row>
      <xdr:rowOff>0</xdr:rowOff>
    </xdr:from>
    <xdr:to>
      <xdr:col>19</xdr:col>
      <xdr:colOff>466725</xdr:colOff>
      <xdr:row>13</xdr:row>
      <xdr:rowOff>276225</xdr:rowOff>
    </xdr:to>
    <xdr:sp macro="" textlink="">
      <xdr:nvSpPr>
        <xdr:cNvPr id="24" name="五角形 23">
          <a:extLst>
            <a:ext uri="{FF2B5EF4-FFF2-40B4-BE49-F238E27FC236}">
              <a16:creationId xmlns:a16="http://schemas.microsoft.com/office/drawing/2014/main" id="{85C0FA77-C317-4B4B-ADAC-2906025B8A19}"/>
            </a:ext>
            <a:ext uri="{147F2762-F138-4A5C-976F-8EAC2B608ADB}">
              <a16:predDERef xmlns:a16="http://schemas.microsoft.com/office/drawing/2014/main" pred="{DCD0FA00-438B-4F3B-B60D-568F39371084}"/>
            </a:ext>
          </a:extLst>
        </xdr:cNvPr>
        <xdr:cNvSpPr/>
      </xdr:nvSpPr>
      <xdr:spPr>
        <a:xfrm>
          <a:off x="16478250" y="2733675"/>
          <a:ext cx="971550" cy="11430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20</xdr:col>
      <xdr:colOff>0</xdr:colOff>
      <xdr:row>11</xdr:row>
      <xdr:rowOff>0</xdr:rowOff>
    </xdr:from>
    <xdr:to>
      <xdr:col>22</xdr:col>
      <xdr:colOff>209550</xdr:colOff>
      <xdr:row>13</xdr:row>
      <xdr:rowOff>266700</xdr:rowOff>
    </xdr:to>
    <xdr:sp macro="" textlink="">
      <xdr:nvSpPr>
        <xdr:cNvPr id="25" name="五角形 24">
          <a:extLst>
            <a:ext uri="{FF2B5EF4-FFF2-40B4-BE49-F238E27FC236}">
              <a16:creationId xmlns:a16="http://schemas.microsoft.com/office/drawing/2014/main" id="{217976E8-218C-4C18-8600-D795A43A7F74}"/>
            </a:ext>
            <a:ext uri="{147F2762-F138-4A5C-976F-8EAC2B608ADB}">
              <a16:predDERef xmlns:a16="http://schemas.microsoft.com/office/drawing/2014/main" pred="{85C0FA77-C317-4B4B-ADAC-2906025B8A19}"/>
            </a:ext>
          </a:extLst>
        </xdr:cNvPr>
        <xdr:cNvSpPr/>
      </xdr:nvSpPr>
      <xdr:spPr>
        <a:xfrm>
          <a:off x="17487900" y="2743200"/>
          <a:ext cx="1219200" cy="112395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22</xdr:col>
      <xdr:colOff>219075</xdr:colOff>
      <xdr:row>11</xdr:row>
      <xdr:rowOff>0</xdr:rowOff>
    </xdr:from>
    <xdr:to>
      <xdr:col>25</xdr:col>
      <xdr:colOff>476250</xdr:colOff>
      <xdr:row>13</xdr:row>
      <xdr:rowOff>276225</xdr:rowOff>
    </xdr:to>
    <xdr:sp macro="" textlink="">
      <xdr:nvSpPr>
        <xdr:cNvPr id="26" name="五角形 25">
          <a:extLst>
            <a:ext uri="{FF2B5EF4-FFF2-40B4-BE49-F238E27FC236}">
              <a16:creationId xmlns:a16="http://schemas.microsoft.com/office/drawing/2014/main" id="{C95C4AAE-E55C-4332-B7C5-D1FBAEA0415C}"/>
            </a:ext>
            <a:ext uri="{147F2762-F138-4A5C-976F-8EAC2B608ADB}">
              <a16:predDERef xmlns:a16="http://schemas.microsoft.com/office/drawing/2014/main" pred="{217976E8-218C-4C18-8600-D795A43A7F74}"/>
            </a:ext>
          </a:extLst>
        </xdr:cNvPr>
        <xdr:cNvSpPr/>
      </xdr:nvSpPr>
      <xdr:spPr>
        <a:xfrm>
          <a:off x="18716625" y="2743200"/>
          <a:ext cx="1771650" cy="113347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26</xdr:col>
      <xdr:colOff>9525</xdr:colOff>
      <xdr:row>11</xdr:row>
      <xdr:rowOff>0</xdr:rowOff>
    </xdr:from>
    <xdr:to>
      <xdr:col>28</xdr:col>
      <xdr:colOff>485775</xdr:colOff>
      <xdr:row>13</xdr:row>
      <xdr:rowOff>247650</xdr:rowOff>
    </xdr:to>
    <xdr:sp macro="" textlink="">
      <xdr:nvSpPr>
        <xdr:cNvPr id="23" name="五角形 22">
          <a:extLst>
            <a:ext uri="{FF2B5EF4-FFF2-40B4-BE49-F238E27FC236}">
              <a16:creationId xmlns:a16="http://schemas.microsoft.com/office/drawing/2014/main" id="{236D222F-948C-4D61-B445-C8B89F217513}"/>
            </a:ext>
            <a:ext uri="{147F2762-F138-4A5C-976F-8EAC2B608ADB}">
              <a16:predDERef xmlns:a16="http://schemas.microsoft.com/office/drawing/2014/main" pred="{C95C4AAE-E55C-4332-B7C5-D1FBAEA0415C}"/>
            </a:ext>
          </a:extLst>
        </xdr:cNvPr>
        <xdr:cNvSpPr/>
      </xdr:nvSpPr>
      <xdr:spPr>
        <a:xfrm>
          <a:off x="20526375" y="2724150"/>
          <a:ext cx="1485900" cy="11239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16</xdr:col>
      <xdr:colOff>1432506</xdr:colOff>
      <xdr:row>16</xdr:row>
      <xdr:rowOff>40640</xdr:rowOff>
    </xdr:from>
    <xdr:to>
      <xdr:col>17</xdr:col>
      <xdr:colOff>1431962</xdr:colOff>
      <xdr:row>16</xdr:row>
      <xdr:rowOff>491490</xdr:rowOff>
    </xdr:to>
    <xdr:sp macro="" textlink="">
      <xdr:nvSpPr>
        <xdr:cNvPr id="35" name="五角形 6">
          <a:extLst>
            <a:ext uri="{FF2B5EF4-FFF2-40B4-BE49-F238E27FC236}">
              <a16:creationId xmlns:a16="http://schemas.microsoft.com/office/drawing/2014/main" id="{9DE18A18-BFAB-A268-AB3C-A69ED1E364DF}"/>
            </a:ext>
            <a:ext uri="{147F2762-F138-4A5C-976F-8EAC2B608ADB}">
              <a16:predDERef xmlns:a16="http://schemas.microsoft.com/office/drawing/2014/main" pred="{20713F6C-3BE1-4DFD-ABF2-FAFEAA474A54}"/>
            </a:ext>
          </a:extLst>
        </xdr:cNvPr>
        <xdr:cNvSpPr/>
      </xdr:nvSpPr>
      <xdr:spPr>
        <a:xfrm>
          <a:off x="25555035" y="4508052"/>
          <a:ext cx="1441280" cy="4508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17</xdr:col>
      <xdr:colOff>1435772</xdr:colOff>
      <xdr:row>16</xdr:row>
      <xdr:rowOff>34290</xdr:rowOff>
    </xdr:from>
    <xdr:to>
      <xdr:col>19</xdr:col>
      <xdr:colOff>207309</xdr:colOff>
      <xdr:row>17</xdr:row>
      <xdr:rowOff>0</xdr:rowOff>
    </xdr:to>
    <xdr:sp macro="" textlink="">
      <xdr:nvSpPr>
        <xdr:cNvPr id="36" name="五角形 7">
          <a:extLst>
            <a:ext uri="{FF2B5EF4-FFF2-40B4-BE49-F238E27FC236}">
              <a16:creationId xmlns:a16="http://schemas.microsoft.com/office/drawing/2014/main" id="{ADC6BF9B-FBC2-26B4-D88B-9A92161DCA75}"/>
            </a:ext>
            <a:ext uri="{147F2762-F138-4A5C-976F-8EAC2B608ADB}">
              <a16:predDERef xmlns:a16="http://schemas.microsoft.com/office/drawing/2014/main" pred="{148C59BC-7928-4D5D-B4A1-5FBA8966A392}"/>
            </a:ext>
          </a:extLst>
        </xdr:cNvPr>
        <xdr:cNvSpPr/>
      </xdr:nvSpPr>
      <xdr:spPr>
        <a:xfrm>
          <a:off x="27000125" y="4501702"/>
          <a:ext cx="1655184" cy="46623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19</xdr:col>
      <xdr:colOff>217652</xdr:colOff>
      <xdr:row>16</xdr:row>
      <xdr:rowOff>41313</xdr:rowOff>
    </xdr:from>
    <xdr:to>
      <xdr:col>20</xdr:col>
      <xdr:colOff>296208</xdr:colOff>
      <xdr:row>17</xdr:row>
      <xdr:rowOff>67311</xdr:rowOff>
    </xdr:to>
    <xdr:sp macro="" textlink="">
      <xdr:nvSpPr>
        <xdr:cNvPr id="37" name="五角形 8">
          <a:extLst>
            <a:ext uri="{FF2B5EF4-FFF2-40B4-BE49-F238E27FC236}">
              <a16:creationId xmlns:a16="http://schemas.microsoft.com/office/drawing/2014/main" id="{9011518D-63A9-C4AB-7596-FEB3CF643219}"/>
            </a:ext>
            <a:ext uri="{147F2762-F138-4A5C-976F-8EAC2B608ADB}">
              <a16:predDERef xmlns:a16="http://schemas.microsoft.com/office/drawing/2014/main" pred="{4D44EC08-BB0A-43B0-8CEE-78221D9406E2}"/>
            </a:ext>
          </a:extLst>
        </xdr:cNvPr>
        <xdr:cNvSpPr/>
      </xdr:nvSpPr>
      <xdr:spPr>
        <a:xfrm>
          <a:off x="28665652" y="4508725"/>
          <a:ext cx="1520380" cy="526527"/>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r>
            <a:rPr lang="en-US" altLang="ja-JP" sz="1100" b="1" i="0" u="none" strike="noStrike">
              <a:solidFill>
                <a:srgbClr val="000000"/>
              </a:solidFill>
              <a:latin typeface="Calibri" panose="020F0502020204030204" pitchFamily="34" charset="0"/>
              <a:cs typeface="Calibri" panose="020F0502020204030204" pitchFamily="34" charset="0"/>
            </a:rPr>
            <a:t>zz</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20</xdr:col>
      <xdr:colOff>296116</xdr:colOff>
      <xdr:row>16</xdr:row>
      <xdr:rowOff>41620</xdr:rowOff>
    </xdr:from>
    <xdr:to>
      <xdr:col>21</xdr:col>
      <xdr:colOff>673399</xdr:colOff>
      <xdr:row>16</xdr:row>
      <xdr:rowOff>497840</xdr:rowOff>
    </xdr:to>
    <xdr:sp macro="" textlink="">
      <xdr:nvSpPr>
        <xdr:cNvPr id="38" name="五角形 9">
          <a:extLst>
            <a:ext uri="{FF2B5EF4-FFF2-40B4-BE49-F238E27FC236}">
              <a16:creationId xmlns:a16="http://schemas.microsoft.com/office/drawing/2014/main" id="{B77F8BAF-5D28-39DA-04D5-ED18AE43D2E6}"/>
            </a:ext>
            <a:ext uri="{147F2762-F138-4A5C-976F-8EAC2B608ADB}">
              <a16:predDERef xmlns:a16="http://schemas.microsoft.com/office/drawing/2014/main" pred="{65A2E0FB-E68B-4B5E-860D-83874575ACD3}"/>
            </a:ext>
          </a:extLst>
        </xdr:cNvPr>
        <xdr:cNvSpPr/>
      </xdr:nvSpPr>
      <xdr:spPr>
        <a:xfrm>
          <a:off x="30185940" y="4509032"/>
          <a:ext cx="1819106" cy="45622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21</xdr:col>
      <xdr:colOff>711500</xdr:colOff>
      <xdr:row>16</xdr:row>
      <xdr:rowOff>32730</xdr:rowOff>
    </xdr:from>
    <xdr:to>
      <xdr:col>23</xdr:col>
      <xdr:colOff>9188</xdr:colOff>
      <xdr:row>16</xdr:row>
      <xdr:rowOff>490220</xdr:rowOff>
    </xdr:to>
    <xdr:sp macro="" textlink="">
      <xdr:nvSpPr>
        <xdr:cNvPr id="39" name="五角形 9">
          <a:extLst>
            <a:ext uri="{FF2B5EF4-FFF2-40B4-BE49-F238E27FC236}">
              <a16:creationId xmlns:a16="http://schemas.microsoft.com/office/drawing/2014/main" id="{5A3F4CD6-C133-C2F7-C890-924433F9CB31}"/>
            </a:ext>
            <a:ext uri="{147F2762-F138-4A5C-976F-8EAC2B608ADB}">
              <a16:predDERef xmlns:a16="http://schemas.microsoft.com/office/drawing/2014/main" pred="{65A2E0FB-E68B-4B5E-860D-83874575ACD3}"/>
            </a:ext>
          </a:extLst>
        </xdr:cNvPr>
        <xdr:cNvSpPr/>
      </xdr:nvSpPr>
      <xdr:spPr>
        <a:xfrm>
          <a:off x="32043147" y="4500142"/>
          <a:ext cx="2181335" cy="45749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22</xdr:col>
      <xdr:colOff>1435135</xdr:colOff>
      <xdr:row>16</xdr:row>
      <xdr:rowOff>926</xdr:rowOff>
    </xdr:from>
    <xdr:to>
      <xdr:col>23</xdr:col>
      <xdr:colOff>813460</xdr:colOff>
      <xdr:row>16</xdr:row>
      <xdr:rowOff>461009</xdr:rowOff>
    </xdr:to>
    <xdr:sp macro="" textlink="">
      <xdr:nvSpPr>
        <xdr:cNvPr id="40" name="五角形 9">
          <a:extLst>
            <a:ext uri="{FF2B5EF4-FFF2-40B4-BE49-F238E27FC236}">
              <a16:creationId xmlns:a16="http://schemas.microsoft.com/office/drawing/2014/main" id="{AAFA138C-EFC0-0C64-9E93-C5C54847B9DA}"/>
            </a:ext>
            <a:ext uri="{147F2762-F138-4A5C-976F-8EAC2B608ADB}">
              <a16:predDERef xmlns:a16="http://schemas.microsoft.com/office/drawing/2014/main" pred="{65A2E0FB-E68B-4B5E-860D-83874575ACD3}"/>
            </a:ext>
          </a:extLst>
        </xdr:cNvPr>
        <xdr:cNvSpPr/>
      </xdr:nvSpPr>
      <xdr:spPr>
        <a:xfrm>
          <a:off x="34208606" y="4468338"/>
          <a:ext cx="820148" cy="46008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23</xdr:col>
      <xdr:colOff>826795</xdr:colOff>
      <xdr:row>16</xdr:row>
      <xdr:rowOff>2566</xdr:rowOff>
    </xdr:from>
    <xdr:to>
      <xdr:col>24</xdr:col>
      <xdr:colOff>560368</xdr:colOff>
      <xdr:row>17</xdr:row>
      <xdr:rowOff>3810</xdr:rowOff>
    </xdr:to>
    <xdr:sp macro="" textlink="">
      <xdr:nvSpPr>
        <xdr:cNvPr id="41" name="五角形 10">
          <a:extLst>
            <a:ext uri="{FF2B5EF4-FFF2-40B4-BE49-F238E27FC236}">
              <a16:creationId xmlns:a16="http://schemas.microsoft.com/office/drawing/2014/main" id="{6C456A1E-2176-A954-1F32-A04B874AE8CB}"/>
            </a:ext>
            <a:ext uri="{147F2762-F138-4A5C-976F-8EAC2B608ADB}">
              <a16:predDERef xmlns:a16="http://schemas.microsoft.com/office/drawing/2014/main" pred="{87A917E3-4DC5-4705-AE88-A8538D9D121C}"/>
            </a:ext>
          </a:extLst>
        </xdr:cNvPr>
        <xdr:cNvSpPr/>
      </xdr:nvSpPr>
      <xdr:spPr>
        <a:xfrm>
          <a:off x="35042089" y="4469978"/>
          <a:ext cx="1175397" cy="50177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xdr:txBody>
    </xdr:sp>
    <xdr:clientData/>
  </xdr:twoCellAnchor>
  <xdr:twoCellAnchor>
    <xdr:from>
      <xdr:col>24</xdr:col>
      <xdr:colOff>561639</xdr:colOff>
      <xdr:row>16</xdr:row>
      <xdr:rowOff>2566</xdr:rowOff>
    </xdr:from>
    <xdr:to>
      <xdr:col>24</xdr:col>
      <xdr:colOff>1433232</xdr:colOff>
      <xdr:row>17</xdr:row>
      <xdr:rowOff>2540</xdr:rowOff>
    </xdr:to>
    <xdr:sp macro="" textlink="">
      <xdr:nvSpPr>
        <xdr:cNvPr id="42" name="五角形 10">
          <a:extLst>
            <a:ext uri="{FF2B5EF4-FFF2-40B4-BE49-F238E27FC236}">
              <a16:creationId xmlns:a16="http://schemas.microsoft.com/office/drawing/2014/main" id="{87981151-B3FD-8B39-582A-37DE723B0506}"/>
            </a:ext>
            <a:ext uri="{147F2762-F138-4A5C-976F-8EAC2B608ADB}">
              <a16:predDERef xmlns:a16="http://schemas.microsoft.com/office/drawing/2014/main" pred="{87A917E3-4DC5-4705-AE88-A8538D9D121C}"/>
            </a:ext>
          </a:extLst>
        </xdr:cNvPr>
        <xdr:cNvSpPr/>
      </xdr:nvSpPr>
      <xdr:spPr>
        <a:xfrm>
          <a:off x="36218757" y="4469978"/>
          <a:ext cx="871593" cy="500503"/>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6</xdr:col>
      <xdr:colOff>5080</xdr:colOff>
      <xdr:row>14</xdr:row>
      <xdr:rowOff>30480</xdr:rowOff>
    </xdr:from>
    <xdr:to>
      <xdr:col>7</xdr:col>
      <xdr:colOff>1435100</xdr:colOff>
      <xdr:row>15</xdr:row>
      <xdr:rowOff>0</xdr:rowOff>
    </xdr:to>
    <xdr:sp macro="" textlink="">
      <xdr:nvSpPr>
        <xdr:cNvPr id="47" name="五角形 6">
          <a:extLst>
            <a:ext uri="{FF2B5EF4-FFF2-40B4-BE49-F238E27FC236}">
              <a16:creationId xmlns:a16="http://schemas.microsoft.com/office/drawing/2014/main" id="{53BF00AF-6AEA-025C-4177-44971ED3B917}"/>
            </a:ext>
            <a:ext uri="{147F2762-F138-4A5C-976F-8EAC2B608ADB}">
              <a16:predDERef xmlns:a16="http://schemas.microsoft.com/office/drawing/2014/main" pred="{20713F6C-3BE1-4DFD-ABF2-FAFEAA474A54}"/>
            </a:ext>
          </a:extLst>
        </xdr:cNvPr>
        <xdr:cNvSpPr/>
      </xdr:nvSpPr>
      <xdr:spPr>
        <a:xfrm>
          <a:off x="9707880" y="3459480"/>
          <a:ext cx="2871470" cy="47117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10</xdr:col>
      <xdr:colOff>4407</xdr:colOff>
      <xdr:row>14</xdr:row>
      <xdr:rowOff>26968</xdr:rowOff>
    </xdr:from>
    <xdr:to>
      <xdr:col>10</xdr:col>
      <xdr:colOff>1426732</xdr:colOff>
      <xdr:row>14</xdr:row>
      <xdr:rowOff>489397</xdr:rowOff>
    </xdr:to>
    <xdr:sp macro="" textlink="">
      <xdr:nvSpPr>
        <xdr:cNvPr id="48" name="五角形 7">
          <a:extLst>
            <a:ext uri="{FF2B5EF4-FFF2-40B4-BE49-F238E27FC236}">
              <a16:creationId xmlns:a16="http://schemas.microsoft.com/office/drawing/2014/main" id="{92AD24C7-9F6D-8CE9-BECA-BAC70806FD69}"/>
            </a:ext>
            <a:ext uri="{147F2762-F138-4A5C-976F-8EAC2B608ADB}">
              <a16:predDERef xmlns:a16="http://schemas.microsoft.com/office/drawing/2014/main" pred="{148C59BC-7928-4D5D-B4A1-5FBA8966A392}"/>
            </a:ext>
          </a:extLst>
        </xdr:cNvPr>
        <xdr:cNvSpPr/>
      </xdr:nvSpPr>
      <xdr:spPr>
        <a:xfrm>
          <a:off x="15473007" y="3455968"/>
          <a:ext cx="1422325" cy="46242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12</xdr:col>
      <xdr:colOff>2840</xdr:colOff>
      <xdr:row>14</xdr:row>
      <xdr:rowOff>35270</xdr:rowOff>
    </xdr:from>
    <xdr:to>
      <xdr:col>13</xdr:col>
      <xdr:colOff>37653</xdr:colOff>
      <xdr:row>14</xdr:row>
      <xdr:rowOff>459740</xdr:rowOff>
    </xdr:to>
    <xdr:sp macro="" textlink="">
      <xdr:nvSpPr>
        <xdr:cNvPr id="49" name="五角形 9">
          <a:extLst>
            <a:ext uri="{FF2B5EF4-FFF2-40B4-BE49-F238E27FC236}">
              <a16:creationId xmlns:a16="http://schemas.microsoft.com/office/drawing/2014/main" id="{1D814B08-7626-120D-B38F-A4E5AF0B811D}"/>
            </a:ext>
            <a:ext uri="{147F2762-F138-4A5C-976F-8EAC2B608ADB}">
              <a16:predDERef xmlns:a16="http://schemas.microsoft.com/office/drawing/2014/main" pred="{65A2E0FB-E68B-4B5E-860D-83874575ACD3}"/>
            </a:ext>
          </a:extLst>
        </xdr:cNvPr>
        <xdr:cNvSpPr/>
      </xdr:nvSpPr>
      <xdr:spPr>
        <a:xfrm>
          <a:off x="18354340" y="3464270"/>
          <a:ext cx="1476263" cy="42447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8618</xdr:colOff>
      <xdr:row>14</xdr:row>
      <xdr:rowOff>926</xdr:rowOff>
    </xdr:from>
    <xdr:to>
      <xdr:col>19</xdr:col>
      <xdr:colOff>53340</xdr:colOff>
      <xdr:row>14</xdr:row>
      <xdr:rowOff>461009</xdr:rowOff>
    </xdr:to>
    <xdr:sp macro="" textlink="">
      <xdr:nvSpPr>
        <xdr:cNvPr id="50" name="五角形 9">
          <a:extLst>
            <a:ext uri="{FF2B5EF4-FFF2-40B4-BE49-F238E27FC236}">
              <a16:creationId xmlns:a16="http://schemas.microsoft.com/office/drawing/2014/main" id="{266315B6-C44B-337C-9C58-847554AF2359}"/>
            </a:ext>
            <a:ext uri="{147F2762-F138-4A5C-976F-8EAC2B608ADB}">
              <a16:predDERef xmlns:a16="http://schemas.microsoft.com/office/drawing/2014/main" pred="{65A2E0FB-E68B-4B5E-860D-83874575ACD3}"/>
            </a:ext>
          </a:extLst>
        </xdr:cNvPr>
        <xdr:cNvSpPr/>
      </xdr:nvSpPr>
      <xdr:spPr>
        <a:xfrm>
          <a:off x="25567368" y="3429926"/>
          <a:ext cx="2927622" cy="46008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6350</xdr:colOff>
      <xdr:row>14</xdr:row>
      <xdr:rowOff>41416</xdr:rowOff>
    </xdr:from>
    <xdr:to>
      <xdr:col>19</xdr:col>
      <xdr:colOff>547733</xdr:colOff>
      <xdr:row>15</xdr:row>
      <xdr:rowOff>31</xdr:rowOff>
    </xdr:to>
    <xdr:sp macro="" textlink="">
      <xdr:nvSpPr>
        <xdr:cNvPr id="51" name="五角形 9">
          <a:extLst>
            <a:ext uri="{FF2B5EF4-FFF2-40B4-BE49-F238E27FC236}">
              <a16:creationId xmlns:a16="http://schemas.microsoft.com/office/drawing/2014/main" id="{5698BF0D-1AF4-0D20-8109-8B7C5C2582E9}"/>
            </a:ext>
            <a:ext uri="{147F2762-F138-4A5C-976F-8EAC2B608ADB}">
              <a16:predDERef xmlns:a16="http://schemas.microsoft.com/office/drawing/2014/main" pred="{65A2E0FB-E68B-4B5E-860D-83874575ACD3}"/>
            </a:ext>
          </a:extLst>
        </xdr:cNvPr>
        <xdr:cNvSpPr/>
      </xdr:nvSpPr>
      <xdr:spPr>
        <a:xfrm>
          <a:off x="28448000" y="3470416"/>
          <a:ext cx="541383" cy="46026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566000</xdr:colOff>
      <xdr:row>14</xdr:row>
      <xdr:rowOff>34317</xdr:rowOff>
    </xdr:from>
    <xdr:to>
      <xdr:col>19</xdr:col>
      <xdr:colOff>1002318</xdr:colOff>
      <xdr:row>15</xdr:row>
      <xdr:rowOff>6533</xdr:rowOff>
    </xdr:to>
    <xdr:sp macro="" textlink="">
      <xdr:nvSpPr>
        <xdr:cNvPr id="52" name="五角形 10">
          <a:extLst>
            <a:ext uri="{FF2B5EF4-FFF2-40B4-BE49-F238E27FC236}">
              <a16:creationId xmlns:a16="http://schemas.microsoft.com/office/drawing/2014/main" id="{F0EFE00E-CC7C-B5EE-6210-B294DF53D2E9}"/>
            </a:ext>
            <a:ext uri="{147F2762-F138-4A5C-976F-8EAC2B608ADB}">
              <a16:predDERef xmlns:a16="http://schemas.microsoft.com/office/drawing/2014/main" pred="{87A917E3-4DC5-4705-AE88-A8538D9D121C}"/>
            </a:ext>
          </a:extLst>
        </xdr:cNvPr>
        <xdr:cNvSpPr/>
      </xdr:nvSpPr>
      <xdr:spPr>
        <a:xfrm>
          <a:off x="29007650" y="3463317"/>
          <a:ext cx="436318" cy="473866"/>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xdr:txBody>
    </xdr:sp>
    <xdr:clientData/>
  </xdr:twoCellAnchor>
  <xdr:twoCellAnchor>
    <xdr:from>
      <xdr:col>19</xdr:col>
      <xdr:colOff>1010909</xdr:colOff>
      <xdr:row>14</xdr:row>
      <xdr:rowOff>34316</xdr:rowOff>
    </xdr:from>
    <xdr:to>
      <xdr:col>20</xdr:col>
      <xdr:colOff>53406</xdr:colOff>
      <xdr:row>15</xdr:row>
      <xdr:rowOff>13063</xdr:rowOff>
    </xdr:to>
    <xdr:sp macro="" textlink="">
      <xdr:nvSpPr>
        <xdr:cNvPr id="53" name="五角形 10">
          <a:extLst>
            <a:ext uri="{FF2B5EF4-FFF2-40B4-BE49-F238E27FC236}">
              <a16:creationId xmlns:a16="http://schemas.microsoft.com/office/drawing/2014/main" id="{9D476D92-2DA9-A655-310E-9C4AE026BF23}"/>
            </a:ext>
            <a:ext uri="{147F2762-F138-4A5C-976F-8EAC2B608ADB}">
              <a16:predDERef xmlns:a16="http://schemas.microsoft.com/office/drawing/2014/main" pred="{87A917E3-4DC5-4705-AE88-A8538D9D121C}"/>
            </a:ext>
          </a:extLst>
        </xdr:cNvPr>
        <xdr:cNvSpPr/>
      </xdr:nvSpPr>
      <xdr:spPr>
        <a:xfrm>
          <a:off x="29452559" y="3463316"/>
          <a:ext cx="483947" cy="48039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10</xdr:col>
      <xdr:colOff>1441301</xdr:colOff>
      <xdr:row>14</xdr:row>
      <xdr:rowOff>3212</xdr:rowOff>
    </xdr:from>
    <xdr:to>
      <xdr:col>11</xdr:col>
      <xdr:colOff>1423670</xdr:colOff>
      <xdr:row>14</xdr:row>
      <xdr:rowOff>491613</xdr:rowOff>
    </xdr:to>
    <xdr:sp macro="" textlink="">
      <xdr:nvSpPr>
        <xdr:cNvPr id="54" name="五角形 8">
          <a:extLst>
            <a:ext uri="{FF2B5EF4-FFF2-40B4-BE49-F238E27FC236}">
              <a16:creationId xmlns:a16="http://schemas.microsoft.com/office/drawing/2014/main" id="{EAC44177-11FF-BB0B-DC7C-7AA575B5AEEF}"/>
            </a:ext>
            <a:ext uri="{147F2762-F138-4A5C-976F-8EAC2B608ADB}">
              <a16:predDERef xmlns:a16="http://schemas.microsoft.com/office/drawing/2014/main" pred="{4D44EC08-BB0A-43B0-8CEE-78221D9406E2}"/>
            </a:ext>
          </a:extLst>
        </xdr:cNvPr>
        <xdr:cNvSpPr/>
      </xdr:nvSpPr>
      <xdr:spPr>
        <a:xfrm>
          <a:off x="16909901" y="3432212"/>
          <a:ext cx="1423819" cy="488401"/>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10</xdr:col>
      <xdr:colOff>487515</xdr:colOff>
      <xdr:row>11</xdr:row>
      <xdr:rowOff>33130</xdr:rowOff>
    </xdr:from>
    <xdr:to>
      <xdr:col>11</xdr:col>
      <xdr:colOff>663769</xdr:colOff>
      <xdr:row>13</xdr:row>
      <xdr:rowOff>105520</xdr:rowOff>
    </xdr:to>
    <xdr:sp macro="" textlink="">
      <xdr:nvSpPr>
        <xdr:cNvPr id="3" name="吹き出し: 角を丸めた四角形 2">
          <a:extLst>
            <a:ext uri="{FF2B5EF4-FFF2-40B4-BE49-F238E27FC236}">
              <a16:creationId xmlns:a16="http://schemas.microsoft.com/office/drawing/2014/main" id="{134DE142-205A-9ACC-4EC2-85404E1CFCF5}"/>
            </a:ext>
          </a:extLst>
        </xdr:cNvPr>
        <xdr:cNvSpPr/>
      </xdr:nvSpPr>
      <xdr:spPr>
        <a:xfrm>
          <a:off x="15953906" y="2523434"/>
          <a:ext cx="1617428" cy="757086"/>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lt1"/>
              </a:solidFill>
              <a:effectLst/>
              <a:latin typeface="+mn-lt"/>
              <a:ea typeface="+mn-ea"/>
              <a:cs typeface="+mn-cs"/>
            </a:rPr>
            <a:t>IF</a:t>
          </a:r>
          <a:r>
            <a:rPr kumimoji="1" lang="ja-JP" altLang="ja-JP" sz="1100">
              <a:solidFill>
                <a:schemeClr val="lt1"/>
              </a:solidFill>
              <a:effectLst/>
              <a:latin typeface="+mn-lt"/>
              <a:ea typeface="+mn-ea"/>
              <a:cs typeface="+mn-cs"/>
            </a:rPr>
            <a:t>できるように</a:t>
          </a:r>
          <a:r>
            <a:rPr kumimoji="1" lang="ja-JP" altLang="en-US" sz="1100"/>
            <a:t>徳山側優先</a:t>
          </a:r>
        </a:p>
      </xdr:txBody>
    </xdr:sp>
    <xdr:clientData/>
  </xdr:twoCellAnchor>
  <xdr:twoCellAnchor>
    <xdr:from>
      <xdr:col>5</xdr:col>
      <xdr:colOff>1358016</xdr:colOff>
      <xdr:row>10</xdr:row>
      <xdr:rowOff>215348</xdr:rowOff>
    </xdr:from>
    <xdr:to>
      <xdr:col>7</xdr:col>
      <xdr:colOff>95912</xdr:colOff>
      <xdr:row>13</xdr:row>
      <xdr:rowOff>61347</xdr:rowOff>
    </xdr:to>
    <xdr:sp macro="" textlink="">
      <xdr:nvSpPr>
        <xdr:cNvPr id="4" name="吹き出し: 角を丸めた四角形 3">
          <a:extLst>
            <a:ext uri="{FF2B5EF4-FFF2-40B4-BE49-F238E27FC236}">
              <a16:creationId xmlns:a16="http://schemas.microsoft.com/office/drawing/2014/main" id="{27026B62-2719-076F-A809-E6BAD45435DB}"/>
            </a:ext>
          </a:extLst>
        </xdr:cNvPr>
        <xdr:cNvSpPr/>
      </xdr:nvSpPr>
      <xdr:spPr>
        <a:xfrm>
          <a:off x="9618538" y="2479261"/>
          <a:ext cx="1620244" cy="757086"/>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陸上出荷側の</a:t>
          </a:r>
          <a:r>
            <a:rPr kumimoji="1" lang="en-US" altLang="ja-JP" sz="1100"/>
            <a:t>IF</a:t>
          </a:r>
          <a:r>
            <a:rPr kumimoji="1" lang="ja-JP" altLang="en-US" sz="1100"/>
            <a:t>要件を固めるため先行</a:t>
          </a:r>
        </a:p>
      </xdr:txBody>
    </xdr:sp>
    <xdr:clientData/>
  </xdr:twoCellAnchor>
  <xdr:twoCellAnchor>
    <xdr:from>
      <xdr:col>10</xdr:col>
      <xdr:colOff>836706</xdr:colOff>
      <xdr:row>6</xdr:row>
      <xdr:rowOff>31153</xdr:rowOff>
    </xdr:from>
    <xdr:to>
      <xdr:col>11</xdr:col>
      <xdr:colOff>1421802</xdr:colOff>
      <xdr:row>8</xdr:row>
      <xdr:rowOff>221727</xdr:rowOff>
    </xdr:to>
    <xdr:sp macro="" textlink="">
      <xdr:nvSpPr>
        <xdr:cNvPr id="6" name="五角形 10">
          <a:extLst>
            <a:ext uri="{FF2B5EF4-FFF2-40B4-BE49-F238E27FC236}">
              <a16:creationId xmlns:a16="http://schemas.microsoft.com/office/drawing/2014/main" id="{749587F5-02A1-6BBF-D47A-1A31F34D8768}"/>
            </a:ext>
            <a:ext uri="{147F2762-F138-4A5C-976F-8EAC2B608ADB}">
              <a16:predDERef xmlns:a16="http://schemas.microsoft.com/office/drawing/2014/main" pred="{87A917E3-4DC5-4705-AE88-A8538D9D121C}"/>
            </a:ext>
          </a:extLst>
        </xdr:cNvPr>
        <xdr:cNvSpPr/>
      </xdr:nvSpPr>
      <xdr:spPr>
        <a:xfrm>
          <a:off x="16308294" y="1420682"/>
          <a:ext cx="2026920" cy="653751"/>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本番移行・初期流動</a:t>
          </a:r>
        </a:p>
      </xdr:txBody>
    </xdr:sp>
    <xdr:clientData/>
  </xdr:twoCellAnchor>
  <xdr:twoCellAnchor>
    <xdr:from>
      <xdr:col>6</xdr:col>
      <xdr:colOff>23944</xdr:colOff>
      <xdr:row>8</xdr:row>
      <xdr:rowOff>227637</xdr:rowOff>
    </xdr:from>
    <xdr:to>
      <xdr:col>8</xdr:col>
      <xdr:colOff>14941</xdr:colOff>
      <xdr:row>10</xdr:row>
      <xdr:rowOff>223221</xdr:rowOff>
    </xdr:to>
    <xdr:sp macro="" textlink="">
      <xdr:nvSpPr>
        <xdr:cNvPr id="12" name="五角形 9">
          <a:extLst>
            <a:ext uri="{FF2B5EF4-FFF2-40B4-BE49-F238E27FC236}">
              <a16:creationId xmlns:a16="http://schemas.microsoft.com/office/drawing/2014/main" id="{70028DAC-BA1A-A041-4D3A-4FEE0F0111C6}"/>
            </a:ext>
            <a:ext uri="{147F2762-F138-4A5C-976F-8EAC2B608ADB}">
              <a16:predDERef xmlns:a16="http://schemas.microsoft.com/office/drawing/2014/main" pred="{65A2E0FB-E68B-4B5E-860D-83874575ACD3}"/>
            </a:ext>
          </a:extLst>
        </xdr:cNvPr>
        <xdr:cNvSpPr/>
      </xdr:nvSpPr>
      <xdr:spPr>
        <a:xfrm>
          <a:off x="9728238" y="2080343"/>
          <a:ext cx="2874644" cy="45876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8</xdr:col>
      <xdr:colOff>14456</xdr:colOff>
      <xdr:row>8</xdr:row>
      <xdr:rowOff>226367</xdr:rowOff>
    </xdr:from>
    <xdr:to>
      <xdr:col>9</xdr:col>
      <xdr:colOff>12550</xdr:colOff>
      <xdr:row>10</xdr:row>
      <xdr:rowOff>224491</xdr:rowOff>
    </xdr:to>
    <xdr:sp macro="" textlink="">
      <xdr:nvSpPr>
        <xdr:cNvPr id="13" name="五角形 9">
          <a:extLst>
            <a:ext uri="{FF2B5EF4-FFF2-40B4-BE49-F238E27FC236}">
              <a16:creationId xmlns:a16="http://schemas.microsoft.com/office/drawing/2014/main" id="{B10EFF59-46CF-9851-A82D-2E295C2E5156}"/>
            </a:ext>
            <a:ext uri="{147F2762-F138-4A5C-976F-8EAC2B608ADB}">
              <a16:predDERef xmlns:a16="http://schemas.microsoft.com/office/drawing/2014/main" pred="{65A2E0FB-E68B-4B5E-860D-83874575ACD3}"/>
            </a:ext>
          </a:extLst>
        </xdr:cNvPr>
        <xdr:cNvSpPr/>
      </xdr:nvSpPr>
      <xdr:spPr>
        <a:xfrm>
          <a:off x="12602397" y="2079073"/>
          <a:ext cx="1439918" cy="46130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8</xdr:col>
      <xdr:colOff>1440067</xdr:colOff>
      <xdr:row>9</xdr:row>
      <xdr:rowOff>925</xdr:rowOff>
    </xdr:from>
    <xdr:to>
      <xdr:col>9</xdr:col>
      <xdr:colOff>814218</xdr:colOff>
      <xdr:row>11</xdr:row>
      <xdr:rowOff>1641</xdr:rowOff>
    </xdr:to>
    <xdr:sp macro="" textlink="">
      <xdr:nvSpPr>
        <xdr:cNvPr id="14" name="五角形 9">
          <a:extLst>
            <a:ext uri="{FF2B5EF4-FFF2-40B4-BE49-F238E27FC236}">
              <a16:creationId xmlns:a16="http://schemas.microsoft.com/office/drawing/2014/main" id="{7FD4F3B8-CBF8-E2DE-8130-BE33AD2190E9}"/>
            </a:ext>
            <a:ext uri="{147F2762-F138-4A5C-976F-8EAC2B608ADB}">
              <a16:predDERef xmlns:a16="http://schemas.microsoft.com/office/drawing/2014/main" pred="{65A2E0FB-E68B-4B5E-860D-83874575ACD3}"/>
            </a:ext>
          </a:extLst>
        </xdr:cNvPr>
        <xdr:cNvSpPr/>
      </xdr:nvSpPr>
      <xdr:spPr>
        <a:xfrm>
          <a:off x="14028008" y="2085219"/>
          <a:ext cx="815975" cy="46389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6</xdr:col>
      <xdr:colOff>3662</xdr:colOff>
      <xdr:row>6</xdr:row>
      <xdr:rowOff>9861</xdr:rowOff>
    </xdr:from>
    <xdr:to>
      <xdr:col>8</xdr:col>
      <xdr:colOff>754531</xdr:colOff>
      <xdr:row>8</xdr:row>
      <xdr:rowOff>200436</xdr:rowOff>
    </xdr:to>
    <xdr:sp macro="" textlink="">
      <xdr:nvSpPr>
        <xdr:cNvPr id="15" name="五角形 9">
          <a:extLst>
            <a:ext uri="{FF2B5EF4-FFF2-40B4-BE49-F238E27FC236}">
              <a16:creationId xmlns:a16="http://schemas.microsoft.com/office/drawing/2014/main" id="{55398753-74FC-F831-0B89-0BA0B539A157}"/>
            </a:ext>
            <a:ext uri="{147F2762-F138-4A5C-976F-8EAC2B608ADB}">
              <a16:predDERef xmlns:a16="http://schemas.microsoft.com/office/drawing/2014/main" pred="{65A2E0FB-E68B-4B5E-860D-83874575ACD3}"/>
            </a:ext>
          </a:extLst>
        </xdr:cNvPr>
        <xdr:cNvSpPr/>
      </xdr:nvSpPr>
      <xdr:spPr>
        <a:xfrm>
          <a:off x="9707956" y="1399390"/>
          <a:ext cx="3634516" cy="653752"/>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8</xdr:col>
      <xdr:colOff>758976</xdr:colOff>
      <xdr:row>5</xdr:row>
      <xdr:rowOff>226366</xdr:rowOff>
    </xdr:from>
    <xdr:to>
      <xdr:col>9</xdr:col>
      <xdr:colOff>758340</xdr:colOff>
      <xdr:row>9</xdr:row>
      <xdr:rowOff>7470</xdr:rowOff>
    </xdr:to>
    <xdr:sp macro="" textlink="">
      <xdr:nvSpPr>
        <xdr:cNvPr id="16" name="五角形 9">
          <a:extLst>
            <a:ext uri="{FF2B5EF4-FFF2-40B4-BE49-F238E27FC236}">
              <a16:creationId xmlns:a16="http://schemas.microsoft.com/office/drawing/2014/main" id="{F93ECE6B-C351-053D-DAEB-DC43284BEF28}"/>
            </a:ext>
            <a:ext uri="{147F2762-F138-4A5C-976F-8EAC2B608ADB}">
              <a16:predDERef xmlns:a16="http://schemas.microsoft.com/office/drawing/2014/main" pred="{65A2E0FB-E68B-4B5E-860D-83874575ACD3}"/>
            </a:ext>
          </a:extLst>
        </xdr:cNvPr>
        <xdr:cNvSpPr/>
      </xdr:nvSpPr>
      <xdr:spPr>
        <a:xfrm>
          <a:off x="13346917" y="1384307"/>
          <a:ext cx="1441188" cy="707457"/>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9</xdr:col>
      <xdr:colOff>791397</xdr:colOff>
      <xdr:row>5</xdr:row>
      <xdr:rowOff>225042</xdr:rowOff>
    </xdr:from>
    <xdr:to>
      <xdr:col>10</xdr:col>
      <xdr:colOff>814294</xdr:colOff>
      <xdr:row>9</xdr:row>
      <xdr:rowOff>4930</xdr:rowOff>
    </xdr:to>
    <xdr:sp macro="" textlink="">
      <xdr:nvSpPr>
        <xdr:cNvPr id="17" name="五角形 9">
          <a:extLst>
            <a:ext uri="{FF2B5EF4-FFF2-40B4-BE49-F238E27FC236}">
              <a16:creationId xmlns:a16="http://schemas.microsoft.com/office/drawing/2014/main" id="{049C8E73-82C9-C158-7F15-C4A8DA5BF8A6}"/>
            </a:ext>
            <a:ext uri="{147F2762-F138-4A5C-976F-8EAC2B608ADB}">
              <a16:predDERef xmlns:a16="http://schemas.microsoft.com/office/drawing/2014/main" pred="{65A2E0FB-E68B-4B5E-860D-83874575ACD3}"/>
            </a:ext>
          </a:extLst>
        </xdr:cNvPr>
        <xdr:cNvSpPr/>
      </xdr:nvSpPr>
      <xdr:spPr>
        <a:xfrm>
          <a:off x="14821162" y="1382983"/>
          <a:ext cx="1464720" cy="70624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9</xdr:col>
      <xdr:colOff>829235</xdr:colOff>
      <xdr:row>8</xdr:row>
      <xdr:rowOff>225387</xdr:rowOff>
    </xdr:from>
    <xdr:to>
      <xdr:col>10</xdr:col>
      <xdr:colOff>1432934</xdr:colOff>
      <xdr:row>10</xdr:row>
      <xdr:rowOff>199166</xdr:rowOff>
    </xdr:to>
    <xdr:sp macro="" textlink="">
      <xdr:nvSpPr>
        <xdr:cNvPr id="18" name="五角形 10">
          <a:extLst>
            <a:ext uri="{FF2B5EF4-FFF2-40B4-BE49-F238E27FC236}">
              <a16:creationId xmlns:a16="http://schemas.microsoft.com/office/drawing/2014/main" id="{A59E4871-6F24-B195-67E5-84FB3131942D}"/>
            </a:ext>
            <a:ext uri="{147F2762-F138-4A5C-976F-8EAC2B608ADB}">
              <a16:predDERef xmlns:a16="http://schemas.microsoft.com/office/drawing/2014/main" pred="{87A917E3-4DC5-4705-AE88-A8538D9D121C}"/>
            </a:ext>
          </a:extLst>
        </xdr:cNvPr>
        <xdr:cNvSpPr/>
      </xdr:nvSpPr>
      <xdr:spPr>
        <a:xfrm>
          <a:off x="14859000" y="2078093"/>
          <a:ext cx="2045522" cy="43695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本番移行・初期流動</a:t>
          </a:r>
        </a:p>
      </xdr:txBody>
    </xdr:sp>
    <xdr:clientData/>
  </xdr:twoCellAnchor>
  <xdr:twoCellAnchor>
    <xdr:from>
      <xdr:col>13</xdr:col>
      <xdr:colOff>14743</xdr:colOff>
      <xdr:row>15</xdr:row>
      <xdr:rowOff>33020</xdr:rowOff>
    </xdr:from>
    <xdr:to>
      <xdr:col>14</xdr:col>
      <xdr:colOff>14744</xdr:colOff>
      <xdr:row>16</xdr:row>
      <xdr:rowOff>0</xdr:rowOff>
    </xdr:to>
    <xdr:sp macro="" textlink="">
      <xdr:nvSpPr>
        <xdr:cNvPr id="10" name="五角形 6">
          <a:extLst>
            <a:ext uri="{FF2B5EF4-FFF2-40B4-BE49-F238E27FC236}">
              <a16:creationId xmlns:a16="http://schemas.microsoft.com/office/drawing/2014/main" id="{5DAFAF78-0412-4C9E-B98D-1127F3C99AA2}"/>
            </a:ext>
            <a:ext uri="{147F2762-F138-4A5C-976F-8EAC2B608ADB}">
              <a16:predDERef xmlns:a16="http://schemas.microsoft.com/office/drawing/2014/main" pred="{20713F6C-3BE1-4DFD-ABF2-FAFEAA474A54}"/>
            </a:ext>
          </a:extLst>
        </xdr:cNvPr>
        <xdr:cNvSpPr/>
      </xdr:nvSpPr>
      <xdr:spPr>
        <a:xfrm>
          <a:off x="19807693" y="3963670"/>
          <a:ext cx="1441451" cy="46863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14</xdr:col>
      <xdr:colOff>14744</xdr:colOff>
      <xdr:row>15</xdr:row>
      <xdr:rowOff>34290</xdr:rowOff>
    </xdr:from>
    <xdr:to>
      <xdr:col>15</xdr:col>
      <xdr:colOff>35244</xdr:colOff>
      <xdr:row>16</xdr:row>
      <xdr:rowOff>0</xdr:rowOff>
    </xdr:to>
    <xdr:sp macro="" textlink="">
      <xdr:nvSpPr>
        <xdr:cNvPr id="11" name="五角形 7">
          <a:extLst>
            <a:ext uri="{FF2B5EF4-FFF2-40B4-BE49-F238E27FC236}">
              <a16:creationId xmlns:a16="http://schemas.microsoft.com/office/drawing/2014/main" id="{123358AA-43EF-4DDF-9FF5-A230CBE2B0C6}"/>
            </a:ext>
            <a:ext uri="{147F2762-F138-4A5C-976F-8EAC2B608ADB}">
              <a16:predDERef xmlns:a16="http://schemas.microsoft.com/office/drawing/2014/main" pred="{148C59BC-7928-4D5D-B4A1-5FBA8966A392}"/>
            </a:ext>
          </a:extLst>
        </xdr:cNvPr>
        <xdr:cNvSpPr/>
      </xdr:nvSpPr>
      <xdr:spPr>
        <a:xfrm>
          <a:off x="21249144" y="3964940"/>
          <a:ext cx="1461950" cy="46736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15</xdr:col>
      <xdr:colOff>6091</xdr:colOff>
      <xdr:row>15</xdr:row>
      <xdr:rowOff>13317</xdr:rowOff>
    </xdr:from>
    <xdr:to>
      <xdr:col>15</xdr:col>
      <xdr:colOff>1402908</xdr:colOff>
      <xdr:row>15</xdr:row>
      <xdr:rowOff>488576</xdr:rowOff>
    </xdr:to>
    <xdr:sp macro="" textlink="">
      <xdr:nvSpPr>
        <xdr:cNvPr id="19" name="五角形 8">
          <a:extLst>
            <a:ext uri="{FF2B5EF4-FFF2-40B4-BE49-F238E27FC236}">
              <a16:creationId xmlns:a16="http://schemas.microsoft.com/office/drawing/2014/main" id="{C7350315-4E54-4AF6-AD1B-BD92CEA2BDC4}"/>
            </a:ext>
            <a:ext uri="{147F2762-F138-4A5C-976F-8EAC2B608ADB}">
              <a16:predDERef xmlns:a16="http://schemas.microsoft.com/office/drawing/2014/main" pred="{4D44EC08-BB0A-43B0-8CEE-78221D9406E2}"/>
            </a:ext>
          </a:extLst>
        </xdr:cNvPr>
        <xdr:cNvSpPr/>
      </xdr:nvSpPr>
      <xdr:spPr>
        <a:xfrm>
          <a:off x="22681941" y="3943967"/>
          <a:ext cx="1396817" cy="47525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10069</xdr:colOff>
      <xdr:row>15</xdr:row>
      <xdr:rowOff>3520</xdr:rowOff>
    </xdr:from>
    <xdr:to>
      <xdr:col>17</xdr:col>
      <xdr:colOff>14151</xdr:colOff>
      <xdr:row>15</xdr:row>
      <xdr:rowOff>459740</xdr:rowOff>
    </xdr:to>
    <xdr:sp macro="" textlink="">
      <xdr:nvSpPr>
        <xdr:cNvPr id="20" name="五角形 9">
          <a:extLst>
            <a:ext uri="{FF2B5EF4-FFF2-40B4-BE49-F238E27FC236}">
              <a16:creationId xmlns:a16="http://schemas.microsoft.com/office/drawing/2014/main" id="{295149C1-A443-4554-836A-172170D19816}"/>
            </a:ext>
            <a:ext uri="{147F2762-F138-4A5C-976F-8EAC2B608ADB}">
              <a16:predDERef xmlns:a16="http://schemas.microsoft.com/office/drawing/2014/main" pred="{65A2E0FB-E68B-4B5E-860D-83874575ACD3}"/>
            </a:ext>
          </a:extLst>
        </xdr:cNvPr>
        <xdr:cNvSpPr/>
      </xdr:nvSpPr>
      <xdr:spPr>
        <a:xfrm>
          <a:off x="24127369" y="3934170"/>
          <a:ext cx="1445532" cy="45622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16</xdr:col>
      <xdr:colOff>1437730</xdr:colOff>
      <xdr:row>15</xdr:row>
      <xdr:rowOff>2250</xdr:rowOff>
    </xdr:from>
    <xdr:to>
      <xdr:col>18</xdr:col>
      <xdr:colOff>1433820</xdr:colOff>
      <xdr:row>15</xdr:row>
      <xdr:rowOff>459740</xdr:rowOff>
    </xdr:to>
    <xdr:sp macro="" textlink="">
      <xdr:nvSpPr>
        <xdr:cNvPr id="21" name="五角形 9">
          <a:extLst>
            <a:ext uri="{FF2B5EF4-FFF2-40B4-BE49-F238E27FC236}">
              <a16:creationId xmlns:a16="http://schemas.microsoft.com/office/drawing/2014/main" id="{6E85D0E6-2C57-46FD-A839-F78DCBCE6974}"/>
            </a:ext>
            <a:ext uri="{147F2762-F138-4A5C-976F-8EAC2B608ADB}">
              <a16:predDERef xmlns:a16="http://schemas.microsoft.com/office/drawing/2014/main" pred="{65A2E0FB-E68B-4B5E-860D-83874575ACD3}"/>
            </a:ext>
          </a:extLst>
        </xdr:cNvPr>
        <xdr:cNvSpPr/>
      </xdr:nvSpPr>
      <xdr:spPr>
        <a:xfrm>
          <a:off x="25555030" y="3932900"/>
          <a:ext cx="2878990" cy="45749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8926</xdr:colOff>
      <xdr:row>15</xdr:row>
      <xdr:rowOff>11969</xdr:rowOff>
    </xdr:from>
    <xdr:to>
      <xdr:col>19</xdr:col>
      <xdr:colOff>818914</xdr:colOff>
      <xdr:row>15</xdr:row>
      <xdr:rowOff>472052</xdr:rowOff>
    </xdr:to>
    <xdr:sp macro="" textlink="">
      <xdr:nvSpPr>
        <xdr:cNvPr id="27" name="五角形 9">
          <a:extLst>
            <a:ext uri="{FF2B5EF4-FFF2-40B4-BE49-F238E27FC236}">
              <a16:creationId xmlns:a16="http://schemas.microsoft.com/office/drawing/2014/main" id="{6661F485-4DCA-4056-AA3F-6851FB672EBC}"/>
            </a:ext>
            <a:ext uri="{147F2762-F138-4A5C-976F-8EAC2B608ADB}">
              <a16:predDERef xmlns:a16="http://schemas.microsoft.com/office/drawing/2014/main" pred="{65A2E0FB-E68B-4B5E-860D-83874575ACD3}"/>
            </a:ext>
          </a:extLst>
        </xdr:cNvPr>
        <xdr:cNvSpPr/>
      </xdr:nvSpPr>
      <xdr:spPr>
        <a:xfrm>
          <a:off x="28445883" y="3915839"/>
          <a:ext cx="809988" cy="46008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852623</xdr:colOff>
      <xdr:row>15</xdr:row>
      <xdr:rowOff>2566</xdr:rowOff>
    </xdr:from>
    <xdr:to>
      <xdr:col>20</xdr:col>
      <xdr:colOff>585289</xdr:colOff>
      <xdr:row>16</xdr:row>
      <xdr:rowOff>2540</xdr:rowOff>
    </xdr:to>
    <xdr:sp macro="" textlink="">
      <xdr:nvSpPr>
        <xdr:cNvPr id="28" name="五角形 10">
          <a:extLst>
            <a:ext uri="{FF2B5EF4-FFF2-40B4-BE49-F238E27FC236}">
              <a16:creationId xmlns:a16="http://schemas.microsoft.com/office/drawing/2014/main" id="{0E09370D-C393-4632-B7EB-C9D15189A97E}"/>
            </a:ext>
            <a:ext uri="{147F2762-F138-4A5C-976F-8EAC2B608ADB}">
              <a16:predDERef xmlns:a16="http://schemas.microsoft.com/office/drawing/2014/main" pred="{87A917E3-4DC5-4705-AE88-A8538D9D121C}"/>
            </a:ext>
          </a:extLst>
        </xdr:cNvPr>
        <xdr:cNvSpPr/>
      </xdr:nvSpPr>
      <xdr:spPr>
        <a:xfrm>
          <a:off x="29294273" y="3933216"/>
          <a:ext cx="1174116" cy="50162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xdr:txBody>
    </xdr:sp>
    <xdr:clientData/>
  </xdr:twoCellAnchor>
  <xdr:twoCellAnchor>
    <xdr:from>
      <xdr:col>20</xdr:col>
      <xdr:colOff>589100</xdr:colOff>
      <xdr:row>15</xdr:row>
      <xdr:rowOff>2566</xdr:rowOff>
    </xdr:from>
    <xdr:to>
      <xdr:col>21</xdr:col>
      <xdr:colOff>22317</xdr:colOff>
      <xdr:row>16</xdr:row>
      <xdr:rowOff>2540</xdr:rowOff>
    </xdr:to>
    <xdr:sp macro="" textlink="">
      <xdr:nvSpPr>
        <xdr:cNvPr id="29" name="五角形 10">
          <a:extLst>
            <a:ext uri="{FF2B5EF4-FFF2-40B4-BE49-F238E27FC236}">
              <a16:creationId xmlns:a16="http://schemas.microsoft.com/office/drawing/2014/main" id="{1AEDC2C1-8322-42F3-A604-229EBA0FF52E}"/>
            </a:ext>
            <a:ext uri="{147F2762-F138-4A5C-976F-8EAC2B608ADB}">
              <a16:predDERef xmlns:a16="http://schemas.microsoft.com/office/drawing/2014/main" pred="{87A917E3-4DC5-4705-AE88-A8538D9D121C}"/>
            </a:ext>
          </a:extLst>
        </xdr:cNvPr>
        <xdr:cNvSpPr/>
      </xdr:nvSpPr>
      <xdr:spPr>
        <a:xfrm>
          <a:off x="30472200" y="3933216"/>
          <a:ext cx="874667" cy="50162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9</xdr:col>
      <xdr:colOff>2635</xdr:colOff>
      <xdr:row>16</xdr:row>
      <xdr:rowOff>491490</xdr:rowOff>
    </xdr:from>
    <xdr:to>
      <xdr:col>10</xdr:col>
      <xdr:colOff>37353</xdr:colOff>
      <xdr:row>18</xdr:row>
      <xdr:rowOff>218440</xdr:rowOff>
    </xdr:to>
    <xdr:sp macro="" textlink="">
      <xdr:nvSpPr>
        <xdr:cNvPr id="5" name="五角形 6">
          <a:extLst>
            <a:ext uri="{FF2B5EF4-FFF2-40B4-BE49-F238E27FC236}">
              <a16:creationId xmlns:a16="http://schemas.microsoft.com/office/drawing/2014/main" id="{40A7A1BA-6DEB-68FF-170F-434FEABFF2A4}"/>
            </a:ext>
            <a:ext uri="{147F2762-F138-4A5C-976F-8EAC2B608ADB}">
              <a16:predDERef xmlns:a16="http://schemas.microsoft.com/office/drawing/2014/main" pred="{20713F6C-3BE1-4DFD-ABF2-FAFEAA474A54}"/>
            </a:ext>
          </a:extLst>
        </xdr:cNvPr>
        <xdr:cNvSpPr/>
      </xdr:nvSpPr>
      <xdr:spPr>
        <a:xfrm>
          <a:off x="14032400" y="4958902"/>
          <a:ext cx="1476541" cy="45906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11</xdr:col>
      <xdr:colOff>504190</xdr:colOff>
      <xdr:row>17</xdr:row>
      <xdr:rowOff>21590</xdr:rowOff>
    </xdr:from>
    <xdr:to>
      <xdr:col>11</xdr:col>
      <xdr:colOff>889000</xdr:colOff>
      <xdr:row>18</xdr:row>
      <xdr:rowOff>12700</xdr:rowOff>
    </xdr:to>
    <xdr:sp macro="" textlink="">
      <xdr:nvSpPr>
        <xdr:cNvPr id="30" name="五角形 10">
          <a:extLst>
            <a:ext uri="{FF2B5EF4-FFF2-40B4-BE49-F238E27FC236}">
              <a16:creationId xmlns:a16="http://schemas.microsoft.com/office/drawing/2014/main" id="{64747ECC-61F6-3783-7F51-C3AC106C9145}"/>
            </a:ext>
            <a:ext uri="{147F2762-F138-4A5C-976F-8EAC2B608ADB}">
              <a16:predDERef xmlns:a16="http://schemas.microsoft.com/office/drawing/2014/main" pred="{87A917E3-4DC5-4705-AE88-A8538D9D121C}"/>
            </a:ext>
          </a:extLst>
        </xdr:cNvPr>
        <xdr:cNvSpPr/>
      </xdr:nvSpPr>
      <xdr:spPr>
        <a:xfrm>
          <a:off x="17414240" y="4955540"/>
          <a:ext cx="384810" cy="21971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a:t>
          </a:r>
          <a:endParaRPr lang="en-US" altLang="ja-JP" sz="1100" b="1" i="0" u="none" strike="noStrike">
            <a:solidFill>
              <a:srgbClr val="000000"/>
            </a:solidFill>
            <a:latin typeface="Calibri" panose="020F0502020204030204" pitchFamily="34" charset="0"/>
            <a:cs typeface="Calibri" panose="020F0502020204030204" pitchFamily="34" charset="0"/>
          </a:endParaRP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a:t>
          </a:r>
          <a:endParaRPr lang="en-US" altLang="ja-JP" sz="1100" b="1" i="0" u="none" strike="noStrike">
            <a:solidFill>
              <a:srgbClr val="000000"/>
            </a:solidFill>
            <a:latin typeface="Calibri" panose="020F0502020204030204" pitchFamily="34" charset="0"/>
            <a:cs typeface="Calibri" panose="020F0502020204030204" pitchFamily="34" charset="0"/>
          </a:endParaRP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期流動</a:t>
          </a:r>
        </a:p>
      </xdr:txBody>
    </xdr:sp>
    <xdr:clientData/>
  </xdr:twoCellAnchor>
  <xdr:twoCellAnchor>
    <xdr:from>
      <xdr:col>12</xdr:col>
      <xdr:colOff>384700</xdr:colOff>
      <xdr:row>19</xdr:row>
      <xdr:rowOff>72610</xdr:rowOff>
    </xdr:from>
    <xdr:to>
      <xdr:col>13</xdr:col>
      <xdr:colOff>548254</xdr:colOff>
      <xdr:row>60</xdr:row>
      <xdr:rowOff>120815</xdr:rowOff>
    </xdr:to>
    <xdr:sp macro="" textlink="">
      <xdr:nvSpPr>
        <xdr:cNvPr id="33" name="吹き出し: 角を丸めた四角形 32">
          <a:extLst>
            <a:ext uri="{FF2B5EF4-FFF2-40B4-BE49-F238E27FC236}">
              <a16:creationId xmlns:a16="http://schemas.microsoft.com/office/drawing/2014/main" id="{8EB7F943-49C1-8BA9-F7DE-01196856FB3F}"/>
            </a:ext>
          </a:extLst>
        </xdr:cNvPr>
        <xdr:cNvSpPr/>
      </xdr:nvSpPr>
      <xdr:spPr>
        <a:xfrm>
          <a:off x="18733439" y="5434219"/>
          <a:ext cx="1604728" cy="749466"/>
        </a:xfrm>
        <a:prstGeom prst="wedgeRoundRectCallout">
          <a:avLst>
            <a:gd name="adj1" fmla="val -74083"/>
            <a:gd name="adj2" fmla="val -4690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本番リリースは工場系システムで対応</a:t>
          </a:r>
        </a:p>
      </xdr:txBody>
    </xdr:sp>
    <xdr:clientData/>
  </xdr:twoCellAnchor>
  <xdr:twoCellAnchor>
    <xdr:from>
      <xdr:col>11</xdr:col>
      <xdr:colOff>1049573</xdr:colOff>
      <xdr:row>18</xdr:row>
      <xdr:rowOff>23689</xdr:rowOff>
    </xdr:from>
    <xdr:to>
      <xdr:col>11</xdr:col>
      <xdr:colOff>1431843</xdr:colOff>
      <xdr:row>19</xdr:row>
      <xdr:rowOff>3368</xdr:rowOff>
    </xdr:to>
    <xdr:sp macro="" textlink="">
      <xdr:nvSpPr>
        <xdr:cNvPr id="34" name="五角形 10">
          <a:extLst>
            <a:ext uri="{FF2B5EF4-FFF2-40B4-BE49-F238E27FC236}">
              <a16:creationId xmlns:a16="http://schemas.microsoft.com/office/drawing/2014/main" id="{4F7120B2-682E-CCAF-C47F-EFF143F5BE92}"/>
            </a:ext>
            <a:ext uri="{147F2762-F138-4A5C-976F-8EAC2B608ADB}">
              <a16:predDERef xmlns:a16="http://schemas.microsoft.com/office/drawing/2014/main" pred="{87A917E3-4DC5-4705-AE88-A8538D9D121C}"/>
            </a:ext>
          </a:extLst>
        </xdr:cNvPr>
        <xdr:cNvSpPr/>
      </xdr:nvSpPr>
      <xdr:spPr>
        <a:xfrm>
          <a:off x="17957138" y="5158906"/>
          <a:ext cx="382270" cy="206071"/>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a:t>
          </a:r>
          <a:endParaRPr lang="en-US" altLang="ja-JP" sz="1100" b="1" i="0" u="none" strike="noStrike">
            <a:solidFill>
              <a:srgbClr val="000000"/>
            </a:solidFill>
            <a:latin typeface="Calibri" panose="020F0502020204030204" pitchFamily="34" charset="0"/>
            <a:cs typeface="Calibri" panose="020F0502020204030204" pitchFamily="34" charset="0"/>
          </a:endParaRP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a:t>
          </a:r>
          <a:endParaRPr lang="en-US" altLang="ja-JP" sz="1100" b="1" i="0" u="none" strike="noStrike">
            <a:solidFill>
              <a:srgbClr val="000000"/>
            </a:solidFill>
            <a:latin typeface="Calibri" panose="020F0502020204030204" pitchFamily="34" charset="0"/>
            <a:cs typeface="Calibri" panose="020F0502020204030204" pitchFamily="34" charset="0"/>
          </a:endParaRP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期流動</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657225</xdr:colOff>
      <xdr:row>45</xdr:row>
      <xdr:rowOff>28575</xdr:rowOff>
    </xdr:from>
    <xdr:to>
      <xdr:col>17</xdr:col>
      <xdr:colOff>104775</xdr:colOff>
      <xdr:row>49</xdr:row>
      <xdr:rowOff>104774</xdr:rowOff>
    </xdr:to>
    <xdr:sp macro="" textlink="">
      <xdr:nvSpPr>
        <xdr:cNvPr id="2" name="正方形/長方形 1">
          <a:extLst>
            <a:ext uri="{FF2B5EF4-FFF2-40B4-BE49-F238E27FC236}">
              <a16:creationId xmlns:a16="http://schemas.microsoft.com/office/drawing/2014/main" id="{53B007B7-1C1A-4EC8-9276-5A70D5B68172}"/>
            </a:ext>
          </a:extLst>
        </xdr:cNvPr>
        <xdr:cNvSpPr/>
      </xdr:nvSpPr>
      <xdr:spPr>
        <a:xfrm>
          <a:off x="10536555" y="8646795"/>
          <a:ext cx="2879090" cy="838199"/>
        </a:xfrm>
        <a:prstGeom prst="rect">
          <a:avLst/>
        </a:prstGeom>
        <a:solidFill>
          <a:srgbClr val="FFFFCC"/>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模擬によるシステム間の電文ファイルを送受信し、</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各システムにて問題がないか確認する。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【2025</a:t>
          </a:r>
          <a:r>
            <a:rPr kumimoji="1" lang="ja-JP" altLang="en-US" sz="1100">
              <a:solidFill>
                <a:sysClr val="windowText" lastClr="000000"/>
              </a:solidFill>
              <a:latin typeface="Meiryo UI" panose="020B0604030504040204" pitchFamily="50" charset="-128"/>
              <a:ea typeface="Meiryo UI" panose="020B0604030504040204" pitchFamily="50" charset="-128"/>
            </a:rPr>
            <a:t>年</a:t>
          </a:r>
          <a:r>
            <a:rPr kumimoji="1" lang="en-US" altLang="ja-JP" sz="1100">
              <a:solidFill>
                <a:sysClr val="windowText" lastClr="000000"/>
              </a:solidFill>
              <a:latin typeface="Meiryo UI" panose="020B0604030504040204" pitchFamily="50" charset="-128"/>
              <a:ea typeface="Meiryo UI" panose="020B0604030504040204" pitchFamily="50" charset="-128"/>
            </a:rPr>
            <a:t>11</a:t>
          </a:r>
          <a:r>
            <a:rPr kumimoji="1" lang="ja-JP" altLang="en-US" sz="1100">
              <a:solidFill>
                <a:sysClr val="windowText" lastClr="000000"/>
              </a:solidFill>
              <a:latin typeface="Meiryo UI" panose="020B0604030504040204" pitchFamily="50" charset="-128"/>
              <a:ea typeface="Meiryo UI" panose="020B0604030504040204" pitchFamily="50" charset="-128"/>
            </a:rPr>
            <a:t>月～</a:t>
          </a:r>
          <a:r>
            <a:rPr kumimoji="1" lang="en-US" altLang="ja-JP" sz="1100">
              <a:solidFill>
                <a:sysClr val="windowText" lastClr="000000"/>
              </a:solidFill>
              <a:latin typeface="Meiryo UI" panose="020B0604030504040204" pitchFamily="50" charset="-128"/>
              <a:ea typeface="Meiryo UI" panose="020B0604030504040204" pitchFamily="50" charset="-128"/>
            </a:rPr>
            <a:t>2026</a:t>
          </a:r>
          <a:r>
            <a:rPr kumimoji="1" lang="ja-JP" altLang="en-US" sz="1100">
              <a:solidFill>
                <a:sysClr val="windowText" lastClr="000000"/>
              </a:solidFill>
              <a:latin typeface="Meiryo UI" panose="020B0604030504040204" pitchFamily="50" charset="-128"/>
              <a:ea typeface="Meiryo UI" panose="020B0604030504040204" pitchFamily="50" charset="-128"/>
            </a:rPr>
            <a:t>年</a:t>
          </a:r>
          <a:r>
            <a:rPr kumimoji="1" lang="en-US" altLang="ja-JP" sz="1100">
              <a:solidFill>
                <a:sysClr val="windowText" lastClr="000000"/>
              </a:solidFill>
              <a:latin typeface="Meiryo UI" panose="020B0604030504040204" pitchFamily="50" charset="-128"/>
              <a:ea typeface="Meiryo UI" panose="020B0604030504040204" pitchFamily="50" charset="-128"/>
            </a:rPr>
            <a:t>2</a:t>
          </a:r>
          <a:r>
            <a:rPr kumimoji="1" lang="ja-JP" altLang="en-US" sz="1100">
              <a:solidFill>
                <a:sysClr val="windowText" lastClr="000000"/>
              </a:solidFill>
              <a:latin typeface="Meiryo UI" panose="020B0604030504040204" pitchFamily="50" charset="-128"/>
              <a:ea typeface="Meiryo UI" panose="020B0604030504040204" pitchFamily="50" charset="-128"/>
            </a:rPr>
            <a:t>月の間</a:t>
          </a:r>
          <a:r>
            <a:rPr kumimoji="1" lang="en-US" altLang="ja-JP" sz="1100">
              <a:solidFill>
                <a:sysClr val="windowText" lastClr="000000"/>
              </a:solidFill>
              <a:latin typeface="Meiryo UI" panose="020B0604030504040204" pitchFamily="50" charset="-128"/>
              <a:ea typeface="Meiryo UI" panose="020B0604030504040204" pitchFamily="50" charset="-128"/>
            </a:rPr>
            <a:t>】</a:t>
          </a:r>
          <a:endParaRPr kumimoji="1" lang="ja-JP" altLang="en-US"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10160</xdr:colOff>
      <xdr:row>6</xdr:row>
      <xdr:rowOff>25400</xdr:rowOff>
    </xdr:from>
    <xdr:to>
      <xdr:col>4</xdr:col>
      <xdr:colOff>7620</xdr:colOff>
      <xdr:row>11</xdr:row>
      <xdr:rowOff>0</xdr:rowOff>
    </xdr:to>
    <xdr:sp macro="" textlink="">
      <xdr:nvSpPr>
        <xdr:cNvPr id="2" name="五角形 6">
          <a:extLst>
            <a:ext uri="{FF2B5EF4-FFF2-40B4-BE49-F238E27FC236}">
              <a16:creationId xmlns:a16="http://schemas.microsoft.com/office/drawing/2014/main" id="{96421FDC-B661-49F0-BFD8-8E469002C2BF}"/>
            </a:ext>
            <a:ext uri="{147F2762-F138-4A5C-976F-8EAC2B608ADB}">
              <a16:predDERef xmlns:a16="http://schemas.microsoft.com/office/drawing/2014/main" pred="{20713F6C-3BE1-4DFD-ABF2-FAFEAA474A54}"/>
            </a:ext>
          </a:extLst>
        </xdr:cNvPr>
        <xdr:cNvSpPr/>
      </xdr:nvSpPr>
      <xdr:spPr>
        <a:xfrm>
          <a:off x="5387340" y="1399540"/>
          <a:ext cx="1438910" cy="111506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4</xdr:col>
      <xdr:colOff>6351</xdr:colOff>
      <xdr:row>6</xdr:row>
      <xdr:rowOff>25400</xdr:rowOff>
    </xdr:from>
    <xdr:to>
      <xdr:col>4</xdr:col>
      <xdr:colOff>1437641</xdr:colOff>
      <xdr:row>11</xdr:row>
      <xdr:rowOff>0</xdr:rowOff>
    </xdr:to>
    <xdr:sp macro="" textlink="">
      <xdr:nvSpPr>
        <xdr:cNvPr id="3" name="五角形 7">
          <a:extLst>
            <a:ext uri="{FF2B5EF4-FFF2-40B4-BE49-F238E27FC236}">
              <a16:creationId xmlns:a16="http://schemas.microsoft.com/office/drawing/2014/main" id="{0FFC9841-8ACE-4A54-BE62-C0107AEEBA6E}"/>
            </a:ext>
            <a:ext uri="{147F2762-F138-4A5C-976F-8EAC2B608ADB}">
              <a16:predDERef xmlns:a16="http://schemas.microsoft.com/office/drawing/2014/main" pred="{148C59BC-7928-4D5D-B4A1-5FBA8966A392}"/>
            </a:ext>
          </a:extLst>
        </xdr:cNvPr>
        <xdr:cNvSpPr/>
      </xdr:nvSpPr>
      <xdr:spPr>
        <a:xfrm>
          <a:off x="6824981" y="1399540"/>
          <a:ext cx="1433830" cy="111506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5</xdr:col>
      <xdr:colOff>6351</xdr:colOff>
      <xdr:row>6</xdr:row>
      <xdr:rowOff>27940</xdr:rowOff>
    </xdr:from>
    <xdr:to>
      <xdr:col>6</xdr:col>
      <xdr:colOff>3811</xdr:colOff>
      <xdr:row>11</xdr:row>
      <xdr:rowOff>0</xdr:rowOff>
    </xdr:to>
    <xdr:sp macro="" textlink="">
      <xdr:nvSpPr>
        <xdr:cNvPr id="4" name="五角形 8">
          <a:extLst>
            <a:ext uri="{FF2B5EF4-FFF2-40B4-BE49-F238E27FC236}">
              <a16:creationId xmlns:a16="http://schemas.microsoft.com/office/drawing/2014/main" id="{6564A319-DA4A-4276-B98D-220A34A98604}"/>
            </a:ext>
            <a:ext uri="{147F2762-F138-4A5C-976F-8EAC2B608ADB}">
              <a16:predDERef xmlns:a16="http://schemas.microsoft.com/office/drawing/2014/main" pred="{4D44EC08-BB0A-43B0-8CEE-78221D9406E2}"/>
            </a:ext>
          </a:extLst>
        </xdr:cNvPr>
        <xdr:cNvSpPr/>
      </xdr:nvSpPr>
      <xdr:spPr>
        <a:xfrm>
          <a:off x="8266431" y="1400810"/>
          <a:ext cx="1438910" cy="111379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15</xdr:col>
      <xdr:colOff>0</xdr:colOff>
      <xdr:row>11</xdr:row>
      <xdr:rowOff>0</xdr:rowOff>
    </xdr:from>
    <xdr:to>
      <xdr:col>17</xdr:col>
      <xdr:colOff>476250</xdr:colOff>
      <xdr:row>14</xdr:row>
      <xdr:rowOff>0</xdr:rowOff>
    </xdr:to>
    <xdr:sp macro="" textlink="">
      <xdr:nvSpPr>
        <xdr:cNvPr id="5" name="五角形 21">
          <a:extLst>
            <a:ext uri="{FF2B5EF4-FFF2-40B4-BE49-F238E27FC236}">
              <a16:creationId xmlns:a16="http://schemas.microsoft.com/office/drawing/2014/main" id="{4931F86C-919A-4B77-8793-A12857EE99FE}"/>
            </a:ext>
            <a:ext uri="{147F2762-F138-4A5C-976F-8EAC2B608ADB}">
              <a16:predDERef xmlns:a16="http://schemas.microsoft.com/office/drawing/2014/main" pred="{2ED0E677-487D-4105-B3A7-71E0F4B8D0B2}"/>
            </a:ext>
          </a:extLst>
        </xdr:cNvPr>
        <xdr:cNvSpPr/>
      </xdr:nvSpPr>
      <xdr:spPr>
        <a:xfrm>
          <a:off x="22675850" y="2514600"/>
          <a:ext cx="3361690" cy="9144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18</xdr:col>
      <xdr:colOff>0</xdr:colOff>
      <xdr:row>11</xdr:row>
      <xdr:rowOff>0</xdr:rowOff>
    </xdr:from>
    <xdr:to>
      <xdr:col>19</xdr:col>
      <xdr:colOff>466725</xdr:colOff>
      <xdr:row>13</xdr:row>
      <xdr:rowOff>276225</xdr:rowOff>
    </xdr:to>
    <xdr:sp macro="" textlink="">
      <xdr:nvSpPr>
        <xdr:cNvPr id="6" name="五角形 23">
          <a:extLst>
            <a:ext uri="{FF2B5EF4-FFF2-40B4-BE49-F238E27FC236}">
              <a16:creationId xmlns:a16="http://schemas.microsoft.com/office/drawing/2014/main" id="{7792D595-7977-47A8-9920-FDCCB9E74DFD}"/>
            </a:ext>
            <a:ext uri="{147F2762-F138-4A5C-976F-8EAC2B608ADB}">
              <a16:predDERef xmlns:a16="http://schemas.microsoft.com/office/drawing/2014/main" pred="{DCD0FA00-438B-4F3B-B60D-568F39371084}"/>
            </a:ext>
          </a:extLst>
        </xdr:cNvPr>
        <xdr:cNvSpPr/>
      </xdr:nvSpPr>
      <xdr:spPr>
        <a:xfrm>
          <a:off x="27000200" y="2514600"/>
          <a:ext cx="1906905" cy="91630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20</xdr:col>
      <xdr:colOff>0</xdr:colOff>
      <xdr:row>11</xdr:row>
      <xdr:rowOff>0</xdr:rowOff>
    </xdr:from>
    <xdr:to>
      <xdr:col>22</xdr:col>
      <xdr:colOff>209550</xdr:colOff>
      <xdr:row>13</xdr:row>
      <xdr:rowOff>266700</xdr:rowOff>
    </xdr:to>
    <xdr:sp macro="" textlink="">
      <xdr:nvSpPr>
        <xdr:cNvPr id="7" name="五角形 24">
          <a:extLst>
            <a:ext uri="{FF2B5EF4-FFF2-40B4-BE49-F238E27FC236}">
              <a16:creationId xmlns:a16="http://schemas.microsoft.com/office/drawing/2014/main" id="{51AAD6D8-B056-4308-A698-E091ABFA3AD8}"/>
            </a:ext>
            <a:ext uri="{147F2762-F138-4A5C-976F-8EAC2B608ADB}">
              <a16:predDERef xmlns:a16="http://schemas.microsoft.com/office/drawing/2014/main" pred="{85C0FA77-C317-4B4B-ADAC-2906025B8A19}"/>
            </a:ext>
          </a:extLst>
        </xdr:cNvPr>
        <xdr:cNvSpPr/>
      </xdr:nvSpPr>
      <xdr:spPr>
        <a:xfrm>
          <a:off x="29883100" y="2514600"/>
          <a:ext cx="3094990" cy="914400"/>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22</xdr:col>
      <xdr:colOff>219075</xdr:colOff>
      <xdr:row>11</xdr:row>
      <xdr:rowOff>0</xdr:rowOff>
    </xdr:from>
    <xdr:to>
      <xdr:col>25</xdr:col>
      <xdr:colOff>476250</xdr:colOff>
      <xdr:row>13</xdr:row>
      <xdr:rowOff>276225</xdr:rowOff>
    </xdr:to>
    <xdr:sp macro="" textlink="">
      <xdr:nvSpPr>
        <xdr:cNvPr id="8" name="五角形 25">
          <a:extLst>
            <a:ext uri="{FF2B5EF4-FFF2-40B4-BE49-F238E27FC236}">
              <a16:creationId xmlns:a16="http://schemas.microsoft.com/office/drawing/2014/main" id="{59A354AE-7D05-4AFC-8AE8-16D95B81EF5C}"/>
            </a:ext>
            <a:ext uri="{147F2762-F138-4A5C-976F-8EAC2B608ADB}">
              <a16:predDERef xmlns:a16="http://schemas.microsoft.com/office/drawing/2014/main" pred="{217976E8-218C-4C18-8600-D795A43A7F74}"/>
            </a:ext>
          </a:extLst>
        </xdr:cNvPr>
        <xdr:cNvSpPr/>
      </xdr:nvSpPr>
      <xdr:spPr>
        <a:xfrm>
          <a:off x="32986345" y="2514600"/>
          <a:ext cx="4582795" cy="91630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テスト</a:t>
          </a:r>
        </a:p>
      </xdr:txBody>
    </xdr:sp>
    <xdr:clientData/>
  </xdr:twoCellAnchor>
  <xdr:twoCellAnchor>
    <xdr:from>
      <xdr:col>26</xdr:col>
      <xdr:colOff>9525</xdr:colOff>
      <xdr:row>11</xdr:row>
      <xdr:rowOff>0</xdr:rowOff>
    </xdr:from>
    <xdr:to>
      <xdr:col>28</xdr:col>
      <xdr:colOff>485775</xdr:colOff>
      <xdr:row>13</xdr:row>
      <xdr:rowOff>247650</xdr:rowOff>
    </xdr:to>
    <xdr:sp macro="" textlink="">
      <xdr:nvSpPr>
        <xdr:cNvPr id="9" name="五角形 22">
          <a:extLst>
            <a:ext uri="{FF2B5EF4-FFF2-40B4-BE49-F238E27FC236}">
              <a16:creationId xmlns:a16="http://schemas.microsoft.com/office/drawing/2014/main" id="{C6DE1F8D-B5C4-42CD-96C7-A510E9F7C6FE}"/>
            </a:ext>
            <a:ext uri="{147F2762-F138-4A5C-976F-8EAC2B608ADB}">
              <a16:predDERef xmlns:a16="http://schemas.microsoft.com/office/drawing/2014/main" pred="{C95C4AAE-E55C-4332-B7C5-D1FBAEA0415C}"/>
            </a:ext>
          </a:extLst>
        </xdr:cNvPr>
        <xdr:cNvSpPr/>
      </xdr:nvSpPr>
      <xdr:spPr>
        <a:xfrm>
          <a:off x="38540055" y="2514600"/>
          <a:ext cx="3361690" cy="91059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16</xdr:col>
      <xdr:colOff>1432506</xdr:colOff>
      <xdr:row>16</xdr:row>
      <xdr:rowOff>40640</xdr:rowOff>
    </xdr:from>
    <xdr:to>
      <xdr:col>17</xdr:col>
      <xdr:colOff>1431962</xdr:colOff>
      <xdr:row>16</xdr:row>
      <xdr:rowOff>491490</xdr:rowOff>
    </xdr:to>
    <xdr:sp macro="" textlink="">
      <xdr:nvSpPr>
        <xdr:cNvPr id="10" name="五角形 6">
          <a:extLst>
            <a:ext uri="{FF2B5EF4-FFF2-40B4-BE49-F238E27FC236}">
              <a16:creationId xmlns:a16="http://schemas.microsoft.com/office/drawing/2014/main" id="{D3896C97-251B-485A-81FF-8157EF57A737}"/>
            </a:ext>
            <a:ext uri="{147F2762-F138-4A5C-976F-8EAC2B608ADB}">
              <a16:predDERef xmlns:a16="http://schemas.microsoft.com/office/drawing/2014/main" pred="{20713F6C-3BE1-4DFD-ABF2-FAFEAA474A54}"/>
            </a:ext>
          </a:extLst>
        </xdr:cNvPr>
        <xdr:cNvSpPr/>
      </xdr:nvSpPr>
      <xdr:spPr>
        <a:xfrm>
          <a:off x="25552346" y="4472940"/>
          <a:ext cx="1440906" cy="4508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17</xdr:col>
      <xdr:colOff>1435772</xdr:colOff>
      <xdr:row>16</xdr:row>
      <xdr:rowOff>34290</xdr:rowOff>
    </xdr:from>
    <xdr:to>
      <xdr:col>19</xdr:col>
      <xdr:colOff>207309</xdr:colOff>
      <xdr:row>17</xdr:row>
      <xdr:rowOff>0</xdr:rowOff>
    </xdr:to>
    <xdr:sp macro="" textlink="">
      <xdr:nvSpPr>
        <xdr:cNvPr id="11" name="五角形 7">
          <a:extLst>
            <a:ext uri="{FF2B5EF4-FFF2-40B4-BE49-F238E27FC236}">
              <a16:creationId xmlns:a16="http://schemas.microsoft.com/office/drawing/2014/main" id="{4230572C-2592-4692-913F-113B70FA047A}"/>
            </a:ext>
            <a:ext uri="{147F2762-F138-4A5C-976F-8EAC2B608ADB}">
              <a16:predDERef xmlns:a16="http://schemas.microsoft.com/office/drawing/2014/main" pred="{148C59BC-7928-4D5D-B4A1-5FBA8966A392}"/>
            </a:ext>
          </a:extLst>
        </xdr:cNvPr>
        <xdr:cNvSpPr/>
      </xdr:nvSpPr>
      <xdr:spPr>
        <a:xfrm>
          <a:off x="26997062" y="4466590"/>
          <a:ext cx="1649357" cy="46736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19</xdr:col>
      <xdr:colOff>217652</xdr:colOff>
      <xdr:row>16</xdr:row>
      <xdr:rowOff>41313</xdr:rowOff>
    </xdr:from>
    <xdr:to>
      <xdr:col>20</xdr:col>
      <xdr:colOff>296208</xdr:colOff>
      <xdr:row>17</xdr:row>
      <xdr:rowOff>67311</xdr:rowOff>
    </xdr:to>
    <xdr:sp macro="" textlink="">
      <xdr:nvSpPr>
        <xdr:cNvPr id="12" name="五角形 8">
          <a:extLst>
            <a:ext uri="{FF2B5EF4-FFF2-40B4-BE49-F238E27FC236}">
              <a16:creationId xmlns:a16="http://schemas.microsoft.com/office/drawing/2014/main" id="{A8AE209B-BD9E-41F9-AB98-79115178FBDB}"/>
            </a:ext>
            <a:ext uri="{147F2762-F138-4A5C-976F-8EAC2B608ADB}">
              <a16:predDERef xmlns:a16="http://schemas.microsoft.com/office/drawing/2014/main" pred="{4D44EC08-BB0A-43B0-8CEE-78221D9406E2}"/>
            </a:ext>
          </a:extLst>
        </xdr:cNvPr>
        <xdr:cNvSpPr/>
      </xdr:nvSpPr>
      <xdr:spPr>
        <a:xfrm>
          <a:off x="28660572" y="4473613"/>
          <a:ext cx="1520006" cy="528918"/>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r>
            <a:rPr lang="en-US" altLang="ja-JP" sz="1100" b="1" i="0" u="none" strike="noStrike">
              <a:solidFill>
                <a:srgbClr val="000000"/>
              </a:solidFill>
              <a:latin typeface="Calibri" panose="020F0502020204030204" pitchFamily="34" charset="0"/>
              <a:cs typeface="Calibri" panose="020F0502020204030204" pitchFamily="34" charset="0"/>
            </a:rPr>
            <a:t>zz</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20</xdr:col>
      <xdr:colOff>296116</xdr:colOff>
      <xdr:row>16</xdr:row>
      <xdr:rowOff>41620</xdr:rowOff>
    </xdr:from>
    <xdr:to>
      <xdr:col>21</xdr:col>
      <xdr:colOff>673399</xdr:colOff>
      <xdr:row>16</xdr:row>
      <xdr:rowOff>497840</xdr:rowOff>
    </xdr:to>
    <xdr:sp macro="" textlink="">
      <xdr:nvSpPr>
        <xdr:cNvPr id="13" name="五角形 9">
          <a:extLst>
            <a:ext uri="{FF2B5EF4-FFF2-40B4-BE49-F238E27FC236}">
              <a16:creationId xmlns:a16="http://schemas.microsoft.com/office/drawing/2014/main" id="{103B001B-B98D-4BB6-82E1-75AF4509093A}"/>
            </a:ext>
            <a:ext uri="{147F2762-F138-4A5C-976F-8EAC2B608ADB}">
              <a16:predDERef xmlns:a16="http://schemas.microsoft.com/office/drawing/2014/main" pred="{65A2E0FB-E68B-4B5E-860D-83874575ACD3}"/>
            </a:ext>
          </a:extLst>
        </xdr:cNvPr>
        <xdr:cNvSpPr/>
      </xdr:nvSpPr>
      <xdr:spPr>
        <a:xfrm>
          <a:off x="30180486" y="4473920"/>
          <a:ext cx="1820003" cy="45622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21</xdr:col>
      <xdr:colOff>711500</xdr:colOff>
      <xdr:row>16</xdr:row>
      <xdr:rowOff>32730</xdr:rowOff>
    </xdr:from>
    <xdr:to>
      <xdr:col>23</xdr:col>
      <xdr:colOff>9188</xdr:colOff>
      <xdr:row>16</xdr:row>
      <xdr:rowOff>490220</xdr:rowOff>
    </xdr:to>
    <xdr:sp macro="" textlink="">
      <xdr:nvSpPr>
        <xdr:cNvPr id="14" name="五角形 9">
          <a:extLst>
            <a:ext uri="{FF2B5EF4-FFF2-40B4-BE49-F238E27FC236}">
              <a16:creationId xmlns:a16="http://schemas.microsoft.com/office/drawing/2014/main" id="{86CF2D7C-1795-4CDF-B33F-F30C981462CC}"/>
            </a:ext>
            <a:ext uri="{147F2762-F138-4A5C-976F-8EAC2B608ADB}">
              <a16:predDERef xmlns:a16="http://schemas.microsoft.com/office/drawing/2014/main" pred="{65A2E0FB-E68B-4B5E-860D-83874575ACD3}"/>
            </a:ext>
          </a:extLst>
        </xdr:cNvPr>
        <xdr:cNvSpPr/>
      </xdr:nvSpPr>
      <xdr:spPr>
        <a:xfrm>
          <a:off x="32038590" y="4466300"/>
          <a:ext cx="2176778" cy="45749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22</xdr:col>
      <xdr:colOff>1435135</xdr:colOff>
      <xdr:row>16</xdr:row>
      <xdr:rowOff>926</xdr:rowOff>
    </xdr:from>
    <xdr:to>
      <xdr:col>23</xdr:col>
      <xdr:colOff>813460</xdr:colOff>
      <xdr:row>16</xdr:row>
      <xdr:rowOff>461009</xdr:rowOff>
    </xdr:to>
    <xdr:sp macro="" textlink="">
      <xdr:nvSpPr>
        <xdr:cNvPr id="15" name="五角形 9">
          <a:extLst>
            <a:ext uri="{FF2B5EF4-FFF2-40B4-BE49-F238E27FC236}">
              <a16:creationId xmlns:a16="http://schemas.microsoft.com/office/drawing/2014/main" id="{50397203-AC8E-4BC6-8176-EEEFEE28C307}"/>
            </a:ext>
            <a:ext uri="{147F2762-F138-4A5C-976F-8EAC2B608ADB}">
              <a16:predDERef xmlns:a16="http://schemas.microsoft.com/office/drawing/2014/main" pred="{65A2E0FB-E68B-4B5E-860D-83874575ACD3}"/>
            </a:ext>
          </a:extLst>
        </xdr:cNvPr>
        <xdr:cNvSpPr/>
      </xdr:nvSpPr>
      <xdr:spPr>
        <a:xfrm>
          <a:off x="34203675" y="4433226"/>
          <a:ext cx="814695" cy="46008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23</xdr:col>
      <xdr:colOff>826795</xdr:colOff>
      <xdr:row>16</xdr:row>
      <xdr:rowOff>2566</xdr:rowOff>
    </xdr:from>
    <xdr:to>
      <xdr:col>24</xdr:col>
      <xdr:colOff>560368</xdr:colOff>
      <xdr:row>17</xdr:row>
      <xdr:rowOff>3810</xdr:rowOff>
    </xdr:to>
    <xdr:sp macro="" textlink="">
      <xdr:nvSpPr>
        <xdr:cNvPr id="16" name="五角形 10">
          <a:extLst>
            <a:ext uri="{FF2B5EF4-FFF2-40B4-BE49-F238E27FC236}">
              <a16:creationId xmlns:a16="http://schemas.microsoft.com/office/drawing/2014/main" id="{65906C34-0DF5-4DA1-A67C-41BF94272E6D}"/>
            </a:ext>
            <a:ext uri="{147F2762-F138-4A5C-976F-8EAC2B608ADB}">
              <a16:predDERef xmlns:a16="http://schemas.microsoft.com/office/drawing/2014/main" pred="{87A917E3-4DC5-4705-AE88-A8538D9D121C}"/>
            </a:ext>
          </a:extLst>
        </xdr:cNvPr>
        <xdr:cNvSpPr/>
      </xdr:nvSpPr>
      <xdr:spPr>
        <a:xfrm>
          <a:off x="35035515" y="4434866"/>
          <a:ext cx="1175023" cy="50162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xdr:txBody>
    </xdr:sp>
    <xdr:clientData/>
  </xdr:twoCellAnchor>
  <xdr:twoCellAnchor>
    <xdr:from>
      <xdr:col>24</xdr:col>
      <xdr:colOff>561639</xdr:colOff>
      <xdr:row>16</xdr:row>
      <xdr:rowOff>2566</xdr:rowOff>
    </xdr:from>
    <xdr:to>
      <xdr:col>24</xdr:col>
      <xdr:colOff>1433232</xdr:colOff>
      <xdr:row>17</xdr:row>
      <xdr:rowOff>2540</xdr:rowOff>
    </xdr:to>
    <xdr:sp macro="" textlink="">
      <xdr:nvSpPr>
        <xdr:cNvPr id="17" name="五角形 10">
          <a:extLst>
            <a:ext uri="{FF2B5EF4-FFF2-40B4-BE49-F238E27FC236}">
              <a16:creationId xmlns:a16="http://schemas.microsoft.com/office/drawing/2014/main" id="{B0112C3D-47EF-4020-B601-E83128B0E518}"/>
            </a:ext>
            <a:ext uri="{147F2762-F138-4A5C-976F-8EAC2B608ADB}">
              <a16:predDERef xmlns:a16="http://schemas.microsoft.com/office/drawing/2014/main" pred="{87A917E3-4DC5-4705-AE88-A8538D9D121C}"/>
            </a:ext>
          </a:extLst>
        </xdr:cNvPr>
        <xdr:cNvSpPr/>
      </xdr:nvSpPr>
      <xdr:spPr>
        <a:xfrm>
          <a:off x="36211809" y="4434866"/>
          <a:ext cx="872863" cy="50162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6</xdr:col>
      <xdr:colOff>5080</xdr:colOff>
      <xdr:row>14</xdr:row>
      <xdr:rowOff>30480</xdr:rowOff>
    </xdr:from>
    <xdr:to>
      <xdr:col>7</xdr:col>
      <xdr:colOff>1435100</xdr:colOff>
      <xdr:row>15</xdr:row>
      <xdr:rowOff>0</xdr:rowOff>
    </xdr:to>
    <xdr:sp macro="" textlink="">
      <xdr:nvSpPr>
        <xdr:cNvPr id="18" name="五角形 6">
          <a:extLst>
            <a:ext uri="{FF2B5EF4-FFF2-40B4-BE49-F238E27FC236}">
              <a16:creationId xmlns:a16="http://schemas.microsoft.com/office/drawing/2014/main" id="{43279A70-4142-4A1C-AAC5-176E347FD560}"/>
            </a:ext>
            <a:ext uri="{147F2762-F138-4A5C-976F-8EAC2B608ADB}">
              <a16:predDERef xmlns:a16="http://schemas.microsoft.com/office/drawing/2014/main" pred="{20713F6C-3BE1-4DFD-ABF2-FAFEAA474A54}"/>
            </a:ext>
          </a:extLst>
        </xdr:cNvPr>
        <xdr:cNvSpPr/>
      </xdr:nvSpPr>
      <xdr:spPr>
        <a:xfrm>
          <a:off x="9706610" y="3460750"/>
          <a:ext cx="2875280" cy="46990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10</xdr:col>
      <xdr:colOff>4407</xdr:colOff>
      <xdr:row>14</xdr:row>
      <xdr:rowOff>26968</xdr:rowOff>
    </xdr:from>
    <xdr:to>
      <xdr:col>10</xdr:col>
      <xdr:colOff>1426732</xdr:colOff>
      <xdr:row>14</xdr:row>
      <xdr:rowOff>489397</xdr:rowOff>
    </xdr:to>
    <xdr:sp macro="" textlink="">
      <xdr:nvSpPr>
        <xdr:cNvPr id="19" name="五角形 7">
          <a:extLst>
            <a:ext uri="{FF2B5EF4-FFF2-40B4-BE49-F238E27FC236}">
              <a16:creationId xmlns:a16="http://schemas.microsoft.com/office/drawing/2014/main" id="{523B3814-1794-4BAB-B111-88DFA71C4F1D}"/>
            </a:ext>
            <a:ext uri="{147F2762-F138-4A5C-976F-8EAC2B608ADB}">
              <a16:predDERef xmlns:a16="http://schemas.microsoft.com/office/drawing/2014/main" pred="{148C59BC-7928-4D5D-B4A1-5FBA8966A392}"/>
            </a:ext>
          </a:extLst>
        </xdr:cNvPr>
        <xdr:cNvSpPr/>
      </xdr:nvSpPr>
      <xdr:spPr>
        <a:xfrm>
          <a:off x="15471737" y="3457238"/>
          <a:ext cx="1421055" cy="46242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12</xdr:col>
      <xdr:colOff>2840</xdr:colOff>
      <xdr:row>14</xdr:row>
      <xdr:rowOff>35270</xdr:rowOff>
    </xdr:from>
    <xdr:to>
      <xdr:col>13</xdr:col>
      <xdr:colOff>37653</xdr:colOff>
      <xdr:row>14</xdr:row>
      <xdr:rowOff>459740</xdr:rowOff>
    </xdr:to>
    <xdr:sp macro="" textlink="">
      <xdr:nvSpPr>
        <xdr:cNvPr id="20" name="五角形 9">
          <a:extLst>
            <a:ext uri="{FF2B5EF4-FFF2-40B4-BE49-F238E27FC236}">
              <a16:creationId xmlns:a16="http://schemas.microsoft.com/office/drawing/2014/main" id="{D0573922-534B-471A-9E93-0BDDF07F922E}"/>
            </a:ext>
            <a:ext uri="{147F2762-F138-4A5C-976F-8EAC2B608ADB}">
              <a16:predDERef xmlns:a16="http://schemas.microsoft.com/office/drawing/2014/main" pred="{65A2E0FB-E68B-4B5E-860D-83874575ACD3}"/>
            </a:ext>
          </a:extLst>
        </xdr:cNvPr>
        <xdr:cNvSpPr/>
      </xdr:nvSpPr>
      <xdr:spPr>
        <a:xfrm>
          <a:off x="18354340" y="3464270"/>
          <a:ext cx="1476263" cy="42447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8618</xdr:colOff>
      <xdr:row>14</xdr:row>
      <xdr:rowOff>926</xdr:rowOff>
    </xdr:from>
    <xdr:to>
      <xdr:col>19</xdr:col>
      <xdr:colOff>53340</xdr:colOff>
      <xdr:row>14</xdr:row>
      <xdr:rowOff>461009</xdr:rowOff>
    </xdr:to>
    <xdr:sp macro="" textlink="">
      <xdr:nvSpPr>
        <xdr:cNvPr id="21" name="五角形 9">
          <a:extLst>
            <a:ext uri="{FF2B5EF4-FFF2-40B4-BE49-F238E27FC236}">
              <a16:creationId xmlns:a16="http://schemas.microsoft.com/office/drawing/2014/main" id="{986EA821-E057-4DFB-B894-3C13838ADF1F}"/>
            </a:ext>
            <a:ext uri="{147F2762-F138-4A5C-976F-8EAC2B608ADB}">
              <a16:predDERef xmlns:a16="http://schemas.microsoft.com/office/drawing/2014/main" pred="{65A2E0FB-E68B-4B5E-860D-83874575ACD3}"/>
            </a:ext>
          </a:extLst>
        </xdr:cNvPr>
        <xdr:cNvSpPr/>
      </xdr:nvSpPr>
      <xdr:spPr>
        <a:xfrm>
          <a:off x="25566098" y="3429926"/>
          <a:ext cx="2926352" cy="46008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6350</xdr:colOff>
      <xdr:row>14</xdr:row>
      <xdr:rowOff>41416</xdr:rowOff>
    </xdr:from>
    <xdr:to>
      <xdr:col>19</xdr:col>
      <xdr:colOff>547733</xdr:colOff>
      <xdr:row>15</xdr:row>
      <xdr:rowOff>31</xdr:rowOff>
    </xdr:to>
    <xdr:sp macro="" textlink="">
      <xdr:nvSpPr>
        <xdr:cNvPr id="22" name="五角形 9">
          <a:extLst>
            <a:ext uri="{FF2B5EF4-FFF2-40B4-BE49-F238E27FC236}">
              <a16:creationId xmlns:a16="http://schemas.microsoft.com/office/drawing/2014/main" id="{407C214A-7CA7-45D5-972C-7BCA10081D7E}"/>
            </a:ext>
            <a:ext uri="{147F2762-F138-4A5C-976F-8EAC2B608ADB}">
              <a16:predDERef xmlns:a16="http://schemas.microsoft.com/office/drawing/2014/main" pred="{65A2E0FB-E68B-4B5E-860D-83874575ACD3}"/>
            </a:ext>
          </a:extLst>
        </xdr:cNvPr>
        <xdr:cNvSpPr/>
      </xdr:nvSpPr>
      <xdr:spPr>
        <a:xfrm>
          <a:off x="28446730" y="3470416"/>
          <a:ext cx="540113" cy="46026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566000</xdr:colOff>
      <xdr:row>14</xdr:row>
      <xdr:rowOff>34317</xdr:rowOff>
    </xdr:from>
    <xdr:to>
      <xdr:col>19</xdr:col>
      <xdr:colOff>1002318</xdr:colOff>
      <xdr:row>15</xdr:row>
      <xdr:rowOff>6533</xdr:rowOff>
    </xdr:to>
    <xdr:sp macro="" textlink="">
      <xdr:nvSpPr>
        <xdr:cNvPr id="23" name="五角形 10">
          <a:extLst>
            <a:ext uri="{FF2B5EF4-FFF2-40B4-BE49-F238E27FC236}">
              <a16:creationId xmlns:a16="http://schemas.microsoft.com/office/drawing/2014/main" id="{A30E1A38-5213-4224-95F5-77D4583607E4}"/>
            </a:ext>
            <a:ext uri="{147F2762-F138-4A5C-976F-8EAC2B608ADB}">
              <a16:predDERef xmlns:a16="http://schemas.microsoft.com/office/drawing/2014/main" pred="{87A917E3-4DC5-4705-AE88-A8538D9D121C}"/>
            </a:ext>
          </a:extLst>
        </xdr:cNvPr>
        <xdr:cNvSpPr/>
      </xdr:nvSpPr>
      <xdr:spPr>
        <a:xfrm>
          <a:off x="29008920" y="3463317"/>
          <a:ext cx="432508" cy="472596"/>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xdr:txBody>
    </xdr:sp>
    <xdr:clientData/>
  </xdr:twoCellAnchor>
  <xdr:twoCellAnchor>
    <xdr:from>
      <xdr:col>19</xdr:col>
      <xdr:colOff>1010909</xdr:colOff>
      <xdr:row>14</xdr:row>
      <xdr:rowOff>34316</xdr:rowOff>
    </xdr:from>
    <xdr:to>
      <xdr:col>20</xdr:col>
      <xdr:colOff>53406</xdr:colOff>
      <xdr:row>15</xdr:row>
      <xdr:rowOff>13063</xdr:rowOff>
    </xdr:to>
    <xdr:sp macro="" textlink="">
      <xdr:nvSpPr>
        <xdr:cNvPr id="24" name="五角形 10">
          <a:extLst>
            <a:ext uri="{FF2B5EF4-FFF2-40B4-BE49-F238E27FC236}">
              <a16:creationId xmlns:a16="http://schemas.microsoft.com/office/drawing/2014/main" id="{C3D050F8-9AB1-4D25-899A-480ED8A7B4EE}"/>
            </a:ext>
            <a:ext uri="{147F2762-F138-4A5C-976F-8EAC2B608ADB}">
              <a16:predDERef xmlns:a16="http://schemas.microsoft.com/office/drawing/2014/main" pred="{87A917E3-4DC5-4705-AE88-A8538D9D121C}"/>
            </a:ext>
          </a:extLst>
        </xdr:cNvPr>
        <xdr:cNvSpPr/>
      </xdr:nvSpPr>
      <xdr:spPr>
        <a:xfrm>
          <a:off x="29455099" y="3463316"/>
          <a:ext cx="478867" cy="477857"/>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xdr:from>
      <xdr:col>10</xdr:col>
      <xdr:colOff>1441301</xdr:colOff>
      <xdr:row>14</xdr:row>
      <xdr:rowOff>3212</xdr:rowOff>
    </xdr:from>
    <xdr:to>
      <xdr:col>11</xdr:col>
      <xdr:colOff>1423670</xdr:colOff>
      <xdr:row>14</xdr:row>
      <xdr:rowOff>491613</xdr:rowOff>
    </xdr:to>
    <xdr:sp macro="" textlink="">
      <xdr:nvSpPr>
        <xdr:cNvPr id="25" name="五角形 8">
          <a:extLst>
            <a:ext uri="{FF2B5EF4-FFF2-40B4-BE49-F238E27FC236}">
              <a16:creationId xmlns:a16="http://schemas.microsoft.com/office/drawing/2014/main" id="{AA6075E0-F771-43AD-A229-E19B03A982FD}"/>
            </a:ext>
            <a:ext uri="{147F2762-F138-4A5C-976F-8EAC2B608ADB}">
              <a16:predDERef xmlns:a16="http://schemas.microsoft.com/office/drawing/2014/main" pred="{4D44EC08-BB0A-43B0-8CEE-78221D9406E2}"/>
            </a:ext>
          </a:extLst>
        </xdr:cNvPr>
        <xdr:cNvSpPr/>
      </xdr:nvSpPr>
      <xdr:spPr>
        <a:xfrm>
          <a:off x="16911171" y="3432212"/>
          <a:ext cx="1420009" cy="488401"/>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10</xdr:col>
      <xdr:colOff>487515</xdr:colOff>
      <xdr:row>11</xdr:row>
      <xdr:rowOff>33130</xdr:rowOff>
    </xdr:from>
    <xdr:to>
      <xdr:col>11</xdr:col>
      <xdr:colOff>663769</xdr:colOff>
      <xdr:row>13</xdr:row>
      <xdr:rowOff>105520</xdr:rowOff>
    </xdr:to>
    <xdr:sp macro="" textlink="">
      <xdr:nvSpPr>
        <xdr:cNvPr id="26" name="吹き出し: 角を丸めた四角形 25">
          <a:extLst>
            <a:ext uri="{FF2B5EF4-FFF2-40B4-BE49-F238E27FC236}">
              <a16:creationId xmlns:a16="http://schemas.microsoft.com/office/drawing/2014/main" id="{5819BFF2-7282-42A8-A8C9-10D7E1EB6D02}"/>
            </a:ext>
          </a:extLst>
        </xdr:cNvPr>
        <xdr:cNvSpPr/>
      </xdr:nvSpPr>
      <xdr:spPr>
        <a:xfrm>
          <a:off x="15957385" y="2549000"/>
          <a:ext cx="1613894" cy="758190"/>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lt1"/>
              </a:solidFill>
              <a:effectLst/>
              <a:latin typeface="+mn-lt"/>
              <a:ea typeface="+mn-ea"/>
              <a:cs typeface="+mn-cs"/>
            </a:rPr>
            <a:t>IF</a:t>
          </a:r>
          <a:r>
            <a:rPr kumimoji="1" lang="ja-JP" altLang="ja-JP" sz="1100">
              <a:solidFill>
                <a:schemeClr val="lt1"/>
              </a:solidFill>
              <a:effectLst/>
              <a:latin typeface="+mn-lt"/>
              <a:ea typeface="+mn-ea"/>
              <a:cs typeface="+mn-cs"/>
            </a:rPr>
            <a:t>できるように</a:t>
          </a:r>
          <a:r>
            <a:rPr kumimoji="1" lang="ja-JP" altLang="en-US" sz="1100"/>
            <a:t>徳山側優先</a:t>
          </a:r>
        </a:p>
      </xdr:txBody>
    </xdr:sp>
    <xdr:clientData/>
  </xdr:twoCellAnchor>
  <xdr:twoCellAnchor>
    <xdr:from>
      <xdr:col>5</xdr:col>
      <xdr:colOff>1358016</xdr:colOff>
      <xdr:row>10</xdr:row>
      <xdr:rowOff>215348</xdr:rowOff>
    </xdr:from>
    <xdr:to>
      <xdr:col>7</xdr:col>
      <xdr:colOff>95912</xdr:colOff>
      <xdr:row>13</xdr:row>
      <xdr:rowOff>61347</xdr:rowOff>
    </xdr:to>
    <xdr:sp macro="" textlink="">
      <xdr:nvSpPr>
        <xdr:cNvPr id="27" name="吹き出し: 角を丸めた四角形 26">
          <a:extLst>
            <a:ext uri="{FF2B5EF4-FFF2-40B4-BE49-F238E27FC236}">
              <a16:creationId xmlns:a16="http://schemas.microsoft.com/office/drawing/2014/main" id="{6A6C70EA-ACF4-4D34-B451-56F343C34FBB}"/>
            </a:ext>
          </a:extLst>
        </xdr:cNvPr>
        <xdr:cNvSpPr/>
      </xdr:nvSpPr>
      <xdr:spPr>
        <a:xfrm>
          <a:off x="9621906" y="2503888"/>
          <a:ext cx="1620796" cy="760399"/>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陸上出荷側の</a:t>
          </a:r>
          <a:r>
            <a:rPr kumimoji="1" lang="en-US" altLang="ja-JP" sz="1100"/>
            <a:t>IF</a:t>
          </a:r>
          <a:r>
            <a:rPr kumimoji="1" lang="ja-JP" altLang="en-US" sz="1100"/>
            <a:t>要件を固めるため先行</a:t>
          </a:r>
        </a:p>
      </xdr:txBody>
    </xdr:sp>
    <xdr:clientData/>
  </xdr:twoCellAnchor>
  <xdr:twoCellAnchor>
    <xdr:from>
      <xdr:col>10</xdr:col>
      <xdr:colOff>836706</xdr:colOff>
      <xdr:row>6</xdr:row>
      <xdr:rowOff>31153</xdr:rowOff>
    </xdr:from>
    <xdr:to>
      <xdr:col>11</xdr:col>
      <xdr:colOff>1421802</xdr:colOff>
      <xdr:row>8</xdr:row>
      <xdr:rowOff>221727</xdr:rowOff>
    </xdr:to>
    <xdr:sp macro="" textlink="">
      <xdr:nvSpPr>
        <xdr:cNvPr id="28" name="五角形 10">
          <a:extLst>
            <a:ext uri="{FF2B5EF4-FFF2-40B4-BE49-F238E27FC236}">
              <a16:creationId xmlns:a16="http://schemas.microsoft.com/office/drawing/2014/main" id="{E4F1B497-06BD-44EF-B5CA-7A4665497ABD}"/>
            </a:ext>
            <a:ext uri="{147F2762-F138-4A5C-976F-8EAC2B608ADB}">
              <a16:predDERef xmlns:a16="http://schemas.microsoft.com/office/drawing/2014/main" pred="{87A917E3-4DC5-4705-AE88-A8538D9D121C}"/>
            </a:ext>
          </a:extLst>
        </xdr:cNvPr>
        <xdr:cNvSpPr/>
      </xdr:nvSpPr>
      <xdr:spPr>
        <a:xfrm>
          <a:off x="16305306" y="1404023"/>
          <a:ext cx="2024006" cy="64777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本番移行・初期流動</a:t>
          </a:r>
        </a:p>
      </xdr:txBody>
    </xdr:sp>
    <xdr:clientData/>
  </xdr:twoCellAnchor>
  <xdr:twoCellAnchor>
    <xdr:from>
      <xdr:col>6</xdr:col>
      <xdr:colOff>23944</xdr:colOff>
      <xdr:row>8</xdr:row>
      <xdr:rowOff>227637</xdr:rowOff>
    </xdr:from>
    <xdr:to>
      <xdr:col>8</xdr:col>
      <xdr:colOff>14941</xdr:colOff>
      <xdr:row>10</xdr:row>
      <xdr:rowOff>223221</xdr:rowOff>
    </xdr:to>
    <xdr:sp macro="" textlink="">
      <xdr:nvSpPr>
        <xdr:cNvPr id="29" name="五角形 9">
          <a:extLst>
            <a:ext uri="{FF2B5EF4-FFF2-40B4-BE49-F238E27FC236}">
              <a16:creationId xmlns:a16="http://schemas.microsoft.com/office/drawing/2014/main" id="{55AF0D72-8869-47E1-AC9B-82653EF9DE11}"/>
            </a:ext>
            <a:ext uri="{147F2762-F138-4A5C-976F-8EAC2B608ADB}">
              <a16:predDERef xmlns:a16="http://schemas.microsoft.com/office/drawing/2014/main" pred="{65A2E0FB-E68B-4B5E-860D-83874575ACD3}"/>
            </a:ext>
          </a:extLst>
        </xdr:cNvPr>
        <xdr:cNvSpPr/>
      </xdr:nvSpPr>
      <xdr:spPr>
        <a:xfrm>
          <a:off x="9729284" y="2056437"/>
          <a:ext cx="2868817" cy="454054"/>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8</xdr:col>
      <xdr:colOff>14456</xdr:colOff>
      <xdr:row>8</xdr:row>
      <xdr:rowOff>226367</xdr:rowOff>
    </xdr:from>
    <xdr:to>
      <xdr:col>9</xdr:col>
      <xdr:colOff>12550</xdr:colOff>
      <xdr:row>10</xdr:row>
      <xdr:rowOff>224491</xdr:rowOff>
    </xdr:to>
    <xdr:sp macro="" textlink="">
      <xdr:nvSpPr>
        <xdr:cNvPr id="30" name="五角形 9">
          <a:extLst>
            <a:ext uri="{FF2B5EF4-FFF2-40B4-BE49-F238E27FC236}">
              <a16:creationId xmlns:a16="http://schemas.microsoft.com/office/drawing/2014/main" id="{2A2EE771-0033-49F1-BEF2-36487B7B663D}"/>
            </a:ext>
            <a:ext uri="{147F2762-F138-4A5C-976F-8EAC2B608ADB}">
              <a16:predDERef xmlns:a16="http://schemas.microsoft.com/office/drawing/2014/main" pred="{65A2E0FB-E68B-4B5E-860D-83874575ACD3}"/>
            </a:ext>
          </a:extLst>
        </xdr:cNvPr>
        <xdr:cNvSpPr/>
      </xdr:nvSpPr>
      <xdr:spPr>
        <a:xfrm>
          <a:off x="12597616" y="2055167"/>
          <a:ext cx="1439544" cy="456594"/>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8</xdr:col>
      <xdr:colOff>1440067</xdr:colOff>
      <xdr:row>9</xdr:row>
      <xdr:rowOff>925</xdr:rowOff>
    </xdr:from>
    <xdr:to>
      <xdr:col>9</xdr:col>
      <xdr:colOff>814218</xdr:colOff>
      <xdr:row>11</xdr:row>
      <xdr:rowOff>1641</xdr:rowOff>
    </xdr:to>
    <xdr:sp macro="" textlink="">
      <xdr:nvSpPr>
        <xdr:cNvPr id="31" name="五角形 9">
          <a:extLst>
            <a:ext uri="{FF2B5EF4-FFF2-40B4-BE49-F238E27FC236}">
              <a16:creationId xmlns:a16="http://schemas.microsoft.com/office/drawing/2014/main" id="{03783B36-B1BC-413D-95A5-627927CDAC2E}"/>
            </a:ext>
            <a:ext uri="{147F2762-F138-4A5C-976F-8EAC2B608ADB}">
              <a16:predDERef xmlns:a16="http://schemas.microsoft.com/office/drawing/2014/main" pred="{65A2E0FB-E68B-4B5E-860D-83874575ACD3}"/>
            </a:ext>
          </a:extLst>
        </xdr:cNvPr>
        <xdr:cNvSpPr/>
      </xdr:nvSpPr>
      <xdr:spPr>
        <a:xfrm>
          <a:off x="14027037" y="2058325"/>
          <a:ext cx="811791" cy="457916"/>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6</xdr:col>
      <xdr:colOff>3662</xdr:colOff>
      <xdr:row>6</xdr:row>
      <xdr:rowOff>9861</xdr:rowOff>
    </xdr:from>
    <xdr:to>
      <xdr:col>8</xdr:col>
      <xdr:colOff>754531</xdr:colOff>
      <xdr:row>8</xdr:row>
      <xdr:rowOff>200436</xdr:rowOff>
    </xdr:to>
    <xdr:sp macro="" textlink="">
      <xdr:nvSpPr>
        <xdr:cNvPr id="32" name="五角形 9">
          <a:extLst>
            <a:ext uri="{FF2B5EF4-FFF2-40B4-BE49-F238E27FC236}">
              <a16:creationId xmlns:a16="http://schemas.microsoft.com/office/drawing/2014/main" id="{6EA0350E-D4A3-49FB-9A22-E62693FECDC4}"/>
            </a:ext>
            <a:ext uri="{147F2762-F138-4A5C-976F-8EAC2B608ADB}">
              <a16:predDERef xmlns:a16="http://schemas.microsoft.com/office/drawing/2014/main" pred="{65A2E0FB-E68B-4B5E-860D-83874575ACD3}"/>
            </a:ext>
          </a:extLst>
        </xdr:cNvPr>
        <xdr:cNvSpPr/>
      </xdr:nvSpPr>
      <xdr:spPr>
        <a:xfrm>
          <a:off x="9706462" y="1380191"/>
          <a:ext cx="3635039" cy="647775"/>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8</xdr:col>
      <xdr:colOff>758976</xdr:colOff>
      <xdr:row>5</xdr:row>
      <xdr:rowOff>226366</xdr:rowOff>
    </xdr:from>
    <xdr:to>
      <xdr:col>9</xdr:col>
      <xdr:colOff>758340</xdr:colOff>
      <xdr:row>9</xdr:row>
      <xdr:rowOff>7470</xdr:rowOff>
    </xdr:to>
    <xdr:sp macro="" textlink="">
      <xdr:nvSpPr>
        <xdr:cNvPr id="33" name="五角形 9">
          <a:extLst>
            <a:ext uri="{FF2B5EF4-FFF2-40B4-BE49-F238E27FC236}">
              <a16:creationId xmlns:a16="http://schemas.microsoft.com/office/drawing/2014/main" id="{6C071D62-D712-4A76-97CE-21378629A571}"/>
            </a:ext>
            <a:ext uri="{147F2762-F138-4A5C-976F-8EAC2B608ADB}">
              <a16:predDERef xmlns:a16="http://schemas.microsoft.com/office/drawing/2014/main" pred="{65A2E0FB-E68B-4B5E-860D-83874575ACD3}"/>
            </a:ext>
          </a:extLst>
        </xdr:cNvPr>
        <xdr:cNvSpPr/>
      </xdr:nvSpPr>
      <xdr:spPr>
        <a:xfrm>
          <a:off x="13344676" y="1369366"/>
          <a:ext cx="1440814" cy="694234"/>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9</xdr:col>
      <xdr:colOff>791397</xdr:colOff>
      <xdr:row>5</xdr:row>
      <xdr:rowOff>225042</xdr:rowOff>
    </xdr:from>
    <xdr:to>
      <xdr:col>10</xdr:col>
      <xdr:colOff>814294</xdr:colOff>
      <xdr:row>9</xdr:row>
      <xdr:rowOff>4930</xdr:rowOff>
    </xdr:to>
    <xdr:sp macro="" textlink="">
      <xdr:nvSpPr>
        <xdr:cNvPr id="34" name="五角形 9">
          <a:extLst>
            <a:ext uri="{FF2B5EF4-FFF2-40B4-BE49-F238E27FC236}">
              <a16:creationId xmlns:a16="http://schemas.microsoft.com/office/drawing/2014/main" id="{55B6E14B-EAD3-452C-A16D-CD3E7C708F7A}"/>
            </a:ext>
            <a:ext uri="{147F2762-F138-4A5C-976F-8EAC2B608ADB}">
              <a16:predDERef xmlns:a16="http://schemas.microsoft.com/office/drawing/2014/main" pred="{65A2E0FB-E68B-4B5E-860D-83874575ACD3}"/>
            </a:ext>
          </a:extLst>
        </xdr:cNvPr>
        <xdr:cNvSpPr/>
      </xdr:nvSpPr>
      <xdr:spPr>
        <a:xfrm>
          <a:off x="14819817" y="1368042"/>
          <a:ext cx="1460537" cy="693018"/>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9</xdr:col>
      <xdr:colOff>829235</xdr:colOff>
      <xdr:row>8</xdr:row>
      <xdr:rowOff>225387</xdr:rowOff>
    </xdr:from>
    <xdr:to>
      <xdr:col>10</xdr:col>
      <xdr:colOff>1432934</xdr:colOff>
      <xdr:row>10</xdr:row>
      <xdr:rowOff>199166</xdr:rowOff>
    </xdr:to>
    <xdr:sp macro="" textlink="">
      <xdr:nvSpPr>
        <xdr:cNvPr id="35" name="五角形 10">
          <a:extLst>
            <a:ext uri="{FF2B5EF4-FFF2-40B4-BE49-F238E27FC236}">
              <a16:creationId xmlns:a16="http://schemas.microsoft.com/office/drawing/2014/main" id="{E66FC387-CED8-403D-AAF6-A71D95CBD691}"/>
            </a:ext>
            <a:ext uri="{147F2762-F138-4A5C-976F-8EAC2B608ADB}">
              <a16:predDERef xmlns:a16="http://schemas.microsoft.com/office/drawing/2014/main" pred="{87A917E3-4DC5-4705-AE88-A8538D9D121C}"/>
            </a:ext>
          </a:extLst>
        </xdr:cNvPr>
        <xdr:cNvSpPr/>
      </xdr:nvSpPr>
      <xdr:spPr>
        <a:xfrm>
          <a:off x="14857655" y="2054187"/>
          <a:ext cx="2046419" cy="42970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本番移行・初期流動</a:t>
          </a:r>
        </a:p>
      </xdr:txBody>
    </xdr:sp>
    <xdr:clientData/>
  </xdr:twoCellAnchor>
  <xdr:twoCellAnchor>
    <xdr:from>
      <xdr:col>13</xdr:col>
      <xdr:colOff>14743</xdr:colOff>
      <xdr:row>15</xdr:row>
      <xdr:rowOff>33020</xdr:rowOff>
    </xdr:from>
    <xdr:to>
      <xdr:col>14</xdr:col>
      <xdr:colOff>14744</xdr:colOff>
      <xdr:row>16</xdr:row>
      <xdr:rowOff>0</xdr:rowOff>
    </xdr:to>
    <xdr:sp macro="" textlink="">
      <xdr:nvSpPr>
        <xdr:cNvPr id="36" name="五角形 6">
          <a:extLst>
            <a:ext uri="{FF2B5EF4-FFF2-40B4-BE49-F238E27FC236}">
              <a16:creationId xmlns:a16="http://schemas.microsoft.com/office/drawing/2014/main" id="{3C0A8B8B-979E-45AC-8F36-20CD8B178AFD}"/>
            </a:ext>
            <a:ext uri="{147F2762-F138-4A5C-976F-8EAC2B608ADB}">
              <a16:predDERef xmlns:a16="http://schemas.microsoft.com/office/drawing/2014/main" pred="{20713F6C-3BE1-4DFD-ABF2-FAFEAA474A54}"/>
            </a:ext>
          </a:extLst>
        </xdr:cNvPr>
        <xdr:cNvSpPr/>
      </xdr:nvSpPr>
      <xdr:spPr>
        <a:xfrm>
          <a:off x="19805153" y="3964940"/>
          <a:ext cx="1441451" cy="46736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定義</a:t>
          </a:r>
        </a:p>
      </xdr:txBody>
    </xdr:sp>
    <xdr:clientData/>
  </xdr:twoCellAnchor>
  <xdr:twoCellAnchor>
    <xdr:from>
      <xdr:col>14</xdr:col>
      <xdr:colOff>14744</xdr:colOff>
      <xdr:row>15</xdr:row>
      <xdr:rowOff>34290</xdr:rowOff>
    </xdr:from>
    <xdr:to>
      <xdr:col>15</xdr:col>
      <xdr:colOff>35244</xdr:colOff>
      <xdr:row>16</xdr:row>
      <xdr:rowOff>0</xdr:rowOff>
    </xdr:to>
    <xdr:sp macro="" textlink="">
      <xdr:nvSpPr>
        <xdr:cNvPr id="37" name="五角形 7">
          <a:extLst>
            <a:ext uri="{FF2B5EF4-FFF2-40B4-BE49-F238E27FC236}">
              <a16:creationId xmlns:a16="http://schemas.microsoft.com/office/drawing/2014/main" id="{7714FF2C-DBD3-4B87-A9E3-EFD1B70F07BB}"/>
            </a:ext>
            <a:ext uri="{147F2762-F138-4A5C-976F-8EAC2B608ADB}">
              <a16:predDERef xmlns:a16="http://schemas.microsoft.com/office/drawing/2014/main" pred="{148C59BC-7928-4D5D-B4A1-5FBA8966A392}"/>
            </a:ext>
          </a:extLst>
        </xdr:cNvPr>
        <xdr:cNvSpPr/>
      </xdr:nvSpPr>
      <xdr:spPr>
        <a:xfrm>
          <a:off x="21246604" y="3964940"/>
          <a:ext cx="1464490" cy="46736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15</xdr:col>
      <xdr:colOff>6091</xdr:colOff>
      <xdr:row>15</xdr:row>
      <xdr:rowOff>13317</xdr:rowOff>
    </xdr:from>
    <xdr:to>
      <xdr:col>15</xdr:col>
      <xdr:colOff>1402908</xdr:colOff>
      <xdr:row>15</xdr:row>
      <xdr:rowOff>488576</xdr:rowOff>
    </xdr:to>
    <xdr:sp macro="" textlink="">
      <xdr:nvSpPr>
        <xdr:cNvPr id="38" name="五角形 8">
          <a:extLst>
            <a:ext uri="{FF2B5EF4-FFF2-40B4-BE49-F238E27FC236}">
              <a16:creationId xmlns:a16="http://schemas.microsoft.com/office/drawing/2014/main" id="{55B25F5C-D3E4-4194-B897-D1D66200C470}"/>
            </a:ext>
            <a:ext uri="{147F2762-F138-4A5C-976F-8EAC2B608ADB}">
              <a16:predDERef xmlns:a16="http://schemas.microsoft.com/office/drawing/2014/main" pred="{4D44EC08-BB0A-43B0-8CEE-78221D9406E2}"/>
            </a:ext>
          </a:extLst>
        </xdr:cNvPr>
        <xdr:cNvSpPr/>
      </xdr:nvSpPr>
      <xdr:spPr>
        <a:xfrm>
          <a:off x="22680671" y="3941427"/>
          <a:ext cx="1399357" cy="479069"/>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10069</xdr:colOff>
      <xdr:row>15</xdr:row>
      <xdr:rowOff>3520</xdr:rowOff>
    </xdr:from>
    <xdr:to>
      <xdr:col>17</xdr:col>
      <xdr:colOff>14151</xdr:colOff>
      <xdr:row>15</xdr:row>
      <xdr:rowOff>459740</xdr:rowOff>
    </xdr:to>
    <xdr:sp macro="" textlink="">
      <xdr:nvSpPr>
        <xdr:cNvPr id="39" name="五角形 9">
          <a:extLst>
            <a:ext uri="{FF2B5EF4-FFF2-40B4-BE49-F238E27FC236}">
              <a16:creationId xmlns:a16="http://schemas.microsoft.com/office/drawing/2014/main" id="{F10E4402-2D1F-4F45-815A-1F9875CDF7A9}"/>
            </a:ext>
            <a:ext uri="{147F2762-F138-4A5C-976F-8EAC2B608ADB}">
              <a16:predDERef xmlns:a16="http://schemas.microsoft.com/office/drawing/2014/main" pred="{65A2E0FB-E68B-4B5E-860D-83874575ACD3}"/>
            </a:ext>
          </a:extLst>
        </xdr:cNvPr>
        <xdr:cNvSpPr/>
      </xdr:nvSpPr>
      <xdr:spPr>
        <a:xfrm>
          <a:off x="24126099" y="3934170"/>
          <a:ext cx="1444262" cy="45622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16</xdr:col>
      <xdr:colOff>1437730</xdr:colOff>
      <xdr:row>15</xdr:row>
      <xdr:rowOff>2250</xdr:rowOff>
    </xdr:from>
    <xdr:to>
      <xdr:col>18</xdr:col>
      <xdr:colOff>1433820</xdr:colOff>
      <xdr:row>15</xdr:row>
      <xdr:rowOff>459740</xdr:rowOff>
    </xdr:to>
    <xdr:sp macro="" textlink="">
      <xdr:nvSpPr>
        <xdr:cNvPr id="40" name="五角形 9">
          <a:extLst>
            <a:ext uri="{FF2B5EF4-FFF2-40B4-BE49-F238E27FC236}">
              <a16:creationId xmlns:a16="http://schemas.microsoft.com/office/drawing/2014/main" id="{AA3D0503-51F3-491F-B8C1-76DEC1B6E9DC}"/>
            </a:ext>
            <a:ext uri="{147F2762-F138-4A5C-976F-8EAC2B608ADB}">
              <a16:predDERef xmlns:a16="http://schemas.microsoft.com/office/drawing/2014/main" pred="{65A2E0FB-E68B-4B5E-860D-83874575ACD3}"/>
            </a:ext>
          </a:extLst>
        </xdr:cNvPr>
        <xdr:cNvSpPr/>
      </xdr:nvSpPr>
      <xdr:spPr>
        <a:xfrm>
          <a:off x="25556300" y="3932900"/>
          <a:ext cx="2880260" cy="45749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8926</xdr:colOff>
      <xdr:row>15</xdr:row>
      <xdr:rowOff>11969</xdr:rowOff>
    </xdr:from>
    <xdr:to>
      <xdr:col>19</xdr:col>
      <xdr:colOff>818914</xdr:colOff>
      <xdr:row>15</xdr:row>
      <xdr:rowOff>472052</xdr:rowOff>
    </xdr:to>
    <xdr:sp macro="" textlink="">
      <xdr:nvSpPr>
        <xdr:cNvPr id="41" name="五角形 9">
          <a:extLst>
            <a:ext uri="{FF2B5EF4-FFF2-40B4-BE49-F238E27FC236}">
              <a16:creationId xmlns:a16="http://schemas.microsoft.com/office/drawing/2014/main" id="{2B94AE02-A8FE-4D50-BF5C-A7CED22AF2F5}"/>
            </a:ext>
            <a:ext uri="{147F2762-F138-4A5C-976F-8EAC2B608ADB}">
              <a16:predDERef xmlns:a16="http://schemas.microsoft.com/office/drawing/2014/main" pred="{65A2E0FB-E68B-4B5E-860D-83874575ACD3}"/>
            </a:ext>
          </a:extLst>
        </xdr:cNvPr>
        <xdr:cNvSpPr/>
      </xdr:nvSpPr>
      <xdr:spPr>
        <a:xfrm>
          <a:off x="28449306" y="3940079"/>
          <a:ext cx="808718" cy="460083"/>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19</xdr:col>
      <xdr:colOff>852623</xdr:colOff>
      <xdr:row>15</xdr:row>
      <xdr:rowOff>2566</xdr:rowOff>
    </xdr:from>
    <xdr:to>
      <xdr:col>20</xdr:col>
      <xdr:colOff>585289</xdr:colOff>
      <xdr:row>16</xdr:row>
      <xdr:rowOff>2540</xdr:rowOff>
    </xdr:to>
    <xdr:sp macro="" textlink="">
      <xdr:nvSpPr>
        <xdr:cNvPr id="42" name="五角形 10">
          <a:extLst>
            <a:ext uri="{FF2B5EF4-FFF2-40B4-BE49-F238E27FC236}">
              <a16:creationId xmlns:a16="http://schemas.microsoft.com/office/drawing/2014/main" id="{837BD85B-8A70-4BB7-A5F5-C734695AD6F4}"/>
            </a:ext>
            <a:ext uri="{147F2762-F138-4A5C-976F-8EAC2B608ADB}">
              <a16:predDERef xmlns:a16="http://schemas.microsoft.com/office/drawing/2014/main" pred="{87A917E3-4DC5-4705-AE88-A8538D9D121C}"/>
            </a:ext>
          </a:extLst>
        </xdr:cNvPr>
        <xdr:cNvSpPr/>
      </xdr:nvSpPr>
      <xdr:spPr>
        <a:xfrm>
          <a:off x="29291733" y="3933216"/>
          <a:ext cx="1174116" cy="50162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xdr:txBody>
    </xdr:sp>
    <xdr:clientData/>
  </xdr:twoCellAnchor>
  <xdr:twoCellAnchor>
    <xdr:from>
      <xdr:col>20</xdr:col>
      <xdr:colOff>589100</xdr:colOff>
      <xdr:row>15</xdr:row>
      <xdr:rowOff>2566</xdr:rowOff>
    </xdr:from>
    <xdr:to>
      <xdr:col>21</xdr:col>
      <xdr:colOff>22317</xdr:colOff>
      <xdr:row>16</xdr:row>
      <xdr:rowOff>2540</xdr:rowOff>
    </xdr:to>
    <xdr:sp macro="" textlink="">
      <xdr:nvSpPr>
        <xdr:cNvPr id="43" name="五角形 10">
          <a:extLst>
            <a:ext uri="{FF2B5EF4-FFF2-40B4-BE49-F238E27FC236}">
              <a16:creationId xmlns:a16="http://schemas.microsoft.com/office/drawing/2014/main" id="{E111D20B-0FBC-4A63-A6E0-E0E3B348E5F9}"/>
            </a:ext>
            <a:ext uri="{147F2762-F138-4A5C-976F-8EAC2B608ADB}">
              <a16:predDERef xmlns:a16="http://schemas.microsoft.com/office/drawing/2014/main" pred="{87A917E3-4DC5-4705-AE88-A8538D9D121C}"/>
            </a:ext>
          </a:extLst>
        </xdr:cNvPr>
        <xdr:cNvSpPr/>
      </xdr:nvSpPr>
      <xdr:spPr>
        <a:xfrm>
          <a:off x="30469660" y="3933216"/>
          <a:ext cx="879747" cy="50162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twoCellAnchor editAs="oneCell">
    <xdr:from>
      <xdr:col>0</xdr:col>
      <xdr:colOff>387350</xdr:colOff>
      <xdr:row>164</xdr:row>
      <xdr:rowOff>222250</xdr:rowOff>
    </xdr:from>
    <xdr:to>
      <xdr:col>15</xdr:col>
      <xdr:colOff>1260073</xdr:colOff>
      <xdr:row>178</xdr:row>
      <xdr:rowOff>187555</xdr:rowOff>
    </xdr:to>
    <xdr:pic>
      <xdr:nvPicPr>
        <xdr:cNvPr id="44" name="図 43">
          <a:extLst>
            <a:ext uri="{FF2B5EF4-FFF2-40B4-BE49-F238E27FC236}">
              <a16:creationId xmlns:a16="http://schemas.microsoft.com/office/drawing/2014/main" id="{2435C99E-86E2-4F69-9F5D-1FCFBB964319}"/>
            </a:ext>
          </a:extLst>
        </xdr:cNvPr>
        <xdr:cNvPicPr>
          <a:picLocks noChangeAspect="1"/>
        </xdr:cNvPicPr>
      </xdr:nvPicPr>
      <xdr:blipFill>
        <a:blip xmlns:r="http://schemas.openxmlformats.org/officeDocument/2006/relationships" r:embed="rId1"/>
        <a:stretch>
          <a:fillRect/>
        </a:stretch>
      </xdr:blipFill>
      <xdr:spPr>
        <a:xfrm>
          <a:off x="386080" y="13825220"/>
          <a:ext cx="23549843" cy="3253335"/>
        </a:xfrm>
        <a:prstGeom prst="rect">
          <a:avLst/>
        </a:prstGeom>
      </xdr:spPr>
    </xdr:pic>
    <xdr:clientData/>
  </xdr:twoCellAnchor>
  <xdr:twoCellAnchor editAs="oneCell">
    <xdr:from>
      <xdr:col>0</xdr:col>
      <xdr:colOff>0</xdr:colOff>
      <xdr:row>221</xdr:row>
      <xdr:rowOff>0</xdr:rowOff>
    </xdr:from>
    <xdr:to>
      <xdr:col>7</xdr:col>
      <xdr:colOff>1374729</xdr:colOff>
      <xdr:row>250</xdr:row>
      <xdr:rowOff>224791</xdr:rowOff>
    </xdr:to>
    <xdr:pic>
      <xdr:nvPicPr>
        <xdr:cNvPr id="45" name="図 44">
          <a:extLst>
            <a:ext uri="{FF2B5EF4-FFF2-40B4-BE49-F238E27FC236}">
              <a16:creationId xmlns:a16="http://schemas.microsoft.com/office/drawing/2014/main" id="{E7182CCC-F8D1-4825-9188-6CB4735CDA43}"/>
            </a:ext>
          </a:extLst>
        </xdr:cNvPr>
        <xdr:cNvPicPr>
          <a:picLocks noChangeAspect="1"/>
        </xdr:cNvPicPr>
      </xdr:nvPicPr>
      <xdr:blipFill>
        <a:blip xmlns:r="http://schemas.openxmlformats.org/officeDocument/2006/relationships" r:embed="rId2"/>
        <a:stretch>
          <a:fillRect/>
        </a:stretch>
      </xdr:blipFill>
      <xdr:spPr>
        <a:xfrm>
          <a:off x="0" y="26993850"/>
          <a:ext cx="12518979" cy="7038341"/>
        </a:xfrm>
        <a:prstGeom prst="rect">
          <a:avLst/>
        </a:prstGeom>
      </xdr:spPr>
    </xdr:pic>
    <xdr:clientData/>
  </xdr:twoCellAnchor>
  <xdr:twoCellAnchor editAs="oneCell">
    <xdr:from>
      <xdr:col>0</xdr:col>
      <xdr:colOff>0</xdr:colOff>
      <xdr:row>186</xdr:row>
      <xdr:rowOff>0</xdr:rowOff>
    </xdr:from>
    <xdr:to>
      <xdr:col>13</xdr:col>
      <xdr:colOff>1068542</xdr:colOff>
      <xdr:row>211</xdr:row>
      <xdr:rowOff>187267</xdr:rowOff>
    </xdr:to>
    <xdr:pic>
      <xdr:nvPicPr>
        <xdr:cNvPr id="46" name="図 45">
          <a:extLst>
            <a:ext uri="{FF2B5EF4-FFF2-40B4-BE49-F238E27FC236}">
              <a16:creationId xmlns:a16="http://schemas.microsoft.com/office/drawing/2014/main" id="{EC49EC09-277F-4731-960E-8F5D31078044}"/>
            </a:ext>
          </a:extLst>
        </xdr:cNvPr>
        <xdr:cNvPicPr>
          <a:picLocks noChangeAspect="1"/>
        </xdr:cNvPicPr>
      </xdr:nvPicPr>
      <xdr:blipFill>
        <a:blip xmlns:r="http://schemas.openxmlformats.org/officeDocument/2006/relationships" r:embed="rId3"/>
        <a:stretch>
          <a:fillRect/>
        </a:stretch>
      </xdr:blipFill>
      <xdr:spPr>
        <a:xfrm>
          <a:off x="0" y="18770600"/>
          <a:ext cx="20861492" cy="6061017"/>
        </a:xfrm>
        <a:prstGeom prst="rect">
          <a:avLst/>
        </a:prstGeom>
      </xdr:spPr>
    </xdr:pic>
    <xdr:clientData/>
  </xdr:twoCellAnchor>
  <xdr:twoCellAnchor>
    <xdr:from>
      <xdr:col>9</xdr:col>
      <xdr:colOff>2635</xdr:colOff>
      <xdr:row>16</xdr:row>
      <xdr:rowOff>491490</xdr:rowOff>
    </xdr:from>
    <xdr:to>
      <xdr:col>10</xdr:col>
      <xdr:colOff>37353</xdr:colOff>
      <xdr:row>18</xdr:row>
      <xdr:rowOff>218440</xdr:rowOff>
    </xdr:to>
    <xdr:sp macro="" textlink="">
      <xdr:nvSpPr>
        <xdr:cNvPr id="47" name="五角形 6">
          <a:extLst>
            <a:ext uri="{FF2B5EF4-FFF2-40B4-BE49-F238E27FC236}">
              <a16:creationId xmlns:a16="http://schemas.microsoft.com/office/drawing/2014/main" id="{D9EA1369-8F3B-40BF-B9EF-9A93CFB5D1B9}"/>
            </a:ext>
            <a:ext uri="{147F2762-F138-4A5C-976F-8EAC2B608ADB}">
              <a16:predDERef xmlns:a16="http://schemas.microsoft.com/office/drawing/2014/main" pred="{20713F6C-3BE1-4DFD-ABF2-FAFEAA474A54}"/>
            </a:ext>
          </a:extLst>
        </xdr:cNvPr>
        <xdr:cNvSpPr/>
      </xdr:nvSpPr>
      <xdr:spPr>
        <a:xfrm>
          <a:off x="14029785" y="4923790"/>
          <a:ext cx="1476168" cy="45847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11</xdr:col>
      <xdr:colOff>504190</xdr:colOff>
      <xdr:row>17</xdr:row>
      <xdr:rowOff>21590</xdr:rowOff>
    </xdr:from>
    <xdr:to>
      <xdr:col>11</xdr:col>
      <xdr:colOff>889000</xdr:colOff>
      <xdr:row>18</xdr:row>
      <xdr:rowOff>12700</xdr:rowOff>
    </xdr:to>
    <xdr:sp macro="" textlink="">
      <xdr:nvSpPr>
        <xdr:cNvPr id="48" name="五角形 10">
          <a:extLst>
            <a:ext uri="{FF2B5EF4-FFF2-40B4-BE49-F238E27FC236}">
              <a16:creationId xmlns:a16="http://schemas.microsoft.com/office/drawing/2014/main" id="{44CD448F-E1A4-4F49-AAB3-D0C97B535F53}"/>
            </a:ext>
            <a:ext uri="{147F2762-F138-4A5C-976F-8EAC2B608ADB}">
              <a16:predDERef xmlns:a16="http://schemas.microsoft.com/office/drawing/2014/main" pred="{87A917E3-4DC5-4705-AE88-A8538D9D121C}"/>
            </a:ext>
          </a:extLst>
        </xdr:cNvPr>
        <xdr:cNvSpPr/>
      </xdr:nvSpPr>
      <xdr:spPr>
        <a:xfrm>
          <a:off x="17412970" y="4958080"/>
          <a:ext cx="383540" cy="21463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a:t>
          </a:r>
          <a:endParaRPr lang="en-US" altLang="ja-JP" sz="1100" b="1" i="0" u="none" strike="noStrike">
            <a:solidFill>
              <a:srgbClr val="000000"/>
            </a:solidFill>
            <a:latin typeface="Calibri" panose="020F0502020204030204" pitchFamily="34" charset="0"/>
            <a:cs typeface="Calibri" panose="020F0502020204030204" pitchFamily="34" charset="0"/>
          </a:endParaRP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a:t>
          </a:r>
          <a:endParaRPr lang="en-US" altLang="ja-JP" sz="1100" b="1" i="0" u="none" strike="noStrike">
            <a:solidFill>
              <a:srgbClr val="000000"/>
            </a:solidFill>
            <a:latin typeface="Calibri" panose="020F0502020204030204" pitchFamily="34" charset="0"/>
            <a:cs typeface="Calibri" panose="020F0502020204030204" pitchFamily="34" charset="0"/>
          </a:endParaRP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期流動</a:t>
          </a:r>
        </a:p>
      </xdr:txBody>
    </xdr:sp>
    <xdr:clientData/>
  </xdr:twoCellAnchor>
  <xdr:twoCellAnchor>
    <xdr:from>
      <xdr:col>12</xdr:col>
      <xdr:colOff>384700</xdr:colOff>
      <xdr:row>19</xdr:row>
      <xdr:rowOff>72610</xdr:rowOff>
    </xdr:from>
    <xdr:to>
      <xdr:col>13</xdr:col>
      <xdr:colOff>548254</xdr:colOff>
      <xdr:row>60</xdr:row>
      <xdr:rowOff>120815</xdr:rowOff>
    </xdr:to>
    <xdr:sp macro="" textlink="">
      <xdr:nvSpPr>
        <xdr:cNvPr id="49" name="吹き出し: 角を丸めた四角形 48">
          <a:extLst>
            <a:ext uri="{FF2B5EF4-FFF2-40B4-BE49-F238E27FC236}">
              <a16:creationId xmlns:a16="http://schemas.microsoft.com/office/drawing/2014/main" id="{CBCC17F8-74DA-42C3-8881-76D6CA3EAB07}"/>
            </a:ext>
          </a:extLst>
        </xdr:cNvPr>
        <xdr:cNvSpPr/>
      </xdr:nvSpPr>
      <xdr:spPr>
        <a:xfrm>
          <a:off x="18736200" y="5463760"/>
          <a:ext cx="1602464" cy="745435"/>
        </a:xfrm>
        <a:prstGeom prst="wedgeRoundRectCallout">
          <a:avLst>
            <a:gd name="adj1" fmla="val -74083"/>
            <a:gd name="adj2" fmla="val -4690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本番リリースは工場系システムで対応</a:t>
          </a:r>
        </a:p>
      </xdr:txBody>
    </xdr:sp>
    <xdr:clientData/>
  </xdr:twoCellAnchor>
  <xdr:twoCellAnchor>
    <xdr:from>
      <xdr:col>11</xdr:col>
      <xdr:colOff>1049573</xdr:colOff>
      <xdr:row>18</xdr:row>
      <xdr:rowOff>23689</xdr:rowOff>
    </xdr:from>
    <xdr:to>
      <xdr:col>11</xdr:col>
      <xdr:colOff>1431843</xdr:colOff>
      <xdr:row>19</xdr:row>
      <xdr:rowOff>3368</xdr:rowOff>
    </xdr:to>
    <xdr:sp macro="" textlink="">
      <xdr:nvSpPr>
        <xdr:cNvPr id="50" name="五角形 10">
          <a:extLst>
            <a:ext uri="{FF2B5EF4-FFF2-40B4-BE49-F238E27FC236}">
              <a16:creationId xmlns:a16="http://schemas.microsoft.com/office/drawing/2014/main" id="{5B1AFAE1-6F73-4617-8DEF-AE2CDF85439A}"/>
            </a:ext>
            <a:ext uri="{147F2762-F138-4A5C-976F-8EAC2B608ADB}">
              <a16:predDERef xmlns:a16="http://schemas.microsoft.com/office/drawing/2014/main" pred="{87A917E3-4DC5-4705-AE88-A8538D9D121C}"/>
            </a:ext>
          </a:extLst>
        </xdr:cNvPr>
        <xdr:cNvSpPr/>
      </xdr:nvSpPr>
      <xdr:spPr>
        <a:xfrm>
          <a:off x="17962163" y="5188779"/>
          <a:ext cx="382270" cy="205739"/>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a:t>
          </a:r>
          <a:endParaRPr lang="en-US" altLang="ja-JP" sz="1100" b="1" i="0" u="none" strike="noStrike">
            <a:solidFill>
              <a:srgbClr val="000000"/>
            </a:solidFill>
            <a:latin typeface="Calibri" panose="020F0502020204030204" pitchFamily="34" charset="0"/>
            <a:cs typeface="Calibri" panose="020F0502020204030204" pitchFamily="34" charset="0"/>
          </a:endParaRP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a:t>
          </a:r>
          <a:endParaRPr lang="en-US" altLang="ja-JP" sz="1100" b="1" i="0" u="none" strike="noStrike">
            <a:solidFill>
              <a:srgbClr val="000000"/>
            </a:solidFill>
            <a:latin typeface="Calibri" panose="020F0502020204030204" pitchFamily="34" charset="0"/>
            <a:cs typeface="Calibri" panose="020F0502020204030204" pitchFamily="34" charset="0"/>
          </a:endParaRPr>
        </a:p>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期流動</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59"/>
  <sheetViews>
    <sheetView topLeftCell="A26" zoomScale="120" zoomScaleNormal="120" workbookViewId="0">
      <selection activeCell="H53" sqref="B53:H54"/>
    </sheetView>
  </sheetViews>
  <sheetFormatPr defaultColWidth="8.625" defaultRowHeight="18"/>
  <cols>
    <col min="1" max="1" width="4.125" style="21" customWidth="1"/>
    <col min="2" max="2" width="5" style="21" customWidth="1"/>
    <col min="3" max="16384" width="8.625" style="21"/>
  </cols>
  <sheetData>
    <row r="3" spans="2:10">
      <c r="B3" s="21" t="s">
        <v>0</v>
      </c>
    </row>
    <row r="4" spans="2:10">
      <c r="B4" s="21" t="s">
        <v>1</v>
      </c>
      <c r="I4" s="28"/>
    </row>
    <row r="5" spans="2:10">
      <c r="B5" s="21" t="s">
        <v>2</v>
      </c>
    </row>
    <row r="6" spans="2:10">
      <c r="B6" s="21" t="s">
        <v>3</v>
      </c>
    </row>
    <row r="7" spans="2:10">
      <c r="B7" s="21" t="s">
        <v>4</v>
      </c>
      <c r="I7" s="28"/>
    </row>
    <row r="8" spans="2:10">
      <c r="B8" s="21" t="s">
        <v>5</v>
      </c>
    </row>
    <row r="9" spans="2:10">
      <c r="B9" s="21" t="s">
        <v>6</v>
      </c>
    </row>
    <row r="12" spans="2:10">
      <c r="B12" s="21" t="s">
        <v>7</v>
      </c>
    </row>
    <row r="13" spans="2:10">
      <c r="B13" s="21" t="s">
        <v>8</v>
      </c>
      <c r="J13" s="28"/>
    </row>
    <row r="14" spans="2:10">
      <c r="B14" s="21" t="s">
        <v>9</v>
      </c>
    </row>
    <row r="15" spans="2:10">
      <c r="B15" s="21" t="s">
        <v>10</v>
      </c>
    </row>
    <row r="16" spans="2:10">
      <c r="B16" s="21" t="s">
        <v>3</v>
      </c>
    </row>
    <row r="17" spans="2:3">
      <c r="C17" s="21" t="s">
        <v>11</v>
      </c>
    </row>
    <row r="18" spans="2:3">
      <c r="C18" s="21" t="s">
        <v>12</v>
      </c>
    </row>
    <row r="19" spans="2:3">
      <c r="C19" s="21" t="s">
        <v>13</v>
      </c>
    </row>
    <row r="20" spans="2:3">
      <c r="C20" s="21" t="s">
        <v>14</v>
      </c>
    </row>
    <row r="21" spans="2:3">
      <c r="C21" s="21" t="s">
        <v>15</v>
      </c>
    </row>
    <row r="22" spans="2:3">
      <c r="C22" s="21" t="s">
        <v>16</v>
      </c>
    </row>
    <row r="23" spans="2:3">
      <c r="C23" s="21" t="s">
        <v>17</v>
      </c>
    </row>
    <row r="24" spans="2:3">
      <c r="C24" s="21" t="s">
        <v>18</v>
      </c>
    </row>
    <row r="25" spans="2:3">
      <c r="C25" s="21" t="s">
        <v>19</v>
      </c>
    </row>
    <row r="27" spans="2:3">
      <c r="B27" s="21" t="s">
        <v>20</v>
      </c>
    </row>
    <row r="28" spans="2:3">
      <c r="C28" s="21" t="s">
        <v>11</v>
      </c>
    </row>
    <row r="29" spans="2:3">
      <c r="C29" s="21" t="s">
        <v>21</v>
      </c>
    </row>
    <row r="30" spans="2:3">
      <c r="C30" s="21" t="s">
        <v>22</v>
      </c>
    </row>
    <row r="31" spans="2:3">
      <c r="C31" s="21" t="s">
        <v>23</v>
      </c>
    </row>
    <row r="43" spans="2:3">
      <c r="C43" s="21" t="s">
        <v>24</v>
      </c>
    </row>
    <row r="45" spans="2:3">
      <c r="B45" s="21" t="s">
        <v>25</v>
      </c>
    </row>
    <row r="46" spans="2:3">
      <c r="C46" s="21" t="s">
        <v>26</v>
      </c>
    </row>
    <row r="47" spans="2:3">
      <c r="C47" s="21" t="s">
        <v>27</v>
      </c>
    </row>
    <row r="48" spans="2:3">
      <c r="C48" s="21" t="s">
        <v>28</v>
      </c>
    </row>
    <row r="49" spans="2:10">
      <c r="C49" s="21" t="s">
        <v>29</v>
      </c>
    </row>
    <row r="50" spans="2:10">
      <c r="C50" s="21" t="s">
        <v>30</v>
      </c>
    </row>
    <row r="51" spans="2:10">
      <c r="C51" s="21" t="s">
        <v>31</v>
      </c>
    </row>
    <row r="52" spans="2:10">
      <c r="C52" s="21" t="s">
        <v>32</v>
      </c>
    </row>
    <row r="53" spans="2:10">
      <c r="C53" s="21" t="s">
        <v>33</v>
      </c>
    </row>
    <row r="54" spans="2:10">
      <c r="C54" s="21" t="s">
        <v>34</v>
      </c>
    </row>
    <row r="58" spans="2:10">
      <c r="B58" s="21" t="s">
        <v>35</v>
      </c>
    </row>
    <row r="59" spans="2:10">
      <c r="B59" s="21" t="s">
        <v>36</v>
      </c>
      <c r="J59" s="28"/>
    </row>
  </sheetData>
  <phoneticPr fontId="2"/>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
  <sheetViews>
    <sheetView workbookViewId="0"/>
  </sheetViews>
  <sheetFormatPr defaultRowHeight="18"/>
  <cols>
    <col min="1" max="1" width="3" customWidth="1"/>
  </cols>
  <sheetData>
    <row r="1" spans="1:2">
      <c r="A1" t="s">
        <v>37</v>
      </c>
    </row>
    <row r="2" spans="1:2">
      <c r="B2" t="s">
        <v>38</v>
      </c>
    </row>
    <row r="3" spans="1:2">
      <c r="B3" t="s">
        <v>39</v>
      </c>
    </row>
    <row r="4" spans="1:2">
      <c r="B4" t="s">
        <v>40</v>
      </c>
    </row>
    <row r="5" spans="1:2">
      <c r="B5" t="s">
        <v>41</v>
      </c>
    </row>
    <row r="6" spans="1:2">
      <c r="B6" t="s">
        <v>42</v>
      </c>
    </row>
    <row r="7" spans="1:2">
      <c r="B7" t="s">
        <v>43</v>
      </c>
    </row>
    <row r="10" spans="1:2">
      <c r="A10" t="s">
        <v>44</v>
      </c>
    </row>
    <row r="11" spans="1:2">
      <c r="A11" t="s">
        <v>45</v>
      </c>
    </row>
    <row r="12" spans="1:2">
      <c r="B12" t="s">
        <v>46</v>
      </c>
    </row>
    <row r="13" spans="1:2">
      <c r="B13" t="s">
        <v>47</v>
      </c>
    </row>
    <row r="14" spans="1:2">
      <c r="B14" t="s">
        <v>48</v>
      </c>
    </row>
    <row r="15" spans="1:2">
      <c r="B15" t="s">
        <v>49</v>
      </c>
    </row>
    <row r="16" spans="1:2">
      <c r="B16" t="s">
        <v>50</v>
      </c>
    </row>
    <row r="18" spans="1:5">
      <c r="A18" s="21" t="s">
        <v>3</v>
      </c>
      <c r="B18" s="21"/>
    </row>
    <row r="19" spans="1:5">
      <c r="B19" t="s">
        <v>51</v>
      </c>
      <c r="E19" t="s">
        <v>52</v>
      </c>
    </row>
    <row r="20" spans="1:5">
      <c r="B20" s="114" t="s">
        <v>53</v>
      </c>
    </row>
    <row r="21" spans="1:5">
      <c r="B21" t="s">
        <v>54</v>
      </c>
    </row>
    <row r="22" spans="1:5">
      <c r="B22" t="s">
        <v>55</v>
      </c>
    </row>
    <row r="23" spans="1:5">
      <c r="B23" t="s">
        <v>56</v>
      </c>
    </row>
    <row r="25" spans="1:5">
      <c r="A25" s="21" t="s">
        <v>4</v>
      </c>
      <c r="B25" s="21"/>
    </row>
    <row r="26" spans="1:5">
      <c r="A26" s="21"/>
      <c r="B26" t="s">
        <v>57</v>
      </c>
    </row>
    <row r="27" spans="1:5">
      <c r="A27" s="21"/>
      <c r="B27" t="s">
        <v>58</v>
      </c>
    </row>
    <row r="28" spans="1:5">
      <c r="A28" s="21"/>
      <c r="B28" t="s">
        <v>59</v>
      </c>
    </row>
    <row r="29" spans="1:5">
      <c r="A29" s="21"/>
      <c r="B29" t="s">
        <v>51</v>
      </c>
    </row>
    <row r="30" spans="1:5">
      <c r="A30" s="21"/>
      <c r="B30" t="s">
        <v>54</v>
      </c>
    </row>
    <row r="32" spans="1:5">
      <c r="A32" s="21" t="s">
        <v>25</v>
      </c>
      <c r="B32" s="21"/>
    </row>
    <row r="33" spans="2:2">
      <c r="B33" t="s">
        <v>60</v>
      </c>
    </row>
    <row r="34" spans="2:2">
      <c r="B34" t="s">
        <v>61</v>
      </c>
    </row>
    <row r="35" spans="2:2">
      <c r="B35" t="s">
        <v>62</v>
      </c>
    </row>
    <row r="36" spans="2:2">
      <c r="B36" t="s">
        <v>63</v>
      </c>
    </row>
    <row r="37" spans="2:2">
      <c r="B37" t="s">
        <v>64</v>
      </c>
    </row>
    <row r="38" spans="2:2">
      <c r="B38" t="s">
        <v>65</v>
      </c>
    </row>
  </sheetData>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O121"/>
  <sheetViews>
    <sheetView topLeftCell="A24" zoomScale="70" zoomScaleNormal="70" workbookViewId="0"/>
  </sheetViews>
  <sheetFormatPr defaultColWidth="8.125" defaultRowHeight="13.15"/>
  <cols>
    <col min="1" max="16384" width="8.125" style="32"/>
  </cols>
  <sheetData>
    <row r="1" spans="3:9">
      <c r="C1" s="32" t="s">
        <v>66</v>
      </c>
      <c r="E1" s="33"/>
      <c r="F1" s="32" t="s">
        <v>67</v>
      </c>
      <c r="H1" s="34"/>
      <c r="I1" s="32" t="s">
        <v>68</v>
      </c>
    </row>
    <row r="2" spans="3:9">
      <c r="C2" s="32" t="s">
        <v>69</v>
      </c>
      <c r="E2" s="35"/>
      <c r="F2" s="32" t="s">
        <v>70</v>
      </c>
      <c r="H2" s="36"/>
      <c r="I2" s="32" t="s">
        <v>71</v>
      </c>
    </row>
    <row r="17" spans="15:15">
      <c r="O17" s="37"/>
    </row>
    <row r="18" spans="15:15">
      <c r="O18" s="37"/>
    </row>
    <row r="63" spans="10:11">
      <c r="J63" s="52"/>
      <c r="K63" s="32" t="s">
        <v>72</v>
      </c>
    </row>
    <row r="121" spans="10:11">
      <c r="J121" s="52"/>
      <c r="K121" s="32" t="s">
        <v>72</v>
      </c>
    </row>
  </sheetData>
  <phoneticPr fontId="2"/>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4"/>
  <sheetViews>
    <sheetView topLeftCell="A12" zoomScale="60" zoomScaleNormal="60" workbookViewId="0"/>
  </sheetViews>
  <sheetFormatPr defaultColWidth="8.125" defaultRowHeight="13.15"/>
  <cols>
    <col min="1" max="16384" width="8.125" style="32"/>
  </cols>
  <sheetData>
    <row r="1" spans="3:9">
      <c r="C1" s="32" t="s">
        <v>66</v>
      </c>
      <c r="E1" s="33"/>
      <c r="F1" s="32" t="s">
        <v>67</v>
      </c>
      <c r="H1" s="34"/>
      <c r="I1" s="32" t="s">
        <v>68</v>
      </c>
    </row>
    <row r="2" spans="3:9">
      <c r="C2" s="32" t="s">
        <v>69</v>
      </c>
      <c r="E2" s="35"/>
      <c r="F2" s="32" t="s">
        <v>70</v>
      </c>
      <c r="H2" s="36"/>
      <c r="I2" s="32" t="s">
        <v>71</v>
      </c>
    </row>
    <row r="60" spans="2:3">
      <c r="B60" s="52"/>
      <c r="C60" s="32" t="s">
        <v>72</v>
      </c>
    </row>
    <row r="114" spans="2:3">
      <c r="B114" s="52"/>
      <c r="C114" s="32" t="s">
        <v>72</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6"/>
  <sheetViews>
    <sheetView zoomScale="80" zoomScaleNormal="80" workbookViewId="0">
      <pane xSplit="2" ySplit="2" topLeftCell="N13" activePane="bottomRight" state="frozen"/>
      <selection pane="bottomRight" activeCell="Q17" sqref="Q17"/>
      <selection pane="bottomLeft" activeCell="A3" sqref="A3"/>
      <selection pane="topRight" activeCell="C1" sqref="C1"/>
    </sheetView>
  </sheetViews>
  <sheetFormatPr defaultRowHeight="18.75" customHeight="1" outlineLevelCol="1"/>
  <cols>
    <col min="1" max="1" width="15.625" style="12" bestFit="1" customWidth="1"/>
    <col min="2" max="2" width="35" style="12" customWidth="1"/>
    <col min="3" max="3" width="8.625" style="12" customWidth="1"/>
    <col min="4" max="5" width="20.625" style="12" customWidth="1"/>
    <col min="6" max="6" width="35.125" style="12" customWidth="1"/>
    <col min="7" max="7" width="20.625" style="12" customWidth="1" outlineLevel="1"/>
    <col min="8" max="12" width="17.625" style="12" customWidth="1" outlineLevel="1"/>
    <col min="13" max="13" width="29.875" style="12" customWidth="1" outlineLevel="1"/>
    <col min="14" max="19" width="8.625" style="12" customWidth="1"/>
    <col min="20" max="25" width="9" style="13"/>
  </cols>
  <sheetData>
    <row r="1" spans="1:26" ht="18">
      <c r="A1"/>
      <c r="B1"/>
      <c r="C1"/>
      <c r="D1"/>
      <c r="E1"/>
      <c r="F1" s="198" t="s">
        <v>73</v>
      </c>
      <c r="G1" s="199"/>
      <c r="H1" s="199"/>
      <c r="I1" s="199"/>
      <c r="J1" s="199"/>
      <c r="K1" s="199"/>
      <c r="L1" s="199"/>
      <c r="M1" s="54"/>
      <c r="N1" s="198" t="s">
        <v>74</v>
      </c>
      <c r="O1" s="199"/>
      <c r="P1" s="199"/>
      <c r="Q1" s="199"/>
      <c r="R1" s="199"/>
      <c r="S1" s="199"/>
      <c r="T1" s="198" t="s">
        <v>75</v>
      </c>
      <c r="U1" s="199"/>
      <c r="V1" s="199"/>
      <c r="W1" s="199"/>
      <c r="X1" s="199"/>
      <c r="Y1" s="199"/>
    </row>
    <row r="2" spans="1:26" ht="36">
      <c r="A2" s="7" t="s">
        <v>76</v>
      </c>
      <c r="B2" s="7" t="s">
        <v>77</v>
      </c>
      <c r="C2" s="7" t="s">
        <v>78</v>
      </c>
      <c r="D2" s="7" t="s">
        <v>79</v>
      </c>
      <c r="E2" s="7" t="s">
        <v>80</v>
      </c>
      <c r="F2" s="7" t="s">
        <v>81</v>
      </c>
      <c r="G2" s="7" t="s">
        <v>82</v>
      </c>
      <c r="H2" s="7" t="s">
        <v>83</v>
      </c>
      <c r="I2" s="7" t="s">
        <v>84</v>
      </c>
      <c r="J2" s="7" t="s">
        <v>85</v>
      </c>
      <c r="K2" s="7" t="s">
        <v>86</v>
      </c>
      <c r="L2" s="7" t="s">
        <v>87</v>
      </c>
      <c r="M2" s="7" t="s">
        <v>88</v>
      </c>
      <c r="N2" s="7" t="s">
        <v>89</v>
      </c>
      <c r="O2" s="7" t="s">
        <v>90</v>
      </c>
      <c r="P2" s="7" t="s">
        <v>91</v>
      </c>
      <c r="Q2" s="7" t="s">
        <v>92</v>
      </c>
      <c r="R2" s="7" t="s">
        <v>93</v>
      </c>
      <c r="S2" s="7" t="s">
        <v>87</v>
      </c>
      <c r="T2" s="7" t="s">
        <v>94</v>
      </c>
      <c r="U2" s="7" t="s">
        <v>95</v>
      </c>
      <c r="V2" s="7" t="s">
        <v>96</v>
      </c>
      <c r="W2" s="7" t="s">
        <v>97</v>
      </c>
      <c r="X2" s="7" t="s">
        <v>98</v>
      </c>
      <c r="Y2" s="7" t="s">
        <v>99</v>
      </c>
    </row>
    <row r="3" spans="1:26" ht="36" customHeight="1">
      <c r="A3" s="8" t="s">
        <v>100</v>
      </c>
      <c r="B3" s="8" t="s">
        <v>101</v>
      </c>
      <c r="C3" s="191" t="s">
        <v>102</v>
      </c>
      <c r="D3" s="191" t="s">
        <v>103</v>
      </c>
      <c r="E3" s="191" t="s">
        <v>104</v>
      </c>
      <c r="F3" s="191" t="s">
        <v>105</v>
      </c>
      <c r="G3" s="191" t="s">
        <v>106</v>
      </c>
      <c r="H3" s="191" t="s">
        <v>107</v>
      </c>
      <c r="I3" s="191" t="s">
        <v>108</v>
      </c>
      <c r="J3" s="191" t="s">
        <v>109</v>
      </c>
      <c r="K3" s="191" t="s">
        <v>110</v>
      </c>
      <c r="L3" s="191"/>
      <c r="M3" s="191" t="s">
        <v>111</v>
      </c>
      <c r="N3" s="193" t="s">
        <v>112</v>
      </c>
      <c r="O3" s="193" t="s">
        <v>113</v>
      </c>
      <c r="P3" s="191" t="s">
        <v>114</v>
      </c>
      <c r="Q3" s="193" t="s">
        <v>115</v>
      </c>
      <c r="R3" s="191" t="s">
        <v>116</v>
      </c>
      <c r="S3" s="191"/>
      <c r="T3" s="188" t="s">
        <v>117</v>
      </c>
      <c r="U3" s="188" t="s">
        <v>117</v>
      </c>
      <c r="V3" s="188" t="s">
        <v>117</v>
      </c>
      <c r="W3" s="188" t="s">
        <v>118</v>
      </c>
      <c r="X3" s="188" t="s">
        <v>117</v>
      </c>
      <c r="Y3" s="188" t="s">
        <v>117</v>
      </c>
      <c r="Z3" t="s">
        <v>119</v>
      </c>
    </row>
    <row r="4" spans="1:26" ht="36" customHeight="1">
      <c r="A4" s="8" t="s">
        <v>120</v>
      </c>
      <c r="B4" s="8" t="s">
        <v>121</v>
      </c>
      <c r="C4" s="192"/>
      <c r="D4" s="192"/>
      <c r="E4" s="192"/>
      <c r="F4" s="192"/>
      <c r="G4" s="192"/>
      <c r="H4" s="192"/>
      <c r="I4" s="192"/>
      <c r="J4" s="192"/>
      <c r="K4" s="192"/>
      <c r="L4" s="192"/>
      <c r="M4" s="192"/>
      <c r="N4" s="273"/>
      <c r="O4" s="273"/>
      <c r="P4" s="192"/>
      <c r="Q4" s="273"/>
      <c r="R4" s="192"/>
      <c r="S4" s="192"/>
      <c r="T4" s="189"/>
      <c r="U4" s="189"/>
      <c r="V4" s="189"/>
      <c r="W4" s="189"/>
      <c r="X4" s="189"/>
      <c r="Y4" s="189"/>
      <c r="Z4" t="s">
        <v>119</v>
      </c>
    </row>
    <row r="5" spans="1:26" ht="36" customHeight="1">
      <c r="A5" s="10" t="s">
        <v>122</v>
      </c>
      <c r="B5" s="10" t="s">
        <v>123</v>
      </c>
      <c r="C5" s="191" t="s">
        <v>102</v>
      </c>
      <c r="D5" s="191" t="s">
        <v>103</v>
      </c>
      <c r="E5" s="191" t="s">
        <v>104</v>
      </c>
      <c r="F5" s="191" t="s">
        <v>124</v>
      </c>
      <c r="G5" s="191" t="s">
        <v>106</v>
      </c>
      <c r="H5" s="191" t="s">
        <v>107</v>
      </c>
      <c r="I5" s="191" t="s">
        <v>108</v>
      </c>
      <c r="J5" s="191" t="s">
        <v>109</v>
      </c>
      <c r="K5" s="191" t="s">
        <v>125</v>
      </c>
      <c r="L5" s="191"/>
      <c r="M5" s="191" t="s">
        <v>111</v>
      </c>
      <c r="N5" s="193" t="s">
        <v>126</v>
      </c>
      <c r="O5" s="193" t="s">
        <v>127</v>
      </c>
      <c r="P5" s="191" t="s">
        <v>128</v>
      </c>
      <c r="Q5" s="193" t="s">
        <v>129</v>
      </c>
      <c r="R5" s="191" t="s">
        <v>130</v>
      </c>
      <c r="S5" s="191"/>
      <c r="T5" s="188" t="s">
        <v>117</v>
      </c>
      <c r="U5" s="188" t="s">
        <v>117</v>
      </c>
      <c r="V5" s="188" t="s">
        <v>117</v>
      </c>
      <c r="W5" s="188" t="s">
        <v>118</v>
      </c>
      <c r="X5" s="188" t="s">
        <v>117</v>
      </c>
      <c r="Y5" s="188" t="s">
        <v>117</v>
      </c>
      <c r="Z5" t="s">
        <v>119</v>
      </c>
    </row>
    <row r="6" spans="1:26" ht="36" customHeight="1">
      <c r="A6" s="8" t="s">
        <v>131</v>
      </c>
      <c r="B6" s="8" t="s">
        <v>132</v>
      </c>
      <c r="C6" s="192"/>
      <c r="D6" s="192"/>
      <c r="E6" s="192"/>
      <c r="F6" s="192"/>
      <c r="G6" s="192"/>
      <c r="H6" s="192"/>
      <c r="I6" s="192"/>
      <c r="J6" s="192"/>
      <c r="K6" s="192"/>
      <c r="L6" s="192"/>
      <c r="M6" s="192"/>
      <c r="N6" s="273"/>
      <c r="O6" s="273"/>
      <c r="P6" s="192"/>
      <c r="Q6" s="273"/>
      <c r="R6" s="192"/>
      <c r="S6" s="192"/>
      <c r="T6" s="189"/>
      <c r="U6" s="189"/>
      <c r="V6" s="189"/>
      <c r="W6" s="189"/>
      <c r="X6" s="189"/>
      <c r="Y6" s="189"/>
      <c r="Z6" t="s">
        <v>119</v>
      </c>
    </row>
    <row r="7" spans="1:26" ht="72">
      <c r="A7" s="10" t="s">
        <v>133</v>
      </c>
      <c r="B7" s="10" t="s">
        <v>134</v>
      </c>
      <c r="C7" s="10" t="s">
        <v>102</v>
      </c>
      <c r="D7" s="8" t="s">
        <v>103</v>
      </c>
      <c r="E7" s="8" t="s">
        <v>104</v>
      </c>
      <c r="F7" s="55" t="s">
        <v>135</v>
      </c>
      <c r="G7" s="8" t="s">
        <v>106</v>
      </c>
      <c r="H7" s="8" t="s">
        <v>136</v>
      </c>
      <c r="I7" s="8" t="s">
        <v>108</v>
      </c>
      <c r="J7" s="10" t="s">
        <v>109</v>
      </c>
      <c r="K7" s="10" t="s">
        <v>125</v>
      </c>
      <c r="L7" s="55" t="s">
        <v>137</v>
      </c>
      <c r="M7" s="55" t="s">
        <v>111</v>
      </c>
      <c r="N7" s="10">
        <v>83</v>
      </c>
      <c r="O7" s="10">
        <v>25</v>
      </c>
      <c r="P7" s="10">
        <v>5</v>
      </c>
      <c r="Q7" s="10">
        <v>4</v>
      </c>
      <c r="R7" s="10">
        <v>67</v>
      </c>
      <c r="S7" s="10"/>
      <c r="T7" s="11" t="s">
        <v>117</v>
      </c>
      <c r="U7" s="11" t="s">
        <v>117</v>
      </c>
      <c r="V7" s="11" t="s">
        <v>117</v>
      </c>
      <c r="W7" s="11" t="s">
        <v>117</v>
      </c>
      <c r="X7" s="11" t="s">
        <v>117</v>
      </c>
      <c r="Y7" s="11" t="s">
        <v>117</v>
      </c>
      <c r="Z7" t="s">
        <v>119</v>
      </c>
    </row>
    <row r="8" spans="1:26" ht="72">
      <c r="A8" s="8" t="s">
        <v>138</v>
      </c>
      <c r="B8" s="8" t="s">
        <v>139</v>
      </c>
      <c r="C8" s="8" t="s">
        <v>102</v>
      </c>
      <c r="D8" s="8" t="s">
        <v>103</v>
      </c>
      <c r="E8" s="8" t="s">
        <v>104</v>
      </c>
      <c r="F8" s="8" t="s">
        <v>140</v>
      </c>
      <c r="G8" s="8" t="s">
        <v>106</v>
      </c>
      <c r="H8" s="8" t="s">
        <v>136</v>
      </c>
      <c r="I8" s="8" t="s">
        <v>108</v>
      </c>
      <c r="J8" s="10" t="s">
        <v>109</v>
      </c>
      <c r="K8" s="10" t="s">
        <v>125</v>
      </c>
      <c r="L8" s="55" t="s">
        <v>137</v>
      </c>
      <c r="M8" s="8" t="s">
        <v>141</v>
      </c>
      <c r="N8" s="10">
        <v>17</v>
      </c>
      <c r="O8" s="10">
        <v>3</v>
      </c>
      <c r="P8" s="55">
        <v>1</v>
      </c>
      <c r="Q8" s="10">
        <v>3</v>
      </c>
      <c r="R8" s="55">
        <v>12</v>
      </c>
      <c r="S8" s="8"/>
      <c r="T8" s="9" t="s">
        <v>117</v>
      </c>
      <c r="U8" s="9" t="s">
        <v>117</v>
      </c>
      <c r="V8" s="9" t="s">
        <v>117</v>
      </c>
      <c r="W8" s="9" t="s">
        <v>117</v>
      </c>
      <c r="X8" s="9" t="s">
        <v>117</v>
      </c>
      <c r="Y8" s="9" t="s">
        <v>117</v>
      </c>
      <c r="Z8" t="s">
        <v>119</v>
      </c>
    </row>
    <row r="9" spans="1:26" ht="72">
      <c r="A9" s="8" t="s">
        <v>142</v>
      </c>
      <c r="B9" s="8" t="s">
        <v>143</v>
      </c>
      <c r="C9" s="8" t="s">
        <v>102</v>
      </c>
      <c r="D9" s="8" t="s">
        <v>144</v>
      </c>
      <c r="E9" s="8" t="s">
        <v>104</v>
      </c>
      <c r="F9" s="8" t="s">
        <v>145</v>
      </c>
      <c r="G9" s="8" t="s">
        <v>122</v>
      </c>
      <c r="H9" s="31" t="s">
        <v>146</v>
      </c>
      <c r="I9" s="8" t="s">
        <v>108</v>
      </c>
      <c r="J9" s="8" t="s">
        <v>122</v>
      </c>
      <c r="K9" s="8" t="s">
        <v>122</v>
      </c>
      <c r="L9" s="8"/>
      <c r="M9" s="8" t="s">
        <v>141</v>
      </c>
      <c r="N9" s="10">
        <v>0</v>
      </c>
      <c r="O9" s="10">
        <v>0</v>
      </c>
      <c r="P9" s="55">
        <v>0</v>
      </c>
      <c r="Q9" s="10">
        <v>0</v>
      </c>
      <c r="R9" s="55">
        <v>211</v>
      </c>
      <c r="S9" s="8"/>
      <c r="T9" s="9" t="s">
        <v>118</v>
      </c>
      <c r="U9" s="9" t="s">
        <v>117</v>
      </c>
      <c r="V9" s="9" t="s">
        <v>118</v>
      </c>
      <c r="W9" s="9" t="s">
        <v>118</v>
      </c>
      <c r="X9" s="9" t="s">
        <v>118</v>
      </c>
      <c r="Y9" s="9" t="s">
        <v>118</v>
      </c>
      <c r="Z9" t="s">
        <v>119</v>
      </c>
    </row>
    <row r="10" spans="1:26" ht="49.5" customHeight="1">
      <c r="A10" s="8" t="s">
        <v>147</v>
      </c>
      <c r="B10" s="8" t="s">
        <v>148</v>
      </c>
      <c r="C10" s="191" t="s">
        <v>102</v>
      </c>
      <c r="D10" s="191" t="s">
        <v>149</v>
      </c>
      <c r="E10" s="191" t="s">
        <v>150</v>
      </c>
      <c r="F10" s="191" t="s">
        <v>151</v>
      </c>
      <c r="G10" s="191" t="s">
        <v>152</v>
      </c>
      <c r="H10" s="191" t="s">
        <v>107</v>
      </c>
      <c r="I10" s="191" t="s">
        <v>153</v>
      </c>
      <c r="J10" s="193" t="s">
        <v>154</v>
      </c>
      <c r="K10" s="274" t="s">
        <v>125</v>
      </c>
      <c r="L10" s="274"/>
      <c r="M10" s="194" t="s">
        <v>155</v>
      </c>
      <c r="N10" s="274">
        <v>80</v>
      </c>
      <c r="O10" s="274">
        <v>20</v>
      </c>
      <c r="P10" s="193" t="s">
        <v>156</v>
      </c>
      <c r="Q10" s="193" t="s">
        <v>157</v>
      </c>
      <c r="R10" s="274">
        <v>75</v>
      </c>
      <c r="S10" s="274"/>
      <c r="T10" s="9" t="s">
        <v>118</v>
      </c>
      <c r="U10" s="9" t="s">
        <v>117</v>
      </c>
      <c r="V10" s="9" t="s">
        <v>117</v>
      </c>
      <c r="W10" s="9" t="s">
        <v>118</v>
      </c>
      <c r="X10" s="9" t="s">
        <v>118</v>
      </c>
      <c r="Y10" s="9" t="s">
        <v>118</v>
      </c>
      <c r="Z10" t="s">
        <v>119</v>
      </c>
    </row>
    <row r="11" spans="1:26" ht="49.5" customHeight="1">
      <c r="A11" s="8" t="s">
        <v>158</v>
      </c>
      <c r="B11" s="8" t="s">
        <v>159</v>
      </c>
      <c r="C11" s="192"/>
      <c r="D11" s="192"/>
      <c r="E11" s="192"/>
      <c r="F11" s="192"/>
      <c r="G11" s="192"/>
      <c r="H11" s="192"/>
      <c r="I11" s="192"/>
      <c r="J11" s="196"/>
      <c r="K11" s="273"/>
      <c r="L11" s="273"/>
      <c r="M11" s="195"/>
      <c r="N11" s="273"/>
      <c r="O11" s="273"/>
      <c r="P11" s="273"/>
      <c r="Q11" s="273"/>
      <c r="R11" s="273"/>
      <c r="S11" s="273"/>
      <c r="T11" s="9" t="s">
        <v>118</v>
      </c>
      <c r="U11" s="9" t="s">
        <v>117</v>
      </c>
      <c r="V11" s="9" t="s">
        <v>117</v>
      </c>
      <c r="W11" s="9" t="s">
        <v>118</v>
      </c>
      <c r="X11" s="9" t="s">
        <v>118</v>
      </c>
      <c r="Y11" s="9" t="s">
        <v>118</v>
      </c>
      <c r="Z11" t="s">
        <v>119</v>
      </c>
    </row>
    <row r="12" spans="1:26" ht="74.45" customHeight="1">
      <c r="A12" s="8" t="s">
        <v>160</v>
      </c>
      <c r="B12" s="8" t="s">
        <v>161</v>
      </c>
      <c r="C12" s="8" t="s">
        <v>102</v>
      </c>
      <c r="D12" s="8" t="s">
        <v>162</v>
      </c>
      <c r="E12" s="8" t="s">
        <v>150</v>
      </c>
      <c r="F12" s="8" t="s">
        <v>163</v>
      </c>
      <c r="G12" s="8" t="s">
        <v>152</v>
      </c>
      <c r="H12" s="8" t="s">
        <v>164</v>
      </c>
      <c r="I12" s="8" t="s">
        <v>165</v>
      </c>
      <c r="J12" s="55" t="s">
        <v>154</v>
      </c>
      <c r="K12" s="10"/>
      <c r="L12" s="8"/>
      <c r="M12" s="191" t="s">
        <v>166</v>
      </c>
      <c r="N12" s="10">
        <v>68</v>
      </c>
      <c r="O12" s="10">
        <v>43</v>
      </c>
      <c r="P12" s="55">
        <v>9</v>
      </c>
      <c r="Q12" s="10">
        <v>45</v>
      </c>
      <c r="R12" s="55">
        <v>205</v>
      </c>
      <c r="S12" s="8"/>
      <c r="T12" s="9" t="s">
        <v>118</v>
      </c>
      <c r="U12" s="9" t="s">
        <v>118</v>
      </c>
      <c r="V12" s="9" t="s">
        <v>117</v>
      </c>
      <c r="W12" s="9" t="s">
        <v>118</v>
      </c>
      <c r="X12" s="9" t="s">
        <v>118</v>
      </c>
      <c r="Y12" s="9" t="s">
        <v>118</v>
      </c>
      <c r="Z12" t="s">
        <v>119</v>
      </c>
    </row>
    <row r="13" spans="1:26" ht="74.45" customHeight="1">
      <c r="A13" s="8" t="s">
        <v>167</v>
      </c>
      <c r="B13" s="8" t="s">
        <v>168</v>
      </c>
      <c r="C13" s="8" t="s">
        <v>102</v>
      </c>
      <c r="D13" s="8" t="s">
        <v>169</v>
      </c>
      <c r="E13" s="8" t="s">
        <v>150</v>
      </c>
      <c r="F13" s="8" t="s">
        <v>170</v>
      </c>
      <c r="G13" s="8" t="s">
        <v>152</v>
      </c>
      <c r="H13" s="8" t="s">
        <v>171</v>
      </c>
      <c r="I13" s="8" t="s">
        <v>165</v>
      </c>
      <c r="J13" s="55" t="s">
        <v>154</v>
      </c>
      <c r="K13" s="10"/>
      <c r="L13" s="8"/>
      <c r="M13" s="200"/>
      <c r="N13" s="10">
        <v>20</v>
      </c>
      <c r="O13" s="10">
        <v>4</v>
      </c>
      <c r="P13" s="55">
        <v>2</v>
      </c>
      <c r="Q13" s="10">
        <v>2</v>
      </c>
      <c r="R13" s="55">
        <v>30</v>
      </c>
      <c r="S13" s="8"/>
      <c r="T13" s="9" t="s">
        <v>118</v>
      </c>
      <c r="U13" s="9" t="s">
        <v>118</v>
      </c>
      <c r="V13" s="9" t="s">
        <v>118</v>
      </c>
      <c r="W13" s="9" t="s">
        <v>118</v>
      </c>
      <c r="X13" s="9" t="s">
        <v>118</v>
      </c>
      <c r="Y13" s="9" t="s">
        <v>118</v>
      </c>
      <c r="Z13" t="s">
        <v>119</v>
      </c>
    </row>
    <row r="14" spans="1:26" ht="74.45" customHeight="1">
      <c r="A14" s="8" t="s">
        <v>172</v>
      </c>
      <c r="B14" s="8" t="s">
        <v>173</v>
      </c>
      <c r="C14" s="8" t="s">
        <v>102</v>
      </c>
      <c r="D14" s="8" t="s">
        <v>162</v>
      </c>
      <c r="E14" s="8" t="s">
        <v>150</v>
      </c>
      <c r="F14" s="8" t="s">
        <v>174</v>
      </c>
      <c r="G14" s="8" t="s">
        <v>152</v>
      </c>
      <c r="H14" s="8" t="s">
        <v>175</v>
      </c>
      <c r="I14" s="8" t="s">
        <v>165</v>
      </c>
      <c r="J14" s="55" t="s">
        <v>154</v>
      </c>
      <c r="K14" s="10"/>
      <c r="L14" s="8"/>
      <c r="M14" s="192"/>
      <c r="N14" s="10">
        <v>15</v>
      </c>
      <c r="O14" s="10">
        <v>0</v>
      </c>
      <c r="P14" s="55">
        <v>12</v>
      </c>
      <c r="Q14" s="10">
        <v>5</v>
      </c>
      <c r="R14" s="55">
        <v>24</v>
      </c>
      <c r="S14" s="8"/>
      <c r="T14" s="30" t="s">
        <v>118</v>
      </c>
      <c r="U14" s="9" t="s">
        <v>118</v>
      </c>
      <c r="V14" s="9" t="s">
        <v>118</v>
      </c>
      <c r="W14" s="9" t="s">
        <v>118</v>
      </c>
      <c r="X14" s="9" t="s">
        <v>118</v>
      </c>
      <c r="Y14" s="9" t="s">
        <v>118</v>
      </c>
      <c r="Z14" t="s">
        <v>119</v>
      </c>
    </row>
    <row r="15" spans="1:26" ht="39" customHeight="1">
      <c r="A15" s="10" t="s">
        <v>122</v>
      </c>
      <c r="B15" s="10" t="s">
        <v>176</v>
      </c>
      <c r="C15" s="197" t="s">
        <v>102</v>
      </c>
      <c r="D15" s="197" t="s">
        <v>162</v>
      </c>
      <c r="E15" s="197" t="s">
        <v>150</v>
      </c>
      <c r="F15" s="197" t="s">
        <v>177</v>
      </c>
      <c r="G15" s="197" t="s">
        <v>152</v>
      </c>
      <c r="H15" s="275" t="s">
        <v>122</v>
      </c>
      <c r="I15" s="275" t="s">
        <v>122</v>
      </c>
      <c r="J15" s="190" t="s">
        <v>154</v>
      </c>
      <c r="K15" s="275" t="s">
        <v>122</v>
      </c>
      <c r="L15" s="276"/>
      <c r="M15" s="190" t="s">
        <v>178</v>
      </c>
      <c r="N15" s="276">
        <v>0</v>
      </c>
      <c r="O15" s="276">
        <v>0</v>
      </c>
      <c r="P15" s="276">
        <v>2</v>
      </c>
      <c r="Q15" s="190" t="s">
        <v>179</v>
      </c>
      <c r="R15" s="276">
        <v>0</v>
      </c>
      <c r="S15" s="276"/>
      <c r="T15" s="30" t="s">
        <v>118</v>
      </c>
      <c r="U15" s="9" t="s">
        <v>118</v>
      </c>
      <c r="V15" s="9" t="s">
        <v>118</v>
      </c>
      <c r="W15" s="9" t="s">
        <v>118</v>
      </c>
      <c r="X15" s="9" t="s">
        <v>118</v>
      </c>
      <c r="Y15" s="9" t="s">
        <v>118</v>
      </c>
    </row>
    <row r="16" spans="1:26" ht="39" customHeight="1">
      <c r="A16" s="10" t="s">
        <v>122</v>
      </c>
      <c r="B16" s="10" t="s">
        <v>180</v>
      </c>
      <c r="C16" s="197"/>
      <c r="D16" s="197"/>
      <c r="E16" s="197"/>
      <c r="F16" s="197"/>
      <c r="G16" s="197"/>
      <c r="H16" s="276"/>
      <c r="I16" s="276"/>
      <c r="J16" s="190"/>
      <c r="K16" s="276"/>
      <c r="L16" s="276"/>
      <c r="M16" s="276"/>
      <c r="N16" s="276"/>
      <c r="O16" s="276"/>
      <c r="P16" s="276"/>
      <c r="Q16" s="276"/>
      <c r="R16" s="276"/>
      <c r="S16" s="276"/>
      <c r="T16" s="30" t="s">
        <v>118</v>
      </c>
      <c r="U16" s="9" t="s">
        <v>118</v>
      </c>
      <c r="V16" s="9" t="s">
        <v>118</v>
      </c>
      <c r="W16" s="9" t="s">
        <v>118</v>
      </c>
      <c r="X16" s="9" t="s">
        <v>118</v>
      </c>
      <c r="Y16" s="9" t="s">
        <v>118</v>
      </c>
    </row>
  </sheetData>
  <mergeCells count="84">
    <mergeCell ref="Q3:Q4"/>
    <mergeCell ref="M12:M14"/>
    <mergeCell ref="V3:V4"/>
    <mergeCell ref="N1:S1"/>
    <mergeCell ref="T1:Y1"/>
    <mergeCell ref="N3:N4"/>
    <mergeCell ref="O3:O4"/>
    <mergeCell ref="P3:P4"/>
    <mergeCell ref="T5:T6"/>
    <mergeCell ref="R3:R4"/>
    <mergeCell ref="S3:S4"/>
    <mergeCell ref="T3:T4"/>
    <mergeCell ref="U3:U4"/>
    <mergeCell ref="Y5:Y6"/>
    <mergeCell ref="W3:W4"/>
    <mergeCell ref="X3:X4"/>
    <mergeCell ref="F1:L1"/>
    <mergeCell ref="D3:D4"/>
    <mergeCell ref="E3:E4"/>
    <mergeCell ref="F3:F4"/>
    <mergeCell ref="G3:G4"/>
    <mergeCell ref="H3:H4"/>
    <mergeCell ref="I3:I4"/>
    <mergeCell ref="J3:J4"/>
    <mergeCell ref="K3:K4"/>
    <mergeCell ref="L3:L4"/>
    <mergeCell ref="Y3:Y4"/>
    <mergeCell ref="C3:C4"/>
    <mergeCell ref="C5:C6"/>
    <mergeCell ref="D5:D6"/>
    <mergeCell ref="E5:E6"/>
    <mergeCell ref="F5:F6"/>
    <mergeCell ref="G5:G6"/>
    <mergeCell ref="H5:H6"/>
    <mergeCell ref="I5:I6"/>
    <mergeCell ref="J5:J6"/>
    <mergeCell ref="K5:K6"/>
    <mergeCell ref="L5:L6"/>
    <mergeCell ref="S5:S6"/>
    <mergeCell ref="M3:M4"/>
    <mergeCell ref="M5:M6"/>
    <mergeCell ref="Q5:Q6"/>
    <mergeCell ref="C10:C11"/>
    <mergeCell ref="D10:D11"/>
    <mergeCell ref="E10:E11"/>
    <mergeCell ref="C15:C16"/>
    <mergeCell ref="D15:D16"/>
    <mergeCell ref="E15:E16"/>
    <mergeCell ref="I10:I11"/>
    <mergeCell ref="J10:J11"/>
    <mergeCell ref="K10:K11"/>
    <mergeCell ref="K15:K16"/>
    <mergeCell ref="F10:F11"/>
    <mergeCell ref="F15:F16"/>
    <mergeCell ref="G10:G11"/>
    <mergeCell ref="G15:G16"/>
    <mergeCell ref="H10:H11"/>
    <mergeCell ref="H15:H16"/>
    <mergeCell ref="L15:L16"/>
    <mergeCell ref="N15:N16"/>
    <mergeCell ref="O15:O16"/>
    <mergeCell ref="I15:I16"/>
    <mergeCell ref="J15:J16"/>
    <mergeCell ref="L10:L11"/>
    <mergeCell ref="N10:N11"/>
    <mergeCell ref="O10:O11"/>
    <mergeCell ref="P10:P11"/>
    <mergeCell ref="Q10:Q11"/>
    <mergeCell ref="V5:V6"/>
    <mergeCell ref="W5:W6"/>
    <mergeCell ref="X5:X6"/>
    <mergeCell ref="M15:M16"/>
    <mergeCell ref="P5:P6"/>
    <mergeCell ref="O5:O6"/>
    <mergeCell ref="N5:N6"/>
    <mergeCell ref="R5:R6"/>
    <mergeCell ref="U5:U6"/>
    <mergeCell ref="M10:M11"/>
    <mergeCell ref="P15:P16"/>
    <mergeCell ref="Q15:Q16"/>
    <mergeCell ref="R10:R11"/>
    <mergeCell ref="S10:S11"/>
    <mergeCell ref="R15:R16"/>
    <mergeCell ref="S15:S16"/>
  </mergeCells>
  <phoneticPr fontId="2"/>
  <dataValidations count="1">
    <dataValidation type="list" allowBlank="1" showInputMessage="1" showErrorMessage="1" sqref="T3:Y3 T7:Y16 T5:Y5" xr:uid="{00000000-0002-0000-0400-000000000000}">
      <formula1>"〇,×,不明,-"</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N9"/>
  <sheetViews>
    <sheetView zoomScale="80" zoomScaleNormal="80" workbookViewId="0">
      <pane xSplit="3" ySplit="4" topLeftCell="D5" activePane="bottomRight" state="frozen"/>
      <selection pane="bottomRight"/>
      <selection pane="bottomLeft"/>
      <selection pane="topRight"/>
    </sheetView>
  </sheetViews>
  <sheetFormatPr defaultColWidth="8.625" defaultRowHeight="18.75" customHeight="1" outlineLevelCol="1"/>
  <cols>
    <col min="1" max="1" width="2.625" style="58" customWidth="1"/>
    <col min="2" max="2" width="4.125" style="58" bestFit="1" customWidth="1"/>
    <col min="3" max="3" width="31.375" style="58" customWidth="1"/>
    <col min="4" max="4" width="17.375" style="58" hidden="1" customWidth="1" outlineLevel="1"/>
    <col min="5" max="9" width="14" style="58" hidden="1" customWidth="1" outlineLevel="1"/>
    <col min="10" max="10" width="14" style="58" hidden="1" customWidth="1" collapsed="1"/>
    <col min="11" max="11" width="15.25" style="58" hidden="1" customWidth="1"/>
    <col min="12" max="12" width="14" style="58" hidden="1" customWidth="1"/>
    <col min="13" max="13" width="15.25" style="58" hidden="1" customWidth="1"/>
    <col min="14" max="14" width="11.375" style="58" hidden="1" customWidth="1"/>
    <col min="15" max="15" width="15.25" style="58" hidden="1" customWidth="1"/>
    <col min="16" max="16" width="14.25" style="58" hidden="1" customWidth="1" outlineLevel="1"/>
    <col min="17" max="18" width="12.25" style="58" hidden="1" customWidth="1" outlineLevel="1"/>
    <col min="19" max="20" width="13.5" style="58" hidden="1" customWidth="1" outlineLevel="1"/>
    <col min="21" max="21" width="14" style="58" hidden="1" customWidth="1" outlineLevel="1"/>
    <col min="22" max="22" width="13.5" style="58" hidden="1" customWidth="1" collapsed="1"/>
    <col min="23" max="23" width="15.125" style="58" hidden="1" customWidth="1"/>
    <col min="24" max="26" width="13.5" style="58" hidden="1" customWidth="1"/>
    <col min="27" max="27" width="15.125" style="58" hidden="1" customWidth="1"/>
    <col min="28" max="28" width="15.5" style="58" customWidth="1" outlineLevel="1"/>
    <col min="29" max="33" width="14" style="58" customWidth="1" outlineLevel="1"/>
    <col min="34" max="34" width="11.375" style="58" bestFit="1" customWidth="1"/>
    <col min="35" max="35" width="14.5" style="58" bestFit="1" customWidth="1"/>
    <col min="36" max="36" width="11.375" style="58" bestFit="1" customWidth="1"/>
    <col min="37" max="37" width="14.5" style="58" bestFit="1" customWidth="1"/>
    <col min="38" max="38" width="11.375" style="58" bestFit="1" customWidth="1"/>
    <col min="39" max="39" width="14.5" style="58" bestFit="1" customWidth="1"/>
    <col min="40" max="40" width="53.125" style="58" customWidth="1"/>
    <col min="41" max="16384" width="8.625" style="58"/>
  </cols>
  <sheetData>
    <row r="1" spans="2:40" ht="18"/>
    <row r="2" spans="2:40" ht="18">
      <c r="B2" s="59"/>
      <c r="C2" s="60" t="s">
        <v>181</v>
      </c>
      <c r="D2" s="212" t="s">
        <v>182</v>
      </c>
      <c r="E2" s="213"/>
      <c r="F2" s="213"/>
      <c r="G2" s="213"/>
      <c r="H2" s="213"/>
      <c r="I2" s="213"/>
      <c r="J2" s="213"/>
      <c r="K2" s="213"/>
      <c r="L2" s="214"/>
      <c r="M2" s="214"/>
      <c r="N2" s="213"/>
      <c r="O2" s="215"/>
      <c r="P2" s="219" t="s">
        <v>4</v>
      </c>
      <c r="Q2" s="219"/>
      <c r="R2" s="219"/>
      <c r="S2" s="219"/>
      <c r="T2" s="219"/>
      <c r="U2" s="219"/>
      <c r="V2" s="219"/>
      <c r="W2" s="219"/>
      <c r="X2" s="219"/>
      <c r="Y2" s="219"/>
      <c r="Z2" s="219"/>
      <c r="AA2" s="220"/>
      <c r="AB2" s="221" t="s">
        <v>183</v>
      </c>
      <c r="AC2" s="221"/>
      <c r="AD2" s="221"/>
      <c r="AE2" s="221"/>
      <c r="AF2" s="221"/>
      <c r="AG2" s="221"/>
      <c r="AH2" s="221"/>
      <c r="AI2" s="221"/>
      <c r="AJ2" s="222"/>
      <c r="AK2" s="222"/>
      <c r="AL2" s="221"/>
      <c r="AM2" s="223"/>
      <c r="AN2" s="209" t="s">
        <v>184</v>
      </c>
    </row>
    <row r="3" spans="2:40" ht="22.5" customHeight="1">
      <c r="B3" s="87"/>
      <c r="C3" s="88"/>
      <c r="D3" s="216" t="s">
        <v>185</v>
      </c>
      <c r="E3" s="217"/>
      <c r="F3" s="217"/>
      <c r="G3" s="217"/>
      <c r="H3" s="217"/>
      <c r="I3" s="217"/>
      <c r="J3" s="217"/>
      <c r="K3" s="217"/>
      <c r="L3" s="218" t="s">
        <v>186</v>
      </c>
      <c r="M3" s="218"/>
      <c r="N3" s="201" t="s">
        <v>187</v>
      </c>
      <c r="O3" s="202"/>
      <c r="P3" s="229" t="s">
        <v>185</v>
      </c>
      <c r="Q3" s="229"/>
      <c r="R3" s="229"/>
      <c r="S3" s="229"/>
      <c r="T3" s="229"/>
      <c r="U3" s="229"/>
      <c r="V3" s="229"/>
      <c r="W3" s="230"/>
      <c r="X3" s="227" t="s">
        <v>186</v>
      </c>
      <c r="Y3" s="230"/>
      <c r="Z3" s="227" t="s">
        <v>187</v>
      </c>
      <c r="AA3" s="228"/>
      <c r="AB3" s="224" t="s">
        <v>185</v>
      </c>
      <c r="AC3" s="224"/>
      <c r="AD3" s="224"/>
      <c r="AE3" s="224"/>
      <c r="AF3" s="224"/>
      <c r="AG3" s="224"/>
      <c r="AH3" s="224"/>
      <c r="AI3" s="224"/>
      <c r="AJ3" s="225" t="s">
        <v>186</v>
      </c>
      <c r="AK3" s="225"/>
      <c r="AL3" s="224" t="s">
        <v>187</v>
      </c>
      <c r="AM3" s="226"/>
      <c r="AN3" s="210"/>
    </row>
    <row r="4" spans="2:40" ht="18">
      <c r="B4" s="65" t="s">
        <v>188</v>
      </c>
      <c r="C4" s="66" t="s">
        <v>189</v>
      </c>
      <c r="D4" s="89" t="s">
        <v>190</v>
      </c>
      <c r="E4" s="90" t="s">
        <v>191</v>
      </c>
      <c r="F4" s="90" t="s">
        <v>192</v>
      </c>
      <c r="G4" s="90" t="s">
        <v>193</v>
      </c>
      <c r="H4" s="90" t="s">
        <v>194</v>
      </c>
      <c r="I4" s="90" t="s">
        <v>195</v>
      </c>
      <c r="J4" s="90" t="s">
        <v>196</v>
      </c>
      <c r="K4" s="91" t="s">
        <v>197</v>
      </c>
      <c r="L4" s="90" t="s">
        <v>196</v>
      </c>
      <c r="M4" s="91" t="s">
        <v>197</v>
      </c>
      <c r="N4" s="90" t="s">
        <v>196</v>
      </c>
      <c r="O4" s="92" t="s">
        <v>197</v>
      </c>
      <c r="P4" s="96" t="s">
        <v>190</v>
      </c>
      <c r="Q4" s="61" t="s">
        <v>191</v>
      </c>
      <c r="R4" s="61" t="s">
        <v>192</v>
      </c>
      <c r="S4" s="61" t="s">
        <v>193</v>
      </c>
      <c r="T4" s="61" t="s">
        <v>194</v>
      </c>
      <c r="U4" s="61" t="s">
        <v>195</v>
      </c>
      <c r="V4" s="61" t="s">
        <v>196</v>
      </c>
      <c r="W4" s="62" t="s">
        <v>197</v>
      </c>
      <c r="X4" s="61" t="s">
        <v>196</v>
      </c>
      <c r="Y4" s="62" t="s">
        <v>197</v>
      </c>
      <c r="Z4" s="61" t="s">
        <v>196</v>
      </c>
      <c r="AA4" s="107" t="s">
        <v>197</v>
      </c>
      <c r="AB4" s="103" t="s">
        <v>190</v>
      </c>
      <c r="AC4" s="63" t="s">
        <v>191</v>
      </c>
      <c r="AD4" s="63" t="s">
        <v>192</v>
      </c>
      <c r="AE4" s="63" t="s">
        <v>193</v>
      </c>
      <c r="AF4" s="63" t="s">
        <v>194</v>
      </c>
      <c r="AG4" s="63" t="s">
        <v>195</v>
      </c>
      <c r="AH4" s="63" t="s">
        <v>196</v>
      </c>
      <c r="AI4" s="102" t="s">
        <v>197</v>
      </c>
      <c r="AJ4" s="63" t="s">
        <v>196</v>
      </c>
      <c r="AK4" s="63" t="s">
        <v>197</v>
      </c>
      <c r="AL4" s="103" t="s">
        <v>196</v>
      </c>
      <c r="AM4" s="64" t="s">
        <v>197</v>
      </c>
      <c r="AN4" s="211"/>
    </row>
    <row r="5" spans="2:40" ht="18">
      <c r="B5" s="67">
        <v>10</v>
      </c>
      <c r="C5" s="68" t="s">
        <v>198</v>
      </c>
      <c r="D5" s="82"/>
      <c r="E5" s="83"/>
      <c r="F5" s="83"/>
      <c r="G5" s="83"/>
      <c r="H5" s="83"/>
      <c r="I5" s="83"/>
      <c r="J5" s="86"/>
      <c r="K5" s="56"/>
      <c r="L5" s="86"/>
      <c r="M5" s="56"/>
      <c r="N5" s="86"/>
      <c r="O5" s="80"/>
      <c r="P5" s="97"/>
      <c r="Q5" s="83"/>
      <c r="R5" s="83"/>
      <c r="S5" s="83"/>
      <c r="T5" s="83"/>
      <c r="U5" s="83"/>
      <c r="V5" s="86"/>
      <c r="W5" s="56"/>
      <c r="X5" s="86"/>
      <c r="Y5" s="56"/>
      <c r="Z5" s="86"/>
      <c r="AA5" s="80"/>
      <c r="AB5" s="97">
        <f>'見積（徳山L3.5）'!E4</f>
        <v>1.2</v>
      </c>
      <c r="AC5" s="83">
        <f>'見積（徳山L3.5）'!E7</f>
        <v>1.1000000000000001</v>
      </c>
      <c r="AD5" s="83">
        <f>'見積（徳山L3.5）'!E11</f>
        <v>1.2</v>
      </c>
      <c r="AE5" s="83">
        <f>'見積（徳山L3.5）'!E14</f>
        <v>3.1</v>
      </c>
      <c r="AF5" s="83">
        <f>'見積（徳山L3.5）'!E18</f>
        <v>3.6</v>
      </c>
      <c r="AG5" s="83">
        <f>'見積（徳山L3.5）'!E20</f>
        <v>3</v>
      </c>
      <c r="AH5" s="86">
        <f t="shared" ref="AH5" si="0">SUM(AB5:AG5)</f>
        <v>13.2</v>
      </c>
      <c r="AI5" s="56">
        <f t="shared" ref="AI5" si="1">SUM(AB5:AF5)*1000000+AG5*1400000</f>
        <v>14400000</v>
      </c>
      <c r="AJ5" s="86"/>
      <c r="AK5" s="101"/>
      <c r="AL5" s="104">
        <f>AH5+AJ5</f>
        <v>13.2</v>
      </c>
      <c r="AM5" s="80">
        <f>AI5+AK5</f>
        <v>14400000</v>
      </c>
      <c r="AN5" s="69" t="s">
        <v>199</v>
      </c>
    </row>
    <row r="6" spans="2:40" ht="18.600000000000001" thickBot="1">
      <c r="B6" s="143">
        <v>11</v>
      </c>
      <c r="C6" s="12" t="s">
        <v>200</v>
      </c>
      <c r="D6" s="144"/>
      <c r="E6" s="145"/>
      <c r="F6" s="145"/>
      <c r="G6" s="145"/>
      <c r="H6" s="145"/>
      <c r="I6" s="145"/>
      <c r="J6" s="105"/>
      <c r="K6" s="106"/>
      <c r="L6" s="105"/>
      <c r="M6" s="106"/>
      <c r="N6" s="105"/>
      <c r="O6" s="146"/>
      <c r="P6" s="147"/>
      <c r="Q6" s="145"/>
      <c r="R6" s="145"/>
      <c r="S6" s="145"/>
      <c r="T6" s="145"/>
      <c r="U6" s="145"/>
      <c r="V6" s="105"/>
      <c r="W6" s="106"/>
      <c r="X6" s="105"/>
      <c r="Y6" s="106"/>
      <c r="Z6" s="105"/>
      <c r="AA6" s="146"/>
      <c r="AB6" s="97">
        <f>'見積（千葉L3.5）'!E4</f>
        <v>1.2</v>
      </c>
      <c r="AC6" s="83">
        <f>'見積（千葉L3.5）'!E7</f>
        <v>1.2</v>
      </c>
      <c r="AD6" s="83">
        <f>'見積（千葉L3.5）'!E10</f>
        <v>1.3</v>
      </c>
      <c r="AE6" s="83">
        <f>'見積（千葉L3.5）'!E12</f>
        <v>3.9</v>
      </c>
      <c r="AF6" s="83">
        <f>'見積（千葉L3.5）'!E15</f>
        <v>3.6</v>
      </c>
      <c r="AG6" s="83">
        <f>'見積（千葉L3.5）'!E17</f>
        <v>2.95</v>
      </c>
      <c r="AH6" s="86">
        <f t="shared" ref="AH6" si="2">SUM(AB6:AG6)</f>
        <v>14.149999999999999</v>
      </c>
      <c r="AI6" s="56">
        <f t="shared" ref="AI6" si="3">SUM(AB6:AF6)*1000000+AG6*1400000</f>
        <v>15330000</v>
      </c>
      <c r="AJ6" s="86"/>
      <c r="AK6" s="101"/>
      <c r="AL6" s="104">
        <f>AH6+AJ6</f>
        <v>14.149999999999999</v>
      </c>
      <c r="AM6" s="80">
        <f>AI6+AK6</f>
        <v>15330000</v>
      </c>
      <c r="AN6" s="148"/>
    </row>
    <row r="7" spans="2:40" ht="18">
      <c r="B7" s="203" t="s">
        <v>201</v>
      </c>
      <c r="C7" s="204"/>
      <c r="D7" s="84">
        <f t="shared" ref="D7:I7" si="4">SUM(D5:D5)</f>
        <v>0</v>
      </c>
      <c r="E7" s="85">
        <f t="shared" si="4"/>
        <v>0</v>
      </c>
      <c r="F7" s="85">
        <f t="shared" si="4"/>
        <v>0</v>
      </c>
      <c r="G7" s="85">
        <f t="shared" si="4"/>
        <v>0</v>
      </c>
      <c r="H7" s="85">
        <f t="shared" si="4"/>
        <v>0</v>
      </c>
      <c r="I7" s="85">
        <f t="shared" si="4"/>
        <v>0</v>
      </c>
      <c r="J7" s="85">
        <f>SUM(D7:I7)</f>
        <v>0</v>
      </c>
      <c r="K7" s="57">
        <f t="shared" ref="K7:U7" si="5">SUM(K5:K5)</f>
        <v>0</v>
      </c>
      <c r="L7" s="85">
        <f t="shared" si="5"/>
        <v>0</v>
      </c>
      <c r="M7" s="57">
        <f t="shared" si="5"/>
        <v>0</v>
      </c>
      <c r="N7" s="85">
        <f t="shared" si="5"/>
        <v>0</v>
      </c>
      <c r="O7" s="93">
        <f t="shared" si="5"/>
        <v>0</v>
      </c>
      <c r="P7" s="98">
        <f t="shared" si="5"/>
        <v>0</v>
      </c>
      <c r="Q7" s="85">
        <f t="shared" si="5"/>
        <v>0</v>
      </c>
      <c r="R7" s="85">
        <f t="shared" si="5"/>
        <v>0</v>
      </c>
      <c r="S7" s="85">
        <f t="shared" si="5"/>
        <v>0</v>
      </c>
      <c r="T7" s="85">
        <f t="shared" si="5"/>
        <v>0</v>
      </c>
      <c r="U7" s="85">
        <f t="shared" si="5"/>
        <v>0</v>
      </c>
      <c r="V7" s="85">
        <f t="shared" ref="V7" si="6">SUM(P7:U7)</f>
        <v>0</v>
      </c>
      <c r="W7" s="57">
        <f t="shared" ref="W7:AA7" si="7">SUM(W5:W5)</f>
        <v>0</v>
      </c>
      <c r="X7" s="85">
        <f t="shared" si="7"/>
        <v>0</v>
      </c>
      <c r="Y7" s="57">
        <f t="shared" si="7"/>
        <v>0</v>
      </c>
      <c r="Z7" s="85">
        <f t="shared" si="7"/>
        <v>0</v>
      </c>
      <c r="AA7" s="93">
        <f t="shared" si="7"/>
        <v>0</v>
      </c>
      <c r="AB7" s="109">
        <f t="shared" ref="AB7:AG7" si="8">SUM(AB5:AB6)</f>
        <v>2.4</v>
      </c>
      <c r="AC7" s="105">
        <f t="shared" si="8"/>
        <v>2.2999999999999998</v>
      </c>
      <c r="AD7" s="105">
        <f t="shared" si="8"/>
        <v>2.5</v>
      </c>
      <c r="AE7" s="105">
        <f t="shared" si="8"/>
        <v>7</v>
      </c>
      <c r="AF7" s="105">
        <f t="shared" si="8"/>
        <v>7.2</v>
      </c>
      <c r="AG7" s="105">
        <f t="shared" si="8"/>
        <v>5.95</v>
      </c>
      <c r="AH7" s="105">
        <f>SUM(AB7:AG7)</f>
        <v>27.349999999999998</v>
      </c>
      <c r="AI7" s="106">
        <f>SUM(AI5:AI6)</f>
        <v>29730000</v>
      </c>
      <c r="AJ7" s="105">
        <f>SUM(AJ5:AJ6)</f>
        <v>0</v>
      </c>
      <c r="AK7" s="106">
        <f>SUM(AK5:AK6)</f>
        <v>0</v>
      </c>
      <c r="AL7" s="105">
        <f>SUM(AL5:AL6)</f>
        <v>27.349999999999998</v>
      </c>
      <c r="AM7" s="106">
        <f>SUM(AM5:AM6)</f>
        <v>29730000</v>
      </c>
      <c r="AN7" s="70"/>
    </row>
    <row r="8" spans="2:40" ht="18">
      <c r="B8" s="205" t="s">
        <v>202</v>
      </c>
      <c r="C8" s="206"/>
      <c r="D8" s="71">
        <v>1000000</v>
      </c>
      <c r="E8" s="72">
        <v>1000000</v>
      </c>
      <c r="F8" s="72">
        <v>1000000</v>
      </c>
      <c r="G8" s="72">
        <v>1000000</v>
      </c>
      <c r="H8" s="72">
        <v>1000000</v>
      </c>
      <c r="I8" s="72">
        <v>1400000</v>
      </c>
      <c r="J8" s="72"/>
      <c r="K8" s="73"/>
      <c r="L8" s="72"/>
      <c r="M8" s="73"/>
      <c r="N8" s="72"/>
      <c r="O8" s="94"/>
      <c r="P8" s="99">
        <v>1000000</v>
      </c>
      <c r="Q8" s="72">
        <v>1000000</v>
      </c>
      <c r="R8" s="72">
        <v>1000000</v>
      </c>
      <c r="S8" s="72">
        <v>1000000</v>
      </c>
      <c r="T8" s="72">
        <v>1000000</v>
      </c>
      <c r="U8" s="72">
        <v>1400000</v>
      </c>
      <c r="V8" s="72"/>
      <c r="W8" s="74"/>
      <c r="X8" s="72"/>
      <c r="Y8" s="74"/>
      <c r="Z8" s="72"/>
      <c r="AA8" s="108"/>
      <c r="AB8" s="99">
        <v>1000000</v>
      </c>
      <c r="AC8" s="72">
        <v>1000000</v>
      </c>
      <c r="AD8" s="72">
        <v>1000000</v>
      </c>
      <c r="AE8" s="72">
        <v>1000000</v>
      </c>
      <c r="AF8" s="72">
        <v>1000000</v>
      </c>
      <c r="AG8" s="72">
        <v>1400000</v>
      </c>
      <c r="AH8" s="72"/>
      <c r="AI8" s="74"/>
      <c r="AJ8" s="72"/>
      <c r="AK8" s="74"/>
      <c r="AL8" s="72"/>
      <c r="AM8" s="74"/>
      <c r="AN8" s="75"/>
    </row>
    <row r="9" spans="2:40" ht="18">
      <c r="B9" s="207" t="s">
        <v>197</v>
      </c>
      <c r="C9" s="208"/>
      <c r="D9" s="76">
        <f t="shared" ref="D9:I9" si="9">D7*D8</f>
        <v>0</v>
      </c>
      <c r="E9" s="77">
        <f t="shared" si="9"/>
        <v>0</v>
      </c>
      <c r="F9" s="77">
        <f t="shared" si="9"/>
        <v>0</v>
      </c>
      <c r="G9" s="77">
        <f t="shared" si="9"/>
        <v>0</v>
      </c>
      <c r="H9" s="77">
        <f t="shared" si="9"/>
        <v>0</v>
      </c>
      <c r="I9" s="77">
        <f t="shared" si="9"/>
        <v>0</v>
      </c>
      <c r="J9" s="77">
        <f>SUM(D9:I9)</f>
        <v>0</v>
      </c>
      <c r="K9" s="78"/>
      <c r="L9" s="77"/>
      <c r="M9" s="78"/>
      <c r="N9" s="77"/>
      <c r="O9" s="95"/>
      <c r="P9" s="100">
        <f t="shared" ref="P9:U9" si="10">P7*P8</f>
        <v>0</v>
      </c>
      <c r="Q9" s="77">
        <f t="shared" si="10"/>
        <v>0</v>
      </c>
      <c r="R9" s="77">
        <f t="shared" si="10"/>
        <v>0</v>
      </c>
      <c r="S9" s="77">
        <f t="shared" si="10"/>
        <v>0</v>
      </c>
      <c r="T9" s="77">
        <f t="shared" si="10"/>
        <v>0</v>
      </c>
      <c r="U9" s="77">
        <f t="shared" si="10"/>
        <v>0</v>
      </c>
      <c r="V9" s="77"/>
      <c r="W9" s="78"/>
      <c r="X9" s="77"/>
      <c r="Y9" s="78"/>
      <c r="Z9" s="77"/>
      <c r="AA9" s="95"/>
      <c r="AB9" s="100">
        <f t="shared" ref="AB9:AG9" si="11">AB7*AB8</f>
        <v>2400000</v>
      </c>
      <c r="AC9" s="77">
        <f t="shared" si="11"/>
        <v>2300000</v>
      </c>
      <c r="AD9" s="77">
        <f t="shared" si="11"/>
        <v>2500000</v>
      </c>
      <c r="AE9" s="77">
        <f t="shared" si="11"/>
        <v>7000000</v>
      </c>
      <c r="AF9" s="77">
        <f t="shared" si="11"/>
        <v>7200000</v>
      </c>
      <c r="AG9" s="77">
        <f t="shared" si="11"/>
        <v>8330000</v>
      </c>
      <c r="AH9" s="77"/>
      <c r="AI9" s="78"/>
      <c r="AJ9" s="77"/>
      <c r="AK9" s="78"/>
      <c r="AL9" s="77"/>
      <c r="AM9" s="78"/>
      <c r="AN9" s="79"/>
    </row>
  </sheetData>
  <autoFilter ref="B4:AS5" xr:uid="{00000000-0009-0000-0000-000005000000}"/>
  <mergeCells count="16">
    <mergeCell ref="N3:O3"/>
    <mergeCell ref="B7:C7"/>
    <mergeCell ref="B8:C8"/>
    <mergeCell ref="B9:C9"/>
    <mergeCell ref="AN2:AN4"/>
    <mergeCell ref="D2:O2"/>
    <mergeCell ref="D3:K3"/>
    <mergeCell ref="L3:M3"/>
    <mergeCell ref="P2:AA2"/>
    <mergeCell ref="AB2:AM2"/>
    <mergeCell ref="AB3:AI3"/>
    <mergeCell ref="AJ3:AK3"/>
    <mergeCell ref="AL3:AM3"/>
    <mergeCell ref="Z3:AA3"/>
    <mergeCell ref="P3:W3"/>
    <mergeCell ref="X3:Y3"/>
  </mergeCells>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159"/>
  <sheetViews>
    <sheetView tabSelected="1" zoomScaleNormal="100" workbookViewId="0">
      <pane xSplit="2" ySplit="3" topLeftCell="C4" activePane="bottomRight" state="frozen"/>
      <selection pane="bottomRight" activeCell="C4" sqref="C4"/>
      <selection pane="bottomLeft" activeCell="A4" sqref="A4"/>
      <selection pane="topRight" activeCell="C1" sqref="C1"/>
    </sheetView>
  </sheetViews>
  <sheetFormatPr defaultRowHeight="18.75" customHeight="1" outlineLevelRow="1"/>
  <cols>
    <col min="1" max="1" width="30.75" customWidth="1"/>
    <col min="2" max="2" width="21" customWidth="1"/>
    <col min="3" max="29" width="18.875" customWidth="1"/>
    <col min="30" max="31" width="18.875" hidden="1" customWidth="1"/>
    <col min="32" max="43" width="17.125" hidden="1" customWidth="1"/>
    <col min="44" max="44" width="16.125" customWidth="1"/>
  </cols>
  <sheetData>
    <row r="1" spans="1:31" ht="18">
      <c r="A1" s="150" t="s">
        <v>203</v>
      </c>
    </row>
    <row r="2" spans="1:31" ht="18">
      <c r="A2" s="236" t="s">
        <v>204</v>
      </c>
      <c r="B2" s="236" t="s">
        <v>205</v>
      </c>
      <c r="C2" s="241" t="s">
        <v>206</v>
      </c>
      <c r="D2" s="241"/>
      <c r="E2" s="241"/>
      <c r="F2" s="241"/>
      <c r="G2" s="241"/>
      <c r="H2" s="241"/>
      <c r="I2" s="241"/>
      <c r="J2" s="241"/>
      <c r="K2" s="241"/>
      <c r="L2" s="241"/>
      <c r="M2" s="241"/>
      <c r="N2" s="241"/>
      <c r="O2" s="239" t="s">
        <v>207</v>
      </c>
      <c r="P2" s="240"/>
      <c r="Q2" s="240"/>
      <c r="R2" s="240"/>
      <c r="S2" s="240"/>
      <c r="T2" s="240"/>
      <c r="U2" s="240"/>
      <c r="V2" s="240"/>
      <c r="W2" s="240"/>
      <c r="X2" s="240"/>
      <c r="Y2" s="240"/>
      <c r="Z2" s="240"/>
      <c r="AA2" s="277" t="s">
        <v>208</v>
      </c>
      <c r="AB2" s="277"/>
      <c r="AC2" s="277"/>
      <c r="AD2" s="277"/>
      <c r="AE2" s="277"/>
    </row>
    <row r="3" spans="1:31" ht="18">
      <c r="A3" s="237"/>
      <c r="B3" s="237"/>
      <c r="C3" s="111" t="s">
        <v>209</v>
      </c>
      <c r="D3" s="111" t="s">
        <v>210</v>
      </c>
      <c r="E3" s="111" t="s">
        <v>211</v>
      </c>
      <c r="F3" s="111" t="s">
        <v>212</v>
      </c>
      <c r="G3" s="111" t="s">
        <v>213</v>
      </c>
      <c r="H3" s="111" t="s">
        <v>214</v>
      </c>
      <c r="I3" s="111" t="s">
        <v>215</v>
      </c>
      <c r="J3" s="111" t="s">
        <v>216</v>
      </c>
      <c r="K3" s="111" t="s">
        <v>217</v>
      </c>
      <c r="L3" s="111" t="s">
        <v>218</v>
      </c>
      <c r="M3" s="111" t="s">
        <v>219</v>
      </c>
      <c r="N3" s="111" t="s">
        <v>220</v>
      </c>
      <c r="O3" s="111" t="s">
        <v>209</v>
      </c>
      <c r="P3" s="111" t="s">
        <v>210</v>
      </c>
      <c r="Q3" s="111" t="s">
        <v>211</v>
      </c>
      <c r="R3" s="111" t="s">
        <v>212</v>
      </c>
      <c r="S3" s="111" t="s">
        <v>213</v>
      </c>
      <c r="T3" s="111" t="s">
        <v>214</v>
      </c>
      <c r="U3" s="111" t="s">
        <v>215</v>
      </c>
      <c r="V3" s="111" t="s">
        <v>216</v>
      </c>
      <c r="W3" s="111" t="s">
        <v>217</v>
      </c>
      <c r="X3" s="111" t="s">
        <v>218</v>
      </c>
      <c r="Y3" s="111" t="s">
        <v>219</v>
      </c>
      <c r="Z3" s="117" t="s">
        <v>220</v>
      </c>
      <c r="AA3" s="118" t="s">
        <v>209</v>
      </c>
      <c r="AB3" s="118" t="s">
        <v>210</v>
      </c>
      <c r="AC3" s="118" t="s">
        <v>211</v>
      </c>
      <c r="AD3" s="118" t="s">
        <v>212</v>
      </c>
      <c r="AE3" s="119" t="s">
        <v>213</v>
      </c>
    </row>
    <row r="4" spans="1:31" ht="18">
      <c r="A4" s="231" t="s">
        <v>221</v>
      </c>
      <c r="B4" s="232"/>
      <c r="C4" s="110"/>
      <c r="D4" s="110"/>
      <c r="E4" s="110" t="s">
        <v>222</v>
      </c>
      <c r="F4" s="110"/>
      <c r="G4" s="110"/>
      <c r="H4" s="110"/>
      <c r="I4" s="110"/>
      <c r="J4" s="110"/>
      <c r="K4" s="110"/>
      <c r="L4" s="110"/>
      <c r="M4" s="110"/>
      <c r="N4" s="110"/>
      <c r="O4" s="110"/>
      <c r="P4" s="110"/>
      <c r="Q4" s="110" t="s">
        <v>223</v>
      </c>
      <c r="R4" s="110"/>
      <c r="S4" s="110"/>
      <c r="T4" s="110"/>
      <c r="U4" s="110"/>
      <c r="V4" s="110"/>
      <c r="W4" s="110"/>
      <c r="X4" s="110"/>
      <c r="Y4" s="110"/>
      <c r="Z4" s="115" t="s">
        <v>224</v>
      </c>
      <c r="AA4" s="14"/>
      <c r="AB4" s="14"/>
      <c r="AC4" s="14"/>
      <c r="AD4" s="14"/>
      <c r="AE4" s="14"/>
    </row>
    <row r="5" spans="1:31" ht="18">
      <c r="A5" s="233"/>
      <c r="B5" s="234"/>
      <c r="C5" s="110"/>
      <c r="D5" s="110"/>
      <c r="E5" s="110"/>
      <c r="F5" s="110"/>
      <c r="G5" s="110"/>
      <c r="H5" s="110"/>
      <c r="I5" s="110"/>
      <c r="J5" s="110"/>
      <c r="K5" s="110"/>
      <c r="L5" s="110"/>
      <c r="M5" s="110" t="s">
        <v>225</v>
      </c>
      <c r="N5" s="110"/>
      <c r="O5" s="110"/>
      <c r="P5" s="110"/>
      <c r="Q5" s="110"/>
      <c r="R5" s="110"/>
      <c r="S5" s="110"/>
      <c r="T5" s="110"/>
      <c r="U5" s="110"/>
      <c r="V5" s="110"/>
      <c r="W5" s="110"/>
      <c r="X5" s="110"/>
      <c r="Y5" s="110"/>
      <c r="Z5" s="115"/>
      <c r="AA5" s="14"/>
      <c r="AB5" s="14"/>
      <c r="AC5" s="14"/>
      <c r="AD5" s="14"/>
      <c r="AE5" s="14"/>
    </row>
    <row r="6" spans="1:31" ht="18" customHeight="1">
      <c r="A6" s="111" t="s">
        <v>226</v>
      </c>
      <c r="B6" s="111"/>
      <c r="C6" s="110"/>
      <c r="D6" s="110"/>
      <c r="E6" s="110"/>
      <c r="F6" s="110"/>
      <c r="G6" s="110"/>
      <c r="H6" s="110"/>
      <c r="I6" s="110"/>
      <c r="J6" s="110"/>
      <c r="K6" s="110"/>
      <c r="L6" s="110"/>
      <c r="M6" s="110"/>
      <c r="N6" s="110"/>
      <c r="O6" s="110"/>
      <c r="P6" s="110"/>
      <c r="Q6" s="110"/>
      <c r="R6" s="110"/>
      <c r="S6" s="110"/>
      <c r="T6" s="110"/>
      <c r="U6" s="110"/>
      <c r="V6" s="110"/>
      <c r="W6" s="110"/>
      <c r="X6" s="110"/>
      <c r="Y6" s="110"/>
      <c r="Z6" s="115"/>
      <c r="AA6" s="14"/>
      <c r="AB6" s="14"/>
      <c r="AC6" s="14"/>
      <c r="AD6" s="14"/>
      <c r="AE6" s="14"/>
    </row>
    <row r="7" spans="1:31" ht="18">
      <c r="A7" s="112" t="s">
        <v>227</v>
      </c>
      <c r="B7" s="112"/>
      <c r="C7" s="110"/>
      <c r="D7" s="110"/>
      <c r="E7" s="110"/>
      <c r="F7" s="110"/>
      <c r="G7" s="110"/>
      <c r="H7" s="110"/>
      <c r="I7" s="110"/>
      <c r="J7" s="110"/>
      <c r="K7" s="110"/>
      <c r="L7" s="110"/>
      <c r="M7" s="110"/>
      <c r="N7" s="110"/>
      <c r="O7" s="110"/>
      <c r="P7" s="110"/>
      <c r="Q7" s="110"/>
      <c r="R7" s="110"/>
      <c r="S7" s="110"/>
      <c r="T7" s="110"/>
      <c r="U7" s="110"/>
      <c r="V7" s="110"/>
      <c r="W7" s="110"/>
      <c r="X7" s="110"/>
      <c r="Y7" s="110"/>
      <c r="Z7" s="115"/>
      <c r="AA7" s="14"/>
      <c r="AB7" s="14"/>
      <c r="AC7" s="14"/>
      <c r="AD7" s="14"/>
      <c r="AE7" s="14"/>
    </row>
    <row r="8" spans="1:31" ht="18">
      <c r="A8" s="113" t="s">
        <v>228</v>
      </c>
      <c r="B8" s="113"/>
      <c r="C8" s="110"/>
      <c r="D8" s="110"/>
      <c r="E8" s="110"/>
      <c r="F8" s="110"/>
      <c r="G8" s="110"/>
      <c r="H8" s="110"/>
      <c r="I8" s="110"/>
      <c r="J8" s="110"/>
      <c r="K8" s="110"/>
      <c r="L8" s="110"/>
      <c r="M8" s="110"/>
      <c r="N8" s="110"/>
      <c r="O8" s="110"/>
      <c r="P8" s="110"/>
      <c r="Q8" s="110"/>
      <c r="R8" s="110"/>
      <c r="S8" s="110"/>
      <c r="T8" s="110"/>
      <c r="U8" s="110"/>
      <c r="V8" s="110"/>
      <c r="W8" s="110"/>
      <c r="X8" s="110"/>
      <c r="Y8" s="110"/>
      <c r="Z8" s="115"/>
      <c r="AA8" s="14"/>
      <c r="AB8" s="14"/>
      <c r="AC8" s="14"/>
      <c r="AD8" s="14"/>
      <c r="AE8" s="14"/>
    </row>
    <row r="9" spans="1:31" ht="18">
      <c r="A9" s="112" t="s">
        <v>143</v>
      </c>
      <c r="B9" s="112"/>
      <c r="C9" s="121"/>
      <c r="D9" s="121"/>
      <c r="E9" s="121"/>
      <c r="F9" s="110"/>
      <c r="G9" s="110"/>
      <c r="H9" s="110"/>
      <c r="I9" s="110"/>
      <c r="J9" s="110"/>
      <c r="K9" s="110"/>
      <c r="L9" s="110"/>
      <c r="M9" s="110"/>
      <c r="N9" s="110"/>
      <c r="O9" s="110"/>
      <c r="P9" s="110"/>
      <c r="Q9" s="110"/>
      <c r="R9" s="110"/>
      <c r="S9" s="110"/>
      <c r="T9" s="110"/>
      <c r="U9" s="110"/>
      <c r="V9" s="110"/>
      <c r="W9" s="110"/>
      <c r="X9" s="110"/>
      <c r="Y9" s="110"/>
      <c r="Z9" s="115"/>
      <c r="AA9" s="14"/>
      <c r="AB9" s="14"/>
      <c r="AC9" s="14"/>
      <c r="AD9" s="14"/>
      <c r="AE9" s="14"/>
    </row>
    <row r="10" spans="1:31" ht="18">
      <c r="A10" s="113" t="s">
        <v>134</v>
      </c>
      <c r="B10" s="113"/>
      <c r="C10" s="110"/>
      <c r="D10" s="110"/>
      <c r="E10" s="110"/>
      <c r="F10" s="110"/>
      <c r="G10" s="110"/>
      <c r="H10" s="110"/>
      <c r="I10" s="110"/>
      <c r="J10" s="110"/>
      <c r="K10" s="110"/>
      <c r="L10" s="110"/>
      <c r="M10" s="110"/>
      <c r="N10" s="110"/>
      <c r="O10" s="110"/>
      <c r="P10" s="110"/>
      <c r="Q10" s="110"/>
      <c r="R10" s="110"/>
      <c r="S10" s="110"/>
      <c r="T10" s="110"/>
      <c r="U10" s="110"/>
      <c r="V10" s="110"/>
      <c r="W10" s="110"/>
      <c r="X10" s="110"/>
      <c r="Y10" s="110"/>
      <c r="Z10" s="115"/>
      <c r="AA10" s="14"/>
      <c r="AB10" s="14"/>
      <c r="AC10" s="14"/>
      <c r="AD10" s="14"/>
      <c r="AE10" s="14"/>
    </row>
    <row r="11" spans="1:31" ht="18">
      <c r="A11" s="112" t="s">
        <v>229</v>
      </c>
      <c r="B11" s="112"/>
      <c r="C11" s="110"/>
      <c r="D11" s="110"/>
      <c r="E11" s="110"/>
      <c r="F11" s="110"/>
      <c r="G11" s="110"/>
      <c r="H11" s="110"/>
      <c r="I11" s="110"/>
      <c r="J11" s="110"/>
      <c r="K11" s="110"/>
      <c r="L11" s="110"/>
      <c r="M11" s="110"/>
      <c r="N11" s="110"/>
      <c r="O11" s="110"/>
      <c r="P11" s="110"/>
      <c r="Q11" s="110"/>
      <c r="R11" s="110"/>
      <c r="S11" s="110"/>
      <c r="T11" s="110"/>
      <c r="U11" s="110"/>
      <c r="V11" s="110"/>
      <c r="W11" s="110"/>
      <c r="X11" s="110"/>
      <c r="Y11" s="110"/>
      <c r="Z11" s="115"/>
      <c r="AA11" s="14"/>
      <c r="AB11" s="14"/>
      <c r="AC11" s="14"/>
      <c r="AD11" s="14"/>
      <c r="AE11" s="14"/>
    </row>
    <row r="12" spans="1:31" ht="18">
      <c r="A12" s="112" t="s">
        <v>230</v>
      </c>
      <c r="B12" s="112"/>
      <c r="C12" s="149"/>
      <c r="D12" s="149"/>
      <c r="E12" s="149"/>
      <c r="F12" s="151"/>
      <c r="G12" s="151"/>
      <c r="H12" s="151"/>
      <c r="I12" s="151"/>
      <c r="J12" s="151"/>
      <c r="K12" s="151"/>
      <c r="L12" s="151"/>
      <c r="M12" s="151"/>
      <c r="N12" s="151"/>
      <c r="O12" s="151"/>
      <c r="P12" s="151"/>
      <c r="Q12" s="151"/>
      <c r="R12" s="151"/>
      <c r="S12" s="151"/>
      <c r="T12" s="151"/>
      <c r="U12" s="151"/>
      <c r="V12" s="151"/>
      <c r="W12" s="151"/>
      <c r="X12" s="151"/>
      <c r="Y12" s="151"/>
      <c r="Z12" s="152"/>
      <c r="AA12" s="153"/>
      <c r="AB12" s="153"/>
      <c r="AC12" s="153"/>
      <c r="AD12" s="153"/>
      <c r="AE12" s="153"/>
    </row>
    <row r="13" spans="1:31" ht="36">
      <c r="A13" s="112" t="s">
        <v>231</v>
      </c>
      <c r="B13" s="112"/>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2"/>
      <c r="AA13" s="153"/>
      <c r="AB13" s="153"/>
      <c r="AC13" s="153"/>
      <c r="AD13" s="153"/>
      <c r="AE13" s="153"/>
    </row>
    <row r="14" spans="1:31" ht="18">
      <c r="A14" s="112" t="s">
        <v>232</v>
      </c>
      <c r="B14" s="112"/>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2"/>
      <c r="AA14" s="153"/>
      <c r="AB14" s="153"/>
      <c r="AC14" s="153"/>
      <c r="AD14" s="153"/>
      <c r="AE14" s="153"/>
    </row>
    <row r="15" spans="1:31" ht="39.6" customHeight="1">
      <c r="A15" s="112" t="s">
        <v>233</v>
      </c>
      <c r="B15" s="112"/>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5"/>
      <c r="AC15" s="14"/>
      <c r="AD15" s="14"/>
      <c r="AE15" s="14"/>
    </row>
    <row r="16" spans="1:31" ht="39.6" customHeight="1">
      <c r="A16" s="113" t="s">
        <v>198</v>
      </c>
      <c r="B16" s="113"/>
      <c r="C16" s="110"/>
      <c r="D16" s="110"/>
      <c r="E16" s="110"/>
      <c r="F16" s="110"/>
      <c r="G16" s="110"/>
      <c r="H16" s="110"/>
      <c r="I16" s="110"/>
      <c r="J16" s="110"/>
      <c r="K16" s="110"/>
      <c r="L16" s="110"/>
      <c r="M16" s="110"/>
      <c r="N16" s="110"/>
      <c r="O16" s="110"/>
      <c r="P16" s="110"/>
      <c r="Q16" s="110"/>
      <c r="R16" s="110"/>
      <c r="S16" s="110"/>
      <c r="T16" s="110"/>
      <c r="U16" s="110"/>
      <c r="V16" s="110"/>
      <c r="W16" s="110"/>
      <c r="X16" s="110"/>
      <c r="Y16" s="110"/>
      <c r="Z16" s="110"/>
      <c r="AA16" s="110"/>
      <c r="AB16" s="115"/>
      <c r="AC16" s="14"/>
      <c r="AD16" s="14"/>
      <c r="AE16" s="14"/>
    </row>
    <row r="17" spans="1:32" ht="39.6" customHeight="1">
      <c r="A17" s="113" t="s">
        <v>200</v>
      </c>
      <c r="B17" s="113"/>
      <c r="C17" s="110"/>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5"/>
      <c r="AC17" s="14"/>
      <c r="AD17" s="14"/>
      <c r="AE17" s="14"/>
    </row>
    <row r="18" spans="1:32" ht="18">
      <c r="A18" s="113" t="s">
        <v>234</v>
      </c>
      <c r="B18" s="113"/>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5"/>
      <c r="AA18" s="14"/>
      <c r="AB18" s="14"/>
      <c r="AC18" s="14"/>
      <c r="AD18" s="14"/>
      <c r="AE18" s="14"/>
    </row>
    <row r="19" spans="1:32" ht="18">
      <c r="A19" s="113" t="s">
        <v>235</v>
      </c>
      <c r="B19" s="113"/>
      <c r="C19" s="110"/>
      <c r="D19" s="110"/>
      <c r="E19" s="110"/>
      <c r="F19" s="110"/>
      <c r="G19" s="110"/>
      <c r="H19" s="110"/>
      <c r="I19" s="110"/>
      <c r="J19" s="110"/>
      <c r="K19" s="110"/>
      <c r="L19" s="110"/>
      <c r="M19" s="110"/>
      <c r="N19" s="110"/>
      <c r="O19" s="110"/>
      <c r="P19" s="110"/>
      <c r="Q19" s="110"/>
      <c r="R19" s="110"/>
      <c r="S19" s="110"/>
      <c r="T19" s="110"/>
      <c r="U19" s="110"/>
      <c r="V19" s="110"/>
      <c r="W19" s="110"/>
      <c r="X19" s="110"/>
      <c r="Y19" s="110"/>
      <c r="Z19" s="115"/>
      <c r="AA19" s="14"/>
      <c r="AB19" s="14"/>
      <c r="AC19" s="14"/>
      <c r="AD19" s="14"/>
      <c r="AE19" s="14"/>
    </row>
    <row r="20" spans="1:32" ht="18"/>
    <row r="21" spans="1:32" ht="18" hidden="1">
      <c r="A21" s="124" t="s">
        <v>236</v>
      </c>
      <c r="B21" s="124"/>
    </row>
    <row r="22" spans="1:32" ht="18" hidden="1">
      <c r="A22" s="111" t="s">
        <v>237</v>
      </c>
      <c r="B22" s="111"/>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row>
    <row r="23" spans="1:32" ht="18.75" hidden="1" customHeight="1">
      <c r="A23" s="123" t="s">
        <v>238</v>
      </c>
      <c r="B23" s="123"/>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row>
    <row r="24" spans="1:32" ht="18.75" hidden="1" customHeight="1">
      <c r="A24" s="125" t="s">
        <v>239</v>
      </c>
      <c r="B24" s="125"/>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row>
    <row r="25" spans="1:32" ht="18.75" hidden="1" customHeight="1">
      <c r="A25" s="125" t="s">
        <v>240</v>
      </c>
      <c r="B25" s="125"/>
      <c r="C25" s="110"/>
      <c r="D25" s="110"/>
      <c r="E25" s="110"/>
      <c r="F25" s="110"/>
      <c r="G25" s="110"/>
      <c r="H25" s="110"/>
      <c r="I25" s="110"/>
      <c r="J25" s="110"/>
      <c r="K25" s="110"/>
      <c r="L25" s="110"/>
      <c r="M25" s="110"/>
      <c r="N25" s="110"/>
      <c r="O25" s="110"/>
      <c r="P25" s="110"/>
      <c r="Q25" s="110"/>
      <c r="R25" s="110"/>
      <c r="S25" s="110"/>
      <c r="T25" s="110"/>
      <c r="U25" s="110"/>
      <c r="V25" s="110"/>
      <c r="W25" s="110"/>
      <c r="X25" s="110"/>
      <c r="Y25" s="110"/>
      <c r="Z25" s="110"/>
      <c r="AA25" s="110"/>
      <c r="AB25" s="110"/>
      <c r="AC25" s="110"/>
      <c r="AD25" s="110"/>
      <c r="AE25" s="110"/>
    </row>
    <row r="26" spans="1:32" ht="18.75" hidden="1" customHeight="1">
      <c r="A26" s="125" t="s">
        <v>241</v>
      </c>
      <c r="B26" s="125"/>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c r="AA26" s="121"/>
      <c r="AB26" s="121"/>
      <c r="AC26" s="121"/>
      <c r="AD26" s="121"/>
      <c r="AE26" s="121"/>
    </row>
    <row r="27" spans="1:32" ht="18.75" hidden="1" customHeight="1">
      <c r="A27" s="125" t="s">
        <v>242</v>
      </c>
      <c r="B27" s="125"/>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row>
    <row r="28" spans="1:32" ht="18.75" hidden="1" customHeight="1">
      <c r="A28" s="238" t="s">
        <v>243</v>
      </c>
      <c r="B28" s="238"/>
      <c r="C28" s="120">
        <f t="shared" ref="C28:AE28" si="0">SUM(C22:C27)</f>
        <v>0</v>
      </c>
      <c r="D28" s="120">
        <f t="shared" si="0"/>
        <v>0</v>
      </c>
      <c r="E28" s="120">
        <f t="shared" si="0"/>
        <v>0</v>
      </c>
      <c r="F28" s="120">
        <f t="shared" si="0"/>
        <v>0</v>
      </c>
      <c r="G28" s="120">
        <f t="shared" si="0"/>
        <v>0</v>
      </c>
      <c r="H28" s="120">
        <f t="shared" si="0"/>
        <v>0</v>
      </c>
      <c r="I28" s="120">
        <f t="shared" si="0"/>
        <v>0</v>
      </c>
      <c r="J28" s="120">
        <f t="shared" si="0"/>
        <v>0</v>
      </c>
      <c r="K28" s="120">
        <f t="shared" si="0"/>
        <v>0</v>
      </c>
      <c r="L28" s="120">
        <f t="shared" si="0"/>
        <v>0</v>
      </c>
      <c r="M28" s="120">
        <f t="shared" si="0"/>
        <v>0</v>
      </c>
      <c r="N28" s="120">
        <f t="shared" si="0"/>
        <v>0</v>
      </c>
      <c r="O28" s="120">
        <f t="shared" si="0"/>
        <v>0</v>
      </c>
      <c r="P28" s="120">
        <f t="shared" si="0"/>
        <v>0</v>
      </c>
      <c r="Q28" s="120">
        <f t="shared" si="0"/>
        <v>0</v>
      </c>
      <c r="R28" s="120">
        <f t="shared" si="0"/>
        <v>0</v>
      </c>
      <c r="S28" s="120">
        <f t="shared" si="0"/>
        <v>0</v>
      </c>
      <c r="T28" s="120">
        <f t="shared" si="0"/>
        <v>0</v>
      </c>
      <c r="U28" s="120">
        <f t="shared" si="0"/>
        <v>0</v>
      </c>
      <c r="V28" s="120">
        <f t="shared" si="0"/>
        <v>0</v>
      </c>
      <c r="W28" s="120">
        <f t="shared" si="0"/>
        <v>0</v>
      </c>
      <c r="X28" s="120">
        <f t="shared" si="0"/>
        <v>0</v>
      </c>
      <c r="Y28" s="120">
        <f t="shared" si="0"/>
        <v>0</v>
      </c>
      <c r="Z28" s="120">
        <f t="shared" si="0"/>
        <v>0</v>
      </c>
      <c r="AA28" s="120">
        <f t="shared" si="0"/>
        <v>0</v>
      </c>
      <c r="AB28" s="120">
        <f t="shared" si="0"/>
        <v>0</v>
      </c>
      <c r="AC28" s="120">
        <f t="shared" si="0"/>
        <v>0</v>
      </c>
      <c r="AD28" s="120">
        <f t="shared" si="0"/>
        <v>0</v>
      </c>
      <c r="AE28" s="120">
        <f t="shared" si="0"/>
        <v>0</v>
      </c>
    </row>
    <row r="29" spans="1:32" ht="18.75" hidden="1" customHeight="1">
      <c r="A29" s="243" t="s">
        <v>244</v>
      </c>
      <c r="B29" t="s">
        <v>245</v>
      </c>
      <c r="C29">
        <f t="shared" ref="C29:AE29" si="1">C28*1000000</f>
        <v>0</v>
      </c>
      <c r="D29">
        <f t="shared" si="1"/>
        <v>0</v>
      </c>
      <c r="E29">
        <f t="shared" si="1"/>
        <v>0</v>
      </c>
      <c r="F29">
        <f t="shared" si="1"/>
        <v>0</v>
      </c>
      <c r="G29">
        <f t="shared" si="1"/>
        <v>0</v>
      </c>
      <c r="H29">
        <f t="shared" si="1"/>
        <v>0</v>
      </c>
      <c r="I29">
        <f t="shared" si="1"/>
        <v>0</v>
      </c>
      <c r="J29">
        <f t="shared" si="1"/>
        <v>0</v>
      </c>
      <c r="K29">
        <f t="shared" si="1"/>
        <v>0</v>
      </c>
      <c r="L29">
        <f t="shared" si="1"/>
        <v>0</v>
      </c>
      <c r="M29">
        <f t="shared" si="1"/>
        <v>0</v>
      </c>
      <c r="N29">
        <f t="shared" si="1"/>
        <v>0</v>
      </c>
      <c r="O29">
        <f t="shared" si="1"/>
        <v>0</v>
      </c>
      <c r="P29">
        <f t="shared" si="1"/>
        <v>0</v>
      </c>
      <c r="Q29">
        <f t="shared" si="1"/>
        <v>0</v>
      </c>
      <c r="R29">
        <f t="shared" si="1"/>
        <v>0</v>
      </c>
      <c r="S29">
        <f t="shared" si="1"/>
        <v>0</v>
      </c>
      <c r="T29">
        <f t="shared" si="1"/>
        <v>0</v>
      </c>
      <c r="U29">
        <f t="shared" si="1"/>
        <v>0</v>
      </c>
      <c r="V29">
        <f t="shared" si="1"/>
        <v>0</v>
      </c>
      <c r="W29">
        <f t="shared" si="1"/>
        <v>0</v>
      </c>
      <c r="X29">
        <f t="shared" si="1"/>
        <v>0</v>
      </c>
      <c r="Y29">
        <f t="shared" si="1"/>
        <v>0</v>
      </c>
      <c r="Z29">
        <f t="shared" si="1"/>
        <v>0</v>
      </c>
      <c r="AA29">
        <f t="shared" si="1"/>
        <v>0</v>
      </c>
      <c r="AB29">
        <f t="shared" si="1"/>
        <v>0</v>
      </c>
      <c r="AC29">
        <f t="shared" si="1"/>
        <v>0</v>
      </c>
      <c r="AD29">
        <f t="shared" si="1"/>
        <v>0</v>
      </c>
      <c r="AE29">
        <f t="shared" si="1"/>
        <v>0</v>
      </c>
      <c r="AF29" s="126">
        <f>SUM(C29:AE29)</f>
        <v>0</v>
      </c>
    </row>
    <row r="30" spans="1:32" ht="18.75" hidden="1" customHeight="1">
      <c r="A30" s="244"/>
      <c r="B30" t="s">
        <v>246</v>
      </c>
      <c r="C30">
        <f t="shared" ref="C30:AE30" si="2">C28*800000</f>
        <v>0</v>
      </c>
      <c r="D30">
        <f t="shared" si="2"/>
        <v>0</v>
      </c>
      <c r="E30">
        <f t="shared" si="2"/>
        <v>0</v>
      </c>
      <c r="F30">
        <f t="shared" si="2"/>
        <v>0</v>
      </c>
      <c r="G30">
        <f t="shared" si="2"/>
        <v>0</v>
      </c>
      <c r="H30">
        <f t="shared" si="2"/>
        <v>0</v>
      </c>
      <c r="I30">
        <f t="shared" si="2"/>
        <v>0</v>
      </c>
      <c r="J30">
        <f t="shared" si="2"/>
        <v>0</v>
      </c>
      <c r="K30">
        <f t="shared" si="2"/>
        <v>0</v>
      </c>
      <c r="L30">
        <f t="shared" si="2"/>
        <v>0</v>
      </c>
      <c r="M30">
        <f t="shared" si="2"/>
        <v>0</v>
      </c>
      <c r="N30">
        <f t="shared" si="2"/>
        <v>0</v>
      </c>
      <c r="O30">
        <f t="shared" si="2"/>
        <v>0</v>
      </c>
      <c r="P30">
        <f t="shared" si="2"/>
        <v>0</v>
      </c>
      <c r="Q30">
        <f t="shared" si="2"/>
        <v>0</v>
      </c>
      <c r="R30">
        <f t="shared" si="2"/>
        <v>0</v>
      </c>
      <c r="S30">
        <f t="shared" si="2"/>
        <v>0</v>
      </c>
      <c r="T30">
        <f t="shared" si="2"/>
        <v>0</v>
      </c>
      <c r="U30">
        <f t="shared" si="2"/>
        <v>0</v>
      </c>
      <c r="V30">
        <f t="shared" si="2"/>
        <v>0</v>
      </c>
      <c r="W30">
        <f t="shared" si="2"/>
        <v>0</v>
      </c>
      <c r="X30">
        <f t="shared" si="2"/>
        <v>0</v>
      </c>
      <c r="Y30">
        <f t="shared" si="2"/>
        <v>0</v>
      </c>
      <c r="Z30">
        <f t="shared" si="2"/>
        <v>0</v>
      </c>
      <c r="AA30">
        <f t="shared" si="2"/>
        <v>0</v>
      </c>
      <c r="AB30">
        <f t="shared" si="2"/>
        <v>0</v>
      </c>
      <c r="AC30">
        <f t="shared" si="2"/>
        <v>0</v>
      </c>
      <c r="AD30">
        <f t="shared" si="2"/>
        <v>0</v>
      </c>
      <c r="AE30">
        <f t="shared" si="2"/>
        <v>0</v>
      </c>
      <c r="AF30" s="126">
        <f>SUM(C30:AE30)</f>
        <v>0</v>
      </c>
    </row>
    <row r="31" spans="1:32" ht="18.75" hidden="1" customHeight="1">
      <c r="A31" s="244" t="s">
        <v>247</v>
      </c>
      <c r="B31" t="s">
        <v>248</v>
      </c>
      <c r="C31">
        <v>1400000</v>
      </c>
      <c r="D31">
        <v>1400000</v>
      </c>
      <c r="E31">
        <v>1400000</v>
      </c>
      <c r="F31">
        <v>1400000</v>
      </c>
      <c r="G31">
        <v>1400000</v>
      </c>
      <c r="H31">
        <v>1400000</v>
      </c>
      <c r="I31">
        <v>1400000</v>
      </c>
      <c r="J31">
        <v>1400000</v>
      </c>
      <c r="K31">
        <v>1400000</v>
      </c>
      <c r="L31">
        <v>1400000</v>
      </c>
      <c r="M31">
        <v>1400000</v>
      </c>
      <c r="N31">
        <v>1400000</v>
      </c>
      <c r="O31">
        <v>1400000</v>
      </c>
      <c r="P31">
        <v>1400000</v>
      </c>
      <c r="Q31">
        <v>1400000</v>
      </c>
      <c r="R31">
        <v>1400000</v>
      </c>
      <c r="S31">
        <v>1400000</v>
      </c>
      <c r="T31">
        <v>1400000</v>
      </c>
      <c r="U31">
        <v>1400000</v>
      </c>
      <c r="V31">
        <v>1400000</v>
      </c>
      <c r="W31">
        <v>1400000</v>
      </c>
      <c r="X31">
        <v>1400000</v>
      </c>
      <c r="Y31">
        <v>1400000</v>
      </c>
      <c r="Z31">
        <v>1400000</v>
      </c>
      <c r="AA31">
        <v>1400000</v>
      </c>
      <c r="AB31">
        <v>1400000</v>
      </c>
      <c r="AC31">
        <v>1400000</v>
      </c>
      <c r="AF31" s="126">
        <f>SUM(C31:AE31)</f>
        <v>37800000</v>
      </c>
    </row>
    <row r="32" spans="1:32" ht="18.75" hidden="1" customHeight="1">
      <c r="A32" s="244"/>
      <c r="B32" t="s">
        <v>249</v>
      </c>
      <c r="C32">
        <v>1000000</v>
      </c>
      <c r="D32">
        <v>1000000</v>
      </c>
      <c r="E32">
        <v>1000000</v>
      </c>
      <c r="F32">
        <v>1000000</v>
      </c>
      <c r="G32">
        <v>1000000</v>
      </c>
      <c r="H32">
        <v>1000000</v>
      </c>
      <c r="I32">
        <v>1000000</v>
      </c>
      <c r="J32">
        <v>1000000</v>
      </c>
      <c r="K32">
        <v>1000000</v>
      </c>
      <c r="L32">
        <v>1000000</v>
      </c>
      <c r="M32">
        <v>1000000</v>
      </c>
      <c r="N32">
        <v>1000000</v>
      </c>
      <c r="O32">
        <v>1000000</v>
      </c>
      <c r="P32">
        <v>1000000</v>
      </c>
      <c r="Q32">
        <v>1000000</v>
      </c>
      <c r="R32">
        <v>1000000</v>
      </c>
      <c r="S32">
        <v>1000000</v>
      </c>
      <c r="T32">
        <v>1000000</v>
      </c>
      <c r="U32">
        <v>1000000</v>
      </c>
      <c r="V32">
        <v>1000000</v>
      </c>
      <c r="W32">
        <v>1000000</v>
      </c>
      <c r="X32">
        <v>1000000</v>
      </c>
      <c r="Y32">
        <v>1000000</v>
      </c>
      <c r="Z32">
        <v>1000000</v>
      </c>
      <c r="AA32">
        <v>1000000</v>
      </c>
      <c r="AB32">
        <v>1000000</v>
      </c>
      <c r="AC32">
        <v>1000000</v>
      </c>
      <c r="AF32" s="126">
        <f>SUM(C32:AE32)</f>
        <v>27000000</v>
      </c>
    </row>
    <row r="33" spans="1:32" ht="18.75" hidden="1" customHeight="1">
      <c r="AD33" s="242" t="s">
        <v>250</v>
      </c>
      <c r="AE33" s="242"/>
      <c r="AF33" s="127">
        <f>AF29+AF31</f>
        <v>37800000</v>
      </c>
    </row>
    <row r="34" spans="1:32" ht="18.75" hidden="1" customHeight="1">
      <c r="AD34" s="242" t="s">
        <v>251</v>
      </c>
      <c r="AE34" s="242"/>
      <c r="AF34" s="127">
        <f>AF30+AF32</f>
        <v>27000000</v>
      </c>
    </row>
    <row r="35" spans="1:32" ht="18.75" hidden="1" customHeight="1">
      <c r="AD35" s="242" t="s">
        <v>252</v>
      </c>
      <c r="AE35" s="242"/>
      <c r="AF35" s="127">
        <f>AF33-AF34</f>
        <v>10800000</v>
      </c>
    </row>
    <row r="36" spans="1:32" ht="18.75" hidden="1" customHeight="1">
      <c r="AD36" s="242" t="s">
        <v>253</v>
      </c>
      <c r="AE36" s="242"/>
      <c r="AF36" s="128">
        <f>AF35/AF33</f>
        <v>0.2857142857142857</v>
      </c>
    </row>
    <row r="37" spans="1:32" ht="18.75" hidden="1" customHeight="1"/>
    <row r="38" spans="1:32" ht="18.75" hidden="1" customHeight="1"/>
    <row r="39" spans="1:32" ht="18.75" hidden="1" customHeight="1"/>
    <row r="40" spans="1:32" ht="18.75" hidden="1" customHeight="1"/>
    <row r="41" spans="1:32" ht="18.75" hidden="1" customHeight="1"/>
    <row r="42" spans="1:32" ht="18.75" hidden="1" customHeight="1"/>
    <row r="43" spans="1:32" ht="18.75" hidden="1" customHeight="1"/>
    <row r="44" spans="1:32" ht="18.75" hidden="1" customHeight="1"/>
    <row r="45" spans="1:32" ht="18.75" hidden="1" customHeight="1" outlineLevel="1">
      <c r="A45" s="150" t="s">
        <v>254</v>
      </c>
    </row>
    <row r="46" spans="1:32" ht="18.75" hidden="1" customHeight="1" outlineLevel="1">
      <c r="A46" t="s">
        <v>255</v>
      </c>
    </row>
    <row r="47" spans="1:32" ht="18.75" hidden="1" customHeight="1" outlineLevel="1">
      <c r="A47" t="s">
        <v>256</v>
      </c>
    </row>
    <row r="48" spans="1:32" ht="18.75" hidden="1" customHeight="1" outlineLevel="1">
      <c r="A48" t="s">
        <v>257</v>
      </c>
    </row>
    <row r="49" spans="1:43" ht="18.75" hidden="1" customHeight="1" outlineLevel="1">
      <c r="A49" t="s">
        <v>258</v>
      </c>
    </row>
    <row r="50" spans="1:43" ht="18.75" hidden="1" customHeight="1" outlineLevel="1"/>
    <row r="51" spans="1:43" ht="18.75" hidden="1" customHeight="1" outlineLevel="1"/>
    <row r="52" spans="1:43" ht="18.75" hidden="1" customHeight="1" outlineLevel="1"/>
    <row r="53" spans="1:43" ht="18.75" hidden="1" customHeight="1" outlineLevel="1">
      <c r="A53" s="150" t="s">
        <v>259</v>
      </c>
    </row>
    <row r="54" spans="1:43" ht="18.75" hidden="1" customHeight="1" outlineLevel="1">
      <c r="A54" s="12" t="s">
        <v>260</v>
      </c>
    </row>
    <row r="55" spans="1:43" ht="18.75" hidden="1" customHeight="1" outlineLevel="1">
      <c r="A55" s="12" t="s">
        <v>261</v>
      </c>
    </row>
    <row r="56" spans="1:43" ht="18.75" hidden="1" customHeight="1" outlineLevel="1">
      <c r="A56" s="12" t="s">
        <v>262</v>
      </c>
    </row>
    <row r="57" spans="1:43" ht="18.75" hidden="1" customHeight="1" outlineLevel="1">
      <c r="A57" s="150"/>
    </row>
    <row r="58" spans="1:43" ht="18.75" hidden="1" customHeight="1" outlineLevel="1">
      <c r="A58" s="150"/>
    </row>
    <row r="59" spans="1:43" ht="18.75" customHeight="1" collapsed="1">
      <c r="A59" s="150"/>
    </row>
    <row r="60" spans="1:43" ht="18.75" customHeight="1">
      <c r="A60" s="124" t="s">
        <v>236</v>
      </c>
      <c r="B60" s="124"/>
    </row>
    <row r="61" spans="1:43" ht="18.75" customHeight="1">
      <c r="A61" s="111" t="s">
        <v>263</v>
      </c>
      <c r="B61" s="180">
        <f>SUM(C61:AC61)</f>
        <v>11.5</v>
      </c>
      <c r="C61" s="110"/>
      <c r="D61" s="110">
        <v>0.5</v>
      </c>
      <c r="E61" s="110">
        <v>1</v>
      </c>
      <c r="F61" s="110">
        <v>1</v>
      </c>
      <c r="G61" s="110">
        <v>2</v>
      </c>
      <c r="H61" s="110">
        <v>2</v>
      </c>
      <c r="I61" s="110">
        <v>2</v>
      </c>
      <c r="J61" s="110">
        <v>1</v>
      </c>
      <c r="K61" s="110">
        <v>1</v>
      </c>
      <c r="L61" s="110">
        <v>1</v>
      </c>
      <c r="M61" s="110"/>
      <c r="N61" s="110"/>
      <c r="O61" s="110"/>
      <c r="P61" s="110"/>
      <c r="Q61" s="110"/>
      <c r="R61" s="110"/>
      <c r="S61" s="110"/>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row>
    <row r="62" spans="1:43" ht="18.75" customHeight="1">
      <c r="A62" s="111" t="s">
        <v>264</v>
      </c>
      <c r="B62" s="180">
        <f>SUM(C62:AC62)</f>
        <v>11.5</v>
      </c>
      <c r="C62" s="110"/>
      <c r="D62" s="110">
        <v>0.5</v>
      </c>
      <c r="E62" s="110">
        <v>1</v>
      </c>
      <c r="F62" s="110">
        <v>1</v>
      </c>
      <c r="G62" s="110">
        <v>2</v>
      </c>
      <c r="H62" s="110">
        <v>2</v>
      </c>
      <c r="I62" s="110">
        <v>2</v>
      </c>
      <c r="J62" s="110">
        <v>1</v>
      </c>
      <c r="K62" s="110">
        <v>1</v>
      </c>
      <c r="L62" s="110">
        <v>1</v>
      </c>
      <c r="M62" s="110"/>
      <c r="N62" s="110"/>
      <c r="O62" s="110"/>
      <c r="P62" s="110"/>
      <c r="Q62" s="110"/>
      <c r="R62" s="110"/>
      <c r="S62" s="110"/>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110"/>
    </row>
    <row r="63" spans="1:43" ht="18.75" customHeight="1">
      <c r="A63" s="123" t="s">
        <v>238</v>
      </c>
      <c r="B63" s="180">
        <f>SUM(C63:AC63)</f>
        <v>7.5</v>
      </c>
      <c r="C63" s="122"/>
      <c r="D63" s="110">
        <v>0.5</v>
      </c>
      <c r="E63" s="110">
        <v>0.5</v>
      </c>
      <c r="F63" s="159">
        <v>0.5</v>
      </c>
      <c r="G63" s="122">
        <v>1.5</v>
      </c>
      <c r="H63" s="122">
        <v>1.5</v>
      </c>
      <c r="I63" s="122">
        <v>1</v>
      </c>
      <c r="J63" s="122">
        <v>1</v>
      </c>
      <c r="K63" s="121">
        <v>0.5</v>
      </c>
      <c r="L63" s="121">
        <v>0.5</v>
      </c>
      <c r="M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c r="AL63" s="122"/>
      <c r="AM63" s="122"/>
      <c r="AN63" s="122"/>
      <c r="AO63" s="122"/>
      <c r="AP63" s="122"/>
      <c r="AQ63" s="122"/>
    </row>
    <row r="64" spans="1:43" ht="18.75" customHeight="1">
      <c r="A64" s="125" t="s">
        <v>233</v>
      </c>
      <c r="B64" s="180">
        <f t="shared" ref="B64:B67" si="3">SUM(C64:AC64)</f>
        <v>7.4</v>
      </c>
      <c r="C64" s="121"/>
      <c r="D64" s="121"/>
      <c r="E64" s="121"/>
      <c r="F64" s="121"/>
      <c r="G64" s="121">
        <v>0.5</v>
      </c>
      <c r="H64" s="121">
        <v>0.5</v>
      </c>
      <c r="I64" s="121"/>
      <c r="J64" s="121"/>
      <c r="K64" s="121">
        <v>1</v>
      </c>
      <c r="L64" s="121">
        <v>1</v>
      </c>
      <c r="M64" s="121">
        <v>1</v>
      </c>
      <c r="N64" s="121"/>
      <c r="O64" s="121"/>
      <c r="P64" s="121"/>
      <c r="Q64" s="121"/>
      <c r="R64" s="121">
        <v>1</v>
      </c>
      <c r="S64" s="121">
        <v>1</v>
      </c>
      <c r="T64" s="121">
        <v>1.4</v>
      </c>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row>
    <row r="65" spans="1:44" ht="18.75" customHeight="1">
      <c r="A65" s="125" t="s">
        <v>265</v>
      </c>
      <c r="B65" s="180">
        <f t="shared" ref="B65" si="4">SUM(C65:AC65)</f>
        <v>1</v>
      </c>
      <c r="C65" s="121"/>
      <c r="D65" s="121"/>
      <c r="E65" s="121"/>
      <c r="F65" s="121"/>
      <c r="G65" s="121"/>
      <c r="H65" s="121"/>
      <c r="I65" s="121"/>
      <c r="J65" s="121">
        <v>1</v>
      </c>
      <c r="K65" s="121"/>
      <c r="L65" s="121"/>
      <c r="M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row>
    <row r="66" spans="1:44" ht="18.75" customHeight="1">
      <c r="A66" s="125" t="s">
        <v>266</v>
      </c>
      <c r="B66" s="180">
        <f t="shared" si="3"/>
        <v>10</v>
      </c>
      <c r="C66" s="121"/>
      <c r="D66" s="121"/>
      <c r="E66" s="121"/>
      <c r="F66" s="121"/>
      <c r="G66" s="121"/>
      <c r="H66" s="121"/>
      <c r="I66" s="121"/>
      <c r="J66" s="121"/>
      <c r="K66" s="121"/>
      <c r="L66" s="121"/>
      <c r="M66" s="121"/>
      <c r="N66" s="121">
        <v>1</v>
      </c>
      <c r="O66" s="121">
        <v>1</v>
      </c>
      <c r="P66" s="121">
        <v>1</v>
      </c>
      <c r="Q66" s="121">
        <v>1</v>
      </c>
      <c r="R66" s="121">
        <v>2</v>
      </c>
      <c r="S66" s="121">
        <v>2</v>
      </c>
      <c r="T66" s="121">
        <v>1</v>
      </c>
      <c r="U66" s="121">
        <v>1</v>
      </c>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row>
    <row r="67" spans="1:44" ht="18.75" customHeight="1">
      <c r="A67" s="125" t="s">
        <v>267</v>
      </c>
      <c r="B67" s="180">
        <f t="shared" si="3"/>
        <v>11.5</v>
      </c>
      <c r="C67" s="121"/>
      <c r="D67" s="121"/>
      <c r="E67" s="121"/>
      <c r="F67" s="121"/>
      <c r="G67" s="121"/>
      <c r="H67" s="121"/>
      <c r="I67" s="121"/>
      <c r="J67" s="121"/>
      <c r="K67" s="121"/>
      <c r="L67" s="121"/>
      <c r="M67" s="121"/>
      <c r="N67" s="121"/>
      <c r="O67" s="121"/>
      <c r="P67" s="121"/>
      <c r="Q67" s="121"/>
      <c r="R67" s="121">
        <v>1</v>
      </c>
      <c r="S67" s="121">
        <v>1</v>
      </c>
      <c r="T67" s="121">
        <v>1</v>
      </c>
      <c r="U67" s="121">
        <v>2</v>
      </c>
      <c r="V67" s="121">
        <v>2</v>
      </c>
      <c r="W67" s="121">
        <v>2</v>
      </c>
      <c r="X67" s="121">
        <v>1.5</v>
      </c>
      <c r="Y67" s="121">
        <v>1</v>
      </c>
      <c r="Z67" s="121"/>
      <c r="AA67" s="121"/>
      <c r="AB67" s="121"/>
      <c r="AC67" s="121"/>
      <c r="AD67" s="121"/>
      <c r="AE67" s="121"/>
      <c r="AF67" s="121"/>
      <c r="AG67" s="121"/>
      <c r="AH67" s="121"/>
      <c r="AI67" s="121"/>
      <c r="AJ67" s="121"/>
      <c r="AK67" s="121"/>
      <c r="AL67" s="121"/>
      <c r="AM67" s="121"/>
      <c r="AN67" s="121"/>
      <c r="AO67" s="121"/>
      <c r="AP67" s="121"/>
      <c r="AQ67" s="121"/>
    </row>
    <row r="68" spans="1:44" ht="18.75" customHeight="1">
      <c r="A68" s="238" t="s">
        <v>243</v>
      </c>
      <c r="B68" s="238"/>
      <c r="C68" s="173">
        <f t="shared" ref="C68:AQ68" si="5">SUM(C61:C67)</f>
        <v>0</v>
      </c>
      <c r="D68" s="174">
        <f t="shared" si="5"/>
        <v>1.5</v>
      </c>
      <c r="E68" s="174">
        <f t="shared" si="5"/>
        <v>2.5</v>
      </c>
      <c r="F68" s="174">
        <f t="shared" si="5"/>
        <v>2.5</v>
      </c>
      <c r="G68" s="174">
        <f t="shared" si="5"/>
        <v>6</v>
      </c>
      <c r="H68" s="174">
        <f t="shared" si="5"/>
        <v>6</v>
      </c>
      <c r="I68" s="174">
        <f t="shared" si="5"/>
        <v>5</v>
      </c>
      <c r="J68" s="174">
        <f t="shared" si="5"/>
        <v>4</v>
      </c>
      <c r="K68" s="174">
        <f t="shared" si="5"/>
        <v>3.5</v>
      </c>
      <c r="L68" s="174">
        <f t="shared" si="5"/>
        <v>3.5</v>
      </c>
      <c r="M68" s="174">
        <f t="shared" si="5"/>
        <v>1</v>
      </c>
      <c r="N68" s="174">
        <f t="shared" si="5"/>
        <v>1</v>
      </c>
      <c r="O68" s="174">
        <f t="shared" si="5"/>
        <v>1</v>
      </c>
      <c r="P68" s="174">
        <f t="shared" si="5"/>
        <v>1</v>
      </c>
      <c r="Q68" s="174">
        <f t="shared" si="5"/>
        <v>1</v>
      </c>
      <c r="R68" s="174">
        <f>SUM(R61:R67)</f>
        <v>4</v>
      </c>
      <c r="S68" s="174">
        <f>SUM(S61:S67)</f>
        <v>4</v>
      </c>
      <c r="T68" s="174">
        <f>SUM(T61:T67)</f>
        <v>3.4</v>
      </c>
      <c r="U68" s="174">
        <f>SUM(U61:U67)</f>
        <v>3</v>
      </c>
      <c r="V68" s="174">
        <f>SUM(V61:V67)</f>
        <v>2</v>
      </c>
      <c r="W68" s="174">
        <f>SUM(W61:W67)</f>
        <v>2</v>
      </c>
      <c r="X68" s="174">
        <f>SUM(X61:X67)</f>
        <v>1.5</v>
      </c>
      <c r="Y68" s="174">
        <f>SUM(Y61:Y67)</f>
        <v>1</v>
      </c>
      <c r="Z68" s="174">
        <f t="shared" si="5"/>
        <v>0</v>
      </c>
      <c r="AA68" s="174">
        <f t="shared" si="5"/>
        <v>0</v>
      </c>
      <c r="AB68" s="174">
        <f t="shared" si="5"/>
        <v>0</v>
      </c>
      <c r="AC68" s="174">
        <f t="shared" si="5"/>
        <v>0</v>
      </c>
      <c r="AD68" s="157">
        <f t="shared" si="5"/>
        <v>0</v>
      </c>
      <c r="AE68" s="157">
        <f t="shared" si="5"/>
        <v>0</v>
      </c>
      <c r="AF68" s="157">
        <f t="shared" si="5"/>
        <v>0</v>
      </c>
      <c r="AG68" s="157">
        <f t="shared" si="5"/>
        <v>0</v>
      </c>
      <c r="AH68" s="157">
        <f t="shared" si="5"/>
        <v>0</v>
      </c>
      <c r="AI68" s="157">
        <f t="shared" si="5"/>
        <v>0</v>
      </c>
      <c r="AJ68" s="157">
        <f t="shared" si="5"/>
        <v>0</v>
      </c>
      <c r="AK68" s="157">
        <f t="shared" si="5"/>
        <v>0</v>
      </c>
      <c r="AL68" s="157">
        <f t="shared" si="5"/>
        <v>0</v>
      </c>
      <c r="AM68" s="157">
        <f t="shared" si="5"/>
        <v>0</v>
      </c>
      <c r="AN68" s="157">
        <f t="shared" si="5"/>
        <v>0</v>
      </c>
      <c r="AO68" s="157">
        <f t="shared" si="5"/>
        <v>0</v>
      </c>
      <c r="AP68" s="157">
        <f t="shared" si="5"/>
        <v>0</v>
      </c>
      <c r="AQ68" s="157">
        <f t="shared" si="5"/>
        <v>0</v>
      </c>
    </row>
    <row r="69" spans="1:44" ht="18.75" hidden="1" customHeight="1">
      <c r="A69" s="243" t="s">
        <v>244</v>
      </c>
      <c r="B69" t="s">
        <v>245</v>
      </c>
      <c r="C69">
        <f>C68*1000000</f>
        <v>0</v>
      </c>
      <c r="D69">
        <f t="shared" ref="D69:AQ69" si="6">D68*1000000</f>
        <v>1500000</v>
      </c>
      <c r="E69">
        <f t="shared" si="6"/>
        <v>2500000</v>
      </c>
      <c r="F69">
        <f t="shared" si="6"/>
        <v>2500000</v>
      </c>
      <c r="G69">
        <f t="shared" si="6"/>
        <v>6000000</v>
      </c>
      <c r="H69">
        <f t="shared" si="6"/>
        <v>6000000</v>
      </c>
      <c r="I69">
        <f t="shared" si="6"/>
        <v>5000000</v>
      </c>
      <c r="J69">
        <f t="shared" si="6"/>
        <v>4000000</v>
      </c>
      <c r="K69">
        <f t="shared" si="6"/>
        <v>3500000</v>
      </c>
      <c r="L69">
        <f t="shared" si="6"/>
        <v>3500000</v>
      </c>
      <c r="M69">
        <f t="shared" si="6"/>
        <v>1000000</v>
      </c>
      <c r="N69">
        <f t="shared" si="6"/>
        <v>1000000</v>
      </c>
      <c r="O69">
        <f t="shared" si="6"/>
        <v>1000000</v>
      </c>
      <c r="P69">
        <f t="shared" si="6"/>
        <v>1000000</v>
      </c>
      <c r="Q69">
        <f t="shared" si="6"/>
        <v>1000000</v>
      </c>
      <c r="R69">
        <f t="shared" si="6"/>
        <v>4000000</v>
      </c>
      <c r="S69">
        <f t="shared" si="6"/>
        <v>4000000</v>
      </c>
      <c r="T69">
        <f t="shared" si="6"/>
        <v>3400000</v>
      </c>
      <c r="U69">
        <f t="shared" si="6"/>
        <v>3000000</v>
      </c>
      <c r="V69">
        <f t="shared" si="6"/>
        <v>2000000</v>
      </c>
      <c r="W69">
        <f t="shared" si="6"/>
        <v>2000000</v>
      </c>
      <c r="X69">
        <f t="shared" si="6"/>
        <v>1500000</v>
      </c>
      <c r="Y69">
        <f t="shared" si="6"/>
        <v>1000000</v>
      </c>
      <c r="Z69">
        <f t="shared" si="6"/>
        <v>0</v>
      </c>
      <c r="AA69">
        <f t="shared" si="6"/>
        <v>0</v>
      </c>
      <c r="AB69">
        <f t="shared" si="6"/>
        <v>0</v>
      </c>
      <c r="AC69">
        <f t="shared" si="6"/>
        <v>0</v>
      </c>
      <c r="AD69">
        <f t="shared" si="6"/>
        <v>0</v>
      </c>
      <c r="AE69">
        <f t="shared" si="6"/>
        <v>0</v>
      </c>
      <c r="AF69">
        <f t="shared" si="6"/>
        <v>0</v>
      </c>
      <c r="AG69">
        <f t="shared" si="6"/>
        <v>0</v>
      </c>
      <c r="AH69">
        <f t="shared" si="6"/>
        <v>0</v>
      </c>
      <c r="AI69">
        <f t="shared" si="6"/>
        <v>0</v>
      </c>
      <c r="AJ69">
        <f t="shared" si="6"/>
        <v>0</v>
      </c>
      <c r="AK69">
        <f t="shared" si="6"/>
        <v>0</v>
      </c>
      <c r="AL69">
        <f t="shared" si="6"/>
        <v>0</v>
      </c>
      <c r="AM69">
        <f t="shared" si="6"/>
        <v>0</v>
      </c>
      <c r="AN69">
        <f t="shared" si="6"/>
        <v>0</v>
      </c>
      <c r="AO69">
        <f t="shared" si="6"/>
        <v>0</v>
      </c>
      <c r="AP69">
        <f t="shared" si="6"/>
        <v>0</v>
      </c>
      <c r="AQ69">
        <f t="shared" si="6"/>
        <v>0</v>
      </c>
      <c r="AR69" s="126">
        <f>SUM(C69:AQ69)</f>
        <v>60400000</v>
      </c>
    </row>
    <row r="70" spans="1:44" ht="18.75" hidden="1" customHeight="1">
      <c r="A70" s="244"/>
      <c r="B70" t="s">
        <v>246</v>
      </c>
      <c r="C70">
        <f>C68*800000</f>
        <v>0</v>
      </c>
      <c r="D70">
        <f t="shared" ref="D70:AQ70" si="7">D68*800000</f>
        <v>1200000</v>
      </c>
      <c r="E70">
        <f t="shared" si="7"/>
        <v>2000000</v>
      </c>
      <c r="F70">
        <f t="shared" si="7"/>
        <v>2000000</v>
      </c>
      <c r="G70">
        <f t="shared" si="7"/>
        <v>4800000</v>
      </c>
      <c r="H70">
        <f t="shared" si="7"/>
        <v>4800000</v>
      </c>
      <c r="I70">
        <f t="shared" si="7"/>
        <v>4000000</v>
      </c>
      <c r="J70">
        <f t="shared" si="7"/>
        <v>3200000</v>
      </c>
      <c r="K70">
        <f t="shared" si="7"/>
        <v>2800000</v>
      </c>
      <c r="L70">
        <f t="shared" si="7"/>
        <v>2800000</v>
      </c>
      <c r="M70">
        <f t="shared" si="7"/>
        <v>800000</v>
      </c>
      <c r="N70">
        <f t="shared" si="7"/>
        <v>800000</v>
      </c>
      <c r="O70">
        <f t="shared" si="7"/>
        <v>800000</v>
      </c>
      <c r="P70">
        <f t="shared" si="7"/>
        <v>800000</v>
      </c>
      <c r="Q70">
        <f t="shared" si="7"/>
        <v>800000</v>
      </c>
      <c r="R70">
        <f t="shared" si="7"/>
        <v>3200000</v>
      </c>
      <c r="S70">
        <f t="shared" si="7"/>
        <v>3200000</v>
      </c>
      <c r="T70">
        <f t="shared" si="7"/>
        <v>2720000</v>
      </c>
      <c r="U70">
        <f t="shared" si="7"/>
        <v>2400000</v>
      </c>
      <c r="V70">
        <f t="shared" si="7"/>
        <v>1600000</v>
      </c>
      <c r="W70">
        <f t="shared" si="7"/>
        <v>1600000</v>
      </c>
      <c r="X70">
        <f t="shared" si="7"/>
        <v>1200000</v>
      </c>
      <c r="Y70">
        <f t="shared" si="7"/>
        <v>800000</v>
      </c>
      <c r="Z70">
        <f t="shared" si="7"/>
        <v>0</v>
      </c>
      <c r="AA70">
        <f t="shared" si="7"/>
        <v>0</v>
      </c>
      <c r="AB70">
        <f t="shared" si="7"/>
        <v>0</v>
      </c>
      <c r="AC70">
        <f t="shared" si="7"/>
        <v>0</v>
      </c>
      <c r="AD70">
        <f t="shared" si="7"/>
        <v>0</v>
      </c>
      <c r="AE70">
        <f t="shared" si="7"/>
        <v>0</v>
      </c>
      <c r="AF70">
        <f t="shared" si="7"/>
        <v>0</v>
      </c>
      <c r="AG70">
        <f t="shared" si="7"/>
        <v>0</v>
      </c>
      <c r="AH70">
        <f t="shared" si="7"/>
        <v>0</v>
      </c>
      <c r="AI70">
        <f t="shared" si="7"/>
        <v>0</v>
      </c>
      <c r="AJ70">
        <f t="shared" si="7"/>
        <v>0</v>
      </c>
      <c r="AK70">
        <f t="shared" si="7"/>
        <v>0</v>
      </c>
      <c r="AL70">
        <f t="shared" si="7"/>
        <v>0</v>
      </c>
      <c r="AM70">
        <f t="shared" si="7"/>
        <v>0</v>
      </c>
      <c r="AN70">
        <f t="shared" si="7"/>
        <v>0</v>
      </c>
      <c r="AO70">
        <f t="shared" si="7"/>
        <v>0</v>
      </c>
      <c r="AP70">
        <f t="shared" si="7"/>
        <v>0</v>
      </c>
      <c r="AQ70">
        <f t="shared" si="7"/>
        <v>0</v>
      </c>
      <c r="AR70" s="126">
        <f>SUM(C70:AQ70)</f>
        <v>48320000</v>
      </c>
    </row>
    <row r="71" spans="1:44" ht="18.75" hidden="1" customHeight="1">
      <c r="A71" s="244" t="s">
        <v>247</v>
      </c>
      <c r="B71" t="s">
        <v>248</v>
      </c>
      <c r="F71">
        <v>1400000</v>
      </c>
      <c r="G71">
        <v>1400000</v>
      </c>
      <c r="H71">
        <v>1400000</v>
      </c>
      <c r="I71">
        <v>1400000</v>
      </c>
      <c r="J71">
        <v>1400000</v>
      </c>
      <c r="K71">
        <v>1400000</v>
      </c>
      <c r="L71">
        <v>1400000</v>
      </c>
      <c r="M71">
        <v>1400000</v>
      </c>
      <c r="N71">
        <v>1400000</v>
      </c>
      <c r="O71">
        <v>1400000</v>
      </c>
      <c r="P71">
        <v>1400000</v>
      </c>
      <c r="Q71">
        <v>1400000</v>
      </c>
      <c r="R71">
        <v>1400000</v>
      </c>
      <c r="S71">
        <v>1400000</v>
      </c>
      <c r="T71">
        <v>1400000</v>
      </c>
      <c r="U71">
        <v>1400000</v>
      </c>
      <c r="V71">
        <v>1400000</v>
      </c>
      <c r="W71">
        <v>1400000</v>
      </c>
      <c r="X71">
        <v>1400000</v>
      </c>
      <c r="Y71">
        <v>1400000</v>
      </c>
      <c r="Z71">
        <v>1400000</v>
      </c>
      <c r="AA71">
        <v>1400000</v>
      </c>
      <c r="AB71">
        <v>1400000</v>
      </c>
      <c r="AC71">
        <v>1400000</v>
      </c>
      <c r="AD71">
        <v>1400000</v>
      </c>
      <c r="AE71">
        <v>1400000</v>
      </c>
      <c r="AF71">
        <v>1400000</v>
      </c>
      <c r="AG71">
        <v>1400000</v>
      </c>
      <c r="AH71">
        <v>1400000</v>
      </c>
      <c r="AI71">
        <v>1400000</v>
      </c>
      <c r="AJ71">
        <v>1400000</v>
      </c>
      <c r="AK71">
        <v>1400000</v>
      </c>
      <c r="AL71">
        <v>1400000</v>
      </c>
      <c r="AM71">
        <v>1400000</v>
      </c>
      <c r="AN71">
        <v>1400000</v>
      </c>
      <c r="AO71">
        <v>1400000</v>
      </c>
      <c r="AR71" s="126">
        <f>SUM(C71:AQ71)</f>
        <v>50400000</v>
      </c>
    </row>
    <row r="72" spans="1:44" ht="18.75" hidden="1" customHeight="1">
      <c r="A72" s="244"/>
      <c r="B72" t="s">
        <v>249</v>
      </c>
      <c r="F72">
        <v>1000000</v>
      </c>
      <c r="G72">
        <v>1000000</v>
      </c>
      <c r="H72">
        <v>1000000</v>
      </c>
      <c r="I72">
        <v>1000000</v>
      </c>
      <c r="J72">
        <v>1000000</v>
      </c>
      <c r="K72">
        <v>1000000</v>
      </c>
      <c r="L72">
        <v>1000000</v>
      </c>
      <c r="M72">
        <v>1000000</v>
      </c>
      <c r="N72">
        <v>1000000</v>
      </c>
      <c r="O72">
        <v>1000000</v>
      </c>
      <c r="P72">
        <v>1000000</v>
      </c>
      <c r="Q72">
        <v>1000000</v>
      </c>
      <c r="R72">
        <v>1000000</v>
      </c>
      <c r="S72">
        <v>1000000</v>
      </c>
      <c r="T72">
        <v>1000000</v>
      </c>
      <c r="U72">
        <v>1000000</v>
      </c>
      <c r="V72">
        <v>1000000</v>
      </c>
      <c r="W72">
        <v>1000000</v>
      </c>
      <c r="X72">
        <v>1000000</v>
      </c>
      <c r="Y72">
        <v>1000000</v>
      </c>
      <c r="Z72">
        <v>1000000</v>
      </c>
      <c r="AA72">
        <v>1000000</v>
      </c>
      <c r="AB72">
        <v>1000000</v>
      </c>
      <c r="AC72">
        <v>1000000</v>
      </c>
      <c r="AD72">
        <v>1000000</v>
      </c>
      <c r="AE72">
        <v>1000000</v>
      </c>
      <c r="AF72">
        <v>1000000</v>
      </c>
      <c r="AG72">
        <v>1000000</v>
      </c>
      <c r="AH72">
        <v>1000000</v>
      </c>
      <c r="AI72">
        <v>1000000</v>
      </c>
      <c r="AJ72">
        <v>1000000</v>
      </c>
      <c r="AK72">
        <v>1000000</v>
      </c>
      <c r="AL72">
        <v>1000000</v>
      </c>
      <c r="AM72">
        <v>1000000</v>
      </c>
      <c r="AN72">
        <v>1000000</v>
      </c>
      <c r="AO72">
        <v>1000000</v>
      </c>
      <c r="AR72" s="126">
        <f>SUM(C72:AQ72)</f>
        <v>36000000</v>
      </c>
    </row>
    <row r="73" spans="1:44" ht="18.75" hidden="1" customHeight="1">
      <c r="AP73" s="242" t="s">
        <v>250</v>
      </c>
      <c r="AQ73" s="242"/>
      <c r="AR73" s="127">
        <f>AR69+AR71</f>
        <v>110800000</v>
      </c>
    </row>
    <row r="74" spans="1:44" ht="18.75" hidden="1" customHeight="1">
      <c r="AP74" s="242" t="s">
        <v>251</v>
      </c>
      <c r="AQ74" s="242"/>
      <c r="AR74" s="127">
        <f>AR70+AR72</f>
        <v>84320000</v>
      </c>
    </row>
    <row r="75" spans="1:44" ht="18.75" hidden="1" customHeight="1">
      <c r="A75" s="150"/>
    </row>
    <row r="76" spans="1:44" ht="18.75" hidden="1" customHeight="1">
      <c r="A76" s="150"/>
    </row>
    <row r="77" spans="1:44" ht="18.75" hidden="1" customHeight="1">
      <c r="A77" s="150"/>
    </row>
    <row r="78" spans="1:44" ht="18.75" hidden="1" customHeight="1">
      <c r="A78" s="150"/>
    </row>
    <row r="79" spans="1:44" ht="18.75" hidden="1" customHeight="1">
      <c r="A79" s="150"/>
    </row>
    <row r="80" spans="1:44" ht="18.75" hidden="1" customHeight="1">
      <c r="A80" s="150"/>
    </row>
    <row r="81" spans="1:1" ht="18.75" hidden="1" customHeight="1">
      <c r="A81" s="150"/>
    </row>
    <row r="82" spans="1:1" ht="18.75" hidden="1" customHeight="1">
      <c r="A82" s="150"/>
    </row>
    <row r="83" spans="1:1" ht="18.75" hidden="1" customHeight="1">
      <c r="A83" s="150"/>
    </row>
    <row r="84" spans="1:1" ht="18.75" hidden="1" customHeight="1">
      <c r="A84" s="150"/>
    </row>
    <row r="85" spans="1:1" ht="18.75" hidden="1" customHeight="1">
      <c r="A85" s="150"/>
    </row>
    <row r="86" spans="1:1" ht="18.75" hidden="1" customHeight="1">
      <c r="A86" s="150"/>
    </row>
    <row r="87" spans="1:1" ht="18.75" hidden="1" customHeight="1">
      <c r="A87" s="150"/>
    </row>
    <row r="88" spans="1:1" ht="18.75" hidden="1" customHeight="1">
      <c r="A88" s="150"/>
    </row>
    <row r="89" spans="1:1" ht="18.75" hidden="1" customHeight="1">
      <c r="A89" s="150"/>
    </row>
    <row r="90" spans="1:1" ht="18.75" hidden="1" customHeight="1">
      <c r="A90" s="150"/>
    </row>
    <row r="91" spans="1:1" ht="18.75" hidden="1" customHeight="1">
      <c r="A91" s="150"/>
    </row>
    <row r="92" spans="1:1" ht="18.75" hidden="1" customHeight="1">
      <c r="A92" s="150"/>
    </row>
    <row r="93" spans="1:1" ht="18.75" hidden="1" customHeight="1">
      <c r="A93" s="150"/>
    </row>
    <row r="94" spans="1:1" ht="18.75" hidden="1" customHeight="1">
      <c r="A94" s="150"/>
    </row>
    <row r="95" spans="1:1" ht="18.75" hidden="1" customHeight="1">
      <c r="A95" s="150"/>
    </row>
    <row r="96" spans="1:1" ht="18.75" hidden="1" customHeight="1">
      <c r="A96" s="150"/>
    </row>
    <row r="97" spans="1:1" ht="18.75" hidden="1" customHeight="1">
      <c r="A97" s="150"/>
    </row>
    <row r="98" spans="1:1" ht="18.75" hidden="1" customHeight="1">
      <c r="A98" s="150"/>
    </row>
    <row r="99" spans="1:1" ht="18.75" hidden="1" customHeight="1">
      <c r="A99" s="150"/>
    </row>
    <row r="100" spans="1:1" ht="18.75" hidden="1" customHeight="1">
      <c r="A100" s="150"/>
    </row>
    <row r="101" spans="1:1" ht="18.75" hidden="1" customHeight="1">
      <c r="A101" s="150"/>
    </row>
    <row r="102" spans="1:1" ht="18.75" hidden="1" customHeight="1">
      <c r="A102" s="150"/>
    </row>
    <row r="103" spans="1:1" ht="18.75" hidden="1" customHeight="1">
      <c r="A103" s="150"/>
    </row>
    <row r="104" spans="1:1" ht="18.75" hidden="1" customHeight="1">
      <c r="A104" s="150"/>
    </row>
    <row r="105" spans="1:1" ht="18.75" hidden="1" customHeight="1">
      <c r="A105" s="150"/>
    </row>
    <row r="106" spans="1:1" ht="18.75" hidden="1" customHeight="1">
      <c r="A106" s="150"/>
    </row>
    <row r="107" spans="1:1" ht="18.75" hidden="1" customHeight="1">
      <c r="A107" s="150"/>
    </row>
    <row r="108" spans="1:1" ht="18.75" hidden="1" customHeight="1">
      <c r="A108" s="150"/>
    </row>
    <row r="109" spans="1:1" ht="18.75" hidden="1" customHeight="1"/>
    <row r="110" spans="1:1" ht="18.75" hidden="1" customHeight="1">
      <c r="A110" s="150" t="s">
        <v>268</v>
      </c>
    </row>
    <row r="111" spans="1:1" ht="18.75" hidden="1" customHeight="1">
      <c r="A111" s="150" t="s">
        <v>269</v>
      </c>
    </row>
    <row r="112" spans="1:1" ht="18.75" hidden="1" customHeight="1"/>
    <row r="113" ht="18.75" hidden="1" customHeight="1"/>
    <row r="114" ht="18.75" hidden="1" customHeight="1"/>
    <row r="115" ht="18.75" hidden="1" customHeight="1"/>
    <row r="116" ht="18.75" hidden="1" customHeight="1"/>
    <row r="117" ht="18.75" hidden="1" customHeight="1"/>
    <row r="118" ht="18.75" hidden="1" customHeight="1"/>
    <row r="119" ht="18.75" hidden="1" customHeight="1"/>
    <row r="120" ht="18.75" hidden="1" customHeight="1"/>
    <row r="121" ht="18.75" hidden="1" customHeight="1"/>
    <row r="122" ht="18.75" hidden="1" customHeight="1"/>
    <row r="123" ht="18.75" hidden="1" customHeight="1"/>
    <row r="124" ht="18.75" hidden="1" customHeight="1"/>
    <row r="125" ht="18.75" hidden="1" customHeight="1"/>
    <row r="126" ht="18.75" hidden="1" customHeight="1"/>
    <row r="127" ht="18.75" hidden="1" customHeight="1"/>
    <row r="128" ht="18.75" hidden="1" customHeight="1"/>
    <row r="129" spans="1:43" ht="18.75" hidden="1" customHeight="1"/>
    <row r="130" spans="1:43" ht="18.75" hidden="1" customHeight="1"/>
    <row r="131" spans="1:43" ht="18.75" hidden="1" customHeight="1"/>
    <row r="132" spans="1:43" ht="18.75" hidden="1" customHeight="1"/>
    <row r="133" spans="1:43" ht="18.75" hidden="1" customHeight="1"/>
    <row r="134" spans="1:43" ht="18.75" hidden="1" customHeight="1"/>
    <row r="135" spans="1:43" ht="18.75" hidden="1" customHeight="1"/>
    <row r="136" spans="1:43" ht="18.75" hidden="1" customHeight="1"/>
    <row r="137" spans="1:43" ht="18.75" hidden="1" customHeight="1"/>
    <row r="138" spans="1:43" ht="18.75" hidden="1" customHeight="1"/>
    <row r="139" spans="1:43" ht="18.75" hidden="1" customHeight="1"/>
    <row r="140" spans="1:43" ht="18.75" hidden="1" customHeight="1"/>
    <row r="142" spans="1:43" ht="18.75" customHeight="1">
      <c r="A142" s="150" t="s">
        <v>270</v>
      </c>
      <c r="C142" s="181" t="s">
        <v>271</v>
      </c>
    </row>
    <row r="143" spans="1:43" ht="18.75" customHeight="1">
      <c r="A143" s="176" t="s">
        <v>272</v>
      </c>
      <c r="B143" s="176" t="s">
        <v>273</v>
      </c>
      <c r="C143" s="182" t="s">
        <v>274</v>
      </c>
      <c r="G143" t="s">
        <v>275</v>
      </c>
    </row>
    <row r="144" spans="1:43" ht="18.75" customHeight="1" outlineLevel="1">
      <c r="A144" s="155" t="s">
        <v>263</v>
      </c>
      <c r="B144" s="179" t="s">
        <v>276</v>
      </c>
      <c r="C144" s="177"/>
      <c r="D144" s="163">
        <v>0.5</v>
      </c>
      <c r="E144" s="159">
        <v>1</v>
      </c>
      <c r="F144" s="159">
        <v>1</v>
      </c>
      <c r="G144" s="159">
        <v>1</v>
      </c>
      <c r="H144" s="159">
        <v>1</v>
      </c>
      <c r="I144" s="159">
        <v>1</v>
      </c>
      <c r="J144" s="159">
        <v>1</v>
      </c>
      <c r="K144" s="159">
        <v>1</v>
      </c>
      <c r="L144" s="166">
        <v>1</v>
      </c>
      <c r="M144" s="159"/>
      <c r="N144" s="159"/>
      <c r="O144" s="159"/>
      <c r="P144" s="159"/>
      <c r="Q144" s="159"/>
      <c r="R144" s="159"/>
      <c r="S144" s="159"/>
      <c r="T144" s="159"/>
      <c r="U144" s="159"/>
      <c r="V144" s="159"/>
      <c r="W144" s="110"/>
      <c r="X144" s="110"/>
      <c r="Y144" s="110"/>
      <c r="Z144" s="110"/>
      <c r="AA144" s="110"/>
      <c r="AB144" s="110"/>
      <c r="AC144" s="110"/>
      <c r="AD144" s="110"/>
      <c r="AE144" s="110"/>
      <c r="AF144" s="110"/>
      <c r="AG144" s="110"/>
      <c r="AH144" s="110"/>
      <c r="AI144" s="110"/>
      <c r="AJ144" s="110"/>
      <c r="AK144" s="110"/>
      <c r="AL144" s="110"/>
      <c r="AM144" s="110"/>
      <c r="AN144" s="110"/>
      <c r="AO144" s="110"/>
      <c r="AP144" s="110"/>
      <c r="AQ144" s="110"/>
    </row>
    <row r="145" spans="1:43" ht="18.75" customHeight="1" outlineLevel="1">
      <c r="A145" s="155" t="s">
        <v>264</v>
      </c>
      <c r="B145" s="179" t="s">
        <v>277</v>
      </c>
      <c r="C145" s="177"/>
      <c r="D145" s="163">
        <v>0.5</v>
      </c>
      <c r="E145" s="159">
        <v>1</v>
      </c>
      <c r="F145" s="159">
        <v>1</v>
      </c>
      <c r="G145" s="159">
        <v>1</v>
      </c>
      <c r="H145" s="159">
        <v>1</v>
      </c>
      <c r="I145" s="159">
        <v>1</v>
      </c>
      <c r="J145" s="159">
        <v>1</v>
      </c>
      <c r="K145" s="159">
        <v>1</v>
      </c>
      <c r="L145" s="166">
        <v>1</v>
      </c>
      <c r="M145" s="159"/>
      <c r="N145" s="159"/>
      <c r="O145" s="159"/>
      <c r="P145" s="159"/>
      <c r="Q145" s="159"/>
      <c r="R145" s="159"/>
      <c r="S145" s="159"/>
      <c r="T145" s="159"/>
      <c r="U145" s="159"/>
      <c r="V145" s="159"/>
      <c r="W145" s="110"/>
      <c r="X145" s="110"/>
      <c r="Y145" s="110"/>
      <c r="Z145" s="110"/>
      <c r="AA145" s="110"/>
      <c r="AB145" s="110"/>
      <c r="AC145" s="110"/>
      <c r="AD145" s="110"/>
      <c r="AE145" s="110"/>
      <c r="AF145" s="110"/>
      <c r="AG145" s="110"/>
      <c r="AH145" s="110"/>
      <c r="AI145" s="110"/>
      <c r="AJ145" s="110"/>
      <c r="AK145" s="110"/>
      <c r="AL145" s="110"/>
      <c r="AM145" s="110"/>
      <c r="AN145" s="110"/>
      <c r="AO145" s="110"/>
      <c r="AP145" s="110"/>
      <c r="AQ145" s="110"/>
    </row>
    <row r="146" spans="1:43" ht="18.75" customHeight="1" outlineLevel="1">
      <c r="A146" s="155" t="s">
        <v>278</v>
      </c>
      <c r="B146" s="179" t="s">
        <v>279</v>
      </c>
      <c r="C146" s="178"/>
      <c r="D146" s="161"/>
      <c r="E146" s="161"/>
      <c r="F146" s="161"/>
      <c r="G146" s="163">
        <v>0.4</v>
      </c>
      <c r="H146" s="159">
        <v>0.4</v>
      </c>
      <c r="I146" s="159">
        <v>0.5</v>
      </c>
      <c r="J146" s="159">
        <v>0.5</v>
      </c>
      <c r="K146" s="161"/>
      <c r="L146" s="161"/>
      <c r="M146" s="161"/>
      <c r="N146" s="161"/>
      <c r="O146" s="161"/>
      <c r="P146" s="161"/>
      <c r="Q146" s="161"/>
      <c r="R146" s="160"/>
      <c r="S146" s="160"/>
      <c r="T146" s="160"/>
      <c r="U146" s="160"/>
      <c r="V146" s="160"/>
      <c r="W146" s="122"/>
      <c r="X146" s="122"/>
      <c r="Y146" s="122"/>
      <c r="Z146" s="122"/>
      <c r="AA146" s="122"/>
      <c r="AB146" s="122"/>
      <c r="AC146" s="122"/>
      <c r="AD146" s="122"/>
      <c r="AE146" s="122"/>
      <c r="AF146" s="122"/>
      <c r="AG146" s="122"/>
      <c r="AH146" s="122"/>
      <c r="AI146" s="122"/>
      <c r="AJ146" s="122"/>
      <c r="AK146" s="122"/>
      <c r="AL146" s="122"/>
      <c r="AM146" s="122"/>
      <c r="AN146" s="122"/>
      <c r="AO146" s="122"/>
      <c r="AP146" s="122"/>
      <c r="AQ146" s="122"/>
    </row>
    <row r="147" spans="1:43" ht="18.75" customHeight="1" outlineLevel="1">
      <c r="A147" s="155" t="s">
        <v>278</v>
      </c>
      <c r="B147" s="179" t="s">
        <v>280</v>
      </c>
      <c r="C147" s="178"/>
      <c r="D147" s="163">
        <v>0.5</v>
      </c>
      <c r="E147" s="159">
        <v>0.5</v>
      </c>
      <c r="F147" s="159">
        <v>0.5</v>
      </c>
      <c r="G147" s="159">
        <v>0.1</v>
      </c>
      <c r="H147" s="159">
        <v>0.1</v>
      </c>
      <c r="I147" s="159">
        <v>0.5</v>
      </c>
      <c r="J147" s="159">
        <v>0.5</v>
      </c>
      <c r="K147" s="159">
        <v>0.5</v>
      </c>
      <c r="L147" s="166">
        <v>0.5</v>
      </c>
      <c r="M147" s="160"/>
      <c r="N147" s="160"/>
      <c r="O147" s="160"/>
      <c r="P147" s="160"/>
      <c r="Q147" s="160"/>
      <c r="R147" s="160"/>
      <c r="S147" s="160"/>
      <c r="T147" s="160"/>
      <c r="U147" s="160"/>
      <c r="V147" s="160"/>
      <c r="W147" s="122"/>
      <c r="X147" s="122"/>
      <c r="Y147" s="122"/>
      <c r="Z147" s="122"/>
      <c r="AA147" s="122"/>
      <c r="AB147" s="122"/>
      <c r="AC147" s="122"/>
      <c r="AD147" s="122"/>
      <c r="AE147" s="122"/>
      <c r="AF147" s="122"/>
      <c r="AG147" s="122"/>
      <c r="AH147" s="122"/>
      <c r="AI147" s="122"/>
      <c r="AJ147" s="122"/>
      <c r="AK147" s="122"/>
      <c r="AL147" s="122"/>
      <c r="AM147" s="122"/>
      <c r="AN147" s="122"/>
      <c r="AO147" s="122"/>
      <c r="AP147" s="122"/>
      <c r="AQ147" s="122"/>
    </row>
    <row r="148" spans="1:43" ht="18.75" customHeight="1" outlineLevel="1">
      <c r="A148" s="155" t="s">
        <v>233</v>
      </c>
      <c r="B148" s="184" t="s">
        <v>280</v>
      </c>
      <c r="C148" s="158"/>
      <c r="D148" s="161"/>
      <c r="E148" s="161"/>
      <c r="F148" s="161"/>
      <c r="G148" s="161">
        <v>0.5</v>
      </c>
      <c r="H148" s="161">
        <v>0.5</v>
      </c>
      <c r="I148" s="161"/>
      <c r="J148" s="161"/>
      <c r="K148" s="160"/>
      <c r="L148" s="160"/>
      <c r="M148" s="160"/>
      <c r="N148" s="160"/>
      <c r="O148" s="161"/>
      <c r="P148" s="161"/>
      <c r="Q148" s="161"/>
      <c r="R148" s="161">
        <v>1</v>
      </c>
      <c r="S148" s="161">
        <v>1</v>
      </c>
      <c r="T148" s="162">
        <v>1</v>
      </c>
      <c r="U148" s="161"/>
      <c r="V148" s="16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row>
    <row r="149" spans="1:43" ht="18.75" customHeight="1" outlineLevel="1">
      <c r="A149" s="183" t="s">
        <v>263</v>
      </c>
      <c r="B149" s="184" t="s">
        <v>281</v>
      </c>
      <c r="C149" s="177"/>
      <c r="D149" s="159"/>
      <c r="E149" s="159"/>
      <c r="F149" s="159"/>
      <c r="G149" s="163">
        <v>1</v>
      </c>
      <c r="H149" s="159">
        <v>1</v>
      </c>
      <c r="I149" s="159">
        <v>1</v>
      </c>
      <c r="J149" s="159"/>
      <c r="K149" s="159"/>
      <c r="L149" s="159"/>
      <c r="M149" s="159"/>
      <c r="N149" s="159"/>
      <c r="O149" s="159"/>
      <c r="P149" s="159"/>
      <c r="Q149" s="159"/>
      <c r="R149" s="159"/>
      <c r="S149" s="159"/>
      <c r="T149" s="159"/>
      <c r="U149" s="159"/>
      <c r="V149" s="159"/>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row>
    <row r="150" spans="1:43" ht="18.75" customHeight="1" outlineLevel="1">
      <c r="A150" s="183" t="s">
        <v>282</v>
      </c>
      <c r="B150" s="186" t="s">
        <v>281</v>
      </c>
      <c r="C150" s="158"/>
      <c r="D150" s="175"/>
      <c r="E150" s="175"/>
      <c r="F150" s="175"/>
      <c r="G150" s="175"/>
      <c r="H150" s="175"/>
      <c r="I150" s="175"/>
      <c r="J150" s="175">
        <v>1</v>
      </c>
      <c r="K150" s="175"/>
      <c r="L150" s="175"/>
      <c r="M150" s="175"/>
      <c r="N150" s="175"/>
      <c r="O150" s="175"/>
      <c r="P150" s="175"/>
      <c r="Q150" s="175"/>
      <c r="R150" s="175"/>
      <c r="S150" s="175"/>
      <c r="T150" s="175"/>
      <c r="U150" s="175"/>
      <c r="V150" s="175"/>
      <c r="W150" s="158"/>
      <c r="X150" s="158"/>
      <c r="Y150" s="158"/>
      <c r="Z150" s="158"/>
      <c r="AA150" s="158"/>
      <c r="AB150" s="158"/>
      <c r="AC150" s="158"/>
      <c r="AD150" s="158"/>
      <c r="AE150" s="158"/>
      <c r="AF150" s="158"/>
      <c r="AG150" s="158"/>
      <c r="AH150" s="158"/>
      <c r="AI150" s="158"/>
      <c r="AJ150" s="158"/>
      <c r="AK150" s="158"/>
      <c r="AL150" s="158"/>
      <c r="AM150" s="158"/>
      <c r="AN150" s="158"/>
      <c r="AO150" s="158"/>
      <c r="AP150" s="158"/>
      <c r="AQ150" s="158"/>
    </row>
    <row r="151" spans="1:43" ht="18.75" customHeight="1" outlineLevel="1">
      <c r="A151" s="183" t="s">
        <v>241</v>
      </c>
      <c r="B151" s="186" t="s">
        <v>281</v>
      </c>
      <c r="C151" s="158"/>
      <c r="D151" s="161"/>
      <c r="E151" s="161"/>
      <c r="F151" s="161"/>
      <c r="G151" s="161"/>
      <c r="H151" s="161"/>
      <c r="I151" s="161"/>
      <c r="J151" s="161"/>
      <c r="K151" s="161">
        <v>1</v>
      </c>
      <c r="L151" s="161">
        <v>1</v>
      </c>
      <c r="M151" s="161">
        <v>1</v>
      </c>
      <c r="N151" s="161"/>
      <c r="O151" s="161"/>
      <c r="P151" s="161"/>
      <c r="Q151" s="161"/>
      <c r="R151" s="161"/>
      <c r="S151" s="161"/>
      <c r="T151" s="161"/>
      <c r="U151" s="161"/>
      <c r="V151" s="16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row>
    <row r="152" spans="1:43" ht="18.75" customHeight="1" outlineLevel="1">
      <c r="A152" s="183" t="s">
        <v>283</v>
      </c>
      <c r="B152" s="187" t="s">
        <v>281</v>
      </c>
      <c r="C152" s="158"/>
      <c r="D152" s="161"/>
      <c r="E152" s="161"/>
      <c r="F152" s="161"/>
      <c r="G152" s="161"/>
      <c r="H152" s="161"/>
      <c r="I152" s="161"/>
      <c r="J152" s="161"/>
      <c r="K152" s="161"/>
      <c r="L152" s="161"/>
      <c r="M152" s="161"/>
      <c r="N152" s="161">
        <v>1</v>
      </c>
      <c r="O152" s="161">
        <v>1</v>
      </c>
      <c r="P152" s="161">
        <v>1</v>
      </c>
      <c r="Q152" s="161">
        <v>1</v>
      </c>
      <c r="R152" s="161">
        <v>1</v>
      </c>
      <c r="S152" s="161">
        <v>1</v>
      </c>
      <c r="T152" s="161">
        <v>1</v>
      </c>
      <c r="U152" s="162">
        <v>1</v>
      </c>
      <c r="V152" s="16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row>
    <row r="153" spans="1:43" ht="18.75" customHeight="1" outlineLevel="1">
      <c r="A153" s="155" t="s">
        <v>264</v>
      </c>
      <c r="B153" s="185" t="s">
        <v>284</v>
      </c>
      <c r="C153" s="177"/>
      <c r="D153" s="159"/>
      <c r="E153" s="159"/>
      <c r="F153" s="159"/>
      <c r="G153" s="163">
        <v>1</v>
      </c>
      <c r="H153" s="159">
        <v>1</v>
      </c>
      <c r="I153" s="166">
        <v>1</v>
      </c>
      <c r="J153" s="159"/>
      <c r="K153" s="159"/>
      <c r="L153" s="159"/>
      <c r="M153" s="159"/>
      <c r="N153" s="159"/>
      <c r="O153" s="159"/>
      <c r="P153" s="159"/>
      <c r="Q153" s="159"/>
      <c r="R153" s="159"/>
      <c r="S153" s="159"/>
      <c r="T153" s="159"/>
      <c r="U153" s="159"/>
      <c r="V153" s="159"/>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row>
    <row r="154" spans="1:43" ht="18" outlineLevel="1">
      <c r="A154" s="155" t="s">
        <v>278</v>
      </c>
      <c r="B154" s="179" t="s">
        <v>285</v>
      </c>
      <c r="C154" s="178"/>
      <c r="D154" s="159"/>
      <c r="E154" s="159"/>
      <c r="F154" s="160"/>
      <c r="G154" s="164">
        <v>1</v>
      </c>
      <c r="H154" s="167">
        <v>1</v>
      </c>
      <c r="I154" s="160"/>
      <c r="K154" s="161"/>
      <c r="L154" s="161"/>
      <c r="M154" s="160"/>
      <c r="N154" s="160"/>
      <c r="O154" s="160"/>
      <c r="P154" s="160"/>
      <c r="Q154" s="160"/>
      <c r="R154" s="160"/>
      <c r="S154" s="160"/>
      <c r="T154" s="160"/>
      <c r="U154" s="160"/>
      <c r="V154" s="160"/>
      <c r="W154" s="122"/>
      <c r="X154" s="122"/>
      <c r="Y154" s="122"/>
      <c r="Z154" s="122"/>
      <c r="AA154" s="122"/>
      <c r="AB154" s="122"/>
      <c r="AC154" s="122"/>
      <c r="AD154" s="122"/>
      <c r="AE154" s="122"/>
      <c r="AF154" s="122"/>
      <c r="AG154" s="122"/>
      <c r="AH154" s="122"/>
      <c r="AI154" s="122"/>
      <c r="AJ154" s="122"/>
      <c r="AK154" s="122"/>
      <c r="AL154" s="122"/>
      <c r="AM154" s="122"/>
      <c r="AN154" s="122"/>
      <c r="AO154" s="122"/>
      <c r="AP154" s="122"/>
      <c r="AQ154" s="122"/>
    </row>
    <row r="155" spans="1:43" ht="18.75" customHeight="1" outlineLevel="1">
      <c r="A155" s="155" t="s">
        <v>266</v>
      </c>
      <c r="B155" s="179" t="s">
        <v>286</v>
      </c>
      <c r="C155" s="158"/>
      <c r="D155" s="161"/>
      <c r="E155" s="161"/>
      <c r="F155" s="161"/>
      <c r="G155" s="161"/>
      <c r="H155" s="161"/>
      <c r="I155" s="161"/>
      <c r="J155" s="161"/>
      <c r="K155" s="161"/>
      <c r="L155" s="161"/>
      <c r="M155" s="161"/>
      <c r="N155" s="161"/>
      <c r="O155" s="161"/>
      <c r="P155" s="161"/>
      <c r="Q155" s="161"/>
      <c r="R155" s="161">
        <v>1</v>
      </c>
      <c r="S155" s="161">
        <v>1</v>
      </c>
      <c r="T155" s="162">
        <v>0.4</v>
      </c>
      <c r="U155" s="161"/>
      <c r="V155" s="161"/>
      <c r="W155" s="161"/>
      <c r="X155" s="161"/>
      <c r="Y155" s="122"/>
      <c r="Z155" s="121"/>
      <c r="AA155" s="121"/>
      <c r="AB155" s="121"/>
      <c r="AC155" s="121"/>
      <c r="AD155" s="121"/>
      <c r="AE155" s="121"/>
      <c r="AF155" s="121"/>
      <c r="AG155" s="121"/>
      <c r="AH155" s="121"/>
      <c r="AI155" s="121"/>
      <c r="AJ155" s="121"/>
      <c r="AK155" s="121"/>
      <c r="AL155" s="121"/>
      <c r="AM155" s="121"/>
      <c r="AN155" s="121"/>
      <c r="AO155" s="121"/>
      <c r="AP155" s="121"/>
      <c r="AQ155" s="121"/>
    </row>
    <row r="156" spans="1:43" ht="18.75" customHeight="1" outlineLevel="1">
      <c r="A156" s="155" t="s">
        <v>267</v>
      </c>
      <c r="B156" s="179" t="s">
        <v>287</v>
      </c>
      <c r="C156" s="158"/>
      <c r="D156" s="161"/>
      <c r="E156" s="161"/>
      <c r="F156" s="161"/>
      <c r="G156" s="161"/>
      <c r="H156" s="161"/>
      <c r="I156" s="161"/>
      <c r="J156" s="161"/>
      <c r="K156" s="161"/>
      <c r="L156" s="161"/>
      <c r="M156" s="161"/>
      <c r="N156" s="161"/>
      <c r="O156" s="161"/>
      <c r="P156" s="161"/>
      <c r="Q156" s="161"/>
      <c r="R156" s="165">
        <v>1</v>
      </c>
      <c r="S156" s="161">
        <v>1</v>
      </c>
      <c r="T156" s="161">
        <v>1</v>
      </c>
      <c r="U156" s="161">
        <v>1</v>
      </c>
      <c r="V156" s="161">
        <v>1</v>
      </c>
      <c r="W156" s="161">
        <v>1</v>
      </c>
      <c r="X156" s="161">
        <v>1</v>
      </c>
      <c r="Y156" s="162">
        <v>1</v>
      </c>
      <c r="Z156" s="121"/>
      <c r="AA156" s="121"/>
      <c r="AB156" s="121"/>
      <c r="AC156" s="121"/>
      <c r="AD156" s="121"/>
      <c r="AE156" s="121"/>
      <c r="AF156" s="121"/>
      <c r="AG156" s="121"/>
      <c r="AH156" s="121"/>
      <c r="AI156" s="121"/>
      <c r="AJ156" s="121"/>
      <c r="AK156" s="121"/>
      <c r="AL156" s="121"/>
      <c r="AM156" s="121"/>
      <c r="AN156" s="121"/>
      <c r="AO156" s="121"/>
      <c r="AP156" s="121"/>
      <c r="AQ156" s="121"/>
    </row>
    <row r="157" spans="1:43" ht="18.75" customHeight="1" outlineLevel="1">
      <c r="A157" s="155" t="s">
        <v>267</v>
      </c>
      <c r="B157" s="179" t="s">
        <v>288</v>
      </c>
      <c r="C157" s="158"/>
      <c r="D157" s="161"/>
      <c r="E157" s="161"/>
      <c r="F157" s="161"/>
      <c r="G157" s="161"/>
      <c r="H157" s="161"/>
      <c r="I157" s="161"/>
      <c r="J157" s="161"/>
      <c r="K157" s="161"/>
      <c r="L157" s="161"/>
      <c r="M157" s="161"/>
      <c r="N157" s="161"/>
      <c r="O157" s="161"/>
      <c r="P157" s="161"/>
      <c r="Q157" s="161"/>
      <c r="R157" s="161"/>
      <c r="S157" s="161"/>
      <c r="T157" s="161"/>
      <c r="U157" s="165">
        <v>1</v>
      </c>
      <c r="V157" s="161">
        <v>1</v>
      </c>
      <c r="W157" s="161">
        <v>1</v>
      </c>
      <c r="X157" s="162">
        <v>0.5</v>
      </c>
      <c r="Y157" s="161"/>
      <c r="Z157" s="121"/>
      <c r="AA157" s="121"/>
      <c r="AB157" s="121"/>
      <c r="AC157" s="121"/>
      <c r="AD157" s="121"/>
      <c r="AE157" s="121"/>
      <c r="AF157" s="121"/>
      <c r="AG157" s="121"/>
      <c r="AH157" s="121"/>
      <c r="AI157" s="121"/>
      <c r="AJ157" s="121"/>
      <c r="AK157" s="121"/>
      <c r="AL157" s="121"/>
      <c r="AM157" s="121"/>
      <c r="AN157" s="121"/>
      <c r="AO157" s="121"/>
      <c r="AP157" s="121"/>
      <c r="AQ157" s="121"/>
    </row>
    <row r="158" spans="1:43" ht="18.75" customHeight="1" outlineLevel="1">
      <c r="A158" s="235" t="s">
        <v>243</v>
      </c>
      <c r="B158" s="235"/>
      <c r="C158" s="156">
        <f>SUM(C144:C157)</f>
        <v>0</v>
      </c>
      <c r="D158" s="156">
        <f>SUM(D144:D157)</f>
        <v>1.5</v>
      </c>
      <c r="E158" s="156">
        <f>SUM(E144:E157)</f>
        <v>2.5</v>
      </c>
      <c r="F158" s="156">
        <f>SUM(F144:F157)</f>
        <v>2.5</v>
      </c>
      <c r="G158" s="156">
        <f>SUM(G144:G157)</f>
        <v>6</v>
      </c>
      <c r="H158" s="156">
        <f>SUM(H144:H157)</f>
        <v>6</v>
      </c>
      <c r="I158" s="156">
        <f>SUM(I144:I157)</f>
        <v>5</v>
      </c>
      <c r="J158" s="156">
        <f>SUM(J144:J157)</f>
        <v>4</v>
      </c>
      <c r="K158" s="156">
        <f>SUM(K144:K157)</f>
        <v>3.5</v>
      </c>
      <c r="L158" s="156">
        <f>SUM(L144:L157)</f>
        <v>3.5</v>
      </c>
      <c r="M158" s="156">
        <f>SUM(M144:M157)</f>
        <v>1</v>
      </c>
      <c r="N158" s="156">
        <f>SUM(N144:N157)</f>
        <v>1</v>
      </c>
      <c r="O158" s="156">
        <f>SUM(O144:O157)</f>
        <v>1</v>
      </c>
      <c r="P158" s="156">
        <f>SUM(P144:P157)</f>
        <v>1</v>
      </c>
      <c r="Q158" s="156">
        <f>SUM(Q144:Q157)</f>
        <v>1</v>
      </c>
      <c r="R158" s="156">
        <f>SUM(R144:R157)</f>
        <v>4</v>
      </c>
      <c r="S158" s="156">
        <f>SUM(S144:S157)</f>
        <v>4</v>
      </c>
      <c r="T158" s="156">
        <f>SUM(T144:T157)</f>
        <v>3.4</v>
      </c>
      <c r="U158" s="156">
        <f>SUM(U144:U157)</f>
        <v>3</v>
      </c>
      <c r="V158" s="156">
        <f>SUM(V144:V157)</f>
        <v>2</v>
      </c>
      <c r="W158" s="156">
        <f>SUM(W144:W157)</f>
        <v>2</v>
      </c>
      <c r="X158" s="156">
        <f>SUM(X144:X157)</f>
        <v>1.5</v>
      </c>
      <c r="Y158" s="156">
        <f>SUM(Y144:Y157)</f>
        <v>1</v>
      </c>
      <c r="Z158" s="156">
        <f>SUM(Z144:Z157)</f>
        <v>0</v>
      </c>
      <c r="AA158" s="156">
        <f>SUM(AA144:AA157)</f>
        <v>0</v>
      </c>
      <c r="AB158" s="156">
        <f>SUM(AB144:AB157)</f>
        <v>0</v>
      </c>
      <c r="AC158" s="156">
        <f>SUM(AC144:AC157)</f>
        <v>0</v>
      </c>
      <c r="AD158" s="156">
        <f>SUM(AD144:AD157)</f>
        <v>0</v>
      </c>
      <c r="AE158" s="156">
        <f>SUM(AE144:AE157)</f>
        <v>0</v>
      </c>
      <c r="AF158" s="156">
        <f>SUM(AF144:AF157)</f>
        <v>0</v>
      </c>
      <c r="AG158" s="156">
        <f>SUM(AG144:AG157)</f>
        <v>0</v>
      </c>
      <c r="AH158" s="156">
        <f>SUM(AH144:AH157)</f>
        <v>0</v>
      </c>
      <c r="AI158" s="156">
        <f>SUM(AI144:AI157)</f>
        <v>0</v>
      </c>
      <c r="AJ158" s="156">
        <f>SUM(AJ144:AJ157)</f>
        <v>0</v>
      </c>
      <c r="AK158" s="156">
        <f>SUM(AK144:AK157)</f>
        <v>0</v>
      </c>
      <c r="AL158" s="156">
        <f>SUM(AL144:AL157)</f>
        <v>0</v>
      </c>
      <c r="AM158" s="156">
        <f>SUM(AM144:AM157)</f>
        <v>0</v>
      </c>
      <c r="AN158" s="156">
        <f>SUM(AN144:AN157)</f>
        <v>0</v>
      </c>
      <c r="AO158" s="156">
        <f>SUM(AO144:AO157)</f>
        <v>0</v>
      </c>
      <c r="AP158" s="156">
        <f>SUM(AP144:AP157)</f>
        <v>0</v>
      </c>
      <c r="AQ158" s="156">
        <f>SUM(AQ144:AQ157)</f>
        <v>0</v>
      </c>
    </row>
    <row r="159" spans="1:43" ht="18.75" customHeight="1" outlineLevel="1">
      <c r="C159">
        <f>C68-C158</f>
        <v>0</v>
      </c>
      <c r="D159">
        <f>D68-D158</f>
        <v>0</v>
      </c>
      <c r="E159">
        <f>E68-E158</f>
        <v>0</v>
      </c>
      <c r="F159">
        <f>F68-F158</f>
        <v>0</v>
      </c>
      <c r="G159">
        <f>G68-G158</f>
        <v>0</v>
      </c>
      <c r="H159">
        <f>H68-H158</f>
        <v>0</v>
      </c>
      <c r="I159">
        <f>I68-I158</f>
        <v>0</v>
      </c>
      <c r="J159">
        <f>J68-J158</f>
        <v>0</v>
      </c>
      <c r="K159">
        <f>K68-K158</f>
        <v>0</v>
      </c>
      <c r="L159">
        <f>L68-L158</f>
        <v>0</v>
      </c>
      <c r="M159">
        <f>M68-M158</f>
        <v>0</v>
      </c>
      <c r="N159">
        <f>N68-N158</f>
        <v>0</v>
      </c>
      <c r="O159">
        <f>O68-O158</f>
        <v>0</v>
      </c>
      <c r="P159">
        <f>P68-P158</f>
        <v>0</v>
      </c>
      <c r="Q159">
        <f>Q68-Q158</f>
        <v>0</v>
      </c>
      <c r="R159">
        <f>R68-R158</f>
        <v>0</v>
      </c>
      <c r="S159">
        <f>S68-S158</f>
        <v>0</v>
      </c>
      <c r="T159">
        <f>T68-T158</f>
        <v>0</v>
      </c>
      <c r="U159">
        <f>U68-U158</f>
        <v>0</v>
      </c>
      <c r="V159">
        <f>V68-V158</f>
        <v>0</v>
      </c>
      <c r="W159">
        <f>W68-W158</f>
        <v>0</v>
      </c>
      <c r="X159">
        <f>X68-X158</f>
        <v>0</v>
      </c>
      <c r="Y159">
        <f>Y68-Y158</f>
        <v>0</v>
      </c>
      <c r="Z159">
        <f>Z68-Z158</f>
        <v>0</v>
      </c>
      <c r="AA159">
        <f>AA68-AA158</f>
        <v>0</v>
      </c>
      <c r="AB159">
        <f>AB68-AB158</f>
        <v>0</v>
      </c>
      <c r="AC159">
        <f>AC68-AC158</f>
        <v>0</v>
      </c>
    </row>
  </sheetData>
  <autoFilter ref="A143:B159" xr:uid="{00000000-0001-0000-0600-000000000000}"/>
  <mergeCells count="19">
    <mergeCell ref="A71:A72"/>
    <mergeCell ref="AP73:AQ73"/>
    <mergeCell ref="AP74:AQ74"/>
    <mergeCell ref="A4:B5"/>
    <mergeCell ref="A158:B158"/>
    <mergeCell ref="AA2:AE2"/>
    <mergeCell ref="B2:B3"/>
    <mergeCell ref="A2:A3"/>
    <mergeCell ref="A28:B28"/>
    <mergeCell ref="O2:Z2"/>
    <mergeCell ref="C2:N2"/>
    <mergeCell ref="AD36:AE36"/>
    <mergeCell ref="A29:A30"/>
    <mergeCell ref="A31:A32"/>
    <mergeCell ref="AD33:AE33"/>
    <mergeCell ref="AD34:AE34"/>
    <mergeCell ref="AD35:AE35"/>
    <mergeCell ref="A68:B68"/>
    <mergeCell ref="A69:A70"/>
  </mergeCells>
  <phoneticPr fontId="2"/>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4E547-655A-446F-9F96-6C538DD55182}">
  <dimension ref="A1:Y57"/>
  <sheetViews>
    <sheetView zoomScale="130" zoomScaleNormal="130" workbookViewId="0">
      <selection activeCell="B31" sqref="B31:F31"/>
    </sheetView>
  </sheetViews>
  <sheetFormatPr defaultColWidth="9" defaultRowHeight="15"/>
  <cols>
    <col min="1" max="1" width="30.75" style="168" customWidth="1"/>
    <col min="2" max="16384" width="9" style="168"/>
  </cols>
  <sheetData>
    <row r="1" spans="1:25">
      <c r="A1" s="168" t="s">
        <v>289</v>
      </c>
    </row>
    <row r="2" spans="1:25" ht="18.75" customHeight="1">
      <c r="A2" s="245" t="s">
        <v>290</v>
      </c>
      <c r="B2" s="245">
        <v>2024</v>
      </c>
      <c r="C2" s="245"/>
      <c r="D2" s="245">
        <v>2025</v>
      </c>
      <c r="E2" s="245"/>
      <c r="F2" s="245"/>
      <c r="G2" s="245"/>
      <c r="H2" s="245"/>
      <c r="I2" s="245"/>
      <c r="J2" s="245"/>
      <c r="K2" s="245"/>
      <c r="L2" s="245"/>
      <c r="M2" s="245"/>
      <c r="N2" s="245"/>
      <c r="O2" s="245"/>
      <c r="P2" s="245">
        <v>2026</v>
      </c>
      <c r="Q2" s="245"/>
      <c r="R2" s="245"/>
      <c r="S2" s="245"/>
      <c r="T2" s="245"/>
      <c r="U2" s="245"/>
      <c r="V2" s="245"/>
      <c r="W2" s="245"/>
      <c r="X2" s="245"/>
      <c r="Y2" s="245"/>
    </row>
    <row r="3" spans="1:25">
      <c r="A3" s="245"/>
      <c r="B3" s="169" t="s">
        <v>291</v>
      </c>
      <c r="C3" s="169" t="s">
        <v>292</v>
      </c>
      <c r="D3" s="169" t="s">
        <v>209</v>
      </c>
      <c r="E3" s="169" t="s">
        <v>293</v>
      </c>
      <c r="F3" s="169" t="s">
        <v>211</v>
      </c>
      <c r="G3" s="169" t="s">
        <v>212</v>
      </c>
      <c r="H3" s="169" t="s">
        <v>213</v>
      </c>
      <c r="I3" s="169" t="s">
        <v>214</v>
      </c>
      <c r="J3" s="169" t="s">
        <v>215</v>
      </c>
      <c r="K3" s="169" t="s">
        <v>216</v>
      </c>
      <c r="L3" s="169" t="s">
        <v>217</v>
      </c>
      <c r="M3" s="169" t="s">
        <v>218</v>
      </c>
      <c r="N3" s="169" t="s">
        <v>219</v>
      </c>
      <c r="O3" s="169" t="s">
        <v>220</v>
      </c>
      <c r="P3" s="169" t="s">
        <v>209</v>
      </c>
      <c r="Q3" s="169" t="s">
        <v>293</v>
      </c>
      <c r="R3" s="169" t="s">
        <v>211</v>
      </c>
      <c r="S3" s="169" t="s">
        <v>212</v>
      </c>
      <c r="T3" s="169" t="s">
        <v>213</v>
      </c>
      <c r="U3" s="169" t="s">
        <v>214</v>
      </c>
      <c r="V3" s="169" t="s">
        <v>215</v>
      </c>
      <c r="W3" s="169" t="s">
        <v>216</v>
      </c>
      <c r="X3" s="169" t="s">
        <v>217</v>
      </c>
      <c r="Y3" s="169" t="s">
        <v>218</v>
      </c>
    </row>
    <row r="4" spans="1:25">
      <c r="A4" s="169" t="s">
        <v>294</v>
      </c>
      <c r="B4" s="170"/>
      <c r="C4" s="170"/>
      <c r="D4" s="170"/>
      <c r="E4" s="170"/>
      <c r="F4" s="170"/>
      <c r="G4" s="170"/>
      <c r="H4" s="170"/>
      <c r="I4" s="170"/>
      <c r="J4" s="170"/>
      <c r="K4" s="170"/>
      <c r="L4" s="170"/>
      <c r="M4" s="170"/>
      <c r="N4" s="170"/>
      <c r="O4" s="170"/>
      <c r="P4" s="170"/>
      <c r="Q4" s="170"/>
      <c r="R4" s="170"/>
      <c r="S4" s="170"/>
      <c r="T4" s="170"/>
      <c r="U4" s="170"/>
      <c r="V4" s="170"/>
      <c r="W4" s="170"/>
      <c r="X4" s="170"/>
      <c r="Y4" s="170"/>
    </row>
    <row r="5" spans="1:25">
      <c r="A5" s="170" t="s">
        <v>295</v>
      </c>
      <c r="B5" s="170"/>
      <c r="C5" s="170"/>
      <c r="D5" s="170"/>
      <c r="E5" s="170"/>
      <c r="F5" s="170"/>
      <c r="G5" s="170"/>
      <c r="H5" s="170"/>
      <c r="I5" s="170"/>
      <c r="J5" s="170"/>
      <c r="K5" s="170"/>
      <c r="L5" s="170"/>
      <c r="M5" s="170"/>
      <c r="N5" s="170"/>
      <c r="O5" s="170"/>
      <c r="P5" s="170"/>
      <c r="Q5" s="170"/>
      <c r="R5" s="170"/>
      <c r="S5" s="170"/>
      <c r="T5" s="170"/>
      <c r="U5" s="170"/>
      <c r="V5" s="170"/>
      <c r="W5" s="170"/>
      <c r="X5" s="170"/>
      <c r="Y5" s="170"/>
    </row>
    <row r="6" spans="1:25">
      <c r="A6" s="170" t="s">
        <v>296</v>
      </c>
      <c r="B6" s="171"/>
      <c r="C6" s="170"/>
      <c r="D6" s="170"/>
      <c r="E6" s="170"/>
      <c r="F6" s="170"/>
      <c r="G6" s="170"/>
      <c r="H6" s="170"/>
      <c r="I6" s="170"/>
      <c r="J6" s="170"/>
      <c r="K6" s="170"/>
      <c r="L6" s="170"/>
      <c r="M6" s="170"/>
      <c r="N6" s="170"/>
      <c r="O6" s="170"/>
      <c r="P6" s="170"/>
      <c r="Q6" s="170"/>
      <c r="R6" s="170"/>
      <c r="S6" s="170"/>
      <c r="T6" s="170"/>
      <c r="U6" s="170"/>
      <c r="V6" s="170"/>
      <c r="W6" s="170"/>
      <c r="X6" s="170"/>
      <c r="Y6" s="170"/>
    </row>
    <row r="7" spans="1:25">
      <c r="A7" s="170" t="s">
        <v>297</v>
      </c>
      <c r="B7" s="171"/>
      <c r="C7" s="171"/>
      <c r="D7" s="171"/>
      <c r="E7" s="171"/>
      <c r="F7" s="171"/>
      <c r="G7" s="171"/>
      <c r="H7" s="171"/>
      <c r="I7" s="171"/>
      <c r="J7" s="171"/>
      <c r="K7" s="171"/>
      <c r="L7" s="171"/>
      <c r="M7" s="171"/>
      <c r="N7" s="171"/>
      <c r="O7" s="170"/>
      <c r="P7" s="170"/>
      <c r="Q7" s="170"/>
      <c r="R7" s="170"/>
      <c r="S7" s="170"/>
      <c r="T7" s="170"/>
      <c r="U7" s="170"/>
      <c r="V7" s="170"/>
      <c r="W7" s="170"/>
      <c r="X7" s="170"/>
      <c r="Y7" s="170"/>
    </row>
    <row r="8" spans="1:25">
      <c r="A8" s="170"/>
      <c r="B8" s="170"/>
      <c r="C8" s="170"/>
      <c r="D8" s="170"/>
      <c r="E8" s="170"/>
      <c r="F8" s="170"/>
      <c r="G8" s="170"/>
      <c r="H8" s="170"/>
      <c r="I8" s="170"/>
      <c r="J8" s="170"/>
      <c r="K8" s="170"/>
      <c r="L8" s="170"/>
      <c r="M8" s="170"/>
      <c r="N8" s="170"/>
      <c r="O8" s="170"/>
      <c r="P8" s="170"/>
      <c r="Q8" s="170"/>
      <c r="R8" s="170"/>
      <c r="S8" s="170"/>
      <c r="T8" s="170"/>
      <c r="U8" s="170"/>
      <c r="V8" s="170"/>
      <c r="W8" s="170"/>
      <c r="X8" s="170"/>
      <c r="Y8" s="170"/>
    </row>
    <row r="9" spans="1:25">
      <c r="A9" s="170" t="s">
        <v>298</v>
      </c>
      <c r="B9" s="170"/>
      <c r="C9" s="170"/>
      <c r="D9" s="170"/>
      <c r="E9" s="170"/>
      <c r="F9" s="170"/>
      <c r="G9" s="170"/>
      <c r="H9" s="170"/>
      <c r="I9" s="170"/>
      <c r="J9" s="170"/>
      <c r="K9" s="170"/>
      <c r="L9" s="170"/>
      <c r="M9" s="170"/>
      <c r="N9" s="170"/>
      <c r="O9" s="170"/>
      <c r="P9" s="170"/>
      <c r="Q9" s="170"/>
      <c r="R9" s="170"/>
      <c r="S9" s="170"/>
      <c r="T9" s="170"/>
      <c r="U9" s="170"/>
      <c r="V9" s="170"/>
      <c r="W9" s="170"/>
      <c r="X9" s="170"/>
      <c r="Y9" s="170"/>
    </row>
    <row r="10" spans="1:25">
      <c r="A10" s="170" t="s">
        <v>299</v>
      </c>
      <c r="B10" s="170"/>
      <c r="C10" s="171"/>
      <c r="D10" s="171"/>
      <c r="E10" s="171"/>
      <c r="F10" s="170"/>
      <c r="G10" s="170"/>
      <c r="H10" s="170"/>
      <c r="I10" s="170"/>
      <c r="J10" s="170"/>
      <c r="K10" s="170"/>
      <c r="L10" s="170"/>
      <c r="M10" s="170"/>
      <c r="N10" s="170"/>
      <c r="O10" s="170"/>
      <c r="P10" s="170"/>
      <c r="Q10" s="170"/>
      <c r="R10" s="170"/>
      <c r="S10" s="170"/>
      <c r="T10" s="170"/>
      <c r="U10" s="170"/>
      <c r="V10" s="170"/>
      <c r="W10" s="170"/>
      <c r="X10" s="170"/>
      <c r="Y10" s="170"/>
    </row>
    <row r="11" spans="1:25">
      <c r="A11" s="170" t="s">
        <v>300</v>
      </c>
      <c r="B11" s="170"/>
      <c r="C11" s="170"/>
      <c r="D11" s="170"/>
      <c r="E11" s="171"/>
      <c r="F11" s="171"/>
      <c r="G11" s="171"/>
      <c r="H11" s="171"/>
      <c r="I11" s="171"/>
      <c r="J11" s="171"/>
      <c r="K11" s="171"/>
      <c r="L11" s="171"/>
      <c r="M11" s="171"/>
      <c r="N11" s="170"/>
      <c r="O11" s="170"/>
      <c r="P11" s="170"/>
      <c r="Q11" s="170"/>
      <c r="R11" s="170"/>
      <c r="S11" s="170"/>
      <c r="T11" s="170"/>
      <c r="U11" s="170"/>
      <c r="V11" s="170"/>
      <c r="W11" s="170"/>
      <c r="X11" s="170"/>
      <c r="Y11" s="170"/>
    </row>
    <row r="12" spans="1:25">
      <c r="A12" s="170" t="s">
        <v>301</v>
      </c>
      <c r="B12" s="170"/>
      <c r="C12" s="170"/>
      <c r="D12" s="170"/>
      <c r="E12" s="170"/>
      <c r="F12" s="170"/>
      <c r="G12" s="170"/>
      <c r="H12" s="170"/>
      <c r="I12" s="170"/>
      <c r="J12" s="170"/>
      <c r="K12" s="170"/>
      <c r="L12" s="170"/>
      <c r="M12" s="170"/>
      <c r="N12" s="171"/>
      <c r="O12" s="171"/>
      <c r="P12" s="171"/>
      <c r="Q12" s="170"/>
      <c r="R12" s="170"/>
      <c r="S12" s="170"/>
      <c r="T12" s="170"/>
      <c r="U12" s="170"/>
      <c r="V12" s="170"/>
      <c r="W12" s="170"/>
      <c r="X12" s="170"/>
      <c r="Y12" s="170"/>
    </row>
    <row r="13" spans="1:25">
      <c r="A13" s="170" t="s">
        <v>302</v>
      </c>
      <c r="B13" s="170"/>
      <c r="C13" s="170"/>
      <c r="D13" s="170"/>
      <c r="E13" s="170"/>
      <c r="F13" s="170"/>
      <c r="G13" s="170"/>
      <c r="H13" s="170"/>
      <c r="I13" s="170"/>
      <c r="J13" s="170"/>
      <c r="K13" s="170"/>
      <c r="L13" s="170"/>
      <c r="M13" s="170"/>
      <c r="N13" s="170"/>
      <c r="O13" s="170"/>
      <c r="P13" s="171"/>
      <c r="Q13" s="171"/>
      <c r="R13" s="170"/>
      <c r="S13" s="170"/>
      <c r="T13" s="170"/>
      <c r="U13" s="170"/>
      <c r="V13" s="170"/>
      <c r="W13" s="170"/>
      <c r="X13" s="170"/>
      <c r="Y13" s="170"/>
    </row>
    <row r="14" spans="1:25">
      <c r="A14" s="170" t="s">
        <v>303</v>
      </c>
      <c r="B14" s="170"/>
      <c r="C14" s="170"/>
      <c r="D14" s="170"/>
      <c r="E14" s="170"/>
      <c r="F14" s="170"/>
      <c r="G14" s="170"/>
      <c r="H14" s="170"/>
      <c r="I14" s="170"/>
      <c r="J14" s="170"/>
      <c r="K14" s="170"/>
      <c r="L14" s="170"/>
      <c r="M14" s="170"/>
      <c r="N14" s="170"/>
      <c r="O14" s="170"/>
      <c r="P14" s="170"/>
      <c r="Q14" s="171"/>
      <c r="R14" s="170"/>
      <c r="S14" s="170"/>
      <c r="T14" s="170"/>
      <c r="U14" s="170"/>
      <c r="V14" s="170"/>
      <c r="W14" s="170"/>
      <c r="X14" s="170"/>
      <c r="Y14" s="170"/>
    </row>
    <row r="15" spans="1:25">
      <c r="A15" s="170" t="s">
        <v>304</v>
      </c>
      <c r="B15" s="170"/>
      <c r="C15" s="170"/>
      <c r="D15" s="170"/>
      <c r="E15" s="170"/>
      <c r="F15" s="170"/>
      <c r="G15" s="170"/>
      <c r="H15" s="170"/>
      <c r="I15" s="170"/>
      <c r="J15" s="170"/>
      <c r="K15" s="170"/>
      <c r="L15" s="170"/>
      <c r="M15" s="170"/>
      <c r="N15" s="170"/>
      <c r="O15" s="170"/>
      <c r="P15" s="170"/>
      <c r="Q15" s="171"/>
      <c r="R15" s="170"/>
      <c r="S15" s="170"/>
      <c r="T15" s="170"/>
      <c r="U15" s="170"/>
      <c r="V15" s="170"/>
      <c r="W15" s="170"/>
      <c r="X15" s="170"/>
      <c r="Y15" s="170"/>
    </row>
    <row r="16" spans="1:25">
      <c r="A16" s="170" t="s">
        <v>305</v>
      </c>
      <c r="B16" s="170"/>
      <c r="C16" s="170"/>
      <c r="D16" s="170"/>
      <c r="E16" s="170"/>
      <c r="F16" s="170"/>
      <c r="G16" s="170"/>
      <c r="H16" s="170"/>
      <c r="I16" s="170"/>
      <c r="J16" s="170"/>
      <c r="K16" s="170"/>
      <c r="L16" s="170"/>
      <c r="M16" s="170"/>
      <c r="N16" s="170"/>
      <c r="O16" s="170"/>
      <c r="P16" s="170"/>
      <c r="Q16" s="170"/>
      <c r="R16" s="171"/>
      <c r="S16" s="170"/>
      <c r="T16" s="170"/>
      <c r="U16" s="170"/>
      <c r="V16" s="170"/>
      <c r="W16" s="170"/>
      <c r="X16" s="170"/>
      <c r="Y16" s="170"/>
    </row>
    <row r="17" spans="1:25">
      <c r="A17" s="170"/>
      <c r="B17" s="170"/>
      <c r="C17" s="170"/>
      <c r="D17" s="170"/>
      <c r="E17" s="170"/>
      <c r="F17" s="170"/>
      <c r="G17" s="170"/>
      <c r="H17" s="170"/>
      <c r="I17" s="170"/>
      <c r="J17" s="170"/>
      <c r="K17" s="170"/>
      <c r="L17" s="170"/>
      <c r="M17" s="170"/>
      <c r="N17" s="170"/>
      <c r="O17" s="170"/>
      <c r="P17" s="170"/>
      <c r="Q17" s="170"/>
      <c r="R17" s="170"/>
      <c r="S17" s="170"/>
      <c r="T17" s="170"/>
      <c r="U17" s="170"/>
      <c r="V17" s="170"/>
      <c r="W17" s="170"/>
      <c r="X17" s="170"/>
      <c r="Y17" s="170"/>
    </row>
    <row r="18" spans="1:25">
      <c r="A18" s="170" t="s">
        <v>306</v>
      </c>
      <c r="B18" s="170"/>
      <c r="C18" s="170"/>
      <c r="D18" s="170"/>
      <c r="E18" s="170"/>
      <c r="F18" s="170"/>
      <c r="G18" s="170"/>
      <c r="H18" s="170"/>
      <c r="I18" s="170"/>
      <c r="J18" s="170"/>
      <c r="K18" s="170"/>
      <c r="L18" s="170"/>
      <c r="M18" s="170"/>
      <c r="N18" s="170"/>
      <c r="O18" s="170"/>
      <c r="P18" s="170"/>
      <c r="Q18" s="170"/>
      <c r="R18" s="170"/>
      <c r="S18" s="170"/>
      <c r="T18" s="170"/>
      <c r="U18" s="170"/>
      <c r="V18" s="170"/>
      <c r="W18" s="170"/>
      <c r="X18" s="170"/>
      <c r="Y18" s="170"/>
    </row>
    <row r="19" spans="1:25">
      <c r="A19" s="170" t="s">
        <v>307</v>
      </c>
      <c r="B19" s="170"/>
      <c r="C19" s="170"/>
      <c r="D19" s="170"/>
      <c r="E19" s="170"/>
      <c r="F19" s="170"/>
      <c r="G19" s="170"/>
      <c r="H19" s="170"/>
      <c r="I19" s="170"/>
      <c r="J19" s="170"/>
      <c r="K19" s="170"/>
      <c r="L19" s="170"/>
      <c r="M19" s="170"/>
      <c r="N19" s="170"/>
      <c r="O19" s="170"/>
      <c r="P19" s="170"/>
      <c r="Q19" s="170"/>
      <c r="R19" s="170"/>
      <c r="S19" s="170"/>
      <c r="T19" s="170"/>
      <c r="U19" s="170"/>
      <c r="V19" s="170"/>
      <c r="W19" s="170"/>
      <c r="X19" s="170"/>
      <c r="Y19" s="170"/>
    </row>
    <row r="20" spans="1:25">
      <c r="A20" s="170" t="s">
        <v>308</v>
      </c>
      <c r="B20" s="170"/>
      <c r="C20" s="170"/>
      <c r="D20" s="170"/>
      <c r="E20" s="170"/>
      <c r="F20" s="170"/>
      <c r="G20" s="170"/>
      <c r="H20" s="170"/>
      <c r="I20" s="170"/>
      <c r="J20" s="170"/>
      <c r="K20" s="170"/>
      <c r="L20" s="170"/>
      <c r="M20" s="170"/>
      <c r="N20" s="170"/>
      <c r="O20" s="170"/>
      <c r="P20" s="170"/>
      <c r="Q20" s="170"/>
      <c r="R20" s="170"/>
      <c r="S20" s="171"/>
      <c r="T20" s="170"/>
      <c r="U20" s="170"/>
      <c r="V20" s="170"/>
      <c r="W20" s="170"/>
      <c r="X20" s="170"/>
      <c r="Y20" s="170"/>
    </row>
    <row r="21" spans="1:25">
      <c r="A21" s="170" t="s">
        <v>309</v>
      </c>
      <c r="B21" s="170"/>
      <c r="C21" s="170"/>
      <c r="D21" s="170"/>
      <c r="E21" s="170"/>
      <c r="F21" s="170"/>
      <c r="G21" s="170"/>
      <c r="H21" s="170"/>
      <c r="I21" s="170"/>
      <c r="J21" s="170"/>
      <c r="K21" s="170"/>
      <c r="L21" s="170"/>
      <c r="M21" s="170"/>
      <c r="N21" s="170"/>
      <c r="O21" s="170"/>
      <c r="P21" s="170"/>
      <c r="Q21" s="170"/>
      <c r="R21" s="170"/>
      <c r="S21" s="171"/>
      <c r="T21" s="170"/>
      <c r="U21" s="170"/>
      <c r="V21" s="170"/>
      <c r="W21" s="170"/>
      <c r="X21" s="170"/>
      <c r="Y21" s="170"/>
    </row>
    <row r="22" spans="1:25">
      <c r="A22" s="170" t="s">
        <v>310</v>
      </c>
      <c r="B22" s="170"/>
      <c r="C22" s="170"/>
      <c r="D22" s="170"/>
      <c r="E22" s="170"/>
      <c r="F22" s="170"/>
      <c r="G22" s="170"/>
      <c r="H22" s="170"/>
      <c r="I22" s="170"/>
      <c r="J22" s="170"/>
      <c r="K22" s="170"/>
      <c r="L22" s="170"/>
      <c r="M22" s="170"/>
      <c r="N22" s="170"/>
      <c r="O22" s="170"/>
      <c r="P22" s="170"/>
      <c r="Q22" s="170"/>
      <c r="R22" s="170"/>
      <c r="S22" s="171"/>
      <c r="T22" s="170"/>
      <c r="U22" s="170"/>
      <c r="V22" s="170"/>
      <c r="W22" s="170"/>
      <c r="X22" s="170"/>
      <c r="Y22" s="170"/>
    </row>
    <row r="23" spans="1:25">
      <c r="A23" s="170" t="s">
        <v>311</v>
      </c>
      <c r="B23" s="170"/>
      <c r="C23" s="170"/>
      <c r="D23" s="170"/>
      <c r="E23" s="170"/>
      <c r="F23" s="170"/>
      <c r="G23" s="170"/>
      <c r="H23" s="170"/>
      <c r="I23" s="170"/>
      <c r="J23" s="170"/>
      <c r="K23" s="170"/>
      <c r="L23" s="170"/>
      <c r="M23" s="170"/>
      <c r="N23" s="170"/>
      <c r="O23" s="170"/>
      <c r="P23" s="171"/>
      <c r="Q23" s="171"/>
      <c r="R23" s="171"/>
      <c r="S23" s="171"/>
      <c r="T23" s="170"/>
      <c r="U23" s="170"/>
      <c r="V23" s="170"/>
      <c r="W23" s="170"/>
      <c r="X23" s="170"/>
      <c r="Y23" s="170"/>
    </row>
    <row r="24" spans="1:25">
      <c r="A24" s="170" t="s">
        <v>312</v>
      </c>
      <c r="B24" s="170"/>
      <c r="C24" s="170"/>
      <c r="D24" s="170"/>
      <c r="E24" s="170"/>
      <c r="F24" s="170"/>
      <c r="G24" s="170"/>
      <c r="H24" s="170"/>
      <c r="I24" s="170"/>
      <c r="J24" s="170"/>
      <c r="K24" s="170"/>
      <c r="L24" s="170"/>
      <c r="M24" s="170"/>
      <c r="N24" s="170"/>
      <c r="O24" s="170"/>
      <c r="P24" s="170"/>
      <c r="Q24" s="170"/>
      <c r="R24" s="170"/>
      <c r="S24" s="171"/>
      <c r="T24" s="170"/>
      <c r="U24" s="170"/>
      <c r="V24" s="170"/>
      <c r="W24" s="170"/>
      <c r="X24" s="170"/>
      <c r="Y24" s="170"/>
    </row>
    <row r="25" spans="1:25">
      <c r="A25" s="170"/>
      <c r="B25" s="170"/>
      <c r="C25" s="170"/>
      <c r="D25" s="170"/>
      <c r="E25" s="170"/>
      <c r="F25" s="170"/>
      <c r="G25" s="170"/>
      <c r="H25" s="170"/>
      <c r="I25" s="170"/>
      <c r="J25" s="170"/>
      <c r="K25" s="170"/>
      <c r="L25" s="170"/>
      <c r="M25" s="170"/>
      <c r="N25" s="170"/>
      <c r="O25" s="170"/>
      <c r="P25" s="170"/>
      <c r="Q25" s="170"/>
      <c r="R25" s="170"/>
      <c r="S25" s="170"/>
      <c r="T25" s="170"/>
      <c r="U25" s="170"/>
      <c r="V25" s="170"/>
      <c r="W25" s="170"/>
      <c r="X25" s="170"/>
      <c r="Y25" s="170"/>
    </row>
    <row r="26" spans="1:25">
      <c r="A26" s="170" t="s">
        <v>313</v>
      </c>
      <c r="B26" s="170"/>
      <c r="C26" s="170"/>
      <c r="D26" s="170"/>
      <c r="E26" s="170"/>
      <c r="F26" s="170"/>
      <c r="G26" s="170"/>
      <c r="H26" s="170"/>
      <c r="I26" s="170"/>
      <c r="J26" s="170"/>
      <c r="K26" s="170"/>
      <c r="L26" s="170"/>
      <c r="M26" s="170"/>
      <c r="N26" s="170"/>
      <c r="O26" s="170"/>
      <c r="P26" s="170"/>
      <c r="Q26" s="170"/>
      <c r="R26" s="170"/>
      <c r="S26" s="170"/>
      <c r="T26" s="171"/>
      <c r="U26" s="170"/>
      <c r="V26" s="170"/>
      <c r="W26" s="170"/>
      <c r="X26" s="170"/>
      <c r="Y26" s="170"/>
    </row>
    <row r="27" spans="1:25">
      <c r="A27" s="170" t="s">
        <v>314</v>
      </c>
      <c r="B27" s="170"/>
      <c r="C27" s="170"/>
      <c r="D27" s="170"/>
      <c r="E27" s="170"/>
      <c r="F27" s="170"/>
      <c r="G27" s="170"/>
      <c r="H27" s="170"/>
      <c r="I27" s="170"/>
      <c r="J27" s="170"/>
      <c r="K27" s="170"/>
      <c r="L27" s="170"/>
      <c r="M27" s="170"/>
      <c r="N27" s="170"/>
      <c r="O27" s="170"/>
      <c r="P27" s="170"/>
      <c r="Q27" s="170"/>
      <c r="R27" s="170"/>
      <c r="S27" s="170"/>
      <c r="T27" s="170"/>
      <c r="U27" s="171"/>
      <c r="V27" s="171"/>
      <c r="W27" s="171"/>
      <c r="X27" s="170"/>
      <c r="Y27" s="170"/>
    </row>
    <row r="28" spans="1:25">
      <c r="A28" s="170" t="s">
        <v>315</v>
      </c>
      <c r="B28" s="170"/>
      <c r="C28" s="170"/>
      <c r="D28" s="170"/>
      <c r="E28" s="170"/>
      <c r="F28" s="170"/>
      <c r="G28" s="170"/>
      <c r="H28" s="170"/>
      <c r="I28" s="170"/>
      <c r="J28" s="170"/>
      <c r="K28" s="170"/>
      <c r="L28" s="170"/>
      <c r="M28" s="170"/>
      <c r="N28" s="170"/>
      <c r="O28" s="170"/>
      <c r="P28" s="170"/>
      <c r="Q28" s="170"/>
      <c r="R28" s="170"/>
      <c r="S28" s="170"/>
      <c r="T28" s="170"/>
      <c r="U28" s="170"/>
      <c r="V28" s="170"/>
      <c r="W28" s="170"/>
      <c r="X28" s="171"/>
      <c r="Y28" s="170"/>
    </row>
    <row r="29" spans="1:25">
      <c r="A29" s="169" t="s">
        <v>316</v>
      </c>
      <c r="B29" s="170"/>
      <c r="C29" s="170"/>
      <c r="D29" s="170"/>
      <c r="E29" s="170"/>
      <c r="F29" s="170"/>
      <c r="G29" s="170"/>
      <c r="H29" s="170"/>
      <c r="I29" s="170"/>
      <c r="J29" s="170"/>
      <c r="K29" s="170"/>
      <c r="L29" s="170"/>
      <c r="M29" s="170"/>
      <c r="N29" s="170"/>
      <c r="O29" s="170"/>
      <c r="P29" s="170"/>
      <c r="Q29" s="170"/>
      <c r="R29" s="170"/>
      <c r="S29" s="170"/>
      <c r="T29" s="170"/>
      <c r="U29" s="170"/>
      <c r="V29" s="170"/>
      <c r="W29" s="170"/>
      <c r="X29" s="170"/>
      <c r="Y29" s="170"/>
    </row>
    <row r="30" spans="1:25">
      <c r="A30" s="172" t="s">
        <v>317</v>
      </c>
      <c r="B30" s="170"/>
      <c r="C30" s="170"/>
      <c r="D30" s="170"/>
      <c r="E30" s="170"/>
      <c r="F30" s="170"/>
      <c r="G30" s="170"/>
      <c r="H30" s="170"/>
      <c r="I30" s="170"/>
      <c r="J30" s="170"/>
      <c r="K30" s="170"/>
      <c r="L30" s="170"/>
      <c r="M30" s="170"/>
      <c r="N30" s="170"/>
      <c r="O30" s="170"/>
      <c r="P30" s="170"/>
      <c r="Q30" s="170"/>
      <c r="R30" s="170"/>
      <c r="S30" s="170"/>
      <c r="T30" s="170"/>
      <c r="U30" s="170"/>
      <c r="V30" s="170"/>
      <c r="W30" s="170"/>
      <c r="X30" s="170"/>
      <c r="Y30" s="170"/>
    </row>
    <row r="31" spans="1:25">
      <c r="A31" s="172" t="s">
        <v>318</v>
      </c>
      <c r="B31" s="171"/>
      <c r="C31" s="171"/>
      <c r="D31" s="171"/>
      <c r="E31" s="171"/>
      <c r="F31" s="171"/>
      <c r="G31" s="170"/>
      <c r="H31" s="170"/>
      <c r="I31" s="170"/>
      <c r="J31" s="170"/>
      <c r="K31" s="170"/>
      <c r="L31" s="170"/>
      <c r="M31" s="170"/>
      <c r="N31" s="170"/>
      <c r="O31" s="170"/>
      <c r="P31" s="170"/>
      <c r="Q31" s="170"/>
      <c r="R31" s="170"/>
      <c r="S31" s="170"/>
      <c r="T31" s="170"/>
      <c r="U31" s="170"/>
      <c r="V31" s="170"/>
      <c r="W31" s="170"/>
      <c r="X31" s="170"/>
      <c r="Y31" s="170"/>
    </row>
    <row r="32" spans="1:25">
      <c r="A32" s="172" t="s">
        <v>319</v>
      </c>
      <c r="B32" s="170"/>
      <c r="C32" s="170"/>
      <c r="D32" s="170"/>
      <c r="E32" s="171"/>
      <c r="F32" s="171"/>
      <c r="G32" s="171"/>
      <c r="H32" s="171"/>
      <c r="I32" s="171"/>
      <c r="J32" s="171"/>
      <c r="K32" s="171"/>
      <c r="L32" s="171"/>
      <c r="M32" s="171"/>
      <c r="N32" s="170"/>
      <c r="O32" s="170"/>
      <c r="P32" s="170"/>
      <c r="Q32" s="170"/>
      <c r="R32" s="170"/>
      <c r="S32" s="170"/>
      <c r="T32" s="170"/>
      <c r="U32" s="170"/>
      <c r="V32" s="170"/>
      <c r="W32" s="170"/>
      <c r="X32" s="170"/>
      <c r="Y32" s="170"/>
    </row>
    <row r="33" spans="1:25">
      <c r="A33" s="172" t="s">
        <v>320</v>
      </c>
      <c r="B33" s="170"/>
      <c r="C33" s="170"/>
      <c r="D33" s="170"/>
      <c r="E33" s="170"/>
      <c r="F33" s="170"/>
      <c r="G33" s="170"/>
      <c r="H33" s="170"/>
      <c r="I33" s="170"/>
      <c r="J33" s="170"/>
      <c r="K33" s="170"/>
      <c r="L33" s="170"/>
      <c r="M33" s="170"/>
      <c r="N33" s="171"/>
      <c r="O33" s="171"/>
      <c r="P33" s="171"/>
      <c r="Q33" s="170"/>
      <c r="R33" s="170"/>
      <c r="S33" s="170"/>
      <c r="T33" s="170"/>
      <c r="U33" s="170"/>
      <c r="V33" s="170"/>
      <c r="W33" s="170"/>
      <c r="X33" s="170"/>
      <c r="Y33" s="170"/>
    </row>
    <row r="34" spans="1:25">
      <c r="A34" s="172" t="s">
        <v>321</v>
      </c>
      <c r="B34" s="170"/>
      <c r="C34" s="170"/>
      <c r="D34" s="170"/>
      <c r="E34" s="170"/>
      <c r="F34" s="170"/>
      <c r="G34" s="170"/>
      <c r="H34" s="170"/>
      <c r="I34" s="170"/>
      <c r="J34" s="170"/>
      <c r="K34" s="170"/>
      <c r="L34" s="170"/>
      <c r="M34" s="170"/>
      <c r="N34" s="170"/>
      <c r="O34" s="170"/>
      <c r="P34" s="170"/>
      <c r="Q34" s="171"/>
      <c r="R34" s="170"/>
      <c r="S34" s="170"/>
      <c r="T34" s="170"/>
      <c r="U34" s="170"/>
      <c r="V34" s="170"/>
      <c r="W34" s="170"/>
      <c r="X34" s="170"/>
      <c r="Y34" s="170"/>
    </row>
    <row r="35" spans="1:25">
      <c r="A35" s="172" t="s">
        <v>322</v>
      </c>
      <c r="B35" s="170"/>
      <c r="C35" s="170"/>
      <c r="D35" s="170"/>
      <c r="E35" s="170"/>
      <c r="F35" s="170"/>
      <c r="G35" s="170"/>
      <c r="H35" s="170"/>
      <c r="I35" s="170"/>
      <c r="J35" s="170"/>
      <c r="K35" s="170"/>
      <c r="L35" s="170"/>
      <c r="M35" s="170"/>
      <c r="N35" s="170"/>
      <c r="O35" s="170"/>
      <c r="P35" s="170"/>
      <c r="Q35" s="170"/>
      <c r="R35" s="170"/>
      <c r="S35" s="171"/>
      <c r="T35" s="170"/>
      <c r="U35" s="170"/>
      <c r="V35" s="170"/>
      <c r="W35" s="170"/>
      <c r="X35" s="170"/>
      <c r="Y35" s="170"/>
    </row>
    <row r="36" spans="1:25">
      <c r="A36" s="172" t="s">
        <v>323</v>
      </c>
      <c r="B36" s="170"/>
      <c r="C36" s="170"/>
      <c r="D36" s="170"/>
      <c r="E36" s="170"/>
      <c r="F36" s="170"/>
      <c r="G36" s="170"/>
      <c r="H36" s="170"/>
      <c r="I36" s="170"/>
      <c r="J36" s="170"/>
      <c r="K36" s="170"/>
      <c r="L36" s="170"/>
      <c r="M36" s="170"/>
      <c r="N36" s="170"/>
      <c r="O36" s="170"/>
      <c r="P36" s="170"/>
      <c r="Q36" s="170"/>
      <c r="R36" s="170"/>
      <c r="S36" s="170"/>
      <c r="T36" s="171"/>
      <c r="U36" s="170"/>
      <c r="V36" s="170"/>
      <c r="W36" s="170"/>
      <c r="X36" s="170"/>
      <c r="Y36" s="170"/>
    </row>
    <row r="37" spans="1:25">
      <c r="A37" s="170" t="s">
        <v>324</v>
      </c>
      <c r="B37" s="170"/>
      <c r="C37" s="170"/>
      <c r="D37" s="170"/>
      <c r="E37" s="170"/>
      <c r="F37" s="170"/>
      <c r="G37" s="170"/>
      <c r="H37" s="170"/>
      <c r="I37" s="170"/>
      <c r="J37" s="170"/>
      <c r="K37" s="170"/>
      <c r="L37" s="170"/>
      <c r="M37" s="170"/>
      <c r="N37" s="170"/>
      <c r="O37" s="170"/>
      <c r="P37" s="170"/>
      <c r="Q37" s="170"/>
      <c r="R37" s="170"/>
      <c r="S37" s="170"/>
      <c r="T37" s="170"/>
      <c r="U37" s="171"/>
      <c r="V37" s="171"/>
      <c r="W37" s="171"/>
      <c r="X37" s="170"/>
      <c r="Y37" s="170"/>
    </row>
    <row r="38" spans="1:25">
      <c r="A38" s="170" t="s">
        <v>325</v>
      </c>
      <c r="B38" s="170"/>
      <c r="C38" s="170"/>
      <c r="D38" s="170"/>
      <c r="E38" s="170"/>
      <c r="F38" s="170"/>
      <c r="G38" s="170"/>
      <c r="H38" s="170"/>
      <c r="I38" s="170"/>
      <c r="J38" s="170"/>
      <c r="K38" s="170"/>
      <c r="L38" s="170"/>
      <c r="M38" s="170"/>
      <c r="N38" s="170"/>
      <c r="O38" s="170"/>
      <c r="P38" s="170"/>
      <c r="Q38" s="170"/>
      <c r="R38" s="170"/>
      <c r="S38" s="170"/>
      <c r="T38" s="170"/>
      <c r="U38" s="170"/>
      <c r="V38" s="170"/>
      <c r="W38" s="170"/>
      <c r="X38" s="171"/>
      <c r="Y38" s="170"/>
    </row>
    <row r="39" spans="1:25">
      <c r="A39" s="172"/>
      <c r="B39" s="170"/>
      <c r="C39" s="170"/>
      <c r="D39" s="170"/>
      <c r="E39" s="170"/>
      <c r="F39" s="170"/>
      <c r="G39" s="170"/>
      <c r="H39" s="170"/>
      <c r="I39" s="170"/>
      <c r="J39" s="170"/>
      <c r="K39" s="170"/>
      <c r="L39" s="170"/>
      <c r="M39" s="170"/>
      <c r="N39" s="170"/>
      <c r="O39" s="170"/>
      <c r="P39" s="170"/>
      <c r="Q39" s="170"/>
      <c r="R39" s="170"/>
      <c r="S39" s="170"/>
      <c r="T39" s="170"/>
      <c r="U39" s="170"/>
      <c r="V39" s="170"/>
      <c r="W39" s="170"/>
      <c r="X39" s="170"/>
      <c r="Y39" s="170"/>
    </row>
    <row r="40" spans="1:25">
      <c r="A40" s="172" t="s">
        <v>326</v>
      </c>
      <c r="B40" s="170"/>
      <c r="C40" s="170"/>
      <c r="D40" s="170"/>
      <c r="E40" s="170"/>
      <c r="F40" s="170"/>
      <c r="G40" s="170"/>
      <c r="H40" s="170"/>
      <c r="I40" s="170"/>
      <c r="J40" s="170"/>
      <c r="K40" s="170"/>
      <c r="L40" s="170"/>
      <c r="M40" s="170"/>
      <c r="N40" s="170"/>
      <c r="O40" s="170"/>
      <c r="P40" s="170"/>
      <c r="Q40" s="170"/>
      <c r="R40" s="170"/>
      <c r="S40" s="170"/>
      <c r="T40" s="170"/>
      <c r="U40" s="170"/>
      <c r="V40" s="170"/>
      <c r="W40" s="170"/>
      <c r="X40" s="170"/>
      <c r="Y40" s="170"/>
    </row>
    <row r="41" spans="1:25">
      <c r="A41" s="172" t="s">
        <v>327</v>
      </c>
      <c r="B41" s="171"/>
      <c r="C41" s="171"/>
      <c r="D41" s="171"/>
      <c r="E41" s="171"/>
      <c r="F41" s="171"/>
      <c r="G41" s="170"/>
      <c r="H41" s="170"/>
      <c r="I41" s="170"/>
      <c r="J41" s="170"/>
      <c r="K41" s="170"/>
      <c r="L41" s="170"/>
      <c r="M41" s="170"/>
      <c r="N41" s="170"/>
      <c r="O41" s="170"/>
      <c r="P41" s="170"/>
      <c r="Q41" s="170"/>
      <c r="R41" s="170"/>
      <c r="S41" s="170"/>
      <c r="T41" s="170"/>
      <c r="U41" s="170"/>
      <c r="V41" s="170"/>
      <c r="W41" s="170"/>
      <c r="X41" s="170"/>
      <c r="Y41" s="170"/>
    </row>
    <row r="42" spans="1:25">
      <c r="A42" s="172" t="s">
        <v>328</v>
      </c>
      <c r="B42" s="170"/>
      <c r="C42" s="170"/>
      <c r="D42" s="170"/>
      <c r="E42" s="170"/>
      <c r="F42" s="171"/>
      <c r="G42" s="171"/>
      <c r="H42" s="171"/>
      <c r="I42" s="171"/>
      <c r="J42" s="171"/>
      <c r="K42" s="170"/>
      <c r="L42" s="170"/>
      <c r="M42" s="170"/>
      <c r="N42" s="170"/>
      <c r="O42" s="170"/>
      <c r="P42" s="170"/>
      <c r="Q42" s="170"/>
      <c r="R42" s="170"/>
      <c r="S42" s="170"/>
      <c r="T42" s="170"/>
      <c r="U42" s="170"/>
      <c r="V42" s="170"/>
      <c r="W42" s="170"/>
      <c r="X42" s="170"/>
      <c r="Y42" s="170"/>
    </row>
    <row r="43" spans="1:25">
      <c r="A43" s="172" t="s">
        <v>329</v>
      </c>
      <c r="B43" s="170"/>
      <c r="C43" s="170"/>
      <c r="D43" s="170"/>
      <c r="E43" s="170"/>
      <c r="F43" s="170"/>
      <c r="G43" s="170"/>
      <c r="H43" s="170"/>
      <c r="I43" s="170"/>
      <c r="J43" s="171"/>
      <c r="K43" s="171"/>
      <c r="L43" s="171"/>
      <c r="M43" s="171"/>
      <c r="N43" s="170"/>
      <c r="O43" s="170"/>
      <c r="P43" s="170"/>
      <c r="Q43" s="170"/>
      <c r="R43" s="170"/>
      <c r="S43" s="170"/>
      <c r="T43" s="170"/>
      <c r="U43" s="170"/>
      <c r="V43" s="170"/>
      <c r="W43" s="170"/>
      <c r="X43" s="170"/>
      <c r="Y43" s="170"/>
    </row>
    <row r="44" spans="1:25">
      <c r="A44" s="172" t="s">
        <v>330</v>
      </c>
      <c r="B44" s="170"/>
      <c r="C44" s="170"/>
      <c r="D44" s="170"/>
      <c r="E44" s="170"/>
      <c r="F44" s="170"/>
      <c r="G44" s="170"/>
      <c r="H44" s="170"/>
      <c r="I44" s="170"/>
      <c r="J44" s="170"/>
      <c r="K44" s="170"/>
      <c r="L44" s="170"/>
      <c r="M44" s="170"/>
      <c r="N44" s="171"/>
      <c r="O44" s="171"/>
      <c r="P44" s="171"/>
      <c r="Q44" s="170"/>
      <c r="R44" s="170"/>
      <c r="S44" s="170"/>
      <c r="T44" s="170"/>
      <c r="U44" s="170"/>
      <c r="V44" s="170"/>
      <c r="W44" s="170"/>
      <c r="X44" s="170"/>
      <c r="Y44" s="170"/>
    </row>
    <row r="45" spans="1:25">
      <c r="A45" s="172" t="s">
        <v>331</v>
      </c>
      <c r="B45" s="170"/>
      <c r="C45" s="170"/>
      <c r="D45" s="170"/>
      <c r="E45" s="170"/>
      <c r="F45" s="170"/>
      <c r="G45" s="170"/>
      <c r="H45" s="170"/>
      <c r="I45" s="170"/>
      <c r="J45" s="170"/>
      <c r="K45" s="170"/>
      <c r="L45" s="170"/>
      <c r="M45" s="170"/>
      <c r="N45" s="170"/>
      <c r="O45" s="170"/>
      <c r="P45" s="170"/>
      <c r="Q45" s="170"/>
      <c r="R45" s="170"/>
      <c r="S45" s="171"/>
      <c r="T45" s="170"/>
      <c r="U45" s="170"/>
      <c r="V45" s="170"/>
      <c r="W45" s="170"/>
      <c r="X45" s="170"/>
      <c r="Y45" s="170"/>
    </row>
    <row r="46" spans="1:25">
      <c r="A46" s="172" t="s">
        <v>332</v>
      </c>
      <c r="B46" s="170"/>
      <c r="C46" s="170"/>
      <c r="D46" s="170"/>
      <c r="E46" s="170"/>
      <c r="F46" s="170"/>
      <c r="G46" s="170"/>
      <c r="H46" s="170"/>
      <c r="I46" s="170"/>
      <c r="J46" s="170"/>
      <c r="K46" s="170"/>
      <c r="L46" s="170"/>
      <c r="M46" s="170"/>
      <c r="N46" s="170"/>
      <c r="O46" s="170"/>
      <c r="P46" s="170"/>
      <c r="Q46" s="170"/>
      <c r="R46" s="170"/>
      <c r="S46" s="170"/>
      <c r="T46" s="171"/>
      <c r="U46" s="170"/>
      <c r="V46" s="170"/>
      <c r="W46" s="170"/>
      <c r="X46" s="170"/>
      <c r="Y46" s="170"/>
    </row>
    <row r="47" spans="1:25">
      <c r="A47" s="170" t="s">
        <v>324</v>
      </c>
      <c r="B47" s="170"/>
      <c r="C47" s="170"/>
      <c r="D47" s="170"/>
      <c r="E47" s="170"/>
      <c r="F47" s="170"/>
      <c r="G47" s="170"/>
      <c r="H47" s="170"/>
      <c r="I47" s="170"/>
      <c r="J47" s="170"/>
      <c r="K47" s="170"/>
      <c r="L47" s="170"/>
      <c r="M47" s="170"/>
      <c r="N47" s="170"/>
      <c r="O47" s="170"/>
      <c r="P47" s="170"/>
      <c r="Q47" s="170"/>
      <c r="R47" s="170"/>
      <c r="S47" s="170"/>
      <c r="T47" s="170"/>
      <c r="U47" s="171"/>
      <c r="V47" s="171"/>
      <c r="W47" s="171"/>
      <c r="X47" s="170"/>
      <c r="Y47" s="170"/>
    </row>
    <row r="48" spans="1:25">
      <c r="A48" s="170" t="s">
        <v>325</v>
      </c>
      <c r="B48" s="170"/>
      <c r="C48" s="170"/>
      <c r="D48" s="170"/>
      <c r="E48" s="170"/>
      <c r="F48" s="170"/>
      <c r="G48" s="170"/>
      <c r="H48" s="170"/>
      <c r="I48" s="170"/>
      <c r="J48" s="170"/>
      <c r="K48" s="170"/>
      <c r="L48" s="170"/>
      <c r="M48" s="170"/>
      <c r="N48" s="170"/>
      <c r="O48" s="170"/>
      <c r="P48" s="170"/>
      <c r="Q48" s="170"/>
      <c r="R48" s="170"/>
      <c r="S48" s="170"/>
      <c r="T48" s="170"/>
      <c r="U48" s="170"/>
      <c r="V48" s="170"/>
      <c r="W48" s="170"/>
      <c r="X48" s="171"/>
      <c r="Y48" s="170"/>
    </row>
    <row r="49" spans="1:25">
      <c r="A49" s="172"/>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row>
    <row r="50" spans="1:25">
      <c r="A50" s="172" t="s">
        <v>333</v>
      </c>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row>
    <row r="51" spans="1:25">
      <c r="A51" s="172" t="s">
        <v>318</v>
      </c>
      <c r="B51" s="170"/>
      <c r="C51" s="170"/>
      <c r="D51" s="170"/>
      <c r="E51" s="170"/>
      <c r="F51" s="170"/>
      <c r="G51" s="170"/>
      <c r="H51" s="171"/>
      <c r="I51" s="171"/>
      <c r="J51" s="171"/>
      <c r="K51" s="170"/>
      <c r="L51" s="170"/>
      <c r="M51" s="170"/>
      <c r="N51" s="170"/>
      <c r="O51" s="170"/>
      <c r="P51" s="170"/>
      <c r="Q51" s="170"/>
      <c r="R51" s="170"/>
      <c r="S51" s="170"/>
      <c r="T51" s="170"/>
      <c r="U51" s="170"/>
      <c r="V51" s="170"/>
      <c r="W51" s="170"/>
      <c r="X51" s="170"/>
      <c r="Y51" s="170"/>
    </row>
    <row r="52" spans="1:25">
      <c r="A52" s="172" t="s">
        <v>319</v>
      </c>
      <c r="B52" s="170"/>
      <c r="C52" s="170"/>
      <c r="D52" s="170"/>
      <c r="E52" s="170"/>
      <c r="F52" s="170"/>
      <c r="G52" s="170"/>
      <c r="H52" s="170"/>
      <c r="I52" s="170"/>
      <c r="J52" s="171"/>
      <c r="K52" s="171"/>
      <c r="L52" s="171"/>
      <c r="M52" s="171"/>
      <c r="N52" s="170"/>
      <c r="O52" s="170"/>
      <c r="P52" s="170"/>
      <c r="Q52" s="170"/>
      <c r="R52" s="170"/>
      <c r="S52" s="170"/>
      <c r="T52" s="170"/>
      <c r="U52" s="170"/>
      <c r="V52" s="170"/>
      <c r="W52" s="170"/>
      <c r="X52" s="170"/>
      <c r="Y52" s="170"/>
    </row>
    <row r="53" spans="1:25">
      <c r="A53" s="172" t="s">
        <v>320</v>
      </c>
      <c r="B53" s="170"/>
      <c r="C53" s="170"/>
      <c r="D53" s="170"/>
      <c r="E53" s="170"/>
      <c r="F53" s="170"/>
      <c r="G53" s="170"/>
      <c r="H53" s="170"/>
      <c r="I53" s="170"/>
      <c r="J53" s="170"/>
      <c r="K53" s="170"/>
      <c r="L53" s="170"/>
      <c r="M53" s="170"/>
      <c r="N53" s="171"/>
      <c r="O53" s="171"/>
      <c r="P53" s="171"/>
      <c r="Q53" s="170"/>
      <c r="R53" s="170"/>
      <c r="S53" s="170"/>
      <c r="T53" s="170"/>
      <c r="U53" s="170"/>
      <c r="V53" s="170"/>
      <c r="W53" s="170"/>
      <c r="X53" s="170"/>
      <c r="Y53" s="170"/>
    </row>
    <row r="54" spans="1:25">
      <c r="A54" s="172" t="s">
        <v>334</v>
      </c>
      <c r="B54" s="170"/>
      <c r="C54" s="170"/>
      <c r="D54" s="170"/>
      <c r="E54" s="170"/>
      <c r="F54" s="170"/>
      <c r="G54" s="170"/>
      <c r="H54" s="170"/>
      <c r="I54" s="170"/>
      <c r="J54" s="170"/>
      <c r="K54" s="170"/>
      <c r="L54" s="170"/>
      <c r="M54" s="170"/>
      <c r="N54" s="171"/>
      <c r="O54" s="171"/>
      <c r="P54" s="171"/>
      <c r="Q54" s="171"/>
      <c r="R54" s="171"/>
      <c r="S54" s="170"/>
      <c r="T54" s="170"/>
      <c r="U54" s="170"/>
      <c r="V54" s="170"/>
      <c r="W54" s="170"/>
      <c r="X54" s="170"/>
      <c r="Y54" s="170"/>
    </row>
    <row r="55" spans="1:25">
      <c r="A55" s="172" t="s">
        <v>331</v>
      </c>
      <c r="B55" s="170"/>
      <c r="C55" s="170"/>
      <c r="D55" s="170"/>
      <c r="E55" s="170"/>
      <c r="F55" s="170"/>
      <c r="G55" s="170"/>
      <c r="H55" s="170"/>
      <c r="I55" s="170"/>
      <c r="J55" s="170"/>
      <c r="K55" s="170"/>
      <c r="L55" s="170"/>
      <c r="M55" s="170"/>
      <c r="N55" s="170"/>
      <c r="O55" s="170"/>
      <c r="P55" s="170"/>
      <c r="Q55" s="170"/>
      <c r="R55" s="170"/>
      <c r="S55" s="171"/>
      <c r="T55" s="170"/>
      <c r="U55" s="170"/>
      <c r="V55" s="170"/>
      <c r="W55" s="170"/>
      <c r="X55" s="170"/>
      <c r="Y55" s="170"/>
    </row>
    <row r="56" spans="1:25">
      <c r="A56" s="172" t="s">
        <v>332</v>
      </c>
      <c r="B56" s="170"/>
      <c r="C56" s="170"/>
      <c r="D56" s="170"/>
      <c r="E56" s="170"/>
      <c r="F56" s="170"/>
      <c r="G56" s="170"/>
      <c r="H56" s="170"/>
      <c r="I56" s="170"/>
      <c r="J56" s="170"/>
      <c r="K56" s="170"/>
      <c r="L56" s="170"/>
      <c r="M56" s="170"/>
      <c r="N56" s="170"/>
      <c r="O56" s="170"/>
      <c r="P56" s="170"/>
      <c r="Q56" s="170"/>
      <c r="R56" s="170"/>
      <c r="S56" s="170"/>
      <c r="T56" s="171"/>
      <c r="U56" s="170"/>
      <c r="V56" s="170"/>
      <c r="W56" s="170"/>
      <c r="X56" s="170"/>
      <c r="Y56" s="170"/>
    </row>
    <row r="57" spans="1:25">
      <c r="A57" s="172"/>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row>
  </sheetData>
  <mergeCells count="4">
    <mergeCell ref="A2:A3"/>
    <mergeCell ref="B2:C2"/>
    <mergeCell ref="D2:O2"/>
    <mergeCell ref="P2:Y2"/>
  </mergeCells>
  <phoneticPr fontId="2"/>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B7ECE-8416-4296-A248-5BD1B18580BD}">
  <dimension ref="A1:AR254"/>
  <sheetViews>
    <sheetView zoomScaleNormal="100" workbookViewId="0">
      <pane xSplit="2" ySplit="3" topLeftCell="C150" activePane="bottomRight" state="frozen"/>
      <selection pane="bottomRight" activeCell="B186" sqref="B186"/>
      <selection pane="bottomLeft" activeCell="A4" sqref="A4"/>
      <selection pane="topRight" activeCell="C1" sqref="C1"/>
    </sheetView>
  </sheetViews>
  <sheetFormatPr defaultRowHeight="18.75" customHeight="1" outlineLevelRow="1"/>
  <cols>
    <col min="1" max="1" width="30.75" customWidth="1"/>
    <col min="2" max="2" width="21" customWidth="1"/>
    <col min="3" max="29" width="18.875" customWidth="1"/>
    <col min="30" max="31" width="18.875" hidden="1" customWidth="1"/>
    <col min="32" max="43" width="17.125" hidden="1" customWidth="1"/>
    <col min="44" max="44" width="16.125" customWidth="1"/>
  </cols>
  <sheetData>
    <row r="1" spans="1:31" ht="18">
      <c r="A1" s="150" t="s">
        <v>203</v>
      </c>
    </row>
    <row r="2" spans="1:31" ht="18">
      <c r="A2" s="236" t="s">
        <v>204</v>
      </c>
      <c r="B2" s="236" t="s">
        <v>205</v>
      </c>
      <c r="C2" s="241" t="s">
        <v>206</v>
      </c>
      <c r="D2" s="241"/>
      <c r="E2" s="241"/>
      <c r="F2" s="241"/>
      <c r="G2" s="241"/>
      <c r="H2" s="241"/>
      <c r="I2" s="241"/>
      <c r="J2" s="241"/>
      <c r="K2" s="241"/>
      <c r="L2" s="241"/>
      <c r="M2" s="241"/>
      <c r="N2" s="241"/>
      <c r="O2" s="239" t="s">
        <v>207</v>
      </c>
      <c r="P2" s="240"/>
      <c r="Q2" s="240"/>
      <c r="R2" s="240"/>
      <c r="S2" s="240"/>
      <c r="T2" s="240"/>
      <c r="U2" s="240"/>
      <c r="V2" s="240"/>
      <c r="W2" s="240"/>
      <c r="X2" s="240"/>
      <c r="Y2" s="240"/>
      <c r="Z2" s="240"/>
      <c r="AA2" s="277" t="s">
        <v>208</v>
      </c>
      <c r="AB2" s="277"/>
      <c r="AC2" s="277"/>
      <c r="AD2" s="277"/>
      <c r="AE2" s="277"/>
    </row>
    <row r="3" spans="1:31" ht="18">
      <c r="A3" s="237"/>
      <c r="B3" s="237"/>
      <c r="C3" s="111" t="s">
        <v>209</v>
      </c>
      <c r="D3" s="111" t="s">
        <v>210</v>
      </c>
      <c r="E3" s="111" t="s">
        <v>211</v>
      </c>
      <c r="F3" s="111" t="s">
        <v>212</v>
      </c>
      <c r="G3" s="111" t="s">
        <v>213</v>
      </c>
      <c r="H3" s="111" t="s">
        <v>214</v>
      </c>
      <c r="I3" s="111" t="s">
        <v>215</v>
      </c>
      <c r="J3" s="111" t="s">
        <v>216</v>
      </c>
      <c r="K3" s="111" t="s">
        <v>217</v>
      </c>
      <c r="L3" s="111" t="s">
        <v>218</v>
      </c>
      <c r="M3" s="111" t="s">
        <v>219</v>
      </c>
      <c r="N3" s="111" t="s">
        <v>220</v>
      </c>
      <c r="O3" s="111" t="s">
        <v>209</v>
      </c>
      <c r="P3" s="111" t="s">
        <v>210</v>
      </c>
      <c r="Q3" s="111" t="s">
        <v>211</v>
      </c>
      <c r="R3" s="111" t="s">
        <v>212</v>
      </c>
      <c r="S3" s="111" t="s">
        <v>213</v>
      </c>
      <c r="T3" s="111" t="s">
        <v>214</v>
      </c>
      <c r="U3" s="111" t="s">
        <v>215</v>
      </c>
      <c r="V3" s="111" t="s">
        <v>216</v>
      </c>
      <c r="W3" s="111" t="s">
        <v>217</v>
      </c>
      <c r="X3" s="111" t="s">
        <v>218</v>
      </c>
      <c r="Y3" s="111" t="s">
        <v>219</v>
      </c>
      <c r="Z3" s="117" t="s">
        <v>220</v>
      </c>
      <c r="AA3" s="118" t="s">
        <v>209</v>
      </c>
      <c r="AB3" s="118" t="s">
        <v>210</v>
      </c>
      <c r="AC3" s="118" t="s">
        <v>211</v>
      </c>
      <c r="AD3" s="118" t="s">
        <v>212</v>
      </c>
      <c r="AE3" s="119" t="s">
        <v>213</v>
      </c>
    </row>
    <row r="4" spans="1:31" ht="18">
      <c r="A4" s="231" t="s">
        <v>221</v>
      </c>
      <c r="B4" s="232"/>
      <c r="C4" s="110"/>
      <c r="D4" s="110"/>
      <c r="E4" s="110" t="s">
        <v>222</v>
      </c>
      <c r="F4" s="110"/>
      <c r="G4" s="110"/>
      <c r="H4" s="110"/>
      <c r="I4" s="110"/>
      <c r="J4" s="110"/>
      <c r="K4" s="110"/>
      <c r="L4" s="110"/>
      <c r="M4" s="110"/>
      <c r="N4" s="110"/>
      <c r="O4" s="110"/>
      <c r="P4" s="110"/>
      <c r="Q4" s="110" t="s">
        <v>223</v>
      </c>
      <c r="R4" s="110"/>
      <c r="S4" s="110"/>
      <c r="T4" s="110"/>
      <c r="U4" s="110"/>
      <c r="V4" s="110"/>
      <c r="W4" s="110"/>
      <c r="X4" s="110"/>
      <c r="Y4" s="110"/>
      <c r="Z4" s="115" t="s">
        <v>224</v>
      </c>
      <c r="AA4" s="14"/>
      <c r="AB4" s="14"/>
      <c r="AC4" s="14"/>
      <c r="AD4" s="14"/>
      <c r="AE4" s="14"/>
    </row>
    <row r="5" spans="1:31" ht="18">
      <c r="A5" s="233"/>
      <c r="B5" s="234"/>
      <c r="C5" s="110"/>
      <c r="D5" s="110"/>
      <c r="E5" s="110"/>
      <c r="F5" s="110"/>
      <c r="G5" s="110"/>
      <c r="H5" s="110"/>
      <c r="I5" s="110"/>
      <c r="J5" s="110"/>
      <c r="K5" s="110"/>
      <c r="L5" s="110"/>
      <c r="M5" s="110" t="s">
        <v>225</v>
      </c>
      <c r="N5" s="110"/>
      <c r="O5" s="110"/>
      <c r="P5" s="110"/>
      <c r="Q5" s="110"/>
      <c r="R5" s="110"/>
      <c r="S5" s="110"/>
      <c r="T5" s="110"/>
      <c r="U5" s="110"/>
      <c r="V5" s="110"/>
      <c r="W5" s="110"/>
      <c r="X5" s="110"/>
      <c r="Y5" s="110"/>
      <c r="Z5" s="115"/>
      <c r="AA5" s="14"/>
      <c r="AB5" s="14"/>
      <c r="AC5" s="14"/>
      <c r="AD5" s="14"/>
      <c r="AE5" s="14"/>
    </row>
    <row r="6" spans="1:31" ht="18" customHeight="1">
      <c r="A6" s="111" t="s">
        <v>226</v>
      </c>
      <c r="B6" s="111"/>
      <c r="C6" s="110"/>
      <c r="D6" s="110"/>
      <c r="E6" s="110"/>
      <c r="F6" s="110"/>
      <c r="G6" s="110"/>
      <c r="H6" s="110"/>
      <c r="I6" s="110"/>
      <c r="J6" s="110"/>
      <c r="K6" s="110"/>
      <c r="L6" s="110"/>
      <c r="M6" s="110"/>
      <c r="N6" s="110"/>
      <c r="O6" s="110"/>
      <c r="P6" s="110"/>
      <c r="Q6" s="110"/>
      <c r="R6" s="110"/>
      <c r="S6" s="110"/>
      <c r="T6" s="110"/>
      <c r="U6" s="110"/>
      <c r="V6" s="110"/>
      <c r="W6" s="110"/>
      <c r="X6" s="110"/>
      <c r="Y6" s="110"/>
      <c r="Z6" s="115"/>
      <c r="AA6" s="14"/>
      <c r="AB6" s="14"/>
      <c r="AC6" s="14"/>
      <c r="AD6" s="14"/>
      <c r="AE6" s="14"/>
    </row>
    <row r="7" spans="1:31" ht="18">
      <c r="A7" s="112" t="s">
        <v>227</v>
      </c>
      <c r="B7" s="112"/>
      <c r="C7" s="110"/>
      <c r="D7" s="110"/>
      <c r="E7" s="110"/>
      <c r="F7" s="110"/>
      <c r="G7" s="110"/>
      <c r="H7" s="110"/>
      <c r="I7" s="110"/>
      <c r="J7" s="110"/>
      <c r="K7" s="110"/>
      <c r="L7" s="110"/>
      <c r="M7" s="110"/>
      <c r="N7" s="110"/>
      <c r="O7" s="110"/>
      <c r="P7" s="110"/>
      <c r="Q7" s="110"/>
      <c r="R7" s="110"/>
      <c r="S7" s="110"/>
      <c r="T7" s="110"/>
      <c r="U7" s="110"/>
      <c r="V7" s="110"/>
      <c r="W7" s="110"/>
      <c r="X7" s="110"/>
      <c r="Y7" s="110"/>
      <c r="Z7" s="115"/>
      <c r="AA7" s="14"/>
      <c r="AB7" s="14"/>
      <c r="AC7" s="14"/>
      <c r="AD7" s="14"/>
      <c r="AE7" s="14"/>
    </row>
    <row r="8" spans="1:31" ht="18">
      <c r="A8" s="113" t="s">
        <v>228</v>
      </c>
      <c r="B8" s="113"/>
      <c r="C8" s="110"/>
      <c r="D8" s="110"/>
      <c r="E8" s="110"/>
      <c r="F8" s="110"/>
      <c r="G8" s="110"/>
      <c r="H8" s="110"/>
      <c r="I8" s="110"/>
      <c r="J8" s="110"/>
      <c r="K8" s="110"/>
      <c r="L8" s="110"/>
      <c r="M8" s="110"/>
      <c r="N8" s="110"/>
      <c r="O8" s="110"/>
      <c r="P8" s="110"/>
      <c r="Q8" s="110"/>
      <c r="R8" s="110"/>
      <c r="S8" s="110"/>
      <c r="T8" s="110"/>
      <c r="U8" s="110"/>
      <c r="V8" s="110"/>
      <c r="W8" s="110"/>
      <c r="X8" s="110"/>
      <c r="Y8" s="110"/>
      <c r="Z8" s="115"/>
      <c r="AA8" s="14"/>
      <c r="AB8" s="14"/>
      <c r="AC8" s="14"/>
      <c r="AD8" s="14"/>
      <c r="AE8" s="14"/>
    </row>
    <row r="9" spans="1:31" ht="18">
      <c r="A9" s="112" t="s">
        <v>143</v>
      </c>
      <c r="B9" s="112"/>
      <c r="C9" s="121"/>
      <c r="D9" s="121"/>
      <c r="E9" s="121"/>
      <c r="F9" s="110"/>
      <c r="G9" s="110"/>
      <c r="H9" s="110"/>
      <c r="I9" s="110"/>
      <c r="J9" s="110"/>
      <c r="K9" s="110"/>
      <c r="L9" s="110"/>
      <c r="M9" s="110"/>
      <c r="N9" s="110"/>
      <c r="O9" s="110"/>
      <c r="P9" s="110"/>
      <c r="Q9" s="110"/>
      <c r="R9" s="110"/>
      <c r="S9" s="110"/>
      <c r="T9" s="110"/>
      <c r="U9" s="110"/>
      <c r="V9" s="110"/>
      <c r="W9" s="110"/>
      <c r="X9" s="110"/>
      <c r="Y9" s="110"/>
      <c r="Z9" s="115"/>
      <c r="AA9" s="14"/>
      <c r="AB9" s="14"/>
      <c r="AC9" s="14"/>
      <c r="AD9" s="14"/>
      <c r="AE9" s="14"/>
    </row>
    <row r="10" spans="1:31" ht="18">
      <c r="A10" s="113" t="s">
        <v>134</v>
      </c>
      <c r="B10" s="113"/>
      <c r="C10" s="110"/>
      <c r="D10" s="110"/>
      <c r="E10" s="110"/>
      <c r="F10" s="110"/>
      <c r="G10" s="110"/>
      <c r="H10" s="110"/>
      <c r="I10" s="110"/>
      <c r="J10" s="110"/>
      <c r="K10" s="110"/>
      <c r="L10" s="110"/>
      <c r="M10" s="110"/>
      <c r="N10" s="110"/>
      <c r="O10" s="110"/>
      <c r="P10" s="110"/>
      <c r="Q10" s="110"/>
      <c r="R10" s="110"/>
      <c r="S10" s="110"/>
      <c r="T10" s="110"/>
      <c r="U10" s="110"/>
      <c r="V10" s="110"/>
      <c r="W10" s="110"/>
      <c r="X10" s="110"/>
      <c r="Y10" s="110"/>
      <c r="Z10" s="115"/>
      <c r="AA10" s="14"/>
      <c r="AB10" s="14"/>
      <c r="AC10" s="14"/>
      <c r="AD10" s="14"/>
      <c r="AE10" s="14"/>
    </row>
    <row r="11" spans="1:31" ht="18">
      <c r="A11" s="112" t="s">
        <v>229</v>
      </c>
      <c r="B11" s="112"/>
      <c r="C11" s="110"/>
      <c r="D11" s="110"/>
      <c r="E11" s="110"/>
      <c r="F11" s="110"/>
      <c r="G11" s="110"/>
      <c r="H11" s="110"/>
      <c r="I11" s="110"/>
      <c r="J11" s="110"/>
      <c r="K11" s="110"/>
      <c r="L11" s="110"/>
      <c r="M11" s="110"/>
      <c r="N11" s="110"/>
      <c r="O11" s="110"/>
      <c r="P11" s="110"/>
      <c r="Q11" s="110"/>
      <c r="R11" s="110"/>
      <c r="S11" s="110"/>
      <c r="T11" s="110"/>
      <c r="U11" s="110"/>
      <c r="V11" s="110"/>
      <c r="W11" s="110"/>
      <c r="X11" s="110"/>
      <c r="Y11" s="110"/>
      <c r="Z11" s="115"/>
      <c r="AA11" s="14"/>
      <c r="AB11" s="14"/>
      <c r="AC11" s="14"/>
      <c r="AD11" s="14"/>
      <c r="AE11" s="14"/>
    </row>
    <row r="12" spans="1:31" ht="18">
      <c r="A12" s="112" t="s">
        <v>230</v>
      </c>
      <c r="B12" s="112"/>
      <c r="C12" s="149"/>
      <c r="D12" s="149"/>
      <c r="E12" s="149"/>
      <c r="F12" s="151"/>
      <c r="G12" s="151"/>
      <c r="H12" s="151"/>
      <c r="I12" s="151"/>
      <c r="J12" s="151"/>
      <c r="K12" s="151"/>
      <c r="L12" s="151"/>
      <c r="M12" s="151"/>
      <c r="N12" s="151"/>
      <c r="O12" s="151"/>
      <c r="P12" s="151"/>
      <c r="Q12" s="151"/>
      <c r="R12" s="151"/>
      <c r="S12" s="151"/>
      <c r="T12" s="151"/>
      <c r="U12" s="151"/>
      <c r="V12" s="151"/>
      <c r="W12" s="151"/>
      <c r="X12" s="151"/>
      <c r="Y12" s="151"/>
      <c r="Z12" s="152"/>
      <c r="AA12" s="153"/>
      <c r="AB12" s="153"/>
      <c r="AC12" s="153"/>
      <c r="AD12" s="153"/>
      <c r="AE12" s="153"/>
    </row>
    <row r="13" spans="1:31" ht="36">
      <c r="A13" s="112" t="s">
        <v>231</v>
      </c>
      <c r="B13" s="112"/>
      <c r="C13" s="151"/>
      <c r="D13" s="151"/>
      <c r="E13" s="151"/>
      <c r="F13" s="151"/>
      <c r="G13" s="151"/>
      <c r="H13" s="151"/>
      <c r="I13" s="151"/>
      <c r="J13" s="151"/>
      <c r="K13" s="151"/>
      <c r="L13" s="151"/>
      <c r="M13" s="151"/>
      <c r="N13" s="151"/>
      <c r="O13" s="151"/>
      <c r="P13" s="151"/>
      <c r="Q13" s="151"/>
      <c r="R13" s="151"/>
      <c r="S13" s="151"/>
      <c r="T13" s="151"/>
      <c r="U13" s="151"/>
      <c r="V13" s="151"/>
      <c r="W13" s="151"/>
      <c r="X13" s="151"/>
      <c r="Y13" s="151"/>
      <c r="Z13" s="152"/>
      <c r="AA13" s="153"/>
      <c r="AB13" s="153"/>
      <c r="AC13" s="153"/>
      <c r="AD13" s="153"/>
      <c r="AE13" s="153"/>
    </row>
    <row r="14" spans="1:31" ht="18">
      <c r="A14" s="112" t="s">
        <v>232</v>
      </c>
      <c r="B14" s="112"/>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2"/>
      <c r="AA14" s="153"/>
      <c r="AB14" s="153"/>
      <c r="AC14" s="153"/>
      <c r="AD14" s="153"/>
      <c r="AE14" s="153"/>
    </row>
    <row r="15" spans="1:31" ht="39.6" customHeight="1">
      <c r="A15" s="112" t="s">
        <v>233</v>
      </c>
      <c r="B15" s="112"/>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5"/>
      <c r="AC15" s="14"/>
      <c r="AD15" s="14"/>
      <c r="AE15" s="14"/>
    </row>
    <row r="16" spans="1:31" ht="39.6" customHeight="1">
      <c r="A16" s="113" t="s">
        <v>198</v>
      </c>
      <c r="B16" s="113"/>
      <c r="C16" s="110"/>
      <c r="D16" s="110"/>
      <c r="E16" s="110"/>
      <c r="F16" s="110"/>
      <c r="G16" s="110"/>
      <c r="H16" s="110"/>
      <c r="I16" s="110"/>
      <c r="J16" s="110"/>
      <c r="K16" s="110"/>
      <c r="L16" s="110"/>
      <c r="M16" s="110"/>
      <c r="N16" s="110"/>
      <c r="O16" s="110"/>
      <c r="P16" s="110"/>
      <c r="Q16" s="110"/>
      <c r="R16" s="110"/>
      <c r="S16" s="110"/>
      <c r="T16" s="110"/>
      <c r="U16" s="110"/>
      <c r="V16" s="110"/>
      <c r="W16" s="110"/>
      <c r="X16" s="110"/>
      <c r="Y16" s="110"/>
      <c r="Z16" s="110"/>
      <c r="AA16" s="110"/>
      <c r="AB16" s="115"/>
      <c r="AC16" s="14"/>
      <c r="AD16" s="14"/>
      <c r="AE16" s="14"/>
    </row>
    <row r="17" spans="1:32" ht="39.6" customHeight="1">
      <c r="A17" s="113" t="s">
        <v>200</v>
      </c>
      <c r="B17" s="113"/>
      <c r="C17" s="110"/>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5"/>
      <c r="AC17" s="14"/>
      <c r="AD17" s="14"/>
      <c r="AE17" s="14"/>
    </row>
    <row r="18" spans="1:32" ht="18">
      <c r="A18" s="113" t="s">
        <v>234</v>
      </c>
      <c r="B18" s="113"/>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5"/>
      <c r="AA18" s="14"/>
      <c r="AB18" s="14"/>
      <c r="AC18" s="14"/>
      <c r="AD18" s="14"/>
      <c r="AE18" s="14"/>
    </row>
    <row r="19" spans="1:32" ht="18">
      <c r="A19" s="113" t="s">
        <v>235</v>
      </c>
      <c r="B19" s="113"/>
      <c r="C19" s="110"/>
      <c r="D19" s="110"/>
      <c r="E19" s="110"/>
      <c r="F19" s="110"/>
      <c r="G19" s="110"/>
      <c r="H19" s="110"/>
      <c r="I19" s="110"/>
      <c r="J19" s="110"/>
      <c r="K19" s="110"/>
      <c r="L19" s="110"/>
      <c r="M19" s="110"/>
      <c r="N19" s="110"/>
      <c r="O19" s="110"/>
      <c r="P19" s="110"/>
      <c r="Q19" s="110"/>
      <c r="R19" s="110"/>
      <c r="S19" s="110"/>
      <c r="T19" s="110"/>
      <c r="U19" s="110"/>
      <c r="V19" s="110"/>
      <c r="W19" s="110"/>
      <c r="X19" s="110"/>
      <c r="Y19" s="110"/>
      <c r="Z19" s="115"/>
      <c r="AA19" s="14"/>
      <c r="AB19" s="14"/>
      <c r="AC19" s="14"/>
      <c r="AD19" s="14"/>
      <c r="AE19" s="14"/>
    </row>
    <row r="20" spans="1:32" ht="18"/>
    <row r="21" spans="1:32" ht="18" hidden="1">
      <c r="A21" s="124" t="s">
        <v>236</v>
      </c>
      <c r="B21" s="124"/>
    </row>
    <row r="22" spans="1:32" ht="18" hidden="1">
      <c r="A22" s="111" t="s">
        <v>237</v>
      </c>
      <c r="B22" s="111"/>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row>
    <row r="23" spans="1:32" ht="18.75" hidden="1" customHeight="1">
      <c r="A23" s="123" t="s">
        <v>238</v>
      </c>
      <c r="B23" s="123"/>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row>
    <row r="24" spans="1:32" ht="18.75" hidden="1" customHeight="1">
      <c r="A24" s="125" t="s">
        <v>239</v>
      </c>
      <c r="B24" s="125"/>
      <c r="C24" s="121"/>
      <c r="D24" s="121"/>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row>
    <row r="25" spans="1:32" ht="18.75" hidden="1" customHeight="1">
      <c r="A25" s="125" t="s">
        <v>240</v>
      </c>
      <c r="B25" s="125"/>
      <c r="C25" s="110"/>
      <c r="D25" s="110"/>
      <c r="E25" s="110"/>
      <c r="F25" s="110"/>
      <c r="G25" s="110"/>
      <c r="H25" s="110"/>
      <c r="I25" s="110"/>
      <c r="J25" s="110"/>
      <c r="K25" s="110"/>
      <c r="L25" s="110"/>
      <c r="M25" s="110"/>
      <c r="N25" s="110"/>
      <c r="O25" s="110"/>
      <c r="P25" s="110"/>
      <c r="Q25" s="110"/>
      <c r="R25" s="110"/>
      <c r="S25" s="110"/>
      <c r="T25" s="110"/>
      <c r="U25" s="110"/>
      <c r="V25" s="110"/>
      <c r="W25" s="110"/>
      <c r="X25" s="110"/>
      <c r="Y25" s="110"/>
      <c r="Z25" s="110"/>
      <c r="AA25" s="110"/>
      <c r="AB25" s="110"/>
      <c r="AC25" s="110"/>
      <c r="AD25" s="110"/>
      <c r="AE25" s="110"/>
    </row>
    <row r="26" spans="1:32" ht="18.75" hidden="1" customHeight="1">
      <c r="A26" s="125" t="s">
        <v>241</v>
      </c>
      <c r="B26" s="125"/>
      <c r="C26" s="121"/>
      <c r="D26" s="121"/>
      <c r="E26" s="121"/>
      <c r="F26" s="121"/>
      <c r="G26" s="121"/>
      <c r="H26" s="121"/>
      <c r="I26" s="121"/>
      <c r="J26" s="121"/>
      <c r="K26" s="121"/>
      <c r="L26" s="121"/>
      <c r="M26" s="121"/>
      <c r="N26" s="121"/>
      <c r="O26" s="121"/>
      <c r="P26" s="121"/>
      <c r="Q26" s="121"/>
      <c r="R26" s="121"/>
      <c r="S26" s="121"/>
      <c r="T26" s="121"/>
      <c r="U26" s="121"/>
      <c r="V26" s="121"/>
      <c r="W26" s="121"/>
      <c r="X26" s="121"/>
      <c r="Y26" s="121"/>
      <c r="Z26" s="121"/>
      <c r="AA26" s="121"/>
      <c r="AB26" s="121"/>
      <c r="AC26" s="121"/>
      <c r="AD26" s="121"/>
      <c r="AE26" s="121"/>
    </row>
    <row r="27" spans="1:32" ht="18.75" hidden="1" customHeight="1">
      <c r="A27" s="125" t="s">
        <v>242</v>
      </c>
      <c r="B27" s="125"/>
      <c r="C27" s="121"/>
      <c r="D27" s="121"/>
      <c r="E27" s="121"/>
      <c r="F27" s="121"/>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row>
    <row r="28" spans="1:32" ht="18.75" hidden="1" customHeight="1">
      <c r="A28" s="238" t="s">
        <v>243</v>
      </c>
      <c r="B28" s="238"/>
      <c r="C28" s="120">
        <f t="shared" ref="C28:AE28" si="0">SUM(C22:C27)</f>
        <v>0</v>
      </c>
      <c r="D28" s="120">
        <f t="shared" si="0"/>
        <v>0</v>
      </c>
      <c r="E28" s="120">
        <f t="shared" si="0"/>
        <v>0</v>
      </c>
      <c r="F28" s="120">
        <f t="shared" si="0"/>
        <v>0</v>
      </c>
      <c r="G28" s="120">
        <f t="shared" si="0"/>
        <v>0</v>
      </c>
      <c r="H28" s="120">
        <f t="shared" si="0"/>
        <v>0</v>
      </c>
      <c r="I28" s="120">
        <f t="shared" si="0"/>
        <v>0</v>
      </c>
      <c r="J28" s="120">
        <f t="shared" si="0"/>
        <v>0</v>
      </c>
      <c r="K28" s="120">
        <f t="shared" si="0"/>
        <v>0</v>
      </c>
      <c r="L28" s="120">
        <f t="shared" si="0"/>
        <v>0</v>
      </c>
      <c r="M28" s="120">
        <f t="shared" si="0"/>
        <v>0</v>
      </c>
      <c r="N28" s="120">
        <f t="shared" si="0"/>
        <v>0</v>
      </c>
      <c r="O28" s="120">
        <f t="shared" si="0"/>
        <v>0</v>
      </c>
      <c r="P28" s="120">
        <f t="shared" si="0"/>
        <v>0</v>
      </c>
      <c r="Q28" s="120">
        <f t="shared" si="0"/>
        <v>0</v>
      </c>
      <c r="R28" s="120">
        <f t="shared" si="0"/>
        <v>0</v>
      </c>
      <c r="S28" s="120">
        <f t="shared" si="0"/>
        <v>0</v>
      </c>
      <c r="T28" s="120">
        <f t="shared" si="0"/>
        <v>0</v>
      </c>
      <c r="U28" s="120">
        <f t="shared" si="0"/>
        <v>0</v>
      </c>
      <c r="V28" s="120">
        <f t="shared" si="0"/>
        <v>0</v>
      </c>
      <c r="W28" s="120">
        <f t="shared" si="0"/>
        <v>0</v>
      </c>
      <c r="X28" s="120">
        <f t="shared" si="0"/>
        <v>0</v>
      </c>
      <c r="Y28" s="120">
        <f t="shared" si="0"/>
        <v>0</v>
      </c>
      <c r="Z28" s="120">
        <f t="shared" si="0"/>
        <v>0</v>
      </c>
      <c r="AA28" s="120">
        <f t="shared" si="0"/>
        <v>0</v>
      </c>
      <c r="AB28" s="120">
        <f t="shared" si="0"/>
        <v>0</v>
      </c>
      <c r="AC28" s="120">
        <f t="shared" si="0"/>
        <v>0</v>
      </c>
      <c r="AD28" s="120">
        <f t="shared" si="0"/>
        <v>0</v>
      </c>
      <c r="AE28" s="120">
        <f t="shared" si="0"/>
        <v>0</v>
      </c>
    </row>
    <row r="29" spans="1:32" ht="18.75" hidden="1" customHeight="1">
      <c r="A29" s="243" t="s">
        <v>244</v>
      </c>
      <c r="B29" t="s">
        <v>245</v>
      </c>
      <c r="C29">
        <f t="shared" ref="C29:AE29" si="1">C28*1000000</f>
        <v>0</v>
      </c>
      <c r="D29">
        <f t="shared" si="1"/>
        <v>0</v>
      </c>
      <c r="E29">
        <f t="shared" si="1"/>
        <v>0</v>
      </c>
      <c r="F29">
        <f t="shared" si="1"/>
        <v>0</v>
      </c>
      <c r="G29">
        <f t="shared" si="1"/>
        <v>0</v>
      </c>
      <c r="H29">
        <f t="shared" si="1"/>
        <v>0</v>
      </c>
      <c r="I29">
        <f t="shared" si="1"/>
        <v>0</v>
      </c>
      <c r="J29">
        <f t="shared" si="1"/>
        <v>0</v>
      </c>
      <c r="K29">
        <f t="shared" si="1"/>
        <v>0</v>
      </c>
      <c r="L29">
        <f t="shared" si="1"/>
        <v>0</v>
      </c>
      <c r="M29">
        <f t="shared" si="1"/>
        <v>0</v>
      </c>
      <c r="N29">
        <f t="shared" si="1"/>
        <v>0</v>
      </c>
      <c r="O29">
        <f t="shared" si="1"/>
        <v>0</v>
      </c>
      <c r="P29">
        <f t="shared" si="1"/>
        <v>0</v>
      </c>
      <c r="Q29">
        <f t="shared" si="1"/>
        <v>0</v>
      </c>
      <c r="R29">
        <f t="shared" si="1"/>
        <v>0</v>
      </c>
      <c r="S29">
        <f t="shared" si="1"/>
        <v>0</v>
      </c>
      <c r="T29">
        <f t="shared" si="1"/>
        <v>0</v>
      </c>
      <c r="U29">
        <f t="shared" si="1"/>
        <v>0</v>
      </c>
      <c r="V29">
        <f t="shared" si="1"/>
        <v>0</v>
      </c>
      <c r="W29">
        <f t="shared" si="1"/>
        <v>0</v>
      </c>
      <c r="X29">
        <f t="shared" si="1"/>
        <v>0</v>
      </c>
      <c r="Y29">
        <f t="shared" si="1"/>
        <v>0</v>
      </c>
      <c r="Z29">
        <f t="shared" si="1"/>
        <v>0</v>
      </c>
      <c r="AA29">
        <f t="shared" si="1"/>
        <v>0</v>
      </c>
      <c r="AB29">
        <f t="shared" si="1"/>
        <v>0</v>
      </c>
      <c r="AC29">
        <f t="shared" si="1"/>
        <v>0</v>
      </c>
      <c r="AD29">
        <f t="shared" si="1"/>
        <v>0</v>
      </c>
      <c r="AE29">
        <f t="shared" si="1"/>
        <v>0</v>
      </c>
      <c r="AF29" s="126">
        <f>SUM(C29:AE29)</f>
        <v>0</v>
      </c>
    </row>
    <row r="30" spans="1:32" ht="18.75" hidden="1" customHeight="1">
      <c r="A30" s="244"/>
      <c r="B30" t="s">
        <v>246</v>
      </c>
      <c r="C30">
        <f t="shared" ref="C30:AE30" si="2">C28*800000</f>
        <v>0</v>
      </c>
      <c r="D30">
        <f t="shared" si="2"/>
        <v>0</v>
      </c>
      <c r="E30">
        <f t="shared" si="2"/>
        <v>0</v>
      </c>
      <c r="F30">
        <f t="shared" si="2"/>
        <v>0</v>
      </c>
      <c r="G30">
        <f t="shared" si="2"/>
        <v>0</v>
      </c>
      <c r="H30">
        <f t="shared" si="2"/>
        <v>0</v>
      </c>
      <c r="I30">
        <f t="shared" si="2"/>
        <v>0</v>
      </c>
      <c r="J30">
        <f t="shared" si="2"/>
        <v>0</v>
      </c>
      <c r="K30">
        <f t="shared" si="2"/>
        <v>0</v>
      </c>
      <c r="L30">
        <f t="shared" si="2"/>
        <v>0</v>
      </c>
      <c r="M30">
        <f t="shared" si="2"/>
        <v>0</v>
      </c>
      <c r="N30">
        <f t="shared" si="2"/>
        <v>0</v>
      </c>
      <c r="O30">
        <f t="shared" si="2"/>
        <v>0</v>
      </c>
      <c r="P30">
        <f t="shared" si="2"/>
        <v>0</v>
      </c>
      <c r="Q30">
        <f t="shared" si="2"/>
        <v>0</v>
      </c>
      <c r="R30">
        <f t="shared" si="2"/>
        <v>0</v>
      </c>
      <c r="S30">
        <f t="shared" si="2"/>
        <v>0</v>
      </c>
      <c r="T30">
        <f t="shared" si="2"/>
        <v>0</v>
      </c>
      <c r="U30">
        <f t="shared" si="2"/>
        <v>0</v>
      </c>
      <c r="V30">
        <f t="shared" si="2"/>
        <v>0</v>
      </c>
      <c r="W30">
        <f t="shared" si="2"/>
        <v>0</v>
      </c>
      <c r="X30">
        <f t="shared" si="2"/>
        <v>0</v>
      </c>
      <c r="Y30">
        <f t="shared" si="2"/>
        <v>0</v>
      </c>
      <c r="Z30">
        <f t="shared" si="2"/>
        <v>0</v>
      </c>
      <c r="AA30">
        <f t="shared" si="2"/>
        <v>0</v>
      </c>
      <c r="AB30">
        <f t="shared" si="2"/>
        <v>0</v>
      </c>
      <c r="AC30">
        <f t="shared" si="2"/>
        <v>0</v>
      </c>
      <c r="AD30">
        <f t="shared" si="2"/>
        <v>0</v>
      </c>
      <c r="AE30">
        <f t="shared" si="2"/>
        <v>0</v>
      </c>
      <c r="AF30" s="126">
        <f>SUM(C30:AE30)</f>
        <v>0</v>
      </c>
    </row>
    <row r="31" spans="1:32" ht="18.75" hidden="1" customHeight="1">
      <c r="A31" s="244" t="s">
        <v>247</v>
      </c>
      <c r="B31" t="s">
        <v>248</v>
      </c>
      <c r="C31">
        <v>1400000</v>
      </c>
      <c r="D31">
        <v>1400000</v>
      </c>
      <c r="E31">
        <v>1400000</v>
      </c>
      <c r="F31">
        <v>1400000</v>
      </c>
      <c r="G31">
        <v>1400000</v>
      </c>
      <c r="H31">
        <v>1400000</v>
      </c>
      <c r="I31">
        <v>1400000</v>
      </c>
      <c r="J31">
        <v>1400000</v>
      </c>
      <c r="K31">
        <v>1400000</v>
      </c>
      <c r="L31">
        <v>1400000</v>
      </c>
      <c r="M31">
        <v>1400000</v>
      </c>
      <c r="N31">
        <v>1400000</v>
      </c>
      <c r="O31">
        <v>1400000</v>
      </c>
      <c r="P31">
        <v>1400000</v>
      </c>
      <c r="Q31">
        <v>1400000</v>
      </c>
      <c r="R31">
        <v>1400000</v>
      </c>
      <c r="S31">
        <v>1400000</v>
      </c>
      <c r="T31">
        <v>1400000</v>
      </c>
      <c r="U31">
        <v>1400000</v>
      </c>
      <c r="V31">
        <v>1400000</v>
      </c>
      <c r="W31">
        <v>1400000</v>
      </c>
      <c r="X31">
        <v>1400000</v>
      </c>
      <c r="Y31">
        <v>1400000</v>
      </c>
      <c r="Z31">
        <v>1400000</v>
      </c>
      <c r="AA31">
        <v>1400000</v>
      </c>
      <c r="AB31">
        <v>1400000</v>
      </c>
      <c r="AC31">
        <v>1400000</v>
      </c>
      <c r="AF31" s="126">
        <f>SUM(C31:AE31)</f>
        <v>37800000</v>
      </c>
    </row>
    <row r="32" spans="1:32" ht="18.75" hidden="1" customHeight="1">
      <c r="A32" s="244"/>
      <c r="B32" t="s">
        <v>249</v>
      </c>
      <c r="C32">
        <v>1000000</v>
      </c>
      <c r="D32">
        <v>1000000</v>
      </c>
      <c r="E32">
        <v>1000000</v>
      </c>
      <c r="F32">
        <v>1000000</v>
      </c>
      <c r="G32">
        <v>1000000</v>
      </c>
      <c r="H32">
        <v>1000000</v>
      </c>
      <c r="I32">
        <v>1000000</v>
      </c>
      <c r="J32">
        <v>1000000</v>
      </c>
      <c r="K32">
        <v>1000000</v>
      </c>
      <c r="L32">
        <v>1000000</v>
      </c>
      <c r="M32">
        <v>1000000</v>
      </c>
      <c r="N32">
        <v>1000000</v>
      </c>
      <c r="O32">
        <v>1000000</v>
      </c>
      <c r="P32">
        <v>1000000</v>
      </c>
      <c r="Q32">
        <v>1000000</v>
      </c>
      <c r="R32">
        <v>1000000</v>
      </c>
      <c r="S32">
        <v>1000000</v>
      </c>
      <c r="T32">
        <v>1000000</v>
      </c>
      <c r="U32">
        <v>1000000</v>
      </c>
      <c r="V32">
        <v>1000000</v>
      </c>
      <c r="W32">
        <v>1000000</v>
      </c>
      <c r="X32">
        <v>1000000</v>
      </c>
      <c r="Y32">
        <v>1000000</v>
      </c>
      <c r="Z32">
        <v>1000000</v>
      </c>
      <c r="AA32">
        <v>1000000</v>
      </c>
      <c r="AB32">
        <v>1000000</v>
      </c>
      <c r="AC32">
        <v>1000000</v>
      </c>
      <c r="AF32" s="126">
        <f>SUM(C32:AE32)</f>
        <v>27000000</v>
      </c>
    </row>
    <row r="33" spans="1:32" ht="18.75" hidden="1" customHeight="1">
      <c r="AD33" s="242" t="s">
        <v>250</v>
      </c>
      <c r="AE33" s="242"/>
      <c r="AF33" s="127">
        <f>AF29+AF31</f>
        <v>37800000</v>
      </c>
    </row>
    <row r="34" spans="1:32" ht="18.75" hidden="1" customHeight="1">
      <c r="AD34" s="242" t="s">
        <v>251</v>
      </c>
      <c r="AE34" s="242"/>
      <c r="AF34" s="127">
        <f>AF30+AF32</f>
        <v>27000000</v>
      </c>
    </row>
    <row r="35" spans="1:32" ht="18.75" hidden="1" customHeight="1">
      <c r="AD35" s="242" t="s">
        <v>252</v>
      </c>
      <c r="AE35" s="242"/>
      <c r="AF35" s="127">
        <f>AF33-AF34</f>
        <v>10800000</v>
      </c>
    </row>
    <row r="36" spans="1:32" ht="18.75" hidden="1" customHeight="1">
      <c r="AD36" s="242" t="s">
        <v>253</v>
      </c>
      <c r="AE36" s="242"/>
      <c r="AF36" s="128">
        <f>AF35/AF33</f>
        <v>0.2857142857142857</v>
      </c>
    </row>
    <row r="37" spans="1:32" ht="18.75" hidden="1" customHeight="1"/>
    <row r="38" spans="1:32" ht="18.75" hidden="1" customHeight="1"/>
    <row r="39" spans="1:32" ht="18.75" hidden="1" customHeight="1"/>
    <row r="40" spans="1:32" ht="18.75" hidden="1" customHeight="1"/>
    <row r="41" spans="1:32" ht="18.75" hidden="1" customHeight="1"/>
    <row r="42" spans="1:32" ht="18.75" hidden="1" customHeight="1"/>
    <row r="43" spans="1:32" ht="18.75" hidden="1" customHeight="1"/>
    <row r="44" spans="1:32" ht="18.75" hidden="1" customHeight="1"/>
    <row r="45" spans="1:32" ht="18.75" hidden="1" customHeight="1" outlineLevel="1">
      <c r="A45" s="150" t="s">
        <v>254</v>
      </c>
    </row>
    <row r="46" spans="1:32" ht="18.75" hidden="1" customHeight="1" outlineLevel="1">
      <c r="A46" t="s">
        <v>255</v>
      </c>
    </row>
    <row r="47" spans="1:32" ht="18.75" hidden="1" customHeight="1" outlineLevel="1">
      <c r="A47" t="s">
        <v>256</v>
      </c>
    </row>
    <row r="48" spans="1:32" ht="18.75" hidden="1" customHeight="1" outlineLevel="1">
      <c r="A48" t="s">
        <v>257</v>
      </c>
    </row>
    <row r="49" spans="1:43" ht="18.75" hidden="1" customHeight="1" outlineLevel="1">
      <c r="A49" t="s">
        <v>258</v>
      </c>
    </row>
    <row r="50" spans="1:43" ht="18.75" hidden="1" customHeight="1" outlineLevel="1"/>
    <row r="51" spans="1:43" ht="18.75" hidden="1" customHeight="1" outlineLevel="1"/>
    <row r="52" spans="1:43" ht="18.75" hidden="1" customHeight="1" outlineLevel="1"/>
    <row r="53" spans="1:43" ht="18.75" hidden="1" customHeight="1" outlineLevel="1">
      <c r="A53" s="150" t="s">
        <v>259</v>
      </c>
    </row>
    <row r="54" spans="1:43" ht="18.75" hidden="1" customHeight="1" outlineLevel="1">
      <c r="A54" s="12" t="s">
        <v>260</v>
      </c>
    </row>
    <row r="55" spans="1:43" ht="18.75" hidden="1" customHeight="1" outlineLevel="1">
      <c r="A55" s="12" t="s">
        <v>261</v>
      </c>
    </row>
    <row r="56" spans="1:43" ht="18.75" hidden="1" customHeight="1" outlineLevel="1">
      <c r="A56" s="12" t="s">
        <v>262</v>
      </c>
    </row>
    <row r="57" spans="1:43" ht="18.75" hidden="1" customHeight="1" outlineLevel="1">
      <c r="A57" s="150"/>
    </row>
    <row r="58" spans="1:43" ht="18.75" hidden="1" customHeight="1" outlineLevel="1">
      <c r="A58" s="150"/>
    </row>
    <row r="59" spans="1:43" ht="18.75" customHeight="1" collapsed="1">
      <c r="A59" s="150"/>
    </row>
    <row r="60" spans="1:43" ht="18.75" customHeight="1">
      <c r="A60" s="124" t="s">
        <v>236</v>
      </c>
      <c r="B60" s="124"/>
    </row>
    <row r="61" spans="1:43" ht="18.75" customHeight="1">
      <c r="A61" s="111" t="s">
        <v>263</v>
      </c>
      <c r="B61" s="180">
        <f>SUM(C61:AC61)</f>
        <v>11.5</v>
      </c>
      <c r="C61" s="110"/>
      <c r="D61" s="110">
        <v>0.5</v>
      </c>
      <c r="E61" s="110">
        <v>1</v>
      </c>
      <c r="F61" s="110">
        <v>1</v>
      </c>
      <c r="G61" s="110">
        <v>2</v>
      </c>
      <c r="H61" s="110">
        <v>2</v>
      </c>
      <c r="I61" s="110">
        <v>2</v>
      </c>
      <c r="J61" s="110">
        <v>1</v>
      </c>
      <c r="K61" s="110">
        <v>1</v>
      </c>
      <c r="L61" s="110">
        <v>1</v>
      </c>
      <c r="M61" s="110"/>
      <c r="N61" s="110"/>
      <c r="O61" s="110"/>
      <c r="P61" s="110"/>
      <c r="Q61" s="110"/>
      <c r="R61" s="110"/>
      <c r="S61" s="110"/>
      <c r="T61" s="110"/>
      <c r="U61" s="110"/>
      <c r="V61" s="110"/>
      <c r="W61" s="110"/>
      <c r="X61" s="110"/>
      <c r="Y61" s="110"/>
      <c r="Z61" s="110"/>
      <c r="AA61" s="110"/>
      <c r="AB61" s="110"/>
      <c r="AC61" s="110"/>
      <c r="AD61" s="110"/>
      <c r="AE61" s="110"/>
      <c r="AF61" s="110"/>
      <c r="AG61" s="110"/>
      <c r="AH61" s="110"/>
      <c r="AI61" s="110"/>
      <c r="AJ61" s="110"/>
      <c r="AK61" s="110"/>
      <c r="AL61" s="110"/>
      <c r="AM61" s="110"/>
      <c r="AN61" s="110"/>
      <c r="AO61" s="110"/>
      <c r="AP61" s="110"/>
      <c r="AQ61" s="110"/>
    </row>
    <row r="62" spans="1:43" ht="18.75" customHeight="1">
      <c r="A62" s="111" t="s">
        <v>264</v>
      </c>
      <c r="B62" s="180">
        <f>SUM(C62:AC62)</f>
        <v>11.5</v>
      </c>
      <c r="C62" s="110"/>
      <c r="D62" s="110">
        <v>0.5</v>
      </c>
      <c r="E62" s="110">
        <v>1</v>
      </c>
      <c r="F62" s="110">
        <v>1</v>
      </c>
      <c r="G62" s="110">
        <v>2</v>
      </c>
      <c r="H62" s="110">
        <v>2</v>
      </c>
      <c r="I62" s="110">
        <v>2</v>
      </c>
      <c r="J62" s="110">
        <v>1</v>
      </c>
      <c r="K62" s="110">
        <v>1</v>
      </c>
      <c r="L62" s="110">
        <v>1</v>
      </c>
      <c r="M62" s="110"/>
      <c r="N62" s="110"/>
      <c r="O62" s="110"/>
      <c r="P62" s="110"/>
      <c r="Q62" s="110"/>
      <c r="R62" s="110"/>
      <c r="S62" s="110"/>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110"/>
    </row>
    <row r="63" spans="1:43" ht="18.75" customHeight="1">
      <c r="A63" s="123" t="s">
        <v>238</v>
      </c>
      <c r="B63" s="180">
        <f>SUM(C63:AC63)</f>
        <v>7.5</v>
      </c>
      <c r="C63" s="122"/>
      <c r="D63" s="110">
        <v>0.5</v>
      </c>
      <c r="E63" s="110">
        <v>0.5</v>
      </c>
      <c r="F63" s="159">
        <v>0.5</v>
      </c>
      <c r="G63" s="122">
        <v>1.5</v>
      </c>
      <c r="H63" s="122">
        <v>1.5</v>
      </c>
      <c r="I63" s="122">
        <v>1</v>
      </c>
      <c r="J63" s="122">
        <v>1</v>
      </c>
      <c r="K63" s="121">
        <v>0.5</v>
      </c>
      <c r="L63" s="121">
        <v>0.5</v>
      </c>
      <c r="M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c r="AL63" s="122"/>
      <c r="AM63" s="122"/>
      <c r="AN63" s="122"/>
      <c r="AO63" s="122"/>
      <c r="AP63" s="122"/>
      <c r="AQ63" s="122"/>
    </row>
    <row r="64" spans="1:43" ht="18.75" customHeight="1">
      <c r="A64" s="125" t="s">
        <v>233</v>
      </c>
      <c r="B64" s="180">
        <f t="shared" ref="B64:B67" si="3">SUM(C64:AC64)</f>
        <v>7.4</v>
      </c>
      <c r="C64" s="121"/>
      <c r="D64" s="121"/>
      <c r="E64" s="121"/>
      <c r="F64" s="121"/>
      <c r="G64" s="121">
        <v>0.5</v>
      </c>
      <c r="H64" s="121">
        <v>0.5</v>
      </c>
      <c r="I64" s="121"/>
      <c r="J64" s="121"/>
      <c r="K64" s="121">
        <v>1</v>
      </c>
      <c r="L64" s="121">
        <v>1</v>
      </c>
      <c r="M64" s="121">
        <v>1</v>
      </c>
      <c r="N64" s="121"/>
      <c r="O64" s="121"/>
      <c r="P64" s="121"/>
      <c r="Q64" s="121"/>
      <c r="R64" s="121">
        <v>1</v>
      </c>
      <c r="S64" s="121">
        <v>1</v>
      </c>
      <c r="T64" s="121">
        <v>1.4</v>
      </c>
      <c r="U64" s="121"/>
      <c r="V64" s="121"/>
      <c r="W64" s="121"/>
      <c r="X64" s="121"/>
      <c r="Y64" s="121"/>
      <c r="Z64" s="121"/>
      <c r="AA64" s="121"/>
      <c r="AB64" s="121"/>
      <c r="AC64" s="121"/>
      <c r="AD64" s="121"/>
      <c r="AE64" s="121"/>
      <c r="AF64" s="121"/>
      <c r="AG64" s="121"/>
      <c r="AH64" s="121"/>
      <c r="AI64" s="121"/>
      <c r="AJ64" s="121"/>
      <c r="AK64" s="121"/>
      <c r="AL64" s="121"/>
      <c r="AM64" s="121"/>
      <c r="AN64" s="121"/>
      <c r="AO64" s="121"/>
      <c r="AP64" s="121"/>
      <c r="AQ64" s="121"/>
    </row>
    <row r="65" spans="1:44" ht="18.75" customHeight="1">
      <c r="A65" s="125" t="s">
        <v>265</v>
      </c>
      <c r="B65" s="180">
        <f t="shared" si="3"/>
        <v>1</v>
      </c>
      <c r="C65" s="121"/>
      <c r="D65" s="121"/>
      <c r="E65" s="121"/>
      <c r="F65" s="121"/>
      <c r="G65" s="121"/>
      <c r="H65" s="121"/>
      <c r="I65" s="121"/>
      <c r="J65" s="121">
        <v>1</v>
      </c>
      <c r="K65" s="121"/>
      <c r="L65" s="121"/>
      <c r="M65" s="121"/>
      <c r="N65" s="121"/>
      <c r="O65" s="121"/>
      <c r="P65" s="121"/>
      <c r="Q65" s="121"/>
      <c r="R65" s="121"/>
      <c r="S65" s="121"/>
      <c r="T65" s="121"/>
      <c r="U65" s="121"/>
      <c r="V65" s="121"/>
      <c r="W65" s="121"/>
      <c r="X65" s="121"/>
      <c r="Y65" s="121"/>
      <c r="Z65" s="121"/>
      <c r="AA65" s="121"/>
      <c r="AB65" s="121"/>
      <c r="AC65" s="121"/>
      <c r="AD65" s="121"/>
      <c r="AE65" s="121"/>
      <c r="AF65" s="121"/>
      <c r="AG65" s="121"/>
      <c r="AH65" s="121"/>
      <c r="AI65" s="121"/>
      <c r="AJ65" s="121"/>
      <c r="AK65" s="121"/>
      <c r="AL65" s="121"/>
      <c r="AM65" s="121"/>
      <c r="AN65" s="121"/>
      <c r="AO65" s="121"/>
      <c r="AP65" s="121"/>
      <c r="AQ65" s="121"/>
    </row>
    <row r="66" spans="1:44" ht="18.75" customHeight="1">
      <c r="A66" s="125" t="s">
        <v>266</v>
      </c>
      <c r="B66" s="180">
        <f t="shared" si="3"/>
        <v>10</v>
      </c>
      <c r="C66" s="121"/>
      <c r="D66" s="121"/>
      <c r="E66" s="121"/>
      <c r="F66" s="121"/>
      <c r="G66" s="121"/>
      <c r="H66" s="121"/>
      <c r="I66" s="121"/>
      <c r="J66" s="121"/>
      <c r="K66" s="121"/>
      <c r="L66" s="121"/>
      <c r="M66" s="121"/>
      <c r="N66" s="121">
        <v>1</v>
      </c>
      <c r="O66" s="121">
        <v>1</v>
      </c>
      <c r="P66" s="121">
        <v>1</v>
      </c>
      <c r="Q66" s="121">
        <v>1</v>
      </c>
      <c r="R66" s="121">
        <v>2</v>
      </c>
      <c r="S66" s="121">
        <v>2</v>
      </c>
      <c r="T66" s="121">
        <v>1</v>
      </c>
      <c r="U66" s="121">
        <v>1</v>
      </c>
      <c r="V66" s="121"/>
      <c r="W66" s="121"/>
      <c r="X66" s="121"/>
      <c r="Y66" s="121"/>
      <c r="Z66" s="121"/>
      <c r="AA66" s="121"/>
      <c r="AB66" s="121"/>
      <c r="AC66" s="121"/>
      <c r="AD66" s="121"/>
      <c r="AE66" s="121"/>
      <c r="AF66" s="121"/>
      <c r="AG66" s="121"/>
      <c r="AH66" s="121"/>
      <c r="AI66" s="121"/>
      <c r="AJ66" s="121"/>
      <c r="AK66" s="121"/>
      <c r="AL66" s="121"/>
      <c r="AM66" s="121"/>
      <c r="AN66" s="121"/>
      <c r="AO66" s="121"/>
      <c r="AP66" s="121"/>
      <c r="AQ66" s="121"/>
    </row>
    <row r="67" spans="1:44" ht="18.75" customHeight="1">
      <c r="A67" s="125" t="s">
        <v>267</v>
      </c>
      <c r="B67" s="180">
        <f t="shared" si="3"/>
        <v>11.5</v>
      </c>
      <c r="C67" s="121"/>
      <c r="D67" s="121"/>
      <c r="E67" s="121"/>
      <c r="F67" s="121"/>
      <c r="G67" s="121"/>
      <c r="H67" s="121"/>
      <c r="I67" s="121"/>
      <c r="J67" s="121"/>
      <c r="K67" s="121"/>
      <c r="L67" s="121"/>
      <c r="M67" s="121"/>
      <c r="N67" s="121"/>
      <c r="O67" s="121"/>
      <c r="P67" s="121"/>
      <c r="Q67" s="121"/>
      <c r="R67" s="121">
        <v>1</v>
      </c>
      <c r="S67" s="121">
        <v>1</v>
      </c>
      <c r="T67" s="121">
        <v>1</v>
      </c>
      <c r="U67" s="121">
        <v>2</v>
      </c>
      <c r="V67" s="121">
        <v>2</v>
      </c>
      <c r="W67" s="121">
        <v>2</v>
      </c>
      <c r="X67" s="121">
        <v>1.5</v>
      </c>
      <c r="Y67" s="121">
        <v>1</v>
      </c>
      <c r="Z67" s="121"/>
      <c r="AA67" s="121"/>
      <c r="AB67" s="121"/>
      <c r="AC67" s="121"/>
      <c r="AD67" s="121"/>
      <c r="AE67" s="121"/>
      <c r="AF67" s="121"/>
      <c r="AG67" s="121"/>
      <c r="AH67" s="121"/>
      <c r="AI67" s="121"/>
      <c r="AJ67" s="121"/>
      <c r="AK67" s="121"/>
      <c r="AL67" s="121"/>
      <c r="AM67" s="121"/>
      <c r="AN67" s="121"/>
      <c r="AO67" s="121"/>
      <c r="AP67" s="121"/>
      <c r="AQ67" s="121"/>
    </row>
    <row r="68" spans="1:44" ht="18.75" customHeight="1">
      <c r="A68" s="238" t="s">
        <v>243</v>
      </c>
      <c r="B68" s="238"/>
      <c r="C68" s="173">
        <f t="shared" ref="C68:AQ68" si="4">SUM(C61:C67)</f>
        <v>0</v>
      </c>
      <c r="D68" s="174">
        <f t="shared" si="4"/>
        <v>1.5</v>
      </c>
      <c r="E68" s="174">
        <f t="shared" si="4"/>
        <v>2.5</v>
      </c>
      <c r="F68" s="174">
        <f t="shared" si="4"/>
        <v>2.5</v>
      </c>
      <c r="G68" s="174">
        <f t="shared" si="4"/>
        <v>6</v>
      </c>
      <c r="H68" s="174">
        <f t="shared" si="4"/>
        <v>6</v>
      </c>
      <c r="I68" s="174">
        <f t="shared" si="4"/>
        <v>5</v>
      </c>
      <c r="J68" s="174">
        <f t="shared" si="4"/>
        <v>4</v>
      </c>
      <c r="K68" s="174">
        <f t="shared" si="4"/>
        <v>3.5</v>
      </c>
      <c r="L68" s="174">
        <f t="shared" si="4"/>
        <v>3.5</v>
      </c>
      <c r="M68" s="174">
        <f t="shared" si="4"/>
        <v>1</v>
      </c>
      <c r="N68" s="174">
        <f t="shared" si="4"/>
        <v>1</v>
      </c>
      <c r="O68" s="174">
        <f t="shared" si="4"/>
        <v>1</v>
      </c>
      <c r="P68" s="174">
        <f t="shared" si="4"/>
        <v>1</v>
      </c>
      <c r="Q68" s="174">
        <f t="shared" si="4"/>
        <v>1</v>
      </c>
      <c r="R68" s="174">
        <f>SUM(R61:R67)</f>
        <v>4</v>
      </c>
      <c r="S68" s="174">
        <f>SUM(S61:S67)</f>
        <v>4</v>
      </c>
      <c r="T68" s="174">
        <f>SUM(T61:T67)</f>
        <v>3.4</v>
      </c>
      <c r="U68" s="174">
        <f>SUM(U61:U67)</f>
        <v>3</v>
      </c>
      <c r="V68" s="174">
        <f>SUM(V61:V67)</f>
        <v>2</v>
      </c>
      <c r="W68" s="174">
        <f>SUM(W61:W67)</f>
        <v>2</v>
      </c>
      <c r="X68" s="174">
        <f>SUM(X61:X67)</f>
        <v>1.5</v>
      </c>
      <c r="Y68" s="174">
        <f>SUM(Y61:Y67)</f>
        <v>1</v>
      </c>
      <c r="Z68" s="174">
        <f t="shared" si="4"/>
        <v>0</v>
      </c>
      <c r="AA68" s="174">
        <f t="shared" si="4"/>
        <v>0</v>
      </c>
      <c r="AB68" s="174">
        <f t="shared" si="4"/>
        <v>0</v>
      </c>
      <c r="AC68" s="174">
        <f t="shared" si="4"/>
        <v>0</v>
      </c>
      <c r="AD68" s="157">
        <f t="shared" si="4"/>
        <v>0</v>
      </c>
      <c r="AE68" s="157">
        <f t="shared" si="4"/>
        <v>0</v>
      </c>
      <c r="AF68" s="157">
        <f t="shared" si="4"/>
        <v>0</v>
      </c>
      <c r="AG68" s="157">
        <f t="shared" si="4"/>
        <v>0</v>
      </c>
      <c r="AH68" s="157">
        <f t="shared" si="4"/>
        <v>0</v>
      </c>
      <c r="AI68" s="157">
        <f t="shared" si="4"/>
        <v>0</v>
      </c>
      <c r="AJ68" s="157">
        <f t="shared" si="4"/>
        <v>0</v>
      </c>
      <c r="AK68" s="157">
        <f t="shared" si="4"/>
        <v>0</v>
      </c>
      <c r="AL68" s="157">
        <f t="shared" si="4"/>
        <v>0</v>
      </c>
      <c r="AM68" s="157">
        <f t="shared" si="4"/>
        <v>0</v>
      </c>
      <c r="AN68" s="157">
        <f t="shared" si="4"/>
        <v>0</v>
      </c>
      <c r="AO68" s="157">
        <f t="shared" si="4"/>
        <v>0</v>
      </c>
      <c r="AP68" s="157">
        <f t="shared" si="4"/>
        <v>0</v>
      </c>
      <c r="AQ68" s="157">
        <f t="shared" si="4"/>
        <v>0</v>
      </c>
    </row>
    <row r="69" spans="1:44" ht="18.75" hidden="1" customHeight="1">
      <c r="A69" s="243" t="s">
        <v>244</v>
      </c>
      <c r="B69" t="s">
        <v>245</v>
      </c>
      <c r="C69">
        <f>C68*1000000</f>
        <v>0</v>
      </c>
      <c r="D69">
        <f t="shared" ref="D69:AQ69" si="5">D68*1000000</f>
        <v>1500000</v>
      </c>
      <c r="E69">
        <f t="shared" si="5"/>
        <v>2500000</v>
      </c>
      <c r="F69">
        <f t="shared" si="5"/>
        <v>2500000</v>
      </c>
      <c r="G69">
        <f t="shared" si="5"/>
        <v>6000000</v>
      </c>
      <c r="H69">
        <f t="shared" si="5"/>
        <v>6000000</v>
      </c>
      <c r="I69">
        <f t="shared" si="5"/>
        <v>5000000</v>
      </c>
      <c r="J69">
        <f t="shared" si="5"/>
        <v>4000000</v>
      </c>
      <c r="K69">
        <f t="shared" si="5"/>
        <v>3500000</v>
      </c>
      <c r="L69">
        <f t="shared" si="5"/>
        <v>3500000</v>
      </c>
      <c r="M69">
        <f t="shared" si="5"/>
        <v>1000000</v>
      </c>
      <c r="N69">
        <f t="shared" si="5"/>
        <v>1000000</v>
      </c>
      <c r="O69">
        <f t="shared" si="5"/>
        <v>1000000</v>
      </c>
      <c r="P69">
        <f t="shared" si="5"/>
        <v>1000000</v>
      </c>
      <c r="Q69">
        <f t="shared" si="5"/>
        <v>1000000</v>
      </c>
      <c r="R69">
        <f t="shared" si="5"/>
        <v>4000000</v>
      </c>
      <c r="S69">
        <f t="shared" si="5"/>
        <v>4000000</v>
      </c>
      <c r="T69">
        <f t="shared" si="5"/>
        <v>3400000</v>
      </c>
      <c r="U69">
        <f t="shared" si="5"/>
        <v>3000000</v>
      </c>
      <c r="V69">
        <f t="shared" si="5"/>
        <v>2000000</v>
      </c>
      <c r="W69">
        <f t="shared" si="5"/>
        <v>2000000</v>
      </c>
      <c r="X69">
        <f t="shared" si="5"/>
        <v>1500000</v>
      </c>
      <c r="Y69">
        <f t="shared" si="5"/>
        <v>1000000</v>
      </c>
      <c r="Z69">
        <f t="shared" si="5"/>
        <v>0</v>
      </c>
      <c r="AA69">
        <f t="shared" si="5"/>
        <v>0</v>
      </c>
      <c r="AB69">
        <f t="shared" si="5"/>
        <v>0</v>
      </c>
      <c r="AC69">
        <f t="shared" si="5"/>
        <v>0</v>
      </c>
      <c r="AD69">
        <f t="shared" si="5"/>
        <v>0</v>
      </c>
      <c r="AE69">
        <f t="shared" si="5"/>
        <v>0</v>
      </c>
      <c r="AF69">
        <f t="shared" si="5"/>
        <v>0</v>
      </c>
      <c r="AG69">
        <f t="shared" si="5"/>
        <v>0</v>
      </c>
      <c r="AH69">
        <f t="shared" si="5"/>
        <v>0</v>
      </c>
      <c r="AI69">
        <f t="shared" si="5"/>
        <v>0</v>
      </c>
      <c r="AJ69">
        <f t="shared" si="5"/>
        <v>0</v>
      </c>
      <c r="AK69">
        <f t="shared" si="5"/>
        <v>0</v>
      </c>
      <c r="AL69">
        <f t="shared" si="5"/>
        <v>0</v>
      </c>
      <c r="AM69">
        <f t="shared" si="5"/>
        <v>0</v>
      </c>
      <c r="AN69">
        <f t="shared" si="5"/>
        <v>0</v>
      </c>
      <c r="AO69">
        <f t="shared" si="5"/>
        <v>0</v>
      </c>
      <c r="AP69">
        <f t="shared" si="5"/>
        <v>0</v>
      </c>
      <c r="AQ69">
        <f t="shared" si="5"/>
        <v>0</v>
      </c>
      <c r="AR69" s="126">
        <f>SUM(C69:AQ69)</f>
        <v>60400000</v>
      </c>
    </row>
    <row r="70" spans="1:44" ht="18.75" hidden="1" customHeight="1">
      <c r="A70" s="244"/>
      <c r="B70" t="s">
        <v>246</v>
      </c>
      <c r="C70">
        <f>C68*800000</f>
        <v>0</v>
      </c>
      <c r="D70">
        <f t="shared" ref="D70:AQ70" si="6">D68*800000</f>
        <v>1200000</v>
      </c>
      <c r="E70">
        <f t="shared" si="6"/>
        <v>2000000</v>
      </c>
      <c r="F70">
        <f t="shared" si="6"/>
        <v>2000000</v>
      </c>
      <c r="G70">
        <f t="shared" si="6"/>
        <v>4800000</v>
      </c>
      <c r="H70">
        <f t="shared" si="6"/>
        <v>4800000</v>
      </c>
      <c r="I70">
        <f t="shared" si="6"/>
        <v>4000000</v>
      </c>
      <c r="J70">
        <f t="shared" si="6"/>
        <v>3200000</v>
      </c>
      <c r="K70">
        <f t="shared" si="6"/>
        <v>2800000</v>
      </c>
      <c r="L70">
        <f t="shared" si="6"/>
        <v>2800000</v>
      </c>
      <c r="M70">
        <f t="shared" si="6"/>
        <v>800000</v>
      </c>
      <c r="N70">
        <f t="shared" si="6"/>
        <v>800000</v>
      </c>
      <c r="O70">
        <f t="shared" si="6"/>
        <v>800000</v>
      </c>
      <c r="P70">
        <f t="shared" si="6"/>
        <v>800000</v>
      </c>
      <c r="Q70">
        <f t="shared" si="6"/>
        <v>800000</v>
      </c>
      <c r="R70">
        <f t="shared" si="6"/>
        <v>3200000</v>
      </c>
      <c r="S70">
        <f t="shared" si="6"/>
        <v>3200000</v>
      </c>
      <c r="T70">
        <f t="shared" si="6"/>
        <v>2720000</v>
      </c>
      <c r="U70">
        <f t="shared" si="6"/>
        <v>2400000</v>
      </c>
      <c r="V70">
        <f t="shared" si="6"/>
        <v>1600000</v>
      </c>
      <c r="W70">
        <f t="shared" si="6"/>
        <v>1600000</v>
      </c>
      <c r="X70">
        <f t="shared" si="6"/>
        <v>1200000</v>
      </c>
      <c r="Y70">
        <f t="shared" si="6"/>
        <v>800000</v>
      </c>
      <c r="Z70">
        <f t="shared" si="6"/>
        <v>0</v>
      </c>
      <c r="AA70">
        <f t="shared" si="6"/>
        <v>0</v>
      </c>
      <c r="AB70">
        <f t="shared" si="6"/>
        <v>0</v>
      </c>
      <c r="AC70">
        <f t="shared" si="6"/>
        <v>0</v>
      </c>
      <c r="AD70">
        <f t="shared" si="6"/>
        <v>0</v>
      </c>
      <c r="AE70">
        <f t="shared" si="6"/>
        <v>0</v>
      </c>
      <c r="AF70">
        <f t="shared" si="6"/>
        <v>0</v>
      </c>
      <c r="AG70">
        <f t="shared" si="6"/>
        <v>0</v>
      </c>
      <c r="AH70">
        <f t="shared" si="6"/>
        <v>0</v>
      </c>
      <c r="AI70">
        <f t="shared" si="6"/>
        <v>0</v>
      </c>
      <c r="AJ70">
        <f t="shared" si="6"/>
        <v>0</v>
      </c>
      <c r="AK70">
        <f t="shared" si="6"/>
        <v>0</v>
      </c>
      <c r="AL70">
        <f t="shared" si="6"/>
        <v>0</v>
      </c>
      <c r="AM70">
        <f t="shared" si="6"/>
        <v>0</v>
      </c>
      <c r="AN70">
        <f t="shared" si="6"/>
        <v>0</v>
      </c>
      <c r="AO70">
        <f t="shared" si="6"/>
        <v>0</v>
      </c>
      <c r="AP70">
        <f t="shared" si="6"/>
        <v>0</v>
      </c>
      <c r="AQ70">
        <f t="shared" si="6"/>
        <v>0</v>
      </c>
      <c r="AR70" s="126">
        <f>SUM(C70:AQ70)</f>
        <v>48320000</v>
      </c>
    </row>
    <row r="71" spans="1:44" ht="18.75" hidden="1" customHeight="1">
      <c r="A71" s="244" t="s">
        <v>247</v>
      </c>
      <c r="B71" t="s">
        <v>248</v>
      </c>
      <c r="F71">
        <v>1400000</v>
      </c>
      <c r="G71">
        <v>1400000</v>
      </c>
      <c r="H71">
        <v>1400000</v>
      </c>
      <c r="I71">
        <v>1400000</v>
      </c>
      <c r="J71">
        <v>1400000</v>
      </c>
      <c r="K71">
        <v>1400000</v>
      </c>
      <c r="L71">
        <v>1400000</v>
      </c>
      <c r="M71">
        <v>1400000</v>
      </c>
      <c r="N71">
        <v>1400000</v>
      </c>
      <c r="O71">
        <v>1400000</v>
      </c>
      <c r="P71">
        <v>1400000</v>
      </c>
      <c r="Q71">
        <v>1400000</v>
      </c>
      <c r="R71">
        <v>1400000</v>
      </c>
      <c r="S71">
        <v>1400000</v>
      </c>
      <c r="T71">
        <v>1400000</v>
      </c>
      <c r="U71">
        <v>1400000</v>
      </c>
      <c r="V71">
        <v>1400000</v>
      </c>
      <c r="W71">
        <v>1400000</v>
      </c>
      <c r="X71">
        <v>1400000</v>
      </c>
      <c r="Y71">
        <v>1400000</v>
      </c>
      <c r="Z71">
        <v>1400000</v>
      </c>
      <c r="AA71">
        <v>1400000</v>
      </c>
      <c r="AB71">
        <v>1400000</v>
      </c>
      <c r="AC71">
        <v>1400000</v>
      </c>
      <c r="AD71">
        <v>1400000</v>
      </c>
      <c r="AE71">
        <v>1400000</v>
      </c>
      <c r="AF71">
        <v>1400000</v>
      </c>
      <c r="AG71">
        <v>1400000</v>
      </c>
      <c r="AH71">
        <v>1400000</v>
      </c>
      <c r="AI71">
        <v>1400000</v>
      </c>
      <c r="AJ71">
        <v>1400000</v>
      </c>
      <c r="AK71">
        <v>1400000</v>
      </c>
      <c r="AL71">
        <v>1400000</v>
      </c>
      <c r="AM71">
        <v>1400000</v>
      </c>
      <c r="AN71">
        <v>1400000</v>
      </c>
      <c r="AO71">
        <v>1400000</v>
      </c>
      <c r="AR71" s="126">
        <f>SUM(C71:AQ71)</f>
        <v>50400000</v>
      </c>
    </row>
    <row r="72" spans="1:44" ht="18.75" hidden="1" customHeight="1">
      <c r="A72" s="244"/>
      <c r="B72" t="s">
        <v>249</v>
      </c>
      <c r="F72">
        <v>1000000</v>
      </c>
      <c r="G72">
        <v>1000000</v>
      </c>
      <c r="H72">
        <v>1000000</v>
      </c>
      <c r="I72">
        <v>1000000</v>
      </c>
      <c r="J72">
        <v>1000000</v>
      </c>
      <c r="K72">
        <v>1000000</v>
      </c>
      <c r="L72">
        <v>1000000</v>
      </c>
      <c r="M72">
        <v>1000000</v>
      </c>
      <c r="N72">
        <v>1000000</v>
      </c>
      <c r="O72">
        <v>1000000</v>
      </c>
      <c r="P72">
        <v>1000000</v>
      </c>
      <c r="Q72">
        <v>1000000</v>
      </c>
      <c r="R72">
        <v>1000000</v>
      </c>
      <c r="S72">
        <v>1000000</v>
      </c>
      <c r="T72">
        <v>1000000</v>
      </c>
      <c r="U72">
        <v>1000000</v>
      </c>
      <c r="V72">
        <v>1000000</v>
      </c>
      <c r="W72">
        <v>1000000</v>
      </c>
      <c r="X72">
        <v>1000000</v>
      </c>
      <c r="Y72">
        <v>1000000</v>
      </c>
      <c r="Z72">
        <v>1000000</v>
      </c>
      <c r="AA72">
        <v>1000000</v>
      </c>
      <c r="AB72">
        <v>1000000</v>
      </c>
      <c r="AC72">
        <v>1000000</v>
      </c>
      <c r="AD72">
        <v>1000000</v>
      </c>
      <c r="AE72">
        <v>1000000</v>
      </c>
      <c r="AF72">
        <v>1000000</v>
      </c>
      <c r="AG72">
        <v>1000000</v>
      </c>
      <c r="AH72">
        <v>1000000</v>
      </c>
      <c r="AI72">
        <v>1000000</v>
      </c>
      <c r="AJ72">
        <v>1000000</v>
      </c>
      <c r="AK72">
        <v>1000000</v>
      </c>
      <c r="AL72">
        <v>1000000</v>
      </c>
      <c r="AM72">
        <v>1000000</v>
      </c>
      <c r="AN72">
        <v>1000000</v>
      </c>
      <c r="AO72">
        <v>1000000</v>
      </c>
      <c r="AR72" s="126">
        <f>SUM(C72:AQ72)</f>
        <v>36000000</v>
      </c>
    </row>
    <row r="73" spans="1:44" ht="18.75" hidden="1" customHeight="1">
      <c r="AP73" s="242" t="s">
        <v>250</v>
      </c>
      <c r="AQ73" s="242"/>
      <c r="AR73" s="127">
        <f>AR69+AR71</f>
        <v>110800000</v>
      </c>
    </row>
    <row r="74" spans="1:44" ht="18.75" hidden="1" customHeight="1">
      <c r="AP74" s="242" t="s">
        <v>251</v>
      </c>
      <c r="AQ74" s="242"/>
      <c r="AR74" s="127">
        <f>AR70+AR72</f>
        <v>84320000</v>
      </c>
    </row>
    <row r="75" spans="1:44" ht="18.75" hidden="1" customHeight="1">
      <c r="A75" s="150"/>
    </row>
    <row r="76" spans="1:44" ht="18.75" hidden="1" customHeight="1">
      <c r="A76" s="150"/>
    </row>
    <row r="77" spans="1:44" ht="18.75" hidden="1" customHeight="1">
      <c r="A77" s="150"/>
    </row>
    <row r="78" spans="1:44" ht="18.75" hidden="1" customHeight="1">
      <c r="A78" s="150"/>
    </row>
    <row r="79" spans="1:44" ht="18.75" hidden="1" customHeight="1">
      <c r="A79" s="150"/>
    </row>
    <row r="80" spans="1:44" ht="18.75" hidden="1" customHeight="1">
      <c r="A80" s="150"/>
    </row>
    <row r="81" spans="1:1" ht="18.75" hidden="1" customHeight="1">
      <c r="A81" s="150"/>
    </row>
    <row r="82" spans="1:1" ht="18.75" hidden="1" customHeight="1">
      <c r="A82" s="150"/>
    </row>
    <row r="83" spans="1:1" ht="18.75" hidden="1" customHeight="1">
      <c r="A83" s="150"/>
    </row>
    <row r="84" spans="1:1" ht="18.75" hidden="1" customHeight="1">
      <c r="A84" s="150"/>
    </row>
    <row r="85" spans="1:1" ht="18.75" hidden="1" customHeight="1">
      <c r="A85" s="150"/>
    </row>
    <row r="86" spans="1:1" ht="18.75" hidden="1" customHeight="1">
      <c r="A86" s="150"/>
    </row>
    <row r="87" spans="1:1" ht="18.75" hidden="1" customHeight="1">
      <c r="A87" s="150"/>
    </row>
    <row r="88" spans="1:1" ht="18.75" hidden="1" customHeight="1">
      <c r="A88" s="150"/>
    </row>
    <row r="89" spans="1:1" ht="18.75" hidden="1" customHeight="1">
      <c r="A89" s="150"/>
    </row>
    <row r="90" spans="1:1" ht="18.75" hidden="1" customHeight="1">
      <c r="A90" s="150"/>
    </row>
    <row r="91" spans="1:1" ht="18.75" hidden="1" customHeight="1">
      <c r="A91" s="150"/>
    </row>
    <row r="92" spans="1:1" ht="18.75" hidden="1" customHeight="1">
      <c r="A92" s="150"/>
    </row>
    <row r="93" spans="1:1" ht="18.75" hidden="1" customHeight="1">
      <c r="A93" s="150"/>
    </row>
    <row r="94" spans="1:1" ht="18.75" hidden="1" customHeight="1">
      <c r="A94" s="150"/>
    </row>
    <row r="95" spans="1:1" ht="18.75" hidden="1" customHeight="1">
      <c r="A95" s="150"/>
    </row>
    <row r="96" spans="1:1" ht="18.75" hidden="1" customHeight="1">
      <c r="A96" s="150"/>
    </row>
    <row r="97" spans="1:1" ht="18.75" hidden="1" customHeight="1">
      <c r="A97" s="150"/>
    </row>
    <row r="98" spans="1:1" ht="18.75" hidden="1" customHeight="1">
      <c r="A98" s="150"/>
    </row>
    <row r="99" spans="1:1" ht="18.75" hidden="1" customHeight="1">
      <c r="A99" s="150"/>
    </row>
    <row r="100" spans="1:1" ht="18.75" hidden="1" customHeight="1">
      <c r="A100" s="150"/>
    </row>
    <row r="101" spans="1:1" ht="18.75" hidden="1" customHeight="1">
      <c r="A101" s="150"/>
    </row>
    <row r="102" spans="1:1" ht="18.75" hidden="1" customHeight="1">
      <c r="A102" s="150"/>
    </row>
    <row r="103" spans="1:1" ht="18.75" hidden="1" customHeight="1">
      <c r="A103" s="150"/>
    </row>
    <row r="104" spans="1:1" ht="18.75" hidden="1" customHeight="1">
      <c r="A104" s="150"/>
    </row>
    <row r="105" spans="1:1" ht="18.75" hidden="1" customHeight="1">
      <c r="A105" s="150"/>
    </row>
    <row r="106" spans="1:1" ht="18.75" hidden="1" customHeight="1">
      <c r="A106" s="150"/>
    </row>
    <row r="107" spans="1:1" ht="18.75" hidden="1" customHeight="1">
      <c r="A107" s="150"/>
    </row>
    <row r="108" spans="1:1" ht="18.75" hidden="1" customHeight="1">
      <c r="A108" s="150"/>
    </row>
    <row r="109" spans="1:1" ht="18.75" hidden="1" customHeight="1"/>
    <row r="110" spans="1:1" ht="18.75" hidden="1" customHeight="1">
      <c r="A110" s="150" t="s">
        <v>268</v>
      </c>
    </row>
    <row r="111" spans="1:1" ht="18.75" hidden="1" customHeight="1">
      <c r="A111" s="150" t="s">
        <v>269</v>
      </c>
    </row>
    <row r="112" spans="1:1" ht="18.75" hidden="1" customHeight="1"/>
    <row r="113" ht="18.75" hidden="1" customHeight="1"/>
    <row r="114" ht="18.75" hidden="1" customHeight="1"/>
    <row r="115" ht="18.75" hidden="1" customHeight="1"/>
    <row r="116" ht="18.75" hidden="1" customHeight="1"/>
    <row r="117" ht="18.75" hidden="1" customHeight="1"/>
    <row r="118" ht="18.75" hidden="1" customHeight="1"/>
    <row r="119" ht="18.75" hidden="1" customHeight="1"/>
    <row r="120" ht="18.75" hidden="1" customHeight="1"/>
    <row r="121" ht="18.75" hidden="1" customHeight="1"/>
    <row r="122" ht="18.75" hidden="1" customHeight="1"/>
    <row r="123" ht="18.75" hidden="1" customHeight="1"/>
    <row r="124" ht="18.75" hidden="1" customHeight="1"/>
    <row r="125" ht="18.75" hidden="1" customHeight="1"/>
    <row r="126" ht="18.75" hidden="1" customHeight="1"/>
    <row r="127" ht="18.75" hidden="1" customHeight="1"/>
    <row r="128" ht="18.75" hidden="1" customHeight="1"/>
    <row r="129" spans="1:43" ht="18.75" hidden="1" customHeight="1"/>
    <row r="130" spans="1:43" ht="18.75" hidden="1" customHeight="1"/>
    <row r="131" spans="1:43" ht="18.75" hidden="1" customHeight="1"/>
    <row r="132" spans="1:43" ht="18.75" hidden="1" customHeight="1"/>
    <row r="133" spans="1:43" ht="18.75" hidden="1" customHeight="1"/>
    <row r="134" spans="1:43" ht="18.75" hidden="1" customHeight="1"/>
    <row r="135" spans="1:43" ht="18.75" hidden="1" customHeight="1"/>
    <row r="136" spans="1:43" ht="18.75" hidden="1" customHeight="1"/>
    <row r="137" spans="1:43" ht="18.75" hidden="1" customHeight="1"/>
    <row r="138" spans="1:43" ht="18.75" hidden="1" customHeight="1"/>
    <row r="139" spans="1:43" ht="18.75" hidden="1" customHeight="1"/>
    <row r="140" spans="1:43" ht="18.75" hidden="1" customHeight="1"/>
    <row r="142" spans="1:43" ht="18.75" customHeight="1">
      <c r="A142" s="150" t="s">
        <v>335</v>
      </c>
      <c r="C142" s="181" t="s">
        <v>271</v>
      </c>
    </row>
    <row r="143" spans="1:43" ht="18.75" customHeight="1">
      <c r="A143" s="176" t="s">
        <v>272</v>
      </c>
      <c r="B143" s="176" t="s">
        <v>273</v>
      </c>
      <c r="C143" s="182" t="s">
        <v>274</v>
      </c>
      <c r="G143" t="s">
        <v>275</v>
      </c>
    </row>
    <row r="144" spans="1:43" ht="18.75" customHeight="1" outlineLevel="1">
      <c r="A144" s="155" t="s">
        <v>263</v>
      </c>
      <c r="B144" s="179" t="s">
        <v>276</v>
      </c>
      <c r="C144" s="177"/>
      <c r="D144" s="163">
        <v>0.5</v>
      </c>
      <c r="E144" s="159">
        <v>1</v>
      </c>
      <c r="F144" s="159">
        <v>1</v>
      </c>
      <c r="G144" s="159">
        <v>1</v>
      </c>
      <c r="H144" s="159">
        <v>1</v>
      </c>
      <c r="I144" s="159">
        <v>1</v>
      </c>
      <c r="J144" s="159">
        <v>1</v>
      </c>
      <c r="K144" s="159">
        <v>1</v>
      </c>
      <c r="L144" s="166">
        <v>1</v>
      </c>
      <c r="M144" s="159"/>
      <c r="N144" s="159"/>
      <c r="O144" s="159"/>
      <c r="P144" s="159"/>
      <c r="Q144" s="159"/>
      <c r="R144" s="159"/>
      <c r="S144" s="159"/>
      <c r="T144" s="159"/>
      <c r="U144" s="159"/>
      <c r="V144" s="159"/>
      <c r="W144" s="110"/>
      <c r="X144" s="110"/>
      <c r="Y144" s="110"/>
      <c r="Z144" s="110"/>
      <c r="AA144" s="110"/>
      <c r="AB144" s="110"/>
      <c r="AC144" s="110"/>
      <c r="AD144" s="110"/>
      <c r="AE144" s="110"/>
      <c r="AF144" s="110"/>
      <c r="AG144" s="110"/>
      <c r="AH144" s="110"/>
      <c r="AI144" s="110"/>
      <c r="AJ144" s="110"/>
      <c r="AK144" s="110"/>
      <c r="AL144" s="110"/>
      <c r="AM144" s="110"/>
      <c r="AN144" s="110"/>
      <c r="AO144" s="110"/>
      <c r="AP144" s="110"/>
      <c r="AQ144" s="110"/>
    </row>
    <row r="145" spans="1:43" ht="18.75" customHeight="1" outlineLevel="1">
      <c r="A145" s="155" t="s">
        <v>264</v>
      </c>
      <c r="B145" s="179" t="s">
        <v>277</v>
      </c>
      <c r="C145" s="177"/>
      <c r="D145" s="163">
        <v>0.5</v>
      </c>
      <c r="E145" s="159">
        <v>1</v>
      </c>
      <c r="F145" s="159">
        <v>1</v>
      </c>
      <c r="G145" s="159">
        <v>1</v>
      </c>
      <c r="H145" s="159">
        <v>1</v>
      </c>
      <c r="I145" s="159">
        <v>1</v>
      </c>
      <c r="J145" s="159">
        <v>1</v>
      </c>
      <c r="K145" s="159">
        <v>1</v>
      </c>
      <c r="L145" s="166">
        <v>1</v>
      </c>
      <c r="M145" s="159"/>
      <c r="N145" s="159"/>
      <c r="O145" s="159"/>
      <c r="P145" s="159"/>
      <c r="Q145" s="159"/>
      <c r="R145" s="159"/>
      <c r="S145" s="159"/>
      <c r="T145" s="159"/>
      <c r="U145" s="159"/>
      <c r="V145" s="159"/>
      <c r="W145" s="110"/>
      <c r="X145" s="110"/>
      <c r="Y145" s="110"/>
      <c r="Z145" s="110"/>
      <c r="AA145" s="110"/>
      <c r="AB145" s="110"/>
      <c r="AC145" s="110"/>
      <c r="AD145" s="110"/>
      <c r="AE145" s="110"/>
      <c r="AF145" s="110"/>
      <c r="AG145" s="110"/>
      <c r="AH145" s="110"/>
      <c r="AI145" s="110"/>
      <c r="AJ145" s="110"/>
      <c r="AK145" s="110"/>
      <c r="AL145" s="110"/>
      <c r="AM145" s="110"/>
      <c r="AN145" s="110"/>
      <c r="AO145" s="110"/>
      <c r="AP145" s="110"/>
      <c r="AQ145" s="110"/>
    </row>
    <row r="146" spans="1:43" ht="18.75" customHeight="1" outlineLevel="1">
      <c r="A146" s="155" t="s">
        <v>278</v>
      </c>
      <c r="B146" s="179" t="s">
        <v>279</v>
      </c>
      <c r="C146" s="178"/>
      <c r="D146" s="161"/>
      <c r="E146" s="161"/>
      <c r="F146" s="161"/>
      <c r="G146" s="163">
        <v>0.4</v>
      </c>
      <c r="H146" s="159">
        <v>0.4</v>
      </c>
      <c r="I146" s="159">
        <v>0.5</v>
      </c>
      <c r="J146" s="159">
        <v>0.5</v>
      </c>
      <c r="K146" s="161"/>
      <c r="L146" s="161"/>
      <c r="M146" s="161"/>
      <c r="N146" s="161"/>
      <c r="O146" s="161"/>
      <c r="P146" s="161"/>
      <c r="Q146" s="161"/>
      <c r="R146" s="160"/>
      <c r="S146" s="160"/>
      <c r="T146" s="160"/>
      <c r="U146" s="160"/>
      <c r="V146" s="160"/>
      <c r="W146" s="122"/>
      <c r="X146" s="122"/>
      <c r="Y146" s="122"/>
      <c r="Z146" s="122"/>
      <c r="AA146" s="122"/>
      <c r="AB146" s="122"/>
      <c r="AC146" s="122"/>
      <c r="AD146" s="122"/>
      <c r="AE146" s="122"/>
      <c r="AF146" s="122"/>
      <c r="AG146" s="122"/>
      <c r="AH146" s="122"/>
      <c r="AI146" s="122"/>
      <c r="AJ146" s="122"/>
      <c r="AK146" s="122"/>
      <c r="AL146" s="122"/>
      <c r="AM146" s="122"/>
      <c r="AN146" s="122"/>
      <c r="AO146" s="122"/>
      <c r="AP146" s="122"/>
      <c r="AQ146" s="122"/>
    </row>
    <row r="147" spans="1:43" ht="18.75" customHeight="1" outlineLevel="1">
      <c r="A147" s="155" t="s">
        <v>278</v>
      </c>
      <c r="B147" s="179" t="s">
        <v>280</v>
      </c>
      <c r="C147" s="178"/>
      <c r="D147" s="163">
        <v>0.5</v>
      </c>
      <c r="E147" s="159">
        <v>0.5</v>
      </c>
      <c r="F147" s="159">
        <v>0.5</v>
      </c>
      <c r="G147" s="159">
        <v>0.1</v>
      </c>
      <c r="H147" s="159">
        <v>0.1</v>
      </c>
      <c r="I147" s="159">
        <v>0.5</v>
      </c>
      <c r="J147" s="159">
        <v>0.5</v>
      </c>
      <c r="K147" s="159">
        <v>0.5</v>
      </c>
      <c r="L147" s="166">
        <v>0.5</v>
      </c>
      <c r="M147" s="160"/>
      <c r="N147" s="160"/>
      <c r="O147" s="160"/>
      <c r="P147" s="160"/>
      <c r="Q147" s="160"/>
      <c r="R147" s="160"/>
      <c r="S147" s="160"/>
      <c r="T147" s="160"/>
      <c r="U147" s="160"/>
      <c r="V147" s="160"/>
      <c r="W147" s="122"/>
      <c r="X147" s="122"/>
      <c r="Y147" s="122"/>
      <c r="Z147" s="122"/>
      <c r="AA147" s="122"/>
      <c r="AB147" s="122"/>
      <c r="AC147" s="122"/>
      <c r="AD147" s="122"/>
      <c r="AE147" s="122"/>
      <c r="AF147" s="122"/>
      <c r="AG147" s="122"/>
      <c r="AH147" s="122"/>
      <c r="AI147" s="122"/>
      <c r="AJ147" s="122"/>
      <c r="AK147" s="122"/>
      <c r="AL147" s="122"/>
      <c r="AM147" s="122"/>
      <c r="AN147" s="122"/>
      <c r="AO147" s="122"/>
      <c r="AP147" s="122"/>
      <c r="AQ147" s="122"/>
    </row>
    <row r="148" spans="1:43" ht="18.75" customHeight="1" outlineLevel="1">
      <c r="A148" s="155" t="s">
        <v>233</v>
      </c>
      <c r="B148" s="184" t="s">
        <v>280</v>
      </c>
      <c r="C148" s="158"/>
      <c r="D148" s="161"/>
      <c r="E148" s="161"/>
      <c r="F148" s="161"/>
      <c r="G148" s="161">
        <v>0.5</v>
      </c>
      <c r="H148" s="161">
        <v>0.5</v>
      </c>
      <c r="I148" s="161"/>
      <c r="J148" s="161"/>
      <c r="K148" s="160"/>
      <c r="L148" s="160"/>
      <c r="M148" s="160"/>
      <c r="N148" s="160"/>
      <c r="O148" s="161"/>
      <c r="P148" s="161"/>
      <c r="Q148" s="161"/>
      <c r="R148" s="161">
        <v>1</v>
      </c>
      <c r="S148" s="161">
        <v>1</v>
      </c>
      <c r="T148" s="162">
        <v>1</v>
      </c>
      <c r="U148" s="161"/>
      <c r="V148" s="161"/>
      <c r="W148" s="121"/>
      <c r="X148" s="121"/>
      <c r="Y148" s="121"/>
      <c r="Z148" s="121"/>
      <c r="AA148" s="121"/>
      <c r="AB148" s="121"/>
      <c r="AC148" s="121"/>
      <c r="AD148" s="121"/>
      <c r="AE148" s="121"/>
      <c r="AF148" s="121"/>
      <c r="AG148" s="121"/>
      <c r="AH148" s="121"/>
      <c r="AI148" s="121"/>
      <c r="AJ148" s="121"/>
      <c r="AK148" s="121"/>
      <c r="AL148" s="121"/>
      <c r="AM148" s="121"/>
      <c r="AN148" s="121"/>
      <c r="AO148" s="121"/>
      <c r="AP148" s="121"/>
      <c r="AQ148" s="121"/>
    </row>
    <row r="149" spans="1:43" ht="18.75" customHeight="1" outlineLevel="1">
      <c r="A149" s="183" t="s">
        <v>263</v>
      </c>
      <c r="B149" s="184" t="s">
        <v>281</v>
      </c>
      <c r="C149" s="177"/>
      <c r="D149" s="159"/>
      <c r="E149" s="159"/>
      <c r="F149" s="159"/>
      <c r="G149" s="163">
        <v>1</v>
      </c>
      <c r="H149" s="159">
        <v>1</v>
      </c>
      <c r="I149" s="159">
        <v>1</v>
      </c>
      <c r="J149" s="159"/>
      <c r="K149" s="159"/>
      <c r="L149" s="159"/>
      <c r="M149" s="159"/>
      <c r="N149" s="159"/>
      <c r="O149" s="159"/>
      <c r="P149" s="159"/>
      <c r="Q149" s="159"/>
      <c r="R149" s="159"/>
      <c r="S149" s="159"/>
      <c r="T149" s="159"/>
      <c r="U149" s="159"/>
      <c r="V149" s="159"/>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row>
    <row r="150" spans="1:43" ht="18.75" customHeight="1" outlineLevel="1">
      <c r="A150" s="183" t="s">
        <v>282</v>
      </c>
      <c r="B150" s="186" t="s">
        <v>281</v>
      </c>
      <c r="C150" s="158"/>
      <c r="D150" s="175"/>
      <c r="E150" s="175"/>
      <c r="F150" s="175"/>
      <c r="G150" s="175"/>
      <c r="H150" s="175"/>
      <c r="I150" s="175"/>
      <c r="J150" s="175">
        <v>1</v>
      </c>
      <c r="K150" s="175"/>
      <c r="L150" s="175"/>
      <c r="M150" s="175"/>
      <c r="N150" s="175"/>
      <c r="O150" s="175"/>
      <c r="P150" s="175"/>
      <c r="Q150" s="175"/>
      <c r="R150" s="175"/>
      <c r="S150" s="175"/>
      <c r="T150" s="175"/>
      <c r="U150" s="175"/>
      <c r="V150" s="175"/>
      <c r="W150" s="158"/>
      <c r="X150" s="158"/>
      <c r="Y150" s="158"/>
      <c r="Z150" s="158"/>
      <c r="AA150" s="158"/>
      <c r="AB150" s="158"/>
      <c r="AC150" s="158"/>
      <c r="AD150" s="158"/>
      <c r="AE150" s="158"/>
      <c r="AF150" s="158"/>
      <c r="AG150" s="158"/>
      <c r="AH150" s="158"/>
      <c r="AI150" s="158"/>
      <c r="AJ150" s="158"/>
      <c r="AK150" s="158"/>
      <c r="AL150" s="158"/>
      <c r="AM150" s="158"/>
      <c r="AN150" s="158"/>
      <c r="AO150" s="158"/>
      <c r="AP150" s="158"/>
      <c r="AQ150" s="158"/>
    </row>
    <row r="151" spans="1:43" ht="18.75" customHeight="1" outlineLevel="1">
      <c r="A151" s="183" t="s">
        <v>241</v>
      </c>
      <c r="B151" s="186" t="s">
        <v>281</v>
      </c>
      <c r="C151" s="158"/>
      <c r="D151" s="161"/>
      <c r="E151" s="161"/>
      <c r="F151" s="161"/>
      <c r="G151" s="161"/>
      <c r="H151" s="161"/>
      <c r="I151" s="161"/>
      <c r="J151" s="161"/>
      <c r="K151" s="161">
        <v>1</v>
      </c>
      <c r="L151" s="161">
        <v>1</v>
      </c>
      <c r="M151" s="161">
        <v>1</v>
      </c>
      <c r="N151" s="161"/>
      <c r="O151" s="161"/>
      <c r="P151" s="161"/>
      <c r="Q151" s="161"/>
      <c r="R151" s="161"/>
      <c r="S151" s="161"/>
      <c r="T151" s="161"/>
      <c r="U151" s="161"/>
      <c r="V151" s="161"/>
      <c r="W151" s="121"/>
      <c r="X151" s="121"/>
      <c r="Y151" s="121"/>
      <c r="Z151" s="121"/>
      <c r="AA151" s="121"/>
      <c r="AB151" s="121"/>
      <c r="AC151" s="121"/>
      <c r="AD151" s="121"/>
      <c r="AE151" s="121"/>
      <c r="AF151" s="121"/>
      <c r="AG151" s="121"/>
      <c r="AH151" s="121"/>
      <c r="AI151" s="121"/>
      <c r="AJ151" s="121"/>
      <c r="AK151" s="121"/>
      <c r="AL151" s="121"/>
      <c r="AM151" s="121"/>
      <c r="AN151" s="121"/>
      <c r="AO151" s="121"/>
      <c r="AP151" s="121"/>
      <c r="AQ151" s="121"/>
    </row>
    <row r="152" spans="1:43" ht="18.75" customHeight="1" outlineLevel="1">
      <c r="A152" s="183" t="s">
        <v>283</v>
      </c>
      <c r="B152" s="187" t="s">
        <v>281</v>
      </c>
      <c r="C152" s="158"/>
      <c r="D152" s="161"/>
      <c r="E152" s="161"/>
      <c r="F152" s="161"/>
      <c r="G152" s="161"/>
      <c r="H152" s="161"/>
      <c r="I152" s="161"/>
      <c r="J152" s="161"/>
      <c r="K152" s="161"/>
      <c r="L152" s="161"/>
      <c r="M152" s="161"/>
      <c r="N152" s="161">
        <v>1</v>
      </c>
      <c r="O152" s="161">
        <v>1</v>
      </c>
      <c r="P152" s="161">
        <v>1</v>
      </c>
      <c r="Q152" s="161">
        <v>1</v>
      </c>
      <c r="R152" s="161">
        <v>1</v>
      </c>
      <c r="S152" s="161">
        <v>1</v>
      </c>
      <c r="T152" s="161">
        <v>1</v>
      </c>
      <c r="U152" s="162">
        <v>1</v>
      </c>
      <c r="V152" s="16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row>
    <row r="153" spans="1:43" ht="18.75" customHeight="1" outlineLevel="1">
      <c r="A153" s="155" t="s">
        <v>264</v>
      </c>
      <c r="B153" s="185" t="s">
        <v>284</v>
      </c>
      <c r="C153" s="177"/>
      <c r="D153" s="159"/>
      <c r="E153" s="159"/>
      <c r="F153" s="159"/>
      <c r="G153" s="163">
        <v>1</v>
      </c>
      <c r="H153" s="159">
        <v>1</v>
      </c>
      <c r="I153" s="166">
        <v>1</v>
      </c>
      <c r="J153" s="159"/>
      <c r="K153" s="159"/>
      <c r="L153" s="159"/>
      <c r="M153" s="159"/>
      <c r="N153" s="159"/>
      <c r="O153" s="159"/>
      <c r="P153" s="159"/>
      <c r="Q153" s="159"/>
      <c r="R153" s="159"/>
      <c r="S153" s="159"/>
      <c r="T153" s="159"/>
      <c r="U153" s="159"/>
      <c r="V153" s="159"/>
      <c r="W153" s="110"/>
      <c r="X153" s="110"/>
      <c r="Y153" s="110"/>
      <c r="Z153" s="110"/>
      <c r="AA153" s="110"/>
      <c r="AB153" s="110"/>
      <c r="AC153" s="110"/>
      <c r="AD153" s="110"/>
      <c r="AE153" s="110"/>
      <c r="AF153" s="110"/>
      <c r="AG153" s="110"/>
      <c r="AH153" s="110"/>
      <c r="AI153" s="110"/>
      <c r="AJ153" s="110"/>
      <c r="AK153" s="110"/>
      <c r="AL153" s="110"/>
      <c r="AM153" s="110"/>
      <c r="AN153" s="110"/>
      <c r="AO153" s="110"/>
      <c r="AP153" s="110"/>
      <c r="AQ153" s="110"/>
    </row>
    <row r="154" spans="1:43" ht="18" outlineLevel="1">
      <c r="A154" s="155" t="s">
        <v>278</v>
      </c>
      <c r="B154" s="179" t="s">
        <v>285</v>
      </c>
      <c r="C154" s="178"/>
      <c r="D154" s="159"/>
      <c r="E154" s="159"/>
      <c r="F154" s="160"/>
      <c r="G154" s="164">
        <v>1</v>
      </c>
      <c r="H154" s="167">
        <v>1</v>
      </c>
      <c r="I154" s="160"/>
      <c r="K154" s="161"/>
      <c r="L154" s="161"/>
      <c r="M154" s="160"/>
      <c r="N154" s="160"/>
      <c r="O154" s="160"/>
      <c r="P154" s="160"/>
      <c r="Q154" s="160"/>
      <c r="R154" s="160"/>
      <c r="S154" s="160"/>
      <c r="T154" s="160"/>
      <c r="U154" s="160"/>
      <c r="V154" s="160"/>
      <c r="W154" s="122"/>
      <c r="X154" s="122"/>
      <c r="Y154" s="122"/>
      <c r="Z154" s="122"/>
      <c r="AA154" s="122"/>
      <c r="AB154" s="122"/>
      <c r="AC154" s="122"/>
      <c r="AD154" s="122"/>
      <c r="AE154" s="122"/>
      <c r="AF154" s="122"/>
      <c r="AG154" s="122"/>
      <c r="AH154" s="122"/>
      <c r="AI154" s="122"/>
      <c r="AJ154" s="122"/>
      <c r="AK154" s="122"/>
      <c r="AL154" s="122"/>
      <c r="AM154" s="122"/>
      <c r="AN154" s="122"/>
      <c r="AO154" s="122"/>
      <c r="AP154" s="122"/>
      <c r="AQ154" s="122"/>
    </row>
    <row r="155" spans="1:43" ht="18.75" customHeight="1" outlineLevel="1">
      <c r="A155" s="155" t="s">
        <v>266</v>
      </c>
      <c r="B155" s="179" t="s">
        <v>286</v>
      </c>
      <c r="C155" s="158"/>
      <c r="D155" s="161"/>
      <c r="E155" s="161"/>
      <c r="F155" s="161"/>
      <c r="G155" s="161"/>
      <c r="H155" s="161"/>
      <c r="I155" s="161"/>
      <c r="J155" s="161"/>
      <c r="K155" s="161"/>
      <c r="L155" s="161"/>
      <c r="M155" s="161"/>
      <c r="N155" s="161"/>
      <c r="O155" s="161"/>
      <c r="P155" s="161"/>
      <c r="Q155" s="161"/>
      <c r="R155" s="161">
        <v>1</v>
      </c>
      <c r="S155" s="161">
        <v>1</v>
      </c>
      <c r="T155" s="162">
        <v>0.4</v>
      </c>
      <c r="U155" s="161"/>
      <c r="V155" s="161"/>
      <c r="W155" s="161"/>
      <c r="X155" s="161"/>
      <c r="Y155" s="122"/>
      <c r="Z155" s="121"/>
      <c r="AA155" s="121"/>
      <c r="AB155" s="121"/>
      <c r="AC155" s="121"/>
      <c r="AD155" s="121"/>
      <c r="AE155" s="121"/>
      <c r="AF155" s="121"/>
      <c r="AG155" s="121"/>
      <c r="AH155" s="121"/>
      <c r="AI155" s="121"/>
      <c r="AJ155" s="121"/>
      <c r="AK155" s="121"/>
      <c r="AL155" s="121"/>
      <c r="AM155" s="121"/>
      <c r="AN155" s="121"/>
      <c r="AO155" s="121"/>
      <c r="AP155" s="121"/>
      <c r="AQ155" s="121"/>
    </row>
    <row r="156" spans="1:43" ht="18.75" customHeight="1" outlineLevel="1">
      <c r="A156" s="155" t="s">
        <v>267</v>
      </c>
      <c r="B156" s="179" t="s">
        <v>287</v>
      </c>
      <c r="C156" s="158"/>
      <c r="D156" s="161"/>
      <c r="E156" s="161"/>
      <c r="F156" s="161"/>
      <c r="G156" s="161"/>
      <c r="H156" s="161"/>
      <c r="I156" s="161"/>
      <c r="J156" s="161"/>
      <c r="K156" s="161"/>
      <c r="L156" s="161"/>
      <c r="M156" s="161"/>
      <c r="N156" s="161"/>
      <c r="O156" s="161"/>
      <c r="P156" s="161"/>
      <c r="Q156" s="161"/>
      <c r="R156" s="165">
        <v>1</v>
      </c>
      <c r="S156" s="161">
        <v>1</v>
      </c>
      <c r="T156" s="161">
        <v>1</v>
      </c>
      <c r="U156" s="161">
        <v>1</v>
      </c>
      <c r="V156" s="161">
        <v>1</v>
      </c>
      <c r="W156" s="161">
        <v>1</v>
      </c>
      <c r="X156" s="161">
        <v>1</v>
      </c>
      <c r="Y156" s="162">
        <v>1</v>
      </c>
      <c r="Z156" s="121"/>
      <c r="AA156" s="121"/>
      <c r="AB156" s="121"/>
      <c r="AC156" s="121"/>
      <c r="AD156" s="121"/>
      <c r="AE156" s="121"/>
      <c r="AF156" s="121"/>
      <c r="AG156" s="121"/>
      <c r="AH156" s="121"/>
      <c r="AI156" s="121"/>
      <c r="AJ156" s="121"/>
      <c r="AK156" s="121"/>
      <c r="AL156" s="121"/>
      <c r="AM156" s="121"/>
      <c r="AN156" s="121"/>
      <c r="AO156" s="121"/>
      <c r="AP156" s="121"/>
      <c r="AQ156" s="121"/>
    </row>
    <row r="157" spans="1:43" ht="18.75" customHeight="1" outlineLevel="1">
      <c r="A157" s="155" t="s">
        <v>267</v>
      </c>
      <c r="B157" s="179" t="s">
        <v>288</v>
      </c>
      <c r="C157" s="158"/>
      <c r="D157" s="161"/>
      <c r="E157" s="161"/>
      <c r="F157" s="161"/>
      <c r="G157" s="161"/>
      <c r="H157" s="161"/>
      <c r="I157" s="161"/>
      <c r="J157" s="161"/>
      <c r="K157" s="161"/>
      <c r="L157" s="161"/>
      <c r="M157" s="161"/>
      <c r="N157" s="161"/>
      <c r="O157" s="161"/>
      <c r="P157" s="161"/>
      <c r="Q157" s="161"/>
      <c r="R157" s="161"/>
      <c r="S157" s="161"/>
      <c r="T157" s="161"/>
      <c r="U157" s="165">
        <v>1</v>
      </c>
      <c r="V157" s="161">
        <v>1</v>
      </c>
      <c r="W157" s="161">
        <v>1</v>
      </c>
      <c r="X157" s="162">
        <v>0.5</v>
      </c>
      <c r="Y157" s="161"/>
      <c r="Z157" s="121"/>
      <c r="AA157" s="121"/>
      <c r="AB157" s="121"/>
      <c r="AC157" s="121"/>
      <c r="AD157" s="121"/>
      <c r="AE157" s="121"/>
      <c r="AF157" s="121"/>
      <c r="AG157" s="121"/>
      <c r="AH157" s="121"/>
      <c r="AI157" s="121"/>
      <c r="AJ157" s="121"/>
      <c r="AK157" s="121"/>
      <c r="AL157" s="121"/>
      <c r="AM157" s="121"/>
      <c r="AN157" s="121"/>
      <c r="AO157" s="121"/>
      <c r="AP157" s="121"/>
      <c r="AQ157" s="121"/>
    </row>
    <row r="158" spans="1:43" ht="18.75" customHeight="1" outlineLevel="1">
      <c r="A158" s="235" t="s">
        <v>243</v>
      </c>
      <c r="B158" s="235"/>
      <c r="C158" s="156">
        <f>SUM(C144:C157)</f>
        <v>0</v>
      </c>
      <c r="D158" s="156">
        <f>SUM(D144:D157)</f>
        <v>1.5</v>
      </c>
      <c r="E158" s="156">
        <f>SUM(E144:E157)</f>
        <v>2.5</v>
      </c>
      <c r="F158" s="156">
        <f>SUM(F144:F157)</f>
        <v>2.5</v>
      </c>
      <c r="G158" s="156">
        <f>SUM(G144:G157)</f>
        <v>6</v>
      </c>
      <c r="H158" s="156">
        <f>SUM(H144:H157)</f>
        <v>6</v>
      </c>
      <c r="I158" s="156">
        <f>SUM(I144:I157)</f>
        <v>5</v>
      </c>
      <c r="J158" s="156">
        <f>SUM(J144:J157)</f>
        <v>4</v>
      </c>
      <c r="K158" s="156">
        <f>SUM(K144:K157)</f>
        <v>3.5</v>
      </c>
      <c r="L158" s="156">
        <f>SUM(L144:L157)</f>
        <v>3.5</v>
      </c>
      <c r="M158" s="156">
        <f>SUM(M144:M157)</f>
        <v>1</v>
      </c>
      <c r="N158" s="156">
        <f>SUM(N144:N157)</f>
        <v>1</v>
      </c>
      <c r="O158" s="156">
        <f>SUM(O144:O157)</f>
        <v>1</v>
      </c>
      <c r="P158" s="156">
        <f>SUM(P144:P157)</f>
        <v>1</v>
      </c>
      <c r="Q158" s="156">
        <f>SUM(Q144:Q157)</f>
        <v>1</v>
      </c>
      <c r="R158" s="156">
        <f>SUM(R144:R157)</f>
        <v>4</v>
      </c>
      <c r="S158" s="156">
        <f>SUM(S144:S157)</f>
        <v>4</v>
      </c>
      <c r="T158" s="156">
        <f>SUM(T144:T157)</f>
        <v>3.4</v>
      </c>
      <c r="U158" s="156">
        <f>SUM(U144:U157)</f>
        <v>3</v>
      </c>
      <c r="V158" s="156">
        <f>SUM(V144:V157)</f>
        <v>2</v>
      </c>
      <c r="W158" s="156">
        <f>SUM(W144:W157)</f>
        <v>2</v>
      </c>
      <c r="X158" s="156">
        <f>SUM(X144:X157)</f>
        <v>1.5</v>
      </c>
      <c r="Y158" s="156">
        <f>SUM(Y144:Y157)</f>
        <v>1</v>
      </c>
      <c r="Z158" s="156">
        <f>SUM(Z144:Z157)</f>
        <v>0</v>
      </c>
      <c r="AA158" s="156">
        <f>SUM(AA144:AA157)</f>
        <v>0</v>
      </c>
      <c r="AB158" s="156">
        <f>SUM(AB144:AB157)</f>
        <v>0</v>
      </c>
      <c r="AC158" s="156">
        <f>SUM(AC144:AC157)</f>
        <v>0</v>
      </c>
      <c r="AD158" s="156">
        <f>SUM(AD144:AD157)</f>
        <v>0</v>
      </c>
      <c r="AE158" s="156">
        <f>SUM(AE144:AE157)</f>
        <v>0</v>
      </c>
      <c r="AF158" s="156">
        <f>SUM(AF144:AF157)</f>
        <v>0</v>
      </c>
      <c r="AG158" s="156">
        <f>SUM(AG144:AG157)</f>
        <v>0</v>
      </c>
      <c r="AH158" s="156">
        <f>SUM(AH144:AH157)</f>
        <v>0</v>
      </c>
      <c r="AI158" s="156">
        <f>SUM(AI144:AI157)</f>
        <v>0</v>
      </c>
      <c r="AJ158" s="156">
        <f>SUM(AJ144:AJ157)</f>
        <v>0</v>
      </c>
      <c r="AK158" s="156">
        <f>SUM(AK144:AK157)</f>
        <v>0</v>
      </c>
      <c r="AL158" s="156">
        <f>SUM(AL144:AL157)</f>
        <v>0</v>
      </c>
      <c r="AM158" s="156">
        <f>SUM(AM144:AM157)</f>
        <v>0</v>
      </c>
      <c r="AN158" s="156">
        <f>SUM(AN144:AN157)</f>
        <v>0</v>
      </c>
      <c r="AO158" s="156">
        <f>SUM(AO144:AO157)</f>
        <v>0</v>
      </c>
      <c r="AP158" s="156">
        <f>SUM(AP144:AP157)</f>
        <v>0</v>
      </c>
      <c r="AQ158" s="156">
        <f>SUM(AQ144:AQ157)</f>
        <v>0</v>
      </c>
    </row>
    <row r="159" spans="1:43" ht="18.75" customHeight="1" outlineLevel="1">
      <c r="C159">
        <f>C68-C158</f>
        <v>0</v>
      </c>
      <c r="D159">
        <f>D68-D158</f>
        <v>0</v>
      </c>
      <c r="E159">
        <f>E68-E158</f>
        <v>0</v>
      </c>
      <c r="F159">
        <f>F68-F158</f>
        <v>0</v>
      </c>
      <c r="G159">
        <f>G68-G158</f>
        <v>0</v>
      </c>
      <c r="H159">
        <f>H68-H158</f>
        <v>0</v>
      </c>
      <c r="I159">
        <f>I68-I158</f>
        <v>0</v>
      </c>
      <c r="J159">
        <f>J68-J158</f>
        <v>0</v>
      </c>
      <c r="K159">
        <f>K68-K158</f>
        <v>0</v>
      </c>
      <c r="L159">
        <f>L68-L158</f>
        <v>0</v>
      </c>
      <c r="M159">
        <f>M68-M158</f>
        <v>0</v>
      </c>
      <c r="N159">
        <f>N68-N158</f>
        <v>0</v>
      </c>
      <c r="O159">
        <f>O68-O158</f>
        <v>0</v>
      </c>
      <c r="P159">
        <f>P68-P158</f>
        <v>0</v>
      </c>
      <c r="Q159">
        <f>Q68-Q158</f>
        <v>0</v>
      </c>
      <c r="R159">
        <f>R68-R158</f>
        <v>0</v>
      </c>
      <c r="S159">
        <f>S68-S158</f>
        <v>0</v>
      </c>
      <c r="T159">
        <f>T68-T158</f>
        <v>0</v>
      </c>
      <c r="U159">
        <f>U68-U158</f>
        <v>0</v>
      </c>
      <c r="V159">
        <f>V68-V158</f>
        <v>0</v>
      </c>
      <c r="W159">
        <f>W68-W158</f>
        <v>0</v>
      </c>
      <c r="X159">
        <f>X68-X158</f>
        <v>0</v>
      </c>
      <c r="Y159">
        <f>Y68-Y158</f>
        <v>0</v>
      </c>
      <c r="Z159">
        <f>Z68-Z158</f>
        <v>0</v>
      </c>
      <c r="AA159">
        <f>AA68-AA158</f>
        <v>0</v>
      </c>
      <c r="AB159">
        <f>AB68-AB158</f>
        <v>0</v>
      </c>
      <c r="AC159">
        <f>AC68-AC158</f>
        <v>0</v>
      </c>
    </row>
    <row r="163" spans="1:1" ht="18.75" customHeight="1" outlineLevel="1">
      <c r="A163" t="s">
        <v>336</v>
      </c>
    </row>
    <row r="164" spans="1:1" ht="18.75" customHeight="1" outlineLevel="1"/>
    <row r="165" spans="1:1" ht="18.75" customHeight="1" outlineLevel="1"/>
    <row r="166" spans="1:1" ht="18.75" customHeight="1" outlineLevel="1"/>
    <row r="167" spans="1:1" ht="18.75" customHeight="1" outlineLevel="1"/>
    <row r="168" spans="1:1" ht="18.75" customHeight="1" outlineLevel="1"/>
    <row r="169" spans="1:1" ht="18.75" customHeight="1" outlineLevel="1"/>
    <row r="170" spans="1:1" ht="18.75" customHeight="1" outlineLevel="1"/>
    <row r="171" spans="1:1" ht="18.75" customHeight="1" outlineLevel="1"/>
    <row r="172" spans="1:1" ht="18.75" customHeight="1" outlineLevel="1"/>
    <row r="173" spans="1:1" ht="18.75" customHeight="1" outlineLevel="1"/>
    <row r="174" spans="1:1" ht="18.75" customHeight="1" outlineLevel="1"/>
    <row r="175" spans="1:1" ht="18.75" customHeight="1" outlineLevel="1"/>
    <row r="176" spans="1:1" ht="18.75" customHeight="1" outlineLevel="1"/>
    <row r="177" spans="1:10" ht="18.75" customHeight="1" outlineLevel="1"/>
    <row r="178" spans="1:10" ht="18.75" customHeight="1" outlineLevel="1"/>
    <row r="179" spans="1:10" ht="18.75" customHeight="1" outlineLevel="1"/>
    <row r="180" spans="1:10" ht="18.75" customHeight="1" outlineLevel="1"/>
    <row r="181" spans="1:10" ht="18.75" customHeight="1" outlineLevel="1">
      <c r="B181" t="s">
        <v>337</v>
      </c>
      <c r="C181" t="s">
        <v>338</v>
      </c>
      <c r="D181" t="s">
        <v>296</v>
      </c>
      <c r="E181" t="s">
        <v>339</v>
      </c>
      <c r="F181" t="s">
        <v>340</v>
      </c>
      <c r="G181" t="s">
        <v>341</v>
      </c>
      <c r="H181" t="s">
        <v>342</v>
      </c>
      <c r="I181" t="s">
        <v>343</v>
      </c>
      <c r="J181" t="s">
        <v>344</v>
      </c>
    </row>
    <row r="182" spans="1:10" ht="18.75" customHeight="1" outlineLevel="1">
      <c r="A182" t="s">
        <v>266</v>
      </c>
      <c r="B182">
        <f>SUM(C182:J182)</f>
        <v>10.199999999999999</v>
      </c>
      <c r="C182">
        <v>1.2</v>
      </c>
      <c r="D182">
        <v>1.1000000000000001</v>
      </c>
      <c r="E182">
        <v>1.2</v>
      </c>
      <c r="F182">
        <v>0.8</v>
      </c>
      <c r="G182">
        <v>2.2999999999999998</v>
      </c>
      <c r="I182">
        <v>1.2</v>
      </c>
      <c r="J182">
        <v>2.4</v>
      </c>
    </row>
    <row r="183" spans="1:10" ht="18.75" customHeight="1" outlineLevel="1">
      <c r="A183" t="s">
        <v>345</v>
      </c>
      <c r="B183">
        <f>SUM(C183:J183)</f>
        <v>11.4</v>
      </c>
      <c r="C183">
        <v>1.2</v>
      </c>
      <c r="D183">
        <v>1.2</v>
      </c>
      <c r="E183">
        <v>1.3</v>
      </c>
      <c r="F183">
        <v>1.9</v>
      </c>
      <c r="G183">
        <v>2.2000000000000002</v>
      </c>
      <c r="I183">
        <v>1.2</v>
      </c>
      <c r="J183">
        <v>2.4</v>
      </c>
    </row>
    <row r="184" spans="1:10" ht="18.75" customHeight="1" outlineLevel="1"/>
    <row r="185" spans="1:10" ht="18.75" customHeight="1" outlineLevel="1"/>
    <row r="186" spans="1:10" ht="18.75" customHeight="1" outlineLevel="1"/>
    <row r="187" spans="1:10" ht="18.75" customHeight="1" outlineLevel="1"/>
    <row r="188" spans="1:10" ht="18.75" customHeight="1" outlineLevel="1"/>
    <row r="189" spans="1:10" ht="18.75" customHeight="1" outlineLevel="1"/>
    <row r="190" spans="1:10" ht="18.75" customHeight="1" outlineLevel="1"/>
    <row r="191" spans="1:10" ht="18.75" customHeight="1" outlineLevel="1"/>
    <row r="192" spans="1:10" ht="18.75" customHeight="1" outlineLevel="1"/>
    <row r="193" ht="18.75" customHeight="1" outlineLevel="1"/>
    <row r="194" ht="18.75" customHeight="1" outlineLevel="1"/>
    <row r="195" ht="18.75" customHeight="1" outlineLevel="1"/>
    <row r="196" ht="18.75" customHeight="1" outlineLevel="1"/>
    <row r="197" ht="18.75" customHeight="1" outlineLevel="1"/>
    <row r="198" ht="18.75" customHeight="1" outlineLevel="1"/>
    <row r="199" ht="18.75" customHeight="1" outlineLevel="1"/>
    <row r="200" ht="18.75" customHeight="1" outlineLevel="1"/>
    <row r="201" ht="18.75" customHeight="1" outlineLevel="1"/>
    <row r="202" ht="18.75" customHeight="1" outlineLevel="1"/>
    <row r="203" ht="18.75" customHeight="1" outlineLevel="1"/>
    <row r="204" ht="18.75" customHeight="1" outlineLevel="1"/>
    <row r="205" ht="18.75" customHeight="1" outlineLevel="1"/>
    <row r="206" ht="18.75" customHeight="1" outlineLevel="1"/>
    <row r="207" ht="18.75" customHeight="1" outlineLevel="1"/>
    <row r="208" ht="18.75" customHeight="1" outlineLevel="1"/>
    <row r="209" spans="1:1" ht="18.75" customHeight="1" outlineLevel="1"/>
    <row r="210" spans="1:1" ht="18.75" customHeight="1" outlineLevel="1"/>
    <row r="211" spans="1:1" ht="18.75" customHeight="1" outlineLevel="1"/>
    <row r="212" spans="1:1" ht="18.75" customHeight="1" outlineLevel="1"/>
    <row r="213" spans="1:1" ht="18.75" customHeight="1" outlineLevel="1"/>
    <row r="214" spans="1:1" ht="18.75" customHeight="1" outlineLevel="1"/>
    <row r="215" spans="1:1" ht="18.75" customHeight="1" outlineLevel="1"/>
    <row r="216" spans="1:1" ht="18.75" customHeight="1" outlineLevel="1"/>
    <row r="217" spans="1:1" ht="18.75" customHeight="1" outlineLevel="1"/>
    <row r="218" spans="1:1" ht="18.75" customHeight="1" outlineLevel="1"/>
    <row r="219" spans="1:1" ht="18.75" customHeight="1" outlineLevel="1"/>
    <row r="220" spans="1:1" ht="18.75" customHeight="1" outlineLevel="1"/>
    <row r="221" spans="1:1" ht="18.75" customHeight="1" outlineLevel="1">
      <c r="A221" s="150" t="s">
        <v>346</v>
      </c>
    </row>
    <row r="222" spans="1:1" ht="18.75" customHeight="1" outlineLevel="1"/>
    <row r="223" spans="1:1" ht="18.75" customHeight="1" outlineLevel="1"/>
    <row r="224" spans="1:1" ht="18.75" customHeight="1" outlineLevel="1"/>
    <row r="225" spans="10:17" ht="18.75" customHeight="1" outlineLevel="1">
      <c r="J225" t="s">
        <v>347</v>
      </c>
      <c r="K225" t="s">
        <v>348</v>
      </c>
      <c r="L225" t="s">
        <v>349</v>
      </c>
      <c r="M225" t="s">
        <v>350</v>
      </c>
      <c r="N225" t="s">
        <v>351</v>
      </c>
      <c r="O225" t="s">
        <v>352</v>
      </c>
      <c r="P225" t="s">
        <v>353</v>
      </c>
    </row>
    <row r="226" spans="10:17" ht="18.75" customHeight="1" outlineLevel="1">
      <c r="J226">
        <v>1</v>
      </c>
      <c r="K226" t="s">
        <v>354</v>
      </c>
      <c r="L226" t="s">
        <v>355</v>
      </c>
      <c r="M226" t="s">
        <v>356</v>
      </c>
      <c r="N226" t="s">
        <v>357</v>
      </c>
      <c r="O226">
        <v>0.5</v>
      </c>
      <c r="P226" s="154">
        <v>500000</v>
      </c>
      <c r="Q226">
        <f>SUM(O226:O227)</f>
        <v>1.2</v>
      </c>
    </row>
    <row r="227" spans="10:17" ht="18.75" customHeight="1" outlineLevel="1">
      <c r="N227" t="s">
        <v>358</v>
      </c>
      <c r="O227">
        <v>0.7</v>
      </c>
      <c r="P227" s="154">
        <v>700000</v>
      </c>
    </row>
    <row r="228" spans="10:17" ht="18.75" customHeight="1" outlineLevel="1">
      <c r="N228" t="s">
        <v>359</v>
      </c>
      <c r="O228">
        <v>0.3</v>
      </c>
      <c r="P228" s="154">
        <v>420000</v>
      </c>
    </row>
    <row r="229" spans="10:17" ht="18.75" customHeight="1" outlineLevel="1">
      <c r="N229" t="s">
        <v>360</v>
      </c>
      <c r="O229">
        <v>1.5</v>
      </c>
      <c r="P229" s="154">
        <v>1620000</v>
      </c>
    </row>
    <row r="230" spans="10:17" ht="18.75" customHeight="1" outlineLevel="1">
      <c r="J230">
        <v>2</v>
      </c>
      <c r="K230" t="s">
        <v>361</v>
      </c>
      <c r="L230" t="s">
        <v>362</v>
      </c>
      <c r="M230" t="s">
        <v>356</v>
      </c>
      <c r="N230" t="s">
        <v>363</v>
      </c>
      <c r="O230">
        <v>0.8</v>
      </c>
      <c r="P230" s="154">
        <v>800000</v>
      </c>
    </row>
    <row r="231" spans="10:17" ht="18.75" customHeight="1" outlineLevel="1">
      <c r="N231" t="s">
        <v>362</v>
      </c>
      <c r="O231">
        <v>1.5</v>
      </c>
      <c r="P231" s="154">
        <v>1500000</v>
      </c>
      <c r="Q231">
        <f>SUM(O230:O232)</f>
        <v>3.0999999999999996</v>
      </c>
    </row>
    <row r="232" spans="10:17" ht="18.75" customHeight="1" outlineLevel="1">
      <c r="N232" t="s">
        <v>364</v>
      </c>
      <c r="O232">
        <v>0.8</v>
      </c>
      <c r="P232" s="154">
        <v>800000</v>
      </c>
    </row>
    <row r="233" spans="10:17" ht="18.75" customHeight="1" outlineLevel="1">
      <c r="N233" t="s">
        <v>359</v>
      </c>
      <c r="O233">
        <v>0.5</v>
      </c>
      <c r="P233" s="154">
        <v>700000</v>
      </c>
    </row>
    <row r="234" spans="10:17" ht="18.75" customHeight="1" outlineLevel="1">
      <c r="N234" t="s">
        <v>360</v>
      </c>
      <c r="O234">
        <v>3.6</v>
      </c>
      <c r="P234" s="154">
        <v>3800000</v>
      </c>
    </row>
    <row r="235" spans="10:17" ht="18.75" customHeight="1" outlineLevel="1">
      <c r="J235">
        <v>3</v>
      </c>
      <c r="K235" t="s">
        <v>354</v>
      </c>
      <c r="L235" t="s">
        <v>365</v>
      </c>
      <c r="M235" t="s">
        <v>356</v>
      </c>
      <c r="N235" t="s">
        <v>365</v>
      </c>
      <c r="O235">
        <v>0.9</v>
      </c>
      <c r="P235" s="154">
        <v>900000</v>
      </c>
      <c r="Q235">
        <f>SUM(O235:O236)</f>
        <v>1.2</v>
      </c>
    </row>
    <row r="236" spans="10:17" ht="18.75" customHeight="1" outlineLevel="1">
      <c r="N236" t="s">
        <v>366</v>
      </c>
      <c r="O236">
        <v>0.3</v>
      </c>
      <c r="P236" s="154">
        <v>300000</v>
      </c>
    </row>
    <row r="237" spans="10:17" ht="18.75" customHeight="1" outlineLevel="1">
      <c r="N237" t="s">
        <v>359</v>
      </c>
      <c r="O237">
        <v>0.2</v>
      </c>
      <c r="P237" s="154">
        <v>280000</v>
      </c>
    </row>
    <row r="238" spans="10:17" ht="18.75" customHeight="1" outlineLevel="1">
      <c r="N238" t="s">
        <v>360</v>
      </c>
      <c r="O238">
        <v>1.4</v>
      </c>
      <c r="P238" s="154">
        <v>1480000</v>
      </c>
      <c r="Q238">
        <f>SUM(O238:O239)</f>
        <v>1.9</v>
      </c>
    </row>
    <row r="239" spans="10:17" ht="18.75" customHeight="1" outlineLevel="1">
      <c r="J239">
        <v>4</v>
      </c>
      <c r="K239" t="s">
        <v>354</v>
      </c>
      <c r="L239" t="s">
        <v>367</v>
      </c>
      <c r="M239" t="s">
        <v>356</v>
      </c>
      <c r="N239" t="s">
        <v>367</v>
      </c>
      <c r="O239">
        <v>0.5</v>
      </c>
      <c r="P239" s="154">
        <v>500000</v>
      </c>
    </row>
    <row r="240" spans="10:17" ht="18.75" customHeight="1" outlineLevel="1">
      <c r="L240" t="s">
        <v>368</v>
      </c>
      <c r="N240" t="s">
        <v>368</v>
      </c>
      <c r="O240">
        <v>0.3</v>
      </c>
      <c r="P240" s="154">
        <v>300000</v>
      </c>
    </row>
    <row r="241" spans="10:16" ht="18.75" customHeight="1" outlineLevel="1">
      <c r="N241" t="s">
        <v>359</v>
      </c>
      <c r="O241">
        <v>0.1</v>
      </c>
      <c r="P241" s="154">
        <v>140000</v>
      </c>
    </row>
    <row r="242" spans="10:16" ht="18.75" customHeight="1" outlineLevel="1">
      <c r="N242" t="s">
        <v>360</v>
      </c>
      <c r="O242">
        <v>0.9</v>
      </c>
      <c r="P242" s="154">
        <v>940000</v>
      </c>
    </row>
    <row r="243" spans="10:16" ht="18.75" customHeight="1" outlineLevel="1">
      <c r="J243" t="s">
        <v>243</v>
      </c>
      <c r="O243">
        <v>7.4</v>
      </c>
      <c r="P243" s="154">
        <v>7840000</v>
      </c>
    </row>
    <row r="244" spans="10:16" ht="18.75" customHeight="1" outlineLevel="1"/>
    <row r="245" spans="10:16" ht="18.75" customHeight="1" outlineLevel="1"/>
    <row r="246" spans="10:16" ht="18.75" customHeight="1" outlineLevel="1"/>
    <row r="247" spans="10:16" ht="18.75" customHeight="1" outlineLevel="1"/>
    <row r="248" spans="10:16" ht="18.75" customHeight="1" outlineLevel="1"/>
    <row r="249" spans="10:16" ht="18.75" customHeight="1" outlineLevel="1"/>
    <row r="250" spans="10:16" ht="18.75" customHeight="1" outlineLevel="1"/>
    <row r="251" spans="10:16" ht="18.75" customHeight="1" outlineLevel="1"/>
    <row r="252" spans="10:16" ht="18.75" customHeight="1" outlineLevel="1"/>
    <row r="253" spans="10:16" ht="18.75" customHeight="1" outlineLevel="1"/>
    <row r="254" spans="10:16" ht="18.75" customHeight="1" outlineLevel="1"/>
  </sheetData>
  <autoFilter ref="A143:B159" xr:uid="{00000000-0001-0000-0600-000000000000}"/>
  <mergeCells count="19">
    <mergeCell ref="A4:B5"/>
    <mergeCell ref="A2:A3"/>
    <mergeCell ref="B2:B3"/>
    <mergeCell ref="C2:N2"/>
    <mergeCell ref="O2:Z2"/>
    <mergeCell ref="AA2:AE2"/>
    <mergeCell ref="AP73:AQ73"/>
    <mergeCell ref="AP74:AQ74"/>
    <mergeCell ref="A28:B28"/>
    <mergeCell ref="A29:A30"/>
    <mergeCell ref="A31:A32"/>
    <mergeCell ref="AD33:AE33"/>
    <mergeCell ref="AD34:AE34"/>
    <mergeCell ref="AD35:AE35"/>
    <mergeCell ref="A158:B158"/>
    <mergeCell ref="AD36:AE36"/>
    <mergeCell ref="A68:B68"/>
    <mergeCell ref="A69:A70"/>
    <mergeCell ref="A71:A72"/>
  </mergeCells>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T19"/>
  <sheetViews>
    <sheetView topLeftCell="A4" zoomScale="80" zoomScaleNormal="80" workbookViewId="0">
      <selection activeCell="D8" sqref="D8"/>
    </sheetView>
  </sheetViews>
  <sheetFormatPr defaultColWidth="8.625" defaultRowHeight="18"/>
  <cols>
    <col min="1" max="1" width="2.625" style="21" customWidth="1"/>
    <col min="2" max="2" width="4.125" style="21" bestFit="1" customWidth="1"/>
    <col min="3" max="3" width="37.625" style="21" customWidth="1"/>
    <col min="4" max="4" width="44.625" style="21" customWidth="1"/>
    <col min="5" max="19" width="9.875" style="21" customWidth="1"/>
    <col min="20" max="20" width="53.125" style="21" customWidth="1"/>
    <col min="21" max="16384" width="8.625" style="21"/>
  </cols>
  <sheetData>
    <row r="1" spans="2:20" ht="18.600000000000001" thickBot="1">
      <c r="C1" s="21" t="s">
        <v>369</v>
      </c>
    </row>
    <row r="2" spans="2:20">
      <c r="D2" s="50" t="s">
        <v>181</v>
      </c>
      <c r="E2" s="249" t="s">
        <v>182</v>
      </c>
      <c r="F2" s="250"/>
      <c r="G2" s="250"/>
      <c r="H2" s="250"/>
      <c r="I2" s="251"/>
      <c r="J2" s="252" t="s">
        <v>4</v>
      </c>
      <c r="K2" s="250"/>
      <c r="L2" s="250"/>
      <c r="M2" s="250"/>
      <c r="N2" s="251"/>
      <c r="O2" s="252" t="s">
        <v>183</v>
      </c>
      <c r="P2" s="250"/>
      <c r="Q2" s="250"/>
      <c r="R2" s="250"/>
      <c r="S2" s="251"/>
    </row>
    <row r="3" spans="2:20">
      <c r="B3" s="19"/>
      <c r="C3" s="19"/>
      <c r="D3" s="20"/>
      <c r="E3" s="246" t="s">
        <v>370</v>
      </c>
      <c r="F3" s="247"/>
      <c r="G3" s="247"/>
      <c r="H3" s="248"/>
      <c r="I3" s="38"/>
      <c r="J3" s="246" t="s">
        <v>370</v>
      </c>
      <c r="K3" s="247"/>
      <c r="L3" s="247"/>
      <c r="M3" s="248"/>
      <c r="N3" s="38"/>
      <c r="O3" s="246" t="s">
        <v>370</v>
      </c>
      <c r="P3" s="247"/>
      <c r="Q3" s="247"/>
      <c r="R3" s="248"/>
      <c r="S3" s="38"/>
      <c r="T3" s="19"/>
    </row>
    <row r="4" spans="2:20" ht="39.75" customHeight="1">
      <c r="B4" s="22" t="s">
        <v>188</v>
      </c>
      <c r="C4" s="22" t="s">
        <v>371</v>
      </c>
      <c r="D4" s="22" t="s">
        <v>372</v>
      </c>
      <c r="E4" s="39" t="s">
        <v>373</v>
      </c>
      <c r="F4" s="23" t="s">
        <v>192</v>
      </c>
      <c r="G4" s="23" t="s">
        <v>374</v>
      </c>
      <c r="H4" s="23" t="s">
        <v>195</v>
      </c>
      <c r="I4" s="40" t="s">
        <v>375</v>
      </c>
      <c r="J4" s="39" t="s">
        <v>373</v>
      </c>
      <c r="K4" s="23" t="s">
        <v>192</v>
      </c>
      <c r="L4" s="23" t="s">
        <v>374</v>
      </c>
      <c r="M4" s="23" t="s">
        <v>195</v>
      </c>
      <c r="N4" s="40" t="s">
        <v>375</v>
      </c>
      <c r="O4" s="39" t="s">
        <v>373</v>
      </c>
      <c r="P4" s="23" t="s">
        <v>192</v>
      </c>
      <c r="Q4" s="23" t="s">
        <v>374</v>
      </c>
      <c r="R4" s="23" t="s">
        <v>195</v>
      </c>
      <c r="S4" s="40" t="s">
        <v>375</v>
      </c>
      <c r="T4" s="22" t="s">
        <v>184</v>
      </c>
    </row>
    <row r="5" spans="2:20" ht="36">
      <c r="B5" s="24">
        <v>1</v>
      </c>
      <c r="C5" s="24" t="s">
        <v>376</v>
      </c>
      <c r="D5" s="25" t="s">
        <v>377</v>
      </c>
      <c r="E5" s="41">
        <v>1</v>
      </c>
      <c r="F5" s="26">
        <v>0.5</v>
      </c>
      <c r="G5" s="26">
        <v>1</v>
      </c>
      <c r="H5" s="26">
        <f>SUM(E5:G5)*0.15</f>
        <v>0.375</v>
      </c>
      <c r="I5" s="42">
        <f>SUM(E5:H5)</f>
        <v>2.875</v>
      </c>
      <c r="J5" s="41">
        <v>1</v>
      </c>
      <c r="K5" s="26">
        <v>0.5</v>
      </c>
      <c r="L5" s="26">
        <v>1</v>
      </c>
      <c r="M5" s="26">
        <f>SUM(J5:L5)*0.15</f>
        <v>0.375</v>
      </c>
      <c r="N5" s="42">
        <f>SUM(J5:M5)</f>
        <v>2.875</v>
      </c>
      <c r="O5" s="41"/>
      <c r="P5" s="26"/>
      <c r="Q5" s="26"/>
      <c r="R5" s="26">
        <f>SUM(O5:Q5)*0.15</f>
        <v>0</v>
      </c>
      <c r="S5" s="42">
        <f>SUM(O5:R5)</f>
        <v>0</v>
      </c>
      <c r="T5" s="24"/>
    </row>
    <row r="6" spans="2:20">
      <c r="B6" s="24">
        <v>2</v>
      </c>
      <c r="C6" s="24" t="s">
        <v>376</v>
      </c>
      <c r="D6" s="25" t="s">
        <v>378</v>
      </c>
      <c r="E6" s="41">
        <v>1.25</v>
      </c>
      <c r="F6" s="26">
        <v>0.5</v>
      </c>
      <c r="G6" s="26">
        <v>1</v>
      </c>
      <c r="H6" s="26">
        <f t="shared" ref="H6:H14" si="0">SUM(E6:G6)*0.15</f>
        <v>0.41249999999999998</v>
      </c>
      <c r="I6" s="42">
        <f t="shared" ref="I6:I14" si="1">SUM(E6:H6)</f>
        <v>3.1625000000000001</v>
      </c>
      <c r="J6" s="41">
        <v>0.25</v>
      </c>
      <c r="K6" s="26">
        <v>0.25</v>
      </c>
      <c r="L6" s="26">
        <v>0.5</v>
      </c>
      <c r="M6" s="26">
        <f t="shared" ref="M6:M14" si="2">SUM(J6:L6)*0.15</f>
        <v>0.15</v>
      </c>
      <c r="N6" s="42">
        <f t="shared" ref="N6:N13" si="3">SUM(J6:M6)</f>
        <v>1.1499999999999999</v>
      </c>
      <c r="O6" s="41"/>
      <c r="P6" s="26"/>
      <c r="Q6" s="26"/>
      <c r="R6" s="26"/>
      <c r="S6" s="42"/>
      <c r="T6" s="24"/>
    </row>
    <row r="7" spans="2:20">
      <c r="B7" s="24">
        <v>3</v>
      </c>
      <c r="C7" s="24" t="s">
        <v>379</v>
      </c>
      <c r="D7" s="24" t="s">
        <v>380</v>
      </c>
      <c r="E7" s="41">
        <v>1</v>
      </c>
      <c r="F7" s="26">
        <v>1</v>
      </c>
      <c r="G7" s="26">
        <v>0.5</v>
      </c>
      <c r="H7" s="26">
        <f t="shared" si="0"/>
        <v>0.375</v>
      </c>
      <c r="I7" s="42">
        <f t="shared" si="1"/>
        <v>2.875</v>
      </c>
      <c r="J7" s="41">
        <v>0.5</v>
      </c>
      <c r="K7" s="26">
        <v>0.5</v>
      </c>
      <c r="L7" s="26">
        <v>0.5</v>
      </c>
      <c r="M7" s="26">
        <f t="shared" si="2"/>
        <v>0.22499999999999998</v>
      </c>
      <c r="N7" s="42">
        <f t="shared" si="3"/>
        <v>1.7250000000000001</v>
      </c>
      <c r="O7" s="41"/>
      <c r="P7" s="26"/>
      <c r="Q7" s="26"/>
      <c r="R7" s="26">
        <f t="shared" ref="R7" si="4">SUM(O7:Q7)*0.15</f>
        <v>0</v>
      </c>
      <c r="S7" s="42">
        <f t="shared" ref="S7" si="5">SUM(O7:R7)</f>
        <v>0</v>
      </c>
      <c r="T7" s="27"/>
    </row>
    <row r="8" spans="2:20">
      <c r="B8" s="24">
        <v>4</v>
      </c>
      <c r="C8" s="24" t="s">
        <v>381</v>
      </c>
      <c r="D8" s="25" t="s">
        <v>382</v>
      </c>
      <c r="E8" s="41">
        <v>0.25</v>
      </c>
      <c r="F8" s="26">
        <v>0.1</v>
      </c>
      <c r="G8" s="26">
        <v>0.1</v>
      </c>
      <c r="H8" s="26">
        <f t="shared" si="0"/>
        <v>6.7499999999999991E-2</v>
      </c>
      <c r="I8" s="42">
        <f t="shared" si="1"/>
        <v>0.51749999999999996</v>
      </c>
      <c r="J8" s="41">
        <v>0.1</v>
      </c>
      <c r="K8" s="51">
        <v>0.1</v>
      </c>
      <c r="L8" s="51">
        <v>0.25</v>
      </c>
      <c r="M8" s="26">
        <f t="shared" si="2"/>
        <v>6.7500000000000004E-2</v>
      </c>
      <c r="N8" s="42">
        <f t="shared" si="3"/>
        <v>0.51750000000000007</v>
      </c>
      <c r="O8" s="41"/>
      <c r="P8" s="26"/>
      <c r="Q8" s="26"/>
      <c r="R8" s="26">
        <f t="shared" ref="R8:R14" si="6">SUM(O8:Q8)*0.15</f>
        <v>0</v>
      </c>
      <c r="S8" s="42">
        <f t="shared" ref="S8:S14" si="7">SUM(O8:R8)</f>
        <v>0</v>
      </c>
      <c r="T8" s="27"/>
    </row>
    <row r="9" spans="2:20">
      <c r="B9" s="24">
        <v>5</v>
      </c>
      <c r="C9" s="24" t="s">
        <v>381</v>
      </c>
      <c r="D9" s="25" t="s">
        <v>383</v>
      </c>
      <c r="E9" s="41">
        <v>1.5</v>
      </c>
      <c r="F9" s="26">
        <v>1</v>
      </c>
      <c r="G9" s="26">
        <v>0.5</v>
      </c>
      <c r="H9" s="26">
        <f t="shared" si="0"/>
        <v>0.44999999999999996</v>
      </c>
      <c r="I9" s="42">
        <f t="shared" si="1"/>
        <v>3.45</v>
      </c>
      <c r="J9" s="41"/>
      <c r="K9" s="26"/>
      <c r="L9" s="26"/>
      <c r="M9" s="26">
        <f t="shared" si="2"/>
        <v>0</v>
      </c>
      <c r="N9" s="42">
        <f t="shared" si="3"/>
        <v>0</v>
      </c>
      <c r="O9" s="41"/>
      <c r="P9" s="26"/>
      <c r="Q9" s="26"/>
      <c r="R9" s="26"/>
      <c r="S9" s="42"/>
      <c r="T9" s="27"/>
    </row>
    <row r="10" spans="2:20" ht="36">
      <c r="B10" s="24">
        <v>6</v>
      </c>
      <c r="C10" s="24" t="s">
        <v>381</v>
      </c>
      <c r="D10" s="25" t="s">
        <v>384</v>
      </c>
      <c r="E10" s="41">
        <v>1</v>
      </c>
      <c r="F10" s="26">
        <v>1</v>
      </c>
      <c r="G10" s="26">
        <v>0.5</v>
      </c>
      <c r="H10" s="26">
        <f t="shared" si="0"/>
        <v>0.375</v>
      </c>
      <c r="I10" s="42">
        <f t="shared" si="1"/>
        <v>2.875</v>
      </c>
      <c r="J10" s="41"/>
      <c r="K10" s="26"/>
      <c r="L10" s="26"/>
      <c r="M10" s="26">
        <f t="shared" si="2"/>
        <v>0</v>
      </c>
      <c r="N10" s="42">
        <f t="shared" si="3"/>
        <v>0</v>
      </c>
      <c r="O10" s="41"/>
      <c r="P10" s="26"/>
      <c r="Q10" s="26"/>
      <c r="R10" s="26"/>
      <c r="S10" s="42"/>
      <c r="T10" s="27"/>
    </row>
    <row r="11" spans="2:20">
      <c r="B11" s="24">
        <v>7</v>
      </c>
      <c r="C11" s="24" t="s">
        <v>385</v>
      </c>
      <c r="D11" s="24" t="s">
        <v>386</v>
      </c>
      <c r="E11" s="41">
        <v>0.1</v>
      </c>
      <c r="F11" s="26">
        <v>0.1</v>
      </c>
      <c r="G11" s="26">
        <v>0.1</v>
      </c>
      <c r="H11" s="26">
        <f t="shared" si="0"/>
        <v>4.5000000000000005E-2</v>
      </c>
      <c r="I11" s="42">
        <f t="shared" si="1"/>
        <v>0.34500000000000003</v>
      </c>
      <c r="J11" s="41"/>
      <c r="K11" s="26"/>
      <c r="L11" s="26"/>
      <c r="M11" s="26">
        <f>SUM(J11:L11)*0.15</f>
        <v>0</v>
      </c>
      <c r="N11" s="42">
        <f>SUM(J11:M11)</f>
        <v>0</v>
      </c>
      <c r="O11" s="41"/>
      <c r="P11" s="26"/>
      <c r="Q11" s="26"/>
      <c r="R11" s="26">
        <f>SUM(O11:Q11)*0.15</f>
        <v>0</v>
      </c>
      <c r="S11" s="42">
        <f>SUM(O11:R11)</f>
        <v>0</v>
      </c>
      <c r="T11" s="27"/>
    </row>
    <row r="12" spans="2:20">
      <c r="B12" s="24">
        <v>8</v>
      </c>
      <c r="C12" s="24" t="s">
        <v>387</v>
      </c>
      <c r="D12" s="24" t="s">
        <v>388</v>
      </c>
      <c r="E12" s="41">
        <v>0.1</v>
      </c>
      <c r="F12" s="26">
        <v>0.1</v>
      </c>
      <c r="G12" s="26">
        <v>0.1</v>
      </c>
      <c r="H12" s="26">
        <f t="shared" si="0"/>
        <v>4.5000000000000005E-2</v>
      </c>
      <c r="I12" s="42">
        <f t="shared" si="1"/>
        <v>0.34500000000000003</v>
      </c>
      <c r="J12" s="41"/>
      <c r="K12" s="26"/>
      <c r="L12" s="26"/>
      <c r="M12" s="26">
        <f t="shared" si="2"/>
        <v>0</v>
      </c>
      <c r="N12" s="42">
        <f t="shared" si="3"/>
        <v>0</v>
      </c>
      <c r="O12" s="41"/>
      <c r="P12" s="26"/>
      <c r="Q12" s="26"/>
      <c r="R12" s="26">
        <f t="shared" si="6"/>
        <v>0</v>
      </c>
      <c r="S12" s="42">
        <f t="shared" si="7"/>
        <v>0</v>
      </c>
      <c r="T12" s="27"/>
    </row>
    <row r="13" spans="2:20">
      <c r="B13" s="24">
        <v>9</v>
      </c>
      <c r="C13" s="24" t="s">
        <v>389</v>
      </c>
      <c r="D13" s="25" t="s">
        <v>390</v>
      </c>
      <c r="E13" s="41">
        <v>0.1</v>
      </c>
      <c r="F13" s="26">
        <v>0.1</v>
      </c>
      <c r="G13" s="26">
        <v>0.1</v>
      </c>
      <c r="H13" s="26">
        <f t="shared" si="0"/>
        <v>4.5000000000000005E-2</v>
      </c>
      <c r="I13" s="42">
        <f t="shared" si="1"/>
        <v>0.34500000000000003</v>
      </c>
      <c r="J13" s="41"/>
      <c r="K13" s="26"/>
      <c r="L13" s="26"/>
      <c r="M13" s="26">
        <f t="shared" si="2"/>
        <v>0</v>
      </c>
      <c r="N13" s="42">
        <f t="shared" si="3"/>
        <v>0</v>
      </c>
      <c r="O13" s="41"/>
      <c r="P13" s="26"/>
      <c r="Q13" s="26"/>
      <c r="R13" s="26">
        <f t="shared" si="6"/>
        <v>0</v>
      </c>
      <c r="S13" s="42">
        <f t="shared" si="7"/>
        <v>0</v>
      </c>
      <c r="T13" s="27" t="s">
        <v>391</v>
      </c>
    </row>
    <row r="14" spans="2:20">
      <c r="B14" s="24">
        <v>10</v>
      </c>
      <c r="C14" s="24" t="s">
        <v>389</v>
      </c>
      <c r="D14" s="24" t="s">
        <v>392</v>
      </c>
      <c r="E14" s="26">
        <v>0.5</v>
      </c>
      <c r="F14" s="26">
        <v>0.25</v>
      </c>
      <c r="G14" s="26">
        <v>0.25</v>
      </c>
      <c r="H14" s="26">
        <f t="shared" si="0"/>
        <v>0.15</v>
      </c>
      <c r="I14" s="42">
        <f t="shared" si="1"/>
        <v>1.1499999999999999</v>
      </c>
      <c r="J14" s="41"/>
      <c r="K14" s="26"/>
      <c r="L14" s="26"/>
      <c r="M14" s="26">
        <f t="shared" si="2"/>
        <v>0</v>
      </c>
      <c r="N14" s="42">
        <f>SUM(J14:M14)</f>
        <v>0</v>
      </c>
      <c r="O14" s="41"/>
      <c r="P14" s="26"/>
      <c r="Q14" s="26"/>
      <c r="R14" s="26">
        <f t="shared" si="6"/>
        <v>0</v>
      </c>
      <c r="S14" s="42">
        <f t="shared" si="7"/>
        <v>0</v>
      </c>
      <c r="T14" s="27" t="s">
        <v>393</v>
      </c>
    </row>
    <row r="15" spans="2:20">
      <c r="E15" s="43"/>
      <c r="I15" s="44"/>
      <c r="J15" s="43"/>
      <c r="N15" s="44"/>
      <c r="O15" s="43"/>
      <c r="S15" s="44"/>
    </row>
    <row r="16" spans="2:20">
      <c r="D16" s="24" t="s">
        <v>394</v>
      </c>
      <c r="E16" s="41">
        <f t="shared" ref="E16:S16" si="8">SUM(E5:E14)</f>
        <v>6.7999999999999989</v>
      </c>
      <c r="F16" s="26">
        <f t="shared" si="8"/>
        <v>4.6499999999999986</v>
      </c>
      <c r="G16" s="26">
        <f t="shared" si="8"/>
        <v>4.1500000000000004</v>
      </c>
      <c r="H16" s="26">
        <f t="shared" si="8"/>
        <v>2.3399999999999994</v>
      </c>
      <c r="I16" s="42">
        <f t="shared" si="8"/>
        <v>17.939999999999994</v>
      </c>
      <c r="J16" s="41">
        <f t="shared" si="8"/>
        <v>1.85</v>
      </c>
      <c r="K16" s="26">
        <f t="shared" si="8"/>
        <v>1.35</v>
      </c>
      <c r="L16" s="26">
        <f t="shared" si="8"/>
        <v>2.25</v>
      </c>
      <c r="M16" s="26">
        <f t="shared" si="8"/>
        <v>0.8175</v>
      </c>
      <c r="N16" s="42">
        <f t="shared" si="8"/>
        <v>6.2675000000000001</v>
      </c>
      <c r="O16" s="41">
        <f t="shared" si="8"/>
        <v>0</v>
      </c>
      <c r="P16" s="26">
        <f t="shared" si="8"/>
        <v>0</v>
      </c>
      <c r="Q16" s="26">
        <f t="shared" si="8"/>
        <v>0</v>
      </c>
      <c r="R16" s="26">
        <f t="shared" si="8"/>
        <v>0</v>
      </c>
      <c r="S16" s="42">
        <f t="shared" si="8"/>
        <v>0</v>
      </c>
      <c r="T16" s="28"/>
    </row>
    <row r="17" spans="4:19">
      <c r="E17" s="43"/>
      <c r="I17" s="44"/>
      <c r="J17" s="43"/>
      <c r="N17" s="44"/>
      <c r="O17" s="43"/>
      <c r="S17" s="44"/>
    </row>
    <row r="18" spans="4:19">
      <c r="D18" s="24" t="s">
        <v>395</v>
      </c>
      <c r="E18" s="45">
        <v>1000</v>
      </c>
      <c r="F18" s="29">
        <v>1000</v>
      </c>
      <c r="G18" s="29">
        <v>1000</v>
      </c>
      <c r="H18" s="29">
        <v>1200</v>
      </c>
      <c r="I18" s="46">
        <f>AVERAGE(E18:H18)</f>
        <v>1050</v>
      </c>
      <c r="J18" s="45">
        <v>1000</v>
      </c>
      <c r="K18" s="29">
        <v>1000</v>
      </c>
      <c r="L18" s="29">
        <v>1000</v>
      </c>
      <c r="M18" s="29">
        <v>1200</v>
      </c>
      <c r="N18" s="46">
        <f>AVERAGE(J18:M18)</f>
        <v>1050</v>
      </c>
      <c r="O18" s="45">
        <v>1000</v>
      </c>
      <c r="P18" s="29">
        <v>1000</v>
      </c>
      <c r="Q18" s="29">
        <v>1000</v>
      </c>
      <c r="R18" s="29">
        <v>1200</v>
      </c>
      <c r="S18" s="46">
        <f>AVERAGE(O18:R18)</f>
        <v>1050</v>
      </c>
    </row>
    <row r="19" spans="4:19" ht="18.600000000000001" thickBot="1">
      <c r="D19" s="24" t="s">
        <v>396</v>
      </c>
      <c r="E19" s="47">
        <f>E16*E18</f>
        <v>6799.9999999999991</v>
      </c>
      <c r="F19" s="48">
        <f t="shared" ref="F19:G19" si="9">F16*F18</f>
        <v>4649.9999999999982</v>
      </c>
      <c r="G19" s="48">
        <f t="shared" si="9"/>
        <v>4150</v>
      </c>
      <c r="H19" s="48">
        <f>H16*H18</f>
        <v>2807.9999999999991</v>
      </c>
      <c r="I19" s="49">
        <f>SUM(E19:H19)</f>
        <v>18407.999999999996</v>
      </c>
      <c r="J19" s="47">
        <f>J16*J18</f>
        <v>1850</v>
      </c>
      <c r="K19" s="48">
        <f t="shared" ref="K19:L19" si="10">K16*K18</f>
        <v>1350</v>
      </c>
      <c r="L19" s="48">
        <f t="shared" si="10"/>
        <v>2250</v>
      </c>
      <c r="M19" s="48">
        <f>M16*M18</f>
        <v>981</v>
      </c>
      <c r="N19" s="49">
        <f>SUM(J19:M19)</f>
        <v>6431</v>
      </c>
      <c r="O19" s="47">
        <f>O16*O18</f>
        <v>0</v>
      </c>
      <c r="P19" s="48">
        <f t="shared" ref="P19:Q19" si="11">P16*P18</f>
        <v>0</v>
      </c>
      <c r="Q19" s="48">
        <f t="shared" si="11"/>
        <v>0</v>
      </c>
      <c r="R19" s="48">
        <f>R16*R18</f>
        <v>0</v>
      </c>
      <c r="S19" s="49">
        <f>SUM(O19:R19)</f>
        <v>0</v>
      </c>
    </row>
  </sheetData>
  <autoFilter ref="B4:Y14" xr:uid="{00000000-0009-0000-0000-000007000000}"/>
  <mergeCells count="6">
    <mergeCell ref="E3:H3"/>
    <mergeCell ref="E2:I2"/>
    <mergeCell ref="J2:N2"/>
    <mergeCell ref="O2:S2"/>
    <mergeCell ref="J3:M3"/>
    <mergeCell ref="O3:R3"/>
  </mergeCells>
  <phoneticPr fontId="2"/>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T36"/>
  <sheetViews>
    <sheetView zoomScale="80" zoomScaleNormal="80" workbookViewId="0">
      <selection activeCell="C1" sqref="C1"/>
    </sheetView>
  </sheetViews>
  <sheetFormatPr defaultColWidth="8.625" defaultRowHeight="18"/>
  <cols>
    <col min="1" max="1" width="2.625" style="21" customWidth="1"/>
    <col min="2" max="2" width="4.125" style="21" bestFit="1" customWidth="1"/>
    <col min="3" max="3" width="37.625" style="21" customWidth="1"/>
    <col min="4" max="4" width="44.625" style="21" customWidth="1"/>
    <col min="5" max="19" width="9.875" style="21" customWidth="1"/>
    <col min="20" max="20" width="53.125" style="21" customWidth="1"/>
    <col min="21" max="16384" width="8.625" style="21"/>
  </cols>
  <sheetData>
    <row r="1" spans="2:20" ht="18.600000000000001" thickBot="1">
      <c r="C1" s="21" t="s">
        <v>397</v>
      </c>
    </row>
    <row r="2" spans="2:20">
      <c r="D2" s="50" t="s">
        <v>181</v>
      </c>
      <c r="E2" s="249" t="s">
        <v>182</v>
      </c>
      <c r="F2" s="250"/>
      <c r="G2" s="250"/>
      <c r="H2" s="250"/>
      <c r="I2" s="251"/>
      <c r="J2" s="252" t="s">
        <v>4</v>
      </c>
      <c r="K2" s="250"/>
      <c r="L2" s="250"/>
      <c r="M2" s="250"/>
      <c r="N2" s="251"/>
      <c r="O2" s="252" t="s">
        <v>183</v>
      </c>
      <c r="P2" s="250"/>
      <c r="Q2" s="250"/>
      <c r="R2" s="250"/>
      <c r="S2" s="251"/>
    </row>
    <row r="3" spans="2:20">
      <c r="B3" s="19"/>
      <c r="C3" s="19"/>
      <c r="D3" s="20"/>
      <c r="E3" s="246" t="s">
        <v>370</v>
      </c>
      <c r="F3" s="247"/>
      <c r="G3" s="247"/>
      <c r="H3" s="248"/>
      <c r="I3" s="38"/>
      <c r="J3" s="246" t="s">
        <v>370</v>
      </c>
      <c r="K3" s="247"/>
      <c r="L3" s="247"/>
      <c r="M3" s="248"/>
      <c r="N3" s="38"/>
      <c r="O3" s="246" t="s">
        <v>370</v>
      </c>
      <c r="P3" s="247"/>
      <c r="Q3" s="247"/>
      <c r="R3" s="248"/>
      <c r="S3" s="38"/>
      <c r="T3" s="19"/>
    </row>
    <row r="4" spans="2:20" ht="39.75" customHeight="1">
      <c r="B4" s="22" t="s">
        <v>188</v>
      </c>
      <c r="C4" s="22" t="s">
        <v>371</v>
      </c>
      <c r="D4" s="22" t="s">
        <v>372</v>
      </c>
      <c r="E4" s="39" t="s">
        <v>373</v>
      </c>
      <c r="F4" s="23" t="s">
        <v>192</v>
      </c>
      <c r="G4" s="23" t="s">
        <v>374</v>
      </c>
      <c r="H4" s="23" t="s">
        <v>195</v>
      </c>
      <c r="I4" s="40" t="s">
        <v>375</v>
      </c>
      <c r="J4" s="39" t="s">
        <v>373</v>
      </c>
      <c r="K4" s="23" t="s">
        <v>192</v>
      </c>
      <c r="L4" s="23" t="s">
        <v>374</v>
      </c>
      <c r="M4" s="23" t="s">
        <v>195</v>
      </c>
      <c r="N4" s="40" t="s">
        <v>375</v>
      </c>
      <c r="O4" s="39" t="s">
        <v>373</v>
      </c>
      <c r="P4" s="23" t="s">
        <v>192</v>
      </c>
      <c r="Q4" s="23" t="s">
        <v>374</v>
      </c>
      <c r="R4" s="23" t="s">
        <v>195</v>
      </c>
      <c r="S4" s="40" t="s">
        <v>375</v>
      </c>
      <c r="T4" s="22" t="s">
        <v>184</v>
      </c>
    </row>
    <row r="5" spans="2:20" ht="36">
      <c r="B5" s="24">
        <v>1</v>
      </c>
      <c r="C5" s="24" t="s">
        <v>376</v>
      </c>
      <c r="D5" s="25" t="s">
        <v>398</v>
      </c>
      <c r="E5" s="41">
        <v>1</v>
      </c>
      <c r="F5" s="26">
        <v>0.5</v>
      </c>
      <c r="G5" s="26">
        <v>1</v>
      </c>
      <c r="H5" s="26">
        <f>SUM(E5:G5)*0.15</f>
        <v>0.375</v>
      </c>
      <c r="I5" s="42">
        <f>SUM(E5:H5)</f>
        <v>2.875</v>
      </c>
      <c r="J5" s="41">
        <v>1</v>
      </c>
      <c r="K5" s="26">
        <v>0.5</v>
      </c>
      <c r="L5" s="26">
        <v>1</v>
      </c>
      <c r="M5" s="26">
        <f>SUM(J5:L5)*0.15</f>
        <v>0.375</v>
      </c>
      <c r="N5" s="42">
        <f>SUM(J5:M5)</f>
        <v>2.875</v>
      </c>
      <c r="O5" s="41">
        <v>1</v>
      </c>
      <c r="P5" s="26">
        <v>0.5</v>
      </c>
      <c r="Q5" s="26">
        <v>1</v>
      </c>
      <c r="R5" s="26">
        <f>SUM(O5:Q5)*0.15</f>
        <v>0.375</v>
      </c>
      <c r="S5" s="42">
        <f>SUM(O5:R5)</f>
        <v>2.875</v>
      </c>
      <c r="T5" s="24" t="s">
        <v>399</v>
      </c>
    </row>
    <row r="6" spans="2:20" ht="36">
      <c r="B6" s="24">
        <v>2</v>
      </c>
      <c r="C6" s="24" t="s">
        <v>376</v>
      </c>
      <c r="D6" s="25" t="s">
        <v>400</v>
      </c>
      <c r="E6" s="41">
        <v>0.25</v>
      </c>
      <c r="F6" s="26">
        <v>0.5</v>
      </c>
      <c r="G6" s="26">
        <v>1</v>
      </c>
      <c r="H6" s="26">
        <f>SUM(E6:G6)*0.15</f>
        <v>0.26250000000000001</v>
      </c>
      <c r="I6" s="42">
        <f t="shared" ref="I6:I31" si="0">SUM(E6:H6)</f>
        <v>2.0125000000000002</v>
      </c>
      <c r="J6" s="41">
        <v>0.25</v>
      </c>
      <c r="K6" s="26">
        <v>0.5</v>
      </c>
      <c r="L6" s="26">
        <v>1</v>
      </c>
      <c r="M6" s="26">
        <f>SUM(J6:L6)*0.15</f>
        <v>0.26250000000000001</v>
      </c>
      <c r="N6" s="42">
        <f t="shared" ref="N6:N31" si="1">SUM(J6:M6)</f>
        <v>2.0125000000000002</v>
      </c>
      <c r="O6" s="41">
        <v>0.25</v>
      </c>
      <c r="P6" s="26">
        <v>0.5</v>
      </c>
      <c r="Q6" s="26">
        <v>1</v>
      </c>
      <c r="R6" s="26">
        <f>SUM(O6:Q6)*0.15</f>
        <v>0.26250000000000001</v>
      </c>
      <c r="S6" s="42">
        <f t="shared" ref="S6:S31" si="2">SUM(O6:R6)</f>
        <v>2.0125000000000002</v>
      </c>
      <c r="T6" s="24" t="s">
        <v>399</v>
      </c>
    </row>
    <row r="7" spans="2:20" ht="36">
      <c r="B7" s="24">
        <v>3</v>
      </c>
      <c r="C7" s="24" t="s">
        <v>376</v>
      </c>
      <c r="D7" s="25" t="s">
        <v>400</v>
      </c>
      <c r="E7" s="41">
        <v>1</v>
      </c>
      <c r="F7" s="26">
        <v>0.5</v>
      </c>
      <c r="G7" s="26">
        <v>1</v>
      </c>
      <c r="H7" s="26">
        <f>SUM(E7:G7)*0.15</f>
        <v>0.375</v>
      </c>
      <c r="I7" s="42">
        <f t="shared" si="0"/>
        <v>2.875</v>
      </c>
      <c r="J7" s="41">
        <v>1</v>
      </c>
      <c r="K7" s="26">
        <v>0.5</v>
      </c>
      <c r="L7" s="26">
        <v>1</v>
      </c>
      <c r="M7" s="26">
        <f>SUM(J7:L7)*0.15</f>
        <v>0.375</v>
      </c>
      <c r="N7" s="42">
        <f t="shared" si="1"/>
        <v>2.875</v>
      </c>
      <c r="O7" s="41">
        <v>1</v>
      </c>
      <c r="P7" s="26">
        <v>0.5</v>
      </c>
      <c r="Q7" s="26">
        <v>1</v>
      </c>
      <c r="R7" s="26">
        <f>SUM(O7:Q7)*0.15</f>
        <v>0.375</v>
      </c>
      <c r="S7" s="42">
        <f t="shared" si="2"/>
        <v>2.875</v>
      </c>
      <c r="T7" s="24" t="s">
        <v>399</v>
      </c>
    </row>
    <row r="8" spans="2:20" ht="36">
      <c r="B8" s="24">
        <v>4</v>
      </c>
      <c r="C8" s="24" t="s">
        <v>376</v>
      </c>
      <c r="D8" s="25" t="s">
        <v>400</v>
      </c>
      <c r="E8" s="41">
        <v>1</v>
      </c>
      <c r="F8" s="26">
        <v>0.5</v>
      </c>
      <c r="G8" s="26">
        <v>1</v>
      </c>
      <c r="H8" s="26">
        <f t="shared" ref="H8:H31" si="3">SUM(E8:G8)*0.15</f>
        <v>0.375</v>
      </c>
      <c r="I8" s="42">
        <f t="shared" si="0"/>
        <v>2.875</v>
      </c>
      <c r="J8" s="41">
        <v>1</v>
      </c>
      <c r="K8" s="26">
        <v>0.5</v>
      </c>
      <c r="L8" s="26">
        <v>1</v>
      </c>
      <c r="M8" s="26">
        <f t="shared" ref="M8:M31" si="4">SUM(J8:L8)*0.15</f>
        <v>0.375</v>
      </c>
      <c r="N8" s="42">
        <f t="shared" si="1"/>
        <v>2.875</v>
      </c>
      <c r="O8" s="41">
        <v>1</v>
      </c>
      <c r="P8" s="26">
        <v>0.5</v>
      </c>
      <c r="Q8" s="26">
        <v>1</v>
      </c>
      <c r="R8" s="26">
        <f t="shared" ref="R8:R31" si="5">SUM(O8:Q8)*0.15</f>
        <v>0.375</v>
      </c>
      <c r="S8" s="42">
        <f t="shared" si="2"/>
        <v>2.875</v>
      </c>
      <c r="T8" s="24" t="s">
        <v>399</v>
      </c>
    </row>
    <row r="9" spans="2:20" ht="36">
      <c r="B9" s="24">
        <v>5</v>
      </c>
      <c r="C9" s="24" t="s">
        <v>376</v>
      </c>
      <c r="D9" s="25" t="s">
        <v>398</v>
      </c>
      <c r="E9" s="41">
        <v>1</v>
      </c>
      <c r="F9" s="26">
        <v>0.5</v>
      </c>
      <c r="G9" s="26">
        <v>1</v>
      </c>
      <c r="H9" s="26">
        <f t="shared" si="3"/>
        <v>0.375</v>
      </c>
      <c r="I9" s="42">
        <f t="shared" si="0"/>
        <v>2.875</v>
      </c>
      <c r="J9" s="41">
        <v>1</v>
      </c>
      <c r="K9" s="26">
        <v>0.5</v>
      </c>
      <c r="L9" s="26">
        <v>1</v>
      </c>
      <c r="M9" s="26">
        <f t="shared" si="4"/>
        <v>0.375</v>
      </c>
      <c r="N9" s="42">
        <f t="shared" si="1"/>
        <v>2.875</v>
      </c>
      <c r="O9" s="41">
        <v>1</v>
      </c>
      <c r="P9" s="26">
        <v>0.5</v>
      </c>
      <c r="Q9" s="26">
        <v>1</v>
      </c>
      <c r="R9" s="26">
        <f t="shared" si="5"/>
        <v>0.375</v>
      </c>
      <c r="S9" s="42">
        <f t="shared" si="2"/>
        <v>2.875</v>
      </c>
      <c r="T9" s="24" t="s">
        <v>399</v>
      </c>
    </row>
    <row r="10" spans="2:20">
      <c r="B10" s="24">
        <v>6</v>
      </c>
      <c r="C10" s="24" t="s">
        <v>379</v>
      </c>
      <c r="D10" s="24" t="s">
        <v>401</v>
      </c>
      <c r="E10" s="41">
        <v>1</v>
      </c>
      <c r="F10" s="26">
        <v>0.25</v>
      </c>
      <c r="G10" s="26">
        <v>0.5</v>
      </c>
      <c r="H10" s="26">
        <f t="shared" si="3"/>
        <v>0.26250000000000001</v>
      </c>
      <c r="I10" s="42">
        <f t="shared" si="0"/>
        <v>2.0125000000000002</v>
      </c>
      <c r="J10" s="41">
        <v>1</v>
      </c>
      <c r="K10" s="26">
        <v>0.25</v>
      </c>
      <c r="L10" s="26">
        <v>0.5</v>
      </c>
      <c r="M10" s="26">
        <f t="shared" si="4"/>
        <v>0.26250000000000001</v>
      </c>
      <c r="N10" s="42">
        <f t="shared" si="1"/>
        <v>2.0125000000000002</v>
      </c>
      <c r="O10" s="41">
        <v>1</v>
      </c>
      <c r="P10" s="26">
        <v>0.25</v>
      </c>
      <c r="Q10" s="26">
        <v>0.5</v>
      </c>
      <c r="R10" s="26">
        <f t="shared" si="5"/>
        <v>0.26250000000000001</v>
      </c>
      <c r="S10" s="42">
        <f t="shared" si="2"/>
        <v>2.0125000000000002</v>
      </c>
      <c r="T10" s="27"/>
    </row>
    <row r="11" spans="2:20">
      <c r="B11" s="24">
        <v>7</v>
      </c>
      <c r="C11" s="24" t="s">
        <v>379</v>
      </c>
      <c r="D11" s="24" t="s">
        <v>401</v>
      </c>
      <c r="E11" s="41">
        <v>0.25</v>
      </c>
      <c r="F11" s="26">
        <v>0.25</v>
      </c>
      <c r="G11" s="26">
        <v>0.5</v>
      </c>
      <c r="H11" s="26">
        <f t="shared" si="3"/>
        <v>0.15</v>
      </c>
      <c r="I11" s="42">
        <f t="shared" si="0"/>
        <v>1.1499999999999999</v>
      </c>
      <c r="J11" s="41">
        <v>0.25</v>
      </c>
      <c r="K11" s="26">
        <v>0.25</v>
      </c>
      <c r="L11" s="26">
        <v>0.5</v>
      </c>
      <c r="M11" s="26">
        <f t="shared" si="4"/>
        <v>0.15</v>
      </c>
      <c r="N11" s="42">
        <f t="shared" si="1"/>
        <v>1.1499999999999999</v>
      </c>
      <c r="O11" s="41">
        <v>0.25</v>
      </c>
      <c r="P11" s="26">
        <v>0.25</v>
      </c>
      <c r="Q11" s="26">
        <v>0.5</v>
      </c>
      <c r="R11" s="26">
        <f t="shared" si="5"/>
        <v>0.15</v>
      </c>
      <c r="S11" s="42">
        <f t="shared" si="2"/>
        <v>1.1499999999999999</v>
      </c>
      <c r="T11" s="27"/>
    </row>
    <row r="12" spans="2:20">
      <c r="B12" s="24">
        <v>8</v>
      </c>
      <c r="C12" s="24" t="s">
        <v>402</v>
      </c>
      <c r="D12" s="24" t="s">
        <v>403</v>
      </c>
      <c r="E12" s="41">
        <v>0.5</v>
      </c>
      <c r="F12" s="26">
        <v>0.5</v>
      </c>
      <c r="G12" s="26">
        <v>1</v>
      </c>
      <c r="H12" s="26">
        <f t="shared" si="3"/>
        <v>0.3</v>
      </c>
      <c r="I12" s="42">
        <f t="shared" si="0"/>
        <v>2.2999999999999998</v>
      </c>
      <c r="J12" s="41">
        <v>0.5</v>
      </c>
      <c r="K12" s="26">
        <v>0.5</v>
      </c>
      <c r="L12" s="26">
        <v>1</v>
      </c>
      <c r="M12" s="26">
        <f t="shared" si="4"/>
        <v>0.3</v>
      </c>
      <c r="N12" s="42">
        <f t="shared" si="1"/>
        <v>2.2999999999999998</v>
      </c>
      <c r="O12" s="41">
        <v>0.5</v>
      </c>
      <c r="P12" s="26">
        <v>0.5</v>
      </c>
      <c r="Q12" s="26">
        <v>1</v>
      </c>
      <c r="R12" s="26">
        <f t="shared" si="5"/>
        <v>0.3</v>
      </c>
      <c r="S12" s="42">
        <f t="shared" si="2"/>
        <v>2.2999999999999998</v>
      </c>
      <c r="T12" s="27"/>
    </row>
    <row r="13" spans="2:20">
      <c r="B13" s="24">
        <v>9</v>
      </c>
      <c r="C13" s="24" t="s">
        <v>402</v>
      </c>
      <c r="D13" s="24" t="s">
        <v>403</v>
      </c>
      <c r="E13" s="41">
        <v>0.5</v>
      </c>
      <c r="F13" s="26">
        <v>0.25</v>
      </c>
      <c r="G13" s="26">
        <v>1</v>
      </c>
      <c r="H13" s="26">
        <f t="shared" si="3"/>
        <v>0.26250000000000001</v>
      </c>
      <c r="I13" s="42">
        <f t="shared" si="0"/>
        <v>2.0125000000000002</v>
      </c>
      <c r="J13" s="41">
        <v>0.5</v>
      </c>
      <c r="K13" s="26">
        <v>0.25</v>
      </c>
      <c r="L13" s="26">
        <v>1</v>
      </c>
      <c r="M13" s="26">
        <f t="shared" si="4"/>
        <v>0.26250000000000001</v>
      </c>
      <c r="N13" s="42">
        <f t="shared" si="1"/>
        <v>2.0125000000000002</v>
      </c>
      <c r="O13" s="41">
        <v>0.5</v>
      </c>
      <c r="P13" s="26">
        <v>0.25</v>
      </c>
      <c r="Q13" s="26">
        <v>1</v>
      </c>
      <c r="R13" s="26">
        <f t="shared" si="5"/>
        <v>0.26250000000000001</v>
      </c>
      <c r="S13" s="42">
        <f t="shared" si="2"/>
        <v>2.0125000000000002</v>
      </c>
      <c r="T13" s="27"/>
    </row>
    <row r="14" spans="2:20">
      <c r="B14" s="24">
        <v>10</v>
      </c>
      <c r="C14" s="24" t="s">
        <v>402</v>
      </c>
      <c r="D14" s="24" t="s">
        <v>403</v>
      </c>
      <c r="E14" s="41">
        <v>0.5</v>
      </c>
      <c r="F14" s="26">
        <v>0.25</v>
      </c>
      <c r="G14" s="26">
        <v>0.5</v>
      </c>
      <c r="H14" s="26">
        <f t="shared" si="3"/>
        <v>0.1875</v>
      </c>
      <c r="I14" s="42">
        <f t="shared" si="0"/>
        <v>1.4375</v>
      </c>
      <c r="J14" s="41">
        <v>0.5</v>
      </c>
      <c r="K14" s="26">
        <v>0.25</v>
      </c>
      <c r="L14" s="26">
        <v>0.5</v>
      </c>
      <c r="M14" s="26">
        <f t="shared" si="4"/>
        <v>0.1875</v>
      </c>
      <c r="N14" s="42">
        <f t="shared" si="1"/>
        <v>1.4375</v>
      </c>
      <c r="O14" s="41">
        <v>0.5</v>
      </c>
      <c r="P14" s="26">
        <v>0.25</v>
      </c>
      <c r="Q14" s="26">
        <v>0.5</v>
      </c>
      <c r="R14" s="26">
        <f t="shared" si="5"/>
        <v>0.1875</v>
      </c>
      <c r="S14" s="42">
        <f t="shared" si="2"/>
        <v>1.4375</v>
      </c>
      <c r="T14" s="27"/>
    </row>
    <row r="15" spans="2:20">
      <c r="B15" s="24">
        <v>11</v>
      </c>
      <c r="C15" s="24" t="s">
        <v>402</v>
      </c>
      <c r="D15" s="24" t="s">
        <v>403</v>
      </c>
      <c r="E15" s="41">
        <v>1</v>
      </c>
      <c r="F15" s="26">
        <v>1</v>
      </c>
      <c r="G15" s="26">
        <v>1</v>
      </c>
      <c r="H15" s="26">
        <f t="shared" si="3"/>
        <v>0.44999999999999996</v>
      </c>
      <c r="I15" s="42">
        <f t="shared" si="0"/>
        <v>3.45</v>
      </c>
      <c r="J15" s="41">
        <v>1</v>
      </c>
      <c r="K15" s="26">
        <v>1</v>
      </c>
      <c r="L15" s="26">
        <v>1</v>
      </c>
      <c r="M15" s="26">
        <f t="shared" si="4"/>
        <v>0.44999999999999996</v>
      </c>
      <c r="N15" s="42">
        <f t="shared" si="1"/>
        <v>3.45</v>
      </c>
      <c r="O15" s="41">
        <v>1</v>
      </c>
      <c r="P15" s="26">
        <v>1</v>
      </c>
      <c r="Q15" s="26">
        <v>1</v>
      </c>
      <c r="R15" s="26">
        <f t="shared" si="5"/>
        <v>0.44999999999999996</v>
      </c>
      <c r="S15" s="42">
        <f t="shared" si="2"/>
        <v>3.45</v>
      </c>
      <c r="T15" s="27"/>
    </row>
    <row r="16" spans="2:20">
      <c r="B16" s="24">
        <v>12</v>
      </c>
      <c r="C16" s="24" t="s">
        <v>402</v>
      </c>
      <c r="D16" s="24" t="s">
        <v>403</v>
      </c>
      <c r="E16" s="41" t="s">
        <v>122</v>
      </c>
      <c r="F16" s="26">
        <v>0.25</v>
      </c>
      <c r="G16" s="26">
        <v>0.5</v>
      </c>
      <c r="H16" s="26">
        <f t="shared" si="3"/>
        <v>0.11249999999999999</v>
      </c>
      <c r="I16" s="42">
        <f t="shared" si="0"/>
        <v>0.86250000000000004</v>
      </c>
      <c r="J16" s="41" t="s">
        <v>122</v>
      </c>
      <c r="K16" s="26">
        <v>0.25</v>
      </c>
      <c r="L16" s="26">
        <v>0.5</v>
      </c>
      <c r="M16" s="26">
        <f t="shared" si="4"/>
        <v>0.11249999999999999</v>
      </c>
      <c r="N16" s="42">
        <f t="shared" si="1"/>
        <v>0.86250000000000004</v>
      </c>
      <c r="O16" s="41" t="s">
        <v>122</v>
      </c>
      <c r="P16" s="26">
        <v>0.25</v>
      </c>
      <c r="Q16" s="26">
        <v>0.5</v>
      </c>
      <c r="R16" s="26">
        <f t="shared" si="5"/>
        <v>0.11249999999999999</v>
      </c>
      <c r="S16" s="42">
        <f t="shared" si="2"/>
        <v>0.86250000000000004</v>
      </c>
      <c r="T16" s="27"/>
    </row>
    <row r="17" spans="2:20">
      <c r="B17" s="24">
        <v>13</v>
      </c>
      <c r="C17" s="24" t="s">
        <v>385</v>
      </c>
      <c r="D17" s="24" t="s">
        <v>386</v>
      </c>
      <c r="E17" s="41">
        <v>0.1</v>
      </c>
      <c r="F17" s="26">
        <v>0.1</v>
      </c>
      <c r="G17" s="26">
        <v>0.1</v>
      </c>
      <c r="H17" s="26">
        <f t="shared" si="3"/>
        <v>4.5000000000000005E-2</v>
      </c>
      <c r="I17" s="42">
        <f t="shared" si="0"/>
        <v>0.34500000000000003</v>
      </c>
      <c r="J17" s="41">
        <v>0.1</v>
      </c>
      <c r="K17" s="26">
        <v>0.1</v>
      </c>
      <c r="L17" s="26">
        <v>0.1</v>
      </c>
      <c r="M17" s="26">
        <f t="shared" si="4"/>
        <v>4.5000000000000005E-2</v>
      </c>
      <c r="N17" s="42">
        <f t="shared" si="1"/>
        <v>0.34500000000000003</v>
      </c>
      <c r="O17" s="41">
        <v>0.1</v>
      </c>
      <c r="P17" s="26">
        <v>0.1</v>
      </c>
      <c r="Q17" s="26">
        <v>0.1</v>
      </c>
      <c r="R17" s="26">
        <f t="shared" si="5"/>
        <v>4.5000000000000005E-2</v>
      </c>
      <c r="S17" s="42">
        <f t="shared" si="2"/>
        <v>0.34500000000000003</v>
      </c>
      <c r="T17" s="27"/>
    </row>
    <row r="18" spans="2:20">
      <c r="B18" s="24">
        <v>14</v>
      </c>
      <c r="C18" s="24" t="s">
        <v>385</v>
      </c>
      <c r="D18" s="24" t="s">
        <v>386</v>
      </c>
      <c r="E18" s="41">
        <v>0.1</v>
      </c>
      <c r="F18" s="26">
        <v>0.1</v>
      </c>
      <c r="G18" s="26">
        <v>0.1</v>
      </c>
      <c r="H18" s="26">
        <f t="shared" si="3"/>
        <v>4.5000000000000005E-2</v>
      </c>
      <c r="I18" s="42">
        <f t="shared" si="0"/>
        <v>0.34500000000000003</v>
      </c>
      <c r="J18" s="41">
        <v>0.1</v>
      </c>
      <c r="K18" s="26">
        <v>0.1</v>
      </c>
      <c r="L18" s="26">
        <v>0.1</v>
      </c>
      <c r="M18" s="26">
        <f t="shared" si="4"/>
        <v>4.5000000000000005E-2</v>
      </c>
      <c r="N18" s="42">
        <f t="shared" si="1"/>
        <v>0.34500000000000003</v>
      </c>
      <c r="O18" s="41">
        <v>0.1</v>
      </c>
      <c r="P18" s="26">
        <v>0.1</v>
      </c>
      <c r="Q18" s="26">
        <v>0.1</v>
      </c>
      <c r="R18" s="26">
        <f t="shared" si="5"/>
        <v>4.5000000000000005E-2</v>
      </c>
      <c r="S18" s="42">
        <f t="shared" si="2"/>
        <v>0.34500000000000003</v>
      </c>
      <c r="T18" s="27"/>
    </row>
    <row r="19" spans="2:20">
      <c r="B19" s="24">
        <v>15</v>
      </c>
      <c r="C19" s="24" t="s">
        <v>385</v>
      </c>
      <c r="D19" s="24" t="s">
        <v>386</v>
      </c>
      <c r="E19" s="41">
        <v>0.1</v>
      </c>
      <c r="F19" s="26">
        <v>0.1</v>
      </c>
      <c r="G19" s="26">
        <v>0.1</v>
      </c>
      <c r="H19" s="26">
        <f t="shared" si="3"/>
        <v>4.5000000000000005E-2</v>
      </c>
      <c r="I19" s="42">
        <f t="shared" si="0"/>
        <v>0.34500000000000003</v>
      </c>
      <c r="J19" s="41">
        <v>0.1</v>
      </c>
      <c r="K19" s="26">
        <v>0.1</v>
      </c>
      <c r="L19" s="26">
        <v>0.1</v>
      </c>
      <c r="M19" s="26">
        <f t="shared" si="4"/>
        <v>4.5000000000000005E-2</v>
      </c>
      <c r="N19" s="42">
        <f t="shared" si="1"/>
        <v>0.34500000000000003</v>
      </c>
      <c r="O19" s="41">
        <v>0.1</v>
      </c>
      <c r="P19" s="26">
        <v>0.1</v>
      </c>
      <c r="Q19" s="26">
        <v>0.1</v>
      </c>
      <c r="R19" s="26">
        <f t="shared" si="5"/>
        <v>4.5000000000000005E-2</v>
      </c>
      <c r="S19" s="42">
        <f t="shared" si="2"/>
        <v>0.34500000000000003</v>
      </c>
      <c r="T19" s="27"/>
    </row>
    <row r="20" spans="2:20">
      <c r="B20" s="24">
        <v>16</v>
      </c>
      <c r="C20" s="24" t="s">
        <v>381</v>
      </c>
      <c r="D20" s="25" t="s">
        <v>404</v>
      </c>
      <c r="E20" s="41">
        <v>0.1</v>
      </c>
      <c r="F20" s="26">
        <v>0.1</v>
      </c>
      <c r="G20" s="26">
        <v>0.1</v>
      </c>
      <c r="H20" s="26">
        <f t="shared" si="3"/>
        <v>4.5000000000000005E-2</v>
      </c>
      <c r="I20" s="42">
        <f t="shared" si="0"/>
        <v>0.34500000000000003</v>
      </c>
      <c r="J20" s="41">
        <v>0.1</v>
      </c>
      <c r="K20" s="26">
        <v>0.1</v>
      </c>
      <c r="L20" s="26">
        <v>0.1</v>
      </c>
      <c r="M20" s="26">
        <f t="shared" si="4"/>
        <v>4.5000000000000005E-2</v>
      </c>
      <c r="N20" s="42">
        <f t="shared" si="1"/>
        <v>0.34500000000000003</v>
      </c>
      <c r="O20" s="41">
        <v>0.1</v>
      </c>
      <c r="P20" s="26">
        <v>0.1</v>
      </c>
      <c r="Q20" s="26">
        <v>0.1</v>
      </c>
      <c r="R20" s="26">
        <f t="shared" si="5"/>
        <v>4.5000000000000005E-2</v>
      </c>
      <c r="S20" s="42">
        <f t="shared" si="2"/>
        <v>0.34500000000000003</v>
      </c>
      <c r="T20" s="27"/>
    </row>
    <row r="21" spans="2:20">
      <c r="B21" s="24">
        <v>17</v>
      </c>
      <c r="C21" s="24" t="s">
        <v>381</v>
      </c>
      <c r="D21" s="25" t="s">
        <v>404</v>
      </c>
      <c r="E21" s="41">
        <v>0.1</v>
      </c>
      <c r="F21" s="26">
        <v>0.1</v>
      </c>
      <c r="G21" s="26">
        <v>0.1</v>
      </c>
      <c r="H21" s="26">
        <f t="shared" si="3"/>
        <v>4.5000000000000005E-2</v>
      </c>
      <c r="I21" s="42">
        <f t="shared" si="0"/>
        <v>0.34500000000000003</v>
      </c>
      <c r="J21" s="41">
        <v>0.1</v>
      </c>
      <c r="K21" s="26">
        <v>0.1</v>
      </c>
      <c r="L21" s="26">
        <v>0.1</v>
      </c>
      <c r="M21" s="26">
        <f t="shared" si="4"/>
        <v>4.5000000000000005E-2</v>
      </c>
      <c r="N21" s="42">
        <f t="shared" si="1"/>
        <v>0.34500000000000003</v>
      </c>
      <c r="O21" s="41">
        <v>0.1</v>
      </c>
      <c r="P21" s="26">
        <v>0.1</v>
      </c>
      <c r="Q21" s="26">
        <v>0.1</v>
      </c>
      <c r="R21" s="26">
        <f t="shared" si="5"/>
        <v>4.5000000000000005E-2</v>
      </c>
      <c r="S21" s="42">
        <f t="shared" si="2"/>
        <v>0.34500000000000003</v>
      </c>
      <c r="T21" s="27"/>
    </row>
    <row r="22" spans="2:20">
      <c r="B22" s="24">
        <v>18</v>
      </c>
      <c r="C22" s="24" t="s">
        <v>381</v>
      </c>
      <c r="D22" s="25" t="s">
        <v>404</v>
      </c>
      <c r="E22" s="41">
        <v>0.1</v>
      </c>
      <c r="F22" s="26">
        <v>0.1</v>
      </c>
      <c r="G22" s="26">
        <v>0.1</v>
      </c>
      <c r="H22" s="26">
        <f t="shared" si="3"/>
        <v>4.5000000000000005E-2</v>
      </c>
      <c r="I22" s="42">
        <f t="shared" si="0"/>
        <v>0.34500000000000003</v>
      </c>
      <c r="J22" s="41">
        <v>0.1</v>
      </c>
      <c r="K22" s="26">
        <v>0.1</v>
      </c>
      <c r="L22" s="26">
        <v>0.1</v>
      </c>
      <c r="M22" s="26">
        <f t="shared" si="4"/>
        <v>4.5000000000000005E-2</v>
      </c>
      <c r="N22" s="42">
        <f t="shared" si="1"/>
        <v>0.34500000000000003</v>
      </c>
      <c r="O22" s="41">
        <v>0.1</v>
      </c>
      <c r="P22" s="26">
        <v>0.1</v>
      </c>
      <c r="Q22" s="26">
        <v>0.1</v>
      </c>
      <c r="R22" s="26">
        <f t="shared" si="5"/>
        <v>4.5000000000000005E-2</v>
      </c>
      <c r="S22" s="42">
        <f t="shared" si="2"/>
        <v>0.34500000000000003</v>
      </c>
      <c r="T22" s="27"/>
    </row>
    <row r="23" spans="2:20">
      <c r="B23" s="24">
        <v>19</v>
      </c>
      <c r="C23" s="24" t="s">
        <v>381</v>
      </c>
      <c r="D23" s="25" t="s">
        <v>404</v>
      </c>
      <c r="E23" s="41">
        <v>0.1</v>
      </c>
      <c r="F23" s="26">
        <v>0.1</v>
      </c>
      <c r="G23" s="26">
        <v>0.1</v>
      </c>
      <c r="H23" s="26">
        <f t="shared" si="3"/>
        <v>4.5000000000000005E-2</v>
      </c>
      <c r="I23" s="42">
        <f t="shared" si="0"/>
        <v>0.34500000000000003</v>
      </c>
      <c r="J23" s="41">
        <v>0.1</v>
      </c>
      <c r="K23" s="26">
        <v>0.1</v>
      </c>
      <c r="L23" s="26">
        <v>0.1</v>
      </c>
      <c r="M23" s="26">
        <f t="shared" si="4"/>
        <v>4.5000000000000005E-2</v>
      </c>
      <c r="N23" s="42">
        <f t="shared" si="1"/>
        <v>0.34500000000000003</v>
      </c>
      <c r="O23" s="41">
        <v>0.1</v>
      </c>
      <c r="P23" s="26">
        <v>0.1</v>
      </c>
      <c r="Q23" s="26">
        <v>0.1</v>
      </c>
      <c r="R23" s="26">
        <f t="shared" si="5"/>
        <v>4.5000000000000005E-2</v>
      </c>
      <c r="S23" s="42">
        <f t="shared" si="2"/>
        <v>0.34500000000000003</v>
      </c>
      <c r="T23" s="27"/>
    </row>
    <row r="24" spans="2:20">
      <c r="B24" s="24">
        <v>20</v>
      </c>
      <c r="C24" s="24" t="s">
        <v>381</v>
      </c>
      <c r="D24" s="25" t="s">
        <v>404</v>
      </c>
      <c r="E24" s="41">
        <v>0.1</v>
      </c>
      <c r="F24" s="26">
        <v>0.1</v>
      </c>
      <c r="G24" s="26">
        <v>0.1</v>
      </c>
      <c r="H24" s="26">
        <f t="shared" si="3"/>
        <v>4.5000000000000005E-2</v>
      </c>
      <c r="I24" s="42">
        <f t="shared" si="0"/>
        <v>0.34500000000000003</v>
      </c>
      <c r="J24" s="41">
        <v>0.1</v>
      </c>
      <c r="K24" s="26">
        <v>0.1</v>
      </c>
      <c r="L24" s="26">
        <v>0.1</v>
      </c>
      <c r="M24" s="26">
        <f t="shared" si="4"/>
        <v>4.5000000000000005E-2</v>
      </c>
      <c r="N24" s="42">
        <f t="shared" si="1"/>
        <v>0.34500000000000003</v>
      </c>
      <c r="O24" s="41">
        <v>0.1</v>
      </c>
      <c r="P24" s="26">
        <v>0.1</v>
      </c>
      <c r="Q24" s="26">
        <v>0.1</v>
      </c>
      <c r="R24" s="26">
        <f t="shared" si="5"/>
        <v>4.5000000000000005E-2</v>
      </c>
      <c r="S24" s="42">
        <f t="shared" si="2"/>
        <v>0.34500000000000003</v>
      </c>
      <c r="T24" s="27"/>
    </row>
    <row r="25" spans="2:20">
      <c r="B25" s="24">
        <v>21</v>
      </c>
      <c r="C25" s="24" t="s">
        <v>387</v>
      </c>
      <c r="D25" s="24" t="s">
        <v>388</v>
      </c>
      <c r="E25" s="41">
        <v>0.1</v>
      </c>
      <c r="F25" s="26">
        <v>0.1</v>
      </c>
      <c r="G25" s="26">
        <v>0.1</v>
      </c>
      <c r="H25" s="26">
        <f t="shared" si="3"/>
        <v>4.5000000000000005E-2</v>
      </c>
      <c r="I25" s="42">
        <f t="shared" si="0"/>
        <v>0.34500000000000003</v>
      </c>
      <c r="J25" s="41">
        <v>0.1</v>
      </c>
      <c r="K25" s="26">
        <v>0.1</v>
      </c>
      <c r="L25" s="26">
        <v>0.1</v>
      </c>
      <c r="M25" s="26">
        <f t="shared" si="4"/>
        <v>4.5000000000000005E-2</v>
      </c>
      <c r="N25" s="42">
        <f t="shared" si="1"/>
        <v>0.34500000000000003</v>
      </c>
      <c r="O25" s="41">
        <v>0.1</v>
      </c>
      <c r="P25" s="26">
        <v>0.1</v>
      </c>
      <c r="Q25" s="26">
        <v>0.1</v>
      </c>
      <c r="R25" s="26">
        <f t="shared" si="5"/>
        <v>4.5000000000000005E-2</v>
      </c>
      <c r="S25" s="42">
        <f t="shared" si="2"/>
        <v>0.34500000000000003</v>
      </c>
      <c r="T25" s="27"/>
    </row>
    <row r="26" spans="2:20">
      <c r="B26" s="24">
        <v>22</v>
      </c>
      <c r="C26" s="24" t="s">
        <v>387</v>
      </c>
      <c r="D26" s="24" t="s">
        <v>388</v>
      </c>
      <c r="E26" s="41">
        <v>0.1</v>
      </c>
      <c r="F26" s="26">
        <v>0.1</v>
      </c>
      <c r="G26" s="26">
        <v>0.1</v>
      </c>
      <c r="H26" s="26">
        <f t="shared" si="3"/>
        <v>4.5000000000000005E-2</v>
      </c>
      <c r="I26" s="42">
        <f t="shared" si="0"/>
        <v>0.34500000000000003</v>
      </c>
      <c r="J26" s="41">
        <v>0.1</v>
      </c>
      <c r="K26" s="26">
        <v>0.1</v>
      </c>
      <c r="L26" s="26">
        <v>0.1</v>
      </c>
      <c r="M26" s="26">
        <f t="shared" si="4"/>
        <v>4.5000000000000005E-2</v>
      </c>
      <c r="N26" s="42">
        <f t="shared" si="1"/>
        <v>0.34500000000000003</v>
      </c>
      <c r="O26" s="41">
        <v>0.1</v>
      </c>
      <c r="P26" s="26">
        <v>0.1</v>
      </c>
      <c r="Q26" s="26">
        <v>0.1</v>
      </c>
      <c r="R26" s="26">
        <f t="shared" si="5"/>
        <v>4.5000000000000005E-2</v>
      </c>
      <c r="S26" s="42">
        <f t="shared" si="2"/>
        <v>0.34500000000000003</v>
      </c>
      <c r="T26" s="27"/>
    </row>
    <row r="27" spans="2:20">
      <c r="B27" s="24">
        <v>23</v>
      </c>
      <c r="C27" s="24" t="s">
        <v>387</v>
      </c>
      <c r="D27" s="24" t="s">
        <v>388</v>
      </c>
      <c r="E27" s="41">
        <v>0.1</v>
      </c>
      <c r="F27" s="26">
        <v>0.1</v>
      </c>
      <c r="G27" s="26">
        <v>0.1</v>
      </c>
      <c r="H27" s="26">
        <f t="shared" si="3"/>
        <v>4.5000000000000005E-2</v>
      </c>
      <c r="I27" s="42">
        <f t="shared" si="0"/>
        <v>0.34500000000000003</v>
      </c>
      <c r="J27" s="41">
        <v>0.1</v>
      </c>
      <c r="K27" s="26">
        <v>0.1</v>
      </c>
      <c r="L27" s="26">
        <v>0.1</v>
      </c>
      <c r="M27" s="26">
        <f t="shared" si="4"/>
        <v>4.5000000000000005E-2</v>
      </c>
      <c r="N27" s="42">
        <f t="shared" si="1"/>
        <v>0.34500000000000003</v>
      </c>
      <c r="O27" s="41">
        <v>0.1</v>
      </c>
      <c r="P27" s="26">
        <v>0.1</v>
      </c>
      <c r="Q27" s="26">
        <v>0.1</v>
      </c>
      <c r="R27" s="26">
        <f t="shared" si="5"/>
        <v>4.5000000000000005E-2</v>
      </c>
      <c r="S27" s="42">
        <f t="shared" si="2"/>
        <v>0.34500000000000003</v>
      </c>
      <c r="T27" s="27"/>
    </row>
    <row r="28" spans="2:20">
      <c r="B28" s="24">
        <v>24</v>
      </c>
      <c r="C28" s="24" t="s">
        <v>387</v>
      </c>
      <c r="D28" s="24" t="s">
        <v>388</v>
      </c>
      <c r="E28" s="41">
        <v>0.1</v>
      </c>
      <c r="F28" s="26">
        <v>0.1</v>
      </c>
      <c r="G28" s="26">
        <v>0.1</v>
      </c>
      <c r="H28" s="26">
        <f t="shared" si="3"/>
        <v>4.5000000000000005E-2</v>
      </c>
      <c r="I28" s="42">
        <f t="shared" si="0"/>
        <v>0.34500000000000003</v>
      </c>
      <c r="J28" s="41">
        <v>0.1</v>
      </c>
      <c r="K28" s="26">
        <v>0.1</v>
      </c>
      <c r="L28" s="26">
        <v>0.1</v>
      </c>
      <c r="M28" s="26">
        <f t="shared" si="4"/>
        <v>4.5000000000000005E-2</v>
      </c>
      <c r="N28" s="42">
        <f t="shared" si="1"/>
        <v>0.34500000000000003</v>
      </c>
      <c r="O28" s="41">
        <v>0.1</v>
      </c>
      <c r="P28" s="26">
        <v>0.1</v>
      </c>
      <c r="Q28" s="26">
        <v>0.1</v>
      </c>
      <c r="R28" s="26">
        <f t="shared" si="5"/>
        <v>4.5000000000000005E-2</v>
      </c>
      <c r="S28" s="42">
        <f t="shared" si="2"/>
        <v>0.34500000000000003</v>
      </c>
      <c r="T28" s="27"/>
    </row>
    <row r="29" spans="2:20">
      <c r="B29" s="24">
        <v>25</v>
      </c>
      <c r="C29" s="24" t="s">
        <v>389</v>
      </c>
      <c r="D29" s="25" t="s">
        <v>390</v>
      </c>
      <c r="E29" s="41">
        <v>0.1</v>
      </c>
      <c r="F29" s="26">
        <v>0.1</v>
      </c>
      <c r="G29" s="26">
        <v>0.1</v>
      </c>
      <c r="H29" s="26">
        <f t="shared" si="3"/>
        <v>4.5000000000000005E-2</v>
      </c>
      <c r="I29" s="42">
        <f t="shared" si="0"/>
        <v>0.34500000000000003</v>
      </c>
      <c r="J29" s="41">
        <v>0.1</v>
      </c>
      <c r="K29" s="26">
        <v>0.1</v>
      </c>
      <c r="L29" s="26">
        <v>0.1</v>
      </c>
      <c r="M29" s="26">
        <f t="shared" si="4"/>
        <v>4.5000000000000005E-2</v>
      </c>
      <c r="N29" s="42">
        <f t="shared" si="1"/>
        <v>0.34500000000000003</v>
      </c>
      <c r="O29" s="41">
        <v>0.1</v>
      </c>
      <c r="P29" s="26">
        <v>0.1</v>
      </c>
      <c r="Q29" s="26">
        <v>0.1</v>
      </c>
      <c r="R29" s="26">
        <f t="shared" si="5"/>
        <v>4.5000000000000005E-2</v>
      </c>
      <c r="S29" s="42">
        <f t="shared" si="2"/>
        <v>0.34500000000000003</v>
      </c>
      <c r="T29" s="27" t="s">
        <v>391</v>
      </c>
    </row>
    <row r="30" spans="2:20">
      <c r="B30" s="24">
        <v>26</v>
      </c>
      <c r="C30" s="24" t="s">
        <v>389</v>
      </c>
      <c r="D30" s="24" t="s">
        <v>392</v>
      </c>
      <c r="E30" s="41">
        <v>0.1</v>
      </c>
      <c r="F30" s="26">
        <v>0.1</v>
      </c>
      <c r="G30" s="26">
        <v>0.1</v>
      </c>
      <c r="H30" s="26">
        <f t="shared" si="3"/>
        <v>4.5000000000000005E-2</v>
      </c>
      <c r="I30" s="42">
        <f t="shared" si="0"/>
        <v>0.34500000000000003</v>
      </c>
      <c r="J30" s="41">
        <v>0.1</v>
      </c>
      <c r="K30" s="26">
        <v>0.1</v>
      </c>
      <c r="L30" s="26">
        <v>0.1</v>
      </c>
      <c r="M30" s="26">
        <f t="shared" si="4"/>
        <v>4.5000000000000005E-2</v>
      </c>
      <c r="N30" s="42">
        <f t="shared" si="1"/>
        <v>0.34500000000000003</v>
      </c>
      <c r="O30" s="41">
        <v>0.1</v>
      </c>
      <c r="P30" s="26">
        <v>0.1</v>
      </c>
      <c r="Q30" s="26">
        <v>0.1</v>
      </c>
      <c r="R30" s="26">
        <f t="shared" si="5"/>
        <v>4.5000000000000005E-2</v>
      </c>
      <c r="S30" s="42">
        <f t="shared" si="2"/>
        <v>0.34500000000000003</v>
      </c>
      <c r="T30" s="27" t="s">
        <v>393</v>
      </c>
    </row>
    <row r="31" spans="2:20">
      <c r="B31" s="24">
        <v>27</v>
      </c>
      <c r="C31" s="24" t="s">
        <v>389</v>
      </c>
      <c r="D31" s="24" t="s">
        <v>392</v>
      </c>
      <c r="E31" s="41">
        <v>0.1</v>
      </c>
      <c r="F31" s="26">
        <v>0.1</v>
      </c>
      <c r="G31" s="26">
        <v>0.1</v>
      </c>
      <c r="H31" s="26">
        <f t="shared" si="3"/>
        <v>4.5000000000000005E-2</v>
      </c>
      <c r="I31" s="42">
        <f t="shared" si="0"/>
        <v>0.34500000000000003</v>
      </c>
      <c r="J31" s="41">
        <v>0.1</v>
      </c>
      <c r="K31" s="26">
        <v>0.1</v>
      </c>
      <c r="L31" s="26">
        <v>0.1</v>
      </c>
      <c r="M31" s="26">
        <f t="shared" si="4"/>
        <v>4.5000000000000005E-2</v>
      </c>
      <c r="N31" s="42">
        <f t="shared" si="1"/>
        <v>0.34500000000000003</v>
      </c>
      <c r="O31" s="41">
        <v>0.1</v>
      </c>
      <c r="P31" s="26">
        <v>0.1</v>
      </c>
      <c r="Q31" s="26">
        <v>0.1</v>
      </c>
      <c r="R31" s="26">
        <f t="shared" si="5"/>
        <v>4.5000000000000005E-2</v>
      </c>
      <c r="S31" s="42">
        <f t="shared" si="2"/>
        <v>0.34500000000000003</v>
      </c>
      <c r="T31" s="27" t="s">
        <v>405</v>
      </c>
    </row>
    <row r="32" spans="2:20">
      <c r="E32" s="43"/>
      <c r="I32" s="44"/>
      <c r="J32" s="43"/>
      <c r="N32" s="44"/>
      <c r="O32" s="43"/>
      <c r="S32" s="44"/>
    </row>
    <row r="33" spans="4:20">
      <c r="D33" s="24" t="s">
        <v>394</v>
      </c>
      <c r="E33" s="41">
        <f t="shared" ref="E33:S33" si="6">SUM(E17:E31)</f>
        <v>1.5000000000000002</v>
      </c>
      <c r="F33" s="26">
        <f t="shared" si="6"/>
        <v>1.5000000000000002</v>
      </c>
      <c r="G33" s="26">
        <f t="shared" si="6"/>
        <v>1.5000000000000002</v>
      </c>
      <c r="H33" s="26">
        <f t="shared" si="6"/>
        <v>0.67500000000000004</v>
      </c>
      <c r="I33" s="42">
        <f t="shared" si="6"/>
        <v>5.1750000000000007</v>
      </c>
      <c r="J33" s="41">
        <f t="shared" si="6"/>
        <v>1.5000000000000002</v>
      </c>
      <c r="K33" s="26">
        <f t="shared" si="6"/>
        <v>1.5000000000000002</v>
      </c>
      <c r="L33" s="26">
        <f t="shared" si="6"/>
        <v>1.5000000000000002</v>
      </c>
      <c r="M33" s="26">
        <f t="shared" si="6"/>
        <v>0.67500000000000004</v>
      </c>
      <c r="N33" s="42">
        <f t="shared" si="6"/>
        <v>5.1750000000000007</v>
      </c>
      <c r="O33" s="41">
        <f t="shared" si="6"/>
        <v>1.5000000000000002</v>
      </c>
      <c r="P33" s="26">
        <f t="shared" si="6"/>
        <v>1.5000000000000002</v>
      </c>
      <c r="Q33" s="26">
        <f t="shared" si="6"/>
        <v>1.5000000000000002</v>
      </c>
      <c r="R33" s="26">
        <f t="shared" si="6"/>
        <v>0.67500000000000004</v>
      </c>
      <c r="S33" s="42">
        <f t="shared" si="6"/>
        <v>5.1750000000000007</v>
      </c>
      <c r="T33" s="28"/>
    </row>
    <row r="34" spans="4:20">
      <c r="E34" s="43"/>
      <c r="I34" s="44"/>
      <c r="J34" s="43"/>
      <c r="N34" s="44"/>
      <c r="O34" s="43"/>
      <c r="S34" s="44"/>
    </row>
    <row r="35" spans="4:20">
      <c r="D35" s="24" t="s">
        <v>395</v>
      </c>
      <c r="E35" s="45">
        <v>1000</v>
      </c>
      <c r="F35" s="29">
        <v>1000</v>
      </c>
      <c r="G35" s="29">
        <v>1000</v>
      </c>
      <c r="H35" s="29">
        <v>1200</v>
      </c>
      <c r="I35" s="46">
        <f>AVERAGE(E35:H35)</f>
        <v>1050</v>
      </c>
      <c r="J35" s="45">
        <v>1000</v>
      </c>
      <c r="K35" s="29">
        <v>1000</v>
      </c>
      <c r="L35" s="29">
        <v>1000</v>
      </c>
      <c r="M35" s="29">
        <v>1200</v>
      </c>
      <c r="N35" s="46">
        <f>AVERAGE(J35:M35)</f>
        <v>1050</v>
      </c>
      <c r="O35" s="45">
        <v>1000</v>
      </c>
      <c r="P35" s="29">
        <v>1000</v>
      </c>
      <c r="Q35" s="29">
        <v>1000</v>
      </c>
      <c r="R35" s="29">
        <v>1200</v>
      </c>
      <c r="S35" s="46">
        <f>AVERAGE(O35:R35)</f>
        <v>1050</v>
      </c>
    </row>
    <row r="36" spans="4:20" ht="18.600000000000001" thickBot="1">
      <c r="D36" s="24" t="s">
        <v>396</v>
      </c>
      <c r="E36" s="47">
        <f>E33*E35</f>
        <v>1500.0000000000002</v>
      </c>
      <c r="F36" s="48">
        <f t="shared" ref="F36:G36" si="7">F33*F35</f>
        <v>1500.0000000000002</v>
      </c>
      <c r="G36" s="48">
        <f t="shared" si="7"/>
        <v>1500.0000000000002</v>
      </c>
      <c r="H36" s="48">
        <f>H33*H35</f>
        <v>810</v>
      </c>
      <c r="I36" s="49">
        <f>SUM(E36:H36)</f>
        <v>5310.0000000000009</v>
      </c>
      <c r="J36" s="47">
        <f>J33*J35</f>
        <v>1500.0000000000002</v>
      </c>
      <c r="K36" s="48">
        <f t="shared" ref="K36:L36" si="8">K33*K35</f>
        <v>1500.0000000000002</v>
      </c>
      <c r="L36" s="48">
        <f t="shared" si="8"/>
        <v>1500.0000000000002</v>
      </c>
      <c r="M36" s="48">
        <f>M33*M35</f>
        <v>810</v>
      </c>
      <c r="N36" s="49">
        <f>SUM(J36:M36)</f>
        <v>5310.0000000000009</v>
      </c>
      <c r="O36" s="47">
        <f>O33*O35</f>
        <v>1500.0000000000002</v>
      </c>
      <c r="P36" s="48">
        <f t="shared" ref="P36:Q36" si="9">P33*P35</f>
        <v>1500.0000000000002</v>
      </c>
      <c r="Q36" s="48">
        <f t="shared" si="9"/>
        <v>1500.0000000000002</v>
      </c>
      <c r="R36" s="48">
        <f>R33*R35</f>
        <v>810</v>
      </c>
      <c r="S36" s="49">
        <f>SUM(O36:R36)</f>
        <v>5310.0000000000009</v>
      </c>
    </row>
  </sheetData>
  <autoFilter ref="B4:Y31" xr:uid="{00000000-0009-0000-0000-000008000000}"/>
  <mergeCells count="6">
    <mergeCell ref="E2:I2"/>
    <mergeCell ref="J2:N2"/>
    <mergeCell ref="O2:S2"/>
    <mergeCell ref="E3:H3"/>
    <mergeCell ref="J3:M3"/>
    <mergeCell ref="O3:R3"/>
  </mergeCells>
  <phoneticPr fontId="2"/>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21"/>
  <sheetViews>
    <sheetView zoomScale="90" zoomScaleNormal="90" workbookViewId="0"/>
  </sheetViews>
  <sheetFormatPr defaultColWidth="8.625" defaultRowHeight="18.75" customHeight="1"/>
  <cols>
    <col min="1" max="1" width="2.625" style="53" customWidth="1"/>
    <col min="2" max="2" width="13.875" style="53" customWidth="1"/>
    <col min="3" max="3" width="37.625" style="53" customWidth="1"/>
    <col min="4" max="4" width="14" style="53" customWidth="1"/>
    <col min="5" max="5" width="9.875" style="53" customWidth="1"/>
    <col min="6" max="7" width="53.125" style="53" customWidth="1"/>
    <col min="8" max="16384" width="8.625" style="53"/>
  </cols>
  <sheetData>
    <row r="1" spans="2:9" ht="18">
      <c r="B1" s="53" t="s">
        <v>397</v>
      </c>
      <c r="C1" s="53" t="s">
        <v>406</v>
      </c>
    </row>
    <row r="2" spans="2:9" ht="18">
      <c r="B2" s="53" t="s">
        <v>407</v>
      </c>
      <c r="C2" s="53" t="s">
        <v>25</v>
      </c>
    </row>
    <row r="3" spans="2:9" ht="39.75" customHeight="1">
      <c r="B3" s="129" t="s">
        <v>351</v>
      </c>
      <c r="C3" s="129" t="s">
        <v>408</v>
      </c>
      <c r="D3" s="129" t="s">
        <v>409</v>
      </c>
      <c r="E3" s="130" t="s">
        <v>196</v>
      </c>
      <c r="F3" s="129" t="s">
        <v>410</v>
      </c>
      <c r="G3" s="129" t="s">
        <v>184</v>
      </c>
    </row>
    <row r="4" spans="2:9" ht="52.5" customHeight="1">
      <c r="B4" s="263" t="s">
        <v>190</v>
      </c>
      <c r="C4" s="132" t="s">
        <v>60</v>
      </c>
      <c r="D4" s="133">
        <v>0.3</v>
      </c>
      <c r="E4" s="266">
        <v>1.2</v>
      </c>
      <c r="F4" s="260" t="s">
        <v>411</v>
      </c>
      <c r="G4" s="134" t="s">
        <v>412</v>
      </c>
    </row>
    <row r="5" spans="2:9" ht="39" customHeight="1">
      <c r="B5" s="264"/>
      <c r="C5" s="132" t="s">
        <v>413</v>
      </c>
      <c r="D5" s="133">
        <v>0.3</v>
      </c>
      <c r="E5" s="267"/>
      <c r="F5" s="261"/>
      <c r="G5" s="134" t="s">
        <v>414</v>
      </c>
    </row>
    <row r="6" spans="2:9" ht="39" customHeight="1">
      <c r="B6" s="265"/>
      <c r="C6" s="132" t="s">
        <v>415</v>
      </c>
      <c r="D6" s="135">
        <v>0.6</v>
      </c>
      <c r="E6" s="268"/>
      <c r="F6" s="134"/>
      <c r="G6" s="134"/>
    </row>
    <row r="7" spans="2:9" ht="39" customHeight="1">
      <c r="B7" s="254" t="s">
        <v>191</v>
      </c>
      <c r="C7" s="132" t="s">
        <v>416</v>
      </c>
      <c r="D7" s="133">
        <v>0.6</v>
      </c>
      <c r="E7" s="256">
        <v>1.1000000000000001</v>
      </c>
      <c r="F7" s="134" t="s">
        <v>417</v>
      </c>
      <c r="G7" s="134" t="s">
        <v>418</v>
      </c>
    </row>
    <row r="8" spans="2:9" ht="39" customHeight="1">
      <c r="B8" s="255"/>
      <c r="C8" s="132" t="s">
        <v>60</v>
      </c>
      <c r="D8" s="133">
        <v>0.3</v>
      </c>
      <c r="E8" s="257"/>
      <c r="F8" s="134" t="s">
        <v>419</v>
      </c>
      <c r="G8" s="134" t="s">
        <v>420</v>
      </c>
    </row>
    <row r="9" spans="2:9" ht="68.25" customHeight="1">
      <c r="B9" s="255"/>
      <c r="C9" s="132" t="s">
        <v>421</v>
      </c>
      <c r="D9" s="133">
        <v>0.1</v>
      </c>
      <c r="E9" s="257"/>
      <c r="F9" s="140" t="s">
        <v>422</v>
      </c>
      <c r="G9" s="134" t="s">
        <v>423</v>
      </c>
      <c r="H9" s="53">
        <f>15*0.2*3*1.2/8/20</f>
        <v>6.7499999999999991E-2</v>
      </c>
      <c r="I9" s="53">
        <f>68*0.2*1.2*3/8/20</f>
        <v>0.30599999999999999</v>
      </c>
    </row>
    <row r="10" spans="2:9" ht="68.25" customHeight="1">
      <c r="B10" s="255"/>
      <c r="C10" s="132" t="s">
        <v>424</v>
      </c>
      <c r="D10" s="133">
        <v>0.1</v>
      </c>
      <c r="E10" s="258"/>
      <c r="F10" s="140" t="s">
        <v>422</v>
      </c>
      <c r="G10" s="134" t="s">
        <v>425</v>
      </c>
      <c r="H10" s="53">
        <f>8*0.2*3*1.2/8/20</f>
        <v>3.6000000000000004E-2</v>
      </c>
      <c r="I10" s="53">
        <f>68*0.2*1.2*3/8/20</f>
        <v>0.30599999999999999</v>
      </c>
    </row>
    <row r="11" spans="2:9" ht="71.25" customHeight="1">
      <c r="B11" s="254" t="s">
        <v>192</v>
      </c>
      <c r="C11" s="132" t="s">
        <v>49</v>
      </c>
      <c r="D11" s="133">
        <v>0.9</v>
      </c>
      <c r="E11" s="256">
        <v>1.2</v>
      </c>
      <c r="F11" s="134"/>
      <c r="G11" s="134" t="s">
        <v>426</v>
      </c>
    </row>
    <row r="12" spans="2:9" ht="55.5" customHeight="1">
      <c r="B12" s="255"/>
      <c r="C12" s="132" t="s">
        <v>427</v>
      </c>
      <c r="D12" s="133">
        <v>0.2</v>
      </c>
      <c r="E12" s="257"/>
      <c r="F12" s="140" t="s">
        <v>428</v>
      </c>
      <c r="G12" s="134" t="s">
        <v>429</v>
      </c>
      <c r="H12" s="53">
        <f>15*0.2*5*1.2/8/20</f>
        <v>0.1125</v>
      </c>
      <c r="I12" s="53">
        <f>68*0.2*5*1.2/8/20</f>
        <v>0.51</v>
      </c>
    </row>
    <row r="13" spans="2:9" ht="55.5" customHeight="1">
      <c r="B13" s="259"/>
      <c r="C13" s="132" t="s">
        <v>424</v>
      </c>
      <c r="D13" s="133">
        <v>0.1</v>
      </c>
      <c r="E13" s="258"/>
      <c r="F13" s="140" t="s">
        <v>428</v>
      </c>
      <c r="G13" s="134" t="s">
        <v>430</v>
      </c>
      <c r="H13" s="53">
        <f>8*0.2*5*1.2/8/20</f>
        <v>0.06</v>
      </c>
      <c r="I13" s="53">
        <f>68*0.2*5*1.2/8/20</f>
        <v>0.51</v>
      </c>
    </row>
    <row r="14" spans="2:9" ht="82.5" customHeight="1">
      <c r="B14" s="254" t="s">
        <v>193</v>
      </c>
      <c r="C14" s="132" t="s">
        <v>431</v>
      </c>
      <c r="D14" s="133">
        <v>0.5</v>
      </c>
      <c r="E14" s="256">
        <v>3.1</v>
      </c>
      <c r="F14" s="260" t="s">
        <v>432</v>
      </c>
      <c r="G14" s="134" t="s">
        <v>433</v>
      </c>
      <c r="H14" s="53">
        <f>15*4*1.2/8/20</f>
        <v>0.45</v>
      </c>
      <c r="I14" s="53">
        <f>68*4*1.2/8/20</f>
        <v>2.04</v>
      </c>
    </row>
    <row r="15" spans="2:9" ht="82.5" customHeight="1">
      <c r="B15" s="255"/>
      <c r="C15" s="132" t="s">
        <v>434</v>
      </c>
      <c r="D15" s="133">
        <v>0.3</v>
      </c>
      <c r="E15" s="257"/>
      <c r="F15" s="262"/>
      <c r="G15" s="134" t="s">
        <v>435</v>
      </c>
      <c r="H15" s="53">
        <f>8*4*1.2/8/20</f>
        <v>0.24</v>
      </c>
      <c r="I15" s="53">
        <f>68*4*1.2/8/20</f>
        <v>2.04</v>
      </c>
    </row>
    <row r="16" spans="2:9" ht="39.75" customHeight="1">
      <c r="B16" s="255"/>
      <c r="C16" s="132" t="s">
        <v>436</v>
      </c>
      <c r="D16" s="133">
        <v>0.3</v>
      </c>
      <c r="E16" s="257"/>
      <c r="F16" s="262"/>
      <c r="G16" s="134" t="s">
        <v>437</v>
      </c>
    </row>
    <row r="17" spans="2:7" ht="135" customHeight="1">
      <c r="B17" s="255"/>
      <c r="C17" s="132" t="s">
        <v>438</v>
      </c>
      <c r="D17" s="133">
        <v>1.98</v>
      </c>
      <c r="E17" s="258"/>
      <c r="F17" s="261"/>
      <c r="G17" s="134" t="s">
        <v>439</v>
      </c>
    </row>
    <row r="18" spans="2:7" ht="54">
      <c r="B18" s="254" t="s">
        <v>194</v>
      </c>
      <c r="C18" s="132" t="s">
        <v>440</v>
      </c>
      <c r="D18" s="133">
        <v>1.2</v>
      </c>
      <c r="E18" s="256">
        <v>3.6</v>
      </c>
      <c r="F18" s="141" t="s">
        <v>441</v>
      </c>
      <c r="G18" s="134" t="s">
        <v>442</v>
      </c>
    </row>
    <row r="19" spans="2:7" ht="39.75" customHeight="1">
      <c r="B19" s="259"/>
      <c r="C19" s="132" t="s">
        <v>368</v>
      </c>
      <c r="D19" s="133">
        <v>2.4</v>
      </c>
      <c r="E19" s="258"/>
      <c r="F19" s="142" t="s">
        <v>443</v>
      </c>
      <c r="G19" s="137" t="s">
        <v>444</v>
      </c>
    </row>
    <row r="20" spans="2:7" ht="102" customHeight="1">
      <c r="B20" s="131" t="s">
        <v>195</v>
      </c>
      <c r="C20" s="138" t="s">
        <v>445</v>
      </c>
      <c r="D20" s="135">
        <v>3</v>
      </c>
      <c r="E20" s="136">
        <v>3</v>
      </c>
      <c r="F20" s="139" t="s">
        <v>446</v>
      </c>
      <c r="G20" s="139" t="s">
        <v>447</v>
      </c>
    </row>
    <row r="21" spans="2:7" ht="18">
      <c r="B21" s="253" t="s">
        <v>243</v>
      </c>
      <c r="C21" s="253"/>
      <c r="D21" s="253"/>
      <c r="E21" s="81">
        <f>SUM(E4:E20)</f>
        <v>13.2</v>
      </c>
      <c r="F21" s="116"/>
      <c r="G21" s="116"/>
    </row>
  </sheetData>
  <autoFilter ref="B3:G21" xr:uid="{00000000-0009-0000-0000-000009000000}"/>
  <mergeCells count="13">
    <mergeCell ref="F4:F5"/>
    <mergeCell ref="F14:F17"/>
    <mergeCell ref="B14:B17"/>
    <mergeCell ref="E14:E17"/>
    <mergeCell ref="B18:B19"/>
    <mergeCell ref="E18:E19"/>
    <mergeCell ref="B4:B6"/>
    <mergeCell ref="E4:E6"/>
    <mergeCell ref="B21:D21"/>
    <mergeCell ref="B7:B10"/>
    <mergeCell ref="E7:E10"/>
    <mergeCell ref="B11:B13"/>
    <mergeCell ref="E11:E13"/>
  </mergeCells>
  <phoneticPr fontId="2"/>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I18"/>
  <sheetViews>
    <sheetView zoomScale="80" zoomScaleNormal="80" workbookViewId="0"/>
  </sheetViews>
  <sheetFormatPr defaultColWidth="8.625" defaultRowHeight="18.75" customHeight="1"/>
  <cols>
    <col min="1" max="1" width="2.625" style="53" customWidth="1"/>
    <col min="2" max="2" width="13.875" style="53" customWidth="1"/>
    <col min="3" max="3" width="37.625" style="53" customWidth="1"/>
    <col min="4" max="4" width="14" style="53" customWidth="1"/>
    <col min="5" max="5" width="9.875" style="53" customWidth="1"/>
    <col min="6" max="7" width="53.125" style="53" customWidth="1"/>
    <col min="8" max="16384" width="8.625" style="53"/>
  </cols>
  <sheetData>
    <row r="1" spans="2:9" ht="18">
      <c r="B1" s="53" t="s">
        <v>397</v>
      </c>
      <c r="C1" s="53" t="s">
        <v>448</v>
      </c>
    </row>
    <row r="2" spans="2:9" ht="18">
      <c r="B2" s="53" t="s">
        <v>407</v>
      </c>
      <c r="C2" s="53" t="s">
        <v>25</v>
      </c>
    </row>
    <row r="3" spans="2:9" ht="39.75" customHeight="1">
      <c r="B3" s="129" t="s">
        <v>351</v>
      </c>
      <c r="C3" s="129" t="s">
        <v>408</v>
      </c>
      <c r="D3" s="129" t="s">
        <v>409</v>
      </c>
      <c r="E3" s="130" t="s">
        <v>196</v>
      </c>
      <c r="F3" s="129" t="s">
        <v>410</v>
      </c>
      <c r="G3" s="129" t="s">
        <v>184</v>
      </c>
    </row>
    <row r="4" spans="2:9" ht="52.5" customHeight="1">
      <c r="B4" s="263" t="s">
        <v>190</v>
      </c>
      <c r="C4" s="132" t="s">
        <v>60</v>
      </c>
      <c r="D4" s="133">
        <v>0.3</v>
      </c>
      <c r="E4" s="266">
        <v>1.2</v>
      </c>
      <c r="F4" s="260" t="s">
        <v>411</v>
      </c>
      <c r="G4" s="134" t="s">
        <v>412</v>
      </c>
    </row>
    <row r="5" spans="2:9" ht="39" customHeight="1">
      <c r="B5" s="264"/>
      <c r="C5" s="132" t="s">
        <v>413</v>
      </c>
      <c r="D5" s="133">
        <v>0.3</v>
      </c>
      <c r="E5" s="267"/>
      <c r="F5" s="261"/>
      <c r="G5" s="134" t="s">
        <v>414</v>
      </c>
    </row>
    <row r="6" spans="2:9" ht="39" customHeight="1">
      <c r="B6" s="265"/>
      <c r="C6" s="132" t="s">
        <v>415</v>
      </c>
      <c r="D6" s="135">
        <v>0.6</v>
      </c>
      <c r="E6" s="268"/>
      <c r="F6" s="134"/>
      <c r="G6" s="134"/>
    </row>
    <row r="7" spans="2:9" ht="39" customHeight="1">
      <c r="B7" s="254" t="s">
        <v>191</v>
      </c>
      <c r="C7" s="132" t="s">
        <v>416</v>
      </c>
      <c r="D7" s="133">
        <v>0.6</v>
      </c>
      <c r="E7" s="256">
        <v>1.2</v>
      </c>
      <c r="F7" s="134" t="s">
        <v>417</v>
      </c>
      <c r="G7" s="134" t="s">
        <v>418</v>
      </c>
    </row>
    <row r="8" spans="2:9" ht="39" customHeight="1">
      <c r="B8" s="255"/>
      <c r="C8" s="132" t="s">
        <v>60</v>
      </c>
      <c r="D8" s="133">
        <v>0.3</v>
      </c>
      <c r="E8" s="257"/>
      <c r="F8" s="134" t="s">
        <v>419</v>
      </c>
      <c r="G8" s="134" t="s">
        <v>420</v>
      </c>
    </row>
    <row r="9" spans="2:9" ht="68.25" customHeight="1">
      <c r="B9" s="255"/>
      <c r="C9" s="132" t="s">
        <v>421</v>
      </c>
      <c r="D9" s="133">
        <v>0.3</v>
      </c>
      <c r="E9" s="258"/>
      <c r="F9" s="140" t="s">
        <v>422</v>
      </c>
      <c r="G9" s="134" t="s">
        <v>449</v>
      </c>
      <c r="H9" s="53">
        <f>53*0.2*3*1.2/8/20</f>
        <v>0.23850000000000002</v>
      </c>
      <c r="I9" s="53">
        <f>68*0.2*1.2*3/8/20</f>
        <v>0.30599999999999999</v>
      </c>
    </row>
    <row r="10" spans="2:9" ht="71.25" customHeight="1">
      <c r="B10" s="254" t="s">
        <v>192</v>
      </c>
      <c r="C10" s="132" t="s">
        <v>49</v>
      </c>
      <c r="D10" s="133">
        <v>0.9</v>
      </c>
      <c r="E10" s="256">
        <v>1.3</v>
      </c>
      <c r="F10" s="134"/>
      <c r="G10" s="134" t="s">
        <v>426</v>
      </c>
    </row>
    <row r="11" spans="2:9" ht="55.5" customHeight="1">
      <c r="B11" s="259"/>
      <c r="C11" s="132" t="s">
        <v>427</v>
      </c>
      <c r="D11" s="133">
        <v>0.4</v>
      </c>
      <c r="E11" s="258"/>
      <c r="F11" s="140" t="s">
        <v>428</v>
      </c>
      <c r="G11" s="134" t="s">
        <v>450</v>
      </c>
      <c r="H11" s="53">
        <f>53*0.2*5*1.2/8/20</f>
        <v>0.39750000000000008</v>
      </c>
      <c r="I11" s="53">
        <f>68*0.2*5*1.2/8/20</f>
        <v>0.51</v>
      </c>
    </row>
    <row r="12" spans="2:9" ht="82.5" customHeight="1">
      <c r="B12" s="254" t="s">
        <v>193</v>
      </c>
      <c r="C12" s="132" t="s">
        <v>431</v>
      </c>
      <c r="D12" s="133">
        <v>1.6</v>
      </c>
      <c r="E12" s="256">
        <v>3.9</v>
      </c>
      <c r="F12" s="260" t="s">
        <v>432</v>
      </c>
      <c r="G12" s="134" t="s">
        <v>451</v>
      </c>
      <c r="H12" s="53">
        <f>53*4*1.2/8/20</f>
        <v>1.5899999999999999</v>
      </c>
      <c r="I12" s="53">
        <f>68*4*1.2/8/20</f>
        <v>2.04</v>
      </c>
    </row>
    <row r="13" spans="2:9" ht="39.75" customHeight="1">
      <c r="B13" s="255"/>
      <c r="C13" s="132" t="s">
        <v>436</v>
      </c>
      <c r="D13" s="133">
        <v>0.3</v>
      </c>
      <c r="E13" s="257"/>
      <c r="F13" s="262"/>
      <c r="G13" s="134" t="s">
        <v>437</v>
      </c>
    </row>
    <row r="14" spans="2:9" ht="135" customHeight="1">
      <c r="B14" s="255"/>
      <c r="C14" s="132" t="s">
        <v>438</v>
      </c>
      <c r="D14" s="133">
        <v>1.98</v>
      </c>
      <c r="E14" s="258"/>
      <c r="F14" s="261"/>
      <c r="G14" s="134" t="s">
        <v>452</v>
      </c>
    </row>
    <row r="15" spans="2:9" ht="54">
      <c r="B15" s="254" t="s">
        <v>194</v>
      </c>
      <c r="C15" s="132" t="s">
        <v>440</v>
      </c>
      <c r="D15" s="133">
        <v>1.2</v>
      </c>
      <c r="E15" s="256">
        <v>3.6</v>
      </c>
      <c r="F15" s="141" t="s">
        <v>441</v>
      </c>
      <c r="G15" s="134" t="s">
        <v>442</v>
      </c>
    </row>
    <row r="16" spans="2:9" ht="39.75" customHeight="1">
      <c r="B16" s="259"/>
      <c r="C16" s="132" t="s">
        <v>368</v>
      </c>
      <c r="D16" s="133">
        <v>2.4</v>
      </c>
      <c r="E16" s="258"/>
      <c r="F16" s="142" t="s">
        <v>443</v>
      </c>
      <c r="G16" s="137" t="s">
        <v>444</v>
      </c>
    </row>
    <row r="17" spans="2:7" ht="102" customHeight="1">
      <c r="B17" s="131" t="s">
        <v>195</v>
      </c>
      <c r="C17" s="138" t="s">
        <v>445</v>
      </c>
      <c r="D17" s="135">
        <v>2.95</v>
      </c>
      <c r="E17" s="136">
        <v>2.95</v>
      </c>
      <c r="F17" s="139" t="s">
        <v>446</v>
      </c>
      <c r="G17" s="139" t="s">
        <v>447</v>
      </c>
    </row>
    <row r="18" spans="2:7" ht="18">
      <c r="B18" s="253" t="s">
        <v>243</v>
      </c>
      <c r="C18" s="253"/>
      <c r="D18" s="253"/>
      <c r="E18" s="81">
        <f>SUM(E4:E17)</f>
        <v>14.149999999999999</v>
      </c>
      <c r="F18" s="116"/>
      <c r="G18" s="116"/>
    </row>
  </sheetData>
  <autoFilter ref="B3:G18" xr:uid="{00000000-0009-0000-0000-00000A000000}"/>
  <mergeCells count="13">
    <mergeCell ref="B18:D18"/>
    <mergeCell ref="B4:B6"/>
    <mergeCell ref="E4:E6"/>
    <mergeCell ref="F4:F5"/>
    <mergeCell ref="B7:B9"/>
    <mergeCell ref="E7:E9"/>
    <mergeCell ref="B10:B11"/>
    <mergeCell ref="E10:E11"/>
    <mergeCell ref="B12:B14"/>
    <mergeCell ref="E12:E14"/>
    <mergeCell ref="F12:F14"/>
    <mergeCell ref="B15:B16"/>
    <mergeCell ref="E15:E16"/>
  </mergeCells>
  <phoneticPr fontId="2"/>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33"/>
  <sheetViews>
    <sheetView zoomScale="90" zoomScaleNormal="90" workbookViewId="0">
      <selection activeCell="F13" sqref="F13"/>
    </sheetView>
  </sheetViews>
  <sheetFormatPr defaultRowHeight="18"/>
  <cols>
    <col min="1" max="1" width="3.125" customWidth="1"/>
    <col min="2" max="2" width="3.625" bestFit="1" customWidth="1"/>
    <col min="3" max="4" width="13.625" customWidth="1"/>
    <col min="5" max="5" width="27.125" customWidth="1"/>
    <col min="6" max="6" width="11.625" customWidth="1"/>
    <col min="7" max="7" width="26.625" customWidth="1"/>
    <col min="8" max="8" width="25.625" customWidth="1"/>
    <col min="9" max="9" width="26.5" customWidth="1"/>
  </cols>
  <sheetData>
    <row r="2" spans="2:10">
      <c r="B2" s="1" t="s">
        <v>453</v>
      </c>
    </row>
    <row r="3" spans="2:10">
      <c r="C3" t="s">
        <v>454</v>
      </c>
    </row>
    <row r="4" spans="2:10">
      <c r="C4" t="s">
        <v>455</v>
      </c>
    </row>
    <row r="5" spans="2:10">
      <c r="C5" t="s">
        <v>456</v>
      </c>
    </row>
    <row r="8" spans="2:10">
      <c r="B8" s="1" t="s">
        <v>457</v>
      </c>
      <c r="C8" s="1"/>
      <c r="D8" s="1"/>
      <c r="E8" s="1"/>
    </row>
    <row r="9" spans="2:10">
      <c r="B9" s="2" t="s">
        <v>458</v>
      </c>
      <c r="C9" s="272" t="s">
        <v>459</v>
      </c>
      <c r="D9" s="272"/>
      <c r="E9" s="3" t="s">
        <v>460</v>
      </c>
      <c r="F9" s="3" t="s">
        <v>461</v>
      </c>
      <c r="G9" s="3" t="s">
        <v>462</v>
      </c>
      <c r="H9" s="3" t="s">
        <v>463</v>
      </c>
      <c r="I9" s="3" t="s">
        <v>464</v>
      </c>
    </row>
    <row r="10" spans="2:10" ht="89.45" customHeight="1">
      <c r="B10" s="4">
        <v>1</v>
      </c>
      <c r="C10" s="271" t="s">
        <v>465</v>
      </c>
      <c r="D10" s="271"/>
      <c r="E10" s="5" t="s">
        <v>466</v>
      </c>
      <c r="F10" s="17">
        <v>5.75</v>
      </c>
      <c r="G10" s="15" t="s">
        <v>467</v>
      </c>
      <c r="H10" s="15" t="s">
        <v>468</v>
      </c>
      <c r="I10" s="5" t="s">
        <v>469</v>
      </c>
      <c r="J10">
        <f>4
+0.5
+0.25
+0.5
+0.5</f>
        <v>5.75</v>
      </c>
    </row>
    <row r="11" spans="2:10" ht="89.45" customHeight="1">
      <c r="B11" s="4">
        <v>2</v>
      </c>
      <c r="C11" s="271" t="s">
        <v>470</v>
      </c>
      <c r="D11" s="271"/>
      <c r="E11" s="5" t="s">
        <v>466</v>
      </c>
      <c r="F11" s="17">
        <v>5.75</v>
      </c>
      <c r="G11" s="15" t="s">
        <v>467</v>
      </c>
      <c r="H11" s="15" t="s">
        <v>468</v>
      </c>
      <c r="I11" s="5" t="s">
        <v>469</v>
      </c>
      <c r="J11">
        <f>4
+0.5
+0.25
+0.5
+0.5</f>
        <v>5.75</v>
      </c>
    </row>
    <row r="12" spans="2:10" ht="87">
      <c r="B12" s="4">
        <v>3</v>
      </c>
      <c r="C12" s="271" t="s">
        <v>471</v>
      </c>
      <c r="D12" s="271"/>
      <c r="E12" s="6" t="s">
        <v>472</v>
      </c>
      <c r="F12" s="17">
        <v>8.5</v>
      </c>
      <c r="G12" s="15" t="s">
        <v>473</v>
      </c>
      <c r="H12" s="15" t="s">
        <v>474</v>
      </c>
      <c r="I12" s="5" t="s">
        <v>475</v>
      </c>
      <c r="J12" s="18">
        <f>4
+0.5*4
+0.25*4
+0.5*2
+0.5</f>
        <v>8.5</v>
      </c>
    </row>
    <row r="13" spans="2:10" ht="87">
      <c r="B13" s="4">
        <v>4</v>
      </c>
      <c r="C13" s="271" t="s">
        <v>476</v>
      </c>
      <c r="D13" s="271"/>
      <c r="E13" s="6" t="s">
        <v>477</v>
      </c>
      <c r="F13" s="17">
        <v>6.75</v>
      </c>
      <c r="G13" s="15" t="s">
        <v>478</v>
      </c>
      <c r="H13" s="15" t="s">
        <v>479</v>
      </c>
      <c r="I13" s="5" t="s">
        <v>475</v>
      </c>
      <c r="J13">
        <f>4
+0.5*2
+0.25*2
+0.5*2
+0.25</f>
        <v>6.75</v>
      </c>
    </row>
    <row r="14" spans="2:10" ht="34.9">
      <c r="B14" s="4">
        <v>5</v>
      </c>
      <c r="C14" s="269" t="s">
        <v>480</v>
      </c>
      <c r="D14" s="270"/>
      <c r="E14" s="6"/>
      <c r="F14" s="17">
        <v>0.5</v>
      </c>
      <c r="G14" s="15" t="s">
        <v>341</v>
      </c>
      <c r="H14" s="16">
        <v>0.5</v>
      </c>
      <c r="I14" s="5" t="s">
        <v>481</v>
      </c>
    </row>
    <row r="15" spans="2:10" ht="69.599999999999994">
      <c r="B15" s="4">
        <v>6</v>
      </c>
      <c r="C15" s="271" t="s">
        <v>482</v>
      </c>
      <c r="D15" s="271"/>
      <c r="E15" s="5" t="s">
        <v>483</v>
      </c>
      <c r="F15" s="17">
        <v>6.75</v>
      </c>
      <c r="G15" s="15" t="s">
        <v>484</v>
      </c>
      <c r="H15" s="15" t="s">
        <v>485</v>
      </c>
      <c r="I15" s="5" t="s">
        <v>486</v>
      </c>
      <c r="J15">
        <f>4
+0.5*3
+0.25*3
+0.5</f>
        <v>6.75</v>
      </c>
    </row>
    <row r="16" spans="2:10" ht="34.9">
      <c r="B16" s="4">
        <v>7</v>
      </c>
      <c r="C16" s="271" t="s">
        <v>487</v>
      </c>
      <c r="D16" s="271"/>
      <c r="E16" s="6" t="s">
        <v>488</v>
      </c>
      <c r="F16" s="15">
        <v>4</v>
      </c>
      <c r="G16" s="15" t="s">
        <v>489</v>
      </c>
      <c r="H16" s="15">
        <v>4</v>
      </c>
      <c r="I16" s="5" t="s">
        <v>490</v>
      </c>
    </row>
    <row r="17" spans="2:9" ht="34.9">
      <c r="B17" s="4">
        <v>8</v>
      </c>
      <c r="C17" s="271" t="s">
        <v>491</v>
      </c>
      <c r="D17" s="271"/>
      <c r="E17" s="6" t="s">
        <v>488</v>
      </c>
      <c r="F17" s="15">
        <v>4</v>
      </c>
      <c r="G17" s="15" t="s">
        <v>492</v>
      </c>
      <c r="H17" s="15">
        <v>4</v>
      </c>
      <c r="I17" s="5" t="s">
        <v>493</v>
      </c>
    </row>
    <row r="18" spans="2:9">
      <c r="B18" s="4">
        <v>9</v>
      </c>
      <c r="C18" s="271" t="s">
        <v>494</v>
      </c>
      <c r="D18" s="271"/>
      <c r="E18" s="6" t="s">
        <v>495</v>
      </c>
      <c r="F18" s="15"/>
      <c r="G18" s="15"/>
      <c r="H18" s="15"/>
      <c r="I18" s="6" t="s">
        <v>496</v>
      </c>
    </row>
    <row r="19" spans="2:9">
      <c r="B19" s="14"/>
      <c r="C19" s="271" t="s">
        <v>497</v>
      </c>
      <c r="D19" s="271"/>
      <c r="E19" s="14"/>
      <c r="F19" s="17">
        <v>3.35</v>
      </c>
      <c r="G19" s="15"/>
      <c r="H19" s="15"/>
      <c r="I19" s="5" t="s">
        <v>475</v>
      </c>
    </row>
    <row r="21" spans="2:9">
      <c r="F21" t="s">
        <v>498</v>
      </c>
    </row>
    <row r="22" spans="2:9">
      <c r="F22" t="s">
        <v>499</v>
      </c>
    </row>
    <row r="23" spans="2:9">
      <c r="F23" t="s">
        <v>500</v>
      </c>
    </row>
    <row r="24" spans="2:9">
      <c r="F24" t="s">
        <v>501</v>
      </c>
    </row>
    <row r="25" spans="2:9">
      <c r="F25" t="s">
        <v>502</v>
      </c>
    </row>
    <row r="26" spans="2:9">
      <c r="F26" t="s">
        <v>503</v>
      </c>
    </row>
    <row r="27" spans="2:9">
      <c r="H27">
        <f>350+50*4+20*4+50*2+50</f>
        <v>780</v>
      </c>
    </row>
    <row r="28" spans="2:9">
      <c r="F28">
        <f>14*5/8*(100/20)</f>
        <v>43.75</v>
      </c>
      <c r="H28">
        <f>350+50*3+20*3+80</f>
        <v>640</v>
      </c>
    </row>
    <row r="29" spans="2:9">
      <c r="F29">
        <f>12*5/8*(100/20)</f>
        <v>37.5</v>
      </c>
    </row>
    <row r="30" spans="2:9">
      <c r="F30">
        <f>19*5/8*(100/20)</f>
        <v>59.375</v>
      </c>
    </row>
    <row r="31" spans="2:9">
      <c r="F31">
        <f>6*5/8*(100/20)</f>
        <v>18.75</v>
      </c>
    </row>
    <row r="32" spans="2:9">
      <c r="F32">
        <f>24*5/8*(100/20)</f>
        <v>75</v>
      </c>
    </row>
    <row r="33" spans="6:6">
      <c r="F33">
        <f>3*5/8*(100/20)</f>
        <v>9.375</v>
      </c>
    </row>
  </sheetData>
  <mergeCells count="11">
    <mergeCell ref="C9:D9"/>
    <mergeCell ref="C10:D10"/>
    <mergeCell ref="C11:D11"/>
    <mergeCell ref="C12:D12"/>
    <mergeCell ref="C13:D13"/>
    <mergeCell ref="C14:D14"/>
    <mergeCell ref="C16:D16"/>
    <mergeCell ref="C17:D17"/>
    <mergeCell ref="C19:D19"/>
    <mergeCell ref="C18:D18"/>
    <mergeCell ref="C15:D15"/>
  </mergeCells>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864CA5-6A36-4D32-A246-460A558B2DC7}"/>
</file>

<file path=customXml/itemProps2.xml><?xml version="1.0" encoding="utf-8"?>
<ds:datastoreItem xmlns:ds="http://schemas.openxmlformats.org/officeDocument/2006/customXml" ds:itemID="{5981F85A-055B-4358-A056-491E00B5D576}"/>
</file>

<file path=customXml/itemProps3.xml><?xml version="1.0" encoding="utf-8"?>
<ds:datastoreItem xmlns:ds="http://schemas.openxmlformats.org/officeDocument/2006/customXml" ds:itemID="{9BD6512D-A18B-4320-B63D-7ECD6E39B95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野村康二</cp:lastModifiedBy>
  <cp:revision/>
  <dcterms:created xsi:type="dcterms:W3CDTF">2023-12-19T04:33:48Z</dcterms:created>
  <dcterms:modified xsi:type="dcterms:W3CDTF">2025-04-02T05:14:52Z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