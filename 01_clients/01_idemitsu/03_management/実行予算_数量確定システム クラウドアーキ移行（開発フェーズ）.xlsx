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3" documentId="13_ncr:1_{B915D0D8-0CEF-4E4E-BBE2-3D90397DF406}" xr6:coauthVersionLast="47" xr6:coauthVersionMax="47" xr10:uidLastSave="{4C9172F8-2A95-4558-A475-1474229E7935}"/>
  <bookViews>
    <workbookView xWindow="28680" yWindow="-120" windowWidth="29040" windowHeight="1572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2" l="1"/>
  <c r="E3" i="2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AF59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<sst xmlns="http://schemas.openxmlformats.org/spreadsheetml/2006/main" count="106" uniqueCount="88">
  <si>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</si>
  <si>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</si>
  <si>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</si>
  <si>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</si>
  <si>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数量確定システム クラウドアーキ移行（開発フェーズ）</t>
    <rPh sb="0" eb="2">
      <t>スウリョウ</t>
    </rPh>
    <rPh sb="2" eb="4">
      <t>カクテイ</t>
    </rPh>
    <rPh sb="16" eb="18">
      <t>イコウ</t>
    </rPh>
    <rPh sb="19" eb="21">
      <t>カイハツ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</si>
  <si>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</si>
  <si>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</si>
  <si>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</si>
  <si>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</si>
  <si>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</si>
  <si>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</si>
  <si>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</si>
  <si>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</si>
  <si>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</si>
  <si>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</si>
  <si>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</si>
  <si>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</si>
  <si>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</si>
  <si>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</si>
  <si>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</si>
  <si>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</si>
  <si>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</si>
  <si>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</si>
  <si>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</si>
  <si>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</si>
  <si>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</si>
  <si>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</si>
  <si>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石井徹</t>
    <rPh sb="0" eb="2">
      <t>イシイ</t>
    </rPh>
    <rPh sb="2" eb="3">
      <t>トオル</t>
    </rPh>
    <phoneticPr fontId="3"/>
  </si>
  <si>
    <t>天川絢弥</t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</si>
  <si>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</si>
  <si>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</si>
  <si>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</si>
  <si>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</si>
  <si>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</si>
  <si>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</si>
  <si>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</si>
  <si>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</si>
  <si>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</si>
  <si>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</si>
  <si>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</si>
  <si>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</si>
  <si>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</si>
  <si>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  <phoneticPr fontId="3"/>
  </si>
  <si>
    <t>吉田雅士</t>
    <phoneticPr fontId="3"/>
  </si>
  <si>
    <t>BP</t>
  </si>
  <si>
    <t>NguyenMinhTho</t>
    <phoneticPr fontId="3"/>
  </si>
  <si>
    <t>NguyenThiDao</t>
    <phoneticPr fontId="3"/>
  </si>
  <si>
    <t>HuynhHuuLoc</t>
    <phoneticPr fontId="3"/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</si>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</sst>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 applyProtection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179" fontId="4" fillId="3" borderId="4" xfId="1" applyNumberFormat="1" applyFont="1" applyFill="1" applyBorder="1" applyAlignment="1">
      <alignment vertical="center"/>
    </xf>
    <xf numFmtId="5" fontId="4" fillId="3" borderId="4" xfId="1" applyNumberFormat="1" applyFont="1" applyFill="1" applyBorder="1" applyAlignment="1">
      <alignment vertical="center"/>
    </xf>
    <xf numFmtId="177" fontId="4" fillId="3" borderId="4" xfId="1" applyNumberFormat="1" applyFont="1" applyFill="1" applyBorder="1" applyAlignment="1">
      <alignment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stemexe2021-my.sharepoint.com/personal/taiki_serizawa_system-exe_jp/Documents/Microsoft%20Teams%20&#12481;&#12515;&#12483;&#12488;%20&#12501;&#12449;&#12452;&#12523;/&#12304;&#20986;&#20809;&#33288;&#29987;&#27096;&#12305;&#24037;&#22580;&#31995;&#12471;&#12473;&#12486;&#12512;%20Azure&#31227;&#34892;(&#26041;&#37341;&#22793;&#26356;)&#26696;&#20214;_&#12522;&#12477;&#12540;&#12473;&#25552;&#26696;_20251029.xlsx" TargetMode="External"/><Relationship Id="rId1" Type="http://schemas.openxmlformats.org/officeDocument/2006/relationships/externalLinkPath" Target="https://systemexe2021-my.sharepoint.com/personal/taiki_serizawa_system-exe_jp/Documents/Microsoft%20Teams%20&#12481;&#12515;&#12483;&#12488;%20&#12501;&#12449;&#12452;&#12523;/&#12304;&#20986;&#20809;&#33288;&#29987;&#27096;&#12305;&#24037;&#22580;&#31995;&#12471;&#12473;&#12486;&#12512;%20Azure&#31227;&#34892;(&#26041;&#37341;&#22793;&#26356;)&#26696;&#20214;_&#12522;&#12477;&#12540;&#12473;&#25552;&#26696;_202510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備考"/>
      <sheetName val="要員計画(2月中旬）"/>
      <sheetName val="要員計画 (１月)"/>
      <sheetName val="要員計画"/>
      <sheetName val="レベル定義"/>
    </sheetNames>
    <sheetDataSet>
      <sheetData sheetId="0"/>
      <sheetData sheetId="1"/>
      <sheetData sheetId="2"/>
      <sheetData sheetId="3">
        <row r="15">
          <cell r="Q15">
            <v>225000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zoomScale="130" zoomScaleNormal="130" workbookViewId="0"/>
  </sheetViews>
  <sheetFormatPr defaultColWidth="8.125" defaultRowHeight="12.6"/>
  <cols>
    <col min="1" max="1" width="14.625" style="2" customWidth="1"/>
    <col min="2" max="2" width="7.625" style="2" bestFit="1" customWidth="1"/>
    <col min="3" max="3" width="14.625" style="2" customWidth="1"/>
    <col min="4" max="31" width="7" style="2" customWidth="1"/>
    <col min="32" max="32" width="7.625" style="2" customWidth="1"/>
    <col min="33" max="16384" width="8.125" style="2"/>
  </cols>
  <sheetData>
    <row r="1" spans="1:32" ht="19.5">
      <c r="A1" s="1" t="s">
        <v>0</v>
      </c>
      <c r="D1" s="3" t="s">
        <v>1</v>
      </c>
    </row>
    <row r="2" spans="1:32" ht="5.25" customHeight="1">
      <c r="A2" s="1"/>
    </row>
    <row r="3" spans="1:32">
      <c r="A3" s="4" t="s">
        <v>2</v>
      </c>
      <c r="B3" s="61"/>
      <c r="C3" s="62"/>
      <c r="D3" s="5" t="s">
        <v>3</v>
      </c>
      <c r="E3" s="61" t="s">
        <v>4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5" t="s">
        <v>5</v>
      </c>
      <c r="B4" s="61" t="s">
        <v>6</v>
      </c>
      <c r="C4" s="62"/>
      <c r="D4" s="5" t="s">
        <v>7</v>
      </c>
      <c r="E4" s="42"/>
      <c r="F4" s="42"/>
      <c r="G4" s="5" t="s">
        <v>8</v>
      </c>
      <c r="H4" s="64">
        <f>AF59</f>
        <v>180</v>
      </c>
      <c r="I4" s="64"/>
      <c r="J4" s="5" t="s">
        <v>9</v>
      </c>
      <c r="K4" s="65">
        <f>外注費・経費!K4</f>
        <v>2350000</v>
      </c>
      <c r="L4" s="65"/>
      <c r="M4" s="5" t="s">
        <v>10</v>
      </c>
      <c r="N4" s="65">
        <v>0</v>
      </c>
      <c r="O4" s="65"/>
    </row>
    <row r="5" spans="1:32" ht="6" customHeight="1"/>
    <row r="6" spans="1:32" s="6" customFormat="1">
      <c r="A6" s="28" t="s">
        <v>11</v>
      </c>
      <c r="B6" s="31" t="s">
        <v>12</v>
      </c>
      <c r="C6" s="31" t="s">
        <v>13</v>
      </c>
      <c r="D6" s="34" t="s">
        <v>14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15</v>
      </c>
    </row>
    <row r="7" spans="1:32" s="6" customFormat="1" ht="12" customHeight="1">
      <c r="A7" s="29"/>
      <c r="B7" s="32"/>
      <c r="C7" s="32"/>
      <c r="D7" s="35" t="s">
        <v>16</v>
      </c>
      <c r="E7" s="36"/>
      <c r="F7" s="37"/>
      <c r="G7" s="35" t="s">
        <v>17</v>
      </c>
      <c r="H7" s="36"/>
      <c r="I7" s="37"/>
      <c r="J7" s="35" t="s">
        <v>18</v>
      </c>
      <c r="K7" s="36"/>
      <c r="L7" s="37"/>
      <c r="M7" s="35" t="s">
        <v>19</v>
      </c>
      <c r="N7" s="36"/>
      <c r="O7" s="37"/>
      <c r="P7" s="35" t="s">
        <v>20</v>
      </c>
      <c r="Q7" s="36"/>
      <c r="R7" s="37"/>
      <c r="S7" s="35" t="s">
        <v>21</v>
      </c>
      <c r="T7" s="36"/>
      <c r="U7" s="37"/>
      <c r="V7" s="35" t="s">
        <v>22</v>
      </c>
      <c r="W7" s="36"/>
      <c r="X7" s="37"/>
      <c r="Y7" s="35" t="s">
        <v>23</v>
      </c>
      <c r="Z7" s="36"/>
      <c r="AA7" s="37"/>
      <c r="AB7" s="35" t="s">
        <v>24</v>
      </c>
      <c r="AC7" s="36"/>
      <c r="AD7" s="37"/>
      <c r="AE7" s="38" t="s">
        <v>25</v>
      </c>
      <c r="AF7" s="40"/>
    </row>
    <row r="8" spans="1:32" s="6" customFormat="1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>
      <c r="A9" s="21" t="s">
        <v>26</v>
      </c>
      <c r="B9" s="8">
        <v>397</v>
      </c>
      <c r="C9" s="8" t="s">
        <v>27</v>
      </c>
      <c r="D9" s="22"/>
      <c r="E9" s="22"/>
      <c r="F9" s="22"/>
      <c r="G9" s="22"/>
      <c r="H9" s="22"/>
      <c r="I9" s="22"/>
      <c r="J9" s="22"/>
      <c r="K9" s="22">
        <v>40</v>
      </c>
      <c r="L9" s="22">
        <v>20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60</v>
      </c>
    </row>
    <row r="10" spans="1:32">
      <c r="A10" s="8" t="s">
        <v>26</v>
      </c>
      <c r="B10" s="8">
        <v>1191</v>
      </c>
      <c r="C10" s="8" t="s">
        <v>28</v>
      </c>
      <c r="D10" s="22"/>
      <c r="E10" s="22"/>
      <c r="F10" s="22"/>
      <c r="G10" s="22"/>
      <c r="H10" s="22"/>
      <c r="I10" s="22"/>
      <c r="J10" s="22"/>
      <c r="K10" s="22">
        <v>80</v>
      </c>
      <c r="L10" s="22">
        <v>40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120</v>
      </c>
    </row>
    <row r="11" spans="1:32">
      <c r="A11" s="21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>
      <c r="A59" s="25" t="s">
        <v>15</v>
      </c>
      <c r="B59" s="26"/>
      <c r="C59" s="27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120</v>
      </c>
      <c r="L59" s="23">
        <f t="shared" si="1"/>
        <v>60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180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A12:A58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zoomScale="130" zoomScaleNormal="130" workbookViewId="0"/>
  </sheetViews>
  <sheetFormatPr defaultColWidth="8.125" defaultRowHeight="12.6"/>
  <cols>
    <col min="1" max="1" width="14.625" style="2" customWidth="1"/>
    <col min="2" max="2" width="7.625" style="2" customWidth="1"/>
    <col min="3" max="3" width="14.625" style="2" customWidth="1"/>
    <col min="4" max="31" width="8.125" style="2" customWidth="1"/>
    <col min="32" max="32" width="11.125" style="2" customWidth="1"/>
    <col min="33" max="16384" width="8.125" style="2"/>
  </cols>
  <sheetData>
    <row r="1" spans="1:32" ht="19.5">
      <c r="A1" s="1" t="s">
        <v>29</v>
      </c>
    </row>
    <row r="2" spans="1:32" ht="5.25" customHeight="1">
      <c r="A2" s="1"/>
    </row>
    <row r="3" spans="1:32">
      <c r="A3" s="9" t="s">
        <v>2</v>
      </c>
      <c r="B3" s="61"/>
      <c r="C3" s="62"/>
      <c r="D3" s="10" t="s">
        <v>3</v>
      </c>
      <c r="E3" s="61" t="str">
        <f>社員工数!E3</f>
        <v>数量確定システム クラウドアーキ移行（開発フェーズ）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9" t="s">
        <v>5</v>
      </c>
      <c r="B4" s="61" t="s">
        <v>30</v>
      </c>
      <c r="C4" s="62"/>
      <c r="D4" s="11" t="s">
        <v>7</v>
      </c>
      <c r="E4" s="57">
        <f>社員工数!E4</f>
        <v>0</v>
      </c>
      <c r="F4" s="57"/>
      <c r="G4" s="11" t="s">
        <v>8</v>
      </c>
      <c r="H4" s="64">
        <f>社員工数!H4</f>
        <v>180</v>
      </c>
      <c r="I4" s="64"/>
      <c r="J4" s="11" t="s">
        <v>9</v>
      </c>
      <c r="K4" s="66">
        <f>AF59</f>
        <v>2350000</v>
      </c>
      <c r="L4" s="66"/>
      <c r="M4" s="11" t="s">
        <v>10</v>
      </c>
      <c r="N4" s="66">
        <f>SUMIF(A:A,"経費",AF:AF)</f>
        <v>0</v>
      </c>
      <c r="O4" s="66"/>
    </row>
    <row r="5" spans="1:32" ht="6" customHeight="1"/>
    <row r="6" spans="1:32" s="6" customFormat="1">
      <c r="A6" s="43" t="s">
        <v>11</v>
      </c>
      <c r="B6" s="46" t="s">
        <v>31</v>
      </c>
      <c r="C6" s="46" t="s">
        <v>13</v>
      </c>
      <c r="D6" s="49" t="s">
        <v>32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54" t="s">
        <v>15</v>
      </c>
    </row>
    <row r="7" spans="1:32" s="6" customFormat="1" ht="12" customHeight="1">
      <c r="A7" s="44"/>
      <c r="B7" s="47"/>
      <c r="C7" s="47"/>
      <c r="D7" s="50" t="s">
        <v>33</v>
      </c>
      <c r="E7" s="51"/>
      <c r="F7" s="52"/>
      <c r="G7" s="50" t="s">
        <v>34</v>
      </c>
      <c r="H7" s="51"/>
      <c r="I7" s="52"/>
      <c r="J7" s="50" t="s">
        <v>35</v>
      </c>
      <c r="K7" s="51"/>
      <c r="L7" s="52"/>
      <c r="M7" s="50" t="s">
        <v>36</v>
      </c>
      <c r="N7" s="51"/>
      <c r="O7" s="52"/>
      <c r="P7" s="50" t="s">
        <v>37</v>
      </c>
      <c r="Q7" s="51"/>
      <c r="R7" s="52"/>
      <c r="S7" s="50" t="s">
        <v>38</v>
      </c>
      <c r="T7" s="51"/>
      <c r="U7" s="52"/>
      <c r="V7" s="50" t="s">
        <v>39</v>
      </c>
      <c r="W7" s="51"/>
      <c r="X7" s="52"/>
      <c r="Y7" s="50" t="s">
        <v>40</v>
      </c>
      <c r="Z7" s="51"/>
      <c r="AA7" s="52"/>
      <c r="AB7" s="50" t="s">
        <v>41</v>
      </c>
      <c r="AC7" s="51"/>
      <c r="AD7" s="52"/>
      <c r="AE7" s="53" t="s">
        <v>25</v>
      </c>
      <c r="AF7" s="55"/>
    </row>
    <row r="8" spans="1:32" s="6" customFormat="1">
      <c r="A8" s="45"/>
      <c r="B8" s="48"/>
      <c r="C8" s="48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48"/>
      <c r="AF8" s="56"/>
    </row>
    <row r="9" spans="1:32">
      <c r="A9" s="13" t="s">
        <v>42</v>
      </c>
      <c r="B9" s="14">
        <v>5249</v>
      </c>
      <c r="C9" s="13" t="s">
        <v>43</v>
      </c>
      <c r="D9" s="13"/>
      <c r="E9" s="13"/>
      <c r="F9" s="13"/>
      <c r="G9" s="13"/>
      <c r="H9" s="13"/>
      <c r="I9" s="13"/>
      <c r="J9" s="13"/>
      <c r="K9" s="13">
        <v>800000</v>
      </c>
      <c r="L9" s="13">
        <v>400000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1200000</v>
      </c>
    </row>
    <row r="10" spans="1:32">
      <c r="A10" s="13" t="s">
        <v>44</v>
      </c>
      <c r="B10" s="14">
        <v>5412</v>
      </c>
      <c r="C10" s="13" t="s">
        <v>45</v>
      </c>
      <c r="D10" s="13"/>
      <c r="E10" s="13"/>
      <c r="F10" s="13"/>
      <c r="G10" s="13"/>
      <c r="H10" s="13"/>
      <c r="I10" s="13"/>
      <c r="J10" s="13"/>
      <c r="K10" s="13">
        <v>350000</v>
      </c>
      <c r="L10" s="13">
        <v>175000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525000</v>
      </c>
    </row>
    <row r="11" spans="1:32">
      <c r="A11" s="13" t="s">
        <v>44</v>
      </c>
      <c r="B11" s="14">
        <v>3712</v>
      </c>
      <c r="C11" s="13" t="s">
        <v>46</v>
      </c>
      <c r="D11" s="13"/>
      <c r="E11" s="13"/>
      <c r="F11" s="13"/>
      <c r="G11" s="13"/>
      <c r="H11" s="13"/>
      <c r="I11" s="13"/>
      <c r="J11" s="13"/>
      <c r="K11" s="13">
        <f>[1]要員計画!$Q$15</f>
        <v>225000</v>
      </c>
      <c r="L11" s="13">
        <v>225000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450000</v>
      </c>
    </row>
    <row r="12" spans="1:32">
      <c r="A12" s="13" t="s">
        <v>44</v>
      </c>
      <c r="B12" s="14">
        <v>5473</v>
      </c>
      <c r="C12" s="13" t="s">
        <v>47</v>
      </c>
      <c r="D12" s="13"/>
      <c r="E12" s="13"/>
      <c r="F12" s="13"/>
      <c r="G12" s="13"/>
      <c r="H12" s="13"/>
      <c r="I12" s="13"/>
      <c r="J12" s="13"/>
      <c r="K12" s="13">
        <v>87500</v>
      </c>
      <c r="L12" s="13">
        <v>87500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175000</v>
      </c>
    </row>
    <row r="13" spans="1:32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>
      <c r="A59" s="25" t="s">
        <v>15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1462500</v>
      </c>
      <c r="L59" s="15">
        <f t="shared" si="1"/>
        <v>887500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2350000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A11:A58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625" defaultRowHeight="18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125" style="18" bestFit="1" customWidth="1"/>
    <col min="7" max="7" width="11.125" style="18" customWidth="1"/>
    <col min="8" max="8" width="5.625" style="18" customWidth="1"/>
    <col min="9" max="9" width="11.62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>
      <c r="A1" s="60" t="s">
        <v>48</v>
      </c>
      <c r="B1" s="17" t="s">
        <v>49</v>
      </c>
      <c r="C1" s="60" t="s">
        <v>50</v>
      </c>
      <c r="D1" s="60" t="s">
        <v>51</v>
      </c>
      <c r="E1" s="60" t="s">
        <v>52</v>
      </c>
      <c r="F1" s="60" t="s">
        <v>53</v>
      </c>
      <c r="G1" s="60" t="s">
        <v>54</v>
      </c>
      <c r="H1" s="58" t="s">
        <v>55</v>
      </c>
      <c r="I1" s="59"/>
      <c r="J1" s="60" t="s">
        <v>56</v>
      </c>
      <c r="K1" s="60" t="s">
        <v>57</v>
      </c>
      <c r="L1" s="60" t="s">
        <v>58</v>
      </c>
    </row>
    <row r="2" spans="1:12">
      <c r="A2" s="60"/>
      <c r="B2" s="17" t="s">
        <v>59</v>
      </c>
      <c r="C2" s="60"/>
      <c r="D2" s="60"/>
      <c r="E2" s="60"/>
      <c r="F2" s="60"/>
      <c r="G2" s="60"/>
      <c r="H2" s="17" t="s">
        <v>48</v>
      </c>
      <c r="I2" s="17" t="s">
        <v>60</v>
      </c>
      <c r="J2" s="60"/>
      <c r="K2" s="60"/>
      <c r="L2" s="60"/>
    </row>
    <row r="3" spans="1:12">
      <c r="A3" s="19">
        <v>1</v>
      </c>
      <c r="B3" s="20">
        <v>0.1</v>
      </c>
      <c r="C3" s="19" t="s">
        <v>61</v>
      </c>
      <c r="D3" s="19" t="s">
        <v>62</v>
      </c>
      <c r="E3" s="19" t="s">
        <v>63</v>
      </c>
      <c r="F3" s="19" t="s">
        <v>64</v>
      </c>
      <c r="G3" s="19" t="s">
        <v>65</v>
      </c>
      <c r="H3" s="19">
        <v>1</v>
      </c>
      <c r="I3" s="19" t="s">
        <v>66</v>
      </c>
      <c r="J3" s="19" t="s">
        <v>67</v>
      </c>
      <c r="K3" s="19" t="s">
        <v>26</v>
      </c>
      <c r="L3" s="19" t="s">
        <v>68</v>
      </c>
    </row>
    <row r="4" spans="1:12">
      <c r="A4" s="19">
        <v>2</v>
      </c>
      <c r="B4" s="20"/>
      <c r="C4" s="19"/>
      <c r="D4" s="19"/>
      <c r="E4" s="19" t="s">
        <v>69</v>
      </c>
      <c r="F4" s="19" t="s">
        <v>70</v>
      </c>
      <c r="G4" s="19" t="s">
        <v>71</v>
      </c>
      <c r="H4" s="19">
        <v>2</v>
      </c>
      <c r="I4" s="19" t="s">
        <v>72</v>
      </c>
      <c r="J4" s="19" t="s">
        <v>73</v>
      </c>
      <c r="K4" s="19" t="s">
        <v>74</v>
      </c>
      <c r="L4" s="19" t="s">
        <v>75</v>
      </c>
    </row>
    <row r="5" spans="1:12">
      <c r="A5" s="19">
        <v>3</v>
      </c>
      <c r="B5" s="19"/>
      <c r="C5" s="19"/>
      <c r="D5" s="19"/>
      <c r="E5" s="19"/>
      <c r="F5" s="19" t="s">
        <v>76</v>
      </c>
      <c r="G5" s="19" t="s">
        <v>77</v>
      </c>
      <c r="H5" s="19">
        <v>3</v>
      </c>
      <c r="I5" s="19" t="s">
        <v>78</v>
      </c>
      <c r="J5" s="19" t="s">
        <v>79</v>
      </c>
      <c r="K5" s="19" t="s">
        <v>80</v>
      </c>
      <c r="L5" s="19"/>
    </row>
    <row r="6" spans="1:12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81</v>
      </c>
      <c r="L6" s="19"/>
    </row>
    <row r="7" spans="1:12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82</v>
      </c>
      <c r="L7" s="19"/>
    </row>
    <row r="8" spans="1:12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83</v>
      </c>
      <c r="L8" s="19"/>
    </row>
    <row r="9" spans="1:12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84</v>
      </c>
      <c r="L9" s="19"/>
    </row>
    <row r="10" spans="1:12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85</v>
      </c>
      <c r="L10" s="19"/>
    </row>
    <row r="11" spans="1:12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86</v>
      </c>
      <c r="L11" s="19"/>
    </row>
    <row r="12" spans="1:12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87</v>
      </c>
      <c r="L12" s="19"/>
    </row>
    <row r="13" spans="1:12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cd2f88ee6a2934efb41cd9289b91e144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a4c4fd50c0b00be67728f9d39ce10164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9A60F8-E17A-4040-9F5A-9546630000D3}"/>
</file>

<file path=customXml/itemProps2.xml><?xml version="1.0" encoding="utf-8"?>
<ds:datastoreItem xmlns:ds="http://schemas.openxmlformats.org/officeDocument/2006/customXml" ds:itemID="{31E6A4BA-F386-4DF4-9C1E-5FC1525CA7B8}"/>
</file>

<file path=customXml/itemProps3.xml><?xml version="1.0" encoding="utf-8"?>
<ds:datastoreItem xmlns:ds="http://schemas.openxmlformats.org/officeDocument/2006/customXml" ds:itemID="{B10E40B5-EA8B-49F8-B3F7-D12D721068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髙浦祐朗</cp:lastModifiedBy>
  <cp:revision/>
  <dcterms:created xsi:type="dcterms:W3CDTF">2021-04-22T09:34:49Z</dcterms:created>
  <dcterms:modified xsi:type="dcterms:W3CDTF">2025-10-30T06:25:10Z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