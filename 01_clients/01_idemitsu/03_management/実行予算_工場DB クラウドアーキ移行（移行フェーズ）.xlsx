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ru.ishii.SYSTEM-EXE\Downloads\"/>
    </mc:Choice>
  </mc:AlternateContent>
  <xr:revisionPtr revIDLastSave="0" documentId="13_ncr:1_{D4E6C5AE-075A-4237-ABFF-BB866DC335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<sst xmlns="http://schemas.openxmlformats.org/spreadsheetml/2006/main" count="100" uniqueCount="83">
  <si>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</si>
  <si>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</si>
  <si>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</si>
  <si>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</si>
  <si>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ヤード操業システム クラウドアーキ移行（開発フェーズ）</t>
    <rPh sb="3" eb="5">
      <t>ソウギョウ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</si>
  <si>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</si>
  <si>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</si>
  <si>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</si>
  <si>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</si>
  <si>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</si>
  <si>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</si>
  <si>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</si>
  <si>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</si>
  <si>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</si>
  <si>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</si>
  <si>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</si>
  <si>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</si>
  <si>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</si>
  <si>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</si>
  <si>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</si>
  <si>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</si>
  <si>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</si>
  <si>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</si>
  <si>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</si>
  <si>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</si>
  <si>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</si>
  <si>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</si>
  <si>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石井徹</t>
    <rPh sb="0" eb="2">
      <t>イシイ</t>
    </rPh>
    <rPh sb="2" eb="3">
      <t>トオル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</si>
  <si>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</si>
  <si>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</si>
  <si>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</si>
  <si>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</si>
  <si>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</si>
  <si>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</si>
  <si>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</si>
  <si>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</si>
  <si>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</si>
  <si>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</si>
  <si>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</si>
  <si>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</si>
  <si>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</si>
  <si>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</si>
  <si>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</si>
  <si>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</si>
  <si>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</si>
  <si>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</si>
  <si>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</si>
  <si>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</si>
  <si>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</si>
  <si>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</si>
  <si>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</si>
  <si>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</si>
  <si>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</si>
  <si>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</si>
  <si>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</si>
  <si>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</si>
  <si>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</si>
  <si>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</si>
  <si>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</si>
  <si>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</si>
  <si>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</si>
  <si>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</si>
  <si>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</si>
  <si>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</si>
  <si>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</si>
  <si>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</si>
  <si>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</si>
  <si>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</si>
  <si>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</si>
  <si>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</si>
  <si>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</si>
  <si>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</si>
  <si>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</si>
  <si>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</si>
  <si>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</si>
  <si>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</si>
  <si>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</si>
  <si>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</si>
  <si>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</si>
  <si>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</si>
  <si>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</si>
  <si>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天川絢弥</t>
  </si>
  <si>
    <t>馬場勇輝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</si>
</sst>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42"/>
      <c r="C3" s="43"/>
      <c r="D3" s="5" t="s">
        <v>3</v>
      </c>
      <c r="E3" s="42" t="s">
        <v>4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5</v>
      </c>
      <c r="B4" s="42" t="s">
        <v>6</v>
      </c>
      <c r="C4" s="43"/>
      <c r="D4" s="5" t="s">
        <v>7</v>
      </c>
      <c r="E4" s="45"/>
      <c r="F4" s="45"/>
      <c r="G4" s="5" t="s">
        <v>8</v>
      </c>
      <c r="H4" s="46">
        <f>AF59</f>
        <v>64</v>
      </c>
      <c r="I4" s="46"/>
      <c r="J4" s="5" t="s">
        <v>9</v>
      </c>
      <c r="K4" s="47">
        <f>外注費・経費!K4</f>
        <v>0</v>
      </c>
      <c r="L4" s="47"/>
      <c r="M4" s="5" t="s">
        <v>10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11</v>
      </c>
      <c r="B6" s="31" t="s">
        <v>12</v>
      </c>
      <c r="C6" s="31" t="s">
        <v>13</v>
      </c>
      <c r="D6" s="34" t="s">
        <v>14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15</v>
      </c>
    </row>
    <row r="7" spans="1:32" s="6" customFormat="1" ht="12" customHeight="1" x14ac:dyDescent="0.55000000000000004">
      <c r="A7" s="29"/>
      <c r="B7" s="32"/>
      <c r="C7" s="32"/>
      <c r="D7" s="35" t="s">
        <v>16</v>
      </c>
      <c r="E7" s="36"/>
      <c r="F7" s="37"/>
      <c r="G7" s="35" t="s">
        <v>17</v>
      </c>
      <c r="H7" s="36"/>
      <c r="I7" s="37"/>
      <c r="J7" s="35" t="s">
        <v>18</v>
      </c>
      <c r="K7" s="36"/>
      <c r="L7" s="37"/>
      <c r="M7" s="35" t="s">
        <v>19</v>
      </c>
      <c r="N7" s="36"/>
      <c r="O7" s="37"/>
      <c r="P7" s="35" t="s">
        <v>20</v>
      </c>
      <c r="Q7" s="36"/>
      <c r="R7" s="37"/>
      <c r="S7" s="35" t="s">
        <v>21</v>
      </c>
      <c r="T7" s="36"/>
      <c r="U7" s="37"/>
      <c r="V7" s="35" t="s">
        <v>22</v>
      </c>
      <c r="W7" s="36"/>
      <c r="X7" s="37"/>
      <c r="Y7" s="35" t="s">
        <v>23</v>
      </c>
      <c r="Z7" s="36"/>
      <c r="AA7" s="37"/>
      <c r="AB7" s="35" t="s">
        <v>24</v>
      </c>
      <c r="AC7" s="36"/>
      <c r="AD7" s="37"/>
      <c r="AE7" s="38" t="s">
        <v>25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26</v>
      </c>
      <c r="B9" s="8">
        <v>692</v>
      </c>
      <c r="C9" s="8" t="s">
        <v>27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>
        <v>16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16</v>
      </c>
    </row>
    <row r="10" spans="1:32" x14ac:dyDescent="0.55000000000000004">
      <c r="A10" s="8" t="s">
        <v>26</v>
      </c>
      <c r="B10" s="8">
        <v>1191</v>
      </c>
      <c r="C10" s="8" t="s">
        <v>81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v>24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24</v>
      </c>
    </row>
    <row r="11" spans="1:32" x14ac:dyDescent="0.55000000000000004">
      <c r="A11" s="21" t="s">
        <v>26</v>
      </c>
      <c r="B11" s="8">
        <v>1574</v>
      </c>
      <c r="C11" s="8" t="s">
        <v>82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>
        <v>24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24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15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64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64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28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42"/>
      <c r="C3" s="43"/>
      <c r="D3" s="10" t="s">
        <v>3</v>
      </c>
      <c r="E3" s="42" t="str">
        <f>社員工数!E3</f>
        <v>ヤード操業システム クラウドアーキ移行（開発フェーズ）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5</v>
      </c>
      <c r="B4" s="42" t="s">
        <v>29</v>
      </c>
      <c r="C4" s="43"/>
      <c r="D4" s="11" t="s">
        <v>7</v>
      </c>
      <c r="E4" s="62">
        <f>社員工数!E4</f>
        <v>0</v>
      </c>
      <c r="F4" s="62"/>
      <c r="G4" s="11" t="s">
        <v>8</v>
      </c>
      <c r="H4" s="46">
        <f>社員工数!H4</f>
        <v>64</v>
      </c>
      <c r="I4" s="46"/>
      <c r="J4" s="11" t="s">
        <v>9</v>
      </c>
      <c r="K4" s="63">
        <f>AF59</f>
        <v>0</v>
      </c>
      <c r="L4" s="63"/>
      <c r="M4" s="11" t="s">
        <v>10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11</v>
      </c>
      <c r="B6" s="51" t="s">
        <v>30</v>
      </c>
      <c r="C6" s="51" t="s">
        <v>13</v>
      </c>
      <c r="D6" s="54" t="s">
        <v>31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15</v>
      </c>
    </row>
    <row r="7" spans="1:32" s="6" customFormat="1" ht="12" customHeight="1" x14ac:dyDescent="0.55000000000000004">
      <c r="A7" s="49"/>
      <c r="B7" s="52"/>
      <c r="C7" s="52"/>
      <c r="D7" s="55" t="s">
        <v>32</v>
      </c>
      <c r="E7" s="56"/>
      <c r="F7" s="57"/>
      <c r="G7" s="55" t="s">
        <v>33</v>
      </c>
      <c r="H7" s="56"/>
      <c r="I7" s="57"/>
      <c r="J7" s="55" t="s">
        <v>34</v>
      </c>
      <c r="K7" s="56"/>
      <c r="L7" s="57"/>
      <c r="M7" s="55" t="s">
        <v>35</v>
      </c>
      <c r="N7" s="56"/>
      <c r="O7" s="57"/>
      <c r="P7" s="55" t="s">
        <v>36</v>
      </c>
      <c r="Q7" s="56"/>
      <c r="R7" s="57"/>
      <c r="S7" s="55" t="s">
        <v>37</v>
      </c>
      <c r="T7" s="56"/>
      <c r="U7" s="57"/>
      <c r="V7" s="55" t="s">
        <v>38</v>
      </c>
      <c r="W7" s="56"/>
      <c r="X7" s="57"/>
      <c r="Y7" s="55" t="s">
        <v>39</v>
      </c>
      <c r="Z7" s="56"/>
      <c r="AA7" s="57"/>
      <c r="AB7" s="55" t="s">
        <v>40</v>
      </c>
      <c r="AC7" s="56"/>
      <c r="AD7" s="57"/>
      <c r="AE7" s="58" t="s">
        <v>25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/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15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A10:A58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08203125" style="18" bestFit="1" customWidth="1"/>
    <col min="7" max="7" width="11.08203125" style="18" customWidth="1"/>
    <col min="8" max="8" width="5.58203125" style="18" customWidth="1"/>
    <col min="9" max="9" width="11.58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41</v>
      </c>
      <c r="B1" s="17" t="s">
        <v>42</v>
      </c>
      <c r="C1" s="66" t="s">
        <v>43</v>
      </c>
      <c r="D1" s="66" t="s">
        <v>44</v>
      </c>
      <c r="E1" s="66" t="s">
        <v>45</v>
      </c>
      <c r="F1" s="66" t="s">
        <v>46</v>
      </c>
      <c r="G1" s="66" t="s">
        <v>47</v>
      </c>
      <c r="H1" s="64" t="s">
        <v>48</v>
      </c>
      <c r="I1" s="65"/>
      <c r="J1" s="66" t="s">
        <v>49</v>
      </c>
      <c r="K1" s="66" t="s">
        <v>50</v>
      </c>
      <c r="L1" s="66" t="s">
        <v>51</v>
      </c>
    </row>
    <row r="2" spans="1:12" x14ac:dyDescent="0.55000000000000004">
      <c r="A2" s="66"/>
      <c r="B2" s="17" t="s">
        <v>52</v>
      </c>
      <c r="C2" s="66"/>
      <c r="D2" s="66"/>
      <c r="E2" s="66"/>
      <c r="F2" s="66"/>
      <c r="G2" s="66"/>
      <c r="H2" s="17" t="s">
        <v>41</v>
      </c>
      <c r="I2" s="17" t="s">
        <v>53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>
        <v>1</v>
      </c>
      <c r="I3" s="19" t="s">
        <v>59</v>
      </c>
      <c r="J3" s="19" t="s">
        <v>60</v>
      </c>
      <c r="K3" s="19" t="s">
        <v>26</v>
      </c>
      <c r="L3" s="19" t="s">
        <v>61</v>
      </c>
    </row>
    <row r="4" spans="1:12" x14ac:dyDescent="0.55000000000000004">
      <c r="A4" s="19">
        <v>2</v>
      </c>
      <c r="B4" s="20"/>
      <c r="C4" s="19"/>
      <c r="D4" s="19"/>
      <c r="E4" s="19" t="s">
        <v>62</v>
      </c>
      <c r="F4" s="19" t="s">
        <v>63</v>
      </c>
      <c r="G4" s="19" t="s">
        <v>64</v>
      </c>
      <c r="H4" s="19">
        <v>2</v>
      </c>
      <c r="I4" s="19" t="s">
        <v>65</v>
      </c>
      <c r="J4" s="19" t="s">
        <v>66</v>
      </c>
      <c r="K4" s="19" t="s">
        <v>67</v>
      </c>
      <c r="L4" s="19" t="s">
        <v>68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69</v>
      </c>
      <c r="G5" s="19" t="s">
        <v>70</v>
      </c>
      <c r="H5" s="19">
        <v>3</v>
      </c>
      <c r="I5" s="19" t="s">
        <v>71</v>
      </c>
      <c r="J5" s="19" t="s">
        <v>72</v>
      </c>
      <c r="K5" s="19" t="s">
        <v>73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74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75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76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77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78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79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80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customXml/itemProps2.xml><?xml version="1.0" encoding="utf-8"?>
<ds:datastoreItem xmlns:ds="http://schemas.openxmlformats.org/officeDocument/2006/customXml" ds:itemID="{67989823-6AF6-403C-98A6-D2D839798844}"/>
</file>

<file path=customXml/itemProps3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2025-12-04T04:49:17Z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