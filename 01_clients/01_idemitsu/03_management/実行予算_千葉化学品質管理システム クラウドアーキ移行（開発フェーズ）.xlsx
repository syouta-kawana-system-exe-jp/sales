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14" documentId="13_ncr:1_{4F43DF14-B212-4076-88E6-AF0FCDD5DE5E}" xr6:coauthVersionLast="47" xr6:coauthVersionMax="47" xr10:uidLastSave="{D5C2283B-C357-44A0-A132-09F1FFCB25D7}"/>
  <bookViews>
    <workbookView xWindow="-110" yWindow="-110" windowWidth="19420" windowHeight="10300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9" i="2" l="1"/>
  <c r="AF18" i="2"/>
  <c r="AF17" i="2"/>
  <c r="AF10" i="1"/>
  <c r="AF9" i="1"/>
  <c r="E3" i="2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1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<sst xmlns="http://schemas.openxmlformats.org/spreadsheetml/2006/main" count="104" uniqueCount="86">
  <si>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</si>
  <si>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</si>
  <si>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</si>
  <si>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</si>
  <si>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千葉化学品質管理システム クラウドアーキ移行（開発フェーズ）</t>
    <rPh sb="0" eb="4">
      <t>チバカガク</t>
    </rPh>
    <rPh sb="4" eb="6">
      <t>ヒンシツ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</si>
  <si>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</si>
  <si>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</si>
  <si>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</si>
  <si>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</si>
  <si>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</si>
  <si>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</si>
  <si>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</si>
  <si>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</si>
  <si>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</si>
  <si>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</si>
  <si>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</si>
  <si>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</si>
  <si>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</si>
  <si>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</si>
  <si>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</si>
  <si>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</si>
  <si>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</si>
  <si>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</si>
  <si>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</si>
  <si>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</si>
  <si>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</si>
  <si>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</si>
  <si>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馬場勇輝</t>
    <phoneticPr fontId="3"/>
  </si>
  <si>
    <t>ﾌﾞｲｸｱﾝﾃｨｴﾝ</t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</si>
  <si>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</si>
  <si>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</si>
  <si>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</si>
  <si>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</si>
  <si>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</si>
  <si>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</si>
  <si>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</si>
  <si>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</si>
  <si>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</si>
  <si>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</si>
  <si>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</si>
  <si>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</si>
  <si>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</si>
  <si>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</si>
  <si>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NguyenTanDuoc</t>
    <phoneticPr fontId="3"/>
  </si>
  <si>
    <t>TranQuocDuy</t>
  </si>
  <si>
    <t>DoLyAnhThu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</si>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</sst>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 applyProtection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179" fontId="4" fillId="3" borderId="4" xfId="1" applyNumberFormat="1" applyFont="1" applyFill="1" applyBorder="1" applyAlignment="1">
      <alignment vertical="center"/>
    </xf>
    <xf numFmtId="5" fontId="4" fillId="3" borderId="4" xfId="1" applyNumberFormat="1" applyFont="1" applyFill="1" applyBorder="1" applyAlignment="1">
      <alignment vertical="center"/>
    </xf>
    <xf numFmtId="177" fontId="4" fillId="3" borderId="4" xfId="1" applyNumberFormat="1" applyFont="1" applyFill="1" applyBorder="1" applyAlignment="1">
      <alignment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zoomScale="130" zoomScaleNormal="130" workbookViewId="0"/>
  </sheetViews>
  <sheetFormatPr defaultColWidth="8.125" defaultRowHeight="12.6"/>
  <cols>
    <col min="1" max="1" width="14.625" style="2" customWidth="1"/>
    <col min="2" max="2" width="7.625" style="2" bestFit="1" customWidth="1"/>
    <col min="3" max="3" width="14.625" style="2" customWidth="1"/>
    <col min="4" max="31" width="7" style="2" customWidth="1"/>
    <col min="32" max="32" width="7.625" style="2" customWidth="1"/>
    <col min="33" max="16384" width="8.125" style="2"/>
  </cols>
  <sheetData>
    <row r="1" spans="1:32" ht="19.5">
      <c r="A1" s="1" t="s">
        <v>0</v>
      </c>
      <c r="D1" s="3" t="s">
        <v>1</v>
      </c>
    </row>
    <row r="2" spans="1:32" ht="5.25" customHeight="1">
      <c r="A2" s="1"/>
    </row>
    <row r="3" spans="1:32">
      <c r="A3" s="4" t="s">
        <v>2</v>
      </c>
      <c r="B3" s="61"/>
      <c r="C3" s="62"/>
      <c r="D3" s="5" t="s">
        <v>3</v>
      </c>
      <c r="E3" s="61" t="s">
        <v>4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5" t="s">
        <v>5</v>
      </c>
      <c r="B4" s="61" t="s">
        <v>6</v>
      </c>
      <c r="C4" s="62"/>
      <c r="D4" s="5" t="s">
        <v>7</v>
      </c>
      <c r="E4" s="42"/>
      <c r="F4" s="42"/>
      <c r="G4" s="5" t="s">
        <v>8</v>
      </c>
      <c r="H4" s="64">
        <f>AF59</f>
        <v>240</v>
      </c>
      <c r="I4" s="64"/>
      <c r="J4" s="5" t="s">
        <v>9</v>
      </c>
      <c r="K4" s="65">
        <f>外注費・経費!K4</f>
        <v>1725000</v>
      </c>
      <c r="L4" s="65"/>
      <c r="M4" s="5" t="s">
        <v>10</v>
      </c>
      <c r="N4" s="65">
        <v>0</v>
      </c>
      <c r="O4" s="65"/>
    </row>
    <row r="5" spans="1:32" ht="6" customHeight="1"/>
    <row r="6" spans="1:32" s="6" customFormat="1">
      <c r="A6" s="28" t="s">
        <v>11</v>
      </c>
      <c r="B6" s="31" t="s">
        <v>12</v>
      </c>
      <c r="C6" s="31" t="s">
        <v>13</v>
      </c>
      <c r="D6" s="34" t="s">
        <v>14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15</v>
      </c>
    </row>
    <row r="7" spans="1:32" s="6" customFormat="1" ht="12" customHeight="1">
      <c r="A7" s="29"/>
      <c r="B7" s="32"/>
      <c r="C7" s="32"/>
      <c r="D7" s="35" t="s">
        <v>16</v>
      </c>
      <c r="E7" s="36"/>
      <c r="F7" s="37"/>
      <c r="G7" s="35" t="s">
        <v>17</v>
      </c>
      <c r="H7" s="36"/>
      <c r="I7" s="37"/>
      <c r="J7" s="35" t="s">
        <v>18</v>
      </c>
      <c r="K7" s="36"/>
      <c r="L7" s="37"/>
      <c r="M7" s="35" t="s">
        <v>19</v>
      </c>
      <c r="N7" s="36"/>
      <c r="O7" s="37"/>
      <c r="P7" s="35" t="s">
        <v>20</v>
      </c>
      <c r="Q7" s="36"/>
      <c r="R7" s="37"/>
      <c r="S7" s="35" t="s">
        <v>21</v>
      </c>
      <c r="T7" s="36"/>
      <c r="U7" s="37"/>
      <c r="V7" s="35" t="s">
        <v>22</v>
      </c>
      <c r="W7" s="36"/>
      <c r="X7" s="37"/>
      <c r="Y7" s="35" t="s">
        <v>23</v>
      </c>
      <c r="Z7" s="36"/>
      <c r="AA7" s="37"/>
      <c r="AB7" s="35" t="s">
        <v>24</v>
      </c>
      <c r="AC7" s="36"/>
      <c r="AD7" s="37"/>
      <c r="AE7" s="38" t="s">
        <v>25</v>
      </c>
      <c r="AF7" s="40"/>
    </row>
    <row r="8" spans="1:32" s="6" customFormat="1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>
      <c r="A9" s="21" t="s">
        <v>26</v>
      </c>
      <c r="B9" s="8">
        <v>1574</v>
      </c>
      <c r="C9" s="8" t="s">
        <v>27</v>
      </c>
      <c r="D9" s="22"/>
      <c r="E9" s="22"/>
      <c r="F9" s="22"/>
      <c r="G9" s="22"/>
      <c r="H9" s="22"/>
      <c r="I9" s="22"/>
      <c r="J9" s="22"/>
      <c r="K9" s="22">
        <v>80</v>
      </c>
      <c r="L9" s="22">
        <v>40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120</v>
      </c>
    </row>
    <row r="10" spans="1:32">
      <c r="A10" s="21" t="s">
        <v>26</v>
      </c>
      <c r="B10" s="8">
        <v>1725</v>
      </c>
      <c r="C10" s="8" t="s">
        <v>28</v>
      </c>
      <c r="D10" s="22"/>
      <c r="E10" s="22"/>
      <c r="F10" s="22"/>
      <c r="G10" s="22"/>
      <c r="H10" s="22"/>
      <c r="I10" s="22"/>
      <c r="J10" s="22"/>
      <c r="K10" s="22">
        <v>80</v>
      </c>
      <c r="L10" s="22">
        <v>40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" si="0">SUM(D10:AE10)</f>
        <v>120</v>
      </c>
    </row>
    <row r="11" spans="1:32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ref="AF10:AF58" si="1">SUM(D11:AE11)</f>
        <v>0</v>
      </c>
    </row>
    <row r="12" spans="1:32">
      <c r="A12" s="21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/>
    </row>
    <row r="13" spans="1:32">
      <c r="A13" s="21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/>
    </row>
    <row r="14" spans="1:32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1"/>
        <v>0</v>
      </c>
    </row>
    <row r="15" spans="1:32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1"/>
        <v>0</v>
      </c>
    </row>
    <row r="16" spans="1:32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1"/>
        <v>0</v>
      </c>
    </row>
    <row r="17" spans="1:32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1"/>
        <v>0</v>
      </c>
    </row>
    <row r="18" spans="1:32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1"/>
        <v>0</v>
      </c>
    </row>
    <row r="19" spans="1:32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1"/>
        <v>0</v>
      </c>
    </row>
    <row r="20" spans="1:32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1"/>
        <v>0</v>
      </c>
    </row>
    <row r="21" spans="1:32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1"/>
        <v>0</v>
      </c>
    </row>
    <row r="22" spans="1:32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1"/>
        <v>0</v>
      </c>
    </row>
    <row r="23" spans="1:32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1"/>
        <v>0</v>
      </c>
    </row>
    <row r="24" spans="1:32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1"/>
        <v>0</v>
      </c>
    </row>
    <row r="25" spans="1:32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1"/>
        <v>0</v>
      </c>
    </row>
    <row r="26" spans="1:32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1"/>
        <v>0</v>
      </c>
    </row>
    <row r="27" spans="1:32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1"/>
        <v>0</v>
      </c>
    </row>
    <row r="28" spans="1:32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1"/>
        <v>0</v>
      </c>
    </row>
    <row r="29" spans="1:32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1"/>
        <v>0</v>
      </c>
    </row>
    <row r="30" spans="1:32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1"/>
        <v>0</v>
      </c>
    </row>
    <row r="31" spans="1:32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1"/>
        <v>0</v>
      </c>
    </row>
    <row r="32" spans="1:32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1"/>
        <v>0</v>
      </c>
    </row>
    <row r="33" spans="1:32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1"/>
        <v>0</v>
      </c>
    </row>
    <row r="34" spans="1:32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1"/>
        <v>0</v>
      </c>
    </row>
    <row r="35" spans="1:32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1"/>
        <v>0</v>
      </c>
    </row>
    <row r="36" spans="1:32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1"/>
        <v>0</v>
      </c>
    </row>
    <row r="37" spans="1:32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1"/>
        <v>0</v>
      </c>
    </row>
    <row r="38" spans="1:32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1"/>
        <v>0</v>
      </c>
    </row>
    <row r="39" spans="1:32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1"/>
        <v>0</v>
      </c>
    </row>
    <row r="40" spans="1:32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1"/>
        <v>0</v>
      </c>
    </row>
    <row r="41" spans="1:32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1"/>
        <v>0</v>
      </c>
    </row>
    <row r="42" spans="1:32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1"/>
        <v>0</v>
      </c>
    </row>
    <row r="43" spans="1:32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1"/>
        <v>0</v>
      </c>
    </row>
    <row r="44" spans="1:32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1"/>
        <v>0</v>
      </c>
    </row>
    <row r="45" spans="1:32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1"/>
        <v>0</v>
      </c>
    </row>
    <row r="46" spans="1:32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1"/>
        <v>0</v>
      </c>
    </row>
    <row r="47" spans="1:32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1"/>
        <v>0</v>
      </c>
    </row>
    <row r="48" spans="1:32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1"/>
        <v>0</v>
      </c>
    </row>
    <row r="49" spans="1:32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1"/>
        <v>0</v>
      </c>
    </row>
    <row r="50" spans="1:32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1"/>
        <v>0</v>
      </c>
    </row>
    <row r="51" spans="1:32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1"/>
        <v>0</v>
      </c>
    </row>
    <row r="52" spans="1:32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1"/>
        <v>0</v>
      </c>
    </row>
    <row r="53" spans="1:32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1"/>
        <v>0</v>
      </c>
    </row>
    <row r="54" spans="1:32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1"/>
        <v>0</v>
      </c>
    </row>
    <row r="55" spans="1:32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1"/>
        <v>0</v>
      </c>
    </row>
    <row r="56" spans="1:32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1"/>
        <v>0</v>
      </c>
    </row>
    <row r="57" spans="1:32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1"/>
        <v>0</v>
      </c>
    </row>
    <row r="58" spans="1:32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1"/>
        <v>0</v>
      </c>
    </row>
    <row r="59" spans="1:32">
      <c r="A59" s="25" t="s">
        <v>15</v>
      </c>
      <c r="B59" s="26"/>
      <c r="C59" s="27"/>
      <c r="D59" s="23">
        <f>SUM(D9:D58)</f>
        <v>0</v>
      </c>
      <c r="E59" s="23">
        <f t="shared" ref="E59:AF59" si="2">SUM(E9:E58)</f>
        <v>0</v>
      </c>
      <c r="F59" s="23">
        <f t="shared" si="2"/>
        <v>0</v>
      </c>
      <c r="G59" s="23">
        <f t="shared" si="2"/>
        <v>0</v>
      </c>
      <c r="H59" s="23">
        <f t="shared" si="2"/>
        <v>0</v>
      </c>
      <c r="I59" s="23">
        <f t="shared" si="2"/>
        <v>0</v>
      </c>
      <c r="J59" s="23">
        <f t="shared" si="2"/>
        <v>0</v>
      </c>
      <c r="K59" s="23">
        <f t="shared" si="2"/>
        <v>160</v>
      </c>
      <c r="L59" s="23">
        <f t="shared" si="2"/>
        <v>80</v>
      </c>
      <c r="M59" s="23">
        <f t="shared" si="2"/>
        <v>0</v>
      </c>
      <c r="N59" s="23">
        <f t="shared" si="2"/>
        <v>0</v>
      </c>
      <c r="O59" s="23">
        <f t="shared" si="2"/>
        <v>0</v>
      </c>
      <c r="P59" s="23">
        <f t="shared" si="2"/>
        <v>0</v>
      </c>
      <c r="Q59" s="23">
        <f t="shared" si="2"/>
        <v>0</v>
      </c>
      <c r="R59" s="23">
        <f t="shared" si="2"/>
        <v>0</v>
      </c>
      <c r="S59" s="23">
        <f t="shared" si="2"/>
        <v>0</v>
      </c>
      <c r="T59" s="23">
        <f t="shared" si="2"/>
        <v>0</v>
      </c>
      <c r="U59" s="23">
        <f t="shared" si="2"/>
        <v>0</v>
      </c>
      <c r="V59" s="23">
        <f t="shared" si="2"/>
        <v>0</v>
      </c>
      <c r="W59" s="23">
        <f t="shared" si="2"/>
        <v>0</v>
      </c>
      <c r="X59" s="23">
        <f t="shared" si="2"/>
        <v>0</v>
      </c>
      <c r="Y59" s="23">
        <f t="shared" si="2"/>
        <v>0</v>
      </c>
      <c r="Z59" s="23">
        <f t="shared" si="2"/>
        <v>0</v>
      </c>
      <c r="AA59" s="23">
        <f t="shared" si="2"/>
        <v>0</v>
      </c>
      <c r="AB59" s="23">
        <f t="shared" si="2"/>
        <v>0</v>
      </c>
      <c r="AC59" s="23">
        <f t="shared" si="2"/>
        <v>0</v>
      </c>
      <c r="AD59" s="23">
        <f t="shared" si="2"/>
        <v>0</v>
      </c>
      <c r="AE59" s="23">
        <f t="shared" si="2"/>
        <v>0</v>
      </c>
      <c r="AF59" s="23">
        <f t="shared" si="2"/>
        <v>240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A11 A14:A58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zoomScale="130" zoomScaleNormal="130" workbookViewId="0">
      <selection activeCell="C11" sqref="C11"/>
    </sheetView>
  </sheetViews>
  <sheetFormatPr defaultColWidth="8.125" defaultRowHeight="12.6"/>
  <cols>
    <col min="1" max="1" width="14.625" style="2" customWidth="1"/>
    <col min="2" max="2" width="7.625" style="2" customWidth="1"/>
    <col min="3" max="3" width="14.625" style="2" customWidth="1"/>
    <col min="4" max="31" width="8.125" style="2" customWidth="1"/>
    <col min="32" max="32" width="11.125" style="2" customWidth="1"/>
    <col min="33" max="16384" width="8.125" style="2"/>
  </cols>
  <sheetData>
    <row r="1" spans="1:32" ht="19.5">
      <c r="A1" s="1" t="s">
        <v>29</v>
      </c>
    </row>
    <row r="2" spans="1:32" ht="5.25" customHeight="1">
      <c r="A2" s="1"/>
    </row>
    <row r="3" spans="1:32">
      <c r="A3" s="9" t="s">
        <v>2</v>
      </c>
      <c r="B3" s="61"/>
      <c r="C3" s="62"/>
      <c r="D3" s="10" t="s">
        <v>3</v>
      </c>
      <c r="E3" s="61" t="str">
        <f>社員工数!E3</f>
        <v>千葉化学品質管理システム クラウドアーキ移行（開発フェーズ）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9" t="s">
        <v>5</v>
      </c>
      <c r="B4" s="61" t="s">
        <v>30</v>
      </c>
      <c r="C4" s="62"/>
      <c r="D4" s="11" t="s">
        <v>7</v>
      </c>
      <c r="E4" s="57">
        <f>社員工数!E4</f>
        <v>0</v>
      </c>
      <c r="F4" s="57"/>
      <c r="G4" s="11" t="s">
        <v>8</v>
      </c>
      <c r="H4" s="64">
        <f>社員工数!H4</f>
        <v>240</v>
      </c>
      <c r="I4" s="64"/>
      <c r="J4" s="11" t="s">
        <v>9</v>
      </c>
      <c r="K4" s="66">
        <f>AF59</f>
        <v>1725000</v>
      </c>
      <c r="L4" s="66"/>
      <c r="M4" s="11" t="s">
        <v>10</v>
      </c>
      <c r="N4" s="66">
        <f>SUMIF(A:A,"経費",AF:AF)</f>
        <v>0</v>
      </c>
      <c r="O4" s="66"/>
    </row>
    <row r="5" spans="1:32" ht="6" customHeight="1"/>
    <row r="6" spans="1:32" s="6" customFormat="1">
      <c r="A6" s="43" t="s">
        <v>11</v>
      </c>
      <c r="B6" s="46" t="s">
        <v>31</v>
      </c>
      <c r="C6" s="46" t="s">
        <v>13</v>
      </c>
      <c r="D6" s="49" t="s">
        <v>32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54" t="s">
        <v>15</v>
      </c>
    </row>
    <row r="7" spans="1:32" s="6" customFormat="1" ht="12" customHeight="1">
      <c r="A7" s="44"/>
      <c r="B7" s="47"/>
      <c r="C7" s="47"/>
      <c r="D7" s="50" t="s">
        <v>33</v>
      </c>
      <c r="E7" s="51"/>
      <c r="F7" s="52"/>
      <c r="G7" s="50" t="s">
        <v>34</v>
      </c>
      <c r="H7" s="51"/>
      <c r="I7" s="52"/>
      <c r="J7" s="50" t="s">
        <v>35</v>
      </c>
      <c r="K7" s="51"/>
      <c r="L7" s="52"/>
      <c r="M7" s="50" t="s">
        <v>36</v>
      </c>
      <c r="N7" s="51"/>
      <c r="O7" s="52"/>
      <c r="P7" s="50" t="s">
        <v>37</v>
      </c>
      <c r="Q7" s="51"/>
      <c r="R7" s="52"/>
      <c r="S7" s="50" t="s">
        <v>38</v>
      </c>
      <c r="T7" s="51"/>
      <c r="U7" s="52"/>
      <c r="V7" s="50" t="s">
        <v>39</v>
      </c>
      <c r="W7" s="51"/>
      <c r="X7" s="52"/>
      <c r="Y7" s="50" t="s">
        <v>40</v>
      </c>
      <c r="Z7" s="51"/>
      <c r="AA7" s="52"/>
      <c r="AB7" s="50" t="s">
        <v>41</v>
      </c>
      <c r="AC7" s="51"/>
      <c r="AD7" s="52"/>
      <c r="AE7" s="53" t="s">
        <v>25</v>
      </c>
      <c r="AF7" s="55"/>
    </row>
    <row r="8" spans="1:32" s="6" customFormat="1">
      <c r="A8" s="45"/>
      <c r="B8" s="48"/>
      <c r="C8" s="48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48"/>
      <c r="AF8" s="56"/>
    </row>
    <row r="9" spans="1:32">
      <c r="A9" s="13" t="s">
        <v>42</v>
      </c>
      <c r="B9" s="14">
        <v>4189</v>
      </c>
      <c r="C9" s="13" t="s">
        <v>43</v>
      </c>
      <c r="D9" s="13"/>
      <c r="E9" s="13"/>
      <c r="F9" s="13"/>
      <c r="G9" s="13"/>
      <c r="H9" s="13"/>
      <c r="I9" s="13"/>
      <c r="J9" s="13"/>
      <c r="K9" s="13">
        <v>450000</v>
      </c>
      <c r="L9" s="13">
        <v>225000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675000</v>
      </c>
    </row>
    <row r="10" spans="1:32">
      <c r="A10" s="13" t="s">
        <v>42</v>
      </c>
      <c r="B10" s="14">
        <v>4949</v>
      </c>
      <c r="C10" s="13" t="s">
        <v>44</v>
      </c>
      <c r="D10" s="13"/>
      <c r="E10" s="13"/>
      <c r="F10" s="13"/>
      <c r="G10" s="13"/>
      <c r="H10" s="13"/>
      <c r="I10" s="13"/>
      <c r="J10" s="13"/>
      <c r="K10" s="13">
        <v>350000</v>
      </c>
      <c r="L10" s="13">
        <v>175000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525000</v>
      </c>
    </row>
    <row r="11" spans="1:32">
      <c r="A11" s="13" t="s">
        <v>42</v>
      </c>
      <c r="B11" s="14">
        <v>4958</v>
      </c>
      <c r="C11" s="13" t="s">
        <v>45</v>
      </c>
      <c r="D11" s="13"/>
      <c r="E11" s="13"/>
      <c r="F11" s="13"/>
      <c r="G11" s="13"/>
      <c r="H11" s="13"/>
      <c r="I11" s="13"/>
      <c r="J11" s="13"/>
      <c r="K11" s="13">
        <v>350000</v>
      </c>
      <c r="L11" s="13">
        <v>175000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525000</v>
      </c>
    </row>
    <row r="12" spans="1:32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>SUM(D17:AE17)</f>
        <v>0</v>
      </c>
    </row>
    <row r="18" spans="1:32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ref="AF18:AF19" si="1">SUM(D18:AE18)</f>
        <v>0</v>
      </c>
    </row>
    <row r="19" spans="1:32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1"/>
        <v>0</v>
      </c>
    </row>
    <row r="20" spans="1:32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>
      <c r="A59" s="25" t="s">
        <v>15</v>
      </c>
      <c r="B59" s="26"/>
      <c r="C59" s="27"/>
      <c r="D59" s="15">
        <f>SUM(D9:D58)</f>
        <v>0</v>
      </c>
      <c r="E59" s="15">
        <f t="shared" ref="E59:AF59" si="2">SUM(E9:E58)</f>
        <v>0</v>
      </c>
      <c r="F59" s="15">
        <f t="shared" si="2"/>
        <v>0</v>
      </c>
      <c r="G59" s="15">
        <f t="shared" si="2"/>
        <v>0</v>
      </c>
      <c r="H59" s="15">
        <f t="shared" si="2"/>
        <v>0</v>
      </c>
      <c r="I59" s="15">
        <f t="shared" si="2"/>
        <v>0</v>
      </c>
      <c r="J59" s="15">
        <f t="shared" si="2"/>
        <v>0</v>
      </c>
      <c r="K59" s="15">
        <f t="shared" si="2"/>
        <v>1150000</v>
      </c>
      <c r="L59" s="15">
        <f t="shared" si="2"/>
        <v>575000</v>
      </c>
      <c r="M59" s="15">
        <f t="shared" si="2"/>
        <v>0</v>
      </c>
      <c r="N59" s="15">
        <f t="shared" si="2"/>
        <v>0</v>
      </c>
      <c r="O59" s="15">
        <f t="shared" si="2"/>
        <v>0</v>
      </c>
      <c r="P59" s="15">
        <f t="shared" si="2"/>
        <v>0</v>
      </c>
      <c r="Q59" s="15">
        <f t="shared" si="2"/>
        <v>0</v>
      </c>
      <c r="R59" s="15">
        <f t="shared" si="2"/>
        <v>0</v>
      </c>
      <c r="S59" s="15">
        <f t="shared" si="2"/>
        <v>0</v>
      </c>
      <c r="T59" s="15">
        <f t="shared" si="2"/>
        <v>0</v>
      </c>
      <c r="U59" s="15">
        <f t="shared" si="2"/>
        <v>0</v>
      </c>
      <c r="V59" s="15">
        <f t="shared" si="2"/>
        <v>0</v>
      </c>
      <c r="W59" s="15">
        <f t="shared" si="2"/>
        <v>0</v>
      </c>
      <c r="X59" s="15">
        <f t="shared" si="2"/>
        <v>0</v>
      </c>
      <c r="Y59" s="15">
        <f t="shared" si="2"/>
        <v>0</v>
      </c>
      <c r="Z59" s="15">
        <f t="shared" si="2"/>
        <v>0</v>
      </c>
      <c r="AA59" s="15">
        <f t="shared" si="2"/>
        <v>0</v>
      </c>
      <c r="AB59" s="15">
        <f t="shared" si="2"/>
        <v>0</v>
      </c>
      <c r="AC59" s="15">
        <f t="shared" si="2"/>
        <v>0</v>
      </c>
      <c r="AD59" s="15">
        <f t="shared" si="2"/>
        <v>0</v>
      </c>
      <c r="AE59" s="15">
        <f t="shared" si="2"/>
        <v>0</v>
      </c>
      <c r="AF59" s="15">
        <f t="shared" si="2"/>
        <v>1725000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A14:A16 A20:A58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625" defaultRowHeight="18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125" style="18" bestFit="1" customWidth="1"/>
    <col min="7" max="7" width="11.125" style="18" customWidth="1"/>
    <col min="8" max="8" width="5.625" style="18" customWidth="1"/>
    <col min="9" max="9" width="11.62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>
      <c r="A1" s="60" t="s">
        <v>46</v>
      </c>
      <c r="B1" s="17" t="s">
        <v>47</v>
      </c>
      <c r="C1" s="60" t="s">
        <v>48</v>
      </c>
      <c r="D1" s="60" t="s">
        <v>49</v>
      </c>
      <c r="E1" s="60" t="s">
        <v>50</v>
      </c>
      <c r="F1" s="60" t="s">
        <v>51</v>
      </c>
      <c r="G1" s="60" t="s">
        <v>52</v>
      </c>
      <c r="H1" s="58" t="s">
        <v>53</v>
      </c>
      <c r="I1" s="59"/>
      <c r="J1" s="60" t="s">
        <v>54</v>
      </c>
      <c r="K1" s="60" t="s">
        <v>55</v>
      </c>
      <c r="L1" s="60" t="s">
        <v>56</v>
      </c>
    </row>
    <row r="2" spans="1:12">
      <c r="A2" s="60"/>
      <c r="B2" s="17" t="s">
        <v>57</v>
      </c>
      <c r="C2" s="60"/>
      <c r="D2" s="60"/>
      <c r="E2" s="60"/>
      <c r="F2" s="60"/>
      <c r="G2" s="60"/>
      <c r="H2" s="17" t="s">
        <v>46</v>
      </c>
      <c r="I2" s="17" t="s">
        <v>58</v>
      </c>
      <c r="J2" s="60"/>
      <c r="K2" s="60"/>
      <c r="L2" s="60"/>
    </row>
    <row r="3" spans="1:12">
      <c r="A3" s="19">
        <v>1</v>
      </c>
      <c r="B3" s="20">
        <v>0.1</v>
      </c>
      <c r="C3" s="19" t="s">
        <v>59</v>
      </c>
      <c r="D3" s="19" t="s">
        <v>60</v>
      </c>
      <c r="E3" s="19" t="s">
        <v>61</v>
      </c>
      <c r="F3" s="19" t="s">
        <v>62</v>
      </c>
      <c r="G3" s="19" t="s">
        <v>63</v>
      </c>
      <c r="H3" s="19">
        <v>1</v>
      </c>
      <c r="I3" s="19" t="s">
        <v>64</v>
      </c>
      <c r="J3" s="19" t="s">
        <v>65</v>
      </c>
      <c r="K3" s="19" t="s">
        <v>26</v>
      </c>
      <c r="L3" s="19" t="s">
        <v>66</v>
      </c>
    </row>
    <row r="4" spans="1:12">
      <c r="A4" s="19">
        <v>2</v>
      </c>
      <c r="B4" s="20"/>
      <c r="C4" s="19"/>
      <c r="D4" s="19"/>
      <c r="E4" s="19" t="s">
        <v>67</v>
      </c>
      <c r="F4" s="19" t="s">
        <v>68</v>
      </c>
      <c r="G4" s="19" t="s">
        <v>69</v>
      </c>
      <c r="H4" s="19">
        <v>2</v>
      </c>
      <c r="I4" s="19" t="s">
        <v>70</v>
      </c>
      <c r="J4" s="19" t="s">
        <v>71</v>
      </c>
      <c r="K4" s="19" t="s">
        <v>72</v>
      </c>
      <c r="L4" s="19" t="s">
        <v>73</v>
      </c>
    </row>
    <row r="5" spans="1:12">
      <c r="A5" s="19">
        <v>3</v>
      </c>
      <c r="B5" s="19"/>
      <c r="C5" s="19"/>
      <c r="D5" s="19"/>
      <c r="E5" s="19"/>
      <c r="F5" s="19" t="s">
        <v>74</v>
      </c>
      <c r="G5" s="19" t="s">
        <v>75</v>
      </c>
      <c r="H5" s="19">
        <v>3</v>
      </c>
      <c r="I5" s="19" t="s">
        <v>76</v>
      </c>
      <c r="J5" s="19" t="s">
        <v>77</v>
      </c>
      <c r="K5" s="19" t="s">
        <v>78</v>
      </c>
      <c r="L5" s="19"/>
    </row>
    <row r="6" spans="1:12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79</v>
      </c>
      <c r="L6" s="19"/>
    </row>
    <row r="7" spans="1:12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80</v>
      </c>
      <c r="L7" s="19"/>
    </row>
    <row r="8" spans="1:12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81</v>
      </c>
      <c r="L8" s="19"/>
    </row>
    <row r="9" spans="1:12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82</v>
      </c>
      <c r="L9" s="19"/>
    </row>
    <row r="10" spans="1:12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83</v>
      </c>
      <c r="L10" s="19"/>
    </row>
    <row r="11" spans="1:12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84</v>
      </c>
      <c r="L11" s="19"/>
    </row>
    <row r="12" spans="1:12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85</v>
      </c>
      <c r="L12" s="19"/>
    </row>
    <row r="13" spans="1:12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cd2f88ee6a2934efb41cd9289b91e144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a4c4fd50c0b00be67728f9d39ce10164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ADB8BE-CAF0-4499-99F3-158BE1A5CCE2}"/>
</file>

<file path=customXml/itemProps2.xml><?xml version="1.0" encoding="utf-8"?>
<ds:datastoreItem xmlns:ds="http://schemas.openxmlformats.org/officeDocument/2006/customXml" ds:itemID="{F49A60F8-E17A-4040-9F5A-9546630000D3}"/>
</file>

<file path=customXml/itemProps3.xml><?xml version="1.0" encoding="utf-8"?>
<ds:datastoreItem xmlns:ds="http://schemas.openxmlformats.org/officeDocument/2006/customXml" ds:itemID="{31E6A4BA-F386-4DF4-9C1E-5FC1525CA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髙浦祐朗</cp:lastModifiedBy>
  <cp:revision/>
  <dcterms:created xsi:type="dcterms:W3CDTF">2021-04-22T09:34:49Z</dcterms:created>
  <dcterms:modified xsi:type="dcterms:W3CDTF">2025-11-06T08:56:12Z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