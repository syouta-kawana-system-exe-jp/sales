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120" documentId="13_ncr:1_{75CE363F-E283-4DCB-A77F-EF3F5CDFB21D}" xr6:coauthVersionLast="47" xr6:coauthVersionMax="47" xr10:uidLastSave="{21DBA4F0-AC2C-48A9-9CBA-7A49B7365272}"/>
  <bookViews>
    <workbookView xWindow="-28920" yWindow="-120" windowWidth="29040" windowHeight="16440" xr2:uid="{00000000-000D-0000-FFFF-FFFF00000000}"/>
  </bookViews>
  <sheets>
    <sheet name="動作検証結果" sheetId="11" r:id="rId1"/>
    <sheet name="検討事項" sheetId="16" r:id="rId2"/>
    <sheet name="MsFlexGrid使用状況" sheetId="18" r:id="rId3"/>
    <sheet name="プログラム一覧" sheetId="17" r:id="rId4"/>
    <sheet name="(参考)プログラム構成" sheetId="12" r:id="rId5"/>
    <sheet name="(参考).NET判定方法" sheetId="13" r:id="rId6"/>
  </sheets>
  <definedNames>
    <definedName name="_xlnm._FilterDatabase" localSheetId="3" hidden="1">プログラム一覧!$B$3:$K$3</definedName>
    <definedName name="_xlnm._FilterDatabase" localSheetId="0" hidden="1">動作検証結果!$B$2:$R$121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 i="11" l="1"/>
  <c r="M22" i="11"/>
  <c r="M4" i="11"/>
  <c r="M5" i="11"/>
  <c r="M6" i="11"/>
  <c r="M7" i="11"/>
  <c r="M8" i="11"/>
  <c r="M9" i="11"/>
  <c r="M10" i="11"/>
  <c r="M11" i="11"/>
  <c r="M12" i="11"/>
  <c r="M14" i="11"/>
  <c r="M15" i="11"/>
  <c r="M16" i="11"/>
  <c r="M17" i="11"/>
  <c r="M18" i="11"/>
  <c r="M19" i="11"/>
  <c r="M20" i="11"/>
  <c r="M21" i="11"/>
  <c r="M24" i="11"/>
  <c r="M25" i="11"/>
  <c r="M26" i="11"/>
  <c r="M27" i="11"/>
  <c r="M28" i="11"/>
  <c r="M29" i="11"/>
  <c r="M31" i="11"/>
  <c r="M32" i="11"/>
  <c r="M33" i="11"/>
  <c r="M34" i="11"/>
  <c r="M35" i="11"/>
  <c r="M36" i="11"/>
  <c r="M37" i="11"/>
  <c r="M39" i="11"/>
  <c r="M45" i="11"/>
  <c r="M46" i="11"/>
  <c r="M47" i="11"/>
  <c r="M48" i="11"/>
  <c r="M49" i="11"/>
  <c r="M50" i="11"/>
  <c r="M51" i="11"/>
  <c r="M52" i="11"/>
  <c r="M53" i="11"/>
  <c r="M54" i="11"/>
  <c r="M55" i="11"/>
  <c r="M56" i="11"/>
  <c r="M57" i="11"/>
  <c r="M58" i="11"/>
  <c r="M59" i="11"/>
  <c r="M70" i="11"/>
  <c r="M71" i="11"/>
  <c r="M72" i="11"/>
  <c r="M73" i="11"/>
  <c r="M75" i="11"/>
  <c r="M76" i="11"/>
  <c r="M77" i="11"/>
  <c r="M78" i="11"/>
  <c r="M79" i="11"/>
  <c r="M80" i="11"/>
  <c r="M81" i="11"/>
  <c r="M82" i="11"/>
  <c r="M83" i="11"/>
  <c r="M84" i="11"/>
  <c r="M85" i="11"/>
  <c r="M86" i="11"/>
  <c r="M87" i="11"/>
  <c r="M88" i="11"/>
  <c r="M89" i="11"/>
  <c r="M90" i="11"/>
  <c r="M91" i="11"/>
  <c r="M92" i="11"/>
  <c r="M94" i="11"/>
  <c r="M95" i="11"/>
  <c r="M96" i="11"/>
  <c r="M97" i="11"/>
  <c r="M98" i="11"/>
  <c r="M99" i="11"/>
  <c r="M100" i="11"/>
  <c r="M101" i="11"/>
  <c r="M102" i="11"/>
  <c r="M103" i="11"/>
  <c r="M104" i="11"/>
  <c r="M105" i="11"/>
  <c r="M106" i="11"/>
  <c r="M109" i="11"/>
  <c r="M110" i="11"/>
  <c r="M111" i="11"/>
  <c r="M112" i="11"/>
  <c r="M113" i="11"/>
  <c r="M114" i="11"/>
  <c r="M117" i="11"/>
  <c r="M118" i="11"/>
  <c r="M119" i="11"/>
  <c r="M3" i="11"/>
  <c r="E73" i="17"/>
  <c r="I73" i="17"/>
  <c r="H73" i="17"/>
  <c r="G73" i="17"/>
  <c r="F73"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Shigemura, Kazuya</author>
    <author>澤田晶子</author>
  </authors>
  <commentList>
    <comment ref="H73" authorId="0" shapeId="0" xr:uid="{9FF3F8D0-377D-4210-808D-58478FF68A1F}">
      <text>
        <r>
          <rPr>
            <b/>
            <sz val="9"/>
            <color indexed="81"/>
            <rFont val="MS P ゴシック"/>
            <family val="3"/>
            <charset val="128"/>
          </rPr>
          <t>アズビルの個別アプリ？</t>
        </r>
      </text>
    </comment>
    <comment ref="H89" authorId="0" shapeId="0" xr:uid="{C37CC136-6AF0-4989-9D40-3B6E1B962E0F}">
      <text>
        <r>
          <rPr>
            <b/>
            <sz val="9"/>
            <color indexed="81"/>
            <rFont val="MS P ゴシック"/>
            <family val="3"/>
            <charset val="128"/>
          </rPr>
          <t>千代田システムテクノロジーで過去に作成(生技 鎌田さん)</t>
        </r>
      </text>
    </comment>
    <comment ref="H94" authorId="0" shapeId="0" xr:uid="{7B330A18-7DB6-442A-88BD-38E52D218BA0}">
      <text>
        <r>
          <rPr>
            <b/>
            <sz val="9"/>
            <color indexed="81"/>
            <rFont val="MS P ゴシック"/>
            <family val="3"/>
            <charset val="128"/>
          </rPr>
          <t>専用アプリでweb化予定</t>
        </r>
      </text>
    </comment>
    <comment ref="H106" authorId="0" shapeId="0" xr:uid="{A4070CE9-F602-4755-A045-CD4EA5F1A680}">
      <text>
        <r>
          <rPr>
            <b/>
            <sz val="9"/>
            <color indexed="81"/>
            <rFont val="MS P ゴシック"/>
            <family val="3"/>
            <charset val="128"/>
          </rPr>
          <t>専用アプリなので、対象外</t>
        </r>
      </text>
    </comment>
    <comment ref="H109" authorId="0" shapeId="0" xr:uid="{5A05A138-FD83-44B7-BAE9-DF19FBA086A0}">
      <text>
        <r>
          <rPr>
            <b/>
            <sz val="9"/>
            <color indexed="81"/>
            <rFont val="MS P ゴシック"/>
            <family val="3"/>
            <charset val="128"/>
          </rPr>
          <t>専用アプリでweb化予定</t>
        </r>
      </text>
    </comment>
    <comment ref="H117" authorId="0" shapeId="0" xr:uid="{CA74D9A7-5CF1-4E07-9A60-5144C6D7BFB2}">
      <text>
        <r>
          <rPr>
            <b/>
            <sz val="9"/>
            <color indexed="81"/>
            <rFont val="MS P ゴシック"/>
            <family val="3"/>
            <charset val="128"/>
          </rPr>
          <t>専用アプリなので、対象外</t>
        </r>
      </text>
    </comment>
    <comment ref="F121" authorId="1" shapeId="0" xr:uid="{00000000-0006-0000-0000-000001000000}">
      <text>
        <r>
          <rPr>
            <b/>
            <sz val="9"/>
            <color indexed="81"/>
            <rFont val="MS P ゴシック"/>
            <family val="3"/>
            <charset val="128"/>
          </rPr>
          <t>フォルダ</t>
        </r>
      </text>
    </comment>
  </commentList>
</comments>
</file>

<file path=xl/sharedStrings.xml><?xml version="1.0" encoding="utf-8"?>
<sst xmlns="http://schemas.openxmlformats.org/spreadsheetml/2006/main" count="1811" uniqueCount="532">
  <si>
    <t>検証クライアント</t>
    <rPh sb="0" eb="2">
      <t>ケンショウ</t>
    </rPh>
    <phoneticPr fontId="1"/>
  </si>
  <si>
    <t>No</t>
    <phoneticPr fontId="1"/>
  </si>
  <si>
    <t>PublishedName</t>
  </si>
  <si>
    <t>WorkingDirectory</t>
  </si>
  <si>
    <t>起動exe</t>
    <rPh sb="0" eb="2">
      <t>キドウ</t>
    </rPh>
    <phoneticPr fontId="1"/>
  </si>
  <si>
    <t>動作検証
対象</t>
    <rPh sb="0" eb="4">
      <t>ドウサケンショウ</t>
    </rPh>
    <phoneticPr fontId="1"/>
  </si>
  <si>
    <t>インストーラ
有無</t>
    <phoneticPr fontId="1"/>
  </si>
  <si>
    <t>.Net</t>
    <phoneticPr fontId="1"/>
  </si>
  <si>
    <t>VB6</t>
    <phoneticPr fontId="1"/>
  </si>
  <si>
    <t>CLR ver</t>
    <phoneticPr fontId="1"/>
  </si>
  <si>
    <t>AVD</t>
    <phoneticPr fontId="1"/>
  </si>
  <si>
    <t>PC</t>
    <phoneticPr fontId="1"/>
  </si>
  <si>
    <t>差異</t>
    <rPh sb="0" eb="2">
      <t>サイ</t>
    </rPh>
    <phoneticPr fontId="1"/>
  </si>
  <si>
    <t>動作検証結果</t>
    <rPh sb="0" eb="2">
      <t>ドウサ</t>
    </rPh>
    <rPh sb="2" eb="4">
      <t>ケンショウ</t>
    </rPh>
    <rPh sb="4" eb="6">
      <t>ケッカ</t>
    </rPh>
    <phoneticPr fontId="1"/>
  </si>
  <si>
    <t>原因</t>
    <rPh sb="0" eb="2">
      <t>ゲンイン</t>
    </rPh>
    <phoneticPr fontId="1"/>
  </si>
  <si>
    <t>対応策</t>
    <rPh sb="0" eb="3">
      <t>タイオウサク</t>
    </rPh>
    <phoneticPr fontId="1"/>
  </si>
  <si>
    <t>担当ベンダー</t>
    <rPh sb="0" eb="2">
      <t>タントウ</t>
    </rPh>
    <phoneticPr fontId="1"/>
  </si>
  <si>
    <t>備考</t>
    <rPh sb="0" eb="2">
      <t>ビコウ</t>
    </rPh>
    <phoneticPr fontId="1"/>
  </si>
  <si>
    <t>メモ</t>
  </si>
  <si>
    <t>ソース（BOX）</t>
  </si>
  <si>
    <t>S1_北海道製</t>
  </si>
  <si>
    <t>\\S01158V0\iris_cps\skhoksei\IRIS_ROOT\VB_ROOT\DRIVEMAP_ZZZY002.BAT</t>
  </si>
  <si>
    <t>ZZZY002.exe</t>
    <phoneticPr fontId="1"/>
  </si>
  <si>
    <t>対象</t>
    <phoneticPr fontId="1"/>
  </si>
  <si>
    <t>-</t>
  </si>
  <si>
    <t>○</t>
    <phoneticPr fontId="1"/>
  </si>
  <si>
    <t>v4.0.30319</t>
    <phoneticPr fontId="1"/>
  </si>
  <si>
    <t>NG</t>
  </si>
  <si>
    <t>①Oracle.DataAccess.dllの参照エラー
②Authfunc.dll
③RtlMoveMemory使用箇所でエラーとなる</t>
    <rPh sb="57" eb="61">
      <t>シヨウカショ</t>
    </rPh>
    <phoneticPr fontId="1"/>
  </si>
  <si>
    <t>①32bitアプリから64bitDLLの参照不可
②64bitアプリから32bitDLLの参照不可
③原因不明</t>
    <rPh sb="20" eb="24">
      <t>サンショウフカ</t>
    </rPh>
    <rPh sb="45" eb="47">
      <t>サンショウ</t>
    </rPh>
    <rPh sb="47" eb="49">
      <t>フカ</t>
    </rPh>
    <rPh sb="51" eb="55">
      <t>ゲンインフメイ</t>
    </rPh>
    <phoneticPr fontId="1"/>
  </si>
  <si>
    <t>①64bitでアプリをリコンパイル
②64bitDLLがない場合、代替案の検討
③.NetFramework4でリコンパイルする</t>
    <rPh sb="30" eb="32">
      <t>バアイ</t>
    </rPh>
    <rPh sb="33" eb="36">
      <t>ダイタイアン</t>
    </rPh>
    <rPh sb="37" eb="39">
      <t>ケントウ</t>
    </rPh>
    <phoneticPr fontId="1"/>
  </si>
  <si>
    <t>別紙参照</t>
    <rPh sb="0" eb="4">
      <t>ベッシサンショウ</t>
    </rPh>
    <phoneticPr fontId="1"/>
  </si>
  <si>
    <t>https://idemitsu.box.com/s/d0uvete5jhi1s11lvdsdb55up04f2e0v</t>
  </si>
  <si>
    <t>　　∟各所比較情報／品質管理</t>
    <rPh sb="3" eb="9">
      <t>カクショヒカクジョウホウ</t>
    </rPh>
    <rPh sb="10" eb="14">
      <t>ヒンシツカンリ</t>
    </rPh>
    <phoneticPr fontId="1"/>
  </si>
  <si>
    <t>zbfz001.exe</t>
    <phoneticPr fontId="1"/>
  </si>
  <si>
    <t>対象</t>
  </si>
  <si>
    <t>○</t>
  </si>
  <si>
    <t>OK</t>
  </si>
  <si>
    <t>問題なし</t>
  </si>
  <si>
    <t>　　∟製油所情報／品質管理</t>
    <rPh sb="3" eb="6">
      <t>セイユジョ</t>
    </rPh>
    <rPh sb="6" eb="8">
      <t>ジョウホウ</t>
    </rPh>
    <rPh sb="9" eb="13">
      <t>ヒンシツカンリ</t>
    </rPh>
    <phoneticPr fontId="1"/>
  </si>
  <si>
    <t>bcfz001.exe</t>
    <phoneticPr fontId="1"/>
  </si>
  <si>
    <t>　　∟製油所情報／データ検索</t>
    <rPh sb="3" eb="6">
      <t>セイユジョ</t>
    </rPh>
    <rPh sb="6" eb="8">
      <t>ジョウホウ</t>
    </rPh>
    <rPh sb="12" eb="14">
      <t>ケンサク</t>
    </rPh>
    <phoneticPr fontId="1"/>
  </si>
  <si>
    <t>bciz001.exe</t>
    <phoneticPr fontId="1"/>
  </si>
  <si>
    <t>　　　　∟品質情報検索／燃料油</t>
    <rPh sb="5" eb="7">
      <t>ヒンシツ</t>
    </rPh>
    <rPh sb="7" eb="11">
      <t>ジョウホウケンサク</t>
    </rPh>
    <rPh sb="12" eb="15">
      <t>ネンリョウユ</t>
    </rPh>
    <phoneticPr fontId="1"/>
  </si>
  <si>
    <t>zbfz0021.exe</t>
    <phoneticPr fontId="1"/>
  </si>
  <si>
    <t>64bitアプリでMsFlexGridの使用は不可</t>
  </si>
  <si>
    <t>MsFlexGridは64bitに対応していない</t>
    <phoneticPr fontId="1"/>
  </si>
  <si>
    <t>代替コントロールの選定が必要</t>
  </si>
  <si>
    <t>　　　　∟品質情報検索／工程</t>
    <rPh sb="5" eb="7">
      <t>ヒンシツ</t>
    </rPh>
    <rPh sb="7" eb="11">
      <t>ジョウホウケンサク</t>
    </rPh>
    <rPh sb="12" eb="14">
      <t>コウテイ</t>
    </rPh>
    <phoneticPr fontId="1"/>
  </si>
  <si>
    <t>zbfz0022.exe</t>
  </si>
  <si>
    <t>　　　　∟品質情報検索／品質関連</t>
    <rPh sb="5" eb="7">
      <t>ヒンシツ</t>
    </rPh>
    <rPh sb="7" eb="11">
      <t>ジョウホウケンサク</t>
    </rPh>
    <rPh sb="12" eb="16">
      <t>ヒンシツカンレン</t>
    </rPh>
    <phoneticPr fontId="1"/>
  </si>
  <si>
    <t>zbfz0023.exe</t>
  </si>
  <si>
    <t>　　∟ローカルシステム</t>
    <phoneticPr fontId="1"/>
  </si>
  <si>
    <t>bllz001.exe</t>
    <phoneticPr fontId="1"/>
  </si>
  <si>
    <t>Oracle.DataAccess.dllの参照エラー</t>
    <rPh sb="22" eb="24">
      <t>サンショウ</t>
    </rPh>
    <phoneticPr fontId="1"/>
  </si>
  <si>
    <t>32bitアプリから64bitDLLの参照不可</t>
  </si>
  <si>
    <t>64bitでアプリをリコンパイル</t>
    <phoneticPr fontId="1"/>
  </si>
  <si>
    <t>　　∟個別業務情報／運転管理</t>
    <rPh sb="3" eb="9">
      <t>コベツギョウムジョウホウ</t>
    </rPh>
    <rPh sb="10" eb="14">
      <t>ウンテンカンリ</t>
    </rPh>
    <phoneticPr fontId="1"/>
  </si>
  <si>
    <t>bedz001.exe</t>
    <phoneticPr fontId="1"/>
  </si>
  <si>
    <t>　　∟個別業務情報／品質管理</t>
    <rPh sb="3" eb="9">
      <t>コベツギョウムジョウホウ</t>
    </rPh>
    <rPh sb="10" eb="12">
      <t>ヒンシツ</t>
    </rPh>
    <rPh sb="12" eb="14">
      <t>カンリ</t>
    </rPh>
    <phoneticPr fontId="1"/>
  </si>
  <si>
    <t>zefz001.exe</t>
    <phoneticPr fontId="1"/>
  </si>
  <si>
    <t>起動確認</t>
  </si>
  <si>
    <t>　　∟個別業務情報／官庁申請</t>
    <rPh sb="3" eb="9">
      <t>コベツギョウムジョウホウ</t>
    </rPh>
    <rPh sb="10" eb="12">
      <t>カンチョウ</t>
    </rPh>
    <rPh sb="12" eb="14">
      <t>シンセイ</t>
    </rPh>
    <phoneticPr fontId="1"/>
  </si>
  <si>
    <t>bekz001.exe</t>
    <phoneticPr fontId="1"/>
  </si>
  <si>
    <t>ー</t>
    <phoneticPr fontId="1"/>
  </si>
  <si>
    <t>プログラム／モジュール自体存在しない</t>
    <rPh sb="11" eb="13">
      <t>ジタイ</t>
    </rPh>
    <rPh sb="13" eb="15">
      <t>ソンザイ</t>
    </rPh>
    <phoneticPr fontId="1"/>
  </si>
  <si>
    <t>S2_千葉（石）</t>
  </si>
  <si>
    <t>\\S01158V0\iris_cps\skchisei\IRIS_ROOT\VB_ROOT\DRIVEMAP_ZZZY002.BAT</t>
  </si>
  <si>
    <t>ZZZY002.exe</t>
  </si>
  <si>
    <t>v4.0.30319</t>
  </si>
  <si>
    <t>No.1と同様</t>
    <rPh sb="5" eb="7">
      <t>ドウヨウ</t>
    </rPh>
    <phoneticPr fontId="1"/>
  </si>
  <si>
    <t>ccfz001.exe</t>
    <phoneticPr fontId="1"/>
  </si>
  <si>
    <t>cciz001.exe</t>
    <phoneticPr fontId="1"/>
  </si>
  <si>
    <t>cllz001.exe</t>
    <phoneticPr fontId="1"/>
  </si>
  <si>
    <t>Oracle.DataAccess.dllの参照エラー</t>
  </si>
  <si>
    <t>cedz001.exe</t>
    <phoneticPr fontId="1"/>
  </si>
  <si>
    <t>問題なし</t>
    <phoneticPr fontId="1"/>
  </si>
  <si>
    <t>cekz001.exe</t>
    <phoneticPr fontId="1"/>
  </si>
  <si>
    <t>S3_千葉（化）</t>
  </si>
  <si>
    <t>\\S01158V0\iris_cps\skchisei\IRIS_ROOT\VB_ROOT\DRIVEMAP_ZZZY002_KOU.BAT</t>
  </si>
  <si>
    <t>S4_愛知事</t>
  </si>
  <si>
    <t>\\S01158V0\iris_cps\skaicsei\IRIS_ROOT\VB_ROOT\DRIVEMAP_ZZZY002.BAT</t>
  </si>
  <si>
    <t>dcfz001.exe</t>
    <phoneticPr fontId="1"/>
  </si>
  <si>
    <t>dciz001.exe</t>
    <phoneticPr fontId="1"/>
  </si>
  <si>
    <t>dllz001.exe</t>
    <phoneticPr fontId="1"/>
  </si>
  <si>
    <t>dedz001.exe</t>
    <phoneticPr fontId="1"/>
  </si>
  <si>
    <t>dekz001.exe</t>
    <phoneticPr fontId="1"/>
  </si>
  <si>
    <t>プログラム／モジュール自体存在しない</t>
  </si>
  <si>
    <t>S5_徳山西</t>
  </si>
  <si>
    <t>\\S01158V0\iris_cps\sktoksei\IRIS_ROOT\VB_ROOT\DRIVEMAP_ZZZY002.BAT</t>
  </si>
  <si>
    <t>fcfz001.exe</t>
    <phoneticPr fontId="1"/>
  </si>
  <si>
    <t>fciz001.exe</t>
    <phoneticPr fontId="1"/>
  </si>
  <si>
    <t>fllz001.exe</t>
    <phoneticPr fontId="1"/>
  </si>
  <si>
    <t>fedz001.exe</t>
    <phoneticPr fontId="1"/>
  </si>
  <si>
    <t>起動確認</t>
    <rPh sb="0" eb="4">
      <t>キドウカクニン</t>
    </rPh>
    <phoneticPr fontId="1"/>
  </si>
  <si>
    <t>fekz001.exe</t>
    <phoneticPr fontId="1"/>
  </si>
  <si>
    <t>S6_徳山東</t>
  </si>
  <si>
    <t>\\S01158V0\IRIS_CPS\sktoksei\IRIS_ROOT\VB_ROOT\DRIVEMAP_ZZZY002_KOU.BAT</t>
  </si>
  <si>
    <t>1 北海道（製）オフサイトメンテ</t>
    <phoneticPr fontId="1"/>
  </si>
  <si>
    <t>\\S01158V0\IRIS_CPS\skhoksei\IRIS_ROOT\VB_ROOT\DATAMENT.EXE</t>
    <phoneticPr fontId="1"/>
  </si>
  <si>
    <t>DATAMENT.EXE</t>
  </si>
  <si>
    <t>1 北海道（製）横串</t>
  </si>
  <si>
    <t>\\S01158V0\IRIS_CPS\skhoksei\IRIS_ROOT\VB_ROOT\CCD1038.EXE</t>
    <phoneticPr fontId="1"/>
  </si>
  <si>
    <t>CCD1038.EXE</t>
  </si>
  <si>
    <t>1 北海道（製）潤滑油タンク在庫メンテ</t>
  </si>
  <si>
    <t>\\S01158V0\IRIS_CPS\skhoksei\IRIS_ROOT\VB_ROOT\CEDZ020A.bat</t>
  </si>
  <si>
    <t>CEDZ020A.EXE</t>
  </si>
  <si>
    <t>1 北海道（製）操業情報</t>
  </si>
  <si>
    <t>\\S01158V0\IRIS_CPS\skhoksei\IRIS_ROOT\VB_ROOT\CCD1041.EXE</t>
    <phoneticPr fontId="1"/>
  </si>
  <si>
    <t>CCD1041.EXE</t>
  </si>
  <si>
    <t>1 北海道（製）二次加工ＤＢ作成</t>
  </si>
  <si>
    <t>\\S01158V0\IRIS_CPS\skhoksei\IRIS_ROOT\VB_ROOT\COLSET.EXE</t>
  </si>
  <si>
    <t>COLSET.EXE</t>
    <phoneticPr fontId="1"/>
  </si>
  <si>
    <t>XenApp廃止対応にて移行対象外</t>
  </si>
  <si>
    <t>2 千葉（石）オフサイトメンテ</t>
  </si>
  <si>
    <t>\\S01158V0\IRIS_CPS\skchisei\IRIS_ROOT\VB_ROOT\DATAMENT.EXE</t>
  </si>
  <si>
    <t>問題なし</t>
    <rPh sb="0" eb="2">
      <t>モンダイ</t>
    </rPh>
    <phoneticPr fontId="1"/>
  </si>
  <si>
    <t>2 千葉（石）横串</t>
  </si>
  <si>
    <t>\\S01158V0\IRIS_CPS\skchisei\IRIS_ROOT\VB_ROOT\CCD1038.EXE</t>
  </si>
  <si>
    <t>CCD1038.EXE</t>
    <phoneticPr fontId="1"/>
  </si>
  <si>
    <t>64bitアプリでMsFlexGridの使用は不可</t>
    <rPh sb="20" eb="22">
      <t>シヨウ</t>
    </rPh>
    <rPh sb="23" eb="25">
      <t>フカ</t>
    </rPh>
    <phoneticPr fontId="1"/>
  </si>
  <si>
    <t>MsFlexGridは64bitに対応していない</t>
    <rPh sb="17" eb="19">
      <t>タイオウ</t>
    </rPh>
    <phoneticPr fontId="1"/>
  </si>
  <si>
    <t>代替コントロールの選定が必要</t>
    <rPh sb="0" eb="2">
      <t>ダイタイ</t>
    </rPh>
    <rPh sb="9" eb="11">
      <t>センテイ</t>
    </rPh>
    <rPh sb="12" eb="14">
      <t>ヒツヨウ</t>
    </rPh>
    <phoneticPr fontId="1"/>
  </si>
  <si>
    <t>2 千葉（石）潤滑油タンク在庫メンテ</t>
  </si>
  <si>
    <t>\\S01158V0\IRIS_CPS\skchisei\IRIS_ROOT\VB_ROOT\CEDZ020A.bat</t>
  </si>
  <si>
    <t>CEDZ020A.EXE</t>
    <phoneticPr fontId="1"/>
  </si>
  <si>
    <t>2 千葉（石）操業情報</t>
  </si>
  <si>
    <t>\\S01158V0\IRIS_CPS\skchisei\IRIS_ROOT\VB_ROOT\CCD1041.EXE</t>
  </si>
  <si>
    <t>CCD1041.EXE</t>
    <phoneticPr fontId="1"/>
  </si>
  <si>
    <t>　　∟リカバリーメニュー画面</t>
    <phoneticPr fontId="1"/>
  </si>
  <si>
    <t>CCD1042.exe</t>
    <phoneticPr fontId="1"/>
  </si>
  <si>
    <t>　　　∟自家燃使用量メニュー画面</t>
  </si>
  <si>
    <t>CCD1033.exe</t>
    <phoneticPr fontId="1"/>
  </si>
  <si>
    <t>　　∟他システム通信メニュー画面</t>
    <phoneticPr fontId="1"/>
  </si>
  <si>
    <t>CCD1043.exe</t>
  </si>
  <si>
    <t>　　∟PIMSデータ削除画面</t>
    <phoneticPr fontId="1"/>
  </si>
  <si>
    <t>CCD1039.exe</t>
  </si>
  <si>
    <t>　　∟装置運転停止時間マスタメンテナンス</t>
    <phoneticPr fontId="1"/>
  </si>
  <si>
    <t>CCD1040.exe</t>
  </si>
  <si>
    <t>64bitアプリでMsFlexGridの使用は不可</t>
    <phoneticPr fontId="1"/>
  </si>
  <si>
    <t>　　∟エラーメッセージ画面</t>
    <phoneticPr fontId="1"/>
  </si>
  <si>
    <t>CCD1036.exe</t>
  </si>
  <si>
    <t>2 千葉（石）二次加工ＤＢ作成</t>
    <phoneticPr fontId="1"/>
  </si>
  <si>
    <t>\\S01158V0\IRIS_CPS\skchisei\IRIS_ROOT\VB_ROOT\COLSET.EXE</t>
  </si>
  <si>
    <t>ET_MENU_NEW</t>
    <phoneticPr fontId="1"/>
  </si>
  <si>
    <t>\\S01158V0\common$\⑥千葉工場\千葉工場(VB)\ET_MENU_NEW.exe</t>
    <phoneticPr fontId="1"/>
  </si>
  <si>
    <t>ET_MENU_NEW.exe</t>
    <phoneticPr fontId="1"/>
  </si>
  <si>
    <t>他ベンダー</t>
    <phoneticPr fontId="1"/>
  </si>
  <si>
    <t>×</t>
  </si>
  <si>
    <t>(VB6)</t>
    <phoneticPr fontId="1"/>
  </si>
  <si>
    <t>起動確認（一部エラー有）</t>
    <rPh sb="5" eb="7">
      <t>イチブ</t>
    </rPh>
    <rPh sb="10" eb="11">
      <t>アリ</t>
    </rPh>
    <phoneticPr fontId="1"/>
  </si>
  <si>
    <t>ハネウェル</t>
    <phoneticPr fontId="1"/>
  </si>
  <si>
    <t>https://idemitsu.ent.box.com/folder/244490027073</t>
  </si>
  <si>
    <t>GT_ELE_COST</t>
    <phoneticPr fontId="1"/>
  </si>
  <si>
    <t>\\S01158V0\common$\⑥千葉工場\千葉工場(VB)\その他\GT_ELE_COST.exe</t>
    <phoneticPr fontId="1"/>
  </si>
  <si>
    <t>GT_ELE_COST.exe</t>
  </si>
  <si>
    <t>他ベンダー</t>
  </si>
  <si>
    <t>「429 ActiveX component can't create object」のエラー</t>
  </si>
  <si>
    <t>本番環境でも起動しないため、使用されていない</t>
    <rPh sb="0" eb="4">
      <t>ホンバンカンキョウ</t>
    </rPh>
    <rPh sb="6" eb="8">
      <t>キドウ</t>
    </rPh>
    <rPh sb="14" eb="16">
      <t>シヨウ</t>
    </rPh>
    <phoneticPr fontId="1"/>
  </si>
  <si>
    <t>https://idemitsu.ent.box.com/folder/244488829201</t>
  </si>
  <si>
    <t>ｶｳﾝﾀｰ照合</t>
  </si>
  <si>
    <t>\\S01158V0\common$\⑥千葉工場\千葉工場(VB)\その他\ｶｳﾝﾀｰ照合.exe</t>
    <phoneticPr fontId="1"/>
  </si>
  <si>
    <t>ｶｳﾝﾀｰ照合.exe</t>
    <phoneticPr fontId="1"/>
  </si>
  <si>
    <t>本番環境でも起動しないため、使用されていない？</t>
    <rPh sb="0" eb="4">
      <t>ホンバンカンキョウ</t>
    </rPh>
    <rPh sb="6" eb="8">
      <t>キドウ</t>
    </rPh>
    <rPh sb="14" eb="16">
      <t>シヨウ</t>
    </rPh>
    <phoneticPr fontId="1"/>
  </si>
  <si>
    <t>https://idemitsu.ent.box.com/folder/53380521405</t>
  </si>
  <si>
    <t>ケミカル管理2_目標値入力画面</t>
    <phoneticPr fontId="1"/>
  </si>
  <si>
    <t>\\S01158V0\common$\⑥千葉工場\千葉工場(VB)\その他\ケミカル管理2_目標値入力画面.exe</t>
    <phoneticPr fontId="1"/>
  </si>
  <si>
    <t>ケミカル管理2_目標値入力画面.exe</t>
    <phoneticPr fontId="1"/>
  </si>
  <si>
    <t>https://idemitsu.ent.box.com/folder/244490704322</t>
  </si>
  <si>
    <t>3 愛知（事）オフサイトメンテ</t>
  </si>
  <si>
    <t>\\S01158V0\IRIS_CPS\skaicsei\IRIS_ROOT\VB_ROOT\DATAMENT.EXE</t>
  </si>
  <si>
    <t>3 愛知（事）横串</t>
  </si>
  <si>
    <t>\\S01158V0\IRIS_CPS\skaicsei\IRIS_ROOT\VB_ROOT\CCD1038.EXE</t>
  </si>
  <si>
    <t>3 愛知（事）潤滑油タンク在庫メンテ</t>
  </si>
  <si>
    <t>\\S01158V0\IRIS_CPS\skaicsei\IRIS_ROOT\VB_ROOT\CEDZ020A.bat</t>
  </si>
  <si>
    <t>3 愛知（事）操業情報</t>
  </si>
  <si>
    <t>\\S01158V0\IRIS_CPS\skaicsei\IRIS_ROOT\VB_ROOT\CCD1041.EXE</t>
  </si>
  <si>
    <t>3 愛知（事）二次加工ＤＢ作成</t>
  </si>
  <si>
    <t>\\S01158V0\IRIS_CPS\skaicsei\IRIS_ROOT\VB_ROOT\COLSET.EXE</t>
  </si>
  <si>
    <t>COLSET.EXE</t>
  </si>
  <si>
    <t>4 徳山（西）オフサイトメンテ</t>
  </si>
  <si>
    <t>\\S01158V0\IRIS_CPS\sktoksei\IRIS_ROOT\VB_ROOT\DATAMENT.EXE</t>
  </si>
  <si>
    <t>4 徳山（西）横串</t>
  </si>
  <si>
    <t>\\S01158V0\IRIS_CPS\sktoksei\IRIS_ROOT\VB_ROOT\CCD1038.EXE</t>
  </si>
  <si>
    <t>4 徳山（西）潤滑油タンク在庫メンテ</t>
  </si>
  <si>
    <t>\\S01158V0\IRIS_CPS\sktoksei\IRIS_ROOT\VB_ROOT\CEDZ020A.bat</t>
  </si>
  <si>
    <t>4 徳山（西）操業情報</t>
  </si>
  <si>
    <t>\\S01158V0\IRIS_CPS\sktoksei\IRIS_ROOT\VB_ROOT\CCD1041.EXE</t>
  </si>
  <si>
    <t>4 徳山（西）二次加工ＤＢ作成</t>
  </si>
  <si>
    <t>\\S01158V0\iris_cps\sktoksei\IRIS_ROOT\VB_ROOT\COLSET.EXE</t>
    <phoneticPr fontId="1"/>
  </si>
  <si>
    <t>TPHC Tools</t>
  </si>
  <si>
    <t>\\S01158V0\common$\TPHCTool\TPHCtools.exe</t>
    <phoneticPr fontId="1"/>
  </si>
  <si>
    <t>TPHCtools.exe</t>
    <phoneticPr fontId="1"/>
  </si>
  <si>
    <t>①「Run-time error '339'（MSCOLCTL.ocx）」のエラー
②文字化けが発生
　⇒対応策を講じることで解消</t>
    <rPh sb="43" eb="46">
      <t>モジバ</t>
    </rPh>
    <rPh sb="48" eb="50">
      <t>ハッセイ</t>
    </rPh>
    <rPh sb="53" eb="56">
      <t>タイオウサク</t>
    </rPh>
    <rPh sb="57" eb="58">
      <t>コウ</t>
    </rPh>
    <rPh sb="63" eb="65">
      <t>カイショウ</t>
    </rPh>
    <phoneticPr fontId="1"/>
  </si>
  <si>
    <t xml:space="preserve">①実行時に必要なCOMコンポーネントがない
②VB6JP.dllがない
</t>
    <rPh sb="1" eb="4">
      <t>ジッコウジ</t>
    </rPh>
    <rPh sb="5" eb="7">
      <t>ヒツヨウ</t>
    </rPh>
    <phoneticPr fontId="1"/>
  </si>
  <si>
    <t xml:space="preserve">①該当するCOMコンポーネントの登録
②VB6ランタイムが必要
</t>
    <rPh sb="1" eb="3">
      <t>ガイトウ</t>
    </rPh>
    <rPh sb="16" eb="18">
      <t>トウロク</t>
    </rPh>
    <rPh sb="29" eb="31">
      <t>ヒツヨウ</t>
    </rPh>
    <phoneticPr fontId="1"/>
  </si>
  <si>
    <t>ET352 ｴﾁﾚﾝﾕｰｻﾞｰ</t>
  </si>
  <si>
    <t>\\S01158V0\common$\ET課\ET352 ｴﾁﾚﾝﾕｰｻﾞｰ.exe</t>
    <phoneticPr fontId="1"/>
  </si>
  <si>
    <t>ET352 ｴﾁﾚﾝﾕｰｻﾞｰ.exe</t>
    <phoneticPr fontId="1"/>
  </si>
  <si>
    <t>XenApp廃止対応にて移行対象外</t>
    <phoneticPr fontId="1"/>
  </si>
  <si>
    <t>https://idemitsu.ent.box.com/folder/53314520177</t>
  </si>
  <si>
    <t>Labman</t>
  </si>
  <si>
    <t>\\S01158V0\common$\化学品二課\Labman.exe</t>
    <phoneticPr fontId="1"/>
  </si>
  <si>
    <t>Labman.exe</t>
    <phoneticPr fontId="1"/>
  </si>
  <si>
    <t>①「Run-time error '339'（MSCOLCTL.ocx）」のエラー
②文字化けが発生
　⇒対応策を講じることで解消</t>
    <rPh sb="43" eb="46">
      <t>モジバ</t>
    </rPh>
    <rPh sb="48" eb="50">
      <t>ハッセイ</t>
    </rPh>
    <phoneticPr fontId="1"/>
  </si>
  <si>
    <t>https://idemitsu.ent.box.com/folder/53383739344</t>
  </si>
  <si>
    <t>LIMSIF</t>
    <phoneticPr fontId="1"/>
  </si>
  <si>
    <t>\\S01158V0\common$\LIMSIF\LIMSIF.exe</t>
    <phoneticPr fontId="1"/>
  </si>
  <si>
    <t>LIMSIF.exe</t>
    <phoneticPr fontId="1"/>
  </si>
  <si>
    <t>Azbil</t>
    <phoneticPr fontId="1"/>
  </si>
  <si>
    <t>LIMSViwer</t>
  </si>
  <si>
    <t>\\S01158V0\common$\LIMSViwer\LIMSViwer.exe</t>
    <phoneticPr fontId="1"/>
  </si>
  <si>
    <t>LIMSViwer.exe</t>
  </si>
  <si>
    <t>テスト対象EXEファイル存在しない</t>
  </si>
  <si>
    <t>LIMSViwer_190221版</t>
    <phoneticPr fontId="1"/>
  </si>
  <si>
    <t>\\S01158V0\common$\LimsViwer_190221版\LIMSViwer.exe</t>
    <phoneticPr fontId="1"/>
  </si>
  <si>
    <t>LIMSViwer.exe</t>
    <phoneticPr fontId="1"/>
  </si>
  <si>
    <t>BT750</t>
  </si>
  <si>
    <t>\\S01158V0\common$\化学品一課\BT750.exe</t>
    <phoneticPr fontId="1"/>
  </si>
  <si>
    <t>BT750.exe</t>
    <phoneticPr fontId="1"/>
  </si>
  <si>
    <t>https://idemitsu.ent.box.com/folder/53384992628</t>
  </si>
  <si>
    <t>CTCTANK</t>
  </si>
  <si>
    <t>\\S01158V0\common$\化学品一課\CTCTANK.exe</t>
    <phoneticPr fontId="1"/>
  </si>
  <si>
    <t>CTCTANK.exe</t>
    <phoneticPr fontId="1"/>
  </si>
  <si>
    <t>https://idemitsu.ent.box.com/folder/53380518016</t>
    <phoneticPr fontId="1"/>
  </si>
  <si>
    <t>Fuel_Callorie</t>
  </si>
  <si>
    <t>\\S01158V0\common$\化学品一課\Fuel_Callorie.exe</t>
    <phoneticPr fontId="1"/>
  </si>
  <si>
    <t>Fuel_Callorie.exe</t>
    <phoneticPr fontId="1"/>
  </si>
  <si>
    <t>「429 ActiveX component can't create object」のエラー</t>
    <phoneticPr fontId="1"/>
  </si>
  <si>
    <t>https://idemitsu.ent.box.com/folder/53380572581</t>
  </si>
  <si>
    <t>H2_BALA_3</t>
  </si>
  <si>
    <t>\\S01158V0\common$\化学品一課\H2_BALA_3.exe</t>
    <phoneticPr fontId="1"/>
  </si>
  <si>
    <t>H2_BALA_3.exe</t>
    <phoneticPr fontId="1"/>
  </si>
  <si>
    <t>https://idemitsu.ent.box.com/folder/53384297542</t>
  </si>
  <si>
    <t>SITANK_1</t>
  </si>
  <si>
    <t>\\S01158V0\common$\化学品一課\SITANK_1.exe</t>
    <phoneticPr fontId="1"/>
  </si>
  <si>
    <t>SITANK_1.exe</t>
    <phoneticPr fontId="1"/>
  </si>
  <si>
    <t>https://idemitsu.ent.box.com/folder/53384547982</t>
  </si>
  <si>
    <t>YR71</t>
  </si>
  <si>
    <t>\\S01158V0\common$\化学品一課\YR71.exe</t>
    <phoneticPr fontId="1"/>
  </si>
  <si>
    <t>YR71.exe</t>
    <phoneticPr fontId="1"/>
  </si>
  <si>
    <t>https://idemitsu.ent.box.com/folder/53385006373</t>
  </si>
  <si>
    <t>1 北海道製（ログオン画面有り）</t>
  </si>
  <si>
    <t>\\S01158V0\IRIS_CPS\skhoksei\IRIS_ROOT\VB_ROOT\DRIVEMAP_ZZZY001.BAT</t>
    <phoneticPr fontId="1"/>
  </si>
  <si>
    <t>ZZZY001.exe</t>
    <phoneticPr fontId="1"/>
  </si>
  <si>
    <t>No.1（ZZZY002.exe）と同様</t>
    <rPh sb="18" eb="20">
      <t>ドウヨウ</t>
    </rPh>
    <phoneticPr fontId="1"/>
  </si>
  <si>
    <t>2 千葉（石）（ログオン画面有り）</t>
  </si>
  <si>
    <t>\\S01158V0\IRIS_CPS\skchisei\IRIS_ROOT\VB_ROOT\DRIVEMAP_ZZZY001.BAT</t>
  </si>
  <si>
    <t>同上</t>
    <rPh sb="0" eb="2">
      <t>ドウジョウ</t>
    </rPh>
    <phoneticPr fontId="1"/>
  </si>
  <si>
    <t>3 千葉（化）（ログオン画面有り）</t>
  </si>
  <si>
    <t>\\S01158V0\IRIS_CPS\skchisei\IRIS_ROOT\VB_ROOT\DRIVEMAP_ZZZY001_KOU.BAT</t>
  </si>
  <si>
    <t>4 愛知事（ログオン画面有り）</t>
  </si>
  <si>
    <t>\\S01158V0\IRIS_CPS\skaicsei\IRIS_ROOT\VB_ROOT\DRIVEMAP_ZZZY001.BAT</t>
  </si>
  <si>
    <t>5 徳山西（ログオン画面有り）</t>
  </si>
  <si>
    <t>\\S01158V0\IRIS_CPS\sktoksei\IRIS_ROOT\VB_ROOT\DRIVEMAP_ZZZY001.BAT</t>
  </si>
  <si>
    <t>6 徳山東（ログオン画面有り）</t>
  </si>
  <si>
    <t>\\S01158V0\IRIS_CPS\sktoksei\IRIS_ROOT\VB_ROOT\DRIVEMAP_ZZZY001_KOU.BAT</t>
    <phoneticPr fontId="1"/>
  </si>
  <si>
    <t>新IRISマスタメンテツール</t>
  </si>
  <si>
    <t>D:\IDEMITSU\新IRISマスタメンテ\AuthMnt.exe</t>
    <phoneticPr fontId="1"/>
  </si>
  <si>
    <t>AuthMnt.exe</t>
  </si>
  <si>
    <t>ナフサデータの取込み</t>
    <phoneticPr fontId="1"/>
  </si>
  <si>
    <t>D:\App\NAPH_OUT\Naphtha_out.exe</t>
    <phoneticPr fontId="1"/>
  </si>
  <si>
    <t>Naphtha_out.exe</t>
    <phoneticPr fontId="1"/>
  </si>
  <si>
    <t>v2.0.50727</t>
  </si>
  <si>
    <t>CST</t>
    <phoneticPr fontId="1"/>
  </si>
  <si>
    <t>ナフサ組成マスター管理</t>
    <phoneticPr fontId="1"/>
  </si>
  <si>
    <t>D:\App\NAPH_MS\Naphtha_Ms.exe</t>
    <phoneticPr fontId="1"/>
  </si>
  <si>
    <t>Naphtha_Ms.exe</t>
    <phoneticPr fontId="1"/>
  </si>
  <si>
    <t>千葉ナフサ組成登録</t>
  </si>
  <si>
    <t>D:\App\NAPH_IN\Naphtha_in.exe</t>
    <phoneticPr fontId="1"/>
  </si>
  <si>
    <t>Naphtha_in.exe</t>
  </si>
  <si>
    <t>油種名称変換マスタ設定</t>
  </si>
  <si>
    <t>D:\App\NAPH_MS\Naphtha_MsJky.exe</t>
    <phoneticPr fontId="1"/>
  </si>
  <si>
    <t>Naphtha_MsJky.exe</t>
    <phoneticPr fontId="1"/>
  </si>
  <si>
    <t>新IRISマスタメンテツール_1</t>
  </si>
  <si>
    <t>No.33で確認</t>
    <rPh sb="6" eb="8">
      <t>カクニン</t>
    </rPh>
    <phoneticPr fontId="1"/>
  </si>
  <si>
    <t>A-MIS愛知</t>
  </si>
  <si>
    <t>D:\App\AMISREFICH\A-MIS_REFICH.BAT</t>
    <phoneticPr fontId="1"/>
  </si>
  <si>
    <t>Amis.exe</t>
    <phoneticPr fontId="1"/>
  </si>
  <si>
    <t>起動確認</t>
    <phoneticPr fontId="1"/>
  </si>
  <si>
    <t>京葉情報</t>
    <rPh sb="0" eb="2">
      <t>ケイヨウ</t>
    </rPh>
    <rPh sb="2" eb="4">
      <t>ジョウホウ</t>
    </rPh>
    <phoneticPr fontId="1"/>
  </si>
  <si>
    <t>A-MIS千葉事化学</t>
  </si>
  <si>
    <t>D:\App\AMISFACCHB\A-MIS_FACCHB.BAT</t>
  </si>
  <si>
    <t>起動確認（システムエラー55あり）</t>
    <rPh sb="0" eb="2">
      <t>キドウ</t>
    </rPh>
    <rPh sb="2" eb="4">
      <t>カクニン</t>
    </rPh>
    <phoneticPr fontId="1"/>
  </si>
  <si>
    <t>A-MIS千葉事石油</t>
  </si>
  <si>
    <t>D:\App\AMISREFCHB\A-MIS_REFCHB.BAT</t>
    <phoneticPr fontId="1"/>
  </si>
  <si>
    <t>A-MIS徳山事西地区</t>
  </si>
  <si>
    <t>D:\App\AMISREFTOK\A-MIS_REFTOK.BAT</t>
  </si>
  <si>
    <t>起動時エラー（ORA-00904:"THCK_DISP_POS":無効な識別子です。）</t>
    <rPh sb="2" eb="3">
      <t>ジ</t>
    </rPh>
    <rPh sb="33" eb="35">
      <t>ムコウ</t>
    </rPh>
    <rPh sb="36" eb="39">
      <t>シキベツシ</t>
    </rPh>
    <phoneticPr fontId="1"/>
  </si>
  <si>
    <t>A-MIS徳山事東地区</t>
  </si>
  <si>
    <t>D:\App\AMISFACTOK\A-MIS_FACTOK.BAT</t>
  </si>
  <si>
    <t>A-MIS北海道</t>
    <phoneticPr fontId="1"/>
  </si>
  <si>
    <t>D:\App\AMISREFHOK\A-MIS_REFHOK.BAT</t>
  </si>
  <si>
    <t>A-MIS001千葉事化学</t>
  </si>
  <si>
    <t>D:\App\AMISFACCHB\AMIS001_FACCHB.BAT</t>
  </si>
  <si>
    <t>A-MIS001千葉事石油</t>
  </si>
  <si>
    <t>D:\App\AMISREFCHB\AMIS001_REFCHB.BAT</t>
  </si>
  <si>
    <t>A-MIS001愛知</t>
  </si>
  <si>
    <t>D:\App\AMISREFICH\AMIS001_REFICH.BAT</t>
  </si>
  <si>
    <t>A-MIS001徳山事西地区</t>
  </si>
  <si>
    <t>D:\App\AMISREFTOK\AMIS001_REFTOK.BAT</t>
  </si>
  <si>
    <t>A-MIS001徳山事東地区</t>
  </si>
  <si>
    <t>D:\App\AMISFACTOK\AMIS001_FACTOK.BAT</t>
  </si>
  <si>
    <t>A-MIS001北海道</t>
  </si>
  <si>
    <t>D:\App\AMISREFHOK\AMIS001_REFHOK.BAT</t>
  </si>
  <si>
    <t>ExESS</t>
  </si>
  <si>
    <t>C:\Program Files (x86)\Lisam\ExESS\ExESS.exe</t>
    <phoneticPr fontId="1"/>
  </si>
  <si>
    <t>ExESS.exe</t>
    <phoneticPr fontId="1"/>
  </si>
  <si>
    <t>江守商事</t>
    <rPh sb="0" eb="4">
      <t>エモリショウジ</t>
    </rPh>
    <phoneticPr fontId="1"/>
  </si>
  <si>
    <t>ExESS_VerUp用</t>
  </si>
  <si>
    <t>C:\Program Files (x86)\Lisam\ExESS\ExESS.exe</t>
  </si>
  <si>
    <t>ExESS.exe</t>
  </si>
  <si>
    <t>4 徳山（西）オフサイトメンテ_管理ユーザのみ表示</t>
  </si>
  <si>
    <t>\\S01158V0\IRIS_CPS\sktoksei\IRIS_ROOT\VB_ROOT\DATAMENT.EXE</t>
    <phoneticPr fontId="1"/>
  </si>
  <si>
    <t>AmisDraw愛知</t>
  </si>
  <si>
    <t>D:\App\AMISREFICH\AmisDraw.exe</t>
  </si>
  <si>
    <t>AmisDraw.exe</t>
    <phoneticPr fontId="1"/>
  </si>
  <si>
    <t>AmisDraw千葉事化学</t>
  </si>
  <si>
    <t>D:\App\AMISFACCHB\AmisDraw.exe</t>
    <phoneticPr fontId="1"/>
  </si>
  <si>
    <t>AmisDraw.exe</t>
  </si>
  <si>
    <t>AmisDraw千葉事石油</t>
  </si>
  <si>
    <t>D:\App\AMISREFCHB\AmisDraw.exe</t>
  </si>
  <si>
    <t>AmisDraw徳山事西地区</t>
  </si>
  <si>
    <t>D:\App\AMISREFTOK\AmisDraw.exe</t>
  </si>
  <si>
    <t>AmisDraw徳山事東地区</t>
  </si>
  <si>
    <t>D:\App\AMISFACTOK\AmisDraw.exe</t>
  </si>
  <si>
    <t>AmisDraw北海道</t>
  </si>
  <si>
    <t>D:\App\AMISREFHOK\AmisDraw.exe</t>
    <phoneticPr fontId="1"/>
  </si>
  <si>
    <t>PROII v10_1</t>
  </si>
  <si>
    <t>D:\App\SIMSCI\PROII101\Bin\PROII.exe</t>
    <phoneticPr fontId="1"/>
  </si>
  <si>
    <t>PROII.exe</t>
  </si>
  <si>
    <t>あり</t>
  </si>
  <si>
    <t>-</t>
    <phoneticPr fontId="1"/>
  </si>
  <si>
    <t>AVEVA</t>
    <phoneticPr fontId="1"/>
  </si>
  <si>
    <t>PROII v10_2</t>
  </si>
  <si>
    <t>D:\App\SIMSCI\PROII102\Bin\PROII.exe</t>
  </si>
  <si>
    <t>PROII_2020</t>
  </si>
  <si>
    <t>D:\App\SIMSCI\PROII2020\Bin\PROII.exe</t>
    <phoneticPr fontId="1"/>
  </si>
  <si>
    <t>PROII_ライセンスマネージャー</t>
  </si>
  <si>
    <t>%ProgramFiles(x86)%\Common Files\SimSci\UniqueFileFolder\SecurityTool.exe</t>
    <phoneticPr fontId="1"/>
  </si>
  <si>
    <t>SecurityTool.exe</t>
  </si>
  <si>
    <t>PlantManager</t>
  </si>
  <si>
    <t>D:\App\EEG\PlantManager\PlantManager.exe</t>
    <phoneticPr fontId="1"/>
  </si>
  <si>
    <t>PlantManager.exe</t>
    <phoneticPr fontId="1"/>
  </si>
  <si>
    <t>E2G</t>
    <phoneticPr fontId="1"/>
  </si>
  <si>
    <t>4 徳山（西）操業情報_1</t>
  </si>
  <si>
    <t>\\S01158V0\IRIS_CPS\sktoksei\IRIS_ROOT\VB_ROOT\CCD1041.EXE</t>
    <phoneticPr fontId="1"/>
  </si>
  <si>
    <t>ユニテックExESS作業用</t>
  </si>
  <si>
    <t>\\S01158V0\idemitsu$\直リンク\ユニテックExESS作業用\直リンク_ユニテックExESS作業用.bat</t>
  </si>
  <si>
    <t>iexplore.exe</t>
    <phoneticPr fontId="1"/>
  </si>
  <si>
    <t>シート「動作検証結果」のF列（動作検証対象）が「対象」 かつ J～K列（結果）が「NG」となっているアプリケーションの検討事項は以下の通り</t>
    <rPh sb="6" eb="8">
      <t>ケンショウ</t>
    </rPh>
    <rPh sb="13" eb="14">
      <t>レツ</t>
    </rPh>
    <rPh sb="15" eb="17">
      <t>ドウサ</t>
    </rPh>
    <rPh sb="17" eb="19">
      <t>ケンショウ</t>
    </rPh>
    <rPh sb="19" eb="21">
      <t>タイショウ</t>
    </rPh>
    <rPh sb="24" eb="26">
      <t>タイショウ</t>
    </rPh>
    <rPh sb="59" eb="61">
      <t>ケントウ</t>
    </rPh>
    <rPh sb="61" eb="63">
      <t>ジコウ</t>
    </rPh>
    <rPh sb="64" eb="66">
      <t>イカ</t>
    </rPh>
    <rPh sb="67" eb="68">
      <t>トオ</t>
    </rPh>
    <phoneticPr fontId="1"/>
  </si>
  <si>
    <t>■Oracle.DataAccess.dll</t>
    <phoneticPr fontId="1"/>
  </si>
  <si>
    <t>【課題】</t>
    <rPh sb="1" eb="3">
      <t>カダイ</t>
    </rPh>
    <phoneticPr fontId="1"/>
  </si>
  <si>
    <t>Oracle.DataAccess.dllを参照している公開アプリの実行ファイル(.exe)について</t>
    <rPh sb="22" eb="24">
      <t>サンショウ</t>
    </rPh>
    <rPh sb="28" eb="30">
      <t>コウカイ</t>
    </rPh>
    <rPh sb="34" eb="36">
      <t>ジッコウ</t>
    </rPh>
    <phoneticPr fontId="1"/>
  </si>
  <si>
    <t>OracleClient19c(64bit)のdllとbitが異なるため、OracleClientのdllを参照して64bitでリコンパイルする必要がある</t>
    <rPh sb="31" eb="32">
      <t>コト</t>
    </rPh>
    <rPh sb="54" eb="56">
      <t>サンショウ</t>
    </rPh>
    <rPh sb="72" eb="74">
      <t>ヒツヨウ</t>
    </rPh>
    <phoneticPr fontId="1"/>
  </si>
  <si>
    <t>【OracleClient19c(32bit)を使用した場合】</t>
    <phoneticPr fontId="1"/>
  </si>
  <si>
    <t>公開アプリの実行ファイル(.exe)が参照しているdllとバージョンが異なるため、32bitでリコンパイルする必要がある</t>
    <rPh sb="0" eb="2">
      <t>コウカイ</t>
    </rPh>
    <rPh sb="6" eb="8">
      <t>ジッコウ</t>
    </rPh>
    <rPh sb="19" eb="21">
      <t>サンショウ</t>
    </rPh>
    <rPh sb="35" eb="36">
      <t>コト</t>
    </rPh>
    <phoneticPr fontId="1"/>
  </si>
  <si>
    <t>⇒</t>
    <phoneticPr fontId="1"/>
  </si>
  <si>
    <t>32bitクライアントのOracle.DataAccess.dllをGAC登録した場合、リコンパイルの必要はなし。</t>
    <rPh sb="37" eb="39">
      <t>トウロク</t>
    </rPh>
    <rPh sb="41" eb="43">
      <t>バアイ</t>
    </rPh>
    <rPh sb="51" eb="53">
      <t>ヒツヨウ</t>
    </rPh>
    <phoneticPr fontId="1"/>
  </si>
  <si>
    <t>64bit環境かつ32bitアプリでauthfunc.dll、MsFlexGridが使用可能であるかは、1画面で確認済み。</t>
    <rPh sb="5" eb="7">
      <t>カンキョウ</t>
    </rPh>
    <rPh sb="42" eb="46">
      <t>シヨウカノウ</t>
    </rPh>
    <rPh sb="53" eb="55">
      <t>ガメン</t>
    </rPh>
    <rPh sb="56" eb="59">
      <t>カクニンズ</t>
    </rPh>
    <phoneticPr fontId="1"/>
  </si>
  <si>
    <t>■authfunc.dll</t>
    <phoneticPr fontId="1"/>
  </si>
  <si>
    <t>公開アプリの実行ファイル(.exe)を64bitでリコンパイルして使用する場合、</t>
    <rPh sb="0" eb="2">
      <t>コウカイ</t>
    </rPh>
    <rPh sb="6" eb="8">
      <t>ジッコウ</t>
    </rPh>
    <rPh sb="33" eb="35">
      <t>シヨウ</t>
    </rPh>
    <rPh sb="37" eb="39">
      <t>バアイ</t>
    </rPh>
    <phoneticPr fontId="1"/>
  </si>
  <si>
    <t>64bit版authfunc.dllがない場合、認証機能について代替対応する必要がある</t>
    <rPh sb="5" eb="6">
      <t>バン</t>
    </rPh>
    <rPh sb="21" eb="23">
      <t>バアイ</t>
    </rPh>
    <rPh sb="24" eb="28">
      <t>ニンショウキノウ</t>
    </rPh>
    <rPh sb="32" eb="34">
      <t>ダイタイ</t>
    </rPh>
    <rPh sb="34" eb="36">
      <t>タイオウ</t>
    </rPh>
    <rPh sb="38" eb="40">
      <t>ヒツヨウ</t>
    </rPh>
    <phoneticPr fontId="1"/>
  </si>
  <si>
    <t>⇒IDM認証が使用可能</t>
    <rPh sb="4" eb="6">
      <t>ニンショウ</t>
    </rPh>
    <rPh sb="7" eb="11">
      <t>シヨウカノウ</t>
    </rPh>
    <phoneticPr fontId="1"/>
  </si>
  <si>
    <t>■MsFlexGrid</t>
    <phoneticPr fontId="1"/>
  </si>
  <si>
    <t>MsFlexGridは64bitに対応していないため、別コントロールで代替対応する必要がある</t>
    <rPh sb="17" eb="19">
      <t>タイオウ</t>
    </rPh>
    <rPh sb="27" eb="28">
      <t>ベツ</t>
    </rPh>
    <rPh sb="35" eb="37">
      <t>ダイタイ</t>
    </rPh>
    <rPh sb="37" eb="39">
      <t>タイオウ</t>
    </rPh>
    <rPh sb="41" eb="43">
      <t>ヒツヨウ</t>
    </rPh>
    <phoneticPr fontId="1"/>
  </si>
  <si>
    <t>⇒要件定義フェーズにて検討する</t>
    <rPh sb="1" eb="5">
      <t>ヨウケンテイギ</t>
    </rPh>
    <rPh sb="11" eb="13">
      <t>ケントウ</t>
    </rPh>
    <phoneticPr fontId="1"/>
  </si>
  <si>
    <t>■RtlMoveMemory（WinAPI32）</t>
    <phoneticPr fontId="1"/>
  </si>
  <si>
    <t>RtlMoveMemory（WinAPI32）使用箇所でエラーが発生する</t>
    <rPh sb="23" eb="27">
      <t>シヨウカショ</t>
    </rPh>
    <rPh sb="32" eb="34">
      <t>ハッセイ</t>
    </rPh>
    <phoneticPr fontId="1"/>
  </si>
  <si>
    <t>原因は不明だが、ターゲットフレームワークを変更してリコンパイルすることで回避可能</t>
    <rPh sb="0" eb="2">
      <t>ゲンイン</t>
    </rPh>
    <rPh sb="3" eb="5">
      <t>フメイ</t>
    </rPh>
    <rPh sb="21" eb="23">
      <t>ヘンコウ</t>
    </rPh>
    <rPh sb="36" eb="38">
      <t>カイヒ</t>
    </rPh>
    <rPh sb="38" eb="40">
      <t>カノウ</t>
    </rPh>
    <phoneticPr fontId="1"/>
  </si>
  <si>
    <t>(2024/12/13追記)</t>
    <rPh sb="11" eb="13">
      <t>ツイキ</t>
    </rPh>
    <phoneticPr fontId="1"/>
  </si>
  <si>
    <t>以下該当箇所を修正することでエラーが解消することを確認</t>
    <rPh sb="0" eb="2">
      <t>イカ</t>
    </rPh>
    <rPh sb="2" eb="6">
      <t>ガイトウカショ</t>
    </rPh>
    <rPh sb="7" eb="9">
      <t>シュウセイ</t>
    </rPh>
    <rPh sb="18" eb="20">
      <t>カイショウ</t>
    </rPh>
    <rPh sb="25" eb="27">
      <t>カクニン</t>
    </rPh>
    <phoneticPr fontId="1"/>
  </si>
  <si>
    <t>ZZZY001Y3.vb</t>
  </si>
  <si>
    <t>(変更前)</t>
    <rPh sb="1" eb="4">
      <t>ヘンコウマエ</t>
    </rPh>
    <phoneticPr fontId="1"/>
  </si>
  <si>
    <t>Private Declare Function CreateFileMapping Lib "kernel32" Alias "CreateFileMappingA" (ByVal hFile As Integer, ByVal lpFileMappigAttributes As Integer, ByVal flProtect As Integer, ByVal dwMaximumSizeHigh As Integer, ByVal dwMaximumSizeLow As Integer, ByVal lpName As String) As Integer</t>
    <phoneticPr fontId="1"/>
  </si>
  <si>
    <t>(変更後)</t>
    <rPh sb="1" eb="3">
      <t>ヘンコウ</t>
    </rPh>
    <rPh sb="3" eb="4">
      <t>ゴ</t>
    </rPh>
    <phoneticPr fontId="1"/>
  </si>
  <si>
    <r>
      <t xml:space="preserve">Private Declare Function CreateFileMapping Lib "kernel32" Alias "CreateFileMappingA" (ByVal hFile As </t>
    </r>
    <r>
      <rPr>
        <sz val="11"/>
        <color rgb="FFFF0000"/>
        <rFont val="Meiryo UI"/>
        <family val="3"/>
        <charset val="128"/>
      </rPr>
      <t>IntPtr</t>
    </r>
    <r>
      <rPr>
        <sz val="11"/>
        <color theme="1"/>
        <rFont val="Meiryo UI"/>
        <family val="3"/>
        <charset val="128"/>
      </rPr>
      <t xml:space="preserve">, ByVal lpFileMappigAttributes As </t>
    </r>
    <r>
      <rPr>
        <sz val="11"/>
        <color rgb="FFFF0000"/>
        <rFont val="Meiryo UI"/>
        <family val="3"/>
        <charset val="128"/>
      </rPr>
      <t>IntPtr</t>
    </r>
    <r>
      <rPr>
        <sz val="11"/>
        <color theme="1"/>
        <rFont val="Meiryo UI"/>
        <family val="3"/>
        <charset val="128"/>
      </rPr>
      <t xml:space="preserve">, ByVal flProtect As </t>
    </r>
    <r>
      <rPr>
        <sz val="11"/>
        <color rgb="FFFF0000"/>
        <rFont val="Meiryo UI"/>
        <family val="3"/>
        <charset val="128"/>
      </rPr>
      <t>UInteger</t>
    </r>
    <r>
      <rPr>
        <sz val="11"/>
        <color theme="1"/>
        <rFont val="Meiryo UI"/>
        <family val="3"/>
        <charset val="128"/>
      </rPr>
      <t xml:space="preserve">, ByVal dwMaximumSizeHigh As </t>
    </r>
    <r>
      <rPr>
        <sz val="11"/>
        <color rgb="FFFF0000"/>
        <rFont val="Meiryo UI"/>
        <family val="3"/>
        <charset val="128"/>
      </rPr>
      <t>UInteger</t>
    </r>
    <r>
      <rPr>
        <sz val="11"/>
        <color theme="1"/>
        <rFont val="Meiryo UI"/>
        <family val="3"/>
        <charset val="128"/>
      </rPr>
      <t xml:space="preserve">, ByVal dwMaximumSizeLow As </t>
    </r>
    <r>
      <rPr>
        <sz val="11"/>
        <color rgb="FFFF0000"/>
        <rFont val="Meiryo UI"/>
        <family val="3"/>
        <charset val="128"/>
      </rPr>
      <t>UInteger</t>
    </r>
    <r>
      <rPr>
        <sz val="11"/>
        <color theme="1"/>
        <rFont val="Meiryo UI"/>
        <family val="3"/>
        <charset val="128"/>
      </rPr>
      <t xml:space="preserve">, ByVal lpName As String) As </t>
    </r>
    <r>
      <rPr>
        <sz val="11"/>
        <color rgb="FFFF0000"/>
        <rFont val="Meiryo UI"/>
        <family val="3"/>
        <charset val="128"/>
      </rPr>
      <t>IntPtr</t>
    </r>
    <phoneticPr fontId="1"/>
  </si>
  <si>
    <t>Private Declare Function MapViewOfFile Lib "kernel32" (ByVal hFileMappingObject As Integer, ByVal dwDesiredAccess As Integer, ByVal dwFileOffsetHigh As Integer, ByVal dwFileOffsetLow As Integer, ByVal dwNumberOfBytesToMap As Integer) As Integer</t>
    <phoneticPr fontId="1"/>
  </si>
  <si>
    <r>
      <t xml:space="preserve">Private Declare Function MapViewOfFile Lib "kernel32" (ByVal hFileMappingObject As </t>
    </r>
    <r>
      <rPr>
        <sz val="11"/>
        <color rgb="FFFF0000"/>
        <rFont val="Meiryo UI"/>
        <family val="3"/>
        <charset val="128"/>
      </rPr>
      <t>IntPtr</t>
    </r>
    <r>
      <rPr>
        <sz val="11"/>
        <color theme="1"/>
        <rFont val="Meiryo UI"/>
        <family val="3"/>
        <charset val="128"/>
      </rPr>
      <t xml:space="preserve">, ByVal dwDesiredAccess As </t>
    </r>
    <r>
      <rPr>
        <sz val="11"/>
        <color rgb="FFFF0000"/>
        <rFont val="Meiryo UI"/>
        <family val="3"/>
        <charset val="128"/>
      </rPr>
      <t>UInteger</t>
    </r>
    <r>
      <rPr>
        <sz val="11"/>
        <color theme="1"/>
        <rFont val="Meiryo UI"/>
        <family val="3"/>
        <charset val="128"/>
      </rPr>
      <t xml:space="preserve">, ByVal dwFileOffsetHigh As </t>
    </r>
    <r>
      <rPr>
        <sz val="11"/>
        <color rgb="FFFF0000"/>
        <rFont val="Meiryo UI"/>
        <family val="3"/>
        <charset val="128"/>
      </rPr>
      <t>UInteger</t>
    </r>
    <r>
      <rPr>
        <sz val="11"/>
        <color theme="1"/>
        <rFont val="Meiryo UI"/>
        <family val="3"/>
        <charset val="128"/>
      </rPr>
      <t xml:space="preserve">, ByVal dwFileOffsetLow As </t>
    </r>
    <r>
      <rPr>
        <sz val="11"/>
        <color rgb="FFFF0000"/>
        <rFont val="Meiryo UI"/>
        <family val="3"/>
        <charset val="128"/>
      </rPr>
      <t>UInteger</t>
    </r>
    <r>
      <rPr>
        <sz val="11"/>
        <color theme="1"/>
        <rFont val="Meiryo UI"/>
        <family val="3"/>
        <charset val="128"/>
      </rPr>
      <t xml:space="preserve">, ByVal dwNumberOfBytesToMap As </t>
    </r>
    <r>
      <rPr>
        <sz val="11"/>
        <color rgb="FFFF0000"/>
        <rFont val="Meiryo UI"/>
        <family val="3"/>
        <charset val="128"/>
      </rPr>
      <t>UIntPtr</t>
    </r>
    <r>
      <rPr>
        <sz val="11"/>
        <color theme="1"/>
        <rFont val="Meiryo UI"/>
        <family val="3"/>
        <charset val="128"/>
      </rPr>
      <t xml:space="preserve">) As </t>
    </r>
    <r>
      <rPr>
        <sz val="11"/>
        <color rgb="FFFF0000"/>
        <rFont val="Meiryo UI"/>
        <family val="3"/>
        <charset val="128"/>
      </rPr>
      <t>IntPtr</t>
    </r>
    <phoneticPr fontId="1"/>
  </si>
  <si>
    <t>Private Declare Function UnmapViewOfFile Lib "kernel32" (ByVal lpBaseAddress As Integer) As Integer</t>
    <phoneticPr fontId="1"/>
  </si>
  <si>
    <r>
      <t xml:space="preserve">Private Declare Function UnmapViewOfFile Lib "kernel32" (ByVal lpBaseAddress As </t>
    </r>
    <r>
      <rPr>
        <sz val="11"/>
        <color rgb="FFFF0000"/>
        <rFont val="Meiryo UI"/>
        <family val="3"/>
        <charset val="128"/>
      </rPr>
      <t>IntPtr</t>
    </r>
    <r>
      <rPr>
        <sz val="11"/>
        <color theme="1"/>
        <rFont val="Meiryo UI"/>
        <family val="3"/>
        <charset val="128"/>
      </rPr>
      <t xml:space="preserve">) As </t>
    </r>
    <r>
      <rPr>
        <sz val="11"/>
        <color rgb="FFFF0000"/>
        <rFont val="Meiryo UI"/>
        <family val="3"/>
        <charset val="128"/>
      </rPr>
      <t>IntPtr</t>
    </r>
    <phoneticPr fontId="1"/>
  </si>
  <si>
    <t>Private Declare Sub memcpy Lib "kernel32" Alias "RtlMoveMemory" (ByVal Dst As Integer, ByVal Src() As Byte, ByVal Length As Integer)</t>
    <phoneticPr fontId="1"/>
  </si>
  <si>
    <r>
      <t xml:space="preserve">Private Declare Sub memcpy Lib "kernel32" Alias "RtlMoveMemory" (ByVal Dst As </t>
    </r>
    <r>
      <rPr>
        <sz val="11"/>
        <color rgb="FFFF0000"/>
        <rFont val="Meiryo UI"/>
        <family val="3"/>
        <charset val="128"/>
      </rPr>
      <t>IntPtr</t>
    </r>
    <r>
      <rPr>
        <sz val="11"/>
        <color theme="1"/>
        <rFont val="Meiryo UI"/>
        <family val="3"/>
        <charset val="128"/>
      </rPr>
      <t xml:space="preserve">, ByVal Src() As Byte, ByVal Length As </t>
    </r>
    <r>
      <rPr>
        <sz val="11"/>
        <color rgb="FFFF0000"/>
        <rFont val="Meiryo UI"/>
        <family val="3"/>
        <charset val="128"/>
      </rPr>
      <t>UIntPtr</t>
    </r>
    <r>
      <rPr>
        <sz val="11"/>
        <color theme="1"/>
        <rFont val="Meiryo UI"/>
        <family val="3"/>
        <charset val="128"/>
      </rPr>
      <t>)</t>
    </r>
    <phoneticPr fontId="1"/>
  </si>
  <si>
    <t>Private Declare Sub memcpyi Lib "kernel32" Alias "RtlMoveMemory" (ByVal Dst As Integer, ByRef Src As Integer, ByVal Length As Integer</t>
    <phoneticPr fontId="1"/>
  </si>
  <si>
    <r>
      <t xml:space="preserve">Private Declare Sub memcpyi Lib "kernel32" Alias "RtlMoveMemory" (ByVal Dst As </t>
    </r>
    <r>
      <rPr>
        <sz val="11"/>
        <color rgb="FFFF0000"/>
        <rFont val="Meiryo UI"/>
        <family val="3"/>
        <charset val="128"/>
      </rPr>
      <t>IntPtr</t>
    </r>
    <r>
      <rPr>
        <sz val="11"/>
        <color theme="1"/>
        <rFont val="Meiryo UI"/>
        <family val="3"/>
        <charset val="128"/>
      </rPr>
      <t xml:space="preserve">, ByRef Src As </t>
    </r>
    <r>
      <rPr>
        <sz val="11"/>
        <color rgb="FFFF0000"/>
        <rFont val="Meiryo UI"/>
        <family val="3"/>
        <charset val="128"/>
      </rPr>
      <t>IntPtr</t>
    </r>
    <r>
      <rPr>
        <sz val="11"/>
        <color theme="1"/>
        <rFont val="Meiryo UI"/>
        <family val="3"/>
        <charset val="128"/>
      </rPr>
      <t xml:space="preserve">, ByVal Length As </t>
    </r>
    <r>
      <rPr>
        <sz val="11"/>
        <color rgb="FFFF0000"/>
        <rFont val="Meiryo UI"/>
        <family val="3"/>
        <charset val="128"/>
      </rPr>
      <t>UIntPtr</t>
    </r>
    <r>
      <rPr>
        <sz val="11"/>
        <color theme="1"/>
        <rFont val="Meiryo UI"/>
        <family val="3"/>
        <charset val="128"/>
      </rPr>
      <t>)</t>
    </r>
    <phoneticPr fontId="1"/>
  </si>
  <si>
    <t>ZBFZ021～ZBFZ023</t>
    <phoneticPr fontId="1"/>
  </si>
  <si>
    <t>CCD1038</t>
    <phoneticPr fontId="1"/>
  </si>
  <si>
    <t>CCD1040</t>
  </si>
  <si>
    <t>CCD1036</t>
    <phoneticPr fontId="1"/>
  </si>
  <si>
    <t>CEDZ020A</t>
    <phoneticPr fontId="1"/>
  </si>
  <si>
    <t>COLSET</t>
    <phoneticPr fontId="1"/>
  </si>
  <si>
    <t>分類</t>
    <rPh sb="0" eb="2">
      <t>ブンルイ</t>
    </rPh>
    <phoneticPr fontId="1"/>
  </si>
  <si>
    <t>フォルダ</t>
    <phoneticPr fontId="1"/>
  </si>
  <si>
    <t>oracle</t>
    <phoneticPr fontId="1"/>
  </si>
  <si>
    <t>MsFlexGrid</t>
    <phoneticPr fontId="1"/>
  </si>
  <si>
    <t>authfunc</t>
    <phoneticPr fontId="1"/>
  </si>
  <si>
    <t>MDB</t>
  </si>
  <si>
    <t>oracle.dataaccess</t>
    <phoneticPr fontId="1"/>
  </si>
  <si>
    <t>MSFLEXGRIDLIB</t>
    <phoneticPr fontId="1"/>
  </si>
  <si>
    <t>AxMSFlexGridArray</t>
    <phoneticPr fontId="1"/>
  </si>
  <si>
    <t>GetAuthServer</t>
    <phoneticPr fontId="1"/>
  </si>
  <si>
    <t>CheckLicense</t>
    <phoneticPr fontId="1"/>
  </si>
  <si>
    <t>01_XenApp\01_品質管理</t>
    <phoneticPr fontId="1"/>
  </si>
  <si>
    <t>1</t>
    <phoneticPr fontId="1"/>
  </si>
  <si>
    <t>bcfz001</t>
    <phoneticPr fontId="1"/>
  </si>
  <si>
    <t>2</t>
    <phoneticPr fontId="1"/>
  </si>
  <si>
    <t>bciz001</t>
  </si>
  <si>
    <t>3</t>
  </si>
  <si>
    <t>bedz001</t>
  </si>
  <si>
    <t>4</t>
  </si>
  <si>
    <t>ccdf001a</t>
  </si>
  <si>
    <t>5</t>
  </si>
  <si>
    <t>ccdf001b</t>
  </si>
  <si>
    <t>6</t>
  </si>
  <si>
    <t>ccdf002</t>
  </si>
  <si>
    <t>7</t>
  </si>
  <si>
    <t>ccdf003</t>
  </si>
  <si>
    <t>8</t>
  </si>
  <si>
    <t>ccdf004</t>
  </si>
  <si>
    <t>9</t>
  </si>
  <si>
    <t>ccdf005</t>
  </si>
  <si>
    <t>10</t>
  </si>
  <si>
    <t>ccfz001</t>
  </si>
  <si>
    <t>11</t>
  </si>
  <si>
    <t>cciz001</t>
  </si>
  <si>
    <t>12</t>
  </si>
  <si>
    <t>cedz001</t>
  </si>
  <si>
    <t>13</t>
  </si>
  <si>
    <t>cedz002</t>
  </si>
  <si>
    <t>14</t>
  </si>
  <si>
    <t>cedz003</t>
  </si>
  <si>
    <t>15</t>
  </si>
  <si>
    <t>cekz001</t>
  </si>
  <si>
    <t>16</t>
  </si>
  <si>
    <t>dcfz001</t>
  </si>
  <si>
    <t>17</t>
  </si>
  <si>
    <t>dciz001</t>
  </si>
  <si>
    <t>18</t>
  </si>
  <si>
    <t>dedz001</t>
  </si>
  <si>
    <t>19</t>
  </si>
  <si>
    <t>fcdz001</t>
  </si>
  <si>
    <t>20</t>
  </si>
  <si>
    <t>fcfz001</t>
  </si>
  <si>
    <t>21</t>
  </si>
  <si>
    <t>fchz001</t>
  </si>
  <si>
    <t>22</t>
  </si>
  <si>
    <t>fciz001</t>
  </si>
  <si>
    <t>23</t>
  </si>
  <si>
    <t>fedz001</t>
  </si>
  <si>
    <t>include</t>
    <phoneticPr fontId="1"/>
  </si>
  <si>
    <t>Z</t>
    <phoneticPr fontId="1"/>
  </si>
  <si>
    <t>24</t>
    <phoneticPr fontId="1"/>
  </si>
  <si>
    <t>zbfz001</t>
    <phoneticPr fontId="1"/>
  </si>
  <si>
    <t>25</t>
  </si>
  <si>
    <t>Zbfz021</t>
    <phoneticPr fontId="1"/>
  </si>
  <si>
    <t>26</t>
  </si>
  <si>
    <t>Zbfz022</t>
  </si>
  <si>
    <t>27</t>
  </si>
  <si>
    <t>Zbfz023</t>
  </si>
  <si>
    <t>28</t>
  </si>
  <si>
    <t>zcba010</t>
  </si>
  <si>
    <t>29</t>
  </si>
  <si>
    <t>zedz001</t>
  </si>
  <si>
    <t>30</t>
  </si>
  <si>
    <t>zefz001</t>
  </si>
  <si>
    <t>31</t>
  </si>
  <si>
    <t>Zzzy001</t>
  </si>
  <si>
    <t>32</t>
    <phoneticPr fontId="1"/>
  </si>
  <si>
    <t>Zzzy002</t>
  </si>
  <si>
    <t>01_XenApp\02_運転管理</t>
    <phoneticPr fontId="1"/>
  </si>
  <si>
    <t>33</t>
    <phoneticPr fontId="1"/>
  </si>
  <si>
    <t>CCD1033</t>
  </si>
  <si>
    <t>34</t>
    <phoneticPr fontId="1"/>
  </si>
  <si>
    <t>CCD1036</t>
  </si>
  <si>
    <t>35</t>
  </si>
  <si>
    <t>CCD1039</t>
  </si>
  <si>
    <t>36</t>
  </si>
  <si>
    <t>CCD1040</t>
    <phoneticPr fontId="1"/>
  </si>
  <si>
    <t>37</t>
  </si>
  <si>
    <t>CCD1041</t>
  </si>
  <si>
    <t>38</t>
  </si>
  <si>
    <t>CCD1042</t>
  </si>
  <si>
    <t>39</t>
  </si>
  <si>
    <t>CCD1043</t>
  </si>
  <si>
    <t>40</t>
  </si>
  <si>
    <t>cedz020a</t>
    <phoneticPr fontId="1"/>
  </si>
  <si>
    <t>41</t>
    <phoneticPr fontId="1"/>
  </si>
  <si>
    <t>cedz021</t>
  </si>
  <si>
    <t>01_XenApp\03_管理会計</t>
    <phoneticPr fontId="1"/>
  </si>
  <si>
    <t>Beaz001c</t>
  </si>
  <si>
    <t>未使用</t>
    <rPh sb="0" eb="3">
      <t>ミシヨウ</t>
    </rPh>
    <phoneticPr fontId="1"/>
  </si>
  <si>
    <t>Ceaz001c</t>
  </si>
  <si>
    <t>Deaz001c</t>
  </si>
  <si>
    <t>Feaz001c</t>
  </si>
  <si>
    <t>V302</t>
  </si>
  <si>
    <t>V303</t>
  </si>
  <si>
    <t>V305</t>
  </si>
  <si>
    <t>V306</t>
  </si>
  <si>
    <t>V308</t>
  </si>
  <si>
    <t>V310</t>
  </si>
  <si>
    <t>V317</t>
  </si>
  <si>
    <t>V318</t>
  </si>
  <si>
    <t>V319</t>
  </si>
  <si>
    <t>V352</t>
  </si>
  <si>
    <t>01_XenApp\04_その他</t>
    <phoneticPr fontId="1"/>
  </si>
  <si>
    <t>42</t>
    <phoneticPr fontId="1"/>
  </si>
  <si>
    <t>AuthMnt</t>
  </si>
  <si>
    <t>43</t>
    <phoneticPr fontId="1"/>
  </si>
  <si>
    <t>C++</t>
  </si>
  <si>
    <t>44</t>
  </si>
  <si>
    <t>CCD1038</t>
  </si>
  <si>
    <t>45</t>
  </si>
  <si>
    <t>COLSET</t>
  </si>
  <si>
    <t>46</t>
  </si>
  <si>
    <t>DATAMENT</t>
  </si>
  <si>
    <t>ZZZZ903</t>
  </si>
  <si>
    <t>ZZZZ903A</t>
  </si>
  <si>
    <t>ローカルシステム</t>
    <phoneticPr fontId="1"/>
  </si>
  <si>
    <t>bllz001</t>
  </si>
  <si>
    <t>cllz001</t>
  </si>
  <si>
    <t>3</t>
    <phoneticPr fontId="1"/>
  </si>
  <si>
    <t>dllz001</t>
  </si>
  <si>
    <t>4</t>
    <phoneticPr fontId="1"/>
  </si>
  <si>
    <t>fllz001</t>
  </si>
  <si>
    <t>■プログラム構成（千葉）</t>
    <rPh sb="6" eb="8">
      <t>コウセイ</t>
    </rPh>
    <rPh sb="9" eb="11">
      <t>チバ</t>
    </rPh>
    <phoneticPr fontId="1"/>
  </si>
  <si>
    <t>■プログラム構成（全所共通）</t>
    <rPh sb="6" eb="8">
      <t>コウセイ</t>
    </rPh>
    <rPh sb="9" eb="11">
      <t>ゼンショ</t>
    </rPh>
    <rPh sb="11" eb="13">
      <t>キョウツウ</t>
    </rPh>
    <phoneticPr fontId="1"/>
  </si>
  <si>
    <t>■.NETの判定方法</t>
    <rPh sb="6" eb="8">
      <t>ハンテイ</t>
    </rPh>
    <rPh sb="8" eb="10">
      <t>ホウホウ</t>
    </rPh>
    <phoneticPr fontId="1"/>
  </si>
  <si>
    <t>【.NETアプリの場合】</t>
    <rPh sb="9" eb="11">
      <t>バアイ</t>
    </rPh>
    <phoneticPr fontId="1"/>
  </si>
  <si>
    <t>ildasm.exe を起動</t>
    <rPh sb="12" eb="14">
      <t>キドウ</t>
    </rPh>
    <phoneticPr fontId="1"/>
  </si>
  <si>
    <t>対象ファイルを読み込む</t>
    <rPh sb="0" eb="2">
      <t>タイショウ</t>
    </rPh>
    <rPh sb="7" eb="8">
      <t>ヨ</t>
    </rPh>
    <rPh sb="9" eb="10">
      <t>コ</t>
    </rPh>
    <phoneticPr fontId="1"/>
  </si>
  <si>
    <t>先頭のMANIFESTを開く</t>
    <rPh sb="0" eb="2">
      <t>セントウ</t>
    </rPh>
    <rPh sb="12" eb="13">
      <t>ヒラ</t>
    </rPh>
    <phoneticPr fontId="1"/>
  </si>
  <si>
    <t>【.NETアプリでない場合】</t>
    <rPh sb="11" eb="13">
      <t>バアイ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</si>
</sst>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ＭＳ Ｐゴシック"/>
      <family val="2"/>
      <charset val="128"/>
      <scheme val="minor"/>
    </font>
    <font>
      <sz val="6"/>
      <name val="ＭＳ Ｐゴシック"/>
      <family val="2"/>
      <charset val="128"/>
      <scheme val="minor"/>
    </font>
    <font>
      <b/>
      <sz val="9"/>
      <color indexed="81"/>
      <name val="MS P ゴシック"/>
      <family val="3"/>
      <charset val="128"/>
    </font>
    <font>
      <sz val="11"/>
      <color theme="1"/>
      <name val="Meiryo UI"/>
      <family val="3"/>
      <charset val="128"/>
    </font>
    <font>
      <u/>
      <sz val="11"/>
      <color theme="10"/>
      <name val="ＭＳ Ｐゴシック"/>
      <family val="2"/>
      <charset val="128"/>
      <scheme val="minor"/>
    </font>
    <font>
      <sz val="11"/>
      <color rgb="FFFF0000"/>
      <name val="Meiryo UI"/>
      <family val="3"/>
      <charset val="128"/>
    </font>
    <font>
      <u/>
      <sz val="11"/>
      <color theme="10"/>
      <name val="Meiryo UI"/>
      <family val="3"/>
      <charset val="128"/>
    </font>
    <font>
      <sz val="11"/>
      <color theme="0"/>
      <name val="Meiryo UI"/>
      <family val="3"/>
      <charset val="128"/>
    </font>
    <font>
      <sz val="11"/>
      <name val="Meiryo UI"/>
      <family val="3"/>
      <charset val="128"/>
    </font>
    <font>
      <strike/>
      <sz val="11"/>
      <color theme="1"/>
      <name val="Meiryo UI"/>
      <family val="3"/>
      <charset val="128"/>
    </font>
  </fonts>
  <fills count="9">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E2ECF8"/>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bottom/>
      <diagonal/>
    </border>
    <border>
      <left style="thin">
        <color indexed="64"/>
      </left>
      <right style="thin">
        <color indexed="64"/>
      </right>
      <top style="hair">
        <color indexed="64"/>
      </top>
      <bottom style="hair">
        <color indexed="64"/>
      </bottom>
      <diagonal/>
    </border>
    <border>
      <left style="thin">
        <color indexed="64"/>
      </left>
      <right/>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top style="thin">
        <color indexed="64"/>
      </top>
      <bottom/>
      <diagonal/>
    </border>
    <border>
      <left/>
      <right/>
      <top/>
      <bottom style="thin">
        <color indexed="64"/>
      </bottom>
      <diagonal/>
    </border>
    <border>
      <left/>
      <right/>
      <top style="hair">
        <color indexed="64"/>
      </top>
      <bottom style="thin">
        <color indexed="64"/>
      </bottom>
      <diagonal/>
    </border>
    <border>
      <left/>
      <right/>
      <top style="dotted">
        <color auto="1"/>
      </top>
      <bottom/>
      <diagonal/>
    </border>
  </borders>
  <cellStyleXfs count="3">
    <xf numFmtId="0" fontId="0" fillId="0" borderId="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cellStyleXfs>
  <cellXfs count="146">
    <xf numFmtId="0" fontId="0" fillId="0" borderId="0" xfId="0">
      <alignment vertical="center"/>
    </xf>
    <xf numFmtId="0" fontId="3" fillId="0" borderId="0" xfId="0" applyFont="1">
      <alignment vertical="center"/>
    </xf>
    <xf numFmtId="0" fontId="3" fillId="6" borderId="0" xfId="0" applyFont="1" applyFill="1">
      <alignment vertical="center"/>
    </xf>
    <xf numFmtId="49" fontId="3" fillId="0" borderId="0" xfId="0" applyNumberFormat="1" applyFont="1">
      <alignment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7" borderId="7" xfId="0" applyFont="1" applyFill="1" applyBorder="1" applyAlignment="1">
      <alignment horizontal="center" vertical="center"/>
    </xf>
    <xf numFmtId="0" fontId="3" fillId="6" borderId="7" xfId="0" applyFont="1" applyFill="1" applyBorder="1" applyAlignment="1">
      <alignment horizontal="center" vertical="center" wrapText="1"/>
    </xf>
    <xf numFmtId="49" fontId="3" fillId="0" borderId="8" xfId="0" applyNumberFormat="1" applyFont="1" applyBorder="1">
      <alignment vertical="center"/>
    </xf>
    <xf numFmtId="49" fontId="3" fillId="0" borderId="2" xfId="0" applyNumberFormat="1" applyFont="1" applyBorder="1">
      <alignment vertical="center"/>
    </xf>
    <xf numFmtId="0" fontId="3" fillId="0" borderId="2" xfId="0" applyFont="1" applyBorder="1" applyAlignment="1">
      <alignment horizontal="center" vertical="center"/>
    </xf>
    <xf numFmtId="0" fontId="3" fillId="0" borderId="9" xfId="0" applyFont="1" applyBorder="1">
      <alignment vertical="center"/>
    </xf>
    <xf numFmtId="49" fontId="3" fillId="0" borderId="10" xfId="0" applyNumberFormat="1" applyFont="1" applyBorder="1">
      <alignment vertical="center"/>
    </xf>
    <xf numFmtId="49" fontId="3" fillId="0" borderId="11" xfId="0" applyNumberFormat="1" applyFont="1" applyBorder="1">
      <alignment vertical="center"/>
    </xf>
    <xf numFmtId="0" fontId="3" fillId="0" borderId="11" xfId="0" applyFont="1" applyBorder="1" applyAlignment="1">
      <alignment horizontal="center" vertical="center"/>
    </xf>
    <xf numFmtId="0" fontId="3" fillId="0" borderId="11" xfId="0" applyFont="1" applyBorder="1">
      <alignment vertical="center"/>
    </xf>
    <xf numFmtId="49" fontId="3" fillId="0" borderId="12" xfId="0" applyNumberFormat="1" applyFont="1" applyBorder="1">
      <alignment vertical="center"/>
    </xf>
    <xf numFmtId="49" fontId="3" fillId="0" borderId="7" xfId="0" applyNumberFormat="1" applyFont="1" applyBorder="1">
      <alignment vertical="center"/>
    </xf>
    <xf numFmtId="0" fontId="3" fillId="0" borderId="6" xfId="0" applyFont="1" applyBorder="1" applyAlignment="1">
      <alignment horizontal="center" vertical="center"/>
    </xf>
    <xf numFmtId="0" fontId="3" fillId="0" borderId="13" xfId="0" applyFont="1" applyBorder="1">
      <alignment vertical="center"/>
    </xf>
    <xf numFmtId="0" fontId="3" fillId="0" borderId="14" xfId="0" applyFont="1" applyBorder="1">
      <alignment vertical="center"/>
    </xf>
    <xf numFmtId="49" fontId="3" fillId="0" borderId="6" xfId="0" applyNumberFormat="1" applyFont="1" applyBorder="1">
      <alignment vertical="center"/>
    </xf>
    <xf numFmtId="0" fontId="3" fillId="6" borderId="1" xfId="0" applyFont="1" applyFill="1" applyBorder="1" applyAlignment="1">
      <alignment horizontal="center" vertical="center"/>
    </xf>
    <xf numFmtId="49" fontId="3" fillId="0" borderId="14" xfId="0" applyNumberFormat="1" applyFont="1" applyBorder="1">
      <alignment vertical="center"/>
    </xf>
    <xf numFmtId="0" fontId="3" fillId="0" borderId="14" xfId="0" applyFont="1" applyBorder="1" applyAlignment="1">
      <alignment horizontal="center" vertical="center"/>
    </xf>
    <xf numFmtId="49" fontId="3" fillId="5" borderId="11" xfId="0" applyNumberFormat="1" applyFont="1" applyFill="1" applyBorder="1">
      <alignment vertical="center"/>
    </xf>
    <xf numFmtId="0" fontId="3" fillId="5" borderId="11" xfId="0" applyFont="1" applyFill="1" applyBorder="1" applyAlignment="1">
      <alignment horizontal="center" vertical="center"/>
    </xf>
    <xf numFmtId="0" fontId="3" fillId="5" borderId="11" xfId="0" applyFont="1" applyFill="1" applyBorder="1">
      <alignment vertical="center"/>
    </xf>
    <xf numFmtId="49" fontId="3" fillId="5" borderId="7" xfId="0" applyNumberFormat="1" applyFont="1" applyFill="1" applyBorder="1">
      <alignment vertical="center"/>
    </xf>
    <xf numFmtId="0" fontId="3" fillId="5" borderId="7" xfId="0" applyFont="1" applyFill="1" applyBorder="1" applyAlignment="1">
      <alignment horizontal="center" vertical="center"/>
    </xf>
    <xf numFmtId="0" fontId="3" fillId="5" borderId="14" xfId="0" applyFont="1" applyFill="1" applyBorder="1">
      <alignment vertical="center"/>
    </xf>
    <xf numFmtId="49" fontId="3" fillId="5" borderId="2" xfId="0" applyNumberFormat="1" applyFont="1" applyFill="1" applyBorder="1">
      <alignment vertical="center"/>
    </xf>
    <xf numFmtId="0" fontId="3" fillId="5" borderId="2"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13" xfId="0" applyFont="1" applyFill="1" applyBorder="1">
      <alignment vertical="center"/>
    </xf>
    <xf numFmtId="49" fontId="3" fillId="5" borderId="8" xfId="0" applyNumberFormat="1" applyFont="1" applyFill="1" applyBorder="1">
      <alignment vertical="center"/>
    </xf>
    <xf numFmtId="49" fontId="3" fillId="5" borderId="10" xfId="0" applyNumberFormat="1" applyFont="1" applyFill="1" applyBorder="1">
      <alignment vertical="center"/>
    </xf>
    <xf numFmtId="49" fontId="3" fillId="5" borderId="11" xfId="0" applyNumberFormat="1" applyFont="1" applyFill="1" applyBorder="1" applyAlignment="1">
      <alignment horizontal="center" vertical="center"/>
    </xf>
    <xf numFmtId="49" fontId="3" fillId="5" borderId="15" xfId="0" applyNumberFormat="1" applyFont="1" applyFill="1" applyBorder="1" applyAlignment="1">
      <alignment horizontal="center" vertical="center"/>
    </xf>
    <xf numFmtId="49" fontId="3" fillId="5" borderId="12" xfId="0" applyNumberFormat="1" applyFont="1" applyFill="1" applyBorder="1">
      <alignment vertical="center"/>
    </xf>
    <xf numFmtId="49" fontId="3" fillId="0" borderId="0" xfId="0" applyNumberFormat="1" applyFont="1" applyAlignment="1">
      <alignment horizontal="center" vertical="center"/>
    </xf>
    <xf numFmtId="0" fontId="3" fillId="0" borderId="0" xfId="0" applyFont="1" applyAlignment="1">
      <alignment horizontal="center" vertical="center"/>
    </xf>
    <xf numFmtId="49" fontId="3" fillId="5" borderId="0" xfId="0" applyNumberFormat="1" applyFont="1" applyFill="1">
      <alignment vertical="center"/>
    </xf>
    <xf numFmtId="49" fontId="3" fillId="5" borderId="0" xfId="0" applyNumberFormat="1" applyFont="1" applyFill="1" applyAlignment="1">
      <alignment horizontal="center" vertical="center"/>
    </xf>
    <xf numFmtId="0" fontId="3" fillId="5" borderId="0" xfId="0" applyFont="1" applyFill="1" applyAlignment="1">
      <alignment horizontal="center" vertical="center"/>
    </xf>
    <xf numFmtId="49" fontId="3" fillId="0" borderId="16" xfId="0" applyNumberFormat="1" applyFont="1" applyBorder="1">
      <alignment vertical="center"/>
    </xf>
    <xf numFmtId="49" fontId="3" fillId="0" borderId="16" xfId="0" applyNumberFormat="1" applyFont="1" applyBorder="1" applyAlignment="1">
      <alignment horizontal="center" vertical="center"/>
    </xf>
    <xf numFmtId="0" fontId="3" fillId="0" borderId="16" xfId="0" applyFont="1" applyBorder="1" applyAlignment="1">
      <alignment horizontal="center" vertical="center"/>
    </xf>
    <xf numFmtId="49" fontId="3" fillId="0" borderId="17" xfId="0" applyNumberFormat="1" applyFont="1" applyBorder="1">
      <alignment vertical="center"/>
    </xf>
    <xf numFmtId="49" fontId="3" fillId="0" borderId="17" xfId="0" applyNumberFormat="1" applyFont="1" applyBorder="1" applyAlignment="1">
      <alignment horizontal="center" vertical="center"/>
    </xf>
    <xf numFmtId="0" fontId="3" fillId="0" borderId="17" xfId="0" applyFont="1" applyBorder="1" applyAlignment="1">
      <alignment horizontal="center" vertical="center"/>
    </xf>
    <xf numFmtId="0" fontId="8" fillId="0" borderId="8" xfId="0" applyFont="1" applyBorder="1">
      <alignment vertical="center"/>
    </xf>
    <xf numFmtId="0" fontId="8" fillId="0" borderId="10" xfId="0" applyFont="1" applyBorder="1">
      <alignment vertical="center"/>
    </xf>
    <xf numFmtId="0" fontId="8" fillId="0" borderId="12" xfId="0" applyFont="1" applyBorder="1">
      <alignment vertical="center"/>
    </xf>
    <xf numFmtId="0" fontId="8" fillId="0" borderId="3" xfId="0" applyFont="1" applyBorder="1">
      <alignment vertical="center"/>
    </xf>
    <xf numFmtId="49" fontId="3" fillId="0" borderId="4" xfId="0" applyNumberFormat="1" applyFont="1" applyBorder="1">
      <alignment vertical="center"/>
    </xf>
    <xf numFmtId="49" fontId="3" fillId="0" borderId="4" xfId="0" applyNumberFormat="1" applyFont="1" applyBorder="1" applyAlignment="1">
      <alignment horizontal="center" vertical="center"/>
    </xf>
    <xf numFmtId="0" fontId="3" fillId="0" borderId="4" xfId="0" applyFont="1" applyBorder="1" applyAlignment="1">
      <alignment horizontal="center" vertical="center"/>
    </xf>
    <xf numFmtId="49" fontId="3" fillId="0" borderId="1" xfId="0" applyNumberFormat="1" applyFont="1" applyBorder="1">
      <alignment vertical="center"/>
    </xf>
    <xf numFmtId="49" fontId="3" fillId="5" borderId="6" xfId="0" applyNumberFormat="1" applyFont="1" applyFill="1" applyBorder="1">
      <alignment vertical="center"/>
    </xf>
    <xf numFmtId="0" fontId="3" fillId="0" borderId="6" xfId="0" applyFont="1" applyBorder="1">
      <alignment vertical="center"/>
    </xf>
    <xf numFmtId="0" fontId="3" fillId="5" borderId="6" xfId="0" applyFont="1" applyFill="1" applyBorder="1">
      <alignment vertical="center"/>
    </xf>
    <xf numFmtId="49" fontId="3" fillId="0" borderId="2" xfId="0" applyNumberFormat="1" applyFont="1" applyBorder="1" applyAlignment="1">
      <alignment vertical="center" wrapText="1"/>
    </xf>
    <xf numFmtId="49" fontId="3" fillId="0" borderId="6" xfId="0" applyNumberFormat="1" applyFont="1" applyBorder="1" applyAlignment="1">
      <alignment vertical="center" wrapText="1"/>
    </xf>
    <xf numFmtId="0" fontId="3" fillId="0" borderId="2" xfId="0" applyFont="1" applyBorder="1" applyAlignment="1">
      <alignment vertical="center" wrapText="1"/>
    </xf>
    <xf numFmtId="0" fontId="3" fillId="0" borderId="6" xfId="0" applyFont="1" applyBorder="1" applyAlignment="1">
      <alignment vertical="center" wrapText="1"/>
    </xf>
    <xf numFmtId="0" fontId="6" fillId="0" borderId="2" xfId="1" applyFont="1" applyBorder="1">
      <alignment vertical="center"/>
    </xf>
    <xf numFmtId="0" fontId="6" fillId="0" borderId="6" xfId="1" applyFont="1" applyBorder="1">
      <alignment vertical="center"/>
    </xf>
    <xf numFmtId="0" fontId="6" fillId="0" borderId="7" xfId="1" applyFont="1" applyBorder="1">
      <alignment vertical="center"/>
    </xf>
    <xf numFmtId="0" fontId="6" fillId="0" borderId="1" xfId="1" applyFont="1" applyBorder="1">
      <alignment vertical="center"/>
    </xf>
    <xf numFmtId="0" fontId="3" fillId="0" borderId="2" xfId="0" applyFont="1" applyBorder="1">
      <alignment vertical="center"/>
    </xf>
    <xf numFmtId="0" fontId="7" fillId="0" borderId="6" xfId="0" applyFont="1" applyBorder="1">
      <alignment vertical="center"/>
    </xf>
    <xf numFmtId="0" fontId="7" fillId="0" borderId="7" xfId="0" applyFont="1" applyBorder="1">
      <alignment vertical="center"/>
    </xf>
    <xf numFmtId="0" fontId="3" fillId="0" borderId="7" xfId="0" applyFont="1" applyBorder="1">
      <alignment vertical="center"/>
    </xf>
    <xf numFmtId="0" fontId="3" fillId="0" borderId="1" xfId="0" applyFont="1" applyBorder="1">
      <alignment vertical="center"/>
    </xf>
    <xf numFmtId="49" fontId="3" fillId="0" borderId="1" xfId="0" applyNumberFormat="1" applyFont="1" applyBorder="1" applyAlignment="1">
      <alignment vertical="center" wrapText="1"/>
    </xf>
    <xf numFmtId="49" fontId="3" fillId="5" borderId="1" xfId="0" applyNumberFormat="1" applyFont="1" applyFill="1" applyBorder="1">
      <alignment vertical="center"/>
    </xf>
    <xf numFmtId="49" fontId="3" fillId="5" borderId="4" xfId="0" applyNumberFormat="1" applyFont="1" applyFill="1" applyBorder="1">
      <alignment vertical="center"/>
    </xf>
    <xf numFmtId="49" fontId="3" fillId="5" borderId="4" xfId="0" applyNumberFormat="1" applyFont="1" applyFill="1" applyBorder="1" applyAlignment="1">
      <alignment horizontal="center" vertical="center"/>
    </xf>
    <xf numFmtId="0" fontId="3" fillId="5" borderId="1" xfId="0" applyFont="1" applyFill="1" applyBorder="1">
      <alignment vertical="center"/>
    </xf>
    <xf numFmtId="49" fontId="3" fillId="0" borderId="3" xfId="0" applyNumberFormat="1" applyFont="1" applyBorder="1">
      <alignment vertical="center"/>
    </xf>
    <xf numFmtId="49" fontId="3" fillId="5" borderId="17" xfId="0" applyNumberFormat="1" applyFont="1" applyFill="1" applyBorder="1" applyAlignment="1">
      <alignment horizontal="center" vertical="center"/>
    </xf>
    <xf numFmtId="49" fontId="3" fillId="3" borderId="1" xfId="0" applyNumberFormat="1" applyFont="1" applyFill="1" applyBorder="1" applyAlignment="1">
      <alignment horizontal="center" vertical="center"/>
    </xf>
    <xf numFmtId="49" fontId="3" fillId="5" borderId="17" xfId="0" applyNumberFormat="1" applyFont="1" applyFill="1" applyBorder="1">
      <alignment vertical="center"/>
    </xf>
    <xf numFmtId="0" fontId="3" fillId="5" borderId="17" xfId="0" applyFont="1" applyFill="1" applyBorder="1" applyAlignment="1">
      <alignment horizontal="center" vertical="center"/>
    </xf>
    <xf numFmtId="49" fontId="3" fillId="5" borderId="7" xfId="0" applyNumberFormat="1" applyFont="1" applyFill="1" applyBorder="1" applyAlignment="1">
      <alignment vertical="center" wrapText="1"/>
    </xf>
    <xf numFmtId="0" fontId="3" fillId="5" borderId="7" xfId="0" applyFont="1" applyFill="1" applyBorder="1" applyAlignment="1">
      <alignment vertical="center" wrapText="1"/>
    </xf>
    <xf numFmtId="0" fontId="6" fillId="5" borderId="7" xfId="1" applyFont="1" applyFill="1" applyBorder="1">
      <alignment vertical="center"/>
    </xf>
    <xf numFmtId="0" fontId="3" fillId="5" borderId="2" xfId="0" applyFont="1" applyFill="1" applyBorder="1">
      <alignment vertical="center"/>
    </xf>
    <xf numFmtId="0" fontId="3" fillId="5" borderId="4" xfId="0" applyFont="1" applyFill="1" applyBorder="1" applyAlignment="1">
      <alignment horizontal="center" vertical="center"/>
    </xf>
    <xf numFmtId="0" fontId="3" fillId="2" borderId="1" xfId="0" applyFont="1" applyFill="1" applyBorder="1">
      <alignment vertical="center"/>
    </xf>
    <xf numFmtId="49" fontId="3" fillId="0" borderId="15" xfId="0" applyNumberFormat="1" applyFont="1" applyBorder="1">
      <alignment vertical="center"/>
    </xf>
    <xf numFmtId="49" fontId="3" fillId="0" borderId="15" xfId="0" applyNumberFormat="1" applyFont="1" applyBorder="1" applyAlignment="1">
      <alignment horizontal="center" vertical="center"/>
    </xf>
    <xf numFmtId="0" fontId="3" fillId="0" borderId="15" xfId="0" applyFont="1" applyBorder="1" applyAlignment="1">
      <alignment horizontal="center" vertical="center"/>
    </xf>
    <xf numFmtId="49" fontId="3" fillId="0" borderId="11" xfId="0" applyNumberFormat="1" applyFont="1" applyBorder="1" applyAlignment="1">
      <alignment vertical="center" wrapText="1"/>
    </xf>
    <xf numFmtId="0" fontId="3" fillId="0" borderId="11" xfId="0" applyFont="1" applyBorder="1" applyAlignment="1">
      <alignment vertical="center" wrapText="1"/>
    </xf>
    <xf numFmtId="0" fontId="6" fillId="0" borderId="11" xfId="1" applyFont="1" applyBorder="1">
      <alignment vertical="center"/>
    </xf>
    <xf numFmtId="49" fontId="3" fillId="2" borderId="1" xfId="0" applyNumberFormat="1" applyFont="1" applyFill="1" applyBorder="1">
      <alignment vertical="center"/>
    </xf>
    <xf numFmtId="49" fontId="3" fillId="3" borderId="4" xfId="0" applyNumberFormat="1" applyFont="1" applyFill="1" applyBorder="1" applyAlignment="1">
      <alignment horizontal="center" vertical="center"/>
    </xf>
    <xf numFmtId="0" fontId="3" fillId="4" borderId="4" xfId="0" applyFont="1" applyFill="1" applyBorder="1" applyAlignment="1">
      <alignment horizontal="center" vertical="center"/>
    </xf>
    <xf numFmtId="0" fontId="3" fillId="4" borderId="1" xfId="0" applyFont="1" applyFill="1" applyBorder="1" applyAlignment="1">
      <alignment horizontal="center" vertical="center"/>
    </xf>
    <xf numFmtId="49" fontId="3" fillId="5" borderId="14" xfId="0" applyNumberFormat="1" applyFont="1" applyFill="1" applyBorder="1">
      <alignment vertical="center"/>
    </xf>
    <xf numFmtId="49" fontId="3" fillId="5" borderId="18" xfId="0" applyNumberFormat="1" applyFont="1" applyFill="1" applyBorder="1">
      <alignment vertical="center"/>
    </xf>
    <xf numFmtId="49" fontId="3" fillId="5" borderId="18" xfId="0" applyNumberFormat="1" applyFont="1" applyFill="1" applyBorder="1" applyAlignment="1">
      <alignment horizontal="center" vertical="center"/>
    </xf>
    <xf numFmtId="0" fontId="3" fillId="5" borderId="18" xfId="0" applyFont="1" applyFill="1" applyBorder="1" applyAlignment="1">
      <alignment horizontal="center" vertical="center"/>
    </xf>
    <xf numFmtId="0" fontId="6" fillId="5" borderId="14" xfId="1" applyFont="1" applyFill="1" applyBorder="1">
      <alignment vertical="center"/>
    </xf>
    <xf numFmtId="49" fontId="9" fillId="5" borderId="3" xfId="0" applyNumberFormat="1" applyFont="1" applyFill="1" applyBorder="1">
      <alignment vertical="center"/>
    </xf>
    <xf numFmtId="49" fontId="3" fillId="3" borderId="4" xfId="0" applyNumberFormat="1" applyFont="1" applyFill="1" applyBorder="1" applyAlignment="1">
      <alignment vertical="center" wrapText="1"/>
    </xf>
    <xf numFmtId="49" fontId="3" fillId="3" borderId="1" xfId="0" applyNumberFormat="1" applyFont="1" applyFill="1" applyBorder="1" applyAlignment="1">
      <alignment vertical="center" wrapText="1"/>
    </xf>
    <xf numFmtId="0" fontId="3" fillId="5" borderId="7" xfId="0" applyFont="1" applyFill="1" applyBorder="1">
      <alignment vertical="center"/>
    </xf>
    <xf numFmtId="0" fontId="3" fillId="0" borderId="1" xfId="0" applyFont="1" applyBorder="1" applyAlignment="1">
      <alignment horizontal="center" vertical="center"/>
    </xf>
    <xf numFmtId="0" fontId="3" fillId="5" borderId="1" xfId="0" applyFont="1" applyFill="1" applyBorder="1" applyAlignment="1">
      <alignment horizontal="center" vertical="center"/>
    </xf>
    <xf numFmtId="0" fontId="3" fillId="0" borderId="7" xfId="0" applyFont="1" applyBorder="1" applyAlignment="1">
      <alignment horizontal="center" vertical="center"/>
    </xf>
    <xf numFmtId="0" fontId="3" fillId="5" borderId="14" xfId="0" applyFont="1" applyFill="1" applyBorder="1" applyAlignment="1">
      <alignment horizontal="center" vertical="center"/>
    </xf>
    <xf numFmtId="0" fontId="3" fillId="0" borderId="19" xfId="0" applyFont="1" applyBorder="1">
      <alignment vertical="center"/>
    </xf>
    <xf numFmtId="0" fontId="8" fillId="0" borderId="4" xfId="0" applyFont="1" applyBorder="1" applyAlignment="1">
      <alignment horizontal="center" vertical="center"/>
    </xf>
    <xf numFmtId="0" fontId="9" fillId="0" borderId="0" xfId="0" applyFont="1">
      <alignment vertical="center"/>
    </xf>
    <xf numFmtId="0" fontId="8" fillId="0" borderId="0" xfId="0" applyFont="1">
      <alignment vertical="center"/>
    </xf>
    <xf numFmtId="0" fontId="3" fillId="0" borderId="13"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vertical="center" wrapText="1"/>
    </xf>
    <xf numFmtId="0" fontId="5" fillId="0" borderId="6" xfId="0" applyFont="1" applyBorder="1" applyAlignment="1">
      <alignment vertical="center" wrapText="1"/>
    </xf>
    <xf numFmtId="0" fontId="3" fillId="0" borderId="4" xfId="0" applyFont="1" applyBorder="1">
      <alignment vertical="center"/>
    </xf>
    <xf numFmtId="49" fontId="3" fillId="0" borderId="2"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5" borderId="7" xfId="0" applyNumberFormat="1" applyFont="1" applyFill="1" applyBorder="1" applyAlignment="1">
      <alignment horizontal="center" vertical="center"/>
    </xf>
    <xf numFmtId="49" fontId="3" fillId="0" borderId="7"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3" fillId="5" borderId="14" xfId="0" applyNumberFormat="1" applyFont="1" applyFill="1" applyBorder="1" applyAlignment="1">
      <alignment horizontal="center" vertical="center"/>
    </xf>
    <xf numFmtId="49" fontId="3" fillId="5" borderId="6" xfId="0" applyNumberFormat="1" applyFont="1" applyFill="1" applyBorder="1" applyAlignment="1">
      <alignment horizontal="center" vertical="center"/>
    </xf>
    <xf numFmtId="49" fontId="3" fillId="5" borderId="1" xfId="0" applyNumberFormat="1" applyFont="1" applyFill="1" applyBorder="1" applyAlignment="1">
      <alignment horizontal="center" vertical="center"/>
    </xf>
    <xf numFmtId="49" fontId="4" fillId="0" borderId="1" xfId="2" applyNumberFormat="1" applyBorder="1">
      <alignment vertical="center"/>
    </xf>
    <xf numFmtId="49" fontId="4" fillId="0" borderId="2" xfId="2" applyNumberFormat="1" applyBorder="1">
      <alignment vertical="center"/>
    </xf>
    <xf numFmtId="0" fontId="4" fillId="0" borderId="0" xfId="2">
      <alignment vertical="center"/>
    </xf>
    <xf numFmtId="0" fontId="4" fillId="0" borderId="0" xfId="1">
      <alignment vertical="center"/>
    </xf>
    <xf numFmtId="0" fontId="3" fillId="8" borderId="3" xfId="0" applyFont="1" applyFill="1" applyBorder="1" applyAlignment="1">
      <alignment horizontal="center" vertical="center"/>
    </xf>
    <xf numFmtId="0" fontId="3" fillId="8" borderId="4" xfId="0" applyFont="1" applyFill="1" applyBorder="1" applyAlignment="1">
      <alignment horizontal="center" vertical="center"/>
    </xf>
    <xf numFmtId="0" fontId="3" fillId="8" borderId="5"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7" borderId="2" xfId="0" applyFont="1" applyFill="1" applyBorder="1" applyAlignment="1">
      <alignment horizontal="center" vertical="center"/>
    </xf>
    <xf numFmtId="0" fontId="3" fillId="7" borderId="7" xfId="0" applyFont="1" applyFill="1" applyBorder="1" applyAlignment="1">
      <alignment horizontal="center" vertical="center"/>
    </xf>
    <xf numFmtId="0" fontId="3" fillId="6" borderId="3" xfId="0" applyFont="1" applyFill="1" applyBorder="1" applyAlignment="1">
      <alignment horizontal="center" vertical="center"/>
    </xf>
  </cellXfs>
  <cellStyles count="3">
    <cellStyle name="Hyperlink" xfId="2" xr:uid="{00000000-000B-0000-0000-000008000000}"/>
    <cellStyle name="ハイパーリンク" xfId="1" builtinId="8"/>
    <cellStyle name="標準" xfId="0" builtinId="0"/>
  </cellStyles>
  <dxfs count="0"/>
  <tableStyles count="0" defaultTableStyle="TableStyleMedium2" defaultPivotStyle="PivotStyleLight16"/>
  <colors>
    <mruColors>
      <color rgb="FFE2EC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tm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tmp"/><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tmp"/><Relationship Id="rId2" Type="http://schemas.openxmlformats.org/officeDocument/2006/relationships/image" Target="../media/image10.tmp"/><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13</xdr:col>
      <xdr:colOff>166686</xdr:colOff>
      <xdr:row>39</xdr:row>
      <xdr:rowOff>107157</xdr:rowOff>
    </xdr:from>
    <xdr:to>
      <xdr:col>13</xdr:col>
      <xdr:colOff>3917155</xdr:colOff>
      <xdr:row>43</xdr:row>
      <xdr:rowOff>83344</xdr:rowOff>
    </xdr:to>
    <xdr:sp macro="" textlink="">
      <xdr:nvSpPr>
        <xdr:cNvPr id="2" name="正方形/長方形 1">
          <a:extLst>
            <a:ext uri="{FF2B5EF4-FFF2-40B4-BE49-F238E27FC236}">
              <a16:creationId xmlns:a16="http://schemas.microsoft.com/office/drawing/2014/main" id="{7B18CB09-6FEC-BB68-3716-8C847B2F0D6D}"/>
            </a:ext>
          </a:extLst>
        </xdr:cNvPr>
        <xdr:cNvSpPr/>
      </xdr:nvSpPr>
      <xdr:spPr>
        <a:xfrm>
          <a:off x="14442280" y="8393907"/>
          <a:ext cx="3750469" cy="7858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モジュールが同様の為</a:t>
          </a:r>
          <a:endParaRPr kumimoji="1" lang="en-US" altLang="ja-JP" sz="1100" kern="1200"/>
        </a:p>
        <a:p>
          <a:pPr algn="l"/>
          <a:r>
            <a:rPr kumimoji="1" lang="en-US" altLang="ja-JP" sz="1100" kern="1200"/>
            <a:t>No.7</a:t>
          </a:r>
          <a:r>
            <a:rPr kumimoji="1" lang="ja-JP" altLang="en-US" sz="1100" kern="1200"/>
            <a:t>～</a:t>
          </a:r>
          <a:r>
            <a:rPr kumimoji="1" lang="en-US" altLang="ja-JP" sz="1100" kern="1200"/>
            <a:t>11</a:t>
          </a:r>
          <a:r>
            <a:rPr kumimoji="1" lang="ja-JP" altLang="en-US" sz="1100" kern="1200"/>
            <a:t>で確認</a:t>
          </a:r>
        </a:p>
      </xdr:txBody>
    </xdr:sp>
    <xdr:clientData/>
  </xdr:twoCellAnchor>
  <xdr:twoCellAnchor>
    <xdr:from>
      <xdr:col>13</xdr:col>
      <xdr:colOff>142875</xdr:colOff>
      <xdr:row>59</xdr:row>
      <xdr:rowOff>95250</xdr:rowOff>
    </xdr:from>
    <xdr:to>
      <xdr:col>13</xdr:col>
      <xdr:colOff>3893344</xdr:colOff>
      <xdr:row>68</xdr:row>
      <xdr:rowOff>95250</xdr:rowOff>
    </xdr:to>
    <xdr:sp macro="" textlink="">
      <xdr:nvSpPr>
        <xdr:cNvPr id="4" name="正方形/長方形 3">
          <a:extLst>
            <a:ext uri="{FF2B5EF4-FFF2-40B4-BE49-F238E27FC236}">
              <a16:creationId xmlns:a16="http://schemas.microsoft.com/office/drawing/2014/main" id="{64481E62-1765-4B22-A207-255033CC6BC1}"/>
            </a:ext>
          </a:extLst>
        </xdr:cNvPr>
        <xdr:cNvSpPr/>
      </xdr:nvSpPr>
      <xdr:spPr>
        <a:xfrm>
          <a:off x="14418469" y="12227719"/>
          <a:ext cx="3750469" cy="18216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モジュールが同様の為</a:t>
          </a:r>
          <a:endParaRPr kumimoji="1" lang="en-US" altLang="ja-JP" sz="1100" kern="1200"/>
        </a:p>
        <a:p>
          <a:pPr algn="l"/>
          <a:r>
            <a:rPr kumimoji="1" lang="en-US" altLang="ja-JP" sz="1100" kern="1200"/>
            <a:t>No.7</a:t>
          </a:r>
          <a:r>
            <a:rPr kumimoji="1" lang="ja-JP" altLang="en-US" sz="1100" kern="1200"/>
            <a:t>～</a:t>
          </a:r>
          <a:r>
            <a:rPr kumimoji="1" lang="en-US" altLang="ja-JP" sz="1100" kern="1200"/>
            <a:t>11</a:t>
          </a:r>
          <a:r>
            <a:rPr kumimoji="1" lang="ja-JP" altLang="en-US" sz="1100" kern="1200"/>
            <a:t>で確認</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217</xdr:row>
      <xdr:rowOff>0</xdr:rowOff>
    </xdr:from>
    <xdr:to>
      <xdr:col>34</xdr:col>
      <xdr:colOff>29472</xdr:colOff>
      <xdr:row>244</xdr:row>
      <xdr:rowOff>124596</xdr:rowOff>
    </xdr:to>
    <xdr:pic>
      <xdr:nvPicPr>
        <xdr:cNvPr id="25" name="図 24">
          <a:extLst>
            <a:ext uri="{FF2B5EF4-FFF2-40B4-BE49-F238E27FC236}">
              <a16:creationId xmlns:a16="http://schemas.microsoft.com/office/drawing/2014/main" id="{4DD9079C-02BF-4A07-A22E-2A7055DD1765}"/>
            </a:ext>
          </a:extLst>
        </xdr:cNvPr>
        <xdr:cNvPicPr>
          <a:picLocks noChangeAspect="1"/>
        </xdr:cNvPicPr>
      </xdr:nvPicPr>
      <xdr:blipFill>
        <a:blip xmlns:r="http://schemas.openxmlformats.org/officeDocument/2006/relationships" r:embed="rId1"/>
        <a:stretch>
          <a:fillRect/>
        </a:stretch>
      </xdr:blipFill>
      <xdr:spPr>
        <a:xfrm>
          <a:off x="400050" y="43405425"/>
          <a:ext cx="6430272" cy="5525271"/>
        </a:xfrm>
        <a:prstGeom prst="rect">
          <a:avLst/>
        </a:prstGeom>
      </xdr:spPr>
    </xdr:pic>
    <xdr:clientData/>
  </xdr:twoCellAnchor>
  <xdr:twoCellAnchor editAs="oneCell">
    <xdr:from>
      <xdr:col>2</xdr:col>
      <xdr:colOff>0</xdr:colOff>
      <xdr:row>62</xdr:row>
      <xdr:rowOff>0</xdr:rowOff>
    </xdr:from>
    <xdr:to>
      <xdr:col>40</xdr:col>
      <xdr:colOff>1060</xdr:colOff>
      <xdr:row>89</xdr:row>
      <xdr:rowOff>57912</xdr:rowOff>
    </xdr:to>
    <xdr:pic>
      <xdr:nvPicPr>
        <xdr:cNvPr id="4" name="図 3">
          <a:extLst>
            <a:ext uri="{FF2B5EF4-FFF2-40B4-BE49-F238E27FC236}">
              <a16:creationId xmlns:a16="http://schemas.microsoft.com/office/drawing/2014/main" id="{34026279-8C33-996C-62F5-EB5C63C2E48C}"/>
            </a:ext>
          </a:extLst>
        </xdr:cNvPr>
        <xdr:cNvPicPr>
          <a:picLocks noChangeAspect="1"/>
        </xdr:cNvPicPr>
      </xdr:nvPicPr>
      <xdr:blipFill>
        <a:blip xmlns:r="http://schemas.openxmlformats.org/officeDocument/2006/relationships" r:embed="rId2"/>
        <a:stretch>
          <a:fillRect/>
        </a:stretch>
      </xdr:blipFill>
      <xdr:spPr>
        <a:xfrm>
          <a:off x="400050" y="1000125"/>
          <a:ext cx="7592485" cy="5458587"/>
        </a:xfrm>
        <a:prstGeom prst="rect">
          <a:avLst/>
        </a:prstGeom>
      </xdr:spPr>
    </xdr:pic>
    <xdr:clientData/>
  </xdr:twoCellAnchor>
  <xdr:twoCellAnchor editAs="oneCell">
    <xdr:from>
      <xdr:col>2</xdr:col>
      <xdr:colOff>0</xdr:colOff>
      <xdr:row>31</xdr:row>
      <xdr:rowOff>0</xdr:rowOff>
    </xdr:from>
    <xdr:to>
      <xdr:col>40</xdr:col>
      <xdr:colOff>1061</xdr:colOff>
      <xdr:row>58</xdr:row>
      <xdr:rowOff>48385</xdr:rowOff>
    </xdr:to>
    <xdr:pic>
      <xdr:nvPicPr>
        <xdr:cNvPr id="7" name="図 6">
          <a:extLst>
            <a:ext uri="{FF2B5EF4-FFF2-40B4-BE49-F238E27FC236}">
              <a16:creationId xmlns:a16="http://schemas.microsoft.com/office/drawing/2014/main" id="{11F161A7-C7A4-4989-9D0F-F67395A53D62}"/>
            </a:ext>
          </a:extLst>
        </xdr:cNvPr>
        <xdr:cNvPicPr>
          <a:picLocks noChangeAspect="1"/>
        </xdr:cNvPicPr>
      </xdr:nvPicPr>
      <xdr:blipFill>
        <a:blip xmlns:r="http://schemas.openxmlformats.org/officeDocument/2006/relationships" r:embed="rId3"/>
        <a:stretch>
          <a:fillRect/>
        </a:stretch>
      </xdr:blipFill>
      <xdr:spPr>
        <a:xfrm>
          <a:off x="400050" y="9801225"/>
          <a:ext cx="7602011" cy="5449060"/>
        </a:xfrm>
        <a:prstGeom prst="rect">
          <a:avLst/>
        </a:prstGeom>
      </xdr:spPr>
    </xdr:pic>
    <xdr:clientData/>
  </xdr:twoCellAnchor>
  <xdr:twoCellAnchor editAs="oneCell">
    <xdr:from>
      <xdr:col>2</xdr:col>
      <xdr:colOff>0</xdr:colOff>
      <xdr:row>159</xdr:row>
      <xdr:rowOff>0</xdr:rowOff>
    </xdr:from>
    <xdr:to>
      <xdr:col>39</xdr:col>
      <xdr:colOff>114300</xdr:colOff>
      <xdr:row>186</xdr:row>
      <xdr:rowOff>105543</xdr:rowOff>
    </xdr:to>
    <xdr:pic>
      <xdr:nvPicPr>
        <xdr:cNvPr id="35" name="図 34">
          <a:extLst>
            <a:ext uri="{FF2B5EF4-FFF2-40B4-BE49-F238E27FC236}">
              <a16:creationId xmlns:a16="http://schemas.microsoft.com/office/drawing/2014/main" id="{E81FCB31-DDDE-BDB2-42C2-F69B05808E98}"/>
            </a:ext>
          </a:extLst>
        </xdr:cNvPr>
        <xdr:cNvPicPr>
          <a:picLocks noChangeAspect="1"/>
        </xdr:cNvPicPr>
      </xdr:nvPicPr>
      <xdr:blipFill rotWithShape="1">
        <a:blip xmlns:r="http://schemas.openxmlformats.org/officeDocument/2006/relationships" r:embed="rId4"/>
        <a:srcRect r="518"/>
        <a:stretch/>
      </xdr:blipFill>
      <xdr:spPr>
        <a:xfrm>
          <a:off x="400050" y="16602075"/>
          <a:ext cx="7515225" cy="5506218"/>
        </a:xfrm>
        <a:prstGeom prst="rect">
          <a:avLst/>
        </a:prstGeom>
      </xdr:spPr>
    </xdr:pic>
    <xdr:clientData/>
  </xdr:twoCellAnchor>
  <xdr:twoCellAnchor editAs="oneCell">
    <xdr:from>
      <xdr:col>2</xdr:col>
      <xdr:colOff>0</xdr:colOff>
      <xdr:row>3</xdr:row>
      <xdr:rowOff>0</xdr:rowOff>
    </xdr:from>
    <xdr:to>
      <xdr:col>39</xdr:col>
      <xdr:colOff>162981</xdr:colOff>
      <xdr:row>27</xdr:row>
      <xdr:rowOff>67354</xdr:rowOff>
    </xdr:to>
    <xdr:pic>
      <xdr:nvPicPr>
        <xdr:cNvPr id="8" name="図 7">
          <a:extLst>
            <a:ext uri="{FF2B5EF4-FFF2-40B4-BE49-F238E27FC236}">
              <a16:creationId xmlns:a16="http://schemas.microsoft.com/office/drawing/2014/main" id="{2EC8A4FB-337B-4B44-BE97-CC397F0F09A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00050" y="600075"/>
          <a:ext cx="7563906" cy="4867954"/>
        </a:xfrm>
        <a:prstGeom prst="rect">
          <a:avLst/>
        </a:prstGeom>
      </xdr:spPr>
    </xdr:pic>
    <xdr:clientData/>
  </xdr:twoCellAnchor>
  <xdr:twoCellAnchor editAs="oneCell">
    <xdr:from>
      <xdr:col>2</xdr:col>
      <xdr:colOff>0</xdr:colOff>
      <xdr:row>188</xdr:row>
      <xdr:rowOff>0</xdr:rowOff>
    </xdr:from>
    <xdr:to>
      <xdr:col>33</xdr:col>
      <xdr:colOff>0</xdr:colOff>
      <xdr:row>215</xdr:row>
      <xdr:rowOff>153175</xdr:rowOff>
    </xdr:to>
    <xdr:pic>
      <xdr:nvPicPr>
        <xdr:cNvPr id="11" name="図 10">
          <a:extLst>
            <a:ext uri="{FF2B5EF4-FFF2-40B4-BE49-F238E27FC236}">
              <a16:creationId xmlns:a16="http://schemas.microsoft.com/office/drawing/2014/main" id="{5978E962-91E6-47ED-AD70-D45FDBEBE215}"/>
            </a:ext>
          </a:extLst>
        </xdr:cNvPr>
        <xdr:cNvPicPr>
          <a:picLocks noChangeAspect="1"/>
        </xdr:cNvPicPr>
      </xdr:nvPicPr>
      <xdr:blipFill rotWithShape="1">
        <a:blip xmlns:r="http://schemas.openxmlformats.org/officeDocument/2006/relationships" r:embed="rId6"/>
        <a:srcRect r="168"/>
        <a:stretch/>
      </xdr:blipFill>
      <xdr:spPr>
        <a:xfrm>
          <a:off x="400050" y="24403050"/>
          <a:ext cx="6181725" cy="5553850"/>
        </a:xfrm>
        <a:prstGeom prst="rect">
          <a:avLst/>
        </a:prstGeom>
      </xdr:spPr>
    </xdr:pic>
    <xdr:clientData/>
  </xdr:twoCellAnchor>
  <xdr:twoCellAnchor editAs="oneCell">
    <xdr:from>
      <xdr:col>2</xdr:col>
      <xdr:colOff>0</xdr:colOff>
      <xdr:row>93</xdr:row>
      <xdr:rowOff>0</xdr:rowOff>
    </xdr:from>
    <xdr:to>
      <xdr:col>39</xdr:col>
      <xdr:colOff>162981</xdr:colOff>
      <xdr:row>122</xdr:row>
      <xdr:rowOff>134178</xdr:rowOff>
    </xdr:to>
    <xdr:pic>
      <xdr:nvPicPr>
        <xdr:cNvPr id="15" name="図 14">
          <a:extLst>
            <a:ext uri="{FF2B5EF4-FFF2-40B4-BE49-F238E27FC236}">
              <a16:creationId xmlns:a16="http://schemas.microsoft.com/office/drawing/2014/main" id="{A86D1EA6-C287-46BB-ADB5-9FDE3DB7834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00050" y="17602200"/>
          <a:ext cx="7563906" cy="5934903"/>
        </a:xfrm>
        <a:prstGeom prst="rect">
          <a:avLst/>
        </a:prstGeom>
      </xdr:spPr>
    </xdr:pic>
    <xdr:clientData/>
  </xdr:twoCellAnchor>
  <xdr:twoCellAnchor>
    <xdr:from>
      <xdr:col>40</xdr:col>
      <xdr:colOff>104775</xdr:colOff>
      <xdr:row>7</xdr:row>
      <xdr:rowOff>142875</xdr:rowOff>
    </xdr:from>
    <xdr:to>
      <xdr:col>46</xdr:col>
      <xdr:colOff>28575</xdr:colOff>
      <xdr:row>9</xdr:row>
      <xdr:rowOff>180975</xdr:rowOff>
    </xdr:to>
    <xdr:sp macro="" textlink="">
      <xdr:nvSpPr>
        <xdr:cNvPr id="16" name="吹き出し: 線 15">
          <a:extLst>
            <a:ext uri="{FF2B5EF4-FFF2-40B4-BE49-F238E27FC236}">
              <a16:creationId xmlns:a16="http://schemas.microsoft.com/office/drawing/2014/main" id="{F6390A61-60F0-2F51-9F73-CD9B19555172}"/>
            </a:ext>
          </a:extLst>
        </xdr:cNvPr>
        <xdr:cNvSpPr/>
      </xdr:nvSpPr>
      <xdr:spPr>
        <a:xfrm>
          <a:off x="8105775" y="1543050"/>
          <a:ext cx="1123950" cy="438150"/>
        </a:xfrm>
        <a:prstGeom prst="borderCallout1">
          <a:avLst>
            <a:gd name="adj1" fmla="val 32835"/>
            <a:gd name="adj2" fmla="val -926"/>
            <a:gd name="adj3" fmla="val 116082"/>
            <a:gd name="adj4" fmla="val -2034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ツリー形式</a:t>
          </a:r>
        </a:p>
      </xdr:txBody>
    </xdr:sp>
    <xdr:clientData/>
  </xdr:twoCellAnchor>
  <xdr:twoCellAnchor>
    <xdr:from>
      <xdr:col>40</xdr:col>
      <xdr:colOff>200024</xdr:colOff>
      <xdr:row>15</xdr:row>
      <xdr:rowOff>0</xdr:rowOff>
    </xdr:from>
    <xdr:to>
      <xdr:col>49</xdr:col>
      <xdr:colOff>123824</xdr:colOff>
      <xdr:row>18</xdr:row>
      <xdr:rowOff>66675</xdr:rowOff>
    </xdr:to>
    <xdr:sp macro="" textlink="">
      <xdr:nvSpPr>
        <xdr:cNvPr id="17" name="吹き出し: 線 16">
          <a:extLst>
            <a:ext uri="{FF2B5EF4-FFF2-40B4-BE49-F238E27FC236}">
              <a16:creationId xmlns:a16="http://schemas.microsoft.com/office/drawing/2014/main" id="{E453488A-D38E-4269-B7CE-D520E7DBE4DC}"/>
            </a:ext>
          </a:extLst>
        </xdr:cNvPr>
        <xdr:cNvSpPr/>
      </xdr:nvSpPr>
      <xdr:spPr>
        <a:xfrm>
          <a:off x="8201024" y="3000375"/>
          <a:ext cx="1724025" cy="666750"/>
        </a:xfrm>
        <a:prstGeom prst="borderCallout1">
          <a:avLst>
            <a:gd name="adj1" fmla="val 32835"/>
            <a:gd name="adj2" fmla="val -926"/>
            <a:gd name="adj3" fmla="val 15399"/>
            <a:gd name="adj4" fmla="val -24243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判定：ドロップダウン</a:t>
          </a:r>
          <a:endParaRPr kumimoji="1" lang="en-US" altLang="ja-JP" sz="1100" kern="1200"/>
        </a:p>
        <a:p>
          <a:pPr algn="l"/>
          <a:r>
            <a:rPr kumimoji="1" lang="ja-JP" altLang="en-US" sz="1100" kern="1200"/>
            <a:t>値：テキストボックス</a:t>
          </a:r>
          <a:endParaRPr kumimoji="1" lang="en-US" altLang="ja-JP" sz="1100" kern="1200"/>
        </a:p>
        <a:p>
          <a:pPr algn="l"/>
          <a:r>
            <a:rPr kumimoji="1" lang="ja-JP" altLang="en-US" sz="1100" kern="1200"/>
            <a:t>欠測値：ドロップダウン</a:t>
          </a:r>
        </a:p>
      </xdr:txBody>
    </xdr:sp>
    <xdr:clientData/>
  </xdr:twoCellAnchor>
  <xdr:twoCellAnchor>
    <xdr:from>
      <xdr:col>46</xdr:col>
      <xdr:colOff>0</xdr:colOff>
      <xdr:row>101</xdr:row>
      <xdr:rowOff>0</xdr:rowOff>
    </xdr:from>
    <xdr:to>
      <xdr:col>51</xdr:col>
      <xdr:colOff>123825</xdr:colOff>
      <xdr:row>103</xdr:row>
      <xdr:rowOff>38100</xdr:rowOff>
    </xdr:to>
    <xdr:sp macro="" textlink="">
      <xdr:nvSpPr>
        <xdr:cNvPr id="20" name="吹き出し: 線 19">
          <a:extLst>
            <a:ext uri="{FF2B5EF4-FFF2-40B4-BE49-F238E27FC236}">
              <a16:creationId xmlns:a16="http://schemas.microsoft.com/office/drawing/2014/main" id="{6A0006D7-E632-45E8-99DF-EC746DA41146}"/>
            </a:ext>
          </a:extLst>
        </xdr:cNvPr>
        <xdr:cNvSpPr/>
      </xdr:nvSpPr>
      <xdr:spPr>
        <a:xfrm>
          <a:off x="9201150" y="20202525"/>
          <a:ext cx="1123950" cy="438150"/>
        </a:xfrm>
        <a:prstGeom prst="borderCallout1">
          <a:avLst>
            <a:gd name="adj1" fmla="val 32835"/>
            <a:gd name="adj2" fmla="val -926"/>
            <a:gd name="adj3" fmla="val 116082"/>
            <a:gd name="adj4" fmla="val -2034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表示のみ</a:t>
          </a:r>
        </a:p>
      </xdr:txBody>
    </xdr:sp>
    <xdr:clientData/>
  </xdr:twoCellAnchor>
  <xdr:twoCellAnchor>
    <xdr:from>
      <xdr:col>46</xdr:col>
      <xdr:colOff>0</xdr:colOff>
      <xdr:row>66</xdr:row>
      <xdr:rowOff>0</xdr:rowOff>
    </xdr:from>
    <xdr:to>
      <xdr:col>51</xdr:col>
      <xdr:colOff>123825</xdr:colOff>
      <xdr:row>68</xdr:row>
      <xdr:rowOff>38100</xdr:rowOff>
    </xdr:to>
    <xdr:sp macro="" textlink="">
      <xdr:nvSpPr>
        <xdr:cNvPr id="21" name="吹き出し: 線 20">
          <a:extLst>
            <a:ext uri="{FF2B5EF4-FFF2-40B4-BE49-F238E27FC236}">
              <a16:creationId xmlns:a16="http://schemas.microsoft.com/office/drawing/2014/main" id="{09F85851-5BAD-44BC-90B7-B4E71897C1C3}"/>
            </a:ext>
          </a:extLst>
        </xdr:cNvPr>
        <xdr:cNvSpPr/>
      </xdr:nvSpPr>
      <xdr:spPr>
        <a:xfrm>
          <a:off x="9201150" y="13201650"/>
          <a:ext cx="1123950" cy="438150"/>
        </a:xfrm>
        <a:prstGeom prst="borderCallout1">
          <a:avLst>
            <a:gd name="adj1" fmla="val 32835"/>
            <a:gd name="adj2" fmla="val -926"/>
            <a:gd name="adj3" fmla="val 116082"/>
            <a:gd name="adj4" fmla="val -2034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表示のみ</a:t>
          </a:r>
        </a:p>
      </xdr:txBody>
    </xdr:sp>
    <xdr:clientData/>
  </xdr:twoCellAnchor>
  <xdr:twoCellAnchor>
    <xdr:from>
      <xdr:col>46</xdr:col>
      <xdr:colOff>0</xdr:colOff>
      <xdr:row>163</xdr:row>
      <xdr:rowOff>0</xdr:rowOff>
    </xdr:from>
    <xdr:to>
      <xdr:col>51</xdr:col>
      <xdr:colOff>123825</xdr:colOff>
      <xdr:row>165</xdr:row>
      <xdr:rowOff>38100</xdr:rowOff>
    </xdr:to>
    <xdr:sp macro="" textlink="">
      <xdr:nvSpPr>
        <xdr:cNvPr id="22" name="吹き出し: 線 21">
          <a:extLst>
            <a:ext uri="{FF2B5EF4-FFF2-40B4-BE49-F238E27FC236}">
              <a16:creationId xmlns:a16="http://schemas.microsoft.com/office/drawing/2014/main" id="{768EE716-ED86-43BF-BEB9-D7677FA2F506}"/>
            </a:ext>
          </a:extLst>
        </xdr:cNvPr>
        <xdr:cNvSpPr/>
      </xdr:nvSpPr>
      <xdr:spPr>
        <a:xfrm>
          <a:off x="9201150" y="26203275"/>
          <a:ext cx="1123950" cy="438150"/>
        </a:xfrm>
        <a:prstGeom prst="borderCallout1">
          <a:avLst>
            <a:gd name="adj1" fmla="val 32835"/>
            <a:gd name="adj2" fmla="val -926"/>
            <a:gd name="adj3" fmla="val 116082"/>
            <a:gd name="adj4" fmla="val -2034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編集不可</a:t>
          </a:r>
        </a:p>
      </xdr:txBody>
    </xdr:sp>
    <xdr:clientData/>
  </xdr:twoCellAnchor>
  <xdr:twoCellAnchor editAs="oneCell">
    <xdr:from>
      <xdr:col>2</xdr:col>
      <xdr:colOff>0</xdr:colOff>
      <xdr:row>127</xdr:row>
      <xdr:rowOff>0</xdr:rowOff>
    </xdr:from>
    <xdr:to>
      <xdr:col>40</xdr:col>
      <xdr:colOff>10587</xdr:colOff>
      <xdr:row>154</xdr:row>
      <xdr:rowOff>57912</xdr:rowOff>
    </xdr:to>
    <xdr:pic>
      <xdr:nvPicPr>
        <xdr:cNvPr id="2" name="図 1">
          <a:extLst>
            <a:ext uri="{FF2B5EF4-FFF2-40B4-BE49-F238E27FC236}">
              <a16:creationId xmlns:a16="http://schemas.microsoft.com/office/drawing/2014/main" id="{70328E6B-473F-486D-A54D-3A66D44236AB}"/>
            </a:ext>
          </a:extLst>
        </xdr:cNvPr>
        <xdr:cNvPicPr>
          <a:picLocks noChangeAspect="1"/>
        </xdr:cNvPicPr>
      </xdr:nvPicPr>
      <xdr:blipFill>
        <a:blip xmlns:r="http://schemas.openxmlformats.org/officeDocument/2006/relationships" r:embed="rId8"/>
        <a:stretch>
          <a:fillRect/>
        </a:stretch>
      </xdr:blipFill>
      <xdr:spPr>
        <a:xfrm>
          <a:off x="400050" y="25403175"/>
          <a:ext cx="7611537" cy="5458587"/>
        </a:xfrm>
        <a:prstGeom prst="rect">
          <a:avLst/>
        </a:prstGeom>
      </xdr:spPr>
    </xdr:pic>
    <xdr:clientData/>
  </xdr:twoCellAnchor>
  <xdr:twoCellAnchor>
    <xdr:from>
      <xdr:col>35</xdr:col>
      <xdr:colOff>200024</xdr:colOff>
      <xdr:row>203</xdr:row>
      <xdr:rowOff>0</xdr:rowOff>
    </xdr:from>
    <xdr:to>
      <xdr:col>52</xdr:col>
      <xdr:colOff>123824</xdr:colOff>
      <xdr:row>206</xdr:row>
      <xdr:rowOff>104775</xdr:rowOff>
    </xdr:to>
    <xdr:sp macro="" textlink="">
      <xdr:nvSpPr>
        <xdr:cNvPr id="3" name="吹き出し: 線 2">
          <a:extLst>
            <a:ext uri="{FF2B5EF4-FFF2-40B4-BE49-F238E27FC236}">
              <a16:creationId xmlns:a16="http://schemas.microsoft.com/office/drawing/2014/main" id="{1AB8A8C3-A16E-4A03-8D79-2174EF18811D}"/>
            </a:ext>
          </a:extLst>
        </xdr:cNvPr>
        <xdr:cNvSpPr/>
      </xdr:nvSpPr>
      <xdr:spPr>
        <a:xfrm>
          <a:off x="7200899" y="40605075"/>
          <a:ext cx="3324225" cy="704850"/>
        </a:xfrm>
        <a:prstGeom prst="borderCallout1">
          <a:avLst>
            <a:gd name="adj1" fmla="val 32835"/>
            <a:gd name="adj2" fmla="val -926"/>
            <a:gd name="adj3" fmla="val 74190"/>
            <a:gd name="adj4" fmla="val -8456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kern="1200"/>
            <a:t>[</a:t>
          </a:r>
          <a:r>
            <a:rPr kumimoji="1" lang="ja-JP" altLang="en-US" sz="1100" kern="1200"/>
            <a:t>ﾌｨｰﾙﾄﾞの追加</a:t>
          </a:r>
          <a:r>
            <a:rPr kumimoji="1" lang="en-US" altLang="ja-JP" sz="1100" kern="1200"/>
            <a:t>]</a:t>
          </a:r>
          <a:r>
            <a:rPr kumimoji="1" lang="ja-JP" altLang="en-US" sz="1100" kern="1200"/>
            <a:t>：指定したﾌｨｰﾙﾄﾞを行追加</a:t>
          </a:r>
          <a:endParaRPr kumimoji="1" lang="en-US" altLang="ja-JP" sz="1100" kern="1200"/>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a:t>
          </a:r>
          <a:r>
            <a:rPr kumimoji="1" lang="ja-JP" altLang="ja-JP" sz="1100">
              <a:solidFill>
                <a:schemeClr val="lt1"/>
              </a:solidFill>
              <a:effectLst/>
              <a:latin typeface="+mn-lt"/>
              <a:ea typeface="+mn-ea"/>
              <a:cs typeface="+mn-cs"/>
            </a:rPr>
            <a:t>ﾌｨｰﾙﾄﾞの</a:t>
          </a:r>
          <a:r>
            <a:rPr kumimoji="1" lang="ja-JP" altLang="en-US" sz="1100">
              <a:solidFill>
                <a:schemeClr val="lt1"/>
              </a:solidFill>
              <a:effectLst/>
              <a:latin typeface="+mn-lt"/>
              <a:ea typeface="+mn-ea"/>
              <a:cs typeface="+mn-cs"/>
            </a:rPr>
            <a:t>削除</a:t>
          </a:r>
          <a:r>
            <a:rPr kumimoji="1" lang="en-US" altLang="ja-JP" sz="1100">
              <a:solidFill>
                <a:schemeClr val="lt1"/>
              </a:solidFill>
              <a:effectLst/>
              <a:latin typeface="+mn-lt"/>
              <a:ea typeface="+mn-ea"/>
              <a:cs typeface="+mn-cs"/>
            </a:rPr>
            <a:t>]</a:t>
          </a:r>
          <a:r>
            <a:rPr kumimoji="1" lang="ja-JP" altLang="ja-JP" sz="1100">
              <a:solidFill>
                <a:schemeClr val="lt1"/>
              </a:solidFill>
              <a:effectLst/>
              <a:latin typeface="+mn-lt"/>
              <a:ea typeface="+mn-ea"/>
              <a:cs typeface="+mn-cs"/>
            </a:rPr>
            <a:t>：指定したﾌｨｰﾙﾄﾞを行</a:t>
          </a:r>
          <a:r>
            <a:rPr kumimoji="1" lang="ja-JP" altLang="en-US" sz="1100">
              <a:solidFill>
                <a:schemeClr val="lt1"/>
              </a:solidFill>
              <a:effectLst/>
              <a:latin typeface="+mn-lt"/>
              <a:ea typeface="+mn-ea"/>
              <a:cs typeface="+mn-cs"/>
            </a:rPr>
            <a:t>削除</a:t>
          </a: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lt1"/>
              </a:solidFill>
              <a:effectLst/>
              <a:latin typeface="+mn-lt"/>
              <a:ea typeface="+mn-ea"/>
              <a:cs typeface="+mn-cs"/>
            </a:rPr>
            <a:t>直接編集不可</a:t>
          </a:r>
          <a:endParaRPr lang="ja-JP" altLang="ja-JP">
            <a:effectLst/>
          </a:endParaRPr>
        </a:p>
        <a:p>
          <a:pPr algn="l"/>
          <a:endParaRPr kumimoji="1" lang="ja-JP" altLang="en-US" sz="1100" kern="1200"/>
        </a:p>
      </xdr:txBody>
    </xdr:sp>
    <xdr:clientData/>
  </xdr:twoCellAnchor>
  <xdr:twoCellAnchor>
    <xdr:from>
      <xdr:col>39</xdr:col>
      <xdr:colOff>1</xdr:colOff>
      <xdr:row>233</xdr:row>
      <xdr:rowOff>0</xdr:rowOff>
    </xdr:from>
    <xdr:to>
      <xdr:col>49</xdr:col>
      <xdr:colOff>190501</xdr:colOff>
      <xdr:row>235</xdr:row>
      <xdr:rowOff>171450</xdr:rowOff>
    </xdr:to>
    <xdr:sp macro="" textlink="">
      <xdr:nvSpPr>
        <xdr:cNvPr id="6" name="吹き出し: 線 5">
          <a:extLst>
            <a:ext uri="{FF2B5EF4-FFF2-40B4-BE49-F238E27FC236}">
              <a16:creationId xmlns:a16="http://schemas.microsoft.com/office/drawing/2014/main" id="{A81B6BF8-33CA-484F-BB6F-717FDECD8563}"/>
            </a:ext>
          </a:extLst>
        </xdr:cNvPr>
        <xdr:cNvSpPr/>
      </xdr:nvSpPr>
      <xdr:spPr>
        <a:xfrm>
          <a:off x="7800976" y="46605825"/>
          <a:ext cx="2190750" cy="571500"/>
        </a:xfrm>
        <a:prstGeom prst="borderCallout1">
          <a:avLst>
            <a:gd name="adj1" fmla="val 32835"/>
            <a:gd name="adj2" fmla="val -926"/>
            <a:gd name="adj3" fmla="val 74190"/>
            <a:gd name="adj4" fmla="val -8456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kern="1200"/>
            <a:t>[</a:t>
          </a:r>
          <a:r>
            <a:rPr kumimoji="1" lang="ja-JP" altLang="en-US" sz="1100" kern="1200"/>
            <a:t>追加▼</a:t>
          </a:r>
          <a:r>
            <a:rPr kumimoji="1" lang="en-US" altLang="ja-JP" sz="1100" kern="1200"/>
            <a:t>]</a:t>
          </a:r>
          <a:r>
            <a:rPr kumimoji="1" lang="ja-JP" altLang="en-US" sz="1100" kern="1200"/>
            <a:t>などのボタンで編集可</a:t>
          </a:r>
          <a:endParaRPr kumimoji="1" lang="en-US" altLang="ja-JP" sz="1100" kern="1200"/>
        </a:p>
        <a:p>
          <a:pPr algn="l"/>
          <a:r>
            <a:rPr kumimoji="1" lang="ja-JP" altLang="en-US" sz="1100" kern="1200"/>
            <a:t>直接編集不可</a:t>
          </a:r>
        </a:p>
      </xdr:txBody>
    </xdr:sp>
    <xdr:clientData/>
  </xdr:twoCellAnchor>
  <xdr:twoCellAnchor>
    <xdr:from>
      <xdr:col>46</xdr:col>
      <xdr:colOff>0</xdr:colOff>
      <xdr:row>36</xdr:row>
      <xdr:rowOff>0</xdr:rowOff>
    </xdr:from>
    <xdr:to>
      <xdr:col>51</xdr:col>
      <xdr:colOff>123825</xdr:colOff>
      <xdr:row>38</xdr:row>
      <xdr:rowOff>38100</xdr:rowOff>
    </xdr:to>
    <xdr:sp macro="" textlink="">
      <xdr:nvSpPr>
        <xdr:cNvPr id="10" name="吹き出し: 線 9">
          <a:extLst>
            <a:ext uri="{FF2B5EF4-FFF2-40B4-BE49-F238E27FC236}">
              <a16:creationId xmlns:a16="http://schemas.microsoft.com/office/drawing/2014/main" id="{21F11EB9-4CD3-4A7C-BADC-D84431D048FD}"/>
            </a:ext>
          </a:extLst>
        </xdr:cNvPr>
        <xdr:cNvSpPr/>
      </xdr:nvSpPr>
      <xdr:spPr>
        <a:xfrm>
          <a:off x="9201150" y="7200900"/>
          <a:ext cx="1123950" cy="438150"/>
        </a:xfrm>
        <a:prstGeom prst="borderCallout1">
          <a:avLst>
            <a:gd name="adj1" fmla="val 32835"/>
            <a:gd name="adj2" fmla="val -926"/>
            <a:gd name="adj3" fmla="val 116082"/>
            <a:gd name="adj4" fmla="val -2034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表示のみ</a:t>
          </a:r>
        </a:p>
      </xdr:txBody>
    </xdr:sp>
    <xdr:clientData/>
  </xdr:twoCellAnchor>
  <xdr:twoCellAnchor>
    <xdr:from>
      <xdr:col>46</xdr:col>
      <xdr:colOff>0</xdr:colOff>
      <xdr:row>131</xdr:row>
      <xdr:rowOff>0</xdr:rowOff>
    </xdr:from>
    <xdr:to>
      <xdr:col>51</xdr:col>
      <xdr:colOff>123825</xdr:colOff>
      <xdr:row>133</xdr:row>
      <xdr:rowOff>38100</xdr:rowOff>
    </xdr:to>
    <xdr:sp macro="" textlink="">
      <xdr:nvSpPr>
        <xdr:cNvPr id="12" name="吹き出し: 線 11">
          <a:extLst>
            <a:ext uri="{FF2B5EF4-FFF2-40B4-BE49-F238E27FC236}">
              <a16:creationId xmlns:a16="http://schemas.microsoft.com/office/drawing/2014/main" id="{AC66366F-F14D-43D6-A07D-EA9C1B3FED80}"/>
            </a:ext>
          </a:extLst>
        </xdr:cNvPr>
        <xdr:cNvSpPr/>
      </xdr:nvSpPr>
      <xdr:spPr>
        <a:xfrm>
          <a:off x="9201150" y="26203275"/>
          <a:ext cx="1123950" cy="438150"/>
        </a:xfrm>
        <a:prstGeom prst="borderCallout1">
          <a:avLst>
            <a:gd name="adj1" fmla="val 32835"/>
            <a:gd name="adj2" fmla="val -926"/>
            <a:gd name="adj3" fmla="val 116082"/>
            <a:gd name="adj4" fmla="val -2034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表示のみ</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25</xdr:col>
      <xdr:colOff>0</xdr:colOff>
      <xdr:row>45</xdr:row>
      <xdr:rowOff>0</xdr:rowOff>
    </xdr:from>
    <xdr:to>
      <xdr:col>40</xdr:col>
      <xdr:colOff>152400</xdr:colOff>
      <xdr:row>53</xdr:row>
      <xdr:rowOff>0</xdr:rowOff>
    </xdr:to>
    <xdr:sp macro="" textlink="">
      <xdr:nvSpPr>
        <xdr:cNvPr id="105" name="正方形/長方形 104">
          <a:extLst>
            <a:ext uri="{FF2B5EF4-FFF2-40B4-BE49-F238E27FC236}">
              <a16:creationId xmlns:a16="http://schemas.microsoft.com/office/drawing/2014/main" id="{8D59851C-6891-4353-BDBE-772D674B6A0C}"/>
            </a:ext>
          </a:extLst>
        </xdr:cNvPr>
        <xdr:cNvSpPr/>
      </xdr:nvSpPr>
      <xdr:spPr>
        <a:xfrm>
          <a:off x="4572000" y="8572500"/>
          <a:ext cx="2895600" cy="1524000"/>
        </a:xfrm>
        <a:prstGeom prst="rect">
          <a:avLst/>
        </a:prstGeom>
        <a:solidFill>
          <a:schemeClr val="accent6">
            <a:lumMod val="20000"/>
            <a:lumOff val="8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kern="1200">
              <a:solidFill>
                <a:sysClr val="windowText" lastClr="000000"/>
              </a:solidFill>
              <a:latin typeface="Meiryo UI" panose="020B0604030504040204" pitchFamily="50" charset="-128"/>
              <a:ea typeface="Meiryo UI" panose="020B0604030504040204" pitchFamily="50" charset="-128"/>
            </a:rPr>
            <a:t>製油所パフォーマンス</a:t>
          </a:r>
        </a:p>
      </xdr:txBody>
    </xdr:sp>
    <xdr:clientData/>
  </xdr:twoCellAnchor>
  <xdr:twoCellAnchor>
    <xdr:from>
      <xdr:col>25</xdr:col>
      <xdr:colOff>0</xdr:colOff>
      <xdr:row>20</xdr:row>
      <xdr:rowOff>0</xdr:rowOff>
    </xdr:from>
    <xdr:to>
      <xdr:col>40</xdr:col>
      <xdr:colOff>152400</xdr:colOff>
      <xdr:row>40</xdr:row>
      <xdr:rowOff>0</xdr:rowOff>
    </xdr:to>
    <xdr:sp macro="" textlink="">
      <xdr:nvSpPr>
        <xdr:cNvPr id="83" name="正方形/長方形 82">
          <a:extLst>
            <a:ext uri="{FF2B5EF4-FFF2-40B4-BE49-F238E27FC236}">
              <a16:creationId xmlns:a16="http://schemas.microsoft.com/office/drawing/2014/main" id="{44F1C900-3EE1-4C5F-9505-5DB132D709B7}"/>
            </a:ext>
          </a:extLst>
        </xdr:cNvPr>
        <xdr:cNvSpPr/>
      </xdr:nvSpPr>
      <xdr:spPr>
        <a:xfrm>
          <a:off x="4572000" y="3810000"/>
          <a:ext cx="2895600" cy="3810000"/>
        </a:xfrm>
        <a:prstGeom prst="rect">
          <a:avLst/>
        </a:prstGeom>
        <a:solidFill>
          <a:schemeClr val="accent4">
            <a:lumMod val="20000"/>
            <a:lumOff val="8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kern="1200">
              <a:solidFill>
                <a:sysClr val="windowText" lastClr="000000"/>
              </a:solidFill>
              <a:latin typeface="Meiryo UI" panose="020B0604030504040204" pitchFamily="50" charset="-128"/>
              <a:ea typeface="Meiryo UI" panose="020B0604030504040204" pitchFamily="50" charset="-128"/>
            </a:rPr>
            <a:t>製油所パフォーマンス管理</a:t>
          </a:r>
        </a:p>
      </xdr:txBody>
    </xdr:sp>
    <xdr:clientData/>
  </xdr:twoCellAnchor>
  <xdr:twoCellAnchor>
    <xdr:from>
      <xdr:col>25</xdr:col>
      <xdr:colOff>0</xdr:colOff>
      <xdr:row>8</xdr:row>
      <xdr:rowOff>0</xdr:rowOff>
    </xdr:from>
    <xdr:to>
      <xdr:col>40</xdr:col>
      <xdr:colOff>152400</xdr:colOff>
      <xdr:row>19</xdr:row>
      <xdr:rowOff>0</xdr:rowOff>
    </xdr:to>
    <xdr:sp macro="" textlink="">
      <xdr:nvSpPr>
        <xdr:cNvPr id="80" name="正方形/長方形 79">
          <a:extLst>
            <a:ext uri="{FF2B5EF4-FFF2-40B4-BE49-F238E27FC236}">
              <a16:creationId xmlns:a16="http://schemas.microsoft.com/office/drawing/2014/main" id="{5D52FE4E-8CAC-1D9C-BD1E-E3A65C21B233}"/>
            </a:ext>
          </a:extLst>
        </xdr:cNvPr>
        <xdr:cNvSpPr/>
      </xdr:nvSpPr>
      <xdr:spPr>
        <a:xfrm>
          <a:off x="4572000" y="1524000"/>
          <a:ext cx="2895600" cy="2095500"/>
        </a:xfrm>
        <a:prstGeom prst="rect">
          <a:avLst/>
        </a:prstGeom>
        <a:solidFill>
          <a:schemeClr val="accent3">
            <a:lumMod val="20000"/>
            <a:lumOff val="8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kern="1200">
              <a:solidFill>
                <a:sysClr val="windowText" lastClr="000000"/>
              </a:solidFill>
              <a:latin typeface="Meiryo UI" panose="020B0604030504040204" pitchFamily="50" charset="-128"/>
              <a:ea typeface="Meiryo UI" panose="020B0604030504040204" pitchFamily="50" charset="-128"/>
            </a:rPr>
            <a:t>品質情報検索</a:t>
          </a:r>
        </a:p>
      </xdr:txBody>
    </xdr:sp>
    <xdr:clientData/>
  </xdr:twoCellAnchor>
  <xdr:twoCellAnchor>
    <xdr:from>
      <xdr:col>2</xdr:col>
      <xdr:colOff>0</xdr:colOff>
      <xdr:row>3</xdr:row>
      <xdr:rowOff>0</xdr:rowOff>
    </xdr:from>
    <xdr:to>
      <xdr:col>8</xdr:col>
      <xdr:colOff>180526</xdr:colOff>
      <xdr:row>5</xdr:row>
      <xdr:rowOff>26933</xdr:rowOff>
    </xdr:to>
    <xdr:sp macro="" textlink="">
      <xdr:nvSpPr>
        <xdr:cNvPr id="2" name="正方形/長方形 1">
          <a:extLst>
            <a:ext uri="{FF2B5EF4-FFF2-40B4-BE49-F238E27FC236}">
              <a16:creationId xmlns:a16="http://schemas.microsoft.com/office/drawing/2014/main" id="{89E748B8-C594-4B58-910E-D7829D372B5A}"/>
            </a:ext>
          </a:extLst>
        </xdr:cNvPr>
        <xdr:cNvSpPr/>
      </xdr:nvSpPr>
      <xdr:spPr>
        <a:xfrm>
          <a:off x="365760" y="571500"/>
          <a:ext cx="1277806" cy="407933"/>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ZZZY001</a:t>
          </a:r>
        </a:p>
        <a:p>
          <a:pPr algn="ctr"/>
          <a:r>
            <a:rPr kumimoji="1" lang="en-US" altLang="ja-JP" sz="900">
              <a:solidFill>
                <a:sysClr val="windowText" lastClr="000000"/>
              </a:solidFill>
              <a:latin typeface="Meiryo UI" panose="020B0604030504040204" pitchFamily="50" charset="-128"/>
              <a:ea typeface="Meiryo UI" panose="020B0604030504040204" pitchFamily="50" charset="-128"/>
            </a:rPr>
            <a:t>ZZZY002</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195767</xdr:colOff>
      <xdr:row>3</xdr:row>
      <xdr:rowOff>2071</xdr:rowOff>
    </xdr:from>
    <xdr:to>
      <xdr:col>23</xdr:col>
      <xdr:colOff>195766</xdr:colOff>
      <xdr:row>5</xdr:row>
      <xdr:rowOff>26933</xdr:rowOff>
    </xdr:to>
    <xdr:sp macro="" textlink="">
      <xdr:nvSpPr>
        <xdr:cNvPr id="3" name="正方形/長方形 2">
          <a:extLst>
            <a:ext uri="{FF2B5EF4-FFF2-40B4-BE49-F238E27FC236}">
              <a16:creationId xmlns:a16="http://schemas.microsoft.com/office/drawing/2014/main" id="{B84124C7-AE7B-4594-9F41-0381ADBC5CC2}"/>
            </a:ext>
          </a:extLst>
        </xdr:cNvPr>
        <xdr:cNvSpPr/>
      </xdr:nvSpPr>
      <xdr:spPr>
        <a:xfrm>
          <a:off x="3396167" y="602146"/>
          <a:ext cx="1400174" cy="424912"/>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zbfz001</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181567</xdr:colOff>
      <xdr:row>6</xdr:row>
      <xdr:rowOff>119226</xdr:rowOff>
    </xdr:from>
    <xdr:to>
      <xdr:col>23</xdr:col>
      <xdr:colOff>180526</xdr:colOff>
      <xdr:row>8</xdr:row>
      <xdr:rowOff>142875</xdr:rowOff>
    </xdr:to>
    <xdr:sp macro="" textlink="">
      <xdr:nvSpPr>
        <xdr:cNvPr id="4" name="正方形/長方形 3">
          <a:extLst>
            <a:ext uri="{FF2B5EF4-FFF2-40B4-BE49-F238E27FC236}">
              <a16:creationId xmlns:a16="http://schemas.microsoft.com/office/drawing/2014/main" id="{8DCDA105-D49D-46B7-86F4-38EDB4AF35CE}"/>
            </a:ext>
          </a:extLst>
        </xdr:cNvPr>
        <xdr:cNvSpPr/>
      </xdr:nvSpPr>
      <xdr:spPr>
        <a:xfrm>
          <a:off x="3107647" y="1262226"/>
          <a:ext cx="1279119" cy="404649"/>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ccfz001</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180527</xdr:colOff>
      <xdr:row>10</xdr:row>
      <xdr:rowOff>0</xdr:rowOff>
    </xdr:from>
    <xdr:to>
      <xdr:col>23</xdr:col>
      <xdr:colOff>180526</xdr:colOff>
      <xdr:row>12</xdr:row>
      <xdr:rowOff>28575</xdr:rowOff>
    </xdr:to>
    <xdr:sp macro="" textlink="">
      <xdr:nvSpPr>
        <xdr:cNvPr id="5" name="正方形/長方形 4">
          <a:extLst>
            <a:ext uri="{FF2B5EF4-FFF2-40B4-BE49-F238E27FC236}">
              <a16:creationId xmlns:a16="http://schemas.microsoft.com/office/drawing/2014/main" id="{EC678D6A-669A-454E-9D98-56496F2CD180}"/>
            </a:ext>
          </a:extLst>
        </xdr:cNvPr>
        <xdr:cNvSpPr/>
      </xdr:nvSpPr>
      <xdr:spPr>
        <a:xfrm>
          <a:off x="3106607" y="1905000"/>
          <a:ext cx="1280159" cy="40957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cciz001</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17</xdr:col>
      <xdr:colOff>1643</xdr:colOff>
      <xdr:row>41</xdr:row>
      <xdr:rowOff>148521</xdr:rowOff>
    </xdr:from>
    <xdr:to>
      <xdr:col>24</xdr:col>
      <xdr:colOff>1642</xdr:colOff>
      <xdr:row>43</xdr:row>
      <xdr:rowOff>177262</xdr:rowOff>
    </xdr:to>
    <xdr:sp macro="" textlink="">
      <xdr:nvSpPr>
        <xdr:cNvPr id="6" name="正方形/長方形 5">
          <a:extLst>
            <a:ext uri="{FF2B5EF4-FFF2-40B4-BE49-F238E27FC236}">
              <a16:creationId xmlns:a16="http://schemas.microsoft.com/office/drawing/2014/main" id="{CB202CA8-8D4F-45C7-89A1-4538EDB1E4A1}"/>
            </a:ext>
          </a:extLst>
        </xdr:cNvPr>
        <xdr:cNvSpPr/>
      </xdr:nvSpPr>
      <xdr:spPr>
        <a:xfrm>
          <a:off x="3110603" y="4149021"/>
          <a:ext cx="1280159" cy="409741"/>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cclz001</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xdr:col>
      <xdr:colOff>180526</xdr:colOff>
      <xdr:row>4</xdr:row>
      <xdr:rowOff>13467</xdr:rowOff>
    </xdr:from>
    <xdr:to>
      <xdr:col>16</xdr:col>
      <xdr:colOff>180527</xdr:colOff>
      <xdr:row>4</xdr:row>
      <xdr:rowOff>14502</xdr:rowOff>
    </xdr:to>
    <xdr:cxnSp macro="">
      <xdr:nvCxnSpPr>
        <xdr:cNvPr id="8" name="直線矢印コネクタ 7">
          <a:extLst>
            <a:ext uri="{FF2B5EF4-FFF2-40B4-BE49-F238E27FC236}">
              <a16:creationId xmlns:a16="http://schemas.microsoft.com/office/drawing/2014/main" id="{9E497B23-E1C7-4A23-B2EF-6C2E0D139EBD}"/>
            </a:ext>
          </a:extLst>
        </xdr:cNvPr>
        <xdr:cNvCxnSpPr>
          <a:stCxn id="2" idx="3"/>
          <a:endCxn id="3" idx="1"/>
        </xdr:cNvCxnSpPr>
      </xdr:nvCxnSpPr>
      <xdr:spPr>
        <a:xfrm>
          <a:off x="1643566" y="775467"/>
          <a:ext cx="1463041" cy="103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180526</xdr:colOff>
      <xdr:row>7</xdr:row>
      <xdr:rowOff>131051</xdr:rowOff>
    </xdr:from>
    <xdr:to>
      <xdr:col>16</xdr:col>
      <xdr:colOff>181567</xdr:colOff>
      <xdr:row>7</xdr:row>
      <xdr:rowOff>131051</xdr:rowOff>
    </xdr:to>
    <xdr:cxnSp macro="">
      <xdr:nvCxnSpPr>
        <xdr:cNvPr id="10" name="直線矢印コネクタ 9">
          <a:extLst>
            <a:ext uri="{FF2B5EF4-FFF2-40B4-BE49-F238E27FC236}">
              <a16:creationId xmlns:a16="http://schemas.microsoft.com/office/drawing/2014/main" id="{866517C8-DE86-4D16-80DC-BD7AD34F1CD5}"/>
            </a:ext>
          </a:extLst>
        </xdr:cNvPr>
        <xdr:cNvCxnSpPr>
          <a:endCxn id="4" idx="1"/>
        </xdr:cNvCxnSpPr>
      </xdr:nvCxnSpPr>
      <xdr:spPr>
        <a:xfrm flipV="1">
          <a:off x="1826446" y="1464551"/>
          <a:ext cx="128120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180526</xdr:colOff>
      <xdr:row>10</xdr:row>
      <xdr:rowOff>28575</xdr:rowOff>
    </xdr:from>
    <xdr:to>
      <xdr:col>17</xdr:col>
      <xdr:colOff>0</xdr:colOff>
      <xdr:row>11</xdr:row>
      <xdr:rowOff>0</xdr:rowOff>
    </xdr:to>
    <xdr:sp macro="" textlink="">
      <xdr:nvSpPr>
        <xdr:cNvPr id="11" name="正方形/長方形 10">
          <a:extLst>
            <a:ext uri="{FF2B5EF4-FFF2-40B4-BE49-F238E27FC236}">
              <a16:creationId xmlns:a16="http://schemas.microsoft.com/office/drawing/2014/main" id="{860166F5-EF78-4EDD-8FB1-17CE6EE69634}"/>
            </a:ext>
          </a:extLst>
        </xdr:cNvPr>
        <xdr:cNvSpPr/>
      </xdr:nvSpPr>
      <xdr:spPr>
        <a:xfrm>
          <a:off x="1826446" y="1933575"/>
          <a:ext cx="1282514" cy="16192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製油所情報／データ検索</a:t>
          </a:r>
        </a:p>
      </xdr:txBody>
    </xdr:sp>
    <xdr:clientData/>
  </xdr:twoCellAnchor>
  <xdr:twoCellAnchor>
    <xdr:from>
      <xdr:col>9</xdr:col>
      <xdr:colOff>180526</xdr:colOff>
      <xdr:row>3</xdr:row>
      <xdr:rowOff>1</xdr:rowOff>
    </xdr:from>
    <xdr:to>
      <xdr:col>17</xdr:col>
      <xdr:colOff>0</xdr:colOff>
      <xdr:row>4</xdr:row>
      <xdr:rowOff>1</xdr:rowOff>
    </xdr:to>
    <xdr:sp macro="" textlink="">
      <xdr:nvSpPr>
        <xdr:cNvPr id="12" name="正方形/長方形 11">
          <a:extLst>
            <a:ext uri="{FF2B5EF4-FFF2-40B4-BE49-F238E27FC236}">
              <a16:creationId xmlns:a16="http://schemas.microsoft.com/office/drawing/2014/main" id="{E112BEA8-A342-4B29-BB64-20E0F1E12A21}"/>
            </a:ext>
          </a:extLst>
        </xdr:cNvPr>
        <xdr:cNvSpPr/>
      </xdr:nvSpPr>
      <xdr:spPr>
        <a:xfrm>
          <a:off x="1826446" y="571501"/>
          <a:ext cx="1282514" cy="19050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eiryo UI" panose="020B0604030504040204" pitchFamily="50" charset="-128"/>
              <a:ea typeface="Meiryo UI" panose="020B0604030504040204" pitchFamily="50" charset="-128"/>
              <a:cs typeface="+mn-cs"/>
            </a:rPr>
            <a:t>各所比較情報／品質管理</a:t>
          </a:r>
          <a:endParaRPr lang="ja-JP" altLang="ja-JP" sz="8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9</xdr:col>
      <xdr:colOff>180526</xdr:colOff>
      <xdr:row>6</xdr:row>
      <xdr:rowOff>114300</xdr:rowOff>
    </xdr:from>
    <xdr:to>
      <xdr:col>15</xdr:col>
      <xdr:colOff>180526</xdr:colOff>
      <xdr:row>7</xdr:row>
      <xdr:rowOff>119913</xdr:rowOff>
    </xdr:to>
    <xdr:sp macro="" textlink="">
      <xdr:nvSpPr>
        <xdr:cNvPr id="13" name="正方形/長方形 12">
          <a:extLst>
            <a:ext uri="{FF2B5EF4-FFF2-40B4-BE49-F238E27FC236}">
              <a16:creationId xmlns:a16="http://schemas.microsoft.com/office/drawing/2014/main" id="{60F84CD2-059E-424F-B11A-4832697DDFAE}"/>
            </a:ext>
          </a:extLst>
        </xdr:cNvPr>
        <xdr:cNvSpPr/>
      </xdr:nvSpPr>
      <xdr:spPr>
        <a:xfrm>
          <a:off x="1826446" y="1257300"/>
          <a:ext cx="1097280" cy="19611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製油所情報／品質管理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180525</xdr:colOff>
      <xdr:row>41</xdr:row>
      <xdr:rowOff>148687</xdr:rowOff>
    </xdr:from>
    <xdr:to>
      <xdr:col>17</xdr:col>
      <xdr:colOff>129165</xdr:colOff>
      <xdr:row>42</xdr:row>
      <xdr:rowOff>166733</xdr:rowOff>
    </xdr:to>
    <xdr:sp macro="" textlink="">
      <xdr:nvSpPr>
        <xdr:cNvPr id="14" name="正方形/長方形 13">
          <a:extLst>
            <a:ext uri="{FF2B5EF4-FFF2-40B4-BE49-F238E27FC236}">
              <a16:creationId xmlns:a16="http://schemas.microsoft.com/office/drawing/2014/main" id="{D79FF663-F8E2-41A4-ABE7-E82F44814D96}"/>
            </a:ext>
          </a:extLst>
        </xdr:cNvPr>
        <xdr:cNvSpPr/>
      </xdr:nvSpPr>
      <xdr:spPr>
        <a:xfrm>
          <a:off x="1826445" y="7959187"/>
          <a:ext cx="1411680" cy="208546"/>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ローカルシステム／管理メニュー</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180525</xdr:colOff>
      <xdr:row>46</xdr:row>
      <xdr:rowOff>107642</xdr:rowOff>
    </xdr:from>
    <xdr:to>
      <xdr:col>17</xdr:col>
      <xdr:colOff>134670</xdr:colOff>
      <xdr:row>47</xdr:row>
      <xdr:rowOff>123617</xdr:rowOff>
    </xdr:to>
    <xdr:sp macro="" textlink="">
      <xdr:nvSpPr>
        <xdr:cNvPr id="15" name="正方形/長方形 14">
          <a:extLst>
            <a:ext uri="{FF2B5EF4-FFF2-40B4-BE49-F238E27FC236}">
              <a16:creationId xmlns:a16="http://schemas.microsoft.com/office/drawing/2014/main" id="{C19BAA3D-3ECE-4191-B71A-1C117ADD4579}"/>
            </a:ext>
          </a:extLst>
        </xdr:cNvPr>
        <xdr:cNvSpPr/>
      </xdr:nvSpPr>
      <xdr:spPr>
        <a:xfrm>
          <a:off x="1826445" y="8870642"/>
          <a:ext cx="1417185" cy="20647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個別業務情報／運転管理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180526</xdr:colOff>
      <xdr:row>11</xdr:row>
      <xdr:rowOff>14288</xdr:rowOff>
    </xdr:from>
    <xdr:to>
      <xdr:col>16</xdr:col>
      <xdr:colOff>180527</xdr:colOff>
      <xdr:row>11</xdr:row>
      <xdr:rowOff>14288</xdr:rowOff>
    </xdr:to>
    <xdr:cxnSp macro="">
      <xdr:nvCxnSpPr>
        <xdr:cNvPr id="16" name="直線矢印コネクタ 15">
          <a:extLst>
            <a:ext uri="{FF2B5EF4-FFF2-40B4-BE49-F238E27FC236}">
              <a16:creationId xmlns:a16="http://schemas.microsoft.com/office/drawing/2014/main" id="{C2CBD82A-C5D7-4AD1-BAB8-D65567F5120A}"/>
            </a:ext>
          </a:extLst>
        </xdr:cNvPr>
        <xdr:cNvCxnSpPr>
          <a:endCxn id="5" idx="1"/>
        </xdr:cNvCxnSpPr>
      </xdr:nvCxnSpPr>
      <xdr:spPr>
        <a:xfrm flipV="1">
          <a:off x="1826446" y="2109788"/>
          <a:ext cx="128016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180526</xdr:colOff>
      <xdr:row>4</xdr:row>
      <xdr:rowOff>12646</xdr:rowOff>
    </xdr:from>
    <xdr:to>
      <xdr:col>10</xdr:col>
      <xdr:colOff>0</xdr:colOff>
      <xdr:row>56</xdr:row>
      <xdr:rowOff>179446</xdr:rowOff>
    </xdr:to>
    <xdr:cxnSp macro="">
      <xdr:nvCxnSpPr>
        <xdr:cNvPr id="17" name="直線矢印コネクタ 16">
          <a:extLst>
            <a:ext uri="{FF2B5EF4-FFF2-40B4-BE49-F238E27FC236}">
              <a16:creationId xmlns:a16="http://schemas.microsoft.com/office/drawing/2014/main" id="{41AC64B0-8BEC-4FE7-822F-649527C38E30}"/>
            </a:ext>
          </a:extLst>
        </xdr:cNvPr>
        <xdr:cNvCxnSpPr/>
      </xdr:nvCxnSpPr>
      <xdr:spPr>
        <a:xfrm>
          <a:off x="1826446" y="774646"/>
          <a:ext cx="2354" cy="10072800"/>
        </a:xfrm>
        <a:prstGeom prst="straightConnector1">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180526</xdr:colOff>
      <xdr:row>42</xdr:row>
      <xdr:rowOff>161939</xdr:rowOff>
    </xdr:from>
    <xdr:to>
      <xdr:col>17</xdr:col>
      <xdr:colOff>1643</xdr:colOff>
      <xdr:row>42</xdr:row>
      <xdr:rowOff>161939</xdr:rowOff>
    </xdr:to>
    <xdr:cxnSp macro="">
      <xdr:nvCxnSpPr>
        <xdr:cNvPr id="18" name="直線矢印コネクタ 17">
          <a:extLst>
            <a:ext uri="{FF2B5EF4-FFF2-40B4-BE49-F238E27FC236}">
              <a16:creationId xmlns:a16="http://schemas.microsoft.com/office/drawing/2014/main" id="{F30A6B76-666D-4522-8504-23678C1A8798}"/>
            </a:ext>
          </a:extLst>
        </xdr:cNvPr>
        <xdr:cNvCxnSpPr>
          <a:endCxn id="6" idx="1"/>
        </xdr:cNvCxnSpPr>
      </xdr:nvCxnSpPr>
      <xdr:spPr>
        <a:xfrm flipV="1">
          <a:off x="1826446" y="4352939"/>
          <a:ext cx="1284157"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5902</xdr:colOff>
      <xdr:row>46</xdr:row>
      <xdr:rowOff>118809</xdr:rowOff>
    </xdr:from>
    <xdr:to>
      <xdr:col>24</xdr:col>
      <xdr:colOff>5901</xdr:colOff>
      <xdr:row>48</xdr:row>
      <xdr:rowOff>141234</xdr:rowOff>
    </xdr:to>
    <xdr:sp macro="" textlink="">
      <xdr:nvSpPr>
        <xdr:cNvPr id="20" name="正方形/長方形 19">
          <a:extLst>
            <a:ext uri="{FF2B5EF4-FFF2-40B4-BE49-F238E27FC236}">
              <a16:creationId xmlns:a16="http://schemas.microsoft.com/office/drawing/2014/main" id="{5237924F-B375-4CD3-88C8-A8C87A6C5120}"/>
            </a:ext>
          </a:extLst>
        </xdr:cNvPr>
        <xdr:cNvSpPr/>
      </xdr:nvSpPr>
      <xdr:spPr>
        <a:xfrm>
          <a:off x="3114862" y="8881809"/>
          <a:ext cx="1280159" cy="40342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cedz001</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0</xdr:colOff>
      <xdr:row>47</xdr:row>
      <xdr:rowOff>126512</xdr:rowOff>
    </xdr:from>
    <xdr:to>
      <xdr:col>17</xdr:col>
      <xdr:colOff>5902</xdr:colOff>
      <xdr:row>47</xdr:row>
      <xdr:rowOff>127164</xdr:rowOff>
    </xdr:to>
    <xdr:cxnSp macro="">
      <xdr:nvCxnSpPr>
        <xdr:cNvPr id="21" name="直線矢印コネクタ 20">
          <a:extLst>
            <a:ext uri="{FF2B5EF4-FFF2-40B4-BE49-F238E27FC236}">
              <a16:creationId xmlns:a16="http://schemas.microsoft.com/office/drawing/2014/main" id="{85042693-EA64-4AF8-8902-5FD5A6944BF9}"/>
            </a:ext>
          </a:extLst>
        </xdr:cNvPr>
        <xdr:cNvCxnSpPr>
          <a:endCxn id="20" idx="1"/>
        </xdr:cNvCxnSpPr>
      </xdr:nvCxnSpPr>
      <xdr:spPr>
        <a:xfrm>
          <a:off x="1828800" y="9080012"/>
          <a:ext cx="1286062" cy="65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180525</xdr:colOff>
      <xdr:row>52</xdr:row>
      <xdr:rowOff>148687</xdr:rowOff>
    </xdr:from>
    <xdr:to>
      <xdr:col>17</xdr:col>
      <xdr:colOff>134670</xdr:colOff>
      <xdr:row>53</xdr:row>
      <xdr:rowOff>164662</xdr:rowOff>
    </xdr:to>
    <xdr:sp macro="" textlink="">
      <xdr:nvSpPr>
        <xdr:cNvPr id="22" name="正方形/長方形 21">
          <a:extLst>
            <a:ext uri="{FF2B5EF4-FFF2-40B4-BE49-F238E27FC236}">
              <a16:creationId xmlns:a16="http://schemas.microsoft.com/office/drawing/2014/main" id="{89A49E6A-8035-4757-82A6-E29984074835}"/>
            </a:ext>
          </a:extLst>
        </xdr:cNvPr>
        <xdr:cNvSpPr/>
      </xdr:nvSpPr>
      <xdr:spPr>
        <a:xfrm>
          <a:off x="1826445" y="10054687"/>
          <a:ext cx="1417185" cy="20647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個別業務情報／品質管理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17</xdr:col>
      <xdr:colOff>5902</xdr:colOff>
      <xdr:row>52</xdr:row>
      <xdr:rowOff>159854</xdr:rowOff>
    </xdr:from>
    <xdr:to>
      <xdr:col>24</xdr:col>
      <xdr:colOff>5901</xdr:colOff>
      <xdr:row>55</xdr:row>
      <xdr:rowOff>0</xdr:rowOff>
    </xdr:to>
    <xdr:sp macro="" textlink="">
      <xdr:nvSpPr>
        <xdr:cNvPr id="23" name="正方形/長方形 22">
          <a:extLst>
            <a:ext uri="{FF2B5EF4-FFF2-40B4-BE49-F238E27FC236}">
              <a16:creationId xmlns:a16="http://schemas.microsoft.com/office/drawing/2014/main" id="{B860CFFB-81C1-4F00-BE47-7376852E0E86}"/>
            </a:ext>
          </a:extLst>
        </xdr:cNvPr>
        <xdr:cNvSpPr/>
      </xdr:nvSpPr>
      <xdr:spPr>
        <a:xfrm>
          <a:off x="3114862" y="10065854"/>
          <a:ext cx="1280159" cy="411646"/>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zefz001</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0</xdr:colOff>
      <xdr:row>53</xdr:row>
      <xdr:rowOff>175177</xdr:rowOff>
    </xdr:from>
    <xdr:to>
      <xdr:col>17</xdr:col>
      <xdr:colOff>5902</xdr:colOff>
      <xdr:row>53</xdr:row>
      <xdr:rowOff>175177</xdr:rowOff>
    </xdr:to>
    <xdr:cxnSp macro="">
      <xdr:nvCxnSpPr>
        <xdr:cNvPr id="24" name="直線矢印コネクタ 23">
          <a:extLst>
            <a:ext uri="{FF2B5EF4-FFF2-40B4-BE49-F238E27FC236}">
              <a16:creationId xmlns:a16="http://schemas.microsoft.com/office/drawing/2014/main" id="{E1B1842A-4798-4CCA-8D32-4B55B41BEAF9}"/>
            </a:ext>
          </a:extLst>
        </xdr:cNvPr>
        <xdr:cNvCxnSpPr>
          <a:endCxn id="23" idx="1"/>
        </xdr:cNvCxnSpPr>
      </xdr:nvCxnSpPr>
      <xdr:spPr>
        <a:xfrm flipV="1">
          <a:off x="1828800" y="10271677"/>
          <a:ext cx="1286062"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180525</xdr:colOff>
      <xdr:row>55</xdr:row>
      <xdr:rowOff>148687</xdr:rowOff>
    </xdr:from>
    <xdr:to>
      <xdr:col>17</xdr:col>
      <xdr:colOff>134670</xdr:colOff>
      <xdr:row>56</xdr:row>
      <xdr:rowOff>164662</xdr:rowOff>
    </xdr:to>
    <xdr:sp macro="" textlink="">
      <xdr:nvSpPr>
        <xdr:cNvPr id="25" name="正方形/長方形 24">
          <a:extLst>
            <a:ext uri="{FF2B5EF4-FFF2-40B4-BE49-F238E27FC236}">
              <a16:creationId xmlns:a16="http://schemas.microsoft.com/office/drawing/2014/main" id="{23780D6F-B9C4-44B9-B712-918BD2D8913D}"/>
            </a:ext>
          </a:extLst>
        </xdr:cNvPr>
        <xdr:cNvSpPr/>
      </xdr:nvSpPr>
      <xdr:spPr>
        <a:xfrm>
          <a:off x="1826445" y="10626187"/>
          <a:ext cx="1417185" cy="20647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個別業務情報／官庁申請</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17</xdr:col>
      <xdr:colOff>5902</xdr:colOff>
      <xdr:row>55</xdr:row>
      <xdr:rowOff>159854</xdr:rowOff>
    </xdr:from>
    <xdr:to>
      <xdr:col>24</xdr:col>
      <xdr:colOff>5901</xdr:colOff>
      <xdr:row>58</xdr:row>
      <xdr:rowOff>0</xdr:rowOff>
    </xdr:to>
    <xdr:sp macro="" textlink="">
      <xdr:nvSpPr>
        <xdr:cNvPr id="26" name="正方形/長方形 25">
          <a:extLst>
            <a:ext uri="{FF2B5EF4-FFF2-40B4-BE49-F238E27FC236}">
              <a16:creationId xmlns:a16="http://schemas.microsoft.com/office/drawing/2014/main" id="{19D29B14-8A39-4EB4-B5B4-D053E6E97218}"/>
            </a:ext>
          </a:extLst>
        </xdr:cNvPr>
        <xdr:cNvSpPr/>
      </xdr:nvSpPr>
      <xdr:spPr>
        <a:xfrm>
          <a:off x="3114862" y="10637354"/>
          <a:ext cx="1280159" cy="411646"/>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cekz001</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0</xdr:colOff>
      <xdr:row>56</xdr:row>
      <xdr:rowOff>175177</xdr:rowOff>
    </xdr:from>
    <xdr:to>
      <xdr:col>17</xdr:col>
      <xdr:colOff>5902</xdr:colOff>
      <xdr:row>56</xdr:row>
      <xdr:rowOff>175177</xdr:rowOff>
    </xdr:to>
    <xdr:cxnSp macro="">
      <xdr:nvCxnSpPr>
        <xdr:cNvPr id="27" name="直線矢印コネクタ 26">
          <a:extLst>
            <a:ext uri="{FF2B5EF4-FFF2-40B4-BE49-F238E27FC236}">
              <a16:creationId xmlns:a16="http://schemas.microsoft.com/office/drawing/2014/main" id="{D74AC9EF-1C6D-4DEF-87C2-AEC3501F1104}"/>
            </a:ext>
          </a:extLst>
        </xdr:cNvPr>
        <xdr:cNvCxnSpPr>
          <a:endCxn id="26" idx="1"/>
        </xdr:cNvCxnSpPr>
      </xdr:nvCxnSpPr>
      <xdr:spPr>
        <a:xfrm flipV="1">
          <a:off x="1828800" y="10843177"/>
          <a:ext cx="1286062"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63000</xdr:colOff>
      <xdr:row>46</xdr:row>
      <xdr:rowOff>109284</xdr:rowOff>
    </xdr:from>
    <xdr:to>
      <xdr:col>34</xdr:col>
      <xdr:colOff>0</xdr:colOff>
      <xdr:row>47</xdr:row>
      <xdr:rowOff>125259</xdr:rowOff>
    </xdr:to>
    <xdr:sp macro="" textlink="">
      <xdr:nvSpPr>
        <xdr:cNvPr id="28" name="正方形/長方形 27">
          <a:extLst>
            <a:ext uri="{FF2B5EF4-FFF2-40B4-BE49-F238E27FC236}">
              <a16:creationId xmlns:a16="http://schemas.microsoft.com/office/drawing/2014/main" id="{2B001A22-2A0D-40BD-936B-16775C567F58}"/>
            </a:ext>
          </a:extLst>
        </xdr:cNvPr>
        <xdr:cNvSpPr/>
      </xdr:nvSpPr>
      <xdr:spPr>
        <a:xfrm>
          <a:off x="4817880" y="8872284"/>
          <a:ext cx="1400040" cy="20647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製油</a:t>
          </a:r>
          <a:r>
            <a:rPr kumimoji="1" lang="en-US" altLang="ja-JP" sz="800">
              <a:solidFill>
                <a:sysClr val="windowText" lastClr="000000"/>
              </a:solidFill>
              <a:latin typeface="Meiryo UI" panose="020B0604030504040204" pitchFamily="50" charset="-128"/>
              <a:ea typeface="Meiryo UI" panose="020B0604030504040204" pitchFamily="50" charset="-128"/>
            </a:rPr>
            <a:t>1</a:t>
          </a:r>
          <a:r>
            <a:rPr kumimoji="1" lang="ja-JP" altLang="en-US" sz="800">
              <a:solidFill>
                <a:sysClr val="windowText" lastClr="000000"/>
              </a:solidFill>
              <a:latin typeface="Meiryo UI" panose="020B0604030504040204" pitchFamily="50" charset="-128"/>
              <a:ea typeface="Meiryo UI" panose="020B0604030504040204" pitchFamily="50" charset="-128"/>
            </a:rPr>
            <a:t>課</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0</xdr:colOff>
      <xdr:row>46</xdr:row>
      <xdr:rowOff>120451</xdr:rowOff>
    </xdr:from>
    <xdr:to>
      <xdr:col>39</xdr:col>
      <xdr:colOff>182879</xdr:colOff>
      <xdr:row>48</xdr:row>
      <xdr:rowOff>142876</xdr:rowOff>
    </xdr:to>
    <xdr:sp macro="" textlink="">
      <xdr:nvSpPr>
        <xdr:cNvPr id="29" name="正方形/長方形 28">
          <a:extLst>
            <a:ext uri="{FF2B5EF4-FFF2-40B4-BE49-F238E27FC236}">
              <a16:creationId xmlns:a16="http://schemas.microsoft.com/office/drawing/2014/main" id="{C0498FE5-2820-4FAE-947D-9FFBB09B3EEA}"/>
            </a:ext>
          </a:extLst>
        </xdr:cNvPr>
        <xdr:cNvSpPr/>
      </xdr:nvSpPr>
      <xdr:spPr>
        <a:xfrm>
          <a:off x="6035040" y="8883451"/>
          <a:ext cx="1280159" cy="40342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cedz003</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24</xdr:col>
      <xdr:colOff>5901</xdr:colOff>
      <xdr:row>47</xdr:row>
      <xdr:rowOff>130022</xdr:rowOff>
    </xdr:from>
    <xdr:to>
      <xdr:col>33</xdr:col>
      <xdr:colOff>0</xdr:colOff>
      <xdr:row>47</xdr:row>
      <xdr:rowOff>131664</xdr:rowOff>
    </xdr:to>
    <xdr:cxnSp macro="">
      <xdr:nvCxnSpPr>
        <xdr:cNvPr id="30" name="直線矢印コネクタ 29">
          <a:extLst>
            <a:ext uri="{FF2B5EF4-FFF2-40B4-BE49-F238E27FC236}">
              <a16:creationId xmlns:a16="http://schemas.microsoft.com/office/drawing/2014/main" id="{3F575E18-B3C8-46B9-9428-D24C54373072}"/>
            </a:ext>
          </a:extLst>
        </xdr:cNvPr>
        <xdr:cNvCxnSpPr>
          <a:stCxn id="20" idx="3"/>
          <a:endCxn id="29" idx="1"/>
        </xdr:cNvCxnSpPr>
      </xdr:nvCxnSpPr>
      <xdr:spPr>
        <a:xfrm>
          <a:off x="4395021" y="9083522"/>
          <a:ext cx="1640019" cy="164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53475</xdr:colOff>
      <xdr:row>49</xdr:row>
      <xdr:rowOff>128334</xdr:rowOff>
    </xdr:from>
    <xdr:to>
      <xdr:col>33</xdr:col>
      <xdr:colOff>173355</xdr:colOff>
      <xdr:row>50</xdr:row>
      <xdr:rowOff>144309</xdr:rowOff>
    </xdr:to>
    <xdr:sp macro="" textlink="">
      <xdr:nvSpPr>
        <xdr:cNvPr id="31" name="正方形/長方形 30">
          <a:extLst>
            <a:ext uri="{FF2B5EF4-FFF2-40B4-BE49-F238E27FC236}">
              <a16:creationId xmlns:a16="http://schemas.microsoft.com/office/drawing/2014/main" id="{D222B0CB-4EBC-4A4D-B026-0A0CE885EF83}"/>
            </a:ext>
          </a:extLst>
        </xdr:cNvPr>
        <xdr:cNvSpPr/>
      </xdr:nvSpPr>
      <xdr:spPr>
        <a:xfrm>
          <a:off x="4808355" y="9462834"/>
          <a:ext cx="1400040" cy="20647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製油</a:t>
          </a:r>
          <a:r>
            <a:rPr kumimoji="1" lang="en-US" altLang="ja-JP" sz="800">
              <a:solidFill>
                <a:sysClr val="windowText" lastClr="000000"/>
              </a:solidFill>
              <a:latin typeface="Meiryo UI" panose="020B0604030504040204" pitchFamily="50" charset="-128"/>
              <a:ea typeface="Meiryo UI" panose="020B0604030504040204" pitchFamily="50" charset="-128"/>
            </a:rPr>
            <a:t>2</a:t>
          </a:r>
          <a:r>
            <a:rPr kumimoji="1" lang="ja-JP" altLang="en-US" sz="800">
              <a:solidFill>
                <a:sysClr val="windowText" lastClr="000000"/>
              </a:solidFill>
              <a:latin typeface="Meiryo UI" panose="020B0604030504040204" pitchFamily="50" charset="-128"/>
              <a:ea typeface="Meiryo UI" panose="020B0604030504040204" pitchFamily="50" charset="-128"/>
            </a:rPr>
            <a:t>課</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9525</xdr:colOff>
      <xdr:row>49</xdr:row>
      <xdr:rowOff>158550</xdr:rowOff>
    </xdr:from>
    <xdr:to>
      <xdr:col>40</xdr:col>
      <xdr:colOff>9524</xdr:colOff>
      <xdr:row>52</xdr:row>
      <xdr:rowOff>0</xdr:rowOff>
    </xdr:to>
    <xdr:sp macro="" textlink="">
      <xdr:nvSpPr>
        <xdr:cNvPr id="32" name="正方形/長方形 31">
          <a:extLst>
            <a:ext uri="{FF2B5EF4-FFF2-40B4-BE49-F238E27FC236}">
              <a16:creationId xmlns:a16="http://schemas.microsoft.com/office/drawing/2014/main" id="{A57A0DF6-8DB6-44FA-A091-340FE88D1985}"/>
            </a:ext>
          </a:extLst>
        </xdr:cNvPr>
        <xdr:cNvSpPr/>
      </xdr:nvSpPr>
      <xdr:spPr>
        <a:xfrm>
          <a:off x="6044565" y="9493050"/>
          <a:ext cx="1280159" cy="412950"/>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cedz002</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xdr:col>
      <xdr:colOff>0</xdr:colOff>
      <xdr:row>62</xdr:row>
      <xdr:rowOff>0</xdr:rowOff>
    </xdr:from>
    <xdr:to>
      <xdr:col>8</xdr:col>
      <xdr:colOff>195766</xdr:colOff>
      <xdr:row>64</xdr:row>
      <xdr:rowOff>26933</xdr:rowOff>
    </xdr:to>
    <xdr:sp macro="" textlink="">
      <xdr:nvSpPr>
        <xdr:cNvPr id="7" name="正方形/長方形 6">
          <a:extLst>
            <a:ext uri="{FF2B5EF4-FFF2-40B4-BE49-F238E27FC236}">
              <a16:creationId xmlns:a16="http://schemas.microsoft.com/office/drawing/2014/main" id="{9CD4B580-700E-48E6-8179-8EDC259ACD44}"/>
            </a:ext>
          </a:extLst>
        </xdr:cNvPr>
        <xdr:cNvSpPr/>
      </xdr:nvSpPr>
      <xdr:spPr>
        <a:xfrm>
          <a:off x="400050" y="6800850"/>
          <a:ext cx="1395916" cy="426983"/>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CCD1041</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1</xdr:colOff>
      <xdr:row>62</xdr:row>
      <xdr:rowOff>2071</xdr:rowOff>
    </xdr:from>
    <xdr:to>
      <xdr:col>26</xdr:col>
      <xdr:colOff>0</xdr:colOff>
      <xdr:row>64</xdr:row>
      <xdr:rowOff>26933</xdr:rowOff>
    </xdr:to>
    <xdr:sp macro="" textlink="">
      <xdr:nvSpPr>
        <xdr:cNvPr id="9" name="正方形/長方形 8">
          <a:extLst>
            <a:ext uri="{FF2B5EF4-FFF2-40B4-BE49-F238E27FC236}">
              <a16:creationId xmlns:a16="http://schemas.microsoft.com/office/drawing/2014/main" id="{B05AB692-8AA5-4EE0-AA16-13B90B62D6B7}"/>
            </a:ext>
          </a:extLst>
        </xdr:cNvPr>
        <xdr:cNvSpPr/>
      </xdr:nvSpPr>
      <xdr:spPr>
        <a:xfrm>
          <a:off x="3474721" y="13146571"/>
          <a:ext cx="1280159" cy="405862"/>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CCD1042</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0</xdr:colOff>
      <xdr:row>65</xdr:row>
      <xdr:rowOff>0</xdr:rowOff>
    </xdr:from>
    <xdr:to>
      <xdr:col>25</xdr:col>
      <xdr:colOff>181839</xdr:colOff>
      <xdr:row>67</xdr:row>
      <xdr:rowOff>23649</xdr:rowOff>
    </xdr:to>
    <xdr:sp macro="" textlink="">
      <xdr:nvSpPr>
        <xdr:cNvPr id="19" name="正方形/長方形 18">
          <a:extLst>
            <a:ext uri="{FF2B5EF4-FFF2-40B4-BE49-F238E27FC236}">
              <a16:creationId xmlns:a16="http://schemas.microsoft.com/office/drawing/2014/main" id="{CED26F1C-1739-4E4C-A281-14D975A6BD69}"/>
            </a:ext>
          </a:extLst>
        </xdr:cNvPr>
        <xdr:cNvSpPr/>
      </xdr:nvSpPr>
      <xdr:spPr>
        <a:xfrm>
          <a:off x="3474720" y="13716000"/>
          <a:ext cx="1279119" cy="404649"/>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CCD1043</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1</xdr:colOff>
      <xdr:row>68</xdr:row>
      <xdr:rowOff>0</xdr:rowOff>
    </xdr:from>
    <xdr:to>
      <xdr:col>26</xdr:col>
      <xdr:colOff>0</xdr:colOff>
      <xdr:row>70</xdr:row>
      <xdr:rowOff>28575</xdr:rowOff>
    </xdr:to>
    <xdr:sp macro="" textlink="">
      <xdr:nvSpPr>
        <xdr:cNvPr id="34" name="正方形/長方形 33">
          <a:extLst>
            <a:ext uri="{FF2B5EF4-FFF2-40B4-BE49-F238E27FC236}">
              <a16:creationId xmlns:a16="http://schemas.microsoft.com/office/drawing/2014/main" id="{23F661C2-E441-4233-8899-2BEF072E5826}"/>
            </a:ext>
          </a:extLst>
        </xdr:cNvPr>
        <xdr:cNvSpPr/>
      </xdr:nvSpPr>
      <xdr:spPr>
        <a:xfrm>
          <a:off x="3474721" y="14287500"/>
          <a:ext cx="1280159" cy="40957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CCD1039</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1</xdr:colOff>
      <xdr:row>71</xdr:row>
      <xdr:rowOff>0</xdr:rowOff>
    </xdr:from>
    <xdr:to>
      <xdr:col>26</xdr:col>
      <xdr:colOff>0</xdr:colOff>
      <xdr:row>73</xdr:row>
      <xdr:rowOff>28741</xdr:rowOff>
    </xdr:to>
    <xdr:sp macro="" textlink="">
      <xdr:nvSpPr>
        <xdr:cNvPr id="35" name="正方形/長方形 34">
          <a:extLst>
            <a:ext uri="{FF2B5EF4-FFF2-40B4-BE49-F238E27FC236}">
              <a16:creationId xmlns:a16="http://schemas.microsoft.com/office/drawing/2014/main" id="{E670C353-7DDC-4DF5-98F2-E265829954ED}"/>
            </a:ext>
          </a:extLst>
        </xdr:cNvPr>
        <xdr:cNvSpPr/>
      </xdr:nvSpPr>
      <xdr:spPr>
        <a:xfrm>
          <a:off x="3474721" y="14859000"/>
          <a:ext cx="1280159" cy="409741"/>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CCD1040</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xdr:col>
      <xdr:colOff>180526</xdr:colOff>
      <xdr:row>63</xdr:row>
      <xdr:rowOff>13467</xdr:rowOff>
    </xdr:from>
    <xdr:to>
      <xdr:col>19</xdr:col>
      <xdr:colOff>1</xdr:colOff>
      <xdr:row>63</xdr:row>
      <xdr:rowOff>14502</xdr:rowOff>
    </xdr:to>
    <xdr:cxnSp macro="">
      <xdr:nvCxnSpPr>
        <xdr:cNvPr id="37" name="直線矢印コネクタ 36">
          <a:extLst>
            <a:ext uri="{FF2B5EF4-FFF2-40B4-BE49-F238E27FC236}">
              <a16:creationId xmlns:a16="http://schemas.microsoft.com/office/drawing/2014/main" id="{330EC9A6-464A-4F9D-9332-6F1E1FAC04C8}"/>
            </a:ext>
          </a:extLst>
        </xdr:cNvPr>
        <xdr:cNvCxnSpPr>
          <a:stCxn id="7" idx="3"/>
          <a:endCxn id="9" idx="1"/>
        </xdr:cNvCxnSpPr>
      </xdr:nvCxnSpPr>
      <xdr:spPr>
        <a:xfrm>
          <a:off x="1643566" y="13348467"/>
          <a:ext cx="1831155" cy="103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66</xdr:row>
      <xdr:rowOff>11825</xdr:rowOff>
    </xdr:from>
    <xdr:to>
      <xdr:col>19</xdr:col>
      <xdr:colOff>0</xdr:colOff>
      <xdr:row>66</xdr:row>
      <xdr:rowOff>11825</xdr:rowOff>
    </xdr:to>
    <xdr:cxnSp macro="">
      <xdr:nvCxnSpPr>
        <xdr:cNvPr id="38" name="直線矢印コネクタ 37">
          <a:extLst>
            <a:ext uri="{FF2B5EF4-FFF2-40B4-BE49-F238E27FC236}">
              <a16:creationId xmlns:a16="http://schemas.microsoft.com/office/drawing/2014/main" id="{95E55A3F-A064-4A28-B828-540AAE0C4AA3}"/>
            </a:ext>
          </a:extLst>
        </xdr:cNvPr>
        <xdr:cNvCxnSpPr>
          <a:cxnSpLocks/>
          <a:endCxn id="19" idx="1"/>
        </xdr:cNvCxnSpPr>
      </xdr:nvCxnSpPr>
      <xdr:spPr>
        <a:xfrm>
          <a:off x="1828800" y="13918325"/>
          <a:ext cx="164592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180525</xdr:colOff>
      <xdr:row>68</xdr:row>
      <xdr:rowOff>0</xdr:rowOff>
    </xdr:from>
    <xdr:to>
      <xdr:col>15</xdr:col>
      <xdr:colOff>180525</xdr:colOff>
      <xdr:row>69</xdr:row>
      <xdr:rowOff>18046</xdr:rowOff>
    </xdr:to>
    <xdr:sp macro="" textlink="">
      <xdr:nvSpPr>
        <xdr:cNvPr id="39" name="正方形/長方形 38">
          <a:extLst>
            <a:ext uri="{FF2B5EF4-FFF2-40B4-BE49-F238E27FC236}">
              <a16:creationId xmlns:a16="http://schemas.microsoft.com/office/drawing/2014/main" id="{1C97CA58-5D26-4B96-9BCF-A929BA56D4F8}"/>
            </a:ext>
          </a:extLst>
        </xdr:cNvPr>
        <xdr:cNvSpPr/>
      </xdr:nvSpPr>
      <xdr:spPr>
        <a:xfrm>
          <a:off x="1826445" y="14287500"/>
          <a:ext cx="1097280" cy="208546"/>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PIMS</a:t>
          </a:r>
          <a:r>
            <a:rPr kumimoji="1" lang="ja-JP" altLang="en-US" sz="800">
              <a:solidFill>
                <a:sysClr val="windowText" lastClr="000000"/>
              </a:solidFill>
              <a:latin typeface="Meiryo UI" panose="020B0604030504040204" pitchFamily="50" charset="-128"/>
              <a:ea typeface="Meiryo UI" panose="020B0604030504040204" pitchFamily="50" charset="-128"/>
            </a:rPr>
            <a:t>データ削除画面</a:t>
          </a:r>
        </a:p>
      </xdr:txBody>
    </xdr:sp>
    <xdr:clientData/>
  </xdr:twoCellAnchor>
  <xdr:twoCellAnchor>
    <xdr:from>
      <xdr:col>9</xdr:col>
      <xdr:colOff>180525</xdr:colOff>
      <xdr:row>62</xdr:row>
      <xdr:rowOff>0</xdr:rowOff>
    </xdr:from>
    <xdr:to>
      <xdr:col>15</xdr:col>
      <xdr:colOff>180525</xdr:colOff>
      <xdr:row>63</xdr:row>
      <xdr:rowOff>15975</xdr:rowOff>
    </xdr:to>
    <xdr:sp macro="" textlink="">
      <xdr:nvSpPr>
        <xdr:cNvPr id="40" name="正方形/長方形 39">
          <a:extLst>
            <a:ext uri="{FF2B5EF4-FFF2-40B4-BE49-F238E27FC236}">
              <a16:creationId xmlns:a16="http://schemas.microsoft.com/office/drawing/2014/main" id="{148A03C4-D314-4F11-B480-9439E9D1EDC7}"/>
            </a:ext>
          </a:extLst>
        </xdr:cNvPr>
        <xdr:cNvSpPr/>
      </xdr:nvSpPr>
      <xdr:spPr>
        <a:xfrm>
          <a:off x="1826445" y="13144500"/>
          <a:ext cx="1097280" cy="20647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a:solidFill>
                <a:sysClr val="windowText" lastClr="000000"/>
              </a:solidFill>
              <a:effectLst/>
              <a:latin typeface="Meiryo UI" panose="020B0604030504040204" pitchFamily="50" charset="-128"/>
              <a:ea typeface="Meiryo UI" panose="020B0604030504040204" pitchFamily="50" charset="-128"/>
              <a:cs typeface="+mn-cs"/>
            </a:rPr>
            <a:t>リカバリーメニュー画面</a:t>
          </a:r>
          <a:endParaRPr lang="ja-JP" altLang="ja-JP" sz="8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9</xdr:col>
      <xdr:colOff>180524</xdr:colOff>
      <xdr:row>65</xdr:row>
      <xdr:rowOff>1</xdr:rowOff>
    </xdr:from>
    <xdr:to>
      <xdr:col>16</xdr:col>
      <xdr:colOff>182879</xdr:colOff>
      <xdr:row>66</xdr:row>
      <xdr:rowOff>1</xdr:rowOff>
    </xdr:to>
    <xdr:sp macro="" textlink="">
      <xdr:nvSpPr>
        <xdr:cNvPr id="41" name="正方形/長方形 40">
          <a:extLst>
            <a:ext uri="{FF2B5EF4-FFF2-40B4-BE49-F238E27FC236}">
              <a16:creationId xmlns:a16="http://schemas.microsoft.com/office/drawing/2014/main" id="{194E6E17-3876-4919-AE7E-2DC51E15645C}"/>
            </a:ext>
          </a:extLst>
        </xdr:cNvPr>
        <xdr:cNvSpPr/>
      </xdr:nvSpPr>
      <xdr:spPr>
        <a:xfrm>
          <a:off x="1826444" y="13716001"/>
          <a:ext cx="1282515" cy="19050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他システム通信メニュー画面</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180524</xdr:colOff>
      <xdr:row>71</xdr:row>
      <xdr:rowOff>0</xdr:rowOff>
    </xdr:from>
    <xdr:to>
      <xdr:col>18</xdr:col>
      <xdr:colOff>182879</xdr:colOff>
      <xdr:row>72</xdr:row>
      <xdr:rowOff>0</xdr:rowOff>
    </xdr:to>
    <xdr:sp macro="" textlink="">
      <xdr:nvSpPr>
        <xdr:cNvPr id="42" name="正方形/長方形 41">
          <a:extLst>
            <a:ext uri="{FF2B5EF4-FFF2-40B4-BE49-F238E27FC236}">
              <a16:creationId xmlns:a16="http://schemas.microsoft.com/office/drawing/2014/main" id="{A95A70EF-47AF-482D-8923-BD3A36477269}"/>
            </a:ext>
          </a:extLst>
        </xdr:cNvPr>
        <xdr:cNvSpPr/>
      </xdr:nvSpPr>
      <xdr:spPr>
        <a:xfrm>
          <a:off x="1826444" y="14859000"/>
          <a:ext cx="1648275" cy="19050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装置運転停止時間マスタメンテナンス</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180525</xdr:colOff>
      <xdr:row>74</xdr:row>
      <xdr:rowOff>0</xdr:rowOff>
    </xdr:from>
    <xdr:to>
      <xdr:col>17</xdr:col>
      <xdr:colOff>134670</xdr:colOff>
      <xdr:row>75</xdr:row>
      <xdr:rowOff>15975</xdr:rowOff>
    </xdr:to>
    <xdr:sp macro="" textlink="">
      <xdr:nvSpPr>
        <xdr:cNvPr id="43" name="正方形/長方形 42">
          <a:extLst>
            <a:ext uri="{FF2B5EF4-FFF2-40B4-BE49-F238E27FC236}">
              <a16:creationId xmlns:a16="http://schemas.microsoft.com/office/drawing/2014/main" id="{70870338-A83B-44F2-8D54-CF5BBAA99915}"/>
            </a:ext>
          </a:extLst>
        </xdr:cNvPr>
        <xdr:cNvSpPr/>
      </xdr:nvSpPr>
      <xdr:spPr>
        <a:xfrm>
          <a:off x="1826445" y="15430500"/>
          <a:ext cx="1417185" cy="20647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エラーメッセージ画面</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0</xdr:colOff>
      <xdr:row>69</xdr:row>
      <xdr:rowOff>14288</xdr:rowOff>
    </xdr:from>
    <xdr:to>
      <xdr:col>19</xdr:col>
      <xdr:colOff>1</xdr:colOff>
      <xdr:row>69</xdr:row>
      <xdr:rowOff>14288</xdr:rowOff>
    </xdr:to>
    <xdr:cxnSp macro="">
      <xdr:nvCxnSpPr>
        <xdr:cNvPr id="44" name="直線矢印コネクタ 43">
          <a:extLst>
            <a:ext uri="{FF2B5EF4-FFF2-40B4-BE49-F238E27FC236}">
              <a16:creationId xmlns:a16="http://schemas.microsoft.com/office/drawing/2014/main" id="{8A3D6136-D167-4AB5-B45A-A01786CD94B5}"/>
            </a:ext>
          </a:extLst>
        </xdr:cNvPr>
        <xdr:cNvCxnSpPr>
          <a:cxnSpLocks/>
          <a:endCxn id="34" idx="1"/>
        </xdr:cNvCxnSpPr>
      </xdr:nvCxnSpPr>
      <xdr:spPr>
        <a:xfrm>
          <a:off x="1828800" y="14492288"/>
          <a:ext cx="164592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190051</xdr:colOff>
      <xdr:row>63</xdr:row>
      <xdr:rowOff>12646</xdr:rowOff>
    </xdr:from>
    <xdr:to>
      <xdr:col>9</xdr:col>
      <xdr:colOff>190051</xdr:colOff>
      <xdr:row>75</xdr:row>
      <xdr:rowOff>5446</xdr:rowOff>
    </xdr:to>
    <xdr:cxnSp macro="">
      <xdr:nvCxnSpPr>
        <xdr:cNvPr id="45" name="直線矢印コネクタ 44">
          <a:extLst>
            <a:ext uri="{FF2B5EF4-FFF2-40B4-BE49-F238E27FC236}">
              <a16:creationId xmlns:a16="http://schemas.microsoft.com/office/drawing/2014/main" id="{B381A20F-570C-4D6F-80AE-7F53134B5B87}"/>
            </a:ext>
          </a:extLst>
        </xdr:cNvPr>
        <xdr:cNvCxnSpPr/>
      </xdr:nvCxnSpPr>
      <xdr:spPr>
        <a:xfrm>
          <a:off x="1990276" y="12414196"/>
          <a:ext cx="0" cy="2393100"/>
        </a:xfrm>
        <a:prstGeom prst="straightConnector1">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72</xdr:row>
      <xdr:rowOff>14371</xdr:rowOff>
    </xdr:from>
    <xdr:to>
      <xdr:col>19</xdr:col>
      <xdr:colOff>1</xdr:colOff>
      <xdr:row>72</xdr:row>
      <xdr:rowOff>14371</xdr:rowOff>
    </xdr:to>
    <xdr:cxnSp macro="">
      <xdr:nvCxnSpPr>
        <xdr:cNvPr id="46" name="直線矢印コネクタ 45">
          <a:extLst>
            <a:ext uri="{FF2B5EF4-FFF2-40B4-BE49-F238E27FC236}">
              <a16:creationId xmlns:a16="http://schemas.microsoft.com/office/drawing/2014/main" id="{6E7A4FC7-3C0D-4BF6-A0D5-D6CB9C7ED614}"/>
            </a:ext>
          </a:extLst>
        </xdr:cNvPr>
        <xdr:cNvCxnSpPr>
          <a:cxnSpLocks/>
          <a:endCxn id="35" idx="1"/>
        </xdr:cNvCxnSpPr>
      </xdr:nvCxnSpPr>
      <xdr:spPr>
        <a:xfrm>
          <a:off x="1828800" y="15063871"/>
          <a:ext cx="164592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xdr:colOff>
      <xdr:row>74</xdr:row>
      <xdr:rowOff>0</xdr:rowOff>
    </xdr:from>
    <xdr:to>
      <xdr:col>26</xdr:col>
      <xdr:colOff>0</xdr:colOff>
      <xdr:row>76</xdr:row>
      <xdr:rowOff>22425</xdr:rowOff>
    </xdr:to>
    <xdr:sp macro="" textlink="">
      <xdr:nvSpPr>
        <xdr:cNvPr id="47" name="正方形/長方形 46">
          <a:extLst>
            <a:ext uri="{FF2B5EF4-FFF2-40B4-BE49-F238E27FC236}">
              <a16:creationId xmlns:a16="http://schemas.microsoft.com/office/drawing/2014/main" id="{25CD04B9-CD99-41E6-823E-121CE3040FBB}"/>
            </a:ext>
          </a:extLst>
        </xdr:cNvPr>
        <xdr:cNvSpPr/>
      </xdr:nvSpPr>
      <xdr:spPr>
        <a:xfrm>
          <a:off x="3474721" y="15430500"/>
          <a:ext cx="1280159" cy="40342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CCD1036</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190500</xdr:colOff>
      <xdr:row>75</xdr:row>
      <xdr:rowOff>11213</xdr:rowOff>
    </xdr:from>
    <xdr:to>
      <xdr:col>19</xdr:col>
      <xdr:colOff>1</xdr:colOff>
      <xdr:row>75</xdr:row>
      <xdr:rowOff>11213</xdr:rowOff>
    </xdr:to>
    <xdr:cxnSp macro="">
      <xdr:nvCxnSpPr>
        <xdr:cNvPr id="48" name="直線矢印コネクタ 47">
          <a:extLst>
            <a:ext uri="{FF2B5EF4-FFF2-40B4-BE49-F238E27FC236}">
              <a16:creationId xmlns:a16="http://schemas.microsoft.com/office/drawing/2014/main" id="{CCF958B7-0479-4871-952F-500FB47A4C5D}"/>
            </a:ext>
          </a:extLst>
        </xdr:cNvPr>
        <xdr:cNvCxnSpPr>
          <a:cxnSpLocks/>
          <a:endCxn id="47" idx="1"/>
        </xdr:cNvCxnSpPr>
      </xdr:nvCxnSpPr>
      <xdr:spPr>
        <a:xfrm>
          <a:off x="1990725" y="14813063"/>
          <a:ext cx="180975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0</xdr:colOff>
      <xdr:row>10</xdr:row>
      <xdr:rowOff>0</xdr:rowOff>
    </xdr:from>
    <xdr:to>
      <xdr:col>39</xdr:col>
      <xdr:colOff>182879</xdr:colOff>
      <xdr:row>12</xdr:row>
      <xdr:rowOff>28575</xdr:rowOff>
    </xdr:to>
    <xdr:sp macro="" textlink="">
      <xdr:nvSpPr>
        <xdr:cNvPr id="49" name="正方形/長方形 48">
          <a:extLst>
            <a:ext uri="{FF2B5EF4-FFF2-40B4-BE49-F238E27FC236}">
              <a16:creationId xmlns:a16="http://schemas.microsoft.com/office/drawing/2014/main" id="{BD3190FF-C92B-4143-910A-EB480782BCF3}"/>
            </a:ext>
          </a:extLst>
        </xdr:cNvPr>
        <xdr:cNvSpPr/>
      </xdr:nvSpPr>
      <xdr:spPr>
        <a:xfrm>
          <a:off x="6035040" y="1905000"/>
          <a:ext cx="1280159" cy="40957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zbfz021</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23</xdr:col>
      <xdr:colOff>180526</xdr:colOff>
      <xdr:row>11</xdr:row>
      <xdr:rowOff>14288</xdr:rowOff>
    </xdr:from>
    <xdr:to>
      <xdr:col>33</xdr:col>
      <xdr:colOff>0</xdr:colOff>
      <xdr:row>11</xdr:row>
      <xdr:rowOff>14288</xdr:rowOff>
    </xdr:to>
    <xdr:cxnSp macro="">
      <xdr:nvCxnSpPr>
        <xdr:cNvPr id="50" name="直線矢印コネクタ 49">
          <a:extLst>
            <a:ext uri="{FF2B5EF4-FFF2-40B4-BE49-F238E27FC236}">
              <a16:creationId xmlns:a16="http://schemas.microsoft.com/office/drawing/2014/main" id="{5CFCFEAE-438C-4236-9A0F-AECEAE312B37}"/>
            </a:ext>
          </a:extLst>
        </xdr:cNvPr>
        <xdr:cNvCxnSpPr>
          <a:stCxn id="5" idx="3"/>
          <a:endCxn id="49" idx="1"/>
        </xdr:cNvCxnSpPr>
      </xdr:nvCxnSpPr>
      <xdr:spPr>
        <a:xfrm>
          <a:off x="4386766" y="2109788"/>
          <a:ext cx="164827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38160</xdr:colOff>
      <xdr:row>9</xdr:row>
      <xdr:rowOff>184887</xdr:rowOff>
    </xdr:from>
    <xdr:to>
      <xdr:col>32</xdr:col>
      <xdr:colOff>38160</xdr:colOff>
      <xdr:row>11</xdr:row>
      <xdr:rowOff>0</xdr:rowOff>
    </xdr:to>
    <xdr:sp macro="" textlink="">
      <xdr:nvSpPr>
        <xdr:cNvPr id="53" name="正方形/長方形 52">
          <a:extLst>
            <a:ext uri="{FF2B5EF4-FFF2-40B4-BE49-F238E27FC236}">
              <a16:creationId xmlns:a16="http://schemas.microsoft.com/office/drawing/2014/main" id="{D08C95A0-555C-4F98-9672-95FFBB12086B}"/>
            </a:ext>
          </a:extLst>
        </xdr:cNvPr>
        <xdr:cNvSpPr/>
      </xdr:nvSpPr>
      <xdr:spPr>
        <a:xfrm>
          <a:off x="4793040" y="1899387"/>
          <a:ext cx="1097280" cy="19611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燃料油品質情報検索</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1</xdr:colOff>
      <xdr:row>13</xdr:row>
      <xdr:rowOff>0</xdr:rowOff>
    </xdr:from>
    <xdr:to>
      <xdr:col>40</xdr:col>
      <xdr:colOff>0</xdr:colOff>
      <xdr:row>15</xdr:row>
      <xdr:rowOff>28575</xdr:rowOff>
    </xdr:to>
    <xdr:sp macro="" textlink="">
      <xdr:nvSpPr>
        <xdr:cNvPr id="55" name="正方形/長方形 54">
          <a:extLst>
            <a:ext uri="{FF2B5EF4-FFF2-40B4-BE49-F238E27FC236}">
              <a16:creationId xmlns:a16="http://schemas.microsoft.com/office/drawing/2014/main" id="{69723DB1-14DE-4FA5-91FB-DF1C6C2714E6}"/>
            </a:ext>
          </a:extLst>
        </xdr:cNvPr>
        <xdr:cNvSpPr/>
      </xdr:nvSpPr>
      <xdr:spPr>
        <a:xfrm>
          <a:off x="6035041" y="2476500"/>
          <a:ext cx="1280159" cy="40957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zbfz022</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0</xdr:colOff>
      <xdr:row>16</xdr:row>
      <xdr:rowOff>0</xdr:rowOff>
    </xdr:from>
    <xdr:to>
      <xdr:col>39</xdr:col>
      <xdr:colOff>182879</xdr:colOff>
      <xdr:row>18</xdr:row>
      <xdr:rowOff>28575</xdr:rowOff>
    </xdr:to>
    <xdr:sp macro="" textlink="">
      <xdr:nvSpPr>
        <xdr:cNvPr id="56" name="正方形/長方形 55">
          <a:extLst>
            <a:ext uri="{FF2B5EF4-FFF2-40B4-BE49-F238E27FC236}">
              <a16:creationId xmlns:a16="http://schemas.microsoft.com/office/drawing/2014/main" id="{0FF094A8-5220-46C9-A37F-9250DA05AC82}"/>
            </a:ext>
          </a:extLst>
        </xdr:cNvPr>
        <xdr:cNvSpPr/>
      </xdr:nvSpPr>
      <xdr:spPr>
        <a:xfrm>
          <a:off x="6035040" y="3048000"/>
          <a:ext cx="1280159" cy="40957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zbfz023</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23</xdr:col>
      <xdr:colOff>180526</xdr:colOff>
      <xdr:row>11</xdr:row>
      <xdr:rowOff>14288</xdr:rowOff>
    </xdr:from>
    <xdr:to>
      <xdr:col>33</xdr:col>
      <xdr:colOff>1</xdr:colOff>
      <xdr:row>14</xdr:row>
      <xdr:rowOff>14288</xdr:rowOff>
    </xdr:to>
    <xdr:cxnSp macro="">
      <xdr:nvCxnSpPr>
        <xdr:cNvPr id="58" name="コネクタ: カギ線 57">
          <a:extLst>
            <a:ext uri="{FF2B5EF4-FFF2-40B4-BE49-F238E27FC236}">
              <a16:creationId xmlns:a16="http://schemas.microsoft.com/office/drawing/2014/main" id="{ED9BD90C-26D5-A186-F46B-D1ACB86D966A}"/>
            </a:ext>
          </a:extLst>
        </xdr:cNvPr>
        <xdr:cNvCxnSpPr>
          <a:stCxn id="5" idx="3"/>
          <a:endCxn id="55" idx="1"/>
        </xdr:cNvCxnSpPr>
      </xdr:nvCxnSpPr>
      <xdr:spPr>
        <a:xfrm>
          <a:off x="4386766" y="2109788"/>
          <a:ext cx="1648275" cy="571500"/>
        </a:xfrm>
        <a:prstGeom prst="bentConnector3">
          <a:avLst>
            <a:gd name="adj1" fmla="val 1995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180526</xdr:colOff>
      <xdr:row>11</xdr:row>
      <xdr:rowOff>14288</xdr:rowOff>
    </xdr:from>
    <xdr:to>
      <xdr:col>33</xdr:col>
      <xdr:colOff>0</xdr:colOff>
      <xdr:row>17</xdr:row>
      <xdr:rowOff>14288</xdr:rowOff>
    </xdr:to>
    <xdr:cxnSp macro="">
      <xdr:nvCxnSpPr>
        <xdr:cNvPr id="60" name="コネクタ: カギ線 59">
          <a:extLst>
            <a:ext uri="{FF2B5EF4-FFF2-40B4-BE49-F238E27FC236}">
              <a16:creationId xmlns:a16="http://schemas.microsoft.com/office/drawing/2014/main" id="{2387E9A3-B093-88E7-5C65-C765833815E7}"/>
            </a:ext>
          </a:extLst>
        </xdr:cNvPr>
        <xdr:cNvCxnSpPr>
          <a:stCxn id="5" idx="3"/>
          <a:endCxn id="56" idx="1"/>
        </xdr:cNvCxnSpPr>
      </xdr:nvCxnSpPr>
      <xdr:spPr>
        <a:xfrm>
          <a:off x="4386766" y="2109788"/>
          <a:ext cx="1648274" cy="1143000"/>
        </a:xfrm>
        <a:prstGeom prst="bentConnector3">
          <a:avLst>
            <a:gd name="adj1" fmla="val 1995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38160</xdr:colOff>
      <xdr:row>13</xdr:row>
      <xdr:rowOff>0</xdr:rowOff>
    </xdr:from>
    <xdr:to>
      <xdr:col>32</xdr:col>
      <xdr:colOff>38160</xdr:colOff>
      <xdr:row>14</xdr:row>
      <xdr:rowOff>5613</xdr:rowOff>
    </xdr:to>
    <xdr:sp macro="" textlink="">
      <xdr:nvSpPr>
        <xdr:cNvPr id="66" name="正方形/長方形 65">
          <a:extLst>
            <a:ext uri="{FF2B5EF4-FFF2-40B4-BE49-F238E27FC236}">
              <a16:creationId xmlns:a16="http://schemas.microsoft.com/office/drawing/2014/main" id="{61244521-AB18-402F-A459-6B04175A0B6A}"/>
            </a:ext>
          </a:extLst>
        </xdr:cNvPr>
        <xdr:cNvSpPr/>
      </xdr:nvSpPr>
      <xdr:spPr>
        <a:xfrm>
          <a:off x="4793040" y="2476500"/>
          <a:ext cx="1097280" cy="19611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工程品質情報検索</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38160</xdr:colOff>
      <xdr:row>16</xdr:row>
      <xdr:rowOff>0</xdr:rowOff>
    </xdr:from>
    <xdr:to>
      <xdr:col>33</xdr:col>
      <xdr:colOff>0</xdr:colOff>
      <xdr:row>17</xdr:row>
      <xdr:rowOff>5613</xdr:rowOff>
    </xdr:to>
    <xdr:sp macro="" textlink="">
      <xdr:nvSpPr>
        <xdr:cNvPr id="67" name="正方形/長方形 66">
          <a:extLst>
            <a:ext uri="{FF2B5EF4-FFF2-40B4-BE49-F238E27FC236}">
              <a16:creationId xmlns:a16="http://schemas.microsoft.com/office/drawing/2014/main" id="{5F353FBB-4E22-4F49-B3F4-5D0A6595730F}"/>
            </a:ext>
          </a:extLst>
        </xdr:cNvPr>
        <xdr:cNvSpPr/>
      </xdr:nvSpPr>
      <xdr:spPr>
        <a:xfrm>
          <a:off x="4793040" y="3048000"/>
          <a:ext cx="1242000" cy="19611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品質関連情報検索</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1</xdr:colOff>
      <xdr:row>21</xdr:row>
      <xdr:rowOff>161925</xdr:rowOff>
    </xdr:from>
    <xdr:to>
      <xdr:col>40</xdr:col>
      <xdr:colOff>0</xdr:colOff>
      <xdr:row>24</xdr:row>
      <xdr:rowOff>0</xdr:rowOff>
    </xdr:to>
    <xdr:sp macro="" textlink="">
      <xdr:nvSpPr>
        <xdr:cNvPr id="68" name="正方形/長方形 67">
          <a:extLst>
            <a:ext uri="{FF2B5EF4-FFF2-40B4-BE49-F238E27FC236}">
              <a16:creationId xmlns:a16="http://schemas.microsoft.com/office/drawing/2014/main" id="{CB93575E-C35F-4946-83F2-791DE7AF8382}"/>
            </a:ext>
          </a:extLst>
        </xdr:cNvPr>
        <xdr:cNvSpPr/>
      </xdr:nvSpPr>
      <xdr:spPr>
        <a:xfrm>
          <a:off x="6035041" y="4162425"/>
          <a:ext cx="1280159" cy="40957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ccdf001a</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0</xdr:colOff>
      <xdr:row>22</xdr:row>
      <xdr:rowOff>0</xdr:rowOff>
    </xdr:from>
    <xdr:to>
      <xdr:col>35</xdr:col>
      <xdr:colOff>0</xdr:colOff>
      <xdr:row>23</xdr:row>
      <xdr:rowOff>0</xdr:rowOff>
    </xdr:to>
    <xdr:sp macro="" textlink="">
      <xdr:nvSpPr>
        <xdr:cNvPr id="69" name="正方形/長方形 68">
          <a:extLst>
            <a:ext uri="{FF2B5EF4-FFF2-40B4-BE49-F238E27FC236}">
              <a16:creationId xmlns:a16="http://schemas.microsoft.com/office/drawing/2014/main" id="{31C0AC68-4F12-4F8B-B6A9-3EEB1FF14C3C}"/>
            </a:ext>
          </a:extLst>
        </xdr:cNvPr>
        <xdr:cNvSpPr/>
      </xdr:nvSpPr>
      <xdr:spPr>
        <a:xfrm>
          <a:off x="4754880" y="4191000"/>
          <a:ext cx="1645920" cy="19050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製油一課１</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1</xdr:colOff>
      <xdr:row>24</xdr:row>
      <xdr:rowOff>161925</xdr:rowOff>
    </xdr:from>
    <xdr:to>
      <xdr:col>40</xdr:col>
      <xdr:colOff>0</xdr:colOff>
      <xdr:row>27</xdr:row>
      <xdr:rowOff>0</xdr:rowOff>
    </xdr:to>
    <xdr:sp macro="" textlink="">
      <xdr:nvSpPr>
        <xdr:cNvPr id="70" name="正方形/長方形 69">
          <a:extLst>
            <a:ext uri="{FF2B5EF4-FFF2-40B4-BE49-F238E27FC236}">
              <a16:creationId xmlns:a16="http://schemas.microsoft.com/office/drawing/2014/main" id="{09EC26FD-AED6-4453-A98A-CB813F9456EF}"/>
            </a:ext>
          </a:extLst>
        </xdr:cNvPr>
        <xdr:cNvSpPr/>
      </xdr:nvSpPr>
      <xdr:spPr>
        <a:xfrm>
          <a:off x="6035041" y="4733925"/>
          <a:ext cx="1280159" cy="40957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ccdf001b</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0</xdr:colOff>
      <xdr:row>24</xdr:row>
      <xdr:rowOff>190499</xdr:rowOff>
    </xdr:from>
    <xdr:to>
      <xdr:col>36</xdr:col>
      <xdr:colOff>0</xdr:colOff>
      <xdr:row>25</xdr:row>
      <xdr:rowOff>190499</xdr:rowOff>
    </xdr:to>
    <xdr:sp macro="" textlink="">
      <xdr:nvSpPr>
        <xdr:cNvPr id="71" name="正方形/長方形 70">
          <a:extLst>
            <a:ext uri="{FF2B5EF4-FFF2-40B4-BE49-F238E27FC236}">
              <a16:creationId xmlns:a16="http://schemas.microsoft.com/office/drawing/2014/main" id="{908A165A-8A91-4E1D-BA02-3D9799A82E02}"/>
            </a:ext>
          </a:extLst>
        </xdr:cNvPr>
        <xdr:cNvSpPr/>
      </xdr:nvSpPr>
      <xdr:spPr>
        <a:xfrm>
          <a:off x="4754880" y="4762499"/>
          <a:ext cx="1828800" cy="19050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製油一課（新）</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0</xdr:colOff>
      <xdr:row>27</xdr:row>
      <xdr:rowOff>161925</xdr:rowOff>
    </xdr:from>
    <xdr:to>
      <xdr:col>39</xdr:col>
      <xdr:colOff>182879</xdr:colOff>
      <xdr:row>30</xdr:row>
      <xdr:rowOff>0</xdr:rowOff>
    </xdr:to>
    <xdr:sp macro="" textlink="">
      <xdr:nvSpPr>
        <xdr:cNvPr id="72" name="正方形/長方形 71">
          <a:extLst>
            <a:ext uri="{FF2B5EF4-FFF2-40B4-BE49-F238E27FC236}">
              <a16:creationId xmlns:a16="http://schemas.microsoft.com/office/drawing/2014/main" id="{902876A5-2395-4DD7-81C2-8B2AB16B7CEC}"/>
            </a:ext>
          </a:extLst>
        </xdr:cNvPr>
        <xdr:cNvSpPr/>
      </xdr:nvSpPr>
      <xdr:spPr>
        <a:xfrm>
          <a:off x="6035040" y="5305425"/>
          <a:ext cx="1280159" cy="40957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ccdf002</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0</xdr:colOff>
      <xdr:row>27</xdr:row>
      <xdr:rowOff>190499</xdr:rowOff>
    </xdr:from>
    <xdr:to>
      <xdr:col>36</xdr:col>
      <xdr:colOff>0</xdr:colOff>
      <xdr:row>28</xdr:row>
      <xdr:rowOff>190499</xdr:rowOff>
    </xdr:to>
    <xdr:sp macro="" textlink="">
      <xdr:nvSpPr>
        <xdr:cNvPr id="73" name="正方形/長方形 72">
          <a:extLst>
            <a:ext uri="{FF2B5EF4-FFF2-40B4-BE49-F238E27FC236}">
              <a16:creationId xmlns:a16="http://schemas.microsoft.com/office/drawing/2014/main" id="{82A84F67-1C69-453E-92E6-85126BF823E7}"/>
            </a:ext>
          </a:extLst>
        </xdr:cNvPr>
        <xdr:cNvSpPr/>
      </xdr:nvSpPr>
      <xdr:spPr>
        <a:xfrm>
          <a:off x="4754880" y="5333999"/>
          <a:ext cx="1828800" cy="19050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製油二課</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0</xdr:colOff>
      <xdr:row>30</xdr:row>
      <xdr:rowOff>161925</xdr:rowOff>
    </xdr:from>
    <xdr:to>
      <xdr:col>39</xdr:col>
      <xdr:colOff>182879</xdr:colOff>
      <xdr:row>33</xdr:row>
      <xdr:rowOff>0</xdr:rowOff>
    </xdr:to>
    <xdr:sp macro="" textlink="">
      <xdr:nvSpPr>
        <xdr:cNvPr id="74" name="正方形/長方形 73">
          <a:extLst>
            <a:ext uri="{FF2B5EF4-FFF2-40B4-BE49-F238E27FC236}">
              <a16:creationId xmlns:a16="http://schemas.microsoft.com/office/drawing/2014/main" id="{485E08E7-93B2-4E9B-BC01-3E62DDAB2BC0}"/>
            </a:ext>
          </a:extLst>
        </xdr:cNvPr>
        <xdr:cNvSpPr/>
      </xdr:nvSpPr>
      <xdr:spPr>
        <a:xfrm>
          <a:off x="6035040" y="5876925"/>
          <a:ext cx="1280159" cy="40957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ccdf003</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0</xdr:colOff>
      <xdr:row>33</xdr:row>
      <xdr:rowOff>161925</xdr:rowOff>
    </xdr:from>
    <xdr:to>
      <xdr:col>39</xdr:col>
      <xdr:colOff>182879</xdr:colOff>
      <xdr:row>36</xdr:row>
      <xdr:rowOff>0</xdr:rowOff>
    </xdr:to>
    <xdr:sp macro="" textlink="">
      <xdr:nvSpPr>
        <xdr:cNvPr id="75" name="正方形/長方形 74">
          <a:extLst>
            <a:ext uri="{FF2B5EF4-FFF2-40B4-BE49-F238E27FC236}">
              <a16:creationId xmlns:a16="http://schemas.microsoft.com/office/drawing/2014/main" id="{B02A397C-B2AC-423A-B0EE-30743ED889F3}"/>
            </a:ext>
          </a:extLst>
        </xdr:cNvPr>
        <xdr:cNvSpPr/>
      </xdr:nvSpPr>
      <xdr:spPr>
        <a:xfrm>
          <a:off x="6035040" y="6448425"/>
          <a:ext cx="1280159" cy="40957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ccdf004</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0</xdr:colOff>
      <xdr:row>30</xdr:row>
      <xdr:rowOff>190499</xdr:rowOff>
    </xdr:from>
    <xdr:to>
      <xdr:col>36</xdr:col>
      <xdr:colOff>0</xdr:colOff>
      <xdr:row>31</xdr:row>
      <xdr:rowOff>190499</xdr:rowOff>
    </xdr:to>
    <xdr:sp macro="" textlink="">
      <xdr:nvSpPr>
        <xdr:cNvPr id="76" name="正方形/長方形 75">
          <a:extLst>
            <a:ext uri="{FF2B5EF4-FFF2-40B4-BE49-F238E27FC236}">
              <a16:creationId xmlns:a16="http://schemas.microsoft.com/office/drawing/2014/main" id="{E1458B88-3866-4FBE-B400-4CFB7DD9D200}"/>
            </a:ext>
          </a:extLst>
        </xdr:cNvPr>
        <xdr:cNvSpPr/>
      </xdr:nvSpPr>
      <xdr:spPr>
        <a:xfrm>
          <a:off x="4754880" y="5905499"/>
          <a:ext cx="1828800" cy="19050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潤滑油一課</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0</xdr:colOff>
      <xdr:row>33</xdr:row>
      <xdr:rowOff>190499</xdr:rowOff>
    </xdr:from>
    <xdr:to>
      <xdr:col>36</xdr:col>
      <xdr:colOff>0</xdr:colOff>
      <xdr:row>34</xdr:row>
      <xdr:rowOff>190499</xdr:rowOff>
    </xdr:to>
    <xdr:sp macro="" textlink="">
      <xdr:nvSpPr>
        <xdr:cNvPr id="77" name="正方形/長方形 76">
          <a:extLst>
            <a:ext uri="{FF2B5EF4-FFF2-40B4-BE49-F238E27FC236}">
              <a16:creationId xmlns:a16="http://schemas.microsoft.com/office/drawing/2014/main" id="{59643B44-7D6C-4DCB-B559-E7A386B1ADA5}"/>
            </a:ext>
          </a:extLst>
        </xdr:cNvPr>
        <xdr:cNvSpPr/>
      </xdr:nvSpPr>
      <xdr:spPr>
        <a:xfrm>
          <a:off x="4754880" y="6476999"/>
          <a:ext cx="1828800" cy="19050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動力課</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0</xdr:colOff>
      <xdr:row>36</xdr:row>
      <xdr:rowOff>161925</xdr:rowOff>
    </xdr:from>
    <xdr:to>
      <xdr:col>39</xdr:col>
      <xdr:colOff>182879</xdr:colOff>
      <xdr:row>39</xdr:row>
      <xdr:rowOff>0</xdr:rowOff>
    </xdr:to>
    <xdr:sp macro="" textlink="">
      <xdr:nvSpPr>
        <xdr:cNvPr id="78" name="正方形/長方形 77">
          <a:extLst>
            <a:ext uri="{FF2B5EF4-FFF2-40B4-BE49-F238E27FC236}">
              <a16:creationId xmlns:a16="http://schemas.microsoft.com/office/drawing/2014/main" id="{225E3C29-1BE1-4AF0-B664-F3627B054264}"/>
            </a:ext>
          </a:extLst>
        </xdr:cNvPr>
        <xdr:cNvSpPr/>
      </xdr:nvSpPr>
      <xdr:spPr>
        <a:xfrm>
          <a:off x="6035040" y="7019925"/>
          <a:ext cx="1280159" cy="409575"/>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ccdf004</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0</xdr:colOff>
      <xdr:row>36</xdr:row>
      <xdr:rowOff>190499</xdr:rowOff>
    </xdr:from>
    <xdr:to>
      <xdr:col>37</xdr:col>
      <xdr:colOff>0</xdr:colOff>
      <xdr:row>37</xdr:row>
      <xdr:rowOff>190499</xdr:rowOff>
    </xdr:to>
    <xdr:sp macro="" textlink="">
      <xdr:nvSpPr>
        <xdr:cNvPr id="79" name="正方形/長方形 78">
          <a:extLst>
            <a:ext uri="{FF2B5EF4-FFF2-40B4-BE49-F238E27FC236}">
              <a16:creationId xmlns:a16="http://schemas.microsoft.com/office/drawing/2014/main" id="{C315AC3F-B240-4373-B830-3B2240862744}"/>
            </a:ext>
          </a:extLst>
        </xdr:cNvPr>
        <xdr:cNvSpPr/>
      </xdr:nvSpPr>
      <xdr:spPr>
        <a:xfrm>
          <a:off x="4754880" y="7048499"/>
          <a:ext cx="2011680" cy="19050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用役・安全環境室</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89087</xdr:colOff>
      <xdr:row>12</xdr:row>
      <xdr:rowOff>28574</xdr:rowOff>
    </xdr:from>
    <xdr:to>
      <xdr:col>33</xdr:col>
      <xdr:colOff>0</xdr:colOff>
      <xdr:row>22</xdr:row>
      <xdr:rowOff>190499</xdr:rowOff>
    </xdr:to>
    <xdr:cxnSp macro="">
      <xdr:nvCxnSpPr>
        <xdr:cNvPr id="84" name="コネクタ: カギ線 83">
          <a:extLst>
            <a:ext uri="{FF2B5EF4-FFF2-40B4-BE49-F238E27FC236}">
              <a16:creationId xmlns:a16="http://schemas.microsoft.com/office/drawing/2014/main" id="{3101C574-9D08-4566-AD09-D3421709DF9A}"/>
            </a:ext>
          </a:extLst>
        </xdr:cNvPr>
        <xdr:cNvCxnSpPr>
          <a:stCxn id="5" idx="2"/>
        </xdr:cNvCxnSpPr>
      </xdr:nvCxnSpPr>
      <xdr:spPr>
        <a:xfrm rot="16200000" flipH="1">
          <a:off x="3857401" y="2203860"/>
          <a:ext cx="2066925" cy="228835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89087</xdr:colOff>
      <xdr:row>12</xdr:row>
      <xdr:rowOff>28575</xdr:rowOff>
    </xdr:from>
    <xdr:to>
      <xdr:col>33</xdr:col>
      <xdr:colOff>1</xdr:colOff>
      <xdr:row>25</xdr:row>
      <xdr:rowOff>176213</xdr:rowOff>
    </xdr:to>
    <xdr:cxnSp macro="">
      <xdr:nvCxnSpPr>
        <xdr:cNvPr id="87" name="コネクタ: カギ線 86">
          <a:extLst>
            <a:ext uri="{FF2B5EF4-FFF2-40B4-BE49-F238E27FC236}">
              <a16:creationId xmlns:a16="http://schemas.microsoft.com/office/drawing/2014/main" id="{C95C60A8-5620-4E5A-BCE5-6FD9468FC781}"/>
            </a:ext>
          </a:extLst>
        </xdr:cNvPr>
        <xdr:cNvCxnSpPr>
          <a:stCxn id="5" idx="2"/>
          <a:endCxn id="70" idx="1"/>
        </xdr:cNvCxnSpPr>
      </xdr:nvCxnSpPr>
      <xdr:spPr>
        <a:xfrm rot="16200000" flipH="1">
          <a:off x="3578795" y="2482467"/>
          <a:ext cx="2624138" cy="2288354"/>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89086</xdr:colOff>
      <xdr:row>12</xdr:row>
      <xdr:rowOff>28575</xdr:rowOff>
    </xdr:from>
    <xdr:to>
      <xdr:col>32</xdr:col>
      <xdr:colOff>182879</xdr:colOff>
      <xdr:row>28</xdr:row>
      <xdr:rowOff>176213</xdr:rowOff>
    </xdr:to>
    <xdr:cxnSp macro="">
      <xdr:nvCxnSpPr>
        <xdr:cNvPr id="90" name="コネクタ: カギ線 89">
          <a:extLst>
            <a:ext uri="{FF2B5EF4-FFF2-40B4-BE49-F238E27FC236}">
              <a16:creationId xmlns:a16="http://schemas.microsoft.com/office/drawing/2014/main" id="{F1B72242-B424-4159-BB24-49BF486B03E4}"/>
            </a:ext>
          </a:extLst>
        </xdr:cNvPr>
        <xdr:cNvCxnSpPr>
          <a:stCxn id="5" idx="2"/>
          <a:endCxn id="72" idx="1"/>
        </xdr:cNvCxnSpPr>
      </xdr:nvCxnSpPr>
      <xdr:spPr>
        <a:xfrm rot="16200000" flipH="1">
          <a:off x="3293044" y="2768217"/>
          <a:ext cx="3195638" cy="228835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89086</xdr:colOff>
      <xdr:row>12</xdr:row>
      <xdr:rowOff>28575</xdr:rowOff>
    </xdr:from>
    <xdr:to>
      <xdr:col>32</xdr:col>
      <xdr:colOff>182879</xdr:colOff>
      <xdr:row>31</xdr:row>
      <xdr:rowOff>176213</xdr:rowOff>
    </xdr:to>
    <xdr:cxnSp macro="">
      <xdr:nvCxnSpPr>
        <xdr:cNvPr id="93" name="コネクタ: カギ線 92">
          <a:extLst>
            <a:ext uri="{FF2B5EF4-FFF2-40B4-BE49-F238E27FC236}">
              <a16:creationId xmlns:a16="http://schemas.microsoft.com/office/drawing/2014/main" id="{FACDBF9D-D396-4C07-AE07-B8EAE3B1C848}"/>
            </a:ext>
          </a:extLst>
        </xdr:cNvPr>
        <xdr:cNvCxnSpPr>
          <a:stCxn id="5" idx="2"/>
          <a:endCxn id="74" idx="1"/>
        </xdr:cNvCxnSpPr>
      </xdr:nvCxnSpPr>
      <xdr:spPr>
        <a:xfrm rot="16200000" flipH="1">
          <a:off x="3007294" y="3053967"/>
          <a:ext cx="3767138" cy="228835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89086</xdr:colOff>
      <xdr:row>12</xdr:row>
      <xdr:rowOff>28575</xdr:rowOff>
    </xdr:from>
    <xdr:to>
      <xdr:col>32</xdr:col>
      <xdr:colOff>182879</xdr:colOff>
      <xdr:row>34</xdr:row>
      <xdr:rowOff>176213</xdr:rowOff>
    </xdr:to>
    <xdr:cxnSp macro="">
      <xdr:nvCxnSpPr>
        <xdr:cNvPr id="96" name="コネクタ: カギ線 95">
          <a:extLst>
            <a:ext uri="{FF2B5EF4-FFF2-40B4-BE49-F238E27FC236}">
              <a16:creationId xmlns:a16="http://schemas.microsoft.com/office/drawing/2014/main" id="{593657F7-B259-4E97-86C6-16D57EDCB648}"/>
            </a:ext>
          </a:extLst>
        </xdr:cNvPr>
        <xdr:cNvCxnSpPr>
          <a:stCxn id="5" idx="2"/>
          <a:endCxn id="75" idx="1"/>
        </xdr:cNvCxnSpPr>
      </xdr:nvCxnSpPr>
      <xdr:spPr>
        <a:xfrm rot="16200000" flipH="1">
          <a:off x="2721544" y="3339717"/>
          <a:ext cx="4338638" cy="228835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89086</xdr:colOff>
      <xdr:row>12</xdr:row>
      <xdr:rowOff>28575</xdr:rowOff>
    </xdr:from>
    <xdr:to>
      <xdr:col>32</xdr:col>
      <xdr:colOff>182879</xdr:colOff>
      <xdr:row>37</xdr:row>
      <xdr:rowOff>176213</xdr:rowOff>
    </xdr:to>
    <xdr:cxnSp macro="">
      <xdr:nvCxnSpPr>
        <xdr:cNvPr id="99" name="コネクタ: カギ線 98">
          <a:extLst>
            <a:ext uri="{FF2B5EF4-FFF2-40B4-BE49-F238E27FC236}">
              <a16:creationId xmlns:a16="http://schemas.microsoft.com/office/drawing/2014/main" id="{EE733CA3-654C-41E2-9F62-2A06CF14ED81}"/>
            </a:ext>
          </a:extLst>
        </xdr:cNvPr>
        <xdr:cNvCxnSpPr>
          <a:stCxn id="5" idx="2"/>
          <a:endCxn id="78" idx="1"/>
        </xdr:cNvCxnSpPr>
      </xdr:nvCxnSpPr>
      <xdr:spPr>
        <a:xfrm rot="16200000" flipH="1">
          <a:off x="2435794" y="3625467"/>
          <a:ext cx="4910138" cy="228835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5901</xdr:colOff>
      <xdr:row>47</xdr:row>
      <xdr:rowOff>130022</xdr:rowOff>
    </xdr:from>
    <xdr:to>
      <xdr:col>33</xdr:col>
      <xdr:colOff>9525</xdr:colOff>
      <xdr:row>50</xdr:row>
      <xdr:rowOff>174525</xdr:rowOff>
    </xdr:to>
    <xdr:cxnSp macro="">
      <xdr:nvCxnSpPr>
        <xdr:cNvPr id="103" name="コネクタ: カギ線 102">
          <a:extLst>
            <a:ext uri="{FF2B5EF4-FFF2-40B4-BE49-F238E27FC236}">
              <a16:creationId xmlns:a16="http://schemas.microsoft.com/office/drawing/2014/main" id="{A49B3069-D72E-5A1D-6F52-94F9C14CA218}"/>
            </a:ext>
          </a:extLst>
        </xdr:cNvPr>
        <xdr:cNvCxnSpPr>
          <a:stCxn id="20" idx="3"/>
          <a:endCxn id="32" idx="1"/>
        </xdr:cNvCxnSpPr>
      </xdr:nvCxnSpPr>
      <xdr:spPr>
        <a:xfrm>
          <a:off x="4395021" y="9083522"/>
          <a:ext cx="1649544" cy="616003"/>
        </a:xfrm>
        <a:prstGeom prst="bentConnector3">
          <a:avLst>
            <a:gd name="adj1" fmla="val 17664"/>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124275</xdr:colOff>
      <xdr:row>62</xdr:row>
      <xdr:rowOff>2071</xdr:rowOff>
    </xdr:from>
    <xdr:to>
      <xdr:col>40</xdr:col>
      <xdr:colOff>124274</xdr:colOff>
      <xdr:row>64</xdr:row>
      <xdr:rowOff>26933</xdr:rowOff>
    </xdr:to>
    <xdr:sp macro="" textlink="">
      <xdr:nvSpPr>
        <xdr:cNvPr id="51" name="正方形/長方形 50">
          <a:extLst>
            <a:ext uri="{FF2B5EF4-FFF2-40B4-BE49-F238E27FC236}">
              <a16:creationId xmlns:a16="http://schemas.microsoft.com/office/drawing/2014/main" id="{072DB566-5BD6-4648-9972-F17ADBBCDF61}"/>
            </a:ext>
          </a:extLst>
        </xdr:cNvPr>
        <xdr:cNvSpPr/>
      </xdr:nvSpPr>
      <xdr:spPr>
        <a:xfrm>
          <a:off x="6725100" y="12403621"/>
          <a:ext cx="1400174" cy="424912"/>
        </a:xfrm>
        <a:prstGeom prst="rect">
          <a:avLst/>
        </a:prstGeom>
        <a:solidFill>
          <a:schemeClr val="accent5">
            <a:lumMod val="40000"/>
            <a:lumOff val="6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CCD1033</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0</xdr:colOff>
      <xdr:row>63</xdr:row>
      <xdr:rowOff>14502</xdr:rowOff>
    </xdr:from>
    <xdr:to>
      <xdr:col>33</xdr:col>
      <xdr:colOff>124275</xdr:colOff>
      <xdr:row>63</xdr:row>
      <xdr:rowOff>14502</xdr:rowOff>
    </xdr:to>
    <xdr:cxnSp macro="">
      <xdr:nvCxnSpPr>
        <xdr:cNvPr id="52" name="直線矢印コネクタ 51">
          <a:extLst>
            <a:ext uri="{FF2B5EF4-FFF2-40B4-BE49-F238E27FC236}">
              <a16:creationId xmlns:a16="http://schemas.microsoft.com/office/drawing/2014/main" id="{AD3CB876-E158-4F44-BF75-21177420082B}"/>
            </a:ext>
          </a:extLst>
        </xdr:cNvPr>
        <xdr:cNvCxnSpPr>
          <a:stCxn id="9" idx="3"/>
          <a:endCxn id="51" idx="1"/>
        </xdr:cNvCxnSpPr>
      </xdr:nvCxnSpPr>
      <xdr:spPr>
        <a:xfrm>
          <a:off x="5200650" y="12616077"/>
          <a:ext cx="15244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200024</xdr:colOff>
      <xdr:row>62</xdr:row>
      <xdr:rowOff>0</xdr:rowOff>
    </xdr:from>
    <xdr:to>
      <xdr:col>32</xdr:col>
      <xdr:colOff>200024</xdr:colOff>
      <xdr:row>63</xdr:row>
      <xdr:rowOff>15975</xdr:rowOff>
    </xdr:to>
    <xdr:sp macro="" textlink="">
      <xdr:nvSpPr>
        <xdr:cNvPr id="54" name="正方形/長方形 53">
          <a:extLst>
            <a:ext uri="{FF2B5EF4-FFF2-40B4-BE49-F238E27FC236}">
              <a16:creationId xmlns:a16="http://schemas.microsoft.com/office/drawing/2014/main" id="{BE020885-5352-4DA9-A10D-C1970B6EDB63}"/>
            </a:ext>
          </a:extLst>
        </xdr:cNvPr>
        <xdr:cNvSpPr/>
      </xdr:nvSpPr>
      <xdr:spPr>
        <a:xfrm>
          <a:off x="5400674" y="12401550"/>
          <a:ext cx="1200150" cy="21600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a:solidFill>
                <a:sysClr val="windowText" lastClr="000000"/>
              </a:solidFill>
              <a:effectLst/>
              <a:latin typeface="Meiryo UI" panose="020B0604030504040204" pitchFamily="50" charset="-128"/>
              <a:ea typeface="Meiryo UI" panose="020B0604030504040204" pitchFamily="50" charset="-128"/>
              <a:cs typeface="+mn-cs"/>
            </a:rPr>
            <a:t>自家燃使用量メニュー画面</a:t>
          </a:r>
          <a:endParaRPr lang="ja-JP" altLang="ja-JP" sz="8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6</xdr:row>
      <xdr:rowOff>0</xdr:rowOff>
    </xdr:from>
    <xdr:to>
      <xdr:col>49</xdr:col>
      <xdr:colOff>39390</xdr:colOff>
      <xdr:row>13</xdr:row>
      <xdr:rowOff>57353</xdr:rowOff>
    </xdr:to>
    <xdr:pic>
      <xdr:nvPicPr>
        <xdr:cNvPr id="13" name="図 12">
          <a:extLst>
            <a:ext uri="{FF2B5EF4-FFF2-40B4-BE49-F238E27FC236}">
              <a16:creationId xmlns:a16="http://schemas.microsoft.com/office/drawing/2014/main" id="{07EAC05D-08DE-4DA7-84B6-3B1D14CF002D}"/>
            </a:ext>
          </a:extLst>
        </xdr:cNvPr>
        <xdr:cNvPicPr>
          <a:picLocks noChangeAspect="1"/>
        </xdr:cNvPicPr>
      </xdr:nvPicPr>
      <xdr:blipFill>
        <a:blip xmlns:r="http://schemas.openxmlformats.org/officeDocument/2006/relationships" r:embed="rId1"/>
        <a:stretch>
          <a:fillRect/>
        </a:stretch>
      </xdr:blipFill>
      <xdr:spPr>
        <a:xfrm>
          <a:off x="548640" y="952500"/>
          <a:ext cx="8451870" cy="1390853"/>
        </a:xfrm>
        <a:prstGeom prst="rect">
          <a:avLst/>
        </a:prstGeom>
      </xdr:spPr>
    </xdr:pic>
    <xdr:clientData/>
  </xdr:twoCellAnchor>
  <xdr:twoCellAnchor editAs="oneCell">
    <xdr:from>
      <xdr:col>3</xdr:col>
      <xdr:colOff>0</xdr:colOff>
      <xdr:row>15</xdr:row>
      <xdr:rowOff>0</xdr:rowOff>
    </xdr:from>
    <xdr:to>
      <xdr:col>44</xdr:col>
      <xdr:colOff>1145</xdr:colOff>
      <xdr:row>23</xdr:row>
      <xdr:rowOff>114539</xdr:rowOff>
    </xdr:to>
    <xdr:pic>
      <xdr:nvPicPr>
        <xdr:cNvPr id="14" name="図 13">
          <a:extLst>
            <a:ext uri="{FF2B5EF4-FFF2-40B4-BE49-F238E27FC236}">
              <a16:creationId xmlns:a16="http://schemas.microsoft.com/office/drawing/2014/main" id="{568DD6A0-5AAE-4288-AD6B-33A9BFCAEC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40" y="2476500"/>
          <a:ext cx="7499225" cy="1638539"/>
        </a:xfrm>
        <a:prstGeom prst="rect">
          <a:avLst/>
        </a:prstGeom>
      </xdr:spPr>
    </xdr:pic>
    <xdr:clientData/>
  </xdr:twoCellAnchor>
  <xdr:twoCellAnchor editAs="oneCell">
    <xdr:from>
      <xdr:col>3</xdr:col>
      <xdr:colOff>0</xdr:colOff>
      <xdr:row>25</xdr:row>
      <xdr:rowOff>0</xdr:rowOff>
    </xdr:from>
    <xdr:to>
      <xdr:col>32</xdr:col>
      <xdr:colOff>124652</xdr:colOff>
      <xdr:row>43</xdr:row>
      <xdr:rowOff>124345</xdr:rowOff>
    </xdr:to>
    <xdr:pic>
      <xdr:nvPicPr>
        <xdr:cNvPr id="15" name="図 14">
          <a:extLst>
            <a:ext uri="{FF2B5EF4-FFF2-40B4-BE49-F238E27FC236}">
              <a16:creationId xmlns:a16="http://schemas.microsoft.com/office/drawing/2014/main" id="{A9FD5ABC-63F6-438D-B351-BF5DB7DF7A4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48640" y="4191000"/>
          <a:ext cx="5428172" cy="3553345"/>
        </a:xfrm>
        <a:prstGeom prst="rect">
          <a:avLst/>
        </a:prstGeom>
      </xdr:spPr>
    </xdr:pic>
    <xdr:clientData/>
  </xdr:twoCellAnchor>
  <xdr:twoCellAnchor editAs="oneCell">
    <xdr:from>
      <xdr:col>3</xdr:col>
      <xdr:colOff>0</xdr:colOff>
      <xdr:row>47</xdr:row>
      <xdr:rowOff>0</xdr:rowOff>
    </xdr:from>
    <xdr:to>
      <xdr:col>24</xdr:col>
      <xdr:colOff>65315</xdr:colOff>
      <xdr:row>54</xdr:row>
      <xdr:rowOff>114502</xdr:rowOff>
    </xdr:to>
    <xdr:pic>
      <xdr:nvPicPr>
        <xdr:cNvPr id="17" name="図 16">
          <a:extLst>
            <a:ext uri="{FF2B5EF4-FFF2-40B4-BE49-F238E27FC236}">
              <a16:creationId xmlns:a16="http://schemas.microsoft.com/office/drawing/2014/main" id="{E5452CB8-500A-4426-B05C-8E254BF2641D}"/>
            </a:ext>
          </a:extLst>
        </xdr:cNvPr>
        <xdr:cNvPicPr>
          <a:picLocks noChangeAspect="1"/>
        </xdr:cNvPicPr>
      </xdr:nvPicPr>
      <xdr:blipFill>
        <a:blip xmlns:r="http://schemas.openxmlformats.org/officeDocument/2006/relationships" r:embed="rId4"/>
        <a:stretch>
          <a:fillRect/>
        </a:stretch>
      </xdr:blipFill>
      <xdr:spPr>
        <a:xfrm>
          <a:off x="548640" y="8382000"/>
          <a:ext cx="3905795" cy="1448002"/>
        </a:xfrm>
        <a:prstGeom prst="rect">
          <a:avLst/>
        </a:prstGeom>
      </xdr:spPr>
    </xdr:pic>
    <xdr:clientData/>
  </xdr:twoCellAnchor>
  <xdr:twoCellAnchor>
    <xdr:from>
      <xdr:col>4</xdr:col>
      <xdr:colOff>0</xdr:colOff>
      <xdr:row>27</xdr:row>
      <xdr:rowOff>0</xdr:rowOff>
    </xdr:from>
    <xdr:to>
      <xdr:col>16</xdr:col>
      <xdr:colOff>0</xdr:colOff>
      <xdr:row>29</xdr:row>
      <xdr:rowOff>0</xdr:rowOff>
    </xdr:to>
    <xdr:sp macro="" textlink="">
      <xdr:nvSpPr>
        <xdr:cNvPr id="18" name="フローチャート: 処理 17">
          <a:extLst>
            <a:ext uri="{FF2B5EF4-FFF2-40B4-BE49-F238E27FC236}">
              <a16:creationId xmlns:a16="http://schemas.microsoft.com/office/drawing/2014/main" id="{C79DD9C7-DBCB-F059-BC3A-2D42B83FA1EF}"/>
            </a:ext>
          </a:extLst>
        </xdr:cNvPr>
        <xdr:cNvSpPr/>
      </xdr:nvSpPr>
      <xdr:spPr>
        <a:xfrm>
          <a:off x="731520" y="5143500"/>
          <a:ext cx="2194560" cy="381000"/>
        </a:xfrm>
        <a:prstGeom prst="flowChart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idemitsu.box.com/s/d0uvete5jhi1s11lvdsdb55up04f2e0v" TargetMode="External"/><Relationship Id="rId21" Type="http://schemas.openxmlformats.org/officeDocument/2006/relationships/hyperlink" Target="https://idemitsu.box.com/s/d0uvete5jhi1s11lvdsdb55up04f2e0v" TargetMode="External"/><Relationship Id="rId42" Type="http://schemas.openxmlformats.org/officeDocument/2006/relationships/hyperlink" Target="https://idemitsu.box.com/s/d0uvete5jhi1s11lvdsdb55up04f2e0v" TargetMode="External"/><Relationship Id="rId47" Type="http://schemas.openxmlformats.org/officeDocument/2006/relationships/hyperlink" Target="https://idemitsu.box.com/s/d0uvete5jhi1s11lvdsdb55up04f2e0v" TargetMode="External"/><Relationship Id="rId63" Type="http://schemas.openxmlformats.org/officeDocument/2006/relationships/hyperlink" Target="https://idemitsu.box.com/s/d0uvete5jhi1s11lvdsdb55up04f2e0v" TargetMode="External"/><Relationship Id="rId68" Type="http://schemas.openxmlformats.org/officeDocument/2006/relationships/vmlDrawing" Target="../drawings/vmlDrawing1.vml"/><Relationship Id="rId7" Type="http://schemas.openxmlformats.org/officeDocument/2006/relationships/hyperlink" Target="https://idemitsu.ent.box.com/folder/53314520177" TargetMode="External"/><Relationship Id="rId2" Type="http://schemas.openxmlformats.org/officeDocument/2006/relationships/hyperlink" Target="file:///\\S01158V0\iris_cps\skhoksei\IRIS_ROOT\VB_ROOT\DRIVEMAP_ZZZY002.BAT" TargetMode="External"/><Relationship Id="rId16" Type="http://schemas.openxmlformats.org/officeDocument/2006/relationships/hyperlink" Target="https://idemitsu.box.com/s/d0uvete5jhi1s11lvdsdb55up04f2e0v" TargetMode="External"/><Relationship Id="rId29" Type="http://schemas.openxmlformats.org/officeDocument/2006/relationships/hyperlink" Target="https://idemitsu.box.com/s/d0uvete5jhi1s11lvdsdb55up04f2e0v" TargetMode="External"/><Relationship Id="rId11" Type="http://schemas.openxmlformats.org/officeDocument/2006/relationships/hyperlink" Target="https://idemitsu.ent.box.com/folder/53380572581" TargetMode="External"/><Relationship Id="rId24" Type="http://schemas.openxmlformats.org/officeDocument/2006/relationships/hyperlink" Target="https://idemitsu.box.com/s/d0uvete5jhi1s11lvdsdb55up04f2e0v" TargetMode="External"/><Relationship Id="rId32" Type="http://schemas.openxmlformats.org/officeDocument/2006/relationships/hyperlink" Target="https://idemitsu.box.com/s/d0uvete5jhi1s11lvdsdb55up04f2e0v" TargetMode="External"/><Relationship Id="rId37" Type="http://schemas.openxmlformats.org/officeDocument/2006/relationships/hyperlink" Target="https://idemitsu.box.com/s/d0uvete5jhi1s11lvdsdb55up04f2e0v" TargetMode="External"/><Relationship Id="rId40" Type="http://schemas.openxmlformats.org/officeDocument/2006/relationships/hyperlink" Target="https://idemitsu.box.com/s/d0uvete5jhi1s11lvdsdb55up04f2e0v" TargetMode="External"/><Relationship Id="rId45" Type="http://schemas.openxmlformats.org/officeDocument/2006/relationships/hyperlink" Target="https://idemitsu.box.com/s/d0uvete5jhi1s11lvdsdb55up04f2e0v" TargetMode="External"/><Relationship Id="rId53" Type="http://schemas.openxmlformats.org/officeDocument/2006/relationships/hyperlink" Target="https://idemitsu.box.com/s/d0uvete5jhi1s11lvdsdb55up04f2e0v" TargetMode="External"/><Relationship Id="rId58" Type="http://schemas.openxmlformats.org/officeDocument/2006/relationships/hyperlink" Target="https://idemitsu.box.com/s/d0uvete5jhi1s11lvdsdb55up04f2e0v" TargetMode="External"/><Relationship Id="rId66" Type="http://schemas.openxmlformats.org/officeDocument/2006/relationships/hyperlink" Target="https://idemitsu.box.com/s/d0uvete5jhi1s11lvdsdb55up04f2e0v" TargetMode="External"/><Relationship Id="rId5" Type="http://schemas.openxmlformats.org/officeDocument/2006/relationships/hyperlink" Target="https://idemitsu.ent.box.com/folder/53380521405" TargetMode="External"/><Relationship Id="rId61" Type="http://schemas.openxmlformats.org/officeDocument/2006/relationships/hyperlink" Target="https://idemitsu.box.com/s/d0uvete5jhi1s11lvdsdb55up04f2e0v" TargetMode="External"/><Relationship Id="rId19" Type="http://schemas.openxmlformats.org/officeDocument/2006/relationships/hyperlink" Target="https://idemitsu.box.com/s/d0uvete5jhi1s11lvdsdb55up04f2e0v" TargetMode="External"/><Relationship Id="rId14" Type="http://schemas.openxmlformats.org/officeDocument/2006/relationships/hyperlink" Target="https://idemitsu.ent.box.com/folder/53385006373" TargetMode="External"/><Relationship Id="rId22" Type="http://schemas.openxmlformats.org/officeDocument/2006/relationships/hyperlink" Target="https://idemitsu.box.com/s/d0uvete5jhi1s11lvdsdb55up04f2e0v" TargetMode="External"/><Relationship Id="rId27" Type="http://schemas.openxmlformats.org/officeDocument/2006/relationships/hyperlink" Target="https://idemitsu.box.com/s/d0uvete5jhi1s11lvdsdb55up04f2e0v" TargetMode="External"/><Relationship Id="rId30" Type="http://schemas.openxmlformats.org/officeDocument/2006/relationships/hyperlink" Target="https://idemitsu.box.com/s/d0uvete5jhi1s11lvdsdb55up04f2e0v" TargetMode="External"/><Relationship Id="rId35" Type="http://schemas.openxmlformats.org/officeDocument/2006/relationships/hyperlink" Target="https://idemitsu.box.com/s/d0uvete5jhi1s11lvdsdb55up04f2e0v" TargetMode="External"/><Relationship Id="rId43" Type="http://schemas.openxmlformats.org/officeDocument/2006/relationships/hyperlink" Target="https://idemitsu.box.com/s/d0uvete5jhi1s11lvdsdb55up04f2e0v" TargetMode="External"/><Relationship Id="rId48" Type="http://schemas.openxmlformats.org/officeDocument/2006/relationships/hyperlink" Target="https://idemitsu.box.com/s/d0uvete5jhi1s11lvdsdb55up04f2e0v" TargetMode="External"/><Relationship Id="rId56" Type="http://schemas.openxmlformats.org/officeDocument/2006/relationships/hyperlink" Target="https://idemitsu.box.com/s/d0uvete5jhi1s11lvdsdb55up04f2e0v" TargetMode="External"/><Relationship Id="rId64" Type="http://schemas.openxmlformats.org/officeDocument/2006/relationships/hyperlink" Target="https://idemitsu.box.com/s/d0uvete5jhi1s11lvdsdb55up04f2e0v" TargetMode="External"/><Relationship Id="rId69" Type="http://schemas.openxmlformats.org/officeDocument/2006/relationships/comments" Target="../comments1.xml"/><Relationship Id="rId8" Type="http://schemas.openxmlformats.org/officeDocument/2006/relationships/hyperlink" Target="https://idemitsu.ent.box.com/folder/53383739344" TargetMode="External"/><Relationship Id="rId51" Type="http://schemas.openxmlformats.org/officeDocument/2006/relationships/hyperlink" Target="https://idemitsu.box.com/s/d0uvete5jhi1s11lvdsdb55up04f2e0v" TargetMode="External"/><Relationship Id="rId3" Type="http://schemas.openxmlformats.org/officeDocument/2006/relationships/hyperlink" Target="https://idemitsu.ent.box.com/folder/244490027073" TargetMode="External"/><Relationship Id="rId12" Type="http://schemas.openxmlformats.org/officeDocument/2006/relationships/hyperlink" Target="https://idemitsu.ent.box.com/folder/53384297542" TargetMode="External"/><Relationship Id="rId17" Type="http://schemas.openxmlformats.org/officeDocument/2006/relationships/hyperlink" Target="https://idemitsu.box.com/s/d0uvete5jhi1s11lvdsdb55up04f2e0v" TargetMode="External"/><Relationship Id="rId25" Type="http://schemas.openxmlformats.org/officeDocument/2006/relationships/hyperlink" Target="https://idemitsu.box.com/s/d0uvete5jhi1s11lvdsdb55up04f2e0v" TargetMode="External"/><Relationship Id="rId33" Type="http://schemas.openxmlformats.org/officeDocument/2006/relationships/hyperlink" Target="https://idemitsu.box.com/s/d0uvete5jhi1s11lvdsdb55up04f2e0v" TargetMode="External"/><Relationship Id="rId38" Type="http://schemas.openxmlformats.org/officeDocument/2006/relationships/hyperlink" Target="https://idemitsu.box.com/s/d0uvete5jhi1s11lvdsdb55up04f2e0v" TargetMode="External"/><Relationship Id="rId46" Type="http://schemas.openxmlformats.org/officeDocument/2006/relationships/hyperlink" Target="https://idemitsu.box.com/s/d0uvete5jhi1s11lvdsdb55up04f2e0v" TargetMode="External"/><Relationship Id="rId59" Type="http://schemas.openxmlformats.org/officeDocument/2006/relationships/hyperlink" Target="https://idemitsu.box.com/s/d0uvete5jhi1s11lvdsdb55up04f2e0v" TargetMode="External"/><Relationship Id="rId67" Type="http://schemas.openxmlformats.org/officeDocument/2006/relationships/drawing" Target="../drawings/drawing1.xml"/><Relationship Id="rId20" Type="http://schemas.openxmlformats.org/officeDocument/2006/relationships/hyperlink" Target="https://idemitsu.box.com/s/d0uvete5jhi1s11lvdsdb55up04f2e0v" TargetMode="External"/><Relationship Id="rId41" Type="http://schemas.openxmlformats.org/officeDocument/2006/relationships/hyperlink" Target="https://idemitsu.box.com/s/d0uvete5jhi1s11lvdsdb55up04f2e0v" TargetMode="External"/><Relationship Id="rId54" Type="http://schemas.openxmlformats.org/officeDocument/2006/relationships/hyperlink" Target="https://idemitsu.box.com/s/d0uvete5jhi1s11lvdsdb55up04f2e0v" TargetMode="External"/><Relationship Id="rId62" Type="http://schemas.openxmlformats.org/officeDocument/2006/relationships/hyperlink" Target="https://idemitsu.box.com/s/d0uvete5jhi1s11lvdsdb55up04f2e0v" TargetMode="External"/><Relationship Id="rId1" Type="http://schemas.openxmlformats.org/officeDocument/2006/relationships/hyperlink" Target="file:///\\S01158V0\common$\&#21270;&#23398;&#21697;&#19968;&#35506;\CTCTANK.exe" TargetMode="External"/><Relationship Id="rId6" Type="http://schemas.openxmlformats.org/officeDocument/2006/relationships/hyperlink" Target="https://idemitsu.ent.box.com/folder/244490704322" TargetMode="External"/><Relationship Id="rId15" Type="http://schemas.openxmlformats.org/officeDocument/2006/relationships/hyperlink" Target="https://idemitsu.box.com/s/d0uvete5jhi1s11lvdsdb55up04f2e0v" TargetMode="External"/><Relationship Id="rId23" Type="http://schemas.openxmlformats.org/officeDocument/2006/relationships/hyperlink" Target="https://idemitsu.box.com/s/d0uvete5jhi1s11lvdsdb55up04f2e0v" TargetMode="External"/><Relationship Id="rId28" Type="http://schemas.openxmlformats.org/officeDocument/2006/relationships/hyperlink" Target="https://idemitsu.box.com/s/d0uvete5jhi1s11lvdsdb55up04f2e0v" TargetMode="External"/><Relationship Id="rId36" Type="http://schemas.openxmlformats.org/officeDocument/2006/relationships/hyperlink" Target="https://idemitsu.box.com/s/d0uvete5jhi1s11lvdsdb55up04f2e0v" TargetMode="External"/><Relationship Id="rId49" Type="http://schemas.openxmlformats.org/officeDocument/2006/relationships/hyperlink" Target="https://idemitsu.box.com/s/d0uvete5jhi1s11lvdsdb55up04f2e0v" TargetMode="External"/><Relationship Id="rId57" Type="http://schemas.openxmlformats.org/officeDocument/2006/relationships/hyperlink" Target="https://idemitsu.box.com/s/d0uvete5jhi1s11lvdsdb55up04f2e0v" TargetMode="External"/><Relationship Id="rId10" Type="http://schemas.openxmlformats.org/officeDocument/2006/relationships/hyperlink" Target="https://idemitsu.ent.box.com/folder/53380518016" TargetMode="External"/><Relationship Id="rId31" Type="http://schemas.openxmlformats.org/officeDocument/2006/relationships/hyperlink" Target="https://idemitsu.box.com/s/d0uvete5jhi1s11lvdsdb55up04f2e0v" TargetMode="External"/><Relationship Id="rId44" Type="http://schemas.openxmlformats.org/officeDocument/2006/relationships/hyperlink" Target="https://idemitsu.box.com/s/d0uvete5jhi1s11lvdsdb55up04f2e0v" TargetMode="External"/><Relationship Id="rId52" Type="http://schemas.openxmlformats.org/officeDocument/2006/relationships/hyperlink" Target="https://idemitsu.box.com/s/d0uvete5jhi1s11lvdsdb55up04f2e0v" TargetMode="External"/><Relationship Id="rId60" Type="http://schemas.openxmlformats.org/officeDocument/2006/relationships/hyperlink" Target="https://idemitsu.box.com/s/d0uvete5jhi1s11lvdsdb55up04f2e0v" TargetMode="External"/><Relationship Id="rId65" Type="http://schemas.openxmlformats.org/officeDocument/2006/relationships/hyperlink" Target="https://idemitsu.box.com/s/d0uvete5jhi1s11lvdsdb55up04f2e0v" TargetMode="External"/><Relationship Id="rId4" Type="http://schemas.openxmlformats.org/officeDocument/2006/relationships/hyperlink" Target="https://idemitsu.ent.box.com/folder/244488829201" TargetMode="External"/><Relationship Id="rId9" Type="http://schemas.openxmlformats.org/officeDocument/2006/relationships/hyperlink" Target="https://idemitsu.ent.box.com/folder/53384992628" TargetMode="External"/><Relationship Id="rId13" Type="http://schemas.openxmlformats.org/officeDocument/2006/relationships/hyperlink" Target="https://idemitsu.ent.box.com/folder/53384547982" TargetMode="External"/><Relationship Id="rId18" Type="http://schemas.openxmlformats.org/officeDocument/2006/relationships/hyperlink" Target="https://idemitsu.box.com/s/d0uvete5jhi1s11lvdsdb55up04f2e0v" TargetMode="External"/><Relationship Id="rId39" Type="http://schemas.openxmlformats.org/officeDocument/2006/relationships/hyperlink" Target="https://idemitsu.box.com/s/d0uvete5jhi1s11lvdsdb55up04f2e0v" TargetMode="External"/><Relationship Id="rId34" Type="http://schemas.openxmlformats.org/officeDocument/2006/relationships/hyperlink" Target="https://idemitsu.box.com/s/d0uvete5jhi1s11lvdsdb55up04f2e0v" TargetMode="External"/><Relationship Id="rId50" Type="http://schemas.openxmlformats.org/officeDocument/2006/relationships/hyperlink" Target="https://idemitsu.box.com/s/d0uvete5jhi1s11lvdsdb55up04f2e0v" TargetMode="External"/><Relationship Id="rId55" Type="http://schemas.openxmlformats.org/officeDocument/2006/relationships/hyperlink" Target="https://idemitsu.box.com/s/d0uvete5jhi1s11lvdsdb55up04f2e0v"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T122"/>
  <sheetViews>
    <sheetView showGridLines="0" tabSelected="1" zoomScale="85" zoomScaleNormal="85" workbookViewId="0">
      <pane xSplit="5" ySplit="2" topLeftCell="F5" activePane="bottomRight" state="frozen"/>
      <selection pane="topRight" activeCell="E1" sqref="E1"/>
      <selection pane="bottomLeft" activeCell="A4" sqref="A4"/>
      <selection pane="bottomRight" activeCell="J75" sqref="J75"/>
    </sheetView>
  </sheetViews>
  <sheetFormatPr defaultColWidth="9" defaultRowHeight="15"/>
  <cols>
    <col min="1" max="1" width="2.54296875" style="1" customWidth="1"/>
    <col min="2" max="2" width="4.453125" style="1" bestFit="1" customWidth="1"/>
    <col min="3" max="3" width="34.81640625" style="1" customWidth="1"/>
    <col min="4" max="4" width="74.54296875" style="1" customWidth="1"/>
    <col min="5" max="5" width="18.81640625" style="1" customWidth="1"/>
    <col min="6" max="6" width="9.453125" style="1" bestFit="1" customWidth="1"/>
    <col min="7" max="7" width="10.26953125" style="1" customWidth="1"/>
    <col min="8" max="8" width="5.7265625" style="41" bestFit="1" customWidth="1"/>
    <col min="9" max="9" width="5.7265625" style="41" customWidth="1"/>
    <col min="10" max="10" width="12.1796875" style="1" bestFit="1" customWidth="1"/>
    <col min="11" max="13" width="6.54296875" style="1" hidden="1" customWidth="1"/>
    <col min="14" max="14" width="52.453125" style="1" customWidth="1"/>
    <col min="15" max="15" width="44.54296875" style="1" hidden="1" customWidth="1"/>
    <col min="16" max="16" width="32.7265625" style="1" hidden="1" customWidth="1"/>
    <col min="17" max="17" width="16.81640625" style="1" bestFit="1" customWidth="1"/>
    <col min="18" max="18" width="25" style="1" bestFit="1" customWidth="1"/>
    <col min="19" max="19" width="34.54296875" style="1" bestFit="1" customWidth="1"/>
    <col min="20" max="16384" width="9" style="1"/>
  </cols>
  <sheetData>
    <row r="1" spans="2:20">
      <c r="K1" s="136" t="s">
        <v>0</v>
      </c>
      <c r="L1" s="137"/>
      <c r="M1" s="138"/>
    </row>
    <row r="2" spans="2:20" ht="30">
      <c r="B2" s="90" t="s">
        <v>1</v>
      </c>
      <c r="C2" s="97" t="s">
        <v>2</v>
      </c>
      <c r="D2" s="97" t="s">
        <v>3</v>
      </c>
      <c r="E2" s="97" t="s">
        <v>4</v>
      </c>
      <c r="F2" s="107" t="s">
        <v>5</v>
      </c>
      <c r="G2" s="108" t="s">
        <v>6</v>
      </c>
      <c r="H2" s="98" t="s">
        <v>7</v>
      </c>
      <c r="I2" s="82" t="s">
        <v>8</v>
      </c>
      <c r="J2" s="82" t="s">
        <v>9</v>
      </c>
      <c r="K2" s="99" t="s">
        <v>10</v>
      </c>
      <c r="L2" s="100" t="s">
        <v>11</v>
      </c>
      <c r="M2" s="100" t="s">
        <v>12</v>
      </c>
      <c r="N2" s="100" t="s">
        <v>13</v>
      </c>
      <c r="O2" s="100" t="s">
        <v>14</v>
      </c>
      <c r="P2" s="100" t="s">
        <v>15</v>
      </c>
      <c r="Q2" s="100" t="s">
        <v>16</v>
      </c>
      <c r="R2" s="100" t="s">
        <v>17</v>
      </c>
      <c r="S2" s="1" t="s">
        <v>18</v>
      </c>
      <c r="T2" s="1" t="s">
        <v>19</v>
      </c>
    </row>
    <row r="3" spans="2:20" ht="75">
      <c r="B3" s="70">
        <v>1</v>
      </c>
      <c r="C3" s="9" t="s">
        <v>20</v>
      </c>
      <c r="D3" s="133" t="s">
        <v>21</v>
      </c>
      <c r="E3" s="9" t="s">
        <v>22</v>
      </c>
      <c r="F3" s="45" t="s">
        <v>23</v>
      </c>
      <c r="G3" s="9" t="s">
        <v>24</v>
      </c>
      <c r="H3" s="46" t="s">
        <v>25</v>
      </c>
      <c r="I3" s="123"/>
      <c r="J3" s="9" t="s">
        <v>26</v>
      </c>
      <c r="K3" s="47" t="s">
        <v>27</v>
      </c>
      <c r="L3" s="10" t="s">
        <v>27</v>
      </c>
      <c r="M3" s="10" t="str">
        <f>IF(K3=L3,"なし","あり")</f>
        <v>なし</v>
      </c>
      <c r="N3" s="62" t="s">
        <v>28</v>
      </c>
      <c r="O3" s="64" t="s">
        <v>29</v>
      </c>
      <c r="P3" s="64" t="s">
        <v>30</v>
      </c>
      <c r="Q3" s="64"/>
      <c r="R3" s="66" t="s">
        <v>31</v>
      </c>
      <c r="T3" s="134" t="s">
        <v>32</v>
      </c>
    </row>
    <row r="4" spans="2:20">
      <c r="B4" s="71">
        <v>1</v>
      </c>
      <c r="C4" s="13" t="s">
        <v>33</v>
      </c>
      <c r="D4" s="13"/>
      <c r="E4" s="15" t="s">
        <v>34</v>
      </c>
      <c r="F4" s="91" t="s">
        <v>35</v>
      </c>
      <c r="G4" s="13"/>
      <c r="H4" s="92" t="s">
        <v>36</v>
      </c>
      <c r="I4" s="124"/>
      <c r="J4" s="13"/>
      <c r="K4" s="93" t="s">
        <v>37</v>
      </c>
      <c r="L4" s="14" t="s">
        <v>37</v>
      </c>
      <c r="M4" s="14" t="str">
        <f t="shared" ref="M4:M59" si="0">IF(K4=L4,"なし","あり")</f>
        <v>なし</v>
      </c>
      <c r="N4" s="94" t="s">
        <v>38</v>
      </c>
      <c r="O4" s="95"/>
      <c r="P4" s="95"/>
      <c r="Q4" s="95"/>
      <c r="R4" s="96"/>
      <c r="T4" s="134" t="s">
        <v>32</v>
      </c>
    </row>
    <row r="5" spans="2:20">
      <c r="B5" s="71">
        <v>1</v>
      </c>
      <c r="C5" s="13" t="s">
        <v>39</v>
      </c>
      <c r="D5" s="13"/>
      <c r="E5" s="13" t="s">
        <v>40</v>
      </c>
      <c r="F5" s="91" t="s">
        <v>35</v>
      </c>
      <c r="G5" s="13"/>
      <c r="H5" s="92" t="s">
        <v>36</v>
      </c>
      <c r="I5" s="124"/>
      <c r="J5" s="13"/>
      <c r="K5" s="93" t="s">
        <v>37</v>
      </c>
      <c r="L5" s="14" t="s">
        <v>37</v>
      </c>
      <c r="M5" s="14" t="str">
        <f t="shared" si="0"/>
        <v>なし</v>
      </c>
      <c r="N5" s="94" t="s">
        <v>38</v>
      </c>
      <c r="O5" s="95"/>
      <c r="P5" s="95"/>
      <c r="Q5" s="95"/>
      <c r="R5" s="96"/>
      <c r="T5" s="134" t="s">
        <v>32</v>
      </c>
    </row>
    <row r="6" spans="2:20">
      <c r="B6" s="71">
        <v>1</v>
      </c>
      <c r="C6" s="13" t="s">
        <v>41</v>
      </c>
      <c r="D6" s="13"/>
      <c r="E6" s="13" t="s">
        <v>42</v>
      </c>
      <c r="F6" s="91" t="s">
        <v>35</v>
      </c>
      <c r="G6" s="13"/>
      <c r="H6" s="92" t="s">
        <v>36</v>
      </c>
      <c r="I6" s="124"/>
      <c r="J6" s="13"/>
      <c r="K6" s="93" t="s">
        <v>37</v>
      </c>
      <c r="L6" s="14" t="s">
        <v>37</v>
      </c>
      <c r="M6" s="14" t="str">
        <f t="shared" si="0"/>
        <v>なし</v>
      </c>
      <c r="N6" s="94" t="s">
        <v>38</v>
      </c>
      <c r="O6" s="95"/>
      <c r="P6" s="95"/>
      <c r="Q6" s="95"/>
      <c r="R6" s="96"/>
      <c r="T6" s="134" t="s">
        <v>32</v>
      </c>
    </row>
    <row r="7" spans="2:20">
      <c r="B7" s="71"/>
      <c r="C7" s="13" t="s">
        <v>43</v>
      </c>
      <c r="D7" s="13"/>
      <c r="E7" s="13" t="s">
        <v>44</v>
      </c>
      <c r="F7" s="91" t="s">
        <v>35</v>
      </c>
      <c r="G7" s="13"/>
      <c r="H7" s="92" t="s">
        <v>36</v>
      </c>
      <c r="I7" s="124"/>
      <c r="J7" s="13"/>
      <c r="K7" s="93" t="s">
        <v>27</v>
      </c>
      <c r="L7" s="14" t="s">
        <v>27</v>
      </c>
      <c r="M7" s="14" t="str">
        <f t="shared" si="0"/>
        <v>なし</v>
      </c>
      <c r="N7" s="94" t="s">
        <v>45</v>
      </c>
      <c r="O7" s="95" t="s">
        <v>46</v>
      </c>
      <c r="P7" s="95" t="s">
        <v>47</v>
      </c>
      <c r="Q7" s="95"/>
      <c r="R7" s="96" t="s">
        <v>31</v>
      </c>
      <c r="T7" s="134" t="s">
        <v>32</v>
      </c>
    </row>
    <row r="8" spans="2:20">
      <c r="B8" s="71"/>
      <c r="C8" s="13" t="s">
        <v>48</v>
      </c>
      <c r="D8" s="13"/>
      <c r="E8" s="13" t="s">
        <v>49</v>
      </c>
      <c r="F8" s="91" t="s">
        <v>35</v>
      </c>
      <c r="G8" s="13"/>
      <c r="H8" s="92" t="s">
        <v>36</v>
      </c>
      <c r="I8" s="124"/>
      <c r="J8" s="13"/>
      <c r="K8" s="93" t="s">
        <v>27</v>
      </c>
      <c r="L8" s="14" t="s">
        <v>27</v>
      </c>
      <c r="M8" s="14" t="str">
        <f t="shared" si="0"/>
        <v>なし</v>
      </c>
      <c r="N8" s="94" t="s">
        <v>45</v>
      </c>
      <c r="O8" s="95" t="s">
        <v>46</v>
      </c>
      <c r="P8" s="95" t="s">
        <v>47</v>
      </c>
      <c r="Q8" s="95"/>
      <c r="R8" s="96" t="s">
        <v>31</v>
      </c>
      <c r="T8" s="134" t="s">
        <v>32</v>
      </c>
    </row>
    <row r="9" spans="2:20">
      <c r="B9" s="71"/>
      <c r="C9" s="13" t="s">
        <v>50</v>
      </c>
      <c r="D9" s="13"/>
      <c r="E9" s="13" t="s">
        <v>51</v>
      </c>
      <c r="F9" s="91" t="s">
        <v>35</v>
      </c>
      <c r="G9" s="13"/>
      <c r="H9" s="92" t="s">
        <v>36</v>
      </c>
      <c r="I9" s="124"/>
      <c r="J9" s="13"/>
      <c r="K9" s="93" t="s">
        <v>27</v>
      </c>
      <c r="L9" s="14" t="s">
        <v>27</v>
      </c>
      <c r="M9" s="14" t="str">
        <f t="shared" si="0"/>
        <v>なし</v>
      </c>
      <c r="N9" s="94" t="s">
        <v>45</v>
      </c>
      <c r="O9" s="95" t="s">
        <v>46</v>
      </c>
      <c r="P9" s="95" t="s">
        <v>47</v>
      </c>
      <c r="Q9" s="95"/>
      <c r="R9" s="96" t="s">
        <v>31</v>
      </c>
      <c r="T9" s="134" t="s">
        <v>32</v>
      </c>
    </row>
    <row r="10" spans="2:20">
      <c r="B10" s="71">
        <v>1</v>
      </c>
      <c r="C10" s="13" t="s">
        <v>52</v>
      </c>
      <c r="D10" s="13"/>
      <c r="E10" s="13" t="s">
        <v>53</v>
      </c>
      <c r="F10" s="91" t="s">
        <v>35</v>
      </c>
      <c r="G10" s="13"/>
      <c r="H10" s="92" t="s">
        <v>36</v>
      </c>
      <c r="I10" s="124"/>
      <c r="J10" s="13"/>
      <c r="K10" s="93" t="s">
        <v>27</v>
      </c>
      <c r="L10" s="14" t="s">
        <v>27</v>
      </c>
      <c r="M10" s="14" t="str">
        <f t="shared" si="0"/>
        <v>なし</v>
      </c>
      <c r="N10" s="94" t="s">
        <v>54</v>
      </c>
      <c r="O10" s="95" t="s">
        <v>55</v>
      </c>
      <c r="P10" s="95" t="s">
        <v>56</v>
      </c>
      <c r="Q10" s="95"/>
      <c r="R10" s="96" t="s">
        <v>31</v>
      </c>
      <c r="T10" s="134" t="s">
        <v>32</v>
      </c>
    </row>
    <row r="11" spans="2:20">
      <c r="B11" s="71">
        <v>1</v>
      </c>
      <c r="C11" s="13" t="s">
        <v>57</v>
      </c>
      <c r="D11" s="13"/>
      <c r="E11" s="13" t="s">
        <v>58</v>
      </c>
      <c r="F11" s="91" t="s">
        <v>35</v>
      </c>
      <c r="G11" s="13"/>
      <c r="H11" s="92" t="s">
        <v>36</v>
      </c>
      <c r="I11" s="124"/>
      <c r="J11" s="13"/>
      <c r="K11" s="93" t="s">
        <v>37</v>
      </c>
      <c r="L11" s="14" t="s">
        <v>37</v>
      </c>
      <c r="M11" s="14" t="str">
        <f t="shared" si="0"/>
        <v>なし</v>
      </c>
      <c r="N11" s="94" t="s">
        <v>38</v>
      </c>
      <c r="O11" s="95"/>
      <c r="P11" s="95"/>
      <c r="Q11" s="95"/>
      <c r="R11" s="96"/>
      <c r="T11" s="134" t="s">
        <v>32</v>
      </c>
    </row>
    <row r="12" spans="2:20">
      <c r="B12" s="71"/>
      <c r="C12" s="21" t="s">
        <v>59</v>
      </c>
      <c r="D12" s="21"/>
      <c r="E12" s="21" t="s">
        <v>60</v>
      </c>
      <c r="F12" s="3" t="s">
        <v>35</v>
      </c>
      <c r="G12" s="21"/>
      <c r="H12" s="92" t="s">
        <v>36</v>
      </c>
      <c r="I12" s="125"/>
      <c r="J12" s="21"/>
      <c r="K12" s="41" t="s">
        <v>37</v>
      </c>
      <c r="L12" s="18" t="s">
        <v>37</v>
      </c>
      <c r="M12" s="14" t="str">
        <f t="shared" si="0"/>
        <v>なし</v>
      </c>
      <c r="N12" s="63" t="s">
        <v>61</v>
      </c>
      <c r="O12" s="65"/>
      <c r="P12" s="65"/>
      <c r="Q12" s="65"/>
      <c r="R12" s="67"/>
      <c r="T12" s="134" t="s">
        <v>32</v>
      </c>
    </row>
    <row r="13" spans="2:20">
      <c r="B13" s="72"/>
      <c r="C13" s="28" t="s">
        <v>62</v>
      </c>
      <c r="D13" s="28"/>
      <c r="E13" s="28" t="s">
        <v>63</v>
      </c>
      <c r="F13" s="83" t="s">
        <v>64</v>
      </c>
      <c r="G13" s="28"/>
      <c r="H13" s="81"/>
      <c r="I13" s="126"/>
      <c r="J13" s="28"/>
      <c r="K13" s="84"/>
      <c r="L13" s="29"/>
      <c r="M13" s="44"/>
      <c r="N13" s="85" t="s">
        <v>65</v>
      </c>
      <c r="O13" s="86"/>
      <c r="P13" s="86"/>
      <c r="Q13" s="86"/>
      <c r="R13" s="87"/>
    </row>
    <row r="14" spans="2:20">
      <c r="B14" s="51">
        <v>2</v>
      </c>
      <c r="C14" s="9" t="s">
        <v>66</v>
      </c>
      <c r="D14" s="9" t="s">
        <v>67</v>
      </c>
      <c r="E14" s="9" t="s">
        <v>68</v>
      </c>
      <c r="F14" s="45" t="s">
        <v>35</v>
      </c>
      <c r="G14" s="9" t="s">
        <v>24</v>
      </c>
      <c r="H14" s="46" t="s">
        <v>25</v>
      </c>
      <c r="I14" s="123"/>
      <c r="J14" s="9" t="s">
        <v>69</v>
      </c>
      <c r="K14" s="47" t="s">
        <v>27</v>
      </c>
      <c r="L14" s="10" t="s">
        <v>27</v>
      </c>
      <c r="M14" s="10" t="str">
        <f t="shared" si="0"/>
        <v>なし</v>
      </c>
      <c r="N14" s="9" t="s">
        <v>70</v>
      </c>
      <c r="O14" s="9" t="s">
        <v>70</v>
      </c>
      <c r="P14" s="9" t="s">
        <v>70</v>
      </c>
      <c r="Q14" s="9"/>
      <c r="R14" s="66" t="s">
        <v>31</v>
      </c>
      <c r="T14" s="134" t="s">
        <v>32</v>
      </c>
    </row>
    <row r="15" spans="2:20">
      <c r="B15" s="52"/>
      <c r="C15" s="13" t="s">
        <v>33</v>
      </c>
      <c r="D15" s="13"/>
      <c r="E15" s="15" t="s">
        <v>34</v>
      </c>
      <c r="F15" s="91" t="s">
        <v>35</v>
      </c>
      <c r="G15" s="13"/>
      <c r="H15" s="92" t="s">
        <v>36</v>
      </c>
      <c r="I15" s="124"/>
      <c r="J15" s="13"/>
      <c r="K15" s="93" t="s">
        <v>37</v>
      </c>
      <c r="L15" s="14" t="s">
        <v>37</v>
      </c>
      <c r="M15" s="14" t="str">
        <f t="shared" si="0"/>
        <v>なし</v>
      </c>
      <c r="N15" s="94" t="s">
        <v>38</v>
      </c>
      <c r="O15" s="13"/>
      <c r="P15" s="13"/>
      <c r="Q15" s="13"/>
      <c r="R15" s="96"/>
      <c r="T15" s="134" t="s">
        <v>32</v>
      </c>
    </row>
    <row r="16" spans="2:20">
      <c r="B16" s="52"/>
      <c r="C16" s="13" t="s">
        <v>39</v>
      </c>
      <c r="D16" s="13"/>
      <c r="E16" s="13" t="s">
        <v>71</v>
      </c>
      <c r="F16" s="91" t="s">
        <v>35</v>
      </c>
      <c r="G16" s="13"/>
      <c r="H16" s="92" t="s">
        <v>36</v>
      </c>
      <c r="I16" s="124"/>
      <c r="J16" s="13"/>
      <c r="K16" s="93" t="s">
        <v>37</v>
      </c>
      <c r="L16" s="14" t="s">
        <v>37</v>
      </c>
      <c r="M16" s="14" t="str">
        <f t="shared" si="0"/>
        <v>なし</v>
      </c>
      <c r="N16" s="94" t="s">
        <v>38</v>
      </c>
      <c r="O16" s="13"/>
      <c r="P16" s="13"/>
      <c r="Q16" s="13"/>
      <c r="R16" s="96"/>
      <c r="T16" s="134" t="s">
        <v>32</v>
      </c>
    </row>
    <row r="17" spans="2:20">
      <c r="B17" s="52"/>
      <c r="C17" s="13" t="s">
        <v>41</v>
      </c>
      <c r="D17" s="13"/>
      <c r="E17" s="13" t="s">
        <v>72</v>
      </c>
      <c r="F17" s="91" t="s">
        <v>35</v>
      </c>
      <c r="G17" s="13"/>
      <c r="H17" s="92" t="s">
        <v>36</v>
      </c>
      <c r="I17" s="124"/>
      <c r="J17" s="13"/>
      <c r="K17" s="93" t="s">
        <v>37</v>
      </c>
      <c r="L17" s="14" t="s">
        <v>37</v>
      </c>
      <c r="M17" s="14" t="str">
        <f t="shared" si="0"/>
        <v>なし</v>
      </c>
      <c r="N17" s="94" t="s">
        <v>38</v>
      </c>
      <c r="O17" s="13"/>
      <c r="P17" s="13"/>
      <c r="Q17" s="13"/>
      <c r="R17" s="96"/>
      <c r="T17" s="134" t="s">
        <v>32</v>
      </c>
    </row>
    <row r="18" spans="2:20">
      <c r="B18" s="52"/>
      <c r="C18" s="13" t="s">
        <v>52</v>
      </c>
      <c r="D18" s="13"/>
      <c r="E18" s="13" t="s">
        <v>73</v>
      </c>
      <c r="F18" s="91" t="s">
        <v>35</v>
      </c>
      <c r="G18" s="13"/>
      <c r="H18" s="92" t="s">
        <v>36</v>
      </c>
      <c r="I18" s="124"/>
      <c r="J18" s="13"/>
      <c r="K18" s="93" t="s">
        <v>27</v>
      </c>
      <c r="L18" s="14" t="s">
        <v>27</v>
      </c>
      <c r="M18" s="118" t="str">
        <f t="shared" si="0"/>
        <v>なし</v>
      </c>
      <c r="N18" s="94" t="s">
        <v>74</v>
      </c>
      <c r="O18" s="95" t="s">
        <v>55</v>
      </c>
      <c r="P18" s="95" t="s">
        <v>56</v>
      </c>
      <c r="Q18" s="13"/>
      <c r="R18" s="96" t="s">
        <v>31</v>
      </c>
      <c r="T18" s="134" t="s">
        <v>32</v>
      </c>
    </row>
    <row r="19" spans="2:20">
      <c r="B19" s="52"/>
      <c r="C19" s="13" t="s">
        <v>57</v>
      </c>
      <c r="D19" s="13"/>
      <c r="E19" s="13" t="s">
        <v>75</v>
      </c>
      <c r="F19" s="91" t="s">
        <v>35</v>
      </c>
      <c r="G19" s="13"/>
      <c r="H19" s="92" t="s">
        <v>36</v>
      </c>
      <c r="I19" s="124"/>
      <c r="J19" s="13"/>
      <c r="K19" s="93" t="s">
        <v>37</v>
      </c>
      <c r="L19" s="14" t="s">
        <v>37</v>
      </c>
      <c r="M19" s="14" t="str">
        <f t="shared" si="0"/>
        <v>なし</v>
      </c>
      <c r="N19" s="94" t="s">
        <v>76</v>
      </c>
      <c r="O19" s="13"/>
      <c r="P19" s="13"/>
      <c r="Q19" s="13"/>
      <c r="R19" s="96"/>
      <c r="T19" s="134" t="s">
        <v>32</v>
      </c>
    </row>
    <row r="20" spans="2:20">
      <c r="B20" s="52"/>
      <c r="C20" s="13" t="s">
        <v>59</v>
      </c>
      <c r="D20" s="13"/>
      <c r="E20" s="21" t="s">
        <v>60</v>
      </c>
      <c r="F20" s="91" t="s">
        <v>35</v>
      </c>
      <c r="G20" s="13"/>
      <c r="H20" s="92" t="s">
        <v>36</v>
      </c>
      <c r="I20" s="124"/>
      <c r="J20" s="13"/>
      <c r="K20" s="93" t="s">
        <v>37</v>
      </c>
      <c r="L20" s="14" t="s">
        <v>37</v>
      </c>
      <c r="M20" s="14" t="str">
        <f t="shared" si="0"/>
        <v>なし</v>
      </c>
      <c r="N20" s="13" t="s">
        <v>61</v>
      </c>
      <c r="O20" s="13"/>
      <c r="P20" s="13"/>
      <c r="Q20" s="13"/>
      <c r="R20" s="96"/>
      <c r="T20" s="134" t="s">
        <v>32</v>
      </c>
    </row>
    <row r="21" spans="2:20">
      <c r="B21" s="53"/>
      <c r="C21" s="17" t="s">
        <v>62</v>
      </c>
      <c r="D21" s="17"/>
      <c r="E21" s="23" t="s">
        <v>77</v>
      </c>
      <c r="F21" s="48" t="s">
        <v>35</v>
      </c>
      <c r="G21" s="17"/>
      <c r="H21" s="49" t="s">
        <v>36</v>
      </c>
      <c r="I21" s="127"/>
      <c r="J21" s="17"/>
      <c r="K21" s="50" t="s">
        <v>37</v>
      </c>
      <c r="L21" s="112" t="s">
        <v>37</v>
      </c>
      <c r="M21" s="112" t="str">
        <f t="shared" si="0"/>
        <v>なし</v>
      </c>
      <c r="N21" s="17" t="s">
        <v>38</v>
      </c>
      <c r="O21" s="17"/>
      <c r="P21" s="17"/>
      <c r="Q21" s="17"/>
      <c r="R21" s="68"/>
      <c r="T21" s="134" t="s">
        <v>32</v>
      </c>
    </row>
    <row r="22" spans="2:20">
      <c r="B22" s="54">
        <v>3</v>
      </c>
      <c r="C22" s="58" t="s">
        <v>78</v>
      </c>
      <c r="D22" s="58" t="s">
        <v>79</v>
      </c>
      <c r="E22" s="58" t="s">
        <v>68</v>
      </c>
      <c r="F22" s="55" t="s">
        <v>35</v>
      </c>
      <c r="G22" s="58" t="s">
        <v>24</v>
      </c>
      <c r="H22" s="56" t="s">
        <v>25</v>
      </c>
      <c r="I22" s="128"/>
      <c r="J22" s="58" t="s">
        <v>69</v>
      </c>
      <c r="K22" s="57" t="s">
        <v>27</v>
      </c>
      <c r="L22" s="10" t="s">
        <v>27</v>
      </c>
      <c r="M22" s="41" t="str">
        <f>IF(K22=L22,"なし","あり")</f>
        <v>なし</v>
      </c>
      <c r="N22" s="9" t="s">
        <v>70</v>
      </c>
      <c r="O22" s="9" t="s">
        <v>70</v>
      </c>
      <c r="P22" s="9" t="s">
        <v>70</v>
      </c>
      <c r="Q22" s="9"/>
      <c r="R22" s="69" t="s">
        <v>31</v>
      </c>
      <c r="T22" s="134" t="s">
        <v>32</v>
      </c>
    </row>
    <row r="23" spans="2:20">
      <c r="B23" s="51">
        <v>4</v>
      </c>
      <c r="C23" s="9" t="s">
        <v>80</v>
      </c>
      <c r="D23" s="9" t="s">
        <v>81</v>
      </c>
      <c r="E23" s="9" t="s">
        <v>68</v>
      </c>
      <c r="F23" s="45" t="s">
        <v>35</v>
      </c>
      <c r="G23" s="9" t="s">
        <v>24</v>
      </c>
      <c r="H23" s="46" t="s">
        <v>25</v>
      </c>
      <c r="I23" s="123"/>
      <c r="J23" s="9" t="s">
        <v>69</v>
      </c>
      <c r="K23" s="47" t="s">
        <v>27</v>
      </c>
      <c r="L23" s="10" t="s">
        <v>27</v>
      </c>
      <c r="M23" s="10" t="str">
        <f>IF(K23=L23,"なし","あり")</f>
        <v>なし</v>
      </c>
      <c r="N23" s="9" t="s">
        <v>70</v>
      </c>
      <c r="O23" s="9" t="s">
        <v>70</v>
      </c>
      <c r="P23" s="9" t="s">
        <v>70</v>
      </c>
      <c r="Q23" s="9"/>
      <c r="R23" s="66" t="s">
        <v>31</v>
      </c>
      <c r="T23" s="134" t="s">
        <v>32</v>
      </c>
    </row>
    <row r="24" spans="2:20">
      <c r="B24" s="52"/>
      <c r="C24" s="13" t="s">
        <v>33</v>
      </c>
      <c r="D24" s="13"/>
      <c r="E24" s="15" t="s">
        <v>34</v>
      </c>
      <c r="F24" s="91" t="s">
        <v>35</v>
      </c>
      <c r="G24" s="13"/>
      <c r="H24" s="92" t="s">
        <v>25</v>
      </c>
      <c r="I24" s="124"/>
      <c r="J24" s="13"/>
      <c r="K24" s="93" t="s">
        <v>37</v>
      </c>
      <c r="L24" s="14" t="s">
        <v>37</v>
      </c>
      <c r="M24" s="14" t="str">
        <f t="shared" si="0"/>
        <v>なし</v>
      </c>
      <c r="N24" s="94" t="s">
        <v>38</v>
      </c>
      <c r="O24" s="13"/>
      <c r="P24" s="13"/>
      <c r="Q24" s="13"/>
      <c r="R24" s="96"/>
      <c r="T24" s="134" t="s">
        <v>32</v>
      </c>
    </row>
    <row r="25" spans="2:20">
      <c r="B25" s="52"/>
      <c r="C25" s="13" t="s">
        <v>39</v>
      </c>
      <c r="D25" s="13"/>
      <c r="E25" s="13" t="s">
        <v>82</v>
      </c>
      <c r="F25" s="91" t="s">
        <v>35</v>
      </c>
      <c r="G25" s="13"/>
      <c r="H25" s="92" t="s">
        <v>25</v>
      </c>
      <c r="I25" s="124"/>
      <c r="J25" s="13"/>
      <c r="K25" s="93" t="s">
        <v>37</v>
      </c>
      <c r="L25" s="14" t="s">
        <v>37</v>
      </c>
      <c r="M25" s="14" t="str">
        <f t="shared" si="0"/>
        <v>なし</v>
      </c>
      <c r="N25" s="94" t="s">
        <v>38</v>
      </c>
      <c r="O25" s="13"/>
      <c r="P25" s="13"/>
      <c r="Q25" s="13"/>
      <c r="R25" s="96"/>
      <c r="T25" s="134" t="s">
        <v>32</v>
      </c>
    </row>
    <row r="26" spans="2:20">
      <c r="B26" s="52"/>
      <c r="C26" s="13" t="s">
        <v>41</v>
      </c>
      <c r="D26" s="13"/>
      <c r="E26" s="13" t="s">
        <v>83</v>
      </c>
      <c r="F26" s="91" t="s">
        <v>35</v>
      </c>
      <c r="G26" s="13"/>
      <c r="H26" s="92" t="s">
        <v>25</v>
      </c>
      <c r="I26" s="124"/>
      <c r="J26" s="13"/>
      <c r="K26" s="93" t="s">
        <v>37</v>
      </c>
      <c r="L26" s="14" t="s">
        <v>37</v>
      </c>
      <c r="M26" s="14" t="str">
        <f t="shared" si="0"/>
        <v>なし</v>
      </c>
      <c r="N26" s="94" t="s">
        <v>38</v>
      </c>
      <c r="O26" s="13"/>
      <c r="P26" s="13"/>
      <c r="Q26" s="13"/>
      <c r="R26" s="96"/>
      <c r="T26" s="134" t="s">
        <v>32</v>
      </c>
    </row>
    <row r="27" spans="2:20">
      <c r="B27" s="52"/>
      <c r="C27" s="13" t="s">
        <v>52</v>
      </c>
      <c r="D27" s="13"/>
      <c r="E27" s="13" t="s">
        <v>84</v>
      </c>
      <c r="F27" s="91" t="s">
        <v>35</v>
      </c>
      <c r="G27" s="13"/>
      <c r="H27" s="92" t="s">
        <v>25</v>
      </c>
      <c r="I27" s="124"/>
      <c r="J27" s="13"/>
      <c r="K27" s="93" t="s">
        <v>27</v>
      </c>
      <c r="L27" s="14" t="s">
        <v>27</v>
      </c>
      <c r="M27" s="14" t="str">
        <f t="shared" si="0"/>
        <v>なし</v>
      </c>
      <c r="N27" s="94" t="s">
        <v>74</v>
      </c>
      <c r="O27" s="95" t="s">
        <v>55</v>
      </c>
      <c r="P27" s="95" t="s">
        <v>56</v>
      </c>
      <c r="Q27" s="13"/>
      <c r="R27" s="96" t="s">
        <v>31</v>
      </c>
      <c r="T27" s="134" t="s">
        <v>32</v>
      </c>
    </row>
    <row r="28" spans="2:20">
      <c r="B28" s="52"/>
      <c r="C28" s="13" t="s">
        <v>57</v>
      </c>
      <c r="D28" s="13"/>
      <c r="E28" s="13" t="s">
        <v>85</v>
      </c>
      <c r="F28" s="91" t="s">
        <v>35</v>
      </c>
      <c r="G28" s="13"/>
      <c r="H28" s="92" t="s">
        <v>25</v>
      </c>
      <c r="I28" s="124"/>
      <c r="J28" s="13"/>
      <c r="K28" s="93" t="s">
        <v>37</v>
      </c>
      <c r="L28" s="14" t="s">
        <v>37</v>
      </c>
      <c r="M28" s="14" t="str">
        <f t="shared" si="0"/>
        <v>なし</v>
      </c>
      <c r="N28" s="94" t="s">
        <v>38</v>
      </c>
      <c r="O28" s="13"/>
      <c r="P28" s="13"/>
      <c r="Q28" s="13"/>
      <c r="R28" s="96"/>
      <c r="T28" s="134" t="s">
        <v>32</v>
      </c>
    </row>
    <row r="29" spans="2:20">
      <c r="B29" s="52"/>
      <c r="C29" s="21" t="s">
        <v>59</v>
      </c>
      <c r="D29" s="21"/>
      <c r="E29" s="21" t="s">
        <v>60</v>
      </c>
      <c r="F29" s="3" t="s">
        <v>35</v>
      </c>
      <c r="G29" s="21"/>
      <c r="H29" s="40" t="s">
        <v>25</v>
      </c>
      <c r="I29" s="125"/>
      <c r="J29" s="21"/>
      <c r="K29" s="41" t="s">
        <v>37</v>
      </c>
      <c r="L29" s="18" t="s">
        <v>37</v>
      </c>
      <c r="M29" s="14" t="str">
        <f t="shared" si="0"/>
        <v>なし</v>
      </c>
      <c r="N29" s="21" t="s">
        <v>61</v>
      </c>
      <c r="O29" s="21"/>
      <c r="P29" s="21"/>
      <c r="Q29" s="21"/>
      <c r="R29" s="67"/>
      <c r="T29" s="134" t="s">
        <v>32</v>
      </c>
    </row>
    <row r="30" spans="2:20">
      <c r="B30" s="53"/>
      <c r="C30" s="101" t="s">
        <v>62</v>
      </c>
      <c r="D30" s="101"/>
      <c r="E30" s="101" t="s">
        <v>86</v>
      </c>
      <c r="F30" s="102" t="s">
        <v>64</v>
      </c>
      <c r="G30" s="101"/>
      <c r="H30" s="103"/>
      <c r="I30" s="129"/>
      <c r="J30" s="101"/>
      <c r="K30" s="104"/>
      <c r="L30" s="113"/>
      <c r="M30" s="29"/>
      <c r="N30" s="101" t="s">
        <v>87</v>
      </c>
      <c r="O30" s="101"/>
      <c r="P30" s="101"/>
      <c r="Q30" s="101"/>
      <c r="R30" s="105"/>
    </row>
    <row r="31" spans="2:20">
      <c r="B31" s="51">
        <v>5</v>
      </c>
      <c r="C31" s="9" t="s">
        <v>88</v>
      </c>
      <c r="D31" s="9" t="s">
        <v>89</v>
      </c>
      <c r="E31" s="9" t="s">
        <v>68</v>
      </c>
      <c r="F31" s="45" t="s">
        <v>35</v>
      </c>
      <c r="G31" s="9" t="s">
        <v>24</v>
      </c>
      <c r="H31" s="46" t="s">
        <v>25</v>
      </c>
      <c r="I31" s="123"/>
      <c r="J31" s="9" t="s">
        <v>69</v>
      </c>
      <c r="K31" s="47" t="s">
        <v>27</v>
      </c>
      <c r="L31" s="10" t="s">
        <v>27</v>
      </c>
      <c r="M31" s="10" t="str">
        <f t="shared" si="0"/>
        <v>なし</v>
      </c>
      <c r="N31" s="9" t="s">
        <v>70</v>
      </c>
      <c r="O31" s="9" t="s">
        <v>70</v>
      </c>
      <c r="P31" s="9" t="s">
        <v>70</v>
      </c>
      <c r="Q31" s="9"/>
      <c r="R31" s="66" t="s">
        <v>31</v>
      </c>
      <c r="T31" s="134" t="s">
        <v>32</v>
      </c>
    </row>
    <row r="32" spans="2:20">
      <c r="B32" s="52"/>
      <c r="C32" s="13" t="s">
        <v>33</v>
      </c>
      <c r="D32" s="13"/>
      <c r="E32" s="15" t="s">
        <v>34</v>
      </c>
      <c r="F32" s="91" t="s">
        <v>35</v>
      </c>
      <c r="G32" s="13"/>
      <c r="H32" s="92" t="s">
        <v>25</v>
      </c>
      <c r="I32" s="124"/>
      <c r="J32" s="13"/>
      <c r="K32" s="93" t="s">
        <v>37</v>
      </c>
      <c r="L32" s="14" t="s">
        <v>37</v>
      </c>
      <c r="M32" s="14" t="str">
        <f t="shared" si="0"/>
        <v>なし</v>
      </c>
      <c r="N32" s="94" t="s">
        <v>38</v>
      </c>
      <c r="O32" s="13"/>
      <c r="P32" s="13"/>
      <c r="Q32" s="13"/>
      <c r="R32" s="96"/>
      <c r="T32" s="134" t="s">
        <v>32</v>
      </c>
    </row>
    <row r="33" spans="2:20">
      <c r="B33" s="52"/>
      <c r="C33" s="13" t="s">
        <v>39</v>
      </c>
      <c r="D33" s="13"/>
      <c r="E33" s="13" t="s">
        <v>90</v>
      </c>
      <c r="F33" s="91" t="s">
        <v>35</v>
      </c>
      <c r="G33" s="13"/>
      <c r="H33" s="92" t="s">
        <v>25</v>
      </c>
      <c r="I33" s="124"/>
      <c r="J33" s="13"/>
      <c r="K33" s="93" t="s">
        <v>37</v>
      </c>
      <c r="L33" s="14" t="s">
        <v>37</v>
      </c>
      <c r="M33" s="14" t="str">
        <f t="shared" si="0"/>
        <v>なし</v>
      </c>
      <c r="N33" s="94" t="s">
        <v>38</v>
      </c>
      <c r="O33" s="13"/>
      <c r="P33" s="13"/>
      <c r="Q33" s="13"/>
      <c r="R33" s="96"/>
      <c r="T33" s="134" t="s">
        <v>32</v>
      </c>
    </row>
    <row r="34" spans="2:20">
      <c r="B34" s="52"/>
      <c r="C34" s="13" t="s">
        <v>41</v>
      </c>
      <c r="D34" s="13"/>
      <c r="E34" s="13" t="s">
        <v>91</v>
      </c>
      <c r="F34" s="91" t="s">
        <v>35</v>
      </c>
      <c r="G34" s="13"/>
      <c r="H34" s="92" t="s">
        <v>25</v>
      </c>
      <c r="I34" s="124"/>
      <c r="J34" s="13"/>
      <c r="K34" s="93" t="s">
        <v>37</v>
      </c>
      <c r="L34" s="14" t="s">
        <v>37</v>
      </c>
      <c r="M34" s="14" t="str">
        <f t="shared" si="0"/>
        <v>なし</v>
      </c>
      <c r="N34" s="94" t="s">
        <v>38</v>
      </c>
      <c r="O34" s="13"/>
      <c r="P34" s="13"/>
      <c r="Q34" s="13"/>
      <c r="R34" s="96"/>
      <c r="T34" s="134" t="s">
        <v>32</v>
      </c>
    </row>
    <row r="35" spans="2:20">
      <c r="B35" s="52"/>
      <c r="C35" s="13" t="s">
        <v>52</v>
      </c>
      <c r="D35" s="13"/>
      <c r="E35" s="13" t="s">
        <v>92</v>
      </c>
      <c r="F35" s="91" t="s">
        <v>35</v>
      </c>
      <c r="G35" s="13"/>
      <c r="H35" s="92" t="s">
        <v>25</v>
      </c>
      <c r="I35" s="124"/>
      <c r="J35" s="13"/>
      <c r="K35" s="93" t="s">
        <v>27</v>
      </c>
      <c r="L35" s="14" t="s">
        <v>27</v>
      </c>
      <c r="M35" s="14" t="str">
        <f t="shared" si="0"/>
        <v>なし</v>
      </c>
      <c r="N35" s="94" t="s">
        <v>74</v>
      </c>
      <c r="O35" s="95" t="s">
        <v>55</v>
      </c>
      <c r="P35" s="95" t="s">
        <v>56</v>
      </c>
      <c r="Q35" s="13"/>
      <c r="R35" s="96" t="s">
        <v>31</v>
      </c>
      <c r="T35" s="134" t="s">
        <v>32</v>
      </c>
    </row>
    <row r="36" spans="2:20">
      <c r="B36" s="52"/>
      <c r="C36" s="13" t="s">
        <v>57</v>
      </c>
      <c r="D36" s="13"/>
      <c r="E36" s="13" t="s">
        <v>93</v>
      </c>
      <c r="F36" s="91" t="s">
        <v>35</v>
      </c>
      <c r="G36" s="13"/>
      <c r="H36" s="92" t="s">
        <v>25</v>
      </c>
      <c r="I36" s="124"/>
      <c r="J36" s="13"/>
      <c r="K36" s="93" t="s">
        <v>37</v>
      </c>
      <c r="L36" s="14" t="s">
        <v>37</v>
      </c>
      <c r="M36" s="14" t="str">
        <f t="shared" si="0"/>
        <v>なし</v>
      </c>
      <c r="N36" s="94" t="s">
        <v>38</v>
      </c>
      <c r="O36" s="13"/>
      <c r="P36" s="13"/>
      <c r="Q36" s="13"/>
      <c r="R36" s="96"/>
      <c r="T36" s="134" t="s">
        <v>32</v>
      </c>
    </row>
    <row r="37" spans="2:20">
      <c r="B37" s="52"/>
      <c r="C37" s="13" t="s">
        <v>59</v>
      </c>
      <c r="D37" s="13"/>
      <c r="E37" s="21" t="s">
        <v>60</v>
      </c>
      <c r="F37" s="91" t="s">
        <v>35</v>
      </c>
      <c r="G37" s="13"/>
      <c r="H37" s="92" t="s">
        <v>25</v>
      </c>
      <c r="I37" s="124"/>
      <c r="J37" s="13"/>
      <c r="K37" s="93" t="s">
        <v>37</v>
      </c>
      <c r="L37" s="14" t="s">
        <v>37</v>
      </c>
      <c r="M37" s="14" t="str">
        <f t="shared" si="0"/>
        <v>なし</v>
      </c>
      <c r="N37" s="13" t="s">
        <v>94</v>
      </c>
      <c r="O37" s="13"/>
      <c r="P37" s="13"/>
      <c r="Q37" s="13"/>
      <c r="R37" s="96"/>
      <c r="T37" s="134" t="s">
        <v>32</v>
      </c>
    </row>
    <row r="38" spans="2:20">
      <c r="B38" s="53"/>
      <c r="C38" s="28" t="s">
        <v>62</v>
      </c>
      <c r="D38" s="28"/>
      <c r="E38" s="28" t="s">
        <v>95</v>
      </c>
      <c r="F38" s="83" t="s">
        <v>64</v>
      </c>
      <c r="G38" s="28"/>
      <c r="H38" s="81"/>
      <c r="I38" s="126"/>
      <c r="J38" s="28"/>
      <c r="K38" s="84"/>
      <c r="L38" s="29"/>
      <c r="M38" s="29"/>
      <c r="N38" s="85" t="s">
        <v>65</v>
      </c>
      <c r="O38" s="28"/>
      <c r="P38" s="28"/>
      <c r="Q38" s="28"/>
      <c r="R38" s="87"/>
    </row>
    <row r="39" spans="2:20">
      <c r="B39" s="54">
        <v>6</v>
      </c>
      <c r="C39" s="58" t="s">
        <v>96</v>
      </c>
      <c r="D39" s="58" t="s">
        <v>97</v>
      </c>
      <c r="E39" s="58" t="s">
        <v>68</v>
      </c>
      <c r="F39" s="55" t="s">
        <v>35</v>
      </c>
      <c r="G39" s="58" t="s">
        <v>24</v>
      </c>
      <c r="H39" s="56" t="s">
        <v>25</v>
      </c>
      <c r="I39" s="128"/>
      <c r="J39" s="58" t="s">
        <v>69</v>
      </c>
      <c r="K39" s="57" t="s">
        <v>27</v>
      </c>
      <c r="L39" s="110" t="s">
        <v>27</v>
      </c>
      <c r="M39" s="110" t="str">
        <f t="shared" si="0"/>
        <v>なし</v>
      </c>
      <c r="N39" s="58" t="s">
        <v>70</v>
      </c>
      <c r="O39" s="58" t="s">
        <v>70</v>
      </c>
      <c r="P39" s="58" t="s">
        <v>70</v>
      </c>
      <c r="Q39" s="58"/>
      <c r="R39" s="69" t="s">
        <v>31</v>
      </c>
      <c r="T39" s="134" t="s">
        <v>32</v>
      </c>
    </row>
    <row r="40" spans="2:20">
      <c r="B40" s="88"/>
      <c r="C40" s="59" t="s">
        <v>98</v>
      </c>
      <c r="D40" s="59" t="s">
        <v>99</v>
      </c>
      <c r="E40" s="59" t="s">
        <v>100</v>
      </c>
      <c r="F40" s="42" t="s">
        <v>64</v>
      </c>
      <c r="G40" s="59" t="s">
        <v>24</v>
      </c>
      <c r="H40" s="43"/>
      <c r="I40" s="130"/>
      <c r="J40" s="59"/>
      <c r="K40" s="44"/>
      <c r="L40" s="33"/>
      <c r="M40" s="111"/>
      <c r="N40" s="59"/>
      <c r="O40" s="61"/>
      <c r="P40" s="61"/>
      <c r="Q40" s="61"/>
      <c r="R40" s="61"/>
    </row>
    <row r="41" spans="2:20">
      <c r="B41" s="88"/>
      <c r="C41" s="76" t="s">
        <v>101</v>
      </c>
      <c r="D41" s="76" t="s">
        <v>102</v>
      </c>
      <c r="E41" s="76" t="s">
        <v>103</v>
      </c>
      <c r="F41" s="76" t="s">
        <v>64</v>
      </c>
      <c r="G41" s="76" t="s">
        <v>24</v>
      </c>
      <c r="H41" s="78"/>
      <c r="I41" s="131"/>
      <c r="J41" s="76"/>
      <c r="K41" s="89"/>
      <c r="L41" s="111"/>
      <c r="M41" s="111"/>
      <c r="N41" s="76"/>
      <c r="O41" s="79"/>
      <c r="P41" s="79"/>
      <c r="Q41" s="79"/>
      <c r="R41" s="79"/>
    </row>
    <row r="42" spans="2:20">
      <c r="B42" s="88"/>
      <c r="C42" s="76" t="s">
        <v>104</v>
      </c>
      <c r="D42" s="76" t="s">
        <v>105</v>
      </c>
      <c r="E42" s="76" t="s">
        <v>106</v>
      </c>
      <c r="F42" s="76" t="s">
        <v>64</v>
      </c>
      <c r="G42" s="76" t="s">
        <v>24</v>
      </c>
      <c r="H42" s="78"/>
      <c r="I42" s="131"/>
      <c r="J42" s="76"/>
      <c r="K42" s="89"/>
      <c r="L42" s="111"/>
      <c r="M42" s="111"/>
      <c r="N42" s="76"/>
      <c r="O42" s="79"/>
      <c r="P42" s="79"/>
      <c r="Q42" s="79"/>
      <c r="R42" s="79"/>
    </row>
    <row r="43" spans="2:20">
      <c r="B43" s="88"/>
      <c r="C43" s="76" t="s">
        <v>107</v>
      </c>
      <c r="D43" s="76" t="s">
        <v>108</v>
      </c>
      <c r="E43" s="76" t="s">
        <v>109</v>
      </c>
      <c r="F43" s="76" t="s">
        <v>64</v>
      </c>
      <c r="G43" s="76" t="s">
        <v>24</v>
      </c>
      <c r="H43" s="78"/>
      <c r="I43" s="131"/>
      <c r="J43" s="76"/>
      <c r="K43" s="89"/>
      <c r="L43" s="111"/>
      <c r="M43" s="111"/>
      <c r="N43" s="76"/>
      <c r="O43" s="79"/>
      <c r="P43" s="79"/>
      <c r="Q43" s="79"/>
      <c r="R43" s="79"/>
    </row>
    <row r="44" spans="2:20">
      <c r="B44" s="88"/>
      <c r="C44" s="76" t="s">
        <v>110</v>
      </c>
      <c r="D44" s="76" t="s">
        <v>111</v>
      </c>
      <c r="E44" s="76" t="s">
        <v>112</v>
      </c>
      <c r="F44" s="76" t="s">
        <v>64</v>
      </c>
      <c r="G44" s="76" t="s">
        <v>24</v>
      </c>
      <c r="H44" s="78"/>
      <c r="I44" s="131"/>
      <c r="J44" s="76"/>
      <c r="K44" s="89"/>
      <c r="L44" s="111"/>
      <c r="M44" s="111"/>
      <c r="N44" s="76"/>
      <c r="O44" s="79"/>
      <c r="P44" s="79"/>
      <c r="Q44" s="79"/>
      <c r="R44" s="79"/>
      <c r="S44" s="1" t="s">
        <v>113</v>
      </c>
    </row>
    <row r="45" spans="2:20">
      <c r="B45" s="74">
        <v>7</v>
      </c>
      <c r="C45" s="58" t="s">
        <v>114</v>
      </c>
      <c r="D45" s="58" t="s">
        <v>115</v>
      </c>
      <c r="E45" s="58" t="s">
        <v>100</v>
      </c>
      <c r="F45" s="80" t="s">
        <v>35</v>
      </c>
      <c r="G45" s="58" t="s">
        <v>24</v>
      </c>
      <c r="H45" s="56" t="s">
        <v>25</v>
      </c>
      <c r="I45" s="128"/>
      <c r="J45" s="58" t="s">
        <v>69</v>
      </c>
      <c r="K45" s="57" t="s">
        <v>37</v>
      </c>
      <c r="L45" s="110" t="s">
        <v>37</v>
      </c>
      <c r="M45" s="110" t="str">
        <f t="shared" si="0"/>
        <v>なし</v>
      </c>
      <c r="N45" s="58" t="s">
        <v>116</v>
      </c>
      <c r="O45" s="58" t="s">
        <v>24</v>
      </c>
      <c r="P45" s="58" t="s">
        <v>24</v>
      </c>
      <c r="Q45" s="58"/>
      <c r="R45" s="74"/>
      <c r="T45" s="134" t="s">
        <v>32</v>
      </c>
    </row>
    <row r="46" spans="2:20">
      <c r="B46" s="74">
        <v>8</v>
      </c>
      <c r="C46" s="58" t="s">
        <v>117</v>
      </c>
      <c r="D46" s="58" t="s">
        <v>118</v>
      </c>
      <c r="E46" s="58" t="s">
        <v>119</v>
      </c>
      <c r="F46" s="80" t="s">
        <v>35</v>
      </c>
      <c r="G46" s="58" t="s">
        <v>24</v>
      </c>
      <c r="H46" s="56" t="s">
        <v>25</v>
      </c>
      <c r="I46" s="128"/>
      <c r="J46" s="58" t="s">
        <v>26</v>
      </c>
      <c r="K46" s="57" t="s">
        <v>27</v>
      </c>
      <c r="L46" s="110" t="s">
        <v>27</v>
      </c>
      <c r="M46" s="110" t="str">
        <f t="shared" si="0"/>
        <v>なし</v>
      </c>
      <c r="N46" s="58" t="s">
        <v>120</v>
      </c>
      <c r="O46" s="58" t="s">
        <v>121</v>
      </c>
      <c r="P46" s="58" t="s">
        <v>122</v>
      </c>
      <c r="Q46" s="58"/>
      <c r="R46" s="69" t="s">
        <v>31</v>
      </c>
      <c r="T46" s="134" t="s">
        <v>32</v>
      </c>
    </row>
    <row r="47" spans="2:20">
      <c r="B47" s="74">
        <v>9</v>
      </c>
      <c r="C47" s="21" t="s">
        <v>123</v>
      </c>
      <c r="D47" s="21" t="s">
        <v>124</v>
      </c>
      <c r="E47" s="21" t="s">
        <v>125</v>
      </c>
      <c r="F47" s="3" t="s">
        <v>35</v>
      </c>
      <c r="G47" s="21" t="s">
        <v>24</v>
      </c>
      <c r="H47" s="40" t="s">
        <v>25</v>
      </c>
      <c r="I47" s="125"/>
      <c r="J47" s="21" t="s">
        <v>69</v>
      </c>
      <c r="K47" s="41" t="s">
        <v>27</v>
      </c>
      <c r="L47" s="18" t="s">
        <v>27</v>
      </c>
      <c r="M47" s="110" t="str">
        <f t="shared" si="0"/>
        <v>なし</v>
      </c>
      <c r="N47" s="21" t="s">
        <v>120</v>
      </c>
      <c r="O47" s="21" t="s">
        <v>121</v>
      </c>
      <c r="P47" s="21" t="s">
        <v>122</v>
      </c>
      <c r="Q47" s="21"/>
      <c r="R47" s="67" t="s">
        <v>31</v>
      </c>
      <c r="T47" s="134" t="s">
        <v>32</v>
      </c>
    </row>
    <row r="48" spans="2:20">
      <c r="B48" s="70">
        <v>10</v>
      </c>
      <c r="C48" s="9" t="s">
        <v>126</v>
      </c>
      <c r="D48" s="9" t="s">
        <v>127</v>
      </c>
      <c r="E48" s="9" t="s">
        <v>128</v>
      </c>
      <c r="F48" s="45" t="s">
        <v>35</v>
      </c>
      <c r="G48" s="9" t="s">
        <v>24</v>
      </c>
      <c r="H48" s="46" t="s">
        <v>25</v>
      </c>
      <c r="I48" s="123"/>
      <c r="J48" s="9" t="s">
        <v>69</v>
      </c>
      <c r="K48" s="47" t="s">
        <v>37</v>
      </c>
      <c r="L48" s="10" t="s">
        <v>37</v>
      </c>
      <c r="M48" s="41" t="str">
        <f t="shared" si="0"/>
        <v>なし</v>
      </c>
      <c r="N48" s="9" t="s">
        <v>94</v>
      </c>
      <c r="O48" s="70"/>
      <c r="P48" s="70"/>
      <c r="Q48" s="70"/>
      <c r="R48" s="70"/>
      <c r="T48" s="134" t="s">
        <v>32</v>
      </c>
    </row>
    <row r="49" spans="2:20">
      <c r="B49" s="60"/>
      <c r="C49" s="13" t="s">
        <v>129</v>
      </c>
      <c r="D49" s="13"/>
      <c r="E49" s="13" t="s">
        <v>130</v>
      </c>
      <c r="F49" s="91" t="s">
        <v>35</v>
      </c>
      <c r="G49" s="13" t="s">
        <v>24</v>
      </c>
      <c r="H49" s="92" t="s">
        <v>25</v>
      </c>
      <c r="I49" s="124"/>
      <c r="J49" s="13" t="s">
        <v>69</v>
      </c>
      <c r="K49" s="93" t="s">
        <v>37</v>
      </c>
      <c r="L49" s="14" t="s">
        <v>37</v>
      </c>
      <c r="M49" s="14" t="str">
        <f t="shared" si="0"/>
        <v>なし</v>
      </c>
      <c r="N49" s="13" t="s">
        <v>94</v>
      </c>
      <c r="O49" s="15"/>
      <c r="P49" s="15"/>
      <c r="Q49" s="15"/>
      <c r="R49" s="15"/>
      <c r="T49" s="134" t="s">
        <v>32</v>
      </c>
    </row>
    <row r="50" spans="2:20">
      <c r="B50" s="60"/>
      <c r="C50" s="13" t="s">
        <v>131</v>
      </c>
      <c r="D50" s="13"/>
      <c r="E50" s="13" t="s">
        <v>132</v>
      </c>
      <c r="F50" s="91" t="s">
        <v>35</v>
      </c>
      <c r="G50" s="13" t="s">
        <v>24</v>
      </c>
      <c r="H50" s="92" t="s">
        <v>36</v>
      </c>
      <c r="I50" s="124"/>
      <c r="J50" s="13" t="s">
        <v>69</v>
      </c>
      <c r="K50" s="93" t="s">
        <v>37</v>
      </c>
      <c r="L50" s="14" t="s">
        <v>37</v>
      </c>
      <c r="M50" s="14" t="str">
        <f t="shared" si="0"/>
        <v>なし</v>
      </c>
      <c r="N50" s="13" t="s">
        <v>94</v>
      </c>
      <c r="O50" s="15"/>
      <c r="P50" s="15"/>
      <c r="Q50" s="15"/>
      <c r="R50" s="15"/>
      <c r="T50" s="134" t="s">
        <v>32</v>
      </c>
    </row>
    <row r="51" spans="2:20">
      <c r="B51" s="60"/>
      <c r="C51" s="13" t="s">
        <v>133</v>
      </c>
      <c r="D51" s="13"/>
      <c r="E51" s="13" t="s">
        <v>134</v>
      </c>
      <c r="F51" s="91" t="s">
        <v>35</v>
      </c>
      <c r="G51" s="13" t="s">
        <v>24</v>
      </c>
      <c r="H51" s="92" t="s">
        <v>25</v>
      </c>
      <c r="I51" s="124"/>
      <c r="J51" s="13" t="s">
        <v>69</v>
      </c>
      <c r="K51" s="93" t="s">
        <v>37</v>
      </c>
      <c r="L51" s="14" t="s">
        <v>37</v>
      </c>
      <c r="M51" s="14" t="str">
        <f t="shared" si="0"/>
        <v>なし</v>
      </c>
      <c r="N51" s="13" t="s">
        <v>94</v>
      </c>
      <c r="O51" s="15"/>
      <c r="P51" s="15"/>
      <c r="Q51" s="15"/>
      <c r="R51" s="15"/>
      <c r="T51" s="134" t="s">
        <v>32</v>
      </c>
    </row>
    <row r="52" spans="2:20">
      <c r="B52" s="60"/>
      <c r="C52" s="13" t="s">
        <v>135</v>
      </c>
      <c r="D52" s="13"/>
      <c r="E52" s="13" t="s">
        <v>136</v>
      </c>
      <c r="F52" s="91" t="s">
        <v>35</v>
      </c>
      <c r="G52" s="13" t="s">
        <v>24</v>
      </c>
      <c r="H52" s="92" t="s">
        <v>25</v>
      </c>
      <c r="I52" s="124"/>
      <c r="J52" s="13" t="s">
        <v>69</v>
      </c>
      <c r="K52" s="93" t="s">
        <v>37</v>
      </c>
      <c r="L52" s="14" t="s">
        <v>37</v>
      </c>
      <c r="M52" s="14" t="str">
        <f t="shared" si="0"/>
        <v>なし</v>
      </c>
      <c r="N52" s="13" t="s">
        <v>94</v>
      </c>
      <c r="O52" s="15"/>
      <c r="P52" s="15"/>
      <c r="Q52" s="15"/>
      <c r="R52" s="15"/>
      <c r="T52" s="134" t="s">
        <v>32</v>
      </c>
    </row>
    <row r="53" spans="2:20">
      <c r="B53" s="60"/>
      <c r="C53" s="13" t="s">
        <v>137</v>
      </c>
      <c r="D53" s="13"/>
      <c r="E53" s="13" t="s">
        <v>138</v>
      </c>
      <c r="F53" s="91" t="s">
        <v>35</v>
      </c>
      <c r="G53" s="13" t="s">
        <v>24</v>
      </c>
      <c r="H53" s="92" t="s">
        <v>25</v>
      </c>
      <c r="I53" s="124"/>
      <c r="J53" s="13" t="s">
        <v>69</v>
      </c>
      <c r="K53" s="93" t="s">
        <v>27</v>
      </c>
      <c r="L53" s="14" t="s">
        <v>27</v>
      </c>
      <c r="M53" s="14" t="str">
        <f t="shared" si="0"/>
        <v>なし</v>
      </c>
      <c r="N53" s="13" t="s">
        <v>139</v>
      </c>
      <c r="O53" s="13" t="s">
        <v>121</v>
      </c>
      <c r="P53" s="13" t="s">
        <v>122</v>
      </c>
      <c r="Q53" s="13"/>
      <c r="R53" s="96" t="s">
        <v>31</v>
      </c>
      <c r="T53" s="134" t="s">
        <v>32</v>
      </c>
    </row>
    <row r="54" spans="2:20">
      <c r="B54" s="73"/>
      <c r="C54" s="17" t="s">
        <v>140</v>
      </c>
      <c r="D54" s="17"/>
      <c r="E54" s="17" t="s">
        <v>141</v>
      </c>
      <c r="F54" s="48" t="s">
        <v>35</v>
      </c>
      <c r="G54" s="17" t="s">
        <v>24</v>
      </c>
      <c r="H54" s="49" t="s">
        <v>25</v>
      </c>
      <c r="I54" s="127"/>
      <c r="J54" s="17" t="s">
        <v>69</v>
      </c>
      <c r="K54" s="50" t="s">
        <v>27</v>
      </c>
      <c r="L54" s="112" t="s">
        <v>27</v>
      </c>
      <c r="M54" s="41" t="str">
        <f t="shared" si="0"/>
        <v>なし</v>
      </c>
      <c r="N54" s="17" t="s">
        <v>45</v>
      </c>
      <c r="O54" s="17" t="s">
        <v>121</v>
      </c>
      <c r="P54" s="17" t="s">
        <v>122</v>
      </c>
      <c r="Q54" s="17"/>
      <c r="R54" s="68" t="s">
        <v>31</v>
      </c>
      <c r="T54" s="134" t="s">
        <v>32</v>
      </c>
    </row>
    <row r="55" spans="2:20">
      <c r="B55" s="74">
        <v>11</v>
      </c>
      <c r="C55" s="58" t="s">
        <v>142</v>
      </c>
      <c r="D55" s="58" t="s">
        <v>143</v>
      </c>
      <c r="E55" s="58" t="s">
        <v>112</v>
      </c>
      <c r="F55" s="55" t="s">
        <v>35</v>
      </c>
      <c r="G55" s="58" t="s">
        <v>24</v>
      </c>
      <c r="H55" s="56" t="s">
        <v>25</v>
      </c>
      <c r="I55" s="128"/>
      <c r="J55" s="58" t="s">
        <v>69</v>
      </c>
      <c r="K55" s="57" t="s">
        <v>27</v>
      </c>
      <c r="L55" s="110" t="s">
        <v>27</v>
      </c>
      <c r="M55" s="110" t="str">
        <f t="shared" si="0"/>
        <v>なし</v>
      </c>
      <c r="N55" s="58" t="s">
        <v>45</v>
      </c>
      <c r="O55" s="58" t="s">
        <v>121</v>
      </c>
      <c r="P55" s="58" t="s">
        <v>47</v>
      </c>
      <c r="Q55" s="58"/>
      <c r="R55" s="68" t="s">
        <v>31</v>
      </c>
      <c r="S55" s="1" t="s">
        <v>113</v>
      </c>
      <c r="T55" s="134" t="s">
        <v>32</v>
      </c>
    </row>
    <row r="56" spans="2:20">
      <c r="B56" s="74">
        <v>12</v>
      </c>
      <c r="C56" s="58" t="s">
        <v>144</v>
      </c>
      <c r="D56" s="58" t="s">
        <v>145</v>
      </c>
      <c r="E56" s="58" t="s">
        <v>146</v>
      </c>
      <c r="F56" s="55" t="s">
        <v>147</v>
      </c>
      <c r="G56" s="58" t="s">
        <v>24</v>
      </c>
      <c r="H56" s="56" t="s">
        <v>148</v>
      </c>
      <c r="I56" s="128" t="s">
        <v>36</v>
      </c>
      <c r="J56" s="58" t="s">
        <v>149</v>
      </c>
      <c r="K56" s="115"/>
      <c r="L56" s="110"/>
      <c r="M56" s="110" t="str">
        <f t="shared" si="0"/>
        <v>なし</v>
      </c>
      <c r="N56" s="58" t="s">
        <v>150</v>
      </c>
      <c r="O56" s="74"/>
      <c r="P56" s="74"/>
      <c r="Q56" s="74" t="s">
        <v>151</v>
      </c>
      <c r="R56" s="74"/>
      <c r="T56" s="134" t="s">
        <v>152</v>
      </c>
    </row>
    <row r="57" spans="2:20">
      <c r="B57" s="74">
        <v>13</v>
      </c>
      <c r="C57" s="58" t="s">
        <v>153</v>
      </c>
      <c r="D57" s="58" t="s">
        <v>154</v>
      </c>
      <c r="E57" s="58" t="s">
        <v>155</v>
      </c>
      <c r="F57" s="55" t="s">
        <v>156</v>
      </c>
      <c r="G57" s="58" t="s">
        <v>24</v>
      </c>
      <c r="H57" s="56" t="s">
        <v>148</v>
      </c>
      <c r="I57" s="128" t="s">
        <v>36</v>
      </c>
      <c r="J57" s="58" t="s">
        <v>149</v>
      </c>
      <c r="K57" s="119" t="s">
        <v>27</v>
      </c>
      <c r="L57" s="119" t="s">
        <v>27</v>
      </c>
      <c r="M57" s="110" t="str">
        <f t="shared" si="0"/>
        <v>なし</v>
      </c>
      <c r="N57" s="58" t="s">
        <v>157</v>
      </c>
      <c r="O57" s="120" t="s">
        <v>158</v>
      </c>
      <c r="P57" s="58"/>
      <c r="Q57" s="74" t="s">
        <v>151</v>
      </c>
      <c r="R57" s="120"/>
      <c r="T57" s="134" t="s">
        <v>159</v>
      </c>
    </row>
    <row r="58" spans="2:20">
      <c r="B58" s="74">
        <v>14</v>
      </c>
      <c r="C58" s="58" t="s">
        <v>160</v>
      </c>
      <c r="D58" s="58" t="s">
        <v>161</v>
      </c>
      <c r="E58" s="58" t="s">
        <v>162</v>
      </c>
      <c r="F58" s="55" t="s">
        <v>156</v>
      </c>
      <c r="G58" s="58" t="s">
        <v>24</v>
      </c>
      <c r="H58" s="56" t="s">
        <v>148</v>
      </c>
      <c r="I58" s="128" t="s">
        <v>36</v>
      </c>
      <c r="J58" s="58" t="s">
        <v>149</v>
      </c>
      <c r="K58" s="119" t="s">
        <v>27</v>
      </c>
      <c r="L58" s="119" t="s">
        <v>27</v>
      </c>
      <c r="M58" s="110" t="str">
        <f t="shared" si="0"/>
        <v>なし</v>
      </c>
      <c r="N58" s="58" t="s">
        <v>157</v>
      </c>
      <c r="O58" s="120" t="s">
        <v>163</v>
      </c>
      <c r="P58" s="58"/>
      <c r="Q58" s="74" t="s">
        <v>151</v>
      </c>
      <c r="R58" s="120"/>
      <c r="T58" s="134" t="s">
        <v>164</v>
      </c>
    </row>
    <row r="59" spans="2:20">
      <c r="B59" s="74">
        <v>15</v>
      </c>
      <c r="C59" s="58" t="s">
        <v>165</v>
      </c>
      <c r="D59" s="58" t="s">
        <v>166</v>
      </c>
      <c r="E59" s="58" t="s">
        <v>167</v>
      </c>
      <c r="F59" s="55" t="s">
        <v>156</v>
      </c>
      <c r="G59" s="58" t="s">
        <v>24</v>
      </c>
      <c r="H59" s="56" t="s">
        <v>148</v>
      </c>
      <c r="I59" s="128" t="s">
        <v>36</v>
      </c>
      <c r="J59" s="58" t="s">
        <v>149</v>
      </c>
      <c r="K59" s="119" t="s">
        <v>27</v>
      </c>
      <c r="L59" s="119" t="s">
        <v>27</v>
      </c>
      <c r="M59" s="110" t="str">
        <f t="shared" si="0"/>
        <v>なし</v>
      </c>
      <c r="N59" s="58" t="s">
        <v>157</v>
      </c>
      <c r="O59" s="120" t="s">
        <v>163</v>
      </c>
      <c r="P59" s="58"/>
      <c r="Q59" s="74" t="s">
        <v>151</v>
      </c>
      <c r="R59" s="120"/>
      <c r="T59" s="134" t="s">
        <v>168</v>
      </c>
    </row>
    <row r="60" spans="2:20">
      <c r="B60" s="61"/>
      <c r="C60" s="59" t="s">
        <v>169</v>
      </c>
      <c r="D60" s="59" t="s">
        <v>170</v>
      </c>
      <c r="E60" s="59" t="s">
        <v>100</v>
      </c>
      <c r="F60" s="76" t="s">
        <v>64</v>
      </c>
      <c r="G60" s="59" t="s">
        <v>24</v>
      </c>
      <c r="H60" s="43"/>
      <c r="I60" s="130"/>
      <c r="J60" s="59"/>
      <c r="K60" s="44"/>
      <c r="L60" s="33"/>
      <c r="M60" s="111"/>
      <c r="N60" s="59"/>
      <c r="O60" s="61"/>
      <c r="P60" s="61"/>
      <c r="Q60" s="61"/>
      <c r="R60" s="61"/>
    </row>
    <row r="61" spans="2:20">
      <c r="B61" s="79"/>
      <c r="C61" s="76" t="s">
        <v>171</v>
      </c>
      <c r="D61" s="76" t="s">
        <v>172</v>
      </c>
      <c r="E61" s="76" t="s">
        <v>103</v>
      </c>
      <c r="F61" s="76" t="s">
        <v>64</v>
      </c>
      <c r="G61" s="76" t="s">
        <v>24</v>
      </c>
      <c r="H61" s="78"/>
      <c r="I61" s="131"/>
      <c r="J61" s="76"/>
      <c r="K61" s="89"/>
      <c r="L61" s="111"/>
      <c r="M61" s="111"/>
      <c r="N61" s="76"/>
      <c r="O61" s="79"/>
      <c r="P61" s="79"/>
      <c r="Q61" s="79"/>
      <c r="R61" s="79"/>
    </row>
    <row r="62" spans="2:20">
      <c r="B62" s="79"/>
      <c r="C62" s="76" t="s">
        <v>173</v>
      </c>
      <c r="D62" s="76" t="s">
        <v>174</v>
      </c>
      <c r="E62" s="76" t="s">
        <v>106</v>
      </c>
      <c r="F62" s="76" t="s">
        <v>64</v>
      </c>
      <c r="G62" s="76" t="s">
        <v>24</v>
      </c>
      <c r="H62" s="78"/>
      <c r="I62" s="131"/>
      <c r="J62" s="76"/>
      <c r="K62" s="89"/>
      <c r="L62" s="111"/>
      <c r="M62" s="111"/>
      <c r="N62" s="76"/>
      <c r="O62" s="79"/>
      <c r="P62" s="79"/>
      <c r="Q62" s="79"/>
      <c r="R62" s="79"/>
    </row>
    <row r="63" spans="2:20">
      <c r="B63" s="79"/>
      <c r="C63" s="76" t="s">
        <v>175</v>
      </c>
      <c r="D63" s="76" t="s">
        <v>176</v>
      </c>
      <c r="E63" s="76" t="s">
        <v>109</v>
      </c>
      <c r="F63" s="76" t="s">
        <v>64</v>
      </c>
      <c r="G63" s="76" t="s">
        <v>24</v>
      </c>
      <c r="H63" s="78"/>
      <c r="I63" s="131"/>
      <c r="J63" s="76"/>
      <c r="K63" s="89"/>
      <c r="L63" s="111"/>
      <c r="M63" s="111"/>
      <c r="N63" s="76"/>
      <c r="O63" s="79"/>
      <c r="P63" s="79"/>
      <c r="Q63" s="79"/>
      <c r="R63" s="79"/>
    </row>
    <row r="64" spans="2:20">
      <c r="B64" s="79"/>
      <c r="C64" s="76" t="s">
        <v>177</v>
      </c>
      <c r="D64" s="76" t="s">
        <v>178</v>
      </c>
      <c r="E64" s="76" t="s">
        <v>179</v>
      </c>
      <c r="F64" s="76" t="s">
        <v>64</v>
      </c>
      <c r="G64" s="76" t="s">
        <v>24</v>
      </c>
      <c r="H64" s="78"/>
      <c r="I64" s="131"/>
      <c r="J64" s="76"/>
      <c r="K64" s="89"/>
      <c r="L64" s="111"/>
      <c r="M64" s="111"/>
      <c r="N64" s="76"/>
      <c r="O64" s="79"/>
      <c r="P64" s="79"/>
      <c r="Q64" s="79"/>
      <c r="R64" s="79"/>
      <c r="S64" s="1" t="s">
        <v>113</v>
      </c>
    </row>
    <row r="65" spans="2:20">
      <c r="B65" s="79"/>
      <c r="C65" s="76" t="s">
        <v>180</v>
      </c>
      <c r="D65" s="76" t="s">
        <v>181</v>
      </c>
      <c r="E65" s="76" t="s">
        <v>100</v>
      </c>
      <c r="F65" s="76" t="s">
        <v>64</v>
      </c>
      <c r="G65" s="76" t="s">
        <v>24</v>
      </c>
      <c r="H65" s="78"/>
      <c r="I65" s="131"/>
      <c r="J65" s="76"/>
      <c r="K65" s="89"/>
      <c r="L65" s="111"/>
      <c r="M65" s="111"/>
      <c r="N65" s="76"/>
      <c r="O65" s="79"/>
      <c r="P65" s="79"/>
      <c r="Q65" s="79"/>
      <c r="R65" s="79"/>
    </row>
    <row r="66" spans="2:20">
      <c r="B66" s="79"/>
      <c r="C66" s="76" t="s">
        <v>182</v>
      </c>
      <c r="D66" s="76" t="s">
        <v>183</v>
      </c>
      <c r="E66" s="76" t="s">
        <v>103</v>
      </c>
      <c r="F66" s="76" t="s">
        <v>64</v>
      </c>
      <c r="G66" s="76" t="s">
        <v>24</v>
      </c>
      <c r="H66" s="78"/>
      <c r="I66" s="131"/>
      <c r="J66" s="76"/>
      <c r="K66" s="89"/>
      <c r="L66" s="111"/>
      <c r="M66" s="111"/>
      <c r="N66" s="76"/>
      <c r="O66" s="79"/>
      <c r="P66" s="79"/>
      <c r="Q66" s="79"/>
      <c r="R66" s="79"/>
    </row>
    <row r="67" spans="2:20">
      <c r="B67" s="79"/>
      <c r="C67" s="76" t="s">
        <v>184</v>
      </c>
      <c r="D67" s="76" t="s">
        <v>185</v>
      </c>
      <c r="E67" s="79" t="s">
        <v>106</v>
      </c>
      <c r="F67" s="76" t="s">
        <v>64</v>
      </c>
      <c r="G67" s="76" t="s">
        <v>24</v>
      </c>
      <c r="H67" s="78"/>
      <c r="I67" s="131"/>
      <c r="J67" s="76"/>
      <c r="K67" s="89"/>
      <c r="L67" s="111"/>
      <c r="M67" s="111"/>
      <c r="N67" s="76"/>
      <c r="O67" s="79"/>
      <c r="P67" s="79"/>
      <c r="Q67" s="79"/>
      <c r="R67" s="79"/>
    </row>
    <row r="68" spans="2:20">
      <c r="B68" s="79"/>
      <c r="C68" s="76" t="s">
        <v>186</v>
      </c>
      <c r="D68" s="76" t="s">
        <v>187</v>
      </c>
      <c r="E68" s="76" t="s">
        <v>109</v>
      </c>
      <c r="F68" s="76" t="s">
        <v>64</v>
      </c>
      <c r="G68" s="76" t="s">
        <v>24</v>
      </c>
      <c r="H68" s="78"/>
      <c r="I68" s="131"/>
      <c r="J68" s="76"/>
      <c r="K68" s="89"/>
      <c r="L68" s="111"/>
      <c r="M68" s="111"/>
      <c r="N68" s="76"/>
      <c r="O68" s="79"/>
      <c r="P68" s="79"/>
      <c r="Q68" s="79"/>
      <c r="R68" s="79"/>
    </row>
    <row r="69" spans="2:20">
      <c r="B69" s="61"/>
      <c r="C69" s="59" t="s">
        <v>188</v>
      </c>
      <c r="D69" s="59" t="s">
        <v>189</v>
      </c>
      <c r="E69" s="59" t="s">
        <v>179</v>
      </c>
      <c r="F69" s="76" t="s">
        <v>64</v>
      </c>
      <c r="G69" s="59" t="s">
        <v>24</v>
      </c>
      <c r="H69" s="43"/>
      <c r="I69" s="130"/>
      <c r="J69" s="59"/>
      <c r="K69" s="44"/>
      <c r="L69" s="33"/>
      <c r="M69" s="111"/>
      <c r="N69" s="59"/>
      <c r="O69" s="61"/>
      <c r="P69" s="61"/>
      <c r="Q69" s="61"/>
      <c r="R69" s="61"/>
      <c r="S69" s="1" t="s">
        <v>113</v>
      </c>
    </row>
    <row r="70" spans="2:20" ht="45">
      <c r="B70" s="74">
        <v>16</v>
      </c>
      <c r="C70" s="58" t="s">
        <v>190</v>
      </c>
      <c r="D70" s="58" t="s">
        <v>191</v>
      </c>
      <c r="E70" s="58" t="s">
        <v>192</v>
      </c>
      <c r="F70" s="55" t="s">
        <v>156</v>
      </c>
      <c r="G70" s="58" t="s">
        <v>24</v>
      </c>
      <c r="H70" s="56" t="s">
        <v>148</v>
      </c>
      <c r="I70" s="128" t="s">
        <v>36</v>
      </c>
      <c r="J70" s="58" t="s">
        <v>149</v>
      </c>
      <c r="K70" s="110" t="s">
        <v>37</v>
      </c>
      <c r="L70" s="110" t="s">
        <v>37</v>
      </c>
      <c r="M70" s="110" t="str">
        <f t="shared" ref="M70:M119" si="1">IF(K70=L70,"なし","あり")</f>
        <v>なし</v>
      </c>
      <c r="N70" s="75" t="s">
        <v>193</v>
      </c>
      <c r="O70" s="75" t="s">
        <v>194</v>
      </c>
      <c r="P70" s="75" t="s">
        <v>195</v>
      </c>
      <c r="Q70" s="74" t="s">
        <v>151</v>
      </c>
      <c r="R70" s="74"/>
    </row>
    <row r="71" spans="2:20">
      <c r="B71" s="74">
        <v>17</v>
      </c>
      <c r="C71" s="21" t="s">
        <v>196</v>
      </c>
      <c r="D71" s="21" t="s">
        <v>197</v>
      </c>
      <c r="E71" s="21" t="s">
        <v>198</v>
      </c>
      <c r="F71" s="55" t="s">
        <v>156</v>
      </c>
      <c r="G71" s="21" t="s">
        <v>24</v>
      </c>
      <c r="H71" s="40" t="s">
        <v>148</v>
      </c>
      <c r="I71" s="125" t="s">
        <v>36</v>
      </c>
      <c r="J71" s="58" t="s">
        <v>149</v>
      </c>
      <c r="K71" s="119" t="s">
        <v>27</v>
      </c>
      <c r="L71" s="119" t="s">
        <v>27</v>
      </c>
      <c r="M71" s="110" t="str">
        <f t="shared" si="1"/>
        <v>なし</v>
      </c>
      <c r="N71" s="21" t="s">
        <v>157</v>
      </c>
      <c r="O71" s="120" t="s">
        <v>163</v>
      </c>
      <c r="P71" s="60"/>
      <c r="Q71" s="74" t="s">
        <v>151</v>
      </c>
      <c r="R71" s="121"/>
      <c r="S71" s="1" t="s">
        <v>199</v>
      </c>
      <c r="T71" s="134" t="s">
        <v>200</v>
      </c>
    </row>
    <row r="72" spans="2:20" ht="45">
      <c r="B72" s="74">
        <v>18</v>
      </c>
      <c r="C72" s="58" t="s">
        <v>201</v>
      </c>
      <c r="D72" s="58" t="s">
        <v>202</v>
      </c>
      <c r="E72" s="58" t="s">
        <v>203</v>
      </c>
      <c r="F72" s="55" t="s">
        <v>156</v>
      </c>
      <c r="G72" s="58" t="s">
        <v>24</v>
      </c>
      <c r="H72" s="56" t="s">
        <v>148</v>
      </c>
      <c r="I72" s="128" t="s">
        <v>36</v>
      </c>
      <c r="J72" s="58" t="s">
        <v>149</v>
      </c>
      <c r="K72" s="110" t="s">
        <v>37</v>
      </c>
      <c r="L72" s="110" t="s">
        <v>37</v>
      </c>
      <c r="M72" s="110" t="str">
        <f t="shared" si="1"/>
        <v>なし</v>
      </c>
      <c r="N72" s="75" t="s">
        <v>204</v>
      </c>
      <c r="O72" s="75" t="s">
        <v>194</v>
      </c>
      <c r="P72" s="75" t="s">
        <v>195</v>
      </c>
      <c r="Q72" s="74" t="s">
        <v>151</v>
      </c>
      <c r="R72" s="74"/>
      <c r="T72" s="134" t="s">
        <v>205</v>
      </c>
    </row>
    <row r="73" spans="2:20">
      <c r="B73" s="74">
        <v>19</v>
      </c>
      <c r="C73" s="21" t="s">
        <v>206</v>
      </c>
      <c r="D73" s="21" t="s">
        <v>207</v>
      </c>
      <c r="E73" s="21" t="s">
        <v>208</v>
      </c>
      <c r="F73" s="3" t="s">
        <v>156</v>
      </c>
      <c r="G73" s="21" t="s">
        <v>24</v>
      </c>
      <c r="H73" s="40"/>
      <c r="I73" s="125"/>
      <c r="J73" s="21" t="s">
        <v>26</v>
      </c>
      <c r="K73" s="110" t="s">
        <v>37</v>
      </c>
      <c r="L73" s="110" t="s">
        <v>37</v>
      </c>
      <c r="M73" s="110" t="str">
        <f t="shared" si="1"/>
        <v>なし</v>
      </c>
      <c r="N73" s="21" t="s">
        <v>116</v>
      </c>
      <c r="O73" s="21"/>
      <c r="P73" s="21"/>
      <c r="Q73" s="74" t="s">
        <v>209</v>
      </c>
      <c r="R73" s="60"/>
    </row>
    <row r="74" spans="2:20">
      <c r="B74" s="74"/>
      <c r="C74" s="58" t="s">
        <v>210</v>
      </c>
      <c r="D74" s="58" t="s">
        <v>211</v>
      </c>
      <c r="E74" s="58" t="s">
        <v>212</v>
      </c>
      <c r="F74" s="55" t="s">
        <v>156</v>
      </c>
      <c r="G74" s="58" t="s">
        <v>24</v>
      </c>
      <c r="H74" s="56"/>
      <c r="I74" s="128"/>
      <c r="J74" s="58"/>
      <c r="K74" s="122"/>
      <c r="L74" s="74"/>
      <c r="M74" s="110"/>
      <c r="N74" s="74" t="s">
        <v>213</v>
      </c>
      <c r="O74" s="74"/>
      <c r="P74" s="74"/>
      <c r="Q74" s="74" t="s">
        <v>209</v>
      </c>
      <c r="R74" s="74"/>
      <c r="S74" s="1" t="s">
        <v>113</v>
      </c>
    </row>
    <row r="75" spans="2:20">
      <c r="B75" s="74">
        <v>20</v>
      </c>
      <c r="C75" s="58" t="s">
        <v>214</v>
      </c>
      <c r="D75" s="58" t="s">
        <v>215</v>
      </c>
      <c r="E75" s="58" t="s">
        <v>216</v>
      </c>
      <c r="F75" s="55" t="s">
        <v>156</v>
      </c>
      <c r="G75" s="58" t="s">
        <v>24</v>
      </c>
      <c r="H75" s="56"/>
      <c r="I75" s="128"/>
      <c r="J75" s="58" t="s">
        <v>26</v>
      </c>
      <c r="K75" s="110" t="s">
        <v>37</v>
      </c>
      <c r="L75" s="110" t="s">
        <v>37</v>
      </c>
      <c r="M75" s="110" t="str">
        <f t="shared" si="1"/>
        <v>なし</v>
      </c>
      <c r="N75" s="58" t="s">
        <v>116</v>
      </c>
      <c r="O75" s="58"/>
      <c r="P75" s="58"/>
      <c r="Q75" s="74" t="s">
        <v>209</v>
      </c>
      <c r="R75" s="74"/>
    </row>
    <row r="76" spans="2:20">
      <c r="B76" s="74">
        <v>21</v>
      </c>
      <c r="C76" s="21" t="s">
        <v>217</v>
      </c>
      <c r="D76" s="21" t="s">
        <v>218</v>
      </c>
      <c r="E76" s="21" t="s">
        <v>219</v>
      </c>
      <c r="F76" s="3" t="s">
        <v>156</v>
      </c>
      <c r="G76" s="21" t="s">
        <v>24</v>
      </c>
      <c r="H76" s="40" t="s">
        <v>148</v>
      </c>
      <c r="I76" s="125" t="s">
        <v>36</v>
      </c>
      <c r="J76" s="58" t="s">
        <v>149</v>
      </c>
      <c r="K76" s="110" t="s">
        <v>37</v>
      </c>
      <c r="L76" s="110" t="s">
        <v>37</v>
      </c>
      <c r="M76" s="110" t="str">
        <f t="shared" si="1"/>
        <v>なし</v>
      </c>
      <c r="N76" s="58" t="s">
        <v>116</v>
      </c>
      <c r="O76" s="21"/>
      <c r="P76" s="21"/>
      <c r="Q76" s="58" t="s">
        <v>151</v>
      </c>
      <c r="R76" s="60"/>
      <c r="S76" s="1" t="s">
        <v>199</v>
      </c>
      <c r="T76" s="134" t="s">
        <v>220</v>
      </c>
    </row>
    <row r="77" spans="2:20">
      <c r="B77" s="74">
        <v>22</v>
      </c>
      <c r="C77" s="58" t="s">
        <v>221</v>
      </c>
      <c r="D77" s="132" t="s">
        <v>222</v>
      </c>
      <c r="E77" s="58" t="s">
        <v>223</v>
      </c>
      <c r="F77" s="55" t="s">
        <v>156</v>
      </c>
      <c r="G77" s="58" t="s">
        <v>24</v>
      </c>
      <c r="H77" s="56" t="s">
        <v>148</v>
      </c>
      <c r="I77" s="125" t="s">
        <v>36</v>
      </c>
      <c r="J77" s="58" t="s">
        <v>149</v>
      </c>
      <c r="K77" s="110" t="s">
        <v>37</v>
      </c>
      <c r="L77" s="110" t="s">
        <v>37</v>
      </c>
      <c r="M77" s="110" t="str">
        <f t="shared" si="1"/>
        <v>なし</v>
      </c>
      <c r="N77" s="58" t="s">
        <v>116</v>
      </c>
      <c r="O77" s="58"/>
      <c r="P77" s="58"/>
      <c r="Q77" s="58" t="s">
        <v>151</v>
      </c>
      <c r="R77" s="74"/>
      <c r="S77" s="1" t="s">
        <v>113</v>
      </c>
      <c r="T77" s="135" t="s">
        <v>224</v>
      </c>
    </row>
    <row r="78" spans="2:20">
      <c r="B78" s="74">
        <v>23</v>
      </c>
      <c r="C78" s="21" t="s">
        <v>225</v>
      </c>
      <c r="D78" s="21" t="s">
        <v>226</v>
      </c>
      <c r="E78" s="21" t="s">
        <v>227</v>
      </c>
      <c r="F78" s="55" t="s">
        <v>156</v>
      </c>
      <c r="G78" s="21" t="s">
        <v>24</v>
      </c>
      <c r="H78" s="40" t="s">
        <v>148</v>
      </c>
      <c r="I78" s="125" t="s">
        <v>36</v>
      </c>
      <c r="J78" s="58" t="s">
        <v>149</v>
      </c>
      <c r="K78" s="119" t="s">
        <v>27</v>
      </c>
      <c r="L78" s="119" t="s">
        <v>27</v>
      </c>
      <c r="M78" s="110" t="str">
        <f t="shared" si="1"/>
        <v>なし</v>
      </c>
      <c r="N78" s="21" t="s">
        <v>228</v>
      </c>
      <c r="O78" s="120" t="s">
        <v>163</v>
      </c>
      <c r="P78" s="21"/>
      <c r="Q78" s="58" t="s">
        <v>151</v>
      </c>
      <c r="R78" s="121"/>
      <c r="S78" s="1" t="s">
        <v>113</v>
      </c>
      <c r="T78" s="134" t="s">
        <v>229</v>
      </c>
    </row>
    <row r="79" spans="2:20">
      <c r="B79" s="74">
        <v>24</v>
      </c>
      <c r="C79" s="58" t="s">
        <v>230</v>
      </c>
      <c r="D79" s="58" t="s">
        <v>231</v>
      </c>
      <c r="E79" s="58" t="s">
        <v>232</v>
      </c>
      <c r="F79" s="55" t="s">
        <v>156</v>
      </c>
      <c r="G79" s="58" t="s">
        <v>24</v>
      </c>
      <c r="H79" s="56" t="s">
        <v>148</v>
      </c>
      <c r="I79" s="125" t="s">
        <v>36</v>
      </c>
      <c r="J79" s="58" t="s">
        <v>149</v>
      </c>
      <c r="K79" s="110" t="s">
        <v>37</v>
      </c>
      <c r="L79" s="110" t="s">
        <v>37</v>
      </c>
      <c r="M79" s="110" t="str">
        <f t="shared" si="1"/>
        <v>なし</v>
      </c>
      <c r="N79" s="58" t="s">
        <v>116</v>
      </c>
      <c r="O79" s="58"/>
      <c r="P79" s="58"/>
      <c r="Q79" s="58" t="s">
        <v>151</v>
      </c>
      <c r="R79" s="74"/>
      <c r="S79" s="1" t="s">
        <v>113</v>
      </c>
      <c r="T79" s="134" t="s">
        <v>233</v>
      </c>
    </row>
    <row r="80" spans="2:20">
      <c r="B80" s="74">
        <v>25</v>
      </c>
      <c r="C80" s="21" t="s">
        <v>234</v>
      </c>
      <c r="D80" s="21" t="s">
        <v>235</v>
      </c>
      <c r="E80" s="21" t="s">
        <v>236</v>
      </c>
      <c r="F80" s="3" t="s">
        <v>156</v>
      </c>
      <c r="G80" s="21" t="s">
        <v>24</v>
      </c>
      <c r="H80" s="40" t="s">
        <v>148</v>
      </c>
      <c r="I80" s="125" t="s">
        <v>36</v>
      </c>
      <c r="J80" s="58" t="s">
        <v>149</v>
      </c>
      <c r="K80" s="110" t="s">
        <v>37</v>
      </c>
      <c r="L80" s="110" t="s">
        <v>37</v>
      </c>
      <c r="M80" s="110" t="str">
        <f t="shared" si="1"/>
        <v>なし</v>
      </c>
      <c r="N80" s="58" t="s">
        <v>116</v>
      </c>
      <c r="O80" s="21"/>
      <c r="P80" s="21"/>
      <c r="Q80" s="58" t="s">
        <v>151</v>
      </c>
      <c r="R80" s="60"/>
      <c r="S80" s="1" t="s">
        <v>113</v>
      </c>
      <c r="T80" s="134" t="s">
        <v>237</v>
      </c>
    </row>
    <row r="81" spans="2:20">
      <c r="B81" s="74">
        <v>26</v>
      </c>
      <c r="C81" s="58" t="s">
        <v>238</v>
      </c>
      <c r="D81" s="58" t="s">
        <v>239</v>
      </c>
      <c r="E81" s="58" t="s">
        <v>240</v>
      </c>
      <c r="F81" s="55" t="s">
        <v>156</v>
      </c>
      <c r="G81" s="58" t="s">
        <v>24</v>
      </c>
      <c r="H81" s="56" t="s">
        <v>148</v>
      </c>
      <c r="I81" s="125" t="s">
        <v>36</v>
      </c>
      <c r="J81" s="58" t="s">
        <v>149</v>
      </c>
      <c r="K81" s="110" t="s">
        <v>37</v>
      </c>
      <c r="L81" s="110" t="s">
        <v>37</v>
      </c>
      <c r="M81" s="110" t="str">
        <f t="shared" si="1"/>
        <v>なし</v>
      </c>
      <c r="N81" s="58" t="s">
        <v>116</v>
      </c>
      <c r="O81" s="58"/>
      <c r="P81" s="58"/>
      <c r="Q81" s="58" t="s">
        <v>151</v>
      </c>
      <c r="R81" s="74"/>
      <c r="S81" s="1" t="s">
        <v>113</v>
      </c>
      <c r="T81" s="134" t="s">
        <v>241</v>
      </c>
    </row>
    <row r="82" spans="2:20">
      <c r="B82" s="74">
        <v>27</v>
      </c>
      <c r="C82" s="58" t="s">
        <v>242</v>
      </c>
      <c r="D82" s="58" t="s">
        <v>243</v>
      </c>
      <c r="E82" s="58" t="s">
        <v>244</v>
      </c>
      <c r="F82" s="55" t="s">
        <v>35</v>
      </c>
      <c r="G82" s="58" t="s">
        <v>24</v>
      </c>
      <c r="H82" s="56" t="s">
        <v>25</v>
      </c>
      <c r="I82" s="128"/>
      <c r="J82" s="58" t="s">
        <v>26</v>
      </c>
      <c r="K82" s="57" t="s">
        <v>27</v>
      </c>
      <c r="L82" s="110" t="s">
        <v>27</v>
      </c>
      <c r="M82" s="110" t="str">
        <f t="shared" si="1"/>
        <v>なし</v>
      </c>
      <c r="N82" s="58" t="s">
        <v>245</v>
      </c>
      <c r="O82" s="58" t="s">
        <v>245</v>
      </c>
      <c r="P82" s="58" t="s">
        <v>245</v>
      </c>
      <c r="Q82" s="17"/>
      <c r="R82" s="69" t="s">
        <v>31</v>
      </c>
      <c r="T82" s="134" t="s">
        <v>32</v>
      </c>
    </row>
    <row r="83" spans="2:20">
      <c r="B83" s="74">
        <v>28</v>
      </c>
      <c r="C83" s="58" t="s">
        <v>246</v>
      </c>
      <c r="D83" s="58" t="s">
        <v>247</v>
      </c>
      <c r="E83" s="58" t="s">
        <v>244</v>
      </c>
      <c r="F83" s="55" t="s">
        <v>35</v>
      </c>
      <c r="G83" s="58" t="s">
        <v>24</v>
      </c>
      <c r="H83" s="56" t="s">
        <v>25</v>
      </c>
      <c r="I83" s="128"/>
      <c r="J83" s="58" t="s">
        <v>26</v>
      </c>
      <c r="K83" s="57" t="s">
        <v>27</v>
      </c>
      <c r="L83" s="110" t="s">
        <v>27</v>
      </c>
      <c r="M83" s="110" t="str">
        <f t="shared" si="1"/>
        <v>なし</v>
      </c>
      <c r="N83" s="58" t="s">
        <v>248</v>
      </c>
      <c r="O83" s="58" t="s">
        <v>248</v>
      </c>
      <c r="P83" s="58" t="s">
        <v>248</v>
      </c>
      <c r="Q83" s="58"/>
      <c r="R83" s="69" t="s">
        <v>31</v>
      </c>
      <c r="T83" s="134" t="s">
        <v>32</v>
      </c>
    </row>
    <row r="84" spans="2:20">
      <c r="B84" s="74">
        <v>29</v>
      </c>
      <c r="C84" s="58" t="s">
        <v>249</v>
      </c>
      <c r="D84" s="58" t="s">
        <v>250</v>
      </c>
      <c r="E84" s="58" t="s">
        <v>244</v>
      </c>
      <c r="F84" s="55" t="s">
        <v>35</v>
      </c>
      <c r="G84" s="58" t="s">
        <v>24</v>
      </c>
      <c r="H84" s="56" t="s">
        <v>25</v>
      </c>
      <c r="I84" s="128"/>
      <c r="J84" s="58" t="s">
        <v>26</v>
      </c>
      <c r="K84" s="57" t="s">
        <v>27</v>
      </c>
      <c r="L84" s="110" t="s">
        <v>27</v>
      </c>
      <c r="M84" s="110" t="str">
        <f t="shared" si="1"/>
        <v>なし</v>
      </c>
      <c r="N84" s="58" t="s">
        <v>248</v>
      </c>
      <c r="O84" s="58" t="s">
        <v>248</v>
      </c>
      <c r="P84" s="58" t="s">
        <v>248</v>
      </c>
      <c r="Q84" s="58"/>
      <c r="R84" s="69" t="s">
        <v>31</v>
      </c>
      <c r="T84" s="134" t="s">
        <v>32</v>
      </c>
    </row>
    <row r="85" spans="2:20">
      <c r="B85" s="74">
        <v>30</v>
      </c>
      <c r="C85" s="58" t="s">
        <v>251</v>
      </c>
      <c r="D85" s="58" t="s">
        <v>252</v>
      </c>
      <c r="E85" s="58" t="s">
        <v>244</v>
      </c>
      <c r="F85" s="55" t="s">
        <v>35</v>
      </c>
      <c r="G85" s="58" t="s">
        <v>24</v>
      </c>
      <c r="H85" s="56" t="s">
        <v>25</v>
      </c>
      <c r="I85" s="128"/>
      <c r="J85" s="58" t="s">
        <v>26</v>
      </c>
      <c r="K85" s="57" t="s">
        <v>27</v>
      </c>
      <c r="L85" s="110" t="s">
        <v>27</v>
      </c>
      <c r="M85" s="110" t="str">
        <f t="shared" si="1"/>
        <v>なし</v>
      </c>
      <c r="N85" s="58" t="s">
        <v>248</v>
      </c>
      <c r="O85" s="58" t="s">
        <v>248</v>
      </c>
      <c r="P85" s="58" t="s">
        <v>248</v>
      </c>
      <c r="Q85" s="58"/>
      <c r="R85" s="69" t="s">
        <v>31</v>
      </c>
      <c r="T85" s="134" t="s">
        <v>32</v>
      </c>
    </row>
    <row r="86" spans="2:20">
      <c r="B86" s="74">
        <v>31</v>
      </c>
      <c r="C86" s="58" t="s">
        <v>253</v>
      </c>
      <c r="D86" s="58" t="s">
        <v>254</v>
      </c>
      <c r="E86" s="58" t="s">
        <v>244</v>
      </c>
      <c r="F86" s="55" t="s">
        <v>35</v>
      </c>
      <c r="G86" s="58" t="s">
        <v>24</v>
      </c>
      <c r="H86" s="56" t="s">
        <v>25</v>
      </c>
      <c r="I86" s="128"/>
      <c r="J86" s="58" t="s">
        <v>26</v>
      </c>
      <c r="K86" s="57" t="s">
        <v>27</v>
      </c>
      <c r="L86" s="110" t="s">
        <v>27</v>
      </c>
      <c r="M86" s="110" t="str">
        <f t="shared" si="1"/>
        <v>なし</v>
      </c>
      <c r="N86" s="58" t="s">
        <v>248</v>
      </c>
      <c r="O86" s="58" t="s">
        <v>248</v>
      </c>
      <c r="P86" s="58" t="s">
        <v>248</v>
      </c>
      <c r="Q86" s="58"/>
      <c r="R86" s="69" t="s">
        <v>31</v>
      </c>
      <c r="T86" s="134" t="s">
        <v>32</v>
      </c>
    </row>
    <row r="87" spans="2:20">
      <c r="B87" s="74">
        <v>32</v>
      </c>
      <c r="C87" s="58" t="s">
        <v>255</v>
      </c>
      <c r="D87" s="58" t="s">
        <v>256</v>
      </c>
      <c r="E87" s="58" t="s">
        <v>244</v>
      </c>
      <c r="F87" s="55" t="s">
        <v>35</v>
      </c>
      <c r="G87" s="58" t="s">
        <v>24</v>
      </c>
      <c r="H87" s="56" t="s">
        <v>25</v>
      </c>
      <c r="I87" s="128"/>
      <c r="J87" s="58" t="s">
        <v>26</v>
      </c>
      <c r="K87" s="57" t="s">
        <v>27</v>
      </c>
      <c r="L87" s="110" t="s">
        <v>27</v>
      </c>
      <c r="M87" s="110" t="str">
        <f t="shared" si="1"/>
        <v>なし</v>
      </c>
      <c r="N87" s="58" t="s">
        <v>248</v>
      </c>
      <c r="O87" s="58" t="s">
        <v>248</v>
      </c>
      <c r="P87" s="58" t="s">
        <v>248</v>
      </c>
      <c r="Q87" s="58"/>
      <c r="R87" s="69" t="s">
        <v>31</v>
      </c>
      <c r="T87" s="134" t="s">
        <v>32</v>
      </c>
    </row>
    <row r="88" spans="2:20">
      <c r="B88" s="74">
        <v>33</v>
      </c>
      <c r="C88" s="58" t="s">
        <v>257</v>
      </c>
      <c r="D88" s="58" t="s">
        <v>258</v>
      </c>
      <c r="E88" s="58" t="s">
        <v>259</v>
      </c>
      <c r="F88" s="55" t="s">
        <v>35</v>
      </c>
      <c r="G88" s="58" t="s">
        <v>24</v>
      </c>
      <c r="H88" s="56" t="s">
        <v>25</v>
      </c>
      <c r="I88" s="128"/>
      <c r="J88" s="58" t="s">
        <v>69</v>
      </c>
      <c r="K88" s="57" t="s">
        <v>37</v>
      </c>
      <c r="L88" s="110" t="s">
        <v>37</v>
      </c>
      <c r="M88" s="110" t="str">
        <f t="shared" si="1"/>
        <v>なし</v>
      </c>
      <c r="N88" s="58" t="s">
        <v>116</v>
      </c>
      <c r="O88" s="74"/>
      <c r="P88" s="74"/>
      <c r="Q88" s="74"/>
      <c r="R88" s="74"/>
      <c r="T88" s="134" t="s">
        <v>32</v>
      </c>
    </row>
    <row r="89" spans="2:20">
      <c r="B89" s="74">
        <v>34</v>
      </c>
      <c r="C89" s="58" t="s">
        <v>260</v>
      </c>
      <c r="D89" s="58" t="s">
        <v>261</v>
      </c>
      <c r="E89" s="58" t="s">
        <v>262</v>
      </c>
      <c r="F89" s="55" t="s">
        <v>156</v>
      </c>
      <c r="G89" s="58" t="s">
        <v>24</v>
      </c>
      <c r="H89" s="56"/>
      <c r="I89" s="128"/>
      <c r="J89" s="58" t="s">
        <v>263</v>
      </c>
      <c r="K89" s="110" t="s">
        <v>37</v>
      </c>
      <c r="L89" s="110" t="s">
        <v>37</v>
      </c>
      <c r="M89" s="110" t="str">
        <f t="shared" si="1"/>
        <v>なし</v>
      </c>
      <c r="N89" s="58" t="s">
        <v>116</v>
      </c>
      <c r="O89" s="74"/>
      <c r="P89" s="74"/>
      <c r="Q89" s="74" t="s">
        <v>264</v>
      </c>
      <c r="R89" s="74"/>
    </row>
    <row r="90" spans="2:20">
      <c r="B90" s="74">
        <v>35</v>
      </c>
      <c r="C90" s="58" t="s">
        <v>265</v>
      </c>
      <c r="D90" s="58" t="s">
        <v>266</v>
      </c>
      <c r="E90" s="58" t="s">
        <v>267</v>
      </c>
      <c r="F90" s="55" t="s">
        <v>156</v>
      </c>
      <c r="G90" s="58" t="s">
        <v>24</v>
      </c>
      <c r="H90" s="56"/>
      <c r="I90" s="128"/>
      <c r="J90" s="58" t="s">
        <v>263</v>
      </c>
      <c r="K90" s="110" t="s">
        <v>37</v>
      </c>
      <c r="L90" s="110" t="s">
        <v>37</v>
      </c>
      <c r="M90" s="110" t="str">
        <f t="shared" si="1"/>
        <v>なし</v>
      </c>
      <c r="N90" s="58" t="s">
        <v>116</v>
      </c>
      <c r="O90" s="74"/>
      <c r="P90" s="74"/>
      <c r="Q90" s="74" t="s">
        <v>264</v>
      </c>
      <c r="R90" s="74"/>
    </row>
    <row r="91" spans="2:20">
      <c r="B91" s="74">
        <v>36</v>
      </c>
      <c r="C91" s="58" t="s">
        <v>268</v>
      </c>
      <c r="D91" s="58" t="s">
        <v>269</v>
      </c>
      <c r="E91" s="58" t="s">
        <v>270</v>
      </c>
      <c r="F91" s="55" t="s">
        <v>156</v>
      </c>
      <c r="G91" s="58" t="s">
        <v>24</v>
      </c>
      <c r="H91" s="56"/>
      <c r="I91" s="128"/>
      <c r="J91" s="58" t="s">
        <v>263</v>
      </c>
      <c r="K91" s="110" t="s">
        <v>37</v>
      </c>
      <c r="L91" s="110" t="s">
        <v>37</v>
      </c>
      <c r="M91" s="110" t="str">
        <f t="shared" si="1"/>
        <v>なし</v>
      </c>
      <c r="N91" s="58" t="s">
        <v>116</v>
      </c>
      <c r="O91" s="74"/>
      <c r="P91" s="74"/>
      <c r="Q91" s="74" t="s">
        <v>264</v>
      </c>
      <c r="R91" s="74"/>
    </row>
    <row r="92" spans="2:20">
      <c r="B92" s="74">
        <v>37</v>
      </c>
      <c r="C92" s="58" t="s">
        <v>271</v>
      </c>
      <c r="D92" s="58" t="s">
        <v>272</v>
      </c>
      <c r="E92" s="58" t="s">
        <v>273</v>
      </c>
      <c r="F92" s="55" t="s">
        <v>156</v>
      </c>
      <c r="G92" s="58" t="s">
        <v>24</v>
      </c>
      <c r="H92" s="56"/>
      <c r="I92" s="128"/>
      <c r="J92" s="58" t="s">
        <v>263</v>
      </c>
      <c r="K92" s="110" t="s">
        <v>37</v>
      </c>
      <c r="L92" s="110" t="s">
        <v>37</v>
      </c>
      <c r="M92" s="110" t="str">
        <f t="shared" si="1"/>
        <v>なし</v>
      </c>
      <c r="N92" s="58" t="s">
        <v>116</v>
      </c>
      <c r="O92" s="74"/>
      <c r="P92" s="74"/>
      <c r="Q92" s="74" t="s">
        <v>264</v>
      </c>
      <c r="R92" s="74"/>
    </row>
    <row r="93" spans="2:20">
      <c r="B93" s="79"/>
      <c r="C93" s="76" t="s">
        <v>274</v>
      </c>
      <c r="D93" s="76" t="s">
        <v>258</v>
      </c>
      <c r="E93" s="76" t="s">
        <v>259</v>
      </c>
      <c r="F93" s="76" t="s">
        <v>64</v>
      </c>
      <c r="G93" s="76" t="s">
        <v>24</v>
      </c>
      <c r="H93" s="78"/>
      <c r="I93" s="131"/>
      <c r="J93" s="76"/>
      <c r="K93" s="89"/>
      <c r="L93" s="111"/>
      <c r="M93" s="111"/>
      <c r="N93" s="76" t="s">
        <v>275</v>
      </c>
      <c r="O93" s="79"/>
      <c r="P93" s="79"/>
      <c r="Q93" s="109"/>
      <c r="R93" s="79"/>
    </row>
    <row r="94" spans="2:20">
      <c r="B94" s="74">
        <v>38</v>
      </c>
      <c r="C94" s="58" t="s">
        <v>276</v>
      </c>
      <c r="D94" s="58" t="s">
        <v>277</v>
      </c>
      <c r="E94" s="58" t="s">
        <v>278</v>
      </c>
      <c r="F94" s="55" t="s">
        <v>156</v>
      </c>
      <c r="G94" s="58" t="s">
        <v>24</v>
      </c>
      <c r="H94" s="56"/>
      <c r="I94" s="128"/>
      <c r="J94" s="58" t="s">
        <v>26</v>
      </c>
      <c r="K94" s="110" t="s">
        <v>37</v>
      </c>
      <c r="L94" s="110" t="s">
        <v>37</v>
      </c>
      <c r="M94" s="110" t="str">
        <f t="shared" si="1"/>
        <v>なし</v>
      </c>
      <c r="N94" s="9" t="s">
        <v>279</v>
      </c>
      <c r="O94" s="74"/>
      <c r="P94" s="74"/>
      <c r="Q94" s="74" t="s">
        <v>280</v>
      </c>
      <c r="R94" s="74"/>
    </row>
    <row r="95" spans="2:20">
      <c r="B95" s="74">
        <v>39</v>
      </c>
      <c r="C95" s="58" t="s">
        <v>281</v>
      </c>
      <c r="D95" s="58" t="s">
        <v>282</v>
      </c>
      <c r="E95" s="58" t="s">
        <v>278</v>
      </c>
      <c r="F95" s="55" t="s">
        <v>156</v>
      </c>
      <c r="G95" s="58" t="s">
        <v>24</v>
      </c>
      <c r="H95" s="56"/>
      <c r="I95" s="128"/>
      <c r="J95" s="58" t="s">
        <v>26</v>
      </c>
      <c r="K95" s="110" t="s">
        <v>37</v>
      </c>
      <c r="L95" s="110" t="s">
        <v>37</v>
      </c>
      <c r="M95" s="110" t="str">
        <f t="shared" si="1"/>
        <v>なし</v>
      </c>
      <c r="N95" s="58" t="s">
        <v>283</v>
      </c>
      <c r="O95" s="74"/>
      <c r="P95" s="74"/>
      <c r="Q95" s="74" t="s">
        <v>280</v>
      </c>
      <c r="R95" s="74"/>
    </row>
    <row r="96" spans="2:20">
      <c r="B96" s="74">
        <v>40</v>
      </c>
      <c r="C96" s="58" t="s">
        <v>284</v>
      </c>
      <c r="D96" s="58" t="s">
        <v>285</v>
      </c>
      <c r="E96" s="58" t="s">
        <v>278</v>
      </c>
      <c r="F96" s="55" t="s">
        <v>156</v>
      </c>
      <c r="G96" s="58" t="s">
        <v>24</v>
      </c>
      <c r="H96" s="56"/>
      <c r="I96" s="128"/>
      <c r="J96" s="58" t="s">
        <v>26</v>
      </c>
      <c r="K96" s="110" t="s">
        <v>37</v>
      </c>
      <c r="L96" s="110" t="s">
        <v>37</v>
      </c>
      <c r="M96" s="110" t="str">
        <f t="shared" si="1"/>
        <v>なし</v>
      </c>
      <c r="N96" s="58" t="s">
        <v>283</v>
      </c>
      <c r="O96" s="74"/>
      <c r="P96" s="74"/>
      <c r="Q96" s="74" t="s">
        <v>280</v>
      </c>
      <c r="R96" s="74"/>
    </row>
    <row r="97" spans="2:18">
      <c r="B97" s="74">
        <v>41</v>
      </c>
      <c r="C97" s="58" t="s">
        <v>286</v>
      </c>
      <c r="D97" s="58" t="s">
        <v>287</v>
      </c>
      <c r="E97" s="58" t="s">
        <v>278</v>
      </c>
      <c r="F97" s="55" t="s">
        <v>156</v>
      </c>
      <c r="G97" s="58" t="s">
        <v>24</v>
      </c>
      <c r="H97" s="56"/>
      <c r="I97" s="128"/>
      <c r="J97" s="58" t="s">
        <v>26</v>
      </c>
      <c r="K97" s="110" t="s">
        <v>27</v>
      </c>
      <c r="L97" s="110" t="s">
        <v>27</v>
      </c>
      <c r="M97" s="110" t="str">
        <f t="shared" si="1"/>
        <v>なし</v>
      </c>
      <c r="N97" s="9" t="s">
        <v>288</v>
      </c>
      <c r="O97" s="74"/>
      <c r="P97" s="74"/>
      <c r="Q97" s="74" t="s">
        <v>280</v>
      </c>
      <c r="R97" s="74"/>
    </row>
    <row r="98" spans="2:18">
      <c r="B98" s="74">
        <v>42</v>
      </c>
      <c r="C98" s="58" t="s">
        <v>289</v>
      </c>
      <c r="D98" s="58" t="s">
        <v>290</v>
      </c>
      <c r="E98" s="58" t="s">
        <v>278</v>
      </c>
      <c r="F98" s="55" t="s">
        <v>156</v>
      </c>
      <c r="G98" s="58" t="s">
        <v>24</v>
      </c>
      <c r="H98" s="56"/>
      <c r="I98" s="128"/>
      <c r="J98" s="58" t="s">
        <v>26</v>
      </c>
      <c r="K98" s="110" t="s">
        <v>37</v>
      </c>
      <c r="L98" s="110" t="s">
        <v>37</v>
      </c>
      <c r="M98" s="110" t="str">
        <f t="shared" si="1"/>
        <v>なし</v>
      </c>
      <c r="N98" s="9" t="s">
        <v>279</v>
      </c>
      <c r="O98" s="74"/>
      <c r="P98" s="74"/>
      <c r="Q98" s="74" t="s">
        <v>280</v>
      </c>
      <c r="R98" s="74"/>
    </row>
    <row r="99" spans="2:18">
      <c r="B99" s="74">
        <v>43</v>
      </c>
      <c r="C99" s="58" t="s">
        <v>291</v>
      </c>
      <c r="D99" s="58" t="s">
        <v>292</v>
      </c>
      <c r="E99" s="58" t="s">
        <v>278</v>
      </c>
      <c r="F99" s="55" t="s">
        <v>156</v>
      </c>
      <c r="G99" s="58" t="s">
        <v>24</v>
      </c>
      <c r="H99" s="56"/>
      <c r="I99" s="128"/>
      <c r="J99" s="58" t="s">
        <v>26</v>
      </c>
      <c r="K99" s="110" t="s">
        <v>27</v>
      </c>
      <c r="L99" s="110" t="s">
        <v>27</v>
      </c>
      <c r="M99" s="110" t="str">
        <f t="shared" si="1"/>
        <v>なし</v>
      </c>
      <c r="N99" s="9" t="s">
        <v>288</v>
      </c>
      <c r="O99" s="74"/>
      <c r="P99" s="74"/>
      <c r="Q99" s="74" t="s">
        <v>280</v>
      </c>
      <c r="R99" s="74"/>
    </row>
    <row r="100" spans="2:18">
      <c r="B100" s="74">
        <v>44</v>
      </c>
      <c r="C100" s="58" t="s">
        <v>293</v>
      </c>
      <c r="D100" s="58" t="s">
        <v>294</v>
      </c>
      <c r="E100" s="58" t="s">
        <v>278</v>
      </c>
      <c r="F100" s="55" t="s">
        <v>156</v>
      </c>
      <c r="G100" s="58" t="s">
        <v>24</v>
      </c>
      <c r="H100" s="56"/>
      <c r="I100" s="128"/>
      <c r="J100" s="58" t="s">
        <v>26</v>
      </c>
      <c r="K100" s="110" t="s">
        <v>37</v>
      </c>
      <c r="L100" s="110" t="s">
        <v>37</v>
      </c>
      <c r="M100" s="110" t="str">
        <f t="shared" si="1"/>
        <v>なし</v>
      </c>
      <c r="N100" s="58" t="s">
        <v>283</v>
      </c>
      <c r="O100" s="74"/>
      <c r="P100" s="74"/>
      <c r="Q100" s="74" t="s">
        <v>280</v>
      </c>
      <c r="R100" s="74"/>
    </row>
    <row r="101" spans="2:18">
      <c r="B101" s="74">
        <v>45</v>
      </c>
      <c r="C101" s="58" t="s">
        <v>295</v>
      </c>
      <c r="D101" s="58" t="s">
        <v>296</v>
      </c>
      <c r="E101" s="58" t="s">
        <v>278</v>
      </c>
      <c r="F101" s="55" t="s">
        <v>156</v>
      </c>
      <c r="G101" s="58" t="s">
        <v>24</v>
      </c>
      <c r="H101" s="56"/>
      <c r="I101" s="128"/>
      <c r="J101" s="58" t="s">
        <v>26</v>
      </c>
      <c r="K101" s="110" t="s">
        <v>37</v>
      </c>
      <c r="L101" s="110" t="s">
        <v>37</v>
      </c>
      <c r="M101" s="110" t="str">
        <f t="shared" si="1"/>
        <v>なし</v>
      </c>
      <c r="N101" s="58" t="s">
        <v>283</v>
      </c>
      <c r="O101" s="74"/>
      <c r="P101" s="74"/>
      <c r="Q101" s="74" t="s">
        <v>280</v>
      </c>
      <c r="R101" s="74"/>
    </row>
    <row r="102" spans="2:18">
      <c r="B102" s="74">
        <v>46</v>
      </c>
      <c r="C102" s="58" t="s">
        <v>297</v>
      </c>
      <c r="D102" s="58" t="s">
        <v>298</v>
      </c>
      <c r="E102" s="58" t="s">
        <v>278</v>
      </c>
      <c r="F102" s="55" t="s">
        <v>156</v>
      </c>
      <c r="G102" s="58" t="s">
        <v>24</v>
      </c>
      <c r="H102" s="56"/>
      <c r="I102" s="128"/>
      <c r="J102" s="58" t="s">
        <v>26</v>
      </c>
      <c r="K102" s="110" t="s">
        <v>37</v>
      </c>
      <c r="L102" s="110" t="s">
        <v>37</v>
      </c>
      <c r="M102" s="110" t="str">
        <f t="shared" si="1"/>
        <v>なし</v>
      </c>
      <c r="N102" s="9" t="s">
        <v>279</v>
      </c>
      <c r="O102" s="74"/>
      <c r="P102" s="74"/>
      <c r="Q102" s="74" t="s">
        <v>280</v>
      </c>
      <c r="R102" s="74"/>
    </row>
    <row r="103" spans="2:18">
      <c r="B103" s="74">
        <v>47</v>
      </c>
      <c r="C103" s="58" t="s">
        <v>299</v>
      </c>
      <c r="D103" s="58" t="s">
        <v>300</v>
      </c>
      <c r="E103" s="58" t="s">
        <v>278</v>
      </c>
      <c r="F103" s="55" t="s">
        <v>156</v>
      </c>
      <c r="G103" s="58" t="s">
        <v>24</v>
      </c>
      <c r="H103" s="56"/>
      <c r="I103" s="128"/>
      <c r="J103" s="58" t="s">
        <v>26</v>
      </c>
      <c r="K103" s="110" t="s">
        <v>37</v>
      </c>
      <c r="L103" s="110" t="s">
        <v>37</v>
      </c>
      <c r="M103" s="110" t="str">
        <f t="shared" si="1"/>
        <v>なし</v>
      </c>
      <c r="N103" s="9" t="s">
        <v>279</v>
      </c>
      <c r="O103" s="74"/>
      <c r="P103" s="74"/>
      <c r="Q103" s="74" t="s">
        <v>280</v>
      </c>
      <c r="R103" s="74"/>
    </row>
    <row r="104" spans="2:18">
      <c r="B104" s="74">
        <v>48</v>
      </c>
      <c r="C104" s="58" t="s">
        <v>301</v>
      </c>
      <c r="D104" s="58" t="s">
        <v>302</v>
      </c>
      <c r="E104" s="58" t="s">
        <v>278</v>
      </c>
      <c r="F104" s="55" t="s">
        <v>156</v>
      </c>
      <c r="G104" s="58" t="s">
        <v>24</v>
      </c>
      <c r="H104" s="56"/>
      <c r="I104" s="128"/>
      <c r="J104" s="58" t="s">
        <v>26</v>
      </c>
      <c r="K104" s="110" t="s">
        <v>37</v>
      </c>
      <c r="L104" s="110" t="s">
        <v>37</v>
      </c>
      <c r="M104" s="110" t="str">
        <f t="shared" si="1"/>
        <v>なし</v>
      </c>
      <c r="N104" s="9" t="s">
        <v>279</v>
      </c>
      <c r="O104" s="74"/>
      <c r="P104" s="74"/>
      <c r="Q104" s="74" t="s">
        <v>280</v>
      </c>
      <c r="R104" s="74"/>
    </row>
    <row r="105" spans="2:18">
      <c r="B105" s="74">
        <v>49</v>
      </c>
      <c r="C105" s="58" t="s">
        <v>303</v>
      </c>
      <c r="D105" s="58" t="s">
        <v>304</v>
      </c>
      <c r="E105" s="58" t="s">
        <v>278</v>
      </c>
      <c r="F105" s="55" t="s">
        <v>156</v>
      </c>
      <c r="G105" s="58" t="s">
        <v>24</v>
      </c>
      <c r="H105" s="56"/>
      <c r="I105" s="128"/>
      <c r="J105" s="58" t="s">
        <v>26</v>
      </c>
      <c r="K105" s="110" t="s">
        <v>37</v>
      </c>
      <c r="L105" s="110" t="s">
        <v>37</v>
      </c>
      <c r="M105" s="110" t="str">
        <f t="shared" si="1"/>
        <v>なし</v>
      </c>
      <c r="N105" s="9" t="s">
        <v>279</v>
      </c>
      <c r="O105" s="74"/>
      <c r="P105" s="74"/>
      <c r="Q105" s="74" t="s">
        <v>280</v>
      </c>
      <c r="R105" s="74"/>
    </row>
    <row r="106" spans="2:18">
      <c r="B106" s="74">
        <v>50</v>
      </c>
      <c r="C106" s="21" t="s">
        <v>305</v>
      </c>
      <c r="D106" s="21" t="s">
        <v>306</v>
      </c>
      <c r="E106" s="21" t="s">
        <v>307</v>
      </c>
      <c r="F106" s="3" t="s">
        <v>156</v>
      </c>
      <c r="G106" s="21" t="s">
        <v>24</v>
      </c>
      <c r="H106" s="40"/>
      <c r="I106" s="125"/>
      <c r="J106" s="21" t="s">
        <v>26</v>
      </c>
      <c r="K106" s="57" t="s">
        <v>37</v>
      </c>
      <c r="L106" s="18" t="s">
        <v>37</v>
      </c>
      <c r="M106" s="110" t="str">
        <f t="shared" si="1"/>
        <v>なし</v>
      </c>
      <c r="N106" s="58" t="s">
        <v>94</v>
      </c>
      <c r="O106" s="58"/>
      <c r="P106" s="58"/>
      <c r="Q106" s="74" t="s">
        <v>308</v>
      </c>
      <c r="R106" s="60"/>
    </row>
    <row r="107" spans="2:18">
      <c r="B107" s="79"/>
      <c r="C107" s="76" t="s">
        <v>309</v>
      </c>
      <c r="D107" s="76" t="s">
        <v>310</v>
      </c>
      <c r="E107" s="76" t="s">
        <v>311</v>
      </c>
      <c r="F107" s="77" t="s">
        <v>156</v>
      </c>
      <c r="G107" s="76" t="s">
        <v>24</v>
      </c>
      <c r="H107" s="78"/>
      <c r="I107" s="131"/>
      <c r="J107" s="76"/>
      <c r="K107" s="89"/>
      <c r="L107" s="111"/>
      <c r="M107" s="111"/>
      <c r="N107" s="76"/>
      <c r="O107" s="79"/>
      <c r="P107" s="79"/>
      <c r="Q107" s="79" t="s">
        <v>308</v>
      </c>
      <c r="R107" s="79"/>
    </row>
    <row r="108" spans="2:18">
      <c r="B108" s="79"/>
      <c r="C108" s="59" t="s">
        <v>312</v>
      </c>
      <c r="D108" s="59" t="s">
        <v>313</v>
      </c>
      <c r="E108" s="59" t="s">
        <v>100</v>
      </c>
      <c r="F108" s="36" t="s">
        <v>64</v>
      </c>
      <c r="G108" s="59" t="s">
        <v>24</v>
      </c>
      <c r="H108" s="43"/>
      <c r="I108" s="130"/>
      <c r="J108" s="59"/>
      <c r="K108" s="44"/>
      <c r="L108" s="29"/>
      <c r="M108" s="111"/>
      <c r="N108" s="59"/>
      <c r="O108" s="61"/>
      <c r="P108" s="61"/>
      <c r="Q108" s="61"/>
      <c r="R108" s="61"/>
    </row>
    <row r="109" spans="2:18">
      <c r="B109" s="74">
        <v>51</v>
      </c>
      <c r="C109" s="9" t="s">
        <v>314</v>
      </c>
      <c r="D109" s="9" t="s">
        <v>315</v>
      </c>
      <c r="E109" s="9" t="s">
        <v>316</v>
      </c>
      <c r="F109" s="45" t="s">
        <v>156</v>
      </c>
      <c r="G109" s="9" t="s">
        <v>24</v>
      </c>
      <c r="H109" s="46"/>
      <c r="I109" s="123"/>
      <c r="J109" s="9" t="s">
        <v>26</v>
      </c>
      <c r="K109" s="110" t="s">
        <v>37</v>
      </c>
      <c r="L109" s="110" t="s">
        <v>37</v>
      </c>
      <c r="M109" s="110" t="str">
        <f t="shared" si="1"/>
        <v>なし</v>
      </c>
      <c r="N109" s="9" t="s">
        <v>279</v>
      </c>
      <c r="O109" s="70"/>
      <c r="P109" s="70"/>
      <c r="Q109" s="74" t="s">
        <v>280</v>
      </c>
      <c r="R109" s="70"/>
    </row>
    <row r="110" spans="2:18">
      <c r="B110" s="74">
        <v>52</v>
      </c>
      <c r="C110" s="58" t="s">
        <v>317</v>
      </c>
      <c r="D110" s="58" t="s">
        <v>318</v>
      </c>
      <c r="E110" s="58" t="s">
        <v>319</v>
      </c>
      <c r="F110" s="55" t="s">
        <v>156</v>
      </c>
      <c r="G110" s="58" t="s">
        <v>24</v>
      </c>
      <c r="H110" s="56"/>
      <c r="I110" s="128"/>
      <c r="J110" s="58" t="s">
        <v>26</v>
      </c>
      <c r="K110" s="110" t="s">
        <v>37</v>
      </c>
      <c r="L110" s="110" t="s">
        <v>37</v>
      </c>
      <c r="M110" s="110" t="str">
        <f t="shared" si="1"/>
        <v>なし</v>
      </c>
      <c r="N110" s="9" t="s">
        <v>279</v>
      </c>
      <c r="O110" s="74"/>
      <c r="P110" s="74"/>
      <c r="Q110" s="74" t="s">
        <v>280</v>
      </c>
      <c r="R110" s="74"/>
    </row>
    <row r="111" spans="2:18">
      <c r="B111" s="74">
        <v>53</v>
      </c>
      <c r="C111" s="58" t="s">
        <v>320</v>
      </c>
      <c r="D111" s="58" t="s">
        <v>321</v>
      </c>
      <c r="E111" s="58" t="s">
        <v>319</v>
      </c>
      <c r="F111" s="55" t="s">
        <v>156</v>
      </c>
      <c r="G111" s="58" t="s">
        <v>24</v>
      </c>
      <c r="H111" s="56"/>
      <c r="I111" s="128"/>
      <c r="J111" s="58" t="s">
        <v>26</v>
      </c>
      <c r="K111" s="110" t="s">
        <v>37</v>
      </c>
      <c r="L111" s="110" t="s">
        <v>37</v>
      </c>
      <c r="M111" s="110" t="str">
        <f t="shared" si="1"/>
        <v>なし</v>
      </c>
      <c r="N111" s="9" t="s">
        <v>279</v>
      </c>
      <c r="O111" s="74"/>
      <c r="P111" s="74"/>
      <c r="Q111" s="74" t="s">
        <v>280</v>
      </c>
      <c r="R111" s="74"/>
    </row>
    <row r="112" spans="2:18">
      <c r="B112" s="74">
        <v>54</v>
      </c>
      <c r="C112" s="58" t="s">
        <v>322</v>
      </c>
      <c r="D112" s="58" t="s">
        <v>323</v>
      </c>
      <c r="E112" s="58" t="s">
        <v>319</v>
      </c>
      <c r="F112" s="55" t="s">
        <v>156</v>
      </c>
      <c r="G112" s="58" t="s">
        <v>24</v>
      </c>
      <c r="H112" s="56"/>
      <c r="I112" s="128"/>
      <c r="J112" s="58" t="s">
        <v>26</v>
      </c>
      <c r="K112" s="110" t="s">
        <v>37</v>
      </c>
      <c r="L112" s="110" t="s">
        <v>37</v>
      </c>
      <c r="M112" s="110" t="str">
        <f t="shared" si="1"/>
        <v>なし</v>
      </c>
      <c r="N112" s="9" t="s">
        <v>279</v>
      </c>
      <c r="O112" s="74"/>
      <c r="P112" s="74"/>
      <c r="Q112" s="74" t="s">
        <v>280</v>
      </c>
      <c r="R112" s="74"/>
    </row>
    <row r="113" spans="2:19">
      <c r="B113" s="74">
        <v>55</v>
      </c>
      <c r="C113" s="58" t="s">
        <v>324</v>
      </c>
      <c r="D113" s="58" t="s">
        <v>325</v>
      </c>
      <c r="E113" s="58" t="s">
        <v>316</v>
      </c>
      <c r="F113" s="55" t="s">
        <v>156</v>
      </c>
      <c r="G113" s="58" t="s">
        <v>24</v>
      </c>
      <c r="H113" s="56"/>
      <c r="I113" s="128"/>
      <c r="J113" s="58" t="s">
        <v>26</v>
      </c>
      <c r="K113" s="110" t="s">
        <v>37</v>
      </c>
      <c r="L113" s="110" t="s">
        <v>37</v>
      </c>
      <c r="M113" s="110" t="str">
        <f t="shared" si="1"/>
        <v>なし</v>
      </c>
      <c r="N113" s="9" t="s">
        <v>279</v>
      </c>
      <c r="O113" s="74"/>
      <c r="P113" s="74"/>
      <c r="Q113" s="74" t="s">
        <v>280</v>
      </c>
      <c r="R113" s="74"/>
    </row>
    <row r="114" spans="2:19">
      <c r="B114" s="74">
        <v>56</v>
      </c>
      <c r="C114" s="58" t="s">
        <v>326</v>
      </c>
      <c r="D114" s="58" t="s">
        <v>327</v>
      </c>
      <c r="E114" s="58" t="s">
        <v>319</v>
      </c>
      <c r="F114" s="55" t="s">
        <v>156</v>
      </c>
      <c r="G114" s="58" t="s">
        <v>24</v>
      </c>
      <c r="H114" s="56"/>
      <c r="I114" s="128"/>
      <c r="J114" s="58" t="s">
        <v>26</v>
      </c>
      <c r="K114" s="110" t="s">
        <v>37</v>
      </c>
      <c r="L114" s="110" t="s">
        <v>37</v>
      </c>
      <c r="M114" s="110" t="str">
        <f t="shared" si="1"/>
        <v>なし</v>
      </c>
      <c r="N114" s="9" t="s">
        <v>279</v>
      </c>
      <c r="O114" s="74"/>
      <c r="P114" s="74"/>
      <c r="Q114" s="74" t="s">
        <v>280</v>
      </c>
      <c r="R114" s="74"/>
    </row>
    <row r="115" spans="2:19">
      <c r="B115" s="79"/>
      <c r="C115" s="76" t="s">
        <v>328</v>
      </c>
      <c r="D115" s="76" t="s">
        <v>329</v>
      </c>
      <c r="E115" s="76" t="s">
        <v>330</v>
      </c>
      <c r="F115" s="77" t="s">
        <v>156</v>
      </c>
      <c r="G115" s="76" t="s">
        <v>331</v>
      </c>
      <c r="H115" s="78" t="s">
        <v>24</v>
      </c>
      <c r="I115" s="131"/>
      <c r="J115" s="76" t="s">
        <v>332</v>
      </c>
      <c r="K115" s="89"/>
      <c r="L115" s="111"/>
      <c r="M115" s="111"/>
      <c r="N115" s="76"/>
      <c r="O115" s="79"/>
      <c r="P115" s="79"/>
      <c r="Q115" s="79" t="s">
        <v>333</v>
      </c>
      <c r="R115" s="79"/>
      <c r="S115" s="1" t="s">
        <v>113</v>
      </c>
    </row>
    <row r="116" spans="2:19">
      <c r="B116" s="79"/>
      <c r="C116" s="76" t="s">
        <v>334</v>
      </c>
      <c r="D116" s="76" t="s">
        <v>335</v>
      </c>
      <c r="E116" s="76" t="s">
        <v>330</v>
      </c>
      <c r="F116" s="77" t="s">
        <v>156</v>
      </c>
      <c r="G116" s="76" t="s">
        <v>331</v>
      </c>
      <c r="H116" s="78" t="s">
        <v>24</v>
      </c>
      <c r="I116" s="131"/>
      <c r="J116" s="76" t="s">
        <v>332</v>
      </c>
      <c r="K116" s="89"/>
      <c r="L116" s="111"/>
      <c r="M116" s="111"/>
      <c r="N116" s="76"/>
      <c r="O116" s="79"/>
      <c r="P116" s="79"/>
      <c r="Q116" s="79" t="s">
        <v>333</v>
      </c>
      <c r="R116" s="79"/>
    </row>
    <row r="117" spans="2:19">
      <c r="B117" s="74">
        <v>57</v>
      </c>
      <c r="C117" s="58" t="s">
        <v>336</v>
      </c>
      <c r="D117" s="58" t="s">
        <v>337</v>
      </c>
      <c r="E117" s="58" t="s">
        <v>330</v>
      </c>
      <c r="F117" s="55" t="s">
        <v>156</v>
      </c>
      <c r="G117" s="58" t="s">
        <v>331</v>
      </c>
      <c r="H117" s="56" t="s">
        <v>148</v>
      </c>
      <c r="I117" s="128"/>
      <c r="J117" s="58" t="s">
        <v>332</v>
      </c>
      <c r="K117" s="57" t="s">
        <v>37</v>
      </c>
      <c r="L117" s="110" t="s">
        <v>37</v>
      </c>
      <c r="M117" s="110" t="str">
        <f t="shared" si="1"/>
        <v>なし</v>
      </c>
      <c r="N117" s="58" t="s">
        <v>94</v>
      </c>
      <c r="O117" s="58"/>
      <c r="P117" s="58"/>
      <c r="Q117" s="58" t="s">
        <v>333</v>
      </c>
      <c r="R117" s="74"/>
    </row>
    <row r="118" spans="2:19">
      <c r="B118" s="74">
        <v>58</v>
      </c>
      <c r="C118" s="58" t="s">
        <v>338</v>
      </c>
      <c r="D118" s="58" t="s">
        <v>339</v>
      </c>
      <c r="E118" s="58" t="s">
        <v>340</v>
      </c>
      <c r="F118" s="55" t="s">
        <v>156</v>
      </c>
      <c r="G118" s="58" t="s">
        <v>331</v>
      </c>
      <c r="H118" s="56"/>
      <c r="I118" s="128"/>
      <c r="J118" s="58" t="s">
        <v>69</v>
      </c>
      <c r="K118" s="57" t="s">
        <v>37</v>
      </c>
      <c r="L118" s="110" t="s">
        <v>37</v>
      </c>
      <c r="M118" s="110" t="str">
        <f t="shared" si="1"/>
        <v>なし</v>
      </c>
      <c r="N118" s="58" t="s">
        <v>94</v>
      </c>
      <c r="O118" s="58"/>
      <c r="P118" s="58"/>
      <c r="Q118" s="58" t="s">
        <v>333</v>
      </c>
      <c r="R118" s="74"/>
    </row>
    <row r="119" spans="2:19">
      <c r="B119" s="74">
        <v>59</v>
      </c>
      <c r="C119" s="58" t="s">
        <v>341</v>
      </c>
      <c r="D119" s="58" t="s">
        <v>342</v>
      </c>
      <c r="E119" s="58" t="s">
        <v>343</v>
      </c>
      <c r="F119" s="55" t="s">
        <v>156</v>
      </c>
      <c r="G119" s="58" t="s">
        <v>331</v>
      </c>
      <c r="H119" s="56"/>
      <c r="I119" s="128"/>
      <c r="J119" s="58" t="s">
        <v>26</v>
      </c>
      <c r="K119" s="57" t="s">
        <v>37</v>
      </c>
      <c r="L119" s="110" t="s">
        <v>37</v>
      </c>
      <c r="M119" s="110" t="str">
        <f t="shared" si="1"/>
        <v>なし</v>
      </c>
      <c r="N119" s="58" t="s">
        <v>94</v>
      </c>
      <c r="O119" s="58"/>
      <c r="P119" s="58"/>
      <c r="Q119" s="58" t="s">
        <v>344</v>
      </c>
      <c r="R119" s="74"/>
    </row>
    <row r="120" spans="2:19">
      <c r="B120" s="88"/>
      <c r="C120" s="59" t="s">
        <v>345</v>
      </c>
      <c r="D120" s="59" t="s">
        <v>346</v>
      </c>
      <c r="E120" s="59" t="s">
        <v>128</v>
      </c>
      <c r="F120" s="36" t="s">
        <v>64</v>
      </c>
      <c r="G120" s="59" t="s">
        <v>24</v>
      </c>
      <c r="H120" s="43"/>
      <c r="I120" s="130"/>
      <c r="J120" s="59"/>
      <c r="K120" s="44"/>
      <c r="L120" s="33"/>
      <c r="M120" s="111"/>
      <c r="N120" s="59"/>
      <c r="O120" s="61"/>
      <c r="P120" s="61"/>
      <c r="Q120" s="61"/>
      <c r="R120" s="61"/>
    </row>
    <row r="121" spans="2:19">
      <c r="B121" s="79"/>
      <c r="C121" s="76" t="s">
        <v>347</v>
      </c>
      <c r="D121" s="76" t="s">
        <v>348</v>
      </c>
      <c r="E121" s="76" t="s">
        <v>349</v>
      </c>
      <c r="F121" s="106" t="s">
        <v>156</v>
      </c>
      <c r="G121" s="76" t="s">
        <v>24</v>
      </c>
      <c r="H121" s="78"/>
      <c r="I121" s="131"/>
      <c r="J121" s="76"/>
      <c r="K121" s="89"/>
      <c r="L121" s="111"/>
      <c r="M121" s="111"/>
      <c r="N121" s="76"/>
      <c r="O121" s="79"/>
      <c r="P121" s="79"/>
      <c r="Q121" s="79" t="s">
        <v>308</v>
      </c>
      <c r="R121" s="79"/>
    </row>
    <row r="122" spans="2:19">
      <c r="N122" s="3"/>
    </row>
  </sheetData>
  <autoFilter ref="B2:R121" xr:uid="{00000000-0001-0000-0000-000000000000}"/>
  <mergeCells count="1">
    <mergeCell ref="K1:M1"/>
  </mergeCells>
  <phoneticPr fontId="1"/>
  <dataValidations count="2">
    <dataValidation type="list" allowBlank="1" showInputMessage="1" showErrorMessage="1" sqref="K75:L121 K3:L73" xr:uid="{00000000-0002-0000-0000-000000000000}">
      <formula1>"OK,NG"</formula1>
    </dataValidation>
    <dataValidation type="list" allowBlank="1" showInputMessage="1" showErrorMessage="1" sqref="H45:I59 H70:I73 H3:I39 H94:I107 H109:I119 H75:I92" xr:uid="{00000000-0002-0000-0000-000001000000}">
      <formula1>"○,×,-"</formula1>
    </dataValidation>
  </dataValidations>
  <hyperlinks>
    <hyperlink ref="R3" location="検討事項!A1" display="別紙参照" xr:uid="{00000000-0004-0000-0000-000000000000}"/>
    <hyperlink ref="R14" location="検討事項!A1" display="別紙参照" xr:uid="{00000000-0004-0000-0000-000001000000}"/>
    <hyperlink ref="R22" location="検討事項!A1" display="別紙参照" xr:uid="{00000000-0004-0000-0000-000002000000}"/>
    <hyperlink ref="R23" location="検討事項!A1" display="別紙参照" xr:uid="{00000000-0004-0000-0000-000003000000}"/>
    <hyperlink ref="R31" location="検討事項!A1" display="別紙参照" xr:uid="{00000000-0004-0000-0000-000004000000}"/>
    <hyperlink ref="R39" location="検討事項!A1" display="別紙参照" xr:uid="{00000000-0004-0000-0000-000005000000}"/>
    <hyperlink ref="R46" location="検討事項!A1" display="別紙参照" xr:uid="{00000000-0004-0000-0000-000006000000}"/>
    <hyperlink ref="R47" location="検討事項!A1" display="別紙参照" xr:uid="{00000000-0004-0000-0000-000007000000}"/>
    <hyperlink ref="R53" location="検討事項!A1" display="別紙参照" xr:uid="{00000000-0004-0000-0000-000008000000}"/>
    <hyperlink ref="R54" location="検討事項!A1" display="別紙参照" xr:uid="{00000000-0004-0000-0000-000009000000}"/>
    <hyperlink ref="R82" location="検討事項!A1" display="別紙参照" xr:uid="{00000000-0004-0000-0000-00000A000000}"/>
    <hyperlink ref="R83" location="検討事項!A1" display="別紙参照" xr:uid="{00000000-0004-0000-0000-00000B000000}"/>
    <hyperlink ref="R84" location="検討事項!A1" display="別紙参照" xr:uid="{00000000-0004-0000-0000-00000C000000}"/>
    <hyperlink ref="R85" location="検討事項!A1" display="別紙参照" xr:uid="{00000000-0004-0000-0000-00000D000000}"/>
    <hyperlink ref="R86" location="検討事項!A1" display="別紙参照" xr:uid="{00000000-0004-0000-0000-00000E000000}"/>
    <hyperlink ref="R87" location="検討事項!A1" display="別紙参照" xr:uid="{00000000-0004-0000-0000-00000F000000}"/>
    <hyperlink ref="R55" location="検討事項!A1" display="別紙参照" xr:uid="{1B5DF571-531F-48C3-9D00-D340CF95B67A}"/>
    <hyperlink ref="R7" location="検討事項!A1" display="別紙参照" xr:uid="{20A3E02D-EAE4-46D1-8D8A-F3B5DB241272}"/>
    <hyperlink ref="R8" location="検討事項!A1" display="別紙参照" xr:uid="{6C04A908-F3FB-4C58-BFB5-A23351C5F5FD}"/>
    <hyperlink ref="R9" location="検討事項!A1" display="別紙参照" xr:uid="{EA048F83-BB2F-47B7-A1E1-FBD7A8F07848}"/>
    <hyperlink ref="R18" location="検討事項!A1" display="別紙参照" xr:uid="{027BEF79-A9AD-4B8B-9B92-6A0676C09964}"/>
    <hyperlink ref="R10" location="検討事項!A1" display="別紙参照" xr:uid="{4EEF58E6-B259-43E4-92DB-5D42EFF9E1FE}"/>
    <hyperlink ref="R27" location="検討事項!A1" display="別紙参照" xr:uid="{D2D59A59-E00A-40C1-B652-841A84D908F2}"/>
    <hyperlink ref="R35" location="検討事項!A1" display="別紙参照" xr:uid="{13854010-FF3C-49E1-A227-762A34F59ED8}"/>
    <hyperlink ref="D77" r:id="rId1" xr:uid="{7DA1AC8E-46A2-4AC6-A23A-D2ED59C57E2F}"/>
    <hyperlink ref="D3" r:id="rId2" xr:uid="{C1919DFD-16A8-4FBE-88C3-E9AFAC47E4A7}"/>
    <hyperlink ref="T56" r:id="rId3" xr:uid="{ADBACC88-F148-4A9B-9231-E4BF672D4BE2}"/>
    <hyperlink ref="T57" r:id="rId4" xr:uid="{D2D579D2-2187-4274-A89E-8E5C037C9EB3}"/>
    <hyperlink ref="T58" r:id="rId5" xr:uid="{680E5288-9AA6-4961-A13C-23CE5E13B8C6}"/>
    <hyperlink ref="T59" r:id="rId6" xr:uid="{8136C444-DE6D-4BBD-BCD4-BA746EEBFB6B}"/>
    <hyperlink ref="T71" r:id="rId7" xr:uid="{A2563B38-5ABB-483A-ABB6-5F0FBBCB484A}"/>
    <hyperlink ref="T72" r:id="rId8" xr:uid="{C9D23974-E688-416A-B112-18D2C7B0C02A}"/>
    <hyperlink ref="T76" r:id="rId9" xr:uid="{4EE64E59-A24F-4090-B22E-0930B7867A38}"/>
    <hyperlink ref="T77" r:id="rId10" xr:uid="{836DDBD0-92A0-4DC8-91B5-F2EF4B30C006}"/>
    <hyperlink ref="T78" r:id="rId11" xr:uid="{F8FFE051-AEF7-4BD6-B196-8E96E3431F62}"/>
    <hyperlink ref="T79" r:id="rId12" xr:uid="{7918932A-FEF5-4DB8-839C-100A7A980B0D}"/>
    <hyperlink ref="T80" r:id="rId13" xr:uid="{F7D59BA5-5B65-41EE-8220-88A9A63EC62A}"/>
    <hyperlink ref="T81" r:id="rId14" xr:uid="{909FFBAF-6BB9-47EC-9F76-FAC80D230D00}"/>
    <hyperlink ref="T3" r:id="rId15" xr:uid="{BE27F988-05E4-4595-8BAF-E9A360AA8513}"/>
    <hyperlink ref="T4" r:id="rId16" xr:uid="{458E2D5D-C3E6-409D-80AB-4838A0DF9622}"/>
    <hyperlink ref="T5" r:id="rId17" xr:uid="{A542818B-423B-4691-A5A5-CE0E49A94FB4}"/>
    <hyperlink ref="T6" r:id="rId18" xr:uid="{24E1B8B8-8D89-4BDB-9652-C3B4C86FB214}"/>
    <hyperlink ref="T7" r:id="rId19" xr:uid="{F410F969-138C-47E1-B1D6-260D2E3B79A2}"/>
    <hyperlink ref="T8" r:id="rId20" xr:uid="{64425EA8-5F91-42BB-80C0-BDD9117D2D60}"/>
    <hyperlink ref="T9" r:id="rId21" xr:uid="{6F6FCA50-6FA5-4ED0-AF2E-D81797C877D7}"/>
    <hyperlink ref="T10" r:id="rId22" xr:uid="{A8C8899C-3156-40E2-80DB-91165C55A3D8}"/>
    <hyperlink ref="T11" r:id="rId23" xr:uid="{54F4B72A-4F96-4858-B227-45705E65C98F}"/>
    <hyperlink ref="T12" r:id="rId24" xr:uid="{086EDB06-71C6-408F-A995-E5A6ADA40372}"/>
    <hyperlink ref="T14" r:id="rId25" xr:uid="{EFF9A765-F69B-4B18-ACB6-54D044176D0F}"/>
    <hyperlink ref="T15" r:id="rId26" xr:uid="{AE8079E9-3D01-4F79-B967-8F2ECB45FFB7}"/>
    <hyperlink ref="T16" r:id="rId27" xr:uid="{A1950722-8B60-404A-8F10-AD3CC4ED95A0}"/>
    <hyperlink ref="T17" r:id="rId28" xr:uid="{1FBBA7E5-8063-45B4-B38D-99EB49DE367F}"/>
    <hyperlink ref="T18" r:id="rId29" xr:uid="{E93A07FC-60E3-4070-B173-5D934A2EA4A0}"/>
    <hyperlink ref="T19" r:id="rId30" xr:uid="{78C6F449-DEF9-428D-AF6F-227F9905C8BF}"/>
    <hyperlink ref="T20" r:id="rId31" xr:uid="{51EC5A28-44F5-43A2-84BC-E7A688AA87FD}"/>
    <hyperlink ref="T21" r:id="rId32" xr:uid="{6CC9CAD1-21DA-4EFC-806A-96B3DE46ACF8}"/>
    <hyperlink ref="T22" r:id="rId33" xr:uid="{A9EB2750-714E-4B12-806A-F10BCE6BA68E}"/>
    <hyperlink ref="T23" r:id="rId34" xr:uid="{8C37F843-1AF2-460F-AE45-B4DE6A86674E}"/>
    <hyperlink ref="T24" r:id="rId35" xr:uid="{CAEC6313-16B9-4377-9ED4-27871950CE69}"/>
    <hyperlink ref="T25" r:id="rId36" xr:uid="{1582CB55-A326-4AFD-8650-7D6C8F796BAA}"/>
    <hyperlink ref="T26" r:id="rId37" xr:uid="{13BC602B-FC91-4F82-9D8D-CDD3CC3972A8}"/>
    <hyperlink ref="T27" r:id="rId38" xr:uid="{F9C27AC0-1011-4FBF-AB96-A06D0AF21101}"/>
    <hyperlink ref="T28" r:id="rId39" xr:uid="{DFE524D8-A7C2-45FC-8463-9E1C608855D3}"/>
    <hyperlink ref="T29" r:id="rId40" xr:uid="{E60C0CAF-0576-4DAB-941E-281FAFF33FBD}"/>
    <hyperlink ref="T31" r:id="rId41" xr:uid="{FE0A88A3-8993-4327-BA86-3A56BA60AFDC}"/>
    <hyperlink ref="T32" r:id="rId42" xr:uid="{DCFA7773-FFB5-462B-8CAD-C949192A791C}"/>
    <hyperlink ref="T33" r:id="rId43" xr:uid="{85137963-5A7E-4851-9D6C-DB9C1C5FB2E9}"/>
    <hyperlink ref="T34" r:id="rId44" xr:uid="{5859C151-6512-404F-8480-5D40C532AE05}"/>
    <hyperlink ref="T35" r:id="rId45" xr:uid="{6DA0CA92-5336-45E2-9F89-D06D80130A9A}"/>
    <hyperlink ref="T36" r:id="rId46" xr:uid="{1A89A9E8-347B-45BC-BA46-78F18458AB1E}"/>
    <hyperlink ref="T37" r:id="rId47" xr:uid="{B6AF5E1E-0DBC-4D50-AD21-10DF3F1F52C6}"/>
    <hyperlink ref="T39" r:id="rId48" xr:uid="{3EEB684B-9779-40D8-AF50-112AD45A3EDC}"/>
    <hyperlink ref="T45" r:id="rId49" xr:uid="{D6F9F5A6-C4E5-4D2C-8FCE-AD10C14A86E2}"/>
    <hyperlink ref="T46" r:id="rId50" xr:uid="{C2725E20-1FB1-4D74-B480-F89ED08AEB47}"/>
    <hyperlink ref="T47" r:id="rId51" xr:uid="{269D329E-E43D-492E-A172-3E18AD9C8B4D}"/>
    <hyperlink ref="T48" r:id="rId52" xr:uid="{DA6E8530-4F85-4A83-B088-C47C091EB7EB}"/>
    <hyperlink ref="T49" r:id="rId53" xr:uid="{DA8AC06A-339D-46F1-A338-F09F54A11080}"/>
    <hyperlink ref="T50" r:id="rId54" xr:uid="{F6E1A519-EC44-48F7-9F85-516A10A81C4A}"/>
    <hyperlink ref="T51" r:id="rId55" xr:uid="{B283A451-EB77-4F18-9879-E080FFF3CBAD}"/>
    <hyperlink ref="T52" r:id="rId56" xr:uid="{D479D34A-418A-4C20-84C2-CB9BAD95E45F}"/>
    <hyperlink ref="T53" r:id="rId57" xr:uid="{88C620C7-8E92-485D-8CED-71462FF0FB47}"/>
    <hyperlink ref="T54" r:id="rId58" xr:uid="{41652946-48AE-4E86-B9B6-0A99FDA9CD27}"/>
    <hyperlink ref="T55" r:id="rId59" xr:uid="{907B49F3-3BDD-4DB6-87F1-EF6536C441DA}"/>
    <hyperlink ref="T82" r:id="rId60" xr:uid="{2E8D3BB8-2889-458C-BB7E-C6A6E19DE366}"/>
    <hyperlink ref="T83" r:id="rId61" xr:uid="{237CA81F-6C61-4207-8DC8-C434EFAC978D}"/>
    <hyperlink ref="T84" r:id="rId62" xr:uid="{3194C3D9-C7A2-45C6-A56C-DEF993ED5416}"/>
    <hyperlink ref="T85" r:id="rId63" xr:uid="{57931DD2-33F8-40E2-A407-89E6F19E3A6E}"/>
    <hyperlink ref="T86" r:id="rId64" xr:uid="{8E620069-EB23-45BD-991C-FD02CB4D7E1E}"/>
    <hyperlink ref="T87" r:id="rId65" xr:uid="{4663F65B-8D27-43E1-9FF2-06E9F633ADCF}"/>
    <hyperlink ref="T88" r:id="rId66" xr:uid="{BE4C0BC7-EDED-481A-8ABF-9251EA3115E4}"/>
  </hyperlinks>
  <pageMargins left="0.7" right="0.7" top="0.75" bottom="0.75" header="0.3" footer="0.3"/>
  <drawing r:id="rId67"/>
  <legacyDrawing r:id="rId6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DF54"/>
  <sheetViews>
    <sheetView workbookViewId="0"/>
  </sheetViews>
  <sheetFormatPr defaultColWidth="2.54296875" defaultRowHeight="15"/>
  <cols>
    <col min="1" max="16384" width="2.54296875" style="1"/>
  </cols>
  <sheetData>
    <row r="2" spans="2:14">
      <c r="B2" s="1" t="s">
        <v>350</v>
      </c>
    </row>
    <row r="4" spans="2:14">
      <c r="C4" s="2" t="s">
        <v>351</v>
      </c>
      <c r="D4" s="2"/>
      <c r="E4" s="2"/>
      <c r="F4" s="2"/>
      <c r="G4" s="2"/>
      <c r="H4" s="2"/>
      <c r="I4" s="2"/>
      <c r="J4" s="2"/>
      <c r="K4" s="2"/>
      <c r="L4" s="2"/>
      <c r="M4" s="2"/>
      <c r="N4" s="2"/>
    </row>
    <row r="6" spans="2:14">
      <c r="D6" s="1" t="s">
        <v>352</v>
      </c>
    </row>
    <row r="7" spans="2:14">
      <c r="D7" s="1" t="s">
        <v>353</v>
      </c>
    </row>
    <row r="8" spans="2:14">
      <c r="D8" s="1" t="s">
        <v>354</v>
      </c>
    </row>
    <row r="10" spans="2:14">
      <c r="D10" s="1" t="s">
        <v>355</v>
      </c>
    </row>
    <row r="11" spans="2:14">
      <c r="E11" s="116" t="s">
        <v>356</v>
      </c>
    </row>
    <row r="12" spans="2:14">
      <c r="F12" s="1" t="s">
        <v>357</v>
      </c>
      <c r="G12" s="117" t="s">
        <v>358</v>
      </c>
    </row>
    <row r="13" spans="2:14">
      <c r="G13" s="117" t="s">
        <v>359</v>
      </c>
    </row>
    <row r="15" spans="2:14">
      <c r="C15" s="2" t="s">
        <v>360</v>
      </c>
      <c r="D15" s="2"/>
      <c r="E15" s="2"/>
      <c r="F15" s="2"/>
      <c r="G15" s="2"/>
      <c r="H15" s="2"/>
      <c r="I15" s="2"/>
      <c r="J15" s="2"/>
      <c r="K15" s="2"/>
      <c r="L15" s="2"/>
      <c r="M15" s="2"/>
      <c r="N15" s="2"/>
    </row>
    <row r="17" spans="3:14">
      <c r="D17" s="1" t="s">
        <v>352</v>
      </c>
    </row>
    <row r="18" spans="3:14">
      <c r="D18" s="1" t="s">
        <v>361</v>
      </c>
    </row>
    <row r="19" spans="3:14">
      <c r="D19" s="1" t="s">
        <v>362</v>
      </c>
    </row>
    <row r="20" spans="3:14">
      <c r="E20" s="1" t="s">
        <v>363</v>
      </c>
    </row>
    <row r="22" spans="3:14">
      <c r="C22" s="2" t="s">
        <v>364</v>
      </c>
      <c r="D22" s="2"/>
      <c r="E22" s="2"/>
      <c r="F22" s="2"/>
      <c r="G22" s="2"/>
      <c r="H22" s="2"/>
      <c r="I22" s="2"/>
      <c r="J22" s="2"/>
      <c r="K22" s="2"/>
      <c r="L22" s="2"/>
      <c r="M22" s="2"/>
      <c r="N22" s="2"/>
    </row>
    <row r="24" spans="3:14">
      <c r="D24" s="1" t="s">
        <v>352</v>
      </c>
    </row>
    <row r="25" spans="3:14">
      <c r="D25" s="1" t="s">
        <v>361</v>
      </c>
    </row>
    <row r="26" spans="3:14">
      <c r="D26" s="1" t="s">
        <v>365</v>
      </c>
    </row>
    <row r="27" spans="3:14">
      <c r="E27" s="1" t="s">
        <v>366</v>
      </c>
    </row>
    <row r="29" spans="3:14">
      <c r="C29" s="2" t="s">
        <v>367</v>
      </c>
      <c r="D29" s="2"/>
      <c r="E29" s="2"/>
      <c r="F29" s="2"/>
      <c r="G29" s="2"/>
      <c r="H29" s="2"/>
      <c r="I29" s="2"/>
      <c r="J29" s="2"/>
      <c r="K29" s="2"/>
      <c r="L29" s="2"/>
      <c r="M29" s="2"/>
      <c r="N29" s="2"/>
    </row>
    <row r="31" spans="3:14">
      <c r="D31" s="1" t="s">
        <v>352</v>
      </c>
    </row>
    <row r="32" spans="3:14">
      <c r="D32" s="1" t="s">
        <v>361</v>
      </c>
    </row>
    <row r="33" spans="4:110">
      <c r="D33" s="1" t="s">
        <v>368</v>
      </c>
    </row>
    <row r="34" spans="4:110">
      <c r="D34" s="1" t="s">
        <v>369</v>
      </c>
    </row>
    <row r="35" spans="4:110">
      <c r="D35" s="1" t="s">
        <v>370</v>
      </c>
    </row>
    <row r="36" spans="4:110">
      <c r="D36" s="1" t="s">
        <v>371</v>
      </c>
    </row>
    <row r="38" spans="4:110">
      <c r="D38" s="114" t="s">
        <v>372</v>
      </c>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4"/>
      <c r="AY38" s="114"/>
      <c r="AZ38" s="114"/>
      <c r="BA38" s="114"/>
      <c r="BB38" s="114"/>
      <c r="BC38" s="114"/>
      <c r="BD38" s="114"/>
      <c r="BE38" s="114"/>
      <c r="BF38" s="114"/>
      <c r="BG38" s="114"/>
      <c r="BH38" s="114"/>
      <c r="BI38" s="114"/>
      <c r="BJ38" s="114"/>
      <c r="BK38" s="114"/>
      <c r="BL38" s="114"/>
      <c r="BM38" s="114"/>
      <c r="BN38" s="114"/>
      <c r="BO38" s="114"/>
      <c r="BP38" s="114"/>
      <c r="BQ38" s="114"/>
      <c r="BR38" s="114"/>
      <c r="BS38" s="114"/>
      <c r="BT38" s="114"/>
      <c r="BU38" s="114"/>
      <c r="BV38" s="114"/>
      <c r="BW38" s="114"/>
      <c r="BX38" s="114"/>
      <c r="BY38" s="114"/>
      <c r="BZ38" s="114"/>
      <c r="CA38" s="114"/>
      <c r="CB38" s="114"/>
      <c r="CC38" s="114"/>
      <c r="CD38" s="114"/>
      <c r="CE38" s="114"/>
      <c r="CF38" s="114"/>
      <c r="CG38" s="114"/>
      <c r="CH38" s="114"/>
      <c r="CI38" s="114"/>
      <c r="CJ38" s="114"/>
      <c r="CK38" s="114"/>
      <c r="CL38" s="114"/>
      <c r="CM38" s="114"/>
      <c r="CN38" s="114"/>
      <c r="CO38" s="114"/>
      <c r="CP38" s="114"/>
      <c r="CQ38" s="114"/>
      <c r="CR38" s="114"/>
      <c r="CS38" s="114"/>
      <c r="CT38" s="114"/>
      <c r="CU38" s="114"/>
      <c r="CV38" s="114"/>
      <c r="CW38" s="114"/>
      <c r="CX38" s="114"/>
      <c r="CY38" s="114"/>
      <c r="CZ38" s="114"/>
      <c r="DA38" s="114"/>
      <c r="DB38" s="114"/>
      <c r="DC38" s="114"/>
      <c r="DD38" s="114"/>
      <c r="DE38" s="114"/>
      <c r="DF38" s="114"/>
    </row>
    <row r="39" spans="4:110">
      <c r="D39" s="1" t="s">
        <v>373</v>
      </c>
      <c r="H39" s="1" t="s">
        <v>374</v>
      </c>
    </row>
    <row r="40" spans="4:110">
      <c r="D40" s="1" t="s">
        <v>375</v>
      </c>
      <c r="H40" s="1" t="s">
        <v>376</v>
      </c>
    </row>
    <row r="42" spans="4:110">
      <c r="D42" s="1" t="s">
        <v>373</v>
      </c>
      <c r="H42" s="1" t="s">
        <v>377</v>
      </c>
    </row>
    <row r="43" spans="4:110">
      <c r="D43" s="1" t="s">
        <v>375</v>
      </c>
      <c r="H43" s="1" t="s">
        <v>378</v>
      </c>
    </row>
    <row r="45" spans="4:110">
      <c r="D45" s="1" t="s">
        <v>373</v>
      </c>
      <c r="H45" s="1" t="s">
        <v>379</v>
      </c>
    </row>
    <row r="46" spans="4:110">
      <c r="D46" s="1" t="s">
        <v>375</v>
      </c>
      <c r="H46" s="1" t="s">
        <v>380</v>
      </c>
    </row>
    <row r="48" spans="4:110">
      <c r="D48" s="1" t="s">
        <v>373</v>
      </c>
      <c r="H48" s="1" t="s">
        <v>381</v>
      </c>
    </row>
    <row r="49" spans="4:110">
      <c r="D49" s="1" t="s">
        <v>375</v>
      </c>
      <c r="H49" s="1" t="s">
        <v>382</v>
      </c>
    </row>
    <row r="51" spans="4:110">
      <c r="D51" s="1" t="s">
        <v>373</v>
      </c>
      <c r="H51" s="1" t="s">
        <v>383</v>
      </c>
    </row>
    <row r="52" spans="4:110">
      <c r="D52" s="1" t="s">
        <v>375</v>
      </c>
      <c r="H52" s="1" t="s">
        <v>384</v>
      </c>
    </row>
    <row r="54" spans="4:110">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4"/>
      <c r="AY54" s="114"/>
      <c r="AZ54" s="114"/>
      <c r="BA54" s="114"/>
      <c r="BB54" s="114"/>
      <c r="BC54" s="114"/>
      <c r="BD54" s="114"/>
      <c r="BE54" s="114"/>
      <c r="BF54" s="114"/>
      <c r="BG54" s="114"/>
      <c r="BH54" s="114"/>
      <c r="BI54" s="114"/>
      <c r="BJ54" s="114"/>
      <c r="BK54" s="114"/>
      <c r="BL54" s="114"/>
      <c r="BM54" s="114"/>
      <c r="BN54" s="114"/>
      <c r="BO54" s="114"/>
      <c r="BP54" s="114"/>
      <c r="BQ54" s="114"/>
      <c r="BR54" s="114"/>
      <c r="BS54" s="114"/>
      <c r="BT54" s="114"/>
      <c r="BU54" s="114"/>
      <c r="BV54" s="114"/>
      <c r="BW54" s="114"/>
      <c r="BX54" s="114"/>
      <c r="BY54" s="114"/>
      <c r="BZ54" s="114"/>
      <c r="CA54" s="114"/>
      <c r="CB54" s="114"/>
      <c r="CC54" s="114"/>
      <c r="CD54" s="114"/>
      <c r="CE54" s="114"/>
      <c r="CF54" s="114"/>
      <c r="CG54" s="114"/>
      <c r="CH54" s="114"/>
      <c r="CI54" s="114"/>
      <c r="CJ54" s="114"/>
      <c r="CK54" s="114"/>
      <c r="CL54" s="114"/>
      <c r="CM54" s="114"/>
      <c r="CN54" s="114"/>
      <c r="CO54" s="114"/>
      <c r="CP54" s="114"/>
      <c r="CQ54" s="114"/>
      <c r="CR54" s="114"/>
      <c r="CS54" s="114"/>
      <c r="CT54" s="114"/>
      <c r="CU54" s="114"/>
      <c r="CV54" s="114"/>
      <c r="CW54" s="114"/>
      <c r="CX54" s="114"/>
      <c r="CY54" s="114"/>
      <c r="CZ54" s="114"/>
      <c r="DA54" s="114"/>
      <c r="DB54" s="114"/>
      <c r="DC54" s="114"/>
      <c r="DD54" s="114"/>
      <c r="DE54" s="114"/>
      <c r="DF54" s="114"/>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4685E-7052-4654-B04B-2FDF554B36DF}">
  <sheetPr codeName="Sheet7"/>
  <dimension ref="B2:B158"/>
  <sheetViews>
    <sheetView workbookViewId="0"/>
  </sheetViews>
  <sheetFormatPr defaultColWidth="2.54296875" defaultRowHeight="15"/>
  <cols>
    <col min="1" max="16384" width="2.54296875" style="1"/>
  </cols>
  <sheetData>
    <row r="2" spans="2:2">
      <c r="B2" s="1" t="s">
        <v>385</v>
      </c>
    </row>
    <row r="30" spans="2:2">
      <c r="B30" s="1" t="s">
        <v>386</v>
      </c>
    </row>
    <row r="61" spans="2:2">
      <c r="B61" s="1" t="s">
        <v>387</v>
      </c>
    </row>
    <row r="92" spans="2:2">
      <c r="B92" s="1" t="s">
        <v>388</v>
      </c>
    </row>
    <row r="126" spans="2:2">
      <c r="B126" s="1" t="s">
        <v>389</v>
      </c>
    </row>
    <row r="158" spans="2:2">
      <c r="B158" s="1" t="s">
        <v>390</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2:K73"/>
  <sheetViews>
    <sheetView showGridLines="0" zoomScaleNormal="100" workbookViewId="0">
      <pane ySplit="3" topLeftCell="A61" activePane="bottomLeft" state="frozen"/>
      <selection pane="bottomLeft"/>
    </sheetView>
  </sheetViews>
  <sheetFormatPr defaultColWidth="9" defaultRowHeight="15"/>
  <cols>
    <col min="1" max="1" width="2.54296875" style="3" customWidth="1"/>
    <col min="2" max="2" width="25.453125" style="3" bestFit="1" customWidth="1"/>
    <col min="3" max="3" width="4" style="3" bestFit="1" customWidth="1"/>
    <col min="4" max="4" width="23.1796875" style="3" bestFit="1" customWidth="1"/>
    <col min="5" max="5" width="19" style="3" bestFit="1" customWidth="1"/>
    <col min="6" max="6" width="19" style="3" customWidth="1"/>
    <col min="7" max="7" width="20.1796875" style="3" bestFit="1" customWidth="1"/>
    <col min="8" max="9" width="17.453125" style="3" customWidth="1"/>
    <col min="10" max="10" width="0" style="3" hidden="1" customWidth="1"/>
    <col min="11" max="11" width="37.453125" style="1" bestFit="1" customWidth="1"/>
    <col min="12" max="16384" width="9" style="3"/>
  </cols>
  <sheetData>
    <row r="2" spans="2:11">
      <c r="B2" s="143" t="s">
        <v>391</v>
      </c>
      <c r="C2" s="5"/>
      <c r="D2" s="143" t="s">
        <v>392</v>
      </c>
      <c r="E2" s="22" t="s">
        <v>393</v>
      </c>
      <c r="F2" s="141" t="s">
        <v>394</v>
      </c>
      <c r="G2" s="142"/>
      <c r="H2" s="145" t="s">
        <v>395</v>
      </c>
      <c r="I2" s="142"/>
      <c r="J2" s="139" t="s">
        <v>396</v>
      </c>
      <c r="K2" s="139" t="s">
        <v>17</v>
      </c>
    </row>
    <row r="3" spans="2:11">
      <c r="B3" s="144"/>
      <c r="C3" s="6"/>
      <c r="D3" s="144"/>
      <c r="E3" s="4" t="s">
        <v>397</v>
      </c>
      <c r="F3" s="4" t="s">
        <v>398</v>
      </c>
      <c r="G3" s="4" t="s">
        <v>399</v>
      </c>
      <c r="H3" s="7" t="s">
        <v>400</v>
      </c>
      <c r="I3" s="7" t="s">
        <v>401</v>
      </c>
      <c r="J3" s="140"/>
      <c r="K3" s="140"/>
    </row>
    <row r="4" spans="2:11">
      <c r="B4" s="8" t="s">
        <v>402</v>
      </c>
      <c r="C4" s="8" t="s">
        <v>403</v>
      </c>
      <c r="D4" s="9" t="s">
        <v>404</v>
      </c>
      <c r="E4" s="10" t="s">
        <v>25</v>
      </c>
      <c r="F4" s="10" t="s">
        <v>332</v>
      </c>
      <c r="G4" s="10" t="s">
        <v>332</v>
      </c>
      <c r="H4" s="10" t="s">
        <v>25</v>
      </c>
      <c r="I4" s="10" t="s">
        <v>25</v>
      </c>
      <c r="J4" s="10" t="s">
        <v>25</v>
      </c>
      <c r="K4" s="11"/>
    </row>
    <row r="5" spans="2:11">
      <c r="B5" s="12"/>
      <c r="C5" s="13" t="s">
        <v>405</v>
      </c>
      <c r="D5" s="13" t="s">
        <v>406</v>
      </c>
      <c r="E5" s="14" t="s">
        <v>25</v>
      </c>
      <c r="F5" s="14" t="s">
        <v>332</v>
      </c>
      <c r="G5" s="14" t="s">
        <v>332</v>
      </c>
      <c r="H5" s="14" t="s">
        <v>25</v>
      </c>
      <c r="I5" s="14" t="s">
        <v>25</v>
      </c>
      <c r="J5" s="14" t="s">
        <v>25</v>
      </c>
      <c r="K5" s="15"/>
    </row>
    <row r="6" spans="2:11">
      <c r="B6" s="12"/>
      <c r="C6" s="13" t="s">
        <v>407</v>
      </c>
      <c r="D6" s="13" t="s">
        <v>408</v>
      </c>
      <c r="E6" s="14" t="s">
        <v>332</v>
      </c>
      <c r="F6" s="14" t="s">
        <v>332</v>
      </c>
      <c r="G6" s="14" t="s">
        <v>332</v>
      </c>
      <c r="H6" s="14" t="s">
        <v>25</v>
      </c>
      <c r="I6" s="14" t="s">
        <v>25</v>
      </c>
      <c r="J6" s="14" t="s">
        <v>25</v>
      </c>
      <c r="K6" s="15"/>
    </row>
    <row r="7" spans="2:11">
      <c r="B7" s="12"/>
      <c r="C7" s="13" t="s">
        <v>409</v>
      </c>
      <c r="D7" s="13" t="s">
        <v>410</v>
      </c>
      <c r="E7" s="14" t="s">
        <v>332</v>
      </c>
      <c r="F7" s="14" t="s">
        <v>332</v>
      </c>
      <c r="G7" s="14" t="s">
        <v>332</v>
      </c>
      <c r="H7" s="14" t="s">
        <v>25</v>
      </c>
      <c r="I7" s="14" t="s">
        <v>25</v>
      </c>
      <c r="J7" s="14" t="s">
        <v>25</v>
      </c>
      <c r="K7" s="15"/>
    </row>
    <row r="8" spans="2:11">
      <c r="B8" s="12"/>
      <c r="C8" s="13" t="s">
        <v>411</v>
      </c>
      <c r="D8" s="13" t="s">
        <v>412</v>
      </c>
      <c r="E8" s="14" t="s">
        <v>332</v>
      </c>
      <c r="F8" s="14" t="s">
        <v>332</v>
      </c>
      <c r="G8" s="14" t="s">
        <v>332</v>
      </c>
      <c r="H8" s="14" t="s">
        <v>25</v>
      </c>
      <c r="I8" s="14" t="s">
        <v>25</v>
      </c>
      <c r="J8" s="14" t="s">
        <v>25</v>
      </c>
      <c r="K8" s="15"/>
    </row>
    <row r="9" spans="2:11">
      <c r="B9" s="12"/>
      <c r="C9" s="13" t="s">
        <v>413</v>
      </c>
      <c r="D9" s="13" t="s">
        <v>414</v>
      </c>
      <c r="E9" s="14" t="s">
        <v>332</v>
      </c>
      <c r="F9" s="14" t="s">
        <v>332</v>
      </c>
      <c r="G9" s="14" t="s">
        <v>332</v>
      </c>
      <c r="H9" s="14" t="s">
        <v>25</v>
      </c>
      <c r="I9" s="14" t="s">
        <v>25</v>
      </c>
      <c r="J9" s="14" t="s">
        <v>25</v>
      </c>
      <c r="K9" s="15"/>
    </row>
    <row r="10" spans="2:11">
      <c r="B10" s="12"/>
      <c r="C10" s="13" t="s">
        <v>415</v>
      </c>
      <c r="D10" s="13" t="s">
        <v>416</v>
      </c>
      <c r="E10" s="14" t="s">
        <v>332</v>
      </c>
      <c r="F10" s="14" t="s">
        <v>332</v>
      </c>
      <c r="G10" s="14" t="s">
        <v>332</v>
      </c>
      <c r="H10" s="14" t="s">
        <v>25</v>
      </c>
      <c r="I10" s="14" t="s">
        <v>25</v>
      </c>
      <c r="J10" s="14" t="s">
        <v>25</v>
      </c>
      <c r="K10" s="15"/>
    </row>
    <row r="11" spans="2:11">
      <c r="B11" s="12"/>
      <c r="C11" s="13" t="s">
        <v>417</v>
      </c>
      <c r="D11" s="13" t="s">
        <v>418</v>
      </c>
      <c r="E11" s="14" t="s">
        <v>332</v>
      </c>
      <c r="F11" s="14" t="s">
        <v>332</v>
      </c>
      <c r="G11" s="14" t="s">
        <v>332</v>
      </c>
      <c r="H11" s="14" t="s">
        <v>25</v>
      </c>
      <c r="I11" s="14" t="s">
        <v>25</v>
      </c>
      <c r="J11" s="14" t="s">
        <v>25</v>
      </c>
      <c r="K11" s="15"/>
    </row>
    <row r="12" spans="2:11">
      <c r="B12" s="12"/>
      <c r="C12" s="13" t="s">
        <v>419</v>
      </c>
      <c r="D12" s="13" t="s">
        <v>420</v>
      </c>
      <c r="E12" s="14" t="s">
        <v>332</v>
      </c>
      <c r="F12" s="14" t="s">
        <v>332</v>
      </c>
      <c r="G12" s="14" t="s">
        <v>332</v>
      </c>
      <c r="H12" s="14" t="s">
        <v>25</v>
      </c>
      <c r="I12" s="14" t="s">
        <v>25</v>
      </c>
      <c r="J12" s="14" t="s">
        <v>25</v>
      </c>
      <c r="K12" s="15"/>
    </row>
    <row r="13" spans="2:11">
      <c r="B13" s="12"/>
      <c r="C13" s="13" t="s">
        <v>421</v>
      </c>
      <c r="D13" s="13" t="s">
        <v>422</v>
      </c>
      <c r="E13" s="14" t="s">
        <v>332</v>
      </c>
      <c r="F13" s="14" t="s">
        <v>332</v>
      </c>
      <c r="G13" s="14" t="s">
        <v>332</v>
      </c>
      <c r="H13" s="14" t="s">
        <v>25</v>
      </c>
      <c r="I13" s="14" t="s">
        <v>25</v>
      </c>
      <c r="J13" s="14" t="s">
        <v>25</v>
      </c>
      <c r="K13" s="15"/>
    </row>
    <row r="14" spans="2:11">
      <c r="B14" s="12"/>
      <c r="C14" s="13" t="s">
        <v>423</v>
      </c>
      <c r="D14" s="13" t="s">
        <v>424</v>
      </c>
      <c r="E14" s="14" t="s">
        <v>332</v>
      </c>
      <c r="F14" s="14" t="s">
        <v>332</v>
      </c>
      <c r="G14" s="14" t="s">
        <v>332</v>
      </c>
      <c r="H14" s="14" t="s">
        <v>25</v>
      </c>
      <c r="I14" s="14" t="s">
        <v>25</v>
      </c>
      <c r="J14" s="14" t="s">
        <v>25</v>
      </c>
      <c r="K14" s="15"/>
    </row>
    <row r="15" spans="2:11">
      <c r="B15" s="12"/>
      <c r="C15" s="13" t="s">
        <v>425</v>
      </c>
      <c r="D15" s="13" t="s">
        <v>426</v>
      </c>
      <c r="E15" s="14" t="s">
        <v>25</v>
      </c>
      <c r="F15" s="14" t="s">
        <v>332</v>
      </c>
      <c r="G15" s="14" t="s">
        <v>332</v>
      </c>
      <c r="H15" s="14" t="s">
        <v>25</v>
      </c>
      <c r="I15" s="14" t="s">
        <v>25</v>
      </c>
      <c r="J15" s="14" t="s">
        <v>25</v>
      </c>
      <c r="K15" s="15"/>
    </row>
    <row r="16" spans="2:11">
      <c r="B16" s="12"/>
      <c r="C16" s="13" t="s">
        <v>427</v>
      </c>
      <c r="D16" s="13" t="s">
        <v>428</v>
      </c>
      <c r="E16" s="14" t="s">
        <v>332</v>
      </c>
      <c r="F16" s="14" t="s">
        <v>332</v>
      </c>
      <c r="G16" s="14" t="s">
        <v>332</v>
      </c>
      <c r="H16" s="14" t="s">
        <v>25</v>
      </c>
      <c r="I16" s="14" t="s">
        <v>25</v>
      </c>
      <c r="J16" s="14" t="s">
        <v>25</v>
      </c>
      <c r="K16" s="15"/>
    </row>
    <row r="17" spans="2:11">
      <c r="B17" s="12"/>
      <c r="C17" s="13" t="s">
        <v>429</v>
      </c>
      <c r="D17" s="13" t="s">
        <v>430</v>
      </c>
      <c r="E17" s="14" t="s">
        <v>332</v>
      </c>
      <c r="F17" s="14" t="s">
        <v>332</v>
      </c>
      <c r="G17" s="14" t="s">
        <v>332</v>
      </c>
      <c r="H17" s="14" t="s">
        <v>25</v>
      </c>
      <c r="I17" s="14" t="s">
        <v>25</v>
      </c>
      <c r="J17" s="14" t="s">
        <v>25</v>
      </c>
      <c r="K17" s="15"/>
    </row>
    <row r="18" spans="2:11">
      <c r="B18" s="12"/>
      <c r="C18" s="13" t="s">
        <v>431</v>
      </c>
      <c r="D18" s="13" t="s">
        <v>432</v>
      </c>
      <c r="E18" s="14" t="s">
        <v>332</v>
      </c>
      <c r="F18" s="14" t="s">
        <v>332</v>
      </c>
      <c r="G18" s="14" t="s">
        <v>332</v>
      </c>
      <c r="H18" s="14" t="s">
        <v>25</v>
      </c>
      <c r="I18" s="14" t="s">
        <v>25</v>
      </c>
      <c r="J18" s="14" t="s">
        <v>25</v>
      </c>
      <c r="K18" s="15"/>
    </row>
    <row r="19" spans="2:11">
      <c r="B19" s="12"/>
      <c r="C19" s="13" t="s">
        <v>433</v>
      </c>
      <c r="D19" s="13" t="s">
        <v>434</v>
      </c>
      <c r="E19" s="14" t="s">
        <v>332</v>
      </c>
      <c r="F19" s="14" t="s">
        <v>332</v>
      </c>
      <c r="G19" s="14" t="s">
        <v>332</v>
      </c>
      <c r="H19" s="14" t="s">
        <v>25</v>
      </c>
      <c r="I19" s="14" t="s">
        <v>25</v>
      </c>
      <c r="J19" s="14" t="s">
        <v>25</v>
      </c>
      <c r="K19" s="15"/>
    </row>
    <row r="20" spans="2:11">
      <c r="B20" s="12"/>
      <c r="C20" s="13" t="s">
        <v>435</v>
      </c>
      <c r="D20" s="13" t="s">
        <v>436</v>
      </c>
      <c r="E20" s="14" t="s">
        <v>332</v>
      </c>
      <c r="F20" s="14" t="s">
        <v>332</v>
      </c>
      <c r="G20" s="14" t="s">
        <v>332</v>
      </c>
      <c r="H20" s="14" t="s">
        <v>25</v>
      </c>
      <c r="I20" s="14" t="s">
        <v>25</v>
      </c>
      <c r="J20" s="14" t="s">
        <v>25</v>
      </c>
      <c r="K20" s="15"/>
    </row>
    <row r="21" spans="2:11">
      <c r="B21" s="12"/>
      <c r="C21" s="13" t="s">
        <v>437</v>
      </c>
      <c r="D21" s="13" t="s">
        <v>438</v>
      </c>
      <c r="E21" s="14" t="s">
        <v>332</v>
      </c>
      <c r="F21" s="14" t="s">
        <v>332</v>
      </c>
      <c r="G21" s="14" t="s">
        <v>332</v>
      </c>
      <c r="H21" s="14" t="s">
        <v>25</v>
      </c>
      <c r="I21" s="14" t="s">
        <v>25</v>
      </c>
      <c r="J21" s="14" t="s">
        <v>25</v>
      </c>
      <c r="K21" s="15"/>
    </row>
    <row r="22" spans="2:11">
      <c r="B22" s="12"/>
      <c r="C22" s="13" t="s">
        <v>439</v>
      </c>
      <c r="D22" s="13" t="s">
        <v>440</v>
      </c>
      <c r="E22" s="14" t="s">
        <v>332</v>
      </c>
      <c r="F22" s="14" t="s">
        <v>332</v>
      </c>
      <c r="G22" s="14" t="s">
        <v>332</v>
      </c>
      <c r="H22" s="14" t="s">
        <v>25</v>
      </c>
      <c r="I22" s="14" t="s">
        <v>25</v>
      </c>
      <c r="J22" s="14" t="s">
        <v>25</v>
      </c>
      <c r="K22" s="15"/>
    </row>
    <row r="23" spans="2:11">
      <c r="B23" s="12"/>
      <c r="C23" s="13" t="s">
        <v>441</v>
      </c>
      <c r="D23" s="13" t="s">
        <v>442</v>
      </c>
      <c r="E23" s="14"/>
      <c r="F23" s="14" t="s">
        <v>332</v>
      </c>
      <c r="G23" s="14" t="s">
        <v>332</v>
      </c>
      <c r="H23" s="14" t="s">
        <v>25</v>
      </c>
      <c r="I23" s="14" t="s">
        <v>25</v>
      </c>
      <c r="J23" s="14" t="s">
        <v>25</v>
      </c>
      <c r="K23" s="15"/>
    </row>
    <row r="24" spans="2:11">
      <c r="B24" s="12"/>
      <c r="C24" s="13" t="s">
        <v>443</v>
      </c>
      <c r="D24" s="13" t="s">
        <v>444</v>
      </c>
      <c r="E24" s="14" t="s">
        <v>332</v>
      </c>
      <c r="F24" s="14" t="s">
        <v>332</v>
      </c>
      <c r="G24" s="14" t="s">
        <v>332</v>
      </c>
      <c r="H24" s="14" t="s">
        <v>25</v>
      </c>
      <c r="I24" s="14" t="s">
        <v>25</v>
      </c>
      <c r="J24" s="14" t="s">
        <v>25</v>
      </c>
      <c r="K24" s="15"/>
    </row>
    <row r="25" spans="2:11">
      <c r="B25" s="12"/>
      <c r="C25" s="13" t="s">
        <v>445</v>
      </c>
      <c r="D25" s="13" t="s">
        <v>446</v>
      </c>
      <c r="E25" s="14" t="s">
        <v>332</v>
      </c>
      <c r="F25" s="14" t="s">
        <v>332</v>
      </c>
      <c r="G25" s="14" t="s">
        <v>332</v>
      </c>
      <c r="H25" s="14" t="s">
        <v>25</v>
      </c>
      <c r="I25" s="14" t="s">
        <v>25</v>
      </c>
      <c r="J25" s="14" t="s">
        <v>25</v>
      </c>
      <c r="K25" s="15"/>
    </row>
    <row r="26" spans="2:11">
      <c r="B26" s="12"/>
      <c r="C26" s="13" t="s">
        <v>447</v>
      </c>
      <c r="D26" s="13" t="s">
        <v>448</v>
      </c>
      <c r="E26" s="14" t="s">
        <v>332</v>
      </c>
      <c r="F26" s="14" t="s">
        <v>332</v>
      </c>
      <c r="G26" s="14" t="s">
        <v>332</v>
      </c>
      <c r="H26" s="14" t="s">
        <v>25</v>
      </c>
      <c r="I26" s="14" t="s">
        <v>25</v>
      </c>
      <c r="J26" s="14" t="s">
        <v>25</v>
      </c>
      <c r="K26" s="15"/>
    </row>
    <row r="27" spans="2:11">
      <c r="B27" s="12"/>
      <c r="C27" s="25"/>
      <c r="D27" s="25" t="s">
        <v>449</v>
      </c>
      <c r="E27" s="26" t="s">
        <v>332</v>
      </c>
      <c r="F27" s="26" t="s">
        <v>332</v>
      </c>
      <c r="G27" s="26" t="s">
        <v>332</v>
      </c>
      <c r="H27" s="26" t="s">
        <v>25</v>
      </c>
      <c r="I27" s="26" t="s">
        <v>25</v>
      </c>
      <c r="J27" s="26" t="s">
        <v>332</v>
      </c>
      <c r="K27" s="27"/>
    </row>
    <row r="28" spans="2:11">
      <c r="B28" s="12"/>
      <c r="C28" s="25"/>
      <c r="D28" s="25" t="s">
        <v>450</v>
      </c>
      <c r="E28" s="26" t="s">
        <v>332</v>
      </c>
      <c r="F28" s="26" t="s">
        <v>332</v>
      </c>
      <c r="G28" s="26" t="s">
        <v>332</v>
      </c>
      <c r="H28" s="26" t="s">
        <v>25</v>
      </c>
      <c r="I28" s="26" t="s">
        <v>25</v>
      </c>
      <c r="J28" s="26" t="s">
        <v>332</v>
      </c>
      <c r="K28" s="27"/>
    </row>
    <row r="29" spans="2:11">
      <c r="B29" s="12"/>
      <c r="C29" s="13" t="s">
        <v>451</v>
      </c>
      <c r="D29" s="13" t="s">
        <v>452</v>
      </c>
      <c r="E29" s="14" t="s">
        <v>332</v>
      </c>
      <c r="F29" s="14" t="s">
        <v>332</v>
      </c>
      <c r="G29" s="14" t="s">
        <v>332</v>
      </c>
      <c r="H29" s="14" t="s">
        <v>25</v>
      </c>
      <c r="I29" s="14" t="s">
        <v>25</v>
      </c>
      <c r="J29" s="14" t="s">
        <v>25</v>
      </c>
      <c r="K29" s="15"/>
    </row>
    <row r="30" spans="2:11">
      <c r="B30" s="12"/>
      <c r="C30" s="13" t="s">
        <v>453</v>
      </c>
      <c r="D30" s="13" t="s">
        <v>454</v>
      </c>
      <c r="E30" s="14" t="s">
        <v>25</v>
      </c>
      <c r="F30" s="14" t="s">
        <v>25</v>
      </c>
      <c r="G30" s="14" t="s">
        <v>25</v>
      </c>
      <c r="H30" s="14" t="s">
        <v>332</v>
      </c>
      <c r="I30" s="14" t="s">
        <v>332</v>
      </c>
      <c r="J30" s="14" t="s">
        <v>332</v>
      </c>
      <c r="K30" s="15"/>
    </row>
    <row r="31" spans="2:11">
      <c r="B31" s="12"/>
      <c r="C31" s="13" t="s">
        <v>455</v>
      </c>
      <c r="D31" s="13" t="s">
        <v>456</v>
      </c>
      <c r="E31" s="14" t="s">
        <v>25</v>
      </c>
      <c r="F31" s="14" t="s">
        <v>25</v>
      </c>
      <c r="G31" s="14" t="s">
        <v>25</v>
      </c>
      <c r="H31" s="14" t="s">
        <v>332</v>
      </c>
      <c r="I31" s="14" t="s">
        <v>332</v>
      </c>
      <c r="J31" s="14" t="s">
        <v>332</v>
      </c>
      <c r="K31" s="15"/>
    </row>
    <row r="32" spans="2:11">
      <c r="B32" s="12"/>
      <c r="C32" s="13" t="s">
        <v>457</v>
      </c>
      <c r="D32" s="13" t="s">
        <v>458</v>
      </c>
      <c r="E32" s="14" t="s">
        <v>25</v>
      </c>
      <c r="F32" s="14" t="s">
        <v>25</v>
      </c>
      <c r="G32" s="14" t="s">
        <v>25</v>
      </c>
      <c r="H32" s="14" t="s">
        <v>332</v>
      </c>
      <c r="I32" s="14" t="s">
        <v>332</v>
      </c>
      <c r="J32" s="14" t="s">
        <v>332</v>
      </c>
      <c r="K32" s="15"/>
    </row>
    <row r="33" spans="2:11">
      <c r="B33" s="12"/>
      <c r="C33" s="13" t="s">
        <v>459</v>
      </c>
      <c r="D33" s="13" t="s">
        <v>460</v>
      </c>
      <c r="E33" s="14" t="s">
        <v>332</v>
      </c>
      <c r="F33" s="14" t="s">
        <v>332</v>
      </c>
      <c r="G33" s="14" t="s">
        <v>332</v>
      </c>
      <c r="H33" s="14" t="s">
        <v>25</v>
      </c>
      <c r="I33" s="14" t="s">
        <v>332</v>
      </c>
      <c r="J33" s="14" t="s">
        <v>332</v>
      </c>
      <c r="K33" s="15"/>
    </row>
    <row r="34" spans="2:11">
      <c r="B34" s="12"/>
      <c r="C34" s="13" t="s">
        <v>461</v>
      </c>
      <c r="D34" s="13" t="s">
        <v>462</v>
      </c>
      <c r="E34" s="14" t="s">
        <v>332</v>
      </c>
      <c r="F34" s="14" t="s">
        <v>332</v>
      </c>
      <c r="G34" s="14" t="s">
        <v>332</v>
      </c>
      <c r="H34" s="14" t="s">
        <v>25</v>
      </c>
      <c r="I34" s="14" t="s">
        <v>25</v>
      </c>
      <c r="J34" s="14" t="s">
        <v>25</v>
      </c>
      <c r="K34" s="15"/>
    </row>
    <row r="35" spans="2:11">
      <c r="B35" s="12"/>
      <c r="C35" s="13" t="s">
        <v>463</v>
      </c>
      <c r="D35" s="13" t="s">
        <v>464</v>
      </c>
      <c r="E35" s="14" t="s">
        <v>332</v>
      </c>
      <c r="F35" s="14" t="s">
        <v>332</v>
      </c>
      <c r="G35" s="14" t="s">
        <v>332</v>
      </c>
      <c r="H35" s="14" t="s">
        <v>25</v>
      </c>
      <c r="I35" s="14" t="s">
        <v>25</v>
      </c>
      <c r="J35" s="14" t="s">
        <v>332</v>
      </c>
      <c r="K35" s="15"/>
    </row>
    <row r="36" spans="2:11">
      <c r="B36" s="12"/>
      <c r="C36" s="13" t="s">
        <v>465</v>
      </c>
      <c r="D36" s="13" t="s">
        <v>466</v>
      </c>
      <c r="E36" s="14" t="s">
        <v>25</v>
      </c>
      <c r="F36" s="14" t="s">
        <v>332</v>
      </c>
      <c r="G36" s="14" t="s">
        <v>332</v>
      </c>
      <c r="H36" s="14" t="s">
        <v>25</v>
      </c>
      <c r="I36" s="14" t="s">
        <v>25</v>
      </c>
      <c r="J36" s="14" t="s">
        <v>332</v>
      </c>
      <c r="K36" s="15"/>
    </row>
    <row r="37" spans="2:11">
      <c r="B37" s="16"/>
      <c r="C37" s="16" t="s">
        <v>467</v>
      </c>
      <c r="D37" s="17" t="s">
        <v>468</v>
      </c>
      <c r="E37" s="18" t="s">
        <v>25</v>
      </c>
      <c r="F37" s="18" t="s">
        <v>332</v>
      </c>
      <c r="G37" s="18" t="s">
        <v>332</v>
      </c>
      <c r="H37" s="18" t="s">
        <v>332</v>
      </c>
      <c r="I37" s="18" t="s">
        <v>332</v>
      </c>
      <c r="J37" s="18" t="s">
        <v>332</v>
      </c>
      <c r="K37" s="19"/>
    </row>
    <row r="38" spans="2:11">
      <c r="B38" s="8" t="s">
        <v>469</v>
      </c>
      <c r="C38" s="8" t="s">
        <v>470</v>
      </c>
      <c r="D38" s="9" t="s">
        <v>471</v>
      </c>
      <c r="E38" s="10" t="s">
        <v>36</v>
      </c>
      <c r="F38" s="10" t="s">
        <v>332</v>
      </c>
      <c r="G38" s="10" t="s">
        <v>332</v>
      </c>
      <c r="H38" s="10" t="s">
        <v>332</v>
      </c>
      <c r="I38" s="10" t="s">
        <v>332</v>
      </c>
      <c r="J38" s="10" t="s">
        <v>332</v>
      </c>
      <c r="K38" s="11"/>
    </row>
    <row r="39" spans="2:11">
      <c r="B39" s="12"/>
      <c r="C39" s="13" t="s">
        <v>472</v>
      </c>
      <c r="D39" s="13" t="s">
        <v>473</v>
      </c>
      <c r="E39" s="14" t="s">
        <v>36</v>
      </c>
      <c r="F39" s="14" t="s">
        <v>36</v>
      </c>
      <c r="G39" s="14" t="s">
        <v>332</v>
      </c>
      <c r="H39" s="14" t="s">
        <v>332</v>
      </c>
      <c r="I39" s="14" t="s">
        <v>332</v>
      </c>
      <c r="J39" s="14" t="s">
        <v>332</v>
      </c>
      <c r="K39" s="15"/>
    </row>
    <row r="40" spans="2:11">
      <c r="B40" s="12"/>
      <c r="C40" s="13" t="s">
        <v>474</v>
      </c>
      <c r="D40" s="13" t="s">
        <v>475</v>
      </c>
      <c r="E40" s="14" t="s">
        <v>36</v>
      </c>
      <c r="F40" s="14" t="s">
        <v>332</v>
      </c>
      <c r="G40" s="14" t="s">
        <v>332</v>
      </c>
      <c r="H40" s="14" t="s">
        <v>332</v>
      </c>
      <c r="I40" s="14" t="s">
        <v>332</v>
      </c>
      <c r="J40" s="14" t="s">
        <v>332</v>
      </c>
      <c r="K40" s="15"/>
    </row>
    <row r="41" spans="2:11">
      <c r="B41" s="12"/>
      <c r="C41" s="13" t="s">
        <v>476</v>
      </c>
      <c r="D41" s="13" t="s">
        <v>477</v>
      </c>
      <c r="E41" s="14" t="s">
        <v>36</v>
      </c>
      <c r="F41" s="14" t="s">
        <v>36</v>
      </c>
      <c r="G41" s="14" t="s">
        <v>332</v>
      </c>
      <c r="H41" s="14" t="s">
        <v>332</v>
      </c>
      <c r="I41" s="14" t="s">
        <v>332</v>
      </c>
      <c r="J41" s="14" t="s">
        <v>332</v>
      </c>
      <c r="K41" s="15"/>
    </row>
    <row r="42" spans="2:11">
      <c r="B42" s="12"/>
      <c r="C42" s="13" t="s">
        <v>478</v>
      </c>
      <c r="D42" s="13" t="s">
        <v>479</v>
      </c>
      <c r="E42" s="14" t="s">
        <v>332</v>
      </c>
      <c r="F42" s="14" t="s">
        <v>332</v>
      </c>
      <c r="G42" s="14" t="s">
        <v>332</v>
      </c>
      <c r="H42" s="14" t="s">
        <v>332</v>
      </c>
      <c r="I42" s="14" t="s">
        <v>332</v>
      </c>
      <c r="J42" s="14" t="s">
        <v>332</v>
      </c>
      <c r="K42" s="15"/>
    </row>
    <row r="43" spans="2:11">
      <c r="B43" s="12"/>
      <c r="C43" s="13" t="s">
        <v>480</v>
      </c>
      <c r="D43" s="13" t="s">
        <v>481</v>
      </c>
      <c r="E43" s="14" t="s">
        <v>36</v>
      </c>
      <c r="F43" s="14" t="s">
        <v>332</v>
      </c>
      <c r="G43" s="14" t="s">
        <v>332</v>
      </c>
      <c r="H43" s="14" t="s">
        <v>332</v>
      </c>
      <c r="I43" s="14" t="s">
        <v>332</v>
      </c>
      <c r="J43" s="14" t="s">
        <v>332</v>
      </c>
      <c r="K43" s="15"/>
    </row>
    <row r="44" spans="2:11">
      <c r="B44" s="12"/>
      <c r="C44" s="13" t="s">
        <v>482</v>
      </c>
      <c r="D44" s="13" t="s">
        <v>483</v>
      </c>
      <c r="E44" s="14" t="s">
        <v>25</v>
      </c>
      <c r="F44" s="14" t="s">
        <v>332</v>
      </c>
      <c r="G44" s="14" t="s">
        <v>332</v>
      </c>
      <c r="H44" s="14" t="s">
        <v>332</v>
      </c>
      <c r="I44" s="14" t="s">
        <v>332</v>
      </c>
      <c r="J44" s="14" t="s">
        <v>332</v>
      </c>
      <c r="K44" s="15"/>
    </row>
    <row r="45" spans="2:11">
      <c r="B45" s="12"/>
      <c r="C45" s="13" t="s">
        <v>484</v>
      </c>
      <c r="D45" s="13" t="s">
        <v>485</v>
      </c>
      <c r="E45" s="14" t="s">
        <v>36</v>
      </c>
      <c r="F45" s="14" t="s">
        <v>36</v>
      </c>
      <c r="G45" s="14" t="s">
        <v>332</v>
      </c>
      <c r="H45" s="14" t="s">
        <v>332</v>
      </c>
      <c r="I45" s="14" t="s">
        <v>332</v>
      </c>
      <c r="J45" s="14" t="s">
        <v>332</v>
      </c>
      <c r="K45" s="15"/>
    </row>
    <row r="46" spans="2:11">
      <c r="B46" s="16"/>
      <c r="C46" s="16" t="s">
        <v>486</v>
      </c>
      <c r="D46" s="17" t="s">
        <v>487</v>
      </c>
      <c r="E46" s="18" t="s">
        <v>36</v>
      </c>
      <c r="F46" s="14" t="s">
        <v>36</v>
      </c>
      <c r="G46" s="18" t="s">
        <v>332</v>
      </c>
      <c r="H46" s="18" t="s">
        <v>332</v>
      </c>
      <c r="I46" s="18" t="s">
        <v>332</v>
      </c>
      <c r="J46" s="18" t="s">
        <v>332</v>
      </c>
      <c r="K46" s="20"/>
    </row>
    <row r="47" spans="2:11">
      <c r="B47" s="35" t="s">
        <v>488</v>
      </c>
      <c r="C47" s="35"/>
      <c r="D47" s="31" t="s">
        <v>489</v>
      </c>
      <c r="E47" s="32" t="s">
        <v>332</v>
      </c>
      <c r="F47" s="32" t="s">
        <v>332</v>
      </c>
      <c r="G47" s="32" t="s">
        <v>332</v>
      </c>
      <c r="H47" s="32" t="s">
        <v>332</v>
      </c>
      <c r="I47" s="32" t="s">
        <v>332</v>
      </c>
      <c r="J47" s="32" t="s">
        <v>332</v>
      </c>
      <c r="K47" s="27" t="s">
        <v>490</v>
      </c>
    </row>
    <row r="48" spans="2:11">
      <c r="B48" s="36"/>
      <c r="C48" s="25"/>
      <c r="D48" s="25" t="s">
        <v>491</v>
      </c>
      <c r="E48" s="26" t="s">
        <v>332</v>
      </c>
      <c r="F48" s="26" t="s">
        <v>332</v>
      </c>
      <c r="G48" s="26" t="s">
        <v>332</v>
      </c>
      <c r="H48" s="26" t="s">
        <v>332</v>
      </c>
      <c r="I48" s="26" t="s">
        <v>332</v>
      </c>
      <c r="J48" s="26" t="s">
        <v>332</v>
      </c>
      <c r="K48" s="27" t="s">
        <v>490</v>
      </c>
    </row>
    <row r="49" spans="2:11">
      <c r="B49" s="36"/>
      <c r="C49" s="25"/>
      <c r="D49" s="25" t="s">
        <v>492</v>
      </c>
      <c r="E49" s="26" t="s">
        <v>332</v>
      </c>
      <c r="F49" s="26" t="s">
        <v>332</v>
      </c>
      <c r="G49" s="26" t="s">
        <v>332</v>
      </c>
      <c r="H49" s="26" t="s">
        <v>332</v>
      </c>
      <c r="I49" s="26" t="s">
        <v>332</v>
      </c>
      <c r="J49" s="26" t="s">
        <v>332</v>
      </c>
      <c r="K49" s="27" t="s">
        <v>490</v>
      </c>
    </row>
    <row r="50" spans="2:11">
      <c r="B50" s="36"/>
      <c r="C50" s="25"/>
      <c r="D50" s="25" t="s">
        <v>493</v>
      </c>
      <c r="E50" s="26" t="s">
        <v>332</v>
      </c>
      <c r="F50" s="26" t="s">
        <v>332</v>
      </c>
      <c r="G50" s="26" t="s">
        <v>332</v>
      </c>
      <c r="H50" s="26" t="s">
        <v>332</v>
      </c>
      <c r="I50" s="26" t="s">
        <v>332</v>
      </c>
      <c r="J50" s="26" t="s">
        <v>332</v>
      </c>
      <c r="K50" s="27" t="s">
        <v>490</v>
      </c>
    </row>
    <row r="51" spans="2:11">
      <c r="B51" s="36"/>
      <c r="C51" s="25"/>
      <c r="D51" s="25" t="s">
        <v>449</v>
      </c>
      <c r="E51" s="26" t="s">
        <v>332</v>
      </c>
      <c r="F51" s="26" t="s">
        <v>332</v>
      </c>
      <c r="G51" s="26" t="s">
        <v>332</v>
      </c>
      <c r="H51" s="37" t="s">
        <v>25</v>
      </c>
      <c r="I51" s="37" t="s">
        <v>25</v>
      </c>
      <c r="J51" s="38" t="s">
        <v>25</v>
      </c>
      <c r="K51" s="27" t="s">
        <v>490</v>
      </c>
    </row>
    <row r="52" spans="2:11">
      <c r="B52" s="36"/>
      <c r="C52" s="25"/>
      <c r="D52" s="25" t="s">
        <v>494</v>
      </c>
      <c r="E52" s="26" t="s">
        <v>36</v>
      </c>
      <c r="F52" s="26" t="s">
        <v>332</v>
      </c>
      <c r="G52" s="26" t="s">
        <v>332</v>
      </c>
      <c r="H52" s="26" t="s">
        <v>332</v>
      </c>
      <c r="I52" s="26" t="s">
        <v>332</v>
      </c>
      <c r="J52" s="26" t="s">
        <v>332</v>
      </c>
      <c r="K52" s="27" t="s">
        <v>490</v>
      </c>
    </row>
    <row r="53" spans="2:11">
      <c r="B53" s="36"/>
      <c r="C53" s="25"/>
      <c r="D53" s="25" t="s">
        <v>495</v>
      </c>
      <c r="E53" s="26" t="s">
        <v>36</v>
      </c>
      <c r="F53" s="26" t="s">
        <v>332</v>
      </c>
      <c r="G53" s="26" t="s">
        <v>332</v>
      </c>
      <c r="H53" s="26" t="s">
        <v>332</v>
      </c>
      <c r="I53" s="26" t="s">
        <v>332</v>
      </c>
      <c r="J53" s="26" t="s">
        <v>332</v>
      </c>
      <c r="K53" s="27" t="s">
        <v>490</v>
      </c>
    </row>
    <row r="54" spans="2:11">
      <c r="B54" s="36"/>
      <c r="C54" s="25"/>
      <c r="D54" s="25" t="s">
        <v>496</v>
      </c>
      <c r="E54" s="26" t="s">
        <v>36</v>
      </c>
      <c r="F54" s="26" t="s">
        <v>332</v>
      </c>
      <c r="G54" s="26" t="s">
        <v>332</v>
      </c>
      <c r="H54" s="26" t="s">
        <v>332</v>
      </c>
      <c r="I54" s="26" t="s">
        <v>332</v>
      </c>
      <c r="J54" s="26" t="s">
        <v>332</v>
      </c>
      <c r="K54" s="27" t="s">
        <v>490</v>
      </c>
    </row>
    <row r="55" spans="2:11">
      <c r="B55" s="36"/>
      <c r="C55" s="25"/>
      <c r="D55" s="25" t="s">
        <v>497</v>
      </c>
      <c r="E55" s="26" t="s">
        <v>36</v>
      </c>
      <c r="F55" s="26" t="s">
        <v>332</v>
      </c>
      <c r="G55" s="26" t="s">
        <v>332</v>
      </c>
      <c r="H55" s="26" t="s">
        <v>332</v>
      </c>
      <c r="I55" s="26" t="s">
        <v>332</v>
      </c>
      <c r="J55" s="26" t="s">
        <v>332</v>
      </c>
      <c r="K55" s="27" t="s">
        <v>490</v>
      </c>
    </row>
    <row r="56" spans="2:11">
      <c r="B56" s="36"/>
      <c r="C56" s="25"/>
      <c r="D56" s="25" t="s">
        <v>498</v>
      </c>
      <c r="E56" s="26" t="s">
        <v>36</v>
      </c>
      <c r="F56" s="26" t="s">
        <v>332</v>
      </c>
      <c r="G56" s="26" t="s">
        <v>332</v>
      </c>
      <c r="H56" s="26" t="s">
        <v>332</v>
      </c>
      <c r="I56" s="26" t="s">
        <v>332</v>
      </c>
      <c r="J56" s="26" t="s">
        <v>332</v>
      </c>
      <c r="K56" s="27" t="s">
        <v>490</v>
      </c>
    </row>
    <row r="57" spans="2:11">
      <c r="B57" s="36"/>
      <c r="C57" s="25"/>
      <c r="D57" s="25" t="s">
        <v>499</v>
      </c>
      <c r="E57" s="26" t="s">
        <v>36</v>
      </c>
      <c r="F57" s="26" t="s">
        <v>332</v>
      </c>
      <c r="G57" s="26" t="s">
        <v>332</v>
      </c>
      <c r="H57" s="26" t="s">
        <v>332</v>
      </c>
      <c r="I57" s="26" t="s">
        <v>332</v>
      </c>
      <c r="J57" s="26" t="s">
        <v>332</v>
      </c>
      <c r="K57" s="27" t="s">
        <v>490</v>
      </c>
    </row>
    <row r="58" spans="2:11">
      <c r="B58" s="36"/>
      <c r="C58" s="25"/>
      <c r="D58" s="25" t="s">
        <v>500</v>
      </c>
      <c r="E58" s="26" t="s">
        <v>36</v>
      </c>
      <c r="F58" s="26" t="s">
        <v>332</v>
      </c>
      <c r="G58" s="26" t="s">
        <v>332</v>
      </c>
      <c r="H58" s="26" t="s">
        <v>332</v>
      </c>
      <c r="I58" s="26" t="s">
        <v>332</v>
      </c>
      <c r="J58" s="26" t="s">
        <v>332</v>
      </c>
      <c r="K58" s="27" t="s">
        <v>490</v>
      </c>
    </row>
    <row r="59" spans="2:11">
      <c r="B59" s="36"/>
      <c r="C59" s="25"/>
      <c r="D59" s="25" t="s">
        <v>501</v>
      </c>
      <c r="E59" s="26" t="s">
        <v>36</v>
      </c>
      <c r="F59" s="26" t="s">
        <v>332</v>
      </c>
      <c r="G59" s="26" t="s">
        <v>332</v>
      </c>
      <c r="H59" s="26" t="s">
        <v>332</v>
      </c>
      <c r="I59" s="26" t="s">
        <v>332</v>
      </c>
      <c r="J59" s="26" t="s">
        <v>332</v>
      </c>
      <c r="K59" s="27" t="s">
        <v>490</v>
      </c>
    </row>
    <row r="60" spans="2:11">
      <c r="B60" s="36"/>
      <c r="C60" s="25"/>
      <c r="D60" s="25" t="s">
        <v>502</v>
      </c>
      <c r="E60" s="26" t="s">
        <v>36</v>
      </c>
      <c r="F60" s="26" t="s">
        <v>332</v>
      </c>
      <c r="G60" s="26" t="s">
        <v>332</v>
      </c>
      <c r="H60" s="26" t="s">
        <v>332</v>
      </c>
      <c r="I60" s="26" t="s">
        <v>332</v>
      </c>
      <c r="J60" s="26" t="s">
        <v>332</v>
      </c>
      <c r="K60" s="27" t="s">
        <v>490</v>
      </c>
    </row>
    <row r="61" spans="2:11">
      <c r="B61" s="39"/>
      <c r="C61" s="39"/>
      <c r="D61" s="28" t="s">
        <v>503</v>
      </c>
      <c r="E61" s="33" t="s">
        <v>36</v>
      </c>
      <c r="F61" s="33" t="s">
        <v>332</v>
      </c>
      <c r="G61" s="33" t="s">
        <v>332</v>
      </c>
      <c r="H61" s="29" t="s">
        <v>332</v>
      </c>
      <c r="I61" s="29" t="s">
        <v>332</v>
      </c>
      <c r="J61" s="33" t="s">
        <v>332</v>
      </c>
      <c r="K61" s="34" t="s">
        <v>490</v>
      </c>
    </row>
    <row r="62" spans="2:11">
      <c r="B62" s="8" t="s">
        <v>504</v>
      </c>
      <c r="C62" s="8" t="s">
        <v>505</v>
      </c>
      <c r="D62" s="9" t="s">
        <v>506</v>
      </c>
      <c r="E62" s="10" t="s">
        <v>332</v>
      </c>
      <c r="F62" s="10" t="s">
        <v>332</v>
      </c>
      <c r="G62" s="10" t="s">
        <v>332</v>
      </c>
      <c r="H62" s="10" t="s">
        <v>332</v>
      </c>
      <c r="I62" s="10" t="s">
        <v>332</v>
      </c>
      <c r="J62" s="10" t="s">
        <v>332</v>
      </c>
      <c r="K62" s="11"/>
    </row>
    <row r="63" spans="2:11">
      <c r="B63" s="12"/>
      <c r="C63" s="13" t="s">
        <v>507</v>
      </c>
      <c r="D63" s="13" t="s">
        <v>508</v>
      </c>
      <c r="E63" s="14" t="s">
        <v>332</v>
      </c>
      <c r="F63" s="14" t="s">
        <v>332</v>
      </c>
      <c r="G63" s="14" t="s">
        <v>332</v>
      </c>
      <c r="H63" s="14" t="s">
        <v>332</v>
      </c>
      <c r="I63" s="14" t="s">
        <v>332</v>
      </c>
      <c r="J63" s="14" t="s">
        <v>332</v>
      </c>
      <c r="K63" s="15"/>
    </row>
    <row r="64" spans="2:11">
      <c r="B64" s="12"/>
      <c r="C64" s="13" t="s">
        <v>509</v>
      </c>
      <c r="D64" s="13" t="s">
        <v>510</v>
      </c>
      <c r="E64" s="14" t="s">
        <v>36</v>
      </c>
      <c r="F64" s="14" t="s">
        <v>36</v>
      </c>
      <c r="G64" s="14" t="s">
        <v>332</v>
      </c>
      <c r="H64" s="14" t="s">
        <v>332</v>
      </c>
      <c r="I64" s="14" t="s">
        <v>332</v>
      </c>
      <c r="J64" s="14" t="s">
        <v>332</v>
      </c>
      <c r="K64" s="15"/>
    </row>
    <row r="65" spans="2:11">
      <c r="B65" s="12"/>
      <c r="C65" s="13" t="s">
        <v>511</v>
      </c>
      <c r="D65" s="13" t="s">
        <v>512</v>
      </c>
      <c r="E65" s="14" t="s">
        <v>25</v>
      </c>
      <c r="F65" s="14" t="s">
        <v>25</v>
      </c>
      <c r="G65" s="14" t="s">
        <v>332</v>
      </c>
      <c r="H65" s="14" t="s">
        <v>332</v>
      </c>
      <c r="I65" s="14" t="s">
        <v>332</v>
      </c>
      <c r="J65" s="14" t="s">
        <v>332</v>
      </c>
      <c r="K65" s="15"/>
    </row>
    <row r="66" spans="2:11">
      <c r="B66" s="12"/>
      <c r="C66" s="13" t="s">
        <v>513</v>
      </c>
      <c r="D66" s="13" t="s">
        <v>514</v>
      </c>
      <c r="E66" s="14" t="s">
        <v>332</v>
      </c>
      <c r="F66" s="14" t="s">
        <v>332</v>
      </c>
      <c r="G66" s="14" t="s">
        <v>332</v>
      </c>
      <c r="H66" s="14" t="s">
        <v>332</v>
      </c>
      <c r="I66" s="14" t="s">
        <v>332</v>
      </c>
      <c r="J66" s="14" t="s">
        <v>332</v>
      </c>
      <c r="K66" s="15"/>
    </row>
    <row r="67" spans="2:11">
      <c r="B67" s="12"/>
      <c r="C67" s="25"/>
      <c r="D67" s="25" t="s">
        <v>515</v>
      </c>
      <c r="E67" s="26" t="s">
        <v>332</v>
      </c>
      <c r="F67" s="26" t="s">
        <v>332</v>
      </c>
      <c r="G67" s="26" t="s">
        <v>332</v>
      </c>
      <c r="H67" s="26" t="s">
        <v>332</v>
      </c>
      <c r="I67" s="26" t="s">
        <v>332</v>
      </c>
      <c r="J67" s="26" t="s">
        <v>332</v>
      </c>
      <c r="K67" s="27" t="s">
        <v>490</v>
      </c>
    </row>
    <row r="68" spans="2:11">
      <c r="B68" s="16"/>
      <c r="C68" s="39"/>
      <c r="D68" s="28" t="s">
        <v>516</v>
      </c>
      <c r="E68" s="29" t="s">
        <v>332</v>
      </c>
      <c r="F68" s="29" t="s">
        <v>332</v>
      </c>
      <c r="G68" s="29" t="s">
        <v>332</v>
      </c>
      <c r="H68" s="29" t="s">
        <v>332</v>
      </c>
      <c r="I68" s="29" t="s">
        <v>332</v>
      </c>
      <c r="J68" s="29" t="s">
        <v>332</v>
      </c>
      <c r="K68" s="30" t="s">
        <v>490</v>
      </c>
    </row>
    <row r="69" spans="2:11">
      <c r="B69" s="9" t="s">
        <v>517</v>
      </c>
      <c r="C69" s="9" t="s">
        <v>403</v>
      </c>
      <c r="D69" s="9" t="s">
        <v>518</v>
      </c>
      <c r="E69" s="10" t="s">
        <v>24</v>
      </c>
      <c r="F69" s="10" t="s">
        <v>24</v>
      </c>
      <c r="G69" s="10" t="s">
        <v>24</v>
      </c>
      <c r="H69" s="10" t="s">
        <v>24</v>
      </c>
      <c r="I69" s="10" t="s">
        <v>24</v>
      </c>
      <c r="J69" s="10" t="s">
        <v>24</v>
      </c>
      <c r="K69" s="11"/>
    </row>
    <row r="70" spans="2:11">
      <c r="B70" s="21"/>
      <c r="C70" s="13" t="s">
        <v>405</v>
      </c>
      <c r="D70" s="13" t="s">
        <v>519</v>
      </c>
      <c r="E70" s="14" t="s">
        <v>24</v>
      </c>
      <c r="F70" s="14" t="s">
        <v>24</v>
      </c>
      <c r="G70" s="14" t="s">
        <v>24</v>
      </c>
      <c r="H70" s="14" t="s">
        <v>24</v>
      </c>
      <c r="I70" s="14" t="s">
        <v>24</v>
      </c>
      <c r="J70" s="14" t="s">
        <v>24</v>
      </c>
      <c r="K70" s="15"/>
    </row>
    <row r="71" spans="2:11">
      <c r="B71" s="21"/>
      <c r="C71" s="13" t="s">
        <v>520</v>
      </c>
      <c r="D71" s="13" t="s">
        <v>521</v>
      </c>
      <c r="E71" s="14" t="s">
        <v>24</v>
      </c>
      <c r="F71" s="14" t="s">
        <v>24</v>
      </c>
      <c r="G71" s="14" t="s">
        <v>24</v>
      </c>
      <c r="H71" s="14" t="s">
        <v>24</v>
      </c>
      <c r="I71" s="14" t="s">
        <v>24</v>
      </c>
      <c r="J71" s="14" t="s">
        <v>24</v>
      </c>
      <c r="K71" s="15"/>
    </row>
    <row r="72" spans="2:11">
      <c r="B72" s="17"/>
      <c r="C72" s="17" t="s">
        <v>522</v>
      </c>
      <c r="D72" s="23" t="s">
        <v>523</v>
      </c>
      <c r="E72" s="24" t="s">
        <v>24</v>
      </c>
      <c r="F72" s="24" t="s">
        <v>24</v>
      </c>
      <c r="G72" s="24" t="s">
        <v>24</v>
      </c>
      <c r="H72" s="24" t="s">
        <v>24</v>
      </c>
      <c r="I72" s="24" t="s">
        <v>24</v>
      </c>
      <c r="J72" s="24" t="s">
        <v>24</v>
      </c>
      <c r="K72" s="20"/>
    </row>
    <row r="73" spans="2:11" s="1" customFormat="1">
      <c r="E73" s="1">
        <f>COUNTIF(E4:E46, "○") + COUNTIF(E62:E72, "○")</f>
        <v>18</v>
      </c>
      <c r="F73" s="1">
        <f>COUNTIF(F4:F72, "○")</f>
        <v>9</v>
      </c>
      <c r="G73" s="1">
        <f>COUNTIF(G4:G72, "○")</f>
        <v>3</v>
      </c>
      <c r="H73" s="1">
        <f>COUNTIF(H4:H26, "○") + COUNTIF(H29:H37, "○")</f>
        <v>28</v>
      </c>
      <c r="I73" s="1">
        <f>COUNTIF(I4:I26, "○") + COUNTIF(I29:I37, "○")</f>
        <v>27</v>
      </c>
    </row>
  </sheetData>
  <autoFilter ref="B3:K3" xr:uid="{00000000-0001-0000-0200-000000000000}"/>
  <mergeCells count="6">
    <mergeCell ref="J2:J3"/>
    <mergeCell ref="F2:G2"/>
    <mergeCell ref="K2:K3"/>
    <mergeCell ref="B2:B3"/>
    <mergeCell ref="D2:D3"/>
    <mergeCell ref="H2:I2"/>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B2:B61"/>
  <sheetViews>
    <sheetView workbookViewId="0"/>
  </sheetViews>
  <sheetFormatPr defaultColWidth="2.54296875" defaultRowHeight="15"/>
  <cols>
    <col min="1" max="16384" width="2.54296875" style="1"/>
  </cols>
  <sheetData>
    <row r="2" spans="2:2">
      <c r="B2" s="1" t="s">
        <v>524</v>
      </c>
    </row>
    <row r="61" spans="2:2">
      <c r="B61" s="1" t="s">
        <v>525</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B2:D46"/>
  <sheetViews>
    <sheetView workbookViewId="0"/>
  </sheetViews>
  <sheetFormatPr defaultColWidth="2.54296875" defaultRowHeight="15"/>
  <cols>
    <col min="1" max="16384" width="2.54296875" style="1"/>
  </cols>
  <sheetData>
    <row r="2" spans="2:4">
      <c r="B2" s="1" t="s">
        <v>526</v>
      </c>
    </row>
    <row r="4" spans="2:4">
      <c r="C4" s="1" t="s">
        <v>527</v>
      </c>
    </row>
    <row r="6" spans="2:4">
      <c r="D6" s="1" t="s">
        <v>528</v>
      </c>
    </row>
    <row r="15" spans="2:4">
      <c r="D15" s="1" t="s">
        <v>529</v>
      </c>
    </row>
    <row r="25" spans="4:4">
      <c r="D25" s="1" t="s">
        <v>530</v>
      </c>
    </row>
    <row r="46" spans="3:3">
      <c r="C46" s="1" t="s">
        <v>531</v>
      </c>
    </row>
  </sheetData>
  <phoneticPr fontId="1"/>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C1BB87-F837-41ED-A08B-7C3B49BB89B3}">
  <ds:schemaRefs>
    <ds:schemaRef ds:uri="http://schemas.microsoft.com/office/2006/documentManagement/types"/>
    <ds:schemaRef ds:uri="http://purl.org/dc/dcmitype/"/>
    <ds:schemaRef ds:uri="http://schemas.microsoft.com/office/2006/metadata/properties"/>
    <ds:schemaRef ds:uri="http://www.w3.org/XML/1998/namespace"/>
    <ds:schemaRef ds:uri="http://purl.org/dc/elements/1.1/"/>
    <ds:schemaRef ds:uri="http://schemas.microsoft.com/office/infopath/2007/PartnerControls"/>
    <ds:schemaRef ds:uri="http://schemas.openxmlformats.org/package/2006/metadata/core-properties"/>
    <ds:schemaRef ds:uri="2fd442da-66a9-4fa6-ba31-eb0d54ad1381"/>
    <ds:schemaRef ds:uri="http://purl.org/dc/terms/"/>
  </ds:schemaRefs>
</ds:datastoreItem>
</file>

<file path=customXml/itemProps2.xml><?xml version="1.0" encoding="utf-8"?>
<ds:datastoreItem xmlns:ds="http://schemas.openxmlformats.org/officeDocument/2006/customXml" ds:itemID="{0574183D-A2BB-41B7-A1EC-F695ABB022D7}">
  <ds:schemaRefs>
    <ds:schemaRef ds:uri="http://schemas.microsoft.com/sharepoint/v3/contenttype/forms"/>
  </ds:schemaRefs>
</ds:datastoreItem>
</file>

<file path=customXml/itemProps3.xml><?xml version="1.0" encoding="utf-8"?>
<ds:datastoreItem xmlns:ds="http://schemas.openxmlformats.org/officeDocument/2006/customXml" ds:itemID="{9FBC9A3A-5104-4779-B1A6-B42C5D6B2F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動作検証結果</vt:lpstr>
      <vt:lpstr>検討事項</vt:lpstr>
      <vt:lpstr>MsFlexGrid使用状況</vt:lpstr>
      <vt:lpstr>プログラム一覧</vt:lpstr>
      <vt:lpstr>(参考)プログラム構成</vt:lpstr>
      <vt:lpstr>(参考).NET判定方法</vt:lpstr>
    </vt:vector>
  </TitlesOfParts>
  <Manager/>
  <Company>出光興産株式会社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吉田　諒</dc:creator>
  <cp:keywords/>
  <dc:description/>
  <cp:lastModifiedBy>髙浦祐朗</cp:lastModifiedBy>
  <cp:revision/>
  <dcterms:created xsi:type="dcterms:W3CDTF">2017-06-13T05:02:35Z</dcterms:created>
  <dcterms:modified xsi:type="dcterms:W3CDTF">2025-11-27T04:03:26Z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