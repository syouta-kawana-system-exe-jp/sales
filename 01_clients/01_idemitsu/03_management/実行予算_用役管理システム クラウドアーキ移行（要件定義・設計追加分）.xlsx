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C:\Users\k-nomura.SYSTEM-EXE\Downloads\"/>
    </mc:Choice>
  </mc:AlternateContent>
  <xr:revisionPtr revIDLastSave="0" documentId="13_ncr:1_{F179B40A-546A-4249-BC70-E3CA558D8FE4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<sst xmlns="http://schemas.openxmlformats.org/spreadsheetml/2006/main" count="99" uniqueCount="83">
  <si>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</si>
  <si>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</si>
  <si>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</si>
  <si>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</si>
  <si>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</si>
  <si>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</si>
  <si>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</si>
  <si>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</si>
  <si>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</si>
  <si>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</si>
  <si>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</si>
  <si>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</si>
  <si>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</si>
  <si>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</si>
  <si>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</si>
  <si>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</si>
  <si>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</si>
  <si>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</si>
  <si>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</si>
  <si>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</si>
  <si>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</si>
  <si>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</si>
  <si>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</si>
  <si>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</si>
  <si>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</si>
  <si>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</si>
  <si>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</si>
  <si>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</si>
  <si>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</si>
  <si>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</si>
  <si>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</si>
  <si>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</si>
  <si>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</si>
  <si>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</si>
  <si>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</si>
  <si>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</si>
  <si>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</si>
  <si>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</si>
  <si>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</si>
  <si>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</si>
  <si>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</si>
  <si>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</si>
  <si>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</si>
  <si>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</si>
  <si>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</si>
  <si>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</si>
  <si>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</si>
  <si>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</si>
  <si>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</si>
  <si>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</si>
  <si>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</si>
  <si>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</si>
  <si>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</si>
  <si>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</si>
  <si>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</si>
  <si>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</si>
  <si>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</si>
  <si>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</si>
  <si>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</si>
  <si>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</si>
  <si>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</si>
  <si>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</si>
  <si>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</si>
  <si>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</si>
  <si>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</si>
  <si>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</si>
  <si>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</si>
  <si>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</si>
  <si>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</si>
  <si>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</si>
  <si>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</si>
  <si>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</si>
  <si>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</si>
  <si>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</si>
  <si>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</si>
  <si>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</si>
  <si>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</si>
  <si>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</si>
  <si>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</si>
  <si>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</si>
  <si>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天川絢弥</t>
  </si>
  <si>
    <t>DuongNgocPhu</t>
    <phoneticPr fontId="3"/>
  </si>
  <si>
    <t>NguyenTrungNguyen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</si>
</sst>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30" zoomScaleNormal="130" workbookViewId="0">
      <selection activeCell="A6" sqref="A6:A8"/>
    </sheetView>
  </sheetViews>
  <sheetFormatPr defaultColWidth="8.09765625" defaultRowHeight="12.6" x14ac:dyDescent="0.45"/>
  <cols>
    <col min="1" max="1" width="14.59765625" style="2" customWidth="1"/>
    <col min="2" max="2" width="7.69921875" style="2" bestFit="1" customWidth="1"/>
    <col min="3" max="3" width="14.59765625" style="2" customWidth="1"/>
    <col min="4" max="31" width="7" style="2" customWidth="1"/>
    <col min="32" max="32" width="7.69921875" style="2" customWidth="1"/>
    <col min="33" max="16384" width="8.09765625" style="2"/>
  </cols>
  <sheetData>
    <row r="1" spans="1:32" ht="18.600000000000001" x14ac:dyDescent="0.45">
      <c r="A1" s="1" t="s">
        <v>0</v>
      </c>
      <c r="D1" s="3" t="s">
        <v>1</v>
      </c>
    </row>
    <row r="2" spans="1:32" ht="5.25" customHeight="1" x14ac:dyDescent="0.45">
      <c r="A2" s="1"/>
    </row>
    <row r="3" spans="1:32" x14ac:dyDescent="0.45">
      <c r="A3" s="4" t="s">
        <v>2</v>
      </c>
      <c r="B3" s="42"/>
      <c r="C3" s="43"/>
      <c r="D3" s="5" t="s">
        <v>3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80</v>
      </c>
      <c r="I4" s="46"/>
      <c r="J4" s="5" t="s">
        <v>8</v>
      </c>
      <c r="K4" s="47">
        <f>外注費・経費!K4</f>
        <v>800000</v>
      </c>
      <c r="L4" s="47"/>
      <c r="M4" s="5" t="s">
        <v>9</v>
      </c>
      <c r="N4" s="47">
        <v>0</v>
      </c>
      <c r="O4" s="47"/>
    </row>
    <row r="5" spans="1:32" ht="6" customHeight="1" x14ac:dyDescent="0.45"/>
    <row r="6" spans="1:32" s="6" customFormat="1" x14ac:dyDescent="0.45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45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45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45">
      <c r="A9" s="21" t="s">
        <v>25</v>
      </c>
      <c r="B9" s="8">
        <v>1191</v>
      </c>
      <c r="C9" s="8" t="s">
        <v>80</v>
      </c>
      <c r="D9" s="22"/>
      <c r="E9" s="22"/>
      <c r="F9" s="22"/>
      <c r="G9" s="22"/>
      <c r="H9" s="22"/>
      <c r="I9" s="22"/>
      <c r="J9" s="22">
        <v>80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80</v>
      </c>
    </row>
    <row r="10" spans="1:32" x14ac:dyDescent="0.45">
      <c r="A10" s="21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5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80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80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zoomScale="130" zoomScaleNormal="130" workbookViewId="0">
      <selection activeCell="J11" sqref="J11"/>
    </sheetView>
  </sheetViews>
  <sheetFormatPr defaultColWidth="8.09765625" defaultRowHeight="12.6" x14ac:dyDescent="0.45"/>
  <cols>
    <col min="1" max="1" width="14.59765625" style="2" customWidth="1"/>
    <col min="2" max="2" width="7.69921875" style="2" customWidth="1"/>
    <col min="3" max="3" width="14.59765625" style="2" customWidth="1"/>
    <col min="4" max="31" width="8.199218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26</v>
      </c>
    </row>
    <row r="2" spans="1:32" ht="5.25" customHeight="1" x14ac:dyDescent="0.45">
      <c r="A2" s="1"/>
    </row>
    <row r="3" spans="1:32" x14ac:dyDescent="0.45">
      <c r="A3" s="9" t="s">
        <v>2</v>
      </c>
      <c r="B3" s="42"/>
      <c r="C3" s="43"/>
      <c r="D3" s="10" t="s">
        <v>3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80</v>
      </c>
      <c r="I4" s="46"/>
      <c r="J4" s="11" t="s">
        <v>8</v>
      </c>
      <c r="K4" s="63">
        <f>AF59</f>
        <v>800000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5"/>
    <row r="6" spans="1:32" s="6" customFormat="1" x14ac:dyDescent="0.45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5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5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5">
      <c r="A9" s="13" t="s">
        <v>39</v>
      </c>
      <c r="B9" s="14">
        <v>3258</v>
      </c>
      <c r="C9" s="13" t="s">
        <v>81</v>
      </c>
      <c r="D9" s="13"/>
      <c r="E9" s="13"/>
      <c r="F9" s="13"/>
      <c r="G9" s="13"/>
      <c r="H9" s="13"/>
      <c r="I9" s="13"/>
      <c r="J9" s="13">
        <v>450000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450000</v>
      </c>
    </row>
    <row r="10" spans="1:32" x14ac:dyDescent="0.45">
      <c r="A10" s="13" t="s">
        <v>39</v>
      </c>
      <c r="B10" s="14">
        <v>5102</v>
      </c>
      <c r="C10" s="13" t="s">
        <v>82</v>
      </c>
      <c r="D10" s="13"/>
      <c r="E10" s="13"/>
      <c r="F10" s="13"/>
      <c r="G10" s="13"/>
      <c r="H10" s="13"/>
      <c r="I10" s="13"/>
      <c r="J10" s="13">
        <v>350000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350000</v>
      </c>
    </row>
    <row r="11" spans="1:32" x14ac:dyDescent="0.45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5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5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800000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800000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19921875" style="18" bestFit="1" customWidth="1"/>
    <col min="7" max="7" width="11.09765625" style="18" customWidth="1"/>
    <col min="8" max="8" width="5.69921875" style="18" customWidth="1"/>
    <col min="9" max="9" width="11.699218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45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45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45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d442da-66a9-4fa6-ba31-eb0d54ad138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2025-10-01T03:29:36Z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