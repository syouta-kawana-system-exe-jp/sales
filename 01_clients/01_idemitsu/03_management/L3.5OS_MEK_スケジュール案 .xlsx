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社内業務\見積・契約\出光興産株式会社\L3.5\"/>
    </mc:Choice>
  </mc:AlternateContent>
  <xr:revisionPtr revIDLastSave="2" documentId="13_ncr:1_{B451F0EA-F5DA-46AB-8E3E-41D5A252D3E7}" xr6:coauthVersionLast="47" xr6:coauthVersionMax="47" xr10:uidLastSave="{64ECB6F8-20AC-48BF-8C37-6A7D24D86C87}"/>
  <bookViews>
    <workbookView xWindow="19090" yWindow="-110" windowWidth="38620" windowHeight="21220" tabRatio="790" firstSheet="6" activeTab="6" xr2:uid="{00000000-000D-0000-FFFF-FFFF00000000}"/>
  </bookViews>
  <sheets>
    <sheet name="依頼概要" sheetId="6" r:id="rId1"/>
    <sheet name="想定作業" sheetId="7" r:id="rId2"/>
    <sheet name="概要図(千葉)" sheetId="8" r:id="rId3"/>
    <sheet name="概要図(徳山)" sheetId="9" r:id="rId4"/>
    <sheet name="システム概要" sheetId="2" r:id="rId5"/>
    <sheet name="見積 (サマリ)" sheetId="10" state="hidden" r:id="rId6"/>
    <sheet name="スケジュール案" sheetId="3" r:id="rId7"/>
    <sheet name="見積（数量確定システム）_bk" sheetId="5" state="hidden" r:id="rId8"/>
    <sheet name="見積（〇〇システム）" sheetId="11" state="hidden" r:id="rId9"/>
    <sheet name="見積（徳山L3.5）" sheetId="22" state="hidden" r:id="rId10"/>
    <sheet name="見積（千葉L3.5）" sheetId="23" state="hidden" r:id="rId11"/>
    <sheet name="Sheet1" sheetId="1" state="hidden" r:id="rId12"/>
  </sheets>
  <definedNames>
    <definedName name="_xlnm._FilterDatabase" localSheetId="5" hidden="1">'見積 (サマリ)'!$B$4:$AS$5</definedName>
    <definedName name="_xlnm._FilterDatabase" localSheetId="8" hidden="1">'見積（〇〇システム）'!$B$4:$Y$31</definedName>
    <definedName name="_xlnm._FilterDatabase" localSheetId="7" hidden="1">'見積（数量確定システム）_bk'!$B$4:$Y$14</definedName>
    <definedName name="_xlnm._FilterDatabase" localSheetId="10" hidden="1">'見積（千葉L3.5）'!$B$3:$G$18</definedName>
    <definedName name="_xlnm._FilterDatabase" localSheetId="9" hidden="1">'見積（徳山L3.5）'!$B$3:$G$21</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9" i="3" l="1"/>
  <c r="P116" i="3"/>
  <c r="P112" i="3"/>
  <c r="P107" i="3"/>
  <c r="AK7" i="10"/>
  <c r="AJ7" i="10"/>
  <c r="AG6" i="10" l="1"/>
  <c r="AF6" i="10"/>
  <c r="AE6" i="10"/>
  <c r="AD6" i="10"/>
  <c r="AC6" i="10"/>
  <c r="AB6" i="10"/>
  <c r="E18" i="23"/>
  <c r="I12" i="23"/>
  <c r="H12" i="23"/>
  <c r="I11" i="23"/>
  <c r="H11" i="23"/>
  <c r="I9" i="23"/>
  <c r="H9" i="23"/>
  <c r="H15" i="22"/>
  <c r="H14" i="22"/>
  <c r="I15" i="22"/>
  <c r="I14" i="22"/>
  <c r="H13" i="22"/>
  <c r="H12" i="22"/>
  <c r="I13" i="22"/>
  <c r="I12" i="22"/>
  <c r="H10" i="22"/>
  <c r="H9" i="22"/>
  <c r="I10" i="22"/>
  <c r="I9" i="22"/>
  <c r="AH6" i="10" l="1"/>
  <c r="AL6" i="10" s="1"/>
  <c r="AI6" i="10"/>
  <c r="AM6" i="10" s="1"/>
  <c r="AF29" i="3"/>
  <c r="AF28"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C27" i="3" l="1"/>
  <c r="C26" i="3"/>
  <c r="D27" i="3"/>
  <c r="D26" i="3"/>
  <c r="E27" i="3"/>
  <c r="E26" i="3"/>
  <c r="F27" i="3"/>
  <c r="F26" i="3"/>
  <c r="G27" i="3"/>
  <c r="G26" i="3"/>
  <c r="H27" i="3"/>
  <c r="H26" i="3"/>
  <c r="I27" i="3"/>
  <c r="I26" i="3"/>
  <c r="J27" i="3"/>
  <c r="J26" i="3"/>
  <c r="K27" i="3"/>
  <c r="K26" i="3"/>
  <c r="L27" i="3"/>
  <c r="L26" i="3"/>
  <c r="M27" i="3"/>
  <c r="M26" i="3"/>
  <c r="N27" i="3"/>
  <c r="N26" i="3"/>
  <c r="O27" i="3"/>
  <c r="O26" i="3"/>
  <c r="P27" i="3"/>
  <c r="P26" i="3"/>
  <c r="Q27" i="3"/>
  <c r="Q26" i="3"/>
  <c r="R27" i="3"/>
  <c r="R26" i="3"/>
  <c r="S27" i="3"/>
  <c r="S26" i="3"/>
  <c r="T27" i="3"/>
  <c r="T26" i="3"/>
  <c r="U27" i="3"/>
  <c r="U26" i="3"/>
  <c r="V27" i="3"/>
  <c r="V26" i="3"/>
  <c r="W27" i="3"/>
  <c r="W26" i="3"/>
  <c r="X27" i="3"/>
  <c r="X26" i="3"/>
  <c r="Y27" i="3"/>
  <c r="Y26" i="3"/>
  <c r="Z27" i="3"/>
  <c r="Z26" i="3"/>
  <c r="AA27" i="3"/>
  <c r="AA26" i="3"/>
  <c r="AB27" i="3"/>
  <c r="AB26" i="3"/>
  <c r="AC27" i="3"/>
  <c r="AC26" i="3"/>
  <c r="AD27" i="3"/>
  <c r="AD26" i="3"/>
  <c r="AE27" i="3"/>
  <c r="AE26" i="3"/>
  <c r="L7" i="10"/>
  <c r="AF5" i="10"/>
  <c r="AF7" i="10" s="1"/>
  <c r="AE5" i="10"/>
  <c r="AE7" i="10" s="1"/>
  <c r="AD5" i="10"/>
  <c r="AD7" i="10" s="1"/>
  <c r="AC5" i="10"/>
  <c r="AC7" i="10" s="1"/>
  <c r="AF26" i="3" l="1"/>
  <c r="AF30" i="3" s="1"/>
  <c r="AF27" i="3"/>
  <c r="AF31" i="3" s="1"/>
  <c r="AB5" i="10"/>
  <c r="AB7" i="10" s="1"/>
  <c r="AF32" i="3" l="1"/>
  <c r="AF33" i="3" s="1"/>
  <c r="X7" i="10"/>
  <c r="Y7" i="10"/>
  <c r="E21" i="22"/>
  <c r="AG5" i="10"/>
  <c r="AG7" i="10" s="1"/>
  <c r="AH7" i="10" s="1"/>
  <c r="AC9" i="10" l="1"/>
  <c r="AF9" i="10"/>
  <c r="AB9" i="10"/>
  <c r="AI5" i="10"/>
  <c r="AH5" i="10"/>
  <c r="AL5" i="10" s="1"/>
  <c r="AL7" i="10" s="1"/>
  <c r="AM5" i="10" l="1"/>
  <c r="AM7" i="10" s="1"/>
  <c r="AI7" i="10"/>
  <c r="E7" i="10"/>
  <c r="E9" i="10" s="1"/>
  <c r="T7" i="10"/>
  <c r="AD9" i="10"/>
  <c r="S7" i="10"/>
  <c r="H7" i="10"/>
  <c r="H9" i="10" s="1"/>
  <c r="R7" i="10" l="1"/>
  <c r="R9" i="10" s="1"/>
  <c r="Q7" i="10"/>
  <c r="Q9" i="10" s="1"/>
  <c r="D7" i="10"/>
  <c r="AE9" i="10"/>
  <c r="H6" i="5"/>
  <c r="I6" i="5" s="1"/>
  <c r="H7" i="5"/>
  <c r="I7" i="5"/>
  <c r="H8" i="5"/>
  <c r="I8" i="5" s="1"/>
  <c r="H9" i="5"/>
  <c r="I9" i="5" s="1"/>
  <c r="H10" i="5"/>
  <c r="I10" i="5" s="1"/>
  <c r="H11" i="5"/>
  <c r="I11" i="5"/>
  <c r="H12" i="5"/>
  <c r="I12" i="5"/>
  <c r="H13" i="5"/>
  <c r="I13" i="5"/>
  <c r="H14" i="5"/>
  <c r="I14" i="5" s="1"/>
  <c r="U7" i="10" l="1"/>
  <c r="M7" i="10"/>
  <c r="M6" i="5"/>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Z7" i="10" l="1"/>
  <c r="W7" i="10"/>
  <c r="N7" i="10"/>
  <c r="AG9" i="10"/>
  <c r="H33" i="11"/>
  <c r="H36" i="11" s="1"/>
  <c r="I17" i="11"/>
  <c r="M33" i="11"/>
  <c r="M36" i="11" s="1"/>
  <c r="N36" i="11" s="1"/>
  <c r="N17" i="11"/>
  <c r="N33" i="11" s="1"/>
  <c r="R33" i="11"/>
  <c r="R36" i="11" s="1"/>
  <c r="S36" i="11" s="1"/>
  <c r="S17" i="11"/>
  <c r="S33" i="11" s="1"/>
  <c r="I36" i="11"/>
  <c r="I33" i="11"/>
  <c r="K7" i="10" l="1"/>
  <c r="O7" i="10"/>
  <c r="L16" i="5"/>
  <c r="K16" i="5"/>
  <c r="J16" i="5"/>
  <c r="G16" i="5"/>
  <c r="F16" i="5"/>
  <c r="E16" i="5"/>
  <c r="E19" i="5" s="1"/>
  <c r="AA7" i="10" l="1"/>
  <c r="R14" i="5"/>
  <c r="S14" i="5" s="1"/>
  <c r="R13" i="5"/>
  <c r="S13" i="5" s="1"/>
  <c r="R12" i="5"/>
  <c r="S12" i="5" s="1"/>
  <c r="R8" i="5"/>
  <c r="S8" i="5" s="1"/>
  <c r="S18" i="5"/>
  <c r="N18" i="5"/>
  <c r="I18" i="5"/>
  <c r="Q19" i="5"/>
  <c r="P19" i="5"/>
  <c r="O19" i="5"/>
  <c r="L19" i="5"/>
  <c r="K19" i="5"/>
  <c r="J19" i="5"/>
  <c r="G19" i="5"/>
  <c r="F19" i="5"/>
  <c r="R11" i="5"/>
  <c r="R7" i="5"/>
  <c r="S7" i="5" s="1"/>
  <c r="R5" i="5"/>
  <c r="M5" i="5"/>
  <c r="H5" i="5"/>
  <c r="T9" i="10"/>
  <c r="S9" i="10"/>
  <c r="P7" i="10"/>
  <c r="G7" i="10"/>
  <c r="G9" i="10" s="1"/>
  <c r="F7" i="10"/>
  <c r="D9" i="10"/>
  <c r="F9" i="10" l="1"/>
  <c r="P9" i="10"/>
  <c r="V7" i="10"/>
  <c r="N5" i="5"/>
  <c r="N16" i="5" s="1"/>
  <c r="M16" i="5"/>
  <c r="M19" i="5" s="1"/>
  <c r="N19" i="5" s="1"/>
  <c r="H16" i="5"/>
  <c r="H19" i="5" s="1"/>
  <c r="I19" i="5" s="1"/>
  <c r="S5" i="5"/>
  <c r="R16" i="5"/>
  <c r="R19" i="5" s="1"/>
  <c r="S19" i="5" s="1"/>
  <c r="S11" i="5"/>
  <c r="I5" i="5"/>
  <c r="U9" i="10"/>
  <c r="I7" i="10"/>
  <c r="J11" i="1"/>
  <c r="J10" i="1"/>
  <c r="I9" i="10" l="1"/>
  <c r="J9" i="10" s="1"/>
  <c r="J7" i="10"/>
  <c r="I16" i="5"/>
  <c r="S16" i="5"/>
  <c r="J15" i="1"/>
  <c r="J13" i="1"/>
  <c r="J12" i="1"/>
  <c r="H28" i="1" l="1"/>
  <c r="H27" i="1"/>
  <c r="F28" i="1"/>
  <c r="F31" i="1"/>
  <c r="F32" i="1"/>
  <c r="F30" i="1"/>
  <c r="F33" i="1" l="1"/>
  <c r="F29" i="1"/>
</calcChain>
</file>

<file path=xl/sharedStrings.xml><?xml version="1.0" encoding="utf-8"?>
<sst xmlns="http://schemas.openxmlformats.org/spreadsheetml/2006/main" count="834" uniqueCount="421">
  <si>
    <t>1.    経緯</t>
  </si>
  <si>
    <t>館林DCセンターの廃止に伴い、現在のサーバ郡を移転する必要がある。</t>
    <phoneticPr fontId="2"/>
  </si>
  <si>
    <t>期日までに以下のいずれかの対応をとる必要がある。</t>
  </si>
  <si>
    <t>（１）次期アーキテクチャとしてAzure環境に再構築</t>
  </si>
  <si>
    <t>（２）Azureに構築される縮小版の共通基盤に移行</t>
    <phoneticPr fontId="2"/>
  </si>
  <si>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</si>
  <si>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2"/>
  </si>
  <si>
    <t>2.    依頼事項</t>
  </si>
  <si>
    <t>各システム毎に概算見積を行ってほしい。</t>
  </si>
  <si>
    <t>移行後の構成として複数パターン考えられる場合はパターン毎の見積が欲しい。</t>
  </si>
  <si>
    <t>基本的な移行方針は以下の通り</t>
  </si>
  <si>
    <t>対象：現行共通基盤を利用しているシステム</t>
  </si>
  <si>
    <t>時期：2025/4以降見込（2024年度中に新共通基盤構築予定のため）※出光内部確認中</t>
  </si>
  <si>
    <t>出光側で構築した次期アーキテクチャ（新共通基盤）へアプリ、帳票、バッチを移行</t>
  </si>
  <si>
    <t>各基盤の大きな変化点は以下の通り　※詳細は別資料参照</t>
  </si>
  <si>
    <t>アプリ基盤：WebLogic⇒Azure WebApps Apachee Tomcat</t>
  </si>
  <si>
    <t>帳票基盤：現行踏襲（List Creator）</t>
    <phoneticPr fontId="2"/>
  </si>
  <si>
    <t>DB基盤：新共通基盤DBにはOracleが選択肢にないため、DBのみ個別に構築しOracleを継続する。</t>
  </si>
  <si>
    <t>連携基盤：現行踏襲？（連携NASについては資料から読み取れず）</t>
  </si>
  <si>
    <t>バッチ基盤：Systemwalker Operation Manager⇒A-AUTO</t>
  </si>
  <si>
    <t>（２）Azureに構築される縮小版の共通基盤に移行</t>
  </si>
  <si>
    <t>時期：2024年度３Q以降見込（最速で2024年度２Q中に縮小版共通基盤構築予定のため）※出光内部確認中</t>
  </si>
  <si>
    <t>出光側で構築した縮小版共通基盤へアプリ、帳票、バッチを移行</t>
  </si>
  <si>
    <t>縮小版共通基盤の構成は現行共通基盤を踏襲した形となるが、OS,MWのバージョンは変更となる見込み</t>
  </si>
  <si>
    <t>※DBは四課要望により（1）と同様、個別に構築も要検討</t>
  </si>
  <si>
    <t>（３）現地Windows2016サーバ再構築</t>
  </si>
  <si>
    <t>対象：現行、現地（各事業所）に構築されているシステム</t>
  </si>
  <si>
    <t>時期：こちらからの提案次第</t>
  </si>
  <si>
    <t>WindowsSever2016サポート期限切れに伴い、最新のOS、MWに更新する。</t>
  </si>
  <si>
    <t>機能、サーバ構成は現行踏襲とする。</t>
  </si>
  <si>
    <t>OS：Windows2016⇒2022</t>
  </si>
  <si>
    <t>DB：Oracle12c⇒22c、SQLServer2016⇒2022</t>
  </si>
  <si>
    <t>帳票：Excel2016⇒Office 365</t>
  </si>
  <si>
    <t>バッチ：Systemwalker Operation Manager継続</t>
    <phoneticPr fontId="2"/>
  </si>
  <si>
    <t>アプリ：WebLogic継続</t>
  </si>
  <si>
    <t>3.    希望期日</t>
  </si>
  <si>
    <t>2024/2中に概算見積提示</t>
  </si>
  <si>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</si>
  <si>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</si>
  <si>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</si>
  <si>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</si>
  <si>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</si>
  <si>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</si>
  <si>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</si>
  <si>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</si>
  <si>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</si>
  <si>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</si>
  <si>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</si>
  <si>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</si>
  <si>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</si>
  <si>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</si>
  <si>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</si>
  <si>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</si>
  <si>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</si>
  <si>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</si>
  <si>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</si>
  <si>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</si>
  <si>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</si>
  <si>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</si>
  <si>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</si>
  <si>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</si>
  <si>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</si>
  <si>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</si>
  <si>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</si>
  <si>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</si>
  <si>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</si>
  <si>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</si>
  <si>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</si>
  <si>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</si>
  <si>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</si>
  <si>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</si>
  <si>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</si>
  <si>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Azure環境</t>
  </si>
  <si>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</si>
  <si>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</si>
  <si>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</si>
  <si>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</si>
  <si>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</si>
  <si>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</si>
  <si>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</si>
  <si>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</si>
  <si>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</si>
  <si>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</si>
  <si>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</si>
  <si>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</si>
  <si>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</si>
  <si>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</si>
  <si>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</si>
  <si>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</si>
  <si>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</si>
  <si>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</si>
  <si>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</si>
  <si>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</si>
  <si>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</si>
  <si>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</si>
  <si>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</si>
  <si>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</si>
  <si>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</si>
  <si>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</si>
  <si>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</si>
  <si>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</si>
  <si>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</si>
  <si>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</si>
  <si>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</si>
  <si>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</si>
  <si>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</si>
  <si>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</si>
  <si>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</si>
  <si>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</si>
  <si>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</si>
  <si>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</si>
  <si>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</si>
  <si>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</si>
  <si>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</si>
  <si>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</si>
  <si>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</si>
  <si>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</si>
  <si>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</si>
  <si>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</si>
  <si>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</si>
  <si>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</si>
  <si>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</si>
  <si>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</si>
  <si>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</si>
  <si>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</si>
  <si>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</si>
  <si>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</si>
  <si>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</si>
  <si>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</si>
  <si>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</si>
  <si>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</si>
  <si>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</si>
  <si>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</si>
  <si>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</si>
  <si>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</si>
  <si>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</si>
  <si>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</si>
  <si>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</si>
  <si>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</si>
  <si>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</si>
  <si>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</si>
  <si>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</si>
  <si>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</si>
  <si>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</si>
  <si>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</si>
  <si>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</si>
  <si>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</si>
  <si>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</si>
  <si>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</si>
  <si>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</si>
  <si>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</si>
  <si>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</si>
  <si>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</si>
  <si>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</si>
  <si>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</si>
  <si>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</si>
  <si>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</si>
  <si>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</si>
  <si>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</si>
  <si>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</si>
  <si>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</si>
  <si>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</si>
  <si>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</si>
  <si>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</si>
  <si>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</si>
  <si>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</si>
  <si>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</si>
  <si>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</si>
  <si>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</si>
  <si>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</si>
  <si>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</si>
  <si>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</si>
  <si>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</si>
  <si>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</si>
  <si>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</si>
  <si>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</si>
  <si>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</si>
  <si>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</si>
  <si>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</si>
  <si>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</si>
  <si>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</si>
  <si>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パターン</t>
    <phoneticPr fontId="2"/>
  </si>
  <si>
    <t>（１）次期アーキテクチャとしてAzure環境に再構築</t>
    <phoneticPr fontId="2"/>
  </si>
  <si>
    <t>（３）現地Windows2016サーバ再構築</t>
    <phoneticPr fontId="2"/>
  </si>
  <si>
    <t>備考</t>
    <rPh sb="0" eb="2">
      <t>ビコウ</t>
    </rPh>
    <phoneticPr fontId="7"/>
  </si>
  <si>
    <t>アプリ</t>
  </si>
  <si>
    <t>DB</t>
  </si>
  <si>
    <t>全体</t>
  </si>
  <si>
    <t>No.</t>
    <phoneticPr fontId="7"/>
  </si>
  <si>
    <t>システム</t>
    <phoneticPr fontId="7"/>
  </si>
  <si>
    <t>調査・要件定義</t>
  </si>
  <si>
    <t>設計</t>
  </si>
  <si>
    <t>製造</t>
    <rPh sb="0" eb="2">
      <t>セイゾウ</t>
    </rPh>
    <phoneticPr fontId="7"/>
  </si>
  <si>
    <t>試験</t>
  </si>
  <si>
    <t>本番稼働</t>
  </si>
  <si>
    <t>管理</t>
    <rPh sb="0" eb="2">
      <t>カンリ</t>
    </rPh>
    <phoneticPr fontId="7"/>
  </si>
  <si>
    <t>工数計</t>
  </si>
  <si>
    <t>金額</t>
  </si>
  <si>
    <t>L3.5（徳山）</t>
    <phoneticPr fontId="2"/>
  </si>
  <si>
    <t>MEK対応連携含む</t>
    <rPh sb="3" eb="5">
      <t>タイオウ</t>
    </rPh>
    <rPh sb="5" eb="7">
      <t>レンケイ</t>
    </rPh>
    <rPh sb="7" eb="8">
      <t>フク</t>
    </rPh>
    <phoneticPr fontId="2"/>
  </si>
  <si>
    <t>L3.5（千葉）</t>
    <phoneticPr fontId="2"/>
  </si>
  <si>
    <t>計</t>
  </si>
  <si>
    <t>単価</t>
  </si>
  <si>
    <t>スケジュール案</t>
    <rPh sb="6" eb="7">
      <t>アン</t>
    </rPh>
    <phoneticPr fontId="2"/>
  </si>
  <si>
    <t>システム</t>
  </si>
  <si>
    <t>担当</t>
  </si>
  <si>
    <t>2025年</t>
    <rPh sb="4" eb="5">
      <t>ネン</t>
    </rPh>
    <phoneticPr fontId="2"/>
  </si>
  <si>
    <t>2026年</t>
    <rPh sb="4" eb="5">
      <t>ネン</t>
    </rPh>
    <phoneticPr fontId="2"/>
  </si>
  <si>
    <t>2027年</t>
    <phoneticPr fontId="2"/>
  </si>
  <si>
    <t>1月</t>
    <rPh sb="1" eb="2">
      <t>ガツ</t>
    </rPh>
    <phoneticPr fontId="2"/>
  </si>
  <si>
    <t>2月</t>
  </si>
  <si>
    <t>3月</t>
  </si>
  <si>
    <t>4月</t>
  </si>
  <si>
    <t>5月</t>
  </si>
  <si>
    <t>6月</t>
  </si>
  <si>
    <t>7月</t>
  </si>
  <si>
    <t>8月</t>
  </si>
  <si>
    <t>9月</t>
  </si>
  <si>
    <t>10月</t>
  </si>
  <si>
    <t>11月</t>
  </si>
  <si>
    <t>12月</t>
  </si>
  <si>
    <t>マイルストン</t>
  </si>
  <si>
    <t>★新共通基盤構築</t>
  </si>
  <si>
    <t>　　　　　　　　★L3.5サポート終了</t>
    <rPh sb="16" eb="18">
      <t>シュウリョウ</t>
    </rPh>
    <phoneticPr fontId="2"/>
  </si>
  <si>
    <t>★館林DC廃止</t>
  </si>
  <si>
    <t>▲陸上出荷とのIFテスト</t>
    <rPh sb="1" eb="5">
      <t>リクジョウシュッカ</t>
    </rPh>
    <phoneticPr fontId="2"/>
  </si>
  <si>
    <t>新IRIS・XenAPP</t>
  </si>
  <si>
    <t>数量確定システム（千葉・徳山）</t>
  </si>
  <si>
    <t>用役管理システム（千葉・徳山）</t>
  </si>
  <si>
    <t>ＬＭＰＰ包装システム</t>
  </si>
  <si>
    <t>千葉製品倉庫システム</t>
  </si>
  <si>
    <t>千葉工場数量確定システム（ポリマ－）</t>
  </si>
  <si>
    <t>ＡＢＣ数量確定システム</t>
  </si>
  <si>
    <t>陸上出荷（MEK）</t>
    <rPh sb="0" eb="4">
      <t>リクジョウシュッカ</t>
    </rPh>
    <phoneticPr fontId="2"/>
  </si>
  <si>
    <t>L3.5（千葉・徳山）</t>
  </si>
  <si>
    <t>想定要員数（作業者のみ）</t>
  </si>
  <si>
    <t>数量確定・用役管理</t>
  </si>
  <si>
    <t>千葉化学・包装・工場DB</t>
  </si>
  <si>
    <t>ヤード操業</t>
  </si>
  <si>
    <t>PRM（製品倉庫・数量ポリ・ABC）</t>
  </si>
  <si>
    <t>陸上出荷（MEK）</t>
    <phoneticPr fontId="2"/>
  </si>
  <si>
    <t>L3.5</t>
  </si>
  <si>
    <t>合計</t>
  </si>
  <si>
    <t>作業者</t>
  </si>
  <si>
    <t>売上(1,000k)</t>
  </si>
  <si>
    <t>経費(800k)</t>
  </si>
  <si>
    <t>管理者</t>
  </si>
  <si>
    <t>売上(1,400k)</t>
  </si>
  <si>
    <t>経費(1,000k)</t>
  </si>
  <si>
    <t>売上合計</t>
  </si>
  <si>
    <t>経費合計</t>
  </si>
  <si>
    <t>粗利</t>
  </si>
  <si>
    <t>粗利率</t>
  </si>
  <si>
    <t>制約事項</t>
    <rPh sb="0" eb="4">
      <t>セイヤクジコウ</t>
    </rPh>
    <phoneticPr fontId="2"/>
  </si>
  <si>
    <t>2025/11 陸上出荷・MEK疎通テスト</t>
    <rPh sb="8" eb="12">
      <t>リクジョウシュッカ</t>
    </rPh>
    <rPh sb="16" eb="18">
      <t>ソツウ</t>
    </rPh>
    <phoneticPr fontId="2"/>
  </si>
  <si>
    <t>2026/12 L3.5サポート終了</t>
  </si>
  <si>
    <t>進め方</t>
    <rPh sb="0" eb="1">
      <t>スス</t>
    </rPh>
    <rPh sb="2" eb="3">
      <t>カタ</t>
    </rPh>
    <phoneticPr fontId="2"/>
  </si>
  <si>
    <t>② MEK要件 + (L3.5) + MEK設計以降 ※厳しめ：11月IFテスト有</t>
  </si>
  <si>
    <t>　※L3.5を12月までにリリースからのMEK開発</t>
    <phoneticPr fontId="2"/>
  </si>
  <si>
    <t>　　➡ただしMEK要件定義は事前。</t>
  </si>
  <si>
    <t>参考</t>
    <rPh sb="0" eb="2">
      <t>サンコウ</t>
    </rPh>
    <phoneticPr fontId="2"/>
  </si>
  <si>
    <t>L3.5</t>
    <phoneticPr fontId="2"/>
  </si>
  <si>
    <t>MEK</t>
    <phoneticPr fontId="2"/>
  </si>
  <si>
    <t>No.</t>
  </si>
  <si>
    <t>契約種別</t>
  </si>
  <si>
    <t>フェーズ</t>
  </si>
  <si>
    <t>区分</t>
  </si>
  <si>
    <t>工程</t>
  </si>
  <si>
    <t>工数（人月）</t>
  </si>
  <si>
    <t>金額（税抜き）</t>
  </si>
  <si>
    <t>準委任契約</t>
  </si>
  <si>
    <t>要件定義・設計</t>
  </si>
  <si>
    <t>概算</t>
  </si>
  <si>
    <t>要件定義</t>
  </si>
  <si>
    <t>基本設計</t>
  </si>
  <si>
    <t>プロジェクト管理</t>
  </si>
  <si>
    <t>小計</t>
  </si>
  <si>
    <t>請負契約</t>
  </si>
  <si>
    <t>開発</t>
  </si>
  <si>
    <t>詳細設計</t>
  </si>
  <si>
    <t>結合テスト</t>
  </si>
  <si>
    <t>システムテスト</t>
  </si>
  <si>
    <t>運用テスト</t>
  </si>
  <si>
    <t>本番移行</t>
  </si>
  <si>
    <t>初期流動</t>
  </si>
  <si>
    <t>システム名：数量確定システム</t>
    <rPh sb="4" eb="5">
      <t>メイ</t>
    </rPh>
    <rPh sb="6" eb="8">
      <t>スウリョウ</t>
    </rPh>
    <rPh sb="8" eb="10">
      <t>カクテイ</t>
    </rPh>
    <phoneticPr fontId="2"/>
  </si>
  <si>
    <t>想定工数(人月)</t>
    <rPh sb="0" eb="4">
      <t>ソウテイコウスウ</t>
    </rPh>
    <rPh sb="5" eb="7">
      <t>ニンゲツ</t>
    </rPh>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</si>
  <si>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</si>
  <si>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</si>
  <si>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</si>
  <si>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試験・本番稼働</t>
    <rPh sb="0" eb="2">
      <t>シケン</t>
    </rPh>
    <rPh sb="3" eb="7">
      <t>ホンバンカドウ</t>
    </rPh>
    <phoneticPr fontId="7"/>
  </si>
  <si>
    <t>全体工数</t>
    <rPh sb="0" eb="2">
      <t>ゼンタイ</t>
    </rPh>
    <rPh sb="2" eb="4">
      <t>コウスウ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</si>
  <si>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</si>
  <si>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</si>
  <si>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</si>
  <si>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</si>
  <si>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</si>
  <si>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</si>
  <si>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</si>
  <si>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</si>
  <si>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</si>
  <si>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</si>
  <si>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</si>
  <si>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</si>
  <si>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</si>
  <si>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</si>
  <si>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</si>
  <si>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</si>
  <si>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</si>
  <si>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</si>
  <si>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</si>
  <si>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</si>
  <si>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</si>
  <si>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</si>
  <si>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</si>
  <si>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</si>
  <si>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</si>
  <si>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</si>
  <si>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</si>
  <si>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</si>
  <si>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</si>
  <si>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</si>
  <si>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徳山L3.5</t>
    <phoneticPr fontId="2"/>
  </si>
  <si>
    <t>作業パターン：</t>
  </si>
  <si>
    <t>タスク</t>
  </si>
  <si>
    <t>概算工数</t>
  </si>
  <si>
    <t>成果物</t>
  </si>
  <si>
    <t>要件定義書</t>
  </si>
  <si>
    <t>現行サーバの構成確認
通信経路（FW）設定調査</t>
    <phoneticPr fontId="2"/>
  </si>
  <si>
    <t>IP,ホスト名変更に伴う影響箇所調査</t>
    <phoneticPr fontId="2"/>
  </si>
  <si>
    <t>IP,ホスト名使用箇所GREP調査</t>
    <phoneticPr fontId="2"/>
  </si>
  <si>
    <t>次工程以降正式見積</t>
  </si>
  <si>
    <t>移行方式設計</t>
  </si>
  <si>
    <t>アプリ移行方式設計書（出光フォーマット）
移行計画書</t>
  </si>
  <si>
    <t>アプリ移行方式設計書作成（出光フォーマット）
移行計画書作成</t>
    <rPh sb="7" eb="12">
      <t>セッケイショサクセイ</t>
    </rPh>
    <rPh sb="13" eb="15">
      <t>イデミツ</t>
    </rPh>
    <rPh sb="23" eb="27">
      <t>イコウケイカク</t>
    </rPh>
    <rPh sb="27" eb="28">
      <t>ショ</t>
    </rPh>
    <rPh sb="28" eb="30">
      <t>サクセイ</t>
    </rPh>
    <phoneticPr fontId="2"/>
  </si>
  <si>
    <t>サーバ構築ヒアリングシート
FW設定依頼書</t>
  </si>
  <si>
    <t>ヒアリングシートの作成</t>
    <phoneticPr fontId="2"/>
  </si>
  <si>
    <t>IP,ホスト名変更に伴う影響箇所対応</t>
    <phoneticPr fontId="2"/>
  </si>
  <si>
    <t>基本設計書、詳細設計書
運用ドキュメント</t>
  </si>
  <si>
    <t>設計書、運用ドキュメント修正
バッチ＋IF=15
15*20%を想定</t>
    <phoneticPr fontId="2"/>
  </si>
  <si>
    <t>IP,ホスト名変更に伴う影響箇所対応(MEK対応分)</t>
    <phoneticPr fontId="2"/>
  </si>
  <si>
    <t>設計書、運用ドキュメント修正
IF=8
8*20%を想定</t>
    <phoneticPr fontId="2"/>
  </si>
  <si>
    <t>OWFT、IIS等のMWインストール・セットアップ、フォルダ作成
※オペマネは出光様にてご対応
本番、検証（検証は同等構成のため少な目に設定）</t>
  </si>
  <si>
    <t>IP,ホスト名変更に伴う影響箇所対応</t>
  </si>
  <si>
    <t>PG一式</t>
  </si>
  <si>
    <t>PG修正
バッチ＋IF=15
15*20%を想定</t>
    <phoneticPr fontId="2"/>
  </si>
  <si>
    <t>PG修正
IF=8
8*20%を想定</t>
    <phoneticPr fontId="2"/>
  </si>
  <si>
    <t>内部テスト</t>
  </si>
  <si>
    <t>テスト仕様書兼結果報告書</t>
  </si>
  <si>
    <t>各検証機とL3.5間のテスト(L3層はダミーで実施)
オペマネのジョブテスト
機能数（バッチ＋IF）=15
15連携全てテスト</t>
    <phoneticPr fontId="2"/>
  </si>
  <si>
    <t>内部テスト(MEK対応分)</t>
    <phoneticPr fontId="2"/>
  </si>
  <si>
    <t>各検証機とL3.5間のテスト(L3層はダミーで実施)
オペマネのジョブテスト
機能数（IF）=8
8連携全てテスト</t>
    <phoneticPr fontId="2"/>
  </si>
  <si>
    <t>非機能テスト</t>
  </si>
  <si>
    <t>バックアップ（連携ファイル）、
性能（一部バッチをサンプリングし実施）</t>
  </si>
  <si>
    <t>IFテスト</t>
  </si>
  <si>
    <t>他システムとの連携テスト
下位：運転管理(徳山)、陸上出荷
上位：ヤード操業(徳山)
他シスとのテスト調整
テスト実施：17</t>
    <phoneticPr fontId="2"/>
  </si>
  <si>
    <t>アプリ移行</t>
  </si>
  <si>
    <t>本番移行手順書</t>
  </si>
  <si>
    <t>移行手順書作成＋出光内の移行方式レビュー支援
移行作業（入出荷に関わるため業務調整等で手間）
システム毎に実施（4回を想定）</t>
  </si>
  <si>
    <t>初期流動管理表</t>
  </si>
  <si>
    <t>月末月初挟む2ヶ月×2名（入出荷に関わるため緊急性高い）</t>
  </si>
  <si>
    <t>PJ管理</t>
  </si>
  <si>
    <t>プロジェクト計画書
課題管理表
スケジュール（WBS）
議事録
レビュー管理表</t>
  </si>
  <si>
    <t>PJ管理、定例会、各工程完了レビュー</t>
    <rPh sb="2" eb="4">
      <t>カンリ</t>
    </rPh>
    <rPh sb="5" eb="7">
      <t>テイレイ</t>
    </rPh>
    <rPh sb="7" eb="8">
      <t>カイ</t>
    </rPh>
    <rPh sb="9" eb="12">
      <t>カクコウテイ</t>
    </rPh>
    <rPh sb="12" eb="14">
      <t>カンリョウ</t>
    </rPh>
    <phoneticPr fontId="2"/>
  </si>
  <si>
    <t>千葉L3.5</t>
    <rPh sb="0" eb="2">
      <t>チバ</t>
    </rPh>
    <phoneticPr fontId="2"/>
  </si>
  <si>
    <t>設計書、運用ドキュメント修正
バッチ＋IF=53
53*20%を想定</t>
    <phoneticPr fontId="2"/>
  </si>
  <si>
    <t>PG修正
バッチ＋IF=53
53*20%を想定</t>
    <phoneticPr fontId="2"/>
  </si>
  <si>
    <t>各検証機とL3.5間のテスト(L3層はダミーで実施)
オペマネのジョブテスト
機能数（バッチ＋IF）=53
53連携全てテスト</t>
    <phoneticPr fontId="2"/>
  </si>
  <si>
    <t>他システムとの連携テスト
下位：運転管理(千葉)、UX、TCM、第１ABC、第2ABC
上位：ヤード操業(千葉)、PRMAPDB
他シスとのテスト調整
テスト実施：17</t>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</si>
  <si>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</si>
  <si>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</si>
  <si>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</si>
  <si>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</si>
  <si>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</si>
  <si>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</si>
  <si>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</si>
  <si>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</si>
  <si>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</si>
  <si>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</si>
  <si>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</si>
  <si>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</si>
  <si>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</si>
  <si>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</si>
  <si>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</si>
  <si>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</si>
  <si>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</si>
  <si>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</si>
  <si>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</si>
  <si>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</si>
  <si>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</si>
  <si>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</si>
  <si>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</si>
  <si>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</si>
  <si>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</si>
  <si>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</si>
  <si>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</si>
  <si>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</si>
  <si>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システムテスト</t>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</si>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</sst>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_);[Red]\(0\)"/>
    <numFmt numFmtId="177" formatCode="0.0_);[Red]\(0.0\)"/>
    <numFmt numFmtId="178" formatCode="0.00_);[Red]\(0.00\)"/>
    <numFmt numFmtId="179" formatCode="0.0"/>
    <numFmt numFmtId="180" formatCode="_-[$¥-411]* #,##0.00_-;\-[$¥-411]* #,##0.00_-;_-[$¥-411]* &quot;-&quot;??_-;_-@_-"/>
    <numFmt numFmtId="181" formatCode="_-[$¥-411]* #,##0_-;\-[$¥-411]* #,##0_-;_-[$¥-411]* &quot;-&quot;??_-;_-@_-"/>
  </numFmts>
  <fonts count="19">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
      <sz val="11"/>
      <color theme="1"/>
      <name val="游ゴシック"/>
      <family val="2"/>
      <charset val="128"/>
      <scheme val="minor"/>
    </font>
    <font>
      <sz val="11"/>
      <name val="ＭＳ Ｐゴシック"/>
      <family val="3"/>
      <charset val="128"/>
    </font>
  </fonts>
  <fills count="1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34998626667073579"/>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top style="thin">
        <color rgb="FF000000"/>
      </top>
      <bottom/>
      <diagonal/>
    </border>
    <border>
      <left style="thin">
        <color rgb="FF000000"/>
      </left>
      <right/>
      <top style="thin">
        <color rgb="FF000000"/>
      </top>
      <bottom/>
      <diagonal/>
    </border>
    <border>
      <left style="medium">
        <color rgb="FF000000"/>
      </left>
      <right/>
      <top/>
      <bottom/>
      <diagonal/>
    </border>
    <border>
      <left style="thin">
        <color rgb="FF000000"/>
      </left>
      <right style="medium">
        <color rgb="FF000000"/>
      </right>
      <top/>
      <bottom style="thin">
        <color rgb="FF000000"/>
      </bottom>
      <diagonal/>
    </border>
  </borders>
  <cellStyleXfs count="7">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xf numFmtId="0" fontId="18" fillId="0" borderId="0"/>
    <xf numFmtId="0" fontId="18" fillId="0" borderId="0">
      <alignment vertical="center"/>
    </xf>
    <xf numFmtId="0" fontId="17" fillId="0" borderId="0">
      <alignment vertical="center"/>
    </xf>
  </cellStyleXfs>
  <cellXfs count="240">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9" fillId="9" borderId="0" xfId="3" applyFill="1">
      <alignment vertical="center"/>
    </xf>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81" fontId="12" fillId="0" borderId="33" xfId="1" applyNumberFormat="1" applyFont="1" applyBorder="1" applyAlignment="1">
      <alignment horizontal="right" vertical="center"/>
    </xf>
    <xf numFmtId="181" fontId="12" fillId="0" borderId="49"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8" borderId="25" xfId="1" applyFont="1" applyFill="1" applyBorder="1" applyAlignment="1">
      <alignment vertical="center" wrapText="1"/>
    </xf>
    <xf numFmtId="0" fontId="12" fillId="8" borderId="33" xfId="1" applyFont="1" applyFill="1" applyBorder="1" applyAlignment="1">
      <alignment vertical="center" wrapText="1"/>
    </xf>
    <xf numFmtId="0" fontId="12" fillId="11" borderId="25" xfId="1" applyFont="1" applyFill="1" applyBorder="1" applyAlignment="1">
      <alignment vertical="center" wrapText="1"/>
    </xf>
    <xf numFmtId="0" fontId="12" fillId="11" borderId="46"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56" xfId="1" applyFont="1" applyBorder="1" applyAlignment="1">
      <alignment vertical="center"/>
    </xf>
    <xf numFmtId="181" fontId="13" fillId="0" borderId="45" xfId="2" applyNumberFormat="1" applyFont="1" applyBorder="1" applyAlignment="1">
      <alignment vertical="center"/>
    </xf>
    <xf numFmtId="181" fontId="13" fillId="0" borderId="25" xfId="2" applyNumberFormat="1" applyFont="1" applyBorder="1" applyAlignment="1">
      <alignment vertical="center"/>
    </xf>
    <xf numFmtId="180" fontId="13" fillId="0" borderId="33" xfId="2" applyNumberFormat="1" applyFont="1" applyBorder="1" applyAlignment="1">
      <alignment vertical="center"/>
    </xf>
    <xf numFmtId="181" fontId="13" fillId="0" borderId="33" xfId="2" applyNumberFormat="1" applyFont="1" applyBorder="1" applyAlignment="1">
      <alignment vertical="center"/>
    </xf>
    <xf numFmtId="0" fontId="6" fillId="0" borderId="55" xfId="1" applyBorder="1" applyAlignment="1">
      <alignment vertical="center"/>
    </xf>
    <xf numFmtId="181" fontId="13" fillId="0" borderId="47" xfId="2" applyNumberFormat="1" applyFont="1" applyBorder="1" applyAlignment="1">
      <alignment vertical="center"/>
    </xf>
    <xf numFmtId="181" fontId="13" fillId="0" borderId="48" xfId="2" applyNumberFormat="1" applyFont="1" applyBorder="1" applyAlignment="1">
      <alignment vertical="center"/>
    </xf>
    <xf numFmtId="181" fontId="13" fillId="0" borderId="50" xfId="2" applyNumberFormat="1" applyFont="1" applyBorder="1" applyAlignment="1">
      <alignment vertical="center"/>
    </xf>
    <xf numFmtId="0" fontId="6" fillId="0" borderId="57" xfId="1" applyBorder="1" applyAlignment="1">
      <alignment vertical="center"/>
    </xf>
    <xf numFmtId="181" fontId="12" fillId="0" borderId="46" xfId="1" applyNumberFormat="1" applyFont="1" applyBorder="1" applyAlignment="1">
      <alignment horizontal="right" vertical="center"/>
    </xf>
    <xf numFmtId="179" fontId="0" fillId="0" borderId="25" xfId="1" applyNumberFormat="1" applyFont="1" applyBorder="1" applyAlignment="1">
      <alignment horizontal="center" vertical="center"/>
    </xf>
    <xf numFmtId="179" fontId="6" fillId="0" borderId="45" xfId="1" applyNumberFormat="1" applyBorder="1" applyAlignment="1">
      <alignment vertical="center"/>
    </xf>
    <xf numFmtId="179" fontId="6" fillId="0" borderId="25" xfId="1" applyNumberFormat="1" applyBorder="1" applyAlignment="1">
      <alignment vertical="center"/>
    </xf>
    <xf numFmtId="179" fontId="12" fillId="0" borderId="42" xfId="1" applyNumberFormat="1" applyFont="1" applyBorder="1" applyAlignment="1">
      <alignment vertical="center"/>
    </xf>
    <xf numFmtId="179" fontId="12" fillId="0" borderId="43" xfId="1" applyNumberFormat="1" applyFont="1" applyBorder="1" applyAlignment="1">
      <alignment vertical="center"/>
    </xf>
    <xf numFmtId="179" fontId="12" fillId="0" borderId="25" xfId="1" applyNumberFormat="1" applyFont="1" applyBorder="1" applyAlignment="1">
      <alignment vertical="center"/>
    </xf>
    <xf numFmtId="0" fontId="12" fillId="2" borderId="60" xfId="1" applyFont="1" applyFill="1" applyBorder="1" applyAlignment="1">
      <alignment vertical="center"/>
    </xf>
    <xf numFmtId="0" fontId="12" fillId="2" borderId="61" xfId="1" applyFont="1" applyFill="1" applyBorder="1" applyAlignment="1">
      <alignment vertical="center"/>
    </xf>
    <xf numFmtId="0" fontId="12" fillId="10" borderId="62" xfId="1" applyFont="1" applyFill="1" applyBorder="1" applyAlignment="1">
      <alignment vertical="center" wrapText="1"/>
    </xf>
    <xf numFmtId="0" fontId="12" fillId="10" borderId="28" xfId="1" applyFont="1" applyFill="1" applyBorder="1" applyAlignment="1">
      <alignment vertical="center" wrapText="1"/>
    </xf>
    <xf numFmtId="0" fontId="12" fillId="10" borderId="31" xfId="1" applyFont="1" applyFill="1" applyBorder="1" applyAlignment="1">
      <alignment vertical="center" wrapText="1"/>
    </xf>
    <xf numFmtId="0" fontId="12" fillId="10" borderId="46" xfId="1" applyFont="1" applyFill="1" applyBorder="1" applyAlignment="1">
      <alignment vertical="center" wrapText="1"/>
    </xf>
    <xf numFmtId="181" fontId="12" fillId="0" borderId="44" xfId="1" applyNumberFormat="1" applyFont="1" applyBorder="1" applyAlignment="1">
      <alignment horizontal="right" vertical="center"/>
    </xf>
    <xf numFmtId="180" fontId="13" fillId="0" borderId="46" xfId="2" applyNumberFormat="1" applyFont="1" applyBorder="1" applyAlignment="1">
      <alignment vertical="center"/>
    </xf>
    <xf numFmtId="181" fontId="13" fillId="0" borderId="64" xfId="2" applyNumberFormat="1" applyFont="1" applyBorder="1" applyAlignment="1">
      <alignment vertical="center"/>
    </xf>
    <xf numFmtId="0" fontId="12" fillId="8" borderId="30" xfId="1" applyFont="1" applyFill="1" applyBorder="1" applyAlignment="1">
      <alignment vertical="center" wrapText="1"/>
    </xf>
    <xf numFmtId="179" fontId="6" fillId="0" borderId="30" xfId="1" applyNumberFormat="1" applyBorder="1" applyAlignment="1">
      <alignment vertical="center"/>
    </xf>
    <xf numFmtId="179" fontId="12" fillId="0" borderId="65" xfId="1" applyNumberFormat="1" applyFont="1" applyBorder="1" applyAlignment="1">
      <alignment vertical="center"/>
    </xf>
    <xf numFmtId="181" fontId="13" fillId="0" borderId="30" xfId="2" applyNumberFormat="1" applyFont="1" applyBorder="1" applyAlignment="1">
      <alignment vertical="center"/>
    </xf>
    <xf numFmtId="181" fontId="13" fillId="0" borderId="66" xfId="2" applyNumberFormat="1" applyFont="1" applyBorder="1" applyAlignment="1">
      <alignment vertical="center"/>
    </xf>
    <xf numFmtId="181" fontId="12" fillId="0" borderId="25" xfId="1" applyNumberFormat="1" applyFont="1" applyBorder="1" applyAlignment="1">
      <alignment horizontal="right" vertical="center"/>
    </xf>
    <xf numFmtId="0" fontId="12" fillId="11" borderId="33" xfId="1" applyFont="1" applyFill="1" applyBorder="1" applyAlignment="1">
      <alignment vertical="center" wrapText="1"/>
    </xf>
    <xf numFmtId="0" fontId="12" fillId="11" borderId="30" xfId="1" applyFont="1" applyFill="1" applyBorder="1" applyAlignment="1">
      <alignment vertical="center" wrapText="1"/>
    </xf>
    <xf numFmtId="179" fontId="12" fillId="0" borderId="30" xfId="1" applyNumberFormat="1" applyFont="1" applyBorder="1" applyAlignment="1">
      <alignment vertical="center"/>
    </xf>
    <xf numFmtId="179" fontId="12" fillId="0" borderId="28" xfId="1" applyNumberFormat="1" applyFont="1" applyBorder="1" applyAlignment="1">
      <alignment vertical="center"/>
    </xf>
    <xf numFmtId="181" fontId="12" fillId="0" borderId="31" xfId="1" applyNumberFormat="1" applyFont="1" applyBorder="1" applyAlignment="1">
      <alignment horizontal="right" vertical="center"/>
    </xf>
    <xf numFmtId="0" fontId="12" fillId="8" borderId="46" xfId="1" applyFont="1" applyFill="1" applyBorder="1" applyAlignment="1">
      <alignment vertical="center" wrapText="1"/>
    </xf>
    <xf numFmtId="181" fontId="13" fillId="0" borderId="46" xfId="2" applyNumberFormat="1" applyFont="1" applyBorder="1" applyAlignment="1">
      <alignment vertical="center"/>
    </xf>
    <xf numFmtId="179" fontId="12" fillId="0" borderId="32" xfId="1" applyNumberFormat="1" applyFont="1" applyBorder="1" applyAlignment="1">
      <alignment vertical="center"/>
    </xf>
    <xf numFmtId="0" fontId="0" fillId="0" borderId="25" xfId="0" applyBorder="1">
      <alignment vertical="center"/>
    </xf>
    <xf numFmtId="0" fontId="0" fillId="12" borderId="25" xfId="0" applyFill="1" applyBorder="1">
      <alignment vertical="center"/>
    </xf>
    <xf numFmtId="49" fontId="5" fillId="12" borderId="25" xfId="0" applyNumberFormat="1" applyFont="1" applyFill="1" applyBorder="1" applyAlignment="1">
      <alignment vertical="center" wrapText="1"/>
    </xf>
    <xf numFmtId="0" fontId="5" fillId="12"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2" borderId="33" xfId="0" applyFill="1" applyBorder="1">
      <alignment vertical="center"/>
    </xf>
    <xf numFmtId="0" fontId="0" fillId="12" borderId="7" xfId="0" applyFill="1" applyBorder="1">
      <alignment vertical="center"/>
    </xf>
    <xf numFmtId="0" fontId="0" fillId="12" borderId="28" xfId="0" applyFill="1" applyBorder="1">
      <alignment vertical="center"/>
    </xf>
    <xf numFmtId="0" fontId="13" fillId="0" borderId="25" xfId="0" applyFont="1" applyBorder="1">
      <alignment vertical="center"/>
    </xf>
    <xf numFmtId="0" fontId="0" fillId="0" borderId="26" xfId="0" applyBorder="1">
      <alignment vertical="center"/>
    </xf>
    <xf numFmtId="0" fontId="0" fillId="0" borderId="28" xfId="0" applyBorder="1">
      <alignment vertical="center"/>
    </xf>
    <xf numFmtId="0" fontId="0" fillId="12" borderId="31" xfId="0" applyFill="1" applyBorder="1">
      <alignment vertical="center"/>
    </xf>
    <xf numFmtId="0" fontId="13" fillId="0" borderId="0" xfId="0" applyFont="1">
      <alignment vertical="center"/>
    </xf>
    <xf numFmtId="0" fontId="0" fillId="12" borderId="70" xfId="0" applyFill="1" applyBorder="1">
      <alignment vertical="center"/>
    </xf>
    <xf numFmtId="181" fontId="0" fillId="0" borderId="0" xfId="0" applyNumberFormat="1">
      <alignment vertical="center"/>
    </xf>
    <xf numFmtId="181"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5" borderId="26" xfId="1" applyFont="1" applyFill="1" applyBorder="1" applyAlignment="1">
      <alignment horizontal="left" vertical="center" wrapText="1"/>
    </xf>
    <xf numFmtId="0" fontId="15" fillId="0" borderId="25" xfId="1" applyFont="1" applyBorder="1" applyAlignment="1">
      <alignment vertical="top" wrapText="1"/>
    </xf>
    <xf numFmtId="0" fontId="15" fillId="0" borderId="25" xfId="1" applyFont="1" applyBorder="1"/>
    <xf numFmtId="0" fontId="15" fillId="0" borderId="33" xfId="1" applyFont="1" applyBorder="1" applyAlignment="1">
      <alignment wrapText="1"/>
    </xf>
    <xf numFmtId="179" fontId="15" fillId="0" borderId="25" xfId="1" applyNumberFormat="1" applyFont="1" applyBorder="1"/>
    <xf numFmtId="179" fontId="15" fillId="0" borderId="26" xfId="1" applyNumberFormat="1" applyFont="1" applyBorder="1" applyAlignment="1">
      <alignment horizontal="center" vertical="center"/>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6" fillId="0" borderId="71" xfId="1" applyBorder="1" applyAlignment="1">
      <alignment vertical="center"/>
    </xf>
    <xf numFmtId="179" fontId="6" fillId="0" borderId="62" xfId="1" applyNumberFormat="1" applyBorder="1" applyAlignment="1">
      <alignment vertical="center"/>
    </xf>
    <xf numFmtId="179" fontId="6" fillId="0" borderId="28" xfId="1" applyNumberFormat="1" applyBorder="1" applyAlignment="1">
      <alignment vertical="center"/>
    </xf>
    <xf numFmtId="181" fontId="12" fillId="0" borderId="72" xfId="1" applyNumberFormat="1" applyFont="1" applyBorder="1" applyAlignment="1">
      <alignment horizontal="right" vertical="center"/>
    </xf>
    <xf numFmtId="179" fontId="6" fillId="0" borderId="32" xfId="1" applyNumberFormat="1" applyBorder="1" applyAlignment="1">
      <alignment vertical="center"/>
    </xf>
    <xf numFmtId="14" fontId="6" fillId="0" borderId="59" xfId="1" applyNumberFormat="1" applyBorder="1" applyAlignment="1">
      <alignment vertical="center"/>
    </xf>
    <xf numFmtId="0" fontId="0" fillId="13" borderId="28" xfId="0" applyFill="1" applyBorder="1">
      <alignment vertical="center"/>
    </xf>
    <xf numFmtId="0" fontId="3" fillId="0" borderId="0" xfId="0" applyFont="1">
      <alignment vertical="center"/>
    </xf>
    <xf numFmtId="0" fontId="0" fillId="13" borderId="25" xfId="0" applyFill="1" applyBorder="1">
      <alignment vertical="center"/>
    </xf>
    <xf numFmtId="0" fontId="0" fillId="13" borderId="33" xfId="0" applyFill="1" applyBorder="1">
      <alignment vertical="center"/>
    </xf>
    <xf numFmtId="0" fontId="0" fillId="13" borderId="1" xfId="0" applyFill="1" applyBorder="1">
      <alignment vertical="center"/>
    </xf>
    <xf numFmtId="6" fontId="0" fillId="0" borderId="0" xfId="0" applyNumberFormat="1">
      <alignment vertical="center"/>
    </xf>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1" xfId="0" applyFont="1" applyBorder="1" applyAlignment="1">
      <alignment vertical="center" wrapText="1"/>
    </xf>
    <xf numFmtId="49" fontId="5" fillId="0" borderId="4" xfId="0" applyNumberFormat="1" applyFont="1" applyBorder="1" applyAlignment="1">
      <alignment vertical="center" wrapText="1"/>
    </xf>
    <xf numFmtId="49" fontId="5" fillId="0" borderId="7" xfId="0" applyNumberFormat="1"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horizontal="left" vertical="top" wrapText="1"/>
    </xf>
    <xf numFmtId="0" fontId="0" fillId="0" borderId="7" xfId="0" applyBorder="1" applyAlignment="1">
      <alignment horizontal="left" vertical="top"/>
    </xf>
    <xf numFmtId="0" fontId="5" fillId="0" borderId="7" xfId="0" applyFont="1" applyBorder="1" applyAlignment="1">
      <alignment vertical="center" wrapText="1"/>
    </xf>
    <xf numFmtId="49" fontId="5" fillId="0" borderId="1" xfId="0" applyNumberFormat="1" applyFont="1" applyBorder="1" applyAlignment="1">
      <alignmen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29" xfId="0" applyNumberFormat="1" applyFont="1" applyBorder="1" applyAlignment="1">
      <alignment vertical="center" wrapText="1"/>
    </xf>
    <xf numFmtId="0" fontId="12" fillId="10" borderId="33" xfId="1" applyFont="1" applyFill="1" applyBorder="1" applyAlignment="1">
      <alignment horizontal="center" vertical="center" wrapText="1"/>
    </xf>
    <xf numFmtId="0" fontId="12" fillId="10" borderId="40" xfId="1" applyFont="1" applyFill="1" applyBorder="1" applyAlignment="1">
      <alignment horizontal="center" vertical="center" wrapText="1"/>
    </xf>
    <xf numFmtId="0" fontId="12" fillId="4" borderId="51" xfId="1" applyFont="1" applyFill="1" applyBorder="1" applyAlignment="1">
      <alignment horizontal="right" vertical="center"/>
    </xf>
    <xf numFmtId="0" fontId="12" fillId="4" borderId="52"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53" xfId="1" applyFont="1" applyFill="1" applyBorder="1" applyAlignment="1">
      <alignment horizontal="right" vertical="center"/>
    </xf>
    <xf numFmtId="0" fontId="12" fillId="4" borderId="54" xfId="1" applyFont="1" applyFill="1" applyBorder="1" applyAlignment="1">
      <alignment horizontal="right" vertical="center"/>
    </xf>
    <xf numFmtId="0" fontId="12" fillId="2" borderId="58"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9" xfId="1" applyFont="1" applyFill="1" applyBorder="1" applyAlignment="1">
      <alignment horizontal="center" vertical="center"/>
    </xf>
    <xf numFmtId="0" fontId="12" fillId="10" borderId="42" xfId="1" applyFont="1" applyFill="1" applyBorder="1" applyAlignment="1">
      <alignment horizontal="left" vertical="center"/>
    </xf>
    <xf numFmtId="0" fontId="12" fillId="10" borderId="43" xfId="1" applyFont="1" applyFill="1" applyBorder="1" applyAlignment="1">
      <alignment horizontal="left" vertical="center"/>
    </xf>
    <xf numFmtId="0" fontId="12" fillId="10" borderId="63" xfId="1" applyFont="1" applyFill="1" applyBorder="1" applyAlignment="1">
      <alignment horizontal="left" vertical="center"/>
    </xf>
    <xf numFmtId="0" fontId="12" fillId="10" borderId="44" xfId="1" applyFont="1" applyFill="1" applyBorder="1" applyAlignment="1">
      <alignment horizontal="left" vertical="center"/>
    </xf>
    <xf numFmtId="0" fontId="12" fillId="10" borderId="39" xfId="1" applyFont="1" applyFill="1" applyBorder="1" applyAlignment="1">
      <alignment horizontal="center" vertical="center" wrapText="1"/>
    </xf>
    <xf numFmtId="0" fontId="12" fillId="10" borderId="35" xfId="1" applyFont="1" applyFill="1" applyBorder="1" applyAlignment="1">
      <alignment horizontal="center" vertical="center" wrapText="1"/>
    </xf>
    <xf numFmtId="0" fontId="12" fillId="10" borderId="25" xfId="1" applyFont="1" applyFill="1" applyBorder="1" applyAlignment="1">
      <alignment horizontal="center" vertical="center" wrapText="1"/>
    </xf>
    <xf numFmtId="0" fontId="12" fillId="8" borderId="52" xfId="1" applyFont="1" applyFill="1" applyBorder="1" applyAlignment="1">
      <alignment horizontal="left" vertical="center"/>
    </xf>
    <xf numFmtId="0" fontId="12" fillId="8" borderId="67" xfId="1" applyFont="1" applyFill="1" applyBorder="1" applyAlignment="1">
      <alignment horizontal="left" vertical="center"/>
    </xf>
    <xf numFmtId="0" fontId="12" fillId="11" borderId="52" xfId="1" applyFont="1" applyFill="1" applyBorder="1" applyAlignment="1">
      <alignment horizontal="left" vertical="center"/>
    </xf>
    <xf numFmtId="0" fontId="12" fillId="11" borderId="68" xfId="1" applyFont="1" applyFill="1" applyBorder="1" applyAlignment="1">
      <alignment horizontal="left" vertical="center"/>
    </xf>
    <xf numFmtId="0" fontId="12" fillId="11" borderId="67" xfId="1" applyFont="1" applyFill="1" applyBorder="1" applyAlignment="1">
      <alignment horizontal="left" vertical="center"/>
    </xf>
    <xf numFmtId="0" fontId="12" fillId="11" borderId="35" xfId="1" applyFont="1" applyFill="1" applyBorder="1" applyAlignment="1">
      <alignment horizontal="center" vertical="center" wrapText="1"/>
    </xf>
    <xf numFmtId="0" fontId="12" fillId="11" borderId="25" xfId="1" applyFont="1" applyFill="1" applyBorder="1" applyAlignment="1">
      <alignment horizontal="center" vertical="center" wrapText="1"/>
    </xf>
    <xf numFmtId="0" fontId="12" fillId="11" borderId="40" xfId="1" applyFont="1" applyFill="1" applyBorder="1" applyAlignment="1">
      <alignment horizontal="center" vertical="center" wrapText="1"/>
    </xf>
    <xf numFmtId="0" fontId="12" fillId="8" borderId="33" xfId="1" applyFont="1" applyFill="1" applyBorder="1" applyAlignment="1">
      <alignment horizontal="center" vertical="center" wrapText="1"/>
    </xf>
    <xf numFmtId="0" fontId="12" fillId="8" borderId="40" xfId="1" applyFont="1" applyFill="1" applyBorder="1" applyAlignment="1">
      <alignment horizontal="center" vertical="center" wrapText="1"/>
    </xf>
    <xf numFmtId="0" fontId="12" fillId="8" borderId="35" xfId="1" applyFont="1" applyFill="1" applyBorder="1" applyAlignment="1">
      <alignment horizontal="center" vertical="center" wrapText="1"/>
    </xf>
    <xf numFmtId="0" fontId="12" fillId="8" borderId="30" xfId="1" applyFont="1" applyFill="1" applyBorder="1" applyAlignment="1">
      <alignment horizontal="center" vertical="center" wrapText="1"/>
    </xf>
    <xf numFmtId="0" fontId="0" fillId="12" borderId="33" xfId="0" applyFill="1" applyBorder="1" applyAlignment="1">
      <alignment horizontal="center" vertical="center"/>
    </xf>
    <xf numFmtId="0" fontId="0" fillId="12" borderId="30" xfId="0" applyFill="1" applyBorder="1" applyAlignment="1">
      <alignment horizontal="center"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13" fillId="12" borderId="25" xfId="0" applyFont="1" applyFill="1" applyBorder="1" applyAlignment="1">
      <alignment horizontal="right" vertical="center"/>
    </xf>
    <xf numFmtId="0" fontId="0" fillId="12" borderId="35" xfId="0" applyFill="1" applyBorder="1" applyAlignment="1">
      <alignment horizontal="center" vertical="center"/>
    </xf>
    <xf numFmtId="0" fontId="0" fillId="12" borderId="25" xfId="0" applyFill="1" applyBorder="1" applyAlignment="1">
      <alignment horizontal="center" vertical="center"/>
    </xf>
    <xf numFmtId="0" fontId="0" fillId="4" borderId="25" xfId="0" applyFill="1" applyBorder="1" applyAlignment="1">
      <alignment horizontal="center" vertical="center"/>
    </xf>
    <xf numFmtId="0" fontId="0" fillId="0" borderId="69" xfId="0" applyBorder="1" applyAlignment="1">
      <alignment horizontal="center" vertical="center"/>
    </xf>
    <xf numFmtId="0" fontId="0" fillId="0" borderId="0" xfId="0" applyAlignment="1">
      <alignment horizontal="center" vertical="center"/>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0" fillId="4" borderId="25" xfId="1" applyFont="1" applyFill="1" applyBorder="1" applyAlignment="1">
      <alignment horizontal="right"/>
    </xf>
    <xf numFmtId="0" fontId="15" fillId="5" borderId="26" xfId="1" applyFont="1" applyFill="1" applyBorder="1" applyAlignment="1">
      <alignment vertical="center" wrapText="1"/>
    </xf>
    <xf numFmtId="0" fontId="15" fillId="5" borderId="27" xfId="1" applyFont="1" applyFill="1" applyBorder="1" applyAlignment="1">
      <alignment vertical="center" wrapText="1"/>
    </xf>
    <xf numFmtId="179" fontId="15" fillId="0" borderId="26" xfId="1" applyNumberFormat="1" applyFont="1" applyBorder="1" applyAlignment="1">
      <alignment horizontal="center" vertical="center"/>
    </xf>
    <xf numFmtId="179" fontId="15" fillId="0" borderId="27" xfId="1" applyNumberFormat="1" applyFont="1" applyBorder="1" applyAlignment="1">
      <alignment horizontal="center" vertical="center"/>
    </xf>
    <xf numFmtId="179" fontId="15" fillId="0" borderId="28" xfId="1" applyNumberFormat="1" applyFont="1" applyBorder="1" applyAlignment="1">
      <alignment horizontal="center" vertical="center"/>
    </xf>
    <xf numFmtId="0" fontId="15" fillId="5" borderId="28" xfId="1" applyFont="1" applyFill="1" applyBorder="1" applyAlignment="1">
      <alignment vertical="center" wrapText="1"/>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0" fontId="15" fillId="0" borderId="27" xfId="1" applyFont="1" applyBorder="1" applyAlignment="1">
      <alignment horizontal="left" vertical="center" wrapText="1"/>
    </xf>
    <xf numFmtId="0" fontId="15" fillId="5" borderId="26" xfId="1" applyFont="1" applyFill="1" applyBorder="1" applyAlignment="1">
      <alignment horizontal="left" vertical="center" wrapText="1"/>
    </xf>
    <xf numFmtId="0" fontId="15" fillId="5" borderId="27" xfId="1" applyFont="1" applyFill="1" applyBorder="1" applyAlignment="1">
      <alignment horizontal="left" vertical="center" wrapText="1"/>
    </xf>
    <xf numFmtId="0" fontId="15" fillId="5" borderId="28" xfId="1" applyFont="1" applyFill="1" applyBorder="1" applyAlignment="1">
      <alignment horizontal="left" vertical="center" wrapText="1"/>
    </xf>
    <xf numFmtId="179" fontId="15" fillId="0" borderId="26" xfId="1" applyNumberFormat="1" applyFont="1" applyBorder="1" applyAlignment="1">
      <alignment horizontal="center" vertical="center" wrapText="1"/>
    </xf>
    <xf numFmtId="179" fontId="15" fillId="0" borderId="27" xfId="1" applyNumberFormat="1" applyFont="1" applyBorder="1" applyAlignment="1">
      <alignment horizontal="center" vertical="center" wrapText="1"/>
    </xf>
    <xf numFmtId="179" fontId="15" fillId="0" borderId="28" xfId="1" applyNumberFormat="1" applyFont="1" applyBorder="1" applyAlignment="1">
      <alignment horizontal="center" vertical="center" wrapText="1"/>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49" fontId="1" fillId="0" borderId="1" xfId="0" applyNumberFormat="1" applyFont="1" applyBorder="1" applyAlignment="1">
      <alignment horizontal="left" vertical="center"/>
    </xf>
    <xf numFmtId="49" fontId="1" fillId="2" borderId="1" xfId="0" applyNumberFormat="1" applyFont="1" applyFill="1" applyBorder="1" applyAlignment="1">
      <alignment horizontal="left" vertical="center"/>
    </xf>
    <xf numFmtId="0" fontId="5" fillId="0" borderId="7" xfId="0" applyFont="1" applyBorder="1" applyAlignment="1">
      <alignment vertical="center"/>
    </xf>
    <xf numFmtId="0" fontId="5" fillId="0" borderId="4" xfId="0" applyFont="1" applyBorder="1" applyAlignment="1">
      <alignment vertical="center"/>
    </xf>
    <xf numFmtId="0" fontId="5" fillId="0" borderId="1" xfId="0" quotePrefix="1" applyFont="1" applyBorder="1" applyAlignment="1">
      <alignment vertical="center"/>
    </xf>
    <xf numFmtId="0" fontId="5" fillId="0" borderId="1" xfId="0" applyFont="1" applyBorder="1" applyAlignment="1">
      <alignment vertical="center"/>
    </xf>
    <xf numFmtId="0" fontId="0" fillId="12" borderId="1" xfId="0" applyFill="1" applyBorder="1" applyAlignment="1">
      <alignment vertical="center"/>
    </xf>
  </cellXfs>
  <cellStyles count="7">
    <cellStyle name="桁区切り 2" xfId="2" xr:uid="{00000000-0005-0000-0000-000000000000}"/>
    <cellStyle name="標準" xfId="0" builtinId="0"/>
    <cellStyle name="標準 2" xfId="1" xr:uid="{00000000-0005-0000-0000-000002000000}"/>
    <cellStyle name="標準 2 2" xfId="5" xr:uid="{B34C0474-46F8-4ABD-8B0D-7F5899E8D7ED}"/>
    <cellStyle name="標準 2 3" xfId="4" xr:uid="{E42760BB-DE28-4AE4-9E4C-30D83430C523}"/>
    <cellStyle name="標準 28" xfId="3" xr:uid="{00000000-0005-0000-0000-000003000000}"/>
    <cellStyle name="標準 6" xfId="6" xr:uid="{2F7C2E8C-99B2-4723-B159-28CF65D2381D}"/>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323850</xdr:colOff>
      <xdr:row>31</xdr:row>
      <xdr:rowOff>0</xdr:rowOff>
    </xdr:from>
    <xdr:to>
      <xdr:col>16</xdr:col>
      <xdr:colOff>47625</xdr:colOff>
      <xdr:row>40</xdr:row>
      <xdr:rowOff>105752</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81075" y="5972175"/>
          <a:ext cx="9305925" cy="217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6EE3AF5C-72BB-715B-9E4C-AFD7BF015742}"/>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10160</xdr:colOff>
      <xdr:row>6</xdr:row>
      <xdr:rowOff>25400</xdr:rowOff>
    </xdr:from>
    <xdr:to>
      <xdr:col>4</xdr:col>
      <xdr:colOff>7620</xdr:colOff>
      <xdr:row>11</xdr:row>
      <xdr:rowOff>0</xdr:rowOff>
    </xdr:to>
    <xdr:sp macro="" textlink="">
      <xdr:nvSpPr>
        <xdr:cNvPr id="7" name="五角形 6">
          <a:extLst>
            <a:ext uri="{FF2B5EF4-FFF2-40B4-BE49-F238E27FC236}">
              <a16:creationId xmlns:a16="http://schemas.microsoft.com/office/drawing/2014/main" id="{148C59BC-7928-4D5D-B4A1-5FBA8966A392}"/>
            </a:ext>
            <a:ext uri="{147F2762-F138-4A5C-976F-8EAC2B608ADB}">
              <a16:predDERef xmlns:a16="http://schemas.microsoft.com/office/drawing/2014/main" pred="{20713F6C-3BE1-4DFD-ABF2-FAFEAA474A54}"/>
            </a:ext>
          </a:extLst>
        </xdr:cNvPr>
        <xdr:cNvSpPr/>
      </xdr:nvSpPr>
      <xdr:spPr>
        <a:xfrm>
          <a:off x="5388610" y="1168400"/>
          <a:ext cx="1438910" cy="11176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4</xdr:col>
      <xdr:colOff>6351</xdr:colOff>
      <xdr:row>6</xdr:row>
      <xdr:rowOff>25400</xdr:rowOff>
    </xdr:from>
    <xdr:to>
      <xdr:col>4</xdr:col>
      <xdr:colOff>1437641</xdr:colOff>
      <xdr:row>11</xdr:row>
      <xdr:rowOff>0</xdr:rowOff>
    </xdr:to>
    <xdr:sp macro="" textlink="">
      <xdr:nvSpPr>
        <xdr:cNvPr id="8" name="五角形 7">
          <a:extLst>
            <a:ext uri="{FF2B5EF4-FFF2-40B4-BE49-F238E27FC236}">
              <a16:creationId xmlns:a16="http://schemas.microsoft.com/office/drawing/2014/main" id="{4D44EC08-BB0A-43B0-8CEE-78221D9406E2}"/>
            </a:ext>
            <a:ext uri="{147F2762-F138-4A5C-976F-8EAC2B608ADB}">
              <a16:predDERef xmlns:a16="http://schemas.microsoft.com/office/drawing/2014/main" pred="{148C59BC-7928-4D5D-B4A1-5FBA8966A392}"/>
            </a:ext>
          </a:extLst>
        </xdr:cNvPr>
        <xdr:cNvSpPr/>
      </xdr:nvSpPr>
      <xdr:spPr>
        <a:xfrm>
          <a:off x="6826251" y="1168400"/>
          <a:ext cx="1431290" cy="11176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5</xdr:col>
      <xdr:colOff>6351</xdr:colOff>
      <xdr:row>6</xdr:row>
      <xdr:rowOff>27940</xdr:rowOff>
    </xdr:from>
    <xdr:to>
      <xdr:col>6</xdr:col>
      <xdr:colOff>3811</xdr:colOff>
      <xdr:row>11</xdr:row>
      <xdr:rowOff>0</xdr:rowOff>
    </xdr:to>
    <xdr:sp macro="" textlink="">
      <xdr:nvSpPr>
        <xdr:cNvPr id="9" name="五角形 8">
          <a:extLst>
            <a:ext uri="{FF2B5EF4-FFF2-40B4-BE49-F238E27FC236}">
              <a16:creationId xmlns:a16="http://schemas.microsoft.com/office/drawing/2014/main" id="{65A2E0FB-E68B-4B5E-860D-83874575ACD3}"/>
            </a:ext>
            <a:ext uri="{147F2762-F138-4A5C-976F-8EAC2B608ADB}">
              <a16:predDERef xmlns:a16="http://schemas.microsoft.com/office/drawing/2014/main" pred="{4D44EC08-BB0A-43B0-8CEE-78221D9406E2}"/>
            </a:ext>
          </a:extLst>
        </xdr:cNvPr>
        <xdr:cNvSpPr/>
      </xdr:nvSpPr>
      <xdr:spPr>
        <a:xfrm>
          <a:off x="8267701" y="1170940"/>
          <a:ext cx="1438910" cy="111506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15</xdr:col>
      <xdr:colOff>0</xdr:colOff>
      <xdr:row>11</xdr:row>
      <xdr:rowOff>0</xdr:rowOff>
    </xdr:from>
    <xdr:to>
      <xdr:col>17</xdr:col>
      <xdr:colOff>476250</xdr:colOff>
      <xdr:row>14</xdr:row>
      <xdr:rowOff>0</xdr:rowOff>
    </xdr:to>
    <xdr:sp macro="" textlink="">
      <xdr:nvSpPr>
        <xdr:cNvPr id="22" name="五角形 21">
          <a:extLst>
            <a:ext uri="{FF2B5EF4-FFF2-40B4-BE49-F238E27FC236}">
              <a16:creationId xmlns:a16="http://schemas.microsoft.com/office/drawing/2014/main" id="{DCD0FA00-438B-4F3B-B60D-568F39371084}"/>
            </a:ext>
            <a:ext uri="{147F2762-F138-4A5C-976F-8EAC2B608ADB}">
              <a16:predDERef xmlns:a16="http://schemas.microsoft.com/office/drawing/2014/main" pred="{2ED0E677-487D-4105-B3A7-71E0F4B8D0B2}"/>
            </a:ext>
          </a:extLst>
        </xdr:cNvPr>
        <xdr:cNvSpPr/>
      </xdr:nvSpPr>
      <xdr:spPr>
        <a:xfrm>
          <a:off x="14963775" y="2743200"/>
          <a:ext cx="1485900" cy="1143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18</xdr:col>
      <xdr:colOff>0</xdr:colOff>
      <xdr:row>11</xdr:row>
      <xdr:rowOff>0</xdr:rowOff>
    </xdr:from>
    <xdr:to>
      <xdr:col>19</xdr:col>
      <xdr:colOff>466725</xdr:colOff>
      <xdr:row>13</xdr:row>
      <xdr:rowOff>276225</xdr:rowOff>
    </xdr:to>
    <xdr:sp macro="" textlink="">
      <xdr:nvSpPr>
        <xdr:cNvPr id="2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16478250" y="2733675"/>
          <a:ext cx="971550" cy="11430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20</xdr:col>
      <xdr:colOff>0</xdr:colOff>
      <xdr:row>11</xdr:row>
      <xdr:rowOff>0</xdr:rowOff>
    </xdr:from>
    <xdr:to>
      <xdr:col>22</xdr:col>
      <xdr:colOff>209550</xdr:colOff>
      <xdr:row>13</xdr:row>
      <xdr:rowOff>266700</xdr:rowOff>
    </xdr:to>
    <xdr:sp macro="" textlink="">
      <xdr:nvSpPr>
        <xdr:cNvPr id="2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17487900" y="2743200"/>
          <a:ext cx="1219200" cy="11239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22</xdr:col>
      <xdr:colOff>219075</xdr:colOff>
      <xdr:row>11</xdr:row>
      <xdr:rowOff>0</xdr:rowOff>
    </xdr:from>
    <xdr:to>
      <xdr:col>25</xdr:col>
      <xdr:colOff>476250</xdr:colOff>
      <xdr:row>13</xdr:row>
      <xdr:rowOff>276225</xdr:rowOff>
    </xdr:to>
    <xdr:sp macro="" textlink="">
      <xdr:nvSpPr>
        <xdr:cNvPr id="26" name="五角形 25">
          <a:extLst>
            <a:ext uri="{FF2B5EF4-FFF2-40B4-BE49-F238E27FC236}">
              <a16:creationId xmlns:a16="http://schemas.microsoft.com/office/drawing/2014/main" id="{C95C4AAE-E55C-4332-B7C5-D1FBAEA0415C}"/>
            </a:ext>
            <a:ext uri="{147F2762-F138-4A5C-976F-8EAC2B608ADB}">
              <a16:predDERef xmlns:a16="http://schemas.microsoft.com/office/drawing/2014/main" pred="{217976E8-218C-4C18-8600-D795A43A7F74}"/>
            </a:ext>
          </a:extLst>
        </xdr:cNvPr>
        <xdr:cNvSpPr/>
      </xdr:nvSpPr>
      <xdr:spPr>
        <a:xfrm>
          <a:off x="18716625" y="2743200"/>
          <a:ext cx="1771650" cy="11334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26</xdr:col>
      <xdr:colOff>9525</xdr:colOff>
      <xdr:row>11</xdr:row>
      <xdr:rowOff>0</xdr:rowOff>
    </xdr:from>
    <xdr:to>
      <xdr:col>28</xdr:col>
      <xdr:colOff>485775</xdr:colOff>
      <xdr:row>13</xdr:row>
      <xdr:rowOff>247650</xdr:rowOff>
    </xdr:to>
    <xdr:sp macro="" textlink="">
      <xdr:nvSpPr>
        <xdr:cNvPr id="23" name="五角形 22">
          <a:extLst>
            <a:ext uri="{FF2B5EF4-FFF2-40B4-BE49-F238E27FC236}">
              <a16:creationId xmlns:a16="http://schemas.microsoft.com/office/drawing/2014/main" id="{236D222F-948C-4D61-B445-C8B89F217513}"/>
            </a:ext>
            <a:ext uri="{147F2762-F138-4A5C-976F-8EAC2B608ADB}">
              <a16:predDERef xmlns:a16="http://schemas.microsoft.com/office/drawing/2014/main" pred="{C95C4AAE-E55C-4332-B7C5-D1FBAEA0415C}"/>
            </a:ext>
          </a:extLst>
        </xdr:cNvPr>
        <xdr:cNvSpPr/>
      </xdr:nvSpPr>
      <xdr:spPr>
        <a:xfrm>
          <a:off x="20526375" y="2724150"/>
          <a:ext cx="1485900" cy="11239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editAs="oneCell">
    <xdr:from>
      <xdr:col>0</xdr:col>
      <xdr:colOff>0</xdr:colOff>
      <xdr:row>53</xdr:row>
      <xdr:rowOff>0</xdr:rowOff>
    </xdr:from>
    <xdr:to>
      <xdr:col>13</xdr:col>
      <xdr:colOff>1063462</xdr:colOff>
      <xdr:row>78</xdr:row>
      <xdr:rowOff>187268</xdr:rowOff>
    </xdr:to>
    <xdr:pic>
      <xdr:nvPicPr>
        <xdr:cNvPr id="33" name="図 32">
          <a:extLst>
            <a:ext uri="{FF2B5EF4-FFF2-40B4-BE49-F238E27FC236}">
              <a16:creationId xmlns:a16="http://schemas.microsoft.com/office/drawing/2014/main" id="{723F142A-3EDE-43D8-8E92-40E10094BF65}"/>
            </a:ext>
          </a:extLst>
        </xdr:cNvPr>
        <xdr:cNvPicPr>
          <a:picLocks noChangeAspect="1"/>
        </xdr:cNvPicPr>
      </xdr:nvPicPr>
      <xdr:blipFill>
        <a:blip xmlns:r="http://schemas.openxmlformats.org/officeDocument/2006/relationships" r:embed="rId1"/>
        <a:stretch>
          <a:fillRect/>
        </a:stretch>
      </xdr:blipFill>
      <xdr:spPr>
        <a:xfrm>
          <a:off x="0" y="10160000"/>
          <a:ext cx="20692120" cy="5958725"/>
        </a:xfrm>
        <a:prstGeom prst="rect">
          <a:avLst/>
        </a:prstGeom>
      </xdr:spPr>
    </xdr:pic>
    <xdr:clientData/>
  </xdr:twoCellAnchor>
  <xdr:twoCellAnchor editAs="oneCell">
    <xdr:from>
      <xdr:col>0</xdr:col>
      <xdr:colOff>0</xdr:colOff>
      <xdr:row>80</xdr:row>
      <xdr:rowOff>0</xdr:rowOff>
    </xdr:from>
    <xdr:to>
      <xdr:col>15</xdr:col>
      <xdr:colOff>872723</xdr:colOff>
      <xdr:row>93</xdr:row>
      <xdr:rowOff>187555</xdr:rowOff>
    </xdr:to>
    <xdr:pic>
      <xdr:nvPicPr>
        <xdr:cNvPr id="34" name="図 33">
          <a:extLst>
            <a:ext uri="{FF2B5EF4-FFF2-40B4-BE49-F238E27FC236}">
              <a16:creationId xmlns:a16="http://schemas.microsoft.com/office/drawing/2014/main" id="{6F55EFE4-8C04-14CA-9578-16A1E5863FAB}"/>
            </a:ext>
          </a:extLst>
        </xdr:cNvPr>
        <xdr:cNvPicPr>
          <a:picLocks noChangeAspect="1"/>
        </xdr:cNvPicPr>
      </xdr:nvPicPr>
      <xdr:blipFill>
        <a:blip xmlns:r="http://schemas.openxmlformats.org/officeDocument/2006/relationships" r:embed="rId2"/>
        <a:stretch>
          <a:fillRect/>
        </a:stretch>
      </xdr:blipFill>
      <xdr:spPr>
        <a:xfrm>
          <a:off x="0" y="13892696"/>
          <a:ext cx="23544984" cy="3274207"/>
        </a:xfrm>
        <a:prstGeom prst="rect">
          <a:avLst/>
        </a:prstGeom>
      </xdr:spPr>
    </xdr:pic>
    <xdr:clientData/>
  </xdr:twoCellAnchor>
  <xdr:twoCellAnchor>
    <xdr:from>
      <xdr:col>5</xdr:col>
      <xdr:colOff>675640</xdr:colOff>
      <xdr:row>15</xdr:row>
      <xdr:rowOff>19050</xdr:rowOff>
    </xdr:from>
    <xdr:to>
      <xdr:col>6</xdr:col>
      <xdr:colOff>673100</xdr:colOff>
      <xdr:row>16</xdr:row>
      <xdr:rowOff>0</xdr:rowOff>
    </xdr:to>
    <xdr:sp macro="" textlink="">
      <xdr:nvSpPr>
        <xdr:cNvPr id="35" name="五角形 6">
          <a:extLst>
            <a:ext uri="{FF2B5EF4-FFF2-40B4-BE49-F238E27FC236}">
              <a16:creationId xmlns:a16="http://schemas.microsoft.com/office/drawing/2014/main" id="{9DE18A18-BFAB-A268-AB3C-A69ED1E364DF}"/>
            </a:ext>
            <a:ext uri="{147F2762-F138-4A5C-976F-8EAC2B608ADB}">
              <a16:predDERef xmlns:a16="http://schemas.microsoft.com/office/drawing/2014/main" pred="{20713F6C-3BE1-4DFD-ABF2-FAFEAA474A54}"/>
            </a:ext>
          </a:extLst>
        </xdr:cNvPr>
        <xdr:cNvSpPr/>
      </xdr:nvSpPr>
      <xdr:spPr>
        <a:xfrm>
          <a:off x="8936990" y="3949700"/>
          <a:ext cx="1438910" cy="4826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6</xdr:col>
      <xdr:colOff>679450</xdr:colOff>
      <xdr:row>15</xdr:row>
      <xdr:rowOff>26670</xdr:rowOff>
    </xdr:from>
    <xdr:to>
      <xdr:col>7</xdr:col>
      <xdr:colOff>1428750</xdr:colOff>
      <xdr:row>16</xdr:row>
      <xdr:rowOff>0</xdr:rowOff>
    </xdr:to>
    <xdr:sp macro="" textlink="">
      <xdr:nvSpPr>
        <xdr:cNvPr id="36" name="五角形 7">
          <a:extLst>
            <a:ext uri="{FF2B5EF4-FFF2-40B4-BE49-F238E27FC236}">
              <a16:creationId xmlns:a16="http://schemas.microsoft.com/office/drawing/2014/main" id="{ADC6BF9B-FBC2-26B4-D88B-9A92161DCA75}"/>
            </a:ext>
            <a:ext uri="{147F2762-F138-4A5C-976F-8EAC2B608ADB}">
              <a16:predDERef xmlns:a16="http://schemas.microsoft.com/office/drawing/2014/main" pred="{148C59BC-7928-4D5D-B4A1-5FBA8966A392}"/>
            </a:ext>
          </a:extLst>
        </xdr:cNvPr>
        <xdr:cNvSpPr/>
      </xdr:nvSpPr>
      <xdr:spPr>
        <a:xfrm>
          <a:off x="10382250" y="3957320"/>
          <a:ext cx="2190750" cy="47498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8</xdr:col>
      <xdr:colOff>2541</xdr:colOff>
      <xdr:row>15</xdr:row>
      <xdr:rowOff>27342</xdr:rowOff>
    </xdr:from>
    <xdr:to>
      <xdr:col>10</xdr:col>
      <xdr:colOff>10161</xdr:colOff>
      <xdr:row>16</xdr:row>
      <xdr:rowOff>123</xdr:rowOff>
    </xdr:to>
    <xdr:sp macro="" textlink="">
      <xdr:nvSpPr>
        <xdr:cNvPr id="37" name="五角形 8">
          <a:extLst>
            <a:ext uri="{FF2B5EF4-FFF2-40B4-BE49-F238E27FC236}">
              <a16:creationId xmlns:a16="http://schemas.microsoft.com/office/drawing/2014/main" id="{9011518D-63A9-C4AB-7596-FEB3CF643219}"/>
            </a:ext>
            <a:ext uri="{147F2762-F138-4A5C-976F-8EAC2B608ADB}">
              <a16:predDERef xmlns:a16="http://schemas.microsoft.com/office/drawing/2014/main" pred="{4D44EC08-BB0A-43B0-8CEE-78221D9406E2}"/>
            </a:ext>
          </a:extLst>
        </xdr:cNvPr>
        <xdr:cNvSpPr/>
      </xdr:nvSpPr>
      <xdr:spPr>
        <a:xfrm>
          <a:off x="12588241" y="3957992"/>
          <a:ext cx="2890520" cy="474431"/>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9</xdr:col>
      <xdr:colOff>1438275</xdr:colOff>
      <xdr:row>15</xdr:row>
      <xdr:rowOff>3520</xdr:rowOff>
    </xdr:from>
    <xdr:to>
      <xdr:col>11</xdr:col>
      <xdr:colOff>6350</xdr:colOff>
      <xdr:row>15</xdr:row>
      <xdr:rowOff>461010</xdr:rowOff>
    </xdr:to>
    <xdr:sp macro="" textlink="">
      <xdr:nvSpPr>
        <xdr:cNvPr id="38" name="五角形 9">
          <a:extLst>
            <a:ext uri="{FF2B5EF4-FFF2-40B4-BE49-F238E27FC236}">
              <a16:creationId xmlns:a16="http://schemas.microsoft.com/office/drawing/2014/main" id="{B77F8BAF-5D28-39DA-04D5-ED18AE43D2E6}"/>
            </a:ext>
            <a:ext uri="{147F2762-F138-4A5C-976F-8EAC2B608ADB}">
              <a16:predDERef xmlns:a16="http://schemas.microsoft.com/office/drawing/2014/main" pred="{65A2E0FB-E68B-4B5E-860D-83874575ACD3}"/>
            </a:ext>
          </a:extLst>
        </xdr:cNvPr>
        <xdr:cNvSpPr/>
      </xdr:nvSpPr>
      <xdr:spPr>
        <a:xfrm>
          <a:off x="15465425" y="3934170"/>
          <a:ext cx="1450975" cy="45749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11</xdr:col>
      <xdr:colOff>3175</xdr:colOff>
      <xdr:row>15</xdr:row>
      <xdr:rowOff>2250</xdr:rowOff>
    </xdr:from>
    <xdr:to>
      <xdr:col>12</xdr:col>
      <xdr:colOff>0</xdr:colOff>
      <xdr:row>15</xdr:row>
      <xdr:rowOff>459740</xdr:rowOff>
    </xdr:to>
    <xdr:sp macro="" textlink="">
      <xdr:nvSpPr>
        <xdr:cNvPr id="39" name="五角形 9">
          <a:extLst>
            <a:ext uri="{FF2B5EF4-FFF2-40B4-BE49-F238E27FC236}">
              <a16:creationId xmlns:a16="http://schemas.microsoft.com/office/drawing/2014/main" id="{5A3F4CD6-C133-C2F7-C890-924433F9CB31}"/>
            </a:ext>
            <a:ext uri="{147F2762-F138-4A5C-976F-8EAC2B608ADB}">
              <a16:predDERef xmlns:a16="http://schemas.microsoft.com/office/drawing/2014/main" pred="{65A2E0FB-E68B-4B5E-860D-83874575ACD3}"/>
            </a:ext>
          </a:extLst>
        </xdr:cNvPr>
        <xdr:cNvSpPr/>
      </xdr:nvSpPr>
      <xdr:spPr>
        <a:xfrm>
          <a:off x="16913225" y="3932900"/>
          <a:ext cx="1438275" cy="45749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12</xdr:col>
      <xdr:colOff>635</xdr:colOff>
      <xdr:row>15</xdr:row>
      <xdr:rowOff>926</xdr:rowOff>
    </xdr:from>
    <xdr:to>
      <xdr:col>12</xdr:col>
      <xdr:colOff>819150</xdr:colOff>
      <xdr:row>15</xdr:row>
      <xdr:rowOff>461009</xdr:rowOff>
    </xdr:to>
    <xdr:sp macro="" textlink="">
      <xdr:nvSpPr>
        <xdr:cNvPr id="40" name="五角形 9">
          <a:extLst>
            <a:ext uri="{FF2B5EF4-FFF2-40B4-BE49-F238E27FC236}">
              <a16:creationId xmlns:a16="http://schemas.microsoft.com/office/drawing/2014/main" id="{AAFA138C-EFC0-0C64-9E93-C5C54847B9DA}"/>
            </a:ext>
            <a:ext uri="{147F2762-F138-4A5C-976F-8EAC2B608ADB}">
              <a16:predDERef xmlns:a16="http://schemas.microsoft.com/office/drawing/2014/main" pred="{65A2E0FB-E68B-4B5E-860D-83874575ACD3}"/>
            </a:ext>
          </a:extLst>
        </xdr:cNvPr>
        <xdr:cNvSpPr/>
      </xdr:nvSpPr>
      <xdr:spPr>
        <a:xfrm>
          <a:off x="18352135" y="3931576"/>
          <a:ext cx="818515"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12</xdr:col>
      <xdr:colOff>832485</xdr:colOff>
      <xdr:row>15</xdr:row>
      <xdr:rowOff>2566</xdr:rowOff>
    </xdr:from>
    <xdr:to>
      <xdr:col>13</xdr:col>
      <xdr:colOff>565150</xdr:colOff>
      <xdr:row>16</xdr:row>
      <xdr:rowOff>2540</xdr:rowOff>
    </xdr:to>
    <xdr:sp macro="" textlink="">
      <xdr:nvSpPr>
        <xdr:cNvPr id="41" name="五角形 10">
          <a:extLst>
            <a:ext uri="{FF2B5EF4-FFF2-40B4-BE49-F238E27FC236}">
              <a16:creationId xmlns:a16="http://schemas.microsoft.com/office/drawing/2014/main" id="{6C456A1E-2176-A954-1F32-A04B874AE8CB}"/>
            </a:ext>
            <a:ext uri="{147F2762-F138-4A5C-976F-8EAC2B608ADB}">
              <a16:predDERef xmlns:a16="http://schemas.microsoft.com/office/drawing/2014/main" pred="{87A917E3-4DC5-4705-AE88-A8538D9D121C}"/>
            </a:ext>
          </a:extLst>
        </xdr:cNvPr>
        <xdr:cNvSpPr/>
      </xdr:nvSpPr>
      <xdr:spPr>
        <a:xfrm>
          <a:off x="19183985" y="3933216"/>
          <a:ext cx="1174115"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13</xdr:col>
      <xdr:colOff>571501</xdr:colOff>
      <xdr:row>15</xdr:row>
      <xdr:rowOff>2566</xdr:rowOff>
    </xdr:from>
    <xdr:to>
      <xdr:col>14</xdr:col>
      <xdr:colOff>5081</xdr:colOff>
      <xdr:row>16</xdr:row>
      <xdr:rowOff>2540</xdr:rowOff>
    </xdr:to>
    <xdr:sp macro="" textlink="">
      <xdr:nvSpPr>
        <xdr:cNvPr id="42" name="五角形 10">
          <a:extLst>
            <a:ext uri="{FF2B5EF4-FFF2-40B4-BE49-F238E27FC236}">
              <a16:creationId xmlns:a16="http://schemas.microsoft.com/office/drawing/2014/main" id="{87981151-B3FD-8B39-582A-37DE723B0506}"/>
            </a:ext>
            <a:ext uri="{147F2762-F138-4A5C-976F-8EAC2B608ADB}">
              <a16:predDERef xmlns:a16="http://schemas.microsoft.com/office/drawing/2014/main" pred="{87A917E3-4DC5-4705-AE88-A8538D9D121C}"/>
            </a:ext>
          </a:extLst>
        </xdr:cNvPr>
        <xdr:cNvSpPr/>
      </xdr:nvSpPr>
      <xdr:spPr>
        <a:xfrm>
          <a:off x="20364451" y="3933216"/>
          <a:ext cx="875030"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5</xdr:col>
      <xdr:colOff>679450</xdr:colOff>
      <xdr:row>14</xdr:row>
      <xdr:rowOff>26670</xdr:rowOff>
    </xdr:from>
    <xdr:to>
      <xdr:col>6</xdr:col>
      <xdr:colOff>687294</xdr:colOff>
      <xdr:row>15</xdr:row>
      <xdr:rowOff>0</xdr:rowOff>
    </xdr:to>
    <xdr:sp macro="" textlink="">
      <xdr:nvSpPr>
        <xdr:cNvPr id="47" name="五角形 6">
          <a:extLst>
            <a:ext uri="{FF2B5EF4-FFF2-40B4-BE49-F238E27FC236}">
              <a16:creationId xmlns:a16="http://schemas.microsoft.com/office/drawing/2014/main" id="{53BF00AF-6AEA-025C-4177-44971ED3B917}"/>
            </a:ext>
            <a:ext uri="{147F2762-F138-4A5C-976F-8EAC2B608ADB}">
              <a16:predDERef xmlns:a16="http://schemas.microsoft.com/office/drawing/2014/main" pred="{20713F6C-3BE1-4DFD-ABF2-FAFEAA474A54}"/>
            </a:ext>
          </a:extLst>
        </xdr:cNvPr>
        <xdr:cNvSpPr/>
      </xdr:nvSpPr>
      <xdr:spPr>
        <a:xfrm>
          <a:off x="8941921" y="3493023"/>
          <a:ext cx="1449667" cy="47385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9</xdr:col>
      <xdr:colOff>10757</xdr:colOff>
      <xdr:row>14</xdr:row>
      <xdr:rowOff>21888</xdr:rowOff>
    </xdr:from>
    <xdr:to>
      <xdr:col>9</xdr:col>
      <xdr:colOff>1433082</xdr:colOff>
      <xdr:row>14</xdr:row>
      <xdr:rowOff>486857</xdr:rowOff>
    </xdr:to>
    <xdr:sp macro="" textlink="">
      <xdr:nvSpPr>
        <xdr:cNvPr id="48" name="五角形 7">
          <a:extLst>
            <a:ext uri="{FF2B5EF4-FFF2-40B4-BE49-F238E27FC236}">
              <a16:creationId xmlns:a16="http://schemas.microsoft.com/office/drawing/2014/main" id="{92AD24C7-9F6D-8CE9-BECA-BAC70806FD69}"/>
            </a:ext>
            <a:ext uri="{147F2762-F138-4A5C-976F-8EAC2B608ADB}">
              <a16:predDERef xmlns:a16="http://schemas.microsoft.com/office/drawing/2014/main" pred="{148C59BC-7928-4D5D-B4A1-5FBA8966A392}"/>
            </a:ext>
          </a:extLst>
        </xdr:cNvPr>
        <xdr:cNvSpPr/>
      </xdr:nvSpPr>
      <xdr:spPr>
        <a:xfrm>
          <a:off x="14040522" y="3488241"/>
          <a:ext cx="1422325" cy="46496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11</xdr:col>
      <xdr:colOff>749600</xdr:colOff>
      <xdr:row>14</xdr:row>
      <xdr:rowOff>35270</xdr:rowOff>
    </xdr:from>
    <xdr:to>
      <xdr:col>12</xdr:col>
      <xdr:colOff>784413</xdr:colOff>
      <xdr:row>14</xdr:row>
      <xdr:rowOff>459740</xdr:rowOff>
    </xdr:to>
    <xdr:sp macro="" textlink="">
      <xdr:nvSpPr>
        <xdr:cNvPr id="49" name="五角形 9">
          <a:extLst>
            <a:ext uri="{FF2B5EF4-FFF2-40B4-BE49-F238E27FC236}">
              <a16:creationId xmlns:a16="http://schemas.microsoft.com/office/drawing/2014/main" id="{1D814B08-7626-120D-B38F-A4E5AF0B811D}"/>
            </a:ext>
            <a:ext uri="{147F2762-F138-4A5C-976F-8EAC2B608ADB}">
              <a16:predDERef xmlns:a16="http://schemas.microsoft.com/office/drawing/2014/main" pred="{65A2E0FB-E68B-4B5E-860D-83874575ACD3}"/>
            </a:ext>
          </a:extLst>
        </xdr:cNvPr>
        <xdr:cNvSpPr/>
      </xdr:nvSpPr>
      <xdr:spPr>
        <a:xfrm>
          <a:off x="17663012" y="3501623"/>
          <a:ext cx="1476636" cy="42447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14</xdr:col>
      <xdr:colOff>4445</xdr:colOff>
      <xdr:row>14</xdr:row>
      <xdr:rowOff>926</xdr:rowOff>
    </xdr:from>
    <xdr:to>
      <xdr:col>15</xdr:col>
      <xdr:colOff>22412</xdr:colOff>
      <xdr:row>14</xdr:row>
      <xdr:rowOff>461009</xdr:rowOff>
    </xdr:to>
    <xdr:sp macro="" textlink="">
      <xdr:nvSpPr>
        <xdr:cNvPr id="50" name="五角形 9">
          <a:extLst>
            <a:ext uri="{FF2B5EF4-FFF2-40B4-BE49-F238E27FC236}">
              <a16:creationId xmlns:a16="http://schemas.microsoft.com/office/drawing/2014/main" id="{266315B6-C44B-337C-9C58-847554AF2359}"/>
            </a:ext>
            <a:ext uri="{147F2762-F138-4A5C-976F-8EAC2B608ADB}">
              <a16:predDERef xmlns:a16="http://schemas.microsoft.com/office/drawing/2014/main" pred="{65A2E0FB-E68B-4B5E-860D-83874575ACD3}"/>
            </a:ext>
          </a:extLst>
        </xdr:cNvPr>
        <xdr:cNvSpPr/>
      </xdr:nvSpPr>
      <xdr:spPr>
        <a:xfrm>
          <a:off x="21243327" y="3467279"/>
          <a:ext cx="1459791"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15</xdr:col>
      <xdr:colOff>9376</xdr:colOff>
      <xdr:row>14</xdr:row>
      <xdr:rowOff>41416</xdr:rowOff>
    </xdr:from>
    <xdr:to>
      <xdr:col>15</xdr:col>
      <xdr:colOff>508000</xdr:colOff>
      <xdr:row>14</xdr:row>
      <xdr:rowOff>498959</xdr:rowOff>
    </xdr:to>
    <xdr:sp macro="" textlink="">
      <xdr:nvSpPr>
        <xdr:cNvPr id="51" name="五角形 9">
          <a:extLst>
            <a:ext uri="{FF2B5EF4-FFF2-40B4-BE49-F238E27FC236}">
              <a16:creationId xmlns:a16="http://schemas.microsoft.com/office/drawing/2014/main" id="{5698BF0D-1AF4-0D20-8109-8B7C5C2582E9}"/>
            </a:ext>
            <a:ext uri="{147F2762-F138-4A5C-976F-8EAC2B608ADB}">
              <a16:predDERef xmlns:a16="http://schemas.microsoft.com/office/drawing/2014/main" pred="{65A2E0FB-E68B-4B5E-860D-83874575ACD3}"/>
            </a:ext>
          </a:extLst>
        </xdr:cNvPr>
        <xdr:cNvSpPr/>
      </xdr:nvSpPr>
      <xdr:spPr>
        <a:xfrm>
          <a:off x="22690082" y="3507769"/>
          <a:ext cx="498624" cy="45754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15</xdr:col>
      <xdr:colOff>518647</xdr:colOff>
      <xdr:row>14</xdr:row>
      <xdr:rowOff>34316</xdr:rowOff>
    </xdr:from>
    <xdr:to>
      <xdr:col>15</xdr:col>
      <xdr:colOff>956235</xdr:colOff>
      <xdr:row>15</xdr:row>
      <xdr:rowOff>34290</xdr:rowOff>
    </xdr:to>
    <xdr:sp macro="" textlink="">
      <xdr:nvSpPr>
        <xdr:cNvPr id="52" name="五角形 10">
          <a:extLst>
            <a:ext uri="{FF2B5EF4-FFF2-40B4-BE49-F238E27FC236}">
              <a16:creationId xmlns:a16="http://schemas.microsoft.com/office/drawing/2014/main" id="{F0EFE00E-CC7C-B5EE-6210-B294DF53D2E9}"/>
            </a:ext>
            <a:ext uri="{147F2762-F138-4A5C-976F-8EAC2B608ADB}">
              <a16:predDERef xmlns:a16="http://schemas.microsoft.com/office/drawing/2014/main" pred="{87A917E3-4DC5-4705-AE88-A8538D9D121C}"/>
            </a:ext>
          </a:extLst>
        </xdr:cNvPr>
        <xdr:cNvSpPr/>
      </xdr:nvSpPr>
      <xdr:spPr>
        <a:xfrm>
          <a:off x="23199353" y="3500669"/>
          <a:ext cx="437588" cy="50050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15</xdr:col>
      <xdr:colOff>971176</xdr:colOff>
      <xdr:row>14</xdr:row>
      <xdr:rowOff>34316</xdr:rowOff>
    </xdr:from>
    <xdr:to>
      <xdr:col>16</xdr:col>
      <xdr:colOff>12403</xdr:colOff>
      <xdr:row>15</xdr:row>
      <xdr:rowOff>34290</xdr:rowOff>
    </xdr:to>
    <xdr:sp macro="" textlink="">
      <xdr:nvSpPr>
        <xdr:cNvPr id="53" name="五角形 10">
          <a:extLst>
            <a:ext uri="{FF2B5EF4-FFF2-40B4-BE49-F238E27FC236}">
              <a16:creationId xmlns:a16="http://schemas.microsoft.com/office/drawing/2014/main" id="{9D476D92-2DA9-A655-310E-9C4AE026BF23}"/>
            </a:ext>
            <a:ext uri="{147F2762-F138-4A5C-976F-8EAC2B608ADB}">
              <a16:predDERef xmlns:a16="http://schemas.microsoft.com/office/drawing/2014/main" pred="{87A917E3-4DC5-4705-AE88-A8538D9D121C}"/>
            </a:ext>
          </a:extLst>
        </xdr:cNvPr>
        <xdr:cNvSpPr/>
      </xdr:nvSpPr>
      <xdr:spPr>
        <a:xfrm>
          <a:off x="23651882" y="3500669"/>
          <a:ext cx="483050" cy="50050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10</xdr:col>
      <xdr:colOff>6201</xdr:colOff>
      <xdr:row>14</xdr:row>
      <xdr:rowOff>3212</xdr:rowOff>
    </xdr:from>
    <xdr:to>
      <xdr:col>11</xdr:col>
      <xdr:colOff>717176</xdr:colOff>
      <xdr:row>14</xdr:row>
      <xdr:rowOff>491613</xdr:rowOff>
    </xdr:to>
    <xdr:sp macro="" textlink="">
      <xdr:nvSpPr>
        <xdr:cNvPr id="54" name="五角形 8">
          <a:extLst>
            <a:ext uri="{FF2B5EF4-FFF2-40B4-BE49-F238E27FC236}">
              <a16:creationId xmlns:a16="http://schemas.microsoft.com/office/drawing/2014/main" id="{EAC44177-11FF-BB0B-DC7C-7AA575B5AEEF}"/>
            </a:ext>
            <a:ext uri="{147F2762-F138-4A5C-976F-8EAC2B608ADB}">
              <a16:predDERef xmlns:a16="http://schemas.microsoft.com/office/drawing/2014/main" pred="{4D44EC08-BB0A-43B0-8CEE-78221D9406E2}"/>
            </a:ext>
          </a:extLst>
        </xdr:cNvPr>
        <xdr:cNvSpPr/>
      </xdr:nvSpPr>
      <xdr:spPr>
        <a:xfrm>
          <a:off x="15477789" y="3469565"/>
          <a:ext cx="2152799" cy="488401"/>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14</xdr:col>
      <xdr:colOff>12700</xdr:colOff>
      <xdr:row>10</xdr:row>
      <xdr:rowOff>82177</xdr:rowOff>
    </xdr:from>
    <xdr:to>
      <xdr:col>15</xdr:col>
      <xdr:colOff>429260</xdr:colOff>
      <xdr:row>13</xdr:row>
      <xdr:rowOff>118110</xdr:rowOff>
    </xdr:to>
    <xdr:sp macro="" textlink="">
      <xdr:nvSpPr>
        <xdr:cNvPr id="2" name="吹き出し: 角を丸めた四角形 1">
          <a:extLst>
            <a:ext uri="{FF2B5EF4-FFF2-40B4-BE49-F238E27FC236}">
              <a16:creationId xmlns:a16="http://schemas.microsoft.com/office/drawing/2014/main" id="{0E1E5ACC-4AE8-742F-F4C8-0FB0F1BAF7B4}"/>
            </a:ext>
          </a:extLst>
        </xdr:cNvPr>
        <xdr:cNvSpPr/>
      </xdr:nvSpPr>
      <xdr:spPr>
        <a:xfrm>
          <a:off x="21251582" y="2398059"/>
          <a:ext cx="1858384" cy="954816"/>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L3.5</a:t>
          </a:r>
          <a:r>
            <a:rPr kumimoji="1" lang="ja-JP" altLang="en-US" sz="1100"/>
            <a:t>を</a:t>
          </a:r>
          <a:r>
            <a:rPr kumimoji="1" lang="en-US" altLang="ja-JP" sz="1100"/>
            <a:t>12</a:t>
          </a:r>
          <a:r>
            <a:rPr kumimoji="1" lang="ja-JP" altLang="en-US" sz="1100"/>
            <a:t>月までにリリースからの</a:t>
          </a:r>
          <a:r>
            <a:rPr kumimoji="1" lang="en-US" altLang="ja-JP" sz="1100"/>
            <a:t>MEK</a:t>
          </a:r>
          <a:r>
            <a:rPr kumimoji="1" lang="ja-JP" altLang="en-US" sz="1100"/>
            <a:t>開発</a:t>
          </a:r>
        </a:p>
      </xdr:txBody>
    </xdr:sp>
    <xdr:clientData/>
  </xdr:twoCellAnchor>
  <xdr:twoCellAnchor>
    <xdr:from>
      <xdr:col>10</xdr:col>
      <xdr:colOff>1300480</xdr:colOff>
      <xdr:row>11</xdr:row>
      <xdr:rowOff>0</xdr:rowOff>
    </xdr:from>
    <xdr:to>
      <xdr:col>12</xdr:col>
      <xdr:colOff>33020</xdr:colOff>
      <xdr:row>13</xdr:row>
      <xdr:rowOff>72390</xdr:rowOff>
    </xdr:to>
    <xdr:sp macro="" textlink="">
      <xdr:nvSpPr>
        <xdr:cNvPr id="3" name="吹き出し: 角を丸めた四角形 2">
          <a:extLst>
            <a:ext uri="{FF2B5EF4-FFF2-40B4-BE49-F238E27FC236}">
              <a16:creationId xmlns:a16="http://schemas.microsoft.com/office/drawing/2014/main" id="{134DE142-205A-9ACC-4EC2-85404E1CFCF5}"/>
            </a:ext>
          </a:extLst>
        </xdr:cNvPr>
        <xdr:cNvSpPr/>
      </xdr:nvSpPr>
      <xdr:spPr>
        <a:xfrm>
          <a:off x="16769080" y="2514600"/>
          <a:ext cx="1615440" cy="758190"/>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lt1"/>
              </a:solidFill>
              <a:effectLst/>
              <a:latin typeface="+mn-lt"/>
              <a:ea typeface="+mn-ea"/>
              <a:cs typeface="+mn-cs"/>
            </a:rPr>
            <a:t>IF</a:t>
          </a:r>
          <a:r>
            <a:rPr kumimoji="1" lang="ja-JP" altLang="ja-JP" sz="1100">
              <a:solidFill>
                <a:schemeClr val="lt1"/>
              </a:solidFill>
              <a:effectLst/>
              <a:latin typeface="+mn-lt"/>
              <a:ea typeface="+mn-ea"/>
              <a:cs typeface="+mn-cs"/>
            </a:rPr>
            <a:t>できるように</a:t>
          </a:r>
          <a:r>
            <a:rPr kumimoji="1" lang="ja-JP" altLang="en-US" sz="1100"/>
            <a:t>徳山側結合テスト優先</a:t>
          </a:r>
        </a:p>
      </xdr:txBody>
    </xdr:sp>
    <xdr:clientData/>
  </xdr:twoCellAnchor>
  <xdr:twoCellAnchor>
    <xdr:from>
      <xdr:col>5</xdr:col>
      <xdr:colOff>607060</xdr:colOff>
      <xdr:row>11</xdr:row>
      <xdr:rowOff>0</xdr:rowOff>
    </xdr:from>
    <xdr:to>
      <xdr:col>6</xdr:col>
      <xdr:colOff>783590</xdr:colOff>
      <xdr:row>13</xdr:row>
      <xdr:rowOff>72390</xdr:rowOff>
    </xdr:to>
    <xdr:sp macro="" textlink="">
      <xdr:nvSpPr>
        <xdr:cNvPr id="4" name="吹き出し: 角を丸めた四角形 3">
          <a:extLst>
            <a:ext uri="{FF2B5EF4-FFF2-40B4-BE49-F238E27FC236}">
              <a16:creationId xmlns:a16="http://schemas.microsoft.com/office/drawing/2014/main" id="{27026B62-2719-076F-A809-E6BAD45435DB}"/>
            </a:ext>
          </a:extLst>
        </xdr:cNvPr>
        <xdr:cNvSpPr/>
      </xdr:nvSpPr>
      <xdr:spPr>
        <a:xfrm>
          <a:off x="8868410" y="2514600"/>
          <a:ext cx="1617980" cy="758190"/>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陸上出荷側の</a:t>
          </a:r>
          <a:r>
            <a:rPr kumimoji="1" lang="en-US" altLang="ja-JP" sz="1100"/>
            <a:t>IF</a:t>
          </a:r>
          <a:r>
            <a:rPr kumimoji="1" lang="ja-JP" altLang="en-US" sz="1100"/>
            <a:t>要件を固めるため先行して作業</a:t>
          </a:r>
        </a:p>
      </xdr:txBody>
    </xdr:sp>
    <xdr:clientData/>
  </xdr:twoCellAnchor>
  <xdr:twoCellAnchor editAs="oneCell">
    <xdr:from>
      <xdr:col>0</xdr:col>
      <xdr:colOff>0</xdr:colOff>
      <xdr:row>101</xdr:row>
      <xdr:rowOff>0</xdr:rowOff>
    </xdr:from>
    <xdr:to>
      <xdr:col>7</xdr:col>
      <xdr:colOff>1374729</xdr:colOff>
      <xdr:row>130</xdr:row>
      <xdr:rowOff>224790</xdr:rowOff>
    </xdr:to>
    <xdr:pic>
      <xdr:nvPicPr>
        <xdr:cNvPr id="5" name="図 4">
          <a:extLst>
            <a:ext uri="{FF2B5EF4-FFF2-40B4-BE49-F238E27FC236}">
              <a16:creationId xmlns:a16="http://schemas.microsoft.com/office/drawing/2014/main" id="{171A5329-5AA7-698B-9C16-EF257FE6768E}"/>
            </a:ext>
          </a:extLst>
        </xdr:cNvPr>
        <xdr:cNvPicPr>
          <a:picLocks noChangeAspect="1"/>
        </xdr:cNvPicPr>
      </xdr:nvPicPr>
      <xdr:blipFill>
        <a:blip xmlns:r="http://schemas.openxmlformats.org/officeDocument/2006/relationships" r:embed="rId3"/>
        <a:stretch>
          <a:fillRect/>
        </a:stretch>
      </xdr:blipFill>
      <xdr:spPr>
        <a:xfrm>
          <a:off x="0" y="17922875"/>
          <a:ext cx="12536124" cy="7127875"/>
        </a:xfrm>
        <a:prstGeom prst="rect">
          <a:avLst/>
        </a:prstGeom>
      </xdr:spPr>
    </xdr:pic>
    <xdr:clientData/>
  </xdr:twoCellAnchor>
  <xdr:twoCellAnchor>
    <xdr:from>
      <xdr:col>10</xdr:col>
      <xdr:colOff>836706</xdr:colOff>
      <xdr:row>6</xdr:row>
      <xdr:rowOff>31153</xdr:rowOff>
    </xdr:from>
    <xdr:to>
      <xdr:col>11</xdr:col>
      <xdr:colOff>1421802</xdr:colOff>
      <xdr:row>8</xdr:row>
      <xdr:rowOff>221727</xdr:rowOff>
    </xdr:to>
    <xdr:sp macro="" textlink="">
      <xdr:nvSpPr>
        <xdr:cNvPr id="6" name="五角形 10">
          <a:extLst>
            <a:ext uri="{FF2B5EF4-FFF2-40B4-BE49-F238E27FC236}">
              <a16:creationId xmlns:a16="http://schemas.microsoft.com/office/drawing/2014/main" id="{749587F5-02A1-6BBF-D47A-1A31F34D8768}"/>
            </a:ext>
            <a:ext uri="{147F2762-F138-4A5C-976F-8EAC2B608ADB}">
              <a16:predDERef xmlns:a16="http://schemas.microsoft.com/office/drawing/2014/main" pred="{87A917E3-4DC5-4705-AE88-A8538D9D121C}"/>
            </a:ext>
          </a:extLst>
        </xdr:cNvPr>
        <xdr:cNvSpPr/>
      </xdr:nvSpPr>
      <xdr:spPr>
        <a:xfrm>
          <a:off x="16308294" y="1420682"/>
          <a:ext cx="2026920" cy="65375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6</xdr:col>
      <xdr:colOff>23944</xdr:colOff>
      <xdr:row>8</xdr:row>
      <xdr:rowOff>227637</xdr:rowOff>
    </xdr:from>
    <xdr:to>
      <xdr:col>8</xdr:col>
      <xdr:colOff>14941</xdr:colOff>
      <xdr:row>10</xdr:row>
      <xdr:rowOff>223221</xdr:rowOff>
    </xdr:to>
    <xdr:sp macro="" textlink="">
      <xdr:nvSpPr>
        <xdr:cNvPr id="12" name="五角形 9">
          <a:extLst>
            <a:ext uri="{FF2B5EF4-FFF2-40B4-BE49-F238E27FC236}">
              <a16:creationId xmlns:a16="http://schemas.microsoft.com/office/drawing/2014/main" id="{70028DAC-BA1A-A041-4D3A-4FEE0F0111C6}"/>
            </a:ext>
            <a:ext uri="{147F2762-F138-4A5C-976F-8EAC2B608ADB}">
              <a16:predDERef xmlns:a16="http://schemas.microsoft.com/office/drawing/2014/main" pred="{65A2E0FB-E68B-4B5E-860D-83874575ACD3}"/>
            </a:ext>
          </a:extLst>
        </xdr:cNvPr>
        <xdr:cNvSpPr/>
      </xdr:nvSpPr>
      <xdr:spPr>
        <a:xfrm>
          <a:off x="9728238" y="2080343"/>
          <a:ext cx="2874644" cy="45876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14456</xdr:colOff>
      <xdr:row>8</xdr:row>
      <xdr:rowOff>226367</xdr:rowOff>
    </xdr:from>
    <xdr:to>
      <xdr:col>9</xdr:col>
      <xdr:colOff>12550</xdr:colOff>
      <xdr:row>10</xdr:row>
      <xdr:rowOff>224491</xdr:rowOff>
    </xdr:to>
    <xdr:sp macro="" textlink="">
      <xdr:nvSpPr>
        <xdr:cNvPr id="13" name="五角形 9">
          <a:extLst>
            <a:ext uri="{FF2B5EF4-FFF2-40B4-BE49-F238E27FC236}">
              <a16:creationId xmlns:a16="http://schemas.microsoft.com/office/drawing/2014/main" id="{B10EFF59-46CF-9851-A82D-2E295C2E5156}"/>
            </a:ext>
            <a:ext uri="{147F2762-F138-4A5C-976F-8EAC2B608ADB}">
              <a16:predDERef xmlns:a16="http://schemas.microsoft.com/office/drawing/2014/main" pred="{65A2E0FB-E68B-4B5E-860D-83874575ACD3}"/>
            </a:ext>
          </a:extLst>
        </xdr:cNvPr>
        <xdr:cNvSpPr/>
      </xdr:nvSpPr>
      <xdr:spPr>
        <a:xfrm>
          <a:off x="12602397" y="2079073"/>
          <a:ext cx="1439918" cy="4613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1440067</xdr:colOff>
      <xdr:row>9</xdr:row>
      <xdr:rowOff>925</xdr:rowOff>
    </xdr:from>
    <xdr:to>
      <xdr:col>9</xdr:col>
      <xdr:colOff>814218</xdr:colOff>
      <xdr:row>11</xdr:row>
      <xdr:rowOff>1641</xdr:rowOff>
    </xdr:to>
    <xdr:sp macro="" textlink="">
      <xdr:nvSpPr>
        <xdr:cNvPr id="14" name="五角形 9">
          <a:extLst>
            <a:ext uri="{FF2B5EF4-FFF2-40B4-BE49-F238E27FC236}">
              <a16:creationId xmlns:a16="http://schemas.microsoft.com/office/drawing/2014/main" id="{7FD4F3B8-CBF8-E2DE-8130-BE33AD2190E9}"/>
            </a:ext>
            <a:ext uri="{147F2762-F138-4A5C-976F-8EAC2B608ADB}">
              <a16:predDERef xmlns:a16="http://schemas.microsoft.com/office/drawing/2014/main" pred="{65A2E0FB-E68B-4B5E-860D-83874575ACD3}"/>
            </a:ext>
          </a:extLst>
        </xdr:cNvPr>
        <xdr:cNvSpPr/>
      </xdr:nvSpPr>
      <xdr:spPr>
        <a:xfrm>
          <a:off x="14028008" y="2085219"/>
          <a:ext cx="815975" cy="46389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6</xdr:col>
      <xdr:colOff>3662</xdr:colOff>
      <xdr:row>6</xdr:row>
      <xdr:rowOff>9861</xdr:rowOff>
    </xdr:from>
    <xdr:to>
      <xdr:col>8</xdr:col>
      <xdr:colOff>754531</xdr:colOff>
      <xdr:row>8</xdr:row>
      <xdr:rowOff>200436</xdr:rowOff>
    </xdr:to>
    <xdr:sp macro="" textlink="">
      <xdr:nvSpPr>
        <xdr:cNvPr id="15" name="五角形 9">
          <a:extLst>
            <a:ext uri="{FF2B5EF4-FFF2-40B4-BE49-F238E27FC236}">
              <a16:creationId xmlns:a16="http://schemas.microsoft.com/office/drawing/2014/main" id="{55398753-74FC-F831-0B89-0BA0B539A157}"/>
            </a:ext>
            <a:ext uri="{147F2762-F138-4A5C-976F-8EAC2B608ADB}">
              <a16:predDERef xmlns:a16="http://schemas.microsoft.com/office/drawing/2014/main" pred="{65A2E0FB-E68B-4B5E-860D-83874575ACD3}"/>
            </a:ext>
          </a:extLst>
        </xdr:cNvPr>
        <xdr:cNvSpPr/>
      </xdr:nvSpPr>
      <xdr:spPr>
        <a:xfrm>
          <a:off x="9707956" y="1399390"/>
          <a:ext cx="3634516" cy="653752"/>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758976</xdr:colOff>
      <xdr:row>5</xdr:row>
      <xdr:rowOff>226366</xdr:rowOff>
    </xdr:from>
    <xdr:to>
      <xdr:col>9</xdr:col>
      <xdr:colOff>758340</xdr:colOff>
      <xdr:row>9</xdr:row>
      <xdr:rowOff>7470</xdr:rowOff>
    </xdr:to>
    <xdr:sp macro="" textlink="">
      <xdr:nvSpPr>
        <xdr:cNvPr id="16" name="五角形 9">
          <a:extLst>
            <a:ext uri="{FF2B5EF4-FFF2-40B4-BE49-F238E27FC236}">
              <a16:creationId xmlns:a16="http://schemas.microsoft.com/office/drawing/2014/main" id="{F93ECE6B-C351-053D-DAEB-DC43284BEF28}"/>
            </a:ext>
            <a:ext uri="{147F2762-F138-4A5C-976F-8EAC2B608ADB}">
              <a16:predDERef xmlns:a16="http://schemas.microsoft.com/office/drawing/2014/main" pred="{65A2E0FB-E68B-4B5E-860D-83874575ACD3}"/>
            </a:ext>
          </a:extLst>
        </xdr:cNvPr>
        <xdr:cNvSpPr/>
      </xdr:nvSpPr>
      <xdr:spPr>
        <a:xfrm>
          <a:off x="13346917" y="1384307"/>
          <a:ext cx="1441188" cy="70745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9</xdr:col>
      <xdr:colOff>791397</xdr:colOff>
      <xdr:row>5</xdr:row>
      <xdr:rowOff>225042</xdr:rowOff>
    </xdr:from>
    <xdr:to>
      <xdr:col>10</xdr:col>
      <xdr:colOff>814294</xdr:colOff>
      <xdr:row>9</xdr:row>
      <xdr:rowOff>4930</xdr:rowOff>
    </xdr:to>
    <xdr:sp macro="" textlink="">
      <xdr:nvSpPr>
        <xdr:cNvPr id="17" name="五角形 9">
          <a:extLst>
            <a:ext uri="{FF2B5EF4-FFF2-40B4-BE49-F238E27FC236}">
              <a16:creationId xmlns:a16="http://schemas.microsoft.com/office/drawing/2014/main" id="{049C8E73-82C9-C158-7F15-C4A8DA5BF8A6}"/>
            </a:ext>
            <a:ext uri="{147F2762-F138-4A5C-976F-8EAC2B608ADB}">
              <a16:predDERef xmlns:a16="http://schemas.microsoft.com/office/drawing/2014/main" pred="{65A2E0FB-E68B-4B5E-860D-83874575ACD3}"/>
            </a:ext>
          </a:extLst>
        </xdr:cNvPr>
        <xdr:cNvSpPr/>
      </xdr:nvSpPr>
      <xdr:spPr>
        <a:xfrm>
          <a:off x="14821162" y="1382983"/>
          <a:ext cx="1464720" cy="70624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9</xdr:col>
      <xdr:colOff>829235</xdr:colOff>
      <xdr:row>8</xdr:row>
      <xdr:rowOff>225387</xdr:rowOff>
    </xdr:from>
    <xdr:to>
      <xdr:col>10</xdr:col>
      <xdr:colOff>1432934</xdr:colOff>
      <xdr:row>10</xdr:row>
      <xdr:rowOff>199166</xdr:rowOff>
    </xdr:to>
    <xdr:sp macro="" textlink="">
      <xdr:nvSpPr>
        <xdr:cNvPr id="18" name="五角形 10">
          <a:extLst>
            <a:ext uri="{FF2B5EF4-FFF2-40B4-BE49-F238E27FC236}">
              <a16:creationId xmlns:a16="http://schemas.microsoft.com/office/drawing/2014/main" id="{A59E4871-6F24-B195-67E5-84FB3131942D}"/>
            </a:ext>
            <a:ext uri="{147F2762-F138-4A5C-976F-8EAC2B608ADB}">
              <a16:predDERef xmlns:a16="http://schemas.microsoft.com/office/drawing/2014/main" pred="{87A917E3-4DC5-4705-AE88-A8538D9D121C}"/>
            </a:ext>
          </a:extLst>
        </xdr:cNvPr>
        <xdr:cNvSpPr/>
      </xdr:nvSpPr>
      <xdr:spPr>
        <a:xfrm>
          <a:off x="14859000" y="2078093"/>
          <a:ext cx="2045522" cy="43695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59"/>
  <sheetViews>
    <sheetView topLeftCell="A26" zoomScale="120" zoomScaleNormal="120" workbookViewId="0">
      <selection activeCell="H53" sqref="B53:H54"/>
    </sheetView>
  </sheetViews>
  <sheetFormatPr defaultColWidth="8.625" defaultRowHeight="18"/>
  <cols>
    <col min="1" max="1" width="4.125" style="21" customWidth="1"/>
    <col min="2" max="2" width="5" style="21" customWidth="1"/>
    <col min="3" max="16384" width="8.625" style="21"/>
  </cols>
  <sheetData>
    <row r="3" spans="2:10">
      <c r="B3" s="21" t="s">
        <v>0</v>
      </c>
    </row>
    <row r="4" spans="2:10">
      <c r="B4" s="21" t="s">
        <v>1</v>
      </c>
      <c r="I4" s="28"/>
    </row>
    <row r="5" spans="2:10">
      <c r="B5" s="21" t="s">
        <v>2</v>
      </c>
    </row>
    <row r="6" spans="2:10">
      <c r="B6" s="21" t="s">
        <v>3</v>
      </c>
    </row>
    <row r="7" spans="2:10">
      <c r="B7" s="21" t="s">
        <v>4</v>
      </c>
      <c r="I7" s="28"/>
    </row>
    <row r="8" spans="2:10">
      <c r="B8" s="21" t="s">
        <v>5</v>
      </c>
    </row>
    <row r="9" spans="2:10">
      <c r="B9" s="21" t="s">
        <v>6</v>
      </c>
    </row>
    <row r="12" spans="2:10">
      <c r="B12" s="21" t="s">
        <v>7</v>
      </c>
    </row>
    <row r="13" spans="2:10">
      <c r="B13" s="21" t="s">
        <v>8</v>
      </c>
      <c r="J13" s="28"/>
    </row>
    <row r="14" spans="2:10">
      <c r="B14" s="21" t="s">
        <v>9</v>
      </c>
    </row>
    <row r="15" spans="2:10">
      <c r="B15" s="21" t="s">
        <v>10</v>
      </c>
    </row>
    <row r="16" spans="2:10">
      <c r="B16" s="21" t="s">
        <v>3</v>
      </c>
    </row>
    <row r="17" spans="2:3">
      <c r="C17" s="21" t="s">
        <v>11</v>
      </c>
    </row>
    <row r="18" spans="2:3">
      <c r="C18" s="21" t="s">
        <v>12</v>
      </c>
    </row>
    <row r="19" spans="2:3">
      <c r="C19" s="21" t="s">
        <v>13</v>
      </c>
    </row>
    <row r="20" spans="2:3">
      <c r="C20" s="21" t="s">
        <v>14</v>
      </c>
    </row>
    <row r="21" spans="2:3">
      <c r="C21" s="21" t="s">
        <v>15</v>
      </c>
    </row>
    <row r="22" spans="2:3">
      <c r="C22" s="21" t="s">
        <v>16</v>
      </c>
    </row>
    <row r="23" spans="2:3">
      <c r="C23" s="21" t="s">
        <v>17</v>
      </c>
    </row>
    <row r="24" spans="2:3">
      <c r="C24" s="21" t="s">
        <v>18</v>
      </c>
    </row>
    <row r="25" spans="2:3">
      <c r="C25" s="21" t="s">
        <v>19</v>
      </c>
    </row>
    <row r="27" spans="2:3">
      <c r="B27" s="21" t="s">
        <v>20</v>
      </c>
    </row>
    <row r="28" spans="2:3">
      <c r="C28" s="21" t="s">
        <v>11</v>
      </c>
    </row>
    <row r="29" spans="2:3">
      <c r="C29" s="21" t="s">
        <v>21</v>
      </c>
    </row>
    <row r="30" spans="2:3">
      <c r="C30" s="21" t="s">
        <v>22</v>
      </c>
    </row>
    <row r="31" spans="2:3">
      <c r="C31" s="21" t="s">
        <v>23</v>
      </c>
    </row>
    <row r="43" spans="2:3">
      <c r="C43" s="21" t="s">
        <v>24</v>
      </c>
    </row>
    <row r="45" spans="2:3">
      <c r="B45" s="21" t="s">
        <v>25</v>
      </c>
    </row>
    <row r="46" spans="2:3">
      <c r="C46" s="21" t="s">
        <v>26</v>
      </c>
    </row>
    <row r="47" spans="2:3">
      <c r="C47" s="21" t="s">
        <v>27</v>
      </c>
    </row>
    <row r="48" spans="2:3">
      <c r="C48" s="21" t="s">
        <v>28</v>
      </c>
    </row>
    <row r="49" spans="2:10">
      <c r="C49" s="21" t="s">
        <v>29</v>
      </c>
    </row>
    <row r="50" spans="2:10">
      <c r="C50" s="21" t="s">
        <v>30</v>
      </c>
    </row>
    <row r="51" spans="2:10">
      <c r="C51" s="21" t="s">
        <v>31</v>
      </c>
    </row>
    <row r="52" spans="2:10">
      <c r="C52" s="21" t="s">
        <v>32</v>
      </c>
    </row>
    <row r="53" spans="2:10">
      <c r="C53" s="21" t="s">
        <v>33</v>
      </c>
    </row>
    <row r="54" spans="2:10">
      <c r="C54" s="21" t="s">
        <v>34</v>
      </c>
    </row>
    <row r="58" spans="2:10">
      <c r="B58" s="21" t="s">
        <v>35</v>
      </c>
    </row>
    <row r="59" spans="2:10">
      <c r="B59" s="21" t="s">
        <v>36</v>
      </c>
      <c r="J59" s="28"/>
    </row>
  </sheetData>
  <phoneticPr fontId="2"/>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workbookViewId="0"/>
  </sheetViews>
  <sheetFormatPr defaultRowHeight="18"/>
  <cols>
    <col min="1" max="1" width="3" customWidth="1"/>
  </cols>
  <sheetData>
    <row r="1" spans="1:2">
      <c r="A1" t="s">
        <v>37</v>
      </c>
    </row>
    <row r="2" spans="1:2">
      <c r="B2" t="s">
        <v>38</v>
      </c>
    </row>
    <row r="3" spans="1:2">
      <c r="B3" t="s">
        <v>39</v>
      </c>
    </row>
    <row r="4" spans="1:2">
      <c r="B4" t="s">
        <v>40</v>
      </c>
    </row>
    <row r="5" spans="1:2">
      <c r="B5" t="s">
        <v>41</v>
      </c>
    </row>
    <row r="6" spans="1:2">
      <c r="B6" t="s">
        <v>42</v>
      </c>
    </row>
    <row r="7" spans="1:2">
      <c r="B7" t="s">
        <v>43</v>
      </c>
    </row>
    <row r="10" spans="1:2">
      <c r="A10" t="s">
        <v>44</v>
      </c>
    </row>
    <row r="11" spans="1:2">
      <c r="A11" t="s">
        <v>45</v>
      </c>
    </row>
    <row r="12" spans="1:2">
      <c r="B12" t="s">
        <v>46</v>
      </c>
    </row>
    <row r="13" spans="1:2">
      <c r="B13" t="s">
        <v>47</v>
      </c>
    </row>
    <row r="14" spans="1:2">
      <c r="B14" t="s">
        <v>48</v>
      </c>
    </row>
    <row r="15" spans="1:2">
      <c r="B15" t="s">
        <v>49</v>
      </c>
    </row>
    <row r="16" spans="1:2">
      <c r="B16" t="s">
        <v>50</v>
      </c>
    </row>
    <row r="18" spans="1:5">
      <c r="A18" s="21" t="s">
        <v>3</v>
      </c>
      <c r="B18" s="21"/>
    </row>
    <row r="19" spans="1:5">
      <c r="B19" t="s">
        <v>51</v>
      </c>
      <c r="E19" t="s">
        <v>52</v>
      </c>
    </row>
    <row r="20" spans="1:5">
      <c r="B20" s="114" t="s">
        <v>53</v>
      </c>
    </row>
    <row r="21" spans="1:5">
      <c r="B21" t="s">
        <v>54</v>
      </c>
    </row>
    <row r="22" spans="1:5">
      <c r="B22" t="s">
        <v>55</v>
      </c>
    </row>
    <row r="23" spans="1:5">
      <c r="B23" t="s">
        <v>56</v>
      </c>
    </row>
    <row r="25" spans="1:5">
      <c r="A25" s="21" t="s">
        <v>4</v>
      </c>
      <c r="B25" s="21"/>
    </row>
    <row r="26" spans="1:5">
      <c r="A26" s="21"/>
      <c r="B26" t="s">
        <v>57</v>
      </c>
    </row>
    <row r="27" spans="1:5">
      <c r="A27" s="21"/>
      <c r="B27" t="s">
        <v>58</v>
      </c>
    </row>
    <row r="28" spans="1:5">
      <c r="A28" s="21"/>
      <c r="B28" t="s">
        <v>59</v>
      </c>
    </row>
    <row r="29" spans="1:5">
      <c r="A29" s="21"/>
      <c r="B29" t="s">
        <v>51</v>
      </c>
    </row>
    <row r="30" spans="1:5">
      <c r="A30" s="21"/>
      <c r="B30" t="s">
        <v>54</v>
      </c>
    </row>
    <row r="32" spans="1:5">
      <c r="A32" s="21" t="s">
        <v>25</v>
      </c>
      <c r="B32" s="21"/>
    </row>
    <row r="33" spans="2:2">
      <c r="B33" t="s">
        <v>60</v>
      </c>
    </row>
    <row r="34" spans="2:2">
      <c r="B34" t="s">
        <v>61</v>
      </c>
    </row>
    <row r="35" spans="2:2">
      <c r="B35" t="s">
        <v>62</v>
      </c>
    </row>
    <row r="36" spans="2:2">
      <c r="B36" t="s">
        <v>63</v>
      </c>
    </row>
    <row r="37" spans="2:2">
      <c r="B37" t="s">
        <v>64</v>
      </c>
    </row>
    <row r="38" spans="2:2">
      <c r="B38" t="s">
        <v>65</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24" zoomScale="70" zoomScaleNormal="70" workbookViewId="0"/>
  </sheetViews>
  <sheetFormatPr defaultColWidth="8.125" defaultRowHeight="13.15"/>
  <cols>
    <col min="1" max="16384" width="8.125" style="32"/>
  </cols>
  <sheetData>
    <row r="1" spans="3:9">
      <c r="C1" s="32" t="s">
        <v>66</v>
      </c>
      <c r="E1" s="33"/>
      <c r="F1" s="32" t="s">
        <v>67</v>
      </c>
      <c r="H1" s="34"/>
      <c r="I1" s="32" t="s">
        <v>68</v>
      </c>
    </row>
    <row r="2" spans="3:9">
      <c r="C2" s="32" t="s">
        <v>69</v>
      </c>
      <c r="E2" s="35"/>
      <c r="F2" s="32" t="s">
        <v>70</v>
      </c>
      <c r="H2" s="36"/>
      <c r="I2" s="32" t="s">
        <v>71</v>
      </c>
    </row>
    <row r="17" spans="15:15">
      <c r="O17" s="37"/>
    </row>
    <row r="18" spans="15:15">
      <c r="O18" s="37"/>
    </row>
    <row r="63" spans="10:11">
      <c r="J63" s="52"/>
      <c r="K63" s="32" t="s">
        <v>72</v>
      </c>
    </row>
    <row r="121" spans="10:11">
      <c r="J121" s="52"/>
      <c r="K121" s="32" t="s">
        <v>72</v>
      </c>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topLeftCell="A12" zoomScale="60" zoomScaleNormal="60" workbookViewId="0"/>
  </sheetViews>
  <sheetFormatPr defaultColWidth="8.125" defaultRowHeight="13.15"/>
  <cols>
    <col min="1" max="16384" width="8.125" style="32"/>
  </cols>
  <sheetData>
    <row r="1" spans="3:9">
      <c r="C1" s="32" t="s">
        <v>66</v>
      </c>
      <c r="E1" s="33"/>
      <c r="F1" s="32" t="s">
        <v>67</v>
      </c>
      <c r="H1" s="34"/>
      <c r="I1" s="32" t="s">
        <v>68</v>
      </c>
    </row>
    <row r="2" spans="3:9">
      <c r="C2" s="32" t="s">
        <v>69</v>
      </c>
      <c r="E2" s="35"/>
      <c r="F2" s="32" t="s">
        <v>70</v>
      </c>
      <c r="H2" s="36"/>
      <c r="I2" s="32" t="s">
        <v>71</v>
      </c>
    </row>
    <row r="60" spans="2:3">
      <c r="B60" s="52"/>
      <c r="C60" s="32" t="s">
        <v>72</v>
      </c>
    </row>
    <row r="114" spans="2:3">
      <c r="B114" s="52"/>
      <c r="C114" s="32" t="s">
        <v>72</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zoomScale="80" zoomScaleNormal="80" workbookViewId="0">
      <pane xSplit="2" ySplit="2" topLeftCell="N13" activePane="bottomRight" state="frozen"/>
      <selection pane="bottomRight" activeCell="Q17" sqref="Q17"/>
      <selection pane="bottomLeft" activeCell="A3" sqref="A3"/>
      <selection pane="topRight" activeCell="C1" sqref="C1"/>
    </sheetView>
  </sheetViews>
  <sheetFormatPr defaultRowHeight="18.75" customHeight="1" outlineLevelCol="1"/>
  <cols>
    <col min="1" max="1" width="15.625" style="12" bestFit="1" customWidth="1"/>
    <col min="2" max="2" width="35" style="12" customWidth="1"/>
    <col min="3" max="3" width="8.625" style="12" customWidth="1"/>
    <col min="4" max="5" width="20.625" style="12" customWidth="1"/>
    <col min="6" max="6" width="35.125" style="12" customWidth="1"/>
    <col min="7" max="7" width="20.625" style="12" customWidth="1" outlineLevel="1"/>
    <col min="8" max="12" width="17.625" style="12" customWidth="1" outlineLevel="1"/>
    <col min="13" max="13" width="29.875" style="12" customWidth="1" outlineLevel="1"/>
    <col min="14" max="19" width="8.625" style="12" customWidth="1"/>
    <col min="20" max="25" width="9" style="13"/>
  </cols>
  <sheetData>
    <row r="1" spans="1:26" ht="18">
      <c r="A1"/>
      <c r="B1"/>
      <c r="C1"/>
      <c r="D1"/>
      <c r="E1"/>
      <c r="F1" s="165" t="s">
        <v>73</v>
      </c>
      <c r="G1" s="166"/>
      <c r="H1" s="166"/>
      <c r="I1" s="166"/>
      <c r="J1" s="166"/>
      <c r="K1" s="166"/>
      <c r="L1" s="166"/>
      <c r="M1" s="54"/>
      <c r="N1" s="165" t="s">
        <v>74</v>
      </c>
      <c r="O1" s="166"/>
      <c r="P1" s="166"/>
      <c r="Q1" s="166"/>
      <c r="R1" s="166"/>
      <c r="S1" s="166"/>
      <c r="T1" s="165" t="s">
        <v>75</v>
      </c>
      <c r="U1" s="166"/>
      <c r="V1" s="166"/>
      <c r="W1" s="166"/>
      <c r="X1" s="166"/>
      <c r="Y1" s="166"/>
    </row>
    <row r="2" spans="1:26" ht="36">
      <c r="A2" s="7" t="s">
        <v>76</v>
      </c>
      <c r="B2" s="7" t="s">
        <v>77</v>
      </c>
      <c r="C2" s="7" t="s">
        <v>78</v>
      </c>
      <c r="D2" s="7" t="s">
        <v>79</v>
      </c>
      <c r="E2" s="7" t="s">
        <v>80</v>
      </c>
      <c r="F2" s="7" t="s">
        <v>81</v>
      </c>
      <c r="G2" s="7" t="s">
        <v>82</v>
      </c>
      <c r="H2" s="7" t="s">
        <v>83</v>
      </c>
      <c r="I2" s="7" t="s">
        <v>84</v>
      </c>
      <c r="J2" s="7" t="s">
        <v>85</v>
      </c>
      <c r="K2" s="7" t="s">
        <v>86</v>
      </c>
      <c r="L2" s="7" t="s">
        <v>87</v>
      </c>
      <c r="M2" s="7" t="s">
        <v>88</v>
      </c>
      <c r="N2" s="7" t="s">
        <v>89</v>
      </c>
      <c r="O2" s="7" t="s">
        <v>90</v>
      </c>
      <c r="P2" s="7" t="s">
        <v>91</v>
      </c>
      <c r="Q2" s="7" t="s">
        <v>92</v>
      </c>
      <c r="R2" s="7" t="s">
        <v>93</v>
      </c>
      <c r="S2" s="7" t="s">
        <v>87</v>
      </c>
      <c r="T2" s="7" t="s">
        <v>94</v>
      </c>
      <c r="U2" s="7" t="s">
        <v>95</v>
      </c>
      <c r="V2" s="7" t="s">
        <v>96</v>
      </c>
      <c r="W2" s="7" t="s">
        <v>97</v>
      </c>
      <c r="X2" s="7" t="s">
        <v>98</v>
      </c>
      <c r="Y2" s="7" t="s">
        <v>99</v>
      </c>
    </row>
    <row r="3" spans="1:26" ht="36" customHeight="1">
      <c r="A3" s="8" t="s">
        <v>100</v>
      </c>
      <c r="B3" s="8" t="s">
        <v>101</v>
      </c>
      <c r="C3" s="158" t="s">
        <v>102</v>
      </c>
      <c r="D3" s="158" t="s">
        <v>103</v>
      </c>
      <c r="E3" s="158" t="s">
        <v>104</v>
      </c>
      <c r="F3" s="158" t="s">
        <v>105</v>
      </c>
      <c r="G3" s="158" t="s">
        <v>106</v>
      </c>
      <c r="H3" s="158" t="s">
        <v>107</v>
      </c>
      <c r="I3" s="158" t="s">
        <v>108</v>
      </c>
      <c r="J3" s="158" t="s">
        <v>109</v>
      </c>
      <c r="K3" s="158" t="s">
        <v>110</v>
      </c>
      <c r="L3" s="158"/>
      <c r="M3" s="158" t="s">
        <v>111</v>
      </c>
      <c r="N3" s="160" t="s">
        <v>112</v>
      </c>
      <c r="O3" s="160" t="s">
        <v>113</v>
      </c>
      <c r="P3" s="158" t="s">
        <v>114</v>
      </c>
      <c r="Q3" s="160" t="s">
        <v>115</v>
      </c>
      <c r="R3" s="158" t="s">
        <v>116</v>
      </c>
      <c r="S3" s="158"/>
      <c r="T3" s="155" t="s">
        <v>117</v>
      </c>
      <c r="U3" s="155" t="s">
        <v>117</v>
      </c>
      <c r="V3" s="155" t="s">
        <v>117</v>
      </c>
      <c r="W3" s="155" t="s">
        <v>118</v>
      </c>
      <c r="X3" s="155" t="s">
        <v>117</v>
      </c>
      <c r="Y3" s="155" t="s">
        <v>117</v>
      </c>
      <c r="Z3" t="s">
        <v>119</v>
      </c>
    </row>
    <row r="4" spans="1:26" ht="36" customHeight="1">
      <c r="A4" s="8" t="s">
        <v>120</v>
      </c>
      <c r="B4" s="8" t="s">
        <v>121</v>
      </c>
      <c r="C4" s="159"/>
      <c r="D4" s="159"/>
      <c r="E4" s="159"/>
      <c r="F4" s="159"/>
      <c r="G4" s="159"/>
      <c r="H4" s="159"/>
      <c r="I4" s="159"/>
      <c r="J4" s="159"/>
      <c r="K4" s="159"/>
      <c r="L4" s="159"/>
      <c r="M4" s="159"/>
      <c r="N4" s="235"/>
      <c r="O4" s="235"/>
      <c r="P4" s="159"/>
      <c r="Q4" s="235"/>
      <c r="R4" s="159"/>
      <c r="S4" s="159"/>
      <c r="T4" s="156"/>
      <c r="U4" s="156"/>
      <c r="V4" s="156"/>
      <c r="W4" s="156"/>
      <c r="X4" s="156"/>
      <c r="Y4" s="156"/>
      <c r="Z4" t="s">
        <v>119</v>
      </c>
    </row>
    <row r="5" spans="1:26" ht="36" customHeight="1">
      <c r="A5" s="10" t="s">
        <v>122</v>
      </c>
      <c r="B5" s="10" t="s">
        <v>123</v>
      </c>
      <c r="C5" s="158" t="s">
        <v>102</v>
      </c>
      <c r="D5" s="158" t="s">
        <v>103</v>
      </c>
      <c r="E5" s="158" t="s">
        <v>104</v>
      </c>
      <c r="F5" s="158" t="s">
        <v>124</v>
      </c>
      <c r="G5" s="158" t="s">
        <v>106</v>
      </c>
      <c r="H5" s="158" t="s">
        <v>107</v>
      </c>
      <c r="I5" s="158" t="s">
        <v>108</v>
      </c>
      <c r="J5" s="158" t="s">
        <v>109</v>
      </c>
      <c r="K5" s="158" t="s">
        <v>125</v>
      </c>
      <c r="L5" s="158"/>
      <c r="M5" s="158" t="s">
        <v>111</v>
      </c>
      <c r="N5" s="160" t="s">
        <v>126</v>
      </c>
      <c r="O5" s="160" t="s">
        <v>127</v>
      </c>
      <c r="P5" s="158" t="s">
        <v>128</v>
      </c>
      <c r="Q5" s="160" t="s">
        <v>129</v>
      </c>
      <c r="R5" s="158" t="s">
        <v>130</v>
      </c>
      <c r="S5" s="158"/>
      <c r="T5" s="155" t="s">
        <v>117</v>
      </c>
      <c r="U5" s="155" t="s">
        <v>117</v>
      </c>
      <c r="V5" s="155" t="s">
        <v>117</v>
      </c>
      <c r="W5" s="155" t="s">
        <v>118</v>
      </c>
      <c r="X5" s="155" t="s">
        <v>117</v>
      </c>
      <c r="Y5" s="155" t="s">
        <v>117</v>
      </c>
      <c r="Z5" t="s">
        <v>119</v>
      </c>
    </row>
    <row r="6" spans="1:26" ht="36" customHeight="1">
      <c r="A6" s="8" t="s">
        <v>131</v>
      </c>
      <c r="B6" s="8" t="s">
        <v>132</v>
      </c>
      <c r="C6" s="159"/>
      <c r="D6" s="159"/>
      <c r="E6" s="159"/>
      <c r="F6" s="159"/>
      <c r="G6" s="159"/>
      <c r="H6" s="159"/>
      <c r="I6" s="159"/>
      <c r="J6" s="159"/>
      <c r="K6" s="159"/>
      <c r="L6" s="159"/>
      <c r="M6" s="159"/>
      <c r="N6" s="235"/>
      <c r="O6" s="235"/>
      <c r="P6" s="159"/>
      <c r="Q6" s="235"/>
      <c r="R6" s="159"/>
      <c r="S6" s="159"/>
      <c r="T6" s="156"/>
      <c r="U6" s="156"/>
      <c r="V6" s="156"/>
      <c r="W6" s="156"/>
      <c r="X6" s="156"/>
      <c r="Y6" s="156"/>
      <c r="Z6" t="s">
        <v>119</v>
      </c>
    </row>
    <row r="7" spans="1:26" ht="72">
      <c r="A7" s="10" t="s">
        <v>133</v>
      </c>
      <c r="B7" s="10" t="s">
        <v>134</v>
      </c>
      <c r="C7" s="10" t="s">
        <v>102</v>
      </c>
      <c r="D7" s="8" t="s">
        <v>103</v>
      </c>
      <c r="E7" s="8" t="s">
        <v>104</v>
      </c>
      <c r="F7" s="55" t="s">
        <v>135</v>
      </c>
      <c r="G7" s="8" t="s">
        <v>106</v>
      </c>
      <c r="H7" s="8" t="s">
        <v>136</v>
      </c>
      <c r="I7" s="8" t="s">
        <v>108</v>
      </c>
      <c r="J7" s="10" t="s">
        <v>109</v>
      </c>
      <c r="K7" s="10" t="s">
        <v>125</v>
      </c>
      <c r="L7" s="55" t="s">
        <v>137</v>
      </c>
      <c r="M7" s="55" t="s">
        <v>111</v>
      </c>
      <c r="N7" s="10">
        <v>83</v>
      </c>
      <c r="O7" s="10">
        <v>25</v>
      </c>
      <c r="P7" s="10">
        <v>5</v>
      </c>
      <c r="Q7" s="10">
        <v>4</v>
      </c>
      <c r="R7" s="10">
        <v>67</v>
      </c>
      <c r="S7" s="10"/>
      <c r="T7" s="11" t="s">
        <v>117</v>
      </c>
      <c r="U7" s="11" t="s">
        <v>117</v>
      </c>
      <c r="V7" s="11" t="s">
        <v>117</v>
      </c>
      <c r="W7" s="11" t="s">
        <v>117</v>
      </c>
      <c r="X7" s="11" t="s">
        <v>117</v>
      </c>
      <c r="Y7" s="11" t="s">
        <v>117</v>
      </c>
      <c r="Z7" t="s">
        <v>119</v>
      </c>
    </row>
    <row r="8" spans="1:26" ht="72">
      <c r="A8" s="8" t="s">
        <v>138</v>
      </c>
      <c r="B8" s="8" t="s">
        <v>139</v>
      </c>
      <c r="C8" s="8" t="s">
        <v>102</v>
      </c>
      <c r="D8" s="8" t="s">
        <v>103</v>
      </c>
      <c r="E8" s="8" t="s">
        <v>104</v>
      </c>
      <c r="F8" s="8" t="s">
        <v>140</v>
      </c>
      <c r="G8" s="8" t="s">
        <v>106</v>
      </c>
      <c r="H8" s="8" t="s">
        <v>136</v>
      </c>
      <c r="I8" s="8" t="s">
        <v>108</v>
      </c>
      <c r="J8" s="10" t="s">
        <v>109</v>
      </c>
      <c r="K8" s="10" t="s">
        <v>125</v>
      </c>
      <c r="L8" s="55" t="s">
        <v>137</v>
      </c>
      <c r="M8" s="8" t="s">
        <v>141</v>
      </c>
      <c r="N8" s="10">
        <v>17</v>
      </c>
      <c r="O8" s="10">
        <v>3</v>
      </c>
      <c r="P8" s="55">
        <v>1</v>
      </c>
      <c r="Q8" s="10">
        <v>3</v>
      </c>
      <c r="R8" s="55">
        <v>12</v>
      </c>
      <c r="S8" s="8"/>
      <c r="T8" s="9" t="s">
        <v>117</v>
      </c>
      <c r="U8" s="9" t="s">
        <v>117</v>
      </c>
      <c r="V8" s="9" t="s">
        <v>117</v>
      </c>
      <c r="W8" s="9" t="s">
        <v>117</v>
      </c>
      <c r="X8" s="9" t="s">
        <v>117</v>
      </c>
      <c r="Y8" s="9" t="s">
        <v>117</v>
      </c>
      <c r="Z8" t="s">
        <v>119</v>
      </c>
    </row>
    <row r="9" spans="1:26" ht="72">
      <c r="A9" s="8" t="s">
        <v>142</v>
      </c>
      <c r="B9" s="8" t="s">
        <v>143</v>
      </c>
      <c r="C9" s="8" t="s">
        <v>102</v>
      </c>
      <c r="D9" s="8" t="s">
        <v>144</v>
      </c>
      <c r="E9" s="8" t="s">
        <v>104</v>
      </c>
      <c r="F9" s="8" t="s">
        <v>145</v>
      </c>
      <c r="G9" s="8" t="s">
        <v>122</v>
      </c>
      <c r="H9" s="31" t="s">
        <v>146</v>
      </c>
      <c r="I9" s="8" t="s">
        <v>108</v>
      </c>
      <c r="J9" s="8" t="s">
        <v>122</v>
      </c>
      <c r="K9" s="8" t="s">
        <v>122</v>
      </c>
      <c r="L9" s="8"/>
      <c r="M9" s="8" t="s">
        <v>141</v>
      </c>
      <c r="N9" s="10">
        <v>0</v>
      </c>
      <c r="O9" s="10">
        <v>0</v>
      </c>
      <c r="P9" s="55">
        <v>0</v>
      </c>
      <c r="Q9" s="10">
        <v>0</v>
      </c>
      <c r="R9" s="55">
        <v>211</v>
      </c>
      <c r="S9" s="8"/>
      <c r="T9" s="9" t="s">
        <v>118</v>
      </c>
      <c r="U9" s="9" t="s">
        <v>117</v>
      </c>
      <c r="V9" s="9" t="s">
        <v>118</v>
      </c>
      <c r="W9" s="9" t="s">
        <v>118</v>
      </c>
      <c r="X9" s="9" t="s">
        <v>118</v>
      </c>
      <c r="Y9" s="9" t="s">
        <v>118</v>
      </c>
      <c r="Z9" t="s">
        <v>119</v>
      </c>
    </row>
    <row r="10" spans="1:26" ht="49.5" customHeight="1">
      <c r="A10" s="8" t="s">
        <v>147</v>
      </c>
      <c r="B10" s="8" t="s">
        <v>148</v>
      </c>
      <c r="C10" s="158" t="s">
        <v>102</v>
      </c>
      <c r="D10" s="158" t="s">
        <v>149</v>
      </c>
      <c r="E10" s="158" t="s">
        <v>150</v>
      </c>
      <c r="F10" s="158" t="s">
        <v>151</v>
      </c>
      <c r="G10" s="158" t="s">
        <v>152</v>
      </c>
      <c r="H10" s="158" t="s">
        <v>107</v>
      </c>
      <c r="I10" s="158" t="s">
        <v>153</v>
      </c>
      <c r="J10" s="160" t="s">
        <v>154</v>
      </c>
      <c r="K10" s="236" t="s">
        <v>125</v>
      </c>
      <c r="L10" s="236"/>
      <c r="M10" s="161" t="s">
        <v>155</v>
      </c>
      <c r="N10" s="236">
        <v>80</v>
      </c>
      <c r="O10" s="236">
        <v>20</v>
      </c>
      <c r="P10" s="160" t="s">
        <v>156</v>
      </c>
      <c r="Q10" s="160" t="s">
        <v>157</v>
      </c>
      <c r="R10" s="236">
        <v>75</v>
      </c>
      <c r="S10" s="236"/>
      <c r="T10" s="9" t="s">
        <v>118</v>
      </c>
      <c r="U10" s="9" t="s">
        <v>117</v>
      </c>
      <c r="V10" s="9" t="s">
        <v>117</v>
      </c>
      <c r="W10" s="9" t="s">
        <v>118</v>
      </c>
      <c r="X10" s="9" t="s">
        <v>118</v>
      </c>
      <c r="Y10" s="9" t="s">
        <v>118</v>
      </c>
      <c r="Z10" t="s">
        <v>119</v>
      </c>
    </row>
    <row r="11" spans="1:26" ht="49.5" customHeight="1">
      <c r="A11" s="8" t="s">
        <v>158</v>
      </c>
      <c r="B11" s="8" t="s">
        <v>159</v>
      </c>
      <c r="C11" s="159"/>
      <c r="D11" s="159"/>
      <c r="E11" s="159"/>
      <c r="F11" s="159"/>
      <c r="G11" s="159"/>
      <c r="H11" s="159"/>
      <c r="I11" s="159"/>
      <c r="J11" s="163"/>
      <c r="K11" s="235"/>
      <c r="L11" s="235"/>
      <c r="M11" s="162"/>
      <c r="N11" s="235"/>
      <c r="O11" s="235"/>
      <c r="P11" s="235"/>
      <c r="Q11" s="235"/>
      <c r="R11" s="235"/>
      <c r="S11" s="235"/>
      <c r="T11" s="9" t="s">
        <v>118</v>
      </c>
      <c r="U11" s="9" t="s">
        <v>117</v>
      </c>
      <c r="V11" s="9" t="s">
        <v>117</v>
      </c>
      <c r="W11" s="9" t="s">
        <v>118</v>
      </c>
      <c r="X11" s="9" t="s">
        <v>118</v>
      </c>
      <c r="Y11" s="9" t="s">
        <v>118</v>
      </c>
      <c r="Z11" t="s">
        <v>119</v>
      </c>
    </row>
    <row r="12" spans="1:26" ht="74.45" customHeight="1">
      <c r="A12" s="8" t="s">
        <v>160</v>
      </c>
      <c r="B12" s="8" t="s">
        <v>161</v>
      </c>
      <c r="C12" s="8" t="s">
        <v>102</v>
      </c>
      <c r="D12" s="8" t="s">
        <v>162</v>
      </c>
      <c r="E12" s="8" t="s">
        <v>150</v>
      </c>
      <c r="F12" s="8" t="s">
        <v>163</v>
      </c>
      <c r="G12" s="8" t="s">
        <v>152</v>
      </c>
      <c r="H12" s="8" t="s">
        <v>164</v>
      </c>
      <c r="I12" s="8" t="s">
        <v>165</v>
      </c>
      <c r="J12" s="55" t="s">
        <v>154</v>
      </c>
      <c r="K12" s="10"/>
      <c r="L12" s="8"/>
      <c r="M12" s="158" t="s">
        <v>166</v>
      </c>
      <c r="N12" s="10">
        <v>68</v>
      </c>
      <c r="O12" s="10">
        <v>43</v>
      </c>
      <c r="P12" s="55">
        <v>9</v>
      </c>
      <c r="Q12" s="10">
        <v>45</v>
      </c>
      <c r="R12" s="55">
        <v>205</v>
      </c>
      <c r="S12" s="8"/>
      <c r="T12" s="9" t="s">
        <v>118</v>
      </c>
      <c r="U12" s="9" t="s">
        <v>118</v>
      </c>
      <c r="V12" s="9" t="s">
        <v>117</v>
      </c>
      <c r="W12" s="9" t="s">
        <v>118</v>
      </c>
      <c r="X12" s="9" t="s">
        <v>118</v>
      </c>
      <c r="Y12" s="9" t="s">
        <v>118</v>
      </c>
      <c r="Z12" t="s">
        <v>119</v>
      </c>
    </row>
    <row r="13" spans="1:26" ht="74.45" customHeight="1">
      <c r="A13" s="8" t="s">
        <v>167</v>
      </c>
      <c r="B13" s="8" t="s">
        <v>168</v>
      </c>
      <c r="C13" s="8" t="s">
        <v>102</v>
      </c>
      <c r="D13" s="8" t="s">
        <v>169</v>
      </c>
      <c r="E13" s="8" t="s">
        <v>150</v>
      </c>
      <c r="F13" s="8" t="s">
        <v>170</v>
      </c>
      <c r="G13" s="8" t="s">
        <v>152</v>
      </c>
      <c r="H13" s="8" t="s">
        <v>171</v>
      </c>
      <c r="I13" s="8" t="s">
        <v>165</v>
      </c>
      <c r="J13" s="55" t="s">
        <v>154</v>
      </c>
      <c r="K13" s="10"/>
      <c r="L13" s="8"/>
      <c r="M13" s="167"/>
      <c r="N13" s="10">
        <v>20</v>
      </c>
      <c r="O13" s="10">
        <v>4</v>
      </c>
      <c r="P13" s="55">
        <v>2</v>
      </c>
      <c r="Q13" s="10">
        <v>2</v>
      </c>
      <c r="R13" s="55">
        <v>30</v>
      </c>
      <c r="S13" s="8"/>
      <c r="T13" s="9" t="s">
        <v>118</v>
      </c>
      <c r="U13" s="9" t="s">
        <v>118</v>
      </c>
      <c r="V13" s="9" t="s">
        <v>118</v>
      </c>
      <c r="W13" s="9" t="s">
        <v>118</v>
      </c>
      <c r="X13" s="9" t="s">
        <v>118</v>
      </c>
      <c r="Y13" s="9" t="s">
        <v>118</v>
      </c>
      <c r="Z13" t="s">
        <v>119</v>
      </c>
    </row>
    <row r="14" spans="1:26" ht="74.45" customHeight="1">
      <c r="A14" s="8" t="s">
        <v>172</v>
      </c>
      <c r="B14" s="8" t="s">
        <v>173</v>
      </c>
      <c r="C14" s="8" t="s">
        <v>102</v>
      </c>
      <c r="D14" s="8" t="s">
        <v>162</v>
      </c>
      <c r="E14" s="8" t="s">
        <v>150</v>
      </c>
      <c r="F14" s="8" t="s">
        <v>174</v>
      </c>
      <c r="G14" s="8" t="s">
        <v>152</v>
      </c>
      <c r="H14" s="8" t="s">
        <v>175</v>
      </c>
      <c r="I14" s="8" t="s">
        <v>165</v>
      </c>
      <c r="J14" s="55" t="s">
        <v>154</v>
      </c>
      <c r="K14" s="10"/>
      <c r="L14" s="8"/>
      <c r="M14" s="159"/>
      <c r="N14" s="10">
        <v>15</v>
      </c>
      <c r="O14" s="10">
        <v>0</v>
      </c>
      <c r="P14" s="55">
        <v>12</v>
      </c>
      <c r="Q14" s="10">
        <v>5</v>
      </c>
      <c r="R14" s="55">
        <v>24</v>
      </c>
      <c r="S14" s="8"/>
      <c r="T14" s="30" t="s">
        <v>118</v>
      </c>
      <c r="U14" s="9" t="s">
        <v>118</v>
      </c>
      <c r="V14" s="9" t="s">
        <v>118</v>
      </c>
      <c r="W14" s="9" t="s">
        <v>118</v>
      </c>
      <c r="X14" s="9" t="s">
        <v>118</v>
      </c>
      <c r="Y14" s="9" t="s">
        <v>118</v>
      </c>
      <c r="Z14" t="s">
        <v>119</v>
      </c>
    </row>
    <row r="15" spans="1:26" ht="39" customHeight="1">
      <c r="A15" s="10" t="s">
        <v>122</v>
      </c>
      <c r="B15" s="10" t="s">
        <v>176</v>
      </c>
      <c r="C15" s="164" t="s">
        <v>102</v>
      </c>
      <c r="D15" s="164" t="s">
        <v>162</v>
      </c>
      <c r="E15" s="164" t="s">
        <v>150</v>
      </c>
      <c r="F15" s="164" t="s">
        <v>177</v>
      </c>
      <c r="G15" s="164" t="s">
        <v>152</v>
      </c>
      <c r="H15" s="237" t="s">
        <v>122</v>
      </c>
      <c r="I15" s="237" t="s">
        <v>122</v>
      </c>
      <c r="J15" s="157" t="s">
        <v>154</v>
      </c>
      <c r="K15" s="237" t="s">
        <v>122</v>
      </c>
      <c r="L15" s="238"/>
      <c r="M15" s="157" t="s">
        <v>178</v>
      </c>
      <c r="N15" s="238">
        <v>0</v>
      </c>
      <c r="O15" s="238">
        <v>0</v>
      </c>
      <c r="P15" s="238">
        <v>2</v>
      </c>
      <c r="Q15" s="157" t="s">
        <v>179</v>
      </c>
      <c r="R15" s="238">
        <v>0</v>
      </c>
      <c r="S15" s="238"/>
      <c r="T15" s="30" t="s">
        <v>118</v>
      </c>
      <c r="U15" s="9" t="s">
        <v>118</v>
      </c>
      <c r="V15" s="9" t="s">
        <v>118</v>
      </c>
      <c r="W15" s="9" t="s">
        <v>118</v>
      </c>
      <c r="X15" s="9" t="s">
        <v>118</v>
      </c>
      <c r="Y15" s="9" t="s">
        <v>118</v>
      </c>
    </row>
    <row r="16" spans="1:26" ht="39" customHeight="1">
      <c r="A16" s="10" t="s">
        <v>122</v>
      </c>
      <c r="B16" s="10" t="s">
        <v>180</v>
      </c>
      <c r="C16" s="164"/>
      <c r="D16" s="164"/>
      <c r="E16" s="164"/>
      <c r="F16" s="164"/>
      <c r="G16" s="164"/>
      <c r="H16" s="238"/>
      <c r="I16" s="238"/>
      <c r="J16" s="157"/>
      <c r="K16" s="238"/>
      <c r="L16" s="238"/>
      <c r="M16" s="238"/>
      <c r="N16" s="238"/>
      <c r="O16" s="238"/>
      <c r="P16" s="238"/>
      <c r="Q16" s="238"/>
      <c r="R16" s="238"/>
      <c r="S16" s="238"/>
      <c r="T16" s="30" t="s">
        <v>118</v>
      </c>
      <c r="U16" s="9" t="s">
        <v>118</v>
      </c>
      <c r="V16" s="9" t="s">
        <v>118</v>
      </c>
      <c r="W16" s="9" t="s">
        <v>118</v>
      </c>
      <c r="X16" s="9" t="s">
        <v>118</v>
      </c>
      <c r="Y16" s="9" t="s">
        <v>118</v>
      </c>
    </row>
  </sheetData>
  <mergeCells count="8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 ref="F1:L1"/>
    <mergeCell ref="D3:D4"/>
    <mergeCell ref="E3:E4"/>
    <mergeCell ref="F3:F4"/>
    <mergeCell ref="G3:G4"/>
    <mergeCell ref="H3:H4"/>
    <mergeCell ref="I3:I4"/>
    <mergeCell ref="J3:J4"/>
    <mergeCell ref="K3:K4"/>
    <mergeCell ref="L3:L4"/>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C10:C11"/>
    <mergeCell ref="D10:D11"/>
    <mergeCell ref="E10:E11"/>
    <mergeCell ref="C15:C16"/>
    <mergeCell ref="D15:D16"/>
    <mergeCell ref="E15:E16"/>
    <mergeCell ref="I10:I11"/>
    <mergeCell ref="J10:J11"/>
    <mergeCell ref="K10:K11"/>
    <mergeCell ref="K15:K16"/>
    <mergeCell ref="F10:F11"/>
    <mergeCell ref="F15:F16"/>
    <mergeCell ref="G10:G11"/>
    <mergeCell ref="G15:G16"/>
    <mergeCell ref="H10:H11"/>
    <mergeCell ref="H15:H16"/>
    <mergeCell ref="L15:L16"/>
    <mergeCell ref="N15:N16"/>
    <mergeCell ref="O15:O16"/>
    <mergeCell ref="I15:I16"/>
    <mergeCell ref="J15:J16"/>
    <mergeCell ref="L10:L11"/>
    <mergeCell ref="N10:N11"/>
    <mergeCell ref="O10:O11"/>
    <mergeCell ref="P10:P11"/>
    <mergeCell ref="Q10:Q11"/>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s>
  <phoneticPr fontId="2"/>
  <dataValidations count="1">
    <dataValidation type="list" allowBlank="1" showInputMessage="1" showErrorMessage="1" sqref="T3:Y3 T7:Y16 T5:Y5"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N9"/>
  <sheetViews>
    <sheetView zoomScale="80" zoomScaleNormal="80" workbookViewId="0">
      <pane xSplit="3" ySplit="4" topLeftCell="D5" activePane="bottomRight" state="frozen"/>
      <selection pane="bottomRight"/>
      <selection pane="bottomLeft"/>
      <selection pane="topRight"/>
    </sheetView>
  </sheetViews>
  <sheetFormatPr defaultColWidth="8.625" defaultRowHeight="18.75" customHeight="1" outlineLevelCol="1"/>
  <cols>
    <col min="1" max="1" width="2.625" style="58" customWidth="1"/>
    <col min="2" max="2" width="4.125" style="58" bestFit="1" customWidth="1"/>
    <col min="3" max="3" width="31.375" style="58" customWidth="1"/>
    <col min="4" max="4" width="17.375" style="58" hidden="1" customWidth="1" outlineLevel="1"/>
    <col min="5" max="9" width="14" style="58" hidden="1" customWidth="1" outlineLevel="1"/>
    <col min="10" max="10" width="14" style="58" hidden="1" customWidth="1" collapsed="1"/>
    <col min="11" max="11" width="15.25" style="58" hidden="1" customWidth="1"/>
    <col min="12" max="12" width="14" style="58" hidden="1" customWidth="1"/>
    <col min="13" max="13" width="15.25" style="58" hidden="1" customWidth="1"/>
    <col min="14" max="14" width="11.375" style="58" hidden="1" customWidth="1"/>
    <col min="15" max="15" width="15.25" style="58" hidden="1" customWidth="1"/>
    <col min="16" max="16" width="14.25" style="58" hidden="1" customWidth="1" outlineLevel="1"/>
    <col min="17" max="18" width="12.25" style="58" hidden="1" customWidth="1" outlineLevel="1"/>
    <col min="19" max="20" width="13.5" style="58" hidden="1" customWidth="1" outlineLevel="1"/>
    <col min="21" max="21" width="14" style="58" hidden="1" customWidth="1" outlineLevel="1"/>
    <col min="22" max="22" width="13.5" style="58" hidden="1" customWidth="1" collapsed="1"/>
    <col min="23" max="23" width="15.125" style="58" hidden="1" customWidth="1"/>
    <col min="24" max="26" width="13.5" style="58" hidden="1" customWidth="1"/>
    <col min="27" max="27" width="15.125" style="58" hidden="1" customWidth="1"/>
    <col min="28" max="28" width="15.5" style="58" customWidth="1" outlineLevel="1"/>
    <col min="29" max="33" width="14" style="58" customWidth="1" outlineLevel="1"/>
    <col min="34" max="34" width="11.375" style="58" bestFit="1" customWidth="1"/>
    <col min="35" max="35" width="14.5" style="58" bestFit="1" customWidth="1"/>
    <col min="36" max="36" width="11.375" style="58" bestFit="1" customWidth="1"/>
    <col min="37" max="37" width="14.5" style="58" bestFit="1" customWidth="1"/>
    <col min="38" max="38" width="11.375" style="58" bestFit="1" customWidth="1"/>
    <col min="39" max="39" width="14.5" style="58" bestFit="1" customWidth="1"/>
    <col min="40" max="40" width="53.125" style="58" customWidth="1"/>
    <col min="41" max="16384" width="8.625" style="58"/>
  </cols>
  <sheetData>
    <row r="1" spans="2:40" ht="18"/>
    <row r="2" spans="2:40" ht="18">
      <c r="B2" s="59"/>
      <c r="C2" s="60" t="s">
        <v>181</v>
      </c>
      <c r="D2" s="179" t="s">
        <v>182</v>
      </c>
      <c r="E2" s="180"/>
      <c r="F2" s="180"/>
      <c r="G2" s="180"/>
      <c r="H2" s="180"/>
      <c r="I2" s="180"/>
      <c r="J2" s="180"/>
      <c r="K2" s="180"/>
      <c r="L2" s="181"/>
      <c r="M2" s="181"/>
      <c r="N2" s="180"/>
      <c r="O2" s="182"/>
      <c r="P2" s="186" t="s">
        <v>4</v>
      </c>
      <c r="Q2" s="186"/>
      <c r="R2" s="186"/>
      <c r="S2" s="186"/>
      <c r="T2" s="186"/>
      <c r="U2" s="186"/>
      <c r="V2" s="186"/>
      <c r="W2" s="186"/>
      <c r="X2" s="186"/>
      <c r="Y2" s="186"/>
      <c r="Z2" s="186"/>
      <c r="AA2" s="187"/>
      <c r="AB2" s="188" t="s">
        <v>183</v>
      </c>
      <c r="AC2" s="188"/>
      <c r="AD2" s="188"/>
      <c r="AE2" s="188"/>
      <c r="AF2" s="188"/>
      <c r="AG2" s="188"/>
      <c r="AH2" s="188"/>
      <c r="AI2" s="188"/>
      <c r="AJ2" s="189"/>
      <c r="AK2" s="189"/>
      <c r="AL2" s="188"/>
      <c r="AM2" s="190"/>
      <c r="AN2" s="176" t="s">
        <v>184</v>
      </c>
    </row>
    <row r="3" spans="2:40" ht="22.5" customHeight="1">
      <c r="B3" s="87"/>
      <c r="C3" s="88"/>
      <c r="D3" s="183" t="s">
        <v>185</v>
      </c>
      <c r="E3" s="184"/>
      <c r="F3" s="184"/>
      <c r="G3" s="184"/>
      <c r="H3" s="184"/>
      <c r="I3" s="184"/>
      <c r="J3" s="184"/>
      <c r="K3" s="184"/>
      <c r="L3" s="185" t="s">
        <v>186</v>
      </c>
      <c r="M3" s="185"/>
      <c r="N3" s="168" t="s">
        <v>187</v>
      </c>
      <c r="O3" s="169"/>
      <c r="P3" s="196" t="s">
        <v>185</v>
      </c>
      <c r="Q3" s="196"/>
      <c r="R3" s="196"/>
      <c r="S3" s="196"/>
      <c r="T3" s="196"/>
      <c r="U3" s="196"/>
      <c r="V3" s="196"/>
      <c r="W3" s="197"/>
      <c r="X3" s="194" t="s">
        <v>186</v>
      </c>
      <c r="Y3" s="197"/>
      <c r="Z3" s="194" t="s">
        <v>187</v>
      </c>
      <c r="AA3" s="195"/>
      <c r="AB3" s="191" t="s">
        <v>185</v>
      </c>
      <c r="AC3" s="191"/>
      <c r="AD3" s="191"/>
      <c r="AE3" s="191"/>
      <c r="AF3" s="191"/>
      <c r="AG3" s="191"/>
      <c r="AH3" s="191"/>
      <c r="AI3" s="191"/>
      <c r="AJ3" s="192" t="s">
        <v>186</v>
      </c>
      <c r="AK3" s="192"/>
      <c r="AL3" s="191" t="s">
        <v>187</v>
      </c>
      <c r="AM3" s="193"/>
      <c r="AN3" s="177"/>
    </row>
    <row r="4" spans="2:40" ht="18">
      <c r="B4" s="65" t="s">
        <v>188</v>
      </c>
      <c r="C4" s="66" t="s">
        <v>189</v>
      </c>
      <c r="D4" s="89" t="s">
        <v>190</v>
      </c>
      <c r="E4" s="90" t="s">
        <v>191</v>
      </c>
      <c r="F4" s="90" t="s">
        <v>192</v>
      </c>
      <c r="G4" s="90" t="s">
        <v>193</v>
      </c>
      <c r="H4" s="90" t="s">
        <v>194</v>
      </c>
      <c r="I4" s="90" t="s">
        <v>195</v>
      </c>
      <c r="J4" s="90" t="s">
        <v>196</v>
      </c>
      <c r="K4" s="91" t="s">
        <v>197</v>
      </c>
      <c r="L4" s="90" t="s">
        <v>196</v>
      </c>
      <c r="M4" s="91" t="s">
        <v>197</v>
      </c>
      <c r="N4" s="90" t="s">
        <v>196</v>
      </c>
      <c r="O4" s="92" t="s">
        <v>197</v>
      </c>
      <c r="P4" s="96" t="s">
        <v>190</v>
      </c>
      <c r="Q4" s="61" t="s">
        <v>191</v>
      </c>
      <c r="R4" s="61" t="s">
        <v>192</v>
      </c>
      <c r="S4" s="61" t="s">
        <v>193</v>
      </c>
      <c r="T4" s="61" t="s">
        <v>194</v>
      </c>
      <c r="U4" s="61" t="s">
        <v>195</v>
      </c>
      <c r="V4" s="61" t="s">
        <v>196</v>
      </c>
      <c r="W4" s="62" t="s">
        <v>197</v>
      </c>
      <c r="X4" s="61" t="s">
        <v>196</v>
      </c>
      <c r="Y4" s="62" t="s">
        <v>197</v>
      </c>
      <c r="Z4" s="61" t="s">
        <v>196</v>
      </c>
      <c r="AA4" s="107" t="s">
        <v>197</v>
      </c>
      <c r="AB4" s="103" t="s">
        <v>190</v>
      </c>
      <c r="AC4" s="63" t="s">
        <v>191</v>
      </c>
      <c r="AD4" s="63" t="s">
        <v>192</v>
      </c>
      <c r="AE4" s="63" t="s">
        <v>193</v>
      </c>
      <c r="AF4" s="63" t="s">
        <v>194</v>
      </c>
      <c r="AG4" s="63" t="s">
        <v>195</v>
      </c>
      <c r="AH4" s="63" t="s">
        <v>196</v>
      </c>
      <c r="AI4" s="102" t="s">
        <v>197</v>
      </c>
      <c r="AJ4" s="63" t="s">
        <v>196</v>
      </c>
      <c r="AK4" s="63" t="s">
        <v>197</v>
      </c>
      <c r="AL4" s="103" t="s">
        <v>196</v>
      </c>
      <c r="AM4" s="64" t="s">
        <v>197</v>
      </c>
      <c r="AN4" s="178"/>
    </row>
    <row r="5" spans="2:40" ht="18">
      <c r="B5" s="67">
        <v>10</v>
      </c>
      <c r="C5" s="68" t="s">
        <v>198</v>
      </c>
      <c r="D5" s="82"/>
      <c r="E5" s="83"/>
      <c r="F5" s="83"/>
      <c r="G5" s="83"/>
      <c r="H5" s="83"/>
      <c r="I5" s="83"/>
      <c r="J5" s="86"/>
      <c r="K5" s="56"/>
      <c r="L5" s="86"/>
      <c r="M5" s="56"/>
      <c r="N5" s="86"/>
      <c r="O5" s="80"/>
      <c r="P5" s="97"/>
      <c r="Q5" s="83"/>
      <c r="R5" s="83"/>
      <c r="S5" s="83"/>
      <c r="T5" s="83"/>
      <c r="U5" s="83"/>
      <c r="V5" s="86"/>
      <c r="W5" s="56"/>
      <c r="X5" s="86"/>
      <c r="Y5" s="56"/>
      <c r="Z5" s="86"/>
      <c r="AA5" s="80"/>
      <c r="AB5" s="97">
        <f>'見積（徳山L3.5）'!E4</f>
        <v>1.2</v>
      </c>
      <c r="AC5" s="83">
        <f>'見積（徳山L3.5）'!E7</f>
        <v>1.1000000000000001</v>
      </c>
      <c r="AD5" s="83">
        <f>'見積（徳山L3.5）'!E11</f>
        <v>1.2</v>
      </c>
      <c r="AE5" s="83">
        <f>'見積（徳山L3.5）'!E14</f>
        <v>3.1</v>
      </c>
      <c r="AF5" s="83">
        <f>'見積（徳山L3.5）'!E18</f>
        <v>3.6</v>
      </c>
      <c r="AG5" s="83">
        <f>'見積（徳山L3.5）'!E20</f>
        <v>3</v>
      </c>
      <c r="AH5" s="86">
        <f t="shared" ref="AH5" si="0">SUM(AB5:AG5)</f>
        <v>13.2</v>
      </c>
      <c r="AI5" s="56">
        <f t="shared" ref="AI5" si="1">SUM(AB5:AF5)*1000000+AG5*1400000</f>
        <v>14400000</v>
      </c>
      <c r="AJ5" s="86"/>
      <c r="AK5" s="101"/>
      <c r="AL5" s="104">
        <f>AH5+AJ5</f>
        <v>13.2</v>
      </c>
      <c r="AM5" s="80">
        <f>AI5+AK5</f>
        <v>14400000</v>
      </c>
      <c r="AN5" s="69" t="s">
        <v>199</v>
      </c>
    </row>
    <row r="6" spans="2:40" ht="18.600000000000001" thickBot="1">
      <c r="B6" s="143">
        <v>11</v>
      </c>
      <c r="C6" s="12" t="s">
        <v>200</v>
      </c>
      <c r="D6" s="144"/>
      <c r="E6" s="145"/>
      <c r="F6" s="145"/>
      <c r="G6" s="145"/>
      <c r="H6" s="145"/>
      <c r="I6" s="145"/>
      <c r="J6" s="105"/>
      <c r="K6" s="106"/>
      <c r="L6" s="105"/>
      <c r="M6" s="106"/>
      <c r="N6" s="105"/>
      <c r="O6" s="146"/>
      <c r="P6" s="147"/>
      <c r="Q6" s="145"/>
      <c r="R6" s="145"/>
      <c r="S6" s="145"/>
      <c r="T6" s="145"/>
      <c r="U6" s="145"/>
      <c r="V6" s="105"/>
      <c r="W6" s="106"/>
      <c r="X6" s="105"/>
      <c r="Y6" s="106"/>
      <c r="Z6" s="105"/>
      <c r="AA6" s="146"/>
      <c r="AB6" s="97">
        <f>'見積（千葉L3.5）'!E4</f>
        <v>1.2</v>
      </c>
      <c r="AC6" s="83">
        <f>'見積（千葉L3.5）'!E7</f>
        <v>1.2</v>
      </c>
      <c r="AD6" s="83">
        <f>'見積（千葉L3.5）'!E10</f>
        <v>1.3</v>
      </c>
      <c r="AE6" s="83">
        <f>'見積（千葉L3.5）'!E12</f>
        <v>3.9</v>
      </c>
      <c r="AF6" s="83">
        <f>'見積（千葉L3.5）'!E15</f>
        <v>3.6</v>
      </c>
      <c r="AG6" s="83">
        <f>'見積（千葉L3.5）'!E17</f>
        <v>2.95</v>
      </c>
      <c r="AH6" s="86">
        <f t="shared" ref="AH6" si="2">SUM(AB6:AG6)</f>
        <v>14.149999999999999</v>
      </c>
      <c r="AI6" s="56">
        <f t="shared" ref="AI6" si="3">SUM(AB6:AF6)*1000000+AG6*1400000</f>
        <v>15330000</v>
      </c>
      <c r="AJ6" s="86"/>
      <c r="AK6" s="101"/>
      <c r="AL6" s="104">
        <f>AH6+AJ6</f>
        <v>14.149999999999999</v>
      </c>
      <c r="AM6" s="80">
        <f>AI6+AK6</f>
        <v>15330000</v>
      </c>
      <c r="AN6" s="148"/>
    </row>
    <row r="7" spans="2:40" ht="18">
      <c r="B7" s="170" t="s">
        <v>201</v>
      </c>
      <c r="C7" s="171"/>
      <c r="D7" s="84">
        <f t="shared" ref="D7:I7" si="4">SUM(D5:D5)</f>
        <v>0</v>
      </c>
      <c r="E7" s="85">
        <f t="shared" si="4"/>
        <v>0</v>
      </c>
      <c r="F7" s="85">
        <f t="shared" si="4"/>
        <v>0</v>
      </c>
      <c r="G7" s="85">
        <f t="shared" si="4"/>
        <v>0</v>
      </c>
      <c r="H7" s="85">
        <f t="shared" si="4"/>
        <v>0</v>
      </c>
      <c r="I7" s="85">
        <f t="shared" si="4"/>
        <v>0</v>
      </c>
      <c r="J7" s="85">
        <f>SUM(D7:I7)</f>
        <v>0</v>
      </c>
      <c r="K7" s="57">
        <f t="shared" ref="K7:U7" si="5">SUM(K5:K5)</f>
        <v>0</v>
      </c>
      <c r="L7" s="85">
        <f t="shared" si="5"/>
        <v>0</v>
      </c>
      <c r="M7" s="57">
        <f t="shared" si="5"/>
        <v>0</v>
      </c>
      <c r="N7" s="85">
        <f t="shared" si="5"/>
        <v>0</v>
      </c>
      <c r="O7" s="93">
        <f t="shared" si="5"/>
        <v>0</v>
      </c>
      <c r="P7" s="98">
        <f t="shared" si="5"/>
        <v>0</v>
      </c>
      <c r="Q7" s="85">
        <f t="shared" si="5"/>
        <v>0</v>
      </c>
      <c r="R7" s="85">
        <f t="shared" si="5"/>
        <v>0</v>
      </c>
      <c r="S7" s="85">
        <f t="shared" si="5"/>
        <v>0</v>
      </c>
      <c r="T7" s="85">
        <f t="shared" si="5"/>
        <v>0</v>
      </c>
      <c r="U7" s="85">
        <f t="shared" si="5"/>
        <v>0</v>
      </c>
      <c r="V7" s="85">
        <f t="shared" ref="V7" si="6">SUM(P7:U7)</f>
        <v>0</v>
      </c>
      <c r="W7" s="57">
        <f t="shared" ref="W7:AA7" si="7">SUM(W5:W5)</f>
        <v>0</v>
      </c>
      <c r="X7" s="85">
        <f t="shared" si="7"/>
        <v>0</v>
      </c>
      <c r="Y7" s="57">
        <f t="shared" si="7"/>
        <v>0</v>
      </c>
      <c r="Z7" s="85">
        <f t="shared" si="7"/>
        <v>0</v>
      </c>
      <c r="AA7" s="93">
        <f t="shared" si="7"/>
        <v>0</v>
      </c>
      <c r="AB7" s="109">
        <f t="shared" ref="AB7:AG7" si="8">SUM(AB5:AB6)</f>
        <v>2.4</v>
      </c>
      <c r="AC7" s="105">
        <f t="shared" si="8"/>
        <v>2.2999999999999998</v>
      </c>
      <c r="AD7" s="105">
        <f t="shared" si="8"/>
        <v>2.5</v>
      </c>
      <c r="AE7" s="105">
        <f t="shared" si="8"/>
        <v>7</v>
      </c>
      <c r="AF7" s="105">
        <f t="shared" si="8"/>
        <v>7.2</v>
      </c>
      <c r="AG7" s="105">
        <f t="shared" si="8"/>
        <v>5.95</v>
      </c>
      <c r="AH7" s="105">
        <f>SUM(AB7:AG7)</f>
        <v>27.349999999999998</v>
      </c>
      <c r="AI7" s="106">
        <f>SUM(AI5:AI6)</f>
        <v>29730000</v>
      </c>
      <c r="AJ7" s="105">
        <f>SUM(AJ5:AJ6)</f>
        <v>0</v>
      </c>
      <c r="AK7" s="106">
        <f>SUM(AK5:AK6)</f>
        <v>0</v>
      </c>
      <c r="AL7" s="105">
        <f>SUM(AL5:AL6)</f>
        <v>27.349999999999998</v>
      </c>
      <c r="AM7" s="106">
        <f>SUM(AM5:AM6)</f>
        <v>29730000</v>
      </c>
      <c r="AN7" s="70"/>
    </row>
    <row r="8" spans="2:40" ht="18">
      <c r="B8" s="172" t="s">
        <v>202</v>
      </c>
      <c r="C8" s="173"/>
      <c r="D8" s="71">
        <v>1000000</v>
      </c>
      <c r="E8" s="72">
        <v>1000000</v>
      </c>
      <c r="F8" s="72">
        <v>1000000</v>
      </c>
      <c r="G8" s="72">
        <v>1000000</v>
      </c>
      <c r="H8" s="72">
        <v>1000000</v>
      </c>
      <c r="I8" s="72">
        <v>1400000</v>
      </c>
      <c r="J8" s="72"/>
      <c r="K8" s="73"/>
      <c r="L8" s="72"/>
      <c r="M8" s="73"/>
      <c r="N8" s="72"/>
      <c r="O8" s="94"/>
      <c r="P8" s="99">
        <v>1000000</v>
      </c>
      <c r="Q8" s="72">
        <v>1000000</v>
      </c>
      <c r="R8" s="72">
        <v>1000000</v>
      </c>
      <c r="S8" s="72">
        <v>1000000</v>
      </c>
      <c r="T8" s="72">
        <v>1000000</v>
      </c>
      <c r="U8" s="72">
        <v>1400000</v>
      </c>
      <c r="V8" s="72"/>
      <c r="W8" s="74"/>
      <c r="X8" s="72"/>
      <c r="Y8" s="74"/>
      <c r="Z8" s="72"/>
      <c r="AA8" s="108"/>
      <c r="AB8" s="99">
        <v>1000000</v>
      </c>
      <c r="AC8" s="72">
        <v>1000000</v>
      </c>
      <c r="AD8" s="72">
        <v>1000000</v>
      </c>
      <c r="AE8" s="72">
        <v>1000000</v>
      </c>
      <c r="AF8" s="72">
        <v>1000000</v>
      </c>
      <c r="AG8" s="72">
        <v>1400000</v>
      </c>
      <c r="AH8" s="72"/>
      <c r="AI8" s="74"/>
      <c r="AJ8" s="72"/>
      <c r="AK8" s="74"/>
      <c r="AL8" s="72"/>
      <c r="AM8" s="74"/>
      <c r="AN8" s="75"/>
    </row>
    <row r="9" spans="2:40" ht="18">
      <c r="B9" s="174" t="s">
        <v>197</v>
      </c>
      <c r="C9" s="175"/>
      <c r="D9" s="76">
        <f t="shared" ref="D9:I9" si="9">D7*D8</f>
        <v>0</v>
      </c>
      <c r="E9" s="77">
        <f t="shared" si="9"/>
        <v>0</v>
      </c>
      <c r="F9" s="77">
        <f t="shared" si="9"/>
        <v>0</v>
      </c>
      <c r="G9" s="77">
        <f t="shared" si="9"/>
        <v>0</v>
      </c>
      <c r="H9" s="77">
        <f t="shared" si="9"/>
        <v>0</v>
      </c>
      <c r="I9" s="77">
        <f t="shared" si="9"/>
        <v>0</v>
      </c>
      <c r="J9" s="77">
        <f>SUM(D9:I9)</f>
        <v>0</v>
      </c>
      <c r="K9" s="78"/>
      <c r="L9" s="77"/>
      <c r="M9" s="78"/>
      <c r="N9" s="77"/>
      <c r="O9" s="95"/>
      <c r="P9" s="100">
        <f t="shared" ref="P9:U9" si="10">P7*P8</f>
        <v>0</v>
      </c>
      <c r="Q9" s="77">
        <f t="shared" si="10"/>
        <v>0</v>
      </c>
      <c r="R9" s="77">
        <f t="shared" si="10"/>
        <v>0</v>
      </c>
      <c r="S9" s="77">
        <f t="shared" si="10"/>
        <v>0</v>
      </c>
      <c r="T9" s="77">
        <f t="shared" si="10"/>
        <v>0</v>
      </c>
      <c r="U9" s="77">
        <f t="shared" si="10"/>
        <v>0</v>
      </c>
      <c r="V9" s="77"/>
      <c r="W9" s="78"/>
      <c r="X9" s="77"/>
      <c r="Y9" s="78"/>
      <c r="Z9" s="77"/>
      <c r="AA9" s="95"/>
      <c r="AB9" s="100">
        <f t="shared" ref="AB9:AG9" si="11">AB7*AB8</f>
        <v>2400000</v>
      </c>
      <c r="AC9" s="77">
        <f t="shared" si="11"/>
        <v>2300000</v>
      </c>
      <c r="AD9" s="77">
        <f t="shared" si="11"/>
        <v>2500000</v>
      </c>
      <c r="AE9" s="77">
        <f t="shared" si="11"/>
        <v>7000000</v>
      </c>
      <c r="AF9" s="77">
        <f t="shared" si="11"/>
        <v>7200000</v>
      </c>
      <c r="AG9" s="77">
        <f t="shared" si="11"/>
        <v>8330000</v>
      </c>
      <c r="AH9" s="77"/>
      <c r="AI9" s="78"/>
      <c r="AJ9" s="77"/>
      <c r="AK9" s="78"/>
      <c r="AL9" s="77"/>
      <c r="AM9" s="78"/>
      <c r="AN9" s="79"/>
    </row>
  </sheetData>
  <autoFilter ref="B4:AS5" xr:uid="{00000000-0009-0000-0000-000005000000}"/>
  <mergeCells count="16">
    <mergeCell ref="N3:O3"/>
    <mergeCell ref="B7:C7"/>
    <mergeCell ref="B8:C8"/>
    <mergeCell ref="B9:C9"/>
    <mergeCell ref="AN2:AN4"/>
    <mergeCell ref="D2:O2"/>
    <mergeCell ref="D3:K3"/>
    <mergeCell ref="L3:M3"/>
    <mergeCell ref="P2:AA2"/>
    <mergeCell ref="AB2:AM2"/>
    <mergeCell ref="AB3:AI3"/>
    <mergeCell ref="AJ3:AK3"/>
    <mergeCell ref="AL3:AM3"/>
    <mergeCell ref="Z3:AA3"/>
    <mergeCell ref="P3:W3"/>
    <mergeCell ref="X3:Y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24"/>
  <sheetViews>
    <sheetView tabSelected="1" zoomScale="85" zoomScaleNormal="85" workbookViewId="0">
      <selection activeCell="A16" sqref="A16:XFD16"/>
    </sheetView>
  </sheetViews>
  <sheetFormatPr defaultRowHeight="18.75" customHeight="1"/>
  <cols>
    <col min="1" max="1" width="30.75" customWidth="1"/>
    <col min="2" max="2" width="21" customWidth="1"/>
    <col min="3" max="31" width="18.875" customWidth="1"/>
    <col min="32" max="32" width="17.125" customWidth="1"/>
  </cols>
  <sheetData>
    <row r="1" spans="1:31" ht="18">
      <c r="A1" s="150" t="s">
        <v>203</v>
      </c>
    </row>
    <row r="2" spans="1:31" ht="18">
      <c r="A2" s="200" t="s">
        <v>204</v>
      </c>
      <c r="B2" s="200" t="s">
        <v>205</v>
      </c>
      <c r="C2" s="204" t="s">
        <v>206</v>
      </c>
      <c r="D2" s="204"/>
      <c r="E2" s="204"/>
      <c r="F2" s="204"/>
      <c r="G2" s="204"/>
      <c r="H2" s="204"/>
      <c r="I2" s="204"/>
      <c r="J2" s="204"/>
      <c r="K2" s="204"/>
      <c r="L2" s="204"/>
      <c r="M2" s="204"/>
      <c r="N2" s="204"/>
      <c r="O2" s="198" t="s">
        <v>207</v>
      </c>
      <c r="P2" s="203"/>
      <c r="Q2" s="203"/>
      <c r="R2" s="203"/>
      <c r="S2" s="203"/>
      <c r="T2" s="203"/>
      <c r="U2" s="203"/>
      <c r="V2" s="203"/>
      <c r="W2" s="203"/>
      <c r="X2" s="203"/>
      <c r="Y2" s="203"/>
      <c r="Z2" s="203"/>
      <c r="AA2" s="239" t="s">
        <v>208</v>
      </c>
      <c r="AB2" s="239"/>
      <c r="AC2" s="239"/>
      <c r="AD2" s="239"/>
      <c r="AE2" s="239"/>
    </row>
    <row r="3" spans="1:31" ht="18">
      <c r="A3" s="201"/>
      <c r="B3" s="201"/>
      <c r="C3" s="111" t="s">
        <v>209</v>
      </c>
      <c r="D3" s="111" t="s">
        <v>210</v>
      </c>
      <c r="E3" s="111" t="s">
        <v>211</v>
      </c>
      <c r="F3" s="111" t="s">
        <v>212</v>
      </c>
      <c r="G3" s="111" t="s">
        <v>213</v>
      </c>
      <c r="H3" s="111" t="s">
        <v>214</v>
      </c>
      <c r="I3" s="111" t="s">
        <v>215</v>
      </c>
      <c r="J3" s="111" t="s">
        <v>216</v>
      </c>
      <c r="K3" s="111" t="s">
        <v>217</v>
      </c>
      <c r="L3" s="111" t="s">
        <v>218</v>
      </c>
      <c r="M3" s="111" t="s">
        <v>219</v>
      </c>
      <c r="N3" s="111" t="s">
        <v>220</v>
      </c>
      <c r="O3" s="111" t="s">
        <v>209</v>
      </c>
      <c r="P3" s="111" t="s">
        <v>210</v>
      </c>
      <c r="Q3" s="111" t="s">
        <v>211</v>
      </c>
      <c r="R3" s="111" t="s">
        <v>212</v>
      </c>
      <c r="S3" s="111" t="s">
        <v>213</v>
      </c>
      <c r="T3" s="111" t="s">
        <v>214</v>
      </c>
      <c r="U3" s="111" t="s">
        <v>215</v>
      </c>
      <c r="V3" s="111" t="s">
        <v>216</v>
      </c>
      <c r="W3" s="111" t="s">
        <v>217</v>
      </c>
      <c r="X3" s="111" t="s">
        <v>218</v>
      </c>
      <c r="Y3" s="111" t="s">
        <v>219</v>
      </c>
      <c r="Z3" s="117" t="s">
        <v>220</v>
      </c>
      <c r="AA3" s="118" t="s">
        <v>209</v>
      </c>
      <c r="AB3" s="118" t="s">
        <v>210</v>
      </c>
      <c r="AC3" s="118" t="s">
        <v>211</v>
      </c>
      <c r="AD3" s="118" t="s">
        <v>212</v>
      </c>
      <c r="AE3" s="119" t="s">
        <v>213</v>
      </c>
    </row>
    <row r="4" spans="1:31" ht="18">
      <c r="A4" s="198" t="s">
        <v>221</v>
      </c>
      <c r="B4" s="199"/>
      <c r="C4" s="110"/>
      <c r="D4" s="110"/>
      <c r="E4" s="110" t="s">
        <v>222</v>
      </c>
      <c r="F4" s="110"/>
      <c r="G4" s="110"/>
      <c r="H4" s="110"/>
      <c r="I4" s="110"/>
      <c r="J4" s="110"/>
      <c r="K4" s="110"/>
      <c r="L4" s="110"/>
      <c r="M4" s="110"/>
      <c r="N4" s="110" t="s">
        <v>223</v>
      </c>
      <c r="O4" s="110"/>
      <c r="P4" s="110"/>
      <c r="Q4" s="110" t="s">
        <v>224</v>
      </c>
      <c r="R4" s="110"/>
      <c r="S4" s="110"/>
      <c r="T4" s="110"/>
      <c r="U4" s="110"/>
      <c r="V4" s="110"/>
      <c r="W4" s="110"/>
      <c r="X4" s="110"/>
      <c r="Y4" s="110"/>
      <c r="Z4" s="115"/>
      <c r="AA4" s="14"/>
      <c r="AB4" s="14"/>
      <c r="AC4" s="14"/>
      <c r="AD4" s="14"/>
      <c r="AE4" s="14"/>
    </row>
    <row r="5" spans="1:31" ht="18">
      <c r="A5" s="198"/>
      <c r="B5" s="199"/>
      <c r="C5" s="110"/>
      <c r="D5" s="110"/>
      <c r="E5" s="110"/>
      <c r="F5" s="110"/>
      <c r="G5" s="110"/>
      <c r="H5" s="110"/>
      <c r="I5" s="110"/>
      <c r="J5" s="110"/>
      <c r="K5" s="110"/>
      <c r="L5" s="110"/>
      <c r="M5" s="110" t="s">
        <v>225</v>
      </c>
      <c r="N5" s="110"/>
      <c r="O5" s="110"/>
      <c r="P5" s="110"/>
      <c r="Q5" s="110"/>
      <c r="R5" s="110"/>
      <c r="S5" s="110"/>
      <c r="T5" s="110"/>
      <c r="U5" s="110"/>
      <c r="V5" s="110"/>
      <c r="W5" s="110"/>
      <c r="X5" s="110"/>
      <c r="Y5" s="110"/>
      <c r="Z5" s="115"/>
      <c r="AA5" s="14"/>
      <c r="AB5" s="14"/>
      <c r="AC5" s="14"/>
      <c r="AD5" s="14"/>
      <c r="AE5" s="14"/>
    </row>
    <row r="6" spans="1:31" ht="18" customHeight="1">
      <c r="A6" s="111" t="s">
        <v>226</v>
      </c>
      <c r="B6" s="111"/>
      <c r="C6" s="110"/>
      <c r="D6" s="110"/>
      <c r="E6" s="110"/>
      <c r="F6" s="110"/>
      <c r="G6" s="110"/>
      <c r="H6" s="110"/>
      <c r="I6" s="110"/>
      <c r="J6" s="110"/>
      <c r="K6" s="110"/>
      <c r="L6" s="110"/>
      <c r="M6" s="110"/>
      <c r="N6" s="110"/>
      <c r="O6" s="110"/>
      <c r="P6" s="110"/>
      <c r="Q6" s="110"/>
      <c r="R6" s="110"/>
      <c r="S6" s="110"/>
      <c r="T6" s="110"/>
      <c r="U6" s="110"/>
      <c r="V6" s="110"/>
      <c r="W6" s="110"/>
      <c r="X6" s="110"/>
      <c r="Y6" s="110"/>
      <c r="Z6" s="115"/>
      <c r="AA6" s="14"/>
      <c r="AB6" s="14"/>
      <c r="AC6" s="14"/>
      <c r="AD6" s="14"/>
      <c r="AE6" s="14"/>
    </row>
    <row r="7" spans="1:31" ht="18">
      <c r="A7" s="112" t="s">
        <v>227</v>
      </c>
      <c r="B7" s="112"/>
      <c r="C7" s="110"/>
      <c r="D7" s="110"/>
      <c r="E7" s="110"/>
      <c r="F7" s="110"/>
      <c r="G7" s="110"/>
      <c r="H7" s="110"/>
      <c r="I7" s="110"/>
      <c r="J7" s="110"/>
      <c r="K7" s="110"/>
      <c r="L7" s="110"/>
      <c r="M7" s="110"/>
      <c r="N7" s="110"/>
      <c r="O7" s="110"/>
      <c r="P7" s="110"/>
      <c r="Q7" s="110"/>
      <c r="R7" s="110"/>
      <c r="S7" s="110"/>
      <c r="T7" s="110"/>
      <c r="U7" s="110"/>
      <c r="V7" s="110"/>
      <c r="W7" s="110"/>
      <c r="X7" s="110"/>
      <c r="Y7" s="110"/>
      <c r="Z7" s="115"/>
      <c r="AA7" s="14"/>
      <c r="AB7" s="14"/>
      <c r="AC7" s="14"/>
      <c r="AD7" s="14"/>
      <c r="AE7" s="14"/>
    </row>
    <row r="8" spans="1:31" ht="18">
      <c r="A8" s="113" t="s">
        <v>228</v>
      </c>
      <c r="B8" s="113"/>
      <c r="C8" s="110"/>
      <c r="D8" s="110"/>
      <c r="E8" s="110"/>
      <c r="F8" s="110"/>
      <c r="G8" s="110"/>
      <c r="H8" s="110"/>
      <c r="I8" s="110"/>
      <c r="J8" s="110"/>
      <c r="K8" s="110"/>
      <c r="L8" s="110"/>
      <c r="M8" s="110"/>
      <c r="N8" s="110"/>
      <c r="O8" s="110"/>
      <c r="P8" s="110"/>
      <c r="Q8" s="110"/>
      <c r="R8" s="110"/>
      <c r="S8" s="110"/>
      <c r="T8" s="110"/>
      <c r="U8" s="110"/>
      <c r="V8" s="110"/>
      <c r="W8" s="110"/>
      <c r="X8" s="110"/>
      <c r="Y8" s="110"/>
      <c r="Z8" s="115"/>
      <c r="AA8" s="14"/>
      <c r="AB8" s="14"/>
      <c r="AC8" s="14"/>
      <c r="AD8" s="14"/>
      <c r="AE8" s="14"/>
    </row>
    <row r="9" spans="1:31" ht="18">
      <c r="A9" s="112" t="s">
        <v>143</v>
      </c>
      <c r="B9" s="112"/>
      <c r="C9" s="121"/>
      <c r="D9" s="121"/>
      <c r="E9" s="121"/>
      <c r="F9" s="110"/>
      <c r="G9" s="110"/>
      <c r="H9" s="110"/>
      <c r="I9" s="110"/>
      <c r="J9" s="110"/>
      <c r="K9" s="110"/>
      <c r="L9" s="110"/>
      <c r="M9" s="110"/>
      <c r="N9" s="110"/>
      <c r="O9" s="110"/>
      <c r="P9" s="110"/>
      <c r="Q9" s="110"/>
      <c r="R9" s="110"/>
      <c r="S9" s="110"/>
      <c r="T9" s="110"/>
      <c r="U9" s="110"/>
      <c r="V9" s="110"/>
      <c r="W9" s="110"/>
      <c r="X9" s="110"/>
      <c r="Y9" s="110"/>
      <c r="Z9" s="115"/>
      <c r="AA9" s="14"/>
      <c r="AB9" s="14"/>
      <c r="AC9" s="14"/>
      <c r="AD9" s="14"/>
      <c r="AE9" s="14"/>
    </row>
    <row r="10" spans="1:31" ht="18">
      <c r="A10" s="113" t="s">
        <v>134</v>
      </c>
      <c r="B10" s="113"/>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5"/>
      <c r="AA10" s="14"/>
      <c r="AB10" s="14"/>
      <c r="AC10" s="14"/>
      <c r="AD10" s="14"/>
      <c r="AE10" s="14"/>
    </row>
    <row r="11" spans="1:31" ht="18">
      <c r="A11" s="112" t="s">
        <v>229</v>
      </c>
      <c r="B11" s="112"/>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5"/>
      <c r="AA11" s="14"/>
      <c r="AB11" s="14"/>
      <c r="AC11" s="14"/>
      <c r="AD11" s="14"/>
      <c r="AE11" s="14"/>
    </row>
    <row r="12" spans="1:31" ht="18">
      <c r="A12" s="112" t="s">
        <v>230</v>
      </c>
      <c r="B12" s="112"/>
      <c r="C12" s="149"/>
      <c r="D12" s="149"/>
      <c r="E12" s="149"/>
      <c r="F12" s="151"/>
      <c r="G12" s="151"/>
      <c r="H12" s="151"/>
      <c r="I12" s="151"/>
      <c r="J12" s="151"/>
      <c r="K12" s="151"/>
      <c r="L12" s="151"/>
      <c r="M12" s="151"/>
      <c r="N12" s="151"/>
      <c r="O12" s="151"/>
      <c r="P12" s="151"/>
      <c r="Q12" s="151"/>
      <c r="R12" s="151"/>
      <c r="S12" s="151"/>
      <c r="T12" s="151"/>
      <c r="U12" s="151"/>
      <c r="V12" s="151"/>
      <c r="W12" s="151"/>
      <c r="X12" s="151"/>
      <c r="Y12" s="151"/>
      <c r="Z12" s="152"/>
      <c r="AA12" s="153"/>
      <c r="AB12" s="153"/>
      <c r="AC12" s="153"/>
      <c r="AD12" s="153"/>
      <c r="AE12" s="153"/>
    </row>
    <row r="13" spans="1:31" ht="36">
      <c r="A13" s="112" t="s">
        <v>231</v>
      </c>
      <c r="B13" s="112"/>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2"/>
      <c r="AA13" s="153"/>
      <c r="AB13" s="153"/>
      <c r="AC13" s="153"/>
      <c r="AD13" s="153"/>
      <c r="AE13" s="153"/>
    </row>
    <row r="14" spans="1:31" ht="18">
      <c r="A14" s="112" t="s">
        <v>232</v>
      </c>
      <c r="B14" s="112"/>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2"/>
      <c r="AA14" s="153"/>
      <c r="AB14" s="153"/>
      <c r="AC14" s="153"/>
      <c r="AD14" s="153"/>
      <c r="AE14" s="153"/>
    </row>
    <row r="15" spans="1:31" ht="39.6" customHeight="1">
      <c r="A15" s="112" t="s">
        <v>233</v>
      </c>
      <c r="B15" s="112"/>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5"/>
      <c r="AC15" s="14"/>
      <c r="AD15" s="14"/>
      <c r="AE15" s="14"/>
    </row>
    <row r="16" spans="1:31" ht="39.6" customHeight="1">
      <c r="A16" s="113" t="s">
        <v>234</v>
      </c>
      <c r="B16" s="113"/>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5"/>
      <c r="AC16" s="14"/>
      <c r="AD16" s="14"/>
      <c r="AE16" s="14"/>
    </row>
    <row r="17" spans="1:32" ht="18"/>
    <row r="18" spans="1:32" ht="18" hidden="1">
      <c r="A18" s="124" t="s">
        <v>235</v>
      </c>
      <c r="B18" s="124"/>
    </row>
    <row r="19" spans="1:32" ht="18" hidden="1">
      <c r="A19" s="111" t="s">
        <v>236</v>
      </c>
      <c r="B19" s="111"/>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row>
    <row r="20" spans="1:32" ht="18.75" hidden="1" customHeight="1">
      <c r="A20" s="123" t="s">
        <v>237</v>
      </c>
      <c r="B20" s="123"/>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row>
    <row r="21" spans="1:32" ht="18.75" hidden="1" customHeight="1">
      <c r="A21" s="125" t="s">
        <v>238</v>
      </c>
      <c r="B21" s="125"/>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row>
    <row r="22" spans="1:32" ht="18.75" hidden="1" customHeight="1">
      <c r="A22" s="125" t="s">
        <v>239</v>
      </c>
      <c r="B22" s="125"/>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row>
    <row r="23" spans="1:32" ht="18.75" hidden="1" customHeight="1">
      <c r="A23" s="125" t="s">
        <v>240</v>
      </c>
      <c r="B23" s="125"/>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row>
    <row r="24" spans="1:32" ht="18.75" hidden="1" customHeight="1">
      <c r="A24" s="125" t="s">
        <v>241</v>
      </c>
      <c r="B24" s="125"/>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row>
    <row r="25" spans="1:32" ht="18.75" hidden="1" customHeight="1">
      <c r="A25" s="202" t="s">
        <v>242</v>
      </c>
      <c r="B25" s="202"/>
      <c r="C25" s="120">
        <f t="shared" ref="C25:AE25" si="0">SUM(C19:C24)</f>
        <v>0</v>
      </c>
      <c r="D25" s="120">
        <f t="shared" si="0"/>
        <v>0</v>
      </c>
      <c r="E25" s="120">
        <f t="shared" si="0"/>
        <v>0</v>
      </c>
      <c r="F25" s="120">
        <f t="shared" si="0"/>
        <v>0</v>
      </c>
      <c r="G25" s="120">
        <f t="shared" si="0"/>
        <v>0</v>
      </c>
      <c r="H25" s="120">
        <f t="shared" si="0"/>
        <v>0</v>
      </c>
      <c r="I25" s="120">
        <f t="shared" si="0"/>
        <v>0</v>
      </c>
      <c r="J25" s="120">
        <f t="shared" si="0"/>
        <v>0</v>
      </c>
      <c r="K25" s="120">
        <f t="shared" si="0"/>
        <v>0</v>
      </c>
      <c r="L25" s="120">
        <f t="shared" si="0"/>
        <v>0</v>
      </c>
      <c r="M25" s="120">
        <f t="shared" si="0"/>
        <v>0</v>
      </c>
      <c r="N25" s="120">
        <f t="shared" si="0"/>
        <v>0</v>
      </c>
      <c r="O25" s="120">
        <f t="shared" si="0"/>
        <v>0</v>
      </c>
      <c r="P25" s="120">
        <f t="shared" si="0"/>
        <v>0</v>
      </c>
      <c r="Q25" s="120">
        <f t="shared" si="0"/>
        <v>0</v>
      </c>
      <c r="R25" s="120">
        <f t="shared" si="0"/>
        <v>0</v>
      </c>
      <c r="S25" s="120">
        <f t="shared" si="0"/>
        <v>0</v>
      </c>
      <c r="T25" s="120">
        <f t="shared" si="0"/>
        <v>0</v>
      </c>
      <c r="U25" s="120">
        <f t="shared" si="0"/>
        <v>0</v>
      </c>
      <c r="V25" s="120">
        <f t="shared" si="0"/>
        <v>0</v>
      </c>
      <c r="W25" s="120">
        <f t="shared" si="0"/>
        <v>0</v>
      </c>
      <c r="X25" s="120">
        <f t="shared" si="0"/>
        <v>0</v>
      </c>
      <c r="Y25" s="120">
        <f t="shared" si="0"/>
        <v>0</v>
      </c>
      <c r="Z25" s="120">
        <f t="shared" si="0"/>
        <v>0</v>
      </c>
      <c r="AA25" s="120">
        <f t="shared" si="0"/>
        <v>0</v>
      </c>
      <c r="AB25" s="120">
        <f t="shared" si="0"/>
        <v>0</v>
      </c>
      <c r="AC25" s="120">
        <f t="shared" si="0"/>
        <v>0</v>
      </c>
      <c r="AD25" s="120">
        <f t="shared" si="0"/>
        <v>0</v>
      </c>
      <c r="AE25" s="120">
        <f t="shared" si="0"/>
        <v>0</v>
      </c>
    </row>
    <row r="26" spans="1:32" ht="18.75" hidden="1" customHeight="1">
      <c r="A26" s="206" t="s">
        <v>243</v>
      </c>
      <c r="B26" t="s">
        <v>244</v>
      </c>
      <c r="C26">
        <f t="shared" ref="C26:AE26" si="1">C25*1000000</f>
        <v>0</v>
      </c>
      <c r="D26">
        <f t="shared" si="1"/>
        <v>0</v>
      </c>
      <c r="E26">
        <f t="shared" si="1"/>
        <v>0</v>
      </c>
      <c r="F26">
        <f t="shared" si="1"/>
        <v>0</v>
      </c>
      <c r="G26">
        <f t="shared" si="1"/>
        <v>0</v>
      </c>
      <c r="H26">
        <f t="shared" si="1"/>
        <v>0</v>
      </c>
      <c r="I26">
        <f t="shared" si="1"/>
        <v>0</v>
      </c>
      <c r="J26">
        <f t="shared" si="1"/>
        <v>0</v>
      </c>
      <c r="K26">
        <f t="shared" si="1"/>
        <v>0</v>
      </c>
      <c r="L26">
        <f t="shared" si="1"/>
        <v>0</v>
      </c>
      <c r="M26">
        <f t="shared" si="1"/>
        <v>0</v>
      </c>
      <c r="N26">
        <f t="shared" si="1"/>
        <v>0</v>
      </c>
      <c r="O26">
        <f t="shared" si="1"/>
        <v>0</v>
      </c>
      <c r="P26">
        <f t="shared" si="1"/>
        <v>0</v>
      </c>
      <c r="Q26">
        <f t="shared" si="1"/>
        <v>0</v>
      </c>
      <c r="R26">
        <f t="shared" si="1"/>
        <v>0</v>
      </c>
      <c r="S26">
        <f t="shared" si="1"/>
        <v>0</v>
      </c>
      <c r="T26">
        <f t="shared" si="1"/>
        <v>0</v>
      </c>
      <c r="U26">
        <f t="shared" si="1"/>
        <v>0</v>
      </c>
      <c r="V26">
        <f t="shared" si="1"/>
        <v>0</v>
      </c>
      <c r="W26">
        <f t="shared" si="1"/>
        <v>0</v>
      </c>
      <c r="X26">
        <f t="shared" si="1"/>
        <v>0</v>
      </c>
      <c r="Y26">
        <f t="shared" si="1"/>
        <v>0</v>
      </c>
      <c r="Z26">
        <f t="shared" si="1"/>
        <v>0</v>
      </c>
      <c r="AA26">
        <f t="shared" si="1"/>
        <v>0</v>
      </c>
      <c r="AB26">
        <f t="shared" si="1"/>
        <v>0</v>
      </c>
      <c r="AC26">
        <f t="shared" si="1"/>
        <v>0</v>
      </c>
      <c r="AD26">
        <f t="shared" si="1"/>
        <v>0</v>
      </c>
      <c r="AE26">
        <f t="shared" si="1"/>
        <v>0</v>
      </c>
      <c r="AF26" s="126">
        <f>SUM(C26:AE26)</f>
        <v>0</v>
      </c>
    </row>
    <row r="27" spans="1:32" ht="18.75" hidden="1" customHeight="1">
      <c r="A27" s="207"/>
      <c r="B27" t="s">
        <v>245</v>
      </c>
      <c r="C27">
        <f t="shared" ref="C27:AE27" si="2">C25*800000</f>
        <v>0</v>
      </c>
      <c r="D27">
        <f t="shared" si="2"/>
        <v>0</v>
      </c>
      <c r="E27">
        <f t="shared" si="2"/>
        <v>0</v>
      </c>
      <c r="F27">
        <f t="shared" si="2"/>
        <v>0</v>
      </c>
      <c r="G27">
        <f t="shared" si="2"/>
        <v>0</v>
      </c>
      <c r="H27">
        <f t="shared" si="2"/>
        <v>0</v>
      </c>
      <c r="I27">
        <f t="shared" si="2"/>
        <v>0</v>
      </c>
      <c r="J27">
        <f t="shared" si="2"/>
        <v>0</v>
      </c>
      <c r="K27">
        <f t="shared" si="2"/>
        <v>0</v>
      </c>
      <c r="L27">
        <f t="shared" si="2"/>
        <v>0</v>
      </c>
      <c r="M27">
        <f t="shared" si="2"/>
        <v>0</v>
      </c>
      <c r="N27">
        <f t="shared" si="2"/>
        <v>0</v>
      </c>
      <c r="O27">
        <f t="shared" si="2"/>
        <v>0</v>
      </c>
      <c r="P27">
        <f t="shared" si="2"/>
        <v>0</v>
      </c>
      <c r="Q27">
        <f t="shared" si="2"/>
        <v>0</v>
      </c>
      <c r="R27">
        <f t="shared" si="2"/>
        <v>0</v>
      </c>
      <c r="S27">
        <f t="shared" si="2"/>
        <v>0</v>
      </c>
      <c r="T27">
        <f t="shared" si="2"/>
        <v>0</v>
      </c>
      <c r="U27">
        <f t="shared" si="2"/>
        <v>0</v>
      </c>
      <c r="V27">
        <f t="shared" si="2"/>
        <v>0</v>
      </c>
      <c r="W27">
        <f t="shared" si="2"/>
        <v>0</v>
      </c>
      <c r="X27">
        <f t="shared" si="2"/>
        <v>0</v>
      </c>
      <c r="Y27">
        <f t="shared" si="2"/>
        <v>0</v>
      </c>
      <c r="Z27">
        <f t="shared" si="2"/>
        <v>0</v>
      </c>
      <c r="AA27">
        <f t="shared" si="2"/>
        <v>0</v>
      </c>
      <c r="AB27">
        <f t="shared" si="2"/>
        <v>0</v>
      </c>
      <c r="AC27">
        <f t="shared" si="2"/>
        <v>0</v>
      </c>
      <c r="AD27">
        <f t="shared" si="2"/>
        <v>0</v>
      </c>
      <c r="AE27">
        <f t="shared" si="2"/>
        <v>0</v>
      </c>
      <c r="AF27" s="126">
        <f>SUM(C27:AE27)</f>
        <v>0</v>
      </c>
    </row>
    <row r="28" spans="1:32" ht="18.75" hidden="1" customHeight="1">
      <c r="A28" s="207" t="s">
        <v>246</v>
      </c>
      <c r="B28" t="s">
        <v>247</v>
      </c>
      <c r="C28">
        <v>1400000</v>
      </c>
      <c r="D28">
        <v>1400000</v>
      </c>
      <c r="E28">
        <v>1400000</v>
      </c>
      <c r="F28">
        <v>1400000</v>
      </c>
      <c r="G28">
        <v>1400000</v>
      </c>
      <c r="H28">
        <v>1400000</v>
      </c>
      <c r="I28">
        <v>1400000</v>
      </c>
      <c r="J28">
        <v>1400000</v>
      </c>
      <c r="K28">
        <v>1400000</v>
      </c>
      <c r="L28">
        <v>1400000</v>
      </c>
      <c r="M28">
        <v>1400000</v>
      </c>
      <c r="N28">
        <v>1400000</v>
      </c>
      <c r="O28">
        <v>1400000</v>
      </c>
      <c r="P28">
        <v>1400000</v>
      </c>
      <c r="Q28">
        <v>1400000</v>
      </c>
      <c r="R28">
        <v>1400000</v>
      </c>
      <c r="S28">
        <v>1400000</v>
      </c>
      <c r="T28">
        <v>1400000</v>
      </c>
      <c r="U28">
        <v>1400000</v>
      </c>
      <c r="V28">
        <v>1400000</v>
      </c>
      <c r="W28">
        <v>1400000</v>
      </c>
      <c r="X28">
        <v>1400000</v>
      </c>
      <c r="Y28">
        <v>1400000</v>
      </c>
      <c r="Z28">
        <v>1400000</v>
      </c>
      <c r="AA28">
        <v>1400000</v>
      </c>
      <c r="AB28">
        <v>1400000</v>
      </c>
      <c r="AC28">
        <v>1400000</v>
      </c>
      <c r="AF28" s="126">
        <f>SUM(C28:AE28)</f>
        <v>37800000</v>
      </c>
    </row>
    <row r="29" spans="1:32" ht="18.75" hidden="1" customHeight="1">
      <c r="A29" s="207"/>
      <c r="B29" t="s">
        <v>248</v>
      </c>
      <c r="C29">
        <v>1000000</v>
      </c>
      <c r="D29">
        <v>1000000</v>
      </c>
      <c r="E29">
        <v>1000000</v>
      </c>
      <c r="F29">
        <v>1000000</v>
      </c>
      <c r="G29">
        <v>1000000</v>
      </c>
      <c r="H29">
        <v>1000000</v>
      </c>
      <c r="I29">
        <v>1000000</v>
      </c>
      <c r="J29">
        <v>1000000</v>
      </c>
      <c r="K29">
        <v>1000000</v>
      </c>
      <c r="L29">
        <v>1000000</v>
      </c>
      <c r="M29">
        <v>1000000</v>
      </c>
      <c r="N29">
        <v>1000000</v>
      </c>
      <c r="O29">
        <v>1000000</v>
      </c>
      <c r="P29">
        <v>1000000</v>
      </c>
      <c r="Q29">
        <v>1000000</v>
      </c>
      <c r="R29">
        <v>1000000</v>
      </c>
      <c r="S29">
        <v>1000000</v>
      </c>
      <c r="T29">
        <v>1000000</v>
      </c>
      <c r="U29">
        <v>1000000</v>
      </c>
      <c r="V29">
        <v>1000000</v>
      </c>
      <c r="W29">
        <v>1000000</v>
      </c>
      <c r="X29">
        <v>1000000</v>
      </c>
      <c r="Y29">
        <v>1000000</v>
      </c>
      <c r="Z29">
        <v>1000000</v>
      </c>
      <c r="AA29">
        <v>1000000</v>
      </c>
      <c r="AB29">
        <v>1000000</v>
      </c>
      <c r="AC29">
        <v>1000000</v>
      </c>
      <c r="AF29" s="126">
        <f>SUM(C29:AE29)</f>
        <v>27000000</v>
      </c>
    </row>
    <row r="30" spans="1:32" ht="18.75" hidden="1" customHeight="1">
      <c r="AD30" s="205" t="s">
        <v>249</v>
      </c>
      <c r="AE30" s="205"/>
      <c r="AF30" s="127">
        <f>AF26+AF28</f>
        <v>37800000</v>
      </c>
    </row>
    <row r="31" spans="1:32" ht="18.75" hidden="1" customHeight="1">
      <c r="AD31" s="205" t="s">
        <v>250</v>
      </c>
      <c r="AE31" s="205"/>
      <c r="AF31" s="127">
        <f>AF27+AF29</f>
        <v>27000000</v>
      </c>
    </row>
    <row r="32" spans="1:32" ht="18.75" hidden="1" customHeight="1">
      <c r="AD32" s="205" t="s">
        <v>251</v>
      </c>
      <c r="AE32" s="205"/>
      <c r="AF32" s="127">
        <f>AF30-AF31</f>
        <v>10800000</v>
      </c>
    </row>
    <row r="33" spans="1:32" ht="18.75" hidden="1" customHeight="1">
      <c r="AD33" s="205" t="s">
        <v>252</v>
      </c>
      <c r="AE33" s="205"/>
      <c r="AF33" s="128">
        <f>AF32/AF30</f>
        <v>0.2857142857142857</v>
      </c>
    </row>
    <row r="34" spans="1:32" ht="18.75" hidden="1" customHeight="1"/>
    <row r="35" spans="1:32" ht="18.75" hidden="1" customHeight="1"/>
    <row r="36" spans="1:32" ht="18.75" hidden="1" customHeight="1"/>
    <row r="37" spans="1:32" ht="18.75" hidden="1" customHeight="1"/>
    <row r="38" spans="1:32" ht="18.75" hidden="1" customHeight="1"/>
    <row r="39" spans="1:32" ht="18.75" hidden="1" customHeight="1"/>
    <row r="40" spans="1:32" ht="18.75" hidden="1" customHeight="1"/>
    <row r="41" spans="1:32" ht="18.75" hidden="1" customHeight="1"/>
    <row r="42" spans="1:32" ht="18.75" customHeight="1">
      <c r="A42" s="150" t="s">
        <v>253</v>
      </c>
    </row>
    <row r="43" spans="1:32" ht="18.75" customHeight="1">
      <c r="A43" t="s">
        <v>254</v>
      </c>
    </row>
    <row r="44" spans="1:32" ht="18.75" customHeight="1">
      <c r="A44" t="s">
        <v>255</v>
      </c>
    </row>
    <row r="46" spans="1:32" ht="18.75" customHeight="1">
      <c r="A46" s="150" t="s">
        <v>256</v>
      </c>
    </row>
    <row r="47" spans="1:32" ht="18.75" customHeight="1">
      <c r="A47" s="12" t="s">
        <v>257</v>
      </c>
    </row>
    <row r="48" spans="1:32" ht="18.75" customHeight="1">
      <c r="A48" s="12" t="s">
        <v>258</v>
      </c>
    </row>
    <row r="49" spans="1:1" ht="18.75" customHeight="1">
      <c r="A49" s="12" t="s">
        <v>259</v>
      </c>
    </row>
    <row r="50" spans="1:1" ht="18.75" customHeight="1">
      <c r="A50" s="150"/>
    </row>
    <row r="52" spans="1:1" ht="18.75" customHeight="1">
      <c r="A52" s="150" t="s">
        <v>260</v>
      </c>
    </row>
    <row r="53" spans="1:1" ht="18.75" customHeight="1">
      <c r="A53" s="150" t="s">
        <v>261</v>
      </c>
    </row>
    <row r="101" spans="1:16" ht="18.75" customHeight="1">
      <c r="A101" s="150" t="s">
        <v>262</v>
      </c>
    </row>
    <row r="106" spans="1:16" ht="18.75" customHeight="1">
      <c r="I106" t="s">
        <v>263</v>
      </c>
      <c r="J106" t="s">
        <v>264</v>
      </c>
      <c r="K106" t="s">
        <v>265</v>
      </c>
      <c r="L106" t="s">
        <v>266</v>
      </c>
      <c r="M106" t="s">
        <v>267</v>
      </c>
      <c r="N106" t="s">
        <v>268</v>
      </c>
      <c r="O106" t="s">
        <v>269</v>
      </c>
    </row>
    <row r="107" spans="1:16" ht="18.75" customHeight="1">
      <c r="I107">
        <v>1</v>
      </c>
      <c r="J107" t="s">
        <v>270</v>
      </c>
      <c r="K107" t="s">
        <v>271</v>
      </c>
      <c r="L107" t="s">
        <v>272</v>
      </c>
      <c r="M107" t="s">
        <v>273</v>
      </c>
      <c r="N107">
        <v>0.5</v>
      </c>
      <c r="O107" s="154">
        <v>500000</v>
      </c>
      <c r="P107">
        <f>SUM(N107:N108)</f>
        <v>1.2</v>
      </c>
    </row>
    <row r="108" spans="1:16" ht="18.75" customHeight="1">
      <c r="M108" t="s">
        <v>274</v>
      </c>
      <c r="N108">
        <v>0.7</v>
      </c>
      <c r="O108" s="154">
        <v>700000</v>
      </c>
    </row>
    <row r="109" spans="1:16" ht="18.75" customHeight="1">
      <c r="M109" t="s">
        <v>275</v>
      </c>
      <c r="N109">
        <v>0.3</v>
      </c>
      <c r="O109" s="154">
        <v>420000</v>
      </c>
    </row>
    <row r="110" spans="1:16" ht="18.75" customHeight="1">
      <c r="M110" t="s">
        <v>276</v>
      </c>
      <c r="N110">
        <v>1.5</v>
      </c>
      <c r="O110" s="154">
        <v>1620000</v>
      </c>
    </row>
    <row r="111" spans="1:16" ht="18.75" customHeight="1">
      <c r="I111">
        <v>2</v>
      </c>
      <c r="J111" t="s">
        <v>277</v>
      </c>
      <c r="K111" t="s">
        <v>278</v>
      </c>
      <c r="L111" t="s">
        <v>272</v>
      </c>
      <c r="M111" t="s">
        <v>279</v>
      </c>
      <c r="N111">
        <v>0.8</v>
      </c>
      <c r="O111" s="154">
        <v>800000</v>
      </c>
    </row>
    <row r="112" spans="1:16" ht="18.75" customHeight="1">
      <c r="M112" t="s">
        <v>278</v>
      </c>
      <c r="N112">
        <v>1.5</v>
      </c>
      <c r="O112" s="154">
        <v>1500000</v>
      </c>
      <c r="P112">
        <f>SUM(N111:N113)</f>
        <v>3.0999999999999996</v>
      </c>
    </row>
    <row r="113" spans="9:16" ht="18.75" customHeight="1">
      <c r="M113" t="s">
        <v>280</v>
      </c>
      <c r="N113">
        <v>0.8</v>
      </c>
      <c r="O113" s="154">
        <v>800000</v>
      </c>
    </row>
    <row r="114" spans="9:16" ht="18.75" customHeight="1">
      <c r="M114" t="s">
        <v>275</v>
      </c>
      <c r="N114">
        <v>0.5</v>
      </c>
      <c r="O114" s="154">
        <v>700000</v>
      </c>
    </row>
    <row r="115" spans="9:16" ht="18.75" customHeight="1">
      <c r="M115" t="s">
        <v>276</v>
      </c>
      <c r="N115">
        <v>3.6</v>
      </c>
      <c r="O115" s="154">
        <v>3800000</v>
      </c>
    </row>
    <row r="116" spans="9:16" ht="18.75" customHeight="1">
      <c r="I116">
        <v>3</v>
      </c>
      <c r="J116" t="s">
        <v>270</v>
      </c>
      <c r="K116" t="s">
        <v>281</v>
      </c>
      <c r="L116" t="s">
        <v>272</v>
      </c>
      <c r="M116" t="s">
        <v>281</v>
      </c>
      <c r="N116">
        <v>0.9</v>
      </c>
      <c r="O116" s="154">
        <v>900000</v>
      </c>
      <c r="P116">
        <f>SUM(N116:N117)</f>
        <v>1.2</v>
      </c>
    </row>
    <row r="117" spans="9:16" ht="18.75" customHeight="1">
      <c r="M117" t="s">
        <v>282</v>
      </c>
      <c r="N117">
        <v>0.3</v>
      </c>
      <c r="O117" s="154">
        <v>300000</v>
      </c>
    </row>
    <row r="118" spans="9:16" ht="18.75" customHeight="1">
      <c r="M118" t="s">
        <v>275</v>
      </c>
      <c r="N118">
        <v>0.2</v>
      </c>
      <c r="O118" s="154">
        <v>280000</v>
      </c>
    </row>
    <row r="119" spans="9:16" ht="18.75" customHeight="1">
      <c r="M119" t="s">
        <v>276</v>
      </c>
      <c r="N119">
        <v>1.4</v>
      </c>
      <c r="O119" s="154">
        <v>1480000</v>
      </c>
      <c r="P119">
        <f>SUM(N119:N120)</f>
        <v>1.9</v>
      </c>
    </row>
    <row r="120" spans="9:16" ht="18.75" customHeight="1">
      <c r="I120">
        <v>4</v>
      </c>
      <c r="J120" t="s">
        <v>270</v>
      </c>
      <c r="K120" t="s">
        <v>283</v>
      </c>
      <c r="L120" t="s">
        <v>272</v>
      </c>
      <c r="M120" t="s">
        <v>283</v>
      </c>
      <c r="N120">
        <v>0.5</v>
      </c>
      <c r="O120" s="154">
        <v>500000</v>
      </c>
    </row>
    <row r="121" spans="9:16" ht="18.75" customHeight="1">
      <c r="K121" t="s">
        <v>284</v>
      </c>
      <c r="M121" t="s">
        <v>284</v>
      </c>
      <c r="N121">
        <v>0.3</v>
      </c>
      <c r="O121" s="154">
        <v>300000</v>
      </c>
    </row>
    <row r="122" spans="9:16" ht="18.75" customHeight="1">
      <c r="M122" t="s">
        <v>275</v>
      </c>
      <c r="N122">
        <v>0.1</v>
      </c>
      <c r="O122" s="154">
        <v>140000</v>
      </c>
    </row>
    <row r="123" spans="9:16" ht="18.75" customHeight="1">
      <c r="M123" t="s">
        <v>276</v>
      </c>
      <c r="N123">
        <v>0.9</v>
      </c>
      <c r="O123" s="154">
        <v>940000</v>
      </c>
    </row>
    <row r="124" spans="9:16" ht="18.75" customHeight="1">
      <c r="I124" t="s">
        <v>242</v>
      </c>
      <c r="N124">
        <v>7.4</v>
      </c>
      <c r="O124" s="154">
        <v>7840000</v>
      </c>
    </row>
  </sheetData>
  <mergeCells count="14">
    <mergeCell ref="AD33:AE33"/>
    <mergeCell ref="A26:A27"/>
    <mergeCell ref="A28:A29"/>
    <mergeCell ref="AD30:AE30"/>
    <mergeCell ref="AD31:AE31"/>
    <mergeCell ref="AD32:AE32"/>
    <mergeCell ref="AA2:AE2"/>
    <mergeCell ref="A5:B5"/>
    <mergeCell ref="B2:B3"/>
    <mergeCell ref="A2:A3"/>
    <mergeCell ref="A25:B25"/>
    <mergeCell ref="O2:Z2"/>
    <mergeCell ref="C2:N2"/>
    <mergeCell ref="A4:B4"/>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19"/>
  <sheetViews>
    <sheetView topLeftCell="A4" zoomScale="80" zoomScaleNormal="80" workbookViewId="0">
      <selection activeCell="D8" sqref="D8"/>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285</v>
      </c>
    </row>
    <row r="2" spans="2:20">
      <c r="D2" s="50" t="s">
        <v>181</v>
      </c>
      <c r="E2" s="211" t="s">
        <v>182</v>
      </c>
      <c r="F2" s="212"/>
      <c r="G2" s="212"/>
      <c r="H2" s="212"/>
      <c r="I2" s="213"/>
      <c r="J2" s="214" t="s">
        <v>4</v>
      </c>
      <c r="K2" s="212"/>
      <c r="L2" s="212"/>
      <c r="M2" s="212"/>
      <c r="N2" s="213"/>
      <c r="O2" s="214" t="s">
        <v>183</v>
      </c>
      <c r="P2" s="212"/>
      <c r="Q2" s="212"/>
      <c r="R2" s="212"/>
      <c r="S2" s="213"/>
    </row>
    <row r="3" spans="2:20">
      <c r="B3" s="19"/>
      <c r="C3" s="19"/>
      <c r="D3" s="20"/>
      <c r="E3" s="208" t="s">
        <v>286</v>
      </c>
      <c r="F3" s="209"/>
      <c r="G3" s="209"/>
      <c r="H3" s="210"/>
      <c r="I3" s="38"/>
      <c r="J3" s="208" t="s">
        <v>286</v>
      </c>
      <c r="K3" s="209"/>
      <c r="L3" s="209"/>
      <c r="M3" s="210"/>
      <c r="N3" s="38"/>
      <c r="O3" s="208" t="s">
        <v>286</v>
      </c>
      <c r="P3" s="209"/>
      <c r="Q3" s="209"/>
      <c r="R3" s="210"/>
      <c r="S3" s="38"/>
      <c r="T3" s="19"/>
    </row>
    <row r="4" spans="2:20" ht="39.75" customHeight="1">
      <c r="B4" s="22" t="s">
        <v>188</v>
      </c>
      <c r="C4" s="22" t="s">
        <v>287</v>
      </c>
      <c r="D4" s="22" t="s">
        <v>288</v>
      </c>
      <c r="E4" s="39" t="s">
        <v>289</v>
      </c>
      <c r="F4" s="23" t="s">
        <v>192</v>
      </c>
      <c r="G4" s="23" t="s">
        <v>290</v>
      </c>
      <c r="H4" s="23" t="s">
        <v>195</v>
      </c>
      <c r="I4" s="40" t="s">
        <v>291</v>
      </c>
      <c r="J4" s="39" t="s">
        <v>289</v>
      </c>
      <c r="K4" s="23" t="s">
        <v>192</v>
      </c>
      <c r="L4" s="23" t="s">
        <v>290</v>
      </c>
      <c r="M4" s="23" t="s">
        <v>195</v>
      </c>
      <c r="N4" s="40" t="s">
        <v>291</v>
      </c>
      <c r="O4" s="39" t="s">
        <v>289</v>
      </c>
      <c r="P4" s="23" t="s">
        <v>192</v>
      </c>
      <c r="Q4" s="23" t="s">
        <v>290</v>
      </c>
      <c r="R4" s="23" t="s">
        <v>195</v>
      </c>
      <c r="S4" s="40" t="s">
        <v>291</v>
      </c>
      <c r="T4" s="22" t="s">
        <v>184</v>
      </c>
    </row>
    <row r="5" spans="2:20" ht="36">
      <c r="B5" s="24">
        <v>1</v>
      </c>
      <c r="C5" s="24" t="s">
        <v>292</v>
      </c>
      <c r="D5" s="25" t="s">
        <v>293</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c r="B6" s="24">
        <v>2</v>
      </c>
      <c r="C6" s="24" t="s">
        <v>292</v>
      </c>
      <c r="D6" s="25" t="s">
        <v>294</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c r="B7" s="24">
        <v>3</v>
      </c>
      <c r="C7" s="24" t="s">
        <v>295</v>
      </c>
      <c r="D7" s="24" t="s">
        <v>296</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c r="B8" s="24">
        <v>4</v>
      </c>
      <c r="C8" s="24" t="s">
        <v>297</v>
      </c>
      <c r="D8" s="25" t="s">
        <v>298</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c r="B9" s="24">
        <v>5</v>
      </c>
      <c r="C9" s="24" t="s">
        <v>297</v>
      </c>
      <c r="D9" s="25" t="s">
        <v>299</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c r="B10" s="24">
        <v>6</v>
      </c>
      <c r="C10" s="24" t="s">
        <v>297</v>
      </c>
      <c r="D10" s="25" t="s">
        <v>300</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c r="B11" s="24">
        <v>7</v>
      </c>
      <c r="C11" s="24" t="s">
        <v>301</v>
      </c>
      <c r="D11" s="24" t="s">
        <v>302</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c r="B12" s="24">
        <v>8</v>
      </c>
      <c r="C12" s="24" t="s">
        <v>303</v>
      </c>
      <c r="D12" s="24" t="s">
        <v>304</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c r="B13" s="24">
        <v>9</v>
      </c>
      <c r="C13" s="24" t="s">
        <v>305</v>
      </c>
      <c r="D13" s="25" t="s">
        <v>306</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307</v>
      </c>
    </row>
    <row r="14" spans="2:20">
      <c r="B14" s="24">
        <v>10</v>
      </c>
      <c r="C14" s="24" t="s">
        <v>305</v>
      </c>
      <c r="D14" s="24" t="s">
        <v>308</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309</v>
      </c>
    </row>
    <row r="15" spans="2:20">
      <c r="E15" s="43"/>
      <c r="I15" s="44"/>
      <c r="J15" s="43"/>
      <c r="N15" s="44"/>
      <c r="O15" s="43"/>
      <c r="S15" s="44"/>
    </row>
    <row r="16" spans="2:20">
      <c r="D16" s="24" t="s">
        <v>310</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c r="E17" s="43"/>
      <c r="I17" s="44"/>
      <c r="J17" s="43"/>
      <c r="N17" s="44"/>
      <c r="O17" s="43"/>
      <c r="S17" s="44"/>
    </row>
    <row r="18" spans="4:19">
      <c r="D18" s="24" t="s">
        <v>311</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600000000000001" thickBot="1">
      <c r="D19" s="24" t="s">
        <v>312</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7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T36"/>
  <sheetViews>
    <sheetView zoomScale="80" zoomScaleNormal="80" workbookViewId="0">
      <selection activeCell="C1" sqref="C1"/>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313</v>
      </c>
    </row>
    <row r="2" spans="2:20">
      <c r="D2" s="50" t="s">
        <v>181</v>
      </c>
      <c r="E2" s="211" t="s">
        <v>182</v>
      </c>
      <c r="F2" s="212"/>
      <c r="G2" s="212"/>
      <c r="H2" s="212"/>
      <c r="I2" s="213"/>
      <c r="J2" s="214" t="s">
        <v>4</v>
      </c>
      <c r="K2" s="212"/>
      <c r="L2" s="212"/>
      <c r="M2" s="212"/>
      <c r="N2" s="213"/>
      <c r="O2" s="214" t="s">
        <v>183</v>
      </c>
      <c r="P2" s="212"/>
      <c r="Q2" s="212"/>
      <c r="R2" s="212"/>
      <c r="S2" s="213"/>
    </row>
    <row r="3" spans="2:20">
      <c r="B3" s="19"/>
      <c r="C3" s="19"/>
      <c r="D3" s="20"/>
      <c r="E3" s="208" t="s">
        <v>286</v>
      </c>
      <c r="F3" s="209"/>
      <c r="G3" s="209"/>
      <c r="H3" s="210"/>
      <c r="I3" s="38"/>
      <c r="J3" s="208" t="s">
        <v>286</v>
      </c>
      <c r="K3" s="209"/>
      <c r="L3" s="209"/>
      <c r="M3" s="210"/>
      <c r="N3" s="38"/>
      <c r="O3" s="208" t="s">
        <v>286</v>
      </c>
      <c r="P3" s="209"/>
      <c r="Q3" s="209"/>
      <c r="R3" s="210"/>
      <c r="S3" s="38"/>
      <c r="T3" s="19"/>
    </row>
    <row r="4" spans="2:20" ht="39.75" customHeight="1">
      <c r="B4" s="22" t="s">
        <v>188</v>
      </c>
      <c r="C4" s="22" t="s">
        <v>287</v>
      </c>
      <c r="D4" s="22" t="s">
        <v>288</v>
      </c>
      <c r="E4" s="39" t="s">
        <v>289</v>
      </c>
      <c r="F4" s="23" t="s">
        <v>192</v>
      </c>
      <c r="G4" s="23" t="s">
        <v>290</v>
      </c>
      <c r="H4" s="23" t="s">
        <v>195</v>
      </c>
      <c r="I4" s="40" t="s">
        <v>291</v>
      </c>
      <c r="J4" s="39" t="s">
        <v>289</v>
      </c>
      <c r="K4" s="23" t="s">
        <v>192</v>
      </c>
      <c r="L4" s="23" t="s">
        <v>290</v>
      </c>
      <c r="M4" s="23" t="s">
        <v>195</v>
      </c>
      <c r="N4" s="40" t="s">
        <v>291</v>
      </c>
      <c r="O4" s="39" t="s">
        <v>289</v>
      </c>
      <c r="P4" s="23" t="s">
        <v>192</v>
      </c>
      <c r="Q4" s="23" t="s">
        <v>290</v>
      </c>
      <c r="R4" s="23" t="s">
        <v>195</v>
      </c>
      <c r="S4" s="40" t="s">
        <v>291</v>
      </c>
      <c r="T4" s="22" t="s">
        <v>184</v>
      </c>
    </row>
    <row r="5" spans="2:20" ht="36">
      <c r="B5" s="24">
        <v>1</v>
      </c>
      <c r="C5" s="24" t="s">
        <v>292</v>
      </c>
      <c r="D5" s="25" t="s">
        <v>314</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315</v>
      </c>
    </row>
    <row r="6" spans="2:20" ht="36">
      <c r="B6" s="24">
        <v>2</v>
      </c>
      <c r="C6" s="24" t="s">
        <v>292</v>
      </c>
      <c r="D6" s="25" t="s">
        <v>316</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315</v>
      </c>
    </row>
    <row r="7" spans="2:20" ht="36">
      <c r="B7" s="24">
        <v>3</v>
      </c>
      <c r="C7" s="24" t="s">
        <v>292</v>
      </c>
      <c r="D7" s="25" t="s">
        <v>316</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315</v>
      </c>
    </row>
    <row r="8" spans="2:20" ht="36">
      <c r="B8" s="24">
        <v>4</v>
      </c>
      <c r="C8" s="24" t="s">
        <v>292</v>
      </c>
      <c r="D8" s="25" t="s">
        <v>316</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315</v>
      </c>
    </row>
    <row r="9" spans="2:20" ht="36">
      <c r="B9" s="24">
        <v>5</v>
      </c>
      <c r="C9" s="24" t="s">
        <v>292</v>
      </c>
      <c r="D9" s="25" t="s">
        <v>314</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315</v>
      </c>
    </row>
    <row r="10" spans="2:20">
      <c r="B10" s="24">
        <v>6</v>
      </c>
      <c r="C10" s="24" t="s">
        <v>295</v>
      </c>
      <c r="D10" s="24" t="s">
        <v>317</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c r="B11" s="24">
        <v>7</v>
      </c>
      <c r="C11" s="24" t="s">
        <v>295</v>
      </c>
      <c r="D11" s="24" t="s">
        <v>317</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c r="B12" s="24">
        <v>8</v>
      </c>
      <c r="C12" s="24" t="s">
        <v>318</v>
      </c>
      <c r="D12" s="24" t="s">
        <v>319</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c r="B13" s="24">
        <v>9</v>
      </c>
      <c r="C13" s="24" t="s">
        <v>318</v>
      </c>
      <c r="D13" s="24" t="s">
        <v>319</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c r="B14" s="24">
        <v>10</v>
      </c>
      <c r="C14" s="24" t="s">
        <v>318</v>
      </c>
      <c r="D14" s="24" t="s">
        <v>319</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c r="B15" s="24">
        <v>11</v>
      </c>
      <c r="C15" s="24" t="s">
        <v>318</v>
      </c>
      <c r="D15" s="24" t="s">
        <v>319</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c r="B16" s="24">
        <v>12</v>
      </c>
      <c r="C16" s="24" t="s">
        <v>318</v>
      </c>
      <c r="D16" s="24" t="s">
        <v>319</v>
      </c>
      <c r="E16" s="41" t="s">
        <v>122</v>
      </c>
      <c r="F16" s="26">
        <v>0.25</v>
      </c>
      <c r="G16" s="26">
        <v>0.5</v>
      </c>
      <c r="H16" s="26">
        <f t="shared" si="3"/>
        <v>0.11249999999999999</v>
      </c>
      <c r="I16" s="42">
        <f t="shared" si="0"/>
        <v>0.86250000000000004</v>
      </c>
      <c r="J16" s="41" t="s">
        <v>122</v>
      </c>
      <c r="K16" s="26">
        <v>0.25</v>
      </c>
      <c r="L16" s="26">
        <v>0.5</v>
      </c>
      <c r="M16" s="26">
        <f t="shared" si="4"/>
        <v>0.11249999999999999</v>
      </c>
      <c r="N16" s="42">
        <f t="shared" si="1"/>
        <v>0.86250000000000004</v>
      </c>
      <c r="O16" s="41" t="s">
        <v>122</v>
      </c>
      <c r="P16" s="26">
        <v>0.25</v>
      </c>
      <c r="Q16" s="26">
        <v>0.5</v>
      </c>
      <c r="R16" s="26">
        <f t="shared" si="5"/>
        <v>0.11249999999999999</v>
      </c>
      <c r="S16" s="42">
        <f t="shared" si="2"/>
        <v>0.86250000000000004</v>
      </c>
      <c r="T16" s="27"/>
    </row>
    <row r="17" spans="2:20">
      <c r="B17" s="24">
        <v>13</v>
      </c>
      <c r="C17" s="24" t="s">
        <v>301</v>
      </c>
      <c r="D17" s="24" t="s">
        <v>302</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c r="B18" s="24">
        <v>14</v>
      </c>
      <c r="C18" s="24" t="s">
        <v>301</v>
      </c>
      <c r="D18" s="24" t="s">
        <v>302</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c r="B19" s="24">
        <v>15</v>
      </c>
      <c r="C19" s="24" t="s">
        <v>301</v>
      </c>
      <c r="D19" s="24" t="s">
        <v>302</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c r="B20" s="24">
        <v>16</v>
      </c>
      <c r="C20" s="24" t="s">
        <v>297</v>
      </c>
      <c r="D20" s="25" t="s">
        <v>320</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c r="B21" s="24">
        <v>17</v>
      </c>
      <c r="C21" s="24" t="s">
        <v>297</v>
      </c>
      <c r="D21" s="25" t="s">
        <v>320</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c r="B22" s="24">
        <v>18</v>
      </c>
      <c r="C22" s="24" t="s">
        <v>297</v>
      </c>
      <c r="D22" s="25" t="s">
        <v>320</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c r="B23" s="24">
        <v>19</v>
      </c>
      <c r="C23" s="24" t="s">
        <v>297</v>
      </c>
      <c r="D23" s="25" t="s">
        <v>320</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c r="B24" s="24">
        <v>20</v>
      </c>
      <c r="C24" s="24" t="s">
        <v>297</v>
      </c>
      <c r="D24" s="25" t="s">
        <v>320</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c r="B25" s="24">
        <v>21</v>
      </c>
      <c r="C25" s="24" t="s">
        <v>303</v>
      </c>
      <c r="D25" s="24" t="s">
        <v>304</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c r="B26" s="24">
        <v>22</v>
      </c>
      <c r="C26" s="24" t="s">
        <v>303</v>
      </c>
      <c r="D26" s="24" t="s">
        <v>304</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c r="B27" s="24">
        <v>23</v>
      </c>
      <c r="C27" s="24" t="s">
        <v>303</v>
      </c>
      <c r="D27" s="24" t="s">
        <v>304</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c r="B28" s="24">
        <v>24</v>
      </c>
      <c r="C28" s="24" t="s">
        <v>303</v>
      </c>
      <c r="D28" s="24" t="s">
        <v>304</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c r="B29" s="24">
        <v>25</v>
      </c>
      <c r="C29" s="24" t="s">
        <v>305</v>
      </c>
      <c r="D29" s="25" t="s">
        <v>306</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307</v>
      </c>
    </row>
    <row r="30" spans="2:20">
      <c r="B30" s="24">
        <v>26</v>
      </c>
      <c r="C30" s="24" t="s">
        <v>305</v>
      </c>
      <c r="D30" s="24" t="s">
        <v>308</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309</v>
      </c>
    </row>
    <row r="31" spans="2:20">
      <c r="B31" s="24">
        <v>27</v>
      </c>
      <c r="C31" s="24" t="s">
        <v>305</v>
      </c>
      <c r="D31" s="24" t="s">
        <v>308</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321</v>
      </c>
    </row>
    <row r="32" spans="2:20">
      <c r="E32" s="43"/>
      <c r="I32" s="44"/>
      <c r="J32" s="43"/>
      <c r="N32" s="44"/>
      <c r="O32" s="43"/>
      <c r="S32" s="44"/>
    </row>
    <row r="33" spans="4:20">
      <c r="D33" s="24" t="s">
        <v>310</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c r="E34" s="43"/>
      <c r="I34" s="44"/>
      <c r="J34" s="43"/>
      <c r="N34" s="44"/>
      <c r="O34" s="43"/>
      <c r="S34" s="44"/>
    </row>
    <row r="35" spans="4:20">
      <c r="D35" s="24" t="s">
        <v>311</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600000000000001" thickBot="1">
      <c r="D36" s="24" t="s">
        <v>312</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8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21"/>
  <sheetViews>
    <sheetView zoomScale="90" zoomScaleNormal="90" workbookViewId="0"/>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313</v>
      </c>
      <c r="C1" s="53" t="s">
        <v>322</v>
      </c>
    </row>
    <row r="2" spans="2:9" ht="18">
      <c r="B2" s="53" t="s">
        <v>323</v>
      </c>
      <c r="C2" s="53" t="s">
        <v>25</v>
      </c>
    </row>
    <row r="3" spans="2:9" ht="39.75" customHeight="1">
      <c r="B3" s="129" t="s">
        <v>267</v>
      </c>
      <c r="C3" s="129" t="s">
        <v>324</v>
      </c>
      <c r="D3" s="129" t="s">
        <v>325</v>
      </c>
      <c r="E3" s="130" t="s">
        <v>196</v>
      </c>
      <c r="F3" s="129" t="s">
        <v>326</v>
      </c>
      <c r="G3" s="129" t="s">
        <v>184</v>
      </c>
    </row>
    <row r="4" spans="2:9" ht="52.5" customHeight="1">
      <c r="B4" s="225" t="s">
        <v>190</v>
      </c>
      <c r="C4" s="132" t="s">
        <v>60</v>
      </c>
      <c r="D4" s="133">
        <v>0.3</v>
      </c>
      <c r="E4" s="228">
        <v>1.2</v>
      </c>
      <c r="F4" s="222" t="s">
        <v>327</v>
      </c>
      <c r="G4" s="134" t="s">
        <v>328</v>
      </c>
    </row>
    <row r="5" spans="2:9" ht="39" customHeight="1">
      <c r="B5" s="226"/>
      <c r="C5" s="132" t="s">
        <v>329</v>
      </c>
      <c r="D5" s="133">
        <v>0.3</v>
      </c>
      <c r="E5" s="229"/>
      <c r="F5" s="223"/>
      <c r="G5" s="134" t="s">
        <v>330</v>
      </c>
    </row>
    <row r="6" spans="2:9" ht="39" customHeight="1">
      <c r="B6" s="227"/>
      <c r="C6" s="132" t="s">
        <v>331</v>
      </c>
      <c r="D6" s="135">
        <v>0.6</v>
      </c>
      <c r="E6" s="230"/>
      <c r="F6" s="134"/>
      <c r="G6" s="134"/>
    </row>
    <row r="7" spans="2:9" ht="39" customHeight="1">
      <c r="B7" s="216" t="s">
        <v>191</v>
      </c>
      <c r="C7" s="132" t="s">
        <v>332</v>
      </c>
      <c r="D7" s="133">
        <v>0.6</v>
      </c>
      <c r="E7" s="218">
        <v>1.1000000000000001</v>
      </c>
      <c r="F7" s="134" t="s">
        <v>333</v>
      </c>
      <c r="G7" s="134" t="s">
        <v>334</v>
      </c>
    </row>
    <row r="8" spans="2:9" ht="39" customHeight="1">
      <c r="B8" s="217"/>
      <c r="C8" s="132" t="s">
        <v>60</v>
      </c>
      <c r="D8" s="133">
        <v>0.3</v>
      </c>
      <c r="E8" s="219"/>
      <c r="F8" s="134" t="s">
        <v>335</v>
      </c>
      <c r="G8" s="134" t="s">
        <v>336</v>
      </c>
    </row>
    <row r="9" spans="2:9" ht="68.25" customHeight="1">
      <c r="B9" s="217"/>
      <c r="C9" s="132" t="s">
        <v>337</v>
      </c>
      <c r="D9" s="133">
        <v>0.1</v>
      </c>
      <c r="E9" s="219"/>
      <c r="F9" s="140" t="s">
        <v>338</v>
      </c>
      <c r="G9" s="134" t="s">
        <v>339</v>
      </c>
      <c r="H9" s="53">
        <f>15*0.2*3*1.2/8/20</f>
        <v>6.7499999999999991E-2</v>
      </c>
      <c r="I9" s="53">
        <f>68*0.2*1.2*3/8/20</f>
        <v>0.30599999999999999</v>
      </c>
    </row>
    <row r="10" spans="2:9" ht="68.25" customHeight="1">
      <c r="B10" s="217"/>
      <c r="C10" s="132" t="s">
        <v>340</v>
      </c>
      <c r="D10" s="133">
        <v>0.1</v>
      </c>
      <c r="E10" s="220"/>
      <c r="F10" s="140" t="s">
        <v>338</v>
      </c>
      <c r="G10" s="134" t="s">
        <v>341</v>
      </c>
      <c r="H10" s="53">
        <f>8*0.2*3*1.2/8/20</f>
        <v>3.6000000000000004E-2</v>
      </c>
      <c r="I10" s="53">
        <f>68*0.2*1.2*3/8/20</f>
        <v>0.30599999999999999</v>
      </c>
    </row>
    <row r="11" spans="2:9" ht="71.25" customHeight="1">
      <c r="B11" s="216" t="s">
        <v>192</v>
      </c>
      <c r="C11" s="132" t="s">
        <v>49</v>
      </c>
      <c r="D11" s="133">
        <v>0.9</v>
      </c>
      <c r="E11" s="218">
        <v>1.2</v>
      </c>
      <c r="F11" s="134"/>
      <c r="G11" s="134" t="s">
        <v>342</v>
      </c>
    </row>
    <row r="12" spans="2:9" ht="55.5" customHeight="1">
      <c r="B12" s="217"/>
      <c r="C12" s="132" t="s">
        <v>343</v>
      </c>
      <c r="D12" s="133">
        <v>0.2</v>
      </c>
      <c r="E12" s="219"/>
      <c r="F12" s="140" t="s">
        <v>344</v>
      </c>
      <c r="G12" s="134" t="s">
        <v>345</v>
      </c>
      <c r="H12" s="53">
        <f>15*0.2*5*1.2/8/20</f>
        <v>0.1125</v>
      </c>
      <c r="I12" s="53">
        <f>68*0.2*5*1.2/8/20</f>
        <v>0.51</v>
      </c>
    </row>
    <row r="13" spans="2:9" ht="55.5" customHeight="1">
      <c r="B13" s="221"/>
      <c r="C13" s="132" t="s">
        <v>340</v>
      </c>
      <c r="D13" s="133">
        <v>0.1</v>
      </c>
      <c r="E13" s="220"/>
      <c r="F13" s="140" t="s">
        <v>344</v>
      </c>
      <c r="G13" s="134" t="s">
        <v>346</v>
      </c>
      <c r="H13" s="53">
        <f>8*0.2*5*1.2/8/20</f>
        <v>0.06</v>
      </c>
      <c r="I13" s="53">
        <f>68*0.2*5*1.2/8/20</f>
        <v>0.51</v>
      </c>
    </row>
    <row r="14" spans="2:9" ht="82.5" customHeight="1">
      <c r="B14" s="216" t="s">
        <v>193</v>
      </c>
      <c r="C14" s="132" t="s">
        <v>347</v>
      </c>
      <c r="D14" s="133">
        <v>0.5</v>
      </c>
      <c r="E14" s="218">
        <v>3.1</v>
      </c>
      <c r="F14" s="222" t="s">
        <v>348</v>
      </c>
      <c r="G14" s="134" t="s">
        <v>349</v>
      </c>
      <c r="H14" s="53">
        <f>15*4*1.2/8/20</f>
        <v>0.45</v>
      </c>
      <c r="I14" s="53">
        <f>68*4*1.2/8/20</f>
        <v>2.04</v>
      </c>
    </row>
    <row r="15" spans="2:9" ht="82.5" customHeight="1">
      <c r="B15" s="217"/>
      <c r="C15" s="132" t="s">
        <v>350</v>
      </c>
      <c r="D15" s="133">
        <v>0.3</v>
      </c>
      <c r="E15" s="219"/>
      <c r="F15" s="224"/>
      <c r="G15" s="134" t="s">
        <v>351</v>
      </c>
      <c r="H15" s="53">
        <f>8*4*1.2/8/20</f>
        <v>0.24</v>
      </c>
      <c r="I15" s="53">
        <f>68*4*1.2/8/20</f>
        <v>2.04</v>
      </c>
    </row>
    <row r="16" spans="2:9" ht="39.75" customHeight="1">
      <c r="B16" s="217"/>
      <c r="C16" s="132" t="s">
        <v>352</v>
      </c>
      <c r="D16" s="133">
        <v>0.3</v>
      </c>
      <c r="E16" s="219"/>
      <c r="F16" s="224"/>
      <c r="G16" s="134" t="s">
        <v>353</v>
      </c>
    </row>
    <row r="17" spans="2:7" ht="135" customHeight="1">
      <c r="B17" s="217"/>
      <c r="C17" s="132" t="s">
        <v>354</v>
      </c>
      <c r="D17" s="133">
        <v>1.98</v>
      </c>
      <c r="E17" s="220"/>
      <c r="F17" s="223"/>
      <c r="G17" s="134" t="s">
        <v>355</v>
      </c>
    </row>
    <row r="18" spans="2:7" ht="54">
      <c r="B18" s="216" t="s">
        <v>194</v>
      </c>
      <c r="C18" s="132" t="s">
        <v>356</v>
      </c>
      <c r="D18" s="133">
        <v>1.2</v>
      </c>
      <c r="E18" s="218">
        <v>3.6</v>
      </c>
      <c r="F18" s="141" t="s">
        <v>357</v>
      </c>
      <c r="G18" s="134" t="s">
        <v>358</v>
      </c>
    </row>
    <row r="19" spans="2:7" ht="39.75" customHeight="1">
      <c r="B19" s="221"/>
      <c r="C19" s="132" t="s">
        <v>284</v>
      </c>
      <c r="D19" s="133">
        <v>2.4</v>
      </c>
      <c r="E19" s="220"/>
      <c r="F19" s="142" t="s">
        <v>359</v>
      </c>
      <c r="G19" s="137" t="s">
        <v>360</v>
      </c>
    </row>
    <row r="20" spans="2:7" ht="102" customHeight="1">
      <c r="B20" s="131" t="s">
        <v>195</v>
      </c>
      <c r="C20" s="138" t="s">
        <v>361</v>
      </c>
      <c r="D20" s="135">
        <v>3</v>
      </c>
      <c r="E20" s="136">
        <v>3</v>
      </c>
      <c r="F20" s="139" t="s">
        <v>362</v>
      </c>
      <c r="G20" s="139" t="s">
        <v>363</v>
      </c>
    </row>
    <row r="21" spans="2:7" ht="18">
      <c r="B21" s="215" t="s">
        <v>242</v>
      </c>
      <c r="C21" s="215"/>
      <c r="D21" s="215"/>
      <c r="E21" s="81">
        <f>SUM(E4:E20)</f>
        <v>13.2</v>
      </c>
      <c r="F21" s="116"/>
      <c r="G21" s="116"/>
    </row>
  </sheetData>
  <autoFilter ref="B3:G21" xr:uid="{00000000-0009-0000-0000-000009000000}"/>
  <mergeCells count="13">
    <mergeCell ref="F4:F5"/>
    <mergeCell ref="F14:F17"/>
    <mergeCell ref="B14:B17"/>
    <mergeCell ref="E14:E17"/>
    <mergeCell ref="B18:B19"/>
    <mergeCell ref="E18:E19"/>
    <mergeCell ref="B4:B6"/>
    <mergeCell ref="E4:E6"/>
    <mergeCell ref="B21:D21"/>
    <mergeCell ref="B7:B10"/>
    <mergeCell ref="E7:E10"/>
    <mergeCell ref="B11:B13"/>
    <mergeCell ref="E11:E13"/>
  </mergeCells>
  <phoneticPr fontId="2"/>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8"/>
  <sheetViews>
    <sheetView zoomScale="80" zoomScaleNormal="80" workbookViewId="0"/>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313</v>
      </c>
      <c r="C1" s="53" t="s">
        <v>364</v>
      </c>
    </row>
    <row r="2" spans="2:9" ht="18">
      <c r="B2" s="53" t="s">
        <v>323</v>
      </c>
      <c r="C2" s="53" t="s">
        <v>25</v>
      </c>
    </row>
    <row r="3" spans="2:9" ht="39.75" customHeight="1">
      <c r="B3" s="129" t="s">
        <v>267</v>
      </c>
      <c r="C3" s="129" t="s">
        <v>324</v>
      </c>
      <c r="D3" s="129" t="s">
        <v>325</v>
      </c>
      <c r="E3" s="130" t="s">
        <v>196</v>
      </c>
      <c r="F3" s="129" t="s">
        <v>326</v>
      </c>
      <c r="G3" s="129" t="s">
        <v>184</v>
      </c>
    </row>
    <row r="4" spans="2:9" ht="52.5" customHeight="1">
      <c r="B4" s="225" t="s">
        <v>190</v>
      </c>
      <c r="C4" s="132" t="s">
        <v>60</v>
      </c>
      <c r="D4" s="133">
        <v>0.3</v>
      </c>
      <c r="E4" s="228">
        <v>1.2</v>
      </c>
      <c r="F4" s="222" t="s">
        <v>327</v>
      </c>
      <c r="G4" s="134" t="s">
        <v>328</v>
      </c>
    </row>
    <row r="5" spans="2:9" ht="39" customHeight="1">
      <c r="B5" s="226"/>
      <c r="C5" s="132" t="s">
        <v>329</v>
      </c>
      <c r="D5" s="133">
        <v>0.3</v>
      </c>
      <c r="E5" s="229"/>
      <c r="F5" s="223"/>
      <c r="G5" s="134" t="s">
        <v>330</v>
      </c>
    </row>
    <row r="6" spans="2:9" ht="39" customHeight="1">
      <c r="B6" s="227"/>
      <c r="C6" s="132" t="s">
        <v>331</v>
      </c>
      <c r="D6" s="135">
        <v>0.6</v>
      </c>
      <c r="E6" s="230"/>
      <c r="F6" s="134"/>
      <c r="G6" s="134"/>
    </row>
    <row r="7" spans="2:9" ht="39" customHeight="1">
      <c r="B7" s="216" t="s">
        <v>191</v>
      </c>
      <c r="C7" s="132" t="s">
        <v>332</v>
      </c>
      <c r="D7" s="133">
        <v>0.6</v>
      </c>
      <c r="E7" s="218">
        <v>1.2</v>
      </c>
      <c r="F7" s="134" t="s">
        <v>333</v>
      </c>
      <c r="G7" s="134" t="s">
        <v>334</v>
      </c>
    </row>
    <row r="8" spans="2:9" ht="39" customHeight="1">
      <c r="B8" s="217"/>
      <c r="C8" s="132" t="s">
        <v>60</v>
      </c>
      <c r="D8" s="133">
        <v>0.3</v>
      </c>
      <c r="E8" s="219"/>
      <c r="F8" s="134" t="s">
        <v>335</v>
      </c>
      <c r="G8" s="134" t="s">
        <v>336</v>
      </c>
    </row>
    <row r="9" spans="2:9" ht="68.25" customHeight="1">
      <c r="B9" s="217"/>
      <c r="C9" s="132" t="s">
        <v>337</v>
      </c>
      <c r="D9" s="133">
        <v>0.3</v>
      </c>
      <c r="E9" s="220"/>
      <c r="F9" s="140" t="s">
        <v>338</v>
      </c>
      <c r="G9" s="134" t="s">
        <v>365</v>
      </c>
      <c r="H9" s="53">
        <f>53*0.2*3*1.2/8/20</f>
        <v>0.23850000000000002</v>
      </c>
      <c r="I9" s="53">
        <f>68*0.2*1.2*3/8/20</f>
        <v>0.30599999999999999</v>
      </c>
    </row>
    <row r="10" spans="2:9" ht="71.25" customHeight="1">
      <c r="B10" s="216" t="s">
        <v>192</v>
      </c>
      <c r="C10" s="132" t="s">
        <v>49</v>
      </c>
      <c r="D10" s="133">
        <v>0.9</v>
      </c>
      <c r="E10" s="218">
        <v>1.3</v>
      </c>
      <c r="F10" s="134"/>
      <c r="G10" s="134" t="s">
        <v>342</v>
      </c>
    </row>
    <row r="11" spans="2:9" ht="55.5" customHeight="1">
      <c r="B11" s="221"/>
      <c r="C11" s="132" t="s">
        <v>343</v>
      </c>
      <c r="D11" s="133">
        <v>0.4</v>
      </c>
      <c r="E11" s="220"/>
      <c r="F11" s="140" t="s">
        <v>344</v>
      </c>
      <c r="G11" s="134" t="s">
        <v>366</v>
      </c>
      <c r="H11" s="53">
        <f>53*0.2*5*1.2/8/20</f>
        <v>0.39750000000000008</v>
      </c>
      <c r="I11" s="53">
        <f>68*0.2*5*1.2/8/20</f>
        <v>0.51</v>
      </c>
    </row>
    <row r="12" spans="2:9" ht="82.5" customHeight="1">
      <c r="B12" s="216" t="s">
        <v>193</v>
      </c>
      <c r="C12" s="132" t="s">
        <v>347</v>
      </c>
      <c r="D12" s="133">
        <v>1.6</v>
      </c>
      <c r="E12" s="218">
        <v>3.9</v>
      </c>
      <c r="F12" s="222" t="s">
        <v>348</v>
      </c>
      <c r="G12" s="134" t="s">
        <v>367</v>
      </c>
      <c r="H12" s="53">
        <f>53*4*1.2/8/20</f>
        <v>1.5899999999999999</v>
      </c>
      <c r="I12" s="53">
        <f>68*4*1.2/8/20</f>
        <v>2.04</v>
      </c>
    </row>
    <row r="13" spans="2:9" ht="39.75" customHeight="1">
      <c r="B13" s="217"/>
      <c r="C13" s="132" t="s">
        <v>352</v>
      </c>
      <c r="D13" s="133">
        <v>0.3</v>
      </c>
      <c r="E13" s="219"/>
      <c r="F13" s="224"/>
      <c r="G13" s="134" t="s">
        <v>353</v>
      </c>
    </row>
    <row r="14" spans="2:9" ht="135" customHeight="1">
      <c r="B14" s="217"/>
      <c r="C14" s="132" t="s">
        <v>354</v>
      </c>
      <c r="D14" s="133">
        <v>1.98</v>
      </c>
      <c r="E14" s="220"/>
      <c r="F14" s="223"/>
      <c r="G14" s="134" t="s">
        <v>368</v>
      </c>
    </row>
    <row r="15" spans="2:9" ht="54">
      <c r="B15" s="216" t="s">
        <v>194</v>
      </c>
      <c r="C15" s="132" t="s">
        <v>356</v>
      </c>
      <c r="D15" s="133">
        <v>1.2</v>
      </c>
      <c r="E15" s="218">
        <v>3.6</v>
      </c>
      <c r="F15" s="141" t="s">
        <v>357</v>
      </c>
      <c r="G15" s="134" t="s">
        <v>358</v>
      </c>
    </row>
    <row r="16" spans="2:9" ht="39.75" customHeight="1">
      <c r="B16" s="221"/>
      <c r="C16" s="132" t="s">
        <v>284</v>
      </c>
      <c r="D16" s="133">
        <v>2.4</v>
      </c>
      <c r="E16" s="220"/>
      <c r="F16" s="142" t="s">
        <v>359</v>
      </c>
      <c r="G16" s="137" t="s">
        <v>360</v>
      </c>
    </row>
    <row r="17" spans="2:7" ht="102" customHeight="1">
      <c r="B17" s="131" t="s">
        <v>195</v>
      </c>
      <c r="C17" s="138" t="s">
        <v>361</v>
      </c>
      <c r="D17" s="135">
        <v>2.95</v>
      </c>
      <c r="E17" s="136">
        <v>2.95</v>
      </c>
      <c r="F17" s="139" t="s">
        <v>362</v>
      </c>
      <c r="G17" s="139" t="s">
        <v>363</v>
      </c>
    </row>
    <row r="18" spans="2:7" ht="18">
      <c r="B18" s="215" t="s">
        <v>242</v>
      </c>
      <c r="C18" s="215"/>
      <c r="D18" s="215"/>
      <c r="E18" s="81">
        <f>SUM(E4:E17)</f>
        <v>14.149999999999999</v>
      </c>
      <c r="F18" s="116"/>
      <c r="G18" s="116"/>
    </row>
  </sheetData>
  <autoFilter ref="B3:G18" xr:uid="{00000000-0009-0000-0000-00000A000000}"/>
  <mergeCells count="13">
    <mergeCell ref="B18:D18"/>
    <mergeCell ref="B4:B6"/>
    <mergeCell ref="E4:E6"/>
    <mergeCell ref="F4:F5"/>
    <mergeCell ref="B7:B9"/>
    <mergeCell ref="E7:E9"/>
    <mergeCell ref="B10:B11"/>
    <mergeCell ref="E10:E11"/>
    <mergeCell ref="B12:B14"/>
    <mergeCell ref="E12:E14"/>
    <mergeCell ref="F12:F14"/>
    <mergeCell ref="B15:B16"/>
    <mergeCell ref="E15:E16"/>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33"/>
  <sheetViews>
    <sheetView zoomScale="90" zoomScaleNormal="90" workbookViewId="0">
      <selection activeCell="F13" sqref="F13"/>
    </sheetView>
  </sheetViews>
  <sheetFormatPr defaultRowHeight="18"/>
  <cols>
    <col min="1" max="1" width="3.125" customWidth="1"/>
    <col min="2" max="2" width="3.625" bestFit="1" customWidth="1"/>
    <col min="3" max="4" width="13.625" customWidth="1"/>
    <col min="5" max="5" width="27.125" customWidth="1"/>
    <col min="6" max="6" width="11.625" customWidth="1"/>
    <col min="7" max="7" width="26.625" customWidth="1"/>
    <col min="8" max="8" width="25.625" customWidth="1"/>
    <col min="9" max="9" width="26.5" customWidth="1"/>
  </cols>
  <sheetData>
    <row r="2" spans="2:10">
      <c r="B2" s="1" t="s">
        <v>369</v>
      </c>
    </row>
    <row r="3" spans="2:10">
      <c r="C3" t="s">
        <v>370</v>
      </c>
    </row>
    <row r="4" spans="2:10">
      <c r="C4" t="s">
        <v>371</v>
      </c>
    </row>
    <row r="5" spans="2:10">
      <c r="C5" t="s">
        <v>372</v>
      </c>
    </row>
    <row r="8" spans="2:10">
      <c r="B8" s="1" t="s">
        <v>373</v>
      </c>
      <c r="C8" s="1"/>
      <c r="D8" s="1"/>
      <c r="E8" s="1"/>
    </row>
    <row r="9" spans="2:10">
      <c r="B9" s="2" t="s">
        <v>374</v>
      </c>
      <c r="C9" s="234" t="s">
        <v>375</v>
      </c>
      <c r="D9" s="234"/>
      <c r="E9" s="3" t="s">
        <v>376</v>
      </c>
      <c r="F9" s="3" t="s">
        <v>377</v>
      </c>
      <c r="G9" s="3" t="s">
        <v>378</v>
      </c>
      <c r="H9" s="3" t="s">
        <v>379</v>
      </c>
      <c r="I9" s="3" t="s">
        <v>380</v>
      </c>
    </row>
    <row r="10" spans="2:10" ht="89.45" customHeight="1">
      <c r="B10" s="4">
        <v>1</v>
      </c>
      <c r="C10" s="233" t="s">
        <v>381</v>
      </c>
      <c r="D10" s="233"/>
      <c r="E10" s="5" t="s">
        <v>382</v>
      </c>
      <c r="F10" s="17">
        <v>5.75</v>
      </c>
      <c r="G10" s="15" t="s">
        <v>383</v>
      </c>
      <c r="H10" s="15" t="s">
        <v>384</v>
      </c>
      <c r="I10" s="5" t="s">
        <v>385</v>
      </c>
      <c r="J10">
        <f>4
+0.5
+0.25
+0.5
+0.5</f>
        <v>5.75</v>
      </c>
    </row>
    <row r="11" spans="2:10" ht="89.45" customHeight="1">
      <c r="B11" s="4">
        <v>2</v>
      </c>
      <c r="C11" s="233" t="s">
        <v>386</v>
      </c>
      <c r="D11" s="233"/>
      <c r="E11" s="5" t="s">
        <v>382</v>
      </c>
      <c r="F11" s="17">
        <v>5.75</v>
      </c>
      <c r="G11" s="15" t="s">
        <v>383</v>
      </c>
      <c r="H11" s="15" t="s">
        <v>384</v>
      </c>
      <c r="I11" s="5" t="s">
        <v>385</v>
      </c>
      <c r="J11">
        <f>4
+0.5
+0.25
+0.5
+0.5</f>
        <v>5.75</v>
      </c>
    </row>
    <row r="12" spans="2:10" ht="87">
      <c r="B12" s="4">
        <v>3</v>
      </c>
      <c r="C12" s="233" t="s">
        <v>387</v>
      </c>
      <c r="D12" s="233"/>
      <c r="E12" s="6" t="s">
        <v>388</v>
      </c>
      <c r="F12" s="17">
        <v>8.5</v>
      </c>
      <c r="G12" s="15" t="s">
        <v>389</v>
      </c>
      <c r="H12" s="15" t="s">
        <v>390</v>
      </c>
      <c r="I12" s="5" t="s">
        <v>391</v>
      </c>
      <c r="J12" s="18">
        <f>4
+0.5*4
+0.25*4
+0.5*2
+0.5</f>
        <v>8.5</v>
      </c>
    </row>
    <row r="13" spans="2:10" ht="87">
      <c r="B13" s="4">
        <v>4</v>
      </c>
      <c r="C13" s="233" t="s">
        <v>392</v>
      </c>
      <c r="D13" s="233"/>
      <c r="E13" s="6" t="s">
        <v>393</v>
      </c>
      <c r="F13" s="17">
        <v>6.75</v>
      </c>
      <c r="G13" s="15" t="s">
        <v>394</v>
      </c>
      <c r="H13" s="15" t="s">
        <v>395</v>
      </c>
      <c r="I13" s="5" t="s">
        <v>391</v>
      </c>
      <c r="J13">
        <f>4
+0.5*2
+0.25*2
+0.5*2
+0.25</f>
        <v>6.75</v>
      </c>
    </row>
    <row r="14" spans="2:10" ht="34.9">
      <c r="B14" s="4">
        <v>5</v>
      </c>
      <c r="C14" s="231" t="s">
        <v>396</v>
      </c>
      <c r="D14" s="232"/>
      <c r="E14" s="6"/>
      <c r="F14" s="17">
        <v>0.5</v>
      </c>
      <c r="G14" s="15" t="s">
        <v>397</v>
      </c>
      <c r="H14" s="16">
        <v>0.5</v>
      </c>
      <c r="I14" s="5" t="s">
        <v>398</v>
      </c>
    </row>
    <row r="15" spans="2:10" ht="69.599999999999994">
      <c r="B15" s="4">
        <v>6</v>
      </c>
      <c r="C15" s="233" t="s">
        <v>399</v>
      </c>
      <c r="D15" s="233"/>
      <c r="E15" s="5" t="s">
        <v>400</v>
      </c>
      <c r="F15" s="17">
        <v>6.75</v>
      </c>
      <c r="G15" s="15" t="s">
        <v>401</v>
      </c>
      <c r="H15" s="15" t="s">
        <v>402</v>
      </c>
      <c r="I15" s="5" t="s">
        <v>403</v>
      </c>
      <c r="J15">
        <f>4
+0.5*3
+0.25*3
+0.5</f>
        <v>6.75</v>
      </c>
    </row>
    <row r="16" spans="2:10" ht="34.9">
      <c r="B16" s="4">
        <v>7</v>
      </c>
      <c r="C16" s="233" t="s">
        <v>404</v>
      </c>
      <c r="D16" s="233"/>
      <c r="E16" s="6" t="s">
        <v>405</v>
      </c>
      <c r="F16" s="15">
        <v>4</v>
      </c>
      <c r="G16" s="15" t="s">
        <v>406</v>
      </c>
      <c r="H16" s="15">
        <v>4</v>
      </c>
      <c r="I16" s="5" t="s">
        <v>407</v>
      </c>
    </row>
    <row r="17" spans="2:9" ht="34.9">
      <c r="B17" s="4">
        <v>8</v>
      </c>
      <c r="C17" s="233" t="s">
        <v>408</v>
      </c>
      <c r="D17" s="233"/>
      <c r="E17" s="6" t="s">
        <v>405</v>
      </c>
      <c r="F17" s="15">
        <v>4</v>
      </c>
      <c r="G17" s="15" t="s">
        <v>409</v>
      </c>
      <c r="H17" s="15">
        <v>4</v>
      </c>
      <c r="I17" s="5" t="s">
        <v>410</v>
      </c>
    </row>
    <row r="18" spans="2:9">
      <c r="B18" s="4">
        <v>9</v>
      </c>
      <c r="C18" s="233" t="s">
        <v>411</v>
      </c>
      <c r="D18" s="233"/>
      <c r="E18" s="6" t="s">
        <v>412</v>
      </c>
      <c r="F18" s="15"/>
      <c r="G18" s="15"/>
      <c r="H18" s="15"/>
      <c r="I18" s="6" t="s">
        <v>413</v>
      </c>
    </row>
    <row r="19" spans="2:9">
      <c r="B19" s="14"/>
      <c r="C19" s="233" t="s">
        <v>414</v>
      </c>
      <c r="D19" s="233"/>
      <c r="E19" s="14"/>
      <c r="F19" s="17">
        <v>3.35</v>
      </c>
      <c r="G19" s="15"/>
      <c r="H19" s="15"/>
      <c r="I19" s="5" t="s">
        <v>391</v>
      </c>
    </row>
    <row r="21" spans="2:9">
      <c r="F21" t="s">
        <v>415</v>
      </c>
    </row>
    <row r="22" spans="2:9">
      <c r="F22" t="s">
        <v>416</v>
      </c>
    </row>
    <row r="23" spans="2:9">
      <c r="F23" t="s">
        <v>417</v>
      </c>
    </row>
    <row r="24" spans="2:9">
      <c r="F24" t="s">
        <v>418</v>
      </c>
    </row>
    <row r="25" spans="2:9">
      <c r="F25" t="s">
        <v>419</v>
      </c>
    </row>
    <row r="26" spans="2:9">
      <c r="F26" t="s">
        <v>420</v>
      </c>
    </row>
    <row r="27" spans="2:9">
      <c r="H27">
        <f>350+50*4+20*4+50*2+50</f>
        <v>780</v>
      </c>
    </row>
    <row r="28" spans="2:9">
      <c r="F28">
        <f>14*5/8*(100/20)</f>
        <v>43.75</v>
      </c>
      <c r="H28">
        <f>350+50*3+20*3+80</f>
        <v>640</v>
      </c>
    </row>
    <row r="29" spans="2:9">
      <c r="F29">
        <f>12*5/8*(100/20)</f>
        <v>37.5</v>
      </c>
    </row>
    <row r="30" spans="2:9">
      <c r="F30">
        <f>19*5/8*(100/20)</f>
        <v>59.375</v>
      </c>
    </row>
    <row r="31" spans="2:9">
      <c r="F31">
        <f>6*5/8*(100/20)</f>
        <v>18.75</v>
      </c>
    </row>
    <row r="32" spans="2:9">
      <c r="F32">
        <f>24*5/8*(100/20)</f>
        <v>75</v>
      </c>
    </row>
    <row r="33" spans="6:6">
      <c r="F33">
        <f>3*5/8*(100/20)</f>
        <v>9.375</v>
      </c>
    </row>
  </sheetData>
  <mergeCells count="11">
    <mergeCell ref="C9:D9"/>
    <mergeCell ref="C10:D10"/>
    <mergeCell ref="C11:D11"/>
    <mergeCell ref="C12:D12"/>
    <mergeCell ref="C13:D13"/>
    <mergeCell ref="C14:D14"/>
    <mergeCell ref="C16:D16"/>
    <mergeCell ref="C17:D17"/>
    <mergeCell ref="C19:D19"/>
    <mergeCell ref="C18:D18"/>
    <mergeCell ref="C15:D15"/>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953aeccd9ace8a274a342e9812f8a4e2">
  <xsd:schema xmlns:xsd="http://www.w3.org/2001/XMLSchema" xmlns:xs="http://www.w3.org/2001/XMLSchema" xmlns:p="http://schemas.microsoft.com/office/2006/metadata/properties" xmlns:ns2="2fd442da-66a9-4fa6-ba31-eb0d54ad1381" targetNamespace="http://schemas.microsoft.com/office/2006/metadata/properties" ma:root="true" ma:fieldsID="c4eb906e6efcc6a727ef3f3cae49e6dc"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0F9B9A-70C7-4A0B-B134-C62010A7BDBE}"/>
</file>

<file path=customXml/itemProps2.xml><?xml version="1.0" encoding="utf-8"?>
<ds:datastoreItem xmlns:ds="http://schemas.openxmlformats.org/officeDocument/2006/customXml" ds:itemID="{9BD6512D-A18B-4320-B63D-7ECD6E39B95B}"/>
</file>

<file path=customXml/itemProps3.xml><?xml version="1.0" encoding="utf-8"?>
<ds:datastoreItem xmlns:ds="http://schemas.openxmlformats.org/officeDocument/2006/customXml" ds:itemID="{4A864CA5-6A36-4D32-A246-460A558B2D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2026-01-19T05:08:08Z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