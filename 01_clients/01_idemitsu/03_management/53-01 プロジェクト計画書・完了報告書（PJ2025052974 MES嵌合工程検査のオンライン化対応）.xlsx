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mc:AlternateContent xmlns:mc="http://schemas.openxmlformats.org/markup-compatibility/2006">
    <mc:Choice Requires="x15">
      <x15ac:absPath xmlns:x15ac="http://schemas.microsoft.com/office/spreadsheetml/2010/11/ac" url="https://systemexe2021.sharepoint.com/sites/-984-01_/Shared Documents/00_提案・見積/"/>
    </mc:Choice>
  </mc:AlternateContent>
  <xr:revisionPtr revIDLastSave="6" documentId="13_ncr:1_{0E1C3E3E-128E-466A-A03B-E72032CEADC8}" xr6:coauthVersionLast="47" xr6:coauthVersionMax="47" xr10:uidLastSave="{F2AE7CCB-52BD-4C34-8661-24061B1E418B}"/>
  <bookViews>
    <workbookView xWindow="-57720" yWindow="-120" windowWidth="29040" windowHeight="15840" tabRatio="780" xr2:uid="{00000000-000D-0000-FFFF-FFFF00000000}"/>
  </bookViews>
  <sheets>
    <sheet name="プロジェクト計画書" sheetId="7" r:id="rId1"/>
    <sheet name="プロジェクト完了報告書" sheetId="2" r:id="rId2"/>
    <sheet name="品質データ分析報告書" sheetId="11" r:id="rId3"/>
    <sheet name="開発及びサポートプロセスにおけるセキュリティ" sheetId="6" r:id="rId4"/>
    <sheet name="改定履歴" sheetId="13" r:id="rId5"/>
    <sheet name="【事務局用】顧客満足度調査依頼 メール文面" sheetId="5" r:id="rId6"/>
    <sheet name="マスタ" sheetId="12" r:id="rId7"/>
    <sheet name="選択肢" sheetId="14" r:id="rId8"/>
  </sheets>
  <definedNames>
    <definedName name="_xlnm._FilterDatabase" localSheetId="4" hidden="1">改定履歴!$A$4:$J$24</definedName>
    <definedName name="_xlnm.Print_Area" localSheetId="1">プロジェクト完了報告書!$A$1:$AV$172</definedName>
    <definedName name="_xlnm.Print_Area" localSheetId="0">プロジェクト計画書!$A$1:$AV$181</definedName>
    <definedName name="_xlnm.Print_Area" localSheetId="2">品質データ分析報告書!$A$1:$AV$87</definedName>
    <definedName name="_xlnm.Print_Titles" localSheetId="1">プロジェクト完了報告書!$1:$3</definedName>
    <definedName name="_xlnm.Print_Titles" localSheetId="0">プロジェクト計画書!$1:$3</definedName>
    <definedName name="_xlnm.Print_Titles" localSheetId="4">改定履歴!$4:$4</definedName>
    <definedName name="_xlnm.Print_Titles" localSheetId="2">品質データ分析報告書!$1:$3</definedName>
    <definedName name="ステータス">選択肢!$G$2:$G$21</definedName>
    <definedName name="セキュリティに配慮した開発計画">プロジェクト計画書!$L$41</definedName>
    <definedName name="セキュリティ目標">プロジェクト計画書!$L$39</definedName>
    <definedName name="プロジェクトコード">プロジェクト計画書!$L$11</definedName>
    <definedName name="プロジェクト概要">プロジェクト計画書!$L$13</definedName>
    <definedName name="プロジェクト区分">プロジェクト計画書!$AI$18</definedName>
    <definedName name="プロジェクト名">プロジェクト計画書!$L$12</definedName>
    <definedName name="プロジェクト目的">プロジェクト計画書!$L$33</definedName>
    <definedName name="ヘッダプロジェクト名">マスタ!$B$10</definedName>
    <definedName name="ヘッダ文書名">マスタ!$B$11</definedName>
    <definedName name="ヘッダ文書名‐改訂履歴">マスタ!$B$15</definedName>
    <definedName name="ヘッダ文書名‐補足１">マスタ!$B$12</definedName>
    <definedName name="ヘッダ文書名‐補足２">マスタ!$B$13</definedName>
    <definedName name="ヘッダ文書名‐補足３">マスタ!$B$14</definedName>
    <definedName name="ヘッダ様式名称">マスタ!$B$16</definedName>
    <definedName name="改定ステータス">選択肢!$C$2:$C$21</definedName>
    <definedName name="改定承認形式">選択肢!$B$2:$B$21</definedName>
    <definedName name="改定担当者">選択肢!$A$2:$A$21</definedName>
    <definedName name="区分">選択肢!$D$2:$D$21</definedName>
    <definedName name="計画_AWS">プロジェクト計画書!$AI$26</definedName>
    <definedName name="計画_Azure">プロジェクト計画書!$AI$27</definedName>
    <definedName name="計画_CJA">プロジェクト計画書!$AI$25</definedName>
    <definedName name="計画_EXECloud">プロジェクト計画書!$AI$29</definedName>
    <definedName name="計画_Java">プロジェクト計画書!$L$26</definedName>
    <definedName name="計画_NET">プロジェクト計画書!$L$27</definedName>
    <definedName name="計画_OCI">プロジェクト計画書!$AI$28</definedName>
    <definedName name="計画_Python">プロジェクト計画書!$L$28</definedName>
    <definedName name="計画_VBA">プロジェクト計画書!$L$29</definedName>
    <definedName name="計画_アライアンス">プロジェクト計画書!$AI$23</definedName>
    <definedName name="計画_オフショア">プロジェクト計画書!$L$24</definedName>
    <definedName name="計画_クラウドその他">プロジェクト計画書!$AI$30</definedName>
    <definedName name="計画_クラウドネイティブ">プロジェクト計画書!$AI$24</definedName>
    <definedName name="計画_テーブル数">プロジェクト計画書!$L$77</definedName>
    <definedName name="計画_バッチ数">プロジェクト計画書!$L$76</definedName>
    <definedName name="計画_プロジェクトマネージャ">プロジェクト計画書!$AI$16</definedName>
    <definedName name="計画_プロジェクトメンバー">プロジェクト計画書!$L$19</definedName>
    <definedName name="計画_プロジェクト責任者">プロジェクト計画書!$L$16</definedName>
    <definedName name="計画_営業担当者">プロジェクト計画書!$AI$17</definedName>
    <definedName name="計画_画面数">プロジェクト計画書!$L$75</definedName>
    <definedName name="計画_開始日">プロジェクト計画書!$L$124</definedName>
    <definedName name="計画_開発規模その他">プロジェクト計画書!$L$78</definedName>
    <definedName name="計画_開発言語その他">プロジェクト計画書!$L$30</definedName>
    <definedName name="計画_開発言語その他詳細">プロジェクト計画書!#REF!</definedName>
    <definedName name="計画_外部IF数">プロジェクト計画書!$AI$76</definedName>
    <definedName name="計画_概算FP">プロジェクト計画書!$AI$77</definedName>
    <definedName name="計画_原価">プロジェクト計画書!$AJ$124</definedName>
    <definedName name="計画_顧客担当部署">プロジェクト計画書!$AI$14</definedName>
    <definedName name="計画_公共">プロジェクト計画書!$L$25</definedName>
    <definedName name="計画_工期">プロジェクト計画書!$T$124</definedName>
    <definedName name="計画_工数">プロジェクト計画書!$X$124</definedName>
    <definedName name="計画_受注額">プロジェクト計画書!$L$18</definedName>
    <definedName name="計画_終了日">プロジェクト計画書!$P$124</definedName>
    <definedName name="計画_粗利">プロジェクト計画書!$AN$124</definedName>
    <definedName name="計画_粗利率">プロジェクト計画書!$AR$124</definedName>
    <definedName name="計画_他本部連携">プロジェクト計画書!$L$23</definedName>
    <definedName name="計画_単価">プロジェクト計画書!$AF$124</definedName>
    <definedName name="計画_担当部門">プロジェクト計画書!$AI$15</definedName>
    <definedName name="計画_担当本部">プロジェクト計画書!$L$15</definedName>
    <definedName name="計画_帳票数">プロジェクト計画書!$AI$75</definedName>
    <definedName name="計画_売上">プロジェクト計画書!$AB$124</definedName>
    <definedName name="計画_品質管理担当者">プロジェクト計画書!$L$17</definedName>
    <definedName name="計画_物販原価">プロジェクト計画書!$AJ$138</definedName>
    <definedName name="計画_物販粗利">プロジェクト計画書!$AN$138</definedName>
    <definedName name="計画_物販粗利率">プロジェクト計画書!$AR$138</definedName>
    <definedName name="計画_物販売上">プロジェクト計画書!$AB$138</definedName>
    <definedName name="検収完了日">プロジェクト完了報告書!$AI$33</definedName>
    <definedName name="顧客満足度調査の依頼先担当者メールアドレス">プロジェクト完了報告書!$AI$60</definedName>
    <definedName name="顧客満足度調査の依頼先担当者名">プロジェクト完了報告書!$L$60</definedName>
    <definedName name="顧客名">プロジェクト計画書!$L$14</definedName>
    <definedName name="実績_AWS">プロジェクト完了報告書!$AI$26</definedName>
    <definedName name="実績_Azure">プロジェクト完了報告書!$AI$27</definedName>
    <definedName name="実績_CJA">プロジェクト完了報告書!$AI$25</definedName>
    <definedName name="実績_EXECloud">プロジェクト完了報告書!$AI$29</definedName>
    <definedName name="実績_Java">プロジェクト完了報告書!$L$26</definedName>
    <definedName name="実績_NET">プロジェクト完了報告書!$L$27</definedName>
    <definedName name="実績_OCI">プロジェクト完了報告書!$AI$28</definedName>
    <definedName name="実績_Python">プロジェクト完了報告書!$L$28</definedName>
    <definedName name="実績_VBA">プロジェクト完了報告書!$L$29</definedName>
    <definedName name="実績_アライアンス">プロジェクト完了報告書!$AI$23</definedName>
    <definedName name="実績_オフショア">プロジェクト完了報告書!$L$24</definedName>
    <definedName name="実績_クラウドその他">プロジェクト完了報告書!$AI$30</definedName>
    <definedName name="実績_クラウドネイティブ">プロジェクト完了報告書!$AI$24</definedName>
    <definedName name="実績_クレーム報告">プロジェクト完了報告書!$AI$174</definedName>
    <definedName name="実績_システムテストケース数">プロジェクト完了報告書!$AI$70</definedName>
    <definedName name="実績_システムテストケース密度">プロジェクト完了報告書!$AI$72</definedName>
    <definedName name="実績_システムテストバグ密度">プロジェクト完了報告書!$AI$73</definedName>
    <definedName name="実績_システムテスト不具合抽出数">プロジェクト完了報告書!$AI$71</definedName>
    <definedName name="実績_テーブル数">プロジェクト完了報告書!$L$66</definedName>
    <definedName name="実績_トラブル報告">プロジェクト完了報告書!$L$174</definedName>
    <definedName name="実績_バッチ数">プロジェクト完了報告書!$L$65</definedName>
    <definedName name="実績_プロジェクトマネージャ">プロジェクト完了報告書!$AI$16</definedName>
    <definedName name="実績_プロジェクトメンバー">プロジェクト完了報告書!$L$19</definedName>
    <definedName name="実績_プロジェクト成否">プロジェクト完了報告書!$L$175</definedName>
    <definedName name="実績_プロジェクト責任者">プロジェクト完了報告書!$L$16</definedName>
    <definedName name="実績_ユーザーテスト時障害発生件数">プロジェクト完了報告書!$L$74</definedName>
    <definedName name="実績_営業担当者">プロジェクト完了報告書!$AI$17</definedName>
    <definedName name="実績_画面数">プロジェクト完了報告書!$L$64</definedName>
    <definedName name="実績_開始日">プロジェクト完了報告書!$L$103</definedName>
    <definedName name="実績_開発規模その他">プロジェクト完了報告書!$L$67</definedName>
    <definedName name="実績_開発言語その他">プロジェクト完了報告書!$L$30</definedName>
    <definedName name="実績_開発言語その他詳細">プロジェクト完了報告書!#REF!</definedName>
    <definedName name="実績_外部IF数">プロジェクト完了報告書!$AI$65</definedName>
    <definedName name="実績_概算FP">プロジェクト完了報告書!$AI$66</definedName>
    <definedName name="実績_結合テストケース数">プロジェクト完了報告書!$L$70</definedName>
    <definedName name="実績_結合テストケース密度">プロジェクト完了報告書!$L$72</definedName>
    <definedName name="実績_結合テストバグ密度">プロジェクト完了報告書!$L$73</definedName>
    <definedName name="実績_結合テスト不具合抽出数">プロジェクト完了報告書!$L$71</definedName>
    <definedName name="実績_原価">プロジェクト完了報告書!$AJ$103</definedName>
    <definedName name="実績_顧客担当部署">プロジェクト完了報告書!$AI$14</definedName>
    <definedName name="実績_顧客満足度調査結果">プロジェクト完了報告書!$AI$168</definedName>
    <definedName name="実績_公共">プロジェクト完了報告書!$L$25</definedName>
    <definedName name="実績_工期">プロジェクト完了報告書!$T$103</definedName>
    <definedName name="実績_工数">プロジェクト完了報告書!$X$103</definedName>
    <definedName name="実績_受注額">プロジェクト完了報告書!$L$18</definedName>
    <definedName name="実績_終了日">プロジェクト完了報告書!$P$103</definedName>
    <definedName name="実績_粗利">プロジェクト完了報告書!$AN$103</definedName>
    <definedName name="実績_粗利率">プロジェクト完了報告書!$AR$103</definedName>
    <definedName name="実績_他本部連携">プロジェクト完了報告書!$L$23</definedName>
    <definedName name="実績_単価">プロジェクト完了報告書!$AF$103</definedName>
    <definedName name="実績_担当部門">プロジェクト完了報告書!$AI$15</definedName>
    <definedName name="実績_担当本部">プロジェクト完了報告書!$L$15</definedName>
    <definedName name="実績_帳票数">プロジェクト完了報告書!$AI$64</definedName>
    <definedName name="実績_売上">プロジェクト完了報告書!$AB$103</definedName>
    <definedName name="実績_品質管理担当者">プロジェクト完了報告書!$L$17</definedName>
    <definedName name="実績_物販原価">プロジェクト完了報告書!$AJ$117</definedName>
    <definedName name="実績_物販粗利">プロジェクト完了報告書!$AN$117</definedName>
    <definedName name="実績_物販粗利率">プロジェクト完了報告書!$AR$117</definedName>
    <definedName name="実績_物販売上">プロジェクト完了報告書!$AB$117</definedName>
    <definedName name="実績_本稼働後の重大障害件数">プロジェクト完了報告書!$AI$77</definedName>
    <definedName name="実績_本稼働後の障害件数">プロジェクト完了報告書!$L$77</definedName>
    <definedName name="成功要因">プロジェクト計画書!$L$35</definedName>
    <definedName name="担当者">選択肢!$E$2:$E$21</definedName>
    <definedName name="発行者">マスタ!$B$6</definedName>
    <definedName name="発行日">マスタ!$B$8</definedName>
    <definedName name="版数">マスタ!$B$9</definedName>
    <definedName name="品質目標">プロジェクト計画書!$L$37</definedName>
    <definedName name="文書管理責任者">マスタ!$B$7</definedName>
    <definedName name="文書番号">マスタ!$B$4</definedName>
    <definedName name="文書名">マスタ!$B$5</definedName>
    <definedName name="様式版数">マスタ!$B$17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114" i="7" l="1"/>
  <c r="L18" i="2" l="1"/>
  <c r="AQ4" i="2" s="1"/>
  <c r="AN128" i="7"/>
  <c r="AJ117" i="2"/>
  <c r="AB117" i="2"/>
  <c r="AN117" i="2" s="1"/>
  <c r="AR117" i="2" s="1"/>
  <c r="X117" i="2"/>
  <c r="AF117" i="2" s="1"/>
  <c r="P117" i="2"/>
  <c r="L117" i="2"/>
  <c r="AN116" i="2"/>
  <c r="AR116" i="2" s="1"/>
  <c r="AF116" i="2"/>
  <c r="T116" i="2"/>
  <c r="AN115" i="2"/>
  <c r="AR115" i="2" s="1"/>
  <c r="AF115" i="2"/>
  <c r="T115" i="2"/>
  <c r="AN114" i="2"/>
  <c r="AR114" i="2" s="1"/>
  <c r="AF114" i="2"/>
  <c r="T114" i="2"/>
  <c r="AN113" i="2"/>
  <c r="AR113" i="2" s="1"/>
  <c r="AF113" i="2"/>
  <c r="T113" i="2"/>
  <c r="AN112" i="2"/>
  <c r="AR112" i="2" s="1"/>
  <c r="AF112" i="2"/>
  <c r="T112" i="2"/>
  <c r="AN111" i="2"/>
  <c r="AR111" i="2" s="1"/>
  <c r="AF111" i="2"/>
  <c r="T111" i="2"/>
  <c r="AN110" i="2"/>
  <c r="AR110" i="2" s="1"/>
  <c r="AF110" i="2"/>
  <c r="T110" i="2"/>
  <c r="AN109" i="2"/>
  <c r="AR109" i="2" s="1"/>
  <c r="AF109" i="2"/>
  <c r="T109" i="2"/>
  <c r="AN108" i="2"/>
  <c r="AR108" i="2" s="1"/>
  <c r="AF108" i="2"/>
  <c r="T108" i="2"/>
  <c r="AN107" i="2"/>
  <c r="AR107" i="2" s="1"/>
  <c r="AF107" i="2"/>
  <c r="T107" i="2"/>
  <c r="AN101" i="2"/>
  <c r="AR101" i="2" s="1"/>
  <c r="AF101" i="2"/>
  <c r="T101" i="2"/>
  <c r="T117" i="2" l="1"/>
  <c r="AR122" i="7"/>
  <c r="AN122" i="7"/>
  <c r="AF122" i="7"/>
  <c r="T122" i="7"/>
  <c r="AN133" i="7"/>
  <c r="AR133" i="7" s="1"/>
  <c r="AF133" i="7"/>
  <c r="T133" i="7"/>
  <c r="P138" i="7" l="1"/>
  <c r="L138" i="7"/>
  <c r="AJ138" i="7"/>
  <c r="AB138" i="7"/>
  <c r="X138" i="7"/>
  <c r="AF138" i="7" s="1"/>
  <c r="AN137" i="7"/>
  <c r="AR137" i="7" s="1"/>
  <c r="AF137" i="7"/>
  <c r="T137" i="7"/>
  <c r="AN136" i="7"/>
  <c r="AR136" i="7" s="1"/>
  <c r="AF136" i="7"/>
  <c r="T136" i="7"/>
  <c r="AN135" i="7"/>
  <c r="AR135" i="7" s="1"/>
  <c r="AF135" i="7"/>
  <c r="T135" i="7"/>
  <c r="AN134" i="7"/>
  <c r="AR134" i="7" s="1"/>
  <c r="AF134" i="7"/>
  <c r="T134" i="7"/>
  <c r="AN132" i="7"/>
  <c r="AR132" i="7" s="1"/>
  <c r="AF132" i="7"/>
  <c r="T132" i="7"/>
  <c r="AN131" i="7"/>
  <c r="AR131" i="7" s="1"/>
  <c r="AF131" i="7"/>
  <c r="T131" i="7"/>
  <c r="AN130" i="7"/>
  <c r="AR130" i="7" s="1"/>
  <c r="AF130" i="7"/>
  <c r="T130" i="7"/>
  <c r="AN129" i="7"/>
  <c r="AR129" i="7" s="1"/>
  <c r="AF129" i="7"/>
  <c r="T129" i="7"/>
  <c r="AR128" i="7"/>
  <c r="AF128" i="7"/>
  <c r="T128" i="7"/>
  <c r="AN138" i="7" l="1"/>
  <c r="AR138" i="7" s="1"/>
  <c r="T138" i="7"/>
  <c r="AI23" i="2" l="1"/>
  <c r="L25" i="2"/>
  <c r="L44" i="2"/>
  <c r="L42" i="2"/>
  <c r="L40" i="2"/>
  <c r="L38" i="2"/>
  <c r="L36" i="2"/>
  <c r="B10" i="12"/>
  <c r="AI18" i="11"/>
  <c r="AI17" i="11"/>
  <c r="L17" i="11"/>
  <c r="AI16" i="11"/>
  <c r="L16" i="11"/>
  <c r="AI15" i="11"/>
  <c r="L15" i="11"/>
  <c r="AI14" i="11"/>
  <c r="L14" i="11"/>
  <c r="L13" i="11"/>
  <c r="L12" i="11"/>
  <c r="L11" i="11"/>
  <c r="AI18" i="2"/>
  <c r="AI17" i="2"/>
  <c r="L17" i="2"/>
  <c r="AI16" i="2"/>
  <c r="L16" i="2"/>
  <c r="AI15" i="2"/>
  <c r="L15" i="2"/>
  <c r="AI14" i="2"/>
  <c r="L13" i="2"/>
  <c r="B3" i="12"/>
  <c r="L14" i="2"/>
  <c r="B2" i="12"/>
  <c r="B1" i="12"/>
  <c r="L12" i="2"/>
  <c r="L11" i="2"/>
  <c r="B2" i="5"/>
  <c r="AI40" i="11"/>
  <c r="L40" i="11"/>
  <c r="L37" i="11"/>
  <c r="B16" i="12"/>
  <c r="B9" i="12"/>
  <c r="B8" i="12" s="1"/>
  <c r="J24" i="13"/>
  <c r="J23" i="13"/>
  <c r="J22" i="13"/>
  <c r="J21" i="13"/>
  <c r="J20" i="13"/>
  <c r="J19" i="13"/>
  <c r="J18" i="13"/>
  <c r="J17" i="13"/>
  <c r="J16" i="13"/>
  <c r="J15" i="13"/>
  <c r="J14" i="13"/>
  <c r="J13" i="13"/>
  <c r="J12" i="13"/>
  <c r="J11" i="13"/>
  <c r="J10" i="13"/>
  <c r="J9" i="13"/>
  <c r="J8" i="13"/>
  <c r="J7" i="13"/>
  <c r="J6" i="13"/>
  <c r="J5" i="13"/>
  <c r="B13" i="12"/>
  <c r="B12" i="12"/>
  <c r="B11" i="12"/>
  <c r="B15" i="12"/>
  <c r="B14" i="12"/>
  <c r="AJ103" i="2"/>
  <c r="AB103" i="2"/>
  <c r="X103" i="2"/>
  <c r="AF103" i="2" s="1"/>
  <c r="P103" i="2"/>
  <c r="AP11" i="11" s="1"/>
  <c r="L103" i="2"/>
  <c r="AI11" i="2" s="1"/>
  <c r="AR102" i="2"/>
  <c r="AN102" i="2"/>
  <c r="AF102" i="2"/>
  <c r="T102" i="2"/>
  <c r="AN100" i="2"/>
  <c r="AR100" i="2" s="1"/>
  <c r="AF100" i="2"/>
  <c r="T100" i="2"/>
  <c r="AN99" i="2"/>
  <c r="AR99" i="2" s="1"/>
  <c r="AF99" i="2"/>
  <c r="T99" i="2"/>
  <c r="AN98" i="2"/>
  <c r="AR98" i="2" s="1"/>
  <c r="AF98" i="2"/>
  <c r="T98" i="2"/>
  <c r="AN97" i="2"/>
  <c r="AR97" i="2" s="1"/>
  <c r="AF97" i="2"/>
  <c r="T97" i="2"/>
  <c r="AN96" i="2"/>
  <c r="AR96" i="2" s="1"/>
  <c r="AF96" i="2"/>
  <c r="T96" i="2"/>
  <c r="AN95" i="2"/>
  <c r="AR95" i="2" s="1"/>
  <c r="AF95" i="2"/>
  <c r="T95" i="2"/>
  <c r="AN94" i="2"/>
  <c r="AR94" i="2" s="1"/>
  <c r="AF94" i="2"/>
  <c r="T94" i="2"/>
  <c r="AN93" i="2"/>
  <c r="AR93" i="2" s="1"/>
  <c r="AF93" i="2"/>
  <c r="T93" i="2"/>
  <c r="AJ124" i="7"/>
  <c r="AB124" i="7"/>
  <c r="L18" i="7" s="1"/>
  <c r="AQ4" i="7" s="1"/>
  <c r="X124" i="7"/>
  <c r="P124" i="7"/>
  <c r="AP11" i="7" s="1"/>
  <c r="L124" i="7"/>
  <c r="AI11" i="7" s="1"/>
  <c r="AN123" i="7"/>
  <c r="AR123" i="7" s="1"/>
  <c r="AN121" i="7"/>
  <c r="AR121" i="7" s="1"/>
  <c r="AN120" i="7"/>
  <c r="AR120" i="7" s="1"/>
  <c r="AN119" i="7"/>
  <c r="AR119" i="7" s="1"/>
  <c r="AN118" i="7"/>
  <c r="AR118" i="7" s="1"/>
  <c r="AN117" i="7"/>
  <c r="AR117" i="7" s="1"/>
  <c r="AN116" i="7"/>
  <c r="AR116" i="7" s="1"/>
  <c r="AN115" i="7"/>
  <c r="AR115" i="7" s="1"/>
  <c r="AN114" i="7"/>
  <c r="AR114" i="7" s="1"/>
  <c r="AF123" i="7"/>
  <c r="T123" i="7"/>
  <c r="AF121" i="7"/>
  <c r="AF120" i="7"/>
  <c r="AF119" i="7"/>
  <c r="AF118" i="7"/>
  <c r="AF117" i="7"/>
  <c r="AF116" i="7"/>
  <c r="AF115" i="7"/>
  <c r="T121" i="7"/>
  <c r="T120" i="7"/>
  <c r="T119" i="7"/>
  <c r="T118" i="7"/>
  <c r="T117" i="7"/>
  <c r="T116" i="7"/>
  <c r="T115" i="7"/>
  <c r="T114" i="7"/>
  <c r="AI60" i="11"/>
  <c r="AE60" i="11"/>
  <c r="AA60" i="11"/>
  <c r="W60" i="11"/>
  <c r="S60" i="11"/>
  <c r="O60" i="11"/>
  <c r="K60" i="11"/>
  <c r="G60" i="11"/>
  <c r="AM59" i="11"/>
  <c r="AQ59" i="11" s="1"/>
  <c r="AM58" i="11"/>
  <c r="AQ58" i="11" s="1"/>
  <c r="AM57" i="11"/>
  <c r="AQ57" i="11" s="1"/>
  <c r="AM56" i="11"/>
  <c r="AQ56" i="11" s="1"/>
  <c r="AM55" i="11"/>
  <c r="AQ55" i="11" s="1"/>
  <c r="AM54" i="11"/>
  <c r="AQ54" i="11" s="1"/>
  <c r="AM53" i="11"/>
  <c r="AQ53" i="11" s="1"/>
  <c r="AM52" i="11"/>
  <c r="L18" i="11" l="1"/>
  <c r="AP11" i="2"/>
  <c r="AI11" i="11"/>
  <c r="B3" i="5"/>
  <c r="T103" i="2"/>
  <c r="AN103" i="2"/>
  <c r="AR103" i="2" s="1"/>
  <c r="AF124" i="7"/>
  <c r="T124" i="7"/>
  <c r="AN124" i="7"/>
  <c r="AR124" i="7" s="1"/>
  <c r="AQ52" i="11"/>
  <c r="AM60" i="11"/>
  <c r="G61" i="11" s="1"/>
  <c r="K61" i="11" l="1"/>
  <c r="O61" i="11"/>
  <c r="S61" i="11"/>
  <c r="W61" i="11"/>
  <c r="AA61" i="11"/>
  <c r="AE61" i="11"/>
  <c r="AI61" i="11"/>
  <c r="L30" i="11" l="1"/>
  <c r="AI28" i="11"/>
  <c r="AI27" i="11"/>
  <c r="L29" i="11"/>
  <c r="L28" i="11"/>
  <c r="L27" i="11"/>
  <c r="L24" i="11"/>
  <c r="AI22" i="11"/>
  <c r="AI21" i="11"/>
  <c r="L23" i="11"/>
  <c r="L22" i="11"/>
  <c r="L21" i="11"/>
  <c r="AI66" i="2"/>
  <c r="AI77" i="7"/>
  <c r="AI23" i="11" s="1"/>
  <c r="AI34" i="11"/>
  <c r="AI33" i="11"/>
  <c r="L34" i="11"/>
  <c r="L33" i="11"/>
  <c r="AI73" i="2" l="1"/>
  <c r="AI36" i="11" s="1"/>
  <c r="L73" i="2"/>
  <c r="L36" i="11" s="1"/>
  <c r="L72" i="2"/>
  <c r="L35" i="11" s="1"/>
  <c r="AI29" i="11"/>
  <c r="AI72" i="2"/>
  <c r="AI35" i="11" s="1"/>
  <c r="B6"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B23" authorId="0" shapeId="0" xr:uid="{B490F1CF-892A-46A1-A91E-FB8A65EF8378}">
      <text>
        <r>
          <rPr>
            <b/>
            <sz val="9"/>
            <color indexed="81"/>
            <rFont val="MS P ゴシック"/>
            <family val="3"/>
            <charset val="128"/>
          </rPr>
          <t>他本部要員の参画または他本部との連携がある場合は○</t>
        </r>
      </text>
    </comment>
    <comment ref="Y24" authorId="0" shapeId="0" xr:uid="{A7FBBCC9-31EA-49DB-9510-C74D7F0B66B5}">
      <text>
        <r>
          <rPr>
            <b/>
            <sz val="9"/>
            <color indexed="81"/>
            <rFont val="MS P ゴシック"/>
            <family val="3"/>
            <charset val="128"/>
          </rPr>
          <t>コンテナ、マイクロサービス、サーバレス等</t>
        </r>
      </text>
    </comment>
    <comment ref="B39" authorId="0" shapeId="0" xr:uid="{DFD55E76-B4A1-4705-888F-2462201B50C7}">
      <text>
        <r>
          <rPr>
            <b/>
            <sz val="9"/>
            <color indexed="81"/>
            <rFont val="MS P ゴシック"/>
            <family val="3"/>
            <charset val="128"/>
          </rPr>
          <t>プロジェクトとしてのセキュリティ</t>
        </r>
      </text>
    </comment>
    <comment ref="B41" authorId="0" shapeId="0" xr:uid="{9BB53AF7-C0B3-4776-A9EA-D156E002B2E8}">
      <text>
        <r>
          <rPr>
            <b/>
            <sz val="9"/>
            <color indexed="81"/>
            <rFont val="MS P ゴシック"/>
            <family val="3"/>
            <charset val="128"/>
          </rPr>
          <t>成果物のセキュリティ
⇒開発及びサポートプロセスにおけるセキュリティを参照</t>
        </r>
      </text>
    </comment>
    <comment ref="L57" authorId="0" shapeId="0" xr:uid="{C63AD14A-40EA-47F2-9167-BC1B3D068B75}">
      <text>
        <r>
          <rPr>
            <b/>
            <sz val="9"/>
            <color indexed="81"/>
            <rFont val="MS P ゴシック"/>
            <family val="3"/>
            <charset val="128"/>
          </rPr>
          <t>納品物については、○印をつける</t>
        </r>
        <r>
          <rPr>
            <sz val="9"/>
            <color indexed="81"/>
            <rFont val="MS P ゴシック"/>
            <family val="3"/>
            <charset val="128"/>
          </rPr>
          <t xml:space="preserve">
</t>
        </r>
      </text>
    </comment>
    <comment ref="Q57" authorId="0" shapeId="0" xr:uid="{4CE76C36-7686-4629-BACC-BBD72BD453E3}">
      <text>
        <r>
          <rPr>
            <b/>
            <sz val="9"/>
            <color indexed="81"/>
            <rFont val="MS P ゴシック"/>
            <family val="3"/>
            <charset val="128"/>
          </rPr>
          <t xml:space="preserve">作成物については、〇印をつける
</t>
        </r>
      </text>
    </comment>
    <comment ref="B71" authorId="0" shapeId="0" xr:uid="{B0AC174B-AC4B-4F20-BC0B-B47B09C296D2}">
      <text>
        <r>
          <rPr>
            <b/>
            <sz val="9"/>
            <color indexed="81"/>
            <rFont val="MS P ゴシック"/>
            <family val="3"/>
            <charset val="128"/>
          </rPr>
          <t>備考に詳細を記載</t>
        </r>
      </text>
    </comment>
    <comment ref="L141" authorId="0" shapeId="0" xr:uid="{4F0CED20-8EC0-40EE-9B6B-3D9D156D6812}">
      <text>
        <r>
          <rPr>
            <b/>
            <sz val="9"/>
            <color indexed="81"/>
            <rFont val="MS P ゴシック"/>
            <family val="3"/>
            <charset val="128"/>
          </rPr>
          <t>実施予定日を記入
実施なしの場合は「-」を記入</t>
        </r>
      </text>
    </comment>
    <comment ref="P141" authorId="0" shapeId="0" xr:uid="{D4B12393-9D09-44CF-ADC1-CA19BF1D4CB6}">
      <text>
        <r>
          <rPr>
            <b/>
            <sz val="9"/>
            <color indexed="81"/>
            <rFont val="MS P ゴシック"/>
            <family val="3"/>
            <charset val="128"/>
          </rPr>
          <t>本部を跨る大規模案件の場合：役員 or 統括本部長 を選択
1,000万円以上の案件の場合：本部長 を選択
1,000万円未満の案件の場合：原則は部長 を選択 ただし、案件の特性に応じて決定</t>
        </r>
      </text>
    </comment>
    <comment ref="T141" authorId="0" shapeId="0" xr:uid="{3542327A-021F-44C7-BA74-F7E325755AE5}">
      <text>
        <r>
          <rPr>
            <b/>
            <sz val="9"/>
            <color indexed="81"/>
            <rFont val="MS P ゴシック"/>
            <family val="3"/>
            <charset val="128"/>
          </rPr>
          <t>工程の期間が3ヶ月以上の場合は必須
実施ありの場合は実施予定日を備考に記載
実施なしの場合は「-」を記入</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Y24" authorId="0" shapeId="0" xr:uid="{0CD5281B-30FA-44DB-ABAA-9759B688A22E}">
      <text>
        <r>
          <rPr>
            <b/>
            <sz val="9"/>
            <color indexed="81"/>
            <rFont val="MS P ゴシック"/>
            <family val="3"/>
            <charset val="128"/>
          </rPr>
          <t>コンテナ、マイクロサービス、サーバレス等</t>
        </r>
      </text>
    </comment>
    <comment ref="B42" authorId="0" shapeId="0" xr:uid="{6BCBB09A-DDEB-4727-B38D-9A3F95AD3B79}">
      <text>
        <r>
          <rPr>
            <b/>
            <sz val="9"/>
            <color indexed="81"/>
            <rFont val="MS P ゴシック"/>
            <family val="3"/>
            <charset val="128"/>
          </rPr>
          <t>プロジェクトとしてのセキュリティ</t>
        </r>
      </text>
    </comment>
    <comment ref="B44" authorId="0" shapeId="0" xr:uid="{E5FE6EB0-4918-4285-A64A-B22BF1272BDF}">
      <text>
        <r>
          <rPr>
            <b/>
            <sz val="9"/>
            <color indexed="81"/>
            <rFont val="MS P ゴシック"/>
            <family val="3"/>
            <charset val="128"/>
          </rPr>
          <t>成果物のセキュリティ
⇒開発及びサポートプロセスにおけるセキュリティを参照</t>
        </r>
      </text>
    </comment>
    <comment ref="B54" authorId="0" shapeId="0" xr:uid="{7506FE83-2792-448A-9C6F-44D6F820F470}">
      <text>
        <r>
          <rPr>
            <b/>
            <sz val="9"/>
            <color indexed="81"/>
            <rFont val="MS P ゴシック"/>
            <family val="3"/>
            <charset val="128"/>
          </rPr>
          <t>成果物のセキュリティ
⇒開発及びサポートプロセスにおけるセキュリティを参照</t>
        </r>
      </text>
    </comment>
    <comment ref="B58" authorId="0" shapeId="0" xr:uid="{EEA1ABD5-8467-421E-B27F-8D49838A0772}">
      <text>
        <r>
          <rPr>
            <b/>
            <sz val="9"/>
            <color indexed="81"/>
            <rFont val="MS P ゴシック"/>
            <family val="3"/>
            <charset val="128"/>
          </rPr>
          <t>原則「あり」を選択
「なし」を選択する場合は、理由を明記すること</t>
        </r>
      </text>
    </comment>
    <comment ref="B60" authorId="0" shapeId="0" xr:uid="{4D6E1BB7-96B6-4F24-B492-0D0A653004C5}">
      <text>
        <r>
          <rPr>
            <b/>
            <sz val="9"/>
            <color indexed="81"/>
            <rFont val="MS P ゴシック"/>
            <family val="3"/>
            <charset val="128"/>
          </rPr>
          <t>会社名・敬称は不要</t>
        </r>
      </text>
    </comment>
    <comment ref="Y60" authorId="0" shapeId="0" xr:uid="{E42335D4-A0E2-4208-AE8D-63C031F1BF73}">
      <text>
        <r>
          <rPr>
            <b/>
            <sz val="9"/>
            <color indexed="81"/>
            <rFont val="MS P ゴシック"/>
            <family val="3"/>
            <charset val="128"/>
          </rPr>
          <t>1名</t>
        </r>
      </text>
    </comment>
    <comment ref="B169" authorId="0" shapeId="0" xr:uid="{00000000-0006-0000-0000-000001000000}">
      <text>
        <r>
          <rPr>
            <b/>
            <sz val="9"/>
            <color indexed="81"/>
            <rFont val="MS P ゴシック"/>
            <family val="3"/>
            <charset val="128"/>
          </rPr>
          <t>結果が「不満足」、または意見・クレーム記載有の場合</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福田慎</author>
  </authors>
  <commentList>
    <comment ref="AQ50" authorId="0" shapeId="0" xr:uid="{3F6A8B57-749B-49D3-80AA-B697663254C3}">
      <text>
        <r>
          <rPr>
            <b/>
            <sz val="9"/>
            <color indexed="81"/>
            <rFont val="MS P ゴシック"/>
            <family val="3"/>
            <charset val="128"/>
          </rPr>
          <t xml:space="preserve">欠陥検出率はテスト・レビューの欠陥検出の能力を表す。
欠陥検出数／残存欠陥数で算出。
どこの工程のレビュー・テストを強化すべきかを確認できる。
</t>
        </r>
      </text>
    </comment>
  </commentList>
</comments>
</file>

<file path=xl/sharedStrings.xml><?xml version="1.0" encoding="utf-8"?>
<sst xmlns="http://schemas.openxmlformats.org/spreadsheetml/2006/main" count="640" uniqueCount="403">
  <si>
    <t>作成(PM)</t>
    <rPh sb="0" eb="2">
      <t>サクセイ</t>
    </rPh>
    <phoneticPr fontId="2"/>
  </si>
  <si>
    <t>関谷 亮</t>
    <rPh sb="0" eb="2">
      <t>セキヤ</t>
    </rPh>
    <rPh sb="3" eb="4">
      <t>リョウ</t>
    </rPh>
    <phoneticPr fontId="2"/>
  </si>
  <si>
    <t>福井 将敏</t>
    <rPh sb="0" eb="2">
      <t>フクイ</t>
    </rPh>
    <rPh sb="3" eb="5">
      <t>マサトシ</t>
    </rPh>
    <phoneticPr fontId="2"/>
  </si>
  <si>
    <t>＜基本情報＞</t>
    <rPh sb="1" eb="3">
      <t>キホン</t>
    </rPh>
    <rPh sb="3" eb="5">
      <t>ジョウホウ</t>
    </rPh>
    <phoneticPr fontId="2"/>
  </si>
  <si>
    <t>プロジェクトコード</t>
    <phoneticPr fontId="2"/>
  </si>
  <si>
    <t>PJ2025052974</t>
    <phoneticPr fontId="2"/>
  </si>
  <si>
    <t>プロジェクト期間</t>
    <rPh sb="6" eb="8">
      <t>キカン</t>
    </rPh>
    <phoneticPr fontId="2"/>
  </si>
  <si>
    <t>～</t>
    <phoneticPr fontId="2"/>
  </si>
  <si>
    <t>プロジェクト名</t>
    <rPh sb="6" eb="7">
      <t>メイ</t>
    </rPh>
    <phoneticPr fontId="2"/>
  </si>
  <si>
    <t>MES嵌合工程検査のオンライン化対応</t>
    <phoneticPr fontId="2"/>
  </si>
  <si>
    <t>プロジェクト概要</t>
    <rPh sb="6" eb="8">
      <t>ガイヨウ</t>
    </rPh>
    <phoneticPr fontId="2"/>
  </si>
  <si>
    <t>嵌合実績入力画面における工程検査表取込機能追加対応</t>
    <phoneticPr fontId="2"/>
  </si>
  <si>
    <t>顧客名</t>
    <rPh sb="0" eb="2">
      <t>コキャク</t>
    </rPh>
    <rPh sb="2" eb="3">
      <t>メイ</t>
    </rPh>
    <phoneticPr fontId="2"/>
  </si>
  <si>
    <t>出光興産株式会社</t>
  </si>
  <si>
    <t>顧客担当部署</t>
    <rPh sb="0" eb="2">
      <t>コキャク</t>
    </rPh>
    <rPh sb="2" eb="4">
      <t>タントウ</t>
    </rPh>
    <rPh sb="4" eb="6">
      <t>ブショ</t>
    </rPh>
    <phoneticPr fontId="2"/>
  </si>
  <si>
    <t>ﾃﾞｼﾞﾀﾙ･ICT推進部</t>
    <rPh sb="10" eb="11">
      <t>ブ</t>
    </rPh>
    <phoneticPr fontId="6"/>
  </si>
  <si>
    <t>担当本部</t>
    <rPh sb="0" eb="2">
      <t>タントウ</t>
    </rPh>
    <rPh sb="2" eb="4">
      <t>ホンブ</t>
    </rPh>
    <phoneticPr fontId="2"/>
  </si>
  <si>
    <t>システムソリューション１部</t>
    <rPh sb="12" eb="13">
      <t>ブ</t>
    </rPh>
    <phoneticPr fontId="2"/>
  </si>
  <si>
    <t>担当部門</t>
    <rPh sb="0" eb="2">
      <t>タントウ</t>
    </rPh>
    <rPh sb="2" eb="4">
      <t>ブモン</t>
    </rPh>
    <phoneticPr fontId="2"/>
  </si>
  <si>
    <t>システムソリューション本部</t>
    <rPh sb="11" eb="13">
      <t>ホンブ</t>
    </rPh>
    <phoneticPr fontId="6"/>
  </si>
  <si>
    <t>プロジェクト責任者</t>
    <rPh sb="6" eb="9">
      <t>セキニンシャ</t>
    </rPh>
    <phoneticPr fontId="2"/>
  </si>
  <si>
    <t>福井将敏</t>
  </si>
  <si>
    <t>プロジェクトマネージャ</t>
    <phoneticPr fontId="2"/>
  </si>
  <si>
    <t>関谷亮</t>
    <rPh sb="0" eb="2">
      <t>セキヤ</t>
    </rPh>
    <rPh sb="2" eb="3">
      <t>リョウ</t>
    </rPh>
    <phoneticPr fontId="2"/>
  </si>
  <si>
    <t>品質管理担当者</t>
    <rPh sb="0" eb="2">
      <t>ヒンシツ</t>
    </rPh>
    <rPh sb="2" eb="4">
      <t>カンリ</t>
    </rPh>
    <rPh sb="4" eb="7">
      <t>タントウシャ</t>
    </rPh>
    <phoneticPr fontId="2"/>
  </si>
  <si>
    <t>福井将敏</t>
    <rPh sb="0" eb="4">
      <t>フクイマサトシ</t>
    </rPh>
    <phoneticPr fontId="2"/>
  </si>
  <si>
    <t>営業担当者</t>
    <rPh sb="0" eb="2">
      <t>エイギョウ</t>
    </rPh>
    <rPh sb="2" eb="5">
      <t>タントウシャ</t>
    </rPh>
    <phoneticPr fontId="2"/>
  </si>
  <si>
    <t>髙浦祐朗</t>
  </si>
  <si>
    <t>受注額（プロジェクト全体）</t>
    <rPh sb="0" eb="2">
      <t>ジュチュウ</t>
    </rPh>
    <rPh sb="2" eb="3">
      <t>ガク</t>
    </rPh>
    <rPh sb="10" eb="12">
      <t>ゼンタイ</t>
    </rPh>
    <phoneticPr fontId="2"/>
  </si>
  <si>
    <t>プロジェクト区分</t>
    <rPh sb="6" eb="8">
      <t>クブン</t>
    </rPh>
    <phoneticPr fontId="2"/>
  </si>
  <si>
    <t>改良開発</t>
  </si>
  <si>
    <t>プロジェクトメンバー</t>
    <phoneticPr fontId="2"/>
  </si>
  <si>
    <t>関谷亮、森田泰博</t>
    <phoneticPr fontId="2"/>
  </si>
  <si>
    <t>＜プロジェクト属性＞</t>
    <rPh sb="7" eb="9">
      <t>ゾクセイ</t>
    </rPh>
    <phoneticPr fontId="2"/>
  </si>
  <si>
    <t>他本部連携</t>
    <rPh sb="0" eb="3">
      <t>タホンブ</t>
    </rPh>
    <rPh sb="3" eb="5">
      <t>レンケイ</t>
    </rPh>
    <phoneticPr fontId="2"/>
  </si>
  <si>
    <t>-</t>
  </si>
  <si>
    <t>アライアンス</t>
    <phoneticPr fontId="2"/>
  </si>
  <si>
    <t>オラクル</t>
  </si>
  <si>
    <t>オフショア</t>
    <phoneticPr fontId="2"/>
  </si>
  <si>
    <t>クラウドネイティブ</t>
    <phoneticPr fontId="2"/>
  </si>
  <si>
    <t>公共</t>
    <rPh sb="0" eb="2">
      <t>コウキョウ</t>
    </rPh>
    <phoneticPr fontId="2"/>
  </si>
  <si>
    <t>CloudJetAdvisory</t>
    <phoneticPr fontId="2"/>
  </si>
  <si>
    <t>開発言語</t>
    <rPh sb="0" eb="2">
      <t>カイハツ</t>
    </rPh>
    <rPh sb="2" eb="4">
      <t>ゲンゴ</t>
    </rPh>
    <phoneticPr fontId="2"/>
  </si>
  <si>
    <t>Java</t>
    <phoneticPr fontId="2"/>
  </si>
  <si>
    <t>クラウド</t>
    <phoneticPr fontId="2"/>
  </si>
  <si>
    <t>AWS</t>
    <phoneticPr fontId="2"/>
  </si>
  <si>
    <t>.NET</t>
    <phoneticPr fontId="2"/>
  </si>
  <si>
    <t>○</t>
  </si>
  <si>
    <t>Azure</t>
    <phoneticPr fontId="2"/>
  </si>
  <si>
    <t>Python</t>
    <phoneticPr fontId="2"/>
  </si>
  <si>
    <t>OCI</t>
    <phoneticPr fontId="2"/>
  </si>
  <si>
    <t>VBA</t>
    <phoneticPr fontId="2"/>
  </si>
  <si>
    <t>EXE-Cloud</t>
    <phoneticPr fontId="2"/>
  </si>
  <si>
    <t>その他</t>
    <rPh sb="2" eb="3">
      <t>タ</t>
    </rPh>
    <phoneticPr fontId="2"/>
  </si>
  <si>
    <t>＜プロジェクト目的及び品質目標＞</t>
    <rPh sb="7" eb="9">
      <t>モクテキ</t>
    </rPh>
    <rPh sb="9" eb="10">
      <t>オヨ</t>
    </rPh>
    <rPh sb="11" eb="13">
      <t>ヒンシツ</t>
    </rPh>
    <rPh sb="13" eb="15">
      <t>モクヒョウ</t>
    </rPh>
    <phoneticPr fontId="2"/>
  </si>
  <si>
    <t>プロジェクト目的</t>
    <rPh sb="6" eb="8">
      <t>モクテキ</t>
    </rPh>
    <phoneticPr fontId="2"/>
  </si>
  <si>
    <t>嵌合工程検査表は紙ベースでの記録となっており、重大クレーム発生時に設備が停止した記録をトレースする際に、スタッフが紙を１枚１枚確認する必要がある。MFB-906Z1フランジ折れクレーム発生時はトレース作業時のヒューマンエラーによる範囲の特定ミスが発生し、お客様からの信頼を失墜するリスクがあるため、オンライン化することでトレース作業を確実に短時間で出来るようにする。</t>
    <phoneticPr fontId="2"/>
  </si>
  <si>
    <t>成功要因</t>
    <rPh sb="0" eb="2">
      <t>セイコウ</t>
    </rPh>
    <rPh sb="2" eb="4">
      <t>ヨウイン</t>
    </rPh>
    <phoneticPr fontId="2"/>
  </si>
  <si>
    <t>関係者（利用部門含む）との連携を密に行い、要件定義にて仕様を明確にし、完成イメージの認識合わせを実施する。また、設計工程後、および結合テスト工程後に打ち合わせを実施し、認識齟齬がないかを確認する。</t>
    <rPh sb="21" eb="23">
      <t>ヨウケン</t>
    </rPh>
    <rPh sb="23" eb="25">
      <t>テイギ</t>
    </rPh>
    <rPh sb="27" eb="29">
      <t>シヨウ</t>
    </rPh>
    <rPh sb="56" eb="58">
      <t>セッケイ</t>
    </rPh>
    <rPh sb="58" eb="60">
      <t>コウテイ</t>
    </rPh>
    <rPh sb="60" eb="61">
      <t>ゴ</t>
    </rPh>
    <rPh sb="65" eb="67">
      <t>ケツゴウ</t>
    </rPh>
    <rPh sb="70" eb="72">
      <t>コウテイ</t>
    </rPh>
    <rPh sb="72" eb="73">
      <t>ゴ</t>
    </rPh>
    <rPh sb="74" eb="75">
      <t>ウ</t>
    </rPh>
    <rPh sb="76" eb="77">
      <t>ア</t>
    </rPh>
    <phoneticPr fontId="2"/>
  </si>
  <si>
    <t>品質目標</t>
    <rPh sb="0" eb="2">
      <t>ヒンシツ</t>
    </rPh>
    <rPh sb="2" eb="4">
      <t>モクヒョウ</t>
    </rPh>
    <phoneticPr fontId="2"/>
  </si>
  <si>
    <t>成果物すべてで内部レビュー及び外部レビューを100%実施し、出光興産様とシステムエグゼ双方で内容を合意する。
また、開発期間中から本稼働までを含め、障害発生をゼロとする。</t>
  </si>
  <si>
    <t>セキュリティ目標</t>
    <rPh sb="6" eb="8">
      <t>モクヒョウ</t>
    </rPh>
    <phoneticPr fontId="2"/>
  </si>
  <si>
    <t>セキュリティ事故０件（メール誤送信や添付ファイルのPW漏れ 等）</t>
  </si>
  <si>
    <t>セキュリティに配慮した開発計画</t>
    <rPh sb="13" eb="15">
      <t>ケイカク</t>
    </rPh>
    <phoneticPr fontId="2"/>
  </si>
  <si>
    <t>既存画面改修の為、対象外</t>
    <rPh sb="0" eb="2">
      <t>キゾン</t>
    </rPh>
    <rPh sb="2" eb="4">
      <t>ガメン</t>
    </rPh>
    <rPh sb="4" eb="6">
      <t>カイシュウ</t>
    </rPh>
    <rPh sb="7" eb="8">
      <t>タメ</t>
    </rPh>
    <rPh sb="9" eb="12">
      <t>タイショウガイ</t>
    </rPh>
    <phoneticPr fontId="2"/>
  </si>
  <si>
    <t>＜インプット＞</t>
    <phoneticPr fontId="2"/>
  </si>
  <si>
    <t>インプット項目</t>
    <rPh sb="5" eb="7">
      <t>コウモク</t>
    </rPh>
    <phoneticPr fontId="2"/>
  </si>
  <si>
    <t>あり／なし</t>
    <phoneticPr fontId="2"/>
  </si>
  <si>
    <t>備考</t>
    <rPh sb="0" eb="2">
      <t>ビコウ</t>
    </rPh>
    <phoneticPr fontId="2"/>
  </si>
  <si>
    <t>提案依頼書</t>
    <rPh sb="0" eb="2">
      <t>テイアン</t>
    </rPh>
    <rPh sb="2" eb="4">
      <t>イライ</t>
    </rPh>
    <rPh sb="4" eb="5">
      <t>ショ</t>
    </rPh>
    <phoneticPr fontId="2"/>
  </si>
  <si>
    <t>なし</t>
  </si>
  <si>
    <t>提案書</t>
    <rPh sb="0" eb="3">
      <t>テイアンショ</t>
    </rPh>
    <phoneticPr fontId="2"/>
  </si>
  <si>
    <t>見積書</t>
    <rPh sb="0" eb="3">
      <t>ミツモリショ</t>
    </rPh>
    <phoneticPr fontId="2"/>
  </si>
  <si>
    <t>あり（右記に文書名記入）</t>
  </si>
  <si>
    <t>見積詳細_三重MES 嵌合工程検査のオンライン化対応.xlsx</t>
  </si>
  <si>
    <t>注文書</t>
    <rPh sb="0" eb="3">
      <t>チュウモンショ</t>
    </rPh>
    <phoneticPr fontId="2"/>
  </si>
  <si>
    <t>注文書_伊東様_三重MES 嵌合工程検査のオンライン化対応.xlsx</t>
  </si>
  <si>
    <t>個別契約書</t>
    <rPh sb="0" eb="2">
      <t>コベツ</t>
    </rPh>
    <rPh sb="2" eb="5">
      <t>ケイヤクショ</t>
    </rPh>
    <phoneticPr fontId="2"/>
  </si>
  <si>
    <t>仕様書</t>
    <rPh sb="0" eb="3">
      <t>シヨウショ</t>
    </rPh>
    <phoneticPr fontId="2"/>
  </si>
  <si>
    <t>要件定義書</t>
    <rPh sb="0" eb="2">
      <t>ヨウケン</t>
    </rPh>
    <rPh sb="2" eb="4">
      <t>テイギ</t>
    </rPh>
    <rPh sb="4" eb="5">
      <t>ショ</t>
    </rPh>
    <phoneticPr fontId="2"/>
  </si>
  <si>
    <t>影響度調査結果（改修の場合）</t>
    <rPh sb="0" eb="2">
      <t>エイキョウ</t>
    </rPh>
    <rPh sb="2" eb="3">
      <t>ド</t>
    </rPh>
    <rPh sb="3" eb="5">
      <t>チョウサ</t>
    </rPh>
    <rPh sb="5" eb="7">
      <t>ケッカ</t>
    </rPh>
    <rPh sb="8" eb="10">
      <t>カイシュウ</t>
    </rPh>
    <rPh sb="11" eb="13">
      <t>バアイ</t>
    </rPh>
    <phoneticPr fontId="2"/>
  </si>
  <si>
    <t>＜アウトプット＞</t>
    <phoneticPr fontId="2"/>
  </si>
  <si>
    <t>アウトプット項目</t>
    <rPh sb="6" eb="8">
      <t>コウモク</t>
    </rPh>
    <phoneticPr fontId="2"/>
  </si>
  <si>
    <t>納品</t>
    <rPh sb="0" eb="2">
      <t>ノウヒン</t>
    </rPh>
    <phoneticPr fontId="2"/>
  </si>
  <si>
    <t>作成</t>
    <rPh sb="0" eb="2">
      <t>サクセイ</t>
    </rPh>
    <phoneticPr fontId="2"/>
  </si>
  <si>
    <t>プロジェクト計画書</t>
    <rPh sb="6" eb="9">
      <t>ケイカクショ</t>
    </rPh>
    <phoneticPr fontId="2"/>
  </si>
  <si>
    <t>要件定義書</t>
    <rPh sb="0" eb="2">
      <t>ヨウケン</t>
    </rPh>
    <rPh sb="2" eb="5">
      <t>テイギショ</t>
    </rPh>
    <phoneticPr fontId="2"/>
  </si>
  <si>
    <t>変更仕様書</t>
    <rPh sb="0" eb="5">
      <t>ヘンコウシヨウショ</t>
    </rPh>
    <phoneticPr fontId="2"/>
  </si>
  <si>
    <t>基本設計書</t>
    <rPh sb="0" eb="2">
      <t>キホン</t>
    </rPh>
    <rPh sb="2" eb="4">
      <t>セッケイ</t>
    </rPh>
    <rPh sb="4" eb="5">
      <t>ショ</t>
    </rPh>
    <phoneticPr fontId="2"/>
  </si>
  <si>
    <t>詳細設計書</t>
    <rPh sb="0" eb="2">
      <t>ショウサイ</t>
    </rPh>
    <rPh sb="2" eb="4">
      <t>セッケイ</t>
    </rPh>
    <rPh sb="4" eb="5">
      <t>ショ</t>
    </rPh>
    <phoneticPr fontId="2"/>
  </si>
  <si>
    <t>プログラム</t>
    <phoneticPr fontId="2"/>
  </si>
  <si>
    <t>単体テスト仕様書・結果報告書</t>
    <rPh sb="0" eb="2">
      <t>タンタイ</t>
    </rPh>
    <rPh sb="5" eb="8">
      <t>シヨウショ</t>
    </rPh>
    <rPh sb="9" eb="11">
      <t>ケッカ</t>
    </rPh>
    <rPh sb="11" eb="14">
      <t>ホウコクショ</t>
    </rPh>
    <phoneticPr fontId="2"/>
  </si>
  <si>
    <t>結合テスト仕様書・結果報告書</t>
    <rPh sb="0" eb="2">
      <t>ケツゴウ</t>
    </rPh>
    <rPh sb="5" eb="8">
      <t>シヨウショ</t>
    </rPh>
    <rPh sb="9" eb="11">
      <t>ケッカ</t>
    </rPh>
    <rPh sb="11" eb="14">
      <t>ホウコクショ</t>
    </rPh>
    <phoneticPr fontId="2"/>
  </si>
  <si>
    <t>システムテスト仕様書・結果報告書</t>
    <rPh sb="7" eb="10">
      <t>シヨウショ</t>
    </rPh>
    <rPh sb="11" eb="13">
      <t>ケッカ</t>
    </rPh>
    <rPh sb="13" eb="16">
      <t>ホウコクショ</t>
    </rPh>
    <phoneticPr fontId="2"/>
  </si>
  <si>
    <t>操作マニュアル</t>
    <rPh sb="0" eb="2">
      <t>ソウサ</t>
    </rPh>
    <phoneticPr fontId="2"/>
  </si>
  <si>
    <t>運用マニュアル</t>
    <rPh sb="0" eb="2">
      <t>ウンヨウ</t>
    </rPh>
    <phoneticPr fontId="2"/>
  </si>
  <si>
    <t>移行方式設計書</t>
    <rPh sb="0" eb="2">
      <t>イコウ</t>
    </rPh>
    <rPh sb="2" eb="4">
      <t>ホウシキ</t>
    </rPh>
    <rPh sb="4" eb="7">
      <t>セッケイショ</t>
    </rPh>
    <phoneticPr fontId="2"/>
  </si>
  <si>
    <t>本番リリース手順書</t>
    <rPh sb="0" eb="2">
      <t>ホンバン</t>
    </rPh>
    <rPh sb="6" eb="9">
      <t>テジュンショ</t>
    </rPh>
    <phoneticPr fontId="2"/>
  </si>
  <si>
    <t>運用設計書</t>
    <rPh sb="0" eb="2">
      <t>ウンヨウ</t>
    </rPh>
    <rPh sb="2" eb="4">
      <t>セッケイ</t>
    </rPh>
    <rPh sb="4" eb="5">
      <t>ショ</t>
    </rPh>
    <phoneticPr fontId="2"/>
  </si>
  <si>
    <t>プロジェクト管理資料</t>
    <rPh sb="6" eb="10">
      <t>カンリシリョウ</t>
    </rPh>
    <phoneticPr fontId="2"/>
  </si>
  <si>
    <t>嵌合工程検査のオンライン化_WBS.xlsx</t>
  </si>
  <si>
    <t>＜開発規模（想定）＞</t>
    <rPh sb="1" eb="3">
      <t>カイハツ</t>
    </rPh>
    <rPh sb="3" eb="5">
      <t>キボ</t>
    </rPh>
    <rPh sb="6" eb="8">
      <t>ソウテイ</t>
    </rPh>
    <phoneticPr fontId="2"/>
  </si>
  <si>
    <t>画面数</t>
    <rPh sb="0" eb="2">
      <t>ガメン</t>
    </rPh>
    <rPh sb="2" eb="3">
      <t>スウ</t>
    </rPh>
    <phoneticPr fontId="2"/>
  </si>
  <si>
    <t>帳票数</t>
    <rPh sb="0" eb="2">
      <t>チョウヒョウ</t>
    </rPh>
    <rPh sb="2" eb="3">
      <t>スウ</t>
    </rPh>
    <phoneticPr fontId="2"/>
  </si>
  <si>
    <t>バッチ数</t>
    <rPh sb="3" eb="4">
      <t>スウ</t>
    </rPh>
    <phoneticPr fontId="2"/>
  </si>
  <si>
    <t>外部IF数</t>
    <rPh sb="0" eb="2">
      <t>ガイブ</t>
    </rPh>
    <rPh sb="4" eb="5">
      <t>スウ</t>
    </rPh>
    <phoneticPr fontId="2"/>
  </si>
  <si>
    <t>テーブル数</t>
    <rPh sb="4" eb="5">
      <t>スウ</t>
    </rPh>
    <phoneticPr fontId="2"/>
  </si>
  <si>
    <t>概算FP</t>
    <rPh sb="0" eb="2">
      <t>ガイサン</t>
    </rPh>
    <phoneticPr fontId="2"/>
  </si>
  <si>
    <t>＜プロジェクト体制＞</t>
    <rPh sb="7" eb="9">
      <t>タイセイ</t>
    </rPh>
    <phoneticPr fontId="2"/>
  </si>
  <si>
    <t xml:space="preserve"> 責任者
 福井将敏</t>
    <rPh sb="1" eb="4">
      <t>セキニンシャ</t>
    </rPh>
    <rPh sb="6" eb="10">
      <t>フクイマサトシ</t>
    </rPh>
    <phoneticPr fontId="2"/>
  </si>
  <si>
    <t xml:space="preserve"> PM
 関谷亮</t>
    <rPh sb="5" eb="7">
      <t>セキヤ</t>
    </rPh>
    <rPh sb="7" eb="8">
      <t>リョウ</t>
    </rPh>
    <phoneticPr fontId="23"/>
  </si>
  <si>
    <t xml:space="preserve"> メンバー
 森田泰博</t>
    <rPh sb="7" eb="9">
      <t>モリタ</t>
    </rPh>
    <rPh sb="9" eb="11">
      <t>ヤスヒロ</t>
    </rPh>
    <phoneticPr fontId="2"/>
  </si>
  <si>
    <t xml:space="preserve"> PM支援
 福田一希</t>
    <rPh sb="3" eb="5">
      <t>シエン</t>
    </rPh>
    <phoneticPr fontId="23"/>
  </si>
  <si>
    <t>＜スケジュールおよび工程別収支計画＞</t>
    <rPh sb="13" eb="15">
      <t>シュウシ</t>
    </rPh>
    <rPh sb="15" eb="17">
      <t>ケイカク</t>
    </rPh>
    <phoneticPr fontId="2"/>
  </si>
  <si>
    <t>工程</t>
    <rPh sb="0" eb="2">
      <t>コウテイ</t>
    </rPh>
    <phoneticPr fontId="2"/>
  </si>
  <si>
    <t>開始日</t>
    <rPh sb="0" eb="3">
      <t>カイシビ</t>
    </rPh>
    <phoneticPr fontId="2"/>
  </si>
  <si>
    <t>終了日</t>
    <rPh sb="0" eb="3">
      <t>シュウリョウビ</t>
    </rPh>
    <phoneticPr fontId="2"/>
  </si>
  <si>
    <t>工期（月）</t>
    <rPh sb="0" eb="2">
      <t>コウキ</t>
    </rPh>
    <rPh sb="3" eb="4">
      <t>ツキ</t>
    </rPh>
    <phoneticPr fontId="2"/>
  </si>
  <si>
    <t>工数（人月）</t>
    <rPh sb="0" eb="2">
      <t>コウスウ</t>
    </rPh>
    <rPh sb="3" eb="5">
      <t>ニンゲツ</t>
    </rPh>
    <phoneticPr fontId="2"/>
  </si>
  <si>
    <t>売上（円）</t>
    <rPh sb="0" eb="2">
      <t>ウリアゲ</t>
    </rPh>
    <rPh sb="3" eb="4">
      <t>エン</t>
    </rPh>
    <phoneticPr fontId="2"/>
  </si>
  <si>
    <t>単価（円）</t>
    <rPh sb="0" eb="2">
      <t>タンカ</t>
    </rPh>
    <rPh sb="3" eb="4">
      <t>エン</t>
    </rPh>
    <phoneticPr fontId="2"/>
  </si>
  <si>
    <t>原価（円）</t>
    <rPh sb="0" eb="2">
      <t>ゲンカ</t>
    </rPh>
    <phoneticPr fontId="2"/>
  </si>
  <si>
    <t>粗利（円）</t>
    <rPh sb="0" eb="2">
      <t>アラリ</t>
    </rPh>
    <rPh sb="3" eb="4">
      <t>エン</t>
    </rPh>
    <phoneticPr fontId="2"/>
  </si>
  <si>
    <t>粗利率（%）</t>
    <rPh sb="0" eb="3">
      <t>アラリリツ</t>
    </rPh>
    <phoneticPr fontId="2"/>
  </si>
  <si>
    <t>要件定義</t>
    <phoneticPr fontId="2"/>
  </si>
  <si>
    <t>基本設計</t>
  </si>
  <si>
    <t>詳細設計</t>
  </si>
  <si>
    <t>製造</t>
  </si>
  <si>
    <t>結合テスト</t>
  </si>
  <si>
    <t>システムテスト</t>
  </si>
  <si>
    <t>ユーザーテスト</t>
  </si>
  <si>
    <t>本稼働</t>
  </si>
  <si>
    <t>その他</t>
  </si>
  <si>
    <t>計</t>
    <rPh sb="0" eb="1">
      <t>ケイ</t>
    </rPh>
    <phoneticPr fontId="2"/>
  </si>
  <si>
    <t>＜物販等＞</t>
    <rPh sb="1" eb="3">
      <t>ブッパン</t>
    </rPh>
    <rPh sb="3" eb="4">
      <t>トウ</t>
    </rPh>
    <phoneticPr fontId="2"/>
  </si>
  <si>
    <t>サービス名・製品名等</t>
    <rPh sb="4" eb="5">
      <t>メイ</t>
    </rPh>
    <rPh sb="6" eb="9">
      <t>セイヒンメイ</t>
    </rPh>
    <rPh sb="9" eb="10">
      <t>トウ</t>
    </rPh>
    <phoneticPr fontId="2"/>
  </si>
  <si>
    <t>期間</t>
    <rPh sb="0" eb="2">
      <t>キカン</t>
    </rPh>
    <phoneticPr fontId="2"/>
  </si>
  <si>
    <t>数量</t>
    <rPh sb="0" eb="2">
      <t>スウリョウ</t>
    </rPh>
    <phoneticPr fontId="2"/>
  </si>
  <si>
    <t>＜工程完了レビュー実施予定＞</t>
    <rPh sb="1" eb="3">
      <t>コウテイ</t>
    </rPh>
    <rPh sb="3" eb="5">
      <t>カンリョウ</t>
    </rPh>
    <rPh sb="9" eb="11">
      <t>ジッシ</t>
    </rPh>
    <rPh sb="11" eb="13">
      <t>ヨテイ</t>
    </rPh>
    <phoneticPr fontId="2"/>
  </si>
  <si>
    <t>完了レビュー</t>
    <rPh sb="0" eb="2">
      <t>カンリョウ</t>
    </rPh>
    <phoneticPr fontId="2"/>
  </si>
  <si>
    <t>レビューア</t>
    <phoneticPr fontId="2"/>
  </si>
  <si>
    <t>経過レビュー</t>
    <rPh sb="0" eb="2">
      <t>ケイカ</t>
    </rPh>
    <phoneticPr fontId="2"/>
  </si>
  <si>
    <t>プロジェクト計画</t>
    <rPh sb="6" eb="8">
      <t>ケイカク</t>
    </rPh>
    <phoneticPr fontId="2"/>
  </si>
  <si>
    <t>部長</t>
  </si>
  <si>
    <t>リリース判定</t>
    <rPh sb="4" eb="6">
      <t>ハンテイ</t>
    </rPh>
    <phoneticPr fontId="2"/>
  </si>
  <si>
    <t>納品判定</t>
    <rPh sb="0" eb="2">
      <t>ノウヒン</t>
    </rPh>
    <rPh sb="2" eb="4">
      <t>ハンテイ</t>
    </rPh>
    <phoneticPr fontId="2"/>
  </si>
  <si>
    <t>総括</t>
    <rPh sb="0" eb="2">
      <t>ソウカツ</t>
    </rPh>
    <phoneticPr fontId="2"/>
  </si>
  <si>
    <t>＜会議体計画＞</t>
    <rPh sb="1" eb="4">
      <t>カイギタイ</t>
    </rPh>
    <rPh sb="4" eb="6">
      <t>ケイカク</t>
    </rPh>
    <phoneticPr fontId="2"/>
  </si>
  <si>
    <t>会議名称</t>
    <rPh sb="0" eb="2">
      <t>カイギ</t>
    </rPh>
    <rPh sb="2" eb="4">
      <t>メイショウ</t>
    </rPh>
    <phoneticPr fontId="2"/>
  </si>
  <si>
    <t>目的</t>
    <rPh sb="0" eb="2">
      <t>モクテキ</t>
    </rPh>
    <phoneticPr fontId="2"/>
  </si>
  <si>
    <t>開催周期</t>
    <rPh sb="0" eb="4">
      <t>カイサイシュウキ</t>
    </rPh>
    <phoneticPr fontId="2"/>
  </si>
  <si>
    <t>参加者</t>
    <rPh sb="0" eb="3">
      <t>サンカシャ</t>
    </rPh>
    <phoneticPr fontId="2"/>
  </si>
  <si>
    <t>記録</t>
    <rPh sb="0" eb="2">
      <t>キロク</t>
    </rPh>
    <phoneticPr fontId="2"/>
  </si>
  <si>
    <t>定例会議</t>
    <rPh sb="0" eb="2">
      <t>テイレイ</t>
    </rPh>
    <rPh sb="2" eb="4">
      <t>カイギ</t>
    </rPh>
    <phoneticPr fontId="2"/>
  </si>
  <si>
    <t>進捗確認</t>
    <rPh sb="0" eb="2">
      <t>シンチョク</t>
    </rPh>
    <rPh sb="2" eb="4">
      <t>カクニン</t>
    </rPh>
    <phoneticPr fontId="2"/>
  </si>
  <si>
    <t>隔週</t>
    <rPh sb="0" eb="2">
      <t>カクシュウ</t>
    </rPh>
    <phoneticPr fontId="2"/>
  </si>
  <si>
    <t>出光興産株式会社伊東様</t>
    <rPh sb="0" eb="8">
      <t>イデミツコウサンカブシキガイシャ</t>
    </rPh>
    <rPh sb="8" eb="10">
      <t>イトウ</t>
    </rPh>
    <rPh sb="10" eb="11">
      <t>サマ</t>
    </rPh>
    <phoneticPr fontId="2"/>
  </si>
  <si>
    <t>＜要員研修計画＞</t>
    <rPh sb="1" eb="3">
      <t>ヨウイン</t>
    </rPh>
    <rPh sb="3" eb="5">
      <t>ケンシュウ</t>
    </rPh>
    <rPh sb="5" eb="7">
      <t>ケイカク</t>
    </rPh>
    <phoneticPr fontId="2"/>
  </si>
  <si>
    <t>教育・訓練コ－ス名</t>
    <rPh sb="0" eb="2">
      <t>キョウイク</t>
    </rPh>
    <rPh sb="3" eb="5">
      <t>クンレン</t>
    </rPh>
    <rPh sb="8" eb="9">
      <t>メイ</t>
    </rPh>
    <phoneticPr fontId="2"/>
  </si>
  <si>
    <t>受講予定日</t>
    <rPh sb="0" eb="2">
      <t>ジュコウ</t>
    </rPh>
    <rPh sb="2" eb="5">
      <t>ヨテイビ</t>
    </rPh>
    <phoneticPr fontId="2"/>
  </si>
  <si>
    <t>受講予定者</t>
    <rPh sb="0" eb="2">
      <t>ジュコウ</t>
    </rPh>
    <rPh sb="2" eb="5">
      <t>ヨテイシャ</t>
    </rPh>
    <phoneticPr fontId="2"/>
  </si>
  <si>
    <t>修得目標スキル／レベル</t>
    <phoneticPr fontId="2"/>
  </si>
  <si>
    <t>なし</t>
    <phoneticPr fontId="2"/>
  </si>
  <si>
    <t>＜保守・運用への引継ぎ計画＞</t>
    <rPh sb="1" eb="3">
      <t>ホシュ</t>
    </rPh>
    <rPh sb="4" eb="6">
      <t>ウンヨウ</t>
    </rPh>
    <rPh sb="8" eb="10">
      <t>ヒキツ</t>
    </rPh>
    <rPh sb="11" eb="13">
      <t>ケイカク</t>
    </rPh>
    <phoneticPr fontId="2"/>
  </si>
  <si>
    <t>保守・運用への引継ぎ有無</t>
    <rPh sb="0" eb="2">
      <t>ホシュ</t>
    </rPh>
    <rPh sb="3" eb="5">
      <t>ウンヨウ</t>
    </rPh>
    <rPh sb="7" eb="9">
      <t>ヒキツ</t>
    </rPh>
    <rPh sb="10" eb="12">
      <t>ウム</t>
    </rPh>
    <phoneticPr fontId="2"/>
  </si>
  <si>
    <t>有</t>
  </si>
  <si>
    <t>引継ぎ予定日</t>
    <rPh sb="0" eb="2">
      <t>ヒキツ</t>
    </rPh>
    <rPh sb="3" eb="6">
      <t>ヨテイビ</t>
    </rPh>
    <phoneticPr fontId="2"/>
  </si>
  <si>
    <t>※ ★の項目は顧客満足度調査の依頼メールの本文に記載されますので間違いがないよう記載してください。</t>
    <rPh sb="4" eb="6">
      <t>コウモク</t>
    </rPh>
    <rPh sb="7" eb="9">
      <t>コキャク</t>
    </rPh>
    <rPh sb="9" eb="12">
      <t>マンゾクド</t>
    </rPh>
    <rPh sb="12" eb="14">
      <t>チョウサ</t>
    </rPh>
    <rPh sb="15" eb="17">
      <t>イライ</t>
    </rPh>
    <rPh sb="21" eb="23">
      <t>ホンブン</t>
    </rPh>
    <rPh sb="24" eb="26">
      <t>キサイ</t>
    </rPh>
    <rPh sb="32" eb="34">
      <t>マチガ</t>
    </rPh>
    <rPh sb="40" eb="42">
      <t>キサイ</t>
    </rPh>
    <phoneticPr fontId="2"/>
  </si>
  <si>
    <t>＜基本情報＞　※プロジェクト終了時点の情報を記載</t>
    <rPh sb="1" eb="3">
      <t>キホン</t>
    </rPh>
    <rPh sb="3" eb="5">
      <t>ジョウホウ</t>
    </rPh>
    <rPh sb="14" eb="16">
      <t>シュウリョウ</t>
    </rPh>
    <rPh sb="16" eb="18">
      <t>ジテン</t>
    </rPh>
    <rPh sb="19" eb="21">
      <t>ジョウホウ</t>
    </rPh>
    <rPh sb="22" eb="24">
      <t>キサイ</t>
    </rPh>
    <phoneticPr fontId="2"/>
  </si>
  <si>
    <t>プロジェクトコード ★</t>
    <phoneticPr fontId="2"/>
  </si>
  <si>
    <t>プロジェクト名 ★</t>
    <rPh sb="6" eb="7">
      <t>メイ</t>
    </rPh>
    <phoneticPr fontId="2"/>
  </si>
  <si>
    <t>顧客名 ★</t>
    <rPh sb="0" eb="2">
      <t>コキャク</t>
    </rPh>
    <rPh sb="2" eb="3">
      <t>メイ</t>
    </rPh>
    <phoneticPr fontId="2"/>
  </si>
  <si>
    <t>＜プロジェクトの状況＞</t>
    <rPh sb="8" eb="10">
      <t>ジョウキョウ</t>
    </rPh>
    <phoneticPr fontId="2"/>
  </si>
  <si>
    <t>納品完了日</t>
    <rPh sb="0" eb="2">
      <t>ノウヒン</t>
    </rPh>
    <rPh sb="2" eb="4">
      <t>カンリョウ</t>
    </rPh>
    <rPh sb="4" eb="5">
      <t>ビ</t>
    </rPh>
    <phoneticPr fontId="2"/>
  </si>
  <si>
    <t>検収完了日</t>
    <rPh sb="0" eb="2">
      <t>ケンシュウ</t>
    </rPh>
    <rPh sb="2" eb="4">
      <t>カンリョウ</t>
    </rPh>
    <rPh sb="4" eb="5">
      <t>ビ</t>
    </rPh>
    <phoneticPr fontId="2"/>
  </si>
  <si>
    <t>＜プロジェクト目的及び品質目標に対する評価＞</t>
    <rPh sb="7" eb="9">
      <t>モクテキ</t>
    </rPh>
    <rPh sb="9" eb="10">
      <t>オヨ</t>
    </rPh>
    <rPh sb="11" eb="13">
      <t>ヒンシツ</t>
    </rPh>
    <rPh sb="13" eb="15">
      <t>モクヒョウ</t>
    </rPh>
    <rPh sb="16" eb="17">
      <t>タイ</t>
    </rPh>
    <rPh sb="19" eb="21">
      <t>ヒョウカ</t>
    </rPh>
    <phoneticPr fontId="2"/>
  </si>
  <si>
    <t>プロジェクト目的の達成状況</t>
    <rPh sb="6" eb="8">
      <t>モクテキ</t>
    </rPh>
    <rPh sb="9" eb="11">
      <t>タッセイ</t>
    </rPh>
    <rPh sb="11" eb="13">
      <t>ジョウキョウ</t>
    </rPh>
    <phoneticPr fontId="2"/>
  </si>
  <si>
    <t>品質目標に対する評価</t>
    <rPh sb="0" eb="2">
      <t>ヒンシツ</t>
    </rPh>
    <rPh sb="2" eb="4">
      <t>モクヒョウ</t>
    </rPh>
    <rPh sb="5" eb="6">
      <t>タイ</t>
    </rPh>
    <rPh sb="8" eb="10">
      <t>ヒョウカ</t>
    </rPh>
    <phoneticPr fontId="2"/>
  </si>
  <si>
    <t>セキュリティ目標に対する評価</t>
    <rPh sb="6" eb="8">
      <t>モクヒョウ</t>
    </rPh>
    <rPh sb="9" eb="10">
      <t>タイ</t>
    </rPh>
    <rPh sb="12" eb="14">
      <t>ヒョウカ</t>
    </rPh>
    <phoneticPr fontId="2"/>
  </si>
  <si>
    <t>セキュリティに配慮した開発計画に対する評価</t>
    <rPh sb="13" eb="15">
      <t>ケイカク</t>
    </rPh>
    <rPh sb="16" eb="17">
      <t>タイ</t>
    </rPh>
    <rPh sb="19" eb="21">
      <t>ヒョウカ</t>
    </rPh>
    <phoneticPr fontId="2"/>
  </si>
  <si>
    <t>＜顧客満足度調査＞</t>
    <rPh sb="1" eb="3">
      <t>コキャク</t>
    </rPh>
    <rPh sb="3" eb="6">
      <t>マンゾクド</t>
    </rPh>
    <rPh sb="6" eb="8">
      <t>チョウサ</t>
    </rPh>
    <phoneticPr fontId="2"/>
  </si>
  <si>
    <t>顧客満足度調査の依頼予定</t>
    <rPh sb="0" eb="2">
      <t>コキャク</t>
    </rPh>
    <rPh sb="2" eb="7">
      <t>マンゾクドチョウサ</t>
    </rPh>
    <rPh sb="8" eb="10">
      <t>イライ</t>
    </rPh>
    <rPh sb="10" eb="12">
      <t>ヨテイ</t>
    </rPh>
    <phoneticPr fontId="2"/>
  </si>
  <si>
    <t>顧客満足度調査の依頼予定がなしの理由</t>
    <rPh sb="0" eb="2">
      <t>コキャク</t>
    </rPh>
    <rPh sb="2" eb="5">
      <t>マンゾクド</t>
    </rPh>
    <rPh sb="5" eb="7">
      <t>チョウサ</t>
    </rPh>
    <rPh sb="8" eb="10">
      <t>イライ</t>
    </rPh>
    <rPh sb="10" eb="12">
      <t>ヨテイ</t>
    </rPh>
    <rPh sb="16" eb="18">
      <t>リユウ</t>
    </rPh>
    <phoneticPr fontId="2"/>
  </si>
  <si>
    <t>顧客満足度調査の依頼先
担当者名 ★</t>
    <rPh sb="0" eb="2">
      <t>コキャク</t>
    </rPh>
    <rPh sb="2" eb="5">
      <t>マンゾクド</t>
    </rPh>
    <rPh sb="5" eb="7">
      <t>チョウサ</t>
    </rPh>
    <rPh sb="8" eb="11">
      <t>イライサキ</t>
    </rPh>
    <phoneticPr fontId="2"/>
  </si>
  <si>
    <t>顧客満足度調査の依頼先
担当者メールアドレス ★</t>
    <rPh sb="12" eb="15">
      <t>タントウシャ</t>
    </rPh>
    <phoneticPr fontId="2"/>
  </si>
  <si>
    <t>＜開発規模（結果）＞</t>
    <rPh sb="1" eb="3">
      <t>カイハツ</t>
    </rPh>
    <rPh sb="3" eb="5">
      <t>キボ</t>
    </rPh>
    <rPh sb="6" eb="8">
      <t>ケッカ</t>
    </rPh>
    <phoneticPr fontId="2"/>
  </si>
  <si>
    <t>＜テスト実績＞</t>
    <rPh sb="4" eb="6">
      <t>ジッセキ</t>
    </rPh>
    <phoneticPr fontId="2"/>
  </si>
  <si>
    <t>結合テストケース数</t>
    <rPh sb="0" eb="2">
      <t>ケツゴウ</t>
    </rPh>
    <rPh sb="8" eb="9">
      <t>スウ</t>
    </rPh>
    <phoneticPr fontId="2"/>
  </si>
  <si>
    <t>システムテストケース数</t>
    <rPh sb="10" eb="11">
      <t>スウ</t>
    </rPh>
    <phoneticPr fontId="2"/>
  </si>
  <si>
    <t>結合テスト不具合摘出数</t>
    <rPh sb="0" eb="2">
      <t>ケツゴウ</t>
    </rPh>
    <rPh sb="5" eb="8">
      <t>フグアイ</t>
    </rPh>
    <rPh sb="8" eb="10">
      <t>テキシュツ</t>
    </rPh>
    <rPh sb="10" eb="11">
      <t>スウ</t>
    </rPh>
    <phoneticPr fontId="2"/>
  </si>
  <si>
    <t>システムテスト不具合摘出数</t>
    <rPh sb="7" eb="10">
      <t>フグアイ</t>
    </rPh>
    <rPh sb="10" eb="12">
      <t>テキシュツ</t>
    </rPh>
    <rPh sb="12" eb="13">
      <t>スウ</t>
    </rPh>
    <phoneticPr fontId="2"/>
  </si>
  <si>
    <t>結合テストケース密度</t>
    <rPh sb="0" eb="2">
      <t>ケツゴウ</t>
    </rPh>
    <rPh sb="8" eb="10">
      <t>ミツド</t>
    </rPh>
    <phoneticPr fontId="2"/>
  </si>
  <si>
    <t>システムテストケース密度</t>
    <rPh sb="10" eb="12">
      <t>ミツド</t>
    </rPh>
    <phoneticPr fontId="2"/>
  </si>
  <si>
    <t>結合テストバグ密度</t>
    <rPh sb="0" eb="2">
      <t>ケツゴウ</t>
    </rPh>
    <rPh sb="7" eb="9">
      <t>ミツド</t>
    </rPh>
    <phoneticPr fontId="2"/>
  </si>
  <si>
    <t>システムテストバグ密度</t>
    <rPh sb="9" eb="11">
      <t>ミツド</t>
    </rPh>
    <phoneticPr fontId="2"/>
  </si>
  <si>
    <t>ユーザーテスト時障害発生件数</t>
    <rPh sb="7" eb="8">
      <t>ジ</t>
    </rPh>
    <rPh sb="8" eb="10">
      <t>ショウガイ</t>
    </rPh>
    <rPh sb="10" eb="12">
      <t>ハッセイ</t>
    </rPh>
    <rPh sb="12" eb="14">
      <t>ケンスウ</t>
    </rPh>
    <phoneticPr fontId="2"/>
  </si>
  <si>
    <t>＜本稼働実績＞</t>
    <rPh sb="1" eb="2">
      <t>ホン</t>
    </rPh>
    <rPh sb="2" eb="4">
      <t>カドウ</t>
    </rPh>
    <rPh sb="4" eb="6">
      <t>ジッセキ</t>
    </rPh>
    <phoneticPr fontId="2"/>
  </si>
  <si>
    <t>本稼働後の障害件数</t>
    <rPh sb="0" eb="1">
      <t>ホン</t>
    </rPh>
    <rPh sb="1" eb="3">
      <t>カドウ</t>
    </rPh>
    <rPh sb="3" eb="4">
      <t>ゴ</t>
    </rPh>
    <rPh sb="5" eb="7">
      <t>ショウガイ</t>
    </rPh>
    <rPh sb="7" eb="9">
      <t>ケンスウ</t>
    </rPh>
    <phoneticPr fontId="2"/>
  </si>
  <si>
    <t>内）本稼働後の重大障害件数</t>
    <rPh sb="0" eb="1">
      <t>ウチ</t>
    </rPh>
    <rPh sb="2" eb="3">
      <t>ホン</t>
    </rPh>
    <rPh sb="3" eb="5">
      <t>カドウ</t>
    </rPh>
    <rPh sb="5" eb="6">
      <t>ゴ</t>
    </rPh>
    <rPh sb="7" eb="9">
      <t>ジュウダイ</t>
    </rPh>
    <rPh sb="9" eb="11">
      <t>ショウガイ</t>
    </rPh>
    <rPh sb="11" eb="13">
      <t>ケンスウ</t>
    </rPh>
    <phoneticPr fontId="2"/>
  </si>
  <si>
    <t>本稼働後の障害内容</t>
    <rPh sb="0" eb="1">
      <t>ホン</t>
    </rPh>
    <rPh sb="1" eb="3">
      <t>カドウ</t>
    </rPh>
    <rPh sb="3" eb="4">
      <t>ゴ</t>
    </rPh>
    <rPh sb="5" eb="7">
      <t>ショウガイ</t>
    </rPh>
    <rPh sb="7" eb="9">
      <t>ナイヨウ</t>
    </rPh>
    <phoneticPr fontId="2"/>
  </si>
  <si>
    <t>本稼働後の障害対策</t>
    <rPh sb="0" eb="1">
      <t>ホン</t>
    </rPh>
    <rPh sb="1" eb="3">
      <t>カドウ</t>
    </rPh>
    <rPh sb="3" eb="4">
      <t>ゴ</t>
    </rPh>
    <rPh sb="5" eb="7">
      <t>ショウガイ</t>
    </rPh>
    <rPh sb="7" eb="9">
      <t>タイサク</t>
    </rPh>
    <phoneticPr fontId="2"/>
  </si>
  <si>
    <t>本稼働後の障害の解決状況</t>
    <rPh sb="0" eb="1">
      <t>ホン</t>
    </rPh>
    <rPh sb="1" eb="3">
      <t>カドウ</t>
    </rPh>
    <rPh sb="3" eb="4">
      <t>ゴ</t>
    </rPh>
    <rPh sb="5" eb="7">
      <t>ショウガイ</t>
    </rPh>
    <rPh sb="8" eb="10">
      <t>カイケツ</t>
    </rPh>
    <rPh sb="10" eb="12">
      <t>ジョウキョウ</t>
    </rPh>
    <phoneticPr fontId="2"/>
  </si>
  <si>
    <t>発生した作業ミスやヒヤリハット</t>
    <rPh sb="0" eb="2">
      <t>ハッセイ</t>
    </rPh>
    <rPh sb="4" eb="6">
      <t>サギョウ</t>
    </rPh>
    <phoneticPr fontId="2"/>
  </si>
  <si>
    <t>＜スケジュールおよび工程別収支実績＞</t>
    <rPh sb="13" eb="15">
      <t>シュウシ</t>
    </rPh>
    <rPh sb="15" eb="17">
      <t>ジッセキ</t>
    </rPh>
    <phoneticPr fontId="2"/>
  </si>
  <si>
    <t>＜ＱＭＳへの改善要望＞</t>
    <rPh sb="6" eb="8">
      <t>カイゼン</t>
    </rPh>
    <rPh sb="8" eb="10">
      <t>ヨウボウ</t>
    </rPh>
    <phoneticPr fontId="2"/>
  </si>
  <si>
    <t>＜反省事項・今後の課題＞</t>
    <rPh sb="1" eb="3">
      <t>ハンセイ</t>
    </rPh>
    <rPh sb="3" eb="5">
      <t>ジコウ</t>
    </rPh>
    <rPh sb="6" eb="8">
      <t>コンゴ</t>
    </rPh>
    <rPh sb="9" eb="11">
      <t>カダイ</t>
    </rPh>
    <phoneticPr fontId="2"/>
  </si>
  <si>
    <t>＜保守・運用への引継ぎ状況＞</t>
    <rPh sb="1" eb="3">
      <t>ホシュ</t>
    </rPh>
    <rPh sb="4" eb="6">
      <t>ウンヨウ</t>
    </rPh>
    <rPh sb="8" eb="10">
      <t>ヒキツ</t>
    </rPh>
    <rPh sb="11" eb="13">
      <t>ジョウキョウ</t>
    </rPh>
    <phoneticPr fontId="2"/>
  </si>
  <si>
    <t>＜総括＞</t>
    <rPh sb="1" eb="3">
      <t>ソウカツ</t>
    </rPh>
    <phoneticPr fontId="2"/>
  </si>
  <si>
    <t>【リーダー】
【メンバー】</t>
    <phoneticPr fontId="2"/>
  </si>
  <si>
    <t>＜備考＞</t>
    <rPh sb="1" eb="3">
      <t>ビコウ</t>
    </rPh>
    <phoneticPr fontId="2"/>
  </si>
  <si>
    <t>＜事務局更新欄＞</t>
    <rPh sb="1" eb="4">
      <t>ジムキョク</t>
    </rPh>
    <rPh sb="4" eb="6">
      <t>コウシン</t>
    </rPh>
    <rPh sb="6" eb="7">
      <t>ラン</t>
    </rPh>
    <phoneticPr fontId="2"/>
  </si>
  <si>
    <t>顧客満足度調査の回収状況</t>
    <rPh sb="0" eb="2">
      <t>コキャク</t>
    </rPh>
    <rPh sb="2" eb="7">
      <t>マンゾクドチョウサ</t>
    </rPh>
    <rPh sb="8" eb="10">
      <t>カイシュウ</t>
    </rPh>
    <rPh sb="10" eb="12">
      <t>ジョウキョウ</t>
    </rPh>
    <phoneticPr fontId="2"/>
  </si>
  <si>
    <t>顧客満足度調査の結果（平均点）</t>
    <rPh sb="0" eb="2">
      <t>コキャク</t>
    </rPh>
    <rPh sb="2" eb="7">
      <t>マンゾクドチョウサ</t>
    </rPh>
    <rPh sb="8" eb="10">
      <t>ケッカ</t>
    </rPh>
    <rPh sb="11" eb="14">
      <t>ヘイキンテン</t>
    </rPh>
    <phoneticPr fontId="2"/>
  </si>
  <si>
    <t>顧客満足度調査の結果に対する施策および実施状況</t>
    <rPh sb="0" eb="2">
      <t>コキャク</t>
    </rPh>
    <rPh sb="2" eb="7">
      <t>マンゾクドチョウサ</t>
    </rPh>
    <rPh sb="8" eb="10">
      <t>ケッカ</t>
    </rPh>
    <rPh sb="11" eb="12">
      <t>タイ</t>
    </rPh>
    <rPh sb="14" eb="16">
      <t>シサク</t>
    </rPh>
    <rPh sb="19" eb="21">
      <t>ジッシ</t>
    </rPh>
    <rPh sb="21" eb="23">
      <t>ジョウキョウ</t>
    </rPh>
    <phoneticPr fontId="2"/>
  </si>
  <si>
    <t>トラブル報告</t>
    <rPh sb="4" eb="6">
      <t>ホウコク</t>
    </rPh>
    <phoneticPr fontId="2"/>
  </si>
  <si>
    <t>クレーム報告</t>
    <rPh sb="4" eb="6">
      <t>ホウコク</t>
    </rPh>
    <phoneticPr fontId="2"/>
  </si>
  <si>
    <t>プロジェクト成否</t>
    <rPh sb="6" eb="8">
      <t>セイヒ</t>
    </rPh>
    <phoneticPr fontId="2"/>
  </si>
  <si>
    <t>承認(部長)</t>
    <rPh sb="0" eb="2">
      <t>ショウニン</t>
    </rPh>
    <rPh sb="3" eb="5">
      <t>ブチョウ</t>
    </rPh>
    <phoneticPr fontId="2"/>
  </si>
  <si>
    <t xml:space="preserve">プロジェクトコード </t>
    <phoneticPr fontId="2"/>
  </si>
  <si>
    <t xml:space="preserve">プロジェクト名 </t>
    <rPh sb="6" eb="7">
      <t>メイ</t>
    </rPh>
    <phoneticPr fontId="2"/>
  </si>
  <si>
    <t>ユーザーテスト時障害発生件数</t>
    <rPh sb="7" eb="8">
      <t>ジ</t>
    </rPh>
    <rPh sb="8" eb="10">
      <t>ショウガイ</t>
    </rPh>
    <rPh sb="10" eb="12">
      <t>ハッセイ</t>
    </rPh>
    <rPh sb="12" eb="13">
      <t>ケン</t>
    </rPh>
    <rPh sb="13" eb="14">
      <t>スウ</t>
    </rPh>
    <phoneticPr fontId="2"/>
  </si>
  <si>
    <t>本稼働後障害発生件数</t>
    <rPh sb="0" eb="4">
      <t>ホンカドウゴ</t>
    </rPh>
    <rPh sb="4" eb="6">
      <t>ショウガイ</t>
    </rPh>
    <rPh sb="6" eb="8">
      <t>ハッセイ</t>
    </rPh>
    <rPh sb="8" eb="9">
      <t>ケン</t>
    </rPh>
    <rPh sb="9" eb="10">
      <t>スウ</t>
    </rPh>
    <phoneticPr fontId="2"/>
  </si>
  <si>
    <t>（参考）IPA指標　P25～P75</t>
    <rPh sb="1" eb="3">
      <t>サンコウ</t>
    </rPh>
    <rPh sb="7" eb="9">
      <t>シヒョウ</t>
    </rPh>
    <phoneticPr fontId="2"/>
  </si>
  <si>
    <t>結合テスト</t>
    <rPh sb="0" eb="2">
      <t>ケツゴウ</t>
    </rPh>
    <phoneticPr fontId="9"/>
  </si>
  <si>
    <t>システムテスト</t>
    <phoneticPr fontId="9"/>
  </si>
  <si>
    <t>テスト密度</t>
    <rPh sb="3" eb="5">
      <t>ミツド</t>
    </rPh>
    <phoneticPr fontId="9"/>
  </si>
  <si>
    <t>新規開発</t>
    <rPh sb="0" eb="2">
      <t>シンキ</t>
    </rPh>
    <rPh sb="2" eb="4">
      <t>カイハツ</t>
    </rPh>
    <phoneticPr fontId="9"/>
  </si>
  <si>
    <t>～</t>
    <phoneticPr fontId="9"/>
  </si>
  <si>
    <t>改良開発</t>
    <rPh sb="0" eb="2">
      <t>カイリョウ</t>
    </rPh>
    <rPh sb="2" eb="4">
      <t>カイハツ</t>
    </rPh>
    <phoneticPr fontId="9"/>
  </si>
  <si>
    <t>バグ密度</t>
    <rPh sb="2" eb="4">
      <t>ミツド</t>
    </rPh>
    <phoneticPr fontId="9"/>
  </si>
  <si>
    <t>＜不具合混入工程別不具合検出一覧＞</t>
    <rPh sb="1" eb="4">
      <t>フグアイ</t>
    </rPh>
    <rPh sb="4" eb="6">
      <t>コンニュウ</t>
    </rPh>
    <rPh sb="6" eb="8">
      <t>コウテイ</t>
    </rPh>
    <rPh sb="8" eb="9">
      <t>ベツ</t>
    </rPh>
    <rPh sb="9" eb="12">
      <t>フグアイ</t>
    </rPh>
    <rPh sb="12" eb="14">
      <t>ケンシュツ</t>
    </rPh>
    <rPh sb="14" eb="16">
      <t>イチラン</t>
    </rPh>
    <phoneticPr fontId="2"/>
  </si>
  <si>
    <t>　　　　　　不具合混入工程
不具合検出工程</t>
    <rPh sb="6" eb="9">
      <t>フグアイ</t>
    </rPh>
    <rPh sb="9" eb="11">
      <t>コンニュウ</t>
    </rPh>
    <rPh sb="11" eb="13">
      <t>コウテイ</t>
    </rPh>
    <rPh sb="15" eb="18">
      <t>フグアイ</t>
    </rPh>
    <rPh sb="18" eb="20">
      <t>ケンシュツ</t>
    </rPh>
    <rPh sb="20" eb="22">
      <t>コウテイ</t>
    </rPh>
    <phoneticPr fontId="9"/>
  </si>
  <si>
    <t>要件定義</t>
    <rPh sb="0" eb="4">
      <t>ヨウケンテイギ</t>
    </rPh>
    <phoneticPr fontId="9"/>
  </si>
  <si>
    <t>基本設計</t>
    <rPh sb="0" eb="2">
      <t>キホン</t>
    </rPh>
    <rPh sb="2" eb="4">
      <t>セッケイ</t>
    </rPh>
    <phoneticPr fontId="9"/>
  </si>
  <si>
    <t>詳細設計</t>
    <rPh sb="0" eb="2">
      <t>ショウサイ</t>
    </rPh>
    <rPh sb="2" eb="4">
      <t>セッケイ</t>
    </rPh>
    <phoneticPr fontId="9"/>
  </si>
  <si>
    <t>製造・単体ﾃｽﾄ</t>
    <rPh sb="0" eb="2">
      <t>セイゾウ</t>
    </rPh>
    <rPh sb="3" eb="5">
      <t>タンタイ</t>
    </rPh>
    <phoneticPr fontId="9"/>
  </si>
  <si>
    <t>結合ﾃｽﾄ</t>
    <rPh sb="0" eb="2">
      <t>ケツゴウ</t>
    </rPh>
    <phoneticPr fontId="9"/>
  </si>
  <si>
    <t>ｼｽﾃﾑﾃｽﾄ</t>
    <phoneticPr fontId="9"/>
  </si>
  <si>
    <t>ﾕｰｻﾞｰﾃｽﾄ</t>
    <phoneticPr fontId="9"/>
  </si>
  <si>
    <t>本稼働以降</t>
    <rPh sb="0" eb="3">
      <t>ホンカドウ</t>
    </rPh>
    <rPh sb="3" eb="5">
      <t>イコウ</t>
    </rPh>
    <phoneticPr fontId="9"/>
  </si>
  <si>
    <t>計</t>
    <rPh sb="0" eb="1">
      <t>ケイ</t>
    </rPh>
    <phoneticPr fontId="9"/>
  </si>
  <si>
    <t>不具合検出率</t>
    <rPh sb="0" eb="3">
      <t>フグアイ</t>
    </rPh>
    <rPh sb="3" eb="5">
      <t>ケンシュツ</t>
    </rPh>
    <rPh sb="5" eb="6">
      <t>リツ</t>
    </rPh>
    <phoneticPr fontId="9"/>
  </si>
  <si>
    <t>基本設計</t>
    <rPh sb="0" eb="4">
      <t>キホンセッケイ</t>
    </rPh>
    <phoneticPr fontId="9"/>
  </si>
  <si>
    <t>詳細設計</t>
    <rPh sb="0" eb="4">
      <t>ショウサイセッケイ</t>
    </rPh>
    <phoneticPr fontId="9"/>
  </si>
  <si>
    <t>本稼働以降</t>
    <rPh sb="0" eb="5">
      <t>ホンカドウイコウ</t>
    </rPh>
    <phoneticPr fontId="9"/>
  </si>
  <si>
    <t>不具合混入工程比率</t>
    <rPh sb="0" eb="3">
      <t>フグアイ</t>
    </rPh>
    <rPh sb="3" eb="5">
      <t>コンニュウ</t>
    </rPh>
    <rPh sb="5" eb="7">
      <t>コウテイ</t>
    </rPh>
    <rPh sb="7" eb="9">
      <t>ヒリツ</t>
    </rPh>
    <phoneticPr fontId="9"/>
  </si>
  <si>
    <t>＜プロジェクトマネージャーコメント＞</t>
    <phoneticPr fontId="2"/>
  </si>
  <si>
    <t>＜プロジェクト責任者コメント＞</t>
    <rPh sb="7" eb="10">
      <t>セキニンシャ</t>
    </rPh>
    <phoneticPr fontId="2"/>
  </si>
  <si>
    <t>以下、ISMS手順書（第 13 章 システム導入・開発・変更のセキュリティ基準）より抜粋</t>
    <rPh sb="0" eb="2">
      <t>イカ</t>
    </rPh>
    <rPh sb="7" eb="10">
      <t>テジュンショ</t>
    </rPh>
    <rPh sb="42" eb="44">
      <t>バッスイ</t>
    </rPh>
    <phoneticPr fontId="2"/>
  </si>
  <si>
    <t xml:space="preserve">4 </t>
  </si>
  <si>
    <t>開発及びサポートプロセスにおけるセキュリティ</t>
  </si>
  <si>
    <t xml:space="preserve">(1) </t>
  </si>
  <si>
    <t>セキュリティに配慮した開発のための方針</t>
  </si>
  <si>
    <t xml:space="preserve">ア </t>
  </si>
  <si>
    <t>セキュリティに配慮したサービス、アーキテクチャ、ソフトウェア及びシステムを構築する。</t>
  </si>
  <si>
    <t xml:space="preserve">イ </t>
  </si>
  <si>
    <t>前号を達成するため、セキュリティに配慮した開発のための方針には、次の側面を考慮する。</t>
  </si>
  <si>
    <t xml:space="preserve">a) </t>
  </si>
  <si>
    <t>開発環境のセキュリティ</t>
  </si>
  <si>
    <t xml:space="preserve">b) </t>
  </si>
  <si>
    <t>ソフトウェア開発のライフサイクルにおける、次に関わるセキュリティに関する手引</t>
  </si>
  <si>
    <t></t>
  </si>
  <si>
    <t>ソフトウェア開発の方法論におけるセキュリティ</t>
  </si>
  <si>
    <t>用いる各プログラミング言語について定めた、セキュリティに配慮したコーディングに関する指針</t>
  </si>
  <si>
    <t xml:space="preserve">c) </t>
  </si>
  <si>
    <t>設計段階におけるセキュリティ要求事項</t>
  </si>
  <si>
    <t xml:space="preserve">d) </t>
  </si>
  <si>
    <t>プロジェクトの開発の節目ごとにおけるセキュリティの確認項目</t>
  </si>
  <si>
    <t xml:space="preserve">e) </t>
  </si>
  <si>
    <t>セキュリティが保たれたリポジトリ</t>
  </si>
  <si>
    <t xml:space="preserve">f) </t>
  </si>
  <si>
    <t>版の管理におけるセキュリティ</t>
  </si>
  <si>
    <t xml:space="preserve">g) </t>
  </si>
  <si>
    <t>アプリケーションのセキュリティに関して必要な知識</t>
  </si>
  <si>
    <t xml:space="preserve">h) </t>
  </si>
  <si>
    <t>ぜい弱性を回避、発見及び修正するに当たっての開発者の能力</t>
  </si>
  <si>
    <t xml:space="preserve">(4) </t>
  </si>
  <si>
    <t>セキュリティに配慮したシステム構築の原則</t>
  </si>
  <si>
    <t>次の事項を考慮して、セキュリティに配慮したシステムの構築を原則とする。</t>
  </si>
  <si>
    <t>セキュリティは、情報セキュリティの必要性とアクセス性の必要性との均衡を保ちながら、全てのアーキテクチャ層（業務、データ、アプリケーション及び技術）において設計する。</t>
  </si>
  <si>
    <t>新技術は、セキュリティ上のリスクについて分析し、その設計を既知の攻撃パターンに照らしてレビューする。</t>
  </si>
  <si>
    <t>QMS手順書に従い、システムを開発、変更する場合は、顧客との合意に基づき、前項を考慮して、セキュリティに配慮したシステムを構築する。</t>
  </si>
  <si>
    <t xml:space="preserve">(5) </t>
  </si>
  <si>
    <t>セキュリティに配慮した開発環境</t>
  </si>
  <si>
    <t>システム開発業務（全てのシステム開発ライフサイクルを含む）に伴うリスクに応じて、次の事項を考慮して、セキュリティに配慮した開発環境を整備する。</t>
  </si>
  <si>
    <t>システムによって処理、保管及び伝送されるデータの取扱いに慎重を要する度合い。</t>
  </si>
  <si>
    <t>適用される外部及び内部の要求事項。例えば、規制又は方針によるもの。</t>
  </si>
  <si>
    <t>組織によって既に実施されており、システム開発を支えるようなセキュリティ管理策。</t>
  </si>
  <si>
    <t>その環境で作業する要員の信頼性。</t>
  </si>
  <si>
    <t>システム開発に関連した外部委託の程度。</t>
  </si>
  <si>
    <t>異なる開発環境の分離の必要性。</t>
  </si>
  <si>
    <t>開発環境へのアクセスの制御。</t>
  </si>
  <si>
    <t>開発環境の変更及びそこに保管されたコードに対する変更の監視。</t>
  </si>
  <si>
    <t xml:space="preserve">i) </t>
  </si>
  <si>
    <t>セキュリティに配慮した遠隔地でのバックアップの保管。</t>
  </si>
  <si>
    <t xml:space="preserve">j) </t>
  </si>
  <si>
    <t>開発環境からの、及び開発環境への、データの移動の管理。</t>
  </si>
  <si>
    <t>前項は、QMS手順書に従い、システムを開発、変更する場合においても適用する。</t>
  </si>
  <si>
    <t xml:space="preserve">(6) </t>
  </si>
  <si>
    <t>システムセキュリティの試験</t>
  </si>
  <si>
    <t>セキュリティ機能（functionality）の試験は、システムが期待どおりに、かつ、期待した形でだけ動作することを確実にするため、開発期間中に実施する。なお、試験の程度は、そのシステムの重要性及び性質に見合ったものとする。</t>
  </si>
  <si>
    <t>システムを開発、変更する場合は、一連の条件の下での試験活動、試験への入力及び予想される出力について、計画を作成し、開発プロセスにおいて試験及び検証を行う。</t>
  </si>
  <si>
    <t xml:space="preserve">ウ </t>
  </si>
  <si>
    <t>前２項は、QMS手順書に従い、システムを開発、変更する場合においても適用する。なお、作成する計画には、プロジェクト計画にて決定したセキュリティ要求事項を含める。</t>
  </si>
  <si>
    <t xml:space="preserve">(7) </t>
  </si>
  <si>
    <t>システムの受入れ試験</t>
  </si>
  <si>
    <t>新しい情報システム及びその改訂版・更新版のために行う、システムの受入れ試験は、情報セキュリティ要求事項の試験及びセキュリティに配慮したシステム開発のための方針の順守を含み、受け入れた構成部品及びシステムに対して、試験を実施する。</t>
  </si>
  <si>
    <t>前項において、コード分析ツール又は脆弱性スキャナーのような自動化ツールを利用して、セキュリティに関連する欠陥を修正した場合は、この修正を検証する。</t>
  </si>
  <si>
    <t>試験は、システムが組織の環境にぜい弱性をもたらさないこと及び試験が信頼できるものであることを確実にするために、現実に即した試験環境で実施する。</t>
  </si>
  <si>
    <t>番号</t>
    <rPh sb="0" eb="2">
      <t>バンゴウ</t>
    </rPh>
    <phoneticPr fontId="9"/>
  </si>
  <si>
    <t>版数</t>
    <rPh sb="0" eb="2">
      <t>ハンスウ</t>
    </rPh>
    <phoneticPr fontId="9"/>
  </si>
  <si>
    <t>発行日</t>
    <rPh sb="0" eb="3">
      <t>ハッコウビ</t>
    </rPh>
    <phoneticPr fontId="9"/>
  </si>
  <si>
    <t>改定内容</t>
    <rPh sb="0" eb="2">
      <t>カイテイ</t>
    </rPh>
    <rPh sb="2" eb="4">
      <t>ナイヨウ</t>
    </rPh>
    <phoneticPr fontId="9"/>
  </si>
  <si>
    <t>更新者</t>
    <rPh sb="0" eb="3">
      <t>コウシンシャ</t>
    </rPh>
    <phoneticPr fontId="9"/>
  </si>
  <si>
    <t>更新日</t>
    <rPh sb="0" eb="3">
      <t>コウシンビ</t>
    </rPh>
    <phoneticPr fontId="9"/>
  </si>
  <si>
    <t>承認者</t>
    <rPh sb="0" eb="3">
      <t>ショウニンシャ</t>
    </rPh>
    <phoneticPr fontId="9"/>
  </si>
  <si>
    <t>承認日</t>
    <rPh sb="0" eb="3">
      <t>ショウニンビ</t>
    </rPh>
    <phoneticPr fontId="9"/>
  </si>
  <si>
    <t>備考</t>
    <rPh sb="0" eb="2">
      <t>ビコウ</t>
    </rPh>
    <phoneticPr fontId="9"/>
  </si>
  <si>
    <t>ステータス</t>
    <phoneticPr fontId="9"/>
  </si>
  <si>
    <t>初版発行</t>
    <rPh sb="0" eb="2">
      <t>ショハン</t>
    </rPh>
    <rPh sb="2" eb="4">
      <t>ハッコウ</t>
    </rPh>
    <phoneticPr fontId="2"/>
  </si>
  <si>
    <t>From</t>
    <phoneticPr fontId="2"/>
  </si>
  <si>
    <t>qms-isms-office@system-exe.jp</t>
    <phoneticPr fontId="2"/>
  </si>
  <si>
    <t>To</t>
    <phoneticPr fontId="2"/>
  </si>
  <si>
    <t>CC</t>
    <phoneticPr fontId="2"/>
  </si>
  <si>
    <t>BCC</t>
    <phoneticPr fontId="2"/>
  </si>
  <si>
    <t>タイトル</t>
    <phoneticPr fontId="2"/>
  </si>
  <si>
    <t>【株式会社システムエグゼ】お客様満足度調査へのご協力依頼</t>
    <rPh sb="1" eb="5">
      <t>カブシキガイシャ</t>
    </rPh>
    <phoneticPr fontId="2"/>
  </si>
  <si>
    <t>本文</t>
    <rPh sb="0" eb="2">
      <t>ホンブン</t>
    </rPh>
    <phoneticPr fontId="2"/>
  </si>
  <si>
    <t>↓本文テンプレート　★編集注意</t>
    <rPh sb="1" eb="3">
      <t>ホンブン</t>
    </rPh>
    <rPh sb="11" eb="13">
      <t>ヘンシュウ</t>
    </rPh>
    <rPh sb="13" eb="15">
      <t>チュウイ</t>
    </rPh>
    <phoneticPr fontId="2"/>
  </si>
  <si>
    <t>[顧客名]
[顧客担当者名]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・[プロジェクト名]
ご多用中誠に恐縮ではございますが、趣旨ご理解の上、
下記アンケートサイトにアクセスいただきご回答を賜りますようお願い申し上げます。
　アンケートサイト ：　https://smilesurvey.co/start.php?s=8435515e&amp;id=[プロジェクトコード]
所要時間は、3分～5分程度です。[期日]までにご回答いただけますと幸いです。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t>
    <rPh sb="7" eb="9">
      <t>コキャク</t>
    </rPh>
    <rPh sb="9" eb="13">
      <t>タントウシャメイ</t>
    </rPh>
    <rPh sb="15" eb="16">
      <t>サマ</t>
    </rPh>
    <rPh sb="76" eb="78">
      <t>レンラク</t>
    </rPh>
    <rPh sb="190" eb="192">
      <t>ニンショウ</t>
    </rPh>
    <rPh sb="193" eb="195">
      <t>シュトク</t>
    </rPh>
    <rPh sb="205" eb="206">
      <t>ト</t>
    </rPh>
    <rPh sb="207" eb="208">
      <t>ク</t>
    </rPh>
    <rPh sb="245" eb="247">
      <t>イカ</t>
    </rPh>
    <rPh sb="255" eb="256">
      <t>タイ</t>
    </rPh>
    <rPh sb="320" eb="322">
      <t>カキ</t>
    </rPh>
    <rPh sb="340" eb="342">
      <t>カイトウ</t>
    </rPh>
    <rPh sb="434" eb="436">
      <t>ショヨウ</t>
    </rPh>
    <rPh sb="436" eb="438">
      <t>ジカン</t>
    </rPh>
    <rPh sb="443" eb="444">
      <t>フン</t>
    </rPh>
    <rPh sb="445" eb="447">
      <t>テイド</t>
    </rPh>
    <rPh sb="458" eb="460">
      <t>カイトウ</t>
    </rPh>
    <rPh sb="467" eb="468">
      <t>サイワ</t>
    </rPh>
    <rPh sb="480" eb="482">
      <t>フメイ</t>
    </rPh>
    <rPh sb="482" eb="483">
      <t>テン</t>
    </rPh>
    <rPh sb="506" eb="507">
      <t>ト</t>
    </rPh>
    <rPh sb="508" eb="509">
      <t>ア</t>
    </rPh>
    <rPh sb="520" eb="521">
      <t>ト</t>
    </rPh>
    <rPh sb="522" eb="523">
      <t>ア</t>
    </rPh>
    <rPh sb="567" eb="568">
      <t>ナオ</t>
    </rPh>
    <rPh sb="583" eb="585">
      <t>ナイヨウ</t>
    </rPh>
    <rPh sb="693" eb="695">
      <t>ケイグ</t>
    </rPh>
    <rPh sb="740" eb="742">
      <t>チバ</t>
    </rPh>
    <rPh sb="756" eb="759">
      <t>ジムキョク</t>
    </rPh>
    <phoneticPr fontId="2"/>
  </si>
  <si>
    <t>プロジェクトコード</t>
    <phoneticPr fontId="9"/>
  </si>
  <si>
    <t>プロジェクト名</t>
    <rPh sb="6" eb="7">
      <t>メイ</t>
    </rPh>
    <phoneticPr fontId="9"/>
  </si>
  <si>
    <t>顧客名</t>
    <rPh sb="0" eb="2">
      <t>コキャク</t>
    </rPh>
    <rPh sb="2" eb="3">
      <t>メイ</t>
    </rPh>
    <phoneticPr fontId="9"/>
  </si>
  <si>
    <t>文書番号</t>
    <rPh sb="0" eb="2">
      <t>ブンショ</t>
    </rPh>
    <rPh sb="2" eb="4">
      <t>バンゴウ</t>
    </rPh>
    <phoneticPr fontId="9"/>
  </si>
  <si>
    <t>53-01</t>
    <phoneticPr fontId="9"/>
  </si>
  <si>
    <t>文書名</t>
    <rPh sb="0" eb="3">
      <t>ブンショメイ</t>
    </rPh>
    <phoneticPr fontId="9"/>
  </si>
  <si>
    <t>プロジェクト計画書・完了報告書</t>
    <rPh sb="6" eb="9">
      <t>ケイカクショ</t>
    </rPh>
    <rPh sb="10" eb="12">
      <t>カンリョウ</t>
    </rPh>
    <rPh sb="12" eb="15">
      <t>ホウコクショ</t>
    </rPh>
    <phoneticPr fontId="9"/>
  </si>
  <si>
    <t>発行者</t>
    <rPh sb="0" eb="3">
      <t>ハッコウシャ</t>
    </rPh>
    <phoneticPr fontId="9"/>
  </si>
  <si>
    <t>株式会社システムエグゼ</t>
    <rPh sb="0" eb="4">
      <t>カブシキガイシャ</t>
    </rPh>
    <phoneticPr fontId="9"/>
  </si>
  <si>
    <t>文書管理責任者</t>
    <rPh sb="0" eb="2">
      <t>ブンショ</t>
    </rPh>
    <rPh sb="2" eb="4">
      <t>カンリ</t>
    </rPh>
    <rPh sb="4" eb="7">
      <t>セキニンシャ</t>
    </rPh>
    <phoneticPr fontId="9"/>
  </si>
  <si>
    <t>[PM]</t>
    <phoneticPr fontId="9"/>
  </si>
  <si>
    <t>ヘッダプロジェクト名</t>
    <rPh sb="9" eb="10">
      <t>メイ</t>
    </rPh>
    <phoneticPr fontId="9"/>
  </si>
  <si>
    <t>ヘッダ文書名</t>
    <rPh sb="3" eb="6">
      <t>ブンショメイ</t>
    </rPh>
    <phoneticPr fontId="9"/>
  </si>
  <si>
    <t>ヘッダ文書名‐補足１</t>
    <rPh sb="3" eb="6">
      <t>ブンショメイ</t>
    </rPh>
    <rPh sb="7" eb="9">
      <t>ホソク</t>
    </rPh>
    <phoneticPr fontId="9"/>
  </si>
  <si>
    <t>ヘッダ文書名‐補足２</t>
    <rPh sb="3" eb="6">
      <t>ブンショメイ</t>
    </rPh>
    <rPh sb="7" eb="9">
      <t>ホソク</t>
    </rPh>
    <phoneticPr fontId="9"/>
  </si>
  <si>
    <t>ヘッダ文書名‐補足３</t>
    <rPh sb="3" eb="6">
      <t>ブンショメイ</t>
    </rPh>
    <rPh sb="7" eb="9">
      <t>ホソク</t>
    </rPh>
    <phoneticPr fontId="9"/>
  </si>
  <si>
    <t>ヘッダ文書名‐改訂履歴</t>
    <rPh sb="3" eb="6">
      <t>ブンショメイ</t>
    </rPh>
    <phoneticPr fontId="9"/>
  </si>
  <si>
    <t>ヘッダ様式名称</t>
    <rPh sb="3" eb="5">
      <t>ヨウシキ</t>
    </rPh>
    <rPh sb="5" eb="7">
      <t>メイショウ</t>
    </rPh>
    <phoneticPr fontId="9"/>
  </si>
  <si>
    <t>様式版数</t>
    <rPh sb="0" eb="2">
      <t>ヨウシキ</t>
    </rPh>
    <rPh sb="2" eb="4">
      <t>ハンスウ</t>
    </rPh>
    <phoneticPr fontId="9"/>
  </si>
  <si>
    <t>改訂担当者</t>
    <rPh sb="0" eb="2">
      <t>カイテイ</t>
    </rPh>
    <rPh sb="2" eb="5">
      <t>タントウシャ</t>
    </rPh>
    <phoneticPr fontId="9"/>
  </si>
  <si>
    <t>改定承認形式</t>
    <rPh sb="0" eb="2">
      <t>カイテイ</t>
    </rPh>
    <rPh sb="2" eb="4">
      <t>ショウニン</t>
    </rPh>
    <rPh sb="4" eb="6">
      <t>ケイシキ</t>
    </rPh>
    <phoneticPr fontId="9"/>
  </si>
  <si>
    <t>改定ステータス</t>
    <rPh sb="0" eb="2">
      <t>カイテイ</t>
    </rPh>
    <phoneticPr fontId="9"/>
  </si>
  <si>
    <t>区分</t>
    <rPh sb="0" eb="2">
      <t>クブン</t>
    </rPh>
    <phoneticPr fontId="9"/>
  </si>
  <si>
    <t>担当</t>
    <rPh sb="0" eb="2">
      <t>タントウ</t>
    </rPh>
    <phoneticPr fontId="9"/>
  </si>
  <si>
    <t>分類３</t>
    <rPh sb="0" eb="2">
      <t>ブンルイ</t>
    </rPh>
    <phoneticPr fontId="9"/>
  </si>
  <si>
    <t>QMS・ISMS委員会</t>
    <rPh sb="8" eb="11">
      <t>イインカイ</t>
    </rPh>
    <phoneticPr fontId="9"/>
  </si>
  <si>
    <t>メール</t>
    <phoneticPr fontId="9"/>
  </si>
  <si>
    <t>更新中</t>
    <rPh sb="0" eb="3">
      <t>コウシンチュウ</t>
    </rPh>
    <phoneticPr fontId="9"/>
  </si>
  <si>
    <t>QMS・ISMS</t>
    <phoneticPr fontId="9"/>
  </si>
  <si>
    <t>経営者</t>
    <rPh sb="0" eb="3">
      <t>ケイエイシャ</t>
    </rPh>
    <phoneticPr fontId="9"/>
  </si>
  <si>
    <t>未着手</t>
    <rPh sb="0" eb="3">
      <t>ミチャクシュ</t>
    </rPh>
    <phoneticPr fontId="9"/>
  </si>
  <si>
    <t>QMS・ISMS事務局</t>
    <rPh sb="8" eb="11">
      <t>ジムキョク</t>
    </rPh>
    <phoneticPr fontId="9"/>
  </si>
  <si>
    <t>Teams（チャット）</t>
    <phoneticPr fontId="9"/>
  </si>
  <si>
    <t>更新済み</t>
    <rPh sb="0" eb="2">
      <t>コウシン</t>
    </rPh>
    <rPh sb="2" eb="3">
      <t>ズ</t>
    </rPh>
    <phoneticPr fontId="9"/>
  </si>
  <si>
    <t>QMS</t>
    <phoneticPr fontId="9"/>
  </si>
  <si>
    <t>品質管理責任者・情報セキュリティ管理責任者</t>
    <rPh sb="0" eb="2">
      <t>ヒンシツ</t>
    </rPh>
    <rPh sb="2" eb="4">
      <t>カンリ</t>
    </rPh>
    <rPh sb="4" eb="7">
      <t>セキニンシャ</t>
    </rPh>
    <phoneticPr fontId="9"/>
  </si>
  <si>
    <t>対応中</t>
    <rPh sb="0" eb="3">
      <t>タイオウチュウ</t>
    </rPh>
    <phoneticPr fontId="9"/>
  </si>
  <si>
    <t>佐藤輝雄</t>
    <rPh sb="0" eb="2">
      <t>サトウ</t>
    </rPh>
    <rPh sb="2" eb="4">
      <t>テルオ</t>
    </rPh>
    <phoneticPr fontId="9"/>
  </si>
  <si>
    <t>会議体</t>
    <rPh sb="0" eb="3">
      <t>カイギタイ</t>
    </rPh>
    <phoneticPr fontId="9"/>
  </si>
  <si>
    <t>承認済み</t>
    <rPh sb="0" eb="2">
      <t>ショウニン</t>
    </rPh>
    <rPh sb="2" eb="3">
      <t>ズ</t>
    </rPh>
    <phoneticPr fontId="9"/>
  </si>
  <si>
    <t>ISMS</t>
    <phoneticPr fontId="9"/>
  </si>
  <si>
    <t>品質管理責任者</t>
    <rPh sb="0" eb="2">
      <t>ヒンシツ</t>
    </rPh>
    <rPh sb="2" eb="4">
      <t>カンリ</t>
    </rPh>
    <rPh sb="4" eb="7">
      <t>セキニンシャ</t>
    </rPh>
    <phoneticPr fontId="9"/>
  </si>
  <si>
    <t>完了</t>
    <rPh sb="0" eb="2">
      <t>カンリョウ</t>
    </rPh>
    <phoneticPr fontId="9"/>
  </si>
  <si>
    <t>福田慎</t>
    <rPh sb="0" eb="2">
      <t>フクダ</t>
    </rPh>
    <rPh sb="2" eb="3">
      <t>マコト</t>
    </rPh>
    <phoneticPr fontId="9"/>
  </si>
  <si>
    <t>口頭</t>
    <rPh sb="0" eb="2">
      <t>コウトウ</t>
    </rPh>
    <phoneticPr fontId="9"/>
  </si>
  <si>
    <t>発行済み</t>
    <rPh sb="0" eb="3">
      <t>ハッコウズ</t>
    </rPh>
    <phoneticPr fontId="9"/>
  </si>
  <si>
    <t>その他</t>
    <rPh sb="2" eb="3">
      <t>タ</t>
    </rPh>
    <phoneticPr fontId="9"/>
  </si>
  <si>
    <t>情報セキュリティ管理責任者</t>
    <rPh sb="0" eb="2">
      <t>ジョウホウ</t>
    </rPh>
    <rPh sb="8" eb="10">
      <t>カンリ</t>
    </rPh>
    <rPh sb="10" eb="13">
      <t>セキニンシャ</t>
    </rPh>
    <phoneticPr fontId="9"/>
  </si>
  <si>
    <t>保留</t>
    <rPh sb="0" eb="2">
      <t>ホリュウ</t>
    </rPh>
    <phoneticPr fontId="9"/>
  </si>
  <si>
    <t>安部ゆかり</t>
    <rPh sb="0" eb="2">
      <t>アベ</t>
    </rPh>
    <phoneticPr fontId="9"/>
  </si>
  <si>
    <t>内部監査責任者</t>
    <rPh sb="0" eb="2">
      <t>ナイブ</t>
    </rPh>
    <rPh sb="2" eb="4">
      <t>カンサ</t>
    </rPh>
    <rPh sb="4" eb="7">
      <t>セキニンシャ</t>
    </rPh>
    <phoneticPr fontId="9"/>
  </si>
  <si>
    <t>取消</t>
    <rPh sb="0" eb="2">
      <t>トリケシ</t>
    </rPh>
    <phoneticPr fontId="9"/>
  </si>
  <si>
    <t>矢野幸代</t>
    <rPh sb="0" eb="2">
      <t>ヤノ</t>
    </rPh>
    <rPh sb="2" eb="4">
      <t>サチヨ</t>
    </rPh>
    <phoneticPr fontId="9"/>
  </si>
  <si>
    <t>システム管理責任者</t>
    <rPh sb="4" eb="6">
      <t>カンリ</t>
    </rPh>
    <rPh sb="6" eb="9">
      <t>セキニンシャ</t>
    </rPh>
    <phoneticPr fontId="9"/>
  </si>
  <si>
    <t>福井将敏</t>
    <rPh sb="0" eb="2">
      <t>フクイ</t>
    </rPh>
    <rPh sb="2" eb="4">
      <t>マサトシ</t>
    </rPh>
    <phoneticPr fontId="9"/>
  </si>
  <si>
    <t>鍵管理者</t>
    <rPh sb="0" eb="1">
      <t>カギ</t>
    </rPh>
    <rPh sb="1" eb="4">
      <t>カンリシャ</t>
    </rPh>
    <phoneticPr fontId="9"/>
  </si>
  <si>
    <t>川名翔太</t>
    <rPh sb="0" eb="2">
      <t>カワナ</t>
    </rPh>
    <rPh sb="2" eb="4">
      <t>ショウタ</t>
    </rPh>
    <phoneticPr fontId="9"/>
  </si>
  <si>
    <t>委員会</t>
    <rPh sb="0" eb="3">
      <t>イインカイ</t>
    </rPh>
    <phoneticPr fontId="9"/>
  </si>
  <si>
    <t>鈴木邦彦</t>
    <rPh sb="0" eb="2">
      <t>スズキ</t>
    </rPh>
    <rPh sb="2" eb="4">
      <t>クニヒコ</t>
    </rPh>
    <phoneticPr fontId="9"/>
  </si>
  <si>
    <t>事務局</t>
    <rPh sb="0" eb="3">
      <t>ジムキョク</t>
    </rPh>
    <phoneticPr fontId="9"/>
  </si>
  <si>
    <t>本吉史明</t>
    <rPh sb="0" eb="2">
      <t>モトヨシ</t>
    </rPh>
    <rPh sb="2" eb="4">
      <t>フミアキ</t>
    </rPh>
    <phoneticPr fontId="9"/>
  </si>
  <si>
    <t>部長</t>
    <rPh sb="0" eb="2">
      <t>ブチョウ</t>
    </rPh>
    <phoneticPr fontId="9"/>
  </si>
  <si>
    <t>松下智一</t>
    <rPh sb="0" eb="2">
      <t>マツシタ</t>
    </rPh>
    <rPh sb="2" eb="4">
      <t>トモカズ</t>
    </rPh>
    <phoneticPr fontId="9"/>
  </si>
  <si>
    <t>遠矢成洋</t>
    <rPh sb="0" eb="2">
      <t>トオヤ</t>
    </rPh>
    <rPh sb="2" eb="4">
      <t>ナリヒロ</t>
    </rPh>
    <phoneticPr fontId="9"/>
  </si>
  <si>
    <t>野村康二</t>
    <rPh sb="0" eb="4">
      <t>ノムラコウジ</t>
    </rPh>
    <phoneticPr fontId="9"/>
  </si>
  <si>
    <t>郡司剛</t>
    <rPh sb="0" eb="2">
      <t>グンジ</t>
    </rPh>
    <rPh sb="2" eb="3">
      <t>ゴウ</t>
    </rPh>
    <phoneticPr fontId="9"/>
  </si>
  <si>
    <t>山本真輔</t>
    <rPh sb="0" eb="2">
      <t>ヤマモト</t>
    </rPh>
    <rPh sb="2" eb="4">
      <t>シンスケ</t>
    </rPh>
    <phoneticPr fontId="9"/>
  </si>
  <si>
    <t>菊池北斗</t>
    <rPh sb="0" eb="2">
      <t>キクチ</t>
    </rPh>
    <rPh sb="2" eb="4">
      <t>ホクト</t>
    </rPh>
    <phoneticPr fontId="9"/>
  </si>
  <si>
    <t>石井徹</t>
    <rPh sb="0" eb="3">
      <t>イシイトオル</t>
    </rPh>
    <phoneticPr fontId="9"/>
  </si>
  <si>
    <t>青井圭介</t>
    <rPh sb="0" eb="4">
      <t>アオイケイスケ</t>
    </rPh>
    <phoneticPr fontId="9"/>
  </si>
  <si>
    <t>村上輝暁（認証科学）</t>
    <rPh sb="5" eb="7">
      <t>ニンショウ</t>
    </rPh>
    <rPh sb="7" eb="9">
      <t>カガク</t>
    </rPh>
    <phoneticPr fontId="9"/>
  </si>
  <si>
    <t>JICQA</t>
    <phoneticPr fontId="9"/>
  </si>
  <si>
    <t>-</t>
    <phoneticPr fontId="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</si>
</sst>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0_);[Red]\(0\)"/>
    <numFmt numFmtId="177" formatCode="0.00_);[Red]\(0.00\)"/>
    <numFmt numFmtId="178" formatCode="&quot;¥&quot;#,##0_);[Red]\(&quot;¥&quot;#,##0\)"/>
    <numFmt numFmtId="179" formatCode="&quot;第&quot;\ 0.0\ &quot;版&quot;"/>
  </numFmts>
  <fonts count="26">
    <font>
      <sz val="11"/>
      <name val="ＭＳ Ｐゴシック"/>
      <family val="3"/>
      <charset val="128"/>
    </font>
    <font>
      <sz val="11"/>
      <name val="ＭＳ Ｐゴシック"/>
      <family val="3"/>
      <charset val="128"/>
    </font>
    <font>
      <sz val="6"/>
      <name val="ＭＳ Ｐゴシック"/>
      <family val="3"/>
      <charset val="128"/>
    </font>
    <font>
      <b/>
      <sz val="9"/>
      <color indexed="81"/>
      <name val="MS P ゴシック"/>
      <family val="3"/>
      <charset val="128"/>
    </font>
    <font>
      <sz val="11"/>
      <name val="游ゴシック"/>
      <family val="3"/>
      <charset val="128"/>
    </font>
    <font>
      <sz val="11"/>
      <name val="ＭＳ ゴシック"/>
      <family val="3"/>
      <charset val="128"/>
    </font>
    <font>
      <sz val="9"/>
      <name val="游ゴシック"/>
      <family val="3"/>
      <charset val="128"/>
    </font>
    <font>
      <sz val="9"/>
      <color indexed="81"/>
      <name val="MS P ゴシック"/>
      <family val="3"/>
      <charset val="128"/>
    </font>
    <font>
      <sz val="11"/>
      <color theme="1"/>
      <name val="Meiryo UI"/>
      <family val="2"/>
      <charset val="128"/>
    </font>
    <font>
      <sz val="6"/>
      <name val="ＭＳ Ｐゴシック"/>
      <family val="2"/>
      <charset val="128"/>
      <scheme val="minor"/>
    </font>
    <font>
      <sz val="11"/>
      <color theme="1"/>
      <name val="ＭＳ Ｐゴシック"/>
      <family val="2"/>
      <charset val="128"/>
      <scheme val="minor"/>
    </font>
    <font>
      <sz val="10"/>
      <color theme="1"/>
      <name val="游ゴシック"/>
      <family val="3"/>
      <charset val="128"/>
    </font>
    <font>
      <b/>
      <sz val="10"/>
      <color theme="0"/>
      <name val="游ゴシック"/>
      <family val="3"/>
      <charset val="128"/>
    </font>
    <font>
      <b/>
      <sz val="11"/>
      <color theme="0"/>
      <name val="游ゴシック"/>
      <family val="3"/>
      <charset val="128"/>
    </font>
    <font>
      <sz val="11"/>
      <color theme="1"/>
      <name val="游ゴシック"/>
      <family val="3"/>
      <charset val="128"/>
    </font>
    <font>
      <sz val="10"/>
      <name val="HGSｺﾞｼｯｸM"/>
      <family val="3"/>
      <charset val="128"/>
    </font>
    <font>
      <b/>
      <sz val="10"/>
      <name val="HGSｺﾞｼｯｸM"/>
      <family val="3"/>
      <charset val="128"/>
    </font>
    <font>
      <sz val="10"/>
      <color indexed="10"/>
      <name val="HGSｺﾞｼｯｸM"/>
      <family val="3"/>
      <charset val="128"/>
    </font>
    <font>
      <b/>
      <sz val="10"/>
      <color rgb="FFFF0000"/>
      <name val="HGSｺﾞｼｯｸM"/>
      <family val="3"/>
      <charset val="128"/>
    </font>
    <font>
      <sz val="10"/>
      <color rgb="FFFF0000"/>
      <name val="HGSｺﾞｼｯｸM"/>
      <family val="3"/>
      <charset val="128"/>
    </font>
    <font>
      <sz val="10"/>
      <color rgb="FF0000FF"/>
      <name val="HGSｺﾞｼｯｸM"/>
      <family val="3"/>
      <charset val="128"/>
    </font>
    <font>
      <sz val="9"/>
      <name val="HGSｺﾞｼｯｸM"/>
      <family val="3"/>
      <charset val="128"/>
    </font>
    <font>
      <sz val="9"/>
      <name val="ＭＳ 明朝"/>
      <family val="1"/>
      <charset val="128"/>
    </font>
    <font>
      <sz val="6"/>
      <name val="ＭＳ Ｐゴシック"/>
      <family val="3"/>
      <charset val="128"/>
      <scheme val="minor"/>
    </font>
    <font>
      <sz val="10"/>
      <name val="ＭＳ 明朝"/>
      <family val="1"/>
      <charset val="128"/>
    </font>
    <font>
      <sz val="10"/>
      <color theme="0"/>
      <name val="ＭＳ 明朝"/>
      <family val="1"/>
      <charset val="128"/>
    </font>
  </fonts>
  <fills count="12">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rgb="FFFF0000"/>
        <bgColor indexed="64"/>
      </patternFill>
    </fill>
    <fill>
      <patternFill patternType="solid">
        <fgColor rgb="FFFFFFC8"/>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499984740745262"/>
        <bgColor indexed="64"/>
      </patternFill>
    </fill>
    <fill>
      <patternFill patternType="solid">
        <fgColor theme="0"/>
        <bgColor indexed="64"/>
      </patternFill>
    </fill>
    <fill>
      <patternFill patternType="solid">
        <fgColor theme="1" tint="0.249977111117893"/>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diagonal/>
    </border>
    <border>
      <left style="medium">
        <color indexed="64"/>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otted">
        <color auto="1"/>
      </left>
      <right/>
      <top style="dotted">
        <color auto="1"/>
      </top>
      <bottom/>
      <diagonal/>
    </border>
    <border>
      <left/>
      <right/>
      <top style="dotted">
        <color indexed="64"/>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double">
        <color indexed="64"/>
      </right>
      <top style="thin">
        <color indexed="64"/>
      </top>
      <bottom style="thin">
        <color indexed="64"/>
      </bottom>
      <diagonal/>
    </border>
    <border>
      <left/>
      <right style="double">
        <color indexed="64"/>
      </right>
      <top style="thin">
        <color indexed="64"/>
      </top>
      <bottom style="thin">
        <color indexed="64"/>
      </bottom>
      <diagonal/>
    </border>
    <border>
      <left/>
      <right style="double">
        <color indexed="64"/>
      </right>
      <top style="thin">
        <color indexed="64"/>
      </top>
      <bottom style="double">
        <color indexed="64"/>
      </bottom>
      <diagonal/>
    </border>
    <border>
      <left/>
      <right style="double">
        <color indexed="64"/>
      </right>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style="thin">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thin">
        <color auto="1"/>
      </left>
      <right/>
      <top style="double">
        <color auto="1"/>
      </top>
      <bottom style="double">
        <color indexed="64"/>
      </bottom>
      <diagonal/>
    </border>
  </borders>
  <cellStyleXfs count="7">
    <xf numFmtId="0" fontId="0" fillId="0" borderId="0">
      <alignment vertical="center"/>
    </xf>
    <xf numFmtId="0" fontId="1" fillId="0" borderId="0"/>
    <xf numFmtId="0" fontId="1" fillId="0" borderId="0">
      <alignment vertical="center"/>
    </xf>
    <xf numFmtId="0" fontId="8" fillId="0" borderId="0">
      <alignment vertical="center"/>
    </xf>
    <xf numFmtId="0" fontId="1" fillId="0" borderId="0"/>
    <xf numFmtId="9" fontId="1" fillId="0" borderId="0" applyFont="0" applyFill="0" applyBorder="0" applyAlignment="0" applyProtection="0">
      <alignment vertical="center"/>
    </xf>
    <xf numFmtId="0" fontId="10" fillId="0" borderId="0">
      <alignment vertical="center"/>
    </xf>
  </cellStyleXfs>
  <cellXfs count="430">
    <xf numFmtId="0" fontId="0" fillId="0" borderId="0" xfId="0">
      <alignment vertical="center"/>
    </xf>
    <xf numFmtId="0" fontId="5" fillId="0" borderId="0" xfId="0" applyFont="1">
      <alignment vertical="center"/>
    </xf>
    <xf numFmtId="0" fontId="5" fillId="5" borderId="0" xfId="0" applyFont="1" applyFill="1" applyAlignment="1">
      <alignment vertical="top" wrapText="1"/>
    </xf>
    <xf numFmtId="0" fontId="6" fillId="0" borderId="0" xfId="0" applyFont="1" applyAlignment="1">
      <alignment vertical="top" wrapText="1"/>
    </xf>
    <xf numFmtId="49" fontId="4" fillId="0" borderId="0" xfId="0" applyNumberFormat="1" applyFont="1">
      <alignment vertical="center"/>
    </xf>
    <xf numFmtId="0" fontId="11" fillId="10" borderId="0" xfId="6" applyFont="1" applyFill="1" applyAlignment="1">
      <alignment horizontal="center" vertical="top"/>
    </xf>
    <xf numFmtId="14" fontId="11" fillId="10" borderId="0" xfId="6" applyNumberFormat="1" applyFont="1" applyFill="1" applyAlignment="1">
      <alignment horizontal="center" vertical="top"/>
    </xf>
    <xf numFmtId="0" fontId="11" fillId="10" borderId="0" xfId="6" applyFont="1" applyFill="1" applyAlignment="1">
      <alignment horizontal="center" vertical="top" wrapText="1"/>
    </xf>
    <xf numFmtId="0" fontId="11" fillId="10" borderId="0" xfId="6" applyFont="1" applyFill="1" applyAlignment="1">
      <alignment vertical="top" wrapText="1"/>
    </xf>
    <xf numFmtId="0" fontId="11" fillId="10" borderId="0" xfId="6" applyFont="1" applyFill="1" applyAlignment="1">
      <alignment horizontal="left" vertical="top" wrapText="1"/>
    </xf>
    <xf numFmtId="0" fontId="11" fillId="0" borderId="0" xfId="6" applyFont="1" applyAlignment="1">
      <alignment vertical="top"/>
    </xf>
    <xf numFmtId="0" fontId="11" fillId="10" borderId="54" xfId="6" applyFont="1" applyFill="1" applyBorder="1" applyAlignment="1">
      <alignment horizontal="center" vertical="top"/>
    </xf>
    <xf numFmtId="14" fontId="11" fillId="10" borderId="54" xfId="6" applyNumberFormat="1" applyFont="1" applyFill="1" applyBorder="1" applyAlignment="1">
      <alignment horizontal="center" vertical="top"/>
    </xf>
    <xf numFmtId="0" fontId="11" fillId="10" borderId="54" xfId="6" applyFont="1" applyFill="1" applyBorder="1" applyAlignment="1">
      <alignment horizontal="center" vertical="top" wrapText="1"/>
    </xf>
    <xf numFmtId="0" fontId="11" fillId="10" borderId="54" xfId="6" applyFont="1" applyFill="1" applyBorder="1" applyAlignment="1">
      <alignment vertical="top" wrapText="1"/>
    </xf>
    <xf numFmtId="0" fontId="11" fillId="10" borderId="54" xfId="6" applyFont="1" applyFill="1" applyBorder="1" applyAlignment="1">
      <alignment horizontal="left" vertical="top" wrapText="1"/>
    </xf>
    <xf numFmtId="0" fontId="11" fillId="0" borderId="0" xfId="6" applyFont="1" applyAlignment="1">
      <alignment horizontal="center" vertical="top"/>
    </xf>
    <xf numFmtId="14" fontId="11" fillId="0" borderId="0" xfId="6" applyNumberFormat="1" applyFont="1" applyAlignment="1">
      <alignment horizontal="center" vertical="top"/>
    </xf>
    <xf numFmtId="0" fontId="11" fillId="0" borderId="0" xfId="6" applyFont="1" applyAlignment="1">
      <alignment horizontal="center" vertical="top" wrapText="1"/>
    </xf>
    <xf numFmtId="0" fontId="11" fillId="0" borderId="0" xfId="6" applyFont="1" applyAlignment="1">
      <alignment vertical="top" wrapText="1"/>
    </xf>
    <xf numFmtId="0" fontId="11" fillId="0" borderId="0" xfId="6" applyFont="1" applyAlignment="1">
      <alignment horizontal="left" vertical="top" wrapText="1"/>
    </xf>
    <xf numFmtId="0" fontId="12" fillId="9" borderId="7" xfId="6" applyFont="1" applyFill="1" applyBorder="1" applyAlignment="1">
      <alignment horizontal="center" vertical="top"/>
    </xf>
    <xf numFmtId="14" fontId="12" fillId="9" borderId="7" xfId="6" applyNumberFormat="1" applyFont="1" applyFill="1" applyBorder="1" applyAlignment="1">
      <alignment horizontal="center" vertical="top"/>
    </xf>
    <xf numFmtId="0" fontId="12" fillId="9" borderId="7" xfId="6" applyFont="1" applyFill="1" applyBorder="1" applyAlignment="1">
      <alignment horizontal="center" vertical="top" wrapText="1"/>
    </xf>
    <xf numFmtId="0" fontId="11" fillId="0" borderId="7" xfId="6" applyFont="1" applyBorder="1" applyAlignment="1">
      <alignment horizontal="center" vertical="top"/>
    </xf>
    <xf numFmtId="179" fontId="11" fillId="0" borderId="7" xfId="6" applyNumberFormat="1" applyFont="1" applyBorder="1" applyAlignment="1">
      <alignment horizontal="center" vertical="top"/>
    </xf>
    <xf numFmtId="14" fontId="11" fillId="0" borderId="7" xfId="6" applyNumberFormat="1" applyFont="1" applyBorder="1" applyAlignment="1">
      <alignment horizontal="center" vertical="top"/>
    </xf>
    <xf numFmtId="0" fontId="11" fillId="0" borderId="7" xfId="6" applyFont="1" applyBorder="1" applyAlignment="1">
      <alignment horizontal="left" vertical="top" wrapText="1"/>
    </xf>
    <xf numFmtId="0" fontId="11" fillId="7" borderId="7" xfId="6" applyFont="1" applyFill="1" applyBorder="1" applyAlignment="1">
      <alignment horizontal="center" vertical="top" wrapText="1"/>
    </xf>
    <xf numFmtId="0" fontId="13" fillId="9" borderId="7" xfId="6" applyFont="1" applyFill="1" applyBorder="1">
      <alignment vertical="center"/>
    </xf>
    <xf numFmtId="49" fontId="14" fillId="0" borderId="7" xfId="6" applyNumberFormat="1" applyFont="1" applyBorder="1" applyAlignment="1">
      <alignment horizontal="left" vertical="center"/>
    </xf>
    <xf numFmtId="0" fontId="14" fillId="0" borderId="0" xfId="6" applyFont="1">
      <alignment vertical="center"/>
    </xf>
    <xf numFmtId="14" fontId="14" fillId="7" borderId="7" xfId="6" applyNumberFormat="1" applyFont="1" applyFill="1" applyBorder="1" applyAlignment="1">
      <alignment horizontal="left" vertical="center"/>
    </xf>
    <xf numFmtId="179" fontId="14" fillId="7" borderId="7" xfId="6" applyNumberFormat="1" applyFont="1" applyFill="1" applyBorder="1" applyAlignment="1">
      <alignment horizontal="left" vertical="center"/>
    </xf>
    <xf numFmtId="0" fontId="4" fillId="7" borderId="7" xfId="6" applyFont="1" applyFill="1" applyBorder="1" applyAlignment="1">
      <alignment horizontal="left" vertical="center"/>
    </xf>
    <xf numFmtId="0" fontId="14" fillId="7" borderId="7" xfId="6" applyFont="1" applyFill="1" applyBorder="1" applyAlignment="1">
      <alignment horizontal="left" vertical="center"/>
    </xf>
    <xf numFmtId="49" fontId="14" fillId="0" borderId="0" xfId="6" applyNumberFormat="1" applyFont="1" applyAlignment="1">
      <alignment horizontal="left" vertical="center"/>
    </xf>
    <xf numFmtId="14" fontId="12" fillId="11" borderId="7" xfId="6" applyNumberFormat="1" applyFont="1" applyFill="1" applyBorder="1" applyAlignment="1">
      <alignment horizontal="center" vertical="top"/>
    </xf>
    <xf numFmtId="0" fontId="12" fillId="11" borderId="7" xfId="6" applyFont="1" applyFill="1" applyBorder="1" applyAlignment="1">
      <alignment horizontal="center" vertical="top"/>
    </xf>
    <xf numFmtId="0" fontId="11" fillId="0" borderId="0" xfId="6" applyFont="1">
      <alignment vertical="center"/>
    </xf>
    <xf numFmtId="0" fontId="11" fillId="0" borderId="7" xfId="6" applyFont="1" applyBorder="1">
      <alignment vertical="center"/>
    </xf>
    <xf numFmtId="0" fontId="16" fillId="0" borderId="0" xfId="2" applyFont="1">
      <alignment vertical="center"/>
    </xf>
    <xf numFmtId="0" fontId="16" fillId="0" borderId="0" xfId="2" applyFont="1" applyAlignment="1">
      <alignment horizontal="left" vertical="center"/>
    </xf>
    <xf numFmtId="0" fontId="15" fillId="3" borderId="0" xfId="2" applyFont="1" applyFill="1" applyAlignment="1">
      <alignment horizontal="center" vertical="center"/>
    </xf>
    <xf numFmtId="14" fontId="15" fillId="0" borderId="0" xfId="1" applyNumberFormat="1" applyFont="1" applyAlignment="1">
      <alignment horizontal="center" vertical="center"/>
    </xf>
    <xf numFmtId="0" fontId="16" fillId="0" borderId="0" xfId="1" applyFont="1" applyAlignment="1">
      <alignment vertical="center"/>
    </xf>
    <xf numFmtId="0" fontId="15" fillId="0" borderId="0" xfId="1" applyFont="1" applyAlignment="1">
      <alignment vertical="center"/>
    </xf>
    <xf numFmtId="0" fontId="18" fillId="3" borderId="0" xfId="2" applyFont="1" applyFill="1" applyAlignment="1">
      <alignment horizontal="left" vertical="center"/>
    </xf>
    <xf numFmtId="14" fontId="15" fillId="3" borderId="0" xfId="2" applyNumberFormat="1" applyFont="1" applyFill="1" applyAlignment="1">
      <alignment horizontal="center" vertical="center"/>
    </xf>
    <xf numFmtId="2" fontId="15" fillId="7" borderId="39" xfId="0" applyNumberFormat="1" applyFont="1" applyFill="1" applyBorder="1" applyAlignment="1">
      <alignment horizontal="center" vertical="center"/>
    </xf>
    <xf numFmtId="2" fontId="15" fillId="7" borderId="43" xfId="0" applyNumberFormat="1" applyFont="1" applyFill="1" applyBorder="1" applyAlignment="1">
      <alignment horizontal="center" vertical="center"/>
    </xf>
    <xf numFmtId="0" fontId="15" fillId="0" borderId="0" xfId="2" applyFont="1">
      <alignment vertical="center"/>
    </xf>
    <xf numFmtId="0" fontId="15" fillId="0" borderId="54" xfId="2" applyFont="1" applyBorder="1">
      <alignment vertical="center"/>
    </xf>
    <xf numFmtId="0" fontId="15" fillId="3" borderId="0" xfId="2" applyFont="1" applyFill="1">
      <alignment vertical="center"/>
    </xf>
    <xf numFmtId="0" fontId="16" fillId="3" borderId="0" xfId="2" applyFont="1" applyFill="1">
      <alignment vertical="center"/>
    </xf>
    <xf numFmtId="0" fontId="15" fillId="3" borderId="0" xfId="2" applyFont="1" applyFill="1" applyAlignment="1">
      <alignment vertical="center" wrapText="1"/>
    </xf>
    <xf numFmtId="49" fontId="15" fillId="7" borderId="2" xfId="2" applyNumberFormat="1" applyFont="1" applyFill="1" applyBorder="1" applyAlignment="1">
      <alignment horizontal="center" vertical="center"/>
    </xf>
    <xf numFmtId="0" fontId="15" fillId="0" borderId="0" xfId="2" applyFont="1" applyAlignment="1">
      <alignment vertical="center" wrapText="1"/>
    </xf>
    <xf numFmtId="0" fontId="15" fillId="0" borderId="0" xfId="2" applyFont="1" applyAlignment="1">
      <alignment horizontal="left" vertical="center"/>
    </xf>
    <xf numFmtId="0" fontId="15" fillId="0" borderId="0" xfId="2" applyFont="1" applyAlignment="1">
      <alignment horizontal="left" vertical="center" wrapText="1"/>
    </xf>
    <xf numFmtId="0" fontId="16" fillId="0" borderId="0" xfId="2" applyFont="1" applyAlignment="1">
      <alignment vertical="center" wrapText="1"/>
    </xf>
    <xf numFmtId="0" fontId="17" fillId="3" borderId="0" xfId="2" applyFont="1" applyFill="1">
      <alignment vertical="center"/>
    </xf>
    <xf numFmtId="0" fontId="15" fillId="3" borderId="0" xfId="0" applyFont="1" applyFill="1" applyAlignment="1">
      <alignment vertical="center" wrapText="1"/>
    </xf>
    <xf numFmtId="0" fontId="15" fillId="0" borderId="0" xfId="0" applyFont="1" applyAlignment="1">
      <alignment horizontal="left" vertical="center" wrapText="1"/>
    </xf>
    <xf numFmtId="49" fontId="15" fillId="0" borderId="0" xfId="0" applyNumberFormat="1" applyFont="1" applyAlignment="1">
      <alignment horizontal="left" vertical="center" wrapText="1"/>
    </xf>
    <xf numFmtId="0" fontId="16" fillId="0" borderId="0" xfId="1" applyFont="1" applyAlignment="1">
      <alignment vertical="center" wrapText="1"/>
    </xf>
    <xf numFmtId="0" fontId="15" fillId="0" borderId="27" xfId="1" applyFont="1" applyBorder="1" applyAlignment="1">
      <alignment vertical="center" wrapText="1"/>
    </xf>
    <xf numFmtId="0" fontId="15" fillId="0" borderId="28" xfId="1" applyFont="1" applyBorder="1" applyAlignment="1">
      <alignment vertical="center" wrapText="1"/>
    </xf>
    <xf numFmtId="0" fontId="15" fillId="0" borderId="29" xfId="1" applyFont="1" applyBorder="1" applyAlignment="1">
      <alignment vertical="center" wrapText="1"/>
    </xf>
    <xf numFmtId="0" fontId="15" fillId="0" borderId="0" xfId="1" applyFont="1" applyAlignment="1">
      <alignment vertical="center" wrapText="1"/>
    </xf>
    <xf numFmtId="0" fontId="15" fillId="0" borderId="30" xfId="1" applyFont="1" applyBorder="1" applyAlignment="1">
      <alignment vertical="center" wrapText="1"/>
    </xf>
    <xf numFmtId="0" fontId="15" fillId="0" borderId="31" xfId="1" applyFont="1" applyBorder="1" applyAlignment="1">
      <alignment vertical="center" wrapText="1"/>
    </xf>
    <xf numFmtId="0" fontId="15" fillId="0" borderId="32" xfId="1" applyFont="1" applyBorder="1" applyAlignment="1">
      <alignment vertical="center" wrapText="1"/>
    </xf>
    <xf numFmtId="0" fontId="15" fillId="0" borderId="33" xfId="1" applyFont="1" applyBorder="1" applyAlignment="1">
      <alignment vertical="center" wrapText="1"/>
    </xf>
    <xf numFmtId="0" fontId="15" fillId="0" borderId="34" xfId="1" applyFont="1" applyBorder="1" applyAlignment="1">
      <alignment vertical="center" wrapText="1"/>
    </xf>
    <xf numFmtId="0" fontId="16" fillId="3" borderId="0" xfId="0" applyFont="1" applyFill="1">
      <alignment vertical="center"/>
    </xf>
    <xf numFmtId="14" fontId="15" fillId="0" borderId="0" xfId="2" applyNumberFormat="1" applyFont="1" applyAlignment="1">
      <alignment horizontal="left" vertical="center" wrapText="1"/>
    </xf>
    <xf numFmtId="0" fontId="16" fillId="3" borderId="0" xfId="2" applyFont="1" applyFill="1" applyAlignment="1">
      <alignment horizontal="right" vertical="center"/>
    </xf>
    <xf numFmtId="0" fontId="15" fillId="3" borderId="0" xfId="0" applyFont="1" applyFill="1" applyAlignment="1">
      <alignment horizontal="left" vertical="center"/>
    </xf>
    <xf numFmtId="0" fontId="15" fillId="0" borderId="0" xfId="0" applyFont="1" applyAlignment="1">
      <alignment horizontal="left" vertical="center"/>
    </xf>
    <xf numFmtId="178" fontId="15" fillId="0" borderId="0" xfId="0" applyNumberFormat="1" applyFont="1" applyAlignment="1">
      <alignment horizontal="left" vertical="center"/>
    </xf>
    <xf numFmtId="0" fontId="15" fillId="0" borderId="0" xfId="0" applyFont="1">
      <alignment vertical="center"/>
    </xf>
    <xf numFmtId="177" fontId="15" fillId="0" borderId="0" xfId="5" applyNumberFormat="1" applyFont="1" applyFill="1" applyBorder="1" applyAlignment="1">
      <alignment horizontal="right" vertical="center"/>
    </xf>
    <xf numFmtId="9" fontId="15" fillId="0" borderId="0" xfId="5" applyFont="1" applyFill="1" applyBorder="1" applyAlignment="1">
      <alignment horizontal="right" vertical="center"/>
    </xf>
    <xf numFmtId="0" fontId="20" fillId="0" borderId="0" xfId="2" applyFont="1">
      <alignment vertical="center"/>
    </xf>
    <xf numFmtId="0" fontId="20" fillId="0" borderId="0" xfId="0" applyFont="1">
      <alignment vertical="center"/>
    </xf>
    <xf numFmtId="0" fontId="0" fillId="0" borderId="0" xfId="1" applyFont="1" applyAlignment="1">
      <alignment vertical="top"/>
    </xf>
    <xf numFmtId="0" fontId="1" fillId="0" borderId="0" xfId="1" applyAlignment="1">
      <alignment vertical="top"/>
    </xf>
    <xf numFmtId="0" fontId="22" fillId="0" borderId="20" xfId="0" applyFont="1" applyBorder="1">
      <alignment vertical="center"/>
    </xf>
    <xf numFmtId="0" fontId="22" fillId="0" borderId="59" xfId="0" applyFont="1" applyBorder="1">
      <alignment vertical="center"/>
    </xf>
    <xf numFmtId="0" fontId="22" fillId="0" borderId="53" xfId="0" applyFont="1" applyBorder="1">
      <alignment vertical="center"/>
    </xf>
    <xf numFmtId="0" fontId="22" fillId="0" borderId="0" xfId="0" applyFont="1">
      <alignment vertical="center"/>
    </xf>
    <xf numFmtId="0" fontId="22" fillId="0" borderId="19" xfId="0" applyFont="1" applyBorder="1">
      <alignment vertical="center"/>
    </xf>
    <xf numFmtId="0" fontId="24" fillId="0" borderId="0" xfId="0" applyFont="1">
      <alignment vertical="center"/>
    </xf>
    <xf numFmtId="0" fontId="25" fillId="0" borderId="0" xfId="0" applyFont="1">
      <alignment vertical="center"/>
    </xf>
    <xf numFmtId="0" fontId="25" fillId="0" borderId="62" xfId="0" applyFont="1" applyBorder="1">
      <alignment vertical="center"/>
    </xf>
    <xf numFmtId="0" fontId="22" fillId="0" borderId="56" xfId="0" applyFont="1" applyBorder="1" applyAlignment="1">
      <alignment horizontal="left" vertical="center" wrapText="1"/>
    </xf>
    <xf numFmtId="0" fontId="22" fillId="0" borderId="57" xfId="0" applyFont="1" applyBorder="1" applyAlignment="1">
      <alignment horizontal="left" vertical="center" wrapText="1"/>
    </xf>
    <xf numFmtId="0" fontId="22" fillId="0" borderId="58" xfId="0" applyFont="1" applyBorder="1" applyAlignment="1">
      <alignment horizontal="left" vertical="center" wrapText="1"/>
    </xf>
    <xf numFmtId="0" fontId="22" fillId="0" borderId="60" xfId="0" applyFont="1" applyBorder="1" applyAlignment="1">
      <alignment horizontal="left" vertical="center" wrapText="1"/>
    </xf>
    <xf numFmtId="0" fontId="22" fillId="0" borderId="54" xfId="0" applyFont="1" applyBorder="1" applyAlignment="1">
      <alignment horizontal="left" vertical="center" wrapText="1"/>
    </xf>
    <xf numFmtId="0" fontId="22" fillId="0" borderId="61" xfId="0" applyFont="1" applyBorder="1" applyAlignment="1">
      <alignment horizontal="left" vertical="center" wrapText="1"/>
    </xf>
    <xf numFmtId="0" fontId="22" fillId="0" borderId="57" xfId="0" applyFont="1" applyBorder="1" applyAlignment="1">
      <alignment horizontal="left" vertical="center"/>
    </xf>
    <xf numFmtId="0" fontId="22" fillId="0" borderId="58" xfId="0" applyFont="1" applyBorder="1" applyAlignment="1">
      <alignment horizontal="left" vertical="center"/>
    </xf>
    <xf numFmtId="0" fontId="22" fillId="0" borderId="60" xfId="0" applyFont="1" applyBorder="1" applyAlignment="1">
      <alignment horizontal="left" vertical="center"/>
    </xf>
    <xf numFmtId="0" fontId="22" fillId="0" borderId="54" xfId="0" applyFont="1" applyBorder="1" applyAlignment="1">
      <alignment horizontal="left" vertical="center"/>
    </xf>
    <xf numFmtId="0" fontId="22" fillId="0" borderId="61" xfId="0" applyFont="1" applyBorder="1" applyAlignment="1">
      <alignment horizontal="left" vertical="center"/>
    </xf>
    <xf numFmtId="0" fontId="15" fillId="0" borderId="1" xfId="2" applyFont="1" applyBorder="1" applyAlignment="1">
      <alignment horizontal="left" vertical="center" wrapText="1"/>
    </xf>
    <xf numFmtId="0" fontId="15" fillId="0" borderId="2" xfId="2" applyFont="1" applyBorder="1" applyAlignment="1">
      <alignment horizontal="left" vertical="center" wrapText="1"/>
    </xf>
    <xf numFmtId="0" fontId="15" fillId="0" borderId="3" xfId="2" applyFont="1" applyBorder="1" applyAlignment="1">
      <alignment horizontal="left" vertical="center" wrapText="1"/>
    </xf>
    <xf numFmtId="14" fontId="15" fillId="0" borderId="1" xfId="2" applyNumberFormat="1" applyFont="1" applyBorder="1" applyAlignment="1">
      <alignment vertical="center" wrapText="1"/>
    </xf>
    <xf numFmtId="14" fontId="15" fillId="0" borderId="2" xfId="2" applyNumberFormat="1" applyFont="1" applyBorder="1" applyAlignment="1">
      <alignment vertical="center" wrapText="1"/>
    </xf>
    <xf numFmtId="14" fontId="15" fillId="0" borderId="3" xfId="2" applyNumberFormat="1" applyFont="1" applyBorder="1" applyAlignment="1">
      <alignment vertical="center" wrapText="1"/>
    </xf>
    <xf numFmtId="0" fontId="15" fillId="0" borderId="1" xfId="2" applyFont="1" applyBorder="1" applyAlignment="1">
      <alignment vertical="center" wrapText="1"/>
    </xf>
    <xf numFmtId="0" fontId="15" fillId="0" borderId="2" xfId="2" applyFont="1" applyBorder="1" applyAlignment="1">
      <alignment vertical="center" wrapText="1"/>
    </xf>
    <xf numFmtId="0" fontId="15" fillId="0" borderId="3" xfId="2" applyFont="1" applyBorder="1" applyAlignment="1">
      <alignment vertical="center" wrapText="1"/>
    </xf>
    <xf numFmtId="0" fontId="15" fillId="0" borderId="7" xfId="2" applyFont="1" applyBorder="1" applyAlignment="1">
      <alignment vertical="center" wrapText="1"/>
    </xf>
    <xf numFmtId="0" fontId="15" fillId="7" borderId="1" xfId="2" applyFont="1" applyFill="1" applyBorder="1" applyAlignment="1">
      <alignment horizontal="left" vertical="center"/>
    </xf>
    <xf numFmtId="0" fontId="15" fillId="7" borderId="2" xfId="2" applyFont="1" applyFill="1" applyBorder="1" applyAlignment="1">
      <alignment horizontal="left" vertical="center"/>
    </xf>
    <xf numFmtId="0" fontId="15" fillId="7" borderId="3" xfId="2" applyFont="1" applyFill="1" applyBorder="1" applyAlignment="1">
      <alignment horizontal="left" vertical="center"/>
    </xf>
    <xf numFmtId="14" fontId="15" fillId="0" borderId="1" xfId="2" applyNumberFormat="1" applyFont="1" applyBorder="1" applyAlignment="1">
      <alignment horizontal="center" vertical="center"/>
    </xf>
    <xf numFmtId="14" fontId="15" fillId="0" borderId="2" xfId="2" applyNumberFormat="1" applyFont="1" applyBorder="1" applyAlignment="1">
      <alignment horizontal="center" vertical="center"/>
    </xf>
    <xf numFmtId="14" fontId="15" fillId="0" borderId="3" xfId="2" applyNumberFormat="1" applyFont="1" applyBorder="1" applyAlignment="1">
      <alignment horizontal="center" vertical="center"/>
    </xf>
    <xf numFmtId="177" fontId="15" fillId="7" borderId="1" xfId="2" applyNumberFormat="1" applyFont="1" applyFill="1" applyBorder="1" applyAlignment="1">
      <alignment horizontal="right" vertical="center"/>
    </xf>
    <xf numFmtId="177" fontId="15" fillId="7" borderId="2" xfId="2" applyNumberFormat="1" applyFont="1" applyFill="1" applyBorder="1" applyAlignment="1">
      <alignment horizontal="right" vertical="center"/>
    </xf>
    <xf numFmtId="177" fontId="15" fillId="7" borderId="3" xfId="2" applyNumberFormat="1" applyFont="1" applyFill="1" applyBorder="1" applyAlignment="1">
      <alignment horizontal="right" vertical="center"/>
    </xf>
    <xf numFmtId="177" fontId="15" fillId="0" borderId="1" xfId="2" applyNumberFormat="1" applyFont="1" applyBorder="1" applyAlignment="1">
      <alignment horizontal="right" vertical="center"/>
    </xf>
    <xf numFmtId="177" fontId="15" fillId="0" borderId="2" xfId="2" applyNumberFormat="1" applyFont="1" applyBorder="1" applyAlignment="1">
      <alignment horizontal="right" vertical="center"/>
    </xf>
    <xf numFmtId="177" fontId="15" fillId="0" borderId="3" xfId="2" applyNumberFormat="1" applyFont="1" applyBorder="1" applyAlignment="1">
      <alignment horizontal="right" vertical="center"/>
    </xf>
    <xf numFmtId="178" fontId="15" fillId="0" borderId="1" xfId="2" applyNumberFormat="1" applyFont="1" applyBorder="1" applyAlignment="1">
      <alignment horizontal="right" vertical="center"/>
    </xf>
    <xf numFmtId="178" fontId="15" fillId="0" borderId="2" xfId="2" applyNumberFormat="1" applyFont="1" applyBorder="1" applyAlignment="1">
      <alignment horizontal="right" vertical="center"/>
    </xf>
    <xf numFmtId="178" fontId="15" fillId="0" borderId="3" xfId="2" applyNumberFormat="1" applyFont="1" applyBorder="1" applyAlignment="1">
      <alignment horizontal="right" vertical="center"/>
    </xf>
    <xf numFmtId="178" fontId="15" fillId="7" borderId="1" xfId="2" applyNumberFormat="1" applyFont="1" applyFill="1" applyBorder="1" applyAlignment="1">
      <alignment horizontal="right" vertical="center"/>
    </xf>
    <xf numFmtId="178" fontId="15" fillId="7" borderId="2" xfId="2" applyNumberFormat="1" applyFont="1" applyFill="1" applyBorder="1" applyAlignment="1">
      <alignment horizontal="right" vertical="center"/>
    </xf>
    <xf numFmtId="178" fontId="15" fillId="7" borderId="3" xfId="2" applyNumberFormat="1" applyFont="1" applyFill="1" applyBorder="1" applyAlignment="1">
      <alignment horizontal="right" vertical="center"/>
    </xf>
    <xf numFmtId="10" fontId="15" fillId="7" borderId="23" xfId="5" applyNumberFormat="1" applyFont="1" applyFill="1" applyBorder="1" applyAlignment="1">
      <alignment horizontal="right" vertical="center"/>
    </xf>
    <xf numFmtId="10" fontId="15" fillId="7" borderId="20" xfId="5" applyNumberFormat="1" applyFont="1" applyFill="1" applyBorder="1" applyAlignment="1">
      <alignment horizontal="right" vertical="center"/>
    </xf>
    <xf numFmtId="10" fontId="15" fillId="7" borderId="24" xfId="5" applyNumberFormat="1" applyFont="1" applyFill="1" applyBorder="1" applyAlignment="1">
      <alignment horizontal="right" vertical="center"/>
    </xf>
    <xf numFmtId="0" fontId="15" fillId="0" borderId="1" xfId="2" applyFont="1" applyBorder="1" applyAlignment="1">
      <alignment horizontal="left" vertical="center"/>
    </xf>
    <xf numFmtId="0" fontId="15" fillId="0" borderId="2" xfId="2" applyFont="1" applyBorder="1" applyAlignment="1">
      <alignment horizontal="left" vertical="center"/>
    </xf>
    <xf numFmtId="0" fontId="15" fillId="0" borderId="3" xfId="2" applyFont="1" applyBorder="1" applyAlignment="1">
      <alignment horizontal="left" vertical="center"/>
    </xf>
    <xf numFmtId="10" fontId="15" fillId="7" borderId="1" xfId="5" applyNumberFormat="1" applyFont="1" applyFill="1" applyBorder="1" applyAlignment="1">
      <alignment horizontal="right" vertical="center"/>
    </xf>
    <xf numFmtId="10" fontId="15" fillId="7" borderId="2" xfId="5" applyNumberFormat="1" applyFont="1" applyFill="1" applyBorder="1" applyAlignment="1">
      <alignment horizontal="right" vertical="center"/>
    </xf>
    <xf numFmtId="10" fontId="15" fillId="7" borderId="3" xfId="5" applyNumberFormat="1" applyFont="1" applyFill="1" applyBorder="1" applyAlignment="1">
      <alignment horizontal="right" vertical="center"/>
    </xf>
    <xf numFmtId="0" fontId="15" fillId="7" borderId="23" xfId="2" applyFont="1" applyFill="1" applyBorder="1" applyAlignment="1">
      <alignment horizontal="left" vertical="center"/>
    </xf>
    <xf numFmtId="0" fontId="15" fillId="7" borderId="20" xfId="2" applyFont="1" applyFill="1" applyBorder="1" applyAlignment="1">
      <alignment horizontal="left" vertical="center"/>
    </xf>
    <xf numFmtId="0" fontId="15" fillId="7" borderId="24" xfId="2" applyFont="1" applyFill="1" applyBorder="1" applyAlignment="1">
      <alignment horizontal="left" vertical="center"/>
    </xf>
    <xf numFmtId="14" fontId="15" fillId="7" borderId="23" xfId="2" applyNumberFormat="1" applyFont="1" applyFill="1" applyBorder="1" applyAlignment="1">
      <alignment horizontal="center" vertical="center"/>
    </xf>
    <xf numFmtId="14" fontId="15" fillId="7" borderId="20" xfId="2" applyNumberFormat="1" applyFont="1" applyFill="1" applyBorder="1" applyAlignment="1">
      <alignment horizontal="center" vertical="center"/>
    </xf>
    <xf numFmtId="14" fontId="15" fillId="7" borderId="24" xfId="2" applyNumberFormat="1" applyFont="1" applyFill="1" applyBorder="1" applyAlignment="1">
      <alignment horizontal="center" vertical="center"/>
    </xf>
    <xf numFmtId="177" fontId="15" fillId="7" borderId="23" xfId="2" applyNumberFormat="1" applyFont="1" applyFill="1" applyBorder="1" applyAlignment="1">
      <alignment horizontal="right" vertical="center"/>
    </xf>
    <xf numFmtId="177" fontId="15" fillId="7" borderId="20" xfId="2" applyNumberFormat="1" applyFont="1" applyFill="1" applyBorder="1" applyAlignment="1">
      <alignment horizontal="right" vertical="center"/>
    </xf>
    <xf numFmtId="177" fontId="15" fillId="7" borderId="24" xfId="2" applyNumberFormat="1" applyFont="1" applyFill="1" applyBorder="1" applyAlignment="1">
      <alignment horizontal="right" vertical="center"/>
    </xf>
    <xf numFmtId="178" fontId="15" fillId="7" borderId="23" xfId="2" applyNumberFormat="1" applyFont="1" applyFill="1" applyBorder="1" applyAlignment="1">
      <alignment horizontal="right" vertical="center"/>
    </xf>
    <xf numFmtId="178" fontId="15" fillId="7" borderId="20" xfId="2" applyNumberFormat="1" applyFont="1" applyFill="1" applyBorder="1" applyAlignment="1">
      <alignment horizontal="right" vertical="center"/>
    </xf>
    <xf numFmtId="178" fontId="15" fillId="7" borderId="24" xfId="2" applyNumberFormat="1" applyFont="1" applyFill="1" applyBorder="1" applyAlignment="1">
      <alignment horizontal="right" vertical="center"/>
    </xf>
    <xf numFmtId="0" fontId="15" fillId="0" borderId="47" xfId="2" applyFont="1" applyBorder="1" applyAlignment="1">
      <alignment horizontal="left" vertical="center"/>
    </xf>
    <xf numFmtId="0" fontId="15" fillId="0" borderId="48" xfId="2" applyFont="1" applyBorder="1" applyAlignment="1">
      <alignment horizontal="left" vertical="center"/>
    </xf>
    <xf numFmtId="0" fontId="15" fillId="0" borderId="49" xfId="2" applyFont="1" applyBorder="1" applyAlignment="1">
      <alignment horizontal="left" vertical="center"/>
    </xf>
    <xf numFmtId="14" fontId="15" fillId="0" borderId="47" xfId="2" applyNumberFormat="1" applyFont="1" applyBorder="1" applyAlignment="1">
      <alignment horizontal="center" vertical="center"/>
    </xf>
    <xf numFmtId="14" fontId="15" fillId="0" borderId="48" xfId="2" applyNumberFormat="1" applyFont="1" applyBorder="1" applyAlignment="1">
      <alignment horizontal="center" vertical="center"/>
    </xf>
    <xf numFmtId="14" fontId="15" fillId="0" borderId="49" xfId="2" applyNumberFormat="1" applyFont="1" applyBorder="1" applyAlignment="1">
      <alignment horizontal="center" vertical="center"/>
    </xf>
    <xf numFmtId="177" fontId="15" fillId="7" borderId="47" xfId="2" applyNumberFormat="1" applyFont="1" applyFill="1" applyBorder="1" applyAlignment="1">
      <alignment horizontal="right" vertical="center"/>
    </xf>
    <xf numFmtId="177" fontId="15" fillId="7" borderId="48" xfId="2" applyNumberFormat="1" applyFont="1" applyFill="1" applyBorder="1" applyAlignment="1">
      <alignment horizontal="right" vertical="center"/>
    </xf>
    <xf numFmtId="177" fontId="15" fillId="7" borderId="49" xfId="2" applyNumberFormat="1" applyFont="1" applyFill="1" applyBorder="1" applyAlignment="1">
      <alignment horizontal="right" vertical="center"/>
    </xf>
    <xf numFmtId="177" fontId="15" fillId="0" borderId="47" xfId="2" applyNumberFormat="1" applyFont="1" applyBorder="1" applyAlignment="1">
      <alignment horizontal="right" vertical="center"/>
    </xf>
    <xf numFmtId="177" fontId="15" fillId="0" borderId="48" xfId="2" applyNumberFormat="1" applyFont="1" applyBorder="1" applyAlignment="1">
      <alignment horizontal="right" vertical="center"/>
    </xf>
    <xf numFmtId="177" fontId="15" fillId="0" borderId="49" xfId="2" applyNumberFormat="1" applyFont="1" applyBorder="1" applyAlignment="1">
      <alignment horizontal="right" vertical="center"/>
    </xf>
    <xf numFmtId="178" fontId="15" fillId="0" borderId="47" xfId="2" applyNumberFormat="1" applyFont="1" applyBorder="1" applyAlignment="1">
      <alignment horizontal="right" vertical="center"/>
    </xf>
    <xf numFmtId="178" fontId="15" fillId="0" borderId="48" xfId="2" applyNumberFormat="1" applyFont="1" applyBorder="1" applyAlignment="1">
      <alignment horizontal="right" vertical="center"/>
    </xf>
    <xf numFmtId="178" fontId="15" fillId="0" borderId="49" xfId="2" applyNumberFormat="1" applyFont="1" applyBorder="1" applyAlignment="1">
      <alignment horizontal="right" vertical="center"/>
    </xf>
    <xf numFmtId="178" fontId="15" fillId="7" borderId="47" xfId="2" applyNumberFormat="1" applyFont="1" applyFill="1" applyBorder="1" applyAlignment="1">
      <alignment horizontal="right" vertical="center"/>
    </xf>
    <xf numFmtId="178" fontId="15" fillId="7" borderId="48" xfId="2" applyNumberFormat="1" applyFont="1" applyFill="1" applyBorder="1" applyAlignment="1">
      <alignment horizontal="right" vertical="center"/>
    </xf>
    <xf numFmtId="178" fontId="15" fillId="7" borderId="49" xfId="2" applyNumberFormat="1" applyFont="1" applyFill="1" applyBorder="1" applyAlignment="1">
      <alignment horizontal="right" vertical="center"/>
    </xf>
    <xf numFmtId="10" fontId="15" fillId="7" borderId="47" xfId="5" applyNumberFormat="1" applyFont="1" applyFill="1" applyBorder="1" applyAlignment="1">
      <alignment horizontal="right" vertical="center"/>
    </xf>
    <xf numFmtId="10" fontId="15" fillId="7" borderId="48" xfId="5" applyNumberFormat="1" applyFont="1" applyFill="1" applyBorder="1" applyAlignment="1">
      <alignment horizontal="right" vertical="center"/>
    </xf>
    <xf numFmtId="10" fontId="15" fillId="7" borderId="49" xfId="5" applyNumberFormat="1" applyFont="1" applyFill="1" applyBorder="1" applyAlignment="1">
      <alignment horizontal="right" vertical="center"/>
    </xf>
    <xf numFmtId="0" fontId="15" fillId="4" borderId="1" xfId="2" applyFont="1" applyFill="1" applyBorder="1" applyAlignment="1">
      <alignment horizontal="center" vertical="center"/>
    </xf>
    <xf numFmtId="0" fontId="15" fillId="4" borderId="2" xfId="2" applyFont="1" applyFill="1" applyBorder="1" applyAlignment="1">
      <alignment horizontal="center" vertical="center"/>
    </xf>
    <xf numFmtId="0" fontId="15" fillId="4" borderId="3" xfId="2" applyFont="1" applyFill="1" applyBorder="1" applyAlignment="1">
      <alignment horizontal="center" vertical="center"/>
    </xf>
    <xf numFmtId="0" fontId="15" fillId="4" borderId="1" xfId="2" applyFont="1" applyFill="1" applyBorder="1" applyAlignment="1">
      <alignment horizontal="left" vertical="center"/>
    </xf>
    <xf numFmtId="0" fontId="15" fillId="4" borderId="2" xfId="2" applyFont="1" applyFill="1" applyBorder="1" applyAlignment="1">
      <alignment horizontal="left" vertical="center"/>
    </xf>
    <xf numFmtId="0" fontId="15" fillId="4" borderId="3" xfId="2" applyFont="1" applyFill="1" applyBorder="1" applyAlignment="1">
      <alignment horizontal="left" vertical="center"/>
    </xf>
    <xf numFmtId="0" fontId="15" fillId="3" borderId="7" xfId="2" applyFont="1" applyFill="1" applyBorder="1" applyAlignment="1">
      <alignment horizontal="center" vertical="center"/>
    </xf>
    <xf numFmtId="0" fontId="15" fillId="3" borderId="1" xfId="2" applyFont="1" applyFill="1" applyBorder="1" applyAlignment="1">
      <alignment horizontal="center" vertical="center"/>
    </xf>
    <xf numFmtId="0" fontId="15" fillId="3" borderId="2" xfId="2" applyFont="1" applyFill="1" applyBorder="1" applyAlignment="1">
      <alignment horizontal="center" vertical="center"/>
    </xf>
    <xf numFmtId="0" fontId="15" fillId="3" borderId="3" xfId="2" applyFont="1" applyFill="1" applyBorder="1" applyAlignment="1">
      <alignment horizontal="center" vertical="center"/>
    </xf>
    <xf numFmtId="0" fontId="15" fillId="4" borderId="55" xfId="2" applyFont="1" applyFill="1" applyBorder="1" applyAlignment="1">
      <alignment horizontal="center" vertical="center" textRotation="255"/>
    </xf>
    <xf numFmtId="0" fontId="15" fillId="4" borderId="35" xfId="2" applyFont="1" applyFill="1" applyBorder="1" applyAlignment="1">
      <alignment horizontal="center" vertical="center" textRotation="255"/>
    </xf>
    <xf numFmtId="0" fontId="15" fillId="4" borderId="36" xfId="2" applyFont="1" applyFill="1" applyBorder="1" applyAlignment="1">
      <alignment horizontal="center" vertical="center" textRotation="255"/>
    </xf>
    <xf numFmtId="0" fontId="15" fillId="0" borderId="1" xfId="2" applyFont="1" applyBorder="1" applyAlignment="1">
      <alignment horizontal="center" vertical="center"/>
    </xf>
    <xf numFmtId="0" fontId="15" fillId="0" borderId="2" xfId="2" applyFont="1" applyBorder="1" applyAlignment="1">
      <alignment horizontal="center" vertical="center"/>
    </xf>
    <xf numFmtId="0" fontId="15" fillId="0" borderId="3" xfId="2" applyFont="1" applyBorder="1" applyAlignment="1">
      <alignment horizontal="center" vertical="center"/>
    </xf>
    <xf numFmtId="0" fontId="15" fillId="3" borderId="1" xfId="2" applyFont="1" applyFill="1" applyBorder="1" applyAlignment="1">
      <alignment horizontal="left" vertical="center"/>
    </xf>
    <xf numFmtId="0" fontId="15" fillId="3" borderId="2" xfId="2" applyFont="1" applyFill="1" applyBorder="1" applyAlignment="1">
      <alignment horizontal="left" vertical="center"/>
    </xf>
    <xf numFmtId="0" fontId="15" fillId="3" borderId="3" xfId="2" applyFont="1" applyFill="1" applyBorder="1" applyAlignment="1">
      <alignment horizontal="left" vertical="center"/>
    </xf>
    <xf numFmtId="0" fontId="15" fillId="4" borderId="7" xfId="0" applyFont="1" applyFill="1" applyBorder="1" applyAlignment="1">
      <alignment horizontal="left" vertical="center"/>
    </xf>
    <xf numFmtId="0" fontId="15" fillId="4" borderId="7" xfId="2" applyFont="1" applyFill="1" applyBorder="1" applyAlignment="1">
      <alignment horizontal="left" vertical="center"/>
    </xf>
    <xf numFmtId="49" fontId="15" fillId="3" borderId="7" xfId="2" applyNumberFormat="1" applyFont="1" applyFill="1" applyBorder="1" applyAlignment="1">
      <alignment horizontal="left" vertical="center"/>
    </xf>
    <xf numFmtId="14" fontId="15" fillId="7" borderId="1" xfId="2" applyNumberFormat="1" applyFont="1" applyFill="1" applyBorder="1" applyAlignment="1">
      <alignment horizontal="center" vertical="center"/>
    </xf>
    <xf numFmtId="14" fontId="15" fillId="7" borderId="2" xfId="2" applyNumberFormat="1" applyFont="1" applyFill="1" applyBorder="1" applyAlignment="1">
      <alignment horizontal="center" vertical="center"/>
    </xf>
    <xf numFmtId="14" fontId="15" fillId="7" borderId="3" xfId="2" applyNumberFormat="1" applyFont="1" applyFill="1" applyBorder="1" applyAlignment="1">
      <alignment horizontal="center" vertical="center"/>
    </xf>
    <xf numFmtId="0" fontId="21" fillId="2" borderId="16" xfId="1" applyFont="1" applyFill="1" applyBorder="1" applyAlignment="1">
      <alignment horizontal="center" vertical="center"/>
    </xf>
    <xf numFmtId="0" fontId="21" fillId="2" borderId="17" xfId="1" applyFont="1" applyFill="1" applyBorder="1" applyAlignment="1">
      <alignment horizontal="center" vertical="center"/>
    </xf>
    <xf numFmtId="0" fontId="21" fillId="2" borderId="18" xfId="1" applyFont="1" applyFill="1" applyBorder="1" applyAlignment="1">
      <alignment horizontal="center" vertical="center"/>
    </xf>
    <xf numFmtId="0" fontId="15" fillId="0" borderId="6" xfId="1" applyFont="1" applyBorder="1" applyAlignment="1">
      <alignment horizontal="center" vertical="center"/>
    </xf>
    <xf numFmtId="0" fontId="15" fillId="0" borderId="4" xfId="1" applyFont="1" applyBorder="1" applyAlignment="1">
      <alignment horizontal="center" vertical="center"/>
    </xf>
    <xf numFmtId="0" fontId="15" fillId="0" borderId="8" xfId="1" applyFont="1" applyBorder="1" applyAlignment="1">
      <alignment horizontal="center" vertical="center"/>
    </xf>
    <xf numFmtId="0" fontId="15" fillId="0" borderId="5" xfId="1" applyFont="1" applyBorder="1" applyAlignment="1">
      <alignment horizontal="center" vertical="center"/>
    </xf>
    <xf numFmtId="0" fontId="15" fillId="0" borderId="0" xfId="1" applyFont="1" applyAlignment="1">
      <alignment horizontal="center" vertical="center"/>
    </xf>
    <xf numFmtId="0" fontId="15" fillId="0" borderId="12" xfId="1" applyFont="1" applyBorder="1" applyAlignment="1">
      <alignment horizontal="center" vertical="center"/>
    </xf>
    <xf numFmtId="0" fontId="15" fillId="0" borderId="9" xfId="1" applyFont="1" applyBorder="1" applyAlignment="1">
      <alignment horizontal="center" vertical="center"/>
    </xf>
    <xf numFmtId="0" fontId="15" fillId="0" borderId="10" xfId="1" applyFont="1" applyBorder="1" applyAlignment="1">
      <alignment horizontal="center" vertical="center"/>
    </xf>
    <xf numFmtId="0" fontId="15" fillId="0" borderId="11" xfId="1" applyFont="1" applyBorder="1" applyAlignment="1">
      <alignment horizontal="center" vertical="center"/>
    </xf>
    <xf numFmtId="14" fontId="15" fillId="0" borderId="13" xfId="1" applyNumberFormat="1" applyFont="1" applyBorder="1" applyAlignment="1">
      <alignment horizontal="center" vertical="center"/>
    </xf>
    <xf numFmtId="14" fontId="15" fillId="0" borderId="14" xfId="1" applyNumberFormat="1" applyFont="1" applyBorder="1" applyAlignment="1">
      <alignment horizontal="center" vertical="center"/>
    </xf>
    <xf numFmtId="14" fontId="15" fillId="0" borderId="15" xfId="1" applyNumberFormat="1" applyFont="1" applyBorder="1" applyAlignment="1">
      <alignment horizontal="center" vertical="center"/>
    </xf>
    <xf numFmtId="49" fontId="15" fillId="3" borderId="7" xfId="0" applyNumberFormat="1" applyFont="1" applyFill="1" applyBorder="1" applyAlignment="1">
      <alignment horizontal="left" vertical="center"/>
    </xf>
    <xf numFmtId="0" fontId="15" fillId="3" borderId="7" xfId="2" applyFont="1" applyFill="1" applyBorder="1" applyAlignment="1">
      <alignment horizontal="left" vertical="center"/>
    </xf>
    <xf numFmtId="0" fontId="15" fillId="3" borderId="7" xfId="0" applyFont="1" applyFill="1" applyBorder="1" applyAlignment="1">
      <alignment horizontal="left" vertical="center"/>
    </xf>
    <xf numFmtId="178" fontId="15" fillId="7" borderId="7" xfId="0" applyNumberFormat="1" applyFont="1" applyFill="1" applyBorder="1" applyAlignment="1">
      <alignment horizontal="left" vertical="center"/>
    </xf>
    <xf numFmtId="0" fontId="15" fillId="4" borderId="21" xfId="2" applyFont="1" applyFill="1" applyBorder="1" applyAlignment="1">
      <alignment horizontal="left" vertical="center"/>
    </xf>
    <xf numFmtId="0" fontId="15" fillId="4" borderId="19" xfId="2" applyFont="1" applyFill="1" applyBorder="1" applyAlignment="1">
      <alignment horizontal="left" vertical="center"/>
    </xf>
    <xf numFmtId="0" fontId="15" fillId="4" borderId="22" xfId="2" applyFont="1" applyFill="1" applyBorder="1" applyAlignment="1">
      <alignment horizontal="left" vertical="center"/>
    </xf>
    <xf numFmtId="0" fontId="15" fillId="4" borderId="23" xfId="2" applyFont="1" applyFill="1" applyBorder="1" applyAlignment="1">
      <alignment horizontal="left" vertical="center"/>
    </xf>
    <xf numFmtId="0" fontId="15" fillId="4" borderId="20" xfId="2" applyFont="1" applyFill="1" applyBorder="1" applyAlignment="1">
      <alignment horizontal="left" vertical="center"/>
    </xf>
    <xf numFmtId="0" fontId="15" fillId="4" borderId="24" xfId="2" applyFont="1" applyFill="1" applyBorder="1" applyAlignment="1">
      <alignment horizontal="left" vertical="center"/>
    </xf>
    <xf numFmtId="0" fontId="15" fillId="0" borderId="21" xfId="2" applyFont="1" applyBorder="1" applyAlignment="1">
      <alignment horizontal="left" vertical="top" wrapText="1"/>
    </xf>
    <xf numFmtId="0" fontId="15" fillId="0" borderId="19" xfId="2" applyFont="1" applyBorder="1" applyAlignment="1">
      <alignment horizontal="left" vertical="top" wrapText="1"/>
    </xf>
    <xf numFmtId="0" fontId="15" fillId="0" borderId="22" xfId="2" applyFont="1" applyBorder="1" applyAlignment="1">
      <alignment horizontal="left" vertical="top" wrapText="1"/>
    </xf>
    <xf numFmtId="0" fontId="15" fillId="0" borderId="23" xfId="2" applyFont="1" applyBorder="1" applyAlignment="1">
      <alignment horizontal="left" vertical="top" wrapText="1"/>
    </xf>
    <xf numFmtId="0" fontId="15" fillId="0" borderId="20" xfId="2" applyFont="1" applyBorder="1" applyAlignment="1">
      <alignment horizontal="left" vertical="top" wrapText="1"/>
    </xf>
    <xf numFmtId="0" fontId="15" fillId="0" borderId="24" xfId="2" applyFont="1" applyBorder="1" applyAlignment="1">
      <alignment horizontal="left" vertical="top" wrapText="1"/>
    </xf>
    <xf numFmtId="0" fontId="15" fillId="4" borderId="7" xfId="0" applyFont="1" applyFill="1" applyBorder="1" applyAlignment="1">
      <alignment horizontal="left" vertical="center" wrapText="1"/>
    </xf>
    <xf numFmtId="0" fontId="15" fillId="0" borderId="7" xfId="2" applyFont="1" applyBorder="1" applyAlignment="1">
      <alignment horizontal="left" vertical="top" wrapText="1"/>
    </xf>
    <xf numFmtId="0" fontId="15" fillId="4" borderId="1" xfId="2" applyFont="1" applyFill="1" applyBorder="1" applyAlignment="1">
      <alignment horizontal="left" vertical="center" wrapText="1"/>
    </xf>
    <xf numFmtId="0" fontId="15" fillId="4" borderId="2" xfId="2" applyFont="1" applyFill="1" applyBorder="1" applyAlignment="1">
      <alignment horizontal="left" vertical="center" wrapText="1"/>
    </xf>
    <xf numFmtId="0" fontId="15" fillId="4" borderId="3" xfId="2" applyFont="1" applyFill="1" applyBorder="1" applyAlignment="1">
      <alignment horizontal="left" vertical="center" wrapText="1"/>
    </xf>
    <xf numFmtId="0" fontId="15" fillId="4" borderId="7" xfId="2" applyFont="1" applyFill="1" applyBorder="1" applyAlignment="1">
      <alignment horizontal="left" vertical="center" wrapText="1"/>
    </xf>
    <xf numFmtId="0" fontId="15" fillId="7" borderId="1" xfId="2" applyFont="1" applyFill="1" applyBorder="1" applyAlignment="1">
      <alignment horizontal="left" vertical="center" wrapText="1"/>
    </xf>
    <xf numFmtId="0" fontId="15" fillId="7" borderId="2" xfId="2" applyFont="1" applyFill="1" applyBorder="1" applyAlignment="1">
      <alignment horizontal="left" vertical="center" wrapText="1"/>
    </xf>
    <xf numFmtId="0" fontId="15" fillId="7" borderId="3" xfId="2" applyFont="1" applyFill="1" applyBorder="1" applyAlignment="1">
      <alignment horizontal="left" vertical="center" wrapText="1"/>
    </xf>
    <xf numFmtId="0" fontId="15" fillId="0" borderId="1" xfId="2" applyFont="1" applyBorder="1" applyAlignment="1">
      <alignment horizontal="center" vertical="center" wrapText="1"/>
    </xf>
    <xf numFmtId="0" fontId="15" fillId="0" borderId="2" xfId="2" applyFont="1" applyBorder="1" applyAlignment="1">
      <alignment horizontal="center" vertical="center" wrapText="1"/>
    </xf>
    <xf numFmtId="0" fontId="15" fillId="0" borderId="3" xfId="2" applyFont="1" applyBorder="1" applyAlignment="1">
      <alignment horizontal="center" vertical="center" wrapText="1"/>
    </xf>
    <xf numFmtId="0" fontId="15" fillId="0" borderId="7" xfId="2" applyFont="1" applyBorder="1" applyAlignment="1">
      <alignment horizontal="left" vertical="center" wrapText="1"/>
    </xf>
    <xf numFmtId="0" fontId="15" fillId="4" borderId="21" xfId="2" applyFont="1" applyFill="1" applyBorder="1" applyAlignment="1">
      <alignment horizontal="left" vertical="center" wrapText="1"/>
    </xf>
    <xf numFmtId="0" fontId="15" fillId="4" borderId="19" xfId="2" applyFont="1" applyFill="1" applyBorder="1" applyAlignment="1">
      <alignment horizontal="left" vertical="center" wrapText="1"/>
    </xf>
    <xf numFmtId="0" fontId="15" fillId="4" borderId="22" xfId="2" applyFont="1" applyFill="1" applyBorder="1" applyAlignment="1">
      <alignment horizontal="left" vertical="center" wrapText="1"/>
    </xf>
    <xf numFmtId="0" fontId="15" fillId="4" borderId="23" xfId="2" applyFont="1" applyFill="1" applyBorder="1" applyAlignment="1">
      <alignment horizontal="left" vertical="center" wrapText="1"/>
    </xf>
    <xf numFmtId="0" fontId="15" fillId="4" borderId="20" xfId="2" applyFont="1" applyFill="1" applyBorder="1" applyAlignment="1">
      <alignment horizontal="left" vertical="center" wrapText="1"/>
    </xf>
    <xf numFmtId="0" fontId="15" fillId="4" borderId="24" xfId="2" applyFont="1" applyFill="1" applyBorder="1" applyAlignment="1">
      <alignment horizontal="left" vertical="center" wrapText="1"/>
    </xf>
    <xf numFmtId="0" fontId="15" fillId="4" borderId="1" xfId="2" applyFont="1" applyFill="1" applyBorder="1" applyAlignment="1">
      <alignment vertical="center" wrapText="1"/>
    </xf>
    <xf numFmtId="0" fontId="15" fillId="4" borderId="2" xfId="2" applyFont="1" applyFill="1" applyBorder="1" applyAlignment="1">
      <alignment vertical="center" wrapText="1"/>
    </xf>
    <xf numFmtId="0" fontId="15" fillId="4" borderId="3" xfId="2" applyFont="1" applyFill="1" applyBorder="1" applyAlignment="1">
      <alignment vertical="center" wrapText="1"/>
    </xf>
    <xf numFmtId="0" fontId="15" fillId="4" borderId="7" xfId="2" applyFont="1" applyFill="1" applyBorder="1" applyAlignment="1">
      <alignment vertical="center" wrapText="1"/>
    </xf>
    <xf numFmtId="176" fontId="15" fillId="3" borderId="7" xfId="2" applyNumberFormat="1" applyFont="1" applyFill="1" applyBorder="1" applyAlignment="1">
      <alignment horizontal="right" vertical="center"/>
    </xf>
    <xf numFmtId="176" fontId="15" fillId="3" borderId="1" xfId="2" applyNumberFormat="1" applyFont="1" applyFill="1" applyBorder="1" applyAlignment="1">
      <alignment horizontal="right" vertical="center"/>
    </xf>
    <xf numFmtId="176" fontId="15" fillId="3" borderId="2" xfId="2" applyNumberFormat="1" applyFont="1" applyFill="1" applyBorder="1" applyAlignment="1">
      <alignment horizontal="right" vertical="center"/>
    </xf>
    <xf numFmtId="176" fontId="15" fillId="3" borderId="3" xfId="2" applyNumberFormat="1" applyFont="1" applyFill="1" applyBorder="1" applyAlignment="1">
      <alignment horizontal="right" vertical="center"/>
    </xf>
    <xf numFmtId="176" fontId="15" fillId="3" borderId="7" xfId="0" applyNumberFormat="1" applyFont="1" applyFill="1" applyBorder="1" applyAlignment="1">
      <alignment horizontal="right" vertical="center"/>
    </xf>
    <xf numFmtId="176" fontId="15" fillId="7" borderId="1" xfId="2" applyNumberFormat="1" applyFont="1" applyFill="1" applyBorder="1" applyAlignment="1">
      <alignment horizontal="right" vertical="center"/>
    </xf>
    <xf numFmtId="176" fontId="15" fillId="7" borderId="2" xfId="2" applyNumberFormat="1" applyFont="1" applyFill="1" applyBorder="1" applyAlignment="1">
      <alignment horizontal="right" vertical="center"/>
    </xf>
    <xf numFmtId="176" fontId="15" fillId="7" borderId="3" xfId="2" applyNumberFormat="1" applyFont="1" applyFill="1" applyBorder="1" applyAlignment="1">
      <alignment horizontal="right" vertical="center"/>
    </xf>
    <xf numFmtId="0" fontId="15" fillId="7" borderId="47" xfId="2" applyFont="1" applyFill="1" applyBorder="1" applyAlignment="1">
      <alignment horizontal="left" vertical="center"/>
    </xf>
    <xf numFmtId="0" fontId="15" fillId="7" borderId="48" xfId="2" applyFont="1" applyFill="1" applyBorder="1" applyAlignment="1">
      <alignment horizontal="left" vertical="center"/>
    </xf>
    <xf numFmtId="0" fontId="15" fillId="7" borderId="49" xfId="2" applyFont="1" applyFill="1" applyBorder="1" applyAlignment="1">
      <alignment horizontal="left" vertical="center"/>
    </xf>
    <xf numFmtId="14" fontId="15" fillId="0" borderId="1" xfId="2" applyNumberFormat="1" applyFont="1" applyBorder="1" applyAlignment="1">
      <alignment horizontal="left" vertical="center" wrapText="1"/>
    </xf>
    <xf numFmtId="14" fontId="15" fillId="0" borderId="2" xfId="2" applyNumberFormat="1" applyFont="1" applyBorder="1" applyAlignment="1">
      <alignment horizontal="left" vertical="center" wrapText="1"/>
    </xf>
    <xf numFmtId="14" fontId="15" fillId="0" borderId="3" xfId="2" applyNumberFormat="1" applyFont="1" applyBorder="1" applyAlignment="1">
      <alignment horizontal="left" vertical="center" wrapText="1"/>
    </xf>
    <xf numFmtId="14" fontId="15" fillId="0" borderId="7" xfId="2" applyNumberFormat="1" applyFont="1" applyBorder="1" applyAlignment="1">
      <alignment horizontal="left" vertical="center" wrapText="1"/>
    </xf>
    <xf numFmtId="177" fontId="15" fillId="0" borderId="1" xfId="2" applyNumberFormat="1" applyFont="1" applyBorder="1" applyAlignment="1">
      <alignment horizontal="center" vertical="center"/>
    </xf>
    <xf numFmtId="177" fontId="15" fillId="0" borderId="2" xfId="2" applyNumberFormat="1" applyFont="1" applyBorder="1" applyAlignment="1">
      <alignment horizontal="center" vertical="center"/>
    </xf>
    <xf numFmtId="177" fontId="15" fillId="0" borderId="3" xfId="2" applyNumberFormat="1" applyFont="1" applyBorder="1" applyAlignment="1">
      <alignment horizontal="center" vertical="center"/>
    </xf>
    <xf numFmtId="178" fontId="15" fillId="0" borderId="1" xfId="2" applyNumberFormat="1" applyFont="1" applyBorder="1" applyAlignment="1">
      <alignment horizontal="center" vertical="center"/>
    </xf>
    <xf numFmtId="178" fontId="15" fillId="0" borderId="2" xfId="2" applyNumberFormat="1" applyFont="1" applyBorder="1" applyAlignment="1">
      <alignment horizontal="center" vertical="center"/>
    </xf>
    <xf numFmtId="178" fontId="15" fillId="0" borderId="3" xfId="2" applyNumberFormat="1" applyFont="1" applyBorder="1" applyAlignment="1">
      <alignment horizontal="center" vertical="center"/>
    </xf>
    <xf numFmtId="178" fontId="15" fillId="7" borderId="1" xfId="2" applyNumberFormat="1" applyFont="1" applyFill="1" applyBorder="1" applyAlignment="1">
      <alignment horizontal="center" vertical="center"/>
    </xf>
    <xf numFmtId="178" fontId="15" fillId="7" borderId="2" xfId="2" applyNumberFormat="1" applyFont="1" applyFill="1" applyBorder="1" applyAlignment="1">
      <alignment horizontal="center" vertical="center"/>
    </xf>
    <xf numFmtId="178" fontId="15" fillId="7" borderId="3" xfId="2" applyNumberFormat="1" applyFont="1" applyFill="1" applyBorder="1" applyAlignment="1">
      <alignment horizontal="center" vertical="center"/>
    </xf>
    <xf numFmtId="177" fontId="15" fillId="3" borderId="7" xfId="2" applyNumberFormat="1" applyFont="1" applyFill="1" applyBorder="1" applyAlignment="1">
      <alignment horizontal="left" vertical="center"/>
    </xf>
    <xf numFmtId="0" fontId="15" fillId="7" borderId="7" xfId="2" applyFont="1" applyFill="1" applyBorder="1" applyAlignment="1">
      <alignment horizontal="center" vertical="center"/>
    </xf>
    <xf numFmtId="0" fontId="15" fillId="0" borderId="1" xfId="0" applyFont="1" applyBorder="1" applyAlignment="1">
      <alignment horizontal="left" vertical="center"/>
    </xf>
    <xf numFmtId="0" fontId="15" fillId="0" borderId="2" xfId="0" applyFont="1" applyBorder="1" applyAlignment="1">
      <alignment horizontal="left" vertical="center"/>
    </xf>
    <xf numFmtId="0" fontId="15" fillId="0" borderId="3" xfId="0" applyFont="1" applyBorder="1" applyAlignment="1">
      <alignment horizontal="left" vertical="center"/>
    </xf>
    <xf numFmtId="0" fontId="15" fillId="0" borderId="7" xfId="2" applyFont="1" applyBorder="1" applyAlignment="1">
      <alignment horizontal="left" vertical="center"/>
    </xf>
    <xf numFmtId="0" fontId="15" fillId="4" borderId="1" xfId="0" applyFont="1" applyFill="1" applyBorder="1" applyAlignment="1">
      <alignment horizontal="left" vertical="center"/>
    </xf>
    <xf numFmtId="0" fontId="15" fillId="4" borderId="2" xfId="0" applyFont="1" applyFill="1" applyBorder="1" applyAlignment="1">
      <alignment horizontal="left" vertical="center"/>
    </xf>
    <xf numFmtId="0" fontId="15" fillId="4" borderId="3" xfId="0" applyFont="1" applyFill="1" applyBorder="1" applyAlignment="1">
      <alignment horizontal="left" vertical="center"/>
    </xf>
    <xf numFmtId="0" fontId="15" fillId="7" borderId="7" xfId="2" applyFont="1" applyFill="1" applyBorder="1" applyAlignment="1">
      <alignment horizontal="left" vertical="center"/>
    </xf>
    <xf numFmtId="0" fontId="15" fillId="7" borderId="21" xfId="2" applyFont="1" applyFill="1" applyBorder="1" applyAlignment="1">
      <alignment horizontal="left" vertical="top" wrapText="1"/>
    </xf>
    <xf numFmtId="0" fontId="15" fillId="7" borderId="19" xfId="2" applyFont="1" applyFill="1" applyBorder="1" applyAlignment="1">
      <alignment horizontal="left" vertical="top" wrapText="1"/>
    </xf>
    <xf numFmtId="0" fontId="15" fillId="7" borderId="22" xfId="2" applyFont="1" applyFill="1" applyBorder="1" applyAlignment="1">
      <alignment horizontal="left" vertical="top" wrapText="1"/>
    </xf>
    <xf numFmtId="0" fontId="15" fillId="7" borderId="23" xfId="2" applyFont="1" applyFill="1" applyBorder="1" applyAlignment="1">
      <alignment horizontal="left" vertical="top" wrapText="1"/>
    </xf>
    <xf numFmtId="0" fontId="15" fillId="7" borderId="20" xfId="2" applyFont="1" applyFill="1" applyBorder="1" applyAlignment="1">
      <alignment horizontal="left" vertical="top" wrapText="1"/>
    </xf>
    <xf numFmtId="0" fontId="15" fillId="7" borderId="24" xfId="2" applyFont="1" applyFill="1" applyBorder="1" applyAlignment="1">
      <alignment horizontal="left" vertical="top" wrapText="1"/>
    </xf>
    <xf numFmtId="0" fontId="19" fillId="4" borderId="7" xfId="2" applyFont="1" applyFill="1" applyBorder="1" applyAlignment="1">
      <alignment horizontal="left" vertical="center"/>
    </xf>
    <xf numFmtId="0" fontId="18" fillId="7" borderId="1" xfId="2" applyFont="1" applyFill="1" applyBorder="1" applyAlignment="1">
      <alignment horizontal="left" vertical="center"/>
    </xf>
    <xf numFmtId="0" fontId="18" fillId="7" borderId="2" xfId="2" applyFont="1" applyFill="1" applyBorder="1" applyAlignment="1">
      <alignment horizontal="left" vertical="center"/>
    </xf>
    <xf numFmtId="0" fontId="18" fillId="7" borderId="3" xfId="2" applyFont="1" applyFill="1" applyBorder="1" applyAlignment="1">
      <alignment horizontal="left" vertical="center"/>
    </xf>
    <xf numFmtId="0" fontId="19" fillId="4" borderId="1" xfId="2" applyFont="1" applyFill="1" applyBorder="1" applyAlignment="1">
      <alignment horizontal="left" vertical="center"/>
    </xf>
    <xf numFmtId="0" fontId="19" fillId="4" borderId="2" xfId="2" applyFont="1" applyFill="1" applyBorder="1" applyAlignment="1">
      <alignment horizontal="left" vertical="center"/>
    </xf>
    <xf numFmtId="0" fontId="19" fillId="4" borderId="3" xfId="2" applyFont="1" applyFill="1" applyBorder="1" applyAlignment="1">
      <alignment horizontal="left" vertical="center"/>
    </xf>
    <xf numFmtId="0" fontId="18" fillId="7" borderId="7" xfId="2" applyFont="1" applyFill="1" applyBorder="1" applyAlignment="1">
      <alignment horizontal="left" vertical="center"/>
    </xf>
    <xf numFmtId="0" fontId="15" fillId="0" borderId="25" xfId="2" applyFont="1" applyBorder="1" applyAlignment="1">
      <alignment horizontal="left" vertical="top" wrapText="1"/>
    </xf>
    <xf numFmtId="0" fontId="15" fillId="0" borderId="0" xfId="2" applyFont="1" applyAlignment="1">
      <alignment horizontal="left" vertical="top" wrapText="1"/>
    </xf>
    <xf numFmtId="0" fontId="15" fillId="0" borderId="26" xfId="2" applyFont="1" applyBorder="1" applyAlignment="1">
      <alignment horizontal="left" vertical="top" wrapText="1"/>
    </xf>
    <xf numFmtId="177" fontId="15" fillId="7" borderId="1" xfId="5" applyNumberFormat="1" applyFont="1" applyFill="1" applyBorder="1" applyAlignment="1">
      <alignment horizontal="right" vertical="center"/>
    </xf>
    <xf numFmtId="177" fontId="15" fillId="7" borderId="2" xfId="5" applyNumberFormat="1" applyFont="1" applyFill="1" applyBorder="1" applyAlignment="1">
      <alignment horizontal="right" vertical="center"/>
    </xf>
    <xf numFmtId="177" fontId="15" fillId="7" borderId="3" xfId="5" applyNumberFormat="1" applyFont="1" applyFill="1" applyBorder="1" applyAlignment="1">
      <alignment horizontal="right" vertical="center"/>
    </xf>
    <xf numFmtId="0" fontId="19" fillId="4" borderId="21" xfId="0" applyFont="1" applyFill="1" applyBorder="1" applyAlignment="1">
      <alignment horizontal="left" vertical="center" wrapText="1"/>
    </xf>
    <xf numFmtId="0" fontId="19" fillId="4" borderId="19" xfId="0" applyFont="1" applyFill="1" applyBorder="1" applyAlignment="1">
      <alignment horizontal="left" vertical="center" wrapText="1"/>
    </xf>
    <xf numFmtId="0" fontId="19" fillId="4" borderId="22" xfId="0" applyFont="1" applyFill="1" applyBorder="1" applyAlignment="1">
      <alignment horizontal="left" vertical="center" wrapText="1"/>
    </xf>
    <xf numFmtId="0" fontId="19" fillId="4" borderId="23" xfId="0" applyFont="1" applyFill="1" applyBorder="1" applyAlignment="1">
      <alignment horizontal="left" vertical="center" wrapText="1"/>
    </xf>
    <xf numFmtId="0" fontId="19" fillId="4" borderId="20" xfId="0" applyFont="1" applyFill="1" applyBorder="1" applyAlignment="1">
      <alignment horizontal="left" vertical="center" wrapText="1"/>
    </xf>
    <xf numFmtId="0" fontId="19" fillId="4" borderId="24" xfId="0" applyFont="1" applyFill="1" applyBorder="1" applyAlignment="1">
      <alignment horizontal="left" vertical="center" wrapText="1"/>
    </xf>
    <xf numFmtId="0" fontId="15" fillId="4" borderId="25" xfId="2" applyFont="1" applyFill="1" applyBorder="1" applyAlignment="1">
      <alignment horizontal="left" vertical="center"/>
    </xf>
    <xf numFmtId="0" fontId="15" fillId="4" borderId="0" xfId="2" applyFont="1" applyFill="1" applyAlignment="1">
      <alignment horizontal="left" vertical="center"/>
    </xf>
    <xf numFmtId="0" fontId="15" fillId="4" borderId="26" xfId="2" applyFont="1" applyFill="1" applyBorder="1" applyAlignment="1">
      <alignment horizontal="left" vertical="center"/>
    </xf>
    <xf numFmtId="0" fontId="18" fillId="0" borderId="19" xfId="0" applyFont="1" applyBorder="1" applyAlignment="1">
      <alignment horizontal="left" vertical="center"/>
    </xf>
    <xf numFmtId="0" fontId="18" fillId="0" borderId="22" xfId="0" applyFont="1" applyBorder="1" applyAlignment="1">
      <alignment horizontal="left" vertical="center"/>
    </xf>
    <xf numFmtId="0" fontId="18" fillId="0" borderId="20" xfId="0" applyFont="1" applyBorder="1" applyAlignment="1">
      <alignment horizontal="left" vertical="center"/>
    </xf>
    <xf numFmtId="0" fontId="18" fillId="0" borderId="24" xfId="0" applyFont="1" applyBorder="1" applyAlignment="1">
      <alignment horizontal="left" vertical="center"/>
    </xf>
    <xf numFmtId="0" fontId="18" fillId="0" borderId="21" xfId="2" applyFont="1" applyBorder="1" applyAlignment="1">
      <alignment horizontal="left" vertical="center" wrapText="1"/>
    </xf>
    <xf numFmtId="0" fontId="18" fillId="0" borderId="19" xfId="2" applyFont="1" applyBorder="1" applyAlignment="1">
      <alignment horizontal="left" vertical="center" wrapText="1"/>
    </xf>
    <xf numFmtId="0" fontId="18" fillId="0" borderId="22" xfId="2" applyFont="1" applyBorder="1" applyAlignment="1">
      <alignment horizontal="left" vertical="center" wrapText="1"/>
    </xf>
    <xf numFmtId="0" fontId="18" fillId="0" borderId="23" xfId="2" applyFont="1" applyBorder="1" applyAlignment="1">
      <alignment horizontal="left" vertical="center" wrapText="1"/>
    </xf>
    <xf numFmtId="0" fontId="18" fillId="0" borderId="20" xfId="2" applyFont="1" applyBorder="1" applyAlignment="1">
      <alignment horizontal="left" vertical="center" wrapText="1"/>
    </xf>
    <xf numFmtId="0" fontId="18" fillId="0" borderId="24" xfId="2" applyFont="1" applyBorder="1" applyAlignment="1">
      <alignment horizontal="left" vertical="center" wrapText="1"/>
    </xf>
    <xf numFmtId="0" fontId="15" fillId="3" borderId="19" xfId="0" applyFont="1" applyFill="1" applyBorder="1" applyAlignment="1">
      <alignment horizontal="left" vertical="center"/>
    </xf>
    <xf numFmtId="0" fontId="15" fillId="3" borderId="22" xfId="0" applyFont="1" applyFill="1" applyBorder="1" applyAlignment="1">
      <alignment horizontal="left" vertical="center"/>
    </xf>
    <xf numFmtId="0" fontId="15" fillId="3" borderId="20" xfId="0" applyFont="1" applyFill="1" applyBorder="1" applyAlignment="1">
      <alignment horizontal="left" vertical="center"/>
    </xf>
    <xf numFmtId="0" fontId="15" fillId="3" borderId="24" xfId="0" applyFont="1" applyFill="1" applyBorder="1" applyAlignment="1">
      <alignment horizontal="left" vertical="center"/>
    </xf>
    <xf numFmtId="0" fontId="15" fillId="4" borderId="21" xfId="0" applyFont="1" applyFill="1" applyBorder="1" applyAlignment="1">
      <alignment horizontal="left" vertical="center"/>
    </xf>
    <xf numFmtId="0" fontId="15" fillId="4" borderId="19" xfId="0" applyFont="1" applyFill="1" applyBorder="1" applyAlignment="1">
      <alignment horizontal="left" vertical="center"/>
    </xf>
    <xf numFmtId="0" fontId="15" fillId="4" borderId="22" xfId="0" applyFont="1" applyFill="1" applyBorder="1" applyAlignment="1">
      <alignment horizontal="left" vertical="center"/>
    </xf>
    <xf numFmtId="0" fontId="15" fillId="4" borderId="23" xfId="0" applyFont="1" applyFill="1" applyBorder="1" applyAlignment="1">
      <alignment horizontal="left" vertical="center"/>
    </xf>
    <xf numFmtId="0" fontId="15" fillId="4" borderId="20" xfId="0" applyFont="1" applyFill="1" applyBorder="1" applyAlignment="1">
      <alignment horizontal="left" vertical="center"/>
    </xf>
    <xf numFmtId="0" fontId="15" fillId="4" borderId="24" xfId="0" applyFont="1" applyFill="1" applyBorder="1" applyAlignment="1">
      <alignment horizontal="left" vertical="center"/>
    </xf>
    <xf numFmtId="14" fontId="15" fillId="3" borderId="7" xfId="2" applyNumberFormat="1" applyFont="1" applyFill="1" applyBorder="1" applyAlignment="1">
      <alignment horizontal="left" vertical="center"/>
    </xf>
    <xf numFmtId="177" fontId="15" fillId="7" borderId="7" xfId="5" applyNumberFormat="1" applyFont="1" applyFill="1" applyBorder="1" applyAlignment="1">
      <alignment horizontal="right" vertical="center"/>
    </xf>
    <xf numFmtId="14" fontId="15" fillId="3" borderId="7" xfId="0" applyNumberFormat="1" applyFont="1" applyFill="1" applyBorder="1" applyAlignment="1">
      <alignment horizontal="left" vertical="center"/>
    </xf>
    <xf numFmtId="0" fontId="15" fillId="0" borderId="21" xfId="2" applyFont="1" applyBorder="1" applyAlignment="1">
      <alignment horizontal="left" vertical="top"/>
    </xf>
    <xf numFmtId="0" fontId="15" fillId="0" borderId="19" xfId="2" applyFont="1" applyBorder="1" applyAlignment="1">
      <alignment horizontal="left" vertical="top"/>
    </xf>
    <xf numFmtId="0" fontId="15" fillId="0" borderId="22" xfId="2" applyFont="1" applyBorder="1" applyAlignment="1">
      <alignment horizontal="left" vertical="top"/>
    </xf>
    <xf numFmtId="0" fontId="15" fillId="0" borderId="25" xfId="2" applyFont="1" applyBorder="1" applyAlignment="1">
      <alignment horizontal="left" vertical="top"/>
    </xf>
    <xf numFmtId="0" fontId="15" fillId="0" borderId="0" xfId="2" applyFont="1" applyAlignment="1">
      <alignment horizontal="left" vertical="top"/>
    </xf>
    <xf numFmtId="0" fontId="15" fillId="0" borderId="26" xfId="2" applyFont="1" applyBorder="1" applyAlignment="1">
      <alignment horizontal="left" vertical="top"/>
    </xf>
    <xf numFmtId="0" fontId="15" fillId="0" borderId="23" xfId="2" applyFont="1" applyBorder="1" applyAlignment="1">
      <alignment horizontal="left" vertical="top"/>
    </xf>
    <xf numFmtId="0" fontId="15" fillId="0" borderId="20" xfId="2" applyFont="1" applyBorder="1" applyAlignment="1">
      <alignment horizontal="left" vertical="top"/>
    </xf>
    <xf numFmtId="0" fontId="15" fillId="0" borderId="24" xfId="2" applyFont="1" applyBorder="1" applyAlignment="1">
      <alignment horizontal="left" vertical="top"/>
    </xf>
    <xf numFmtId="176" fontId="15" fillId="0" borderId="19" xfId="5" applyNumberFormat="1" applyFont="1" applyFill="1" applyBorder="1" applyAlignment="1">
      <alignment horizontal="right" vertical="center"/>
    </xf>
    <xf numFmtId="176" fontId="15" fillId="7" borderId="7" xfId="5" applyNumberFormat="1" applyFont="1" applyFill="1" applyBorder="1" applyAlignment="1">
      <alignment horizontal="right" vertical="center"/>
    </xf>
    <xf numFmtId="176" fontId="15" fillId="7" borderId="20" xfId="2" applyNumberFormat="1" applyFont="1" applyFill="1" applyBorder="1" applyAlignment="1">
      <alignment horizontal="right" vertical="center"/>
    </xf>
    <xf numFmtId="176" fontId="15" fillId="7" borderId="24" xfId="2" applyNumberFormat="1" applyFont="1" applyFill="1" applyBorder="1" applyAlignment="1">
      <alignment horizontal="right" vertical="center"/>
    </xf>
    <xf numFmtId="176" fontId="15" fillId="0" borderId="2" xfId="2" applyNumberFormat="1" applyFont="1" applyBorder="1" applyAlignment="1">
      <alignment horizontal="center" vertical="center"/>
    </xf>
    <xf numFmtId="10" fontId="15" fillId="7" borderId="7" xfId="5" applyNumberFormat="1" applyFont="1" applyFill="1" applyBorder="1" applyAlignment="1">
      <alignment horizontal="right" vertical="center"/>
    </xf>
    <xf numFmtId="10" fontId="15" fillId="7" borderId="46" xfId="5" applyNumberFormat="1" applyFont="1" applyFill="1" applyBorder="1" applyAlignment="1">
      <alignment horizontal="right" vertical="center"/>
    </xf>
    <xf numFmtId="176" fontId="15" fillId="7" borderId="23" xfId="2" applyNumberFormat="1" applyFont="1" applyFill="1" applyBorder="1" applyAlignment="1">
      <alignment horizontal="right" vertical="center"/>
    </xf>
    <xf numFmtId="176" fontId="15" fillId="7" borderId="53" xfId="2" applyNumberFormat="1" applyFont="1" applyFill="1" applyBorder="1" applyAlignment="1">
      <alignment horizontal="right" vertical="center"/>
    </xf>
    <xf numFmtId="10" fontId="15" fillId="7" borderId="51" xfId="5" applyNumberFormat="1" applyFont="1" applyFill="1" applyBorder="1" applyAlignment="1">
      <alignment horizontal="right" vertical="center"/>
    </xf>
    <xf numFmtId="9" fontId="15" fillId="0" borderId="35" xfId="5" applyFont="1" applyFill="1" applyBorder="1" applyAlignment="1">
      <alignment horizontal="left" vertical="center"/>
    </xf>
    <xf numFmtId="9" fontId="15" fillId="0" borderId="24" xfId="5" applyFont="1" applyFill="1" applyBorder="1" applyAlignment="1">
      <alignment horizontal="left" vertical="center"/>
    </xf>
    <xf numFmtId="9" fontId="15" fillId="0" borderId="36" xfId="5" applyFont="1" applyFill="1" applyBorder="1" applyAlignment="1">
      <alignment horizontal="left" vertical="center"/>
    </xf>
    <xf numFmtId="176" fontId="15" fillId="6" borderId="1" xfId="2" applyNumberFormat="1" applyFont="1" applyFill="1" applyBorder="1" applyAlignment="1">
      <alignment horizontal="right" vertical="center"/>
    </xf>
    <xf numFmtId="176" fontId="15" fillId="6" borderId="2" xfId="2" applyNumberFormat="1" applyFont="1" applyFill="1" applyBorder="1" applyAlignment="1">
      <alignment horizontal="right" vertical="center"/>
    </xf>
    <xf numFmtId="176" fontId="15" fillId="6" borderId="3" xfId="2" applyNumberFormat="1" applyFont="1" applyFill="1" applyBorder="1" applyAlignment="1">
      <alignment horizontal="right" vertical="center"/>
    </xf>
    <xf numFmtId="176" fontId="15" fillId="6" borderId="47" xfId="2" applyNumberFormat="1" applyFont="1" applyFill="1" applyBorder="1" applyAlignment="1">
      <alignment horizontal="right" vertical="center"/>
    </xf>
    <xf numFmtId="176" fontId="15" fillId="6" borderId="48" xfId="2" applyNumberFormat="1" applyFont="1" applyFill="1" applyBorder="1" applyAlignment="1">
      <alignment horizontal="right" vertical="center"/>
    </xf>
    <xf numFmtId="176" fontId="15" fillId="6" borderId="49" xfId="2" applyNumberFormat="1" applyFont="1" applyFill="1" applyBorder="1" applyAlignment="1">
      <alignment horizontal="right" vertical="center"/>
    </xf>
    <xf numFmtId="176" fontId="15" fillId="7" borderId="48" xfId="2" applyNumberFormat="1" applyFont="1" applyFill="1" applyBorder="1" applyAlignment="1">
      <alignment horizontal="right" vertical="center"/>
    </xf>
    <xf numFmtId="176" fontId="15" fillId="7" borderId="49" xfId="2" applyNumberFormat="1" applyFont="1" applyFill="1" applyBorder="1" applyAlignment="1">
      <alignment horizontal="right" vertical="center"/>
    </xf>
    <xf numFmtId="176" fontId="15" fillId="7" borderId="51" xfId="2" applyNumberFormat="1" applyFont="1" applyFill="1" applyBorder="1" applyAlignment="1">
      <alignment horizontal="right" vertical="center"/>
    </xf>
    <xf numFmtId="176" fontId="15" fillId="6" borderId="52" xfId="2" applyNumberFormat="1" applyFont="1" applyFill="1" applyBorder="1" applyAlignment="1">
      <alignment horizontal="right" vertical="center"/>
    </xf>
    <xf numFmtId="0" fontId="15" fillId="8" borderId="46" xfId="2" applyFont="1" applyFill="1" applyBorder="1" applyAlignment="1">
      <alignment horizontal="left" vertical="center"/>
    </xf>
    <xf numFmtId="0" fontId="15" fillId="8" borderId="36" xfId="2" applyFont="1" applyFill="1" applyBorder="1" applyAlignment="1">
      <alignment horizontal="left" vertical="center"/>
    </xf>
    <xf numFmtId="0" fontId="15" fillId="8" borderId="7" xfId="2" applyFont="1" applyFill="1" applyBorder="1" applyAlignment="1">
      <alignment horizontal="left" vertical="center"/>
    </xf>
    <xf numFmtId="0" fontId="15" fillId="4" borderId="7" xfId="2" applyFont="1" applyFill="1" applyBorder="1" applyAlignment="1">
      <alignment horizontal="center" vertical="center"/>
    </xf>
    <xf numFmtId="0" fontId="15" fillId="4" borderId="50" xfId="2" applyFont="1" applyFill="1" applyBorder="1" applyAlignment="1">
      <alignment horizontal="center" vertical="center"/>
    </xf>
    <xf numFmtId="0" fontId="15" fillId="4" borderId="45" xfId="2" applyFont="1" applyFill="1" applyBorder="1" applyAlignment="1">
      <alignment horizontal="left" vertical="center" wrapText="1"/>
    </xf>
    <xf numFmtId="0" fontId="15" fillId="4" borderId="45" xfId="2" applyFont="1" applyFill="1" applyBorder="1" applyAlignment="1">
      <alignment horizontal="left" vertical="center"/>
    </xf>
    <xf numFmtId="2" fontId="15" fillId="7" borderId="42" xfId="0" applyNumberFormat="1" applyFont="1" applyFill="1" applyBorder="1" applyAlignment="1">
      <alignment horizontal="right" vertical="center"/>
    </xf>
    <xf numFmtId="2" fontId="15" fillId="7" borderId="43" xfId="0" applyNumberFormat="1" applyFont="1" applyFill="1" applyBorder="1" applyAlignment="1">
      <alignment horizontal="right" vertical="center"/>
    </xf>
    <xf numFmtId="0" fontId="15" fillId="8" borderId="21" xfId="0" applyFont="1" applyFill="1" applyBorder="1" applyAlignment="1">
      <alignment horizontal="left" vertical="center"/>
    </xf>
    <xf numFmtId="0" fontId="15" fillId="8" borderId="19" xfId="0" applyFont="1" applyFill="1" applyBorder="1" applyAlignment="1">
      <alignment horizontal="left" vertical="center"/>
    </xf>
    <xf numFmtId="0" fontId="15" fillId="8" borderId="22" xfId="0" applyFont="1" applyFill="1" applyBorder="1" applyAlignment="1">
      <alignment horizontal="left" vertical="center"/>
    </xf>
    <xf numFmtId="0" fontId="15" fillId="8" borderId="23" xfId="0" applyFont="1" applyFill="1" applyBorder="1" applyAlignment="1">
      <alignment horizontal="left" vertical="center"/>
    </xf>
    <xf numFmtId="0" fontId="15" fillId="8" borderId="20" xfId="0" applyFont="1" applyFill="1" applyBorder="1" applyAlignment="1">
      <alignment horizontal="left" vertical="center"/>
    </xf>
    <xf numFmtId="0" fontId="15" fillId="8" borderId="24" xfId="0" applyFont="1" applyFill="1" applyBorder="1" applyAlignment="1">
      <alignment horizontal="left" vertical="center"/>
    </xf>
    <xf numFmtId="0" fontId="15" fillId="4" borderId="7" xfId="0" applyFont="1" applyFill="1" applyBorder="1" applyAlignment="1">
      <alignment horizontal="center" vertical="center"/>
    </xf>
    <xf numFmtId="2" fontId="15" fillId="7" borderId="38" xfId="0" applyNumberFormat="1" applyFont="1" applyFill="1" applyBorder="1" applyAlignment="1">
      <alignment horizontal="right" vertical="center"/>
    </xf>
    <xf numFmtId="2" fontId="15" fillId="7" borderId="39" xfId="0" applyNumberFormat="1" applyFont="1" applyFill="1" applyBorder="1" applyAlignment="1">
      <alignment horizontal="right" vertical="center"/>
    </xf>
    <xf numFmtId="2" fontId="15" fillId="7" borderId="44" xfId="0" applyNumberFormat="1" applyFont="1" applyFill="1" applyBorder="1" applyAlignment="1">
      <alignment horizontal="right" vertical="center"/>
    </xf>
    <xf numFmtId="2" fontId="15" fillId="7" borderId="41" xfId="0" applyNumberFormat="1" applyFont="1" applyFill="1" applyBorder="1" applyAlignment="1">
      <alignment horizontal="right" vertical="center"/>
    </xf>
    <xf numFmtId="2" fontId="15" fillId="7" borderId="40" xfId="0" applyNumberFormat="1" applyFont="1" applyFill="1" applyBorder="1" applyAlignment="1">
      <alignment horizontal="right" vertical="center"/>
    </xf>
    <xf numFmtId="2" fontId="15" fillId="7" borderId="37" xfId="0" applyNumberFormat="1" applyFont="1" applyFill="1" applyBorder="1" applyAlignment="1">
      <alignment horizontal="right" vertical="center"/>
    </xf>
    <xf numFmtId="0" fontId="15" fillId="8" borderId="41" xfId="0" applyFont="1" applyFill="1" applyBorder="1" applyAlignment="1">
      <alignment horizontal="left" vertical="center"/>
    </xf>
    <xf numFmtId="0" fontId="15" fillId="8" borderId="37" xfId="0" applyFont="1" applyFill="1" applyBorder="1" applyAlignment="1">
      <alignment horizontal="left" vertical="center"/>
    </xf>
    <xf numFmtId="176" fontId="15" fillId="7" borderId="7" xfId="2" applyNumberFormat="1" applyFont="1" applyFill="1" applyBorder="1" applyAlignment="1">
      <alignment horizontal="right" vertical="center" wrapText="1"/>
    </xf>
    <xf numFmtId="176" fontId="15" fillId="7" borderId="7" xfId="2" applyNumberFormat="1" applyFont="1" applyFill="1" applyBorder="1" applyAlignment="1">
      <alignment horizontal="right" vertical="center"/>
    </xf>
    <xf numFmtId="176" fontId="15" fillId="7" borderId="1" xfId="5" applyNumberFormat="1" applyFont="1" applyFill="1" applyBorder="1" applyAlignment="1">
      <alignment horizontal="right" vertical="center"/>
    </xf>
    <xf numFmtId="176" fontId="15" fillId="7" borderId="2" xfId="5" applyNumberFormat="1" applyFont="1" applyFill="1" applyBorder="1" applyAlignment="1">
      <alignment horizontal="right" vertical="center"/>
    </xf>
    <xf numFmtId="176" fontId="15" fillId="7" borderId="3" xfId="5" applyNumberFormat="1" applyFont="1" applyFill="1" applyBorder="1" applyAlignment="1">
      <alignment horizontal="right" vertical="center"/>
    </xf>
    <xf numFmtId="0" fontId="15" fillId="7" borderId="1" xfId="0" applyFont="1" applyFill="1" applyBorder="1" applyAlignment="1">
      <alignment horizontal="left" vertical="center"/>
    </xf>
    <xf numFmtId="0" fontId="15" fillId="7" borderId="2" xfId="0" applyFont="1" applyFill="1" applyBorder="1" applyAlignment="1">
      <alignment horizontal="left" vertical="center"/>
    </xf>
    <xf numFmtId="0" fontId="15" fillId="7" borderId="3" xfId="0" applyFont="1" applyFill="1" applyBorder="1" applyAlignment="1">
      <alignment horizontal="left" vertical="center"/>
    </xf>
    <xf numFmtId="0" fontId="15" fillId="7" borderId="1" xfId="2" applyFont="1" applyFill="1" applyBorder="1" applyAlignment="1">
      <alignment vertical="center" wrapText="1"/>
    </xf>
    <xf numFmtId="0" fontId="15" fillId="7" borderId="2" xfId="2" applyFont="1" applyFill="1" applyBorder="1" applyAlignment="1">
      <alignment vertical="center" wrapText="1"/>
    </xf>
    <xf numFmtId="0" fontId="15" fillId="7" borderId="3" xfId="2" applyFont="1" applyFill="1" applyBorder="1" applyAlignment="1">
      <alignment vertical="center" wrapText="1"/>
    </xf>
    <xf numFmtId="177" fontId="18" fillId="7" borderId="7" xfId="5" applyNumberFormat="1" applyFont="1" applyFill="1" applyBorder="1" applyAlignment="1">
      <alignment horizontal="right" vertical="center"/>
    </xf>
    <xf numFmtId="177" fontId="18" fillId="7" borderId="1" xfId="5" applyNumberFormat="1" applyFont="1" applyFill="1" applyBorder="1" applyAlignment="1">
      <alignment horizontal="right" vertical="center"/>
    </xf>
    <xf numFmtId="177" fontId="18" fillId="7" borderId="2" xfId="5" applyNumberFormat="1" applyFont="1" applyFill="1" applyBorder="1" applyAlignment="1">
      <alignment horizontal="right" vertical="center"/>
    </xf>
    <xf numFmtId="177" fontId="18" fillId="7" borderId="3" xfId="5" applyNumberFormat="1" applyFont="1" applyFill="1" applyBorder="1" applyAlignment="1">
      <alignment horizontal="right" vertical="center"/>
    </xf>
    <xf numFmtId="176" fontId="15" fillId="7" borderId="7" xfId="0" applyNumberFormat="1" applyFont="1" applyFill="1" applyBorder="1" applyAlignment="1">
      <alignment horizontal="right" vertical="center"/>
    </xf>
    <xf numFmtId="0" fontId="15" fillId="4" borderId="7" xfId="0" applyFont="1" applyFill="1" applyBorder="1" applyAlignment="1">
      <alignment vertical="center" wrapText="1"/>
    </xf>
    <xf numFmtId="0" fontId="16" fillId="0" borderId="0" xfId="2" applyFont="1" applyAlignment="1">
      <alignment horizontal="left" vertical="center"/>
    </xf>
    <xf numFmtId="0" fontId="15" fillId="2" borderId="16" xfId="1" applyFont="1" applyFill="1" applyBorder="1" applyAlignment="1">
      <alignment horizontal="center" vertical="center"/>
    </xf>
    <xf numFmtId="0" fontId="15" fillId="2" borderId="17" xfId="1" applyFont="1" applyFill="1" applyBorder="1" applyAlignment="1">
      <alignment horizontal="center" vertical="center"/>
    </xf>
    <xf numFmtId="0" fontId="15" fillId="2" borderId="18" xfId="1" applyFont="1" applyFill="1" applyBorder="1" applyAlignment="1">
      <alignment horizontal="center" vertical="center"/>
    </xf>
    <xf numFmtId="0" fontId="15" fillId="4" borderId="7" xfId="2" applyFont="1" applyFill="1" applyBorder="1" applyAlignment="1">
      <alignment vertical="center"/>
    </xf>
    <xf numFmtId="0" fontId="15" fillId="4" borderId="7" xfId="0" applyFont="1" applyFill="1" applyBorder="1" applyAlignment="1">
      <alignment vertical="center"/>
    </xf>
    <xf numFmtId="0" fontId="15" fillId="4" borderId="1" xfId="2" applyFont="1" applyFill="1" applyBorder="1" applyAlignment="1">
      <alignment vertical="center"/>
    </xf>
    <xf numFmtId="0" fontId="15" fillId="4" borderId="2" xfId="2" applyFont="1" applyFill="1" applyBorder="1" applyAlignment="1">
      <alignment vertical="center"/>
    </xf>
    <xf numFmtId="0" fontId="15" fillId="4" borderId="3" xfId="2" applyFont="1" applyFill="1" applyBorder="1" applyAlignment="1">
      <alignment vertical="center"/>
    </xf>
    <xf numFmtId="0" fontId="19" fillId="4" borderId="7" xfId="2" applyFont="1" applyFill="1" applyBorder="1" applyAlignment="1">
      <alignment vertical="center"/>
    </xf>
    <xf numFmtId="0" fontId="18" fillId="7" borderId="7" xfId="2" applyFont="1" applyFill="1" applyBorder="1" applyAlignment="1">
      <alignment vertical="center"/>
    </xf>
    <xf numFmtId="0" fontId="15" fillId="7" borderId="7" xfId="2" applyFont="1" applyFill="1" applyBorder="1" applyAlignment="1">
      <alignment vertical="center"/>
    </xf>
    <xf numFmtId="0" fontId="15" fillId="0" borderId="21" xfId="2" applyFont="1" applyBorder="1" applyAlignment="1">
      <alignment vertical="center"/>
    </xf>
    <xf numFmtId="0" fontId="15" fillId="0" borderId="19" xfId="2" applyFont="1" applyBorder="1" applyAlignment="1">
      <alignment vertical="center"/>
    </xf>
    <xf numFmtId="0" fontId="15" fillId="0" borderId="19" xfId="0" applyFont="1" applyBorder="1" applyAlignment="1">
      <alignment vertical="center"/>
    </xf>
  </cellXfs>
  <cellStyles count="7">
    <cellStyle name="パーセント" xfId="5" builtinId="5"/>
    <cellStyle name="標準" xfId="0" builtinId="0"/>
    <cellStyle name="標準 2" xfId="3" xr:uid="{BB0AE808-5D97-4F35-9DBD-69BD0F3808F6}"/>
    <cellStyle name="標準 3" xfId="4" xr:uid="{C6FB9180-8F9F-4941-BFD2-37FE6380DDA0}"/>
    <cellStyle name="標準 4" xfId="6" xr:uid="{BD72F33E-AD04-4DCE-B39F-35B4C947EEC2}"/>
    <cellStyle name="標準_プロジェクト計画書（大規模）20100405" xfId="1" xr:uid="{00000000-0005-0000-0000-000001000000}"/>
    <cellStyle name="標準_プロジェクト計画書テンプレート【ミニ】v03(040329)" xfId="2" xr:uid="{00000000-0005-0000-0000-000002000000}"/>
  </cellStyles>
  <dxfs count="9">
    <dxf>
      <font>
        <b/>
        <i val="0"/>
        <color rgb="FF0000FF"/>
      </font>
    </dxf>
    <dxf>
      <font>
        <b/>
        <i val="0"/>
        <color rgb="FF0000FF"/>
      </font>
    </dxf>
    <dxf>
      <fill>
        <patternFill patternType="solid">
          <fgColor theme="0" tint="-0.14996795556505021"/>
          <bgColor theme="0" tint="-4.9989318521683403E-2"/>
        </patternFill>
      </fill>
    </dxf>
    <dxf>
      <fill>
        <patternFill patternType="solid">
          <fgColor theme="0" tint="-0.14996795556505021"/>
          <bgColor theme="0" tint="-4.9989318521683403E-2"/>
        </patternFill>
      </fill>
    </dxf>
    <dxf>
      <font>
        <b/>
        <color theme="1"/>
      </font>
    </dxf>
    <dxf>
      <font>
        <b/>
        <color theme="1"/>
      </font>
    </dxf>
    <dxf>
      <font>
        <b/>
        <color theme="1"/>
      </font>
      <fill>
        <patternFill>
          <bgColor theme="0" tint="-0.24994659260841701"/>
        </patternFill>
      </fill>
      <border>
        <top style="thin">
          <color theme="1"/>
        </top>
      </border>
    </dxf>
    <dxf>
      <font>
        <b/>
        <i val="0"/>
        <color theme="0"/>
      </font>
      <fill>
        <patternFill>
          <bgColor theme="0" tint="-0.499984740745262"/>
        </patternFill>
      </fill>
      <border>
        <bottom style="thin">
          <color theme="1"/>
        </bottom>
      </border>
    </dxf>
    <dxf>
      <font>
        <color theme="1"/>
      </font>
      <border>
        <top style="thin">
          <color theme="1"/>
        </top>
        <bottom style="thin">
          <color theme="1"/>
        </bottom>
      </border>
    </dxf>
  </dxfs>
  <tableStyles count="1" defaultTableStyle="TableStyleMedium2" defaultPivotStyle="PivotStyleLight16">
    <tableStyle name="TableStyleLight1 2" pivot="0" count="7" xr9:uid="{958E00A9-935F-483B-BEA4-AA72F1FA4E85}">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s>
  <colors>
    <mruColors>
      <color rgb="FF0000FF"/>
      <color rgb="FFFFFFC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47</xdr:col>
      <xdr:colOff>3585</xdr:colOff>
      <xdr:row>1</xdr:row>
      <xdr:rowOff>210072</xdr:rowOff>
    </xdr:to>
    <xdr:grpSp>
      <xdr:nvGrpSpPr>
        <xdr:cNvPr id="14" name="グループ化 13">
          <a:extLst>
            <a:ext uri="{FF2B5EF4-FFF2-40B4-BE49-F238E27FC236}">
              <a16:creationId xmlns:a16="http://schemas.microsoft.com/office/drawing/2014/main" id="{B235B13F-FFBA-4943-8331-3844A760C2B9}"/>
            </a:ext>
          </a:extLst>
        </xdr:cNvPr>
        <xdr:cNvGrpSpPr/>
      </xdr:nvGrpSpPr>
      <xdr:grpSpPr>
        <a:xfrm>
          <a:off x="209550" y="0"/>
          <a:ext cx="9642885" cy="438672"/>
          <a:chOff x="0" y="0"/>
          <a:chExt cx="10953525" cy="429147"/>
        </a:xfrm>
      </xdr:grpSpPr>
      <xdr:sp macro="" textlink="ヘッダプロジェクト名">
        <xdr:nvSpPr>
          <xdr:cNvPr id="15" name="正方形/長方形 14">
            <a:extLst>
              <a:ext uri="{FF2B5EF4-FFF2-40B4-BE49-F238E27FC236}">
                <a16:creationId xmlns:a16="http://schemas.microsoft.com/office/drawing/2014/main" id="{1E5E3285-E2A6-E87C-2582-B44D92902AD3}"/>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出光興産株式会社 MES嵌合工程検査のオンライン化対応</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
        <xdr:nvSpPr>
          <xdr:cNvPr id="16" name="正方形/長方形 15">
            <a:extLst>
              <a:ext uri="{FF2B5EF4-FFF2-40B4-BE49-F238E27FC236}">
                <a16:creationId xmlns:a16="http://schemas.microsoft.com/office/drawing/2014/main" id="{EAE1BA8A-7B5F-3B79-71F9-E6D32A17B465}"/>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58578661-C17B-4ECC-9205-42585CAAC170}" type="TxLink">
              <a:rPr kumimoji="1" lang="en-US" altLang="en-US" sz="1600" b="1" i="0" u="none" strike="noStrike">
                <a:solidFill>
                  <a:srgbClr val="000000"/>
                </a:solidFill>
                <a:latin typeface="游ゴシック" panose="020B0400000000000000" pitchFamily="50" charset="-128"/>
                <a:ea typeface="游ゴシック" panose="020B0400000000000000" pitchFamily="50" charset="-128"/>
              </a:rPr>
              <a:pPr algn="l"/>
              <a:t>53-01 プロジェクト計画書</a:t>
            </a:fld>
            <a:endParaRPr kumimoji="1" lang="ja-JP" altLang="en-US" sz="199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17" name="正方形/長方形 16">
            <a:extLst>
              <a:ext uri="{FF2B5EF4-FFF2-40B4-BE49-F238E27FC236}">
                <a16:creationId xmlns:a16="http://schemas.microsoft.com/office/drawing/2014/main" id="{419C17D3-5A50-77A1-501D-3A70273D4933}"/>
              </a:ext>
            </a:extLst>
          </xdr:cNvPr>
          <xdr:cNvSpPr/>
        </xdr:nvSpPr>
        <xdr:spPr>
          <a:xfrm>
            <a:off x="10155075"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18" name="正方形/長方形 17">
            <a:extLst>
              <a:ext uri="{FF2B5EF4-FFF2-40B4-BE49-F238E27FC236}">
                <a16:creationId xmlns:a16="http://schemas.microsoft.com/office/drawing/2014/main" id="{1291BD24-373B-CDB6-A253-40B1ED4478C3}"/>
              </a:ext>
            </a:extLst>
          </xdr:cNvPr>
          <xdr:cNvSpPr/>
        </xdr:nvSpPr>
        <xdr:spPr>
          <a:xfrm>
            <a:off x="9639300"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19" name="正方形/長方形 18">
            <a:extLst>
              <a:ext uri="{FF2B5EF4-FFF2-40B4-BE49-F238E27FC236}">
                <a16:creationId xmlns:a16="http://schemas.microsoft.com/office/drawing/2014/main" id="{1EFEABF8-D79F-0D41-B7B2-BDB9632D7F75}"/>
              </a:ext>
            </a:extLst>
          </xdr:cNvPr>
          <xdr:cNvSpPr/>
        </xdr:nvSpPr>
        <xdr:spPr>
          <a:xfrm>
            <a:off x="9153525"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47</xdr:col>
      <xdr:colOff>3585</xdr:colOff>
      <xdr:row>1</xdr:row>
      <xdr:rowOff>202452</xdr:rowOff>
    </xdr:to>
    <xdr:grpSp>
      <xdr:nvGrpSpPr>
        <xdr:cNvPr id="2" name="グループ化 1">
          <a:extLst>
            <a:ext uri="{FF2B5EF4-FFF2-40B4-BE49-F238E27FC236}">
              <a16:creationId xmlns:a16="http://schemas.microsoft.com/office/drawing/2014/main" id="{8BF65511-A798-4F67-B128-D14F200F1235}"/>
            </a:ext>
          </a:extLst>
        </xdr:cNvPr>
        <xdr:cNvGrpSpPr/>
      </xdr:nvGrpSpPr>
      <xdr:grpSpPr>
        <a:xfrm>
          <a:off x="209550" y="0"/>
          <a:ext cx="9642885" cy="431052"/>
          <a:chOff x="0" y="0"/>
          <a:chExt cx="10953525" cy="429147"/>
        </a:xfrm>
      </xdr:grpSpPr>
      <xdr:sp macro="" textlink="ヘッダプロジェクト名">
        <xdr:nvSpPr>
          <xdr:cNvPr id="3" name="正方形/長方形 2">
            <a:extLst>
              <a:ext uri="{FF2B5EF4-FFF2-40B4-BE49-F238E27FC236}">
                <a16:creationId xmlns:a16="http://schemas.microsoft.com/office/drawing/2014/main" id="{45B0FCD7-630C-E452-F240-51154E5002E9}"/>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出光興産株式会社 MES嵌合工程検査のオンライン化対応</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補足１">
        <xdr:nvSpPr>
          <xdr:cNvPr id="4" name="正方形/長方形 3">
            <a:extLst>
              <a:ext uri="{FF2B5EF4-FFF2-40B4-BE49-F238E27FC236}">
                <a16:creationId xmlns:a16="http://schemas.microsoft.com/office/drawing/2014/main" id="{D9B2351D-8CC1-5AFC-78FF-7F38CBF048E9}"/>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2D3F0BC9-04D3-47D1-852C-184AEF81A636}" type="TxLink">
              <a:rPr kumimoji="1" lang="en-US" altLang="en-US" sz="1600" b="1" i="0" u="none" strike="noStrike">
                <a:solidFill>
                  <a:srgbClr val="000000"/>
                </a:solidFill>
                <a:latin typeface="游ゴシック" panose="020B0400000000000000" pitchFamily="50" charset="-128"/>
                <a:ea typeface="游ゴシック" panose="020B0400000000000000" pitchFamily="50" charset="-128"/>
              </a:rPr>
              <a:pPr algn="l"/>
              <a:t>53-01 プロジェクト完了報告書</a:t>
            </a:fld>
            <a:endParaRPr kumimoji="1" lang="ja-JP" altLang="en-US" sz="344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8153FA62-5F32-23D2-16F8-F91F8CDD053E}"/>
              </a:ext>
            </a:extLst>
          </xdr:cNvPr>
          <xdr:cNvSpPr/>
        </xdr:nvSpPr>
        <xdr:spPr>
          <a:xfrm>
            <a:off x="10155075"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A768CD6E-AE47-6D7F-A640-80F8CE76943A}"/>
              </a:ext>
            </a:extLst>
          </xdr:cNvPr>
          <xdr:cNvSpPr/>
        </xdr:nvSpPr>
        <xdr:spPr>
          <a:xfrm>
            <a:off x="9639300"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E975FC67-7EC1-8974-7A37-7DDA1A3ABE07}"/>
              </a:ext>
            </a:extLst>
          </xdr:cNvPr>
          <xdr:cNvSpPr/>
        </xdr:nvSpPr>
        <xdr:spPr>
          <a:xfrm>
            <a:off x="9153525"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47</xdr:col>
      <xdr:colOff>3585</xdr:colOff>
      <xdr:row>1</xdr:row>
      <xdr:rowOff>202452</xdr:rowOff>
    </xdr:to>
    <xdr:grpSp>
      <xdr:nvGrpSpPr>
        <xdr:cNvPr id="2" name="グループ化 1">
          <a:extLst>
            <a:ext uri="{FF2B5EF4-FFF2-40B4-BE49-F238E27FC236}">
              <a16:creationId xmlns:a16="http://schemas.microsoft.com/office/drawing/2014/main" id="{FA040837-1F90-4E99-B8E4-1480DEE3DABE}"/>
            </a:ext>
          </a:extLst>
        </xdr:cNvPr>
        <xdr:cNvGrpSpPr/>
      </xdr:nvGrpSpPr>
      <xdr:grpSpPr>
        <a:xfrm>
          <a:off x="209550" y="0"/>
          <a:ext cx="9642885" cy="431052"/>
          <a:chOff x="0" y="0"/>
          <a:chExt cx="10953525" cy="429147"/>
        </a:xfrm>
      </xdr:grpSpPr>
      <xdr:sp macro="" textlink="ヘッダプロジェクト名">
        <xdr:nvSpPr>
          <xdr:cNvPr id="3" name="正方形/長方形 2">
            <a:extLst>
              <a:ext uri="{FF2B5EF4-FFF2-40B4-BE49-F238E27FC236}">
                <a16:creationId xmlns:a16="http://schemas.microsoft.com/office/drawing/2014/main" id="{09D6C00F-93E7-FC13-AABA-6ECABD07437B}"/>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1582C8B-D027-48F3-92E4-AA7825B44898}"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出光興産株式会社 MES嵌合工程検査のオンライン化対応</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補足２">
        <xdr:nvSpPr>
          <xdr:cNvPr id="4" name="正方形/長方形 3">
            <a:extLst>
              <a:ext uri="{FF2B5EF4-FFF2-40B4-BE49-F238E27FC236}">
                <a16:creationId xmlns:a16="http://schemas.microsoft.com/office/drawing/2014/main" id="{4AB0AF01-F108-1CAF-1E5B-8BEEA35EE338}"/>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BDE94198-F363-4294-9849-B2325414B3C1}" type="TxLink">
              <a:rPr kumimoji="1" lang="en-US" altLang="en-US" sz="1600" b="1" i="0" u="none" strike="noStrike">
                <a:solidFill>
                  <a:srgbClr val="000000"/>
                </a:solidFill>
                <a:latin typeface="ＭＳ Ｐゴシック"/>
                <a:ea typeface="ＭＳ Ｐゴシック"/>
              </a:rPr>
              <a:pPr algn="l"/>
              <a:t>53-01 品質データ分析報告書</a:t>
            </a:fld>
            <a:endParaRPr kumimoji="1" lang="ja-JP" altLang="en-US" sz="595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9527D874-27AC-7E7F-3D6B-B3B0E8960AC2}"/>
              </a:ext>
            </a:extLst>
          </xdr:cNvPr>
          <xdr:cNvSpPr/>
        </xdr:nvSpPr>
        <xdr:spPr>
          <a:xfrm>
            <a:off x="10155075"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E60B046D-9ED6-49B0-AA71-7A529B243A4C}"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A410A9F9-4817-ACED-4C41-6C1681797B00}"/>
              </a:ext>
            </a:extLst>
          </xdr:cNvPr>
          <xdr:cNvSpPr/>
        </xdr:nvSpPr>
        <xdr:spPr>
          <a:xfrm>
            <a:off x="9639300"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C5C3B4FB-B07E-4818-A6EF-ABA6CDA9C5CE}" type="TxLink">
              <a:rPr kumimoji="1" lang="ja-JP" altLang="en-US" sz="900" b="0" i="0" u="none" strike="noStrike">
                <a:solidFill>
                  <a:srgbClr val="000000"/>
                </a:solidFill>
                <a:latin typeface="游ゴシック" panose="020B0400000000000000" pitchFamily="50" charset="-128"/>
                <a:ea typeface="游ゴシック" panose="020B0400000000000000" pitchFamily="50" charset="-128"/>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802BE66E-04BB-0C05-A1E0-0E687CD01F7C}"/>
              </a:ext>
            </a:extLst>
          </xdr:cNvPr>
          <xdr:cNvSpPr/>
        </xdr:nvSpPr>
        <xdr:spPr>
          <a:xfrm>
            <a:off x="9153525"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B1A43894-CCAE-45F7-AA1D-326E37E9908D}" type="TxLink">
              <a:rPr kumimoji="1" lang="ja-JP" altLang="en-US" sz="900" b="0" i="1" u="none" strike="noStrike">
                <a:solidFill>
                  <a:schemeClr val="bg1">
                    <a:lumMod val="50000"/>
                  </a:schemeClr>
                </a:solidFill>
                <a:latin typeface="游ゴシック" panose="020B0400000000000000" pitchFamily="50" charset="-128"/>
                <a:ea typeface="游ゴシック" panose="020B0400000000000000" pitchFamily="50" charset="-128"/>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9</xdr:col>
      <xdr:colOff>828450</xdr:colOff>
      <xdr:row>1</xdr:row>
      <xdr:rowOff>200547</xdr:rowOff>
    </xdr:to>
    <xdr:grpSp>
      <xdr:nvGrpSpPr>
        <xdr:cNvPr id="2" name="グループ化 1">
          <a:extLst>
            <a:ext uri="{FF2B5EF4-FFF2-40B4-BE49-F238E27FC236}">
              <a16:creationId xmlns:a16="http://schemas.microsoft.com/office/drawing/2014/main" id="{3E0D7140-4BE9-4E5E-BD39-BEDC782FA77C}"/>
            </a:ext>
          </a:extLst>
        </xdr:cNvPr>
        <xdr:cNvGrpSpPr/>
      </xdr:nvGrpSpPr>
      <xdr:grpSpPr>
        <a:xfrm>
          <a:off x="0" y="0"/>
          <a:ext cx="14973075" cy="429147"/>
          <a:chOff x="0" y="0"/>
          <a:chExt cx="17078100" cy="429147"/>
        </a:xfrm>
      </xdr:grpSpPr>
      <xdr:sp macro="" textlink="ヘッダプロジェクト名">
        <xdr:nvSpPr>
          <xdr:cNvPr id="3" name="正方形/長方形 2">
            <a:extLst>
              <a:ext uri="{FF2B5EF4-FFF2-40B4-BE49-F238E27FC236}">
                <a16:creationId xmlns:a16="http://schemas.microsoft.com/office/drawing/2014/main" id="{ECD0A311-E43E-28C2-64D8-BD0A200C0A2E}"/>
              </a:ext>
            </a:extLst>
          </xdr:cNvPr>
          <xdr:cNvSpPr/>
        </xdr:nvSpPr>
        <xdr:spPr>
          <a:xfrm>
            <a:off x="0" y="0"/>
            <a:ext cx="72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5422FBFA-6947-433D-8A4C-DBF1CC9FB813}" type="TxLink">
              <a:rPr kumimoji="1" lang="ja-JP" altLang="en-US" sz="900" b="0" i="0" u="none" strike="noStrike">
                <a:solidFill>
                  <a:srgbClr val="000000"/>
                </a:solidFill>
                <a:latin typeface="游ゴシック"/>
                <a:ea typeface="游ゴシック"/>
              </a:rPr>
              <a:pPr algn="l"/>
              <a:t>出光興産株式会社 MES嵌合工程検査のオンライン化対応</a:t>
            </a:fld>
            <a:endParaRPr kumimoji="1" lang="ja-JP" altLang="en-US" sz="200" b="1">
              <a:solidFill>
                <a:schemeClr val="tx1"/>
              </a:solidFill>
              <a:latin typeface="游ゴシック" panose="020B0400000000000000" pitchFamily="50" charset="-128"/>
              <a:ea typeface="游ゴシック" panose="020B0400000000000000" pitchFamily="50" charset="-128"/>
            </a:endParaRPr>
          </a:p>
        </xdr:txBody>
      </xdr:sp>
      <xdr:sp macro="" textlink="ヘッダ文書名‐改訂履歴">
        <xdr:nvSpPr>
          <xdr:cNvPr id="4" name="正方形/長方形 3">
            <a:extLst>
              <a:ext uri="{FF2B5EF4-FFF2-40B4-BE49-F238E27FC236}">
                <a16:creationId xmlns:a16="http://schemas.microsoft.com/office/drawing/2014/main" id="{FB837A8B-B885-69C0-3C85-B0CF4B09390D}"/>
              </a:ext>
            </a:extLst>
          </xdr:cNvPr>
          <xdr:cNvSpPr/>
        </xdr:nvSpPr>
        <xdr:spPr>
          <a:xfrm>
            <a:off x="0" y="173943"/>
            <a:ext cx="7200000" cy="25340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35EC3758-0A1A-4CC5-AC5F-7B7CBCFFAD65}" type="TxLink">
              <a:rPr kumimoji="1" lang="en-US" altLang="en-US" sz="1600" b="1" i="0" u="none" strike="noStrike">
                <a:solidFill>
                  <a:srgbClr val="000000"/>
                </a:solidFill>
                <a:latin typeface="游ゴシック"/>
                <a:ea typeface="游ゴシック"/>
              </a:rPr>
              <a:pPr algn="l"/>
              <a:t>53-01 プロジェクト計画書・完了報告書‐改訂履歴</a:t>
            </a:fld>
            <a:endParaRPr kumimoji="1" lang="ja-JP" altLang="en-US" sz="34400" b="1">
              <a:solidFill>
                <a:schemeClr val="tx1"/>
              </a:solidFill>
              <a:latin typeface="游ゴシック" panose="020B0400000000000000" pitchFamily="50" charset="-128"/>
              <a:ea typeface="游ゴシック" panose="020B0400000000000000" pitchFamily="50" charset="-128"/>
            </a:endParaRPr>
          </a:p>
        </xdr:txBody>
      </xdr:sp>
      <xdr:sp macro="" textlink="発行日">
        <xdr:nvSpPr>
          <xdr:cNvPr id="5" name="正方形/長方形 4">
            <a:extLst>
              <a:ext uri="{FF2B5EF4-FFF2-40B4-BE49-F238E27FC236}">
                <a16:creationId xmlns:a16="http://schemas.microsoft.com/office/drawing/2014/main" id="{0306336E-7DC2-189C-2E45-EA185A104260}"/>
              </a:ext>
            </a:extLst>
          </xdr:cNvPr>
          <xdr:cNvSpPr/>
        </xdr:nvSpPr>
        <xdr:spPr>
          <a:xfrm>
            <a:off x="16279650" y="211942"/>
            <a:ext cx="792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57D6C195-28F7-4462-8441-1BC86B370DF5}" type="TxLink">
              <a:rPr kumimoji="1" lang="ja-JP" altLang="en-US" sz="900" b="0" i="0" u="none" strike="noStrike">
                <a:solidFill>
                  <a:srgbClr val="000000"/>
                </a:solidFill>
                <a:latin typeface="游ゴシック"/>
                <a:ea typeface="游ゴシック"/>
              </a:rPr>
              <a:pPr algn="r"/>
              <a:t>未定</a:t>
            </a:fld>
            <a:endParaRPr kumimoji="1" lang="en-US" altLang="ja-JP" sz="100">
              <a:solidFill>
                <a:schemeClr val="tx1"/>
              </a:solidFill>
              <a:latin typeface="游ゴシック" panose="020B0400000000000000" pitchFamily="50" charset="-128"/>
              <a:ea typeface="游ゴシック" panose="020B0400000000000000" pitchFamily="50" charset="-128"/>
            </a:endParaRPr>
          </a:p>
        </xdr:txBody>
      </xdr:sp>
      <xdr:sp macro="" textlink="版数">
        <xdr:nvSpPr>
          <xdr:cNvPr id="6" name="正方形/長方形 5">
            <a:extLst>
              <a:ext uri="{FF2B5EF4-FFF2-40B4-BE49-F238E27FC236}">
                <a16:creationId xmlns:a16="http://schemas.microsoft.com/office/drawing/2014/main" id="{C9603D90-BDDA-4404-91B4-F29D7141DA50}"/>
              </a:ext>
            </a:extLst>
          </xdr:cNvPr>
          <xdr:cNvSpPr/>
        </xdr:nvSpPr>
        <xdr:spPr>
          <a:xfrm>
            <a:off x="15763875" y="211942"/>
            <a:ext cx="648000" cy="2172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36000" tIns="36000" rIns="36000" bIns="36000" numCol="1" spcCol="0" rtlCol="0" fromWordArt="0" anchor="ctr"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l"/>
            <a:fld id="{BB1308E5-D476-4A62-B560-3A07D722DBD3}" type="TxLink">
              <a:rPr kumimoji="1" lang="ja-JP" altLang="en-US" sz="900" b="0" i="0" u="none" strike="noStrike">
                <a:solidFill>
                  <a:srgbClr val="000000"/>
                </a:solidFill>
                <a:latin typeface="游ゴシック"/>
                <a:ea typeface="游ゴシック"/>
              </a:rPr>
              <a:pPr algn="l"/>
              <a:t>第 1.0 版</a:t>
            </a:fld>
            <a:endParaRPr kumimoji="1" lang="en-US" altLang="ja-JP" sz="300">
              <a:solidFill>
                <a:schemeClr val="tx1"/>
              </a:solidFill>
              <a:latin typeface="游ゴシック" panose="020B0400000000000000" pitchFamily="50" charset="-128"/>
              <a:ea typeface="游ゴシック" panose="020B0400000000000000" pitchFamily="50" charset="-128"/>
            </a:endParaRPr>
          </a:p>
        </xdr:txBody>
      </xdr:sp>
      <xdr:sp macro="" textlink="ヘッダ様式名称">
        <xdr:nvSpPr>
          <xdr:cNvPr id="7" name="正方形/長方形 6">
            <a:extLst>
              <a:ext uri="{FF2B5EF4-FFF2-40B4-BE49-F238E27FC236}">
                <a16:creationId xmlns:a16="http://schemas.microsoft.com/office/drawing/2014/main" id="{B33F7CAD-FA6E-72DB-0C75-31C594FA7BC9}"/>
              </a:ext>
            </a:extLst>
          </xdr:cNvPr>
          <xdr:cNvSpPr/>
        </xdr:nvSpPr>
        <xdr:spPr>
          <a:xfrm>
            <a:off x="15278100" y="0"/>
            <a:ext cx="1800000" cy="181005"/>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none" lIns="72000" tIns="0" rIns="36000" bIns="36000" numCol="1" spcCol="0" rtlCol="0" fromWordArt="0" anchor="t" anchorCtr="0" forceAA="0" compatLnSpc="1">
            <a:prstTxWarp prst="textNoShape">
              <a:avLst/>
            </a:prstTxWarp>
            <a:noAutofit/>
          </a:bodyPr>
          <a:lstStyle>
            <a:defPPr>
              <a:defRPr lang="ja-JP"/>
            </a:defPPr>
            <a:lvl1pPr marL="0" algn="l" defTabSz="914400" rtl="0" eaLnBrk="1" latinLnBrk="0" hangingPunct="1">
              <a:defRPr kumimoji="1" sz="1800" kern="1200">
                <a:solidFill>
                  <a:schemeClr val="lt1"/>
                </a:solidFill>
                <a:latin typeface="+mn-lt"/>
                <a:ea typeface="+mn-ea"/>
                <a:cs typeface="+mn-cs"/>
              </a:defRPr>
            </a:lvl1pPr>
            <a:lvl2pPr marL="457200" algn="l" defTabSz="914400" rtl="0" eaLnBrk="1" latinLnBrk="0" hangingPunct="1">
              <a:defRPr kumimoji="1" sz="1800" kern="1200">
                <a:solidFill>
                  <a:schemeClr val="lt1"/>
                </a:solidFill>
                <a:latin typeface="+mn-lt"/>
                <a:ea typeface="+mn-ea"/>
                <a:cs typeface="+mn-cs"/>
              </a:defRPr>
            </a:lvl2pPr>
            <a:lvl3pPr marL="914400" algn="l" defTabSz="914400" rtl="0" eaLnBrk="1" latinLnBrk="0" hangingPunct="1">
              <a:defRPr kumimoji="1" sz="1800" kern="1200">
                <a:solidFill>
                  <a:schemeClr val="lt1"/>
                </a:solidFill>
                <a:latin typeface="+mn-lt"/>
                <a:ea typeface="+mn-ea"/>
                <a:cs typeface="+mn-cs"/>
              </a:defRPr>
            </a:lvl3pPr>
            <a:lvl4pPr marL="1371600" algn="l" defTabSz="914400" rtl="0" eaLnBrk="1" latinLnBrk="0" hangingPunct="1">
              <a:defRPr kumimoji="1" sz="1800" kern="1200">
                <a:solidFill>
                  <a:schemeClr val="lt1"/>
                </a:solidFill>
                <a:latin typeface="+mn-lt"/>
                <a:ea typeface="+mn-ea"/>
                <a:cs typeface="+mn-cs"/>
              </a:defRPr>
            </a:lvl4pPr>
            <a:lvl5pPr marL="1828800" algn="l" defTabSz="914400" rtl="0" eaLnBrk="1" latinLnBrk="0" hangingPunct="1">
              <a:defRPr kumimoji="1" sz="1800" kern="1200">
                <a:solidFill>
                  <a:schemeClr val="lt1"/>
                </a:solidFill>
                <a:latin typeface="+mn-lt"/>
                <a:ea typeface="+mn-ea"/>
                <a:cs typeface="+mn-cs"/>
              </a:defRPr>
            </a:lvl5pPr>
            <a:lvl6pPr marL="2286000" algn="l" defTabSz="914400" rtl="0" eaLnBrk="1" latinLnBrk="0" hangingPunct="1">
              <a:defRPr kumimoji="1" sz="1800" kern="1200">
                <a:solidFill>
                  <a:schemeClr val="lt1"/>
                </a:solidFill>
                <a:latin typeface="+mn-lt"/>
                <a:ea typeface="+mn-ea"/>
                <a:cs typeface="+mn-cs"/>
              </a:defRPr>
            </a:lvl6pPr>
            <a:lvl7pPr marL="2743200" algn="l" defTabSz="914400" rtl="0" eaLnBrk="1" latinLnBrk="0" hangingPunct="1">
              <a:defRPr kumimoji="1" sz="1800" kern="1200">
                <a:solidFill>
                  <a:schemeClr val="lt1"/>
                </a:solidFill>
                <a:latin typeface="+mn-lt"/>
                <a:ea typeface="+mn-ea"/>
                <a:cs typeface="+mn-cs"/>
              </a:defRPr>
            </a:lvl7pPr>
            <a:lvl8pPr marL="3200400" algn="l" defTabSz="914400" rtl="0" eaLnBrk="1" latinLnBrk="0" hangingPunct="1">
              <a:defRPr kumimoji="1" sz="1800" kern="1200">
                <a:solidFill>
                  <a:schemeClr val="lt1"/>
                </a:solidFill>
                <a:latin typeface="+mn-lt"/>
                <a:ea typeface="+mn-ea"/>
                <a:cs typeface="+mn-cs"/>
              </a:defRPr>
            </a:lvl8pPr>
            <a:lvl9pPr marL="3657600" algn="l" defTabSz="914400" rtl="0" eaLnBrk="1" latinLnBrk="0" hangingPunct="1">
              <a:defRPr kumimoji="1" sz="1800" kern="1200">
                <a:solidFill>
                  <a:schemeClr val="lt1"/>
                </a:solidFill>
                <a:latin typeface="+mn-lt"/>
                <a:ea typeface="+mn-ea"/>
                <a:cs typeface="+mn-cs"/>
              </a:defRPr>
            </a:lvl9pPr>
          </a:lstStyle>
          <a:p>
            <a:pPr algn="r"/>
            <a:fld id="{31EB612A-BE85-48EF-931F-2CEC23D9A075}" type="TxLink">
              <a:rPr kumimoji="1" lang="ja-JP" altLang="en-US" sz="900" b="0" i="1" u="none" strike="noStrike">
                <a:solidFill>
                  <a:schemeClr val="bg1">
                    <a:lumMod val="50000"/>
                  </a:schemeClr>
                </a:solidFill>
                <a:latin typeface="游ゴシック"/>
                <a:ea typeface="游ゴシック"/>
              </a:rPr>
              <a:pPr algn="r"/>
              <a:t>様式：53-01 プロジェクト計画書・完了報告書 (第 4.7 版)</a:t>
            </a:fld>
            <a:endParaRPr kumimoji="1" lang="ja-JP" altLang="en-US" sz="100" b="1" i="1">
              <a:solidFill>
                <a:schemeClr val="bg1">
                  <a:lumMod val="50000"/>
                </a:schemeClr>
              </a:solidFill>
              <a:latin typeface="游ゴシック" panose="020B0400000000000000" pitchFamily="50" charset="-128"/>
              <a:ea typeface="游ゴシック" panose="020B0400000000000000" pitchFamily="50" charset="-128"/>
            </a:endParaRPr>
          </a:p>
        </xdr:txBody>
      </xdr:sp>
    </xdr:grpSp>
    <xdr:clientData/>
  </xdr:twoCellAnchor>
</xdr:wsDr>
</file>

<file path=xl/theme/theme1.xml><?xml version="1.0" encoding="utf-8"?>
<a:theme xmlns:a="http://schemas.openxmlformats.org/drawingml/2006/main" name="Office Theme 2007 - 2010">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12AD7-EBA4-4838-B1E6-A2278FD6EB3A}">
  <sheetPr codeName="Sheet1">
    <tabColor rgb="FFFFFFC8"/>
    <pageSetUpPr fitToPage="1"/>
  </sheetPr>
  <dimension ref="A1:AU181"/>
  <sheetViews>
    <sheetView showGridLines="0" tabSelected="1" zoomScaleNormal="100" zoomScaleSheetLayoutView="75" workbookViewId="0"/>
  </sheetViews>
  <sheetFormatPr defaultColWidth="3.140625" defaultRowHeight="16.5" customHeight="1"/>
  <cols>
    <col min="1" max="16384" width="3.140625" style="51"/>
  </cols>
  <sheetData>
    <row r="1" spans="1:47" ht="18" customHeight="1"/>
    <row r="2" spans="1:47" ht="18" customHeight="1" thickBot="1">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row>
    <row r="3" spans="1:47" ht="16.5" customHeight="1" thickTop="1" thickBot="1">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row>
    <row r="4" spans="1:47" ht="16.5" customHeight="1" thickBot="1">
      <c r="A4" s="53"/>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G4" s="41"/>
      <c r="AH4" s="41"/>
      <c r="AI4" s="41"/>
      <c r="AJ4" s="42"/>
      <c r="AK4" s="41"/>
      <c r="AL4" s="202" t="s">
        <v>0</v>
      </c>
      <c r="AM4" s="203"/>
      <c r="AN4" s="203"/>
      <c r="AO4" s="203"/>
      <c r="AP4" s="204"/>
      <c r="AQ4" s="202" t="str">
        <f>IF(計画_受注額&gt;=10000000,"承認(品質保証責任者)","承認(部長)")</f>
        <v>承認(部長)</v>
      </c>
      <c r="AR4" s="203"/>
      <c r="AS4" s="203"/>
      <c r="AT4" s="203"/>
      <c r="AU4" s="204"/>
    </row>
    <row r="5" spans="1:47" ht="16.5" customHeight="1">
      <c r="A5" s="53"/>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2"/>
      <c r="AK5" s="53"/>
      <c r="AL5" s="205" t="s">
        <v>1</v>
      </c>
      <c r="AM5" s="206"/>
      <c r="AN5" s="206"/>
      <c r="AO5" s="206"/>
      <c r="AP5" s="207"/>
      <c r="AQ5" s="205" t="s">
        <v>2</v>
      </c>
      <c r="AR5" s="206"/>
      <c r="AS5" s="206"/>
      <c r="AT5" s="206"/>
      <c r="AU5" s="207"/>
    </row>
    <row r="6" spans="1:47" ht="16.5" customHeight="1">
      <c r="A6" s="53"/>
      <c r="B6" s="53"/>
      <c r="C6" s="53"/>
      <c r="D6" s="43"/>
      <c r="E6" s="43"/>
      <c r="F6" s="43"/>
      <c r="G6" s="43"/>
      <c r="H6" s="43"/>
      <c r="I6" s="43"/>
      <c r="J6" s="43"/>
      <c r="K6" s="43"/>
      <c r="L6" s="43"/>
      <c r="M6" s="43"/>
      <c r="N6" s="43"/>
      <c r="O6" s="43"/>
      <c r="P6" s="43"/>
      <c r="Q6" s="43"/>
      <c r="R6" s="43"/>
      <c r="S6" s="43"/>
      <c r="T6" s="43"/>
      <c r="U6" s="43"/>
      <c r="V6" s="53"/>
      <c r="W6" s="43"/>
      <c r="X6" s="43"/>
      <c r="Y6" s="43"/>
      <c r="Z6" s="43"/>
      <c r="AA6" s="43"/>
      <c r="AB6" s="43"/>
      <c r="AC6" s="43"/>
      <c r="AD6" s="43"/>
      <c r="AE6" s="43"/>
      <c r="AF6" s="43"/>
      <c r="AG6" s="43"/>
      <c r="AH6" s="43"/>
      <c r="AI6" s="43"/>
      <c r="AJ6" s="43"/>
      <c r="AK6" s="43"/>
      <c r="AL6" s="208"/>
      <c r="AM6" s="209"/>
      <c r="AN6" s="209"/>
      <c r="AO6" s="209"/>
      <c r="AP6" s="210"/>
      <c r="AQ6" s="208"/>
      <c r="AR6" s="209"/>
      <c r="AS6" s="209"/>
      <c r="AT6" s="209"/>
      <c r="AU6" s="210"/>
    </row>
    <row r="7" spans="1:47" ht="16.5" customHeight="1">
      <c r="A7" s="53"/>
      <c r="B7" s="43"/>
      <c r="C7" s="43"/>
      <c r="D7" s="43"/>
      <c r="E7" s="43"/>
      <c r="F7" s="43"/>
      <c r="G7" s="43"/>
      <c r="H7" s="43"/>
      <c r="I7" s="43"/>
      <c r="J7" s="43"/>
      <c r="K7" s="43"/>
      <c r="L7" s="43"/>
      <c r="M7" s="43"/>
      <c r="N7" s="43"/>
      <c r="O7" s="43"/>
      <c r="P7" s="43"/>
      <c r="Q7" s="43"/>
      <c r="R7" s="43"/>
      <c r="S7" s="43"/>
      <c r="T7" s="43"/>
      <c r="U7" s="43"/>
      <c r="V7" s="53"/>
      <c r="W7" s="43"/>
      <c r="X7" s="43"/>
      <c r="Y7" s="43"/>
      <c r="Z7" s="43"/>
      <c r="AA7" s="43"/>
      <c r="AB7" s="43"/>
      <c r="AC7" s="43"/>
      <c r="AD7" s="43"/>
      <c r="AE7" s="43"/>
      <c r="AF7" s="43"/>
      <c r="AG7" s="43"/>
      <c r="AH7" s="43"/>
      <c r="AI7" s="43"/>
      <c r="AJ7" s="43"/>
      <c r="AK7" s="43"/>
      <c r="AL7" s="211"/>
      <c r="AM7" s="212"/>
      <c r="AN7" s="212"/>
      <c r="AO7" s="212"/>
      <c r="AP7" s="213"/>
      <c r="AQ7" s="211"/>
      <c r="AR7" s="212"/>
      <c r="AS7" s="212"/>
      <c r="AT7" s="212"/>
      <c r="AU7" s="213"/>
    </row>
    <row r="8" spans="1:47" ht="16.5" customHeight="1" thickBot="1">
      <c r="A8" s="53"/>
      <c r="B8" s="43"/>
      <c r="C8" s="43"/>
      <c r="D8" s="43"/>
      <c r="E8" s="43"/>
      <c r="F8" s="43"/>
      <c r="G8" s="43"/>
      <c r="H8" s="43"/>
      <c r="I8" s="43"/>
      <c r="J8" s="43"/>
      <c r="K8" s="43"/>
      <c r="L8" s="43"/>
      <c r="M8" s="43"/>
      <c r="N8" s="43"/>
      <c r="O8" s="43"/>
      <c r="P8" s="43"/>
      <c r="Q8" s="43"/>
      <c r="R8" s="43"/>
      <c r="S8" s="43"/>
      <c r="T8" s="43"/>
      <c r="U8" s="43"/>
      <c r="V8" s="53"/>
      <c r="W8" s="43"/>
      <c r="X8" s="43"/>
      <c r="Y8" s="43"/>
      <c r="Z8" s="43"/>
      <c r="AA8" s="43"/>
      <c r="AB8" s="43"/>
      <c r="AC8" s="43"/>
      <c r="AD8" s="43"/>
      <c r="AE8" s="43"/>
      <c r="AF8" s="43"/>
      <c r="AG8" s="43"/>
      <c r="AH8" s="43"/>
      <c r="AI8" s="43"/>
      <c r="AJ8" s="43"/>
      <c r="AK8" s="43"/>
      <c r="AL8" s="214">
        <v>45810</v>
      </c>
      <c r="AM8" s="215"/>
      <c r="AN8" s="215"/>
      <c r="AO8" s="215"/>
      <c r="AP8" s="216"/>
      <c r="AQ8" s="214">
        <v>45812</v>
      </c>
      <c r="AR8" s="215"/>
      <c r="AS8" s="215"/>
      <c r="AT8" s="215"/>
      <c r="AU8" s="216"/>
    </row>
    <row r="9" spans="1:47" ht="16.5" customHeight="1">
      <c r="A9" s="53"/>
      <c r="B9" s="43"/>
      <c r="C9" s="43"/>
      <c r="D9" s="43"/>
      <c r="E9" s="43"/>
      <c r="F9" s="43"/>
      <c r="G9" s="43"/>
      <c r="H9" s="43"/>
      <c r="I9" s="43"/>
      <c r="J9" s="43"/>
      <c r="K9" s="43"/>
      <c r="L9" s="43"/>
      <c r="M9" s="43"/>
      <c r="N9" s="43"/>
      <c r="O9" s="43"/>
      <c r="P9" s="43"/>
      <c r="Q9" s="43"/>
      <c r="R9" s="43"/>
      <c r="S9" s="43"/>
      <c r="T9" s="43"/>
      <c r="U9" s="43"/>
      <c r="V9" s="53"/>
      <c r="W9" s="43"/>
      <c r="X9" s="43"/>
      <c r="Y9" s="43"/>
      <c r="Z9" s="43"/>
      <c r="AA9" s="43"/>
      <c r="AB9" s="43"/>
      <c r="AC9" s="43"/>
      <c r="AD9" s="43"/>
      <c r="AE9" s="43"/>
      <c r="AF9" s="43"/>
      <c r="AG9" s="43"/>
      <c r="AH9" s="43"/>
      <c r="AI9" s="43"/>
      <c r="AJ9" s="43"/>
      <c r="AK9" s="43"/>
      <c r="AL9" s="44"/>
      <c r="AM9" s="44"/>
      <c r="AN9" s="44"/>
      <c r="AO9" s="44"/>
      <c r="AP9" s="44"/>
      <c r="AQ9" s="44"/>
      <c r="AR9" s="44"/>
      <c r="AS9" s="44"/>
      <c r="AT9" s="44"/>
      <c r="AU9" s="44"/>
    </row>
    <row r="10" spans="1:47" ht="16.5" customHeight="1">
      <c r="A10" s="53"/>
      <c r="B10" s="54" t="s">
        <v>3</v>
      </c>
      <c r="C10" s="43"/>
      <c r="D10" s="43"/>
      <c r="E10" s="43"/>
      <c r="F10" s="4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row>
    <row r="11" spans="1:47" s="57" customFormat="1" ht="16.5" customHeight="1">
      <c r="A11" s="55"/>
      <c r="B11" s="197" t="s">
        <v>4</v>
      </c>
      <c r="C11" s="197"/>
      <c r="D11" s="197"/>
      <c r="E11" s="197"/>
      <c r="F11" s="197"/>
      <c r="G11" s="197"/>
      <c r="H11" s="197"/>
      <c r="I11" s="197"/>
      <c r="J11" s="197"/>
      <c r="K11" s="197"/>
      <c r="L11" s="198" t="s">
        <v>5</v>
      </c>
      <c r="M11" s="198"/>
      <c r="N11" s="198"/>
      <c r="O11" s="198"/>
      <c r="P11" s="198"/>
      <c r="Q11" s="198"/>
      <c r="R11" s="198"/>
      <c r="S11" s="198"/>
      <c r="T11" s="198"/>
      <c r="U11" s="198"/>
      <c r="V11" s="198"/>
      <c r="W11" s="198"/>
      <c r="X11" s="198"/>
      <c r="Y11" s="197" t="s">
        <v>6</v>
      </c>
      <c r="Z11" s="197"/>
      <c r="AA11" s="197"/>
      <c r="AB11" s="197"/>
      <c r="AC11" s="197"/>
      <c r="AD11" s="197"/>
      <c r="AE11" s="197"/>
      <c r="AF11" s="197"/>
      <c r="AG11" s="197"/>
      <c r="AH11" s="197"/>
      <c r="AI11" s="199">
        <f>計画_開始日</f>
        <v>45817</v>
      </c>
      <c r="AJ11" s="200"/>
      <c r="AK11" s="200"/>
      <c r="AL11" s="200"/>
      <c r="AM11" s="200"/>
      <c r="AN11" s="200"/>
      <c r="AO11" s="56" t="s">
        <v>7</v>
      </c>
      <c r="AP11" s="200">
        <f>計画_終了日</f>
        <v>45856</v>
      </c>
      <c r="AQ11" s="200"/>
      <c r="AR11" s="200"/>
      <c r="AS11" s="200"/>
      <c r="AT11" s="200"/>
      <c r="AU11" s="201"/>
    </row>
    <row r="12" spans="1:47" s="57" customFormat="1" ht="16.5" customHeight="1">
      <c r="A12" s="55"/>
      <c r="B12" s="180" t="s">
        <v>8</v>
      </c>
      <c r="C12" s="181"/>
      <c r="D12" s="181"/>
      <c r="E12" s="181"/>
      <c r="F12" s="181"/>
      <c r="G12" s="181"/>
      <c r="H12" s="181"/>
      <c r="I12" s="181"/>
      <c r="J12" s="181"/>
      <c r="K12" s="182"/>
      <c r="L12" s="138" t="s">
        <v>9</v>
      </c>
      <c r="M12" s="139"/>
      <c r="N12" s="139"/>
      <c r="O12" s="139"/>
      <c r="P12" s="139"/>
      <c r="Q12" s="139"/>
      <c r="R12" s="139"/>
      <c r="S12" s="139"/>
      <c r="T12" s="139"/>
      <c r="U12" s="139"/>
      <c r="V12" s="139"/>
      <c r="W12" s="139"/>
      <c r="X12" s="139"/>
      <c r="Y12" s="139"/>
      <c r="Z12" s="139"/>
      <c r="AA12" s="139"/>
      <c r="AB12" s="139"/>
      <c r="AC12" s="139"/>
      <c r="AD12" s="139"/>
      <c r="AE12" s="139"/>
      <c r="AF12" s="139"/>
      <c r="AG12" s="139"/>
      <c r="AH12" s="139"/>
      <c r="AI12" s="139"/>
      <c r="AJ12" s="139"/>
      <c r="AK12" s="139"/>
      <c r="AL12" s="139"/>
      <c r="AM12" s="139"/>
      <c r="AN12" s="139"/>
      <c r="AO12" s="139"/>
      <c r="AP12" s="139"/>
      <c r="AQ12" s="139"/>
      <c r="AR12" s="139"/>
      <c r="AS12" s="139"/>
      <c r="AT12" s="139"/>
      <c r="AU12" s="140"/>
    </row>
    <row r="13" spans="1:47" s="57" customFormat="1" ht="16.5" customHeight="1">
      <c r="A13" s="55"/>
      <c r="B13" s="180" t="s">
        <v>10</v>
      </c>
      <c r="C13" s="181"/>
      <c r="D13" s="181"/>
      <c r="E13" s="181"/>
      <c r="F13" s="181"/>
      <c r="G13" s="181"/>
      <c r="H13" s="181"/>
      <c r="I13" s="181"/>
      <c r="J13" s="181"/>
      <c r="K13" s="182"/>
      <c r="L13" s="138" t="s">
        <v>11</v>
      </c>
      <c r="M13" s="139"/>
      <c r="N13" s="139"/>
      <c r="O13" s="139"/>
      <c r="P13" s="139"/>
      <c r="Q13" s="139"/>
      <c r="R13" s="139"/>
      <c r="S13" s="139"/>
      <c r="T13" s="139"/>
      <c r="U13" s="139"/>
      <c r="V13" s="139"/>
      <c r="W13" s="139"/>
      <c r="X13" s="139"/>
      <c r="Y13" s="139"/>
      <c r="Z13" s="139"/>
      <c r="AA13" s="139"/>
      <c r="AB13" s="139"/>
      <c r="AC13" s="139"/>
      <c r="AD13" s="139"/>
      <c r="AE13" s="139"/>
      <c r="AF13" s="139"/>
      <c r="AG13" s="139"/>
      <c r="AH13" s="139"/>
      <c r="AI13" s="139"/>
      <c r="AJ13" s="139"/>
      <c r="AK13" s="139"/>
      <c r="AL13" s="139"/>
      <c r="AM13" s="139"/>
      <c r="AN13" s="139"/>
      <c r="AO13" s="139"/>
      <c r="AP13" s="139"/>
      <c r="AQ13" s="139"/>
      <c r="AR13" s="139"/>
      <c r="AS13" s="139"/>
      <c r="AT13" s="139"/>
      <c r="AU13" s="140"/>
    </row>
    <row r="14" spans="1:47" s="57" customFormat="1" ht="16.5" customHeight="1">
      <c r="A14" s="55"/>
      <c r="B14" s="197" t="s">
        <v>12</v>
      </c>
      <c r="C14" s="197"/>
      <c r="D14" s="197"/>
      <c r="E14" s="197"/>
      <c r="F14" s="197"/>
      <c r="G14" s="197"/>
      <c r="H14" s="197"/>
      <c r="I14" s="197"/>
      <c r="J14" s="197"/>
      <c r="K14" s="197"/>
      <c r="L14" s="218" t="s">
        <v>13</v>
      </c>
      <c r="M14" s="218"/>
      <c r="N14" s="218"/>
      <c r="O14" s="218"/>
      <c r="P14" s="218"/>
      <c r="Q14" s="218"/>
      <c r="R14" s="218"/>
      <c r="S14" s="218"/>
      <c r="T14" s="218"/>
      <c r="U14" s="218"/>
      <c r="V14" s="218"/>
      <c r="W14" s="218"/>
      <c r="X14" s="218"/>
      <c r="Y14" s="197" t="s">
        <v>14</v>
      </c>
      <c r="Z14" s="197"/>
      <c r="AA14" s="197"/>
      <c r="AB14" s="197"/>
      <c r="AC14" s="197"/>
      <c r="AD14" s="197"/>
      <c r="AE14" s="197"/>
      <c r="AF14" s="197"/>
      <c r="AG14" s="197"/>
      <c r="AH14" s="196"/>
      <c r="AI14" s="218" t="s">
        <v>15</v>
      </c>
      <c r="AJ14" s="218"/>
      <c r="AK14" s="218"/>
      <c r="AL14" s="218"/>
      <c r="AM14" s="218"/>
      <c r="AN14" s="218"/>
      <c r="AO14" s="218"/>
      <c r="AP14" s="218"/>
      <c r="AQ14" s="218"/>
      <c r="AR14" s="218"/>
      <c r="AS14" s="218"/>
      <c r="AT14" s="218"/>
      <c r="AU14" s="218"/>
    </row>
    <row r="15" spans="1:47" s="57" customFormat="1" ht="16.5" customHeight="1">
      <c r="A15" s="55"/>
      <c r="B15" s="180" t="s">
        <v>16</v>
      </c>
      <c r="C15" s="181"/>
      <c r="D15" s="181"/>
      <c r="E15" s="181"/>
      <c r="F15" s="181"/>
      <c r="G15" s="181"/>
      <c r="H15" s="181"/>
      <c r="I15" s="181"/>
      <c r="J15" s="181"/>
      <c r="K15" s="182"/>
      <c r="L15" s="193" t="s">
        <v>17</v>
      </c>
      <c r="M15" s="194"/>
      <c r="N15" s="194"/>
      <c r="O15" s="194"/>
      <c r="P15" s="194"/>
      <c r="Q15" s="194"/>
      <c r="R15" s="194"/>
      <c r="S15" s="194"/>
      <c r="T15" s="194"/>
      <c r="U15" s="194"/>
      <c r="V15" s="194"/>
      <c r="W15" s="194"/>
      <c r="X15" s="195"/>
      <c r="Y15" s="196" t="s">
        <v>18</v>
      </c>
      <c r="Z15" s="196"/>
      <c r="AA15" s="196"/>
      <c r="AB15" s="196"/>
      <c r="AC15" s="196"/>
      <c r="AD15" s="196"/>
      <c r="AE15" s="196"/>
      <c r="AF15" s="196"/>
      <c r="AG15" s="196"/>
      <c r="AH15" s="196"/>
      <c r="AI15" s="217" t="s">
        <v>19</v>
      </c>
      <c r="AJ15" s="217"/>
      <c r="AK15" s="217"/>
      <c r="AL15" s="217"/>
      <c r="AM15" s="217"/>
      <c r="AN15" s="217"/>
      <c r="AO15" s="217"/>
      <c r="AP15" s="217"/>
      <c r="AQ15" s="217"/>
      <c r="AR15" s="217"/>
      <c r="AS15" s="217"/>
      <c r="AT15" s="217"/>
      <c r="AU15" s="217"/>
    </row>
    <row r="16" spans="1:47" s="57" customFormat="1" ht="16.5" customHeight="1">
      <c r="A16" s="55"/>
      <c r="B16" s="196" t="s">
        <v>20</v>
      </c>
      <c r="C16" s="196"/>
      <c r="D16" s="196"/>
      <c r="E16" s="196"/>
      <c r="F16" s="196"/>
      <c r="G16" s="196"/>
      <c r="H16" s="196"/>
      <c r="I16" s="196"/>
      <c r="J16" s="196"/>
      <c r="K16" s="196"/>
      <c r="L16" s="219" t="s">
        <v>21</v>
      </c>
      <c r="M16" s="219"/>
      <c r="N16" s="219"/>
      <c r="O16" s="219"/>
      <c r="P16" s="219"/>
      <c r="Q16" s="219"/>
      <c r="R16" s="219"/>
      <c r="S16" s="219"/>
      <c r="T16" s="219"/>
      <c r="U16" s="219"/>
      <c r="V16" s="219"/>
      <c r="W16" s="219"/>
      <c r="X16" s="219"/>
      <c r="Y16" s="197" t="s">
        <v>22</v>
      </c>
      <c r="Z16" s="197"/>
      <c r="AA16" s="197"/>
      <c r="AB16" s="197"/>
      <c r="AC16" s="197"/>
      <c r="AD16" s="197"/>
      <c r="AE16" s="197"/>
      <c r="AF16" s="197"/>
      <c r="AG16" s="197"/>
      <c r="AH16" s="197"/>
      <c r="AI16" s="218" t="s">
        <v>23</v>
      </c>
      <c r="AJ16" s="218"/>
      <c r="AK16" s="218"/>
      <c r="AL16" s="218"/>
      <c r="AM16" s="218"/>
      <c r="AN16" s="218"/>
      <c r="AO16" s="218"/>
      <c r="AP16" s="218"/>
      <c r="AQ16" s="218"/>
      <c r="AR16" s="218"/>
      <c r="AS16" s="218"/>
      <c r="AT16" s="218"/>
      <c r="AU16" s="218"/>
    </row>
    <row r="17" spans="1:47" s="57" customFormat="1" ht="16.5" customHeight="1">
      <c r="A17" s="55"/>
      <c r="B17" s="180" t="s">
        <v>24</v>
      </c>
      <c r="C17" s="181"/>
      <c r="D17" s="181"/>
      <c r="E17" s="181"/>
      <c r="F17" s="181"/>
      <c r="G17" s="181"/>
      <c r="H17" s="181"/>
      <c r="I17" s="181"/>
      <c r="J17" s="181"/>
      <c r="K17" s="182"/>
      <c r="L17" s="193" t="s">
        <v>25</v>
      </c>
      <c r="M17" s="194"/>
      <c r="N17" s="194"/>
      <c r="O17" s="194"/>
      <c r="P17" s="194"/>
      <c r="Q17" s="194"/>
      <c r="R17" s="194"/>
      <c r="S17" s="194"/>
      <c r="T17" s="194"/>
      <c r="U17" s="194"/>
      <c r="V17" s="194"/>
      <c r="W17" s="194"/>
      <c r="X17" s="195"/>
      <c r="Y17" s="196" t="s">
        <v>26</v>
      </c>
      <c r="Z17" s="196"/>
      <c r="AA17" s="196"/>
      <c r="AB17" s="196"/>
      <c r="AC17" s="196"/>
      <c r="AD17" s="196"/>
      <c r="AE17" s="196"/>
      <c r="AF17" s="196"/>
      <c r="AG17" s="196"/>
      <c r="AH17" s="196"/>
      <c r="AI17" s="217" t="s">
        <v>27</v>
      </c>
      <c r="AJ17" s="217"/>
      <c r="AK17" s="217"/>
      <c r="AL17" s="217"/>
      <c r="AM17" s="217"/>
      <c r="AN17" s="217"/>
      <c r="AO17" s="217"/>
      <c r="AP17" s="217"/>
      <c r="AQ17" s="217"/>
      <c r="AR17" s="217"/>
      <c r="AS17" s="217"/>
      <c r="AT17" s="217"/>
      <c r="AU17" s="217"/>
    </row>
    <row r="18" spans="1:47" s="57" customFormat="1" ht="16.5" customHeight="1">
      <c r="A18" s="55"/>
      <c r="B18" s="196" t="s">
        <v>28</v>
      </c>
      <c r="C18" s="196"/>
      <c r="D18" s="196"/>
      <c r="E18" s="196"/>
      <c r="F18" s="196"/>
      <c r="G18" s="196"/>
      <c r="H18" s="196"/>
      <c r="I18" s="196"/>
      <c r="J18" s="196"/>
      <c r="K18" s="196"/>
      <c r="L18" s="220">
        <f>IF(計画_売上="",0,計画_売上)+IF(計画_物販売上="",0,計画_物販売上)</f>
        <v>1000000</v>
      </c>
      <c r="M18" s="220"/>
      <c r="N18" s="220"/>
      <c r="O18" s="220"/>
      <c r="P18" s="220"/>
      <c r="Q18" s="220"/>
      <c r="R18" s="220"/>
      <c r="S18" s="220"/>
      <c r="T18" s="220"/>
      <c r="U18" s="220"/>
      <c r="V18" s="220"/>
      <c r="W18" s="220"/>
      <c r="X18" s="220"/>
      <c r="Y18" s="197" t="s">
        <v>29</v>
      </c>
      <c r="Z18" s="197"/>
      <c r="AA18" s="197"/>
      <c r="AB18" s="197"/>
      <c r="AC18" s="197"/>
      <c r="AD18" s="197"/>
      <c r="AE18" s="197"/>
      <c r="AF18" s="197"/>
      <c r="AG18" s="197"/>
      <c r="AH18" s="197"/>
      <c r="AI18" s="218" t="s">
        <v>30</v>
      </c>
      <c r="AJ18" s="218"/>
      <c r="AK18" s="218"/>
      <c r="AL18" s="218"/>
      <c r="AM18" s="218"/>
      <c r="AN18" s="218"/>
      <c r="AO18" s="218"/>
      <c r="AP18" s="218"/>
      <c r="AQ18" s="218"/>
      <c r="AR18" s="218"/>
      <c r="AS18" s="218"/>
      <c r="AT18" s="218"/>
      <c r="AU18" s="218"/>
    </row>
    <row r="19" spans="1:47" s="57" customFormat="1" ht="16.5" customHeight="1">
      <c r="A19" s="55"/>
      <c r="B19" s="221" t="s">
        <v>31</v>
      </c>
      <c r="C19" s="222"/>
      <c r="D19" s="222"/>
      <c r="E19" s="222"/>
      <c r="F19" s="222"/>
      <c r="G19" s="222"/>
      <c r="H19" s="222"/>
      <c r="I19" s="222"/>
      <c r="J19" s="222"/>
      <c r="K19" s="223"/>
      <c r="L19" s="227" t="s">
        <v>32</v>
      </c>
      <c r="M19" s="228"/>
      <c r="N19" s="228"/>
      <c r="O19" s="228"/>
      <c r="P19" s="228"/>
      <c r="Q19" s="228"/>
      <c r="R19" s="228"/>
      <c r="S19" s="228"/>
      <c r="T19" s="228"/>
      <c r="U19" s="228"/>
      <c r="V19" s="228"/>
      <c r="W19" s="228"/>
      <c r="X19" s="228"/>
      <c r="Y19" s="228"/>
      <c r="Z19" s="228"/>
      <c r="AA19" s="228"/>
      <c r="AB19" s="228"/>
      <c r="AC19" s="228"/>
      <c r="AD19" s="228"/>
      <c r="AE19" s="228"/>
      <c r="AF19" s="228"/>
      <c r="AG19" s="228"/>
      <c r="AH19" s="228"/>
      <c r="AI19" s="228"/>
      <c r="AJ19" s="228"/>
      <c r="AK19" s="228"/>
      <c r="AL19" s="228"/>
      <c r="AM19" s="228"/>
      <c r="AN19" s="228"/>
      <c r="AO19" s="228"/>
      <c r="AP19" s="228"/>
      <c r="AQ19" s="228"/>
      <c r="AR19" s="228"/>
      <c r="AS19" s="228"/>
      <c r="AT19" s="228"/>
      <c r="AU19" s="229"/>
    </row>
    <row r="20" spans="1:47" s="57" customFormat="1" ht="16.5" customHeight="1">
      <c r="B20" s="224"/>
      <c r="C20" s="225"/>
      <c r="D20" s="225"/>
      <c r="E20" s="225"/>
      <c r="F20" s="225"/>
      <c r="G20" s="225"/>
      <c r="H20" s="225"/>
      <c r="I20" s="225"/>
      <c r="J20" s="225"/>
      <c r="K20" s="226"/>
      <c r="L20" s="230"/>
      <c r="M20" s="231"/>
      <c r="N20" s="231"/>
      <c r="O20" s="231"/>
      <c r="P20" s="231"/>
      <c r="Q20" s="231"/>
      <c r="R20" s="231"/>
      <c r="S20" s="231"/>
      <c r="T20" s="231"/>
      <c r="U20" s="231"/>
      <c r="V20" s="231"/>
      <c r="W20" s="231"/>
      <c r="X20" s="231"/>
      <c r="Y20" s="231"/>
      <c r="Z20" s="231"/>
      <c r="AA20" s="231"/>
      <c r="AB20" s="231"/>
      <c r="AC20" s="231"/>
      <c r="AD20" s="231"/>
      <c r="AE20" s="231"/>
      <c r="AF20" s="231"/>
      <c r="AG20" s="231"/>
      <c r="AH20" s="231"/>
      <c r="AI20" s="231"/>
      <c r="AJ20" s="231"/>
      <c r="AK20" s="231"/>
      <c r="AL20" s="231"/>
      <c r="AM20" s="231"/>
      <c r="AN20" s="231"/>
      <c r="AO20" s="231"/>
      <c r="AP20" s="231"/>
      <c r="AQ20" s="231"/>
      <c r="AR20" s="231"/>
      <c r="AS20" s="231"/>
      <c r="AT20" s="231"/>
      <c r="AU20" s="232"/>
    </row>
    <row r="21" spans="1:47" s="57" customFormat="1" ht="16.5" customHeight="1">
      <c r="B21" s="58"/>
      <c r="C21" s="58"/>
      <c r="D21" s="58"/>
      <c r="E21" s="58"/>
      <c r="F21" s="58"/>
      <c r="G21" s="58"/>
      <c r="H21" s="58"/>
      <c r="I21" s="58"/>
      <c r="J21" s="58"/>
      <c r="K21" s="58"/>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row>
    <row r="22" spans="1:47" s="46" customFormat="1" ht="16.5" customHeight="1">
      <c r="B22" s="45" t="s">
        <v>33</v>
      </c>
    </row>
    <row r="23" spans="1:47" s="57" customFormat="1" ht="16.5" customHeight="1">
      <c r="B23" s="180" t="s">
        <v>34</v>
      </c>
      <c r="C23" s="181"/>
      <c r="D23" s="181"/>
      <c r="E23" s="181"/>
      <c r="F23" s="181"/>
      <c r="G23" s="181"/>
      <c r="H23" s="181"/>
      <c r="I23" s="181"/>
      <c r="J23" s="181"/>
      <c r="K23" s="182"/>
      <c r="L23" s="183" t="s">
        <v>35</v>
      </c>
      <c r="M23" s="183"/>
      <c r="N23" s="183"/>
      <c r="O23" s="183"/>
      <c r="P23" s="183"/>
      <c r="Q23" s="183"/>
      <c r="R23" s="183"/>
      <c r="S23" s="183"/>
      <c r="T23" s="183"/>
      <c r="U23" s="183"/>
      <c r="V23" s="183"/>
      <c r="W23" s="183"/>
      <c r="X23" s="183"/>
      <c r="Y23" s="180" t="s">
        <v>36</v>
      </c>
      <c r="Z23" s="181"/>
      <c r="AA23" s="181"/>
      <c r="AB23" s="181"/>
      <c r="AC23" s="181"/>
      <c r="AD23" s="181"/>
      <c r="AE23" s="181"/>
      <c r="AF23" s="181"/>
      <c r="AG23" s="181"/>
      <c r="AH23" s="182"/>
      <c r="AI23" s="184" t="s">
        <v>37</v>
      </c>
      <c r="AJ23" s="185"/>
      <c r="AK23" s="185"/>
      <c r="AL23" s="185"/>
      <c r="AM23" s="185"/>
      <c r="AN23" s="185"/>
      <c r="AO23" s="185"/>
      <c r="AP23" s="185"/>
      <c r="AQ23" s="185"/>
      <c r="AR23" s="185"/>
      <c r="AS23" s="185"/>
      <c r="AT23" s="185"/>
      <c r="AU23" s="186"/>
    </row>
    <row r="24" spans="1:47" s="57" customFormat="1" ht="16.5" customHeight="1">
      <c r="B24" s="197" t="s">
        <v>38</v>
      </c>
      <c r="C24" s="197"/>
      <c r="D24" s="197"/>
      <c r="E24" s="197"/>
      <c r="F24" s="197"/>
      <c r="G24" s="197"/>
      <c r="H24" s="197"/>
      <c r="I24" s="197"/>
      <c r="J24" s="197"/>
      <c r="K24" s="196"/>
      <c r="L24" s="183" t="s">
        <v>35</v>
      </c>
      <c r="M24" s="183"/>
      <c r="N24" s="183"/>
      <c r="O24" s="183"/>
      <c r="P24" s="183"/>
      <c r="Q24" s="183"/>
      <c r="R24" s="183"/>
      <c r="S24" s="183"/>
      <c r="T24" s="183"/>
      <c r="U24" s="183"/>
      <c r="V24" s="183"/>
      <c r="W24" s="183"/>
      <c r="X24" s="183"/>
      <c r="Y24" s="180" t="s">
        <v>39</v>
      </c>
      <c r="Z24" s="181"/>
      <c r="AA24" s="181"/>
      <c r="AB24" s="181"/>
      <c r="AC24" s="181"/>
      <c r="AD24" s="181"/>
      <c r="AE24" s="181"/>
      <c r="AF24" s="181"/>
      <c r="AG24" s="181"/>
      <c r="AH24" s="182"/>
      <c r="AI24" s="183" t="s">
        <v>35</v>
      </c>
      <c r="AJ24" s="183"/>
      <c r="AK24" s="183"/>
      <c r="AL24" s="183"/>
      <c r="AM24" s="183"/>
      <c r="AN24" s="183"/>
      <c r="AO24" s="183"/>
      <c r="AP24" s="183"/>
      <c r="AQ24" s="183"/>
      <c r="AR24" s="183"/>
      <c r="AS24" s="183"/>
      <c r="AT24" s="183"/>
      <c r="AU24" s="183"/>
    </row>
    <row r="25" spans="1:47" s="57" customFormat="1" ht="16.5" customHeight="1">
      <c r="B25" s="197" t="s">
        <v>40</v>
      </c>
      <c r="C25" s="197"/>
      <c r="D25" s="197"/>
      <c r="E25" s="197"/>
      <c r="F25" s="197"/>
      <c r="G25" s="197"/>
      <c r="H25" s="197"/>
      <c r="I25" s="197"/>
      <c r="J25" s="197"/>
      <c r="K25" s="196"/>
      <c r="L25" s="183" t="s">
        <v>35</v>
      </c>
      <c r="M25" s="183"/>
      <c r="N25" s="183"/>
      <c r="O25" s="183"/>
      <c r="P25" s="183"/>
      <c r="Q25" s="183"/>
      <c r="R25" s="183"/>
      <c r="S25" s="183"/>
      <c r="T25" s="183"/>
      <c r="U25" s="183"/>
      <c r="V25" s="183"/>
      <c r="W25" s="183"/>
      <c r="X25" s="183"/>
      <c r="Y25" s="180" t="s">
        <v>41</v>
      </c>
      <c r="Z25" s="181"/>
      <c r="AA25" s="181"/>
      <c r="AB25" s="181"/>
      <c r="AC25" s="181"/>
      <c r="AD25" s="181"/>
      <c r="AE25" s="181"/>
      <c r="AF25" s="181"/>
      <c r="AG25" s="181"/>
      <c r="AH25" s="182"/>
      <c r="AI25" s="183" t="s">
        <v>35</v>
      </c>
      <c r="AJ25" s="183"/>
      <c r="AK25" s="183"/>
      <c r="AL25" s="183"/>
      <c r="AM25" s="183"/>
      <c r="AN25" s="183"/>
      <c r="AO25" s="183"/>
      <c r="AP25" s="183"/>
      <c r="AQ25" s="183"/>
      <c r="AR25" s="183"/>
      <c r="AS25" s="183"/>
      <c r="AT25" s="183"/>
      <c r="AU25" s="183"/>
    </row>
    <row r="26" spans="1:47" s="57" customFormat="1" ht="16.5" customHeight="1">
      <c r="A26" s="55"/>
      <c r="B26" s="187" t="s">
        <v>42</v>
      </c>
      <c r="C26" s="180" t="s">
        <v>43</v>
      </c>
      <c r="D26" s="181"/>
      <c r="E26" s="181"/>
      <c r="F26" s="181"/>
      <c r="G26" s="181"/>
      <c r="H26" s="181"/>
      <c r="I26" s="181"/>
      <c r="J26" s="181"/>
      <c r="K26" s="182"/>
      <c r="L26" s="183" t="s">
        <v>35</v>
      </c>
      <c r="M26" s="183"/>
      <c r="N26" s="183"/>
      <c r="O26" s="183"/>
      <c r="P26" s="183"/>
      <c r="Q26" s="183"/>
      <c r="R26" s="183"/>
      <c r="S26" s="183"/>
      <c r="T26" s="183"/>
      <c r="U26" s="183"/>
      <c r="V26" s="183"/>
      <c r="W26" s="183"/>
      <c r="X26" s="183"/>
      <c r="Y26" s="187" t="s">
        <v>44</v>
      </c>
      <c r="Z26" s="180" t="s">
        <v>45</v>
      </c>
      <c r="AA26" s="181"/>
      <c r="AB26" s="181"/>
      <c r="AC26" s="181"/>
      <c r="AD26" s="181"/>
      <c r="AE26" s="181"/>
      <c r="AF26" s="181"/>
      <c r="AG26" s="181"/>
      <c r="AH26" s="182"/>
      <c r="AI26" s="183" t="s">
        <v>35</v>
      </c>
      <c r="AJ26" s="183"/>
      <c r="AK26" s="183"/>
      <c r="AL26" s="183"/>
      <c r="AM26" s="183"/>
      <c r="AN26" s="183"/>
      <c r="AO26" s="183"/>
      <c r="AP26" s="183"/>
      <c r="AQ26" s="183"/>
      <c r="AR26" s="183"/>
      <c r="AS26" s="183"/>
      <c r="AT26" s="183"/>
      <c r="AU26" s="183"/>
    </row>
    <row r="27" spans="1:47" s="57" customFormat="1" ht="16.5" customHeight="1">
      <c r="A27" s="55"/>
      <c r="B27" s="188"/>
      <c r="C27" s="180" t="s">
        <v>46</v>
      </c>
      <c r="D27" s="181"/>
      <c r="E27" s="181"/>
      <c r="F27" s="181"/>
      <c r="G27" s="181"/>
      <c r="H27" s="181"/>
      <c r="I27" s="181"/>
      <c r="J27" s="181"/>
      <c r="K27" s="182"/>
      <c r="L27" s="184" t="s">
        <v>47</v>
      </c>
      <c r="M27" s="185"/>
      <c r="N27" s="185"/>
      <c r="O27" s="185"/>
      <c r="P27" s="185"/>
      <c r="Q27" s="185"/>
      <c r="R27" s="185"/>
      <c r="S27" s="185"/>
      <c r="T27" s="185"/>
      <c r="U27" s="185"/>
      <c r="V27" s="185"/>
      <c r="W27" s="185"/>
      <c r="X27" s="186"/>
      <c r="Y27" s="188"/>
      <c r="Z27" s="180" t="s">
        <v>48</v>
      </c>
      <c r="AA27" s="181"/>
      <c r="AB27" s="181"/>
      <c r="AC27" s="181"/>
      <c r="AD27" s="181"/>
      <c r="AE27" s="181"/>
      <c r="AF27" s="181"/>
      <c r="AG27" s="181"/>
      <c r="AH27" s="182"/>
      <c r="AI27" s="183" t="s">
        <v>47</v>
      </c>
      <c r="AJ27" s="183"/>
      <c r="AK27" s="183"/>
      <c r="AL27" s="183"/>
      <c r="AM27" s="183"/>
      <c r="AN27" s="183"/>
      <c r="AO27" s="183"/>
      <c r="AP27" s="183"/>
      <c r="AQ27" s="183"/>
      <c r="AR27" s="183"/>
      <c r="AS27" s="183"/>
      <c r="AT27" s="183"/>
      <c r="AU27" s="183"/>
    </row>
    <row r="28" spans="1:47" s="57" customFormat="1" ht="16.5" customHeight="1">
      <c r="A28" s="55"/>
      <c r="B28" s="188"/>
      <c r="C28" s="180" t="s">
        <v>49</v>
      </c>
      <c r="D28" s="181"/>
      <c r="E28" s="181"/>
      <c r="F28" s="181"/>
      <c r="G28" s="181"/>
      <c r="H28" s="181"/>
      <c r="I28" s="181"/>
      <c r="J28" s="181"/>
      <c r="K28" s="182"/>
      <c r="L28" s="190" t="s">
        <v>35</v>
      </c>
      <c r="M28" s="191"/>
      <c r="N28" s="191"/>
      <c r="O28" s="191"/>
      <c r="P28" s="191"/>
      <c r="Q28" s="191"/>
      <c r="R28" s="191"/>
      <c r="S28" s="191"/>
      <c r="T28" s="191"/>
      <c r="U28" s="191"/>
      <c r="V28" s="191"/>
      <c r="W28" s="191"/>
      <c r="X28" s="192"/>
      <c r="Y28" s="188"/>
      <c r="Z28" s="180" t="s">
        <v>50</v>
      </c>
      <c r="AA28" s="181"/>
      <c r="AB28" s="181"/>
      <c r="AC28" s="181"/>
      <c r="AD28" s="181"/>
      <c r="AE28" s="181"/>
      <c r="AF28" s="181"/>
      <c r="AG28" s="181"/>
      <c r="AH28" s="182"/>
      <c r="AI28" s="190" t="s">
        <v>35</v>
      </c>
      <c r="AJ28" s="191"/>
      <c r="AK28" s="191"/>
      <c r="AL28" s="191"/>
      <c r="AM28" s="191"/>
      <c r="AN28" s="191"/>
      <c r="AO28" s="191"/>
      <c r="AP28" s="191"/>
      <c r="AQ28" s="191"/>
      <c r="AR28" s="191"/>
      <c r="AS28" s="191"/>
      <c r="AT28" s="191"/>
      <c r="AU28" s="192"/>
    </row>
    <row r="29" spans="1:47" s="57" customFormat="1" ht="16.5" customHeight="1">
      <c r="A29" s="55"/>
      <c r="B29" s="188"/>
      <c r="C29" s="180" t="s">
        <v>51</v>
      </c>
      <c r="D29" s="181"/>
      <c r="E29" s="181"/>
      <c r="F29" s="181"/>
      <c r="G29" s="181"/>
      <c r="H29" s="181"/>
      <c r="I29" s="181"/>
      <c r="J29" s="181"/>
      <c r="K29" s="182"/>
      <c r="L29" s="190" t="s">
        <v>35</v>
      </c>
      <c r="M29" s="191"/>
      <c r="N29" s="191"/>
      <c r="O29" s="191"/>
      <c r="P29" s="191"/>
      <c r="Q29" s="191"/>
      <c r="R29" s="191"/>
      <c r="S29" s="191"/>
      <c r="T29" s="191"/>
      <c r="U29" s="191"/>
      <c r="V29" s="191"/>
      <c r="W29" s="191"/>
      <c r="X29" s="192"/>
      <c r="Y29" s="188"/>
      <c r="Z29" s="180" t="s">
        <v>52</v>
      </c>
      <c r="AA29" s="181"/>
      <c r="AB29" s="181"/>
      <c r="AC29" s="181"/>
      <c r="AD29" s="181"/>
      <c r="AE29" s="181"/>
      <c r="AF29" s="181"/>
      <c r="AG29" s="181"/>
      <c r="AH29" s="182"/>
      <c r="AI29" s="183" t="s">
        <v>35</v>
      </c>
      <c r="AJ29" s="183"/>
      <c r="AK29" s="183"/>
      <c r="AL29" s="183"/>
      <c r="AM29" s="183"/>
      <c r="AN29" s="183"/>
      <c r="AO29" s="183"/>
      <c r="AP29" s="183"/>
      <c r="AQ29" s="183"/>
      <c r="AR29" s="183"/>
      <c r="AS29" s="183"/>
      <c r="AT29" s="183"/>
      <c r="AU29" s="183"/>
    </row>
    <row r="30" spans="1:47" s="57" customFormat="1" ht="16.5" customHeight="1">
      <c r="A30" s="55"/>
      <c r="B30" s="189"/>
      <c r="C30" s="180" t="s">
        <v>53</v>
      </c>
      <c r="D30" s="181"/>
      <c r="E30" s="181"/>
      <c r="F30" s="181"/>
      <c r="G30" s="181"/>
      <c r="H30" s="181"/>
      <c r="I30" s="181"/>
      <c r="J30" s="181"/>
      <c r="K30" s="182"/>
      <c r="L30" s="183" t="s">
        <v>35</v>
      </c>
      <c r="M30" s="183"/>
      <c r="N30" s="183"/>
      <c r="O30" s="183"/>
      <c r="P30" s="183"/>
      <c r="Q30" s="183"/>
      <c r="R30" s="183"/>
      <c r="S30" s="183"/>
      <c r="T30" s="183"/>
      <c r="U30" s="183"/>
      <c r="V30" s="183"/>
      <c r="W30" s="183"/>
      <c r="X30" s="183"/>
      <c r="Y30" s="189"/>
      <c r="Z30" s="180" t="s">
        <v>53</v>
      </c>
      <c r="AA30" s="181"/>
      <c r="AB30" s="181"/>
      <c r="AC30" s="181"/>
      <c r="AD30" s="181"/>
      <c r="AE30" s="181"/>
      <c r="AF30" s="181"/>
      <c r="AG30" s="181"/>
      <c r="AH30" s="182"/>
      <c r="AI30" s="183" t="s">
        <v>35</v>
      </c>
      <c r="AJ30" s="183"/>
      <c r="AK30" s="183"/>
      <c r="AL30" s="183"/>
      <c r="AM30" s="183"/>
      <c r="AN30" s="183"/>
      <c r="AO30" s="183"/>
      <c r="AP30" s="183"/>
      <c r="AQ30" s="183"/>
      <c r="AR30" s="183"/>
      <c r="AS30" s="183"/>
      <c r="AT30" s="183"/>
      <c r="AU30" s="183"/>
    </row>
    <row r="31" spans="1:47" s="57" customFormat="1" ht="16.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c r="AA31" s="55"/>
      <c r="AB31" s="55"/>
      <c r="AC31" s="55"/>
      <c r="AD31" s="55"/>
      <c r="AE31" s="55"/>
      <c r="AF31" s="55"/>
      <c r="AG31" s="55"/>
      <c r="AH31" s="55"/>
      <c r="AI31" s="55"/>
      <c r="AJ31" s="55"/>
      <c r="AK31" s="55"/>
      <c r="AL31" s="55"/>
      <c r="AM31" s="55"/>
      <c r="AN31" s="55"/>
      <c r="AO31" s="55"/>
      <c r="AP31" s="55"/>
      <c r="AQ31" s="55"/>
      <c r="AR31" s="55"/>
      <c r="AS31" s="55"/>
      <c r="AT31" s="55"/>
      <c r="AU31" s="55"/>
    </row>
    <row r="32" spans="1:47" ht="16.5" customHeight="1">
      <c r="A32" s="53"/>
      <c r="B32" s="54" t="s">
        <v>54</v>
      </c>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row>
    <row r="33" spans="1:47" s="57" customFormat="1" ht="16.5" customHeight="1">
      <c r="B33" s="246" t="s">
        <v>55</v>
      </c>
      <c r="C33" s="247"/>
      <c r="D33" s="247"/>
      <c r="E33" s="247"/>
      <c r="F33" s="247"/>
      <c r="G33" s="247"/>
      <c r="H33" s="247"/>
      <c r="I33" s="247"/>
      <c r="J33" s="247"/>
      <c r="K33" s="248"/>
      <c r="L33" s="227" t="s">
        <v>56</v>
      </c>
      <c r="M33" s="228"/>
      <c r="N33" s="228"/>
      <c r="O33" s="228"/>
      <c r="P33" s="228"/>
      <c r="Q33" s="228"/>
      <c r="R33" s="228"/>
      <c r="S33" s="228"/>
      <c r="T33" s="228"/>
      <c r="U33" s="228"/>
      <c r="V33" s="228"/>
      <c r="W33" s="228"/>
      <c r="X33" s="228"/>
      <c r="Y33" s="228"/>
      <c r="Z33" s="228"/>
      <c r="AA33" s="228"/>
      <c r="AB33" s="228"/>
      <c r="AC33" s="228"/>
      <c r="AD33" s="228"/>
      <c r="AE33" s="228"/>
      <c r="AF33" s="228"/>
      <c r="AG33" s="228"/>
      <c r="AH33" s="228"/>
      <c r="AI33" s="228"/>
      <c r="AJ33" s="228"/>
      <c r="AK33" s="228"/>
      <c r="AL33" s="228"/>
      <c r="AM33" s="228"/>
      <c r="AN33" s="228"/>
      <c r="AO33" s="228"/>
      <c r="AP33" s="228"/>
      <c r="AQ33" s="228"/>
      <c r="AR33" s="228"/>
      <c r="AS33" s="228"/>
      <c r="AT33" s="228"/>
      <c r="AU33" s="229"/>
    </row>
    <row r="34" spans="1:47" s="57" customFormat="1" ht="16.5" customHeight="1">
      <c r="A34" s="60"/>
      <c r="B34" s="249"/>
      <c r="C34" s="250"/>
      <c r="D34" s="250"/>
      <c r="E34" s="250"/>
      <c r="F34" s="250"/>
      <c r="G34" s="250"/>
      <c r="H34" s="250"/>
      <c r="I34" s="250"/>
      <c r="J34" s="250"/>
      <c r="K34" s="251"/>
      <c r="L34" s="230"/>
      <c r="M34" s="231"/>
      <c r="N34" s="231"/>
      <c r="O34" s="231"/>
      <c r="P34" s="231"/>
      <c r="Q34" s="231"/>
      <c r="R34" s="231"/>
      <c r="S34" s="231"/>
      <c r="T34" s="231"/>
      <c r="U34" s="231"/>
      <c r="V34" s="231"/>
      <c r="W34" s="231"/>
      <c r="X34" s="231"/>
      <c r="Y34" s="231"/>
      <c r="Z34" s="231"/>
      <c r="AA34" s="231"/>
      <c r="AB34" s="231"/>
      <c r="AC34" s="231"/>
      <c r="AD34" s="231"/>
      <c r="AE34" s="231"/>
      <c r="AF34" s="231"/>
      <c r="AG34" s="231"/>
      <c r="AH34" s="231"/>
      <c r="AI34" s="231"/>
      <c r="AJ34" s="231"/>
      <c r="AK34" s="231"/>
      <c r="AL34" s="231"/>
      <c r="AM34" s="231"/>
      <c r="AN34" s="231"/>
      <c r="AO34" s="231"/>
      <c r="AP34" s="231"/>
      <c r="AQ34" s="231"/>
      <c r="AR34" s="231"/>
      <c r="AS34" s="231"/>
      <c r="AT34" s="231"/>
      <c r="AU34" s="232"/>
    </row>
    <row r="35" spans="1:47" ht="16.5" customHeight="1">
      <c r="B35" s="221" t="s">
        <v>57</v>
      </c>
      <c r="C35" s="222"/>
      <c r="D35" s="222"/>
      <c r="E35" s="222"/>
      <c r="F35" s="222"/>
      <c r="G35" s="222"/>
      <c r="H35" s="222"/>
      <c r="I35" s="222"/>
      <c r="J35" s="222"/>
      <c r="K35" s="223"/>
      <c r="L35" s="227" t="s">
        <v>58</v>
      </c>
      <c r="M35" s="228"/>
      <c r="N35" s="228"/>
      <c r="O35" s="228"/>
      <c r="P35" s="228"/>
      <c r="Q35" s="228"/>
      <c r="R35" s="228"/>
      <c r="S35" s="228"/>
      <c r="T35" s="228"/>
      <c r="U35" s="228"/>
      <c r="V35" s="228"/>
      <c r="W35" s="228"/>
      <c r="X35" s="228"/>
      <c r="Y35" s="228"/>
      <c r="Z35" s="228"/>
      <c r="AA35" s="228"/>
      <c r="AB35" s="228"/>
      <c r="AC35" s="228"/>
      <c r="AD35" s="228"/>
      <c r="AE35" s="228"/>
      <c r="AF35" s="228"/>
      <c r="AG35" s="228"/>
      <c r="AH35" s="228"/>
      <c r="AI35" s="228"/>
      <c r="AJ35" s="228"/>
      <c r="AK35" s="228"/>
      <c r="AL35" s="228"/>
      <c r="AM35" s="228"/>
      <c r="AN35" s="228"/>
      <c r="AO35" s="228"/>
      <c r="AP35" s="228"/>
      <c r="AQ35" s="228"/>
      <c r="AR35" s="228"/>
      <c r="AS35" s="228"/>
      <c r="AT35" s="228"/>
      <c r="AU35" s="229"/>
    </row>
    <row r="36" spans="1:47" ht="16.5" customHeight="1">
      <c r="B36" s="224"/>
      <c r="C36" s="225"/>
      <c r="D36" s="225"/>
      <c r="E36" s="225"/>
      <c r="F36" s="225"/>
      <c r="G36" s="225"/>
      <c r="H36" s="225"/>
      <c r="I36" s="225"/>
      <c r="J36" s="225"/>
      <c r="K36" s="226"/>
      <c r="L36" s="230"/>
      <c r="M36" s="231"/>
      <c r="N36" s="231"/>
      <c r="O36" s="231"/>
      <c r="P36" s="231"/>
      <c r="Q36" s="231"/>
      <c r="R36" s="231"/>
      <c r="S36" s="231"/>
      <c r="T36" s="231"/>
      <c r="U36" s="231"/>
      <c r="V36" s="231"/>
      <c r="W36" s="231"/>
      <c r="X36" s="231"/>
      <c r="Y36" s="231"/>
      <c r="Z36" s="231"/>
      <c r="AA36" s="231"/>
      <c r="AB36" s="231"/>
      <c r="AC36" s="231"/>
      <c r="AD36" s="231"/>
      <c r="AE36" s="231"/>
      <c r="AF36" s="231"/>
      <c r="AG36" s="231"/>
      <c r="AH36" s="231"/>
      <c r="AI36" s="231"/>
      <c r="AJ36" s="231"/>
      <c r="AK36" s="231"/>
      <c r="AL36" s="231"/>
      <c r="AM36" s="231"/>
      <c r="AN36" s="231"/>
      <c r="AO36" s="231"/>
      <c r="AP36" s="231"/>
      <c r="AQ36" s="231"/>
      <c r="AR36" s="231"/>
      <c r="AS36" s="231"/>
      <c r="AT36" s="231"/>
      <c r="AU36" s="232"/>
    </row>
    <row r="37" spans="1:47" s="57" customFormat="1" ht="16.5" customHeight="1">
      <c r="B37" s="246" t="s">
        <v>59</v>
      </c>
      <c r="C37" s="247"/>
      <c r="D37" s="247"/>
      <c r="E37" s="247"/>
      <c r="F37" s="247"/>
      <c r="G37" s="247"/>
      <c r="H37" s="247"/>
      <c r="I37" s="247"/>
      <c r="J37" s="247"/>
      <c r="K37" s="248"/>
      <c r="L37" s="227" t="s">
        <v>60</v>
      </c>
      <c r="M37" s="228"/>
      <c r="N37" s="228"/>
      <c r="O37" s="228"/>
      <c r="P37" s="228"/>
      <c r="Q37" s="228"/>
      <c r="R37" s="228"/>
      <c r="S37" s="228"/>
      <c r="T37" s="228"/>
      <c r="U37" s="228"/>
      <c r="V37" s="228"/>
      <c r="W37" s="228"/>
      <c r="X37" s="228"/>
      <c r="Y37" s="228"/>
      <c r="Z37" s="228"/>
      <c r="AA37" s="228"/>
      <c r="AB37" s="228"/>
      <c r="AC37" s="228"/>
      <c r="AD37" s="228"/>
      <c r="AE37" s="228"/>
      <c r="AF37" s="228"/>
      <c r="AG37" s="228"/>
      <c r="AH37" s="228"/>
      <c r="AI37" s="228"/>
      <c r="AJ37" s="228"/>
      <c r="AK37" s="228"/>
      <c r="AL37" s="228"/>
      <c r="AM37" s="228"/>
      <c r="AN37" s="228"/>
      <c r="AO37" s="228"/>
      <c r="AP37" s="228"/>
      <c r="AQ37" s="228"/>
      <c r="AR37" s="228"/>
      <c r="AS37" s="228"/>
      <c r="AT37" s="228"/>
      <c r="AU37" s="229"/>
    </row>
    <row r="38" spans="1:47" s="57" customFormat="1" ht="16.5" customHeight="1">
      <c r="B38" s="249"/>
      <c r="C38" s="250"/>
      <c r="D38" s="250"/>
      <c r="E38" s="250"/>
      <c r="F38" s="250"/>
      <c r="G38" s="250"/>
      <c r="H38" s="250"/>
      <c r="I38" s="250"/>
      <c r="J38" s="250"/>
      <c r="K38" s="251"/>
      <c r="L38" s="230"/>
      <c r="M38" s="231"/>
      <c r="N38" s="231"/>
      <c r="O38" s="231"/>
      <c r="P38" s="231"/>
      <c r="Q38" s="231"/>
      <c r="R38" s="231"/>
      <c r="S38" s="231"/>
      <c r="T38" s="231"/>
      <c r="U38" s="231"/>
      <c r="V38" s="231"/>
      <c r="W38" s="231"/>
      <c r="X38" s="231"/>
      <c r="Y38" s="231"/>
      <c r="Z38" s="231"/>
      <c r="AA38" s="231"/>
      <c r="AB38" s="231"/>
      <c r="AC38" s="231"/>
      <c r="AD38" s="231"/>
      <c r="AE38" s="231"/>
      <c r="AF38" s="231"/>
      <c r="AG38" s="231"/>
      <c r="AH38" s="231"/>
      <c r="AI38" s="231"/>
      <c r="AJ38" s="231"/>
      <c r="AK38" s="231"/>
      <c r="AL38" s="231"/>
      <c r="AM38" s="231"/>
      <c r="AN38" s="231"/>
      <c r="AO38" s="231"/>
      <c r="AP38" s="231"/>
      <c r="AQ38" s="231"/>
      <c r="AR38" s="231"/>
      <c r="AS38" s="231"/>
      <c r="AT38" s="231"/>
      <c r="AU38" s="232"/>
    </row>
    <row r="39" spans="1:47" s="57" customFormat="1" ht="16.5" customHeight="1">
      <c r="B39" s="246" t="s">
        <v>61</v>
      </c>
      <c r="C39" s="247"/>
      <c r="D39" s="247"/>
      <c r="E39" s="247"/>
      <c r="F39" s="247"/>
      <c r="G39" s="247"/>
      <c r="H39" s="247"/>
      <c r="I39" s="247"/>
      <c r="J39" s="247"/>
      <c r="K39" s="248"/>
      <c r="L39" s="227" t="s">
        <v>62</v>
      </c>
      <c r="M39" s="228"/>
      <c r="N39" s="228"/>
      <c r="O39" s="228"/>
      <c r="P39" s="228"/>
      <c r="Q39" s="228"/>
      <c r="R39" s="228"/>
      <c r="S39" s="228"/>
      <c r="T39" s="228"/>
      <c r="U39" s="228"/>
      <c r="V39" s="228"/>
      <c r="W39" s="228"/>
      <c r="X39" s="228"/>
      <c r="Y39" s="228"/>
      <c r="Z39" s="228"/>
      <c r="AA39" s="228"/>
      <c r="AB39" s="228"/>
      <c r="AC39" s="228"/>
      <c r="AD39" s="228"/>
      <c r="AE39" s="228"/>
      <c r="AF39" s="228"/>
      <c r="AG39" s="228"/>
      <c r="AH39" s="228"/>
      <c r="AI39" s="228"/>
      <c r="AJ39" s="228"/>
      <c r="AK39" s="228"/>
      <c r="AL39" s="228"/>
      <c r="AM39" s="228"/>
      <c r="AN39" s="228"/>
      <c r="AO39" s="228"/>
      <c r="AP39" s="228"/>
      <c r="AQ39" s="228"/>
      <c r="AR39" s="228"/>
      <c r="AS39" s="228"/>
      <c r="AT39" s="228"/>
      <c r="AU39" s="229"/>
    </row>
    <row r="40" spans="1:47" s="57" customFormat="1" ht="16.5" customHeight="1">
      <c r="B40" s="249"/>
      <c r="C40" s="250"/>
      <c r="D40" s="250"/>
      <c r="E40" s="250"/>
      <c r="F40" s="250"/>
      <c r="G40" s="250"/>
      <c r="H40" s="250"/>
      <c r="I40" s="250"/>
      <c r="J40" s="250"/>
      <c r="K40" s="251"/>
      <c r="L40" s="230"/>
      <c r="M40" s="231"/>
      <c r="N40" s="231"/>
      <c r="O40" s="231"/>
      <c r="P40" s="231"/>
      <c r="Q40" s="231"/>
      <c r="R40" s="231"/>
      <c r="S40" s="231"/>
      <c r="T40" s="231"/>
      <c r="U40" s="231"/>
      <c r="V40" s="231"/>
      <c r="W40" s="231"/>
      <c r="X40" s="231"/>
      <c r="Y40" s="231"/>
      <c r="Z40" s="231"/>
      <c r="AA40" s="231"/>
      <c r="AB40" s="231"/>
      <c r="AC40" s="231"/>
      <c r="AD40" s="231"/>
      <c r="AE40" s="231"/>
      <c r="AF40" s="231"/>
      <c r="AG40" s="231"/>
      <c r="AH40" s="231"/>
      <c r="AI40" s="231"/>
      <c r="AJ40" s="231"/>
      <c r="AK40" s="231"/>
      <c r="AL40" s="231"/>
      <c r="AM40" s="231"/>
      <c r="AN40" s="231"/>
      <c r="AO40" s="231"/>
      <c r="AP40" s="231"/>
      <c r="AQ40" s="231"/>
      <c r="AR40" s="231"/>
      <c r="AS40" s="231"/>
      <c r="AT40" s="231"/>
      <c r="AU40" s="232"/>
    </row>
    <row r="41" spans="1:47" ht="16.5" customHeight="1">
      <c r="B41" s="233" t="s">
        <v>63</v>
      </c>
      <c r="C41" s="233"/>
      <c r="D41" s="233"/>
      <c r="E41" s="233"/>
      <c r="F41" s="233"/>
      <c r="G41" s="233"/>
      <c r="H41" s="233"/>
      <c r="I41" s="233"/>
      <c r="J41" s="233"/>
      <c r="K41" s="233"/>
      <c r="L41" s="234" t="s">
        <v>64</v>
      </c>
      <c r="M41" s="234"/>
      <c r="N41" s="234"/>
      <c r="O41" s="234"/>
      <c r="P41" s="234"/>
      <c r="Q41" s="234"/>
      <c r="R41" s="234"/>
      <c r="S41" s="234"/>
      <c r="T41" s="234"/>
      <c r="U41" s="234"/>
      <c r="V41" s="234"/>
      <c r="W41" s="234"/>
      <c r="X41" s="234"/>
      <c r="Y41" s="234"/>
      <c r="Z41" s="234"/>
      <c r="AA41" s="234"/>
      <c r="AB41" s="234"/>
      <c r="AC41" s="234"/>
      <c r="AD41" s="234"/>
      <c r="AE41" s="234"/>
      <c r="AF41" s="234"/>
      <c r="AG41" s="234"/>
      <c r="AH41" s="234"/>
      <c r="AI41" s="234"/>
      <c r="AJ41" s="234"/>
      <c r="AK41" s="234"/>
      <c r="AL41" s="234"/>
      <c r="AM41" s="234"/>
      <c r="AN41" s="234"/>
      <c r="AO41" s="234"/>
      <c r="AP41" s="234"/>
      <c r="AQ41" s="234"/>
      <c r="AR41" s="234"/>
      <c r="AS41" s="234"/>
      <c r="AT41" s="234"/>
      <c r="AU41" s="234"/>
    </row>
    <row r="42" spans="1:47" ht="16.5" customHeight="1">
      <c r="B42" s="233"/>
      <c r="C42" s="233"/>
      <c r="D42" s="233"/>
      <c r="E42" s="233"/>
      <c r="F42" s="233"/>
      <c r="G42" s="233"/>
      <c r="H42" s="233"/>
      <c r="I42" s="233"/>
      <c r="J42" s="233"/>
      <c r="K42" s="233"/>
      <c r="L42" s="234"/>
      <c r="M42" s="234"/>
      <c r="N42" s="234"/>
      <c r="O42" s="234"/>
      <c r="P42" s="234"/>
      <c r="Q42" s="234"/>
      <c r="R42" s="234"/>
      <c r="S42" s="234"/>
      <c r="T42" s="234"/>
      <c r="U42" s="234"/>
      <c r="V42" s="234"/>
      <c r="W42" s="234"/>
      <c r="X42" s="234"/>
      <c r="Y42" s="234"/>
      <c r="Z42" s="234"/>
      <c r="AA42" s="234"/>
      <c r="AB42" s="234"/>
      <c r="AC42" s="234"/>
      <c r="AD42" s="234"/>
      <c r="AE42" s="234"/>
      <c r="AF42" s="234"/>
      <c r="AG42" s="234"/>
      <c r="AH42" s="234"/>
      <c r="AI42" s="234"/>
      <c r="AJ42" s="234"/>
      <c r="AK42" s="234"/>
      <c r="AL42" s="234"/>
      <c r="AM42" s="234"/>
      <c r="AN42" s="234"/>
      <c r="AO42" s="234"/>
      <c r="AP42" s="234"/>
      <c r="AQ42" s="234"/>
      <c r="AR42" s="234"/>
      <c r="AS42" s="234"/>
      <c r="AT42" s="234"/>
      <c r="AU42" s="234"/>
    </row>
    <row r="43" spans="1:47" s="57" customFormat="1" ht="16.5" customHeight="1"/>
    <row r="44" spans="1:47" ht="16.5" customHeight="1">
      <c r="A44" s="53"/>
      <c r="B44" s="54" t="s">
        <v>65</v>
      </c>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row>
    <row r="45" spans="1:47" s="57" customFormat="1" ht="16.5" customHeight="1">
      <c r="A45" s="55"/>
      <c r="B45" s="235" t="s">
        <v>66</v>
      </c>
      <c r="C45" s="236"/>
      <c r="D45" s="236"/>
      <c r="E45" s="236"/>
      <c r="F45" s="236"/>
      <c r="G45" s="236"/>
      <c r="H45" s="236"/>
      <c r="I45" s="236"/>
      <c r="J45" s="236"/>
      <c r="K45" s="237"/>
      <c r="L45" s="235" t="s">
        <v>67</v>
      </c>
      <c r="M45" s="236"/>
      <c r="N45" s="236"/>
      <c r="O45" s="236"/>
      <c r="P45" s="237"/>
      <c r="Q45" s="238" t="s">
        <v>68</v>
      </c>
      <c r="R45" s="238"/>
      <c r="S45" s="238"/>
      <c r="T45" s="238"/>
      <c r="U45" s="238"/>
      <c r="V45" s="238"/>
      <c r="W45" s="238"/>
      <c r="X45" s="238"/>
      <c r="Y45" s="238"/>
      <c r="Z45" s="238"/>
      <c r="AA45" s="238"/>
      <c r="AB45" s="238"/>
      <c r="AC45" s="238"/>
      <c r="AD45" s="238"/>
      <c r="AE45" s="238"/>
      <c r="AF45" s="238"/>
      <c r="AG45" s="238"/>
      <c r="AH45" s="238"/>
      <c r="AI45" s="238"/>
      <c r="AJ45" s="238"/>
      <c r="AK45" s="238"/>
      <c r="AL45" s="238"/>
      <c r="AM45" s="238"/>
      <c r="AN45" s="238"/>
      <c r="AO45" s="238"/>
      <c r="AP45" s="238"/>
      <c r="AQ45" s="238"/>
      <c r="AR45" s="238"/>
      <c r="AS45" s="238"/>
      <c r="AT45" s="238"/>
      <c r="AU45" s="238"/>
    </row>
    <row r="46" spans="1:47" s="57" customFormat="1" ht="16.5" customHeight="1">
      <c r="A46" s="55"/>
      <c r="B46" s="239" t="s">
        <v>69</v>
      </c>
      <c r="C46" s="240"/>
      <c r="D46" s="240"/>
      <c r="E46" s="240"/>
      <c r="F46" s="240"/>
      <c r="G46" s="240"/>
      <c r="H46" s="240"/>
      <c r="I46" s="240"/>
      <c r="J46" s="240"/>
      <c r="K46" s="241"/>
      <c r="L46" s="242" t="s">
        <v>70</v>
      </c>
      <c r="M46" s="243"/>
      <c r="N46" s="243"/>
      <c r="O46" s="243"/>
      <c r="P46" s="244"/>
      <c r="Q46" s="245"/>
      <c r="R46" s="245"/>
      <c r="S46" s="245"/>
      <c r="T46" s="245"/>
      <c r="U46" s="245"/>
      <c r="V46" s="245"/>
      <c r="W46" s="245"/>
      <c r="X46" s="245"/>
      <c r="Y46" s="245"/>
      <c r="Z46" s="245"/>
      <c r="AA46" s="245"/>
      <c r="AB46" s="245"/>
      <c r="AC46" s="245"/>
      <c r="AD46" s="245"/>
      <c r="AE46" s="245"/>
      <c r="AF46" s="245"/>
      <c r="AG46" s="245"/>
      <c r="AH46" s="245"/>
      <c r="AI46" s="245"/>
      <c r="AJ46" s="245"/>
      <c r="AK46" s="245"/>
      <c r="AL46" s="245"/>
      <c r="AM46" s="245"/>
      <c r="AN46" s="245"/>
      <c r="AO46" s="245"/>
      <c r="AP46" s="245"/>
      <c r="AQ46" s="245"/>
      <c r="AR46" s="245"/>
      <c r="AS46" s="245"/>
      <c r="AT46" s="245"/>
      <c r="AU46" s="245"/>
    </row>
    <row r="47" spans="1:47" s="57" customFormat="1" ht="16.5" customHeight="1">
      <c r="B47" s="239" t="s">
        <v>71</v>
      </c>
      <c r="C47" s="240"/>
      <c r="D47" s="240"/>
      <c r="E47" s="240"/>
      <c r="F47" s="240"/>
      <c r="G47" s="240"/>
      <c r="H47" s="240"/>
      <c r="I47" s="240"/>
      <c r="J47" s="240"/>
      <c r="K47" s="241"/>
      <c r="L47" s="242" t="s">
        <v>70</v>
      </c>
      <c r="M47" s="243"/>
      <c r="N47" s="243"/>
      <c r="O47" s="243"/>
      <c r="P47" s="244"/>
      <c r="Q47" s="245"/>
      <c r="R47" s="245"/>
      <c r="S47" s="245"/>
      <c r="T47" s="245"/>
      <c r="U47" s="245"/>
      <c r="V47" s="245"/>
      <c r="W47" s="245"/>
      <c r="X47" s="245"/>
      <c r="Y47" s="245"/>
      <c r="Z47" s="245"/>
      <c r="AA47" s="245"/>
      <c r="AB47" s="245"/>
      <c r="AC47" s="245"/>
      <c r="AD47" s="245"/>
      <c r="AE47" s="245"/>
      <c r="AF47" s="245"/>
      <c r="AG47" s="245"/>
      <c r="AH47" s="245"/>
      <c r="AI47" s="245"/>
      <c r="AJ47" s="245"/>
      <c r="AK47" s="245"/>
      <c r="AL47" s="245"/>
      <c r="AM47" s="245"/>
      <c r="AN47" s="245"/>
      <c r="AO47" s="245"/>
      <c r="AP47" s="245"/>
      <c r="AQ47" s="245"/>
      <c r="AR47" s="245"/>
      <c r="AS47" s="245"/>
      <c r="AT47" s="245"/>
      <c r="AU47" s="245"/>
    </row>
    <row r="48" spans="1:47" s="57" customFormat="1" ht="16.5" customHeight="1">
      <c r="B48" s="239" t="s">
        <v>72</v>
      </c>
      <c r="C48" s="240"/>
      <c r="D48" s="240"/>
      <c r="E48" s="240"/>
      <c r="F48" s="240"/>
      <c r="G48" s="240"/>
      <c r="H48" s="240"/>
      <c r="I48" s="240"/>
      <c r="J48" s="240"/>
      <c r="K48" s="241"/>
      <c r="L48" s="242" t="s">
        <v>73</v>
      </c>
      <c r="M48" s="243"/>
      <c r="N48" s="243"/>
      <c r="O48" s="243"/>
      <c r="P48" s="244"/>
      <c r="Q48" s="245" t="s">
        <v>74</v>
      </c>
      <c r="R48" s="245"/>
      <c r="S48" s="245"/>
      <c r="T48" s="245"/>
      <c r="U48" s="245"/>
      <c r="V48" s="245"/>
      <c r="W48" s="245"/>
      <c r="X48" s="245"/>
      <c r="Y48" s="245"/>
      <c r="Z48" s="245"/>
      <c r="AA48" s="245"/>
      <c r="AB48" s="245"/>
      <c r="AC48" s="245"/>
      <c r="AD48" s="245"/>
      <c r="AE48" s="245"/>
      <c r="AF48" s="245"/>
      <c r="AG48" s="245"/>
      <c r="AH48" s="245"/>
      <c r="AI48" s="245"/>
      <c r="AJ48" s="245"/>
      <c r="AK48" s="245"/>
      <c r="AL48" s="245"/>
      <c r="AM48" s="245"/>
      <c r="AN48" s="245"/>
      <c r="AO48" s="245"/>
      <c r="AP48" s="245"/>
      <c r="AQ48" s="245"/>
      <c r="AR48" s="245"/>
      <c r="AS48" s="245"/>
      <c r="AT48" s="245"/>
      <c r="AU48" s="245"/>
    </row>
    <row r="49" spans="1:47" s="57" customFormat="1" ht="16.5" customHeight="1">
      <c r="B49" s="239" t="s">
        <v>75</v>
      </c>
      <c r="C49" s="240"/>
      <c r="D49" s="240"/>
      <c r="E49" s="240"/>
      <c r="F49" s="240"/>
      <c r="G49" s="240"/>
      <c r="H49" s="240"/>
      <c r="I49" s="240"/>
      <c r="J49" s="240"/>
      <c r="K49" s="241"/>
      <c r="L49" s="242" t="s">
        <v>73</v>
      </c>
      <c r="M49" s="243"/>
      <c r="N49" s="243"/>
      <c r="O49" s="243"/>
      <c r="P49" s="244"/>
      <c r="Q49" s="245" t="s">
        <v>76</v>
      </c>
      <c r="R49" s="245"/>
      <c r="S49" s="245"/>
      <c r="T49" s="245"/>
      <c r="U49" s="245"/>
      <c r="V49" s="245"/>
      <c r="W49" s="245"/>
      <c r="X49" s="245"/>
      <c r="Y49" s="245"/>
      <c r="Z49" s="245"/>
      <c r="AA49" s="245"/>
      <c r="AB49" s="245"/>
      <c r="AC49" s="245"/>
      <c r="AD49" s="245"/>
      <c r="AE49" s="245"/>
      <c r="AF49" s="245"/>
      <c r="AG49" s="245"/>
      <c r="AH49" s="245"/>
      <c r="AI49" s="245"/>
      <c r="AJ49" s="245"/>
      <c r="AK49" s="245"/>
      <c r="AL49" s="245"/>
      <c r="AM49" s="245"/>
      <c r="AN49" s="245"/>
      <c r="AO49" s="245"/>
      <c r="AP49" s="245"/>
      <c r="AQ49" s="245"/>
      <c r="AR49" s="245"/>
      <c r="AS49" s="245"/>
      <c r="AT49" s="245"/>
      <c r="AU49" s="245"/>
    </row>
    <row r="50" spans="1:47" s="57" customFormat="1" ht="16.5" customHeight="1">
      <c r="B50" s="239" t="s">
        <v>77</v>
      </c>
      <c r="C50" s="240"/>
      <c r="D50" s="240"/>
      <c r="E50" s="240"/>
      <c r="F50" s="240"/>
      <c r="G50" s="240"/>
      <c r="H50" s="240"/>
      <c r="I50" s="240"/>
      <c r="J50" s="240"/>
      <c r="K50" s="241"/>
      <c r="L50" s="242" t="s">
        <v>70</v>
      </c>
      <c r="M50" s="243"/>
      <c r="N50" s="243"/>
      <c r="O50" s="243"/>
      <c r="P50" s="244"/>
      <c r="Q50" s="245"/>
      <c r="R50" s="245"/>
      <c r="S50" s="245"/>
      <c r="T50" s="245"/>
      <c r="U50" s="245"/>
      <c r="V50" s="245"/>
      <c r="W50" s="245"/>
      <c r="X50" s="245"/>
      <c r="Y50" s="245"/>
      <c r="Z50" s="245"/>
      <c r="AA50" s="245"/>
      <c r="AB50" s="245"/>
      <c r="AC50" s="245"/>
      <c r="AD50" s="245"/>
      <c r="AE50" s="245"/>
      <c r="AF50" s="245"/>
      <c r="AG50" s="245"/>
      <c r="AH50" s="245"/>
      <c r="AI50" s="245"/>
      <c r="AJ50" s="245"/>
      <c r="AK50" s="245"/>
      <c r="AL50" s="245"/>
      <c r="AM50" s="245"/>
      <c r="AN50" s="245"/>
      <c r="AO50" s="245"/>
      <c r="AP50" s="245"/>
      <c r="AQ50" s="245"/>
      <c r="AR50" s="245"/>
      <c r="AS50" s="245"/>
      <c r="AT50" s="245"/>
      <c r="AU50" s="245"/>
    </row>
    <row r="51" spans="1:47" s="57" customFormat="1" ht="16.5" customHeight="1">
      <c r="B51" s="239" t="s">
        <v>78</v>
      </c>
      <c r="C51" s="240"/>
      <c r="D51" s="240"/>
      <c r="E51" s="240"/>
      <c r="F51" s="240"/>
      <c r="G51" s="240"/>
      <c r="H51" s="240"/>
      <c r="I51" s="240"/>
      <c r="J51" s="240"/>
      <c r="K51" s="241"/>
      <c r="L51" s="242" t="s">
        <v>70</v>
      </c>
      <c r="M51" s="243"/>
      <c r="N51" s="243"/>
      <c r="O51" s="243"/>
      <c r="P51" s="244"/>
      <c r="Q51" s="245"/>
      <c r="R51" s="245"/>
      <c r="S51" s="245"/>
      <c r="T51" s="245"/>
      <c r="U51" s="245"/>
      <c r="V51" s="245"/>
      <c r="W51" s="245"/>
      <c r="X51" s="245"/>
      <c r="Y51" s="245"/>
      <c r="Z51" s="245"/>
      <c r="AA51" s="245"/>
      <c r="AB51" s="245"/>
      <c r="AC51" s="245"/>
      <c r="AD51" s="245"/>
      <c r="AE51" s="245"/>
      <c r="AF51" s="245"/>
      <c r="AG51" s="245"/>
      <c r="AH51" s="245"/>
      <c r="AI51" s="245"/>
      <c r="AJ51" s="245"/>
      <c r="AK51" s="245"/>
      <c r="AL51" s="245"/>
      <c r="AM51" s="245"/>
      <c r="AN51" s="245"/>
      <c r="AO51" s="245"/>
      <c r="AP51" s="245"/>
      <c r="AQ51" s="245"/>
      <c r="AR51" s="245"/>
      <c r="AS51" s="245"/>
      <c r="AT51" s="245"/>
      <c r="AU51" s="245"/>
    </row>
    <row r="52" spans="1:47" s="57" customFormat="1" ht="16.5" customHeight="1">
      <c r="B52" s="239" t="s">
        <v>79</v>
      </c>
      <c r="C52" s="240"/>
      <c r="D52" s="240"/>
      <c r="E52" s="240"/>
      <c r="F52" s="240"/>
      <c r="G52" s="240"/>
      <c r="H52" s="240"/>
      <c r="I52" s="240"/>
      <c r="J52" s="240"/>
      <c r="K52" s="241"/>
      <c r="L52" s="242" t="s">
        <v>70</v>
      </c>
      <c r="M52" s="243"/>
      <c r="N52" s="243"/>
      <c r="O52" s="243"/>
      <c r="P52" s="244"/>
      <c r="Q52" s="245"/>
      <c r="R52" s="245"/>
      <c r="S52" s="245"/>
      <c r="T52" s="245"/>
      <c r="U52" s="245"/>
      <c r="V52" s="245"/>
      <c r="W52" s="245"/>
      <c r="X52" s="245"/>
      <c r="Y52" s="245"/>
      <c r="Z52" s="245"/>
      <c r="AA52" s="245"/>
      <c r="AB52" s="245"/>
      <c r="AC52" s="245"/>
      <c r="AD52" s="245"/>
      <c r="AE52" s="245"/>
      <c r="AF52" s="245"/>
      <c r="AG52" s="245"/>
      <c r="AH52" s="245"/>
      <c r="AI52" s="245"/>
      <c r="AJ52" s="245"/>
      <c r="AK52" s="245"/>
      <c r="AL52" s="245"/>
      <c r="AM52" s="245"/>
      <c r="AN52" s="245"/>
      <c r="AO52" s="245"/>
      <c r="AP52" s="245"/>
      <c r="AQ52" s="245"/>
      <c r="AR52" s="245"/>
      <c r="AS52" s="245"/>
      <c r="AT52" s="245"/>
      <c r="AU52" s="245"/>
    </row>
    <row r="53" spans="1:47" s="57" customFormat="1" ht="16.5" customHeight="1">
      <c r="B53" s="239" t="s">
        <v>80</v>
      </c>
      <c r="C53" s="240"/>
      <c r="D53" s="240"/>
      <c r="E53" s="240"/>
      <c r="F53" s="240"/>
      <c r="G53" s="240"/>
      <c r="H53" s="240"/>
      <c r="I53" s="240"/>
      <c r="J53" s="240"/>
      <c r="K53" s="241"/>
      <c r="L53" s="242" t="s">
        <v>70</v>
      </c>
      <c r="M53" s="243"/>
      <c r="N53" s="243"/>
      <c r="O53" s="243"/>
      <c r="P53" s="244"/>
      <c r="Q53" s="245"/>
      <c r="R53" s="245"/>
      <c r="S53" s="245"/>
      <c r="T53" s="245"/>
      <c r="U53" s="245"/>
      <c r="V53" s="245"/>
      <c r="W53" s="245"/>
      <c r="X53" s="245"/>
      <c r="Y53" s="245"/>
      <c r="Z53" s="245"/>
      <c r="AA53" s="245"/>
      <c r="AB53" s="245"/>
      <c r="AC53" s="245"/>
      <c r="AD53" s="245"/>
      <c r="AE53" s="245"/>
      <c r="AF53" s="245"/>
      <c r="AG53" s="245"/>
      <c r="AH53" s="245"/>
      <c r="AI53" s="245"/>
      <c r="AJ53" s="245"/>
      <c r="AK53" s="245"/>
      <c r="AL53" s="245"/>
      <c r="AM53" s="245"/>
      <c r="AN53" s="245"/>
      <c r="AO53" s="245"/>
      <c r="AP53" s="245"/>
      <c r="AQ53" s="245"/>
      <c r="AR53" s="245"/>
      <c r="AS53" s="245"/>
      <c r="AT53" s="245"/>
      <c r="AU53" s="245"/>
    </row>
    <row r="54" spans="1:47" s="57" customFormat="1" ht="16.5" customHeight="1">
      <c r="B54" s="239" t="s">
        <v>53</v>
      </c>
      <c r="C54" s="240"/>
      <c r="D54" s="240"/>
      <c r="E54" s="240"/>
      <c r="F54" s="240"/>
      <c r="G54" s="240"/>
      <c r="H54" s="240"/>
      <c r="I54" s="240"/>
      <c r="J54" s="240"/>
      <c r="K54" s="241"/>
      <c r="L54" s="242" t="s">
        <v>70</v>
      </c>
      <c r="M54" s="243"/>
      <c r="N54" s="243"/>
      <c r="O54" s="243"/>
      <c r="P54" s="244"/>
      <c r="Q54" s="245"/>
      <c r="R54" s="245"/>
      <c r="S54" s="245"/>
      <c r="T54" s="245"/>
      <c r="U54" s="245"/>
      <c r="V54" s="245"/>
      <c r="W54" s="245"/>
      <c r="X54" s="245"/>
      <c r="Y54" s="245"/>
      <c r="Z54" s="245"/>
      <c r="AA54" s="245"/>
      <c r="AB54" s="245"/>
      <c r="AC54" s="245"/>
      <c r="AD54" s="245"/>
      <c r="AE54" s="245"/>
      <c r="AF54" s="245"/>
      <c r="AG54" s="245"/>
      <c r="AH54" s="245"/>
      <c r="AI54" s="245"/>
      <c r="AJ54" s="245"/>
      <c r="AK54" s="245"/>
      <c r="AL54" s="245"/>
      <c r="AM54" s="245"/>
      <c r="AN54" s="245"/>
      <c r="AO54" s="245"/>
      <c r="AP54" s="245"/>
      <c r="AQ54" s="245"/>
      <c r="AR54" s="245"/>
      <c r="AS54" s="245"/>
      <c r="AT54" s="245"/>
      <c r="AU54" s="245"/>
    </row>
    <row r="55" spans="1:47" s="57" customFormat="1" ht="16.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c r="AC55" s="55"/>
      <c r="AD55" s="55"/>
      <c r="AE55" s="55"/>
      <c r="AF55" s="55"/>
      <c r="AG55" s="55"/>
      <c r="AH55" s="55"/>
      <c r="AI55" s="55"/>
      <c r="AJ55" s="55"/>
      <c r="AK55" s="55"/>
      <c r="AL55" s="55"/>
      <c r="AM55" s="55"/>
      <c r="AN55" s="55"/>
      <c r="AO55" s="55"/>
      <c r="AP55" s="55"/>
      <c r="AQ55" s="55"/>
      <c r="AR55" s="55"/>
      <c r="AS55" s="55"/>
      <c r="AT55" s="55"/>
      <c r="AU55" s="55"/>
    </row>
    <row r="56" spans="1:47" ht="16.5" customHeight="1">
      <c r="A56" s="53"/>
      <c r="B56" s="54" t="s">
        <v>81</v>
      </c>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61"/>
      <c r="AG56" s="53"/>
      <c r="AH56" s="53"/>
      <c r="AI56" s="53"/>
      <c r="AJ56" s="53"/>
      <c r="AK56" s="53"/>
      <c r="AL56" s="53"/>
      <c r="AM56" s="53"/>
      <c r="AN56" s="53"/>
      <c r="AO56" s="53"/>
      <c r="AP56" s="53"/>
      <c r="AQ56" s="53"/>
      <c r="AR56" s="53"/>
      <c r="AS56" s="53"/>
      <c r="AT56" s="53"/>
      <c r="AU56" s="53"/>
    </row>
    <row r="57" spans="1:47" s="57" customFormat="1" ht="16.5" customHeight="1">
      <c r="A57" s="55"/>
      <c r="B57" s="235" t="s">
        <v>82</v>
      </c>
      <c r="C57" s="236"/>
      <c r="D57" s="236"/>
      <c r="E57" s="236"/>
      <c r="F57" s="236"/>
      <c r="G57" s="236"/>
      <c r="H57" s="236"/>
      <c r="I57" s="236"/>
      <c r="J57" s="236"/>
      <c r="K57" s="237"/>
      <c r="L57" s="235" t="s">
        <v>83</v>
      </c>
      <c r="M57" s="236"/>
      <c r="N57" s="236"/>
      <c r="O57" s="236"/>
      <c r="P57" s="237"/>
      <c r="Q57" s="235" t="s">
        <v>84</v>
      </c>
      <c r="R57" s="236"/>
      <c r="S57" s="236"/>
      <c r="T57" s="236"/>
      <c r="U57" s="237"/>
      <c r="V57" s="235" t="s">
        <v>68</v>
      </c>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236"/>
      <c r="AT57" s="236"/>
      <c r="AU57" s="237"/>
    </row>
    <row r="58" spans="1:47" s="57" customFormat="1" ht="16.5" customHeight="1">
      <c r="A58" s="55"/>
      <c r="B58" s="239" t="s">
        <v>85</v>
      </c>
      <c r="C58" s="240"/>
      <c r="D58" s="240"/>
      <c r="E58" s="240"/>
      <c r="F58" s="240"/>
      <c r="G58" s="240"/>
      <c r="H58" s="240"/>
      <c r="I58" s="240"/>
      <c r="J58" s="240"/>
      <c r="K58" s="241"/>
      <c r="L58" s="242"/>
      <c r="M58" s="243"/>
      <c r="N58" s="243"/>
      <c r="O58" s="243"/>
      <c r="P58" s="244"/>
      <c r="Q58" s="242" t="s">
        <v>47</v>
      </c>
      <c r="R58" s="243"/>
      <c r="S58" s="243"/>
      <c r="T58" s="243"/>
      <c r="U58" s="244"/>
      <c r="V58" s="107"/>
      <c r="W58" s="108"/>
      <c r="X58" s="108"/>
      <c r="Y58" s="108"/>
      <c r="Z58" s="108"/>
      <c r="AA58" s="108"/>
      <c r="AB58" s="108"/>
      <c r="AC58" s="108"/>
      <c r="AD58" s="108"/>
      <c r="AE58" s="108"/>
      <c r="AF58" s="108"/>
      <c r="AG58" s="108"/>
      <c r="AH58" s="108"/>
      <c r="AI58" s="108"/>
      <c r="AJ58" s="108"/>
      <c r="AK58" s="108"/>
      <c r="AL58" s="108"/>
      <c r="AM58" s="108"/>
      <c r="AN58" s="108"/>
      <c r="AO58" s="108"/>
      <c r="AP58" s="108"/>
      <c r="AQ58" s="108"/>
      <c r="AR58" s="108"/>
      <c r="AS58" s="108"/>
      <c r="AT58" s="108"/>
      <c r="AU58" s="109"/>
    </row>
    <row r="59" spans="1:47" s="57" customFormat="1" ht="16.5" customHeight="1">
      <c r="A59" s="55"/>
      <c r="B59" s="239" t="s">
        <v>86</v>
      </c>
      <c r="C59" s="240"/>
      <c r="D59" s="240"/>
      <c r="E59" s="240"/>
      <c r="F59" s="240"/>
      <c r="G59" s="240"/>
      <c r="H59" s="240"/>
      <c r="I59" s="240"/>
      <c r="J59" s="240"/>
      <c r="K59" s="241"/>
      <c r="L59" s="242" t="s">
        <v>47</v>
      </c>
      <c r="M59" s="243"/>
      <c r="N59" s="243"/>
      <c r="O59" s="243"/>
      <c r="P59" s="244"/>
      <c r="Q59" s="242" t="s">
        <v>47</v>
      </c>
      <c r="R59" s="243"/>
      <c r="S59" s="243"/>
      <c r="T59" s="243"/>
      <c r="U59" s="244"/>
      <c r="V59" s="107" t="s">
        <v>87</v>
      </c>
      <c r="W59" s="108"/>
      <c r="X59" s="108"/>
      <c r="Y59" s="108"/>
      <c r="Z59" s="108"/>
      <c r="AA59" s="108"/>
      <c r="AB59" s="108"/>
      <c r="AC59" s="108"/>
      <c r="AD59" s="108"/>
      <c r="AE59" s="108"/>
      <c r="AF59" s="108"/>
      <c r="AG59" s="108"/>
      <c r="AH59" s="108"/>
      <c r="AI59" s="108"/>
      <c r="AJ59" s="108"/>
      <c r="AK59" s="108"/>
      <c r="AL59" s="108"/>
      <c r="AM59" s="108"/>
      <c r="AN59" s="108"/>
      <c r="AO59" s="108"/>
      <c r="AP59" s="108"/>
      <c r="AQ59" s="108"/>
      <c r="AR59" s="108"/>
      <c r="AS59" s="108"/>
      <c r="AT59" s="108"/>
      <c r="AU59" s="109"/>
    </row>
    <row r="60" spans="1:47" s="57" customFormat="1" ht="16.5" customHeight="1">
      <c r="A60" s="55"/>
      <c r="B60" s="239" t="s">
        <v>80</v>
      </c>
      <c r="C60" s="240"/>
      <c r="D60" s="240"/>
      <c r="E60" s="240"/>
      <c r="F60" s="240"/>
      <c r="G60" s="240"/>
      <c r="H60" s="240"/>
      <c r="I60" s="240"/>
      <c r="J60" s="240"/>
      <c r="K60" s="241"/>
      <c r="L60" s="242"/>
      <c r="M60" s="243"/>
      <c r="N60" s="243"/>
      <c r="O60" s="243"/>
      <c r="P60" s="244"/>
      <c r="Q60" s="242"/>
      <c r="R60" s="243"/>
      <c r="S60" s="243"/>
      <c r="T60" s="243"/>
      <c r="U60" s="244"/>
      <c r="V60" s="107"/>
      <c r="W60" s="108"/>
      <c r="X60" s="108"/>
      <c r="Y60" s="108"/>
      <c r="Z60" s="108"/>
      <c r="AA60" s="108"/>
      <c r="AB60" s="108"/>
      <c r="AC60" s="108"/>
      <c r="AD60" s="108"/>
      <c r="AE60" s="108"/>
      <c r="AF60" s="108"/>
      <c r="AG60" s="108"/>
      <c r="AH60" s="108"/>
      <c r="AI60" s="108"/>
      <c r="AJ60" s="108"/>
      <c r="AK60" s="108"/>
      <c r="AL60" s="108"/>
      <c r="AM60" s="108"/>
      <c r="AN60" s="108"/>
      <c r="AO60" s="108"/>
      <c r="AP60" s="108"/>
      <c r="AQ60" s="108"/>
      <c r="AR60" s="108"/>
      <c r="AS60" s="108"/>
      <c r="AT60" s="108"/>
      <c r="AU60" s="109"/>
    </row>
    <row r="61" spans="1:47" s="57" customFormat="1" ht="16.5" customHeight="1">
      <c r="A61" s="55"/>
      <c r="B61" s="239" t="s">
        <v>88</v>
      </c>
      <c r="C61" s="240"/>
      <c r="D61" s="240"/>
      <c r="E61" s="240"/>
      <c r="F61" s="240"/>
      <c r="G61" s="240"/>
      <c r="H61" s="240"/>
      <c r="I61" s="240"/>
      <c r="J61" s="240"/>
      <c r="K61" s="241"/>
      <c r="L61" s="242" t="s">
        <v>47</v>
      </c>
      <c r="M61" s="243"/>
      <c r="N61" s="243"/>
      <c r="O61" s="243"/>
      <c r="P61" s="244"/>
      <c r="Q61" s="242" t="s">
        <v>47</v>
      </c>
      <c r="R61" s="243"/>
      <c r="S61" s="243"/>
      <c r="T61" s="243"/>
      <c r="U61" s="244"/>
      <c r="V61" s="107"/>
      <c r="W61" s="108"/>
      <c r="X61" s="108"/>
      <c r="Y61" s="108"/>
      <c r="Z61" s="108"/>
      <c r="AA61" s="108"/>
      <c r="AB61" s="108"/>
      <c r="AC61" s="108"/>
      <c r="AD61" s="108"/>
      <c r="AE61" s="108"/>
      <c r="AF61" s="108"/>
      <c r="AG61" s="108"/>
      <c r="AH61" s="108"/>
      <c r="AI61" s="108"/>
      <c r="AJ61" s="108"/>
      <c r="AK61" s="108"/>
      <c r="AL61" s="108"/>
      <c r="AM61" s="108"/>
      <c r="AN61" s="108"/>
      <c r="AO61" s="108"/>
      <c r="AP61" s="108"/>
      <c r="AQ61" s="108"/>
      <c r="AR61" s="108"/>
      <c r="AS61" s="108"/>
      <c r="AT61" s="108"/>
      <c r="AU61" s="109"/>
    </row>
    <row r="62" spans="1:47" s="57" customFormat="1" ht="16.5" customHeight="1">
      <c r="A62" s="55"/>
      <c r="B62" s="239" t="s">
        <v>89</v>
      </c>
      <c r="C62" s="240"/>
      <c r="D62" s="240"/>
      <c r="E62" s="240"/>
      <c r="F62" s="240"/>
      <c r="G62" s="240"/>
      <c r="H62" s="240"/>
      <c r="I62" s="240"/>
      <c r="J62" s="240"/>
      <c r="K62" s="241"/>
      <c r="L62" s="242" t="s">
        <v>47</v>
      </c>
      <c r="M62" s="243"/>
      <c r="N62" s="243"/>
      <c r="O62" s="243"/>
      <c r="P62" s="244"/>
      <c r="Q62" s="242" t="s">
        <v>47</v>
      </c>
      <c r="R62" s="243"/>
      <c r="S62" s="243"/>
      <c r="T62" s="243"/>
      <c r="U62" s="244"/>
      <c r="V62" s="107"/>
      <c r="W62" s="108"/>
      <c r="X62" s="108"/>
      <c r="Y62" s="108"/>
      <c r="Z62" s="108"/>
      <c r="AA62" s="108"/>
      <c r="AB62" s="108"/>
      <c r="AC62" s="108"/>
      <c r="AD62" s="108"/>
      <c r="AE62" s="108"/>
      <c r="AF62" s="108"/>
      <c r="AG62" s="108"/>
      <c r="AH62" s="108"/>
      <c r="AI62" s="108"/>
      <c r="AJ62" s="108"/>
      <c r="AK62" s="108"/>
      <c r="AL62" s="108"/>
      <c r="AM62" s="108"/>
      <c r="AN62" s="108"/>
      <c r="AO62" s="108"/>
      <c r="AP62" s="108"/>
      <c r="AQ62" s="108"/>
      <c r="AR62" s="108"/>
      <c r="AS62" s="108"/>
      <c r="AT62" s="108"/>
      <c r="AU62" s="109"/>
    </row>
    <row r="63" spans="1:47" s="57" customFormat="1" ht="16.5" customHeight="1">
      <c r="A63" s="55"/>
      <c r="B63" s="239" t="s">
        <v>90</v>
      </c>
      <c r="C63" s="240"/>
      <c r="D63" s="240"/>
      <c r="E63" s="240"/>
      <c r="F63" s="240"/>
      <c r="G63" s="240"/>
      <c r="H63" s="240"/>
      <c r="I63" s="240"/>
      <c r="J63" s="240"/>
      <c r="K63" s="241"/>
      <c r="L63" s="242" t="s">
        <v>47</v>
      </c>
      <c r="M63" s="243"/>
      <c r="N63" s="243"/>
      <c r="O63" s="243"/>
      <c r="P63" s="244"/>
      <c r="Q63" s="242" t="s">
        <v>47</v>
      </c>
      <c r="R63" s="243"/>
      <c r="S63" s="243"/>
      <c r="T63" s="243"/>
      <c r="U63" s="244"/>
      <c r="V63" s="107"/>
      <c r="W63" s="108"/>
      <c r="X63" s="108"/>
      <c r="Y63" s="108"/>
      <c r="Z63" s="108"/>
      <c r="AA63" s="108"/>
      <c r="AB63" s="108"/>
      <c r="AC63" s="108"/>
      <c r="AD63" s="108"/>
      <c r="AE63" s="108"/>
      <c r="AF63" s="108"/>
      <c r="AG63" s="108"/>
      <c r="AH63" s="108"/>
      <c r="AI63" s="108"/>
      <c r="AJ63" s="108"/>
      <c r="AK63" s="108"/>
      <c r="AL63" s="108"/>
      <c r="AM63" s="108"/>
      <c r="AN63" s="108"/>
      <c r="AO63" s="108"/>
      <c r="AP63" s="108"/>
      <c r="AQ63" s="108"/>
      <c r="AR63" s="108"/>
      <c r="AS63" s="108"/>
      <c r="AT63" s="108"/>
      <c r="AU63" s="109"/>
    </row>
    <row r="64" spans="1:47" s="57" customFormat="1" ht="16.5" customHeight="1">
      <c r="A64" s="55"/>
      <c r="B64" s="239" t="s">
        <v>91</v>
      </c>
      <c r="C64" s="240"/>
      <c r="D64" s="240"/>
      <c r="E64" s="240"/>
      <c r="F64" s="240"/>
      <c r="G64" s="240"/>
      <c r="H64" s="240"/>
      <c r="I64" s="240"/>
      <c r="J64" s="240"/>
      <c r="K64" s="241"/>
      <c r="L64" s="242"/>
      <c r="M64" s="243"/>
      <c r="N64" s="243"/>
      <c r="O64" s="243"/>
      <c r="P64" s="244"/>
      <c r="Q64" s="242"/>
      <c r="R64" s="243"/>
      <c r="S64" s="243"/>
      <c r="T64" s="243"/>
      <c r="U64" s="244"/>
      <c r="V64" s="107"/>
      <c r="W64" s="108"/>
      <c r="X64" s="108"/>
      <c r="Y64" s="108"/>
      <c r="Z64" s="108"/>
      <c r="AA64" s="108"/>
      <c r="AB64" s="108"/>
      <c r="AC64" s="108"/>
      <c r="AD64" s="108"/>
      <c r="AE64" s="108"/>
      <c r="AF64" s="108"/>
      <c r="AG64" s="108"/>
      <c r="AH64" s="108"/>
      <c r="AI64" s="108"/>
      <c r="AJ64" s="108"/>
      <c r="AK64" s="108"/>
      <c r="AL64" s="108"/>
      <c r="AM64" s="108"/>
      <c r="AN64" s="108"/>
      <c r="AO64" s="108"/>
      <c r="AP64" s="108"/>
      <c r="AQ64" s="108"/>
      <c r="AR64" s="108"/>
      <c r="AS64" s="108"/>
      <c r="AT64" s="108"/>
      <c r="AU64" s="109"/>
    </row>
    <row r="65" spans="1:47" s="57" customFormat="1" ht="16.5" customHeight="1">
      <c r="A65" s="55"/>
      <c r="B65" s="239" t="s">
        <v>92</v>
      </c>
      <c r="C65" s="240"/>
      <c r="D65" s="240"/>
      <c r="E65" s="240"/>
      <c r="F65" s="240"/>
      <c r="G65" s="240"/>
      <c r="H65" s="240"/>
      <c r="I65" s="240"/>
      <c r="J65" s="240"/>
      <c r="K65" s="241"/>
      <c r="L65" s="242" t="s">
        <v>47</v>
      </c>
      <c r="M65" s="243"/>
      <c r="N65" s="243"/>
      <c r="O65" s="243"/>
      <c r="P65" s="244"/>
      <c r="Q65" s="242" t="s">
        <v>47</v>
      </c>
      <c r="R65" s="243"/>
      <c r="S65" s="243"/>
      <c r="T65" s="243"/>
      <c r="U65" s="244"/>
      <c r="V65" s="107"/>
      <c r="W65" s="108"/>
      <c r="X65" s="108"/>
      <c r="Y65" s="108"/>
      <c r="Z65" s="108"/>
      <c r="AA65" s="108"/>
      <c r="AB65" s="108"/>
      <c r="AC65" s="108"/>
      <c r="AD65" s="108"/>
      <c r="AE65" s="108"/>
      <c r="AF65" s="108"/>
      <c r="AG65" s="108"/>
      <c r="AH65" s="108"/>
      <c r="AI65" s="108"/>
      <c r="AJ65" s="108"/>
      <c r="AK65" s="108"/>
      <c r="AL65" s="108"/>
      <c r="AM65" s="108"/>
      <c r="AN65" s="108"/>
      <c r="AO65" s="108"/>
      <c r="AP65" s="108"/>
      <c r="AQ65" s="108"/>
      <c r="AR65" s="108"/>
      <c r="AS65" s="108"/>
      <c r="AT65" s="108"/>
      <c r="AU65" s="109"/>
    </row>
    <row r="66" spans="1:47" s="57" customFormat="1" ht="16.5" customHeight="1">
      <c r="A66" s="55"/>
      <c r="B66" s="239" t="s">
        <v>93</v>
      </c>
      <c r="C66" s="240"/>
      <c r="D66" s="240"/>
      <c r="E66" s="240"/>
      <c r="F66" s="240"/>
      <c r="G66" s="240"/>
      <c r="H66" s="240"/>
      <c r="I66" s="240"/>
      <c r="J66" s="240"/>
      <c r="K66" s="241"/>
      <c r="L66" s="242"/>
      <c r="M66" s="243"/>
      <c r="N66" s="243"/>
      <c r="O66" s="243"/>
      <c r="P66" s="244"/>
      <c r="Q66" s="242"/>
      <c r="R66" s="243"/>
      <c r="S66" s="243"/>
      <c r="T66" s="243"/>
      <c r="U66" s="244"/>
      <c r="V66" s="107"/>
      <c r="W66" s="108"/>
      <c r="X66" s="108"/>
      <c r="Y66" s="108"/>
      <c r="Z66" s="108"/>
      <c r="AA66" s="108"/>
      <c r="AB66" s="108"/>
      <c r="AC66" s="108"/>
      <c r="AD66" s="108"/>
      <c r="AE66" s="108"/>
      <c r="AF66" s="108"/>
      <c r="AG66" s="108"/>
      <c r="AH66" s="108"/>
      <c r="AI66" s="108"/>
      <c r="AJ66" s="108"/>
      <c r="AK66" s="108"/>
      <c r="AL66" s="108"/>
      <c r="AM66" s="108"/>
      <c r="AN66" s="108"/>
      <c r="AO66" s="108"/>
      <c r="AP66" s="108"/>
      <c r="AQ66" s="108"/>
      <c r="AR66" s="108"/>
      <c r="AS66" s="108"/>
      <c r="AT66" s="108"/>
      <c r="AU66" s="109"/>
    </row>
    <row r="67" spans="1:47" s="57" customFormat="1" ht="16.5" customHeight="1">
      <c r="A67" s="55"/>
      <c r="B67" s="239" t="s">
        <v>94</v>
      </c>
      <c r="C67" s="240"/>
      <c r="D67" s="240"/>
      <c r="E67" s="240"/>
      <c r="F67" s="240"/>
      <c r="G67" s="240"/>
      <c r="H67" s="240"/>
      <c r="I67" s="240"/>
      <c r="J67" s="240"/>
      <c r="K67" s="241"/>
      <c r="L67" s="242"/>
      <c r="M67" s="243"/>
      <c r="N67" s="243"/>
      <c r="O67" s="243"/>
      <c r="P67" s="244"/>
      <c r="Q67" s="242"/>
      <c r="R67" s="243"/>
      <c r="S67" s="243"/>
      <c r="T67" s="243"/>
      <c r="U67" s="244"/>
      <c r="V67" s="107"/>
      <c r="W67" s="108"/>
      <c r="X67" s="108"/>
      <c r="Y67" s="108"/>
      <c r="Z67" s="108"/>
      <c r="AA67" s="108"/>
      <c r="AB67" s="108"/>
      <c r="AC67" s="108"/>
      <c r="AD67" s="108"/>
      <c r="AE67" s="108"/>
      <c r="AF67" s="108"/>
      <c r="AG67" s="108"/>
      <c r="AH67" s="108"/>
      <c r="AI67" s="108"/>
      <c r="AJ67" s="108"/>
      <c r="AK67" s="108"/>
      <c r="AL67" s="108"/>
      <c r="AM67" s="108"/>
      <c r="AN67" s="108"/>
      <c r="AO67" s="108"/>
      <c r="AP67" s="108"/>
      <c r="AQ67" s="108"/>
      <c r="AR67" s="108"/>
      <c r="AS67" s="108"/>
      <c r="AT67" s="108"/>
      <c r="AU67" s="109"/>
    </row>
    <row r="68" spans="1:47" s="57" customFormat="1" ht="16.5" customHeight="1">
      <c r="A68" s="55"/>
      <c r="B68" s="239" t="s">
        <v>95</v>
      </c>
      <c r="C68" s="240"/>
      <c r="D68" s="240"/>
      <c r="E68" s="240"/>
      <c r="F68" s="240"/>
      <c r="G68" s="240"/>
      <c r="H68" s="240"/>
      <c r="I68" s="240"/>
      <c r="J68" s="240"/>
      <c r="K68" s="241"/>
      <c r="L68" s="242"/>
      <c r="M68" s="243"/>
      <c r="N68" s="243"/>
      <c r="O68" s="243"/>
      <c r="P68" s="244"/>
      <c r="Q68" s="242"/>
      <c r="R68" s="243"/>
      <c r="S68" s="243"/>
      <c r="T68" s="243"/>
      <c r="U68" s="244"/>
      <c r="V68" s="107"/>
      <c r="W68" s="108"/>
      <c r="X68" s="108"/>
      <c r="Y68" s="108"/>
      <c r="Z68" s="108"/>
      <c r="AA68" s="108"/>
      <c r="AB68" s="108"/>
      <c r="AC68" s="108"/>
      <c r="AD68" s="108"/>
      <c r="AE68" s="108"/>
      <c r="AF68" s="108"/>
      <c r="AG68" s="108"/>
      <c r="AH68" s="108"/>
      <c r="AI68" s="108"/>
      <c r="AJ68" s="108"/>
      <c r="AK68" s="108"/>
      <c r="AL68" s="108"/>
      <c r="AM68" s="108"/>
      <c r="AN68" s="108"/>
      <c r="AO68" s="108"/>
      <c r="AP68" s="108"/>
      <c r="AQ68" s="108"/>
      <c r="AR68" s="108"/>
      <c r="AS68" s="108"/>
      <c r="AT68" s="108"/>
      <c r="AU68" s="109"/>
    </row>
    <row r="69" spans="1:47" s="57" customFormat="1" ht="16.5" customHeight="1">
      <c r="A69" s="55"/>
      <c r="B69" s="239" t="s">
        <v>96</v>
      </c>
      <c r="C69" s="240"/>
      <c r="D69" s="240"/>
      <c r="E69" s="240"/>
      <c r="F69" s="240"/>
      <c r="G69" s="240"/>
      <c r="H69" s="240"/>
      <c r="I69" s="240"/>
      <c r="J69" s="240"/>
      <c r="K69" s="241"/>
      <c r="L69" s="242" t="s">
        <v>47</v>
      </c>
      <c r="M69" s="243"/>
      <c r="N69" s="243"/>
      <c r="O69" s="243"/>
      <c r="P69" s="244"/>
      <c r="Q69" s="242" t="s">
        <v>47</v>
      </c>
      <c r="R69" s="243"/>
      <c r="S69" s="243"/>
      <c r="T69" s="243"/>
      <c r="U69" s="244"/>
      <c r="V69" s="107" t="s">
        <v>97</v>
      </c>
      <c r="W69" s="108"/>
      <c r="X69" s="108"/>
      <c r="Y69" s="108"/>
      <c r="Z69" s="108"/>
      <c r="AA69" s="108"/>
      <c r="AB69" s="108"/>
      <c r="AC69" s="108"/>
      <c r="AD69" s="108"/>
      <c r="AE69" s="108"/>
      <c r="AF69" s="108"/>
      <c r="AG69" s="108"/>
      <c r="AH69" s="108"/>
      <c r="AI69" s="108"/>
      <c r="AJ69" s="108"/>
      <c r="AK69" s="108"/>
      <c r="AL69" s="108"/>
      <c r="AM69" s="108"/>
      <c r="AN69" s="108"/>
      <c r="AO69" s="108"/>
      <c r="AP69" s="108"/>
      <c r="AQ69" s="108"/>
      <c r="AR69" s="108"/>
      <c r="AS69" s="108"/>
      <c r="AT69" s="108"/>
      <c r="AU69" s="109"/>
    </row>
    <row r="70" spans="1:47" s="57" customFormat="1" ht="16.5" customHeight="1">
      <c r="A70" s="55"/>
      <c r="B70" s="239" t="s">
        <v>98</v>
      </c>
      <c r="C70" s="240"/>
      <c r="D70" s="240"/>
      <c r="E70" s="240"/>
      <c r="F70" s="240"/>
      <c r="G70" s="240"/>
      <c r="H70" s="240"/>
      <c r="I70" s="240"/>
      <c r="J70" s="240"/>
      <c r="K70" s="241"/>
      <c r="L70" s="242"/>
      <c r="M70" s="243"/>
      <c r="N70" s="243"/>
      <c r="O70" s="243"/>
      <c r="P70" s="244"/>
      <c r="Q70" s="242"/>
      <c r="R70" s="243"/>
      <c r="S70" s="243"/>
      <c r="T70" s="243"/>
      <c r="U70" s="244"/>
      <c r="V70" s="107"/>
      <c r="W70" s="108"/>
      <c r="X70" s="108"/>
      <c r="Y70" s="108"/>
      <c r="Z70" s="108"/>
      <c r="AA70" s="108"/>
      <c r="AB70" s="108"/>
      <c r="AC70" s="108"/>
      <c r="AD70" s="108"/>
      <c r="AE70" s="108"/>
      <c r="AF70" s="108"/>
      <c r="AG70" s="108"/>
      <c r="AH70" s="108"/>
      <c r="AI70" s="108"/>
      <c r="AJ70" s="108"/>
      <c r="AK70" s="108"/>
      <c r="AL70" s="108"/>
      <c r="AM70" s="108"/>
      <c r="AN70" s="108"/>
      <c r="AO70" s="108"/>
      <c r="AP70" s="108"/>
      <c r="AQ70" s="108"/>
      <c r="AR70" s="108"/>
      <c r="AS70" s="108"/>
      <c r="AT70" s="108"/>
      <c r="AU70" s="109"/>
    </row>
    <row r="71" spans="1:47" s="57" customFormat="1" ht="16.5" customHeight="1">
      <c r="A71" s="55"/>
      <c r="B71" s="239" t="s">
        <v>99</v>
      </c>
      <c r="C71" s="240"/>
      <c r="D71" s="240"/>
      <c r="E71" s="240"/>
      <c r="F71" s="240"/>
      <c r="G71" s="240"/>
      <c r="H71" s="240"/>
      <c r="I71" s="240"/>
      <c r="J71" s="240"/>
      <c r="K71" s="241"/>
      <c r="L71" s="242"/>
      <c r="M71" s="243"/>
      <c r="N71" s="243"/>
      <c r="O71" s="243"/>
      <c r="P71" s="244"/>
      <c r="Q71" s="242" t="s">
        <v>47</v>
      </c>
      <c r="R71" s="243"/>
      <c r="S71" s="243"/>
      <c r="T71" s="243"/>
      <c r="U71" s="244"/>
      <c r="V71" s="107" t="s">
        <v>100</v>
      </c>
      <c r="W71" s="108"/>
      <c r="X71" s="108"/>
      <c r="Y71" s="108"/>
      <c r="Z71" s="108"/>
      <c r="AA71" s="108"/>
      <c r="AB71" s="108"/>
      <c r="AC71" s="108"/>
      <c r="AD71" s="108"/>
      <c r="AE71" s="108"/>
      <c r="AF71" s="108"/>
      <c r="AG71" s="108"/>
      <c r="AH71" s="108"/>
      <c r="AI71" s="108"/>
      <c r="AJ71" s="108"/>
      <c r="AK71" s="108"/>
      <c r="AL71" s="108"/>
      <c r="AM71" s="108"/>
      <c r="AN71" s="108"/>
      <c r="AO71" s="108"/>
      <c r="AP71" s="108"/>
      <c r="AQ71" s="108"/>
      <c r="AR71" s="108"/>
      <c r="AS71" s="108"/>
      <c r="AT71" s="108"/>
      <c r="AU71" s="109"/>
    </row>
    <row r="72" spans="1:47" s="57" customFormat="1" ht="16.5" customHeight="1">
      <c r="A72" s="55"/>
      <c r="B72" s="239" t="s">
        <v>53</v>
      </c>
      <c r="C72" s="240"/>
      <c r="D72" s="240"/>
      <c r="E72" s="240"/>
      <c r="F72" s="240"/>
      <c r="G72" s="240"/>
      <c r="H72" s="240"/>
      <c r="I72" s="240"/>
      <c r="J72" s="240"/>
      <c r="K72" s="241"/>
      <c r="L72" s="242"/>
      <c r="M72" s="243"/>
      <c r="N72" s="243"/>
      <c r="O72" s="243"/>
      <c r="P72" s="244"/>
      <c r="Q72" s="242"/>
      <c r="R72" s="243"/>
      <c r="S72" s="243"/>
      <c r="T72" s="243"/>
      <c r="U72" s="244"/>
      <c r="V72" s="107"/>
      <c r="W72" s="108"/>
      <c r="X72" s="108"/>
      <c r="Y72" s="108"/>
      <c r="Z72" s="108"/>
      <c r="AA72" s="108"/>
      <c r="AB72" s="108"/>
      <c r="AC72" s="108"/>
      <c r="AD72" s="108"/>
      <c r="AE72" s="108"/>
      <c r="AF72" s="108"/>
      <c r="AG72" s="108"/>
      <c r="AH72" s="108"/>
      <c r="AI72" s="108"/>
      <c r="AJ72" s="108"/>
      <c r="AK72" s="108"/>
      <c r="AL72" s="108"/>
      <c r="AM72" s="108"/>
      <c r="AN72" s="108"/>
      <c r="AO72" s="108"/>
      <c r="AP72" s="108"/>
      <c r="AQ72" s="108"/>
      <c r="AR72" s="108"/>
      <c r="AS72" s="108"/>
      <c r="AT72" s="108"/>
      <c r="AU72" s="109"/>
    </row>
    <row r="73" spans="1:47" s="57" customFormat="1" ht="16.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62"/>
      <c r="Z73" s="62"/>
      <c r="AA73" s="62"/>
      <c r="AB73" s="62"/>
      <c r="AC73" s="62"/>
      <c r="AD73" s="62"/>
      <c r="AE73" s="62"/>
      <c r="AF73" s="62"/>
      <c r="AG73" s="62"/>
      <c r="AH73" s="62"/>
      <c r="AI73" s="62"/>
      <c r="AJ73" s="62"/>
      <c r="AK73" s="62"/>
      <c r="AL73" s="62"/>
      <c r="AM73" s="62"/>
      <c r="AN73" s="62"/>
      <c r="AO73" s="62"/>
      <c r="AP73" s="62"/>
      <c r="AQ73" s="62"/>
      <c r="AR73" s="62"/>
      <c r="AS73" s="62"/>
      <c r="AT73" s="62"/>
      <c r="AU73" s="62"/>
    </row>
    <row r="74" spans="1:47" s="46" customFormat="1" ht="16.5" customHeight="1">
      <c r="B74" s="45" t="s">
        <v>101</v>
      </c>
    </row>
    <row r="75" spans="1:47" s="57" customFormat="1" ht="16.5" customHeight="1">
      <c r="A75" s="55"/>
      <c r="B75" s="419" t="s">
        <v>102</v>
      </c>
      <c r="C75" s="419"/>
      <c r="D75" s="419"/>
      <c r="E75" s="419"/>
      <c r="F75" s="419"/>
      <c r="G75" s="419"/>
      <c r="H75" s="419"/>
      <c r="I75" s="419"/>
      <c r="J75" s="419"/>
      <c r="K75" s="419"/>
      <c r="L75" s="256">
        <v>1</v>
      </c>
      <c r="M75" s="256"/>
      <c r="N75" s="256"/>
      <c r="O75" s="256"/>
      <c r="P75" s="256"/>
      <c r="Q75" s="256"/>
      <c r="R75" s="256"/>
      <c r="S75" s="256"/>
      <c r="T75" s="256"/>
      <c r="U75" s="256"/>
      <c r="V75" s="256"/>
      <c r="W75" s="256"/>
      <c r="X75" s="256"/>
      <c r="Y75" s="419" t="s">
        <v>103</v>
      </c>
      <c r="Z75" s="419"/>
      <c r="AA75" s="419"/>
      <c r="AB75" s="419"/>
      <c r="AC75" s="419"/>
      <c r="AD75" s="419"/>
      <c r="AE75" s="419"/>
      <c r="AF75" s="419"/>
      <c r="AG75" s="419"/>
      <c r="AH75" s="420"/>
      <c r="AI75" s="256">
        <v>0</v>
      </c>
      <c r="AJ75" s="256"/>
      <c r="AK75" s="256"/>
      <c r="AL75" s="256"/>
      <c r="AM75" s="256"/>
      <c r="AN75" s="256"/>
      <c r="AO75" s="256"/>
      <c r="AP75" s="256"/>
      <c r="AQ75" s="256"/>
      <c r="AR75" s="256"/>
      <c r="AS75" s="256"/>
      <c r="AT75" s="256"/>
      <c r="AU75" s="256"/>
    </row>
    <row r="76" spans="1:47" s="57" customFormat="1" ht="16.5" customHeight="1">
      <c r="A76" s="55"/>
      <c r="B76" s="421" t="s">
        <v>104</v>
      </c>
      <c r="C76" s="422"/>
      <c r="D76" s="422"/>
      <c r="E76" s="422"/>
      <c r="F76" s="422"/>
      <c r="G76" s="422"/>
      <c r="H76" s="422"/>
      <c r="I76" s="422"/>
      <c r="J76" s="422"/>
      <c r="K76" s="423"/>
      <c r="L76" s="257">
        <v>0</v>
      </c>
      <c r="M76" s="258"/>
      <c r="N76" s="258"/>
      <c r="O76" s="258"/>
      <c r="P76" s="258"/>
      <c r="Q76" s="258"/>
      <c r="R76" s="258"/>
      <c r="S76" s="258"/>
      <c r="T76" s="258"/>
      <c r="U76" s="258"/>
      <c r="V76" s="258"/>
      <c r="W76" s="258"/>
      <c r="X76" s="259"/>
      <c r="Y76" s="419" t="s">
        <v>105</v>
      </c>
      <c r="Z76" s="419"/>
      <c r="AA76" s="419"/>
      <c r="AB76" s="419"/>
      <c r="AC76" s="419"/>
      <c r="AD76" s="419"/>
      <c r="AE76" s="419"/>
      <c r="AF76" s="419"/>
      <c r="AG76" s="419"/>
      <c r="AH76" s="420"/>
      <c r="AI76" s="256">
        <v>4</v>
      </c>
      <c r="AJ76" s="256"/>
      <c r="AK76" s="256"/>
      <c r="AL76" s="256"/>
      <c r="AM76" s="256"/>
      <c r="AN76" s="256"/>
      <c r="AO76" s="256"/>
      <c r="AP76" s="256"/>
      <c r="AQ76" s="256"/>
      <c r="AR76" s="256"/>
      <c r="AS76" s="256"/>
      <c r="AT76" s="256"/>
      <c r="AU76" s="256"/>
    </row>
    <row r="77" spans="1:47" s="57" customFormat="1" ht="16.5" customHeight="1">
      <c r="A77" s="55"/>
      <c r="B77" s="420" t="s">
        <v>106</v>
      </c>
      <c r="C77" s="420"/>
      <c r="D77" s="420"/>
      <c r="E77" s="420"/>
      <c r="F77" s="420"/>
      <c r="G77" s="420"/>
      <c r="H77" s="420"/>
      <c r="I77" s="420"/>
      <c r="J77" s="420"/>
      <c r="K77" s="420"/>
      <c r="L77" s="260">
        <v>0</v>
      </c>
      <c r="M77" s="260"/>
      <c r="N77" s="260"/>
      <c r="O77" s="260"/>
      <c r="P77" s="260"/>
      <c r="Q77" s="260"/>
      <c r="R77" s="260"/>
      <c r="S77" s="260"/>
      <c r="T77" s="260"/>
      <c r="U77" s="260"/>
      <c r="V77" s="260"/>
      <c r="W77" s="260"/>
      <c r="X77" s="260"/>
      <c r="Y77" s="421" t="s">
        <v>107</v>
      </c>
      <c r="Z77" s="422"/>
      <c r="AA77" s="422"/>
      <c r="AB77" s="422"/>
      <c r="AC77" s="422"/>
      <c r="AD77" s="422"/>
      <c r="AE77" s="422"/>
      <c r="AF77" s="422"/>
      <c r="AG77" s="422"/>
      <c r="AH77" s="423"/>
      <c r="AI77" s="261">
        <f>(L75*4*4)+(AI75*4)+(L76*5)+(AI76*5)+(L77*7)</f>
        <v>36</v>
      </c>
      <c r="AJ77" s="262"/>
      <c r="AK77" s="262"/>
      <c r="AL77" s="262"/>
      <c r="AM77" s="262"/>
      <c r="AN77" s="262"/>
      <c r="AO77" s="262"/>
      <c r="AP77" s="262"/>
      <c r="AQ77" s="262"/>
      <c r="AR77" s="262"/>
      <c r="AS77" s="262"/>
      <c r="AT77" s="262"/>
      <c r="AU77" s="263"/>
    </row>
    <row r="78" spans="1:47" s="57" customFormat="1" ht="16.5" customHeight="1">
      <c r="A78" s="55"/>
      <c r="B78" s="421" t="s">
        <v>53</v>
      </c>
      <c r="C78" s="422"/>
      <c r="D78" s="422"/>
      <c r="E78" s="422"/>
      <c r="F78" s="422"/>
      <c r="G78" s="422"/>
      <c r="H78" s="422"/>
      <c r="I78" s="422"/>
      <c r="J78" s="422"/>
      <c r="K78" s="423"/>
      <c r="L78" s="113"/>
      <c r="M78" s="114"/>
      <c r="N78" s="114"/>
      <c r="O78" s="114"/>
      <c r="P78" s="114"/>
      <c r="Q78" s="114"/>
      <c r="R78" s="114"/>
      <c r="S78" s="114"/>
      <c r="T78" s="114"/>
      <c r="U78" s="114"/>
      <c r="V78" s="114"/>
      <c r="W78" s="114"/>
      <c r="X78" s="114"/>
      <c r="Y78" s="114"/>
      <c r="Z78" s="114"/>
      <c r="AA78" s="114"/>
      <c r="AB78" s="114"/>
      <c r="AC78" s="114"/>
      <c r="AD78" s="114"/>
      <c r="AE78" s="114"/>
      <c r="AF78" s="114"/>
      <c r="AG78" s="114"/>
      <c r="AH78" s="114"/>
      <c r="AI78" s="114"/>
      <c r="AJ78" s="114"/>
      <c r="AK78" s="114"/>
      <c r="AL78" s="114"/>
      <c r="AM78" s="114"/>
      <c r="AN78" s="114"/>
      <c r="AO78" s="114"/>
      <c r="AP78" s="114"/>
      <c r="AQ78" s="114"/>
      <c r="AR78" s="114"/>
      <c r="AS78" s="114"/>
      <c r="AT78" s="114"/>
      <c r="AU78" s="115"/>
    </row>
    <row r="79" spans="1:47" s="57" customFormat="1" ht="16.5" customHeight="1">
      <c r="Y79" s="63"/>
      <c r="Z79" s="63"/>
      <c r="AA79" s="63"/>
      <c r="AB79" s="63"/>
      <c r="AC79" s="63"/>
      <c r="AD79" s="63"/>
      <c r="AE79" s="63"/>
      <c r="AF79" s="63"/>
      <c r="AG79" s="63"/>
      <c r="AH79" s="63"/>
      <c r="AI79" s="64"/>
      <c r="AJ79" s="64"/>
      <c r="AK79" s="64"/>
      <c r="AL79" s="64"/>
      <c r="AM79" s="64"/>
      <c r="AN79" s="64"/>
      <c r="AO79" s="64"/>
      <c r="AP79" s="64"/>
      <c r="AQ79" s="64"/>
      <c r="AR79" s="64"/>
      <c r="AS79" s="64"/>
      <c r="AT79" s="64"/>
      <c r="AU79" s="64"/>
    </row>
    <row r="80" spans="1:47" s="46" customFormat="1" ht="16.5" customHeight="1">
      <c r="B80" s="45" t="s">
        <v>108</v>
      </c>
    </row>
    <row r="81" spans="1:47" s="69" customFormat="1" ht="16.5" customHeight="1">
      <c r="A81" s="65"/>
      <c r="B81" s="66"/>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8"/>
    </row>
    <row r="82" spans="1:47" s="69" customFormat="1" ht="16.5" customHeight="1" thickBot="1">
      <c r="A82" s="65"/>
      <c r="B82" s="70"/>
      <c r="C82" s="86"/>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c r="AU82" s="71"/>
    </row>
    <row r="83" spans="1:47" s="69" customFormat="1" ht="16.5" customHeight="1" thickTop="1">
      <c r="A83" s="65"/>
      <c r="B83" s="70"/>
      <c r="C83" s="87"/>
      <c r="D83" s="96" t="s">
        <v>109</v>
      </c>
      <c r="E83" s="97"/>
      <c r="F83" s="97"/>
      <c r="G83" s="97"/>
      <c r="H83" s="97"/>
      <c r="I83" s="98"/>
      <c r="J83" s="88"/>
      <c r="K83" s="88"/>
      <c r="L83" s="88"/>
      <c r="M83" s="88"/>
      <c r="N83" s="96" t="s">
        <v>110</v>
      </c>
      <c r="O83" s="102"/>
      <c r="P83" s="102"/>
      <c r="Q83" s="102"/>
      <c r="R83" s="102"/>
      <c r="S83" s="103"/>
      <c r="T83" s="89"/>
      <c r="U83" s="88"/>
      <c r="V83" s="88"/>
      <c r="W83" s="90"/>
      <c r="X83" s="96" t="s">
        <v>111</v>
      </c>
      <c r="Y83" s="102"/>
      <c r="Z83" s="102"/>
      <c r="AA83" s="102"/>
      <c r="AB83" s="102"/>
      <c r="AC83" s="103"/>
      <c r="AD83" s="87"/>
      <c r="AU83" s="71"/>
    </row>
    <row r="84" spans="1:47" s="69" customFormat="1" ht="16.5" customHeight="1" thickBot="1">
      <c r="A84" s="65"/>
      <c r="B84" s="70"/>
      <c r="C84" s="87"/>
      <c r="D84" s="99"/>
      <c r="E84" s="100"/>
      <c r="F84" s="100"/>
      <c r="G84" s="100"/>
      <c r="H84" s="100"/>
      <c r="I84" s="101"/>
      <c r="J84" s="91"/>
      <c r="K84" s="91"/>
      <c r="L84" s="92"/>
      <c r="M84" s="92"/>
      <c r="N84" s="104"/>
      <c r="O84" s="105"/>
      <c r="P84" s="105"/>
      <c r="Q84" s="105"/>
      <c r="R84" s="105"/>
      <c r="S84" s="106"/>
      <c r="T84" s="91"/>
      <c r="U84" s="91"/>
      <c r="X84" s="104"/>
      <c r="Y84" s="105"/>
      <c r="Z84" s="105"/>
      <c r="AA84" s="105"/>
      <c r="AB84" s="105"/>
      <c r="AC84" s="106"/>
      <c r="AD84" s="87"/>
      <c r="AU84" s="71"/>
    </row>
    <row r="85" spans="1:47" s="69" customFormat="1" ht="16.5" customHeight="1" thickTop="1" thickBot="1">
      <c r="A85" s="65"/>
      <c r="B85" s="70"/>
      <c r="C85" s="87"/>
      <c r="D85" s="93"/>
      <c r="E85" s="93"/>
      <c r="F85" s="93"/>
      <c r="G85" s="93"/>
      <c r="H85" s="93"/>
      <c r="I85" s="93"/>
      <c r="J85" s="94"/>
      <c r="K85" s="94"/>
      <c r="L85" s="94"/>
      <c r="M85" s="94"/>
      <c r="N85" s="94"/>
      <c r="O85" s="94"/>
      <c r="P85" s="94"/>
      <c r="Q85" s="95"/>
      <c r="R85" s="94"/>
      <c r="S85" s="94"/>
      <c r="T85" s="94"/>
      <c r="U85" s="94"/>
      <c r="X85" s="91"/>
      <c r="Y85" s="91"/>
      <c r="Z85" s="91"/>
      <c r="AA85" s="91"/>
      <c r="AB85" s="91"/>
      <c r="AC85" s="91"/>
      <c r="AD85" s="87"/>
      <c r="AU85" s="71"/>
    </row>
    <row r="86" spans="1:47" s="69" customFormat="1" ht="16.5" customHeight="1" thickTop="1">
      <c r="A86" s="65"/>
      <c r="B86" s="70"/>
      <c r="C86" s="87"/>
      <c r="D86" s="93"/>
      <c r="E86" s="93"/>
      <c r="F86" s="93"/>
      <c r="G86" s="93"/>
      <c r="H86" s="93"/>
      <c r="I86" s="93"/>
      <c r="J86" s="94"/>
      <c r="K86" s="94"/>
      <c r="L86" s="94"/>
      <c r="M86" s="94"/>
      <c r="N86" s="96" t="s">
        <v>112</v>
      </c>
      <c r="O86" s="102"/>
      <c r="P86" s="102"/>
      <c r="Q86" s="102"/>
      <c r="R86" s="102"/>
      <c r="S86" s="103"/>
      <c r="T86" s="94"/>
      <c r="U86" s="94"/>
      <c r="AD86" s="87"/>
      <c r="AU86" s="71"/>
    </row>
    <row r="87" spans="1:47" s="69" customFormat="1" ht="16.5" customHeight="1" thickBot="1">
      <c r="A87" s="65"/>
      <c r="B87" s="70"/>
      <c r="C87" s="87"/>
      <c r="D87" s="93"/>
      <c r="E87" s="93"/>
      <c r="F87" s="93"/>
      <c r="G87" s="93"/>
      <c r="H87" s="93"/>
      <c r="I87" s="93"/>
      <c r="J87" s="93"/>
      <c r="K87" s="93"/>
      <c r="L87" s="93"/>
      <c r="M87" s="93"/>
      <c r="N87" s="104"/>
      <c r="O87" s="105"/>
      <c r="P87" s="105"/>
      <c r="Q87" s="105"/>
      <c r="R87" s="105"/>
      <c r="S87" s="106"/>
      <c r="T87" s="93"/>
      <c r="U87" s="93"/>
      <c r="AD87" s="87"/>
      <c r="AU87" s="71"/>
    </row>
    <row r="88" spans="1:47" s="69" customFormat="1" ht="16.5" customHeight="1" thickTop="1">
      <c r="A88" s="65"/>
      <c r="B88" s="70"/>
      <c r="C88" s="87"/>
      <c r="D88" s="93"/>
      <c r="E88" s="93"/>
      <c r="F88" s="93"/>
      <c r="G88" s="93"/>
      <c r="H88" s="93"/>
      <c r="I88" s="93"/>
      <c r="J88" s="93"/>
      <c r="K88" s="93"/>
      <c r="L88" s="93"/>
      <c r="M88" s="93"/>
      <c r="N88" s="93"/>
      <c r="O88" s="93"/>
      <c r="P88" s="93"/>
      <c r="Q88" s="93"/>
      <c r="R88" s="93"/>
      <c r="S88" s="93"/>
      <c r="T88" s="93"/>
      <c r="U88" s="93"/>
      <c r="V88" s="87"/>
      <c r="W88" s="93"/>
      <c r="AD88" s="87"/>
      <c r="AU88" s="71"/>
    </row>
    <row r="89" spans="1:47" s="69" customFormat="1" ht="16.5" customHeight="1">
      <c r="A89" s="65"/>
      <c r="B89" s="70"/>
      <c r="AU89" s="71"/>
    </row>
    <row r="90" spans="1:47" s="69" customFormat="1" ht="16.5" customHeight="1">
      <c r="A90" s="65"/>
      <c r="B90" s="70"/>
      <c r="AU90" s="71"/>
    </row>
    <row r="91" spans="1:47" s="69" customFormat="1" ht="16.5" customHeight="1">
      <c r="A91" s="65"/>
      <c r="B91" s="70"/>
      <c r="AU91" s="71"/>
    </row>
    <row r="92" spans="1:47" s="69" customFormat="1" ht="16.5" customHeight="1">
      <c r="A92" s="65"/>
      <c r="B92" s="70"/>
      <c r="AU92" s="71"/>
    </row>
    <row r="93" spans="1:47" s="69" customFormat="1" ht="16.5" customHeight="1">
      <c r="A93" s="65"/>
      <c r="B93" s="70"/>
      <c r="AU93" s="71"/>
    </row>
    <row r="94" spans="1:47" s="69" customFormat="1" ht="16.5" customHeight="1">
      <c r="A94" s="65"/>
      <c r="B94" s="70"/>
      <c r="AU94" s="71"/>
    </row>
    <row r="95" spans="1:47" s="69" customFormat="1" ht="16.5" customHeight="1">
      <c r="A95" s="65"/>
      <c r="B95" s="70"/>
      <c r="AU95" s="71"/>
    </row>
    <row r="96" spans="1:47" s="69" customFormat="1" ht="16.5" customHeight="1">
      <c r="A96" s="65"/>
      <c r="B96" s="70"/>
      <c r="AU96" s="71"/>
    </row>
    <row r="97" spans="1:47" s="69" customFormat="1" ht="16.5" customHeight="1">
      <c r="A97" s="65"/>
      <c r="B97" s="70"/>
      <c r="AU97" s="71"/>
    </row>
    <row r="98" spans="1:47" s="69" customFormat="1" ht="16.5" customHeight="1">
      <c r="A98" s="65"/>
      <c r="B98" s="70"/>
      <c r="AU98" s="71"/>
    </row>
    <row r="99" spans="1:47" s="69" customFormat="1" ht="16.5" customHeight="1">
      <c r="A99" s="65"/>
      <c r="B99" s="70"/>
      <c r="AU99" s="71"/>
    </row>
    <row r="100" spans="1:47" s="69" customFormat="1" ht="16.5" customHeight="1">
      <c r="A100" s="65"/>
      <c r="B100" s="70"/>
      <c r="AU100" s="71"/>
    </row>
    <row r="101" spans="1:47" s="69" customFormat="1" ht="16.5" customHeight="1">
      <c r="A101" s="65"/>
      <c r="B101" s="70"/>
      <c r="AU101" s="71"/>
    </row>
    <row r="102" spans="1:47" s="69" customFormat="1" ht="16.5" customHeight="1">
      <c r="A102" s="65"/>
      <c r="B102" s="70"/>
      <c r="AU102" s="71"/>
    </row>
    <row r="103" spans="1:47" s="69" customFormat="1" ht="16.5" customHeight="1">
      <c r="A103" s="65"/>
      <c r="B103" s="70"/>
      <c r="AU103" s="71"/>
    </row>
    <row r="104" spans="1:47" s="69" customFormat="1" ht="16.5" customHeight="1">
      <c r="A104" s="65"/>
      <c r="B104" s="70"/>
      <c r="AU104" s="71"/>
    </row>
    <row r="105" spans="1:47" s="69" customFormat="1" ht="16.5" customHeight="1">
      <c r="A105" s="65"/>
      <c r="B105" s="70"/>
      <c r="AU105" s="71"/>
    </row>
    <row r="106" spans="1:47" s="69" customFormat="1" ht="16.5" customHeight="1">
      <c r="A106" s="65"/>
      <c r="B106" s="70"/>
      <c r="AU106" s="71"/>
    </row>
    <row r="107" spans="1:47" s="69" customFormat="1" ht="16.5" customHeight="1">
      <c r="A107" s="65"/>
      <c r="B107" s="70"/>
      <c r="AU107" s="71"/>
    </row>
    <row r="108" spans="1:47" s="69" customFormat="1" ht="16.5" customHeight="1">
      <c r="A108" s="65"/>
      <c r="B108" s="70"/>
      <c r="AU108" s="71"/>
    </row>
    <row r="109" spans="1:47" s="69" customFormat="1" ht="16.5" customHeight="1">
      <c r="A109" s="65"/>
      <c r="B109" s="70"/>
      <c r="AU109" s="71"/>
    </row>
    <row r="110" spans="1:47" s="69" customFormat="1" ht="16.5" customHeight="1">
      <c r="A110" s="65"/>
      <c r="B110" s="72"/>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4"/>
    </row>
    <row r="111" spans="1:47" s="69" customFormat="1" ht="16.5" customHeight="1">
      <c r="A111" s="65"/>
    </row>
    <row r="112" spans="1:47" ht="16.5" customHeight="1">
      <c r="B112" s="75" t="s">
        <v>113</v>
      </c>
    </row>
    <row r="113" spans="1:47" ht="16.5" customHeight="1">
      <c r="B113" s="180" t="s">
        <v>114</v>
      </c>
      <c r="C113" s="181"/>
      <c r="D113" s="181"/>
      <c r="E113" s="181"/>
      <c r="F113" s="181"/>
      <c r="G113" s="181"/>
      <c r="H113" s="181"/>
      <c r="I113" s="181"/>
      <c r="J113" s="181"/>
      <c r="K113" s="182"/>
      <c r="L113" s="177" t="s">
        <v>115</v>
      </c>
      <c r="M113" s="178"/>
      <c r="N113" s="178"/>
      <c r="O113" s="179"/>
      <c r="P113" s="177" t="s">
        <v>116</v>
      </c>
      <c r="Q113" s="178"/>
      <c r="R113" s="178"/>
      <c r="S113" s="179"/>
      <c r="T113" s="177" t="s">
        <v>117</v>
      </c>
      <c r="U113" s="178"/>
      <c r="V113" s="178"/>
      <c r="W113" s="179"/>
      <c r="X113" s="177" t="s">
        <v>118</v>
      </c>
      <c r="Y113" s="178"/>
      <c r="Z113" s="178"/>
      <c r="AA113" s="179"/>
      <c r="AB113" s="177" t="s">
        <v>119</v>
      </c>
      <c r="AC113" s="178"/>
      <c r="AD113" s="178"/>
      <c r="AE113" s="179"/>
      <c r="AF113" s="177" t="s">
        <v>120</v>
      </c>
      <c r="AG113" s="178"/>
      <c r="AH113" s="178"/>
      <c r="AI113" s="179"/>
      <c r="AJ113" s="177" t="s">
        <v>121</v>
      </c>
      <c r="AK113" s="178"/>
      <c r="AL113" s="178"/>
      <c r="AM113" s="179"/>
      <c r="AN113" s="177" t="s">
        <v>122</v>
      </c>
      <c r="AO113" s="178"/>
      <c r="AP113" s="178"/>
      <c r="AQ113" s="179"/>
      <c r="AR113" s="177" t="s">
        <v>123</v>
      </c>
      <c r="AS113" s="178"/>
      <c r="AT113" s="178"/>
      <c r="AU113" s="179"/>
    </row>
    <row r="114" spans="1:47" ht="16.5" customHeight="1">
      <c r="B114" s="117" t="s">
        <v>124</v>
      </c>
      <c r="C114" s="118"/>
      <c r="D114" s="118"/>
      <c r="E114" s="118"/>
      <c r="F114" s="118"/>
      <c r="G114" s="118"/>
      <c r="H114" s="118"/>
      <c r="I114" s="118"/>
      <c r="J114" s="118"/>
      <c r="K114" s="119"/>
      <c r="L114" s="120">
        <v>45817</v>
      </c>
      <c r="M114" s="121"/>
      <c r="N114" s="121"/>
      <c r="O114" s="122"/>
      <c r="P114" s="120">
        <v>45817</v>
      </c>
      <c r="Q114" s="121"/>
      <c r="R114" s="121"/>
      <c r="S114" s="122"/>
      <c r="T114" s="123">
        <f t="shared" ref="T114" si="0">IF(OR(L114="",P114=""),"",(P114-L114)/30)</f>
        <v>0</v>
      </c>
      <c r="U114" s="124"/>
      <c r="V114" s="124"/>
      <c r="W114" s="125"/>
      <c r="X114" s="126">
        <v>0.05</v>
      </c>
      <c r="Y114" s="127"/>
      <c r="Z114" s="127"/>
      <c r="AA114" s="128"/>
      <c r="AB114" s="129">
        <v>50000</v>
      </c>
      <c r="AC114" s="130"/>
      <c r="AD114" s="130"/>
      <c r="AE114" s="131"/>
      <c r="AF114" s="132">
        <f>IF(X114="","",AB114/X114)</f>
        <v>1000000</v>
      </c>
      <c r="AG114" s="133"/>
      <c r="AH114" s="133"/>
      <c r="AI114" s="134"/>
      <c r="AJ114" s="129">
        <v>27500</v>
      </c>
      <c r="AK114" s="130"/>
      <c r="AL114" s="130"/>
      <c r="AM114" s="131"/>
      <c r="AN114" s="132">
        <f>IF(AB114="","",AB114-AJ114)</f>
        <v>22500</v>
      </c>
      <c r="AO114" s="133"/>
      <c r="AP114" s="133"/>
      <c r="AQ114" s="134"/>
      <c r="AR114" s="141">
        <f>IF(AB114="","",AN114/AB114)</f>
        <v>0.45</v>
      </c>
      <c r="AS114" s="142"/>
      <c r="AT114" s="142"/>
      <c r="AU114" s="143"/>
    </row>
    <row r="115" spans="1:47" ht="16.5" customHeight="1">
      <c r="B115" s="117" t="s">
        <v>125</v>
      </c>
      <c r="C115" s="118"/>
      <c r="D115" s="118"/>
      <c r="E115" s="118"/>
      <c r="F115" s="118"/>
      <c r="G115" s="118"/>
      <c r="H115" s="118"/>
      <c r="I115" s="118"/>
      <c r="J115" s="118"/>
      <c r="K115" s="119"/>
      <c r="L115" s="120">
        <v>45818</v>
      </c>
      <c r="M115" s="121"/>
      <c r="N115" s="121"/>
      <c r="O115" s="122"/>
      <c r="P115" s="120">
        <v>45819</v>
      </c>
      <c r="Q115" s="121"/>
      <c r="R115" s="121"/>
      <c r="S115" s="122"/>
      <c r="T115" s="123">
        <f t="shared" ref="T115:T121" si="1">IF(OR(L115="",P115=""),"",(P115-L115)/30)</f>
        <v>3.3333333333333333E-2</v>
      </c>
      <c r="U115" s="124"/>
      <c r="V115" s="124"/>
      <c r="W115" s="125"/>
      <c r="X115" s="126">
        <v>0.05</v>
      </c>
      <c r="Y115" s="127"/>
      <c r="Z115" s="127"/>
      <c r="AA115" s="128"/>
      <c r="AB115" s="129">
        <v>50000</v>
      </c>
      <c r="AC115" s="130"/>
      <c r="AD115" s="130"/>
      <c r="AE115" s="131"/>
      <c r="AF115" s="132">
        <f>IF(X115="","",AB115/X115)</f>
        <v>1000000</v>
      </c>
      <c r="AG115" s="133"/>
      <c r="AH115" s="133"/>
      <c r="AI115" s="134"/>
      <c r="AJ115" s="129">
        <v>27500</v>
      </c>
      <c r="AK115" s="130"/>
      <c r="AL115" s="130"/>
      <c r="AM115" s="131"/>
      <c r="AN115" s="132">
        <f t="shared" ref="AN115:AN123" si="2">IF(AB115="","",AB115-AJ115)</f>
        <v>22500</v>
      </c>
      <c r="AO115" s="133"/>
      <c r="AP115" s="133"/>
      <c r="AQ115" s="134"/>
      <c r="AR115" s="141">
        <f t="shared" ref="AR115:AR123" si="3">IF(AB115="","",AN115/AB115)</f>
        <v>0.45</v>
      </c>
      <c r="AS115" s="142"/>
      <c r="AT115" s="142"/>
      <c r="AU115" s="143"/>
    </row>
    <row r="116" spans="1:47" ht="16.5" customHeight="1">
      <c r="B116" s="117" t="s">
        <v>126</v>
      </c>
      <c r="C116" s="118"/>
      <c r="D116" s="118"/>
      <c r="E116" s="118"/>
      <c r="F116" s="118"/>
      <c r="G116" s="118"/>
      <c r="H116" s="118"/>
      <c r="I116" s="118"/>
      <c r="J116" s="118"/>
      <c r="K116" s="119"/>
      <c r="L116" s="120">
        <v>45819</v>
      </c>
      <c r="M116" s="121"/>
      <c r="N116" s="121"/>
      <c r="O116" s="122"/>
      <c r="P116" s="120">
        <v>45820</v>
      </c>
      <c r="Q116" s="121"/>
      <c r="R116" s="121"/>
      <c r="S116" s="122"/>
      <c r="T116" s="123">
        <f t="shared" si="1"/>
        <v>3.3333333333333333E-2</v>
      </c>
      <c r="U116" s="124"/>
      <c r="V116" s="124"/>
      <c r="W116" s="125"/>
      <c r="X116" s="126">
        <v>0.05</v>
      </c>
      <c r="Y116" s="127"/>
      <c r="Z116" s="127"/>
      <c r="AA116" s="128"/>
      <c r="AB116" s="129">
        <v>50000</v>
      </c>
      <c r="AC116" s="130"/>
      <c r="AD116" s="130"/>
      <c r="AE116" s="131"/>
      <c r="AF116" s="132">
        <f t="shared" ref="AF116:AF121" si="4">IF(X116="","",AB116/X116)</f>
        <v>1000000</v>
      </c>
      <c r="AG116" s="133"/>
      <c r="AH116" s="133"/>
      <c r="AI116" s="134"/>
      <c r="AJ116" s="129">
        <v>27500</v>
      </c>
      <c r="AK116" s="130"/>
      <c r="AL116" s="130"/>
      <c r="AM116" s="131"/>
      <c r="AN116" s="132">
        <f t="shared" si="2"/>
        <v>22500</v>
      </c>
      <c r="AO116" s="133"/>
      <c r="AP116" s="133"/>
      <c r="AQ116" s="134"/>
      <c r="AR116" s="141">
        <f t="shared" si="3"/>
        <v>0.45</v>
      </c>
      <c r="AS116" s="142"/>
      <c r="AT116" s="142"/>
      <c r="AU116" s="143"/>
    </row>
    <row r="117" spans="1:47" ht="16.5" customHeight="1">
      <c r="B117" s="117" t="s">
        <v>127</v>
      </c>
      <c r="C117" s="118"/>
      <c r="D117" s="118"/>
      <c r="E117" s="118"/>
      <c r="F117" s="118"/>
      <c r="G117" s="118"/>
      <c r="H117" s="118"/>
      <c r="I117" s="118"/>
      <c r="J117" s="118"/>
      <c r="K117" s="119"/>
      <c r="L117" s="120">
        <v>45820</v>
      </c>
      <c r="M117" s="121"/>
      <c r="N117" s="121"/>
      <c r="O117" s="122"/>
      <c r="P117" s="120">
        <v>45831</v>
      </c>
      <c r="Q117" s="121"/>
      <c r="R117" s="121"/>
      <c r="S117" s="122"/>
      <c r="T117" s="123">
        <f t="shared" si="1"/>
        <v>0.36666666666666664</v>
      </c>
      <c r="U117" s="124"/>
      <c r="V117" s="124"/>
      <c r="W117" s="125"/>
      <c r="X117" s="126">
        <v>0.35</v>
      </c>
      <c r="Y117" s="127"/>
      <c r="Z117" s="127"/>
      <c r="AA117" s="128"/>
      <c r="AB117" s="129">
        <v>350000</v>
      </c>
      <c r="AC117" s="130"/>
      <c r="AD117" s="130"/>
      <c r="AE117" s="131"/>
      <c r="AF117" s="132">
        <f t="shared" si="4"/>
        <v>1000000.0000000001</v>
      </c>
      <c r="AG117" s="133"/>
      <c r="AH117" s="133"/>
      <c r="AI117" s="134"/>
      <c r="AJ117" s="129">
        <v>192500</v>
      </c>
      <c r="AK117" s="130"/>
      <c r="AL117" s="130"/>
      <c r="AM117" s="131"/>
      <c r="AN117" s="132">
        <f t="shared" si="2"/>
        <v>157500</v>
      </c>
      <c r="AO117" s="133"/>
      <c r="AP117" s="133"/>
      <c r="AQ117" s="134"/>
      <c r="AR117" s="141">
        <f t="shared" si="3"/>
        <v>0.45</v>
      </c>
      <c r="AS117" s="142"/>
      <c r="AT117" s="142"/>
      <c r="AU117" s="143"/>
    </row>
    <row r="118" spans="1:47" ht="16.5" customHeight="1">
      <c r="B118" s="117" t="s">
        <v>128</v>
      </c>
      <c r="C118" s="118"/>
      <c r="D118" s="118"/>
      <c r="E118" s="118"/>
      <c r="F118" s="118"/>
      <c r="G118" s="118"/>
      <c r="H118" s="118"/>
      <c r="I118" s="118"/>
      <c r="J118" s="118"/>
      <c r="K118" s="119"/>
      <c r="L118" s="120">
        <v>45831</v>
      </c>
      <c r="M118" s="121"/>
      <c r="N118" s="121"/>
      <c r="O118" s="122"/>
      <c r="P118" s="120">
        <v>45838</v>
      </c>
      <c r="Q118" s="121"/>
      <c r="R118" s="121"/>
      <c r="S118" s="122"/>
      <c r="T118" s="123">
        <f t="shared" si="1"/>
        <v>0.23333333333333334</v>
      </c>
      <c r="U118" s="124"/>
      <c r="V118" s="124"/>
      <c r="W118" s="125"/>
      <c r="X118" s="126">
        <v>0.2</v>
      </c>
      <c r="Y118" s="127"/>
      <c r="Z118" s="127"/>
      <c r="AA118" s="128"/>
      <c r="AB118" s="129">
        <v>200000</v>
      </c>
      <c r="AC118" s="130"/>
      <c r="AD118" s="130"/>
      <c r="AE118" s="131"/>
      <c r="AF118" s="132">
        <f t="shared" si="4"/>
        <v>1000000</v>
      </c>
      <c r="AG118" s="133"/>
      <c r="AH118" s="133"/>
      <c r="AI118" s="134"/>
      <c r="AJ118" s="129">
        <v>110000</v>
      </c>
      <c r="AK118" s="130"/>
      <c r="AL118" s="130"/>
      <c r="AM118" s="131"/>
      <c r="AN118" s="132">
        <f t="shared" si="2"/>
        <v>90000</v>
      </c>
      <c r="AO118" s="133"/>
      <c r="AP118" s="133"/>
      <c r="AQ118" s="134"/>
      <c r="AR118" s="141">
        <f t="shared" si="3"/>
        <v>0.45</v>
      </c>
      <c r="AS118" s="142"/>
      <c r="AT118" s="142"/>
      <c r="AU118" s="143"/>
    </row>
    <row r="119" spans="1:47" ht="16.5" customHeight="1">
      <c r="B119" s="117" t="s">
        <v>129</v>
      </c>
      <c r="C119" s="118"/>
      <c r="D119" s="118"/>
      <c r="E119" s="118"/>
      <c r="F119" s="118"/>
      <c r="G119" s="118"/>
      <c r="H119" s="118"/>
      <c r="I119" s="118"/>
      <c r="J119" s="118"/>
      <c r="K119" s="119"/>
      <c r="L119" s="120"/>
      <c r="M119" s="121"/>
      <c r="N119" s="121"/>
      <c r="O119" s="122"/>
      <c r="P119" s="120"/>
      <c r="Q119" s="121"/>
      <c r="R119" s="121"/>
      <c r="S119" s="122"/>
      <c r="T119" s="123" t="str">
        <f t="shared" si="1"/>
        <v/>
      </c>
      <c r="U119" s="124"/>
      <c r="V119" s="124"/>
      <c r="W119" s="125"/>
      <c r="X119" s="126"/>
      <c r="Y119" s="127"/>
      <c r="Z119" s="127"/>
      <c r="AA119" s="128"/>
      <c r="AB119" s="129"/>
      <c r="AC119" s="130"/>
      <c r="AD119" s="130"/>
      <c r="AE119" s="131"/>
      <c r="AF119" s="132" t="str">
        <f t="shared" si="4"/>
        <v/>
      </c>
      <c r="AG119" s="133"/>
      <c r="AH119" s="133"/>
      <c r="AI119" s="134"/>
      <c r="AJ119" s="129"/>
      <c r="AK119" s="130"/>
      <c r="AL119" s="130"/>
      <c r="AM119" s="131"/>
      <c r="AN119" s="132" t="str">
        <f t="shared" si="2"/>
        <v/>
      </c>
      <c r="AO119" s="133"/>
      <c r="AP119" s="133"/>
      <c r="AQ119" s="134"/>
      <c r="AR119" s="141" t="str">
        <f t="shared" si="3"/>
        <v/>
      </c>
      <c r="AS119" s="142"/>
      <c r="AT119" s="142"/>
      <c r="AU119" s="143"/>
    </row>
    <row r="120" spans="1:47" ht="16.5" customHeight="1">
      <c r="B120" s="117" t="s">
        <v>130</v>
      </c>
      <c r="C120" s="118"/>
      <c r="D120" s="118"/>
      <c r="E120" s="118"/>
      <c r="F120" s="118"/>
      <c r="G120" s="118"/>
      <c r="H120" s="118"/>
      <c r="I120" s="118"/>
      <c r="J120" s="118"/>
      <c r="K120" s="119"/>
      <c r="L120" s="120">
        <v>45845</v>
      </c>
      <c r="M120" s="121"/>
      <c r="N120" s="121"/>
      <c r="O120" s="122"/>
      <c r="P120" s="120">
        <v>45849</v>
      </c>
      <c r="Q120" s="121"/>
      <c r="R120" s="121"/>
      <c r="S120" s="122"/>
      <c r="T120" s="123">
        <f t="shared" si="1"/>
        <v>0.13333333333333333</v>
      </c>
      <c r="U120" s="124"/>
      <c r="V120" s="124"/>
      <c r="W120" s="125"/>
      <c r="X120" s="126">
        <v>0.2</v>
      </c>
      <c r="Y120" s="127"/>
      <c r="Z120" s="127"/>
      <c r="AA120" s="128"/>
      <c r="AB120" s="129">
        <v>200000</v>
      </c>
      <c r="AC120" s="130"/>
      <c r="AD120" s="130"/>
      <c r="AE120" s="131"/>
      <c r="AF120" s="132">
        <f t="shared" si="4"/>
        <v>1000000</v>
      </c>
      <c r="AG120" s="133"/>
      <c r="AH120" s="133"/>
      <c r="AI120" s="134"/>
      <c r="AJ120" s="129">
        <v>110000</v>
      </c>
      <c r="AK120" s="130"/>
      <c r="AL120" s="130"/>
      <c r="AM120" s="131"/>
      <c r="AN120" s="132">
        <f t="shared" si="2"/>
        <v>90000</v>
      </c>
      <c r="AO120" s="133"/>
      <c r="AP120" s="133"/>
      <c r="AQ120" s="134"/>
      <c r="AR120" s="141">
        <f t="shared" si="3"/>
        <v>0.45</v>
      </c>
      <c r="AS120" s="142"/>
      <c r="AT120" s="142"/>
      <c r="AU120" s="143"/>
    </row>
    <row r="121" spans="1:47" ht="16.5" customHeight="1">
      <c r="B121" s="117" t="s">
        <v>131</v>
      </c>
      <c r="C121" s="118"/>
      <c r="D121" s="118"/>
      <c r="E121" s="118"/>
      <c r="F121" s="118"/>
      <c r="G121" s="118"/>
      <c r="H121" s="118"/>
      <c r="I121" s="118"/>
      <c r="J121" s="118"/>
      <c r="K121" s="119"/>
      <c r="L121" s="120">
        <v>45852</v>
      </c>
      <c r="M121" s="121"/>
      <c r="N121" s="121"/>
      <c r="O121" s="122"/>
      <c r="P121" s="120">
        <v>45856</v>
      </c>
      <c r="Q121" s="121"/>
      <c r="R121" s="121"/>
      <c r="S121" s="122"/>
      <c r="T121" s="123">
        <f t="shared" si="1"/>
        <v>0.13333333333333333</v>
      </c>
      <c r="U121" s="124"/>
      <c r="V121" s="124"/>
      <c r="W121" s="125"/>
      <c r="X121" s="126">
        <v>0.1</v>
      </c>
      <c r="Y121" s="127"/>
      <c r="Z121" s="127"/>
      <c r="AA121" s="128"/>
      <c r="AB121" s="129">
        <v>100000</v>
      </c>
      <c r="AC121" s="130"/>
      <c r="AD121" s="130"/>
      <c r="AE121" s="131"/>
      <c r="AF121" s="132">
        <f t="shared" si="4"/>
        <v>1000000</v>
      </c>
      <c r="AG121" s="133"/>
      <c r="AH121" s="133"/>
      <c r="AI121" s="134"/>
      <c r="AJ121" s="129">
        <v>55000</v>
      </c>
      <c r="AK121" s="130"/>
      <c r="AL121" s="130"/>
      <c r="AM121" s="131"/>
      <c r="AN121" s="132">
        <f t="shared" si="2"/>
        <v>45000</v>
      </c>
      <c r="AO121" s="133"/>
      <c r="AP121" s="133"/>
      <c r="AQ121" s="134"/>
      <c r="AR121" s="141">
        <f t="shared" si="3"/>
        <v>0.45</v>
      </c>
      <c r="AS121" s="142"/>
      <c r="AT121" s="142"/>
      <c r="AU121" s="143"/>
    </row>
    <row r="122" spans="1:47" ht="16.5" customHeight="1">
      <c r="B122" s="117" t="s">
        <v>132</v>
      </c>
      <c r="C122" s="118"/>
      <c r="D122" s="118"/>
      <c r="E122" s="118"/>
      <c r="F122" s="118"/>
      <c r="G122" s="118"/>
      <c r="H122" s="118"/>
      <c r="I122" s="118"/>
      <c r="J122" s="118"/>
      <c r="K122" s="119"/>
      <c r="L122" s="120"/>
      <c r="M122" s="121"/>
      <c r="N122" s="121"/>
      <c r="O122" s="122"/>
      <c r="P122" s="120"/>
      <c r="Q122" s="121"/>
      <c r="R122" s="121"/>
      <c r="S122" s="122"/>
      <c r="T122" s="123" t="str">
        <f t="shared" ref="T122" si="5">IF(OR(L122="",P122=""),"",(P122-L122)/30)</f>
        <v/>
      </c>
      <c r="U122" s="124"/>
      <c r="V122" s="124"/>
      <c r="W122" s="125"/>
      <c r="X122" s="126"/>
      <c r="Y122" s="127"/>
      <c r="Z122" s="127"/>
      <c r="AA122" s="128"/>
      <c r="AB122" s="129"/>
      <c r="AC122" s="130"/>
      <c r="AD122" s="130"/>
      <c r="AE122" s="131"/>
      <c r="AF122" s="132" t="str">
        <f t="shared" ref="AF122" si="6">IF(X122="","",AB122/X122)</f>
        <v/>
      </c>
      <c r="AG122" s="133"/>
      <c r="AH122" s="133"/>
      <c r="AI122" s="134"/>
      <c r="AJ122" s="129"/>
      <c r="AK122" s="130"/>
      <c r="AL122" s="130"/>
      <c r="AM122" s="131"/>
      <c r="AN122" s="132" t="str">
        <f t="shared" ref="AN122" si="7">IF(AB122="","",AB122-AJ122)</f>
        <v/>
      </c>
      <c r="AO122" s="133"/>
      <c r="AP122" s="133"/>
      <c r="AQ122" s="134"/>
      <c r="AR122" s="141" t="str">
        <f t="shared" ref="AR122" si="8">IF(AB122="","",AN122/AB122)</f>
        <v/>
      </c>
      <c r="AS122" s="142"/>
      <c r="AT122" s="142"/>
      <c r="AU122" s="143"/>
    </row>
    <row r="123" spans="1:47" ht="16.5" customHeight="1" thickBot="1">
      <c r="B123" s="264"/>
      <c r="C123" s="265"/>
      <c r="D123" s="265"/>
      <c r="E123" s="265"/>
      <c r="F123" s="265"/>
      <c r="G123" s="265"/>
      <c r="H123" s="265"/>
      <c r="I123" s="265"/>
      <c r="J123" s="265"/>
      <c r="K123" s="266"/>
      <c r="L123" s="159"/>
      <c r="M123" s="160"/>
      <c r="N123" s="160"/>
      <c r="O123" s="161"/>
      <c r="P123" s="159"/>
      <c r="Q123" s="160"/>
      <c r="R123" s="160"/>
      <c r="S123" s="161"/>
      <c r="T123" s="162" t="str">
        <f t="shared" ref="T123" si="9">IF(OR(L123="",P123=""),"",(P123-L123)/30)</f>
        <v/>
      </c>
      <c r="U123" s="163"/>
      <c r="V123" s="163"/>
      <c r="W123" s="164"/>
      <c r="X123" s="165"/>
      <c r="Y123" s="166"/>
      <c r="Z123" s="166"/>
      <c r="AA123" s="167"/>
      <c r="AB123" s="168"/>
      <c r="AC123" s="169"/>
      <c r="AD123" s="169"/>
      <c r="AE123" s="170"/>
      <c r="AF123" s="171" t="str">
        <f t="shared" ref="AF123" si="10">IF(X123="","",AB123/X123)</f>
        <v/>
      </c>
      <c r="AG123" s="172"/>
      <c r="AH123" s="172"/>
      <c r="AI123" s="173"/>
      <c r="AJ123" s="168"/>
      <c r="AK123" s="169"/>
      <c r="AL123" s="169"/>
      <c r="AM123" s="170"/>
      <c r="AN123" s="171" t="str">
        <f t="shared" si="2"/>
        <v/>
      </c>
      <c r="AO123" s="172"/>
      <c r="AP123" s="172"/>
      <c r="AQ123" s="173"/>
      <c r="AR123" s="174" t="str">
        <f t="shared" si="3"/>
        <v/>
      </c>
      <c r="AS123" s="175"/>
      <c r="AT123" s="175"/>
      <c r="AU123" s="176"/>
    </row>
    <row r="124" spans="1:47" ht="16.5" customHeight="1" thickTop="1">
      <c r="B124" s="144" t="s">
        <v>133</v>
      </c>
      <c r="C124" s="145"/>
      <c r="D124" s="145"/>
      <c r="E124" s="145"/>
      <c r="F124" s="145"/>
      <c r="G124" s="145"/>
      <c r="H124" s="145"/>
      <c r="I124" s="145"/>
      <c r="J124" s="145"/>
      <c r="K124" s="146"/>
      <c r="L124" s="147">
        <f>IF(COUNTA(L114:O123)&gt;0,MIN(L114:O123),"")</f>
        <v>45817</v>
      </c>
      <c r="M124" s="148"/>
      <c r="N124" s="148"/>
      <c r="O124" s="149"/>
      <c r="P124" s="147">
        <f>IF(COUNTA(P114:S123)&gt;0,MAX(P114:S123),"")</f>
        <v>45856</v>
      </c>
      <c r="Q124" s="148"/>
      <c r="R124" s="148"/>
      <c r="S124" s="149"/>
      <c r="T124" s="150">
        <f>IF(OR(L124="",P124=""),"",(P124-L124)/30)</f>
        <v>1.3</v>
      </c>
      <c r="U124" s="151"/>
      <c r="V124" s="151"/>
      <c r="W124" s="152"/>
      <c r="X124" s="150">
        <f>IF(COUNTA(X114:AA123)&gt;0,SUM(X114:AA123),"")</f>
        <v>0.99999999999999989</v>
      </c>
      <c r="Y124" s="151"/>
      <c r="Z124" s="151"/>
      <c r="AA124" s="152"/>
      <c r="AB124" s="153">
        <f>IF(COUNTA(AB114:AE123)&gt;0,SUM(AB114:AE123),"")</f>
        <v>1000000</v>
      </c>
      <c r="AC124" s="154"/>
      <c r="AD124" s="154"/>
      <c r="AE124" s="155"/>
      <c r="AF124" s="153">
        <f>IF(X124="","",AB124/X124)</f>
        <v>1000000.0000000001</v>
      </c>
      <c r="AG124" s="154"/>
      <c r="AH124" s="154"/>
      <c r="AI124" s="155"/>
      <c r="AJ124" s="153">
        <f>IF(COUNTA(AJ114:AM123)&gt;0,SUM(AJ114:AM123),"")</f>
        <v>550000</v>
      </c>
      <c r="AK124" s="154"/>
      <c r="AL124" s="154"/>
      <c r="AM124" s="155"/>
      <c r="AN124" s="153">
        <f t="shared" ref="AN124" si="11">IF(AB124="","",AB124-AJ124)</f>
        <v>450000</v>
      </c>
      <c r="AO124" s="154"/>
      <c r="AP124" s="154"/>
      <c r="AQ124" s="155"/>
      <c r="AR124" s="135">
        <f t="shared" ref="AR124" si="12">IF(AB124="","",AN124/AB124)</f>
        <v>0.45</v>
      </c>
      <c r="AS124" s="136"/>
      <c r="AT124" s="136"/>
      <c r="AU124" s="137"/>
    </row>
    <row r="125" spans="1:47" s="69" customFormat="1" ht="16.5" customHeight="1">
      <c r="A125" s="65"/>
    </row>
    <row r="126" spans="1:47" s="69" customFormat="1" ht="16.5" customHeight="1">
      <c r="A126" s="65"/>
      <c r="B126" s="75" t="s">
        <v>134</v>
      </c>
    </row>
    <row r="127" spans="1:47" s="69" customFormat="1" ht="16.5" customHeight="1">
      <c r="A127" s="65"/>
      <c r="B127" s="180" t="s">
        <v>135</v>
      </c>
      <c r="C127" s="181"/>
      <c r="D127" s="181"/>
      <c r="E127" s="181"/>
      <c r="F127" s="181"/>
      <c r="G127" s="181"/>
      <c r="H127" s="181"/>
      <c r="I127" s="181"/>
      <c r="J127" s="181"/>
      <c r="K127" s="182"/>
      <c r="L127" s="177" t="s">
        <v>115</v>
      </c>
      <c r="M127" s="178"/>
      <c r="N127" s="178"/>
      <c r="O127" s="179"/>
      <c r="P127" s="177" t="s">
        <v>116</v>
      </c>
      <c r="Q127" s="178"/>
      <c r="R127" s="178"/>
      <c r="S127" s="179"/>
      <c r="T127" s="177" t="s">
        <v>136</v>
      </c>
      <c r="U127" s="178"/>
      <c r="V127" s="178"/>
      <c r="W127" s="179"/>
      <c r="X127" s="177" t="s">
        <v>137</v>
      </c>
      <c r="Y127" s="178"/>
      <c r="Z127" s="178"/>
      <c r="AA127" s="179"/>
      <c r="AB127" s="177" t="s">
        <v>119</v>
      </c>
      <c r="AC127" s="178"/>
      <c r="AD127" s="178"/>
      <c r="AE127" s="179"/>
      <c r="AF127" s="177" t="s">
        <v>120</v>
      </c>
      <c r="AG127" s="178"/>
      <c r="AH127" s="178"/>
      <c r="AI127" s="179"/>
      <c r="AJ127" s="177" t="s">
        <v>121</v>
      </c>
      <c r="AK127" s="178"/>
      <c r="AL127" s="178"/>
      <c r="AM127" s="179"/>
      <c r="AN127" s="177" t="s">
        <v>122</v>
      </c>
      <c r="AO127" s="178"/>
      <c r="AP127" s="178"/>
      <c r="AQ127" s="179"/>
      <c r="AR127" s="177" t="s">
        <v>123</v>
      </c>
      <c r="AS127" s="178"/>
      <c r="AT127" s="178"/>
      <c r="AU127" s="179"/>
    </row>
    <row r="128" spans="1:47" s="69" customFormat="1" ht="16.5" customHeight="1">
      <c r="A128" s="65"/>
      <c r="B128" s="138"/>
      <c r="C128" s="139"/>
      <c r="D128" s="139"/>
      <c r="E128" s="139"/>
      <c r="F128" s="139"/>
      <c r="G128" s="139"/>
      <c r="H128" s="139"/>
      <c r="I128" s="139"/>
      <c r="J128" s="139"/>
      <c r="K128" s="140"/>
      <c r="L128" s="120"/>
      <c r="M128" s="121"/>
      <c r="N128" s="121"/>
      <c r="O128" s="122"/>
      <c r="P128" s="120"/>
      <c r="Q128" s="121"/>
      <c r="R128" s="121"/>
      <c r="S128" s="122"/>
      <c r="T128" s="123" t="str">
        <f t="shared" ref="T128:T137" si="13">IF(OR(L128="",P128=""),"",(P128-L128)/30)</f>
        <v/>
      </c>
      <c r="U128" s="124"/>
      <c r="V128" s="124"/>
      <c r="W128" s="125"/>
      <c r="X128" s="126"/>
      <c r="Y128" s="127"/>
      <c r="Z128" s="127"/>
      <c r="AA128" s="128"/>
      <c r="AB128" s="129"/>
      <c r="AC128" s="130"/>
      <c r="AD128" s="130"/>
      <c r="AE128" s="131"/>
      <c r="AF128" s="132" t="str">
        <f>IF(X128="","",AB128/X128)</f>
        <v/>
      </c>
      <c r="AG128" s="133"/>
      <c r="AH128" s="133"/>
      <c r="AI128" s="134"/>
      <c r="AJ128" s="129"/>
      <c r="AK128" s="130"/>
      <c r="AL128" s="130"/>
      <c r="AM128" s="131"/>
      <c r="AN128" s="132" t="str">
        <f>IF(AB128="","",AB128-AJ128)</f>
        <v/>
      </c>
      <c r="AO128" s="133"/>
      <c r="AP128" s="133"/>
      <c r="AQ128" s="134"/>
      <c r="AR128" s="141" t="str">
        <f>IF(AB128="","",AN128/AB128)</f>
        <v/>
      </c>
      <c r="AS128" s="142"/>
      <c r="AT128" s="142"/>
      <c r="AU128" s="143"/>
    </row>
    <row r="129" spans="1:47" s="69" customFormat="1" ht="16.5" customHeight="1">
      <c r="A129" s="65"/>
      <c r="B129" s="138"/>
      <c r="C129" s="139"/>
      <c r="D129" s="139"/>
      <c r="E129" s="139"/>
      <c r="F129" s="139"/>
      <c r="G129" s="139"/>
      <c r="H129" s="139"/>
      <c r="I129" s="139"/>
      <c r="J129" s="139"/>
      <c r="K129" s="140"/>
      <c r="L129" s="120"/>
      <c r="M129" s="121"/>
      <c r="N129" s="121"/>
      <c r="O129" s="122"/>
      <c r="P129" s="120"/>
      <c r="Q129" s="121"/>
      <c r="R129" s="121"/>
      <c r="S129" s="122"/>
      <c r="T129" s="123" t="str">
        <f t="shared" si="13"/>
        <v/>
      </c>
      <c r="U129" s="124"/>
      <c r="V129" s="124"/>
      <c r="W129" s="125"/>
      <c r="X129" s="126"/>
      <c r="Y129" s="127"/>
      <c r="Z129" s="127"/>
      <c r="AA129" s="128"/>
      <c r="AB129" s="129"/>
      <c r="AC129" s="130"/>
      <c r="AD129" s="130"/>
      <c r="AE129" s="131"/>
      <c r="AF129" s="132" t="str">
        <f>IF(X129="","",AB129/X129)</f>
        <v/>
      </c>
      <c r="AG129" s="133"/>
      <c r="AH129" s="133"/>
      <c r="AI129" s="134"/>
      <c r="AJ129" s="129"/>
      <c r="AK129" s="130"/>
      <c r="AL129" s="130"/>
      <c r="AM129" s="131"/>
      <c r="AN129" s="132" t="str">
        <f t="shared" ref="AN129:AN138" si="14">IF(AB129="","",AB129-AJ129)</f>
        <v/>
      </c>
      <c r="AO129" s="133"/>
      <c r="AP129" s="133"/>
      <c r="AQ129" s="134"/>
      <c r="AR129" s="141" t="str">
        <f t="shared" ref="AR129:AR138" si="15">IF(AB129="","",AN129/AB129)</f>
        <v/>
      </c>
      <c r="AS129" s="142"/>
      <c r="AT129" s="142"/>
      <c r="AU129" s="143"/>
    </row>
    <row r="130" spans="1:47" s="69" customFormat="1" ht="16.5" customHeight="1">
      <c r="A130" s="65"/>
      <c r="B130" s="138"/>
      <c r="C130" s="139"/>
      <c r="D130" s="139"/>
      <c r="E130" s="139"/>
      <c r="F130" s="139"/>
      <c r="G130" s="139"/>
      <c r="H130" s="139"/>
      <c r="I130" s="139"/>
      <c r="J130" s="139"/>
      <c r="K130" s="140"/>
      <c r="L130" s="120"/>
      <c r="M130" s="121"/>
      <c r="N130" s="121"/>
      <c r="O130" s="122"/>
      <c r="P130" s="120"/>
      <c r="Q130" s="121"/>
      <c r="R130" s="121"/>
      <c r="S130" s="122"/>
      <c r="T130" s="123" t="str">
        <f t="shared" si="13"/>
        <v/>
      </c>
      <c r="U130" s="124"/>
      <c r="V130" s="124"/>
      <c r="W130" s="125"/>
      <c r="X130" s="126"/>
      <c r="Y130" s="127"/>
      <c r="Z130" s="127"/>
      <c r="AA130" s="128"/>
      <c r="AB130" s="129"/>
      <c r="AC130" s="130"/>
      <c r="AD130" s="130"/>
      <c r="AE130" s="131"/>
      <c r="AF130" s="132" t="str">
        <f t="shared" ref="AF130:AF137" si="16">IF(X130="","",AB130/X130)</f>
        <v/>
      </c>
      <c r="AG130" s="133"/>
      <c r="AH130" s="133"/>
      <c r="AI130" s="134"/>
      <c r="AJ130" s="129"/>
      <c r="AK130" s="130"/>
      <c r="AL130" s="130"/>
      <c r="AM130" s="131"/>
      <c r="AN130" s="132" t="str">
        <f t="shared" si="14"/>
        <v/>
      </c>
      <c r="AO130" s="133"/>
      <c r="AP130" s="133"/>
      <c r="AQ130" s="134"/>
      <c r="AR130" s="141" t="str">
        <f t="shared" si="15"/>
        <v/>
      </c>
      <c r="AS130" s="142"/>
      <c r="AT130" s="142"/>
      <c r="AU130" s="143"/>
    </row>
    <row r="131" spans="1:47" s="69" customFormat="1" ht="16.5" customHeight="1">
      <c r="A131" s="65"/>
      <c r="B131" s="138"/>
      <c r="C131" s="139"/>
      <c r="D131" s="139"/>
      <c r="E131" s="139"/>
      <c r="F131" s="139"/>
      <c r="G131" s="139"/>
      <c r="H131" s="139"/>
      <c r="I131" s="139"/>
      <c r="J131" s="139"/>
      <c r="K131" s="140"/>
      <c r="L131" s="120"/>
      <c r="M131" s="121"/>
      <c r="N131" s="121"/>
      <c r="O131" s="122"/>
      <c r="P131" s="120"/>
      <c r="Q131" s="121"/>
      <c r="R131" s="121"/>
      <c r="S131" s="122"/>
      <c r="T131" s="123" t="str">
        <f t="shared" si="13"/>
        <v/>
      </c>
      <c r="U131" s="124"/>
      <c r="V131" s="124"/>
      <c r="W131" s="125"/>
      <c r="X131" s="126"/>
      <c r="Y131" s="127"/>
      <c r="Z131" s="127"/>
      <c r="AA131" s="128"/>
      <c r="AB131" s="129"/>
      <c r="AC131" s="130"/>
      <c r="AD131" s="130"/>
      <c r="AE131" s="131"/>
      <c r="AF131" s="132" t="str">
        <f t="shared" si="16"/>
        <v/>
      </c>
      <c r="AG131" s="133"/>
      <c r="AH131" s="133"/>
      <c r="AI131" s="134"/>
      <c r="AJ131" s="129"/>
      <c r="AK131" s="130"/>
      <c r="AL131" s="130"/>
      <c r="AM131" s="131"/>
      <c r="AN131" s="132" t="str">
        <f t="shared" si="14"/>
        <v/>
      </c>
      <c r="AO131" s="133"/>
      <c r="AP131" s="133"/>
      <c r="AQ131" s="134"/>
      <c r="AR131" s="141" t="str">
        <f t="shared" si="15"/>
        <v/>
      </c>
      <c r="AS131" s="142"/>
      <c r="AT131" s="142"/>
      <c r="AU131" s="143"/>
    </row>
    <row r="132" spans="1:47" s="69" customFormat="1" ht="16.5" customHeight="1">
      <c r="A132" s="65"/>
      <c r="B132" s="138"/>
      <c r="C132" s="139"/>
      <c r="D132" s="139"/>
      <c r="E132" s="139"/>
      <c r="F132" s="139"/>
      <c r="G132" s="139"/>
      <c r="H132" s="139"/>
      <c r="I132" s="139"/>
      <c r="J132" s="139"/>
      <c r="K132" s="140"/>
      <c r="L132" s="120"/>
      <c r="M132" s="121"/>
      <c r="N132" s="121"/>
      <c r="O132" s="122"/>
      <c r="P132" s="120"/>
      <c r="Q132" s="121"/>
      <c r="R132" s="121"/>
      <c r="S132" s="122"/>
      <c r="T132" s="123" t="str">
        <f t="shared" si="13"/>
        <v/>
      </c>
      <c r="U132" s="124"/>
      <c r="V132" s="124"/>
      <c r="W132" s="125"/>
      <c r="X132" s="126"/>
      <c r="Y132" s="127"/>
      <c r="Z132" s="127"/>
      <c r="AA132" s="128"/>
      <c r="AB132" s="129"/>
      <c r="AC132" s="130"/>
      <c r="AD132" s="130"/>
      <c r="AE132" s="131"/>
      <c r="AF132" s="132" t="str">
        <f t="shared" si="16"/>
        <v/>
      </c>
      <c r="AG132" s="133"/>
      <c r="AH132" s="133"/>
      <c r="AI132" s="134"/>
      <c r="AJ132" s="129"/>
      <c r="AK132" s="130"/>
      <c r="AL132" s="130"/>
      <c r="AM132" s="131"/>
      <c r="AN132" s="132" t="str">
        <f t="shared" si="14"/>
        <v/>
      </c>
      <c r="AO132" s="133"/>
      <c r="AP132" s="133"/>
      <c r="AQ132" s="134"/>
      <c r="AR132" s="141" t="str">
        <f t="shared" si="15"/>
        <v/>
      </c>
      <c r="AS132" s="142"/>
      <c r="AT132" s="142"/>
      <c r="AU132" s="143"/>
    </row>
    <row r="133" spans="1:47" s="69" customFormat="1" ht="16.5" customHeight="1">
      <c r="A133" s="65"/>
      <c r="B133" s="138"/>
      <c r="C133" s="139"/>
      <c r="D133" s="139"/>
      <c r="E133" s="139"/>
      <c r="F133" s="139"/>
      <c r="G133" s="139"/>
      <c r="H133" s="139"/>
      <c r="I133" s="139"/>
      <c r="J133" s="139"/>
      <c r="K133" s="140"/>
      <c r="L133" s="120"/>
      <c r="M133" s="121"/>
      <c r="N133" s="121"/>
      <c r="O133" s="122"/>
      <c r="P133" s="120"/>
      <c r="Q133" s="121"/>
      <c r="R133" s="121"/>
      <c r="S133" s="122"/>
      <c r="T133" s="123" t="str">
        <f t="shared" ref="T133" si="17">IF(OR(L133="",P133=""),"",(P133-L133)/30)</f>
        <v/>
      </c>
      <c r="U133" s="124"/>
      <c r="V133" s="124"/>
      <c r="W133" s="125"/>
      <c r="X133" s="126"/>
      <c r="Y133" s="127"/>
      <c r="Z133" s="127"/>
      <c r="AA133" s="128"/>
      <c r="AB133" s="129"/>
      <c r="AC133" s="130"/>
      <c r="AD133" s="130"/>
      <c r="AE133" s="131"/>
      <c r="AF133" s="132" t="str">
        <f t="shared" ref="AF133" si="18">IF(X133="","",AB133/X133)</f>
        <v/>
      </c>
      <c r="AG133" s="133"/>
      <c r="AH133" s="133"/>
      <c r="AI133" s="134"/>
      <c r="AJ133" s="129"/>
      <c r="AK133" s="130"/>
      <c r="AL133" s="130"/>
      <c r="AM133" s="131"/>
      <c r="AN133" s="132" t="str">
        <f t="shared" ref="AN133" si="19">IF(AB133="","",AB133-AJ133)</f>
        <v/>
      </c>
      <c r="AO133" s="133"/>
      <c r="AP133" s="133"/>
      <c r="AQ133" s="134"/>
      <c r="AR133" s="141" t="str">
        <f t="shared" ref="AR133" si="20">IF(AB133="","",AN133/AB133)</f>
        <v/>
      </c>
      <c r="AS133" s="142"/>
      <c r="AT133" s="142"/>
      <c r="AU133" s="143"/>
    </row>
    <row r="134" spans="1:47" s="69" customFormat="1" ht="16.5" customHeight="1">
      <c r="A134" s="65"/>
      <c r="B134" s="138"/>
      <c r="C134" s="139"/>
      <c r="D134" s="139"/>
      <c r="E134" s="139"/>
      <c r="F134" s="139"/>
      <c r="G134" s="139"/>
      <c r="H134" s="139"/>
      <c r="I134" s="139"/>
      <c r="J134" s="139"/>
      <c r="K134" s="140"/>
      <c r="L134" s="120"/>
      <c r="M134" s="121"/>
      <c r="N134" s="121"/>
      <c r="O134" s="122"/>
      <c r="P134" s="120"/>
      <c r="Q134" s="121"/>
      <c r="R134" s="121"/>
      <c r="S134" s="122"/>
      <c r="T134" s="123" t="str">
        <f t="shared" si="13"/>
        <v/>
      </c>
      <c r="U134" s="124"/>
      <c r="V134" s="124"/>
      <c r="W134" s="125"/>
      <c r="X134" s="126"/>
      <c r="Y134" s="127"/>
      <c r="Z134" s="127"/>
      <c r="AA134" s="128"/>
      <c r="AB134" s="129"/>
      <c r="AC134" s="130"/>
      <c r="AD134" s="130"/>
      <c r="AE134" s="131"/>
      <c r="AF134" s="132" t="str">
        <f t="shared" si="16"/>
        <v/>
      </c>
      <c r="AG134" s="133"/>
      <c r="AH134" s="133"/>
      <c r="AI134" s="134"/>
      <c r="AJ134" s="129"/>
      <c r="AK134" s="130"/>
      <c r="AL134" s="130"/>
      <c r="AM134" s="131"/>
      <c r="AN134" s="132" t="str">
        <f t="shared" si="14"/>
        <v/>
      </c>
      <c r="AO134" s="133"/>
      <c r="AP134" s="133"/>
      <c r="AQ134" s="134"/>
      <c r="AR134" s="141" t="str">
        <f t="shared" si="15"/>
        <v/>
      </c>
      <c r="AS134" s="142"/>
      <c r="AT134" s="142"/>
      <c r="AU134" s="143"/>
    </row>
    <row r="135" spans="1:47" s="69" customFormat="1" ht="16.5" customHeight="1">
      <c r="A135" s="65"/>
      <c r="B135" s="138"/>
      <c r="C135" s="139"/>
      <c r="D135" s="139"/>
      <c r="E135" s="139"/>
      <c r="F135" s="139"/>
      <c r="G135" s="139"/>
      <c r="H135" s="139"/>
      <c r="I135" s="139"/>
      <c r="J135" s="139"/>
      <c r="K135" s="140"/>
      <c r="L135" s="120"/>
      <c r="M135" s="121"/>
      <c r="N135" s="121"/>
      <c r="O135" s="122"/>
      <c r="P135" s="120"/>
      <c r="Q135" s="121"/>
      <c r="R135" s="121"/>
      <c r="S135" s="122"/>
      <c r="T135" s="123" t="str">
        <f t="shared" si="13"/>
        <v/>
      </c>
      <c r="U135" s="124"/>
      <c r="V135" s="124"/>
      <c r="W135" s="125"/>
      <c r="X135" s="126"/>
      <c r="Y135" s="127"/>
      <c r="Z135" s="127"/>
      <c r="AA135" s="128"/>
      <c r="AB135" s="129"/>
      <c r="AC135" s="130"/>
      <c r="AD135" s="130"/>
      <c r="AE135" s="131"/>
      <c r="AF135" s="132" t="str">
        <f t="shared" si="16"/>
        <v/>
      </c>
      <c r="AG135" s="133"/>
      <c r="AH135" s="133"/>
      <c r="AI135" s="134"/>
      <c r="AJ135" s="129"/>
      <c r="AK135" s="130"/>
      <c r="AL135" s="130"/>
      <c r="AM135" s="131"/>
      <c r="AN135" s="132" t="str">
        <f t="shared" si="14"/>
        <v/>
      </c>
      <c r="AO135" s="133"/>
      <c r="AP135" s="133"/>
      <c r="AQ135" s="134"/>
      <c r="AR135" s="141" t="str">
        <f t="shared" si="15"/>
        <v/>
      </c>
      <c r="AS135" s="142"/>
      <c r="AT135" s="142"/>
      <c r="AU135" s="143"/>
    </row>
    <row r="136" spans="1:47" s="69" customFormat="1" ht="16.5" customHeight="1">
      <c r="A136" s="65"/>
      <c r="B136" s="138"/>
      <c r="C136" s="139"/>
      <c r="D136" s="139"/>
      <c r="E136" s="139"/>
      <c r="F136" s="139"/>
      <c r="G136" s="139"/>
      <c r="H136" s="139"/>
      <c r="I136" s="139"/>
      <c r="J136" s="139"/>
      <c r="K136" s="140"/>
      <c r="L136" s="120"/>
      <c r="M136" s="121"/>
      <c r="N136" s="121"/>
      <c r="O136" s="122"/>
      <c r="P136" s="120"/>
      <c r="Q136" s="121"/>
      <c r="R136" s="121"/>
      <c r="S136" s="122"/>
      <c r="T136" s="123" t="str">
        <f t="shared" si="13"/>
        <v/>
      </c>
      <c r="U136" s="124"/>
      <c r="V136" s="124"/>
      <c r="W136" s="125"/>
      <c r="X136" s="126"/>
      <c r="Y136" s="127"/>
      <c r="Z136" s="127"/>
      <c r="AA136" s="128"/>
      <c r="AB136" s="129"/>
      <c r="AC136" s="130"/>
      <c r="AD136" s="130"/>
      <c r="AE136" s="131"/>
      <c r="AF136" s="132" t="str">
        <f t="shared" si="16"/>
        <v/>
      </c>
      <c r="AG136" s="133"/>
      <c r="AH136" s="133"/>
      <c r="AI136" s="134"/>
      <c r="AJ136" s="129"/>
      <c r="AK136" s="130"/>
      <c r="AL136" s="130"/>
      <c r="AM136" s="131"/>
      <c r="AN136" s="132" t="str">
        <f t="shared" si="14"/>
        <v/>
      </c>
      <c r="AO136" s="133"/>
      <c r="AP136" s="133"/>
      <c r="AQ136" s="134"/>
      <c r="AR136" s="141" t="str">
        <f t="shared" si="15"/>
        <v/>
      </c>
      <c r="AS136" s="142"/>
      <c r="AT136" s="142"/>
      <c r="AU136" s="143"/>
    </row>
    <row r="137" spans="1:47" s="69" customFormat="1" ht="16.5" customHeight="1" thickBot="1">
      <c r="A137" s="65"/>
      <c r="B137" s="156"/>
      <c r="C137" s="157"/>
      <c r="D137" s="157"/>
      <c r="E137" s="157"/>
      <c r="F137" s="157"/>
      <c r="G137" s="157"/>
      <c r="H137" s="157"/>
      <c r="I137" s="157"/>
      <c r="J137" s="157"/>
      <c r="K137" s="158"/>
      <c r="L137" s="159"/>
      <c r="M137" s="160"/>
      <c r="N137" s="160"/>
      <c r="O137" s="161"/>
      <c r="P137" s="159"/>
      <c r="Q137" s="160"/>
      <c r="R137" s="160"/>
      <c r="S137" s="161"/>
      <c r="T137" s="162" t="str">
        <f t="shared" si="13"/>
        <v/>
      </c>
      <c r="U137" s="163"/>
      <c r="V137" s="163"/>
      <c r="W137" s="164"/>
      <c r="X137" s="165"/>
      <c r="Y137" s="166"/>
      <c r="Z137" s="166"/>
      <c r="AA137" s="167"/>
      <c r="AB137" s="168"/>
      <c r="AC137" s="169"/>
      <c r="AD137" s="169"/>
      <c r="AE137" s="170"/>
      <c r="AF137" s="171" t="str">
        <f t="shared" si="16"/>
        <v/>
      </c>
      <c r="AG137" s="172"/>
      <c r="AH137" s="172"/>
      <c r="AI137" s="173"/>
      <c r="AJ137" s="168"/>
      <c r="AK137" s="169"/>
      <c r="AL137" s="169"/>
      <c r="AM137" s="170"/>
      <c r="AN137" s="171" t="str">
        <f t="shared" si="14"/>
        <v/>
      </c>
      <c r="AO137" s="172"/>
      <c r="AP137" s="172"/>
      <c r="AQ137" s="173"/>
      <c r="AR137" s="174" t="str">
        <f t="shared" si="15"/>
        <v/>
      </c>
      <c r="AS137" s="175"/>
      <c r="AT137" s="175"/>
      <c r="AU137" s="176"/>
    </row>
    <row r="138" spans="1:47" s="69" customFormat="1" ht="16.5" customHeight="1" thickTop="1">
      <c r="A138" s="65"/>
      <c r="B138" s="144" t="s">
        <v>133</v>
      </c>
      <c r="C138" s="145"/>
      <c r="D138" s="145"/>
      <c r="E138" s="145"/>
      <c r="F138" s="145"/>
      <c r="G138" s="145"/>
      <c r="H138" s="145"/>
      <c r="I138" s="145"/>
      <c r="J138" s="145"/>
      <c r="K138" s="146"/>
      <c r="L138" s="147" t="str">
        <f>IF(COUNTA(L128:O137)&gt;0,MIN(L128:O137),"")</f>
        <v/>
      </c>
      <c r="M138" s="148"/>
      <c r="N138" s="148"/>
      <c r="O138" s="149"/>
      <c r="P138" s="147" t="str">
        <f>IF(COUNTA(P128:S137)&gt;0,MAX(P128:S137),"")</f>
        <v/>
      </c>
      <c r="Q138" s="148"/>
      <c r="R138" s="148"/>
      <c r="S138" s="149"/>
      <c r="T138" s="150" t="str">
        <f>IF(OR(L138="",P138=""),"",(P138-L138)/30)</f>
        <v/>
      </c>
      <c r="U138" s="151"/>
      <c r="V138" s="151"/>
      <c r="W138" s="152"/>
      <c r="X138" s="150" t="str">
        <f>IF(COUNTA(X128:AA137)&gt;0,SUM(X128:AA137),"")</f>
        <v/>
      </c>
      <c r="Y138" s="151"/>
      <c r="Z138" s="151"/>
      <c r="AA138" s="152"/>
      <c r="AB138" s="153" t="str">
        <f>IF(COUNTA(AB128:AE137)&gt;0,SUM(AB128:AE137),"")</f>
        <v/>
      </c>
      <c r="AC138" s="154"/>
      <c r="AD138" s="154"/>
      <c r="AE138" s="155"/>
      <c r="AF138" s="153" t="str">
        <f>IF(X138="","",AB138/X138)</f>
        <v/>
      </c>
      <c r="AG138" s="154"/>
      <c r="AH138" s="154"/>
      <c r="AI138" s="155"/>
      <c r="AJ138" s="153" t="str">
        <f>IF(COUNTA(AJ128:AM137)&gt;0,SUM(AJ128:AM137),"")</f>
        <v/>
      </c>
      <c r="AK138" s="154"/>
      <c r="AL138" s="154"/>
      <c r="AM138" s="155"/>
      <c r="AN138" s="153" t="str">
        <f t="shared" si="14"/>
        <v/>
      </c>
      <c r="AO138" s="154"/>
      <c r="AP138" s="154"/>
      <c r="AQ138" s="155"/>
      <c r="AR138" s="135" t="str">
        <f t="shared" si="15"/>
        <v/>
      </c>
      <c r="AS138" s="136"/>
      <c r="AT138" s="136"/>
      <c r="AU138" s="137"/>
    </row>
    <row r="139" spans="1:47" s="69" customFormat="1" ht="16.5" customHeight="1">
      <c r="A139" s="65"/>
    </row>
    <row r="140" spans="1:47" ht="16.5" customHeight="1">
      <c r="A140" s="53"/>
      <c r="B140" s="54" t="s">
        <v>138</v>
      </c>
      <c r="C140" s="53"/>
      <c r="D140" s="53"/>
      <c r="E140" s="53"/>
      <c r="F140" s="53"/>
      <c r="G140" s="53"/>
      <c r="H140" s="53"/>
      <c r="I140" s="53"/>
      <c r="J140" s="53"/>
      <c r="K140" s="53"/>
      <c r="L140" s="53"/>
      <c r="M140" s="53"/>
      <c r="N140" s="53"/>
      <c r="O140" s="53"/>
      <c r="P140" s="53"/>
      <c r="Q140" s="53"/>
      <c r="R140" s="53"/>
      <c r="S140" s="53"/>
      <c r="T140" s="53"/>
      <c r="U140" s="53"/>
      <c r="V140" s="53"/>
      <c r="W140" s="53"/>
      <c r="X140" s="53"/>
      <c r="Y140" s="53"/>
      <c r="Z140" s="53"/>
      <c r="AA140" s="53"/>
      <c r="AB140" s="53"/>
      <c r="AC140" s="53"/>
      <c r="AD140" s="53"/>
      <c r="AE140" s="53"/>
      <c r="AF140" s="61"/>
      <c r="AG140" s="53"/>
      <c r="AH140" s="53"/>
      <c r="AI140" s="53"/>
      <c r="AJ140" s="53"/>
      <c r="AK140" s="53"/>
      <c r="AL140" s="53"/>
      <c r="AM140" s="53"/>
      <c r="AN140" s="53"/>
      <c r="AO140" s="53"/>
      <c r="AP140" s="53"/>
      <c r="AQ140" s="53"/>
      <c r="AR140" s="53"/>
      <c r="AS140" s="53"/>
      <c r="AT140" s="53"/>
      <c r="AU140" s="53"/>
    </row>
    <row r="141" spans="1:47" s="57" customFormat="1" ht="16.5" customHeight="1">
      <c r="A141" s="55"/>
      <c r="B141" s="180" t="s">
        <v>114</v>
      </c>
      <c r="C141" s="181"/>
      <c r="D141" s="181"/>
      <c r="E141" s="181"/>
      <c r="F141" s="181"/>
      <c r="G141" s="181"/>
      <c r="H141" s="181"/>
      <c r="I141" s="181"/>
      <c r="J141" s="181"/>
      <c r="K141" s="182"/>
      <c r="L141" s="177" t="s">
        <v>139</v>
      </c>
      <c r="M141" s="178"/>
      <c r="N141" s="178"/>
      <c r="O141" s="179"/>
      <c r="P141" s="177" t="s">
        <v>140</v>
      </c>
      <c r="Q141" s="178"/>
      <c r="R141" s="178"/>
      <c r="S141" s="179"/>
      <c r="T141" s="177" t="s">
        <v>141</v>
      </c>
      <c r="U141" s="178"/>
      <c r="V141" s="178"/>
      <c r="W141" s="179"/>
      <c r="X141" s="177" t="s">
        <v>68</v>
      </c>
      <c r="Y141" s="178"/>
      <c r="Z141" s="178"/>
      <c r="AA141" s="178"/>
      <c r="AB141" s="178"/>
      <c r="AC141" s="178"/>
      <c r="AD141" s="178"/>
      <c r="AE141" s="178"/>
      <c r="AF141" s="178"/>
      <c r="AG141" s="178"/>
      <c r="AH141" s="178"/>
      <c r="AI141" s="178"/>
      <c r="AJ141" s="178"/>
      <c r="AK141" s="178"/>
      <c r="AL141" s="178"/>
      <c r="AM141" s="178"/>
      <c r="AN141" s="178"/>
      <c r="AO141" s="178"/>
      <c r="AP141" s="178"/>
      <c r="AQ141" s="178"/>
      <c r="AR141" s="178"/>
      <c r="AS141" s="178"/>
      <c r="AT141" s="178"/>
      <c r="AU141" s="179"/>
    </row>
    <row r="142" spans="1:47" s="57" customFormat="1" ht="16.5" customHeight="1">
      <c r="A142" s="55"/>
      <c r="B142" s="117" t="s">
        <v>142</v>
      </c>
      <c r="C142" s="118"/>
      <c r="D142" s="118"/>
      <c r="E142" s="118"/>
      <c r="F142" s="118"/>
      <c r="G142" s="118"/>
      <c r="H142" s="118"/>
      <c r="I142" s="118"/>
      <c r="J142" s="118"/>
      <c r="K142" s="119"/>
      <c r="L142" s="120">
        <v>45811</v>
      </c>
      <c r="M142" s="121"/>
      <c r="N142" s="121"/>
      <c r="O142" s="122"/>
      <c r="P142" s="271" t="s">
        <v>143</v>
      </c>
      <c r="Q142" s="272"/>
      <c r="R142" s="272"/>
      <c r="S142" s="273"/>
      <c r="T142" s="277" t="s">
        <v>35</v>
      </c>
      <c r="U142" s="278"/>
      <c r="V142" s="278"/>
      <c r="W142" s="279"/>
      <c r="X142" s="138"/>
      <c r="Y142" s="139"/>
      <c r="Z142" s="139"/>
      <c r="AA142" s="139"/>
      <c r="AB142" s="139"/>
      <c r="AC142" s="139"/>
      <c r="AD142" s="139"/>
      <c r="AE142" s="139"/>
      <c r="AF142" s="139"/>
      <c r="AG142" s="139"/>
      <c r="AH142" s="139"/>
      <c r="AI142" s="139"/>
      <c r="AJ142" s="139"/>
      <c r="AK142" s="139"/>
      <c r="AL142" s="139"/>
      <c r="AM142" s="139"/>
      <c r="AN142" s="139"/>
      <c r="AO142" s="139"/>
      <c r="AP142" s="139"/>
      <c r="AQ142" s="139"/>
      <c r="AR142" s="139"/>
      <c r="AS142" s="139"/>
      <c r="AT142" s="139"/>
      <c r="AU142" s="140"/>
    </row>
    <row r="143" spans="1:47" s="57" customFormat="1" ht="16.5" customHeight="1">
      <c r="A143" s="55"/>
      <c r="B143" s="117" t="s">
        <v>124</v>
      </c>
      <c r="C143" s="118"/>
      <c r="D143" s="118"/>
      <c r="E143" s="118"/>
      <c r="F143" s="118"/>
      <c r="G143" s="118"/>
      <c r="H143" s="118"/>
      <c r="I143" s="118"/>
      <c r="J143" s="118"/>
      <c r="K143" s="119"/>
      <c r="L143" s="120">
        <v>45821</v>
      </c>
      <c r="M143" s="121"/>
      <c r="N143" s="121"/>
      <c r="O143" s="122"/>
      <c r="P143" s="271" t="s">
        <v>143</v>
      </c>
      <c r="Q143" s="272"/>
      <c r="R143" s="272"/>
      <c r="S143" s="273"/>
      <c r="T143" s="274"/>
      <c r="U143" s="275"/>
      <c r="V143" s="275"/>
      <c r="W143" s="276"/>
      <c r="X143" s="138"/>
      <c r="Y143" s="139"/>
      <c r="Z143" s="139"/>
      <c r="AA143" s="139"/>
      <c r="AB143" s="139"/>
      <c r="AC143" s="139"/>
      <c r="AD143" s="139"/>
      <c r="AE143" s="139"/>
      <c r="AF143" s="139"/>
      <c r="AG143" s="139"/>
      <c r="AH143" s="139"/>
      <c r="AI143" s="139"/>
      <c r="AJ143" s="139"/>
      <c r="AK143" s="139"/>
      <c r="AL143" s="139"/>
      <c r="AM143" s="139"/>
      <c r="AN143" s="139"/>
      <c r="AO143" s="139"/>
      <c r="AP143" s="139"/>
      <c r="AQ143" s="139"/>
      <c r="AR143" s="139"/>
      <c r="AS143" s="139"/>
      <c r="AT143" s="139"/>
      <c r="AU143" s="140"/>
    </row>
    <row r="144" spans="1:47" s="57" customFormat="1" ht="16.5" customHeight="1">
      <c r="A144" s="55"/>
      <c r="B144" s="117" t="s">
        <v>125</v>
      </c>
      <c r="C144" s="118"/>
      <c r="D144" s="118"/>
      <c r="E144" s="118"/>
      <c r="F144" s="118"/>
      <c r="G144" s="118"/>
      <c r="H144" s="118"/>
      <c r="I144" s="118"/>
      <c r="J144" s="118"/>
      <c r="K144" s="119"/>
      <c r="L144" s="120">
        <v>45821</v>
      </c>
      <c r="M144" s="121"/>
      <c r="N144" s="121"/>
      <c r="O144" s="122"/>
      <c r="P144" s="271" t="s">
        <v>143</v>
      </c>
      <c r="Q144" s="272"/>
      <c r="R144" s="272"/>
      <c r="S144" s="273"/>
      <c r="T144" s="274"/>
      <c r="U144" s="275"/>
      <c r="V144" s="275"/>
      <c r="W144" s="276"/>
      <c r="X144" s="138"/>
      <c r="Y144" s="139"/>
      <c r="Z144" s="139"/>
      <c r="AA144" s="139"/>
      <c r="AB144" s="139"/>
      <c r="AC144" s="139"/>
      <c r="AD144" s="139"/>
      <c r="AE144" s="139"/>
      <c r="AF144" s="139"/>
      <c r="AG144" s="139"/>
      <c r="AH144" s="139"/>
      <c r="AI144" s="139"/>
      <c r="AJ144" s="139"/>
      <c r="AK144" s="139"/>
      <c r="AL144" s="139"/>
      <c r="AM144" s="139"/>
      <c r="AN144" s="139"/>
      <c r="AO144" s="139"/>
      <c r="AP144" s="139"/>
      <c r="AQ144" s="139"/>
      <c r="AR144" s="139"/>
      <c r="AS144" s="139"/>
      <c r="AT144" s="139"/>
      <c r="AU144" s="140"/>
    </row>
    <row r="145" spans="1:47" s="57" customFormat="1" ht="16.5" customHeight="1">
      <c r="A145" s="55"/>
      <c r="B145" s="117" t="s">
        <v>126</v>
      </c>
      <c r="C145" s="118"/>
      <c r="D145" s="118"/>
      <c r="E145" s="118"/>
      <c r="F145" s="118"/>
      <c r="G145" s="118"/>
      <c r="H145" s="118"/>
      <c r="I145" s="118"/>
      <c r="J145" s="118"/>
      <c r="K145" s="119"/>
      <c r="L145" s="120">
        <v>45821</v>
      </c>
      <c r="M145" s="121"/>
      <c r="N145" s="121"/>
      <c r="O145" s="122"/>
      <c r="P145" s="271" t="s">
        <v>143</v>
      </c>
      <c r="Q145" s="272"/>
      <c r="R145" s="272"/>
      <c r="S145" s="273"/>
      <c r="T145" s="274"/>
      <c r="U145" s="275"/>
      <c r="V145" s="275"/>
      <c r="W145" s="276"/>
      <c r="X145" s="138"/>
      <c r="Y145" s="139"/>
      <c r="Z145" s="139"/>
      <c r="AA145" s="139"/>
      <c r="AB145" s="139"/>
      <c r="AC145" s="139"/>
      <c r="AD145" s="139"/>
      <c r="AE145" s="139"/>
      <c r="AF145" s="139"/>
      <c r="AG145" s="139"/>
      <c r="AH145" s="139"/>
      <c r="AI145" s="139"/>
      <c r="AJ145" s="139"/>
      <c r="AK145" s="139"/>
      <c r="AL145" s="139"/>
      <c r="AM145" s="139"/>
      <c r="AN145" s="139"/>
      <c r="AO145" s="139"/>
      <c r="AP145" s="139"/>
      <c r="AQ145" s="139"/>
      <c r="AR145" s="139"/>
      <c r="AS145" s="139"/>
      <c r="AT145" s="139"/>
      <c r="AU145" s="140"/>
    </row>
    <row r="146" spans="1:47" s="57" customFormat="1" ht="16.5" customHeight="1">
      <c r="A146" s="55"/>
      <c r="B146" s="117" t="s">
        <v>127</v>
      </c>
      <c r="C146" s="118"/>
      <c r="D146" s="118"/>
      <c r="E146" s="118"/>
      <c r="F146" s="118"/>
      <c r="G146" s="118"/>
      <c r="H146" s="118"/>
      <c r="I146" s="118"/>
      <c r="J146" s="118"/>
      <c r="K146" s="119"/>
      <c r="L146" s="120">
        <v>45832</v>
      </c>
      <c r="M146" s="121"/>
      <c r="N146" s="121"/>
      <c r="O146" s="122"/>
      <c r="P146" s="271" t="s">
        <v>143</v>
      </c>
      <c r="Q146" s="272"/>
      <c r="R146" s="272"/>
      <c r="S146" s="273"/>
      <c r="T146" s="274"/>
      <c r="U146" s="275"/>
      <c r="V146" s="275"/>
      <c r="W146" s="276"/>
      <c r="X146" s="138"/>
      <c r="Y146" s="139"/>
      <c r="Z146" s="139"/>
      <c r="AA146" s="139"/>
      <c r="AB146" s="139"/>
      <c r="AC146" s="139"/>
      <c r="AD146" s="139"/>
      <c r="AE146" s="139"/>
      <c r="AF146" s="139"/>
      <c r="AG146" s="139"/>
      <c r="AH146" s="139"/>
      <c r="AI146" s="139"/>
      <c r="AJ146" s="139"/>
      <c r="AK146" s="139"/>
      <c r="AL146" s="139"/>
      <c r="AM146" s="139"/>
      <c r="AN146" s="139"/>
      <c r="AO146" s="139"/>
      <c r="AP146" s="139"/>
      <c r="AQ146" s="139"/>
      <c r="AR146" s="139"/>
      <c r="AS146" s="139"/>
      <c r="AT146" s="139"/>
      <c r="AU146" s="140"/>
    </row>
    <row r="147" spans="1:47" s="57" customFormat="1" ht="16.5" customHeight="1">
      <c r="A147" s="55"/>
      <c r="B147" s="117" t="s">
        <v>128</v>
      </c>
      <c r="C147" s="118"/>
      <c r="D147" s="118"/>
      <c r="E147" s="118"/>
      <c r="F147" s="118"/>
      <c r="G147" s="118"/>
      <c r="H147" s="118"/>
      <c r="I147" s="118"/>
      <c r="J147" s="118"/>
      <c r="K147" s="119"/>
      <c r="L147" s="120">
        <v>45868</v>
      </c>
      <c r="M147" s="121"/>
      <c r="N147" s="121"/>
      <c r="O147" s="122"/>
      <c r="P147" s="271" t="s">
        <v>143</v>
      </c>
      <c r="Q147" s="272"/>
      <c r="R147" s="272"/>
      <c r="S147" s="273"/>
      <c r="T147" s="274"/>
      <c r="U147" s="275"/>
      <c r="V147" s="275"/>
      <c r="W147" s="276"/>
      <c r="X147" s="138"/>
      <c r="Y147" s="139"/>
      <c r="Z147" s="139"/>
      <c r="AA147" s="139"/>
      <c r="AB147" s="139"/>
      <c r="AC147" s="139"/>
      <c r="AD147" s="139"/>
      <c r="AE147" s="139"/>
      <c r="AF147" s="139"/>
      <c r="AG147" s="139"/>
      <c r="AH147" s="139"/>
      <c r="AI147" s="139"/>
      <c r="AJ147" s="139"/>
      <c r="AK147" s="139"/>
      <c r="AL147" s="139"/>
      <c r="AM147" s="139"/>
      <c r="AN147" s="139"/>
      <c r="AO147" s="139"/>
      <c r="AP147" s="139"/>
      <c r="AQ147" s="139"/>
      <c r="AR147" s="139"/>
      <c r="AS147" s="139"/>
      <c r="AT147" s="139"/>
      <c r="AU147" s="140"/>
    </row>
    <row r="148" spans="1:47" s="57" customFormat="1" ht="16.5" customHeight="1">
      <c r="A148" s="55"/>
      <c r="B148" s="117" t="s">
        <v>129</v>
      </c>
      <c r="C148" s="118"/>
      <c r="D148" s="118"/>
      <c r="E148" s="118"/>
      <c r="F148" s="118"/>
      <c r="G148" s="118"/>
      <c r="H148" s="118"/>
      <c r="I148" s="118"/>
      <c r="J148" s="118"/>
      <c r="K148" s="119"/>
      <c r="L148" s="120"/>
      <c r="M148" s="121"/>
      <c r="N148" s="121"/>
      <c r="O148" s="122"/>
      <c r="P148" s="271"/>
      <c r="Q148" s="272"/>
      <c r="R148" s="272"/>
      <c r="S148" s="273"/>
      <c r="T148" s="274"/>
      <c r="U148" s="275"/>
      <c r="V148" s="275"/>
      <c r="W148" s="276"/>
      <c r="X148" s="138"/>
      <c r="Y148" s="139"/>
      <c r="Z148" s="139"/>
      <c r="AA148" s="139"/>
      <c r="AB148" s="139"/>
      <c r="AC148" s="139"/>
      <c r="AD148" s="139"/>
      <c r="AE148" s="139"/>
      <c r="AF148" s="139"/>
      <c r="AG148" s="139"/>
      <c r="AH148" s="139"/>
      <c r="AI148" s="139"/>
      <c r="AJ148" s="139"/>
      <c r="AK148" s="139"/>
      <c r="AL148" s="139"/>
      <c r="AM148" s="139"/>
      <c r="AN148" s="139"/>
      <c r="AO148" s="139"/>
      <c r="AP148" s="139"/>
      <c r="AQ148" s="139"/>
      <c r="AR148" s="139"/>
      <c r="AS148" s="139"/>
      <c r="AT148" s="139"/>
      <c r="AU148" s="140"/>
    </row>
    <row r="149" spans="1:47" s="57" customFormat="1" ht="16.5" customHeight="1">
      <c r="A149" s="55"/>
      <c r="B149" s="117" t="s">
        <v>144</v>
      </c>
      <c r="C149" s="118"/>
      <c r="D149" s="118"/>
      <c r="E149" s="118"/>
      <c r="F149" s="118"/>
      <c r="G149" s="118"/>
      <c r="H149" s="118"/>
      <c r="I149" s="118"/>
      <c r="J149" s="118"/>
      <c r="K149" s="119"/>
      <c r="L149" s="120">
        <v>45852</v>
      </c>
      <c r="M149" s="121"/>
      <c r="N149" s="121"/>
      <c r="O149" s="122"/>
      <c r="P149" s="271" t="s">
        <v>143</v>
      </c>
      <c r="Q149" s="272"/>
      <c r="R149" s="272"/>
      <c r="S149" s="273"/>
      <c r="T149" s="277" t="s">
        <v>35</v>
      </c>
      <c r="U149" s="278"/>
      <c r="V149" s="278"/>
      <c r="W149" s="279"/>
      <c r="X149" s="138"/>
      <c r="Y149" s="139"/>
      <c r="Z149" s="139"/>
      <c r="AA149" s="139"/>
      <c r="AB149" s="139"/>
      <c r="AC149" s="139"/>
      <c r="AD149" s="139"/>
      <c r="AE149" s="139"/>
      <c r="AF149" s="139"/>
      <c r="AG149" s="139"/>
      <c r="AH149" s="139"/>
      <c r="AI149" s="139"/>
      <c r="AJ149" s="139"/>
      <c r="AK149" s="139"/>
      <c r="AL149" s="139"/>
      <c r="AM149" s="139"/>
      <c r="AN149" s="139"/>
      <c r="AO149" s="139"/>
      <c r="AP149" s="139"/>
      <c r="AQ149" s="139"/>
      <c r="AR149" s="139"/>
      <c r="AS149" s="139"/>
      <c r="AT149" s="139"/>
      <c r="AU149" s="140"/>
    </row>
    <row r="150" spans="1:47" s="57" customFormat="1" ht="16.5" customHeight="1">
      <c r="A150" s="55"/>
      <c r="B150" s="117" t="s">
        <v>145</v>
      </c>
      <c r="C150" s="118"/>
      <c r="D150" s="118"/>
      <c r="E150" s="118"/>
      <c r="F150" s="118"/>
      <c r="G150" s="118"/>
      <c r="H150" s="118"/>
      <c r="I150" s="118"/>
      <c r="J150" s="118"/>
      <c r="K150" s="119"/>
      <c r="L150" s="120">
        <v>45856</v>
      </c>
      <c r="M150" s="121"/>
      <c r="N150" s="121"/>
      <c r="O150" s="122"/>
      <c r="P150" s="271" t="s">
        <v>143</v>
      </c>
      <c r="Q150" s="272"/>
      <c r="R150" s="272"/>
      <c r="S150" s="273"/>
      <c r="T150" s="277" t="s">
        <v>35</v>
      </c>
      <c r="U150" s="278"/>
      <c r="V150" s="278"/>
      <c r="W150" s="279"/>
      <c r="X150" s="138"/>
      <c r="Y150" s="139"/>
      <c r="Z150" s="139"/>
      <c r="AA150" s="139"/>
      <c r="AB150" s="139"/>
      <c r="AC150" s="139"/>
      <c r="AD150" s="139"/>
      <c r="AE150" s="139"/>
      <c r="AF150" s="139"/>
      <c r="AG150" s="139"/>
      <c r="AH150" s="139"/>
      <c r="AI150" s="139"/>
      <c r="AJ150" s="139"/>
      <c r="AK150" s="139"/>
      <c r="AL150" s="139"/>
      <c r="AM150" s="139"/>
      <c r="AN150" s="139"/>
      <c r="AO150" s="139"/>
      <c r="AP150" s="139"/>
      <c r="AQ150" s="139"/>
      <c r="AR150" s="139"/>
      <c r="AS150" s="139"/>
      <c r="AT150" s="139"/>
      <c r="AU150" s="140"/>
    </row>
    <row r="151" spans="1:47" s="57" customFormat="1" ht="16.5" customHeight="1">
      <c r="A151" s="55"/>
      <c r="B151" s="117" t="s">
        <v>146</v>
      </c>
      <c r="C151" s="118"/>
      <c r="D151" s="118"/>
      <c r="E151" s="118"/>
      <c r="F151" s="118"/>
      <c r="G151" s="118"/>
      <c r="H151" s="118"/>
      <c r="I151" s="118"/>
      <c r="J151" s="118"/>
      <c r="K151" s="119"/>
      <c r="L151" s="120">
        <v>45869</v>
      </c>
      <c r="M151" s="121"/>
      <c r="N151" s="121"/>
      <c r="O151" s="122"/>
      <c r="P151" s="271" t="s">
        <v>143</v>
      </c>
      <c r="Q151" s="272"/>
      <c r="R151" s="272"/>
      <c r="S151" s="273"/>
      <c r="T151" s="277" t="s">
        <v>35</v>
      </c>
      <c r="U151" s="278"/>
      <c r="V151" s="278"/>
      <c r="W151" s="279"/>
      <c r="X151" s="138"/>
      <c r="Y151" s="139"/>
      <c r="Z151" s="139"/>
      <c r="AA151" s="139"/>
      <c r="AB151" s="139"/>
      <c r="AC151" s="139"/>
      <c r="AD151" s="139"/>
      <c r="AE151" s="139"/>
      <c r="AF151" s="139"/>
      <c r="AG151" s="139"/>
      <c r="AH151" s="139"/>
      <c r="AI151" s="139"/>
      <c r="AJ151" s="139"/>
      <c r="AK151" s="139"/>
      <c r="AL151" s="139"/>
      <c r="AM151" s="139"/>
      <c r="AN151" s="139"/>
      <c r="AO151" s="139"/>
      <c r="AP151" s="139"/>
      <c r="AQ151" s="139"/>
      <c r="AR151" s="139"/>
      <c r="AS151" s="139"/>
      <c r="AT151" s="139"/>
      <c r="AU151" s="140"/>
    </row>
    <row r="152" spans="1:47" s="57" customFormat="1" ht="16.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62"/>
      <c r="Z152" s="62"/>
      <c r="AA152" s="62"/>
      <c r="AB152" s="62"/>
      <c r="AC152" s="62"/>
      <c r="AD152" s="62"/>
      <c r="AE152" s="62"/>
      <c r="AF152" s="62"/>
      <c r="AG152" s="62"/>
      <c r="AH152" s="62"/>
      <c r="AI152" s="62"/>
      <c r="AJ152" s="62"/>
      <c r="AK152" s="62"/>
      <c r="AL152" s="62"/>
      <c r="AM152" s="62"/>
      <c r="AN152" s="62"/>
      <c r="AO152" s="62"/>
      <c r="AP152" s="62"/>
      <c r="AQ152" s="62"/>
      <c r="AR152" s="62"/>
      <c r="AS152" s="62"/>
      <c r="AT152" s="62"/>
      <c r="AU152" s="62"/>
    </row>
    <row r="153" spans="1:47" s="46" customFormat="1" ht="16.5" customHeight="1">
      <c r="A153" s="45"/>
      <c r="B153" s="75" t="s">
        <v>147</v>
      </c>
    </row>
    <row r="154" spans="1:47" s="69" customFormat="1" ht="16.5" customHeight="1">
      <c r="A154" s="65"/>
      <c r="B154" s="235" t="s">
        <v>148</v>
      </c>
      <c r="C154" s="236"/>
      <c r="D154" s="236"/>
      <c r="E154" s="236"/>
      <c r="F154" s="236"/>
      <c r="G154" s="236"/>
      <c r="H154" s="236"/>
      <c r="I154" s="236"/>
      <c r="J154" s="236"/>
      <c r="K154" s="237"/>
      <c r="L154" s="252" t="s">
        <v>149</v>
      </c>
      <c r="M154" s="253"/>
      <c r="N154" s="253"/>
      <c r="O154" s="253"/>
      <c r="P154" s="253"/>
      <c r="Q154" s="253"/>
      <c r="R154" s="254"/>
      <c r="S154" s="252" t="s">
        <v>150</v>
      </c>
      <c r="T154" s="253"/>
      <c r="U154" s="253"/>
      <c r="V154" s="253"/>
      <c r="W154" s="253"/>
      <c r="X154" s="253"/>
      <c r="Y154" s="254"/>
      <c r="Z154" s="252" t="s">
        <v>151</v>
      </c>
      <c r="AA154" s="253"/>
      <c r="AB154" s="253"/>
      <c r="AC154" s="253"/>
      <c r="AD154" s="253"/>
      <c r="AE154" s="253"/>
      <c r="AF154" s="253"/>
      <c r="AG154" s="253"/>
      <c r="AH154" s="253"/>
      <c r="AI154" s="253"/>
      <c r="AJ154" s="253"/>
      <c r="AK154" s="253"/>
      <c r="AL154" s="254"/>
      <c r="AM154" s="255" t="s">
        <v>152</v>
      </c>
      <c r="AN154" s="255"/>
      <c r="AO154" s="255"/>
      <c r="AP154" s="255"/>
      <c r="AQ154" s="255"/>
      <c r="AR154" s="255"/>
      <c r="AS154" s="255"/>
      <c r="AT154" s="255"/>
      <c r="AU154" s="255"/>
    </row>
    <row r="155" spans="1:47" s="69" customFormat="1" ht="16.5" customHeight="1">
      <c r="A155" s="65"/>
      <c r="B155" s="107" t="s">
        <v>153</v>
      </c>
      <c r="C155" s="108"/>
      <c r="D155" s="108"/>
      <c r="E155" s="108"/>
      <c r="F155" s="108"/>
      <c r="G155" s="108"/>
      <c r="H155" s="108"/>
      <c r="I155" s="108"/>
      <c r="J155" s="108"/>
      <c r="K155" s="109"/>
      <c r="L155" s="110" t="s">
        <v>154</v>
      </c>
      <c r="M155" s="111"/>
      <c r="N155" s="111"/>
      <c r="O155" s="111"/>
      <c r="P155" s="111"/>
      <c r="Q155" s="111"/>
      <c r="R155" s="112"/>
      <c r="S155" s="113" t="s">
        <v>155</v>
      </c>
      <c r="T155" s="114"/>
      <c r="U155" s="114"/>
      <c r="V155" s="114"/>
      <c r="W155" s="114"/>
      <c r="X155" s="114"/>
      <c r="Y155" s="115"/>
      <c r="Z155" s="113" t="s">
        <v>156</v>
      </c>
      <c r="AA155" s="114"/>
      <c r="AB155" s="114"/>
      <c r="AC155" s="114"/>
      <c r="AD155" s="114"/>
      <c r="AE155" s="114"/>
      <c r="AF155" s="114"/>
      <c r="AG155" s="114"/>
      <c r="AH155" s="114"/>
      <c r="AI155" s="114"/>
      <c r="AJ155" s="114"/>
      <c r="AK155" s="114"/>
      <c r="AL155" s="115"/>
      <c r="AM155" s="116"/>
      <c r="AN155" s="116"/>
      <c r="AO155" s="116"/>
      <c r="AP155" s="116"/>
      <c r="AQ155" s="116"/>
      <c r="AR155" s="116"/>
      <c r="AS155" s="116"/>
      <c r="AT155" s="116"/>
      <c r="AU155" s="116"/>
    </row>
    <row r="156" spans="1:47" s="69" customFormat="1" ht="16.5" customHeight="1">
      <c r="A156" s="65"/>
      <c r="B156" s="107"/>
      <c r="C156" s="108"/>
      <c r="D156" s="108"/>
      <c r="E156" s="108"/>
      <c r="F156" s="108"/>
      <c r="G156" s="108"/>
      <c r="H156" s="108"/>
      <c r="I156" s="108"/>
      <c r="J156" s="108"/>
      <c r="K156" s="109"/>
      <c r="L156" s="110"/>
      <c r="M156" s="111"/>
      <c r="N156" s="111"/>
      <c r="O156" s="111"/>
      <c r="P156" s="111"/>
      <c r="Q156" s="111"/>
      <c r="R156" s="112"/>
      <c r="S156" s="113"/>
      <c r="T156" s="114"/>
      <c r="U156" s="114"/>
      <c r="V156" s="114"/>
      <c r="W156" s="114"/>
      <c r="X156" s="114"/>
      <c r="Y156" s="115"/>
      <c r="Z156" s="113"/>
      <c r="AA156" s="114"/>
      <c r="AB156" s="114"/>
      <c r="AC156" s="114"/>
      <c r="AD156" s="114"/>
      <c r="AE156" s="114"/>
      <c r="AF156" s="114"/>
      <c r="AG156" s="114"/>
      <c r="AH156" s="114"/>
      <c r="AI156" s="114"/>
      <c r="AJ156" s="114"/>
      <c r="AK156" s="114"/>
      <c r="AL156" s="115"/>
      <c r="AM156" s="116"/>
      <c r="AN156" s="116"/>
      <c r="AO156" s="116"/>
      <c r="AP156" s="116"/>
      <c r="AQ156" s="116"/>
      <c r="AR156" s="116"/>
      <c r="AS156" s="116"/>
      <c r="AT156" s="116"/>
      <c r="AU156" s="116"/>
    </row>
    <row r="157" spans="1:47" s="69" customFormat="1" ht="16.5" customHeight="1">
      <c r="A157" s="65"/>
      <c r="B157" s="107"/>
      <c r="C157" s="108"/>
      <c r="D157" s="108"/>
      <c r="E157" s="108"/>
      <c r="F157" s="108"/>
      <c r="G157" s="108"/>
      <c r="H157" s="108"/>
      <c r="I157" s="108"/>
      <c r="J157" s="108"/>
      <c r="K157" s="109"/>
      <c r="L157" s="110"/>
      <c r="M157" s="111"/>
      <c r="N157" s="111"/>
      <c r="O157" s="111"/>
      <c r="P157" s="111"/>
      <c r="Q157" s="111"/>
      <c r="R157" s="112"/>
      <c r="S157" s="113"/>
      <c r="T157" s="114"/>
      <c r="U157" s="114"/>
      <c r="V157" s="114"/>
      <c r="W157" s="114"/>
      <c r="X157" s="114"/>
      <c r="Y157" s="115"/>
      <c r="Z157" s="113"/>
      <c r="AA157" s="114"/>
      <c r="AB157" s="114"/>
      <c r="AC157" s="114"/>
      <c r="AD157" s="114"/>
      <c r="AE157" s="114"/>
      <c r="AF157" s="114"/>
      <c r="AG157" s="114"/>
      <c r="AH157" s="114"/>
      <c r="AI157" s="114"/>
      <c r="AJ157" s="114"/>
      <c r="AK157" s="114"/>
      <c r="AL157" s="115"/>
      <c r="AM157" s="116"/>
      <c r="AN157" s="116"/>
      <c r="AO157" s="116"/>
      <c r="AP157" s="116"/>
      <c r="AQ157" s="116"/>
      <c r="AR157" s="116"/>
      <c r="AS157" s="116"/>
      <c r="AT157" s="116"/>
      <c r="AU157" s="116"/>
    </row>
    <row r="158" spans="1:47" s="69" customFormat="1" ht="16.5" customHeight="1">
      <c r="A158" s="65"/>
      <c r="B158" s="107"/>
      <c r="C158" s="108"/>
      <c r="D158" s="108"/>
      <c r="E158" s="108"/>
      <c r="F158" s="108"/>
      <c r="G158" s="108"/>
      <c r="H158" s="108"/>
      <c r="I158" s="108"/>
      <c r="J158" s="108"/>
      <c r="K158" s="109"/>
      <c r="L158" s="110"/>
      <c r="M158" s="111"/>
      <c r="N158" s="111"/>
      <c r="O158" s="111"/>
      <c r="P158" s="111"/>
      <c r="Q158" s="111"/>
      <c r="R158" s="112"/>
      <c r="S158" s="113"/>
      <c r="T158" s="114"/>
      <c r="U158" s="114"/>
      <c r="V158" s="114"/>
      <c r="W158" s="114"/>
      <c r="X158" s="114"/>
      <c r="Y158" s="115"/>
      <c r="Z158" s="113"/>
      <c r="AA158" s="114"/>
      <c r="AB158" s="114"/>
      <c r="AC158" s="114"/>
      <c r="AD158" s="114"/>
      <c r="AE158" s="114"/>
      <c r="AF158" s="114"/>
      <c r="AG158" s="114"/>
      <c r="AH158" s="114"/>
      <c r="AI158" s="114"/>
      <c r="AJ158" s="114"/>
      <c r="AK158" s="114"/>
      <c r="AL158" s="115"/>
      <c r="AM158" s="116"/>
      <c r="AN158" s="116"/>
      <c r="AO158" s="116"/>
      <c r="AP158" s="116"/>
      <c r="AQ158" s="116"/>
      <c r="AR158" s="116"/>
      <c r="AS158" s="116"/>
      <c r="AT158" s="116"/>
      <c r="AU158" s="116"/>
    </row>
    <row r="159" spans="1:47" s="69" customFormat="1" ht="16.5" customHeight="1">
      <c r="A159" s="65"/>
      <c r="B159" s="107"/>
      <c r="C159" s="108"/>
      <c r="D159" s="108"/>
      <c r="E159" s="108"/>
      <c r="F159" s="108"/>
      <c r="G159" s="108"/>
      <c r="H159" s="108"/>
      <c r="I159" s="108"/>
      <c r="J159" s="108"/>
      <c r="K159" s="109"/>
      <c r="L159" s="110"/>
      <c r="M159" s="111"/>
      <c r="N159" s="111"/>
      <c r="O159" s="111"/>
      <c r="P159" s="111"/>
      <c r="Q159" s="111"/>
      <c r="R159" s="112"/>
      <c r="S159" s="113"/>
      <c r="T159" s="114"/>
      <c r="U159" s="114"/>
      <c r="V159" s="114"/>
      <c r="W159" s="114"/>
      <c r="X159" s="114"/>
      <c r="Y159" s="115"/>
      <c r="Z159" s="113"/>
      <c r="AA159" s="114"/>
      <c r="AB159" s="114"/>
      <c r="AC159" s="114"/>
      <c r="AD159" s="114"/>
      <c r="AE159" s="114"/>
      <c r="AF159" s="114"/>
      <c r="AG159" s="114"/>
      <c r="AH159" s="114"/>
      <c r="AI159" s="114"/>
      <c r="AJ159" s="114"/>
      <c r="AK159" s="114"/>
      <c r="AL159" s="115"/>
      <c r="AM159" s="116"/>
      <c r="AN159" s="116"/>
      <c r="AO159" s="116"/>
      <c r="AP159" s="116"/>
      <c r="AQ159" s="116"/>
      <c r="AR159" s="116"/>
      <c r="AS159" s="116"/>
      <c r="AT159" s="116"/>
      <c r="AU159" s="116"/>
    </row>
    <row r="160" spans="1:47" s="69" customFormat="1" ht="16.5" customHeight="1">
      <c r="A160" s="65"/>
      <c r="B160" s="107"/>
      <c r="C160" s="108"/>
      <c r="D160" s="108"/>
      <c r="E160" s="108"/>
      <c r="F160" s="108"/>
      <c r="G160" s="108"/>
      <c r="H160" s="108"/>
      <c r="I160" s="108"/>
      <c r="J160" s="108"/>
      <c r="K160" s="109"/>
      <c r="L160" s="110"/>
      <c r="M160" s="111"/>
      <c r="N160" s="111"/>
      <c r="O160" s="111"/>
      <c r="P160" s="111"/>
      <c r="Q160" s="111"/>
      <c r="R160" s="112"/>
      <c r="S160" s="113"/>
      <c r="T160" s="114"/>
      <c r="U160" s="114"/>
      <c r="V160" s="114"/>
      <c r="W160" s="114"/>
      <c r="X160" s="114"/>
      <c r="Y160" s="115"/>
      <c r="Z160" s="113"/>
      <c r="AA160" s="114"/>
      <c r="AB160" s="114"/>
      <c r="AC160" s="114"/>
      <c r="AD160" s="114"/>
      <c r="AE160" s="114"/>
      <c r="AF160" s="114"/>
      <c r="AG160" s="114"/>
      <c r="AH160" s="114"/>
      <c r="AI160" s="114"/>
      <c r="AJ160" s="114"/>
      <c r="AK160" s="114"/>
      <c r="AL160" s="115"/>
      <c r="AM160" s="116"/>
      <c r="AN160" s="116"/>
      <c r="AO160" s="116"/>
      <c r="AP160" s="116"/>
      <c r="AQ160" s="116"/>
      <c r="AR160" s="116"/>
      <c r="AS160" s="116"/>
      <c r="AT160" s="116"/>
      <c r="AU160" s="116"/>
    </row>
    <row r="161" spans="1:47" s="69" customFormat="1" ht="16.5" customHeight="1">
      <c r="A161" s="65"/>
      <c r="B161" s="107"/>
      <c r="C161" s="108"/>
      <c r="D161" s="108"/>
      <c r="E161" s="108"/>
      <c r="F161" s="108"/>
      <c r="G161" s="108"/>
      <c r="H161" s="108"/>
      <c r="I161" s="108"/>
      <c r="J161" s="108"/>
      <c r="K161" s="109"/>
      <c r="L161" s="110"/>
      <c r="M161" s="111"/>
      <c r="N161" s="111"/>
      <c r="O161" s="111"/>
      <c r="P161" s="111"/>
      <c r="Q161" s="111"/>
      <c r="R161" s="112"/>
      <c r="S161" s="113"/>
      <c r="T161" s="114"/>
      <c r="U161" s="114"/>
      <c r="V161" s="114"/>
      <c r="W161" s="114"/>
      <c r="X161" s="114"/>
      <c r="Y161" s="115"/>
      <c r="Z161" s="113"/>
      <c r="AA161" s="114"/>
      <c r="AB161" s="114"/>
      <c r="AC161" s="114"/>
      <c r="AD161" s="114"/>
      <c r="AE161" s="114"/>
      <c r="AF161" s="114"/>
      <c r="AG161" s="114"/>
      <c r="AH161" s="114"/>
      <c r="AI161" s="114"/>
      <c r="AJ161" s="114"/>
      <c r="AK161" s="114"/>
      <c r="AL161" s="115"/>
      <c r="AM161" s="116"/>
      <c r="AN161" s="116"/>
      <c r="AO161" s="116"/>
      <c r="AP161" s="116"/>
      <c r="AQ161" s="116"/>
      <c r="AR161" s="116"/>
      <c r="AS161" s="116"/>
      <c r="AT161" s="116"/>
      <c r="AU161" s="116"/>
    </row>
    <row r="162" spans="1:47" s="69" customFormat="1" ht="16.5" customHeight="1">
      <c r="A162" s="65"/>
      <c r="B162" s="107"/>
      <c r="C162" s="108"/>
      <c r="D162" s="108"/>
      <c r="E162" s="108"/>
      <c r="F162" s="108"/>
      <c r="G162" s="108"/>
      <c r="H162" s="108"/>
      <c r="I162" s="108"/>
      <c r="J162" s="108"/>
      <c r="K162" s="109"/>
      <c r="L162" s="110"/>
      <c r="M162" s="111"/>
      <c r="N162" s="111"/>
      <c r="O162" s="111"/>
      <c r="P162" s="111"/>
      <c r="Q162" s="111"/>
      <c r="R162" s="112"/>
      <c r="S162" s="113"/>
      <c r="T162" s="114"/>
      <c r="U162" s="114"/>
      <c r="V162" s="114"/>
      <c r="W162" s="114"/>
      <c r="X162" s="114"/>
      <c r="Y162" s="115"/>
      <c r="Z162" s="113"/>
      <c r="AA162" s="114"/>
      <c r="AB162" s="114"/>
      <c r="AC162" s="114"/>
      <c r="AD162" s="114"/>
      <c r="AE162" s="114"/>
      <c r="AF162" s="114"/>
      <c r="AG162" s="114"/>
      <c r="AH162" s="114"/>
      <c r="AI162" s="114"/>
      <c r="AJ162" s="114"/>
      <c r="AK162" s="114"/>
      <c r="AL162" s="115"/>
      <c r="AM162" s="116"/>
      <c r="AN162" s="116"/>
      <c r="AO162" s="116"/>
      <c r="AP162" s="116"/>
      <c r="AQ162" s="116"/>
      <c r="AR162" s="116"/>
      <c r="AS162" s="116"/>
      <c r="AT162" s="116"/>
      <c r="AU162" s="116"/>
    </row>
    <row r="163" spans="1:47" s="69" customFormat="1" ht="16.5" customHeight="1">
      <c r="A163" s="65"/>
      <c r="B163" s="107"/>
      <c r="C163" s="108"/>
      <c r="D163" s="108"/>
      <c r="E163" s="108"/>
      <c r="F163" s="108"/>
      <c r="G163" s="108"/>
      <c r="H163" s="108"/>
      <c r="I163" s="108"/>
      <c r="J163" s="108"/>
      <c r="K163" s="109"/>
      <c r="L163" s="110"/>
      <c r="M163" s="111"/>
      <c r="N163" s="111"/>
      <c r="O163" s="111"/>
      <c r="P163" s="111"/>
      <c r="Q163" s="111"/>
      <c r="R163" s="112"/>
      <c r="S163" s="113"/>
      <c r="T163" s="114"/>
      <c r="U163" s="114"/>
      <c r="V163" s="114"/>
      <c r="W163" s="114"/>
      <c r="X163" s="114"/>
      <c r="Y163" s="115"/>
      <c r="Z163" s="113"/>
      <c r="AA163" s="114"/>
      <c r="AB163" s="114"/>
      <c r="AC163" s="114"/>
      <c r="AD163" s="114"/>
      <c r="AE163" s="114"/>
      <c r="AF163" s="114"/>
      <c r="AG163" s="114"/>
      <c r="AH163" s="114"/>
      <c r="AI163" s="114"/>
      <c r="AJ163" s="114"/>
      <c r="AK163" s="114"/>
      <c r="AL163" s="115"/>
      <c r="AM163" s="116"/>
      <c r="AN163" s="116"/>
      <c r="AO163" s="116"/>
      <c r="AP163" s="116"/>
      <c r="AQ163" s="116"/>
      <c r="AR163" s="116"/>
      <c r="AS163" s="116"/>
      <c r="AT163" s="116"/>
      <c r="AU163" s="116"/>
    </row>
    <row r="164" spans="1:47" s="69" customFormat="1" ht="16.5" customHeight="1">
      <c r="A164" s="65"/>
      <c r="B164" s="107"/>
      <c r="C164" s="108"/>
      <c r="D164" s="108"/>
      <c r="E164" s="108"/>
      <c r="F164" s="108"/>
      <c r="G164" s="108"/>
      <c r="H164" s="108"/>
      <c r="I164" s="108"/>
      <c r="J164" s="108"/>
      <c r="K164" s="109"/>
      <c r="L164" s="110"/>
      <c r="M164" s="111"/>
      <c r="N164" s="111"/>
      <c r="O164" s="111"/>
      <c r="P164" s="111"/>
      <c r="Q164" s="111"/>
      <c r="R164" s="112"/>
      <c r="S164" s="113"/>
      <c r="T164" s="114"/>
      <c r="U164" s="114"/>
      <c r="V164" s="114"/>
      <c r="W164" s="114"/>
      <c r="X164" s="114"/>
      <c r="Y164" s="115"/>
      <c r="Z164" s="113"/>
      <c r="AA164" s="114"/>
      <c r="AB164" s="114"/>
      <c r="AC164" s="114"/>
      <c r="AD164" s="114"/>
      <c r="AE164" s="114"/>
      <c r="AF164" s="114"/>
      <c r="AG164" s="114"/>
      <c r="AH164" s="114"/>
      <c r="AI164" s="114"/>
      <c r="AJ164" s="114"/>
      <c r="AK164" s="114"/>
      <c r="AL164" s="115"/>
      <c r="AM164" s="116"/>
      <c r="AN164" s="116"/>
      <c r="AO164" s="116"/>
      <c r="AP164" s="116"/>
      <c r="AQ164" s="116"/>
      <c r="AR164" s="116"/>
      <c r="AS164" s="116"/>
      <c r="AT164" s="116"/>
      <c r="AU164" s="116"/>
    </row>
    <row r="165" spans="1:47" s="69" customFormat="1" ht="16.5" customHeight="1">
      <c r="A165" s="65"/>
      <c r="L165" s="76"/>
      <c r="M165" s="76"/>
      <c r="N165" s="76"/>
      <c r="O165" s="76"/>
      <c r="P165" s="76"/>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row>
    <row r="166" spans="1:47" s="46" customFormat="1" ht="16.5" customHeight="1">
      <c r="A166" s="45"/>
      <c r="B166" s="75" t="s">
        <v>157</v>
      </c>
    </row>
    <row r="167" spans="1:47" s="69" customFormat="1" ht="16.5" customHeight="1">
      <c r="A167" s="65"/>
      <c r="B167" s="235" t="s">
        <v>158</v>
      </c>
      <c r="C167" s="236"/>
      <c r="D167" s="236"/>
      <c r="E167" s="236"/>
      <c r="F167" s="236"/>
      <c r="G167" s="236"/>
      <c r="H167" s="236"/>
      <c r="I167" s="236"/>
      <c r="J167" s="236"/>
      <c r="K167" s="237"/>
      <c r="L167" s="235" t="s">
        <v>159</v>
      </c>
      <c r="M167" s="236"/>
      <c r="N167" s="236"/>
      <c r="O167" s="236"/>
      <c r="P167" s="237"/>
      <c r="Q167" s="235" t="s">
        <v>160</v>
      </c>
      <c r="R167" s="236"/>
      <c r="S167" s="236"/>
      <c r="T167" s="236"/>
      <c r="U167" s="237"/>
      <c r="V167" s="235" t="s">
        <v>161</v>
      </c>
      <c r="W167" s="236"/>
      <c r="X167" s="236"/>
      <c r="Y167" s="236"/>
      <c r="Z167" s="236"/>
      <c r="AA167" s="236"/>
      <c r="AB167" s="236"/>
      <c r="AC167" s="236"/>
      <c r="AD167" s="236"/>
      <c r="AE167" s="236"/>
      <c r="AF167" s="236"/>
      <c r="AG167" s="236"/>
      <c r="AH167" s="236"/>
      <c r="AI167" s="236"/>
      <c r="AJ167" s="236"/>
      <c r="AK167" s="236"/>
      <c r="AL167" s="236"/>
      <c r="AM167" s="236"/>
      <c r="AN167" s="236"/>
      <c r="AO167" s="236"/>
      <c r="AP167" s="236"/>
      <c r="AQ167" s="236"/>
      <c r="AR167" s="236"/>
      <c r="AS167" s="236"/>
      <c r="AT167" s="236"/>
      <c r="AU167" s="237"/>
    </row>
    <row r="168" spans="1:47" s="69" customFormat="1" ht="16.5" customHeight="1">
      <c r="A168" s="65"/>
      <c r="B168" s="107" t="s">
        <v>162</v>
      </c>
      <c r="C168" s="108"/>
      <c r="D168" s="108"/>
      <c r="E168" s="108"/>
      <c r="F168" s="108"/>
      <c r="G168" s="108"/>
      <c r="H168" s="108"/>
      <c r="I168" s="108"/>
      <c r="J168" s="108"/>
      <c r="K168" s="109"/>
      <c r="L168" s="267"/>
      <c r="M168" s="268"/>
      <c r="N168" s="268"/>
      <c r="O168" s="268"/>
      <c r="P168" s="269"/>
      <c r="Q168" s="107"/>
      <c r="R168" s="108"/>
      <c r="S168" s="108"/>
      <c r="T168" s="108"/>
      <c r="U168" s="109"/>
      <c r="V168" s="107"/>
      <c r="W168" s="108"/>
      <c r="X168" s="108"/>
      <c r="Y168" s="108"/>
      <c r="Z168" s="108"/>
      <c r="AA168" s="108"/>
      <c r="AB168" s="108"/>
      <c r="AC168" s="108"/>
      <c r="AD168" s="108"/>
      <c r="AE168" s="108"/>
      <c r="AF168" s="108"/>
      <c r="AG168" s="108"/>
      <c r="AH168" s="108"/>
      <c r="AI168" s="108"/>
      <c r="AJ168" s="108"/>
      <c r="AK168" s="108"/>
      <c r="AL168" s="108"/>
      <c r="AM168" s="108"/>
      <c r="AN168" s="108"/>
      <c r="AO168" s="108"/>
      <c r="AP168" s="108"/>
      <c r="AQ168" s="108"/>
      <c r="AR168" s="108"/>
      <c r="AS168" s="108"/>
      <c r="AT168" s="108"/>
      <c r="AU168" s="109"/>
    </row>
    <row r="169" spans="1:47" s="69" customFormat="1" ht="16.5" customHeight="1">
      <c r="A169" s="65"/>
      <c r="B169" s="107"/>
      <c r="C169" s="108"/>
      <c r="D169" s="108"/>
      <c r="E169" s="108"/>
      <c r="F169" s="108"/>
      <c r="G169" s="108"/>
      <c r="H169" s="108"/>
      <c r="I169" s="108"/>
      <c r="J169" s="108"/>
      <c r="K169" s="109"/>
      <c r="L169" s="267"/>
      <c r="M169" s="268"/>
      <c r="N169" s="268"/>
      <c r="O169" s="268"/>
      <c r="P169" s="269"/>
      <c r="Q169" s="107"/>
      <c r="R169" s="108"/>
      <c r="S169" s="108"/>
      <c r="T169" s="108"/>
      <c r="U169" s="109"/>
      <c r="V169" s="107"/>
      <c r="W169" s="108"/>
      <c r="X169" s="108"/>
      <c r="Y169" s="108"/>
      <c r="Z169" s="108"/>
      <c r="AA169" s="108"/>
      <c r="AB169" s="108"/>
      <c r="AC169" s="108"/>
      <c r="AD169" s="108"/>
      <c r="AE169" s="108"/>
      <c r="AF169" s="108"/>
      <c r="AG169" s="108"/>
      <c r="AH169" s="108"/>
      <c r="AI169" s="108"/>
      <c r="AJ169" s="108"/>
      <c r="AK169" s="108"/>
      <c r="AL169" s="108"/>
      <c r="AM169" s="108"/>
      <c r="AN169" s="108"/>
      <c r="AO169" s="108"/>
      <c r="AP169" s="108"/>
      <c r="AQ169" s="108"/>
      <c r="AR169" s="108"/>
      <c r="AS169" s="108"/>
      <c r="AT169" s="108"/>
      <c r="AU169" s="109"/>
    </row>
    <row r="170" spans="1:47" s="69" customFormat="1" ht="16.5" customHeight="1">
      <c r="A170" s="65"/>
      <c r="B170" s="107"/>
      <c r="C170" s="108"/>
      <c r="D170" s="108"/>
      <c r="E170" s="108"/>
      <c r="F170" s="108"/>
      <c r="G170" s="108"/>
      <c r="H170" s="108"/>
      <c r="I170" s="108"/>
      <c r="J170" s="108"/>
      <c r="K170" s="109"/>
      <c r="L170" s="267"/>
      <c r="M170" s="268"/>
      <c r="N170" s="268"/>
      <c r="O170" s="268"/>
      <c r="P170" s="269"/>
      <c r="Q170" s="107"/>
      <c r="R170" s="108"/>
      <c r="S170" s="108"/>
      <c r="T170" s="108"/>
      <c r="U170" s="109"/>
      <c r="V170" s="107"/>
      <c r="W170" s="108"/>
      <c r="X170" s="108"/>
      <c r="Y170" s="108"/>
      <c r="Z170" s="108"/>
      <c r="AA170" s="108"/>
      <c r="AB170" s="108"/>
      <c r="AC170" s="108"/>
      <c r="AD170" s="108"/>
      <c r="AE170" s="108"/>
      <c r="AF170" s="108"/>
      <c r="AG170" s="108"/>
      <c r="AH170" s="108"/>
      <c r="AI170" s="108"/>
      <c r="AJ170" s="108"/>
      <c r="AK170" s="108"/>
      <c r="AL170" s="108"/>
      <c r="AM170" s="108"/>
      <c r="AN170" s="108"/>
      <c r="AO170" s="108"/>
      <c r="AP170" s="108"/>
      <c r="AQ170" s="108"/>
      <c r="AR170" s="108"/>
      <c r="AS170" s="108"/>
      <c r="AT170" s="108"/>
      <c r="AU170" s="109"/>
    </row>
    <row r="171" spans="1:47" s="69" customFormat="1" ht="16.5" customHeight="1">
      <c r="A171" s="65"/>
      <c r="B171" s="107"/>
      <c r="C171" s="108"/>
      <c r="D171" s="108"/>
      <c r="E171" s="108"/>
      <c r="F171" s="108"/>
      <c r="G171" s="108"/>
      <c r="H171" s="108"/>
      <c r="I171" s="108"/>
      <c r="J171" s="108"/>
      <c r="K171" s="109"/>
      <c r="L171" s="267"/>
      <c r="M171" s="268"/>
      <c r="N171" s="268"/>
      <c r="O171" s="268"/>
      <c r="P171" s="269"/>
      <c r="Q171" s="107"/>
      <c r="R171" s="108"/>
      <c r="S171" s="108"/>
      <c r="T171" s="108"/>
      <c r="U171" s="109"/>
      <c r="V171" s="107"/>
      <c r="W171" s="108"/>
      <c r="X171" s="108"/>
      <c r="Y171" s="108"/>
      <c r="Z171" s="108"/>
      <c r="AA171" s="108"/>
      <c r="AB171" s="108"/>
      <c r="AC171" s="108"/>
      <c r="AD171" s="108"/>
      <c r="AE171" s="108"/>
      <c r="AF171" s="108"/>
      <c r="AG171" s="108"/>
      <c r="AH171" s="108"/>
      <c r="AI171" s="108"/>
      <c r="AJ171" s="108"/>
      <c r="AK171" s="108"/>
      <c r="AL171" s="108"/>
      <c r="AM171" s="108"/>
      <c r="AN171" s="108"/>
      <c r="AO171" s="108"/>
      <c r="AP171" s="108"/>
      <c r="AQ171" s="108"/>
      <c r="AR171" s="108"/>
      <c r="AS171" s="108"/>
      <c r="AT171" s="108"/>
      <c r="AU171" s="109"/>
    </row>
    <row r="172" spans="1:47" s="69" customFormat="1" ht="16.5" customHeight="1">
      <c r="A172" s="65"/>
      <c r="B172" s="107"/>
      <c r="C172" s="108"/>
      <c r="D172" s="108"/>
      <c r="E172" s="108"/>
      <c r="F172" s="108"/>
      <c r="G172" s="108"/>
      <c r="H172" s="108"/>
      <c r="I172" s="108"/>
      <c r="J172" s="108"/>
      <c r="K172" s="109"/>
      <c r="L172" s="267"/>
      <c r="M172" s="268"/>
      <c r="N172" s="268"/>
      <c r="O172" s="268"/>
      <c r="P172" s="269"/>
      <c r="Q172" s="107"/>
      <c r="R172" s="108"/>
      <c r="S172" s="108"/>
      <c r="T172" s="108"/>
      <c r="U172" s="109"/>
      <c r="V172" s="107"/>
      <c r="W172" s="108"/>
      <c r="X172" s="108"/>
      <c r="Y172" s="108"/>
      <c r="Z172" s="108"/>
      <c r="AA172" s="108"/>
      <c r="AB172" s="108"/>
      <c r="AC172" s="108"/>
      <c r="AD172" s="108"/>
      <c r="AE172" s="108"/>
      <c r="AF172" s="108"/>
      <c r="AG172" s="108"/>
      <c r="AH172" s="108"/>
      <c r="AI172" s="108"/>
      <c r="AJ172" s="108"/>
      <c r="AK172" s="108"/>
      <c r="AL172" s="108"/>
      <c r="AM172" s="108"/>
      <c r="AN172" s="108"/>
      <c r="AO172" s="108"/>
      <c r="AP172" s="108"/>
      <c r="AQ172" s="108"/>
      <c r="AR172" s="108"/>
      <c r="AS172" s="108"/>
      <c r="AT172" s="108"/>
      <c r="AU172" s="109"/>
    </row>
    <row r="173" spans="1:47" s="69" customFormat="1" ht="16.5" customHeight="1">
      <c r="A173" s="65"/>
      <c r="B173" s="107"/>
      <c r="C173" s="108"/>
      <c r="D173" s="108"/>
      <c r="E173" s="108"/>
      <c r="F173" s="108"/>
      <c r="G173" s="108"/>
      <c r="H173" s="108"/>
      <c r="I173" s="108"/>
      <c r="J173" s="108"/>
      <c r="K173" s="109"/>
      <c r="L173" s="267"/>
      <c r="M173" s="268"/>
      <c r="N173" s="268"/>
      <c r="O173" s="268"/>
      <c r="P173" s="269"/>
      <c r="Q173" s="107"/>
      <c r="R173" s="108"/>
      <c r="S173" s="108"/>
      <c r="T173" s="108"/>
      <c r="U173" s="109"/>
      <c r="V173" s="107"/>
      <c r="W173" s="108"/>
      <c r="X173" s="108"/>
      <c r="Y173" s="108"/>
      <c r="Z173" s="108"/>
      <c r="AA173" s="108"/>
      <c r="AB173" s="108"/>
      <c r="AC173" s="108"/>
      <c r="AD173" s="108"/>
      <c r="AE173" s="108"/>
      <c r="AF173" s="108"/>
      <c r="AG173" s="108"/>
      <c r="AH173" s="108"/>
      <c r="AI173" s="108"/>
      <c r="AJ173" s="108"/>
      <c r="AK173" s="108"/>
      <c r="AL173" s="108"/>
      <c r="AM173" s="108"/>
      <c r="AN173" s="108"/>
      <c r="AO173" s="108"/>
      <c r="AP173" s="108"/>
      <c r="AQ173" s="108"/>
      <c r="AR173" s="108"/>
      <c r="AS173" s="108"/>
      <c r="AT173" s="108"/>
      <c r="AU173" s="109"/>
    </row>
    <row r="174" spans="1:47" s="69" customFormat="1" ht="16.5" customHeight="1">
      <c r="A174" s="65"/>
      <c r="B174" s="107"/>
      <c r="C174" s="108"/>
      <c r="D174" s="108"/>
      <c r="E174" s="108"/>
      <c r="F174" s="108"/>
      <c r="G174" s="108"/>
      <c r="H174" s="108"/>
      <c r="I174" s="108"/>
      <c r="J174" s="108"/>
      <c r="K174" s="109"/>
      <c r="L174" s="267"/>
      <c r="M174" s="268"/>
      <c r="N174" s="268"/>
      <c r="O174" s="268"/>
      <c r="P174" s="269"/>
      <c r="Q174" s="107"/>
      <c r="R174" s="108"/>
      <c r="S174" s="108"/>
      <c r="T174" s="108"/>
      <c r="U174" s="109"/>
      <c r="V174" s="107"/>
      <c r="W174" s="108"/>
      <c r="X174" s="108"/>
      <c r="Y174" s="108"/>
      <c r="Z174" s="108"/>
      <c r="AA174" s="108"/>
      <c r="AB174" s="108"/>
      <c r="AC174" s="108"/>
      <c r="AD174" s="108"/>
      <c r="AE174" s="108"/>
      <c r="AF174" s="108"/>
      <c r="AG174" s="108"/>
      <c r="AH174" s="108"/>
      <c r="AI174" s="108"/>
      <c r="AJ174" s="108"/>
      <c r="AK174" s="108"/>
      <c r="AL174" s="108"/>
      <c r="AM174" s="108"/>
      <c r="AN174" s="108"/>
      <c r="AO174" s="108"/>
      <c r="AP174" s="108"/>
      <c r="AQ174" s="108"/>
      <c r="AR174" s="108"/>
      <c r="AS174" s="108"/>
      <c r="AT174" s="108"/>
      <c r="AU174" s="109"/>
    </row>
    <row r="175" spans="1:47" s="69" customFormat="1" ht="16.5" customHeight="1">
      <c r="A175" s="65"/>
      <c r="B175" s="107"/>
      <c r="C175" s="108"/>
      <c r="D175" s="108"/>
      <c r="E175" s="108"/>
      <c r="F175" s="108"/>
      <c r="G175" s="108"/>
      <c r="H175" s="108"/>
      <c r="I175" s="108"/>
      <c r="J175" s="108"/>
      <c r="K175" s="109"/>
      <c r="L175" s="267"/>
      <c r="M175" s="268"/>
      <c r="N175" s="268"/>
      <c r="O175" s="268"/>
      <c r="P175" s="269"/>
      <c r="Q175" s="107"/>
      <c r="R175" s="108"/>
      <c r="S175" s="108"/>
      <c r="T175" s="108"/>
      <c r="U175" s="109"/>
      <c r="V175" s="107"/>
      <c r="W175" s="108"/>
      <c r="X175" s="108"/>
      <c r="Y175" s="108"/>
      <c r="Z175" s="108"/>
      <c r="AA175" s="108"/>
      <c r="AB175" s="108"/>
      <c r="AC175" s="108"/>
      <c r="AD175" s="108"/>
      <c r="AE175" s="108"/>
      <c r="AF175" s="108"/>
      <c r="AG175" s="108"/>
      <c r="AH175" s="108"/>
      <c r="AI175" s="108"/>
      <c r="AJ175" s="108"/>
      <c r="AK175" s="108"/>
      <c r="AL175" s="108"/>
      <c r="AM175" s="108"/>
      <c r="AN175" s="108"/>
      <c r="AO175" s="108"/>
      <c r="AP175" s="108"/>
      <c r="AQ175" s="108"/>
      <c r="AR175" s="108"/>
      <c r="AS175" s="108"/>
      <c r="AT175" s="108"/>
      <c r="AU175" s="109"/>
    </row>
    <row r="176" spans="1:47" s="69" customFormat="1" ht="16.5" customHeight="1">
      <c r="A176" s="65"/>
      <c r="B176" s="107"/>
      <c r="C176" s="108"/>
      <c r="D176" s="108"/>
      <c r="E176" s="108"/>
      <c r="F176" s="108"/>
      <c r="G176" s="108"/>
      <c r="H176" s="108"/>
      <c r="I176" s="108"/>
      <c r="J176" s="108"/>
      <c r="K176" s="109"/>
      <c r="L176" s="267"/>
      <c r="M176" s="268"/>
      <c r="N176" s="268"/>
      <c r="O176" s="268"/>
      <c r="P176" s="269"/>
      <c r="Q176" s="107"/>
      <c r="R176" s="108"/>
      <c r="S176" s="108"/>
      <c r="T176" s="108"/>
      <c r="U176" s="109"/>
      <c r="V176" s="107"/>
      <c r="W176" s="108"/>
      <c r="X176" s="108"/>
      <c r="Y176" s="108"/>
      <c r="Z176" s="108"/>
      <c r="AA176" s="108"/>
      <c r="AB176" s="108"/>
      <c r="AC176" s="108"/>
      <c r="AD176" s="108"/>
      <c r="AE176" s="108"/>
      <c r="AF176" s="108"/>
      <c r="AG176" s="108"/>
      <c r="AH176" s="108"/>
      <c r="AI176" s="108"/>
      <c r="AJ176" s="108"/>
      <c r="AK176" s="108"/>
      <c r="AL176" s="108"/>
      <c r="AM176" s="108"/>
      <c r="AN176" s="108"/>
      <c r="AO176" s="108"/>
      <c r="AP176" s="108"/>
      <c r="AQ176" s="108"/>
      <c r="AR176" s="108"/>
      <c r="AS176" s="108"/>
      <c r="AT176" s="108"/>
      <c r="AU176" s="109"/>
    </row>
    <row r="177" spans="1:47" s="69" customFormat="1" ht="16.5" customHeight="1">
      <c r="A177" s="65"/>
      <c r="B177" s="107"/>
      <c r="C177" s="108"/>
      <c r="D177" s="108"/>
      <c r="E177" s="108"/>
      <c r="F177" s="108"/>
      <c r="G177" s="108"/>
      <c r="H177" s="108"/>
      <c r="I177" s="108"/>
      <c r="J177" s="108"/>
      <c r="K177" s="109"/>
      <c r="L177" s="267"/>
      <c r="M177" s="268"/>
      <c r="N177" s="268"/>
      <c r="O177" s="268"/>
      <c r="P177" s="269"/>
      <c r="Q177" s="107"/>
      <c r="R177" s="108"/>
      <c r="S177" s="108"/>
      <c r="T177" s="108"/>
      <c r="U177" s="109"/>
      <c r="V177" s="107"/>
      <c r="W177" s="108"/>
      <c r="X177" s="108"/>
      <c r="Y177" s="108"/>
      <c r="Z177" s="108"/>
      <c r="AA177" s="108"/>
      <c r="AB177" s="108"/>
      <c r="AC177" s="108"/>
      <c r="AD177" s="108"/>
      <c r="AE177" s="108"/>
      <c r="AF177" s="108"/>
      <c r="AG177" s="108"/>
      <c r="AH177" s="108"/>
      <c r="AI177" s="108"/>
      <c r="AJ177" s="108"/>
      <c r="AK177" s="108"/>
      <c r="AL177" s="108"/>
      <c r="AM177" s="108"/>
      <c r="AN177" s="108"/>
      <c r="AO177" s="108"/>
      <c r="AP177" s="108"/>
      <c r="AQ177" s="108"/>
      <c r="AR177" s="108"/>
      <c r="AS177" s="108"/>
      <c r="AT177" s="108"/>
      <c r="AU177" s="109"/>
    </row>
    <row r="178" spans="1:47" s="69" customFormat="1" ht="16.5" customHeight="1">
      <c r="A178" s="65"/>
    </row>
    <row r="179" spans="1:47" s="46" customFormat="1" ht="16.5" customHeight="1">
      <c r="A179" s="45"/>
      <c r="B179" s="75" t="s">
        <v>163</v>
      </c>
    </row>
    <row r="180" spans="1:47" s="69" customFormat="1" ht="16.5" customHeight="1">
      <c r="A180" s="65"/>
      <c r="B180" s="235" t="s">
        <v>164</v>
      </c>
      <c r="C180" s="236"/>
      <c r="D180" s="236"/>
      <c r="E180" s="236"/>
      <c r="F180" s="236"/>
      <c r="G180" s="236"/>
      <c r="H180" s="236"/>
      <c r="I180" s="236"/>
      <c r="J180" s="236"/>
      <c r="K180" s="237"/>
      <c r="L180" s="270" t="s">
        <v>165</v>
      </c>
      <c r="M180" s="270"/>
      <c r="N180" s="270"/>
      <c r="O180" s="270"/>
      <c r="P180" s="270"/>
      <c r="Q180" s="270"/>
      <c r="R180" s="270"/>
      <c r="S180" s="270"/>
      <c r="T180" s="270"/>
      <c r="U180" s="270"/>
      <c r="V180" s="270"/>
      <c r="W180" s="270"/>
      <c r="X180" s="270"/>
      <c r="Y180" s="235" t="s">
        <v>166</v>
      </c>
      <c r="Z180" s="236"/>
      <c r="AA180" s="236"/>
      <c r="AB180" s="236"/>
      <c r="AC180" s="236"/>
      <c r="AD180" s="236"/>
      <c r="AE180" s="236"/>
      <c r="AF180" s="236"/>
      <c r="AG180" s="236"/>
      <c r="AH180" s="237"/>
      <c r="AI180" s="270">
        <v>45856</v>
      </c>
      <c r="AJ180" s="270"/>
      <c r="AK180" s="270"/>
      <c r="AL180" s="270"/>
      <c r="AM180" s="270"/>
      <c r="AN180" s="270"/>
      <c r="AO180" s="270"/>
      <c r="AP180" s="270"/>
      <c r="AQ180" s="270"/>
      <c r="AR180" s="270"/>
      <c r="AS180" s="270"/>
      <c r="AT180" s="270"/>
      <c r="AU180" s="270"/>
    </row>
    <row r="181" spans="1:47" s="46" customFormat="1" ht="16.5" customHeight="1">
      <c r="A181" s="45"/>
    </row>
  </sheetData>
  <protectedRanges>
    <protectedRange sqref="AI17:AU17 L77:X77 AI15:AU15 AI79:AU79" name="範囲1_1"/>
    <protectedRange sqref="L43:X43 AI16:AU16 AI77:AU77 L76:X76 L17:X17 L15:X15 L79:X79 AI28:AU28 L27:X27 AI18:AU18" name="範囲1_2"/>
    <protectedRange sqref="L16:M16 L18:M18" name="範囲1_3"/>
    <protectedRange sqref="R33:AU34 R37:AU40" name="範囲1_4"/>
    <protectedRange sqref="R35:AU36" name="範囲1_4_1"/>
  </protectedRanges>
  <mergeCells count="591">
    <mergeCell ref="X150:AU150"/>
    <mergeCell ref="X151:AU151"/>
    <mergeCell ref="B142:K142"/>
    <mergeCell ref="L142:O142"/>
    <mergeCell ref="P142:S142"/>
    <mergeCell ref="T142:W142"/>
    <mergeCell ref="X141:AU141"/>
    <mergeCell ref="X142:AU142"/>
    <mergeCell ref="X143:AU143"/>
    <mergeCell ref="X144:AU144"/>
    <mergeCell ref="X145:AU145"/>
    <mergeCell ref="X146:AU146"/>
    <mergeCell ref="X147:AU147"/>
    <mergeCell ref="X148:AU148"/>
    <mergeCell ref="X149:AU149"/>
    <mergeCell ref="T151:W151"/>
    <mergeCell ref="L151:O151"/>
    <mergeCell ref="P151:S151"/>
    <mergeCell ref="P149:S149"/>
    <mergeCell ref="T149:W149"/>
    <mergeCell ref="L150:O150"/>
    <mergeCell ref="P150:S150"/>
    <mergeCell ref="T150:W150"/>
    <mergeCell ref="P146:S146"/>
    <mergeCell ref="T146:W146"/>
    <mergeCell ref="L147:O147"/>
    <mergeCell ref="P147:S147"/>
    <mergeCell ref="T147:W147"/>
    <mergeCell ref="B151:K151"/>
    <mergeCell ref="L141:O141"/>
    <mergeCell ref="P141:S141"/>
    <mergeCell ref="T141:W141"/>
    <mergeCell ref="L143:O143"/>
    <mergeCell ref="P143:S143"/>
    <mergeCell ref="T143:W143"/>
    <mergeCell ref="B148:K148"/>
    <mergeCell ref="B149:K149"/>
    <mergeCell ref="B150:K150"/>
    <mergeCell ref="L148:O148"/>
    <mergeCell ref="P148:S148"/>
    <mergeCell ref="T148:W148"/>
    <mergeCell ref="L149:O149"/>
    <mergeCell ref="B145:K145"/>
    <mergeCell ref="B146:K146"/>
    <mergeCell ref="B147:K147"/>
    <mergeCell ref="L145:O145"/>
    <mergeCell ref="P145:S145"/>
    <mergeCell ref="T145:W145"/>
    <mergeCell ref="L146:O146"/>
    <mergeCell ref="B141:K141"/>
    <mergeCell ref="B143:K143"/>
    <mergeCell ref="B144:K144"/>
    <mergeCell ref="L144:O144"/>
    <mergeCell ref="P144:S144"/>
    <mergeCell ref="T144:W144"/>
    <mergeCell ref="B177:K177"/>
    <mergeCell ref="L177:P177"/>
    <mergeCell ref="Q177:U177"/>
    <mergeCell ref="V177:AU177"/>
    <mergeCell ref="B173:K173"/>
    <mergeCell ref="L173:P173"/>
    <mergeCell ref="Q173:U173"/>
    <mergeCell ref="V173:AU173"/>
    <mergeCell ref="B174:K174"/>
    <mergeCell ref="L174:P174"/>
    <mergeCell ref="Q174:U174"/>
    <mergeCell ref="V174:AU174"/>
    <mergeCell ref="B171:K171"/>
    <mergeCell ref="L171:P171"/>
    <mergeCell ref="Q171:U171"/>
    <mergeCell ref="V171:AU171"/>
    <mergeCell ref="B172:K172"/>
    <mergeCell ref="B180:K180"/>
    <mergeCell ref="L180:X180"/>
    <mergeCell ref="Y180:AH180"/>
    <mergeCell ref="AI180:AU180"/>
    <mergeCell ref="B175:K175"/>
    <mergeCell ref="L175:P175"/>
    <mergeCell ref="Q175:U175"/>
    <mergeCell ref="V175:AU175"/>
    <mergeCell ref="B176:K176"/>
    <mergeCell ref="L176:P176"/>
    <mergeCell ref="Q176:U176"/>
    <mergeCell ref="V176:AU176"/>
    <mergeCell ref="L172:P172"/>
    <mergeCell ref="Q172:U172"/>
    <mergeCell ref="V172:AU172"/>
    <mergeCell ref="B169:K169"/>
    <mergeCell ref="L169:P169"/>
    <mergeCell ref="Q169:U169"/>
    <mergeCell ref="V169:AU169"/>
    <mergeCell ref="B170:K170"/>
    <mergeCell ref="L170:P170"/>
    <mergeCell ref="Q170:U170"/>
    <mergeCell ref="V170:AU170"/>
    <mergeCell ref="B167:K167"/>
    <mergeCell ref="L167:P167"/>
    <mergeCell ref="Q167:U167"/>
    <mergeCell ref="V167:AU167"/>
    <mergeCell ref="B168:K168"/>
    <mergeCell ref="L168:P168"/>
    <mergeCell ref="Q168:U168"/>
    <mergeCell ref="V168:AU168"/>
    <mergeCell ref="B163:K163"/>
    <mergeCell ref="L163:R163"/>
    <mergeCell ref="S163:Y163"/>
    <mergeCell ref="Z163:AL163"/>
    <mergeCell ref="AM163:AU163"/>
    <mergeCell ref="B164:K164"/>
    <mergeCell ref="L164:R164"/>
    <mergeCell ref="S164:Y164"/>
    <mergeCell ref="Z164:AL164"/>
    <mergeCell ref="AM164:AU164"/>
    <mergeCell ref="B121:K121"/>
    <mergeCell ref="B116:K116"/>
    <mergeCell ref="B155:K155"/>
    <mergeCell ref="L155:R155"/>
    <mergeCell ref="S155:Y155"/>
    <mergeCell ref="Z155:AL155"/>
    <mergeCell ref="AM155:AU155"/>
    <mergeCell ref="B156:K156"/>
    <mergeCell ref="L156:R156"/>
    <mergeCell ref="S156:Y156"/>
    <mergeCell ref="Z156:AL156"/>
    <mergeCell ref="AM156:AU156"/>
    <mergeCell ref="AR123:AU123"/>
    <mergeCell ref="B123:K123"/>
    <mergeCell ref="L123:O123"/>
    <mergeCell ref="P123:S123"/>
    <mergeCell ref="T123:W123"/>
    <mergeCell ref="X123:AA123"/>
    <mergeCell ref="AB123:AE123"/>
    <mergeCell ref="AF123:AI123"/>
    <mergeCell ref="AJ123:AM123"/>
    <mergeCell ref="AN123:AQ123"/>
    <mergeCell ref="P121:S121"/>
    <mergeCell ref="P116:S116"/>
    <mergeCell ref="B72:K72"/>
    <mergeCell ref="L72:P72"/>
    <mergeCell ref="Q72:U72"/>
    <mergeCell ref="V72:AU72"/>
    <mergeCell ref="B78:K78"/>
    <mergeCell ref="L78:AU78"/>
    <mergeCell ref="B154:K154"/>
    <mergeCell ref="L154:R154"/>
    <mergeCell ref="S154:Y154"/>
    <mergeCell ref="Z154:AL154"/>
    <mergeCell ref="AM154:AU154"/>
    <mergeCell ref="B75:K75"/>
    <mergeCell ref="L75:X75"/>
    <mergeCell ref="Y75:AH75"/>
    <mergeCell ref="AI75:AU75"/>
    <mergeCell ref="B76:K76"/>
    <mergeCell ref="L76:X76"/>
    <mergeCell ref="B77:K77"/>
    <mergeCell ref="L77:X77"/>
    <mergeCell ref="Y77:AH77"/>
    <mergeCell ref="AI77:AU77"/>
    <mergeCell ref="Y76:AH76"/>
    <mergeCell ref="AI76:AU76"/>
    <mergeCell ref="B119:K119"/>
    <mergeCell ref="B70:K70"/>
    <mergeCell ref="L70:P70"/>
    <mergeCell ref="Q70:U70"/>
    <mergeCell ref="V70:AU70"/>
    <mergeCell ref="B71:K71"/>
    <mergeCell ref="L71:P71"/>
    <mergeCell ref="Q71:U71"/>
    <mergeCell ref="V71:AU71"/>
    <mergeCell ref="B69:K69"/>
    <mergeCell ref="L69:P69"/>
    <mergeCell ref="Q69:U69"/>
    <mergeCell ref="V69:AU69"/>
    <mergeCell ref="B67:K67"/>
    <mergeCell ref="L67:P67"/>
    <mergeCell ref="Q67:U67"/>
    <mergeCell ref="V67:AU67"/>
    <mergeCell ref="B68:K68"/>
    <mergeCell ref="L68:P68"/>
    <mergeCell ref="Q68:U68"/>
    <mergeCell ref="V68:AU68"/>
    <mergeCell ref="B65:K65"/>
    <mergeCell ref="L65:P65"/>
    <mergeCell ref="Q65:U65"/>
    <mergeCell ref="V65:AU65"/>
    <mergeCell ref="B66:K66"/>
    <mergeCell ref="L66:P66"/>
    <mergeCell ref="Q66:U66"/>
    <mergeCell ref="V66:AU66"/>
    <mergeCell ref="B63:K63"/>
    <mergeCell ref="L63:P63"/>
    <mergeCell ref="Q63:U63"/>
    <mergeCell ref="V63:AU63"/>
    <mergeCell ref="B64:K64"/>
    <mergeCell ref="L64:P64"/>
    <mergeCell ref="Q64:U64"/>
    <mergeCell ref="V64:AU64"/>
    <mergeCell ref="B61:K61"/>
    <mergeCell ref="L61:P61"/>
    <mergeCell ref="Q61:U61"/>
    <mergeCell ref="V61:AU61"/>
    <mergeCell ref="B62:K62"/>
    <mergeCell ref="L62:P62"/>
    <mergeCell ref="Q62:U62"/>
    <mergeCell ref="V62:AU62"/>
    <mergeCell ref="B59:K59"/>
    <mergeCell ref="L59:P59"/>
    <mergeCell ref="Q59:U59"/>
    <mergeCell ref="V59:AU59"/>
    <mergeCell ref="B60:K60"/>
    <mergeCell ref="L60:P60"/>
    <mergeCell ref="Q60:U60"/>
    <mergeCell ref="V60:AU60"/>
    <mergeCell ref="B57:K57"/>
    <mergeCell ref="L57:P57"/>
    <mergeCell ref="Q57:U57"/>
    <mergeCell ref="V57:AU57"/>
    <mergeCell ref="B58:K58"/>
    <mergeCell ref="L58:P58"/>
    <mergeCell ref="Q58:U58"/>
    <mergeCell ref="V58:AU58"/>
    <mergeCell ref="B53:K53"/>
    <mergeCell ref="L53:P53"/>
    <mergeCell ref="Q53:AU53"/>
    <mergeCell ref="B54:K54"/>
    <mergeCell ref="L54:P54"/>
    <mergeCell ref="Q54:AU54"/>
    <mergeCell ref="B51:K51"/>
    <mergeCell ref="L51:P51"/>
    <mergeCell ref="Q51:AU51"/>
    <mergeCell ref="B52:K52"/>
    <mergeCell ref="L52:P52"/>
    <mergeCell ref="Q52:AU52"/>
    <mergeCell ref="B49:K49"/>
    <mergeCell ref="L49:P49"/>
    <mergeCell ref="Q49:AU49"/>
    <mergeCell ref="B50:K50"/>
    <mergeCell ref="L50:P50"/>
    <mergeCell ref="Q50:AU50"/>
    <mergeCell ref="B47:K47"/>
    <mergeCell ref="L47:P47"/>
    <mergeCell ref="Q47:AU47"/>
    <mergeCell ref="B48:K48"/>
    <mergeCell ref="L48:P48"/>
    <mergeCell ref="Q48:AU48"/>
    <mergeCell ref="B41:K42"/>
    <mergeCell ref="L41:AU42"/>
    <mergeCell ref="B45:K45"/>
    <mergeCell ref="L45:P45"/>
    <mergeCell ref="Q45:AU45"/>
    <mergeCell ref="B46:K46"/>
    <mergeCell ref="L46:P46"/>
    <mergeCell ref="Q46:AU46"/>
    <mergeCell ref="B33:K34"/>
    <mergeCell ref="L33:AU34"/>
    <mergeCell ref="B37:K38"/>
    <mergeCell ref="L37:AU38"/>
    <mergeCell ref="B39:K40"/>
    <mergeCell ref="L39:AU40"/>
    <mergeCell ref="B35:K36"/>
    <mergeCell ref="L35:AU36"/>
    <mergeCell ref="Y23:AH23"/>
    <mergeCell ref="AI23:AU23"/>
    <mergeCell ref="B25:K25"/>
    <mergeCell ref="L25:X25"/>
    <mergeCell ref="B16:K16"/>
    <mergeCell ref="L16:X16"/>
    <mergeCell ref="Y16:AH16"/>
    <mergeCell ref="AI16:AU16"/>
    <mergeCell ref="B18:K18"/>
    <mergeCell ref="L18:X18"/>
    <mergeCell ref="Y18:AH18"/>
    <mergeCell ref="AI18:AU18"/>
    <mergeCell ref="Y25:AH25"/>
    <mergeCell ref="AI25:AU25"/>
    <mergeCell ref="B24:K24"/>
    <mergeCell ref="L24:X24"/>
    <mergeCell ref="B23:K23"/>
    <mergeCell ref="L23:X23"/>
    <mergeCell ref="Y24:AH24"/>
    <mergeCell ref="AI24:AU24"/>
    <mergeCell ref="B19:K20"/>
    <mergeCell ref="L19:AU20"/>
    <mergeCell ref="AI15:AU15"/>
    <mergeCell ref="B17:K17"/>
    <mergeCell ref="L17:X17"/>
    <mergeCell ref="Y17:AH17"/>
    <mergeCell ref="AI17:AU17"/>
    <mergeCell ref="B14:K14"/>
    <mergeCell ref="L14:X14"/>
    <mergeCell ref="Y14:AH14"/>
    <mergeCell ref="AI14:AU14"/>
    <mergeCell ref="B11:K11"/>
    <mergeCell ref="L11:X11"/>
    <mergeCell ref="Y11:AH11"/>
    <mergeCell ref="AI11:AN11"/>
    <mergeCell ref="AP11:AU11"/>
    <mergeCell ref="B12:K12"/>
    <mergeCell ref="L12:AU12"/>
    <mergeCell ref="AL4:AP4"/>
    <mergeCell ref="AQ4:AU4"/>
    <mergeCell ref="AL5:AP7"/>
    <mergeCell ref="AQ5:AU7"/>
    <mergeCell ref="AL8:AP8"/>
    <mergeCell ref="AQ8:AU8"/>
    <mergeCell ref="B13:K13"/>
    <mergeCell ref="L13:AU13"/>
    <mergeCell ref="L113:O113"/>
    <mergeCell ref="L114:O114"/>
    <mergeCell ref="L115:O115"/>
    <mergeCell ref="L116:O116"/>
    <mergeCell ref="L117:O117"/>
    <mergeCell ref="L118:O118"/>
    <mergeCell ref="L119:O119"/>
    <mergeCell ref="AF113:AI113"/>
    <mergeCell ref="AF114:AI114"/>
    <mergeCell ref="AF115:AI115"/>
    <mergeCell ref="AB113:AE113"/>
    <mergeCell ref="AB114:AE114"/>
    <mergeCell ref="AB115:AE115"/>
    <mergeCell ref="AB116:AE116"/>
    <mergeCell ref="AB117:AE117"/>
    <mergeCell ref="AB118:AE118"/>
    <mergeCell ref="AI28:AU28"/>
    <mergeCell ref="AB119:AE119"/>
    <mergeCell ref="AI29:AU29"/>
    <mergeCell ref="B15:K15"/>
    <mergeCell ref="L15:X15"/>
    <mergeCell ref="Y15:AH15"/>
    <mergeCell ref="L120:O120"/>
    <mergeCell ref="B117:K117"/>
    <mergeCell ref="B118:K118"/>
    <mergeCell ref="B113:K113"/>
    <mergeCell ref="B114:K114"/>
    <mergeCell ref="B115:K115"/>
    <mergeCell ref="B120:K120"/>
    <mergeCell ref="P117:S117"/>
    <mergeCell ref="P118:S118"/>
    <mergeCell ref="L121:O121"/>
    <mergeCell ref="X113:AA113"/>
    <mergeCell ref="X114:AA114"/>
    <mergeCell ref="X115:AA115"/>
    <mergeCell ref="X116:AA116"/>
    <mergeCell ref="X117:AA117"/>
    <mergeCell ref="X118:AA118"/>
    <mergeCell ref="X119:AA119"/>
    <mergeCell ref="X120:AA120"/>
    <mergeCell ref="X121:AA121"/>
    <mergeCell ref="T113:W113"/>
    <mergeCell ref="T114:W114"/>
    <mergeCell ref="T115:W115"/>
    <mergeCell ref="T116:W116"/>
    <mergeCell ref="T117:W117"/>
    <mergeCell ref="T118:W118"/>
    <mergeCell ref="T119:W119"/>
    <mergeCell ref="T120:W120"/>
    <mergeCell ref="T121:W121"/>
    <mergeCell ref="P119:S119"/>
    <mergeCell ref="P120:S120"/>
    <mergeCell ref="P113:S113"/>
    <mergeCell ref="P114:S114"/>
    <mergeCell ref="P115:S115"/>
    <mergeCell ref="B124:K124"/>
    <mergeCell ref="L124:O124"/>
    <mergeCell ref="P124:S124"/>
    <mergeCell ref="T124:W124"/>
    <mergeCell ref="X124:AA124"/>
    <mergeCell ref="AB124:AE124"/>
    <mergeCell ref="AF124:AI124"/>
    <mergeCell ref="AR113:AU113"/>
    <mergeCell ref="AR114:AU114"/>
    <mergeCell ref="AR115:AU115"/>
    <mergeCell ref="AR116:AU116"/>
    <mergeCell ref="AR117:AU117"/>
    <mergeCell ref="AR118:AU118"/>
    <mergeCell ref="AR119:AU119"/>
    <mergeCell ref="AR120:AU120"/>
    <mergeCell ref="AR121:AU121"/>
    <mergeCell ref="AN113:AQ113"/>
    <mergeCell ref="AN114:AQ114"/>
    <mergeCell ref="AN115:AQ115"/>
    <mergeCell ref="AN116:AQ116"/>
    <mergeCell ref="AN117:AQ117"/>
    <mergeCell ref="AN118:AQ118"/>
    <mergeCell ref="AN119:AQ119"/>
    <mergeCell ref="AN120:AQ120"/>
    <mergeCell ref="AJ124:AM124"/>
    <mergeCell ref="AN124:AQ124"/>
    <mergeCell ref="AR124:AU124"/>
    <mergeCell ref="AF116:AI116"/>
    <mergeCell ref="AF117:AI117"/>
    <mergeCell ref="AF118:AI118"/>
    <mergeCell ref="AF119:AI119"/>
    <mergeCell ref="AF120:AI120"/>
    <mergeCell ref="AF121:AI121"/>
    <mergeCell ref="AN121:AQ121"/>
    <mergeCell ref="AR122:AU122"/>
    <mergeCell ref="AB120:AE120"/>
    <mergeCell ref="AB121:AE121"/>
    <mergeCell ref="AJ113:AM113"/>
    <mergeCell ref="AJ114:AM114"/>
    <mergeCell ref="AJ115:AM115"/>
    <mergeCell ref="AJ116:AM116"/>
    <mergeCell ref="AJ117:AM117"/>
    <mergeCell ref="AJ118:AM118"/>
    <mergeCell ref="AJ119:AM119"/>
    <mergeCell ref="AJ120:AM120"/>
    <mergeCell ref="AJ121:AM121"/>
    <mergeCell ref="L26:X26"/>
    <mergeCell ref="AI26:AU26"/>
    <mergeCell ref="L27:X27"/>
    <mergeCell ref="AI27:AU27"/>
    <mergeCell ref="B26:B30"/>
    <mergeCell ref="Y26:Y30"/>
    <mergeCell ref="Z26:AH26"/>
    <mergeCell ref="Z27:AH27"/>
    <mergeCell ref="Z28:AH28"/>
    <mergeCell ref="Z29:AH29"/>
    <mergeCell ref="Z30:AH30"/>
    <mergeCell ref="C26:K26"/>
    <mergeCell ref="C27:K27"/>
    <mergeCell ref="C28:K28"/>
    <mergeCell ref="C30:K30"/>
    <mergeCell ref="C29:K29"/>
    <mergeCell ref="L29:X29"/>
    <mergeCell ref="L30:X30"/>
    <mergeCell ref="AI30:AU30"/>
    <mergeCell ref="L28:X28"/>
    <mergeCell ref="AR127:AU127"/>
    <mergeCell ref="B128:K128"/>
    <mergeCell ref="L128:O128"/>
    <mergeCell ref="P128:S128"/>
    <mergeCell ref="T128:W128"/>
    <mergeCell ref="X128:AA128"/>
    <mergeCell ref="AB128:AE128"/>
    <mergeCell ref="AF128:AI128"/>
    <mergeCell ref="AJ128:AM128"/>
    <mergeCell ref="AN128:AQ128"/>
    <mergeCell ref="AR128:AU128"/>
    <mergeCell ref="B127:K127"/>
    <mergeCell ref="L127:O127"/>
    <mergeCell ref="P127:S127"/>
    <mergeCell ref="T127:W127"/>
    <mergeCell ref="X127:AA127"/>
    <mergeCell ref="AB127:AE127"/>
    <mergeCell ref="AF127:AI127"/>
    <mergeCell ref="AJ127:AM127"/>
    <mergeCell ref="AN127:AQ127"/>
    <mergeCell ref="AR129:AU129"/>
    <mergeCell ref="B130:K130"/>
    <mergeCell ref="L130:O130"/>
    <mergeCell ref="P130:S130"/>
    <mergeCell ref="T130:W130"/>
    <mergeCell ref="X130:AA130"/>
    <mergeCell ref="AB130:AE130"/>
    <mergeCell ref="AF130:AI130"/>
    <mergeCell ref="AJ130:AM130"/>
    <mergeCell ref="AN130:AQ130"/>
    <mergeCell ref="AR130:AU130"/>
    <mergeCell ref="B129:K129"/>
    <mergeCell ref="L129:O129"/>
    <mergeCell ref="P129:S129"/>
    <mergeCell ref="T129:W129"/>
    <mergeCell ref="X129:AA129"/>
    <mergeCell ref="AB129:AE129"/>
    <mergeCell ref="AF129:AI129"/>
    <mergeCell ref="AJ129:AM129"/>
    <mergeCell ref="AN129:AQ129"/>
    <mergeCell ref="AR131:AU131"/>
    <mergeCell ref="B132:K132"/>
    <mergeCell ref="L132:O132"/>
    <mergeCell ref="P132:S132"/>
    <mergeCell ref="T132:W132"/>
    <mergeCell ref="X132:AA132"/>
    <mergeCell ref="AB132:AE132"/>
    <mergeCell ref="AF132:AI132"/>
    <mergeCell ref="AJ132:AM132"/>
    <mergeCell ref="AN132:AQ132"/>
    <mergeCell ref="AR132:AU132"/>
    <mergeCell ref="B131:K131"/>
    <mergeCell ref="L131:O131"/>
    <mergeCell ref="P131:S131"/>
    <mergeCell ref="T131:W131"/>
    <mergeCell ref="X131:AA131"/>
    <mergeCell ref="AB131:AE131"/>
    <mergeCell ref="AF131:AI131"/>
    <mergeCell ref="AJ131:AM131"/>
    <mergeCell ref="AN131:AQ131"/>
    <mergeCell ref="AR134:AU134"/>
    <mergeCell ref="B135:K135"/>
    <mergeCell ref="L135:O135"/>
    <mergeCell ref="P135:S135"/>
    <mergeCell ref="T135:W135"/>
    <mergeCell ref="X135:AA135"/>
    <mergeCell ref="AB135:AE135"/>
    <mergeCell ref="AF135:AI135"/>
    <mergeCell ref="AJ135:AM135"/>
    <mergeCell ref="AN135:AQ135"/>
    <mergeCell ref="AR135:AU135"/>
    <mergeCell ref="B134:K134"/>
    <mergeCell ref="L134:O134"/>
    <mergeCell ref="P134:S134"/>
    <mergeCell ref="T134:W134"/>
    <mergeCell ref="X134:AA134"/>
    <mergeCell ref="AB134:AE134"/>
    <mergeCell ref="AF134:AI134"/>
    <mergeCell ref="AJ134:AM134"/>
    <mergeCell ref="AN134:AQ134"/>
    <mergeCell ref="AR136:AU136"/>
    <mergeCell ref="B137:K137"/>
    <mergeCell ref="L137:O137"/>
    <mergeCell ref="P137:S137"/>
    <mergeCell ref="T137:W137"/>
    <mergeCell ref="X137:AA137"/>
    <mergeCell ref="AB137:AE137"/>
    <mergeCell ref="AF137:AI137"/>
    <mergeCell ref="AJ137:AM137"/>
    <mergeCell ref="AN137:AQ137"/>
    <mergeCell ref="AR137:AU137"/>
    <mergeCell ref="B136:K136"/>
    <mergeCell ref="L136:O136"/>
    <mergeCell ref="P136:S136"/>
    <mergeCell ref="T136:W136"/>
    <mergeCell ref="X136:AA136"/>
    <mergeCell ref="AB136:AE136"/>
    <mergeCell ref="AF136:AI136"/>
    <mergeCell ref="AJ136:AM136"/>
    <mergeCell ref="AN136:AQ136"/>
    <mergeCell ref="AB122:AE122"/>
    <mergeCell ref="AF122:AI122"/>
    <mergeCell ref="AJ122:AM122"/>
    <mergeCell ref="AN122:AQ122"/>
    <mergeCell ref="AR138:AU138"/>
    <mergeCell ref="B133:K133"/>
    <mergeCell ref="L133:O133"/>
    <mergeCell ref="P133:S133"/>
    <mergeCell ref="T133:W133"/>
    <mergeCell ref="X133:AA133"/>
    <mergeCell ref="AB133:AE133"/>
    <mergeCell ref="AF133:AI133"/>
    <mergeCell ref="AJ133:AM133"/>
    <mergeCell ref="AN133:AQ133"/>
    <mergeCell ref="AR133:AU133"/>
    <mergeCell ref="B138:K138"/>
    <mergeCell ref="L138:O138"/>
    <mergeCell ref="P138:S138"/>
    <mergeCell ref="T138:W138"/>
    <mergeCell ref="X138:AA138"/>
    <mergeCell ref="AB138:AE138"/>
    <mergeCell ref="AF138:AI138"/>
    <mergeCell ref="AJ138:AM138"/>
    <mergeCell ref="AN138:AQ138"/>
    <mergeCell ref="B162:K162"/>
    <mergeCell ref="L162:R162"/>
    <mergeCell ref="S162:Y162"/>
    <mergeCell ref="Z162:AL162"/>
    <mergeCell ref="AM162:AU162"/>
    <mergeCell ref="B159:K159"/>
    <mergeCell ref="L159:R159"/>
    <mergeCell ref="S159:Y159"/>
    <mergeCell ref="Z159:AL159"/>
    <mergeCell ref="AM159:AU159"/>
    <mergeCell ref="B160:K160"/>
    <mergeCell ref="L160:R160"/>
    <mergeCell ref="S160:Y160"/>
    <mergeCell ref="Z160:AL160"/>
    <mergeCell ref="AM160:AU160"/>
    <mergeCell ref="D83:I84"/>
    <mergeCell ref="N83:S84"/>
    <mergeCell ref="X83:AC84"/>
    <mergeCell ref="N86:S87"/>
    <mergeCell ref="B161:K161"/>
    <mergeCell ref="L161:R161"/>
    <mergeCell ref="S161:Y161"/>
    <mergeCell ref="Z161:AL161"/>
    <mergeCell ref="AM161:AU161"/>
    <mergeCell ref="B157:K157"/>
    <mergeCell ref="L157:R157"/>
    <mergeCell ref="S157:Y157"/>
    <mergeCell ref="Z157:AL157"/>
    <mergeCell ref="AM157:AU157"/>
    <mergeCell ref="B158:K158"/>
    <mergeCell ref="L158:R158"/>
    <mergeCell ref="S158:Y158"/>
    <mergeCell ref="Z158:AL158"/>
    <mergeCell ref="AM158:AU158"/>
    <mergeCell ref="B122:K122"/>
    <mergeCell ref="L122:O122"/>
    <mergeCell ref="P122:S122"/>
    <mergeCell ref="T122:W122"/>
    <mergeCell ref="X122:AA122"/>
  </mergeCells>
  <phoneticPr fontId="2"/>
  <dataValidations count="12">
    <dataValidation type="list" allowBlank="1" showInputMessage="1" showErrorMessage="1" sqref="AI18:AU18" xr:uid="{8D08F04B-9AF3-4966-AEB6-5E6B8989AB1D}">
      <formula1>"新規開発,改良開発,その他"</formula1>
    </dataValidation>
    <dataValidation type="list" allowBlank="1" showInputMessage="1" showErrorMessage="1" sqref="L180" xr:uid="{69B65B16-1B72-4D04-8EFC-8A8A53F6FBE6}">
      <formula1>"有,無"</formula1>
    </dataValidation>
    <dataValidation allowBlank="1" showInputMessage="1" prompt="★例）納期を厳守する" sqref="R37 R39 R35" xr:uid="{FD0C5BD0-012B-4BAE-9466-E6901B77DFDD}"/>
    <dataValidation type="list" allowBlank="1" showInputMessage="1" showErrorMessage="1" sqref="L46:L54" xr:uid="{BBBAD1FF-70AB-4E9D-AF85-F0AC339C87E7}">
      <formula1>"あり（右記に文書名記入）,なし"</formula1>
    </dataValidation>
    <dataValidation type="list" allowBlank="1" showInputMessage="1" showErrorMessage="1" sqref="L58:U72" xr:uid="{07534C50-8A5F-46F4-834C-DE9BA9E740AE}">
      <formula1>"○"</formula1>
    </dataValidation>
    <dataValidation allowBlank="1" showDropDown="1" showInputMessage="1" showErrorMessage="1" sqref="B124:K124 B138:K138" xr:uid="{1004B0A8-7368-459C-B567-57BDFDC1A6B4}"/>
    <dataValidation type="list" allowBlank="1" showInputMessage="1" sqref="B114:K123" xr:uid="{859C218E-F886-42FC-A0E0-E4DA9A578742}">
      <formula1>"要件定義,基本設計,詳細設計,製造,結合テスト,システムテスト,ユーザーテスト,本稼働,その他"</formula1>
    </dataValidation>
    <dataValidation type="list" allowBlank="1" showInputMessage="1" showErrorMessage="1" sqref="M26:X27 AI24:AU30 L23:X25 L26:L29" xr:uid="{BBD929F9-C86E-4CB7-88DB-8E43A33929E3}">
      <formula1>"○,-"</formula1>
    </dataValidation>
    <dataValidation type="list" allowBlank="1" showInputMessage="1" showErrorMessage="1" sqref="AI23:AU23" xr:uid="{55065FB2-6521-4B95-959C-22D5BEFA3464}">
      <formula1>"オラクル,マイクロソフト,WingArc,その他,-"</formula1>
    </dataValidation>
    <dataValidation allowBlank="1" showInputMessage="1" sqref="B128:K137 B142:K151" xr:uid="{739D5D09-4507-464D-B139-631DB038349F}"/>
    <dataValidation type="list" allowBlank="1" showInputMessage="1" showErrorMessage="1" sqref="P142:S151" xr:uid="{9074040D-4506-4330-A1C4-9114D228AA29}">
      <formula1>"役員,統括本部長,本部長,部長,DM,その他"</formula1>
    </dataValidation>
    <dataValidation type="list" allowBlank="1" showInputMessage="1" showErrorMessage="1" sqref="T142:W151" xr:uid="{24CEFDE6-36CE-4C45-BE9C-D0A535F3A125}">
      <formula1>"あり,-"</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2" manualBreakCount="2">
    <brk id="78" max="47" man="1"/>
    <brk id="138" max="47"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FFC8"/>
    <pageSetUpPr fitToPage="1"/>
  </sheetPr>
  <dimension ref="A1:AU175"/>
  <sheetViews>
    <sheetView showGridLines="0" zoomScaleNormal="100" zoomScaleSheetLayoutView="75" workbookViewId="0">
      <selection activeCell="AL5" sqref="AL5"/>
    </sheetView>
  </sheetViews>
  <sheetFormatPr defaultColWidth="3.140625" defaultRowHeight="16.5" customHeight="1"/>
  <cols>
    <col min="1" max="16384" width="3.140625" style="51"/>
  </cols>
  <sheetData>
    <row r="1" spans="1:47" ht="18" customHeight="1"/>
    <row r="2" spans="1:47" ht="18" customHeight="1" thickBot="1">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row>
    <row r="3" spans="1:47" ht="16.5" customHeight="1" thickTop="1" thickBot="1"/>
    <row r="4" spans="1:47" ht="16.5" customHeight="1" thickBot="1">
      <c r="A4" s="53"/>
      <c r="B4" s="41"/>
      <c r="C4" s="41"/>
      <c r="D4" s="41"/>
      <c r="E4" s="41"/>
      <c r="F4" s="41"/>
      <c r="G4" s="41"/>
      <c r="H4" s="41"/>
      <c r="I4" s="41"/>
      <c r="J4" s="41"/>
      <c r="K4" s="41"/>
      <c r="L4" s="41"/>
      <c r="M4" s="41"/>
      <c r="N4" s="41"/>
      <c r="O4" s="41"/>
      <c r="P4" s="41"/>
      <c r="Q4" s="41"/>
      <c r="R4" s="41"/>
      <c r="S4" s="41"/>
      <c r="T4" s="41"/>
      <c r="U4" s="41"/>
      <c r="V4" s="41"/>
      <c r="W4" s="41"/>
      <c r="X4" s="41"/>
      <c r="Y4" s="41"/>
      <c r="Z4" s="41"/>
      <c r="AA4" s="41"/>
      <c r="AB4" s="41"/>
      <c r="AC4" s="41"/>
      <c r="AD4" s="41"/>
      <c r="AE4" s="41"/>
      <c r="AF4" s="41"/>
      <c r="AL4" s="202" t="s">
        <v>0</v>
      </c>
      <c r="AM4" s="203"/>
      <c r="AN4" s="203"/>
      <c r="AO4" s="203"/>
      <c r="AP4" s="204"/>
      <c r="AQ4" s="202" t="str">
        <f>IF(実績_受注額&gt;=10000000,"承認(品質保証責任者)","承認(部長)")</f>
        <v>承認(部長)</v>
      </c>
      <c r="AR4" s="203"/>
      <c r="AS4" s="203"/>
      <c r="AT4" s="203"/>
      <c r="AU4" s="204"/>
    </row>
    <row r="5" spans="1:47" ht="16.5" customHeight="1">
      <c r="A5" s="53"/>
      <c r="B5" s="41"/>
      <c r="C5" s="41"/>
      <c r="D5" s="41"/>
      <c r="E5" s="41"/>
      <c r="F5" s="41"/>
      <c r="G5" s="41"/>
      <c r="H5" s="41"/>
      <c r="I5" s="41"/>
      <c r="J5" s="41"/>
      <c r="K5" s="41"/>
      <c r="L5" s="41"/>
      <c r="M5" s="41"/>
      <c r="N5" s="41"/>
      <c r="O5" s="41"/>
      <c r="P5" s="41"/>
      <c r="Q5" s="41"/>
      <c r="R5" s="41"/>
      <c r="S5" s="41"/>
      <c r="T5" s="41"/>
      <c r="U5" s="41"/>
      <c r="V5" s="41"/>
      <c r="W5" s="41"/>
      <c r="X5" s="41"/>
      <c r="Y5" s="41"/>
      <c r="Z5" s="41"/>
      <c r="AA5" s="41"/>
      <c r="AB5" s="41"/>
      <c r="AC5" s="41"/>
      <c r="AD5" s="41"/>
      <c r="AE5" s="41"/>
      <c r="AF5" s="41"/>
      <c r="AL5" s="205" t="s">
        <v>1</v>
      </c>
      <c r="AM5" s="206"/>
      <c r="AN5" s="206"/>
      <c r="AO5" s="206"/>
      <c r="AP5" s="207"/>
      <c r="AQ5" s="205" t="s">
        <v>2</v>
      </c>
      <c r="AR5" s="206"/>
      <c r="AS5" s="206"/>
      <c r="AT5" s="206"/>
      <c r="AU5" s="207"/>
    </row>
    <row r="6" spans="1:47" ht="16.5" customHeight="1">
      <c r="A6" s="53"/>
      <c r="B6" s="53"/>
      <c r="C6" s="53"/>
      <c r="D6" s="43"/>
      <c r="E6" s="43"/>
      <c r="F6" s="43"/>
      <c r="G6" s="43"/>
      <c r="H6" s="43"/>
      <c r="I6" s="43"/>
      <c r="J6" s="43"/>
      <c r="K6" s="43"/>
      <c r="L6" s="43"/>
      <c r="M6" s="43"/>
      <c r="N6" s="43"/>
      <c r="O6" s="43"/>
      <c r="P6" s="43"/>
      <c r="Q6" s="43"/>
      <c r="R6" s="43"/>
      <c r="S6" s="43"/>
      <c r="T6" s="43"/>
      <c r="U6" s="43"/>
      <c r="V6" s="53"/>
      <c r="W6" s="43"/>
      <c r="X6" s="43"/>
      <c r="Y6" s="43"/>
      <c r="Z6" s="43"/>
      <c r="AA6" s="43"/>
      <c r="AB6" s="43"/>
      <c r="AC6" s="43"/>
      <c r="AD6" s="43"/>
      <c r="AE6" s="43"/>
      <c r="AF6" s="43"/>
      <c r="AL6" s="208"/>
      <c r="AM6" s="209"/>
      <c r="AN6" s="209"/>
      <c r="AO6" s="209"/>
      <c r="AP6" s="210"/>
      <c r="AQ6" s="208"/>
      <c r="AR6" s="209"/>
      <c r="AS6" s="209"/>
      <c r="AT6" s="209"/>
      <c r="AU6" s="210"/>
    </row>
    <row r="7" spans="1:47" ht="16.5" customHeight="1">
      <c r="A7" s="53"/>
      <c r="B7" s="43"/>
      <c r="C7" s="43"/>
      <c r="D7" s="43"/>
      <c r="E7" s="43"/>
      <c r="F7" s="43"/>
      <c r="G7" s="43"/>
      <c r="H7" s="43"/>
      <c r="I7" s="43"/>
      <c r="J7" s="43"/>
      <c r="K7" s="43"/>
      <c r="L7" s="43"/>
      <c r="M7" s="43"/>
      <c r="N7" s="43"/>
      <c r="O7" s="43"/>
      <c r="P7" s="43"/>
      <c r="Q7" s="43"/>
      <c r="R7" s="43"/>
      <c r="S7" s="43"/>
      <c r="T7" s="43"/>
      <c r="U7" s="43"/>
      <c r="V7" s="53"/>
      <c r="W7" s="43"/>
      <c r="X7" s="43"/>
      <c r="Y7" s="43"/>
      <c r="Z7" s="43"/>
      <c r="AA7" s="43"/>
      <c r="AB7" s="43"/>
      <c r="AC7" s="43"/>
      <c r="AD7" s="43"/>
      <c r="AE7" s="43"/>
      <c r="AF7" s="43"/>
      <c r="AL7" s="211"/>
      <c r="AM7" s="212"/>
      <c r="AN7" s="212"/>
      <c r="AO7" s="212"/>
      <c r="AP7" s="213"/>
      <c r="AQ7" s="211"/>
      <c r="AR7" s="212"/>
      <c r="AS7" s="212"/>
      <c r="AT7" s="212"/>
      <c r="AU7" s="213"/>
    </row>
    <row r="8" spans="1:47" ht="16.5" customHeight="1" thickBot="1">
      <c r="A8" s="53"/>
      <c r="B8" s="47" t="s">
        <v>167</v>
      </c>
      <c r="C8" s="43"/>
      <c r="D8" s="43"/>
      <c r="E8" s="43"/>
      <c r="F8" s="43"/>
      <c r="G8" s="43"/>
      <c r="H8" s="43"/>
      <c r="I8" s="43"/>
      <c r="J8" s="43"/>
      <c r="K8" s="43"/>
      <c r="L8" s="43"/>
      <c r="M8" s="43"/>
      <c r="N8" s="43"/>
      <c r="O8" s="43"/>
      <c r="P8" s="43"/>
      <c r="Q8" s="43"/>
      <c r="R8" s="43"/>
      <c r="S8" s="43"/>
      <c r="T8" s="43"/>
      <c r="U8" s="43"/>
      <c r="V8" s="53"/>
      <c r="W8" s="43"/>
      <c r="X8" s="43"/>
      <c r="Y8" s="43"/>
      <c r="Z8" s="43"/>
      <c r="AA8" s="43"/>
      <c r="AB8" s="43"/>
      <c r="AC8" s="43"/>
      <c r="AD8" s="43"/>
      <c r="AE8" s="43"/>
      <c r="AF8" s="43"/>
      <c r="AL8" s="214"/>
      <c r="AM8" s="215"/>
      <c r="AN8" s="215"/>
      <c r="AO8" s="215"/>
      <c r="AP8" s="216"/>
      <c r="AQ8" s="214"/>
      <c r="AR8" s="215"/>
      <c r="AS8" s="215"/>
      <c r="AT8" s="215"/>
      <c r="AU8" s="216"/>
    </row>
    <row r="9" spans="1:47" ht="16.5" customHeight="1">
      <c r="A9" s="53"/>
      <c r="B9" s="53"/>
      <c r="C9" s="53"/>
      <c r="D9" s="53"/>
      <c r="E9" s="53"/>
      <c r="F9" s="53"/>
      <c r="G9" s="53"/>
      <c r="H9" s="53"/>
      <c r="I9" s="53"/>
      <c r="J9" s="53"/>
      <c r="K9" s="53"/>
      <c r="L9" s="53"/>
      <c r="M9" s="53"/>
      <c r="N9" s="53"/>
      <c r="O9" s="53"/>
      <c r="P9" s="53"/>
      <c r="Q9" s="53"/>
      <c r="R9" s="53"/>
      <c r="S9" s="53"/>
      <c r="T9" s="53"/>
      <c r="U9" s="53"/>
      <c r="V9" s="48"/>
      <c r="W9" s="48"/>
      <c r="X9" s="48"/>
      <c r="Y9" s="48"/>
      <c r="Z9" s="48"/>
      <c r="AA9" s="43"/>
      <c r="AB9" s="43"/>
      <c r="AC9" s="43"/>
      <c r="AD9" s="43"/>
      <c r="AE9" s="43"/>
      <c r="AF9" s="53"/>
      <c r="AG9" s="53"/>
      <c r="AH9" s="53"/>
      <c r="AI9" s="53"/>
      <c r="AJ9" s="53"/>
      <c r="AK9" s="53"/>
      <c r="AL9" s="53"/>
      <c r="AM9" s="53"/>
      <c r="AN9" s="53"/>
      <c r="AO9" s="53"/>
      <c r="AP9" s="53"/>
      <c r="AQ9" s="53"/>
      <c r="AR9" s="53"/>
      <c r="AS9" s="53"/>
      <c r="AT9" s="53"/>
      <c r="AU9" s="53"/>
    </row>
    <row r="10" spans="1:47" ht="16.5" customHeight="1">
      <c r="A10" s="53"/>
      <c r="B10" s="54" t="s">
        <v>168</v>
      </c>
      <c r="C10" s="43"/>
      <c r="D10" s="43"/>
      <c r="E10" s="43"/>
      <c r="F10" s="4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row>
    <row r="11" spans="1:47" ht="16.5" customHeight="1">
      <c r="A11" s="53"/>
      <c r="B11" s="424" t="s">
        <v>169</v>
      </c>
      <c r="C11" s="424"/>
      <c r="D11" s="424"/>
      <c r="E11" s="424"/>
      <c r="F11" s="424"/>
      <c r="G11" s="424"/>
      <c r="H11" s="424"/>
      <c r="I11" s="424"/>
      <c r="J11" s="424"/>
      <c r="K11" s="424"/>
      <c r="L11" s="425" t="str">
        <f>プロジェクトコード&amp;""</f>
        <v>PJ2025052974</v>
      </c>
      <c r="M11" s="425"/>
      <c r="N11" s="425"/>
      <c r="O11" s="425"/>
      <c r="P11" s="425"/>
      <c r="Q11" s="425"/>
      <c r="R11" s="425"/>
      <c r="S11" s="425"/>
      <c r="T11" s="425"/>
      <c r="U11" s="425"/>
      <c r="V11" s="425"/>
      <c r="W11" s="425"/>
      <c r="X11" s="425"/>
      <c r="Y11" s="419" t="s">
        <v>6</v>
      </c>
      <c r="Z11" s="419"/>
      <c r="AA11" s="419"/>
      <c r="AB11" s="419"/>
      <c r="AC11" s="419"/>
      <c r="AD11" s="419"/>
      <c r="AE11" s="419"/>
      <c r="AF11" s="419"/>
      <c r="AG11" s="419"/>
      <c r="AH11" s="419"/>
      <c r="AI11" s="199" t="str">
        <f>実績_開始日</f>
        <v/>
      </c>
      <c r="AJ11" s="200"/>
      <c r="AK11" s="200"/>
      <c r="AL11" s="200"/>
      <c r="AM11" s="200"/>
      <c r="AN11" s="200"/>
      <c r="AO11" s="56" t="s">
        <v>7</v>
      </c>
      <c r="AP11" s="200" t="str">
        <f>実績_終了日</f>
        <v/>
      </c>
      <c r="AQ11" s="200"/>
      <c r="AR11" s="200"/>
      <c r="AS11" s="200"/>
      <c r="AT11" s="200"/>
      <c r="AU11" s="201"/>
    </row>
    <row r="12" spans="1:47" ht="16.5" customHeight="1">
      <c r="A12" s="53"/>
      <c r="B12" s="300" t="s">
        <v>170</v>
      </c>
      <c r="C12" s="301"/>
      <c r="D12" s="301"/>
      <c r="E12" s="301"/>
      <c r="F12" s="301"/>
      <c r="G12" s="301"/>
      <c r="H12" s="301"/>
      <c r="I12" s="301"/>
      <c r="J12" s="301"/>
      <c r="K12" s="302"/>
      <c r="L12" s="297" t="str">
        <f>プロジェクト名&amp;""</f>
        <v>MES嵌合工程検査のオンライン化対応</v>
      </c>
      <c r="M12" s="298"/>
      <c r="N12" s="298"/>
      <c r="O12" s="298"/>
      <c r="P12" s="298"/>
      <c r="Q12" s="298"/>
      <c r="R12" s="298"/>
      <c r="S12" s="298"/>
      <c r="T12" s="298"/>
      <c r="U12" s="298"/>
      <c r="V12" s="298"/>
      <c r="W12" s="298"/>
      <c r="X12" s="298"/>
      <c r="Y12" s="298"/>
      <c r="Z12" s="298"/>
      <c r="AA12" s="298"/>
      <c r="AB12" s="298"/>
      <c r="AC12" s="298"/>
      <c r="AD12" s="298"/>
      <c r="AE12" s="298"/>
      <c r="AF12" s="298"/>
      <c r="AG12" s="298"/>
      <c r="AH12" s="298"/>
      <c r="AI12" s="298"/>
      <c r="AJ12" s="298"/>
      <c r="AK12" s="298"/>
      <c r="AL12" s="298"/>
      <c r="AM12" s="298"/>
      <c r="AN12" s="298"/>
      <c r="AO12" s="298"/>
      <c r="AP12" s="298"/>
      <c r="AQ12" s="298"/>
      <c r="AR12" s="298"/>
      <c r="AS12" s="298"/>
      <c r="AT12" s="298"/>
      <c r="AU12" s="299"/>
    </row>
    <row r="13" spans="1:47" ht="16.5" customHeight="1">
      <c r="A13" s="53"/>
      <c r="B13" s="180" t="s">
        <v>10</v>
      </c>
      <c r="C13" s="181"/>
      <c r="D13" s="181"/>
      <c r="E13" s="181"/>
      <c r="F13" s="181"/>
      <c r="G13" s="181"/>
      <c r="H13" s="181"/>
      <c r="I13" s="181"/>
      <c r="J13" s="181"/>
      <c r="K13" s="182"/>
      <c r="L13" s="117" t="str">
        <f>プロジェクト概要&amp;""</f>
        <v>嵌合実績入力画面における工程検査表取込機能追加対応</v>
      </c>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9"/>
    </row>
    <row r="14" spans="1:47" ht="16.5" customHeight="1">
      <c r="A14" s="53"/>
      <c r="B14" s="296" t="s">
        <v>171</v>
      </c>
      <c r="C14" s="296"/>
      <c r="D14" s="296"/>
      <c r="E14" s="296"/>
      <c r="F14" s="296"/>
      <c r="G14" s="296"/>
      <c r="H14" s="296"/>
      <c r="I14" s="296"/>
      <c r="J14" s="296"/>
      <c r="K14" s="296"/>
      <c r="L14" s="303" t="str">
        <f>顧客名&amp;""</f>
        <v>出光興産株式会社</v>
      </c>
      <c r="M14" s="303"/>
      <c r="N14" s="303"/>
      <c r="O14" s="303"/>
      <c r="P14" s="303"/>
      <c r="Q14" s="303"/>
      <c r="R14" s="303"/>
      <c r="S14" s="303"/>
      <c r="T14" s="303"/>
      <c r="U14" s="303"/>
      <c r="V14" s="303"/>
      <c r="W14" s="303"/>
      <c r="X14" s="303"/>
      <c r="Y14" s="197" t="s">
        <v>14</v>
      </c>
      <c r="Z14" s="197"/>
      <c r="AA14" s="197"/>
      <c r="AB14" s="197"/>
      <c r="AC14" s="197"/>
      <c r="AD14" s="197"/>
      <c r="AE14" s="197"/>
      <c r="AF14" s="197"/>
      <c r="AG14" s="197"/>
      <c r="AH14" s="196"/>
      <c r="AI14" s="285" t="str">
        <f>計画_顧客担当部署&amp;""</f>
        <v>ﾃﾞｼﾞﾀﾙ･ICT推進部</v>
      </c>
      <c r="AJ14" s="285"/>
      <c r="AK14" s="285"/>
      <c r="AL14" s="285"/>
      <c r="AM14" s="285"/>
      <c r="AN14" s="285"/>
      <c r="AO14" s="285"/>
      <c r="AP14" s="285"/>
      <c r="AQ14" s="285"/>
      <c r="AR14" s="285"/>
      <c r="AS14" s="285"/>
      <c r="AT14" s="285"/>
      <c r="AU14" s="285"/>
    </row>
    <row r="15" spans="1:47" ht="16.5" customHeight="1">
      <c r="A15" s="53"/>
      <c r="B15" s="180" t="s">
        <v>16</v>
      </c>
      <c r="C15" s="181"/>
      <c r="D15" s="181"/>
      <c r="E15" s="181"/>
      <c r="F15" s="181"/>
      <c r="G15" s="181"/>
      <c r="H15" s="181"/>
      <c r="I15" s="181"/>
      <c r="J15" s="181"/>
      <c r="K15" s="182"/>
      <c r="L15" s="138" t="str">
        <f>計画_担当本部&amp;""</f>
        <v>システムソリューション１部</v>
      </c>
      <c r="M15" s="139"/>
      <c r="N15" s="139"/>
      <c r="O15" s="139"/>
      <c r="P15" s="139"/>
      <c r="Q15" s="139"/>
      <c r="R15" s="139"/>
      <c r="S15" s="139"/>
      <c r="T15" s="139"/>
      <c r="U15" s="139"/>
      <c r="V15" s="139"/>
      <c r="W15" s="139"/>
      <c r="X15" s="140"/>
      <c r="Y15" s="286" t="s">
        <v>18</v>
      </c>
      <c r="Z15" s="287"/>
      <c r="AA15" s="287"/>
      <c r="AB15" s="287"/>
      <c r="AC15" s="287"/>
      <c r="AD15" s="287"/>
      <c r="AE15" s="287"/>
      <c r="AF15" s="287"/>
      <c r="AG15" s="287"/>
      <c r="AH15" s="288"/>
      <c r="AI15" s="282" t="str">
        <f>計画_担当部門&amp;""</f>
        <v>システムソリューション本部</v>
      </c>
      <c r="AJ15" s="283"/>
      <c r="AK15" s="283"/>
      <c r="AL15" s="283"/>
      <c r="AM15" s="283"/>
      <c r="AN15" s="283"/>
      <c r="AO15" s="283"/>
      <c r="AP15" s="283"/>
      <c r="AQ15" s="283"/>
      <c r="AR15" s="283"/>
      <c r="AS15" s="283"/>
      <c r="AT15" s="283"/>
      <c r="AU15" s="284"/>
    </row>
    <row r="16" spans="1:47" ht="16.5" customHeight="1">
      <c r="A16" s="53"/>
      <c r="B16" s="196" t="s">
        <v>20</v>
      </c>
      <c r="C16" s="196"/>
      <c r="D16" s="196"/>
      <c r="E16" s="196"/>
      <c r="F16" s="196"/>
      <c r="G16" s="196"/>
      <c r="H16" s="196"/>
      <c r="I16" s="196"/>
      <c r="J16" s="196"/>
      <c r="K16" s="196"/>
      <c r="L16" s="282" t="str">
        <f>計画_プロジェクト責任者&amp;""</f>
        <v>福井将敏</v>
      </c>
      <c r="M16" s="283"/>
      <c r="N16" s="283"/>
      <c r="O16" s="283"/>
      <c r="P16" s="283"/>
      <c r="Q16" s="283"/>
      <c r="R16" s="283"/>
      <c r="S16" s="283"/>
      <c r="T16" s="283"/>
      <c r="U16" s="283"/>
      <c r="V16" s="283"/>
      <c r="W16" s="283"/>
      <c r="X16" s="284"/>
      <c r="Y16" s="197" t="s">
        <v>22</v>
      </c>
      <c r="Z16" s="197"/>
      <c r="AA16" s="197"/>
      <c r="AB16" s="197"/>
      <c r="AC16" s="197"/>
      <c r="AD16" s="197"/>
      <c r="AE16" s="197"/>
      <c r="AF16" s="197"/>
      <c r="AG16" s="197"/>
      <c r="AH16" s="197"/>
      <c r="AI16" s="285" t="str">
        <f>計画_プロジェクトマネージャ&amp;""</f>
        <v>関谷亮</v>
      </c>
      <c r="AJ16" s="285"/>
      <c r="AK16" s="285"/>
      <c r="AL16" s="285"/>
      <c r="AM16" s="285"/>
      <c r="AN16" s="285"/>
      <c r="AO16" s="285"/>
      <c r="AP16" s="285"/>
      <c r="AQ16" s="285"/>
      <c r="AR16" s="285"/>
      <c r="AS16" s="285"/>
      <c r="AT16" s="285"/>
      <c r="AU16" s="285"/>
    </row>
    <row r="17" spans="1:47" ht="16.5" customHeight="1">
      <c r="A17" s="53"/>
      <c r="B17" s="180" t="s">
        <v>24</v>
      </c>
      <c r="C17" s="181"/>
      <c r="D17" s="181"/>
      <c r="E17" s="181"/>
      <c r="F17" s="181"/>
      <c r="G17" s="181"/>
      <c r="H17" s="181"/>
      <c r="I17" s="181"/>
      <c r="J17" s="181"/>
      <c r="K17" s="182"/>
      <c r="L17" s="138" t="str">
        <f>計画_品質管理担当者&amp;""</f>
        <v>福井将敏</v>
      </c>
      <c r="M17" s="139"/>
      <c r="N17" s="139"/>
      <c r="O17" s="139"/>
      <c r="P17" s="139"/>
      <c r="Q17" s="139"/>
      <c r="R17" s="139"/>
      <c r="S17" s="139"/>
      <c r="T17" s="139"/>
      <c r="U17" s="139"/>
      <c r="V17" s="139"/>
      <c r="W17" s="139"/>
      <c r="X17" s="140"/>
      <c r="Y17" s="286" t="s">
        <v>26</v>
      </c>
      <c r="Z17" s="287"/>
      <c r="AA17" s="287"/>
      <c r="AB17" s="287"/>
      <c r="AC17" s="287"/>
      <c r="AD17" s="287"/>
      <c r="AE17" s="287"/>
      <c r="AF17" s="287"/>
      <c r="AG17" s="287"/>
      <c r="AH17" s="288"/>
      <c r="AI17" s="282" t="str">
        <f>計画_営業担当者&amp;""</f>
        <v>髙浦祐朗</v>
      </c>
      <c r="AJ17" s="283"/>
      <c r="AK17" s="283"/>
      <c r="AL17" s="283"/>
      <c r="AM17" s="283"/>
      <c r="AN17" s="283"/>
      <c r="AO17" s="283"/>
      <c r="AP17" s="283"/>
      <c r="AQ17" s="283"/>
      <c r="AR17" s="283"/>
      <c r="AS17" s="283"/>
      <c r="AT17" s="283"/>
      <c r="AU17" s="284"/>
    </row>
    <row r="18" spans="1:47" ht="16.5" customHeight="1">
      <c r="A18" s="53"/>
      <c r="B18" s="196" t="s">
        <v>28</v>
      </c>
      <c r="C18" s="196"/>
      <c r="D18" s="196"/>
      <c r="E18" s="196"/>
      <c r="F18" s="196"/>
      <c r="G18" s="196"/>
      <c r="H18" s="196"/>
      <c r="I18" s="196"/>
      <c r="J18" s="196"/>
      <c r="K18" s="196"/>
      <c r="L18" s="220">
        <f>IF(実績_売上="",0,実績_売上)+IF(実績_物販売上="",0,実績_物販売上)</f>
        <v>0</v>
      </c>
      <c r="M18" s="220"/>
      <c r="N18" s="220"/>
      <c r="O18" s="220"/>
      <c r="P18" s="220"/>
      <c r="Q18" s="220"/>
      <c r="R18" s="220"/>
      <c r="S18" s="220"/>
      <c r="T18" s="220"/>
      <c r="U18" s="220"/>
      <c r="V18" s="220"/>
      <c r="W18" s="220"/>
      <c r="X18" s="220"/>
      <c r="Y18" s="197" t="s">
        <v>29</v>
      </c>
      <c r="Z18" s="197"/>
      <c r="AA18" s="197"/>
      <c r="AB18" s="197"/>
      <c r="AC18" s="197"/>
      <c r="AD18" s="197"/>
      <c r="AE18" s="197"/>
      <c r="AF18" s="197"/>
      <c r="AG18" s="197"/>
      <c r="AH18" s="197"/>
      <c r="AI18" s="289" t="str">
        <f>プロジェクト区分&amp;""</f>
        <v>改良開発</v>
      </c>
      <c r="AJ18" s="289"/>
      <c r="AK18" s="289"/>
      <c r="AL18" s="289"/>
      <c r="AM18" s="289"/>
      <c r="AN18" s="289"/>
      <c r="AO18" s="289"/>
      <c r="AP18" s="289"/>
      <c r="AQ18" s="289"/>
      <c r="AR18" s="289"/>
      <c r="AS18" s="289"/>
      <c r="AT18" s="289"/>
      <c r="AU18" s="289"/>
    </row>
    <row r="19" spans="1:47" ht="16.5" customHeight="1">
      <c r="A19" s="53"/>
      <c r="B19" s="221" t="s">
        <v>31</v>
      </c>
      <c r="C19" s="222"/>
      <c r="D19" s="222"/>
      <c r="E19" s="222"/>
      <c r="F19" s="222"/>
      <c r="G19" s="222"/>
      <c r="H19" s="222"/>
      <c r="I19" s="222"/>
      <c r="J19" s="222"/>
      <c r="K19" s="223"/>
      <c r="L19" s="227"/>
      <c r="M19" s="228"/>
      <c r="N19" s="228"/>
      <c r="O19" s="228"/>
      <c r="P19" s="228"/>
      <c r="Q19" s="228"/>
      <c r="R19" s="228"/>
      <c r="S19" s="228"/>
      <c r="T19" s="228"/>
      <c r="U19" s="228"/>
      <c r="V19" s="228"/>
      <c r="W19" s="228"/>
      <c r="X19" s="228"/>
      <c r="Y19" s="228"/>
      <c r="Z19" s="228"/>
      <c r="AA19" s="228"/>
      <c r="AB19" s="228"/>
      <c r="AC19" s="228"/>
      <c r="AD19" s="228"/>
      <c r="AE19" s="228"/>
      <c r="AF19" s="228"/>
      <c r="AG19" s="228"/>
      <c r="AH19" s="228"/>
      <c r="AI19" s="228"/>
      <c r="AJ19" s="228"/>
      <c r="AK19" s="228"/>
      <c r="AL19" s="228"/>
      <c r="AM19" s="228"/>
      <c r="AN19" s="228"/>
      <c r="AO19" s="228"/>
      <c r="AP19" s="228"/>
      <c r="AQ19" s="228"/>
      <c r="AR19" s="228"/>
      <c r="AS19" s="228"/>
      <c r="AT19" s="228"/>
      <c r="AU19" s="229"/>
    </row>
    <row r="20" spans="1:47" ht="16.5" customHeight="1">
      <c r="A20" s="53"/>
      <c r="B20" s="224"/>
      <c r="C20" s="225"/>
      <c r="D20" s="225"/>
      <c r="E20" s="225"/>
      <c r="F20" s="225"/>
      <c r="G20" s="225"/>
      <c r="H20" s="225"/>
      <c r="I20" s="225"/>
      <c r="J20" s="225"/>
      <c r="K20" s="226"/>
      <c r="L20" s="230"/>
      <c r="M20" s="231"/>
      <c r="N20" s="231"/>
      <c r="O20" s="231"/>
      <c r="P20" s="231"/>
      <c r="Q20" s="231"/>
      <c r="R20" s="231"/>
      <c r="S20" s="231"/>
      <c r="T20" s="231"/>
      <c r="U20" s="231"/>
      <c r="V20" s="231"/>
      <c r="W20" s="231"/>
      <c r="X20" s="231"/>
      <c r="Y20" s="231"/>
      <c r="Z20" s="231"/>
      <c r="AA20" s="231"/>
      <c r="AB20" s="231"/>
      <c r="AC20" s="231"/>
      <c r="AD20" s="231"/>
      <c r="AE20" s="231"/>
      <c r="AF20" s="231"/>
      <c r="AG20" s="231"/>
      <c r="AH20" s="231"/>
      <c r="AI20" s="231"/>
      <c r="AJ20" s="231"/>
      <c r="AK20" s="231"/>
      <c r="AL20" s="231"/>
      <c r="AM20" s="231"/>
      <c r="AN20" s="231"/>
      <c r="AO20" s="231"/>
      <c r="AP20" s="231"/>
      <c r="AQ20" s="231"/>
      <c r="AR20" s="231"/>
      <c r="AS20" s="231"/>
      <c r="AT20" s="231"/>
      <c r="AU20" s="232"/>
    </row>
    <row r="21" spans="1:47" ht="16.5" customHeight="1">
      <c r="A21" s="53"/>
    </row>
    <row r="22" spans="1:47" ht="16.5" customHeight="1">
      <c r="A22" s="53"/>
      <c r="B22" s="45" t="s">
        <v>33</v>
      </c>
    </row>
    <row r="23" spans="1:47" s="57" customFormat="1" ht="16.5" customHeight="1">
      <c r="B23" s="180" t="s">
        <v>34</v>
      </c>
      <c r="C23" s="181"/>
      <c r="D23" s="181"/>
      <c r="E23" s="181"/>
      <c r="F23" s="181"/>
      <c r="G23" s="181"/>
      <c r="H23" s="181"/>
      <c r="I23" s="181"/>
      <c r="J23" s="181"/>
      <c r="K23" s="182"/>
      <c r="L23" s="183"/>
      <c r="M23" s="183"/>
      <c r="N23" s="183"/>
      <c r="O23" s="183"/>
      <c r="P23" s="183"/>
      <c r="Q23" s="183"/>
      <c r="R23" s="183"/>
      <c r="S23" s="183"/>
      <c r="T23" s="183"/>
      <c r="U23" s="183"/>
      <c r="V23" s="183"/>
      <c r="W23" s="183"/>
      <c r="X23" s="183"/>
      <c r="Y23" s="180" t="s">
        <v>36</v>
      </c>
      <c r="Z23" s="181"/>
      <c r="AA23" s="181"/>
      <c r="AB23" s="181"/>
      <c r="AC23" s="181"/>
      <c r="AD23" s="181"/>
      <c r="AE23" s="181"/>
      <c r="AF23" s="181"/>
      <c r="AG23" s="181"/>
      <c r="AH23" s="182"/>
      <c r="AI23" s="281" t="str">
        <f>計画_アライアンス&amp;""</f>
        <v>オラクル</v>
      </c>
      <c r="AJ23" s="281"/>
      <c r="AK23" s="281"/>
      <c r="AL23" s="281"/>
      <c r="AM23" s="281"/>
      <c r="AN23" s="281"/>
      <c r="AO23" s="281"/>
      <c r="AP23" s="281"/>
      <c r="AQ23" s="281"/>
      <c r="AR23" s="281"/>
      <c r="AS23" s="281"/>
      <c r="AT23" s="281"/>
      <c r="AU23" s="281"/>
    </row>
    <row r="24" spans="1:47" s="57" customFormat="1" ht="16.5" customHeight="1">
      <c r="B24" s="197" t="s">
        <v>38</v>
      </c>
      <c r="C24" s="197"/>
      <c r="D24" s="197"/>
      <c r="E24" s="197"/>
      <c r="F24" s="197"/>
      <c r="G24" s="197"/>
      <c r="H24" s="197"/>
      <c r="I24" s="197"/>
      <c r="J24" s="197"/>
      <c r="K24" s="196"/>
      <c r="L24" s="183"/>
      <c r="M24" s="183"/>
      <c r="N24" s="183"/>
      <c r="O24" s="183"/>
      <c r="P24" s="183"/>
      <c r="Q24" s="183"/>
      <c r="R24" s="183"/>
      <c r="S24" s="183"/>
      <c r="T24" s="183"/>
      <c r="U24" s="183"/>
      <c r="V24" s="183"/>
      <c r="W24" s="183"/>
      <c r="X24" s="183"/>
      <c r="Y24" s="180" t="s">
        <v>39</v>
      </c>
      <c r="Z24" s="181"/>
      <c r="AA24" s="181"/>
      <c r="AB24" s="181"/>
      <c r="AC24" s="181"/>
      <c r="AD24" s="181"/>
      <c r="AE24" s="181"/>
      <c r="AF24" s="181"/>
      <c r="AG24" s="181"/>
      <c r="AH24" s="182"/>
      <c r="AI24" s="184"/>
      <c r="AJ24" s="185"/>
      <c r="AK24" s="185"/>
      <c r="AL24" s="185"/>
      <c r="AM24" s="185"/>
      <c r="AN24" s="185"/>
      <c r="AO24" s="185"/>
      <c r="AP24" s="185"/>
      <c r="AQ24" s="185"/>
      <c r="AR24" s="185"/>
      <c r="AS24" s="185"/>
      <c r="AT24" s="185"/>
      <c r="AU24" s="186"/>
    </row>
    <row r="25" spans="1:47" s="57" customFormat="1" ht="16.5" customHeight="1">
      <c r="B25" s="197" t="s">
        <v>40</v>
      </c>
      <c r="C25" s="197"/>
      <c r="D25" s="197"/>
      <c r="E25" s="197"/>
      <c r="F25" s="197"/>
      <c r="G25" s="197"/>
      <c r="H25" s="197"/>
      <c r="I25" s="197"/>
      <c r="J25" s="197"/>
      <c r="K25" s="196"/>
      <c r="L25" s="281" t="str">
        <f>計画_公共&amp;""</f>
        <v>-</v>
      </c>
      <c r="M25" s="281"/>
      <c r="N25" s="281"/>
      <c r="O25" s="281"/>
      <c r="P25" s="281"/>
      <c r="Q25" s="281"/>
      <c r="R25" s="281"/>
      <c r="S25" s="281"/>
      <c r="T25" s="281"/>
      <c r="U25" s="281"/>
      <c r="V25" s="281"/>
      <c r="W25" s="281"/>
      <c r="X25" s="281"/>
      <c r="Y25" s="180" t="s">
        <v>41</v>
      </c>
      <c r="Z25" s="181"/>
      <c r="AA25" s="181"/>
      <c r="AB25" s="181"/>
      <c r="AC25" s="181"/>
      <c r="AD25" s="181"/>
      <c r="AE25" s="181"/>
      <c r="AF25" s="181"/>
      <c r="AG25" s="181"/>
      <c r="AH25" s="182"/>
      <c r="AI25" s="183"/>
      <c r="AJ25" s="183"/>
      <c r="AK25" s="183"/>
      <c r="AL25" s="183"/>
      <c r="AM25" s="183"/>
      <c r="AN25" s="183"/>
      <c r="AO25" s="183"/>
      <c r="AP25" s="183"/>
      <c r="AQ25" s="183"/>
      <c r="AR25" s="183"/>
      <c r="AS25" s="183"/>
      <c r="AT25" s="183"/>
      <c r="AU25" s="183"/>
    </row>
    <row r="26" spans="1:47" ht="16.5" customHeight="1">
      <c r="A26" s="53"/>
      <c r="B26" s="187" t="s">
        <v>42</v>
      </c>
      <c r="C26" s="180" t="s">
        <v>43</v>
      </c>
      <c r="D26" s="181"/>
      <c r="E26" s="181"/>
      <c r="F26" s="181"/>
      <c r="G26" s="181"/>
      <c r="H26" s="181"/>
      <c r="I26" s="181"/>
      <c r="J26" s="181"/>
      <c r="K26" s="182"/>
      <c r="L26" s="183"/>
      <c r="M26" s="183"/>
      <c r="N26" s="183"/>
      <c r="O26" s="183"/>
      <c r="P26" s="183"/>
      <c r="Q26" s="183"/>
      <c r="R26" s="183"/>
      <c r="S26" s="183"/>
      <c r="T26" s="183"/>
      <c r="U26" s="183"/>
      <c r="V26" s="183"/>
      <c r="W26" s="183"/>
      <c r="X26" s="183"/>
      <c r="Y26" s="187" t="s">
        <v>44</v>
      </c>
      <c r="Z26" s="180" t="s">
        <v>45</v>
      </c>
      <c r="AA26" s="181"/>
      <c r="AB26" s="181"/>
      <c r="AC26" s="181"/>
      <c r="AD26" s="181"/>
      <c r="AE26" s="181"/>
      <c r="AF26" s="181"/>
      <c r="AG26" s="181"/>
      <c r="AH26" s="182"/>
      <c r="AI26" s="183"/>
      <c r="AJ26" s="183"/>
      <c r="AK26" s="183"/>
      <c r="AL26" s="183"/>
      <c r="AM26" s="183"/>
      <c r="AN26" s="183"/>
      <c r="AO26" s="183"/>
      <c r="AP26" s="183"/>
      <c r="AQ26" s="183"/>
      <c r="AR26" s="183"/>
      <c r="AS26" s="183"/>
      <c r="AT26" s="183"/>
      <c r="AU26" s="183"/>
    </row>
    <row r="27" spans="1:47" ht="16.5" customHeight="1">
      <c r="A27" s="53"/>
      <c r="B27" s="188"/>
      <c r="C27" s="180" t="s">
        <v>46</v>
      </c>
      <c r="D27" s="181"/>
      <c r="E27" s="181"/>
      <c r="F27" s="181"/>
      <c r="G27" s="181"/>
      <c r="H27" s="181"/>
      <c r="I27" s="181"/>
      <c r="J27" s="181"/>
      <c r="K27" s="182"/>
      <c r="L27" s="184"/>
      <c r="M27" s="185"/>
      <c r="N27" s="185"/>
      <c r="O27" s="185"/>
      <c r="P27" s="185"/>
      <c r="Q27" s="185"/>
      <c r="R27" s="185"/>
      <c r="S27" s="185"/>
      <c r="T27" s="185"/>
      <c r="U27" s="185"/>
      <c r="V27" s="185"/>
      <c r="W27" s="185"/>
      <c r="X27" s="186"/>
      <c r="Y27" s="188"/>
      <c r="Z27" s="180" t="s">
        <v>48</v>
      </c>
      <c r="AA27" s="181"/>
      <c r="AB27" s="181"/>
      <c r="AC27" s="181"/>
      <c r="AD27" s="181"/>
      <c r="AE27" s="181"/>
      <c r="AF27" s="181"/>
      <c r="AG27" s="181"/>
      <c r="AH27" s="182"/>
      <c r="AI27" s="183"/>
      <c r="AJ27" s="183"/>
      <c r="AK27" s="183"/>
      <c r="AL27" s="183"/>
      <c r="AM27" s="183"/>
      <c r="AN27" s="183"/>
      <c r="AO27" s="183"/>
      <c r="AP27" s="183"/>
      <c r="AQ27" s="183"/>
      <c r="AR27" s="183"/>
      <c r="AS27" s="183"/>
      <c r="AT27" s="183"/>
      <c r="AU27" s="183"/>
    </row>
    <row r="28" spans="1:47" ht="16.5" customHeight="1">
      <c r="A28" s="53"/>
      <c r="B28" s="188"/>
      <c r="C28" s="180" t="s">
        <v>49</v>
      </c>
      <c r="D28" s="181"/>
      <c r="E28" s="181"/>
      <c r="F28" s="181"/>
      <c r="G28" s="181"/>
      <c r="H28" s="181"/>
      <c r="I28" s="181"/>
      <c r="J28" s="181"/>
      <c r="K28" s="182"/>
      <c r="L28" s="184"/>
      <c r="M28" s="185"/>
      <c r="N28" s="185"/>
      <c r="O28" s="185"/>
      <c r="P28" s="185"/>
      <c r="Q28" s="185"/>
      <c r="R28" s="185"/>
      <c r="S28" s="185"/>
      <c r="T28" s="185"/>
      <c r="U28" s="185"/>
      <c r="V28" s="185"/>
      <c r="W28" s="185"/>
      <c r="X28" s="186"/>
      <c r="Y28" s="188"/>
      <c r="Z28" s="180" t="s">
        <v>50</v>
      </c>
      <c r="AA28" s="181"/>
      <c r="AB28" s="181"/>
      <c r="AC28" s="181"/>
      <c r="AD28" s="181"/>
      <c r="AE28" s="181"/>
      <c r="AF28" s="181"/>
      <c r="AG28" s="181"/>
      <c r="AH28" s="182"/>
      <c r="AI28" s="183"/>
      <c r="AJ28" s="183"/>
      <c r="AK28" s="183"/>
      <c r="AL28" s="183"/>
      <c r="AM28" s="183"/>
      <c r="AN28" s="183"/>
      <c r="AO28" s="183"/>
      <c r="AP28" s="183"/>
      <c r="AQ28" s="183"/>
      <c r="AR28" s="183"/>
      <c r="AS28" s="183"/>
      <c r="AT28" s="183"/>
      <c r="AU28" s="183"/>
    </row>
    <row r="29" spans="1:47" ht="16.5" customHeight="1">
      <c r="A29" s="53"/>
      <c r="B29" s="188"/>
      <c r="C29" s="180" t="s">
        <v>51</v>
      </c>
      <c r="D29" s="181"/>
      <c r="E29" s="181"/>
      <c r="F29" s="181"/>
      <c r="G29" s="181"/>
      <c r="H29" s="181"/>
      <c r="I29" s="181"/>
      <c r="J29" s="181"/>
      <c r="K29" s="182"/>
      <c r="L29" s="184"/>
      <c r="M29" s="185"/>
      <c r="N29" s="185"/>
      <c r="O29" s="185"/>
      <c r="P29" s="185"/>
      <c r="Q29" s="185"/>
      <c r="R29" s="185"/>
      <c r="S29" s="185"/>
      <c r="T29" s="185"/>
      <c r="U29" s="185"/>
      <c r="V29" s="185"/>
      <c r="W29" s="185"/>
      <c r="X29" s="186"/>
      <c r="Y29" s="188"/>
      <c r="Z29" s="180" t="s">
        <v>52</v>
      </c>
      <c r="AA29" s="181"/>
      <c r="AB29" s="181"/>
      <c r="AC29" s="181"/>
      <c r="AD29" s="181"/>
      <c r="AE29" s="181"/>
      <c r="AF29" s="181"/>
      <c r="AG29" s="181"/>
      <c r="AH29" s="182"/>
      <c r="AI29" s="183"/>
      <c r="AJ29" s="183"/>
      <c r="AK29" s="183"/>
      <c r="AL29" s="183"/>
      <c r="AM29" s="183"/>
      <c r="AN29" s="183"/>
      <c r="AO29" s="183"/>
      <c r="AP29" s="183"/>
      <c r="AQ29" s="183"/>
      <c r="AR29" s="183"/>
      <c r="AS29" s="183"/>
      <c r="AT29" s="183"/>
      <c r="AU29" s="183"/>
    </row>
    <row r="30" spans="1:47" ht="16.5" customHeight="1">
      <c r="A30" s="53"/>
      <c r="B30" s="189"/>
      <c r="C30" s="180" t="s">
        <v>53</v>
      </c>
      <c r="D30" s="181"/>
      <c r="E30" s="181"/>
      <c r="F30" s="181"/>
      <c r="G30" s="181"/>
      <c r="H30" s="181"/>
      <c r="I30" s="181"/>
      <c r="J30" s="181"/>
      <c r="K30" s="182"/>
      <c r="L30" s="183"/>
      <c r="M30" s="183"/>
      <c r="N30" s="183"/>
      <c r="O30" s="183"/>
      <c r="P30" s="183"/>
      <c r="Q30" s="183"/>
      <c r="R30" s="183"/>
      <c r="S30" s="183"/>
      <c r="T30" s="183"/>
      <c r="U30" s="183"/>
      <c r="V30" s="183"/>
      <c r="W30" s="183"/>
      <c r="X30" s="183"/>
      <c r="Y30" s="189"/>
      <c r="Z30" s="180" t="s">
        <v>53</v>
      </c>
      <c r="AA30" s="181"/>
      <c r="AB30" s="181"/>
      <c r="AC30" s="181"/>
      <c r="AD30" s="181"/>
      <c r="AE30" s="181"/>
      <c r="AF30" s="181"/>
      <c r="AG30" s="181"/>
      <c r="AH30" s="182"/>
      <c r="AI30" s="183"/>
      <c r="AJ30" s="183"/>
      <c r="AK30" s="183"/>
      <c r="AL30" s="183"/>
      <c r="AM30" s="183"/>
      <c r="AN30" s="183"/>
      <c r="AO30" s="183"/>
      <c r="AP30" s="183"/>
      <c r="AQ30" s="183"/>
      <c r="AR30" s="183"/>
      <c r="AS30" s="183"/>
      <c r="AT30" s="183"/>
      <c r="AU30" s="183"/>
    </row>
    <row r="31" spans="1:47" ht="16.5" customHeight="1">
      <c r="A31" s="53"/>
    </row>
    <row r="32" spans="1:47" ht="16.5" customHeight="1">
      <c r="B32" s="41" t="s">
        <v>172</v>
      </c>
    </row>
    <row r="33" spans="1:47" ht="16.5" customHeight="1">
      <c r="B33" s="196" t="s">
        <v>173</v>
      </c>
      <c r="C33" s="196"/>
      <c r="D33" s="196"/>
      <c r="E33" s="196"/>
      <c r="F33" s="196"/>
      <c r="G33" s="196"/>
      <c r="H33" s="196"/>
      <c r="I33" s="196"/>
      <c r="J33" s="196"/>
      <c r="K33" s="196"/>
      <c r="L33" s="341"/>
      <c r="M33" s="219"/>
      <c r="N33" s="219"/>
      <c r="O33" s="219"/>
      <c r="P33" s="219"/>
      <c r="Q33" s="219"/>
      <c r="R33" s="219"/>
      <c r="S33" s="219"/>
      <c r="T33" s="219"/>
      <c r="U33" s="219"/>
      <c r="V33" s="219"/>
      <c r="W33" s="219"/>
      <c r="X33" s="219"/>
      <c r="Y33" s="419" t="s">
        <v>174</v>
      </c>
      <c r="Z33" s="419"/>
      <c r="AA33" s="419"/>
      <c r="AB33" s="419"/>
      <c r="AC33" s="419"/>
      <c r="AD33" s="419"/>
      <c r="AE33" s="419"/>
      <c r="AF33" s="419"/>
      <c r="AG33" s="419"/>
      <c r="AH33" s="419"/>
      <c r="AI33" s="339"/>
      <c r="AJ33" s="218"/>
      <c r="AK33" s="218"/>
      <c r="AL33" s="218"/>
      <c r="AM33" s="218"/>
      <c r="AN33" s="218"/>
      <c r="AO33" s="218"/>
      <c r="AP33" s="218"/>
      <c r="AQ33" s="218"/>
      <c r="AR33" s="218"/>
      <c r="AS33" s="218"/>
      <c r="AT33" s="218"/>
      <c r="AU33" s="218"/>
    </row>
    <row r="35" spans="1:47" ht="16.5" customHeight="1">
      <c r="A35" s="53"/>
      <c r="B35" s="54" t="s">
        <v>54</v>
      </c>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77"/>
    </row>
    <row r="36" spans="1:47" ht="16.5" customHeight="1">
      <c r="B36" s="221" t="s">
        <v>55</v>
      </c>
      <c r="C36" s="222"/>
      <c r="D36" s="222"/>
      <c r="E36" s="222"/>
      <c r="F36" s="222"/>
      <c r="G36" s="222"/>
      <c r="H36" s="222"/>
      <c r="I36" s="222"/>
      <c r="J36" s="222"/>
      <c r="K36" s="223"/>
      <c r="L36" s="290" t="str">
        <f>プロジェクト目的&amp;""</f>
        <v>嵌合工程検査表は紙ベースでの記録となっており、重大クレーム発生時に設備が停止した記録をトレースする際に、スタッフが紙を１枚１枚確認する必要がある。MFB-906Z1フランジ折れクレーム発生時はトレース作業時のヒューマンエラーによる範囲の特定ミスが発生し、お客様からの信頼を失墜するリスクがあるため、オンライン化することでトレース作業を確実に短時間で出来るようにする。</v>
      </c>
      <c r="M36" s="291"/>
      <c r="N36" s="291"/>
      <c r="O36" s="291"/>
      <c r="P36" s="291"/>
      <c r="Q36" s="291"/>
      <c r="R36" s="291"/>
      <c r="S36" s="291"/>
      <c r="T36" s="291"/>
      <c r="U36" s="291"/>
      <c r="V36" s="291"/>
      <c r="W36" s="291"/>
      <c r="X36" s="291"/>
      <c r="Y36" s="291"/>
      <c r="Z36" s="291"/>
      <c r="AA36" s="291"/>
      <c r="AB36" s="291"/>
      <c r="AC36" s="291"/>
      <c r="AD36" s="291"/>
      <c r="AE36" s="291"/>
      <c r="AF36" s="291"/>
      <c r="AG36" s="291"/>
      <c r="AH36" s="291"/>
      <c r="AI36" s="291"/>
      <c r="AJ36" s="291"/>
      <c r="AK36" s="291"/>
      <c r="AL36" s="291"/>
      <c r="AM36" s="291"/>
      <c r="AN36" s="291"/>
      <c r="AO36" s="291"/>
      <c r="AP36" s="291"/>
      <c r="AQ36" s="291"/>
      <c r="AR36" s="291"/>
      <c r="AS36" s="291"/>
      <c r="AT36" s="291"/>
      <c r="AU36" s="292"/>
    </row>
    <row r="37" spans="1:47" ht="16.5" customHeight="1">
      <c r="A37" s="41"/>
      <c r="B37" s="224"/>
      <c r="C37" s="225"/>
      <c r="D37" s="225"/>
      <c r="E37" s="225"/>
      <c r="F37" s="225"/>
      <c r="G37" s="225"/>
      <c r="H37" s="225"/>
      <c r="I37" s="225"/>
      <c r="J37" s="225"/>
      <c r="K37" s="226"/>
      <c r="L37" s="293"/>
      <c r="M37" s="294"/>
      <c r="N37" s="294"/>
      <c r="O37" s="294"/>
      <c r="P37" s="294"/>
      <c r="Q37" s="294"/>
      <c r="R37" s="294"/>
      <c r="S37" s="294"/>
      <c r="T37" s="294"/>
      <c r="U37" s="294"/>
      <c r="V37" s="294"/>
      <c r="W37" s="294"/>
      <c r="X37" s="294"/>
      <c r="Y37" s="294"/>
      <c r="Z37" s="294"/>
      <c r="AA37" s="294"/>
      <c r="AB37" s="294"/>
      <c r="AC37" s="294"/>
      <c r="AD37" s="294"/>
      <c r="AE37" s="294"/>
      <c r="AF37" s="294"/>
      <c r="AG37" s="294"/>
      <c r="AH37" s="294"/>
      <c r="AI37" s="294"/>
      <c r="AJ37" s="294"/>
      <c r="AK37" s="294"/>
      <c r="AL37" s="294"/>
      <c r="AM37" s="294"/>
      <c r="AN37" s="294"/>
      <c r="AO37" s="294"/>
      <c r="AP37" s="294"/>
      <c r="AQ37" s="294"/>
      <c r="AR37" s="294"/>
      <c r="AS37" s="294"/>
      <c r="AT37" s="294"/>
      <c r="AU37" s="295"/>
    </row>
    <row r="38" spans="1:47" ht="16.5" customHeight="1">
      <c r="B38" s="221" t="s">
        <v>57</v>
      </c>
      <c r="C38" s="222"/>
      <c r="D38" s="222"/>
      <c r="E38" s="222"/>
      <c r="F38" s="222"/>
      <c r="G38" s="222"/>
      <c r="H38" s="222"/>
      <c r="I38" s="222"/>
      <c r="J38" s="222"/>
      <c r="K38" s="223"/>
      <c r="L38" s="290" t="str">
        <f>成功要因&amp;""</f>
        <v>関係者（利用部門含む）との連携を密に行い、要件定義にて仕様を明確にし、完成イメージの認識合わせを実施する。また、設計工程後、および結合テスト工程後に打ち合わせを実施し、認識齟齬がないかを確認する。</v>
      </c>
      <c r="M38" s="291"/>
      <c r="N38" s="291"/>
      <c r="O38" s="291"/>
      <c r="P38" s="291"/>
      <c r="Q38" s="291"/>
      <c r="R38" s="291"/>
      <c r="S38" s="291"/>
      <c r="T38" s="291"/>
      <c r="U38" s="291"/>
      <c r="V38" s="291"/>
      <c r="W38" s="291"/>
      <c r="X38" s="291"/>
      <c r="Y38" s="291"/>
      <c r="Z38" s="291"/>
      <c r="AA38" s="291"/>
      <c r="AB38" s="291"/>
      <c r="AC38" s="291"/>
      <c r="AD38" s="291"/>
      <c r="AE38" s="291"/>
      <c r="AF38" s="291"/>
      <c r="AG38" s="291"/>
      <c r="AH38" s="291"/>
      <c r="AI38" s="291"/>
      <c r="AJ38" s="291"/>
      <c r="AK38" s="291"/>
      <c r="AL38" s="291"/>
      <c r="AM38" s="291"/>
      <c r="AN38" s="291"/>
      <c r="AO38" s="291"/>
      <c r="AP38" s="291"/>
      <c r="AQ38" s="291"/>
      <c r="AR38" s="291"/>
      <c r="AS38" s="291"/>
      <c r="AT38" s="291"/>
      <c r="AU38" s="292"/>
    </row>
    <row r="39" spans="1:47" ht="16.5" customHeight="1">
      <c r="B39" s="224"/>
      <c r="C39" s="225"/>
      <c r="D39" s="225"/>
      <c r="E39" s="225"/>
      <c r="F39" s="225"/>
      <c r="G39" s="225"/>
      <c r="H39" s="225"/>
      <c r="I39" s="225"/>
      <c r="J39" s="225"/>
      <c r="K39" s="226"/>
      <c r="L39" s="293"/>
      <c r="M39" s="294"/>
      <c r="N39" s="294"/>
      <c r="O39" s="294"/>
      <c r="P39" s="294"/>
      <c r="Q39" s="294"/>
      <c r="R39" s="294"/>
      <c r="S39" s="294"/>
      <c r="T39" s="294"/>
      <c r="U39" s="294"/>
      <c r="V39" s="294"/>
      <c r="W39" s="294"/>
      <c r="X39" s="294"/>
      <c r="Y39" s="294"/>
      <c r="Z39" s="294"/>
      <c r="AA39" s="294"/>
      <c r="AB39" s="294"/>
      <c r="AC39" s="294"/>
      <c r="AD39" s="294"/>
      <c r="AE39" s="294"/>
      <c r="AF39" s="294"/>
      <c r="AG39" s="294"/>
      <c r="AH39" s="294"/>
      <c r="AI39" s="294"/>
      <c r="AJ39" s="294"/>
      <c r="AK39" s="294"/>
      <c r="AL39" s="294"/>
      <c r="AM39" s="294"/>
      <c r="AN39" s="294"/>
      <c r="AO39" s="294"/>
      <c r="AP39" s="294"/>
      <c r="AQ39" s="294"/>
      <c r="AR39" s="294"/>
      <c r="AS39" s="294"/>
      <c r="AT39" s="294"/>
      <c r="AU39" s="295"/>
    </row>
    <row r="40" spans="1:47" ht="16.5" customHeight="1">
      <c r="B40" s="221" t="s">
        <v>59</v>
      </c>
      <c r="C40" s="222"/>
      <c r="D40" s="222"/>
      <c r="E40" s="222"/>
      <c r="F40" s="222"/>
      <c r="G40" s="222"/>
      <c r="H40" s="222"/>
      <c r="I40" s="222"/>
      <c r="J40" s="222"/>
      <c r="K40" s="223"/>
      <c r="L40" s="290" t="str">
        <f>品質目標&amp;""</f>
        <v>成果物すべてで内部レビュー及び外部レビューを100%実施し、出光興産様とシステムエグゼ双方で内容を合意する。
また、開発期間中から本稼働までを含め、障害発生をゼロとする。</v>
      </c>
      <c r="M40" s="291"/>
      <c r="N40" s="291"/>
      <c r="O40" s="291"/>
      <c r="P40" s="291"/>
      <c r="Q40" s="291"/>
      <c r="R40" s="291"/>
      <c r="S40" s="291"/>
      <c r="T40" s="291"/>
      <c r="U40" s="291"/>
      <c r="V40" s="291"/>
      <c r="W40" s="291"/>
      <c r="X40" s="291"/>
      <c r="Y40" s="291"/>
      <c r="Z40" s="291"/>
      <c r="AA40" s="291"/>
      <c r="AB40" s="291"/>
      <c r="AC40" s="291"/>
      <c r="AD40" s="291"/>
      <c r="AE40" s="291"/>
      <c r="AF40" s="291"/>
      <c r="AG40" s="291"/>
      <c r="AH40" s="291"/>
      <c r="AI40" s="291"/>
      <c r="AJ40" s="291"/>
      <c r="AK40" s="291"/>
      <c r="AL40" s="291"/>
      <c r="AM40" s="291"/>
      <c r="AN40" s="291"/>
      <c r="AO40" s="291"/>
      <c r="AP40" s="291"/>
      <c r="AQ40" s="291"/>
      <c r="AR40" s="291"/>
      <c r="AS40" s="291"/>
      <c r="AT40" s="291"/>
      <c r="AU40" s="292"/>
    </row>
    <row r="41" spans="1:47" ht="16.5" customHeight="1">
      <c r="B41" s="224"/>
      <c r="C41" s="225"/>
      <c r="D41" s="225"/>
      <c r="E41" s="225"/>
      <c r="F41" s="225"/>
      <c r="G41" s="225"/>
      <c r="H41" s="225"/>
      <c r="I41" s="225"/>
      <c r="J41" s="225"/>
      <c r="K41" s="226"/>
      <c r="L41" s="293"/>
      <c r="M41" s="294"/>
      <c r="N41" s="294"/>
      <c r="O41" s="294"/>
      <c r="P41" s="294"/>
      <c r="Q41" s="294"/>
      <c r="R41" s="294"/>
      <c r="S41" s="294"/>
      <c r="T41" s="294"/>
      <c r="U41" s="294"/>
      <c r="V41" s="294"/>
      <c r="W41" s="294"/>
      <c r="X41" s="294"/>
      <c r="Y41" s="294"/>
      <c r="Z41" s="294"/>
      <c r="AA41" s="294"/>
      <c r="AB41" s="294"/>
      <c r="AC41" s="294"/>
      <c r="AD41" s="294"/>
      <c r="AE41" s="294"/>
      <c r="AF41" s="294"/>
      <c r="AG41" s="294"/>
      <c r="AH41" s="294"/>
      <c r="AI41" s="294"/>
      <c r="AJ41" s="294"/>
      <c r="AK41" s="294"/>
      <c r="AL41" s="294"/>
      <c r="AM41" s="294"/>
      <c r="AN41" s="294"/>
      <c r="AO41" s="294"/>
      <c r="AP41" s="294"/>
      <c r="AQ41" s="294"/>
      <c r="AR41" s="294"/>
      <c r="AS41" s="294"/>
      <c r="AT41" s="294"/>
      <c r="AU41" s="295"/>
    </row>
    <row r="42" spans="1:47" s="57" customFormat="1" ht="16.5" customHeight="1">
      <c r="B42" s="246" t="s">
        <v>61</v>
      </c>
      <c r="C42" s="247"/>
      <c r="D42" s="247"/>
      <c r="E42" s="247"/>
      <c r="F42" s="247"/>
      <c r="G42" s="247"/>
      <c r="H42" s="247"/>
      <c r="I42" s="247"/>
      <c r="J42" s="247"/>
      <c r="K42" s="248"/>
      <c r="L42" s="290" t="str">
        <f>セキュリティ目標&amp;""</f>
        <v>セキュリティ事故０件（メール誤送信や添付ファイルのPW漏れ 等）</v>
      </c>
      <c r="M42" s="291"/>
      <c r="N42" s="291"/>
      <c r="O42" s="291"/>
      <c r="P42" s="291"/>
      <c r="Q42" s="291"/>
      <c r="R42" s="291"/>
      <c r="S42" s="291"/>
      <c r="T42" s="291"/>
      <c r="U42" s="291"/>
      <c r="V42" s="291"/>
      <c r="W42" s="291"/>
      <c r="X42" s="291"/>
      <c r="Y42" s="291"/>
      <c r="Z42" s="291"/>
      <c r="AA42" s="291"/>
      <c r="AB42" s="291"/>
      <c r="AC42" s="291"/>
      <c r="AD42" s="291"/>
      <c r="AE42" s="291"/>
      <c r="AF42" s="291"/>
      <c r="AG42" s="291"/>
      <c r="AH42" s="291"/>
      <c r="AI42" s="291"/>
      <c r="AJ42" s="291"/>
      <c r="AK42" s="291"/>
      <c r="AL42" s="291"/>
      <c r="AM42" s="291"/>
      <c r="AN42" s="291"/>
      <c r="AO42" s="291"/>
      <c r="AP42" s="291"/>
      <c r="AQ42" s="291"/>
      <c r="AR42" s="291"/>
      <c r="AS42" s="291"/>
      <c r="AT42" s="291"/>
      <c r="AU42" s="292"/>
    </row>
    <row r="43" spans="1:47" s="57" customFormat="1" ht="16.5" customHeight="1">
      <c r="B43" s="249"/>
      <c r="C43" s="250"/>
      <c r="D43" s="250"/>
      <c r="E43" s="250"/>
      <c r="F43" s="250"/>
      <c r="G43" s="250"/>
      <c r="H43" s="250"/>
      <c r="I43" s="250"/>
      <c r="J43" s="250"/>
      <c r="K43" s="251"/>
      <c r="L43" s="293"/>
      <c r="M43" s="294"/>
      <c r="N43" s="294"/>
      <c r="O43" s="294"/>
      <c r="P43" s="294"/>
      <c r="Q43" s="294"/>
      <c r="R43" s="294"/>
      <c r="S43" s="294"/>
      <c r="T43" s="294"/>
      <c r="U43" s="294"/>
      <c r="V43" s="294"/>
      <c r="W43" s="294"/>
      <c r="X43" s="294"/>
      <c r="Y43" s="294"/>
      <c r="Z43" s="294"/>
      <c r="AA43" s="294"/>
      <c r="AB43" s="294"/>
      <c r="AC43" s="294"/>
      <c r="AD43" s="294"/>
      <c r="AE43" s="294"/>
      <c r="AF43" s="294"/>
      <c r="AG43" s="294"/>
      <c r="AH43" s="294"/>
      <c r="AI43" s="294"/>
      <c r="AJ43" s="294"/>
      <c r="AK43" s="294"/>
      <c r="AL43" s="294"/>
      <c r="AM43" s="294"/>
      <c r="AN43" s="294"/>
      <c r="AO43" s="294"/>
      <c r="AP43" s="294"/>
      <c r="AQ43" s="294"/>
      <c r="AR43" s="294"/>
      <c r="AS43" s="294"/>
      <c r="AT43" s="294"/>
      <c r="AU43" s="295"/>
    </row>
    <row r="44" spans="1:47" ht="16.5" customHeight="1">
      <c r="B44" s="233" t="s">
        <v>63</v>
      </c>
      <c r="C44" s="233"/>
      <c r="D44" s="233"/>
      <c r="E44" s="233"/>
      <c r="F44" s="233"/>
      <c r="G44" s="233"/>
      <c r="H44" s="233"/>
      <c r="I44" s="233"/>
      <c r="J44" s="233"/>
      <c r="K44" s="233"/>
      <c r="L44" s="290" t="str">
        <f>セキュリティに配慮した開発計画&amp;""</f>
        <v>既存画面改修の為、対象外</v>
      </c>
      <c r="M44" s="291"/>
      <c r="N44" s="291"/>
      <c r="O44" s="291"/>
      <c r="P44" s="291"/>
      <c r="Q44" s="291"/>
      <c r="R44" s="291"/>
      <c r="S44" s="291"/>
      <c r="T44" s="291"/>
      <c r="U44" s="291"/>
      <c r="V44" s="291"/>
      <c r="W44" s="291"/>
      <c r="X44" s="291"/>
      <c r="Y44" s="291"/>
      <c r="Z44" s="291"/>
      <c r="AA44" s="291"/>
      <c r="AB44" s="291"/>
      <c r="AC44" s="291"/>
      <c r="AD44" s="291"/>
      <c r="AE44" s="291"/>
      <c r="AF44" s="291"/>
      <c r="AG44" s="291"/>
      <c r="AH44" s="291"/>
      <c r="AI44" s="291"/>
      <c r="AJ44" s="291"/>
      <c r="AK44" s="291"/>
      <c r="AL44" s="291"/>
      <c r="AM44" s="291"/>
      <c r="AN44" s="291"/>
      <c r="AO44" s="291"/>
      <c r="AP44" s="291"/>
      <c r="AQ44" s="291"/>
      <c r="AR44" s="291"/>
      <c r="AS44" s="291"/>
      <c r="AT44" s="291"/>
      <c r="AU44" s="292"/>
    </row>
    <row r="45" spans="1:47" ht="16.5" customHeight="1">
      <c r="B45" s="233"/>
      <c r="C45" s="233"/>
      <c r="D45" s="233"/>
      <c r="E45" s="233"/>
      <c r="F45" s="233"/>
      <c r="G45" s="233"/>
      <c r="H45" s="233"/>
      <c r="I45" s="233"/>
      <c r="J45" s="233"/>
      <c r="K45" s="233"/>
      <c r="L45" s="293"/>
      <c r="M45" s="294"/>
      <c r="N45" s="294"/>
      <c r="O45" s="294"/>
      <c r="P45" s="294"/>
      <c r="Q45" s="294"/>
      <c r="R45" s="294"/>
      <c r="S45" s="294"/>
      <c r="T45" s="294"/>
      <c r="U45" s="294"/>
      <c r="V45" s="294"/>
      <c r="W45" s="294"/>
      <c r="X45" s="294"/>
      <c r="Y45" s="294"/>
      <c r="Z45" s="294"/>
      <c r="AA45" s="294"/>
      <c r="AB45" s="294"/>
      <c r="AC45" s="294"/>
      <c r="AD45" s="294"/>
      <c r="AE45" s="294"/>
      <c r="AF45" s="294"/>
      <c r="AG45" s="294"/>
      <c r="AH45" s="294"/>
      <c r="AI45" s="294"/>
      <c r="AJ45" s="294"/>
      <c r="AK45" s="294"/>
      <c r="AL45" s="294"/>
      <c r="AM45" s="294"/>
      <c r="AN45" s="294"/>
      <c r="AO45" s="294"/>
      <c r="AP45" s="294"/>
      <c r="AQ45" s="294"/>
      <c r="AR45" s="294"/>
      <c r="AS45" s="294"/>
      <c r="AT45" s="294"/>
      <c r="AU45" s="295"/>
    </row>
    <row r="46" spans="1:47" ht="16.5" customHeight="1">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row>
    <row r="47" spans="1:47" ht="16.5" customHeight="1">
      <c r="B47" s="41" t="s">
        <v>175</v>
      </c>
    </row>
    <row r="48" spans="1:47" ht="16.5" customHeight="1">
      <c r="B48" s="221" t="s">
        <v>176</v>
      </c>
      <c r="C48" s="222"/>
      <c r="D48" s="222"/>
      <c r="E48" s="222"/>
      <c r="F48" s="222"/>
      <c r="G48" s="222"/>
      <c r="H48" s="222"/>
      <c r="I48" s="222"/>
      <c r="J48" s="222"/>
      <c r="K48" s="223"/>
      <c r="L48" s="227"/>
      <c r="M48" s="228"/>
      <c r="N48" s="228"/>
      <c r="O48" s="228"/>
      <c r="P48" s="228"/>
      <c r="Q48" s="228"/>
      <c r="R48" s="228"/>
      <c r="S48" s="228"/>
      <c r="T48" s="228"/>
      <c r="U48" s="228"/>
      <c r="V48" s="228"/>
      <c r="W48" s="228"/>
      <c r="X48" s="228"/>
      <c r="Y48" s="228"/>
      <c r="Z48" s="228"/>
      <c r="AA48" s="228"/>
      <c r="AB48" s="228"/>
      <c r="AC48" s="228"/>
      <c r="AD48" s="228"/>
      <c r="AE48" s="228"/>
      <c r="AF48" s="228"/>
      <c r="AG48" s="228"/>
      <c r="AH48" s="228"/>
      <c r="AI48" s="228"/>
      <c r="AJ48" s="228"/>
      <c r="AK48" s="228"/>
      <c r="AL48" s="228"/>
      <c r="AM48" s="228"/>
      <c r="AN48" s="228"/>
      <c r="AO48" s="228"/>
      <c r="AP48" s="228"/>
      <c r="AQ48" s="228"/>
      <c r="AR48" s="228"/>
      <c r="AS48" s="228"/>
      <c r="AT48" s="228"/>
      <c r="AU48" s="229"/>
    </row>
    <row r="49" spans="1:47" ht="16.5" customHeight="1">
      <c r="B49" s="224"/>
      <c r="C49" s="225"/>
      <c r="D49" s="225"/>
      <c r="E49" s="225"/>
      <c r="F49" s="225"/>
      <c r="G49" s="225"/>
      <c r="H49" s="225"/>
      <c r="I49" s="225"/>
      <c r="J49" s="225"/>
      <c r="K49" s="226"/>
      <c r="L49" s="230"/>
      <c r="M49" s="231"/>
      <c r="N49" s="231"/>
      <c r="O49" s="231"/>
      <c r="P49" s="231"/>
      <c r="Q49" s="231"/>
      <c r="R49" s="231"/>
      <c r="S49" s="231"/>
      <c r="T49" s="231"/>
      <c r="U49" s="231"/>
      <c r="V49" s="231"/>
      <c r="W49" s="231"/>
      <c r="X49" s="231"/>
      <c r="Y49" s="231"/>
      <c r="Z49" s="231"/>
      <c r="AA49" s="231"/>
      <c r="AB49" s="231"/>
      <c r="AC49" s="231"/>
      <c r="AD49" s="231"/>
      <c r="AE49" s="231"/>
      <c r="AF49" s="231"/>
      <c r="AG49" s="231"/>
      <c r="AH49" s="231"/>
      <c r="AI49" s="231"/>
      <c r="AJ49" s="231"/>
      <c r="AK49" s="231"/>
      <c r="AL49" s="231"/>
      <c r="AM49" s="231"/>
      <c r="AN49" s="231"/>
      <c r="AO49" s="231"/>
      <c r="AP49" s="231"/>
      <c r="AQ49" s="231"/>
      <c r="AR49" s="231"/>
      <c r="AS49" s="231"/>
      <c r="AT49" s="231"/>
      <c r="AU49" s="232"/>
    </row>
    <row r="50" spans="1:47" ht="16.5" customHeight="1">
      <c r="B50" s="221" t="s">
        <v>177</v>
      </c>
      <c r="C50" s="222"/>
      <c r="D50" s="222"/>
      <c r="E50" s="222"/>
      <c r="F50" s="222"/>
      <c r="G50" s="222"/>
      <c r="H50" s="222"/>
      <c r="I50" s="222"/>
      <c r="J50" s="222"/>
      <c r="K50" s="223"/>
      <c r="L50" s="227"/>
      <c r="M50" s="228"/>
      <c r="N50" s="228"/>
      <c r="O50" s="228"/>
      <c r="P50" s="228"/>
      <c r="Q50" s="228"/>
      <c r="R50" s="228"/>
      <c r="S50" s="228"/>
      <c r="T50" s="228"/>
      <c r="U50" s="228"/>
      <c r="V50" s="228"/>
      <c r="W50" s="228"/>
      <c r="X50" s="228"/>
      <c r="Y50" s="228"/>
      <c r="Z50" s="228"/>
      <c r="AA50" s="228"/>
      <c r="AB50" s="228"/>
      <c r="AC50" s="228"/>
      <c r="AD50" s="228"/>
      <c r="AE50" s="228"/>
      <c r="AF50" s="228"/>
      <c r="AG50" s="228"/>
      <c r="AH50" s="228"/>
      <c r="AI50" s="228"/>
      <c r="AJ50" s="228"/>
      <c r="AK50" s="228"/>
      <c r="AL50" s="228"/>
      <c r="AM50" s="228"/>
      <c r="AN50" s="228"/>
      <c r="AO50" s="228"/>
      <c r="AP50" s="228"/>
      <c r="AQ50" s="228"/>
      <c r="AR50" s="228"/>
      <c r="AS50" s="228"/>
      <c r="AT50" s="228"/>
      <c r="AU50" s="229"/>
    </row>
    <row r="51" spans="1:47" ht="16.5" customHeight="1">
      <c r="B51" s="224"/>
      <c r="C51" s="225"/>
      <c r="D51" s="225"/>
      <c r="E51" s="225"/>
      <c r="F51" s="225"/>
      <c r="G51" s="225"/>
      <c r="H51" s="225"/>
      <c r="I51" s="225"/>
      <c r="J51" s="225"/>
      <c r="K51" s="226"/>
      <c r="L51" s="230"/>
      <c r="M51" s="231"/>
      <c r="N51" s="231"/>
      <c r="O51" s="231"/>
      <c r="P51" s="231"/>
      <c r="Q51" s="231"/>
      <c r="R51" s="231"/>
      <c r="S51" s="231"/>
      <c r="T51" s="231"/>
      <c r="U51" s="231"/>
      <c r="V51" s="231"/>
      <c r="W51" s="231"/>
      <c r="X51" s="231"/>
      <c r="Y51" s="231"/>
      <c r="Z51" s="231"/>
      <c r="AA51" s="231"/>
      <c r="AB51" s="231"/>
      <c r="AC51" s="231"/>
      <c r="AD51" s="231"/>
      <c r="AE51" s="231"/>
      <c r="AF51" s="231"/>
      <c r="AG51" s="231"/>
      <c r="AH51" s="231"/>
      <c r="AI51" s="231"/>
      <c r="AJ51" s="231"/>
      <c r="AK51" s="231"/>
      <c r="AL51" s="231"/>
      <c r="AM51" s="231"/>
      <c r="AN51" s="231"/>
      <c r="AO51" s="231"/>
      <c r="AP51" s="231"/>
      <c r="AQ51" s="231"/>
      <c r="AR51" s="231"/>
      <c r="AS51" s="231"/>
      <c r="AT51" s="231"/>
      <c r="AU51" s="232"/>
    </row>
    <row r="52" spans="1:47" ht="16.5" customHeight="1">
      <c r="B52" s="221" t="s">
        <v>178</v>
      </c>
      <c r="C52" s="222"/>
      <c r="D52" s="222"/>
      <c r="E52" s="222"/>
      <c r="F52" s="222"/>
      <c r="G52" s="222"/>
      <c r="H52" s="222"/>
      <c r="I52" s="222"/>
      <c r="J52" s="222"/>
      <c r="K52" s="223"/>
      <c r="L52" s="227"/>
      <c r="M52" s="228"/>
      <c r="N52" s="228"/>
      <c r="O52" s="228"/>
      <c r="P52" s="228"/>
      <c r="Q52" s="228"/>
      <c r="R52" s="228"/>
      <c r="S52" s="228"/>
      <c r="T52" s="228"/>
      <c r="U52" s="228"/>
      <c r="V52" s="228"/>
      <c r="W52" s="228"/>
      <c r="X52" s="228"/>
      <c r="Y52" s="228"/>
      <c r="Z52" s="228"/>
      <c r="AA52" s="228"/>
      <c r="AB52" s="228"/>
      <c r="AC52" s="228"/>
      <c r="AD52" s="228"/>
      <c r="AE52" s="228"/>
      <c r="AF52" s="228"/>
      <c r="AG52" s="228"/>
      <c r="AH52" s="228"/>
      <c r="AI52" s="228"/>
      <c r="AJ52" s="228"/>
      <c r="AK52" s="228"/>
      <c r="AL52" s="228"/>
      <c r="AM52" s="228"/>
      <c r="AN52" s="228"/>
      <c r="AO52" s="228"/>
      <c r="AP52" s="228"/>
      <c r="AQ52" s="228"/>
      <c r="AR52" s="228"/>
      <c r="AS52" s="228"/>
      <c r="AT52" s="228"/>
      <c r="AU52" s="229"/>
    </row>
    <row r="53" spans="1:47" ht="16.5" customHeight="1">
      <c r="B53" s="224"/>
      <c r="C53" s="225"/>
      <c r="D53" s="225"/>
      <c r="E53" s="225"/>
      <c r="F53" s="225"/>
      <c r="G53" s="225"/>
      <c r="H53" s="225"/>
      <c r="I53" s="225"/>
      <c r="J53" s="225"/>
      <c r="K53" s="226"/>
      <c r="L53" s="230"/>
      <c r="M53" s="231"/>
      <c r="N53" s="231"/>
      <c r="O53" s="231"/>
      <c r="P53" s="231"/>
      <c r="Q53" s="231"/>
      <c r="R53" s="231"/>
      <c r="S53" s="231"/>
      <c r="T53" s="231"/>
      <c r="U53" s="231"/>
      <c r="V53" s="231"/>
      <c r="W53" s="231"/>
      <c r="X53" s="231"/>
      <c r="Y53" s="231"/>
      <c r="Z53" s="231"/>
      <c r="AA53" s="231"/>
      <c r="AB53" s="231"/>
      <c r="AC53" s="231"/>
      <c r="AD53" s="231"/>
      <c r="AE53" s="231"/>
      <c r="AF53" s="231"/>
      <c r="AG53" s="231"/>
      <c r="AH53" s="231"/>
      <c r="AI53" s="231"/>
      <c r="AJ53" s="231"/>
      <c r="AK53" s="231"/>
      <c r="AL53" s="231"/>
      <c r="AM53" s="231"/>
      <c r="AN53" s="231"/>
      <c r="AO53" s="231"/>
      <c r="AP53" s="231"/>
      <c r="AQ53" s="231"/>
      <c r="AR53" s="231"/>
      <c r="AS53" s="231"/>
      <c r="AT53" s="231"/>
      <c r="AU53" s="232"/>
    </row>
    <row r="54" spans="1:47" ht="16.5" customHeight="1">
      <c r="B54" s="233" t="s">
        <v>179</v>
      </c>
      <c r="C54" s="233"/>
      <c r="D54" s="233"/>
      <c r="E54" s="233"/>
      <c r="F54" s="233"/>
      <c r="G54" s="233"/>
      <c r="H54" s="233"/>
      <c r="I54" s="233"/>
      <c r="J54" s="233"/>
      <c r="K54" s="233"/>
      <c r="L54" s="234"/>
      <c r="M54" s="234"/>
      <c r="N54" s="234"/>
      <c r="O54" s="234"/>
      <c r="P54" s="234"/>
      <c r="Q54" s="234"/>
      <c r="R54" s="234"/>
      <c r="S54" s="234"/>
      <c r="T54" s="234"/>
      <c r="U54" s="234"/>
      <c r="V54" s="234"/>
      <c r="W54" s="234"/>
      <c r="X54" s="234"/>
      <c r="Y54" s="234"/>
      <c r="Z54" s="234"/>
      <c r="AA54" s="234"/>
      <c r="AB54" s="234"/>
      <c r="AC54" s="234"/>
      <c r="AD54" s="234"/>
      <c r="AE54" s="234"/>
      <c r="AF54" s="234"/>
      <c r="AG54" s="234"/>
      <c r="AH54" s="234"/>
      <c r="AI54" s="234"/>
      <c r="AJ54" s="234"/>
      <c r="AK54" s="234"/>
      <c r="AL54" s="234"/>
      <c r="AM54" s="234"/>
      <c r="AN54" s="234"/>
      <c r="AO54" s="234"/>
      <c r="AP54" s="234"/>
      <c r="AQ54" s="234"/>
      <c r="AR54" s="234"/>
      <c r="AS54" s="234"/>
      <c r="AT54" s="234"/>
      <c r="AU54" s="234"/>
    </row>
    <row r="55" spans="1:47" ht="16.5" customHeight="1">
      <c r="B55" s="233"/>
      <c r="C55" s="233"/>
      <c r="D55" s="233"/>
      <c r="E55" s="233"/>
      <c r="F55" s="233"/>
      <c r="G55" s="233"/>
      <c r="H55" s="233"/>
      <c r="I55" s="233"/>
      <c r="J55" s="233"/>
      <c r="K55" s="233"/>
      <c r="L55" s="234"/>
      <c r="M55" s="234"/>
      <c r="N55" s="234"/>
      <c r="O55" s="234"/>
      <c r="P55" s="234"/>
      <c r="Q55" s="234"/>
      <c r="R55" s="234"/>
      <c r="S55" s="234"/>
      <c r="T55" s="234"/>
      <c r="U55" s="234"/>
      <c r="V55" s="234"/>
      <c r="W55" s="234"/>
      <c r="X55" s="234"/>
      <c r="Y55" s="234"/>
      <c r="Z55" s="234"/>
      <c r="AA55" s="234"/>
      <c r="AB55" s="234"/>
      <c r="AC55" s="234"/>
      <c r="AD55" s="234"/>
      <c r="AE55" s="234"/>
      <c r="AF55" s="234"/>
      <c r="AG55" s="234"/>
      <c r="AH55" s="234"/>
      <c r="AI55" s="234"/>
      <c r="AJ55" s="234"/>
      <c r="AK55" s="234"/>
      <c r="AL55" s="234"/>
      <c r="AM55" s="234"/>
      <c r="AN55" s="234"/>
      <c r="AO55" s="234"/>
      <c r="AP55" s="234"/>
      <c r="AQ55" s="234"/>
      <c r="AR55" s="234"/>
      <c r="AS55" s="234"/>
      <c r="AT55" s="234"/>
      <c r="AU55" s="234"/>
    </row>
    <row r="56" spans="1:47" ht="16.5" customHeight="1">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row>
    <row r="57" spans="1:47" ht="16.5" customHeight="1">
      <c r="B57" s="41" t="s">
        <v>180</v>
      </c>
    </row>
    <row r="58" spans="1:47" ht="16.5" customHeight="1">
      <c r="B58" s="333" t="s">
        <v>181</v>
      </c>
      <c r="C58" s="334"/>
      <c r="D58" s="334"/>
      <c r="E58" s="334"/>
      <c r="F58" s="334"/>
      <c r="G58" s="334"/>
      <c r="H58" s="334"/>
      <c r="I58" s="334"/>
      <c r="J58" s="334"/>
      <c r="K58" s="335"/>
      <c r="L58" s="329"/>
      <c r="M58" s="329"/>
      <c r="N58" s="329"/>
      <c r="O58" s="329"/>
      <c r="P58" s="329"/>
      <c r="Q58" s="329"/>
      <c r="R58" s="329"/>
      <c r="S58" s="329"/>
      <c r="T58" s="329"/>
      <c r="U58" s="329"/>
      <c r="V58" s="329"/>
      <c r="W58" s="329"/>
      <c r="X58" s="330"/>
      <c r="Y58" s="246" t="s">
        <v>182</v>
      </c>
      <c r="Z58" s="247"/>
      <c r="AA58" s="247"/>
      <c r="AB58" s="247"/>
      <c r="AC58" s="247"/>
      <c r="AD58" s="247"/>
      <c r="AE58" s="247"/>
      <c r="AF58" s="247"/>
      <c r="AG58" s="247"/>
      <c r="AH58" s="248"/>
      <c r="AI58" s="227"/>
      <c r="AJ58" s="228"/>
      <c r="AK58" s="228"/>
      <c r="AL58" s="228"/>
      <c r="AM58" s="228"/>
      <c r="AN58" s="228"/>
      <c r="AO58" s="228"/>
      <c r="AP58" s="228"/>
      <c r="AQ58" s="228"/>
      <c r="AR58" s="228"/>
      <c r="AS58" s="228"/>
      <c r="AT58" s="228"/>
      <c r="AU58" s="229"/>
    </row>
    <row r="59" spans="1:47" ht="16.5" customHeight="1">
      <c r="B59" s="336"/>
      <c r="C59" s="337"/>
      <c r="D59" s="337"/>
      <c r="E59" s="337"/>
      <c r="F59" s="337"/>
      <c r="G59" s="337"/>
      <c r="H59" s="337"/>
      <c r="I59" s="337"/>
      <c r="J59" s="337"/>
      <c r="K59" s="338"/>
      <c r="L59" s="331"/>
      <c r="M59" s="331"/>
      <c r="N59" s="331"/>
      <c r="O59" s="331"/>
      <c r="P59" s="331"/>
      <c r="Q59" s="331"/>
      <c r="R59" s="331"/>
      <c r="S59" s="331"/>
      <c r="T59" s="331"/>
      <c r="U59" s="331"/>
      <c r="V59" s="331"/>
      <c r="W59" s="331"/>
      <c r="X59" s="332"/>
      <c r="Y59" s="249"/>
      <c r="Z59" s="250"/>
      <c r="AA59" s="250"/>
      <c r="AB59" s="250"/>
      <c r="AC59" s="250"/>
      <c r="AD59" s="250"/>
      <c r="AE59" s="250"/>
      <c r="AF59" s="250"/>
      <c r="AG59" s="250"/>
      <c r="AH59" s="251"/>
      <c r="AI59" s="230"/>
      <c r="AJ59" s="231"/>
      <c r="AK59" s="231"/>
      <c r="AL59" s="231"/>
      <c r="AM59" s="231"/>
      <c r="AN59" s="231"/>
      <c r="AO59" s="231"/>
      <c r="AP59" s="231"/>
      <c r="AQ59" s="231"/>
      <c r="AR59" s="231"/>
      <c r="AS59" s="231"/>
      <c r="AT59" s="231"/>
      <c r="AU59" s="232"/>
    </row>
    <row r="60" spans="1:47" ht="16.5" customHeight="1">
      <c r="B60" s="310" t="s">
        <v>183</v>
      </c>
      <c r="C60" s="311"/>
      <c r="D60" s="311"/>
      <c r="E60" s="311"/>
      <c r="F60" s="311"/>
      <c r="G60" s="311"/>
      <c r="H60" s="311"/>
      <c r="I60" s="311"/>
      <c r="J60" s="311"/>
      <c r="K60" s="312"/>
      <c r="L60" s="319"/>
      <c r="M60" s="319"/>
      <c r="N60" s="319"/>
      <c r="O60" s="319"/>
      <c r="P60" s="319"/>
      <c r="Q60" s="319"/>
      <c r="R60" s="319"/>
      <c r="S60" s="319"/>
      <c r="T60" s="319"/>
      <c r="U60" s="319"/>
      <c r="V60" s="319"/>
      <c r="W60" s="319"/>
      <c r="X60" s="320"/>
      <c r="Y60" s="310" t="s">
        <v>184</v>
      </c>
      <c r="Z60" s="311"/>
      <c r="AA60" s="311"/>
      <c r="AB60" s="311"/>
      <c r="AC60" s="311"/>
      <c r="AD60" s="311"/>
      <c r="AE60" s="311"/>
      <c r="AF60" s="311"/>
      <c r="AG60" s="311"/>
      <c r="AH60" s="312"/>
      <c r="AI60" s="323"/>
      <c r="AJ60" s="324"/>
      <c r="AK60" s="324"/>
      <c r="AL60" s="324"/>
      <c r="AM60" s="324"/>
      <c r="AN60" s="324"/>
      <c r="AO60" s="324"/>
      <c r="AP60" s="324"/>
      <c r="AQ60" s="324"/>
      <c r="AR60" s="324"/>
      <c r="AS60" s="324"/>
      <c r="AT60" s="324"/>
      <c r="AU60" s="325"/>
    </row>
    <row r="61" spans="1:47" ht="16.5" customHeight="1">
      <c r="B61" s="313"/>
      <c r="C61" s="314"/>
      <c r="D61" s="314"/>
      <c r="E61" s="314"/>
      <c r="F61" s="314"/>
      <c r="G61" s="314"/>
      <c r="H61" s="314"/>
      <c r="I61" s="314"/>
      <c r="J61" s="314"/>
      <c r="K61" s="315"/>
      <c r="L61" s="321"/>
      <c r="M61" s="321"/>
      <c r="N61" s="321"/>
      <c r="O61" s="321"/>
      <c r="P61" s="321"/>
      <c r="Q61" s="321"/>
      <c r="R61" s="321"/>
      <c r="S61" s="321"/>
      <c r="T61" s="321"/>
      <c r="U61" s="321"/>
      <c r="V61" s="321"/>
      <c r="W61" s="321"/>
      <c r="X61" s="322"/>
      <c r="Y61" s="313"/>
      <c r="Z61" s="314"/>
      <c r="AA61" s="314"/>
      <c r="AB61" s="314"/>
      <c r="AC61" s="314"/>
      <c r="AD61" s="314"/>
      <c r="AE61" s="314"/>
      <c r="AF61" s="314"/>
      <c r="AG61" s="314"/>
      <c r="AH61" s="315"/>
      <c r="AI61" s="326"/>
      <c r="AJ61" s="327"/>
      <c r="AK61" s="327"/>
      <c r="AL61" s="327"/>
      <c r="AM61" s="327"/>
      <c r="AN61" s="327"/>
      <c r="AO61" s="327"/>
      <c r="AP61" s="327"/>
      <c r="AQ61" s="327"/>
      <c r="AR61" s="327"/>
      <c r="AS61" s="327"/>
      <c r="AT61" s="327"/>
      <c r="AU61" s="328"/>
    </row>
    <row r="63" spans="1:47" s="46" customFormat="1" ht="16.5" customHeight="1">
      <c r="B63" s="45" t="s">
        <v>185</v>
      </c>
    </row>
    <row r="64" spans="1:47" ht="16.5" customHeight="1">
      <c r="A64" s="53"/>
      <c r="B64" s="419" t="s">
        <v>102</v>
      </c>
      <c r="C64" s="419"/>
      <c r="D64" s="419"/>
      <c r="E64" s="419"/>
      <c r="F64" s="419"/>
      <c r="G64" s="419"/>
      <c r="H64" s="419"/>
      <c r="I64" s="419"/>
      <c r="J64" s="419"/>
      <c r="K64" s="419"/>
      <c r="L64" s="256"/>
      <c r="M64" s="256"/>
      <c r="N64" s="256"/>
      <c r="O64" s="256"/>
      <c r="P64" s="256"/>
      <c r="Q64" s="256"/>
      <c r="R64" s="256"/>
      <c r="S64" s="256"/>
      <c r="T64" s="256"/>
      <c r="U64" s="256"/>
      <c r="V64" s="256"/>
      <c r="W64" s="256"/>
      <c r="X64" s="256"/>
      <c r="Y64" s="419" t="s">
        <v>103</v>
      </c>
      <c r="Z64" s="419"/>
      <c r="AA64" s="419"/>
      <c r="AB64" s="419"/>
      <c r="AC64" s="419"/>
      <c r="AD64" s="419"/>
      <c r="AE64" s="419"/>
      <c r="AF64" s="419"/>
      <c r="AG64" s="419"/>
      <c r="AH64" s="420"/>
      <c r="AI64" s="256"/>
      <c r="AJ64" s="256"/>
      <c r="AK64" s="256"/>
      <c r="AL64" s="256"/>
      <c r="AM64" s="256"/>
      <c r="AN64" s="256"/>
      <c r="AO64" s="256"/>
      <c r="AP64" s="256"/>
      <c r="AQ64" s="256"/>
      <c r="AR64" s="256"/>
      <c r="AS64" s="256"/>
      <c r="AT64" s="256"/>
      <c r="AU64" s="256"/>
    </row>
    <row r="65" spans="1:47" ht="16.5" customHeight="1">
      <c r="A65" s="53"/>
      <c r="B65" s="421" t="s">
        <v>104</v>
      </c>
      <c r="C65" s="422"/>
      <c r="D65" s="422"/>
      <c r="E65" s="422"/>
      <c r="F65" s="422"/>
      <c r="G65" s="422"/>
      <c r="H65" s="422"/>
      <c r="I65" s="422"/>
      <c r="J65" s="422"/>
      <c r="K65" s="423"/>
      <c r="L65" s="257"/>
      <c r="M65" s="258"/>
      <c r="N65" s="258"/>
      <c r="O65" s="258"/>
      <c r="P65" s="258"/>
      <c r="Q65" s="258"/>
      <c r="R65" s="258"/>
      <c r="S65" s="258"/>
      <c r="T65" s="258"/>
      <c r="U65" s="258"/>
      <c r="V65" s="258"/>
      <c r="W65" s="258"/>
      <c r="X65" s="259"/>
      <c r="Y65" s="419" t="s">
        <v>105</v>
      </c>
      <c r="Z65" s="419"/>
      <c r="AA65" s="419"/>
      <c r="AB65" s="419"/>
      <c r="AC65" s="419"/>
      <c r="AD65" s="419"/>
      <c r="AE65" s="419"/>
      <c r="AF65" s="419"/>
      <c r="AG65" s="419"/>
      <c r="AH65" s="420"/>
      <c r="AI65" s="256"/>
      <c r="AJ65" s="256"/>
      <c r="AK65" s="256"/>
      <c r="AL65" s="256"/>
      <c r="AM65" s="256"/>
      <c r="AN65" s="256"/>
      <c r="AO65" s="256"/>
      <c r="AP65" s="256"/>
      <c r="AQ65" s="256"/>
      <c r="AR65" s="256"/>
      <c r="AS65" s="256"/>
      <c r="AT65" s="256"/>
      <c r="AU65" s="256"/>
    </row>
    <row r="66" spans="1:47" ht="16.5" customHeight="1">
      <c r="A66" s="53"/>
      <c r="B66" s="420" t="s">
        <v>106</v>
      </c>
      <c r="C66" s="420"/>
      <c r="D66" s="420"/>
      <c r="E66" s="420"/>
      <c r="F66" s="420"/>
      <c r="G66" s="420"/>
      <c r="H66" s="420"/>
      <c r="I66" s="420"/>
      <c r="J66" s="420"/>
      <c r="K66" s="420"/>
      <c r="L66" s="260"/>
      <c r="M66" s="260"/>
      <c r="N66" s="260"/>
      <c r="O66" s="260"/>
      <c r="P66" s="260"/>
      <c r="Q66" s="260"/>
      <c r="R66" s="260"/>
      <c r="S66" s="260"/>
      <c r="T66" s="260"/>
      <c r="U66" s="260"/>
      <c r="V66" s="260"/>
      <c r="W66" s="260"/>
      <c r="X66" s="260"/>
      <c r="Y66" s="421" t="s">
        <v>107</v>
      </c>
      <c r="Z66" s="422"/>
      <c r="AA66" s="422"/>
      <c r="AB66" s="422"/>
      <c r="AC66" s="422"/>
      <c r="AD66" s="422"/>
      <c r="AE66" s="422"/>
      <c r="AF66" s="422"/>
      <c r="AG66" s="422"/>
      <c r="AH66" s="423"/>
      <c r="AI66" s="261">
        <f>(L64*4*4)+(AI64*4)+(L65*5)+(AI65*5)+(L66*7)</f>
        <v>0</v>
      </c>
      <c r="AJ66" s="262"/>
      <c r="AK66" s="262"/>
      <c r="AL66" s="262"/>
      <c r="AM66" s="262"/>
      <c r="AN66" s="262"/>
      <c r="AO66" s="262"/>
      <c r="AP66" s="262"/>
      <c r="AQ66" s="262"/>
      <c r="AR66" s="262"/>
      <c r="AS66" s="262"/>
      <c r="AT66" s="262"/>
      <c r="AU66" s="263"/>
    </row>
    <row r="67" spans="1:47" s="57" customFormat="1" ht="16.5" customHeight="1">
      <c r="A67" s="55"/>
      <c r="B67" s="421" t="s">
        <v>53</v>
      </c>
      <c r="C67" s="422"/>
      <c r="D67" s="422"/>
      <c r="E67" s="422"/>
      <c r="F67" s="422"/>
      <c r="G67" s="422"/>
      <c r="H67" s="422"/>
      <c r="I67" s="422"/>
      <c r="J67" s="422"/>
      <c r="K67" s="423"/>
      <c r="L67" s="113"/>
      <c r="M67" s="114"/>
      <c r="N67" s="114"/>
      <c r="O67" s="114"/>
      <c r="P67" s="114"/>
      <c r="Q67" s="114"/>
      <c r="R67" s="114"/>
      <c r="S67" s="114"/>
      <c r="T67" s="114"/>
      <c r="U67" s="114"/>
      <c r="V67" s="114"/>
      <c r="W67" s="114"/>
      <c r="X67" s="114"/>
      <c r="Y67" s="114"/>
      <c r="Z67" s="114"/>
      <c r="AA67" s="114"/>
      <c r="AB67" s="114"/>
      <c r="AC67" s="114"/>
      <c r="AD67" s="114"/>
      <c r="AE67" s="114"/>
      <c r="AF67" s="114"/>
      <c r="AG67" s="114"/>
      <c r="AH67" s="114"/>
      <c r="AI67" s="114"/>
      <c r="AJ67" s="114"/>
      <c r="AK67" s="114"/>
      <c r="AL67" s="114"/>
      <c r="AM67" s="114"/>
      <c r="AN67" s="114"/>
      <c r="AO67" s="114"/>
      <c r="AP67" s="114"/>
      <c r="AQ67" s="114"/>
      <c r="AR67" s="114"/>
      <c r="AS67" s="114"/>
      <c r="AT67" s="114"/>
      <c r="AU67" s="115"/>
    </row>
    <row r="69" spans="1:47" s="46" customFormat="1" ht="16.5" customHeight="1">
      <c r="B69" s="45" t="s">
        <v>186</v>
      </c>
    </row>
    <row r="70" spans="1:47" s="46" customFormat="1" ht="16.5" customHeight="1">
      <c r="B70" s="419" t="s">
        <v>187</v>
      </c>
      <c r="C70" s="419"/>
      <c r="D70" s="419"/>
      <c r="E70" s="419"/>
      <c r="F70" s="419"/>
      <c r="G70" s="419"/>
      <c r="H70" s="419"/>
      <c r="I70" s="419"/>
      <c r="J70" s="419"/>
      <c r="K70" s="419"/>
      <c r="L70" s="256"/>
      <c r="M70" s="256"/>
      <c r="N70" s="256"/>
      <c r="O70" s="256"/>
      <c r="P70" s="256"/>
      <c r="Q70" s="256"/>
      <c r="R70" s="256"/>
      <c r="S70" s="256"/>
      <c r="T70" s="256"/>
      <c r="U70" s="256"/>
      <c r="V70" s="256"/>
      <c r="W70" s="256"/>
      <c r="X70" s="256"/>
      <c r="Y70" s="419" t="s">
        <v>188</v>
      </c>
      <c r="Z70" s="419"/>
      <c r="AA70" s="419"/>
      <c r="AB70" s="419"/>
      <c r="AC70" s="419"/>
      <c r="AD70" s="419"/>
      <c r="AE70" s="419"/>
      <c r="AF70" s="419"/>
      <c r="AG70" s="419"/>
      <c r="AH70" s="419"/>
      <c r="AI70" s="256"/>
      <c r="AJ70" s="256"/>
      <c r="AK70" s="256"/>
      <c r="AL70" s="256"/>
      <c r="AM70" s="256"/>
      <c r="AN70" s="256"/>
      <c r="AO70" s="256"/>
      <c r="AP70" s="256"/>
      <c r="AQ70" s="256"/>
      <c r="AR70" s="256"/>
      <c r="AS70" s="256"/>
      <c r="AT70" s="256"/>
      <c r="AU70" s="256"/>
    </row>
    <row r="71" spans="1:47" s="46" customFormat="1" ht="16.5" customHeight="1">
      <c r="B71" s="419" t="s">
        <v>189</v>
      </c>
      <c r="C71" s="419"/>
      <c r="D71" s="419"/>
      <c r="E71" s="419"/>
      <c r="F71" s="419"/>
      <c r="G71" s="419"/>
      <c r="H71" s="419"/>
      <c r="I71" s="419"/>
      <c r="J71" s="419"/>
      <c r="K71" s="420"/>
      <c r="L71" s="257"/>
      <c r="M71" s="258"/>
      <c r="N71" s="258"/>
      <c r="O71" s="258"/>
      <c r="P71" s="258"/>
      <c r="Q71" s="258"/>
      <c r="R71" s="258"/>
      <c r="S71" s="258"/>
      <c r="T71" s="258"/>
      <c r="U71" s="258"/>
      <c r="V71" s="258"/>
      <c r="W71" s="258"/>
      <c r="X71" s="259"/>
      <c r="Y71" s="419" t="s">
        <v>190</v>
      </c>
      <c r="Z71" s="419"/>
      <c r="AA71" s="419"/>
      <c r="AB71" s="419"/>
      <c r="AC71" s="419"/>
      <c r="AD71" s="419"/>
      <c r="AE71" s="419"/>
      <c r="AF71" s="419"/>
      <c r="AG71" s="419"/>
      <c r="AH71" s="420"/>
      <c r="AI71" s="260"/>
      <c r="AJ71" s="260"/>
      <c r="AK71" s="260"/>
      <c r="AL71" s="260"/>
      <c r="AM71" s="260"/>
      <c r="AN71" s="260"/>
      <c r="AO71" s="260"/>
      <c r="AP71" s="260"/>
      <c r="AQ71" s="260"/>
      <c r="AR71" s="260"/>
      <c r="AS71" s="260"/>
      <c r="AT71" s="260"/>
      <c r="AU71" s="260"/>
    </row>
    <row r="72" spans="1:47" s="46" customFormat="1" ht="16.5" customHeight="1">
      <c r="B72" s="419" t="s">
        <v>191</v>
      </c>
      <c r="C72" s="419"/>
      <c r="D72" s="419"/>
      <c r="E72" s="419"/>
      <c r="F72" s="419"/>
      <c r="G72" s="419"/>
      <c r="H72" s="419"/>
      <c r="I72" s="419"/>
      <c r="J72" s="419"/>
      <c r="K72" s="420"/>
      <c r="L72" s="307" t="str">
        <f>IF(AI66=0,"",L70/(AI66/1000))</f>
        <v/>
      </c>
      <c r="M72" s="308"/>
      <c r="N72" s="308"/>
      <c r="O72" s="308"/>
      <c r="P72" s="308"/>
      <c r="Q72" s="308"/>
      <c r="R72" s="308"/>
      <c r="S72" s="308"/>
      <c r="T72" s="308"/>
      <c r="U72" s="308"/>
      <c r="V72" s="308"/>
      <c r="W72" s="308"/>
      <c r="X72" s="309"/>
      <c r="Y72" s="419" t="s">
        <v>192</v>
      </c>
      <c r="Z72" s="419"/>
      <c r="AA72" s="419"/>
      <c r="AB72" s="419"/>
      <c r="AC72" s="419"/>
      <c r="AD72" s="419"/>
      <c r="AE72" s="419"/>
      <c r="AF72" s="419"/>
      <c r="AG72" s="419"/>
      <c r="AH72" s="420"/>
      <c r="AI72" s="340" t="str">
        <f>IF(AI66=0,"",AI70/(AI66/1000))</f>
        <v/>
      </c>
      <c r="AJ72" s="340"/>
      <c r="AK72" s="340"/>
      <c r="AL72" s="340"/>
      <c r="AM72" s="340"/>
      <c r="AN72" s="340"/>
      <c r="AO72" s="340"/>
      <c r="AP72" s="340"/>
      <c r="AQ72" s="340"/>
      <c r="AR72" s="340"/>
      <c r="AS72" s="340"/>
      <c r="AT72" s="340"/>
      <c r="AU72" s="340"/>
    </row>
    <row r="73" spans="1:47" s="46" customFormat="1" ht="16.5" customHeight="1">
      <c r="B73" s="419" t="s">
        <v>193</v>
      </c>
      <c r="C73" s="419"/>
      <c r="D73" s="419"/>
      <c r="E73" s="419"/>
      <c r="F73" s="419"/>
      <c r="G73" s="419"/>
      <c r="H73" s="419"/>
      <c r="I73" s="419"/>
      <c r="J73" s="419"/>
      <c r="K73" s="420"/>
      <c r="L73" s="307" t="str">
        <f>IF(AI66=0,"",L71/(AI66/1000))</f>
        <v/>
      </c>
      <c r="M73" s="308"/>
      <c r="N73" s="308"/>
      <c r="O73" s="308"/>
      <c r="P73" s="308"/>
      <c r="Q73" s="308"/>
      <c r="R73" s="308"/>
      <c r="S73" s="308"/>
      <c r="T73" s="308"/>
      <c r="U73" s="308"/>
      <c r="V73" s="308"/>
      <c r="W73" s="308"/>
      <c r="X73" s="309"/>
      <c r="Y73" s="419" t="s">
        <v>194</v>
      </c>
      <c r="Z73" s="419"/>
      <c r="AA73" s="419"/>
      <c r="AB73" s="419"/>
      <c r="AC73" s="419"/>
      <c r="AD73" s="419"/>
      <c r="AE73" s="419"/>
      <c r="AF73" s="419"/>
      <c r="AG73" s="419"/>
      <c r="AH73" s="420"/>
      <c r="AI73" s="307" t="str">
        <f>IF(AI66=0,"",AI71/(AI66/1000))</f>
        <v/>
      </c>
      <c r="AJ73" s="308"/>
      <c r="AK73" s="308"/>
      <c r="AL73" s="308"/>
      <c r="AM73" s="308"/>
      <c r="AN73" s="308"/>
      <c r="AO73" s="308"/>
      <c r="AP73" s="308"/>
      <c r="AQ73" s="308"/>
      <c r="AR73" s="308"/>
      <c r="AS73" s="308"/>
      <c r="AT73" s="308"/>
      <c r="AU73" s="309"/>
    </row>
    <row r="74" spans="1:47" s="46" customFormat="1" ht="16.5" customHeight="1">
      <c r="B74" s="419" t="s">
        <v>195</v>
      </c>
      <c r="C74" s="419"/>
      <c r="D74" s="419"/>
      <c r="E74" s="419"/>
      <c r="F74" s="419"/>
      <c r="G74" s="419"/>
      <c r="H74" s="419"/>
      <c r="I74" s="419"/>
      <c r="J74" s="419"/>
      <c r="K74" s="420"/>
      <c r="L74" s="256"/>
      <c r="M74" s="256"/>
      <c r="N74" s="256"/>
      <c r="O74" s="256"/>
      <c r="P74" s="256"/>
      <c r="Q74" s="256"/>
      <c r="R74" s="256"/>
      <c r="S74" s="256"/>
      <c r="T74" s="256"/>
      <c r="U74" s="256"/>
      <c r="V74" s="256"/>
      <c r="W74" s="256"/>
      <c r="X74" s="256"/>
    </row>
    <row r="75" spans="1:47" s="46" customFormat="1" ht="16.5" customHeight="1">
      <c r="B75" s="45"/>
    </row>
    <row r="76" spans="1:47" s="46" customFormat="1" ht="16.5" customHeight="1">
      <c r="B76" s="45" t="s">
        <v>196</v>
      </c>
    </row>
    <row r="77" spans="1:47" s="46" customFormat="1" ht="16.5" customHeight="1">
      <c r="B77" s="419" t="s">
        <v>197</v>
      </c>
      <c r="C77" s="419"/>
      <c r="D77" s="419"/>
      <c r="E77" s="419"/>
      <c r="F77" s="419"/>
      <c r="G77" s="419"/>
      <c r="H77" s="419"/>
      <c r="I77" s="419"/>
      <c r="J77" s="419"/>
      <c r="K77" s="419"/>
      <c r="L77" s="256"/>
      <c r="M77" s="256"/>
      <c r="N77" s="256"/>
      <c r="O77" s="256"/>
      <c r="P77" s="256"/>
      <c r="Q77" s="256"/>
      <c r="R77" s="256"/>
      <c r="S77" s="256"/>
      <c r="T77" s="256"/>
      <c r="U77" s="256"/>
      <c r="V77" s="256"/>
      <c r="W77" s="256"/>
      <c r="X77" s="256"/>
      <c r="Y77" s="419" t="s">
        <v>198</v>
      </c>
      <c r="Z77" s="419"/>
      <c r="AA77" s="419"/>
      <c r="AB77" s="419"/>
      <c r="AC77" s="419"/>
      <c r="AD77" s="419"/>
      <c r="AE77" s="419"/>
      <c r="AF77" s="419"/>
      <c r="AG77" s="419"/>
      <c r="AH77" s="419"/>
      <c r="AI77" s="256"/>
      <c r="AJ77" s="256"/>
      <c r="AK77" s="256"/>
      <c r="AL77" s="256"/>
      <c r="AM77" s="256"/>
      <c r="AN77" s="256"/>
      <c r="AO77" s="256"/>
      <c r="AP77" s="256"/>
      <c r="AQ77" s="256"/>
      <c r="AR77" s="256"/>
      <c r="AS77" s="256"/>
      <c r="AT77" s="256"/>
      <c r="AU77" s="256"/>
    </row>
    <row r="78" spans="1:47" s="46" customFormat="1" ht="16.5" customHeight="1">
      <c r="B78" s="221" t="s">
        <v>199</v>
      </c>
      <c r="C78" s="222"/>
      <c r="D78" s="222"/>
      <c r="E78" s="222"/>
      <c r="F78" s="222"/>
      <c r="G78" s="222"/>
      <c r="H78" s="222"/>
      <c r="I78" s="222"/>
      <c r="J78" s="222"/>
      <c r="K78" s="223"/>
      <c r="L78" s="227"/>
      <c r="M78" s="228"/>
      <c r="N78" s="228"/>
      <c r="O78" s="228"/>
      <c r="P78" s="228"/>
      <c r="Q78" s="228"/>
      <c r="R78" s="228"/>
      <c r="S78" s="228"/>
      <c r="T78" s="228"/>
      <c r="U78" s="228"/>
      <c r="V78" s="228"/>
      <c r="W78" s="228"/>
      <c r="X78" s="228"/>
      <c r="Y78" s="228"/>
      <c r="Z78" s="228"/>
      <c r="AA78" s="228"/>
      <c r="AB78" s="228"/>
      <c r="AC78" s="228"/>
      <c r="AD78" s="228"/>
      <c r="AE78" s="228"/>
      <c r="AF78" s="228"/>
      <c r="AG78" s="228"/>
      <c r="AH78" s="228"/>
      <c r="AI78" s="228"/>
      <c r="AJ78" s="228"/>
      <c r="AK78" s="228"/>
      <c r="AL78" s="228"/>
      <c r="AM78" s="228"/>
      <c r="AN78" s="228"/>
      <c r="AO78" s="228"/>
      <c r="AP78" s="228"/>
      <c r="AQ78" s="228"/>
      <c r="AR78" s="228"/>
      <c r="AS78" s="228"/>
      <c r="AT78" s="228"/>
      <c r="AU78" s="229"/>
    </row>
    <row r="79" spans="1:47" s="46" customFormat="1" ht="16.5" customHeight="1">
      <c r="B79" s="316"/>
      <c r="C79" s="317"/>
      <c r="D79" s="317"/>
      <c r="E79" s="317"/>
      <c r="F79" s="317"/>
      <c r="G79" s="317"/>
      <c r="H79" s="317"/>
      <c r="I79" s="317"/>
      <c r="J79" s="317"/>
      <c r="K79" s="318"/>
      <c r="L79" s="304"/>
      <c r="M79" s="305"/>
      <c r="N79" s="305"/>
      <c r="O79" s="305"/>
      <c r="P79" s="305"/>
      <c r="Q79" s="305"/>
      <c r="R79" s="305"/>
      <c r="S79" s="305"/>
      <c r="T79" s="305"/>
      <c r="U79" s="305"/>
      <c r="V79" s="305"/>
      <c r="W79" s="305"/>
      <c r="X79" s="305"/>
      <c r="Y79" s="305"/>
      <c r="Z79" s="305"/>
      <c r="AA79" s="305"/>
      <c r="AB79" s="305"/>
      <c r="AC79" s="305"/>
      <c r="AD79" s="305"/>
      <c r="AE79" s="305"/>
      <c r="AF79" s="305"/>
      <c r="AG79" s="305"/>
      <c r="AH79" s="305"/>
      <c r="AI79" s="305"/>
      <c r="AJ79" s="305"/>
      <c r="AK79" s="305"/>
      <c r="AL79" s="305"/>
      <c r="AM79" s="305"/>
      <c r="AN79" s="305"/>
      <c r="AO79" s="305"/>
      <c r="AP79" s="305"/>
      <c r="AQ79" s="305"/>
      <c r="AR79" s="305"/>
      <c r="AS79" s="305"/>
      <c r="AT79" s="305"/>
      <c r="AU79" s="306"/>
    </row>
    <row r="80" spans="1:47" s="46" customFormat="1" ht="16.5" customHeight="1">
      <c r="B80" s="224"/>
      <c r="C80" s="225"/>
      <c r="D80" s="225"/>
      <c r="E80" s="225"/>
      <c r="F80" s="225"/>
      <c r="G80" s="225"/>
      <c r="H80" s="225"/>
      <c r="I80" s="225"/>
      <c r="J80" s="225"/>
      <c r="K80" s="226"/>
      <c r="L80" s="230"/>
      <c r="M80" s="231"/>
      <c r="N80" s="231"/>
      <c r="O80" s="231"/>
      <c r="P80" s="231"/>
      <c r="Q80" s="231"/>
      <c r="R80" s="231"/>
      <c r="S80" s="231"/>
      <c r="T80" s="231"/>
      <c r="U80" s="231"/>
      <c r="V80" s="231"/>
      <c r="W80" s="231"/>
      <c r="X80" s="231"/>
      <c r="Y80" s="231"/>
      <c r="Z80" s="231"/>
      <c r="AA80" s="231"/>
      <c r="AB80" s="231"/>
      <c r="AC80" s="231"/>
      <c r="AD80" s="231"/>
      <c r="AE80" s="231"/>
      <c r="AF80" s="231"/>
      <c r="AG80" s="231"/>
      <c r="AH80" s="231"/>
      <c r="AI80" s="231"/>
      <c r="AJ80" s="231"/>
      <c r="AK80" s="231"/>
      <c r="AL80" s="231"/>
      <c r="AM80" s="231"/>
      <c r="AN80" s="231"/>
      <c r="AO80" s="231"/>
      <c r="AP80" s="231"/>
      <c r="AQ80" s="231"/>
      <c r="AR80" s="231"/>
      <c r="AS80" s="231"/>
      <c r="AT80" s="231"/>
      <c r="AU80" s="232"/>
    </row>
    <row r="81" spans="2:47" s="46" customFormat="1" ht="16.5" customHeight="1">
      <c r="B81" s="221" t="s">
        <v>200</v>
      </c>
      <c r="C81" s="222"/>
      <c r="D81" s="222"/>
      <c r="E81" s="222"/>
      <c r="F81" s="222"/>
      <c r="G81" s="222"/>
      <c r="H81" s="222"/>
      <c r="I81" s="222"/>
      <c r="J81" s="222"/>
      <c r="K81" s="223"/>
      <c r="L81" s="227"/>
      <c r="M81" s="228"/>
      <c r="N81" s="228"/>
      <c r="O81" s="228"/>
      <c r="P81" s="228"/>
      <c r="Q81" s="228"/>
      <c r="R81" s="228"/>
      <c r="S81" s="228"/>
      <c r="T81" s="228"/>
      <c r="U81" s="228"/>
      <c r="V81" s="228"/>
      <c r="W81" s="228"/>
      <c r="X81" s="228"/>
      <c r="Y81" s="228"/>
      <c r="Z81" s="228"/>
      <c r="AA81" s="228"/>
      <c r="AB81" s="228"/>
      <c r="AC81" s="228"/>
      <c r="AD81" s="228"/>
      <c r="AE81" s="228"/>
      <c r="AF81" s="228"/>
      <c r="AG81" s="228"/>
      <c r="AH81" s="228"/>
      <c r="AI81" s="228"/>
      <c r="AJ81" s="228"/>
      <c r="AK81" s="228"/>
      <c r="AL81" s="228"/>
      <c r="AM81" s="228"/>
      <c r="AN81" s="228"/>
      <c r="AO81" s="228"/>
      <c r="AP81" s="228"/>
      <c r="AQ81" s="228"/>
      <c r="AR81" s="228"/>
      <c r="AS81" s="228"/>
      <c r="AT81" s="228"/>
      <c r="AU81" s="229"/>
    </row>
    <row r="82" spans="2:47" s="46" customFormat="1" ht="16.5" customHeight="1">
      <c r="B82" s="316"/>
      <c r="C82" s="317"/>
      <c r="D82" s="317"/>
      <c r="E82" s="317"/>
      <c r="F82" s="317"/>
      <c r="G82" s="317"/>
      <c r="H82" s="317"/>
      <c r="I82" s="317"/>
      <c r="J82" s="317"/>
      <c r="K82" s="318"/>
      <c r="L82" s="304"/>
      <c r="M82" s="305"/>
      <c r="N82" s="305"/>
      <c r="O82" s="305"/>
      <c r="P82" s="305"/>
      <c r="Q82" s="305"/>
      <c r="R82" s="305"/>
      <c r="S82" s="305"/>
      <c r="T82" s="305"/>
      <c r="U82" s="305"/>
      <c r="V82" s="305"/>
      <c r="W82" s="305"/>
      <c r="X82" s="305"/>
      <c r="Y82" s="305"/>
      <c r="Z82" s="305"/>
      <c r="AA82" s="305"/>
      <c r="AB82" s="305"/>
      <c r="AC82" s="305"/>
      <c r="AD82" s="305"/>
      <c r="AE82" s="305"/>
      <c r="AF82" s="305"/>
      <c r="AG82" s="305"/>
      <c r="AH82" s="305"/>
      <c r="AI82" s="305"/>
      <c r="AJ82" s="305"/>
      <c r="AK82" s="305"/>
      <c r="AL82" s="305"/>
      <c r="AM82" s="305"/>
      <c r="AN82" s="305"/>
      <c r="AO82" s="305"/>
      <c r="AP82" s="305"/>
      <c r="AQ82" s="305"/>
      <c r="AR82" s="305"/>
      <c r="AS82" s="305"/>
      <c r="AT82" s="305"/>
      <c r="AU82" s="306"/>
    </row>
    <row r="83" spans="2:47" s="46" customFormat="1" ht="16.5" customHeight="1">
      <c r="B83" s="224"/>
      <c r="C83" s="225"/>
      <c r="D83" s="225"/>
      <c r="E83" s="225"/>
      <c r="F83" s="225"/>
      <c r="G83" s="225"/>
      <c r="H83" s="225"/>
      <c r="I83" s="225"/>
      <c r="J83" s="225"/>
      <c r="K83" s="226"/>
      <c r="L83" s="230"/>
      <c r="M83" s="231"/>
      <c r="N83" s="231"/>
      <c r="O83" s="231"/>
      <c r="P83" s="231"/>
      <c r="Q83" s="231"/>
      <c r="R83" s="231"/>
      <c r="S83" s="231"/>
      <c r="T83" s="231"/>
      <c r="U83" s="231"/>
      <c r="V83" s="231"/>
      <c r="W83" s="231"/>
      <c r="X83" s="231"/>
      <c r="Y83" s="231"/>
      <c r="Z83" s="231"/>
      <c r="AA83" s="231"/>
      <c r="AB83" s="231"/>
      <c r="AC83" s="231"/>
      <c r="AD83" s="231"/>
      <c r="AE83" s="231"/>
      <c r="AF83" s="231"/>
      <c r="AG83" s="231"/>
      <c r="AH83" s="231"/>
      <c r="AI83" s="231"/>
      <c r="AJ83" s="231"/>
      <c r="AK83" s="231"/>
      <c r="AL83" s="231"/>
      <c r="AM83" s="231"/>
      <c r="AN83" s="231"/>
      <c r="AO83" s="231"/>
      <c r="AP83" s="231"/>
      <c r="AQ83" s="231"/>
      <c r="AR83" s="231"/>
      <c r="AS83" s="231"/>
      <c r="AT83" s="231"/>
      <c r="AU83" s="232"/>
    </row>
    <row r="84" spans="2:47" s="46" customFormat="1" ht="16.5" customHeight="1">
      <c r="B84" s="221" t="s">
        <v>201</v>
      </c>
      <c r="C84" s="222"/>
      <c r="D84" s="222"/>
      <c r="E84" s="222"/>
      <c r="F84" s="222"/>
      <c r="G84" s="222"/>
      <c r="H84" s="222"/>
      <c r="I84" s="222"/>
      <c r="J84" s="222"/>
      <c r="K84" s="223"/>
      <c r="L84" s="227"/>
      <c r="M84" s="228"/>
      <c r="N84" s="228"/>
      <c r="O84" s="228"/>
      <c r="P84" s="228"/>
      <c r="Q84" s="228"/>
      <c r="R84" s="228"/>
      <c r="S84" s="228"/>
      <c r="T84" s="228"/>
      <c r="U84" s="228"/>
      <c r="V84" s="228"/>
      <c r="W84" s="228"/>
      <c r="X84" s="228"/>
      <c r="Y84" s="228"/>
      <c r="Z84" s="228"/>
      <c r="AA84" s="228"/>
      <c r="AB84" s="228"/>
      <c r="AC84" s="228"/>
      <c r="AD84" s="228"/>
      <c r="AE84" s="228"/>
      <c r="AF84" s="228"/>
      <c r="AG84" s="228"/>
      <c r="AH84" s="228"/>
      <c r="AI84" s="228"/>
      <c r="AJ84" s="228"/>
      <c r="AK84" s="228"/>
      <c r="AL84" s="228"/>
      <c r="AM84" s="228"/>
      <c r="AN84" s="228"/>
      <c r="AO84" s="228"/>
      <c r="AP84" s="228"/>
      <c r="AQ84" s="228"/>
      <c r="AR84" s="228"/>
      <c r="AS84" s="228"/>
      <c r="AT84" s="228"/>
      <c r="AU84" s="229"/>
    </row>
    <row r="85" spans="2:47" s="46" customFormat="1" ht="16.5" customHeight="1">
      <c r="B85" s="316"/>
      <c r="C85" s="317"/>
      <c r="D85" s="317"/>
      <c r="E85" s="317"/>
      <c r="F85" s="317"/>
      <c r="G85" s="317"/>
      <c r="H85" s="317"/>
      <c r="I85" s="317"/>
      <c r="J85" s="317"/>
      <c r="K85" s="318"/>
      <c r="L85" s="304"/>
      <c r="M85" s="305"/>
      <c r="N85" s="305"/>
      <c r="O85" s="305"/>
      <c r="P85" s="305"/>
      <c r="Q85" s="305"/>
      <c r="R85" s="305"/>
      <c r="S85" s="305"/>
      <c r="T85" s="305"/>
      <c r="U85" s="305"/>
      <c r="V85" s="305"/>
      <c r="W85" s="305"/>
      <c r="X85" s="305"/>
      <c r="Y85" s="305"/>
      <c r="Z85" s="305"/>
      <c r="AA85" s="305"/>
      <c r="AB85" s="305"/>
      <c r="AC85" s="305"/>
      <c r="AD85" s="305"/>
      <c r="AE85" s="305"/>
      <c r="AF85" s="305"/>
      <c r="AG85" s="305"/>
      <c r="AH85" s="305"/>
      <c r="AI85" s="305"/>
      <c r="AJ85" s="305"/>
      <c r="AK85" s="305"/>
      <c r="AL85" s="305"/>
      <c r="AM85" s="305"/>
      <c r="AN85" s="305"/>
      <c r="AO85" s="305"/>
      <c r="AP85" s="305"/>
      <c r="AQ85" s="305"/>
      <c r="AR85" s="305"/>
      <c r="AS85" s="305"/>
      <c r="AT85" s="305"/>
      <c r="AU85" s="306"/>
    </row>
    <row r="86" spans="2:47" s="46" customFormat="1" ht="16.5" customHeight="1">
      <c r="B86" s="224"/>
      <c r="C86" s="225"/>
      <c r="D86" s="225"/>
      <c r="E86" s="225"/>
      <c r="F86" s="225"/>
      <c r="G86" s="225"/>
      <c r="H86" s="225"/>
      <c r="I86" s="225"/>
      <c r="J86" s="225"/>
      <c r="K86" s="226"/>
      <c r="L86" s="230"/>
      <c r="M86" s="231"/>
      <c r="N86" s="231"/>
      <c r="O86" s="231"/>
      <c r="P86" s="231"/>
      <c r="Q86" s="231"/>
      <c r="R86" s="231"/>
      <c r="S86" s="231"/>
      <c r="T86" s="231"/>
      <c r="U86" s="231"/>
      <c r="V86" s="231"/>
      <c r="W86" s="231"/>
      <c r="X86" s="231"/>
      <c r="Y86" s="231"/>
      <c r="Z86" s="231"/>
      <c r="AA86" s="231"/>
      <c r="AB86" s="231"/>
      <c r="AC86" s="231"/>
      <c r="AD86" s="231"/>
      <c r="AE86" s="231"/>
      <c r="AF86" s="231"/>
      <c r="AG86" s="231"/>
      <c r="AH86" s="231"/>
      <c r="AI86" s="231"/>
      <c r="AJ86" s="231"/>
      <c r="AK86" s="231"/>
      <c r="AL86" s="231"/>
      <c r="AM86" s="231"/>
      <c r="AN86" s="231"/>
      <c r="AO86" s="231"/>
      <c r="AP86" s="231"/>
      <c r="AQ86" s="231"/>
      <c r="AR86" s="231"/>
      <c r="AS86" s="231"/>
      <c r="AT86" s="231"/>
      <c r="AU86" s="232"/>
    </row>
    <row r="87" spans="2:47" ht="16.5" customHeight="1">
      <c r="B87" s="233" t="s">
        <v>202</v>
      </c>
      <c r="C87" s="233"/>
      <c r="D87" s="233"/>
      <c r="E87" s="233"/>
      <c r="F87" s="233"/>
      <c r="G87" s="233"/>
      <c r="H87" s="233"/>
      <c r="I87" s="233"/>
      <c r="J87" s="233"/>
      <c r="K87" s="233"/>
      <c r="L87" s="234"/>
      <c r="M87" s="234"/>
      <c r="N87" s="234"/>
      <c r="O87" s="234"/>
      <c r="P87" s="234"/>
      <c r="Q87" s="234"/>
      <c r="R87" s="234"/>
      <c r="S87" s="234"/>
      <c r="T87" s="234"/>
      <c r="U87" s="234"/>
      <c r="V87" s="234"/>
      <c r="W87" s="234"/>
      <c r="X87" s="234"/>
      <c r="Y87" s="234"/>
      <c r="Z87" s="234"/>
      <c r="AA87" s="234"/>
      <c r="AB87" s="234"/>
      <c r="AC87" s="234"/>
      <c r="AD87" s="234"/>
      <c r="AE87" s="234"/>
      <c r="AF87" s="234"/>
      <c r="AG87" s="234"/>
      <c r="AH87" s="234"/>
      <c r="AI87" s="234"/>
      <c r="AJ87" s="234"/>
      <c r="AK87" s="234"/>
      <c r="AL87" s="234"/>
      <c r="AM87" s="234"/>
      <c r="AN87" s="234"/>
      <c r="AO87" s="234"/>
      <c r="AP87" s="234"/>
      <c r="AQ87" s="234"/>
      <c r="AR87" s="234"/>
      <c r="AS87" s="234"/>
      <c r="AT87" s="234"/>
      <c r="AU87" s="234"/>
    </row>
    <row r="88" spans="2:47" ht="16.5" customHeight="1">
      <c r="B88" s="233"/>
      <c r="C88" s="233"/>
      <c r="D88" s="233"/>
      <c r="E88" s="233"/>
      <c r="F88" s="233"/>
      <c r="G88" s="233"/>
      <c r="H88" s="233"/>
      <c r="I88" s="233"/>
      <c r="J88" s="233"/>
      <c r="K88" s="233"/>
      <c r="L88" s="234"/>
      <c r="M88" s="234"/>
      <c r="N88" s="234"/>
      <c r="O88" s="234"/>
      <c r="P88" s="234"/>
      <c r="Q88" s="234"/>
      <c r="R88" s="234"/>
      <c r="S88" s="234"/>
      <c r="T88" s="234"/>
      <c r="U88" s="234"/>
      <c r="V88" s="234"/>
      <c r="W88" s="234"/>
      <c r="X88" s="234"/>
      <c r="Y88" s="234"/>
      <c r="Z88" s="234"/>
      <c r="AA88" s="234"/>
      <c r="AB88" s="234"/>
      <c r="AC88" s="234"/>
      <c r="AD88" s="234"/>
      <c r="AE88" s="234"/>
      <c r="AF88" s="234"/>
      <c r="AG88" s="234"/>
      <c r="AH88" s="234"/>
      <c r="AI88" s="234"/>
      <c r="AJ88" s="234"/>
      <c r="AK88" s="234"/>
      <c r="AL88" s="234"/>
      <c r="AM88" s="234"/>
      <c r="AN88" s="234"/>
      <c r="AO88" s="234"/>
      <c r="AP88" s="234"/>
      <c r="AQ88" s="234"/>
      <c r="AR88" s="234"/>
      <c r="AS88" s="234"/>
      <c r="AT88" s="234"/>
      <c r="AU88" s="234"/>
    </row>
    <row r="89" spans="2:47" ht="16.5" customHeight="1">
      <c r="B89" s="233"/>
      <c r="C89" s="233"/>
      <c r="D89" s="233"/>
      <c r="E89" s="233"/>
      <c r="F89" s="233"/>
      <c r="G89" s="233"/>
      <c r="H89" s="233"/>
      <c r="I89" s="233"/>
      <c r="J89" s="233"/>
      <c r="K89" s="233"/>
      <c r="L89" s="234"/>
      <c r="M89" s="234"/>
      <c r="N89" s="234"/>
      <c r="O89" s="234"/>
      <c r="P89" s="234"/>
      <c r="Q89" s="234"/>
      <c r="R89" s="234"/>
      <c r="S89" s="234"/>
      <c r="T89" s="234"/>
      <c r="U89" s="234"/>
      <c r="V89" s="234"/>
      <c r="W89" s="234"/>
      <c r="X89" s="234"/>
      <c r="Y89" s="234"/>
      <c r="Z89" s="234"/>
      <c r="AA89" s="234"/>
      <c r="AB89" s="234"/>
      <c r="AC89" s="234"/>
      <c r="AD89" s="234"/>
      <c r="AE89" s="234"/>
      <c r="AF89" s="234"/>
      <c r="AG89" s="234"/>
      <c r="AH89" s="234"/>
      <c r="AI89" s="234"/>
      <c r="AJ89" s="234"/>
      <c r="AK89" s="234"/>
      <c r="AL89" s="234"/>
      <c r="AM89" s="234"/>
      <c r="AN89" s="234"/>
      <c r="AO89" s="234"/>
      <c r="AP89" s="234"/>
      <c r="AQ89" s="234"/>
      <c r="AR89" s="234"/>
      <c r="AS89" s="234"/>
      <c r="AT89" s="234"/>
      <c r="AU89" s="234"/>
    </row>
    <row r="90" spans="2:47" s="46" customFormat="1" ht="16.5" customHeight="1">
      <c r="B90" s="45"/>
    </row>
    <row r="91" spans="2:47" s="46" customFormat="1" ht="16.5" customHeight="1">
      <c r="B91" s="75" t="s">
        <v>203</v>
      </c>
      <c r="C91" s="51"/>
      <c r="D91" s="51"/>
      <c r="E91" s="51"/>
      <c r="F91" s="51"/>
      <c r="G91" s="51"/>
      <c r="H91" s="51"/>
      <c r="I91" s="51"/>
      <c r="J91" s="51"/>
      <c r="K91" s="51"/>
      <c r="L91" s="51"/>
      <c r="M91" s="51"/>
      <c r="N91" s="51"/>
      <c r="O91" s="51"/>
      <c r="P91" s="51"/>
      <c r="Q91" s="51"/>
      <c r="R91" s="51"/>
      <c r="S91" s="51"/>
      <c r="T91" s="51"/>
      <c r="U91" s="51"/>
      <c r="V91" s="51"/>
      <c r="W91" s="51"/>
      <c r="X91" s="51"/>
      <c r="Y91" s="51"/>
      <c r="Z91" s="51"/>
      <c r="AA91" s="51"/>
      <c r="AB91" s="51"/>
      <c r="AC91" s="51"/>
      <c r="AD91" s="51"/>
      <c r="AE91" s="51"/>
      <c r="AF91" s="51"/>
      <c r="AG91" s="51"/>
      <c r="AH91" s="51"/>
      <c r="AI91" s="51"/>
      <c r="AJ91" s="51"/>
      <c r="AK91" s="51"/>
      <c r="AL91" s="51"/>
      <c r="AM91" s="51"/>
      <c r="AN91" s="51"/>
      <c r="AO91" s="51"/>
      <c r="AP91" s="51"/>
      <c r="AQ91" s="51"/>
      <c r="AR91" s="51"/>
      <c r="AS91" s="51"/>
      <c r="AT91" s="51"/>
      <c r="AU91" s="51"/>
    </row>
    <row r="92" spans="2:47" s="46" customFormat="1" ht="16.5" customHeight="1">
      <c r="B92" s="180" t="s">
        <v>114</v>
      </c>
      <c r="C92" s="181"/>
      <c r="D92" s="181"/>
      <c r="E92" s="181"/>
      <c r="F92" s="181"/>
      <c r="G92" s="181"/>
      <c r="H92" s="181"/>
      <c r="I92" s="181"/>
      <c r="J92" s="181"/>
      <c r="K92" s="182"/>
      <c r="L92" s="177" t="s">
        <v>115</v>
      </c>
      <c r="M92" s="178"/>
      <c r="N92" s="178"/>
      <c r="O92" s="179"/>
      <c r="P92" s="177" t="s">
        <v>116</v>
      </c>
      <c r="Q92" s="178"/>
      <c r="R92" s="178"/>
      <c r="S92" s="179"/>
      <c r="T92" s="177" t="s">
        <v>117</v>
      </c>
      <c r="U92" s="178"/>
      <c r="V92" s="178"/>
      <c r="W92" s="179"/>
      <c r="X92" s="177" t="s">
        <v>118</v>
      </c>
      <c r="Y92" s="178"/>
      <c r="Z92" s="178"/>
      <c r="AA92" s="179"/>
      <c r="AB92" s="177" t="s">
        <v>119</v>
      </c>
      <c r="AC92" s="178"/>
      <c r="AD92" s="178"/>
      <c r="AE92" s="179"/>
      <c r="AF92" s="177" t="s">
        <v>120</v>
      </c>
      <c r="AG92" s="178"/>
      <c r="AH92" s="178"/>
      <c r="AI92" s="179"/>
      <c r="AJ92" s="177" t="s">
        <v>121</v>
      </c>
      <c r="AK92" s="178"/>
      <c r="AL92" s="178"/>
      <c r="AM92" s="179"/>
      <c r="AN92" s="177" t="s">
        <v>122</v>
      </c>
      <c r="AO92" s="178"/>
      <c r="AP92" s="178"/>
      <c r="AQ92" s="179"/>
      <c r="AR92" s="177" t="s">
        <v>123</v>
      </c>
      <c r="AS92" s="178"/>
      <c r="AT92" s="178"/>
      <c r="AU92" s="179"/>
    </row>
    <row r="93" spans="2:47" s="46" customFormat="1" ht="16.5" customHeight="1">
      <c r="B93" s="117" t="s">
        <v>124</v>
      </c>
      <c r="C93" s="118"/>
      <c r="D93" s="118"/>
      <c r="E93" s="118"/>
      <c r="F93" s="118"/>
      <c r="G93" s="118"/>
      <c r="H93" s="118"/>
      <c r="I93" s="118"/>
      <c r="J93" s="118"/>
      <c r="K93" s="119"/>
      <c r="L93" s="120"/>
      <c r="M93" s="121"/>
      <c r="N93" s="121"/>
      <c r="O93" s="122"/>
      <c r="P93" s="120"/>
      <c r="Q93" s="121"/>
      <c r="R93" s="121"/>
      <c r="S93" s="122"/>
      <c r="T93" s="123" t="str">
        <f t="shared" ref="T93:T102" si="0">IF(OR(L93="",P93=""),"",(P93-L93)/30)</f>
        <v/>
      </c>
      <c r="U93" s="124"/>
      <c r="V93" s="124"/>
      <c r="W93" s="125"/>
      <c r="X93" s="126"/>
      <c r="Y93" s="127"/>
      <c r="Z93" s="127"/>
      <c r="AA93" s="128"/>
      <c r="AB93" s="129"/>
      <c r="AC93" s="130"/>
      <c r="AD93" s="130"/>
      <c r="AE93" s="131"/>
      <c r="AF93" s="132" t="str">
        <f>IF(X93="","",AB93/X93)</f>
        <v/>
      </c>
      <c r="AG93" s="133"/>
      <c r="AH93" s="133"/>
      <c r="AI93" s="134"/>
      <c r="AJ93" s="129"/>
      <c r="AK93" s="130"/>
      <c r="AL93" s="130"/>
      <c r="AM93" s="131"/>
      <c r="AN93" s="132" t="str">
        <f>IF(AB93="","",AB93-AJ93)</f>
        <v/>
      </c>
      <c r="AO93" s="133"/>
      <c r="AP93" s="133"/>
      <c r="AQ93" s="134"/>
      <c r="AR93" s="141" t="str">
        <f>IF(AB93="","",AN93/AB93)</f>
        <v/>
      </c>
      <c r="AS93" s="142"/>
      <c r="AT93" s="142"/>
      <c r="AU93" s="143"/>
    </row>
    <row r="94" spans="2:47" s="46" customFormat="1" ht="16.5" customHeight="1">
      <c r="B94" s="117" t="s">
        <v>125</v>
      </c>
      <c r="C94" s="118"/>
      <c r="D94" s="118"/>
      <c r="E94" s="118"/>
      <c r="F94" s="118"/>
      <c r="G94" s="118"/>
      <c r="H94" s="118"/>
      <c r="I94" s="118"/>
      <c r="J94" s="118"/>
      <c r="K94" s="119"/>
      <c r="L94" s="120"/>
      <c r="M94" s="121"/>
      <c r="N94" s="121"/>
      <c r="O94" s="122"/>
      <c r="P94" s="120"/>
      <c r="Q94" s="121"/>
      <c r="R94" s="121"/>
      <c r="S94" s="122"/>
      <c r="T94" s="123" t="str">
        <f t="shared" si="0"/>
        <v/>
      </c>
      <c r="U94" s="124"/>
      <c r="V94" s="124"/>
      <c r="W94" s="125"/>
      <c r="X94" s="126"/>
      <c r="Y94" s="127"/>
      <c r="Z94" s="127"/>
      <c r="AA94" s="128"/>
      <c r="AB94" s="129"/>
      <c r="AC94" s="130"/>
      <c r="AD94" s="130"/>
      <c r="AE94" s="131"/>
      <c r="AF94" s="132" t="str">
        <f>IF(X94="","",AB94/X94)</f>
        <v/>
      </c>
      <c r="AG94" s="133"/>
      <c r="AH94" s="133"/>
      <c r="AI94" s="134"/>
      <c r="AJ94" s="129"/>
      <c r="AK94" s="130"/>
      <c r="AL94" s="130"/>
      <c r="AM94" s="131"/>
      <c r="AN94" s="132" t="str">
        <f t="shared" ref="AN94:AN103" si="1">IF(AB94="","",AB94-AJ94)</f>
        <v/>
      </c>
      <c r="AO94" s="133"/>
      <c r="AP94" s="133"/>
      <c r="AQ94" s="134"/>
      <c r="AR94" s="141" t="str">
        <f t="shared" ref="AR94:AR103" si="2">IF(AB94="","",AN94/AB94)</f>
        <v/>
      </c>
      <c r="AS94" s="142"/>
      <c r="AT94" s="142"/>
      <c r="AU94" s="143"/>
    </row>
    <row r="95" spans="2:47" s="46" customFormat="1" ht="16.5" customHeight="1">
      <c r="B95" s="117" t="s">
        <v>126</v>
      </c>
      <c r="C95" s="118"/>
      <c r="D95" s="118"/>
      <c r="E95" s="118"/>
      <c r="F95" s="118"/>
      <c r="G95" s="118"/>
      <c r="H95" s="118"/>
      <c r="I95" s="118"/>
      <c r="J95" s="118"/>
      <c r="K95" s="119"/>
      <c r="L95" s="120"/>
      <c r="M95" s="121"/>
      <c r="N95" s="121"/>
      <c r="O95" s="122"/>
      <c r="P95" s="120"/>
      <c r="Q95" s="121"/>
      <c r="R95" s="121"/>
      <c r="S95" s="122"/>
      <c r="T95" s="123" t="str">
        <f t="shared" si="0"/>
        <v/>
      </c>
      <c r="U95" s="124"/>
      <c r="V95" s="124"/>
      <c r="W95" s="125"/>
      <c r="X95" s="126"/>
      <c r="Y95" s="127"/>
      <c r="Z95" s="127"/>
      <c r="AA95" s="128"/>
      <c r="AB95" s="129"/>
      <c r="AC95" s="130"/>
      <c r="AD95" s="130"/>
      <c r="AE95" s="131"/>
      <c r="AF95" s="132" t="str">
        <f t="shared" ref="AF95:AF102" si="3">IF(X95="","",AB95/X95)</f>
        <v/>
      </c>
      <c r="AG95" s="133"/>
      <c r="AH95" s="133"/>
      <c r="AI95" s="134"/>
      <c r="AJ95" s="129"/>
      <c r="AK95" s="130"/>
      <c r="AL95" s="130"/>
      <c r="AM95" s="131"/>
      <c r="AN95" s="132" t="str">
        <f t="shared" si="1"/>
        <v/>
      </c>
      <c r="AO95" s="133"/>
      <c r="AP95" s="133"/>
      <c r="AQ95" s="134"/>
      <c r="AR95" s="141" t="str">
        <f t="shared" si="2"/>
        <v/>
      </c>
      <c r="AS95" s="142"/>
      <c r="AT95" s="142"/>
      <c r="AU95" s="143"/>
    </row>
    <row r="96" spans="2:47" s="46" customFormat="1" ht="16.5" customHeight="1">
      <c r="B96" s="117" t="s">
        <v>127</v>
      </c>
      <c r="C96" s="118"/>
      <c r="D96" s="118"/>
      <c r="E96" s="118"/>
      <c r="F96" s="118"/>
      <c r="G96" s="118"/>
      <c r="H96" s="118"/>
      <c r="I96" s="118"/>
      <c r="J96" s="118"/>
      <c r="K96" s="119"/>
      <c r="L96" s="120"/>
      <c r="M96" s="121"/>
      <c r="N96" s="121"/>
      <c r="O96" s="122"/>
      <c r="P96" s="120"/>
      <c r="Q96" s="121"/>
      <c r="R96" s="121"/>
      <c r="S96" s="122"/>
      <c r="T96" s="123" t="str">
        <f t="shared" si="0"/>
        <v/>
      </c>
      <c r="U96" s="124"/>
      <c r="V96" s="124"/>
      <c r="W96" s="125"/>
      <c r="X96" s="126"/>
      <c r="Y96" s="127"/>
      <c r="Z96" s="127"/>
      <c r="AA96" s="128"/>
      <c r="AB96" s="129"/>
      <c r="AC96" s="130"/>
      <c r="AD96" s="130"/>
      <c r="AE96" s="131"/>
      <c r="AF96" s="132" t="str">
        <f t="shared" si="3"/>
        <v/>
      </c>
      <c r="AG96" s="133"/>
      <c r="AH96" s="133"/>
      <c r="AI96" s="134"/>
      <c r="AJ96" s="129"/>
      <c r="AK96" s="130"/>
      <c r="AL96" s="130"/>
      <c r="AM96" s="131"/>
      <c r="AN96" s="132" t="str">
        <f t="shared" si="1"/>
        <v/>
      </c>
      <c r="AO96" s="133"/>
      <c r="AP96" s="133"/>
      <c r="AQ96" s="134"/>
      <c r="AR96" s="141" t="str">
        <f t="shared" si="2"/>
        <v/>
      </c>
      <c r="AS96" s="142"/>
      <c r="AT96" s="142"/>
      <c r="AU96" s="143"/>
    </row>
    <row r="97" spans="1:47" s="46" customFormat="1" ht="16.5" customHeight="1">
      <c r="B97" s="117" t="s">
        <v>128</v>
      </c>
      <c r="C97" s="118"/>
      <c r="D97" s="118"/>
      <c r="E97" s="118"/>
      <c r="F97" s="118"/>
      <c r="G97" s="118"/>
      <c r="H97" s="118"/>
      <c r="I97" s="118"/>
      <c r="J97" s="118"/>
      <c r="K97" s="119"/>
      <c r="L97" s="120"/>
      <c r="M97" s="121"/>
      <c r="N97" s="121"/>
      <c r="O97" s="122"/>
      <c r="P97" s="120"/>
      <c r="Q97" s="121"/>
      <c r="R97" s="121"/>
      <c r="S97" s="122"/>
      <c r="T97" s="123" t="str">
        <f t="shared" si="0"/>
        <v/>
      </c>
      <c r="U97" s="124"/>
      <c r="V97" s="124"/>
      <c r="W97" s="125"/>
      <c r="X97" s="126"/>
      <c r="Y97" s="127"/>
      <c r="Z97" s="127"/>
      <c r="AA97" s="128"/>
      <c r="AB97" s="129"/>
      <c r="AC97" s="130"/>
      <c r="AD97" s="130"/>
      <c r="AE97" s="131"/>
      <c r="AF97" s="132" t="str">
        <f t="shared" si="3"/>
        <v/>
      </c>
      <c r="AG97" s="133"/>
      <c r="AH97" s="133"/>
      <c r="AI97" s="134"/>
      <c r="AJ97" s="129"/>
      <c r="AK97" s="130"/>
      <c r="AL97" s="130"/>
      <c r="AM97" s="131"/>
      <c r="AN97" s="132" t="str">
        <f t="shared" si="1"/>
        <v/>
      </c>
      <c r="AO97" s="133"/>
      <c r="AP97" s="133"/>
      <c r="AQ97" s="134"/>
      <c r="AR97" s="141" t="str">
        <f t="shared" si="2"/>
        <v/>
      </c>
      <c r="AS97" s="142"/>
      <c r="AT97" s="142"/>
      <c r="AU97" s="143"/>
    </row>
    <row r="98" spans="1:47" ht="16.5" customHeight="1">
      <c r="B98" s="117" t="s">
        <v>129</v>
      </c>
      <c r="C98" s="118"/>
      <c r="D98" s="118"/>
      <c r="E98" s="118"/>
      <c r="F98" s="118"/>
      <c r="G98" s="118"/>
      <c r="H98" s="118"/>
      <c r="I98" s="118"/>
      <c r="J98" s="118"/>
      <c r="K98" s="119"/>
      <c r="L98" s="120"/>
      <c r="M98" s="121"/>
      <c r="N98" s="121"/>
      <c r="O98" s="122"/>
      <c r="P98" s="120"/>
      <c r="Q98" s="121"/>
      <c r="R98" s="121"/>
      <c r="S98" s="122"/>
      <c r="T98" s="123" t="str">
        <f t="shared" si="0"/>
        <v/>
      </c>
      <c r="U98" s="124"/>
      <c r="V98" s="124"/>
      <c r="W98" s="125"/>
      <c r="X98" s="126"/>
      <c r="Y98" s="127"/>
      <c r="Z98" s="127"/>
      <c r="AA98" s="128"/>
      <c r="AB98" s="129"/>
      <c r="AC98" s="130"/>
      <c r="AD98" s="130"/>
      <c r="AE98" s="131"/>
      <c r="AF98" s="132" t="str">
        <f t="shared" si="3"/>
        <v/>
      </c>
      <c r="AG98" s="133"/>
      <c r="AH98" s="133"/>
      <c r="AI98" s="134"/>
      <c r="AJ98" s="129"/>
      <c r="AK98" s="130"/>
      <c r="AL98" s="130"/>
      <c r="AM98" s="131"/>
      <c r="AN98" s="132" t="str">
        <f t="shared" si="1"/>
        <v/>
      </c>
      <c r="AO98" s="133"/>
      <c r="AP98" s="133"/>
      <c r="AQ98" s="134"/>
      <c r="AR98" s="141" t="str">
        <f t="shared" si="2"/>
        <v/>
      </c>
      <c r="AS98" s="142"/>
      <c r="AT98" s="142"/>
      <c r="AU98" s="143"/>
    </row>
    <row r="99" spans="1:47" ht="16.5" customHeight="1">
      <c r="B99" s="117" t="s">
        <v>130</v>
      </c>
      <c r="C99" s="118"/>
      <c r="D99" s="118"/>
      <c r="E99" s="118"/>
      <c r="F99" s="118"/>
      <c r="G99" s="118"/>
      <c r="H99" s="118"/>
      <c r="I99" s="118"/>
      <c r="J99" s="118"/>
      <c r="K99" s="119"/>
      <c r="L99" s="120"/>
      <c r="M99" s="121"/>
      <c r="N99" s="121"/>
      <c r="O99" s="122"/>
      <c r="P99" s="120"/>
      <c r="Q99" s="121"/>
      <c r="R99" s="121"/>
      <c r="S99" s="122"/>
      <c r="T99" s="123" t="str">
        <f t="shared" si="0"/>
        <v/>
      </c>
      <c r="U99" s="124"/>
      <c r="V99" s="124"/>
      <c r="W99" s="125"/>
      <c r="X99" s="126"/>
      <c r="Y99" s="127"/>
      <c r="Z99" s="127"/>
      <c r="AA99" s="128"/>
      <c r="AB99" s="129"/>
      <c r="AC99" s="130"/>
      <c r="AD99" s="130"/>
      <c r="AE99" s="131"/>
      <c r="AF99" s="132" t="str">
        <f t="shared" si="3"/>
        <v/>
      </c>
      <c r="AG99" s="133"/>
      <c r="AH99" s="133"/>
      <c r="AI99" s="134"/>
      <c r="AJ99" s="129"/>
      <c r="AK99" s="130"/>
      <c r="AL99" s="130"/>
      <c r="AM99" s="131"/>
      <c r="AN99" s="132" t="str">
        <f t="shared" si="1"/>
        <v/>
      </c>
      <c r="AO99" s="133"/>
      <c r="AP99" s="133"/>
      <c r="AQ99" s="134"/>
      <c r="AR99" s="141" t="str">
        <f t="shared" si="2"/>
        <v/>
      </c>
      <c r="AS99" s="142"/>
      <c r="AT99" s="142"/>
      <c r="AU99" s="143"/>
    </row>
    <row r="100" spans="1:47" ht="16.5" customHeight="1">
      <c r="B100" s="117" t="s">
        <v>131</v>
      </c>
      <c r="C100" s="118"/>
      <c r="D100" s="118"/>
      <c r="E100" s="118"/>
      <c r="F100" s="118"/>
      <c r="G100" s="118"/>
      <c r="H100" s="118"/>
      <c r="I100" s="118"/>
      <c r="J100" s="118"/>
      <c r="K100" s="119"/>
      <c r="L100" s="120"/>
      <c r="M100" s="121"/>
      <c r="N100" s="121"/>
      <c r="O100" s="122"/>
      <c r="P100" s="120"/>
      <c r="Q100" s="121"/>
      <c r="R100" s="121"/>
      <c r="S100" s="122"/>
      <c r="T100" s="123" t="str">
        <f t="shared" si="0"/>
        <v/>
      </c>
      <c r="U100" s="124"/>
      <c r="V100" s="124"/>
      <c r="W100" s="125"/>
      <c r="X100" s="126"/>
      <c r="Y100" s="127"/>
      <c r="Z100" s="127"/>
      <c r="AA100" s="128"/>
      <c r="AB100" s="129"/>
      <c r="AC100" s="130"/>
      <c r="AD100" s="130"/>
      <c r="AE100" s="131"/>
      <c r="AF100" s="132" t="str">
        <f t="shared" si="3"/>
        <v/>
      </c>
      <c r="AG100" s="133"/>
      <c r="AH100" s="133"/>
      <c r="AI100" s="134"/>
      <c r="AJ100" s="129"/>
      <c r="AK100" s="130"/>
      <c r="AL100" s="130"/>
      <c r="AM100" s="131"/>
      <c r="AN100" s="132" t="str">
        <f t="shared" si="1"/>
        <v/>
      </c>
      <c r="AO100" s="133"/>
      <c r="AP100" s="133"/>
      <c r="AQ100" s="134"/>
      <c r="AR100" s="141" t="str">
        <f t="shared" si="2"/>
        <v/>
      </c>
      <c r="AS100" s="142"/>
      <c r="AT100" s="142"/>
      <c r="AU100" s="143"/>
    </row>
    <row r="101" spans="1:47" ht="16.5" customHeight="1">
      <c r="B101" s="117" t="s">
        <v>132</v>
      </c>
      <c r="C101" s="118"/>
      <c r="D101" s="118"/>
      <c r="E101" s="118"/>
      <c r="F101" s="118"/>
      <c r="G101" s="118"/>
      <c r="H101" s="118"/>
      <c r="I101" s="118"/>
      <c r="J101" s="118"/>
      <c r="K101" s="119"/>
      <c r="L101" s="120"/>
      <c r="M101" s="121"/>
      <c r="N101" s="121"/>
      <c r="O101" s="122"/>
      <c r="P101" s="120"/>
      <c r="Q101" s="121"/>
      <c r="R101" s="121"/>
      <c r="S101" s="122"/>
      <c r="T101" s="123" t="str">
        <f t="shared" ref="T101" si="4">IF(OR(L101="",P101=""),"",(P101-L101)/30)</f>
        <v/>
      </c>
      <c r="U101" s="124"/>
      <c r="V101" s="124"/>
      <c r="W101" s="125"/>
      <c r="X101" s="126"/>
      <c r="Y101" s="127"/>
      <c r="Z101" s="127"/>
      <c r="AA101" s="128"/>
      <c r="AB101" s="129"/>
      <c r="AC101" s="130"/>
      <c r="AD101" s="130"/>
      <c r="AE101" s="131"/>
      <c r="AF101" s="132" t="str">
        <f t="shared" ref="AF101" si="5">IF(X101="","",AB101/X101)</f>
        <v/>
      </c>
      <c r="AG101" s="133"/>
      <c r="AH101" s="133"/>
      <c r="AI101" s="134"/>
      <c r="AJ101" s="129"/>
      <c r="AK101" s="130"/>
      <c r="AL101" s="130"/>
      <c r="AM101" s="131"/>
      <c r="AN101" s="132" t="str">
        <f t="shared" ref="AN101" si="6">IF(AB101="","",AB101-AJ101)</f>
        <v/>
      </c>
      <c r="AO101" s="133"/>
      <c r="AP101" s="133"/>
      <c r="AQ101" s="134"/>
      <c r="AR101" s="141" t="str">
        <f t="shared" ref="AR101" si="7">IF(AB101="","",AN101/AB101)</f>
        <v/>
      </c>
      <c r="AS101" s="142"/>
      <c r="AT101" s="142"/>
      <c r="AU101" s="143"/>
    </row>
    <row r="102" spans="1:47" ht="16.5" customHeight="1" thickBot="1">
      <c r="B102" s="264"/>
      <c r="C102" s="265"/>
      <c r="D102" s="265"/>
      <c r="E102" s="265"/>
      <c r="F102" s="265"/>
      <c r="G102" s="265"/>
      <c r="H102" s="265"/>
      <c r="I102" s="265"/>
      <c r="J102" s="265"/>
      <c r="K102" s="266"/>
      <c r="L102" s="159"/>
      <c r="M102" s="160"/>
      <c r="N102" s="160"/>
      <c r="O102" s="161"/>
      <c r="P102" s="159"/>
      <c r="Q102" s="160"/>
      <c r="R102" s="160"/>
      <c r="S102" s="161"/>
      <c r="T102" s="162" t="str">
        <f t="shared" si="0"/>
        <v/>
      </c>
      <c r="U102" s="163"/>
      <c r="V102" s="163"/>
      <c r="W102" s="164"/>
      <c r="X102" s="165"/>
      <c r="Y102" s="166"/>
      <c r="Z102" s="166"/>
      <c r="AA102" s="167"/>
      <c r="AB102" s="168"/>
      <c r="AC102" s="169"/>
      <c r="AD102" s="169"/>
      <c r="AE102" s="170"/>
      <c r="AF102" s="171" t="str">
        <f t="shared" si="3"/>
        <v/>
      </c>
      <c r="AG102" s="172"/>
      <c r="AH102" s="172"/>
      <c r="AI102" s="173"/>
      <c r="AJ102" s="168"/>
      <c r="AK102" s="169"/>
      <c r="AL102" s="169"/>
      <c r="AM102" s="170"/>
      <c r="AN102" s="171" t="str">
        <f t="shared" si="1"/>
        <v/>
      </c>
      <c r="AO102" s="172"/>
      <c r="AP102" s="172"/>
      <c r="AQ102" s="173"/>
      <c r="AR102" s="174" t="str">
        <f t="shared" si="2"/>
        <v/>
      </c>
      <c r="AS102" s="175"/>
      <c r="AT102" s="175"/>
      <c r="AU102" s="176"/>
    </row>
    <row r="103" spans="1:47" ht="16.5" customHeight="1" thickTop="1">
      <c r="B103" s="144" t="s">
        <v>133</v>
      </c>
      <c r="C103" s="145"/>
      <c r="D103" s="145"/>
      <c r="E103" s="145"/>
      <c r="F103" s="145"/>
      <c r="G103" s="145"/>
      <c r="H103" s="145"/>
      <c r="I103" s="145"/>
      <c r="J103" s="145"/>
      <c r="K103" s="146"/>
      <c r="L103" s="147" t="str">
        <f>IF(COUNTA(L93:O102)&gt;0,MIN(L93:O102),"")</f>
        <v/>
      </c>
      <c r="M103" s="148"/>
      <c r="N103" s="148"/>
      <c r="O103" s="149"/>
      <c r="P103" s="147" t="str">
        <f>IF(COUNTA(P93:S102)&gt;0,MAX(P93:S102),"")</f>
        <v/>
      </c>
      <c r="Q103" s="148"/>
      <c r="R103" s="148"/>
      <c r="S103" s="149"/>
      <c r="T103" s="150" t="str">
        <f>IF(OR(L103="",P103=""),"",(P103-L103)/30)</f>
        <v/>
      </c>
      <c r="U103" s="151"/>
      <c r="V103" s="151"/>
      <c r="W103" s="152"/>
      <c r="X103" s="150" t="str">
        <f>IF(COUNTA(X93:AA102)&gt;0,SUM(X93:AA102),"")</f>
        <v/>
      </c>
      <c r="Y103" s="151"/>
      <c r="Z103" s="151"/>
      <c r="AA103" s="152"/>
      <c r="AB103" s="153" t="str">
        <f>IF(COUNTA(AB93:AE102)&gt;0,SUM(AB93:AE102),"")</f>
        <v/>
      </c>
      <c r="AC103" s="154"/>
      <c r="AD103" s="154"/>
      <c r="AE103" s="155"/>
      <c r="AF103" s="153" t="str">
        <f>IF(X103="","",AB103/X103)</f>
        <v/>
      </c>
      <c r="AG103" s="154"/>
      <c r="AH103" s="154"/>
      <c r="AI103" s="155"/>
      <c r="AJ103" s="153" t="str">
        <f>IF(COUNTA(AJ93:AM102)&gt;0,SUM(AJ93:AM102),"")</f>
        <v/>
      </c>
      <c r="AK103" s="154"/>
      <c r="AL103" s="154"/>
      <c r="AM103" s="155"/>
      <c r="AN103" s="153" t="str">
        <f t="shared" si="1"/>
        <v/>
      </c>
      <c r="AO103" s="154"/>
      <c r="AP103" s="154"/>
      <c r="AQ103" s="155"/>
      <c r="AR103" s="135" t="str">
        <f t="shared" si="2"/>
        <v/>
      </c>
      <c r="AS103" s="136"/>
      <c r="AT103" s="136"/>
      <c r="AU103" s="137"/>
    </row>
    <row r="104" spans="1:47" ht="16.5" customHeight="1">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row>
    <row r="105" spans="1:47" s="69" customFormat="1" ht="16.5" customHeight="1">
      <c r="A105" s="65"/>
      <c r="B105" s="75" t="s">
        <v>134</v>
      </c>
    </row>
    <row r="106" spans="1:47" s="69" customFormat="1" ht="16.5" customHeight="1">
      <c r="A106" s="65"/>
      <c r="B106" s="180" t="s">
        <v>135</v>
      </c>
      <c r="C106" s="181"/>
      <c r="D106" s="181"/>
      <c r="E106" s="181"/>
      <c r="F106" s="181"/>
      <c r="G106" s="181"/>
      <c r="H106" s="181"/>
      <c r="I106" s="181"/>
      <c r="J106" s="181"/>
      <c r="K106" s="182"/>
      <c r="L106" s="177" t="s">
        <v>115</v>
      </c>
      <c r="M106" s="178"/>
      <c r="N106" s="178"/>
      <c r="O106" s="179"/>
      <c r="P106" s="177" t="s">
        <v>116</v>
      </c>
      <c r="Q106" s="178"/>
      <c r="R106" s="178"/>
      <c r="S106" s="179"/>
      <c r="T106" s="177" t="s">
        <v>136</v>
      </c>
      <c r="U106" s="178"/>
      <c r="V106" s="178"/>
      <c r="W106" s="179"/>
      <c r="X106" s="177" t="s">
        <v>137</v>
      </c>
      <c r="Y106" s="178"/>
      <c r="Z106" s="178"/>
      <c r="AA106" s="179"/>
      <c r="AB106" s="177" t="s">
        <v>119</v>
      </c>
      <c r="AC106" s="178"/>
      <c r="AD106" s="178"/>
      <c r="AE106" s="179"/>
      <c r="AF106" s="177" t="s">
        <v>120</v>
      </c>
      <c r="AG106" s="178"/>
      <c r="AH106" s="178"/>
      <c r="AI106" s="179"/>
      <c r="AJ106" s="177" t="s">
        <v>121</v>
      </c>
      <c r="AK106" s="178"/>
      <c r="AL106" s="178"/>
      <c r="AM106" s="179"/>
      <c r="AN106" s="177" t="s">
        <v>122</v>
      </c>
      <c r="AO106" s="178"/>
      <c r="AP106" s="178"/>
      <c r="AQ106" s="179"/>
      <c r="AR106" s="177" t="s">
        <v>123</v>
      </c>
      <c r="AS106" s="178"/>
      <c r="AT106" s="178"/>
      <c r="AU106" s="179"/>
    </row>
    <row r="107" spans="1:47" s="69" customFormat="1" ht="16.5" customHeight="1">
      <c r="A107" s="65"/>
      <c r="B107" s="138"/>
      <c r="C107" s="139"/>
      <c r="D107" s="139"/>
      <c r="E107" s="139"/>
      <c r="F107" s="139"/>
      <c r="G107" s="139"/>
      <c r="H107" s="139"/>
      <c r="I107" s="139"/>
      <c r="J107" s="139"/>
      <c r="K107" s="140"/>
      <c r="L107" s="120"/>
      <c r="M107" s="121"/>
      <c r="N107" s="121"/>
      <c r="O107" s="122"/>
      <c r="P107" s="120"/>
      <c r="Q107" s="121"/>
      <c r="R107" s="121"/>
      <c r="S107" s="122"/>
      <c r="T107" s="123" t="str">
        <f t="shared" ref="T107:T116" si="8">IF(OR(L107="",P107=""),"",(P107-L107)/30)</f>
        <v/>
      </c>
      <c r="U107" s="124"/>
      <c r="V107" s="124"/>
      <c r="W107" s="125"/>
      <c r="X107" s="126"/>
      <c r="Y107" s="127"/>
      <c r="Z107" s="127"/>
      <c r="AA107" s="128"/>
      <c r="AB107" s="129"/>
      <c r="AC107" s="130"/>
      <c r="AD107" s="130"/>
      <c r="AE107" s="131"/>
      <c r="AF107" s="132" t="str">
        <f>IF(X107="","",AB107/X107)</f>
        <v/>
      </c>
      <c r="AG107" s="133"/>
      <c r="AH107" s="133"/>
      <c r="AI107" s="134"/>
      <c r="AJ107" s="129"/>
      <c r="AK107" s="130"/>
      <c r="AL107" s="130"/>
      <c r="AM107" s="131"/>
      <c r="AN107" s="132" t="str">
        <f>IF(AB107="","",AB107-AJ107)</f>
        <v/>
      </c>
      <c r="AO107" s="133"/>
      <c r="AP107" s="133"/>
      <c r="AQ107" s="134"/>
      <c r="AR107" s="141" t="str">
        <f>IF(AB107="","",AN107/AB107)</f>
        <v/>
      </c>
      <c r="AS107" s="142"/>
      <c r="AT107" s="142"/>
      <c r="AU107" s="143"/>
    </row>
    <row r="108" spans="1:47" s="69" customFormat="1" ht="16.5" customHeight="1">
      <c r="A108" s="65"/>
      <c r="B108" s="138"/>
      <c r="C108" s="139"/>
      <c r="D108" s="139"/>
      <c r="E108" s="139"/>
      <c r="F108" s="139"/>
      <c r="G108" s="139"/>
      <c r="H108" s="139"/>
      <c r="I108" s="139"/>
      <c r="J108" s="139"/>
      <c r="K108" s="140"/>
      <c r="L108" s="120"/>
      <c r="M108" s="121"/>
      <c r="N108" s="121"/>
      <c r="O108" s="122"/>
      <c r="P108" s="120"/>
      <c r="Q108" s="121"/>
      <c r="R108" s="121"/>
      <c r="S108" s="122"/>
      <c r="T108" s="123" t="str">
        <f t="shared" si="8"/>
        <v/>
      </c>
      <c r="U108" s="124"/>
      <c r="V108" s="124"/>
      <c r="W108" s="125"/>
      <c r="X108" s="126"/>
      <c r="Y108" s="127"/>
      <c r="Z108" s="127"/>
      <c r="AA108" s="128"/>
      <c r="AB108" s="129"/>
      <c r="AC108" s="130"/>
      <c r="AD108" s="130"/>
      <c r="AE108" s="131"/>
      <c r="AF108" s="132" t="str">
        <f>IF(X108="","",AB108/X108)</f>
        <v/>
      </c>
      <c r="AG108" s="133"/>
      <c r="AH108" s="133"/>
      <c r="AI108" s="134"/>
      <c r="AJ108" s="129"/>
      <c r="AK108" s="130"/>
      <c r="AL108" s="130"/>
      <c r="AM108" s="131"/>
      <c r="AN108" s="132" t="str">
        <f t="shared" ref="AN108:AN117" si="9">IF(AB108="","",AB108-AJ108)</f>
        <v/>
      </c>
      <c r="AO108" s="133"/>
      <c r="AP108" s="133"/>
      <c r="AQ108" s="134"/>
      <c r="AR108" s="141" t="str">
        <f t="shared" ref="AR108:AR117" si="10">IF(AB108="","",AN108/AB108)</f>
        <v/>
      </c>
      <c r="AS108" s="142"/>
      <c r="AT108" s="142"/>
      <c r="AU108" s="143"/>
    </row>
    <row r="109" spans="1:47" s="69" customFormat="1" ht="16.5" customHeight="1">
      <c r="A109" s="65"/>
      <c r="B109" s="138"/>
      <c r="C109" s="139"/>
      <c r="D109" s="139"/>
      <c r="E109" s="139"/>
      <c r="F109" s="139"/>
      <c r="G109" s="139"/>
      <c r="H109" s="139"/>
      <c r="I109" s="139"/>
      <c r="J109" s="139"/>
      <c r="K109" s="140"/>
      <c r="L109" s="120"/>
      <c r="M109" s="121"/>
      <c r="N109" s="121"/>
      <c r="O109" s="122"/>
      <c r="P109" s="120"/>
      <c r="Q109" s="121"/>
      <c r="R109" s="121"/>
      <c r="S109" s="122"/>
      <c r="T109" s="123" t="str">
        <f t="shared" si="8"/>
        <v/>
      </c>
      <c r="U109" s="124"/>
      <c r="V109" s="124"/>
      <c r="W109" s="125"/>
      <c r="X109" s="126"/>
      <c r="Y109" s="127"/>
      <c r="Z109" s="127"/>
      <c r="AA109" s="128"/>
      <c r="AB109" s="129"/>
      <c r="AC109" s="130"/>
      <c r="AD109" s="130"/>
      <c r="AE109" s="131"/>
      <c r="AF109" s="132" t="str">
        <f t="shared" ref="AF109:AF116" si="11">IF(X109="","",AB109/X109)</f>
        <v/>
      </c>
      <c r="AG109" s="133"/>
      <c r="AH109" s="133"/>
      <c r="AI109" s="134"/>
      <c r="AJ109" s="129"/>
      <c r="AK109" s="130"/>
      <c r="AL109" s="130"/>
      <c r="AM109" s="131"/>
      <c r="AN109" s="132" t="str">
        <f t="shared" si="9"/>
        <v/>
      </c>
      <c r="AO109" s="133"/>
      <c r="AP109" s="133"/>
      <c r="AQ109" s="134"/>
      <c r="AR109" s="141" t="str">
        <f t="shared" si="10"/>
        <v/>
      </c>
      <c r="AS109" s="142"/>
      <c r="AT109" s="142"/>
      <c r="AU109" s="143"/>
    </row>
    <row r="110" spans="1:47" s="69" customFormat="1" ht="16.5" customHeight="1">
      <c r="A110" s="65"/>
      <c r="B110" s="138"/>
      <c r="C110" s="139"/>
      <c r="D110" s="139"/>
      <c r="E110" s="139"/>
      <c r="F110" s="139"/>
      <c r="G110" s="139"/>
      <c r="H110" s="139"/>
      <c r="I110" s="139"/>
      <c r="J110" s="139"/>
      <c r="K110" s="140"/>
      <c r="L110" s="120"/>
      <c r="M110" s="121"/>
      <c r="N110" s="121"/>
      <c r="O110" s="122"/>
      <c r="P110" s="120"/>
      <c r="Q110" s="121"/>
      <c r="R110" s="121"/>
      <c r="S110" s="122"/>
      <c r="T110" s="123" t="str">
        <f t="shared" si="8"/>
        <v/>
      </c>
      <c r="U110" s="124"/>
      <c r="V110" s="124"/>
      <c r="W110" s="125"/>
      <c r="X110" s="126"/>
      <c r="Y110" s="127"/>
      <c r="Z110" s="127"/>
      <c r="AA110" s="128"/>
      <c r="AB110" s="129"/>
      <c r="AC110" s="130"/>
      <c r="AD110" s="130"/>
      <c r="AE110" s="131"/>
      <c r="AF110" s="132" t="str">
        <f t="shared" si="11"/>
        <v/>
      </c>
      <c r="AG110" s="133"/>
      <c r="AH110" s="133"/>
      <c r="AI110" s="134"/>
      <c r="AJ110" s="129"/>
      <c r="AK110" s="130"/>
      <c r="AL110" s="130"/>
      <c r="AM110" s="131"/>
      <c r="AN110" s="132" t="str">
        <f t="shared" si="9"/>
        <v/>
      </c>
      <c r="AO110" s="133"/>
      <c r="AP110" s="133"/>
      <c r="AQ110" s="134"/>
      <c r="AR110" s="141" t="str">
        <f t="shared" si="10"/>
        <v/>
      </c>
      <c r="AS110" s="142"/>
      <c r="AT110" s="142"/>
      <c r="AU110" s="143"/>
    </row>
    <row r="111" spans="1:47" s="69" customFormat="1" ht="16.5" customHeight="1">
      <c r="A111" s="65"/>
      <c r="B111" s="138"/>
      <c r="C111" s="139"/>
      <c r="D111" s="139"/>
      <c r="E111" s="139"/>
      <c r="F111" s="139"/>
      <c r="G111" s="139"/>
      <c r="H111" s="139"/>
      <c r="I111" s="139"/>
      <c r="J111" s="139"/>
      <c r="K111" s="140"/>
      <c r="L111" s="120"/>
      <c r="M111" s="121"/>
      <c r="N111" s="121"/>
      <c r="O111" s="122"/>
      <c r="P111" s="120"/>
      <c r="Q111" s="121"/>
      <c r="R111" s="121"/>
      <c r="S111" s="122"/>
      <c r="T111" s="123" t="str">
        <f t="shared" si="8"/>
        <v/>
      </c>
      <c r="U111" s="124"/>
      <c r="V111" s="124"/>
      <c r="W111" s="125"/>
      <c r="X111" s="126"/>
      <c r="Y111" s="127"/>
      <c r="Z111" s="127"/>
      <c r="AA111" s="128"/>
      <c r="AB111" s="129"/>
      <c r="AC111" s="130"/>
      <c r="AD111" s="130"/>
      <c r="AE111" s="131"/>
      <c r="AF111" s="132" t="str">
        <f t="shared" si="11"/>
        <v/>
      </c>
      <c r="AG111" s="133"/>
      <c r="AH111" s="133"/>
      <c r="AI111" s="134"/>
      <c r="AJ111" s="129"/>
      <c r="AK111" s="130"/>
      <c r="AL111" s="130"/>
      <c r="AM111" s="131"/>
      <c r="AN111" s="132" t="str">
        <f t="shared" si="9"/>
        <v/>
      </c>
      <c r="AO111" s="133"/>
      <c r="AP111" s="133"/>
      <c r="AQ111" s="134"/>
      <c r="AR111" s="141" t="str">
        <f t="shared" si="10"/>
        <v/>
      </c>
      <c r="AS111" s="142"/>
      <c r="AT111" s="142"/>
      <c r="AU111" s="143"/>
    </row>
    <row r="112" spans="1:47" s="69" customFormat="1" ht="16.5" customHeight="1">
      <c r="A112" s="65"/>
      <c r="B112" s="138"/>
      <c r="C112" s="139"/>
      <c r="D112" s="139"/>
      <c r="E112" s="139"/>
      <c r="F112" s="139"/>
      <c r="G112" s="139"/>
      <c r="H112" s="139"/>
      <c r="I112" s="139"/>
      <c r="J112" s="139"/>
      <c r="K112" s="140"/>
      <c r="L112" s="120"/>
      <c r="M112" s="121"/>
      <c r="N112" s="121"/>
      <c r="O112" s="122"/>
      <c r="P112" s="120"/>
      <c r="Q112" s="121"/>
      <c r="R112" s="121"/>
      <c r="S112" s="122"/>
      <c r="T112" s="123" t="str">
        <f t="shared" si="8"/>
        <v/>
      </c>
      <c r="U112" s="124"/>
      <c r="V112" s="124"/>
      <c r="W112" s="125"/>
      <c r="X112" s="126"/>
      <c r="Y112" s="127"/>
      <c r="Z112" s="127"/>
      <c r="AA112" s="128"/>
      <c r="AB112" s="129"/>
      <c r="AC112" s="130"/>
      <c r="AD112" s="130"/>
      <c r="AE112" s="131"/>
      <c r="AF112" s="132" t="str">
        <f t="shared" si="11"/>
        <v/>
      </c>
      <c r="AG112" s="133"/>
      <c r="AH112" s="133"/>
      <c r="AI112" s="134"/>
      <c r="AJ112" s="129"/>
      <c r="AK112" s="130"/>
      <c r="AL112" s="130"/>
      <c r="AM112" s="131"/>
      <c r="AN112" s="132" t="str">
        <f t="shared" si="9"/>
        <v/>
      </c>
      <c r="AO112" s="133"/>
      <c r="AP112" s="133"/>
      <c r="AQ112" s="134"/>
      <c r="AR112" s="141" t="str">
        <f t="shared" si="10"/>
        <v/>
      </c>
      <c r="AS112" s="142"/>
      <c r="AT112" s="142"/>
      <c r="AU112" s="143"/>
    </row>
    <row r="113" spans="1:47" s="69" customFormat="1" ht="16.5" customHeight="1">
      <c r="A113" s="65"/>
      <c r="B113" s="138"/>
      <c r="C113" s="139"/>
      <c r="D113" s="139"/>
      <c r="E113" s="139"/>
      <c r="F113" s="139"/>
      <c r="G113" s="139"/>
      <c r="H113" s="139"/>
      <c r="I113" s="139"/>
      <c r="J113" s="139"/>
      <c r="K113" s="140"/>
      <c r="L113" s="120"/>
      <c r="M113" s="121"/>
      <c r="N113" s="121"/>
      <c r="O113" s="122"/>
      <c r="P113" s="120"/>
      <c r="Q113" s="121"/>
      <c r="R113" s="121"/>
      <c r="S113" s="122"/>
      <c r="T113" s="123" t="str">
        <f t="shared" si="8"/>
        <v/>
      </c>
      <c r="U113" s="124"/>
      <c r="V113" s="124"/>
      <c r="W113" s="125"/>
      <c r="X113" s="126"/>
      <c r="Y113" s="127"/>
      <c r="Z113" s="127"/>
      <c r="AA113" s="128"/>
      <c r="AB113" s="129"/>
      <c r="AC113" s="130"/>
      <c r="AD113" s="130"/>
      <c r="AE113" s="131"/>
      <c r="AF113" s="132" t="str">
        <f t="shared" si="11"/>
        <v/>
      </c>
      <c r="AG113" s="133"/>
      <c r="AH113" s="133"/>
      <c r="AI113" s="134"/>
      <c r="AJ113" s="129"/>
      <c r="AK113" s="130"/>
      <c r="AL113" s="130"/>
      <c r="AM113" s="131"/>
      <c r="AN113" s="132" t="str">
        <f t="shared" si="9"/>
        <v/>
      </c>
      <c r="AO113" s="133"/>
      <c r="AP113" s="133"/>
      <c r="AQ113" s="134"/>
      <c r="AR113" s="141" t="str">
        <f t="shared" si="10"/>
        <v/>
      </c>
      <c r="AS113" s="142"/>
      <c r="AT113" s="142"/>
      <c r="AU113" s="143"/>
    </row>
    <row r="114" spans="1:47" s="69" customFormat="1" ht="16.5" customHeight="1">
      <c r="A114" s="65"/>
      <c r="B114" s="138"/>
      <c r="C114" s="139"/>
      <c r="D114" s="139"/>
      <c r="E114" s="139"/>
      <c r="F114" s="139"/>
      <c r="G114" s="139"/>
      <c r="H114" s="139"/>
      <c r="I114" s="139"/>
      <c r="J114" s="139"/>
      <c r="K114" s="140"/>
      <c r="L114" s="120"/>
      <c r="M114" s="121"/>
      <c r="N114" s="121"/>
      <c r="O114" s="122"/>
      <c r="P114" s="120"/>
      <c r="Q114" s="121"/>
      <c r="R114" s="121"/>
      <c r="S114" s="122"/>
      <c r="T114" s="123" t="str">
        <f t="shared" si="8"/>
        <v/>
      </c>
      <c r="U114" s="124"/>
      <c r="V114" s="124"/>
      <c r="W114" s="125"/>
      <c r="X114" s="126"/>
      <c r="Y114" s="127"/>
      <c r="Z114" s="127"/>
      <c r="AA114" s="128"/>
      <c r="AB114" s="129"/>
      <c r="AC114" s="130"/>
      <c r="AD114" s="130"/>
      <c r="AE114" s="131"/>
      <c r="AF114" s="132" t="str">
        <f t="shared" si="11"/>
        <v/>
      </c>
      <c r="AG114" s="133"/>
      <c r="AH114" s="133"/>
      <c r="AI114" s="134"/>
      <c r="AJ114" s="129"/>
      <c r="AK114" s="130"/>
      <c r="AL114" s="130"/>
      <c r="AM114" s="131"/>
      <c r="AN114" s="132" t="str">
        <f t="shared" si="9"/>
        <v/>
      </c>
      <c r="AO114" s="133"/>
      <c r="AP114" s="133"/>
      <c r="AQ114" s="134"/>
      <c r="AR114" s="141" t="str">
        <f t="shared" si="10"/>
        <v/>
      </c>
      <c r="AS114" s="142"/>
      <c r="AT114" s="142"/>
      <c r="AU114" s="143"/>
    </row>
    <row r="115" spans="1:47" s="69" customFormat="1" ht="16.5" customHeight="1">
      <c r="A115" s="65"/>
      <c r="B115" s="138"/>
      <c r="C115" s="139"/>
      <c r="D115" s="139"/>
      <c r="E115" s="139"/>
      <c r="F115" s="139"/>
      <c r="G115" s="139"/>
      <c r="H115" s="139"/>
      <c r="I115" s="139"/>
      <c r="J115" s="139"/>
      <c r="K115" s="140"/>
      <c r="L115" s="120"/>
      <c r="M115" s="121"/>
      <c r="N115" s="121"/>
      <c r="O115" s="122"/>
      <c r="P115" s="120"/>
      <c r="Q115" s="121"/>
      <c r="R115" s="121"/>
      <c r="S115" s="122"/>
      <c r="T115" s="123" t="str">
        <f t="shared" si="8"/>
        <v/>
      </c>
      <c r="U115" s="124"/>
      <c r="V115" s="124"/>
      <c r="W115" s="125"/>
      <c r="X115" s="126"/>
      <c r="Y115" s="127"/>
      <c r="Z115" s="127"/>
      <c r="AA115" s="128"/>
      <c r="AB115" s="129"/>
      <c r="AC115" s="130"/>
      <c r="AD115" s="130"/>
      <c r="AE115" s="131"/>
      <c r="AF115" s="132" t="str">
        <f t="shared" si="11"/>
        <v/>
      </c>
      <c r="AG115" s="133"/>
      <c r="AH115" s="133"/>
      <c r="AI115" s="134"/>
      <c r="AJ115" s="129"/>
      <c r="AK115" s="130"/>
      <c r="AL115" s="130"/>
      <c r="AM115" s="131"/>
      <c r="AN115" s="132" t="str">
        <f t="shared" si="9"/>
        <v/>
      </c>
      <c r="AO115" s="133"/>
      <c r="AP115" s="133"/>
      <c r="AQ115" s="134"/>
      <c r="AR115" s="141" t="str">
        <f t="shared" si="10"/>
        <v/>
      </c>
      <c r="AS115" s="142"/>
      <c r="AT115" s="142"/>
      <c r="AU115" s="143"/>
    </row>
    <row r="116" spans="1:47" s="69" customFormat="1" ht="16.5" customHeight="1" thickBot="1">
      <c r="A116" s="65"/>
      <c r="B116" s="156"/>
      <c r="C116" s="157"/>
      <c r="D116" s="157"/>
      <c r="E116" s="157"/>
      <c r="F116" s="157"/>
      <c r="G116" s="157"/>
      <c r="H116" s="157"/>
      <c r="I116" s="157"/>
      <c r="J116" s="157"/>
      <c r="K116" s="158"/>
      <c r="L116" s="159"/>
      <c r="M116" s="160"/>
      <c r="N116" s="160"/>
      <c r="O116" s="161"/>
      <c r="P116" s="159"/>
      <c r="Q116" s="160"/>
      <c r="R116" s="160"/>
      <c r="S116" s="161"/>
      <c r="T116" s="162" t="str">
        <f t="shared" si="8"/>
        <v/>
      </c>
      <c r="U116" s="163"/>
      <c r="V116" s="163"/>
      <c r="W116" s="164"/>
      <c r="X116" s="165"/>
      <c r="Y116" s="166"/>
      <c r="Z116" s="166"/>
      <c r="AA116" s="167"/>
      <c r="AB116" s="168"/>
      <c r="AC116" s="169"/>
      <c r="AD116" s="169"/>
      <c r="AE116" s="170"/>
      <c r="AF116" s="171" t="str">
        <f t="shared" si="11"/>
        <v/>
      </c>
      <c r="AG116" s="172"/>
      <c r="AH116" s="172"/>
      <c r="AI116" s="173"/>
      <c r="AJ116" s="168"/>
      <c r="AK116" s="169"/>
      <c r="AL116" s="169"/>
      <c r="AM116" s="170"/>
      <c r="AN116" s="171" t="str">
        <f t="shared" si="9"/>
        <v/>
      </c>
      <c r="AO116" s="172"/>
      <c r="AP116" s="172"/>
      <c r="AQ116" s="173"/>
      <c r="AR116" s="174" t="str">
        <f t="shared" si="10"/>
        <v/>
      </c>
      <c r="AS116" s="175"/>
      <c r="AT116" s="175"/>
      <c r="AU116" s="176"/>
    </row>
    <row r="117" spans="1:47" s="69" customFormat="1" ht="16.5" customHeight="1" thickTop="1">
      <c r="A117" s="65"/>
      <c r="B117" s="144" t="s">
        <v>133</v>
      </c>
      <c r="C117" s="145"/>
      <c r="D117" s="145"/>
      <c r="E117" s="145"/>
      <c r="F117" s="145"/>
      <c r="G117" s="145"/>
      <c r="H117" s="145"/>
      <c r="I117" s="145"/>
      <c r="J117" s="145"/>
      <c r="K117" s="146"/>
      <c r="L117" s="147" t="str">
        <f>IF(COUNTA(L107:O116)&gt;0,MIN(L107:O116),"")</f>
        <v/>
      </c>
      <c r="M117" s="148"/>
      <c r="N117" s="148"/>
      <c r="O117" s="149"/>
      <c r="P117" s="147" t="str">
        <f>IF(COUNTA(P107:S116)&gt;0,MAX(P107:S116),"")</f>
        <v/>
      </c>
      <c r="Q117" s="148"/>
      <c r="R117" s="148"/>
      <c r="S117" s="149"/>
      <c r="T117" s="150" t="str">
        <f>IF(OR(L117="",P117=""),"",(P117-L117)/30)</f>
        <v/>
      </c>
      <c r="U117" s="151"/>
      <c r="V117" s="151"/>
      <c r="W117" s="152"/>
      <c r="X117" s="150" t="str">
        <f>IF(COUNTA(X107:AA116)&gt;0,SUM(X107:AA116),"")</f>
        <v/>
      </c>
      <c r="Y117" s="151"/>
      <c r="Z117" s="151"/>
      <c r="AA117" s="152"/>
      <c r="AB117" s="153" t="str">
        <f>IF(COUNTA(AB107:AE116)&gt;0,SUM(AB107:AE116),"")</f>
        <v/>
      </c>
      <c r="AC117" s="154"/>
      <c r="AD117" s="154"/>
      <c r="AE117" s="155"/>
      <c r="AF117" s="153" t="str">
        <f>IF(X117="","",AB117/X117)</f>
        <v/>
      </c>
      <c r="AG117" s="154"/>
      <c r="AH117" s="154"/>
      <c r="AI117" s="155"/>
      <c r="AJ117" s="153" t="str">
        <f>IF(COUNTA(AJ107:AM116)&gt;0,SUM(AJ107:AM116),"")</f>
        <v/>
      </c>
      <c r="AK117" s="154"/>
      <c r="AL117" s="154"/>
      <c r="AM117" s="155"/>
      <c r="AN117" s="153" t="str">
        <f t="shared" si="9"/>
        <v/>
      </c>
      <c r="AO117" s="154"/>
      <c r="AP117" s="154"/>
      <c r="AQ117" s="155"/>
      <c r="AR117" s="135" t="str">
        <f t="shared" si="10"/>
        <v/>
      </c>
      <c r="AS117" s="136"/>
      <c r="AT117" s="136"/>
      <c r="AU117" s="137"/>
    </row>
    <row r="118" spans="1:47" s="69" customFormat="1" ht="16.5" customHeight="1">
      <c r="A118" s="65"/>
    </row>
    <row r="119" spans="1:47" ht="16.5" customHeight="1">
      <c r="B119" s="41" t="s">
        <v>204</v>
      </c>
    </row>
    <row r="120" spans="1:47" ht="16.5" customHeight="1">
      <c r="B120" s="227"/>
      <c r="C120" s="228"/>
      <c r="D120" s="228"/>
      <c r="E120" s="228"/>
      <c r="F120" s="228"/>
      <c r="G120" s="228"/>
      <c r="H120" s="228"/>
      <c r="I120" s="228"/>
      <c r="J120" s="228"/>
      <c r="K120" s="228"/>
      <c r="L120" s="228"/>
      <c r="M120" s="228"/>
      <c r="N120" s="228"/>
      <c r="O120" s="228"/>
      <c r="P120" s="228"/>
      <c r="Q120" s="228"/>
      <c r="R120" s="228"/>
      <c r="S120" s="228"/>
      <c r="T120" s="228"/>
      <c r="U120" s="228"/>
      <c r="V120" s="228"/>
      <c r="W120" s="228"/>
      <c r="X120" s="228"/>
      <c r="Y120" s="228"/>
      <c r="Z120" s="228"/>
      <c r="AA120" s="228"/>
      <c r="AB120" s="228"/>
      <c r="AC120" s="228"/>
      <c r="AD120" s="228"/>
      <c r="AE120" s="228"/>
      <c r="AF120" s="228"/>
      <c r="AG120" s="228"/>
      <c r="AH120" s="228"/>
      <c r="AI120" s="228"/>
      <c r="AJ120" s="228"/>
      <c r="AK120" s="228"/>
      <c r="AL120" s="228"/>
      <c r="AM120" s="228"/>
      <c r="AN120" s="228"/>
      <c r="AO120" s="228"/>
      <c r="AP120" s="228"/>
      <c r="AQ120" s="228"/>
      <c r="AR120" s="228"/>
      <c r="AS120" s="228"/>
      <c r="AT120" s="228"/>
      <c r="AU120" s="229"/>
    </row>
    <row r="121" spans="1:47" ht="16.5" customHeight="1">
      <c r="B121" s="304"/>
      <c r="C121" s="305"/>
      <c r="D121" s="305"/>
      <c r="E121" s="305"/>
      <c r="F121" s="305"/>
      <c r="G121" s="305"/>
      <c r="H121" s="305"/>
      <c r="I121" s="305"/>
      <c r="J121" s="305"/>
      <c r="K121" s="305"/>
      <c r="L121" s="305"/>
      <c r="M121" s="305"/>
      <c r="N121" s="305"/>
      <c r="O121" s="305"/>
      <c r="P121" s="305"/>
      <c r="Q121" s="305"/>
      <c r="R121" s="305"/>
      <c r="S121" s="305"/>
      <c r="T121" s="305"/>
      <c r="U121" s="305"/>
      <c r="V121" s="305"/>
      <c r="W121" s="305"/>
      <c r="X121" s="305"/>
      <c r="Y121" s="305"/>
      <c r="Z121" s="305"/>
      <c r="AA121" s="305"/>
      <c r="AB121" s="305"/>
      <c r="AC121" s="305"/>
      <c r="AD121" s="305"/>
      <c r="AE121" s="305"/>
      <c r="AF121" s="305"/>
      <c r="AG121" s="305"/>
      <c r="AH121" s="305"/>
      <c r="AI121" s="305"/>
      <c r="AJ121" s="305"/>
      <c r="AK121" s="305"/>
      <c r="AL121" s="305"/>
      <c r="AM121" s="305"/>
      <c r="AN121" s="305"/>
      <c r="AO121" s="305"/>
      <c r="AP121" s="305"/>
      <c r="AQ121" s="305"/>
      <c r="AR121" s="305"/>
      <c r="AS121" s="305"/>
      <c r="AT121" s="305"/>
      <c r="AU121" s="306"/>
    </row>
    <row r="122" spans="1:47" ht="16.5" customHeight="1">
      <c r="B122" s="230"/>
      <c r="C122" s="231"/>
      <c r="D122" s="231"/>
      <c r="E122" s="231"/>
      <c r="F122" s="231"/>
      <c r="G122" s="231"/>
      <c r="H122" s="231"/>
      <c r="I122" s="231"/>
      <c r="J122" s="231"/>
      <c r="K122" s="231"/>
      <c r="L122" s="231"/>
      <c r="M122" s="231"/>
      <c r="N122" s="231"/>
      <c r="O122" s="231"/>
      <c r="P122" s="231"/>
      <c r="Q122" s="231"/>
      <c r="R122" s="231"/>
      <c r="S122" s="231"/>
      <c r="T122" s="231"/>
      <c r="U122" s="231"/>
      <c r="V122" s="231"/>
      <c r="W122" s="231"/>
      <c r="X122" s="231"/>
      <c r="Y122" s="231"/>
      <c r="Z122" s="231"/>
      <c r="AA122" s="231"/>
      <c r="AB122" s="231"/>
      <c r="AC122" s="231"/>
      <c r="AD122" s="231"/>
      <c r="AE122" s="231"/>
      <c r="AF122" s="231"/>
      <c r="AG122" s="231"/>
      <c r="AH122" s="231"/>
      <c r="AI122" s="231"/>
      <c r="AJ122" s="231"/>
      <c r="AK122" s="231"/>
      <c r="AL122" s="231"/>
      <c r="AM122" s="231"/>
      <c r="AN122" s="231"/>
      <c r="AO122" s="231"/>
      <c r="AP122" s="231"/>
      <c r="AQ122" s="231"/>
      <c r="AR122" s="231"/>
      <c r="AS122" s="231"/>
      <c r="AT122" s="231"/>
      <c r="AU122" s="232"/>
    </row>
    <row r="124" spans="1:47" ht="16.5" customHeight="1">
      <c r="B124" s="41" t="s">
        <v>205</v>
      </c>
    </row>
    <row r="125" spans="1:47" ht="16.5" customHeight="1">
      <c r="B125" s="227"/>
      <c r="C125" s="228"/>
      <c r="D125" s="228"/>
      <c r="E125" s="228"/>
      <c r="F125" s="228"/>
      <c r="G125" s="228"/>
      <c r="H125" s="228"/>
      <c r="I125" s="228"/>
      <c r="J125" s="228"/>
      <c r="K125" s="228"/>
      <c r="L125" s="228"/>
      <c r="M125" s="228"/>
      <c r="N125" s="228"/>
      <c r="O125" s="228"/>
      <c r="P125" s="228"/>
      <c r="Q125" s="228"/>
      <c r="R125" s="228"/>
      <c r="S125" s="228"/>
      <c r="T125" s="228"/>
      <c r="U125" s="228"/>
      <c r="V125" s="228"/>
      <c r="W125" s="228"/>
      <c r="X125" s="228"/>
      <c r="Y125" s="228"/>
      <c r="Z125" s="228"/>
      <c r="AA125" s="228"/>
      <c r="AB125" s="228"/>
      <c r="AC125" s="228"/>
      <c r="AD125" s="228"/>
      <c r="AE125" s="228"/>
      <c r="AF125" s="228"/>
      <c r="AG125" s="228"/>
      <c r="AH125" s="228"/>
      <c r="AI125" s="228"/>
      <c r="AJ125" s="228"/>
      <c r="AK125" s="228"/>
      <c r="AL125" s="228"/>
      <c r="AM125" s="228"/>
      <c r="AN125" s="228"/>
      <c r="AO125" s="228"/>
      <c r="AP125" s="228"/>
      <c r="AQ125" s="228"/>
      <c r="AR125" s="228"/>
      <c r="AS125" s="228"/>
      <c r="AT125" s="228"/>
      <c r="AU125" s="229"/>
    </row>
    <row r="126" spans="1:47" ht="16.5" customHeight="1">
      <c r="B126" s="304"/>
      <c r="C126" s="305"/>
      <c r="D126" s="305"/>
      <c r="E126" s="305"/>
      <c r="F126" s="305"/>
      <c r="G126" s="305"/>
      <c r="H126" s="305"/>
      <c r="I126" s="305"/>
      <c r="J126" s="305"/>
      <c r="K126" s="305"/>
      <c r="L126" s="305"/>
      <c r="M126" s="305"/>
      <c r="N126" s="305"/>
      <c r="O126" s="305"/>
      <c r="P126" s="305"/>
      <c r="Q126" s="305"/>
      <c r="R126" s="305"/>
      <c r="S126" s="305"/>
      <c r="T126" s="305"/>
      <c r="U126" s="305"/>
      <c r="V126" s="305"/>
      <c r="W126" s="305"/>
      <c r="X126" s="305"/>
      <c r="Y126" s="305"/>
      <c r="Z126" s="305"/>
      <c r="AA126" s="305"/>
      <c r="AB126" s="305"/>
      <c r="AC126" s="305"/>
      <c r="AD126" s="305"/>
      <c r="AE126" s="305"/>
      <c r="AF126" s="305"/>
      <c r="AG126" s="305"/>
      <c r="AH126" s="305"/>
      <c r="AI126" s="305"/>
      <c r="AJ126" s="305"/>
      <c r="AK126" s="305"/>
      <c r="AL126" s="305"/>
      <c r="AM126" s="305"/>
      <c r="AN126" s="305"/>
      <c r="AO126" s="305"/>
      <c r="AP126" s="305"/>
      <c r="AQ126" s="305"/>
      <c r="AR126" s="305"/>
      <c r="AS126" s="305"/>
      <c r="AT126" s="305"/>
      <c r="AU126" s="306"/>
    </row>
    <row r="127" spans="1:47" ht="16.5" customHeight="1">
      <c r="B127" s="230"/>
      <c r="C127" s="231"/>
      <c r="D127" s="231"/>
      <c r="E127" s="231"/>
      <c r="F127" s="231"/>
      <c r="G127" s="231"/>
      <c r="H127" s="231"/>
      <c r="I127" s="231"/>
      <c r="J127" s="231"/>
      <c r="K127" s="231"/>
      <c r="L127" s="231"/>
      <c r="M127" s="231"/>
      <c r="N127" s="231"/>
      <c r="O127" s="231"/>
      <c r="P127" s="231"/>
      <c r="Q127" s="231"/>
      <c r="R127" s="231"/>
      <c r="S127" s="231"/>
      <c r="T127" s="231"/>
      <c r="U127" s="231"/>
      <c r="V127" s="231"/>
      <c r="W127" s="231"/>
      <c r="X127" s="231"/>
      <c r="Y127" s="231"/>
      <c r="Z127" s="231"/>
      <c r="AA127" s="231"/>
      <c r="AB127" s="231"/>
      <c r="AC127" s="231"/>
      <c r="AD127" s="231"/>
      <c r="AE127" s="231"/>
      <c r="AF127" s="231"/>
      <c r="AG127" s="231"/>
      <c r="AH127" s="231"/>
      <c r="AI127" s="231"/>
      <c r="AJ127" s="231"/>
      <c r="AK127" s="231"/>
      <c r="AL127" s="231"/>
      <c r="AM127" s="231"/>
      <c r="AN127" s="231"/>
      <c r="AO127" s="231"/>
      <c r="AP127" s="231"/>
      <c r="AQ127" s="231"/>
      <c r="AR127" s="231"/>
      <c r="AS127" s="231"/>
      <c r="AT127" s="231"/>
      <c r="AU127" s="232"/>
    </row>
    <row r="129" spans="2:47" ht="16.5" customHeight="1">
      <c r="B129" s="41" t="s">
        <v>206</v>
      </c>
    </row>
    <row r="130" spans="2:47" ht="16.5" customHeight="1">
      <c r="B130" s="342"/>
      <c r="C130" s="343"/>
      <c r="D130" s="343"/>
      <c r="E130" s="343"/>
      <c r="F130" s="343"/>
      <c r="G130" s="343"/>
      <c r="H130" s="343"/>
      <c r="I130" s="343"/>
      <c r="J130" s="343"/>
      <c r="K130" s="343"/>
      <c r="L130" s="343"/>
      <c r="M130" s="343"/>
      <c r="N130" s="343"/>
      <c r="O130" s="343"/>
      <c r="P130" s="343"/>
      <c r="Q130" s="343"/>
      <c r="R130" s="343"/>
      <c r="S130" s="343"/>
      <c r="T130" s="343"/>
      <c r="U130" s="343"/>
      <c r="V130" s="343"/>
      <c r="W130" s="343"/>
      <c r="X130" s="343"/>
      <c r="Y130" s="343"/>
      <c r="Z130" s="343"/>
      <c r="AA130" s="343"/>
      <c r="AB130" s="343"/>
      <c r="AC130" s="343"/>
      <c r="AD130" s="343"/>
      <c r="AE130" s="343"/>
      <c r="AF130" s="343"/>
      <c r="AG130" s="343"/>
      <c r="AH130" s="343"/>
      <c r="AI130" s="343"/>
      <c r="AJ130" s="343"/>
      <c r="AK130" s="343"/>
      <c r="AL130" s="343"/>
      <c r="AM130" s="343"/>
      <c r="AN130" s="343"/>
      <c r="AO130" s="343"/>
      <c r="AP130" s="343"/>
      <c r="AQ130" s="343"/>
      <c r="AR130" s="343"/>
      <c r="AS130" s="343"/>
      <c r="AT130" s="343"/>
      <c r="AU130" s="344"/>
    </row>
    <row r="131" spans="2:47" ht="16.5" customHeight="1">
      <c r="B131" s="345"/>
      <c r="C131" s="346"/>
      <c r="D131" s="346"/>
      <c r="E131" s="346"/>
      <c r="F131" s="346"/>
      <c r="G131" s="346"/>
      <c r="H131" s="346"/>
      <c r="I131" s="346"/>
      <c r="J131" s="346"/>
      <c r="K131" s="346"/>
      <c r="L131" s="346"/>
      <c r="M131" s="346"/>
      <c r="N131" s="346"/>
      <c r="O131" s="346"/>
      <c r="P131" s="346"/>
      <c r="Q131" s="346"/>
      <c r="R131" s="346"/>
      <c r="S131" s="346"/>
      <c r="T131" s="346"/>
      <c r="U131" s="346"/>
      <c r="V131" s="346"/>
      <c r="W131" s="346"/>
      <c r="X131" s="346"/>
      <c r="Y131" s="346"/>
      <c r="Z131" s="346"/>
      <c r="AA131" s="346"/>
      <c r="AB131" s="346"/>
      <c r="AC131" s="346"/>
      <c r="AD131" s="346"/>
      <c r="AE131" s="346"/>
      <c r="AF131" s="346"/>
      <c r="AG131" s="346"/>
      <c r="AH131" s="346"/>
      <c r="AI131" s="346"/>
      <c r="AJ131" s="346"/>
      <c r="AK131" s="346"/>
      <c r="AL131" s="346"/>
      <c r="AM131" s="346"/>
      <c r="AN131" s="346"/>
      <c r="AO131" s="346"/>
      <c r="AP131" s="346"/>
      <c r="AQ131" s="346"/>
      <c r="AR131" s="346"/>
      <c r="AS131" s="346"/>
      <c r="AT131" s="346"/>
      <c r="AU131" s="347"/>
    </row>
    <row r="132" spans="2:47" ht="16.5" customHeight="1">
      <c r="B132" s="348"/>
      <c r="C132" s="349"/>
      <c r="D132" s="349"/>
      <c r="E132" s="349"/>
      <c r="F132" s="349"/>
      <c r="G132" s="349"/>
      <c r="H132" s="349"/>
      <c r="I132" s="349"/>
      <c r="J132" s="349"/>
      <c r="K132" s="349"/>
      <c r="L132" s="349"/>
      <c r="M132" s="349"/>
      <c r="N132" s="349"/>
      <c r="O132" s="349"/>
      <c r="P132" s="349"/>
      <c r="Q132" s="349"/>
      <c r="R132" s="349"/>
      <c r="S132" s="349"/>
      <c r="T132" s="349"/>
      <c r="U132" s="349"/>
      <c r="V132" s="349"/>
      <c r="W132" s="349"/>
      <c r="X132" s="349"/>
      <c r="Y132" s="349"/>
      <c r="Z132" s="349"/>
      <c r="AA132" s="349"/>
      <c r="AB132" s="349"/>
      <c r="AC132" s="349"/>
      <c r="AD132" s="349"/>
      <c r="AE132" s="349"/>
      <c r="AF132" s="349"/>
      <c r="AG132" s="349"/>
      <c r="AH132" s="349"/>
      <c r="AI132" s="349"/>
      <c r="AJ132" s="349"/>
      <c r="AK132" s="349"/>
      <c r="AL132" s="349"/>
      <c r="AM132" s="349"/>
      <c r="AN132" s="349"/>
      <c r="AO132" s="349"/>
      <c r="AP132" s="349"/>
      <c r="AQ132" s="349"/>
      <c r="AR132" s="349"/>
      <c r="AS132" s="349"/>
      <c r="AT132" s="349"/>
      <c r="AU132" s="350"/>
    </row>
    <row r="134" spans="2:47" ht="16.5" customHeight="1">
      <c r="B134" s="41" t="s">
        <v>207</v>
      </c>
    </row>
    <row r="135" spans="2:47" ht="16.5" customHeight="1">
      <c r="B135" s="227" t="s">
        <v>208</v>
      </c>
      <c r="C135" s="228"/>
      <c r="D135" s="228"/>
      <c r="E135" s="228"/>
      <c r="F135" s="228"/>
      <c r="G135" s="228"/>
      <c r="H135" s="228"/>
      <c r="I135" s="228"/>
      <c r="J135" s="228"/>
      <c r="K135" s="228"/>
      <c r="L135" s="228"/>
      <c r="M135" s="228"/>
      <c r="N135" s="228"/>
      <c r="O135" s="228"/>
      <c r="P135" s="228"/>
      <c r="Q135" s="228"/>
      <c r="R135" s="228"/>
      <c r="S135" s="228"/>
      <c r="T135" s="228"/>
      <c r="U135" s="228"/>
      <c r="V135" s="228"/>
      <c r="W135" s="228"/>
      <c r="X135" s="228"/>
      <c r="Y135" s="228"/>
      <c r="Z135" s="228"/>
      <c r="AA135" s="228"/>
      <c r="AB135" s="228"/>
      <c r="AC135" s="228"/>
      <c r="AD135" s="228"/>
      <c r="AE135" s="228"/>
      <c r="AF135" s="228"/>
      <c r="AG135" s="228"/>
      <c r="AH135" s="228"/>
      <c r="AI135" s="228"/>
      <c r="AJ135" s="228"/>
      <c r="AK135" s="228"/>
      <c r="AL135" s="228"/>
      <c r="AM135" s="228"/>
      <c r="AN135" s="228"/>
      <c r="AO135" s="228"/>
      <c r="AP135" s="228"/>
      <c r="AQ135" s="228"/>
      <c r="AR135" s="228"/>
      <c r="AS135" s="228"/>
      <c r="AT135" s="228"/>
      <c r="AU135" s="229"/>
    </row>
    <row r="136" spans="2:47" ht="16.5" customHeight="1">
      <c r="B136" s="304"/>
      <c r="C136" s="305"/>
      <c r="D136" s="305"/>
      <c r="E136" s="305"/>
      <c r="F136" s="305"/>
      <c r="G136" s="305"/>
      <c r="H136" s="305"/>
      <c r="I136" s="305"/>
      <c r="J136" s="305"/>
      <c r="K136" s="305"/>
      <c r="L136" s="305"/>
      <c r="M136" s="305"/>
      <c r="N136" s="305"/>
      <c r="O136" s="305"/>
      <c r="P136" s="305"/>
      <c r="Q136" s="305"/>
      <c r="R136" s="305"/>
      <c r="S136" s="305"/>
      <c r="T136" s="305"/>
      <c r="U136" s="305"/>
      <c r="V136" s="305"/>
      <c r="W136" s="305"/>
      <c r="X136" s="305"/>
      <c r="Y136" s="305"/>
      <c r="Z136" s="305"/>
      <c r="AA136" s="305"/>
      <c r="AB136" s="305"/>
      <c r="AC136" s="305"/>
      <c r="AD136" s="305"/>
      <c r="AE136" s="305"/>
      <c r="AF136" s="305"/>
      <c r="AG136" s="305"/>
      <c r="AH136" s="305"/>
      <c r="AI136" s="305"/>
      <c r="AJ136" s="305"/>
      <c r="AK136" s="305"/>
      <c r="AL136" s="305"/>
      <c r="AM136" s="305"/>
      <c r="AN136" s="305"/>
      <c r="AO136" s="305"/>
      <c r="AP136" s="305"/>
      <c r="AQ136" s="305"/>
      <c r="AR136" s="305"/>
      <c r="AS136" s="305"/>
      <c r="AT136" s="305"/>
      <c r="AU136" s="306"/>
    </row>
    <row r="137" spans="2:47" ht="16.5" customHeight="1">
      <c r="B137" s="304"/>
      <c r="C137" s="305"/>
      <c r="D137" s="305"/>
      <c r="E137" s="305"/>
      <c r="F137" s="305"/>
      <c r="G137" s="305"/>
      <c r="H137" s="305"/>
      <c r="I137" s="305"/>
      <c r="J137" s="305"/>
      <c r="K137" s="305"/>
      <c r="L137" s="305"/>
      <c r="M137" s="305"/>
      <c r="N137" s="305"/>
      <c r="O137" s="305"/>
      <c r="P137" s="305"/>
      <c r="Q137" s="305"/>
      <c r="R137" s="305"/>
      <c r="S137" s="305"/>
      <c r="T137" s="305"/>
      <c r="U137" s="305"/>
      <c r="V137" s="305"/>
      <c r="W137" s="305"/>
      <c r="X137" s="305"/>
      <c r="Y137" s="305"/>
      <c r="Z137" s="305"/>
      <c r="AA137" s="305"/>
      <c r="AB137" s="305"/>
      <c r="AC137" s="305"/>
      <c r="AD137" s="305"/>
      <c r="AE137" s="305"/>
      <c r="AF137" s="305"/>
      <c r="AG137" s="305"/>
      <c r="AH137" s="305"/>
      <c r="AI137" s="305"/>
      <c r="AJ137" s="305"/>
      <c r="AK137" s="305"/>
      <c r="AL137" s="305"/>
      <c r="AM137" s="305"/>
      <c r="AN137" s="305"/>
      <c r="AO137" s="305"/>
      <c r="AP137" s="305"/>
      <c r="AQ137" s="305"/>
      <c r="AR137" s="305"/>
      <c r="AS137" s="305"/>
      <c r="AT137" s="305"/>
      <c r="AU137" s="306"/>
    </row>
    <row r="138" spans="2:47" ht="16.5" customHeight="1">
      <c r="B138" s="304"/>
      <c r="C138" s="305"/>
      <c r="D138" s="305"/>
      <c r="E138" s="305"/>
      <c r="F138" s="305"/>
      <c r="G138" s="305"/>
      <c r="H138" s="305"/>
      <c r="I138" s="305"/>
      <c r="J138" s="305"/>
      <c r="K138" s="305"/>
      <c r="L138" s="305"/>
      <c r="M138" s="305"/>
      <c r="N138" s="305"/>
      <c r="O138" s="305"/>
      <c r="P138" s="305"/>
      <c r="Q138" s="305"/>
      <c r="R138" s="305"/>
      <c r="S138" s="305"/>
      <c r="T138" s="305"/>
      <c r="U138" s="305"/>
      <c r="V138" s="305"/>
      <c r="W138" s="305"/>
      <c r="X138" s="305"/>
      <c r="Y138" s="305"/>
      <c r="Z138" s="305"/>
      <c r="AA138" s="305"/>
      <c r="AB138" s="305"/>
      <c r="AC138" s="305"/>
      <c r="AD138" s="305"/>
      <c r="AE138" s="305"/>
      <c r="AF138" s="305"/>
      <c r="AG138" s="305"/>
      <c r="AH138" s="305"/>
      <c r="AI138" s="305"/>
      <c r="AJ138" s="305"/>
      <c r="AK138" s="305"/>
      <c r="AL138" s="305"/>
      <c r="AM138" s="305"/>
      <c r="AN138" s="305"/>
      <c r="AO138" s="305"/>
      <c r="AP138" s="305"/>
      <c r="AQ138" s="305"/>
      <c r="AR138" s="305"/>
      <c r="AS138" s="305"/>
      <c r="AT138" s="305"/>
      <c r="AU138" s="306"/>
    </row>
    <row r="139" spans="2:47" ht="16.5" customHeight="1">
      <c r="B139" s="304"/>
      <c r="C139" s="305"/>
      <c r="D139" s="305"/>
      <c r="E139" s="305"/>
      <c r="F139" s="305"/>
      <c r="G139" s="305"/>
      <c r="H139" s="305"/>
      <c r="I139" s="305"/>
      <c r="J139" s="305"/>
      <c r="K139" s="305"/>
      <c r="L139" s="305"/>
      <c r="M139" s="305"/>
      <c r="N139" s="305"/>
      <c r="O139" s="305"/>
      <c r="P139" s="305"/>
      <c r="Q139" s="305"/>
      <c r="R139" s="305"/>
      <c r="S139" s="305"/>
      <c r="T139" s="305"/>
      <c r="U139" s="305"/>
      <c r="V139" s="305"/>
      <c r="W139" s="305"/>
      <c r="X139" s="305"/>
      <c r="Y139" s="305"/>
      <c r="Z139" s="305"/>
      <c r="AA139" s="305"/>
      <c r="AB139" s="305"/>
      <c r="AC139" s="305"/>
      <c r="AD139" s="305"/>
      <c r="AE139" s="305"/>
      <c r="AF139" s="305"/>
      <c r="AG139" s="305"/>
      <c r="AH139" s="305"/>
      <c r="AI139" s="305"/>
      <c r="AJ139" s="305"/>
      <c r="AK139" s="305"/>
      <c r="AL139" s="305"/>
      <c r="AM139" s="305"/>
      <c r="AN139" s="305"/>
      <c r="AO139" s="305"/>
      <c r="AP139" s="305"/>
      <c r="AQ139" s="305"/>
      <c r="AR139" s="305"/>
      <c r="AS139" s="305"/>
      <c r="AT139" s="305"/>
      <c r="AU139" s="306"/>
    </row>
    <row r="140" spans="2:47" ht="16.5" customHeight="1">
      <c r="B140" s="304"/>
      <c r="C140" s="305"/>
      <c r="D140" s="305"/>
      <c r="E140" s="305"/>
      <c r="F140" s="305"/>
      <c r="G140" s="305"/>
      <c r="H140" s="305"/>
      <c r="I140" s="305"/>
      <c r="J140" s="305"/>
      <c r="K140" s="305"/>
      <c r="L140" s="305"/>
      <c r="M140" s="305"/>
      <c r="N140" s="305"/>
      <c r="O140" s="305"/>
      <c r="P140" s="305"/>
      <c r="Q140" s="305"/>
      <c r="R140" s="305"/>
      <c r="S140" s="305"/>
      <c r="T140" s="305"/>
      <c r="U140" s="305"/>
      <c r="V140" s="305"/>
      <c r="W140" s="305"/>
      <c r="X140" s="305"/>
      <c r="Y140" s="305"/>
      <c r="Z140" s="305"/>
      <c r="AA140" s="305"/>
      <c r="AB140" s="305"/>
      <c r="AC140" s="305"/>
      <c r="AD140" s="305"/>
      <c r="AE140" s="305"/>
      <c r="AF140" s="305"/>
      <c r="AG140" s="305"/>
      <c r="AH140" s="305"/>
      <c r="AI140" s="305"/>
      <c r="AJ140" s="305"/>
      <c r="AK140" s="305"/>
      <c r="AL140" s="305"/>
      <c r="AM140" s="305"/>
      <c r="AN140" s="305"/>
      <c r="AO140" s="305"/>
      <c r="AP140" s="305"/>
      <c r="AQ140" s="305"/>
      <c r="AR140" s="305"/>
      <c r="AS140" s="305"/>
      <c r="AT140" s="305"/>
      <c r="AU140" s="306"/>
    </row>
    <row r="141" spans="2:47" ht="16.5" customHeight="1">
      <c r="B141" s="304"/>
      <c r="C141" s="305"/>
      <c r="D141" s="305"/>
      <c r="E141" s="305"/>
      <c r="F141" s="305"/>
      <c r="G141" s="305"/>
      <c r="H141" s="305"/>
      <c r="I141" s="305"/>
      <c r="J141" s="305"/>
      <c r="K141" s="305"/>
      <c r="L141" s="305"/>
      <c r="M141" s="305"/>
      <c r="N141" s="305"/>
      <c r="O141" s="305"/>
      <c r="P141" s="305"/>
      <c r="Q141" s="305"/>
      <c r="R141" s="305"/>
      <c r="S141" s="305"/>
      <c r="T141" s="305"/>
      <c r="U141" s="305"/>
      <c r="V141" s="305"/>
      <c r="W141" s="305"/>
      <c r="X141" s="305"/>
      <c r="Y141" s="305"/>
      <c r="Z141" s="305"/>
      <c r="AA141" s="305"/>
      <c r="AB141" s="305"/>
      <c r="AC141" s="305"/>
      <c r="AD141" s="305"/>
      <c r="AE141" s="305"/>
      <c r="AF141" s="305"/>
      <c r="AG141" s="305"/>
      <c r="AH141" s="305"/>
      <c r="AI141" s="305"/>
      <c r="AJ141" s="305"/>
      <c r="AK141" s="305"/>
      <c r="AL141" s="305"/>
      <c r="AM141" s="305"/>
      <c r="AN141" s="305"/>
      <c r="AO141" s="305"/>
      <c r="AP141" s="305"/>
      <c r="AQ141" s="305"/>
      <c r="AR141" s="305"/>
      <c r="AS141" s="305"/>
      <c r="AT141" s="305"/>
      <c r="AU141" s="306"/>
    </row>
    <row r="142" spans="2:47" ht="16.5" customHeight="1">
      <c r="B142" s="304"/>
      <c r="C142" s="305"/>
      <c r="D142" s="305"/>
      <c r="E142" s="305"/>
      <c r="F142" s="305"/>
      <c r="G142" s="305"/>
      <c r="H142" s="305"/>
      <c r="I142" s="305"/>
      <c r="J142" s="305"/>
      <c r="K142" s="305"/>
      <c r="L142" s="305"/>
      <c r="M142" s="305"/>
      <c r="N142" s="305"/>
      <c r="O142" s="305"/>
      <c r="P142" s="305"/>
      <c r="Q142" s="305"/>
      <c r="R142" s="305"/>
      <c r="S142" s="305"/>
      <c r="T142" s="305"/>
      <c r="U142" s="305"/>
      <c r="V142" s="305"/>
      <c r="W142" s="305"/>
      <c r="X142" s="305"/>
      <c r="Y142" s="305"/>
      <c r="Z142" s="305"/>
      <c r="AA142" s="305"/>
      <c r="AB142" s="305"/>
      <c r="AC142" s="305"/>
      <c r="AD142" s="305"/>
      <c r="AE142" s="305"/>
      <c r="AF142" s="305"/>
      <c r="AG142" s="305"/>
      <c r="AH142" s="305"/>
      <c r="AI142" s="305"/>
      <c r="AJ142" s="305"/>
      <c r="AK142" s="305"/>
      <c r="AL142" s="305"/>
      <c r="AM142" s="305"/>
      <c r="AN142" s="305"/>
      <c r="AO142" s="305"/>
      <c r="AP142" s="305"/>
      <c r="AQ142" s="305"/>
      <c r="AR142" s="305"/>
      <c r="AS142" s="305"/>
      <c r="AT142" s="305"/>
      <c r="AU142" s="306"/>
    </row>
    <row r="143" spans="2:47" ht="16.5" customHeight="1">
      <c r="B143" s="304"/>
      <c r="C143" s="305"/>
      <c r="D143" s="305"/>
      <c r="E143" s="305"/>
      <c r="F143" s="305"/>
      <c r="G143" s="305"/>
      <c r="H143" s="305"/>
      <c r="I143" s="305"/>
      <c r="J143" s="305"/>
      <c r="K143" s="305"/>
      <c r="L143" s="305"/>
      <c r="M143" s="305"/>
      <c r="N143" s="305"/>
      <c r="O143" s="305"/>
      <c r="P143" s="305"/>
      <c r="Q143" s="305"/>
      <c r="R143" s="305"/>
      <c r="S143" s="305"/>
      <c r="T143" s="305"/>
      <c r="U143" s="305"/>
      <c r="V143" s="305"/>
      <c r="W143" s="305"/>
      <c r="X143" s="305"/>
      <c r="Y143" s="305"/>
      <c r="Z143" s="305"/>
      <c r="AA143" s="305"/>
      <c r="AB143" s="305"/>
      <c r="AC143" s="305"/>
      <c r="AD143" s="305"/>
      <c r="AE143" s="305"/>
      <c r="AF143" s="305"/>
      <c r="AG143" s="305"/>
      <c r="AH143" s="305"/>
      <c r="AI143" s="305"/>
      <c r="AJ143" s="305"/>
      <c r="AK143" s="305"/>
      <c r="AL143" s="305"/>
      <c r="AM143" s="305"/>
      <c r="AN143" s="305"/>
      <c r="AO143" s="305"/>
      <c r="AP143" s="305"/>
      <c r="AQ143" s="305"/>
      <c r="AR143" s="305"/>
      <c r="AS143" s="305"/>
      <c r="AT143" s="305"/>
      <c r="AU143" s="306"/>
    </row>
    <row r="144" spans="2:47" ht="16.5" customHeight="1">
      <c r="B144" s="304"/>
      <c r="C144" s="305"/>
      <c r="D144" s="305"/>
      <c r="E144" s="305"/>
      <c r="F144" s="305"/>
      <c r="G144" s="305"/>
      <c r="H144" s="305"/>
      <c r="I144" s="305"/>
      <c r="J144" s="305"/>
      <c r="K144" s="305"/>
      <c r="L144" s="305"/>
      <c r="M144" s="305"/>
      <c r="N144" s="305"/>
      <c r="O144" s="305"/>
      <c r="P144" s="305"/>
      <c r="Q144" s="305"/>
      <c r="R144" s="305"/>
      <c r="S144" s="305"/>
      <c r="T144" s="305"/>
      <c r="U144" s="305"/>
      <c r="V144" s="305"/>
      <c r="W144" s="305"/>
      <c r="X144" s="305"/>
      <c r="Y144" s="305"/>
      <c r="Z144" s="305"/>
      <c r="AA144" s="305"/>
      <c r="AB144" s="305"/>
      <c r="AC144" s="305"/>
      <c r="AD144" s="305"/>
      <c r="AE144" s="305"/>
      <c r="AF144" s="305"/>
      <c r="AG144" s="305"/>
      <c r="AH144" s="305"/>
      <c r="AI144" s="305"/>
      <c r="AJ144" s="305"/>
      <c r="AK144" s="305"/>
      <c r="AL144" s="305"/>
      <c r="AM144" s="305"/>
      <c r="AN144" s="305"/>
      <c r="AO144" s="305"/>
      <c r="AP144" s="305"/>
      <c r="AQ144" s="305"/>
      <c r="AR144" s="305"/>
      <c r="AS144" s="305"/>
      <c r="AT144" s="305"/>
      <c r="AU144" s="306"/>
    </row>
    <row r="145" spans="2:47" ht="16.5" customHeight="1">
      <c r="B145" s="304"/>
      <c r="C145" s="305"/>
      <c r="D145" s="305"/>
      <c r="E145" s="305"/>
      <c r="F145" s="305"/>
      <c r="G145" s="305"/>
      <c r="H145" s="305"/>
      <c r="I145" s="305"/>
      <c r="J145" s="305"/>
      <c r="K145" s="305"/>
      <c r="L145" s="305"/>
      <c r="M145" s="305"/>
      <c r="N145" s="305"/>
      <c r="O145" s="305"/>
      <c r="P145" s="305"/>
      <c r="Q145" s="305"/>
      <c r="R145" s="305"/>
      <c r="S145" s="305"/>
      <c r="T145" s="305"/>
      <c r="U145" s="305"/>
      <c r="V145" s="305"/>
      <c r="W145" s="305"/>
      <c r="X145" s="305"/>
      <c r="Y145" s="305"/>
      <c r="Z145" s="305"/>
      <c r="AA145" s="305"/>
      <c r="AB145" s="305"/>
      <c r="AC145" s="305"/>
      <c r="AD145" s="305"/>
      <c r="AE145" s="305"/>
      <c r="AF145" s="305"/>
      <c r="AG145" s="305"/>
      <c r="AH145" s="305"/>
      <c r="AI145" s="305"/>
      <c r="AJ145" s="305"/>
      <c r="AK145" s="305"/>
      <c r="AL145" s="305"/>
      <c r="AM145" s="305"/>
      <c r="AN145" s="305"/>
      <c r="AO145" s="305"/>
      <c r="AP145" s="305"/>
      <c r="AQ145" s="305"/>
      <c r="AR145" s="305"/>
      <c r="AS145" s="305"/>
      <c r="AT145" s="305"/>
      <c r="AU145" s="306"/>
    </row>
    <row r="146" spans="2:47" ht="16.5" customHeight="1">
      <c r="B146" s="230"/>
      <c r="C146" s="231"/>
      <c r="D146" s="231"/>
      <c r="E146" s="231"/>
      <c r="F146" s="231"/>
      <c r="G146" s="231"/>
      <c r="H146" s="231"/>
      <c r="I146" s="231"/>
      <c r="J146" s="231"/>
      <c r="K146" s="231"/>
      <c r="L146" s="231"/>
      <c r="M146" s="231"/>
      <c r="N146" s="231"/>
      <c r="O146" s="231"/>
      <c r="P146" s="231"/>
      <c r="Q146" s="231"/>
      <c r="R146" s="231"/>
      <c r="S146" s="231"/>
      <c r="T146" s="231"/>
      <c r="U146" s="231"/>
      <c r="V146" s="231"/>
      <c r="W146" s="231"/>
      <c r="X146" s="231"/>
      <c r="Y146" s="231"/>
      <c r="Z146" s="231"/>
      <c r="AA146" s="231"/>
      <c r="AB146" s="231"/>
      <c r="AC146" s="231"/>
      <c r="AD146" s="231"/>
      <c r="AE146" s="231"/>
      <c r="AF146" s="231"/>
      <c r="AG146" s="231"/>
      <c r="AH146" s="231"/>
      <c r="AI146" s="231"/>
      <c r="AJ146" s="231"/>
      <c r="AK146" s="231"/>
      <c r="AL146" s="231"/>
      <c r="AM146" s="231"/>
      <c r="AN146" s="231"/>
      <c r="AO146" s="231"/>
      <c r="AP146" s="231"/>
      <c r="AQ146" s="231"/>
      <c r="AR146" s="231"/>
      <c r="AS146" s="231"/>
      <c r="AT146" s="231"/>
      <c r="AU146" s="232"/>
    </row>
    <row r="148" spans="2:47" ht="16.5" customHeight="1">
      <c r="B148" s="41" t="s">
        <v>209</v>
      </c>
    </row>
    <row r="149" spans="2:47" ht="16.5" customHeight="1">
      <c r="B149" s="227"/>
      <c r="C149" s="228"/>
      <c r="D149" s="228"/>
      <c r="E149" s="228"/>
      <c r="F149" s="228"/>
      <c r="G149" s="228"/>
      <c r="H149" s="228"/>
      <c r="I149" s="228"/>
      <c r="J149" s="228"/>
      <c r="K149" s="228"/>
      <c r="L149" s="228"/>
      <c r="M149" s="228"/>
      <c r="N149" s="228"/>
      <c r="O149" s="228"/>
      <c r="P149" s="228"/>
      <c r="Q149" s="228"/>
      <c r="R149" s="228"/>
      <c r="S149" s="228"/>
      <c r="T149" s="228"/>
      <c r="U149" s="228"/>
      <c r="V149" s="228"/>
      <c r="W149" s="228"/>
      <c r="X149" s="228"/>
      <c r="Y149" s="228"/>
      <c r="Z149" s="228"/>
      <c r="AA149" s="228"/>
      <c r="AB149" s="228"/>
      <c r="AC149" s="228"/>
      <c r="AD149" s="228"/>
      <c r="AE149" s="228"/>
      <c r="AF149" s="228"/>
      <c r="AG149" s="228"/>
      <c r="AH149" s="228"/>
      <c r="AI149" s="228"/>
      <c r="AJ149" s="228"/>
      <c r="AK149" s="228"/>
      <c r="AL149" s="228"/>
      <c r="AM149" s="228"/>
      <c r="AN149" s="228"/>
      <c r="AO149" s="228"/>
      <c r="AP149" s="228"/>
      <c r="AQ149" s="228"/>
      <c r="AR149" s="228"/>
      <c r="AS149" s="228"/>
      <c r="AT149" s="228"/>
      <c r="AU149" s="229"/>
    </row>
    <row r="150" spans="2:47" ht="16.5" customHeight="1">
      <c r="B150" s="304"/>
      <c r="C150" s="305"/>
      <c r="D150" s="305"/>
      <c r="E150" s="305"/>
      <c r="F150" s="305"/>
      <c r="G150" s="305"/>
      <c r="H150" s="305"/>
      <c r="I150" s="305"/>
      <c r="J150" s="305"/>
      <c r="K150" s="305"/>
      <c r="L150" s="305"/>
      <c r="M150" s="305"/>
      <c r="N150" s="305"/>
      <c r="O150" s="305"/>
      <c r="P150" s="305"/>
      <c r="Q150" s="305"/>
      <c r="R150" s="305"/>
      <c r="S150" s="305"/>
      <c r="T150" s="305"/>
      <c r="U150" s="305"/>
      <c r="V150" s="305"/>
      <c r="W150" s="305"/>
      <c r="X150" s="305"/>
      <c r="Y150" s="305"/>
      <c r="Z150" s="305"/>
      <c r="AA150" s="305"/>
      <c r="AB150" s="305"/>
      <c r="AC150" s="305"/>
      <c r="AD150" s="305"/>
      <c r="AE150" s="305"/>
      <c r="AF150" s="305"/>
      <c r="AG150" s="305"/>
      <c r="AH150" s="305"/>
      <c r="AI150" s="305"/>
      <c r="AJ150" s="305"/>
      <c r="AK150" s="305"/>
      <c r="AL150" s="305"/>
      <c r="AM150" s="305"/>
      <c r="AN150" s="305"/>
      <c r="AO150" s="305"/>
      <c r="AP150" s="305"/>
      <c r="AQ150" s="305"/>
      <c r="AR150" s="305"/>
      <c r="AS150" s="305"/>
      <c r="AT150" s="305"/>
      <c r="AU150" s="306"/>
    </row>
    <row r="151" spans="2:47" ht="16.5" customHeight="1">
      <c r="B151" s="304"/>
      <c r="C151" s="305"/>
      <c r="D151" s="305"/>
      <c r="E151" s="305"/>
      <c r="F151" s="305"/>
      <c r="G151" s="305"/>
      <c r="H151" s="305"/>
      <c r="I151" s="305"/>
      <c r="J151" s="305"/>
      <c r="K151" s="305"/>
      <c r="L151" s="305"/>
      <c r="M151" s="305"/>
      <c r="N151" s="305"/>
      <c r="O151" s="305"/>
      <c r="P151" s="305"/>
      <c r="Q151" s="305"/>
      <c r="R151" s="305"/>
      <c r="S151" s="305"/>
      <c r="T151" s="305"/>
      <c r="U151" s="305"/>
      <c r="V151" s="305"/>
      <c r="W151" s="305"/>
      <c r="X151" s="305"/>
      <c r="Y151" s="305"/>
      <c r="Z151" s="305"/>
      <c r="AA151" s="305"/>
      <c r="AB151" s="305"/>
      <c r="AC151" s="305"/>
      <c r="AD151" s="305"/>
      <c r="AE151" s="305"/>
      <c r="AF151" s="305"/>
      <c r="AG151" s="305"/>
      <c r="AH151" s="305"/>
      <c r="AI151" s="305"/>
      <c r="AJ151" s="305"/>
      <c r="AK151" s="305"/>
      <c r="AL151" s="305"/>
      <c r="AM151" s="305"/>
      <c r="AN151" s="305"/>
      <c r="AO151" s="305"/>
      <c r="AP151" s="305"/>
      <c r="AQ151" s="305"/>
      <c r="AR151" s="305"/>
      <c r="AS151" s="305"/>
      <c r="AT151" s="305"/>
      <c r="AU151" s="306"/>
    </row>
    <row r="152" spans="2:47" ht="16.5" customHeight="1">
      <c r="B152" s="304"/>
      <c r="C152" s="305"/>
      <c r="D152" s="305"/>
      <c r="E152" s="305"/>
      <c r="F152" s="305"/>
      <c r="G152" s="305"/>
      <c r="H152" s="305"/>
      <c r="I152" s="305"/>
      <c r="J152" s="305"/>
      <c r="K152" s="305"/>
      <c r="L152" s="305"/>
      <c r="M152" s="305"/>
      <c r="N152" s="305"/>
      <c r="O152" s="305"/>
      <c r="P152" s="305"/>
      <c r="Q152" s="305"/>
      <c r="R152" s="305"/>
      <c r="S152" s="305"/>
      <c r="T152" s="305"/>
      <c r="U152" s="305"/>
      <c r="V152" s="305"/>
      <c r="W152" s="305"/>
      <c r="X152" s="305"/>
      <c r="Y152" s="305"/>
      <c r="Z152" s="305"/>
      <c r="AA152" s="305"/>
      <c r="AB152" s="305"/>
      <c r="AC152" s="305"/>
      <c r="AD152" s="305"/>
      <c r="AE152" s="305"/>
      <c r="AF152" s="305"/>
      <c r="AG152" s="305"/>
      <c r="AH152" s="305"/>
      <c r="AI152" s="305"/>
      <c r="AJ152" s="305"/>
      <c r="AK152" s="305"/>
      <c r="AL152" s="305"/>
      <c r="AM152" s="305"/>
      <c r="AN152" s="305"/>
      <c r="AO152" s="305"/>
      <c r="AP152" s="305"/>
      <c r="AQ152" s="305"/>
      <c r="AR152" s="305"/>
      <c r="AS152" s="305"/>
      <c r="AT152" s="305"/>
      <c r="AU152" s="306"/>
    </row>
    <row r="153" spans="2:47" ht="16.5" customHeight="1">
      <c r="B153" s="304"/>
      <c r="C153" s="305"/>
      <c r="D153" s="305"/>
      <c r="E153" s="305"/>
      <c r="F153" s="305"/>
      <c r="G153" s="305"/>
      <c r="H153" s="305"/>
      <c r="I153" s="305"/>
      <c r="J153" s="305"/>
      <c r="K153" s="305"/>
      <c r="L153" s="305"/>
      <c r="M153" s="305"/>
      <c r="N153" s="305"/>
      <c r="O153" s="305"/>
      <c r="P153" s="305"/>
      <c r="Q153" s="305"/>
      <c r="R153" s="305"/>
      <c r="S153" s="305"/>
      <c r="T153" s="305"/>
      <c r="U153" s="305"/>
      <c r="V153" s="305"/>
      <c r="W153" s="305"/>
      <c r="X153" s="305"/>
      <c r="Y153" s="305"/>
      <c r="Z153" s="305"/>
      <c r="AA153" s="305"/>
      <c r="AB153" s="305"/>
      <c r="AC153" s="305"/>
      <c r="AD153" s="305"/>
      <c r="AE153" s="305"/>
      <c r="AF153" s="305"/>
      <c r="AG153" s="305"/>
      <c r="AH153" s="305"/>
      <c r="AI153" s="305"/>
      <c r="AJ153" s="305"/>
      <c r="AK153" s="305"/>
      <c r="AL153" s="305"/>
      <c r="AM153" s="305"/>
      <c r="AN153" s="305"/>
      <c r="AO153" s="305"/>
      <c r="AP153" s="305"/>
      <c r="AQ153" s="305"/>
      <c r="AR153" s="305"/>
      <c r="AS153" s="305"/>
      <c r="AT153" s="305"/>
      <c r="AU153" s="306"/>
    </row>
    <row r="154" spans="2:47" ht="16.5" customHeight="1">
      <c r="B154" s="304"/>
      <c r="C154" s="305"/>
      <c r="D154" s="305"/>
      <c r="E154" s="305"/>
      <c r="F154" s="305"/>
      <c r="G154" s="305"/>
      <c r="H154" s="305"/>
      <c r="I154" s="305"/>
      <c r="J154" s="305"/>
      <c r="K154" s="305"/>
      <c r="L154" s="305"/>
      <c r="M154" s="305"/>
      <c r="N154" s="305"/>
      <c r="O154" s="305"/>
      <c r="P154" s="305"/>
      <c r="Q154" s="305"/>
      <c r="R154" s="305"/>
      <c r="S154" s="305"/>
      <c r="T154" s="305"/>
      <c r="U154" s="305"/>
      <c r="V154" s="305"/>
      <c r="W154" s="305"/>
      <c r="X154" s="305"/>
      <c r="Y154" s="305"/>
      <c r="Z154" s="305"/>
      <c r="AA154" s="305"/>
      <c r="AB154" s="305"/>
      <c r="AC154" s="305"/>
      <c r="AD154" s="305"/>
      <c r="AE154" s="305"/>
      <c r="AF154" s="305"/>
      <c r="AG154" s="305"/>
      <c r="AH154" s="305"/>
      <c r="AI154" s="305"/>
      <c r="AJ154" s="305"/>
      <c r="AK154" s="305"/>
      <c r="AL154" s="305"/>
      <c r="AM154" s="305"/>
      <c r="AN154" s="305"/>
      <c r="AO154" s="305"/>
      <c r="AP154" s="305"/>
      <c r="AQ154" s="305"/>
      <c r="AR154" s="305"/>
      <c r="AS154" s="305"/>
      <c r="AT154" s="305"/>
      <c r="AU154" s="306"/>
    </row>
    <row r="155" spans="2:47" ht="16.5" customHeight="1">
      <c r="B155" s="304"/>
      <c r="C155" s="305"/>
      <c r="D155" s="305"/>
      <c r="E155" s="305"/>
      <c r="F155" s="305"/>
      <c r="G155" s="305"/>
      <c r="H155" s="305"/>
      <c r="I155" s="305"/>
      <c r="J155" s="305"/>
      <c r="K155" s="305"/>
      <c r="L155" s="305"/>
      <c r="M155" s="305"/>
      <c r="N155" s="305"/>
      <c r="O155" s="305"/>
      <c r="P155" s="305"/>
      <c r="Q155" s="305"/>
      <c r="R155" s="305"/>
      <c r="S155" s="305"/>
      <c r="T155" s="305"/>
      <c r="U155" s="305"/>
      <c r="V155" s="305"/>
      <c r="W155" s="305"/>
      <c r="X155" s="305"/>
      <c r="Y155" s="305"/>
      <c r="Z155" s="305"/>
      <c r="AA155" s="305"/>
      <c r="AB155" s="305"/>
      <c r="AC155" s="305"/>
      <c r="AD155" s="305"/>
      <c r="AE155" s="305"/>
      <c r="AF155" s="305"/>
      <c r="AG155" s="305"/>
      <c r="AH155" s="305"/>
      <c r="AI155" s="305"/>
      <c r="AJ155" s="305"/>
      <c r="AK155" s="305"/>
      <c r="AL155" s="305"/>
      <c r="AM155" s="305"/>
      <c r="AN155" s="305"/>
      <c r="AO155" s="305"/>
      <c r="AP155" s="305"/>
      <c r="AQ155" s="305"/>
      <c r="AR155" s="305"/>
      <c r="AS155" s="305"/>
      <c r="AT155" s="305"/>
      <c r="AU155" s="306"/>
    </row>
    <row r="156" spans="2:47" ht="16.5" customHeight="1">
      <c r="B156" s="304"/>
      <c r="C156" s="305"/>
      <c r="D156" s="305"/>
      <c r="E156" s="305"/>
      <c r="F156" s="305"/>
      <c r="G156" s="305"/>
      <c r="H156" s="305"/>
      <c r="I156" s="305"/>
      <c r="J156" s="305"/>
      <c r="K156" s="305"/>
      <c r="L156" s="305"/>
      <c r="M156" s="305"/>
      <c r="N156" s="305"/>
      <c r="O156" s="305"/>
      <c r="P156" s="305"/>
      <c r="Q156" s="305"/>
      <c r="R156" s="305"/>
      <c r="S156" s="305"/>
      <c r="T156" s="305"/>
      <c r="U156" s="305"/>
      <c r="V156" s="305"/>
      <c r="W156" s="305"/>
      <c r="X156" s="305"/>
      <c r="Y156" s="305"/>
      <c r="Z156" s="305"/>
      <c r="AA156" s="305"/>
      <c r="AB156" s="305"/>
      <c r="AC156" s="305"/>
      <c r="AD156" s="305"/>
      <c r="AE156" s="305"/>
      <c r="AF156" s="305"/>
      <c r="AG156" s="305"/>
      <c r="AH156" s="305"/>
      <c r="AI156" s="305"/>
      <c r="AJ156" s="305"/>
      <c r="AK156" s="305"/>
      <c r="AL156" s="305"/>
      <c r="AM156" s="305"/>
      <c r="AN156" s="305"/>
      <c r="AO156" s="305"/>
      <c r="AP156" s="305"/>
      <c r="AQ156" s="305"/>
      <c r="AR156" s="305"/>
      <c r="AS156" s="305"/>
      <c r="AT156" s="305"/>
      <c r="AU156" s="306"/>
    </row>
    <row r="157" spans="2:47" ht="16.5" customHeight="1">
      <c r="B157" s="304"/>
      <c r="C157" s="305"/>
      <c r="D157" s="305"/>
      <c r="E157" s="305"/>
      <c r="F157" s="305"/>
      <c r="G157" s="305"/>
      <c r="H157" s="305"/>
      <c r="I157" s="305"/>
      <c r="J157" s="305"/>
      <c r="K157" s="305"/>
      <c r="L157" s="305"/>
      <c r="M157" s="305"/>
      <c r="N157" s="305"/>
      <c r="O157" s="305"/>
      <c r="P157" s="305"/>
      <c r="Q157" s="305"/>
      <c r="R157" s="305"/>
      <c r="S157" s="305"/>
      <c r="T157" s="305"/>
      <c r="U157" s="305"/>
      <c r="V157" s="305"/>
      <c r="W157" s="305"/>
      <c r="X157" s="305"/>
      <c r="Y157" s="305"/>
      <c r="Z157" s="305"/>
      <c r="AA157" s="305"/>
      <c r="AB157" s="305"/>
      <c r="AC157" s="305"/>
      <c r="AD157" s="305"/>
      <c r="AE157" s="305"/>
      <c r="AF157" s="305"/>
      <c r="AG157" s="305"/>
      <c r="AH157" s="305"/>
      <c r="AI157" s="305"/>
      <c r="AJ157" s="305"/>
      <c r="AK157" s="305"/>
      <c r="AL157" s="305"/>
      <c r="AM157" s="305"/>
      <c r="AN157" s="305"/>
      <c r="AO157" s="305"/>
      <c r="AP157" s="305"/>
      <c r="AQ157" s="305"/>
      <c r="AR157" s="305"/>
      <c r="AS157" s="305"/>
      <c r="AT157" s="305"/>
      <c r="AU157" s="306"/>
    </row>
    <row r="158" spans="2:47" ht="16.5" customHeight="1">
      <c r="B158" s="304"/>
      <c r="C158" s="305"/>
      <c r="D158" s="305"/>
      <c r="E158" s="305"/>
      <c r="F158" s="305"/>
      <c r="G158" s="305"/>
      <c r="H158" s="305"/>
      <c r="I158" s="305"/>
      <c r="J158" s="305"/>
      <c r="K158" s="305"/>
      <c r="L158" s="305"/>
      <c r="M158" s="305"/>
      <c r="N158" s="305"/>
      <c r="O158" s="305"/>
      <c r="P158" s="305"/>
      <c r="Q158" s="305"/>
      <c r="R158" s="305"/>
      <c r="S158" s="305"/>
      <c r="T158" s="305"/>
      <c r="U158" s="305"/>
      <c r="V158" s="305"/>
      <c r="W158" s="305"/>
      <c r="X158" s="305"/>
      <c r="Y158" s="305"/>
      <c r="Z158" s="305"/>
      <c r="AA158" s="305"/>
      <c r="AB158" s="305"/>
      <c r="AC158" s="305"/>
      <c r="AD158" s="305"/>
      <c r="AE158" s="305"/>
      <c r="AF158" s="305"/>
      <c r="AG158" s="305"/>
      <c r="AH158" s="305"/>
      <c r="AI158" s="305"/>
      <c r="AJ158" s="305"/>
      <c r="AK158" s="305"/>
      <c r="AL158" s="305"/>
      <c r="AM158" s="305"/>
      <c r="AN158" s="305"/>
      <c r="AO158" s="305"/>
      <c r="AP158" s="305"/>
      <c r="AQ158" s="305"/>
      <c r="AR158" s="305"/>
      <c r="AS158" s="305"/>
      <c r="AT158" s="305"/>
      <c r="AU158" s="306"/>
    </row>
    <row r="159" spans="2:47" ht="16.5" customHeight="1">
      <c r="B159" s="304"/>
      <c r="C159" s="305"/>
      <c r="D159" s="305"/>
      <c r="E159" s="305"/>
      <c r="F159" s="305"/>
      <c r="G159" s="305"/>
      <c r="H159" s="305"/>
      <c r="I159" s="305"/>
      <c r="J159" s="305"/>
      <c r="K159" s="305"/>
      <c r="L159" s="305"/>
      <c r="M159" s="305"/>
      <c r="N159" s="305"/>
      <c r="O159" s="305"/>
      <c r="P159" s="305"/>
      <c r="Q159" s="305"/>
      <c r="R159" s="305"/>
      <c r="S159" s="305"/>
      <c r="T159" s="305"/>
      <c r="U159" s="305"/>
      <c r="V159" s="305"/>
      <c r="W159" s="305"/>
      <c r="X159" s="305"/>
      <c r="Y159" s="305"/>
      <c r="Z159" s="305"/>
      <c r="AA159" s="305"/>
      <c r="AB159" s="305"/>
      <c r="AC159" s="305"/>
      <c r="AD159" s="305"/>
      <c r="AE159" s="305"/>
      <c r="AF159" s="305"/>
      <c r="AG159" s="305"/>
      <c r="AH159" s="305"/>
      <c r="AI159" s="305"/>
      <c r="AJ159" s="305"/>
      <c r="AK159" s="305"/>
      <c r="AL159" s="305"/>
      <c r="AM159" s="305"/>
      <c r="AN159" s="305"/>
      <c r="AO159" s="305"/>
      <c r="AP159" s="305"/>
      <c r="AQ159" s="305"/>
      <c r="AR159" s="305"/>
      <c r="AS159" s="305"/>
      <c r="AT159" s="305"/>
      <c r="AU159" s="306"/>
    </row>
    <row r="160" spans="2:47" ht="16.5" customHeight="1">
      <c r="B160" s="304"/>
      <c r="C160" s="305"/>
      <c r="D160" s="305"/>
      <c r="E160" s="305"/>
      <c r="F160" s="305"/>
      <c r="G160" s="305"/>
      <c r="H160" s="305"/>
      <c r="I160" s="305"/>
      <c r="J160" s="305"/>
      <c r="K160" s="305"/>
      <c r="L160" s="305"/>
      <c r="M160" s="305"/>
      <c r="N160" s="305"/>
      <c r="O160" s="305"/>
      <c r="P160" s="305"/>
      <c r="Q160" s="305"/>
      <c r="R160" s="305"/>
      <c r="S160" s="305"/>
      <c r="T160" s="305"/>
      <c r="U160" s="305"/>
      <c r="V160" s="305"/>
      <c r="W160" s="305"/>
      <c r="X160" s="305"/>
      <c r="Y160" s="305"/>
      <c r="Z160" s="305"/>
      <c r="AA160" s="305"/>
      <c r="AB160" s="305"/>
      <c r="AC160" s="305"/>
      <c r="AD160" s="305"/>
      <c r="AE160" s="305"/>
      <c r="AF160" s="305"/>
      <c r="AG160" s="305"/>
      <c r="AH160" s="305"/>
      <c r="AI160" s="305"/>
      <c r="AJ160" s="305"/>
      <c r="AK160" s="305"/>
      <c r="AL160" s="305"/>
      <c r="AM160" s="305"/>
      <c r="AN160" s="305"/>
      <c r="AO160" s="305"/>
      <c r="AP160" s="305"/>
      <c r="AQ160" s="305"/>
      <c r="AR160" s="305"/>
      <c r="AS160" s="305"/>
      <c r="AT160" s="305"/>
      <c r="AU160" s="306"/>
    </row>
    <row r="161" spans="2:47" ht="16.5" customHeight="1">
      <c r="B161" s="304"/>
      <c r="C161" s="305"/>
      <c r="D161" s="305"/>
      <c r="E161" s="305"/>
      <c r="F161" s="305"/>
      <c r="G161" s="305"/>
      <c r="H161" s="305"/>
      <c r="I161" s="305"/>
      <c r="J161" s="305"/>
      <c r="K161" s="305"/>
      <c r="L161" s="305"/>
      <c r="M161" s="305"/>
      <c r="N161" s="305"/>
      <c r="O161" s="305"/>
      <c r="P161" s="305"/>
      <c r="Q161" s="305"/>
      <c r="R161" s="305"/>
      <c r="S161" s="305"/>
      <c r="T161" s="305"/>
      <c r="U161" s="305"/>
      <c r="V161" s="305"/>
      <c r="W161" s="305"/>
      <c r="X161" s="305"/>
      <c r="Y161" s="305"/>
      <c r="Z161" s="305"/>
      <c r="AA161" s="305"/>
      <c r="AB161" s="305"/>
      <c r="AC161" s="305"/>
      <c r="AD161" s="305"/>
      <c r="AE161" s="305"/>
      <c r="AF161" s="305"/>
      <c r="AG161" s="305"/>
      <c r="AH161" s="305"/>
      <c r="AI161" s="305"/>
      <c r="AJ161" s="305"/>
      <c r="AK161" s="305"/>
      <c r="AL161" s="305"/>
      <c r="AM161" s="305"/>
      <c r="AN161" s="305"/>
      <c r="AO161" s="305"/>
      <c r="AP161" s="305"/>
      <c r="AQ161" s="305"/>
      <c r="AR161" s="305"/>
      <c r="AS161" s="305"/>
      <c r="AT161" s="305"/>
      <c r="AU161" s="306"/>
    </row>
    <row r="162" spans="2:47" ht="16.5" customHeight="1">
      <c r="B162" s="304"/>
      <c r="C162" s="305"/>
      <c r="D162" s="305"/>
      <c r="E162" s="305"/>
      <c r="F162" s="305"/>
      <c r="G162" s="305"/>
      <c r="H162" s="305"/>
      <c r="I162" s="305"/>
      <c r="J162" s="305"/>
      <c r="K162" s="305"/>
      <c r="L162" s="305"/>
      <c r="M162" s="305"/>
      <c r="N162" s="305"/>
      <c r="O162" s="305"/>
      <c r="P162" s="305"/>
      <c r="Q162" s="305"/>
      <c r="R162" s="305"/>
      <c r="S162" s="305"/>
      <c r="T162" s="305"/>
      <c r="U162" s="305"/>
      <c r="V162" s="305"/>
      <c r="W162" s="305"/>
      <c r="X162" s="305"/>
      <c r="Y162" s="305"/>
      <c r="Z162" s="305"/>
      <c r="AA162" s="305"/>
      <c r="AB162" s="305"/>
      <c r="AC162" s="305"/>
      <c r="AD162" s="305"/>
      <c r="AE162" s="305"/>
      <c r="AF162" s="305"/>
      <c r="AG162" s="305"/>
      <c r="AH162" s="305"/>
      <c r="AI162" s="305"/>
      <c r="AJ162" s="305"/>
      <c r="AK162" s="305"/>
      <c r="AL162" s="305"/>
      <c r="AM162" s="305"/>
      <c r="AN162" s="305"/>
      <c r="AO162" s="305"/>
      <c r="AP162" s="305"/>
      <c r="AQ162" s="305"/>
      <c r="AR162" s="305"/>
      <c r="AS162" s="305"/>
      <c r="AT162" s="305"/>
      <c r="AU162" s="306"/>
    </row>
    <row r="163" spans="2:47" ht="16.5" customHeight="1">
      <c r="B163" s="304"/>
      <c r="C163" s="305"/>
      <c r="D163" s="305"/>
      <c r="E163" s="305"/>
      <c r="F163" s="305"/>
      <c r="G163" s="305"/>
      <c r="H163" s="305"/>
      <c r="I163" s="305"/>
      <c r="J163" s="305"/>
      <c r="K163" s="305"/>
      <c r="L163" s="305"/>
      <c r="M163" s="305"/>
      <c r="N163" s="305"/>
      <c r="O163" s="305"/>
      <c r="P163" s="305"/>
      <c r="Q163" s="305"/>
      <c r="R163" s="305"/>
      <c r="S163" s="305"/>
      <c r="T163" s="305"/>
      <c r="U163" s="305"/>
      <c r="V163" s="305"/>
      <c r="W163" s="305"/>
      <c r="X163" s="305"/>
      <c r="Y163" s="305"/>
      <c r="Z163" s="305"/>
      <c r="AA163" s="305"/>
      <c r="AB163" s="305"/>
      <c r="AC163" s="305"/>
      <c r="AD163" s="305"/>
      <c r="AE163" s="305"/>
      <c r="AF163" s="305"/>
      <c r="AG163" s="305"/>
      <c r="AH163" s="305"/>
      <c r="AI163" s="305"/>
      <c r="AJ163" s="305"/>
      <c r="AK163" s="305"/>
      <c r="AL163" s="305"/>
      <c r="AM163" s="305"/>
      <c r="AN163" s="305"/>
      <c r="AO163" s="305"/>
      <c r="AP163" s="305"/>
      <c r="AQ163" s="305"/>
      <c r="AR163" s="305"/>
      <c r="AS163" s="305"/>
      <c r="AT163" s="305"/>
      <c r="AU163" s="306"/>
    </row>
    <row r="164" spans="2:47" ht="16.5" customHeight="1">
      <c r="B164" s="304"/>
      <c r="C164" s="305"/>
      <c r="D164" s="305"/>
      <c r="E164" s="305"/>
      <c r="F164" s="305"/>
      <c r="G164" s="305"/>
      <c r="H164" s="305"/>
      <c r="I164" s="305"/>
      <c r="J164" s="305"/>
      <c r="K164" s="305"/>
      <c r="L164" s="305"/>
      <c r="M164" s="305"/>
      <c r="N164" s="305"/>
      <c r="O164" s="305"/>
      <c r="P164" s="305"/>
      <c r="Q164" s="305"/>
      <c r="R164" s="305"/>
      <c r="S164" s="305"/>
      <c r="T164" s="305"/>
      <c r="U164" s="305"/>
      <c r="V164" s="305"/>
      <c r="W164" s="305"/>
      <c r="X164" s="305"/>
      <c r="Y164" s="305"/>
      <c r="Z164" s="305"/>
      <c r="AA164" s="305"/>
      <c r="AB164" s="305"/>
      <c r="AC164" s="305"/>
      <c r="AD164" s="305"/>
      <c r="AE164" s="305"/>
      <c r="AF164" s="305"/>
      <c r="AG164" s="305"/>
      <c r="AH164" s="305"/>
      <c r="AI164" s="305"/>
      <c r="AJ164" s="305"/>
      <c r="AK164" s="305"/>
      <c r="AL164" s="305"/>
      <c r="AM164" s="305"/>
      <c r="AN164" s="305"/>
      <c r="AO164" s="305"/>
      <c r="AP164" s="305"/>
      <c r="AQ164" s="305"/>
      <c r="AR164" s="305"/>
      <c r="AS164" s="305"/>
      <c r="AT164" s="305"/>
      <c r="AU164" s="306"/>
    </row>
    <row r="165" spans="2:47" ht="16.5" customHeight="1">
      <c r="B165" s="230"/>
      <c r="C165" s="231"/>
      <c r="D165" s="231"/>
      <c r="E165" s="231"/>
      <c r="F165" s="231"/>
      <c r="G165" s="231"/>
      <c r="H165" s="231"/>
      <c r="I165" s="231"/>
      <c r="J165" s="231"/>
      <c r="K165" s="231"/>
      <c r="L165" s="231"/>
      <c r="M165" s="231"/>
      <c r="N165" s="231"/>
      <c r="O165" s="231"/>
      <c r="P165" s="231"/>
      <c r="Q165" s="231"/>
      <c r="R165" s="231"/>
      <c r="S165" s="231"/>
      <c r="T165" s="231"/>
      <c r="U165" s="231"/>
      <c r="V165" s="231"/>
      <c r="W165" s="231"/>
      <c r="X165" s="231"/>
      <c r="Y165" s="231"/>
      <c r="Z165" s="231"/>
      <c r="AA165" s="231"/>
      <c r="AB165" s="231"/>
      <c r="AC165" s="231"/>
      <c r="AD165" s="231"/>
      <c r="AE165" s="231"/>
      <c r="AF165" s="231"/>
      <c r="AG165" s="231"/>
      <c r="AH165" s="231"/>
      <c r="AI165" s="231"/>
      <c r="AJ165" s="231"/>
      <c r="AK165" s="231"/>
      <c r="AL165" s="231"/>
      <c r="AM165" s="231"/>
      <c r="AN165" s="231"/>
      <c r="AO165" s="231"/>
      <c r="AP165" s="231"/>
      <c r="AQ165" s="231"/>
      <c r="AR165" s="231"/>
      <c r="AS165" s="231"/>
      <c r="AT165" s="231"/>
      <c r="AU165" s="232"/>
    </row>
    <row r="167" spans="2:47" ht="16.5" customHeight="1">
      <c r="B167" s="41" t="s">
        <v>210</v>
      </c>
    </row>
    <row r="168" spans="2:47" ht="16.5" customHeight="1">
      <c r="B168" s="196" t="s">
        <v>211</v>
      </c>
      <c r="C168" s="196"/>
      <c r="D168" s="196"/>
      <c r="E168" s="196"/>
      <c r="F168" s="196"/>
      <c r="G168" s="196"/>
      <c r="H168" s="196"/>
      <c r="I168" s="196"/>
      <c r="J168" s="196"/>
      <c r="K168" s="196"/>
      <c r="L168" s="219"/>
      <c r="M168" s="219"/>
      <c r="N168" s="219"/>
      <c r="O168" s="219"/>
      <c r="P168" s="219"/>
      <c r="Q168" s="219"/>
      <c r="R168" s="219"/>
      <c r="S168" s="219"/>
      <c r="T168" s="219"/>
      <c r="U168" s="219"/>
      <c r="V168" s="219"/>
      <c r="W168" s="219"/>
      <c r="X168" s="219"/>
      <c r="Y168" s="196" t="s">
        <v>212</v>
      </c>
      <c r="Z168" s="196"/>
      <c r="AA168" s="196"/>
      <c r="AB168" s="196"/>
      <c r="AC168" s="196"/>
      <c r="AD168" s="196"/>
      <c r="AE168" s="196"/>
      <c r="AF168" s="196"/>
      <c r="AG168" s="196"/>
      <c r="AH168" s="196"/>
      <c r="AI168" s="280"/>
      <c r="AJ168" s="280"/>
      <c r="AK168" s="280"/>
      <c r="AL168" s="280"/>
      <c r="AM168" s="280"/>
      <c r="AN168" s="280"/>
      <c r="AO168" s="280"/>
      <c r="AP168" s="280"/>
      <c r="AQ168" s="280"/>
      <c r="AR168" s="280"/>
      <c r="AS168" s="280"/>
      <c r="AT168" s="280"/>
      <c r="AU168" s="280"/>
    </row>
    <row r="169" spans="2:47" ht="16.5" customHeight="1">
      <c r="B169" s="233" t="s">
        <v>213</v>
      </c>
      <c r="C169" s="233"/>
      <c r="D169" s="233"/>
      <c r="E169" s="233"/>
      <c r="F169" s="233"/>
      <c r="G169" s="233"/>
      <c r="H169" s="233"/>
      <c r="I169" s="233"/>
      <c r="J169" s="233"/>
      <c r="K169" s="233"/>
      <c r="L169" s="234"/>
      <c r="M169" s="234"/>
      <c r="N169" s="234"/>
      <c r="O169" s="234"/>
      <c r="P169" s="234"/>
      <c r="Q169" s="234"/>
      <c r="R169" s="234"/>
      <c r="S169" s="234"/>
      <c r="T169" s="234"/>
      <c r="U169" s="234"/>
      <c r="V169" s="234"/>
      <c r="W169" s="234"/>
      <c r="X169" s="234"/>
      <c r="Y169" s="234"/>
      <c r="Z169" s="234"/>
      <c r="AA169" s="234"/>
      <c r="AB169" s="234"/>
      <c r="AC169" s="234"/>
      <c r="AD169" s="234"/>
      <c r="AE169" s="234"/>
      <c r="AF169" s="234"/>
      <c r="AG169" s="234"/>
      <c r="AH169" s="234"/>
      <c r="AI169" s="234"/>
      <c r="AJ169" s="234"/>
      <c r="AK169" s="234"/>
      <c r="AL169" s="234"/>
      <c r="AM169" s="234"/>
      <c r="AN169" s="234"/>
      <c r="AO169" s="234"/>
      <c r="AP169" s="234"/>
      <c r="AQ169" s="234"/>
      <c r="AR169" s="234"/>
      <c r="AS169" s="234"/>
      <c r="AT169" s="234"/>
      <c r="AU169" s="234"/>
    </row>
    <row r="170" spans="2:47" ht="16.5" customHeight="1">
      <c r="B170" s="233"/>
      <c r="C170" s="233"/>
      <c r="D170" s="233"/>
      <c r="E170" s="233"/>
      <c r="F170" s="233"/>
      <c r="G170" s="233"/>
      <c r="H170" s="233"/>
      <c r="I170" s="233"/>
      <c r="J170" s="233"/>
      <c r="K170" s="233"/>
      <c r="L170" s="234"/>
      <c r="M170" s="234"/>
      <c r="N170" s="234"/>
      <c r="O170" s="234"/>
      <c r="P170" s="234"/>
      <c r="Q170" s="234"/>
      <c r="R170" s="234"/>
      <c r="S170" s="234"/>
      <c r="T170" s="234"/>
      <c r="U170" s="234"/>
      <c r="V170" s="234"/>
      <c r="W170" s="234"/>
      <c r="X170" s="234"/>
      <c r="Y170" s="234"/>
      <c r="Z170" s="234"/>
      <c r="AA170" s="234"/>
      <c r="AB170" s="234"/>
      <c r="AC170" s="234"/>
      <c r="AD170" s="234"/>
      <c r="AE170" s="234"/>
      <c r="AF170" s="234"/>
      <c r="AG170" s="234"/>
      <c r="AH170" s="234"/>
      <c r="AI170" s="234"/>
      <c r="AJ170" s="234"/>
      <c r="AK170" s="234"/>
      <c r="AL170" s="234"/>
      <c r="AM170" s="234"/>
      <c r="AN170" s="234"/>
      <c r="AO170" s="234"/>
      <c r="AP170" s="234"/>
      <c r="AQ170" s="234"/>
      <c r="AR170" s="234"/>
      <c r="AS170" s="234"/>
      <c r="AT170" s="234"/>
      <c r="AU170" s="234"/>
    </row>
    <row r="171" spans="2:47" ht="16.5" customHeight="1">
      <c r="B171" s="233"/>
      <c r="C171" s="233"/>
      <c r="D171" s="233"/>
      <c r="E171" s="233"/>
      <c r="F171" s="233"/>
      <c r="G171" s="233"/>
      <c r="H171" s="233"/>
      <c r="I171" s="233"/>
      <c r="J171" s="233"/>
      <c r="K171" s="233"/>
      <c r="L171" s="234"/>
      <c r="M171" s="234"/>
      <c r="N171" s="234"/>
      <c r="O171" s="234"/>
      <c r="P171" s="234"/>
      <c r="Q171" s="234"/>
      <c r="R171" s="234"/>
      <c r="S171" s="234"/>
      <c r="T171" s="234"/>
      <c r="U171" s="234"/>
      <c r="V171" s="234"/>
      <c r="W171" s="234"/>
      <c r="X171" s="234"/>
      <c r="Y171" s="234"/>
      <c r="Z171" s="234"/>
      <c r="AA171" s="234"/>
      <c r="AB171" s="234"/>
      <c r="AC171" s="234"/>
      <c r="AD171" s="234"/>
      <c r="AE171" s="234"/>
      <c r="AF171" s="234"/>
      <c r="AG171" s="234"/>
      <c r="AH171" s="234"/>
      <c r="AI171" s="234"/>
      <c r="AJ171" s="234"/>
      <c r="AK171" s="234"/>
      <c r="AL171" s="234"/>
      <c r="AM171" s="234"/>
      <c r="AN171" s="234"/>
      <c r="AO171" s="234"/>
      <c r="AP171" s="234"/>
      <c r="AQ171" s="234"/>
      <c r="AR171" s="234"/>
      <c r="AS171" s="234"/>
      <c r="AT171" s="234"/>
      <c r="AU171" s="234"/>
    </row>
    <row r="172" spans="2:47" ht="16.5" customHeight="1">
      <c r="B172" s="233"/>
      <c r="C172" s="233"/>
      <c r="D172" s="233"/>
      <c r="E172" s="233"/>
      <c r="F172" s="233"/>
      <c r="G172" s="233"/>
      <c r="H172" s="233"/>
      <c r="I172" s="233"/>
      <c r="J172" s="233"/>
      <c r="K172" s="233"/>
      <c r="L172" s="234"/>
      <c r="M172" s="234"/>
      <c r="N172" s="234"/>
      <c r="O172" s="234"/>
      <c r="P172" s="234"/>
      <c r="Q172" s="234"/>
      <c r="R172" s="234"/>
      <c r="S172" s="234"/>
      <c r="T172" s="234"/>
      <c r="U172" s="234"/>
      <c r="V172" s="234"/>
      <c r="W172" s="234"/>
      <c r="X172" s="234"/>
      <c r="Y172" s="234"/>
      <c r="Z172" s="234"/>
      <c r="AA172" s="234"/>
      <c r="AB172" s="234"/>
      <c r="AC172" s="234"/>
      <c r="AD172" s="234"/>
      <c r="AE172" s="234"/>
      <c r="AF172" s="234"/>
      <c r="AG172" s="234"/>
      <c r="AH172" s="234"/>
      <c r="AI172" s="234"/>
      <c r="AJ172" s="234"/>
      <c r="AK172" s="234"/>
      <c r="AL172" s="234"/>
      <c r="AM172" s="234"/>
      <c r="AN172" s="234"/>
      <c r="AO172" s="234"/>
      <c r="AP172" s="234"/>
      <c r="AQ172" s="234"/>
      <c r="AR172" s="234"/>
      <c r="AS172" s="234"/>
      <c r="AT172" s="234"/>
      <c r="AU172" s="234"/>
    </row>
    <row r="174" spans="2:47" ht="16.5" customHeight="1">
      <c r="B174" s="196" t="s">
        <v>214</v>
      </c>
      <c r="C174" s="196"/>
      <c r="D174" s="196"/>
      <c r="E174" s="196"/>
      <c r="F174" s="196"/>
      <c r="G174" s="196"/>
      <c r="H174" s="196"/>
      <c r="I174" s="196"/>
      <c r="J174" s="196"/>
      <c r="K174" s="196"/>
      <c r="L174" s="219"/>
      <c r="M174" s="219"/>
      <c r="N174" s="219"/>
      <c r="O174" s="219"/>
      <c r="P174" s="219"/>
      <c r="Q174" s="219"/>
      <c r="R174" s="219"/>
      <c r="S174" s="219"/>
      <c r="T174" s="219"/>
      <c r="U174" s="219"/>
      <c r="V174" s="219"/>
      <c r="W174" s="219"/>
      <c r="X174" s="219"/>
      <c r="Y174" s="196" t="s">
        <v>215</v>
      </c>
      <c r="Z174" s="196"/>
      <c r="AA174" s="196"/>
      <c r="AB174" s="196"/>
      <c r="AC174" s="196"/>
      <c r="AD174" s="196"/>
      <c r="AE174" s="196"/>
      <c r="AF174" s="196"/>
      <c r="AG174" s="196"/>
      <c r="AH174" s="196"/>
      <c r="AI174" s="280"/>
      <c r="AJ174" s="280"/>
      <c r="AK174" s="280"/>
      <c r="AL174" s="280"/>
      <c r="AM174" s="280"/>
      <c r="AN174" s="280"/>
      <c r="AO174" s="280"/>
      <c r="AP174" s="280"/>
      <c r="AQ174" s="280"/>
      <c r="AR174" s="280"/>
      <c r="AS174" s="280"/>
      <c r="AT174" s="280"/>
      <c r="AU174" s="280"/>
    </row>
    <row r="175" spans="2:47" ht="16.5" customHeight="1">
      <c r="B175" s="196" t="s">
        <v>216</v>
      </c>
      <c r="C175" s="196"/>
      <c r="D175" s="196"/>
      <c r="E175" s="196"/>
      <c r="F175" s="196"/>
      <c r="G175" s="196"/>
      <c r="H175" s="196"/>
      <c r="I175" s="196"/>
      <c r="J175" s="196"/>
      <c r="K175" s="196"/>
      <c r="L175" s="219"/>
      <c r="M175" s="219"/>
      <c r="N175" s="219"/>
      <c r="O175" s="219"/>
      <c r="P175" s="219"/>
      <c r="Q175" s="219"/>
      <c r="R175" s="219"/>
      <c r="S175" s="219"/>
      <c r="T175" s="219"/>
      <c r="U175" s="219"/>
      <c r="V175" s="219"/>
      <c r="W175" s="219"/>
      <c r="X175" s="219"/>
    </row>
  </sheetData>
  <protectedRanges>
    <protectedRange sqref="AI15:AU15 AI17:AU17" name="範囲1_1"/>
    <protectedRange sqref="L17:X17 AI33:AU33 AI168:AU168 AI16:AU16 L15:X15 AI18:AU18 AI174:AU174" name="範囲1_2"/>
    <protectedRange sqref="L33:M33 L168:M168 L58:M58 L60:M60 L16:M16 L18:M18 L174:M175" name="範囲1_3"/>
    <protectedRange sqref="H120:AK120 H125:AK125 H130:AK130 AI60:AU60 R104:AU104 R48:AU53 H135:AK143 AI58:AU58 R78:AU86 R36:AU45" name="範囲1_4"/>
    <protectedRange sqref="AI71:AU72" name="範囲1_1_1"/>
    <protectedRange sqref="AI73:AU73 L71:X73" name="範囲1_2_1"/>
    <protectedRange sqref="L66:X66" name="範囲1_1_3"/>
    <protectedRange sqref="AI66:AU66 L65:X65" name="範囲1_2_3"/>
    <protectedRange sqref="L27:X29" name="範囲1_2_4"/>
  </protectedRanges>
  <mergeCells count="402">
    <mergeCell ref="L168:X168"/>
    <mergeCell ref="B84:K86"/>
    <mergeCell ref="L84:AU86"/>
    <mergeCell ref="B92:K92"/>
    <mergeCell ref="AI168:AU168"/>
    <mergeCell ref="B130:AU132"/>
    <mergeCell ref="B120:AU122"/>
    <mergeCell ref="T93:W93"/>
    <mergeCell ref="X93:AA93"/>
    <mergeCell ref="AB93:AE93"/>
    <mergeCell ref="AF93:AI93"/>
    <mergeCell ref="AJ93:AM93"/>
    <mergeCell ref="AN93:AQ93"/>
    <mergeCell ref="AB94:AE94"/>
    <mergeCell ref="AF94:AI94"/>
    <mergeCell ref="AJ94:AM94"/>
    <mergeCell ref="AN94:AQ94"/>
    <mergeCell ref="AR94:AU94"/>
    <mergeCell ref="AR95:AU95"/>
    <mergeCell ref="B96:K96"/>
    <mergeCell ref="L96:O96"/>
    <mergeCell ref="P96:S96"/>
    <mergeCell ref="T96:W96"/>
    <mergeCell ref="X96:AA96"/>
    <mergeCell ref="AR93:AU93"/>
    <mergeCell ref="B94:K94"/>
    <mergeCell ref="L94:O94"/>
    <mergeCell ref="P94:S94"/>
    <mergeCell ref="T94:W94"/>
    <mergeCell ref="X94:AA94"/>
    <mergeCell ref="AL4:AP4"/>
    <mergeCell ref="AL5:AP7"/>
    <mergeCell ref="AL8:AP8"/>
    <mergeCell ref="L58:X59"/>
    <mergeCell ref="B58:K59"/>
    <mergeCell ref="AI33:AU33"/>
    <mergeCell ref="L19:AU20"/>
    <mergeCell ref="AI72:AU72"/>
    <mergeCell ref="AI17:AU17"/>
    <mergeCell ref="B42:K43"/>
    <mergeCell ref="B44:K45"/>
    <mergeCell ref="L52:AU53"/>
    <mergeCell ref="B17:K17"/>
    <mergeCell ref="L17:X17"/>
    <mergeCell ref="B19:K20"/>
    <mergeCell ref="L33:X33"/>
    <mergeCell ref="Y33:AH33"/>
    <mergeCell ref="L67:AU67"/>
    <mergeCell ref="Y73:AH73"/>
    <mergeCell ref="AI73:AU73"/>
    <mergeCell ref="L65:X65"/>
    <mergeCell ref="Y65:AH65"/>
    <mergeCell ref="B87:K89"/>
    <mergeCell ref="L87:AU89"/>
    <mergeCell ref="AB92:AE92"/>
    <mergeCell ref="AF92:AI92"/>
    <mergeCell ref="AJ92:AM92"/>
    <mergeCell ref="AN92:AQ92"/>
    <mergeCell ref="AR92:AU92"/>
    <mergeCell ref="AI65:AU65"/>
    <mergeCell ref="L70:X70"/>
    <mergeCell ref="Y70:AH70"/>
    <mergeCell ref="AI70:AU70"/>
    <mergeCell ref="Y71:AH71"/>
    <mergeCell ref="AI71:AU71"/>
    <mergeCell ref="B74:K74"/>
    <mergeCell ref="B135:AU146"/>
    <mergeCell ref="B168:K168"/>
    <mergeCell ref="B60:K61"/>
    <mergeCell ref="B52:K53"/>
    <mergeCell ref="L78:AU80"/>
    <mergeCell ref="B81:K83"/>
    <mergeCell ref="L81:AU83"/>
    <mergeCell ref="B77:K77"/>
    <mergeCell ref="B33:K33"/>
    <mergeCell ref="B64:K64"/>
    <mergeCell ref="B65:K65"/>
    <mergeCell ref="B66:K66"/>
    <mergeCell ref="AI77:AU77"/>
    <mergeCell ref="B78:K80"/>
    <mergeCell ref="L60:X61"/>
    <mergeCell ref="Y60:AH61"/>
    <mergeCell ref="AI60:AU61"/>
    <mergeCell ref="AI66:AU66"/>
    <mergeCell ref="L42:AU43"/>
    <mergeCell ref="L77:X77"/>
    <mergeCell ref="Y72:AH72"/>
    <mergeCell ref="B125:AU127"/>
    <mergeCell ref="B73:K73"/>
    <mergeCell ref="L73:X73"/>
    <mergeCell ref="B169:K172"/>
    <mergeCell ref="B48:K49"/>
    <mergeCell ref="B50:K51"/>
    <mergeCell ref="L54:AU55"/>
    <mergeCell ref="B149:AU165"/>
    <mergeCell ref="B70:K70"/>
    <mergeCell ref="B71:K71"/>
    <mergeCell ref="Y168:AH168"/>
    <mergeCell ref="B67:K67"/>
    <mergeCell ref="L66:X66"/>
    <mergeCell ref="Y66:AH66"/>
    <mergeCell ref="L71:X71"/>
    <mergeCell ref="L64:X64"/>
    <mergeCell ref="Y64:AH64"/>
    <mergeCell ref="AI64:AU64"/>
    <mergeCell ref="L92:O92"/>
    <mergeCell ref="P92:S92"/>
    <mergeCell ref="T92:W92"/>
    <mergeCell ref="X92:AA92"/>
    <mergeCell ref="Y77:AH77"/>
    <mergeCell ref="B72:K72"/>
    <mergeCell ref="L72:X72"/>
    <mergeCell ref="L169:AU172"/>
    <mergeCell ref="L48:AU49"/>
    <mergeCell ref="B11:K11"/>
    <mergeCell ref="L11:X11"/>
    <mergeCell ref="B54:K55"/>
    <mergeCell ref="Y11:AH11"/>
    <mergeCell ref="B14:K14"/>
    <mergeCell ref="L12:AU12"/>
    <mergeCell ref="B12:K12"/>
    <mergeCell ref="AI15:AU15"/>
    <mergeCell ref="B13:K13"/>
    <mergeCell ref="L13:AU13"/>
    <mergeCell ref="AI11:AN11"/>
    <mergeCell ref="AP11:AU11"/>
    <mergeCell ref="L14:X14"/>
    <mergeCell ref="Y14:AH14"/>
    <mergeCell ref="AI14:AU14"/>
    <mergeCell ref="L15:X15"/>
    <mergeCell ref="B15:K15"/>
    <mergeCell ref="B40:K41"/>
    <mergeCell ref="L40:AU41"/>
    <mergeCell ref="Y17:AH17"/>
    <mergeCell ref="L50:AU51"/>
    <mergeCell ref="B18:K18"/>
    <mergeCell ref="L18:X18"/>
    <mergeCell ref="Y18:AH18"/>
    <mergeCell ref="AI18:AU18"/>
    <mergeCell ref="B36:K37"/>
    <mergeCell ref="L36:AU37"/>
    <mergeCell ref="B38:K39"/>
    <mergeCell ref="L38:AU39"/>
    <mergeCell ref="B16:K16"/>
    <mergeCell ref="Y58:AH59"/>
    <mergeCell ref="AI58:AU59"/>
    <mergeCell ref="L44:AU45"/>
    <mergeCell ref="C29:K29"/>
    <mergeCell ref="AQ4:AU4"/>
    <mergeCell ref="AQ5:AU7"/>
    <mergeCell ref="AQ8:AU8"/>
    <mergeCell ref="L16:X16"/>
    <mergeCell ref="Y16:AH16"/>
    <mergeCell ref="AI16:AU16"/>
    <mergeCell ref="Y15:AH15"/>
    <mergeCell ref="AJ96:AM96"/>
    <mergeCell ref="AN96:AQ96"/>
    <mergeCell ref="AR96:AU96"/>
    <mergeCell ref="L74:X74"/>
    <mergeCell ref="AB96:AE96"/>
    <mergeCell ref="AF96:AI96"/>
    <mergeCell ref="Y26:Y30"/>
    <mergeCell ref="Z26:AH26"/>
    <mergeCell ref="Z27:AH27"/>
    <mergeCell ref="Z28:AH28"/>
    <mergeCell ref="Z29:AH29"/>
    <mergeCell ref="Z30:AH30"/>
    <mergeCell ref="L26:X26"/>
    <mergeCell ref="AI26:AU26"/>
    <mergeCell ref="L27:X27"/>
    <mergeCell ref="AI27:AU27"/>
    <mergeCell ref="AI28:AU28"/>
    <mergeCell ref="B95:K95"/>
    <mergeCell ref="L95:O95"/>
    <mergeCell ref="P95:S95"/>
    <mergeCell ref="T95:W95"/>
    <mergeCell ref="X95:AA95"/>
    <mergeCell ref="AB95:AE95"/>
    <mergeCell ref="AF95:AI95"/>
    <mergeCell ref="AJ95:AM95"/>
    <mergeCell ref="AN95:AQ95"/>
    <mergeCell ref="AR97:AU97"/>
    <mergeCell ref="B98:K98"/>
    <mergeCell ref="L98:O98"/>
    <mergeCell ref="P98:S98"/>
    <mergeCell ref="T98:W98"/>
    <mergeCell ref="X98:AA98"/>
    <mergeCell ref="AB98:AE98"/>
    <mergeCell ref="AF98:AI98"/>
    <mergeCell ref="AJ98:AM98"/>
    <mergeCell ref="AN98:AQ98"/>
    <mergeCell ref="AR98:AU98"/>
    <mergeCell ref="B97:K97"/>
    <mergeCell ref="L97:O97"/>
    <mergeCell ref="P97:S97"/>
    <mergeCell ref="T97:W97"/>
    <mergeCell ref="X97:AA97"/>
    <mergeCell ref="AB97:AE97"/>
    <mergeCell ref="AF97:AI97"/>
    <mergeCell ref="AJ97:AM97"/>
    <mergeCell ref="AN97:AQ97"/>
    <mergeCell ref="AN102:AQ102"/>
    <mergeCell ref="AR102:AU102"/>
    <mergeCell ref="AR99:AU99"/>
    <mergeCell ref="B100:K100"/>
    <mergeCell ref="L100:O100"/>
    <mergeCell ref="P100:S100"/>
    <mergeCell ref="T100:W100"/>
    <mergeCell ref="X100:AA100"/>
    <mergeCell ref="AB100:AE100"/>
    <mergeCell ref="AF100:AI100"/>
    <mergeCell ref="AJ100:AM100"/>
    <mergeCell ref="AN100:AQ100"/>
    <mergeCell ref="AR100:AU100"/>
    <mergeCell ref="B99:K99"/>
    <mergeCell ref="L99:O99"/>
    <mergeCell ref="P99:S99"/>
    <mergeCell ref="T99:W99"/>
    <mergeCell ref="X99:AA99"/>
    <mergeCell ref="AB99:AE99"/>
    <mergeCell ref="AF99:AI99"/>
    <mergeCell ref="AJ99:AM99"/>
    <mergeCell ref="AN99:AQ99"/>
    <mergeCell ref="AR101:AU101"/>
    <mergeCell ref="L103:O103"/>
    <mergeCell ref="P103:S103"/>
    <mergeCell ref="T103:W103"/>
    <mergeCell ref="X103:AA103"/>
    <mergeCell ref="AB103:AE103"/>
    <mergeCell ref="AF103:AI103"/>
    <mergeCell ref="B102:K102"/>
    <mergeCell ref="L102:O102"/>
    <mergeCell ref="P102:S102"/>
    <mergeCell ref="T102:W102"/>
    <mergeCell ref="X102:AA102"/>
    <mergeCell ref="AB102:AE102"/>
    <mergeCell ref="AF102:AI102"/>
    <mergeCell ref="B93:K93"/>
    <mergeCell ref="L93:O93"/>
    <mergeCell ref="P93:S93"/>
    <mergeCell ref="Y25:AH25"/>
    <mergeCell ref="AI25:AU25"/>
    <mergeCell ref="B24:K24"/>
    <mergeCell ref="L24:X24"/>
    <mergeCell ref="B23:K23"/>
    <mergeCell ref="L23:X23"/>
    <mergeCell ref="B25:K25"/>
    <mergeCell ref="L25:X25"/>
    <mergeCell ref="Y23:AH23"/>
    <mergeCell ref="AI23:AU23"/>
    <mergeCell ref="Y24:AH24"/>
    <mergeCell ref="AI24:AU24"/>
    <mergeCell ref="L30:X30"/>
    <mergeCell ref="AI30:AU30"/>
    <mergeCell ref="AI29:AU29"/>
    <mergeCell ref="L28:X28"/>
    <mergeCell ref="B26:B30"/>
    <mergeCell ref="C26:K26"/>
    <mergeCell ref="C27:K27"/>
    <mergeCell ref="C28:K28"/>
    <mergeCell ref="C30:K30"/>
    <mergeCell ref="AR106:AU106"/>
    <mergeCell ref="B101:K101"/>
    <mergeCell ref="L101:O101"/>
    <mergeCell ref="P101:S101"/>
    <mergeCell ref="T101:W101"/>
    <mergeCell ref="X101:AA101"/>
    <mergeCell ref="AB101:AE101"/>
    <mergeCell ref="AF101:AI101"/>
    <mergeCell ref="AJ101:AM101"/>
    <mergeCell ref="AN101:AQ101"/>
    <mergeCell ref="AR103:AU103"/>
    <mergeCell ref="AJ103:AM103"/>
    <mergeCell ref="AN103:AQ103"/>
    <mergeCell ref="AJ102:AM102"/>
    <mergeCell ref="B106:K106"/>
    <mergeCell ref="L106:O106"/>
    <mergeCell ref="P106:S106"/>
    <mergeCell ref="T106:W106"/>
    <mergeCell ref="X106:AA106"/>
    <mergeCell ref="AB106:AE106"/>
    <mergeCell ref="AF106:AI106"/>
    <mergeCell ref="AJ106:AM106"/>
    <mergeCell ref="AN106:AQ106"/>
    <mergeCell ref="B103:K103"/>
    <mergeCell ref="AR107:AU107"/>
    <mergeCell ref="B108:K108"/>
    <mergeCell ref="L108:O108"/>
    <mergeCell ref="P108:S108"/>
    <mergeCell ref="T108:W108"/>
    <mergeCell ref="X108:AA108"/>
    <mergeCell ref="AB108:AE108"/>
    <mergeCell ref="AF108:AI108"/>
    <mergeCell ref="AJ108:AM108"/>
    <mergeCell ref="AN108:AQ108"/>
    <mergeCell ref="AR108:AU108"/>
    <mergeCell ref="B107:K107"/>
    <mergeCell ref="L107:O107"/>
    <mergeCell ref="P107:S107"/>
    <mergeCell ref="T107:W107"/>
    <mergeCell ref="X107:AA107"/>
    <mergeCell ref="AB107:AE107"/>
    <mergeCell ref="AF107:AI107"/>
    <mergeCell ref="AJ107:AM107"/>
    <mergeCell ref="AN107:AQ107"/>
    <mergeCell ref="AR109:AU109"/>
    <mergeCell ref="B110:K110"/>
    <mergeCell ref="L110:O110"/>
    <mergeCell ref="P110:S110"/>
    <mergeCell ref="T110:W110"/>
    <mergeCell ref="X110:AA110"/>
    <mergeCell ref="AB110:AE110"/>
    <mergeCell ref="AF110:AI110"/>
    <mergeCell ref="AJ110:AM110"/>
    <mergeCell ref="AN110:AQ110"/>
    <mergeCell ref="AR110:AU110"/>
    <mergeCell ref="B109:K109"/>
    <mergeCell ref="L109:O109"/>
    <mergeCell ref="P109:S109"/>
    <mergeCell ref="T109:W109"/>
    <mergeCell ref="X109:AA109"/>
    <mergeCell ref="AB109:AE109"/>
    <mergeCell ref="AF109:AI109"/>
    <mergeCell ref="AJ109:AM109"/>
    <mergeCell ref="AN109:AQ109"/>
    <mergeCell ref="AR111:AU111"/>
    <mergeCell ref="B112:K112"/>
    <mergeCell ref="L112:O112"/>
    <mergeCell ref="P112:S112"/>
    <mergeCell ref="T112:W112"/>
    <mergeCell ref="X112:AA112"/>
    <mergeCell ref="AB112:AE112"/>
    <mergeCell ref="AF112:AI112"/>
    <mergeCell ref="AJ112:AM112"/>
    <mergeCell ref="AN112:AQ112"/>
    <mergeCell ref="AR112:AU112"/>
    <mergeCell ref="B111:K111"/>
    <mergeCell ref="L111:O111"/>
    <mergeCell ref="P111:S111"/>
    <mergeCell ref="T111:W111"/>
    <mergeCell ref="X111:AA111"/>
    <mergeCell ref="AB111:AE111"/>
    <mergeCell ref="AF111:AI111"/>
    <mergeCell ref="AJ111:AM111"/>
    <mergeCell ref="AN111:AQ111"/>
    <mergeCell ref="AR113:AU113"/>
    <mergeCell ref="B114:K114"/>
    <mergeCell ref="L114:O114"/>
    <mergeCell ref="P114:S114"/>
    <mergeCell ref="T114:W114"/>
    <mergeCell ref="X114:AA114"/>
    <mergeCell ref="AB114:AE114"/>
    <mergeCell ref="AF114:AI114"/>
    <mergeCell ref="AJ114:AM114"/>
    <mergeCell ref="AN114:AQ114"/>
    <mergeCell ref="AR114:AU114"/>
    <mergeCell ref="B113:K113"/>
    <mergeCell ref="L113:O113"/>
    <mergeCell ref="P113:S113"/>
    <mergeCell ref="T113:W113"/>
    <mergeCell ref="X113:AA113"/>
    <mergeCell ref="AB113:AE113"/>
    <mergeCell ref="AF113:AI113"/>
    <mergeCell ref="AJ113:AM113"/>
    <mergeCell ref="AN113:AQ113"/>
    <mergeCell ref="AF116:AI116"/>
    <mergeCell ref="AJ116:AM116"/>
    <mergeCell ref="AN116:AQ116"/>
    <mergeCell ref="AR116:AU116"/>
    <mergeCell ref="B115:K115"/>
    <mergeCell ref="L115:O115"/>
    <mergeCell ref="P115:S115"/>
    <mergeCell ref="T115:W115"/>
    <mergeCell ref="X115:AA115"/>
    <mergeCell ref="AB115:AE115"/>
    <mergeCell ref="AF115:AI115"/>
    <mergeCell ref="AJ115:AM115"/>
    <mergeCell ref="AN115:AQ115"/>
    <mergeCell ref="B174:K174"/>
    <mergeCell ref="L174:X174"/>
    <mergeCell ref="Y174:AH174"/>
    <mergeCell ref="AI174:AU174"/>
    <mergeCell ref="B175:K175"/>
    <mergeCell ref="L175:X175"/>
    <mergeCell ref="AR117:AU117"/>
    <mergeCell ref="L29:X29"/>
    <mergeCell ref="B117:K117"/>
    <mergeCell ref="L117:O117"/>
    <mergeCell ref="P117:S117"/>
    <mergeCell ref="T117:W117"/>
    <mergeCell ref="X117:AA117"/>
    <mergeCell ref="AB117:AE117"/>
    <mergeCell ref="AF117:AI117"/>
    <mergeCell ref="AJ117:AM117"/>
    <mergeCell ref="AN117:AQ117"/>
    <mergeCell ref="AR115:AU115"/>
    <mergeCell ref="B116:K116"/>
    <mergeCell ref="L116:O116"/>
    <mergeCell ref="P116:S116"/>
    <mergeCell ref="T116:W116"/>
    <mergeCell ref="X116:AA116"/>
    <mergeCell ref="AB116:AE116"/>
  </mergeCells>
  <phoneticPr fontId="2"/>
  <dataValidations count="9">
    <dataValidation allowBlank="1" showInputMessage="1" prompt="★例）納期を厳守する" sqref="R52 R48 R50 R78:R79 R81:R82 R84:R85" xr:uid="{00000000-0002-0000-0000-000000000000}"/>
    <dataValidation type="list" allowBlank="1" showInputMessage="1" showErrorMessage="1" sqref="L168:X168" xr:uid="{00000000-0002-0000-0000-000002000000}">
      <formula1>"依頼済み未回収,回収済み,依頼なし"</formula1>
    </dataValidation>
    <dataValidation type="list" allowBlank="1" showInputMessage="1" showErrorMessage="1" sqref="L58" xr:uid="{E63558E8-BDC1-4334-9970-52F0EA126EF8}">
      <formula1>"あり,なし"</formula1>
    </dataValidation>
    <dataValidation allowBlank="1" showDropDown="1" showInputMessage="1" showErrorMessage="1" sqref="B103:K103 B117:K117" xr:uid="{B5019F62-44C1-4517-B1FD-B89662077367}"/>
    <dataValidation type="list" allowBlank="1" showInputMessage="1" sqref="B93:K102" xr:uid="{D2C92F76-3375-4D6E-9456-A821E13E494D}">
      <formula1>"要件定義,基本設計,詳細設計,製造,結合テスト,システムテスト,ユーザーテスト,本稼働,その他"</formula1>
    </dataValidation>
    <dataValidation type="list" allowBlank="1" showInputMessage="1" showErrorMessage="1" sqref="L23:X24 AI24:AU30 L26:X29" xr:uid="{CF552D4A-B353-4591-8AE1-46AF056C5971}">
      <formula1>"○,-"</formula1>
    </dataValidation>
    <dataValidation allowBlank="1" showInputMessage="1" sqref="B107:K116" xr:uid="{E212F683-F04F-4644-99ED-F6B690C31605}"/>
    <dataValidation type="list" allowBlank="1" showInputMessage="1" showErrorMessage="1" sqref="AI174:AU174 L174:X174" xr:uid="{E331A6B6-8560-478B-BF81-DFE4C106199F}">
      <formula1>"なし,あり"</formula1>
    </dataValidation>
    <dataValidation type="list" allowBlank="1" showInputMessage="1" showErrorMessage="1" sqref="L175:X175" xr:uid="{3FFE7432-7BB1-4C10-BCDE-F78D4EFDFBC9}">
      <formula1>"成功,失敗"</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2" manualBreakCount="2">
    <brk id="61" max="47" man="1"/>
    <brk id="117" max="47"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E0B30-7B28-4A4B-96B1-EB7F6C4EA8DA}">
  <sheetPr codeName="Sheet3">
    <tabColor rgb="FFFFFFC8"/>
    <pageSetUpPr fitToPage="1"/>
  </sheetPr>
  <dimension ref="A1:BG87"/>
  <sheetViews>
    <sheetView showGridLines="0" zoomScaleNormal="100" zoomScaleSheetLayoutView="100" workbookViewId="0"/>
  </sheetViews>
  <sheetFormatPr defaultColWidth="3.140625" defaultRowHeight="16.899999999999999" customHeight="1"/>
  <cols>
    <col min="1" max="16384" width="3.140625" style="51"/>
  </cols>
  <sheetData>
    <row r="1" spans="1:59" ht="18" customHeight="1"/>
    <row r="2" spans="1:59" ht="18" customHeight="1" thickBot="1">
      <c r="B2" s="52"/>
      <c r="C2" s="52"/>
      <c r="D2" s="52"/>
      <c r="E2" s="52"/>
      <c r="F2" s="52"/>
      <c r="G2" s="52"/>
      <c r="H2" s="52"/>
      <c r="I2" s="52"/>
      <c r="J2" s="52"/>
      <c r="K2" s="52"/>
      <c r="L2" s="52"/>
      <c r="M2" s="52"/>
      <c r="N2" s="52"/>
      <c r="O2" s="52"/>
      <c r="P2" s="52"/>
      <c r="Q2" s="52"/>
      <c r="R2" s="52"/>
      <c r="S2" s="52"/>
      <c r="T2" s="52"/>
      <c r="U2" s="52"/>
      <c r="V2" s="52"/>
      <c r="W2" s="52"/>
      <c r="X2" s="52"/>
      <c r="Y2" s="52"/>
      <c r="Z2" s="52"/>
      <c r="AA2" s="52"/>
      <c r="AB2" s="52"/>
      <c r="AC2" s="52"/>
      <c r="AD2" s="52"/>
      <c r="AE2" s="52"/>
      <c r="AF2" s="52"/>
      <c r="AG2" s="52"/>
      <c r="AH2" s="52"/>
      <c r="AI2" s="52"/>
      <c r="AJ2" s="52"/>
      <c r="AK2" s="52"/>
      <c r="AL2" s="52"/>
      <c r="AM2" s="52"/>
      <c r="AN2" s="52"/>
      <c r="AO2" s="52"/>
      <c r="AP2" s="52"/>
      <c r="AQ2" s="52"/>
      <c r="AR2" s="52"/>
      <c r="AS2" s="52"/>
      <c r="AT2" s="52"/>
      <c r="AU2" s="52"/>
    </row>
    <row r="3" spans="1:59" ht="16.899999999999999" customHeight="1" thickTop="1" thickBot="1">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row>
    <row r="4" spans="1:59" ht="16.899999999999999" customHeight="1" thickBot="1">
      <c r="A4" s="53"/>
      <c r="B4" s="415"/>
      <c r="C4" s="415"/>
      <c r="D4" s="415"/>
      <c r="E4" s="415"/>
      <c r="F4" s="415"/>
      <c r="G4" s="415"/>
      <c r="H4" s="415"/>
      <c r="I4" s="415"/>
      <c r="J4" s="415"/>
      <c r="K4" s="415"/>
      <c r="L4" s="415"/>
      <c r="M4" s="415"/>
      <c r="N4" s="415"/>
      <c r="O4" s="415"/>
      <c r="P4" s="415"/>
      <c r="Q4" s="415"/>
      <c r="R4" s="415"/>
      <c r="S4" s="415"/>
      <c r="T4" s="415"/>
      <c r="U4" s="415"/>
      <c r="V4" s="415"/>
      <c r="W4" s="415"/>
      <c r="X4" s="415"/>
      <c r="Y4" s="415"/>
      <c r="Z4" s="415"/>
      <c r="AA4" s="415"/>
      <c r="AB4" s="415"/>
      <c r="AC4" s="415"/>
      <c r="AD4" s="415"/>
      <c r="AE4" s="415"/>
      <c r="AF4" s="415"/>
      <c r="AG4" s="415"/>
      <c r="AH4" s="415"/>
      <c r="AI4" s="415"/>
      <c r="AJ4" s="42"/>
      <c r="AK4" s="41"/>
      <c r="AL4" s="416" t="s">
        <v>0</v>
      </c>
      <c r="AM4" s="417"/>
      <c r="AN4" s="417"/>
      <c r="AO4" s="417"/>
      <c r="AP4" s="418"/>
      <c r="AQ4" s="416" t="s">
        <v>217</v>
      </c>
      <c r="AR4" s="417"/>
      <c r="AS4" s="417"/>
      <c r="AT4" s="417"/>
      <c r="AU4" s="418"/>
    </row>
    <row r="5" spans="1:59" ht="16.899999999999999" customHeight="1">
      <c r="A5" s="53"/>
      <c r="B5" s="415"/>
      <c r="C5" s="415"/>
      <c r="D5" s="415"/>
      <c r="E5" s="415"/>
      <c r="F5" s="415"/>
      <c r="G5" s="415"/>
      <c r="H5" s="415"/>
      <c r="I5" s="415"/>
      <c r="J5" s="415"/>
      <c r="K5" s="415"/>
      <c r="L5" s="415"/>
      <c r="M5" s="415"/>
      <c r="N5" s="415"/>
      <c r="O5" s="415"/>
      <c r="P5" s="415"/>
      <c r="Q5" s="415"/>
      <c r="R5" s="415"/>
      <c r="S5" s="415"/>
      <c r="T5" s="415"/>
      <c r="U5" s="415"/>
      <c r="V5" s="415"/>
      <c r="W5" s="415"/>
      <c r="X5" s="415"/>
      <c r="Y5" s="415"/>
      <c r="Z5" s="415"/>
      <c r="AA5" s="415"/>
      <c r="AB5" s="415"/>
      <c r="AC5" s="415"/>
      <c r="AD5" s="415"/>
      <c r="AE5" s="415"/>
      <c r="AF5" s="415"/>
      <c r="AG5" s="415"/>
      <c r="AH5" s="415"/>
      <c r="AI5" s="415"/>
      <c r="AJ5" s="42"/>
      <c r="AK5" s="53"/>
      <c r="AL5" s="205" t="s">
        <v>1</v>
      </c>
      <c r="AM5" s="206"/>
      <c r="AN5" s="206"/>
      <c r="AO5" s="206"/>
      <c r="AP5" s="207"/>
      <c r="AQ5" s="205" t="s">
        <v>2</v>
      </c>
      <c r="AR5" s="206"/>
      <c r="AS5" s="206"/>
      <c r="AT5" s="206"/>
      <c r="AU5" s="207"/>
    </row>
    <row r="6" spans="1:59" ht="16.899999999999999" customHeight="1">
      <c r="A6" s="53"/>
      <c r="B6" s="53"/>
      <c r="C6" s="53"/>
      <c r="D6" s="43"/>
      <c r="E6" s="43"/>
      <c r="F6" s="43"/>
      <c r="G6" s="43"/>
      <c r="H6" s="43"/>
      <c r="I6" s="43"/>
      <c r="J6" s="43"/>
      <c r="K6" s="43"/>
      <c r="L6" s="43"/>
      <c r="M6" s="43"/>
      <c r="N6" s="43"/>
      <c r="O6" s="43"/>
      <c r="P6" s="43"/>
      <c r="Q6" s="43"/>
      <c r="R6" s="43"/>
      <c r="S6" s="43"/>
      <c r="T6" s="43"/>
      <c r="U6" s="43"/>
      <c r="V6" s="53"/>
      <c r="W6" s="43"/>
      <c r="X6" s="43"/>
      <c r="Y6" s="43"/>
      <c r="Z6" s="43"/>
      <c r="AA6" s="43"/>
      <c r="AB6" s="43"/>
      <c r="AC6" s="43"/>
      <c r="AD6" s="43"/>
      <c r="AE6" s="43"/>
      <c r="AF6" s="43"/>
      <c r="AG6" s="43"/>
      <c r="AH6" s="43"/>
      <c r="AI6" s="43"/>
      <c r="AJ6" s="43"/>
      <c r="AK6" s="43"/>
      <c r="AL6" s="208"/>
      <c r="AM6" s="209"/>
      <c r="AN6" s="209"/>
      <c r="AO6" s="209"/>
      <c r="AP6" s="210"/>
      <c r="AQ6" s="208"/>
      <c r="AR6" s="209"/>
      <c r="AS6" s="209"/>
      <c r="AT6" s="209"/>
      <c r="AU6" s="210"/>
    </row>
    <row r="7" spans="1:59" ht="16.899999999999999" customHeight="1">
      <c r="A7" s="53"/>
      <c r="B7" s="43"/>
      <c r="C7" s="43"/>
      <c r="D7" s="43"/>
      <c r="E7" s="43"/>
      <c r="F7" s="43"/>
      <c r="G7" s="43"/>
      <c r="H7" s="43"/>
      <c r="I7" s="43"/>
      <c r="J7" s="43"/>
      <c r="K7" s="43"/>
      <c r="L7" s="43"/>
      <c r="M7" s="43"/>
      <c r="N7" s="43"/>
      <c r="O7" s="43"/>
      <c r="P7" s="43"/>
      <c r="Q7" s="43"/>
      <c r="R7" s="43"/>
      <c r="S7" s="43"/>
      <c r="T7" s="43"/>
      <c r="U7" s="43"/>
      <c r="V7" s="53"/>
      <c r="W7" s="43"/>
      <c r="X7" s="43"/>
      <c r="Y7" s="43"/>
      <c r="Z7" s="43"/>
      <c r="AA7" s="43"/>
      <c r="AB7" s="43"/>
      <c r="AC7" s="43"/>
      <c r="AD7" s="43"/>
      <c r="AE7" s="43"/>
      <c r="AF7" s="43"/>
      <c r="AG7" s="43"/>
      <c r="AH7" s="43"/>
      <c r="AI7" s="43"/>
      <c r="AJ7" s="43"/>
      <c r="AK7" s="43"/>
      <c r="AL7" s="211"/>
      <c r="AM7" s="212"/>
      <c r="AN7" s="212"/>
      <c r="AO7" s="212"/>
      <c r="AP7" s="213"/>
      <c r="AQ7" s="211"/>
      <c r="AR7" s="212"/>
      <c r="AS7" s="212"/>
      <c r="AT7" s="212"/>
      <c r="AU7" s="213"/>
    </row>
    <row r="8" spans="1:59" ht="16.899999999999999" customHeight="1" thickBot="1">
      <c r="A8" s="53"/>
      <c r="B8" s="43"/>
      <c r="C8" s="43"/>
      <c r="D8" s="43"/>
      <c r="E8" s="43"/>
      <c r="F8" s="43"/>
      <c r="G8" s="43"/>
      <c r="H8" s="43"/>
      <c r="I8" s="43"/>
      <c r="J8" s="43"/>
      <c r="K8" s="43"/>
      <c r="L8" s="43"/>
      <c r="M8" s="43"/>
      <c r="N8" s="43"/>
      <c r="O8" s="43"/>
      <c r="P8" s="43"/>
      <c r="Q8" s="43"/>
      <c r="R8" s="43"/>
      <c r="S8" s="43"/>
      <c r="T8" s="43"/>
      <c r="U8" s="43"/>
      <c r="V8" s="53"/>
      <c r="W8" s="43"/>
      <c r="X8" s="43"/>
      <c r="Y8" s="43"/>
      <c r="Z8" s="43"/>
      <c r="AA8" s="43"/>
      <c r="AB8" s="43"/>
      <c r="AC8" s="43"/>
      <c r="AD8" s="43"/>
      <c r="AE8" s="43"/>
      <c r="AF8" s="43"/>
      <c r="AG8" s="43"/>
      <c r="AH8" s="43"/>
      <c r="AI8" s="43"/>
      <c r="AJ8" s="43"/>
      <c r="AK8" s="43"/>
      <c r="AL8" s="214"/>
      <c r="AM8" s="215"/>
      <c r="AN8" s="215"/>
      <c r="AO8" s="215"/>
      <c r="AP8" s="216"/>
      <c r="AQ8" s="214"/>
      <c r="AR8" s="215"/>
      <c r="AS8" s="215"/>
      <c r="AT8" s="215"/>
      <c r="AU8" s="216"/>
    </row>
    <row r="9" spans="1:59" ht="16.899999999999999" customHeight="1">
      <c r="A9" s="53"/>
      <c r="B9" s="53"/>
      <c r="C9" s="53"/>
      <c r="D9" s="53"/>
      <c r="E9" s="53"/>
      <c r="F9" s="53"/>
      <c r="G9" s="53"/>
      <c r="H9" s="53"/>
      <c r="I9" s="53"/>
      <c r="J9" s="53"/>
      <c r="K9" s="53"/>
      <c r="L9" s="53"/>
      <c r="M9" s="53"/>
      <c r="N9" s="53"/>
      <c r="O9" s="53"/>
      <c r="P9" s="53"/>
      <c r="Q9" s="53"/>
      <c r="R9" s="53"/>
      <c r="S9" s="53"/>
      <c r="T9" s="53"/>
      <c r="U9" s="53"/>
      <c r="V9" s="48"/>
      <c r="W9" s="48"/>
      <c r="X9" s="48"/>
      <c r="Y9" s="48"/>
      <c r="Z9" s="48"/>
      <c r="AA9" s="43"/>
      <c r="AB9" s="43"/>
      <c r="AC9" s="43"/>
      <c r="AD9" s="43"/>
      <c r="AE9" s="43"/>
      <c r="AF9" s="53"/>
      <c r="AG9" s="53"/>
      <c r="AH9" s="53"/>
      <c r="AI9" s="53"/>
      <c r="AJ9" s="53"/>
      <c r="AK9" s="53"/>
      <c r="AL9" s="53"/>
      <c r="AM9" s="53"/>
      <c r="AN9" s="53"/>
      <c r="AO9" s="53"/>
      <c r="AP9" s="53"/>
      <c r="AQ9" s="53"/>
      <c r="AR9" s="53"/>
      <c r="AS9" s="53"/>
      <c r="AT9" s="53"/>
      <c r="AU9" s="53"/>
    </row>
    <row r="10" spans="1:59" ht="16.899999999999999" customHeight="1">
      <c r="A10" s="53"/>
      <c r="B10" s="54" t="s">
        <v>3</v>
      </c>
      <c r="C10" s="43"/>
      <c r="D10" s="43"/>
      <c r="E10" s="43"/>
      <c r="F10" s="4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row>
    <row r="11" spans="1:59" ht="16.899999999999999" customHeight="1">
      <c r="A11" s="53"/>
      <c r="B11" s="419" t="s">
        <v>218</v>
      </c>
      <c r="C11" s="419"/>
      <c r="D11" s="419"/>
      <c r="E11" s="419"/>
      <c r="F11" s="419"/>
      <c r="G11" s="419"/>
      <c r="H11" s="419"/>
      <c r="I11" s="419"/>
      <c r="J11" s="419"/>
      <c r="K11" s="419"/>
      <c r="L11" s="426" t="str">
        <f>プロジェクトコード&amp;""</f>
        <v>PJ2025052974</v>
      </c>
      <c r="M11" s="426"/>
      <c r="N11" s="426"/>
      <c r="O11" s="426"/>
      <c r="P11" s="426"/>
      <c r="Q11" s="426"/>
      <c r="R11" s="426"/>
      <c r="S11" s="426"/>
      <c r="T11" s="426"/>
      <c r="U11" s="426"/>
      <c r="V11" s="426"/>
      <c r="W11" s="426"/>
      <c r="X11" s="426"/>
      <c r="Y11" s="419" t="s">
        <v>6</v>
      </c>
      <c r="Z11" s="419"/>
      <c r="AA11" s="419"/>
      <c r="AB11" s="419"/>
      <c r="AC11" s="419"/>
      <c r="AD11" s="419"/>
      <c r="AE11" s="419"/>
      <c r="AF11" s="419"/>
      <c r="AG11" s="419"/>
      <c r="AH11" s="419"/>
      <c r="AI11" s="199" t="str">
        <f>実績_開始日</f>
        <v/>
      </c>
      <c r="AJ11" s="200"/>
      <c r="AK11" s="200"/>
      <c r="AL11" s="200"/>
      <c r="AM11" s="200"/>
      <c r="AN11" s="200"/>
      <c r="AO11" s="56" t="s">
        <v>7</v>
      </c>
      <c r="AP11" s="200" t="str">
        <f>実績_終了日</f>
        <v/>
      </c>
      <c r="AQ11" s="200"/>
      <c r="AR11" s="200"/>
      <c r="AS11" s="200"/>
      <c r="AT11" s="200"/>
      <c r="AU11" s="201"/>
    </row>
    <row r="12" spans="1:59" ht="16.899999999999999" customHeight="1">
      <c r="A12" s="53"/>
      <c r="B12" s="180" t="s">
        <v>219</v>
      </c>
      <c r="C12" s="181"/>
      <c r="D12" s="181"/>
      <c r="E12" s="181"/>
      <c r="F12" s="181"/>
      <c r="G12" s="181"/>
      <c r="H12" s="181"/>
      <c r="I12" s="181"/>
      <c r="J12" s="181"/>
      <c r="K12" s="182"/>
      <c r="L12" s="117" t="str">
        <f>プロジェクト名&amp;""</f>
        <v>MES嵌合工程検査のオンライン化対応</v>
      </c>
      <c r="M12" s="118"/>
      <c r="N12" s="118"/>
      <c r="O12" s="118"/>
      <c r="P12" s="118"/>
      <c r="Q12" s="118"/>
      <c r="R12" s="118"/>
      <c r="S12" s="118"/>
      <c r="T12" s="118"/>
      <c r="U12" s="118"/>
      <c r="V12" s="118"/>
      <c r="W12" s="118"/>
      <c r="X12" s="118"/>
      <c r="Y12" s="118"/>
      <c r="Z12" s="118"/>
      <c r="AA12" s="118"/>
      <c r="AB12" s="118"/>
      <c r="AC12" s="118"/>
      <c r="AD12" s="118"/>
      <c r="AE12" s="118"/>
      <c r="AF12" s="118"/>
      <c r="AG12" s="118"/>
      <c r="AH12" s="118"/>
      <c r="AI12" s="118"/>
      <c r="AJ12" s="118"/>
      <c r="AK12" s="118"/>
      <c r="AL12" s="118"/>
      <c r="AM12" s="118"/>
      <c r="AN12" s="118"/>
      <c r="AO12" s="118"/>
      <c r="AP12" s="118"/>
      <c r="AQ12" s="118"/>
      <c r="AR12" s="118"/>
      <c r="AS12" s="118"/>
      <c r="AT12" s="118"/>
      <c r="AU12" s="119"/>
    </row>
    <row r="13" spans="1:59" ht="16.899999999999999" customHeight="1">
      <c r="A13" s="53"/>
      <c r="B13" s="180" t="s">
        <v>10</v>
      </c>
      <c r="C13" s="181"/>
      <c r="D13" s="181"/>
      <c r="E13" s="181"/>
      <c r="F13" s="181"/>
      <c r="G13" s="181"/>
      <c r="H13" s="181"/>
      <c r="I13" s="181"/>
      <c r="J13" s="181"/>
      <c r="K13" s="182"/>
      <c r="L13" s="117" t="str">
        <f>プロジェクト概要&amp;""</f>
        <v>嵌合実績入力画面における工程検査表取込機能追加対応</v>
      </c>
      <c r="M13" s="118"/>
      <c r="N13" s="118"/>
      <c r="O13" s="118"/>
      <c r="P13" s="118"/>
      <c r="Q13" s="118"/>
      <c r="R13" s="118"/>
      <c r="S13" s="118"/>
      <c r="T13" s="118"/>
      <c r="U13" s="118"/>
      <c r="V13" s="118"/>
      <c r="W13" s="118"/>
      <c r="X13" s="118"/>
      <c r="Y13" s="118"/>
      <c r="Z13" s="118"/>
      <c r="AA13" s="118"/>
      <c r="AB13" s="118"/>
      <c r="AC13" s="118"/>
      <c r="AD13" s="118"/>
      <c r="AE13" s="118"/>
      <c r="AF13" s="118"/>
      <c r="AG13" s="118"/>
      <c r="AH13" s="118"/>
      <c r="AI13" s="118"/>
      <c r="AJ13" s="118"/>
      <c r="AK13" s="118"/>
      <c r="AL13" s="118"/>
      <c r="AM13" s="118"/>
      <c r="AN13" s="118"/>
      <c r="AO13" s="118"/>
      <c r="AP13" s="118"/>
      <c r="AQ13" s="118"/>
      <c r="AR13" s="118"/>
      <c r="AS13" s="118"/>
      <c r="AT13" s="118"/>
      <c r="AU13" s="119"/>
    </row>
    <row r="14" spans="1:59" ht="16.899999999999999" customHeight="1">
      <c r="A14" s="53"/>
      <c r="B14" s="197" t="s">
        <v>12</v>
      </c>
      <c r="C14" s="197"/>
      <c r="D14" s="197"/>
      <c r="E14" s="197"/>
      <c r="F14" s="197"/>
      <c r="G14" s="197"/>
      <c r="H14" s="197"/>
      <c r="I14" s="197"/>
      <c r="J14" s="197"/>
      <c r="K14" s="197"/>
      <c r="L14" s="289" t="str">
        <f>顧客名&amp;""</f>
        <v>出光興産株式会社</v>
      </c>
      <c r="M14" s="289"/>
      <c r="N14" s="289"/>
      <c r="O14" s="289"/>
      <c r="P14" s="289"/>
      <c r="Q14" s="289"/>
      <c r="R14" s="289"/>
      <c r="S14" s="289"/>
      <c r="T14" s="289"/>
      <c r="U14" s="289"/>
      <c r="V14" s="289"/>
      <c r="W14" s="289"/>
      <c r="X14" s="289"/>
      <c r="Y14" s="197" t="s">
        <v>14</v>
      </c>
      <c r="Z14" s="197"/>
      <c r="AA14" s="197"/>
      <c r="AB14" s="197"/>
      <c r="AC14" s="197"/>
      <c r="AD14" s="197"/>
      <c r="AE14" s="197"/>
      <c r="AF14" s="197"/>
      <c r="AG14" s="197"/>
      <c r="AH14" s="196"/>
      <c r="AI14" s="289" t="str">
        <f>計画_顧客担当部署&amp;""</f>
        <v>ﾃﾞｼﾞﾀﾙ･ICT推進部</v>
      </c>
      <c r="AJ14" s="289"/>
      <c r="AK14" s="289"/>
      <c r="AL14" s="289"/>
      <c r="AM14" s="289"/>
      <c r="AN14" s="289"/>
      <c r="AO14" s="289"/>
      <c r="AP14" s="289"/>
      <c r="AQ14" s="289"/>
      <c r="AR14" s="289"/>
      <c r="AS14" s="289"/>
      <c r="AT14" s="289"/>
      <c r="AU14" s="289"/>
      <c r="AX14" s="78"/>
      <c r="AY14" s="78"/>
      <c r="AZ14" s="78"/>
      <c r="BA14" s="78"/>
      <c r="BB14" s="78"/>
      <c r="BC14" s="78"/>
      <c r="BD14" s="78"/>
      <c r="BE14" s="78"/>
      <c r="BF14" s="78"/>
      <c r="BG14" s="78"/>
    </row>
    <row r="15" spans="1:59" ht="16.899999999999999" customHeight="1">
      <c r="A15" s="53"/>
      <c r="B15" s="180" t="s">
        <v>16</v>
      </c>
      <c r="C15" s="181"/>
      <c r="D15" s="181"/>
      <c r="E15" s="181"/>
      <c r="F15" s="181"/>
      <c r="G15" s="181"/>
      <c r="H15" s="181"/>
      <c r="I15" s="181"/>
      <c r="J15" s="181"/>
      <c r="K15" s="182"/>
      <c r="L15" s="117" t="str">
        <f>計画_担当本部&amp;""</f>
        <v>システムソリューション１部</v>
      </c>
      <c r="M15" s="118"/>
      <c r="N15" s="118"/>
      <c r="O15" s="118"/>
      <c r="P15" s="118"/>
      <c r="Q15" s="118"/>
      <c r="R15" s="118"/>
      <c r="S15" s="118"/>
      <c r="T15" s="118"/>
      <c r="U15" s="118"/>
      <c r="V15" s="118"/>
      <c r="W15" s="118"/>
      <c r="X15" s="119"/>
      <c r="Y15" s="286" t="s">
        <v>18</v>
      </c>
      <c r="Z15" s="287"/>
      <c r="AA15" s="287"/>
      <c r="AB15" s="287"/>
      <c r="AC15" s="287"/>
      <c r="AD15" s="287"/>
      <c r="AE15" s="287"/>
      <c r="AF15" s="287"/>
      <c r="AG15" s="287"/>
      <c r="AH15" s="288"/>
      <c r="AI15" s="403" t="str">
        <f>計画_担当部門&amp;""</f>
        <v>システムソリューション本部</v>
      </c>
      <c r="AJ15" s="404"/>
      <c r="AK15" s="404"/>
      <c r="AL15" s="404"/>
      <c r="AM15" s="404"/>
      <c r="AN15" s="404"/>
      <c r="AO15" s="404"/>
      <c r="AP15" s="404"/>
      <c r="AQ15" s="404"/>
      <c r="AR15" s="404"/>
      <c r="AS15" s="404"/>
      <c r="AT15" s="404"/>
      <c r="AU15" s="405"/>
    </row>
    <row r="16" spans="1:59" ht="16.899999999999999" customHeight="1">
      <c r="A16" s="53"/>
      <c r="B16" s="196" t="s">
        <v>20</v>
      </c>
      <c r="C16" s="196"/>
      <c r="D16" s="196"/>
      <c r="E16" s="196"/>
      <c r="F16" s="196"/>
      <c r="G16" s="196"/>
      <c r="H16" s="196"/>
      <c r="I16" s="196"/>
      <c r="J16" s="196"/>
      <c r="K16" s="196"/>
      <c r="L16" s="403" t="str">
        <f>計画_プロジェクト責任者&amp;""</f>
        <v>福井将敏</v>
      </c>
      <c r="M16" s="404"/>
      <c r="N16" s="404"/>
      <c r="O16" s="404"/>
      <c r="P16" s="404"/>
      <c r="Q16" s="404"/>
      <c r="R16" s="404"/>
      <c r="S16" s="404"/>
      <c r="T16" s="404"/>
      <c r="U16" s="404"/>
      <c r="V16" s="404"/>
      <c r="W16" s="404"/>
      <c r="X16" s="405"/>
      <c r="Y16" s="197" t="s">
        <v>22</v>
      </c>
      <c r="Z16" s="197"/>
      <c r="AA16" s="197"/>
      <c r="AB16" s="197"/>
      <c r="AC16" s="197"/>
      <c r="AD16" s="197"/>
      <c r="AE16" s="197"/>
      <c r="AF16" s="197"/>
      <c r="AG16" s="197"/>
      <c r="AH16" s="197"/>
      <c r="AI16" s="289" t="str">
        <f>計画_プロジェクトマネージャ&amp;""</f>
        <v>関谷亮</v>
      </c>
      <c r="AJ16" s="289"/>
      <c r="AK16" s="289"/>
      <c r="AL16" s="289"/>
      <c r="AM16" s="289"/>
      <c r="AN16" s="289"/>
      <c r="AO16" s="289"/>
      <c r="AP16" s="289"/>
      <c r="AQ16" s="289"/>
      <c r="AR16" s="289"/>
      <c r="AS16" s="289"/>
      <c r="AT16" s="289"/>
      <c r="AU16" s="289"/>
    </row>
    <row r="17" spans="1:47" ht="16.899999999999999" customHeight="1">
      <c r="A17" s="53"/>
      <c r="B17" s="180" t="s">
        <v>24</v>
      </c>
      <c r="C17" s="181"/>
      <c r="D17" s="181"/>
      <c r="E17" s="181"/>
      <c r="F17" s="181"/>
      <c r="G17" s="181"/>
      <c r="H17" s="181"/>
      <c r="I17" s="181"/>
      <c r="J17" s="181"/>
      <c r="K17" s="182"/>
      <c r="L17" s="117" t="str">
        <f>計画_品質管理担当者&amp;""</f>
        <v>福井将敏</v>
      </c>
      <c r="M17" s="118"/>
      <c r="N17" s="118"/>
      <c r="O17" s="118"/>
      <c r="P17" s="118"/>
      <c r="Q17" s="118"/>
      <c r="R17" s="118"/>
      <c r="S17" s="118"/>
      <c r="T17" s="118"/>
      <c r="U17" s="118"/>
      <c r="V17" s="118"/>
      <c r="W17" s="118"/>
      <c r="X17" s="119"/>
      <c r="Y17" s="286" t="s">
        <v>26</v>
      </c>
      <c r="Z17" s="287"/>
      <c r="AA17" s="287"/>
      <c r="AB17" s="287"/>
      <c r="AC17" s="287"/>
      <c r="AD17" s="287"/>
      <c r="AE17" s="287"/>
      <c r="AF17" s="287"/>
      <c r="AG17" s="287"/>
      <c r="AH17" s="288"/>
      <c r="AI17" s="403" t="str">
        <f>計画_営業担当者&amp;""</f>
        <v>髙浦祐朗</v>
      </c>
      <c r="AJ17" s="404"/>
      <c r="AK17" s="404"/>
      <c r="AL17" s="404"/>
      <c r="AM17" s="404"/>
      <c r="AN17" s="404"/>
      <c r="AO17" s="404"/>
      <c r="AP17" s="404"/>
      <c r="AQ17" s="404"/>
      <c r="AR17" s="404"/>
      <c r="AS17" s="404"/>
      <c r="AT17" s="404"/>
      <c r="AU17" s="405"/>
    </row>
    <row r="18" spans="1:47" ht="16.899999999999999" customHeight="1">
      <c r="A18" s="53"/>
      <c r="B18" s="196" t="s">
        <v>28</v>
      </c>
      <c r="C18" s="196"/>
      <c r="D18" s="196"/>
      <c r="E18" s="196"/>
      <c r="F18" s="196"/>
      <c r="G18" s="196"/>
      <c r="H18" s="196"/>
      <c r="I18" s="196"/>
      <c r="J18" s="196"/>
      <c r="K18" s="196"/>
      <c r="L18" s="220">
        <f>計画_受注額</f>
        <v>1000000</v>
      </c>
      <c r="M18" s="220"/>
      <c r="N18" s="220"/>
      <c r="O18" s="220"/>
      <c r="P18" s="220"/>
      <c r="Q18" s="220"/>
      <c r="R18" s="220"/>
      <c r="S18" s="220"/>
      <c r="T18" s="220"/>
      <c r="U18" s="220"/>
      <c r="V18" s="220"/>
      <c r="W18" s="220"/>
      <c r="X18" s="220"/>
      <c r="Y18" s="197" t="s">
        <v>29</v>
      </c>
      <c r="Z18" s="197"/>
      <c r="AA18" s="197"/>
      <c r="AB18" s="197"/>
      <c r="AC18" s="197"/>
      <c r="AD18" s="197"/>
      <c r="AE18" s="197"/>
      <c r="AF18" s="197"/>
      <c r="AG18" s="197"/>
      <c r="AH18" s="197"/>
      <c r="AI18" s="289" t="str">
        <f>プロジェクト区分&amp;""</f>
        <v>改良開発</v>
      </c>
      <c r="AJ18" s="289"/>
      <c r="AK18" s="289"/>
      <c r="AL18" s="289"/>
      <c r="AM18" s="289"/>
      <c r="AN18" s="289"/>
      <c r="AO18" s="289"/>
      <c r="AP18" s="289"/>
      <c r="AQ18" s="289"/>
      <c r="AR18" s="289"/>
      <c r="AS18" s="289"/>
      <c r="AT18" s="289"/>
      <c r="AU18" s="289"/>
    </row>
    <row r="19" spans="1:47" ht="16.899999999999999" customHeight="1">
      <c r="B19" s="79"/>
      <c r="C19" s="79"/>
      <c r="D19" s="79"/>
      <c r="E19" s="79"/>
      <c r="F19" s="79"/>
      <c r="G19" s="79"/>
      <c r="H19" s="79"/>
      <c r="I19" s="79"/>
      <c r="J19" s="79"/>
      <c r="K19" s="79"/>
      <c r="L19" s="80"/>
      <c r="M19" s="80"/>
      <c r="N19" s="80"/>
      <c r="O19" s="80"/>
      <c r="P19" s="80"/>
      <c r="Q19" s="80"/>
      <c r="R19" s="80"/>
      <c r="S19" s="80"/>
      <c r="T19" s="80"/>
      <c r="U19" s="80"/>
      <c r="V19" s="80"/>
      <c r="W19" s="80"/>
      <c r="X19" s="80"/>
    </row>
    <row r="20" spans="1:47" s="46" customFormat="1" ht="16.899999999999999" customHeight="1">
      <c r="B20" s="45" t="s">
        <v>101</v>
      </c>
    </row>
    <row r="21" spans="1:47" s="57" customFormat="1" ht="16.899999999999999" customHeight="1">
      <c r="A21" s="55"/>
      <c r="B21" s="255" t="s">
        <v>102</v>
      </c>
      <c r="C21" s="255"/>
      <c r="D21" s="255"/>
      <c r="E21" s="255"/>
      <c r="F21" s="255"/>
      <c r="G21" s="255"/>
      <c r="H21" s="255"/>
      <c r="I21" s="255"/>
      <c r="J21" s="255"/>
      <c r="K21" s="255"/>
      <c r="L21" s="398">
        <f>IF(プロジェクト計画書!L75="","",プロジェクト計画書!L75)</f>
        <v>1</v>
      </c>
      <c r="M21" s="398"/>
      <c r="N21" s="398"/>
      <c r="O21" s="398"/>
      <c r="P21" s="398"/>
      <c r="Q21" s="398"/>
      <c r="R21" s="398"/>
      <c r="S21" s="398"/>
      <c r="T21" s="398"/>
      <c r="U21" s="398"/>
      <c r="V21" s="398"/>
      <c r="W21" s="398"/>
      <c r="X21" s="398"/>
      <c r="Y21" s="255" t="s">
        <v>103</v>
      </c>
      <c r="Z21" s="255"/>
      <c r="AA21" s="255"/>
      <c r="AB21" s="255"/>
      <c r="AC21" s="255"/>
      <c r="AD21" s="255"/>
      <c r="AE21" s="255"/>
      <c r="AF21" s="255"/>
      <c r="AG21" s="255"/>
      <c r="AH21" s="414"/>
      <c r="AI21" s="398">
        <f>IF(プロジェクト計画書!AI75="","",プロジェクト計画書!AI75)</f>
        <v>0</v>
      </c>
      <c r="AJ21" s="398"/>
      <c r="AK21" s="398"/>
      <c r="AL21" s="398"/>
      <c r="AM21" s="398"/>
      <c r="AN21" s="398"/>
      <c r="AO21" s="398"/>
      <c r="AP21" s="398"/>
      <c r="AQ21" s="398"/>
      <c r="AR21" s="398"/>
      <c r="AS21" s="398"/>
      <c r="AT21" s="398"/>
      <c r="AU21" s="398"/>
    </row>
    <row r="22" spans="1:47" s="57" customFormat="1" ht="16.899999999999999" customHeight="1">
      <c r="A22" s="55"/>
      <c r="B22" s="252" t="s">
        <v>104</v>
      </c>
      <c r="C22" s="253"/>
      <c r="D22" s="253"/>
      <c r="E22" s="253"/>
      <c r="F22" s="253"/>
      <c r="G22" s="253"/>
      <c r="H22" s="253"/>
      <c r="I22" s="253"/>
      <c r="J22" s="253"/>
      <c r="K22" s="254"/>
      <c r="L22" s="398">
        <f>IF(プロジェクト計画書!L76="","",プロジェクト計画書!L76)</f>
        <v>0</v>
      </c>
      <c r="M22" s="398"/>
      <c r="N22" s="398"/>
      <c r="O22" s="398"/>
      <c r="P22" s="398"/>
      <c r="Q22" s="398"/>
      <c r="R22" s="398"/>
      <c r="S22" s="398"/>
      <c r="T22" s="398"/>
      <c r="U22" s="398"/>
      <c r="V22" s="398"/>
      <c r="W22" s="398"/>
      <c r="X22" s="398"/>
      <c r="Y22" s="255" t="s">
        <v>105</v>
      </c>
      <c r="Z22" s="255"/>
      <c r="AA22" s="255"/>
      <c r="AB22" s="255"/>
      <c r="AC22" s="255"/>
      <c r="AD22" s="255"/>
      <c r="AE22" s="255"/>
      <c r="AF22" s="255"/>
      <c r="AG22" s="255"/>
      <c r="AH22" s="414"/>
      <c r="AI22" s="398">
        <f>IF(プロジェクト計画書!AI76="","",プロジェクト計画書!AI76)</f>
        <v>4</v>
      </c>
      <c r="AJ22" s="398"/>
      <c r="AK22" s="398"/>
      <c r="AL22" s="398"/>
      <c r="AM22" s="398"/>
      <c r="AN22" s="398"/>
      <c r="AO22" s="398"/>
      <c r="AP22" s="398"/>
      <c r="AQ22" s="398"/>
      <c r="AR22" s="398"/>
      <c r="AS22" s="398"/>
      <c r="AT22" s="398"/>
      <c r="AU22" s="398"/>
    </row>
    <row r="23" spans="1:47" s="57" customFormat="1" ht="16.899999999999999" customHeight="1">
      <c r="A23" s="55"/>
      <c r="B23" s="414" t="s">
        <v>106</v>
      </c>
      <c r="C23" s="414"/>
      <c r="D23" s="414"/>
      <c r="E23" s="414"/>
      <c r="F23" s="414"/>
      <c r="G23" s="414"/>
      <c r="H23" s="414"/>
      <c r="I23" s="414"/>
      <c r="J23" s="414"/>
      <c r="K23" s="414"/>
      <c r="L23" s="398">
        <f>IF(プロジェクト計画書!L77="","",プロジェクト計画書!L77)</f>
        <v>0</v>
      </c>
      <c r="M23" s="398"/>
      <c r="N23" s="398"/>
      <c r="O23" s="398"/>
      <c r="P23" s="398"/>
      <c r="Q23" s="398"/>
      <c r="R23" s="398"/>
      <c r="S23" s="398"/>
      <c r="T23" s="398"/>
      <c r="U23" s="398"/>
      <c r="V23" s="398"/>
      <c r="W23" s="398"/>
      <c r="X23" s="398"/>
      <c r="Y23" s="252" t="s">
        <v>107</v>
      </c>
      <c r="Z23" s="253"/>
      <c r="AA23" s="253"/>
      <c r="AB23" s="253"/>
      <c r="AC23" s="253"/>
      <c r="AD23" s="253"/>
      <c r="AE23" s="253"/>
      <c r="AF23" s="253"/>
      <c r="AG23" s="253"/>
      <c r="AH23" s="254"/>
      <c r="AI23" s="398">
        <f>IF(プロジェクト計画書!AI77="","",プロジェクト計画書!AI77)</f>
        <v>36</v>
      </c>
      <c r="AJ23" s="398"/>
      <c r="AK23" s="398"/>
      <c r="AL23" s="398"/>
      <c r="AM23" s="398"/>
      <c r="AN23" s="398"/>
      <c r="AO23" s="398"/>
      <c r="AP23" s="398"/>
      <c r="AQ23" s="398"/>
      <c r="AR23" s="398"/>
      <c r="AS23" s="398"/>
      <c r="AT23" s="398"/>
      <c r="AU23" s="398"/>
    </row>
    <row r="24" spans="1:47" s="57" customFormat="1" ht="16.899999999999999" customHeight="1">
      <c r="A24" s="55"/>
      <c r="B24" s="252" t="s">
        <v>53</v>
      </c>
      <c r="C24" s="253"/>
      <c r="D24" s="253"/>
      <c r="E24" s="253"/>
      <c r="F24" s="253"/>
      <c r="G24" s="253"/>
      <c r="H24" s="253"/>
      <c r="I24" s="253"/>
      <c r="J24" s="253"/>
      <c r="K24" s="254"/>
      <c r="L24" s="406" t="str">
        <f>IF(プロジェクト計画書!L78="","",プロジェクト計画書!L78)</f>
        <v/>
      </c>
      <c r="M24" s="407"/>
      <c r="N24" s="407"/>
      <c r="O24" s="407"/>
      <c r="P24" s="407"/>
      <c r="Q24" s="407"/>
      <c r="R24" s="407"/>
      <c r="S24" s="407"/>
      <c r="T24" s="407"/>
      <c r="U24" s="407"/>
      <c r="V24" s="407"/>
      <c r="W24" s="407"/>
      <c r="X24" s="407"/>
      <c r="Y24" s="407"/>
      <c r="Z24" s="407"/>
      <c r="AA24" s="407"/>
      <c r="AB24" s="407"/>
      <c r="AC24" s="407"/>
      <c r="AD24" s="407"/>
      <c r="AE24" s="407"/>
      <c r="AF24" s="407"/>
      <c r="AG24" s="407"/>
      <c r="AH24" s="407"/>
      <c r="AI24" s="407"/>
      <c r="AJ24" s="407"/>
      <c r="AK24" s="407"/>
      <c r="AL24" s="407"/>
      <c r="AM24" s="407"/>
      <c r="AN24" s="407"/>
      <c r="AO24" s="407"/>
      <c r="AP24" s="407"/>
      <c r="AQ24" s="407"/>
      <c r="AR24" s="407"/>
      <c r="AS24" s="407"/>
      <c r="AT24" s="407"/>
      <c r="AU24" s="408"/>
    </row>
    <row r="25" spans="1:47" s="57" customFormat="1" ht="16.899999999999999" customHeight="1"/>
    <row r="26" spans="1:47" s="46" customFormat="1" ht="16.899999999999999" customHeight="1">
      <c r="B26" s="45" t="s">
        <v>185</v>
      </c>
    </row>
    <row r="27" spans="1:47" ht="16.899999999999999" customHeight="1">
      <c r="A27" s="53"/>
      <c r="B27" s="255" t="s">
        <v>102</v>
      </c>
      <c r="C27" s="255"/>
      <c r="D27" s="255"/>
      <c r="E27" s="255"/>
      <c r="F27" s="255"/>
      <c r="G27" s="255"/>
      <c r="H27" s="255"/>
      <c r="I27" s="255"/>
      <c r="J27" s="255"/>
      <c r="K27" s="255"/>
      <c r="L27" s="398" t="str">
        <f>IF(プロジェクト完了報告書!L64="","",プロジェクト完了報告書!L64)</f>
        <v/>
      </c>
      <c r="M27" s="398"/>
      <c r="N27" s="398"/>
      <c r="O27" s="398"/>
      <c r="P27" s="398"/>
      <c r="Q27" s="398"/>
      <c r="R27" s="398"/>
      <c r="S27" s="398"/>
      <c r="T27" s="398"/>
      <c r="U27" s="398"/>
      <c r="V27" s="398"/>
      <c r="W27" s="398"/>
      <c r="X27" s="398"/>
      <c r="Y27" s="255" t="s">
        <v>103</v>
      </c>
      <c r="Z27" s="255"/>
      <c r="AA27" s="255"/>
      <c r="AB27" s="255"/>
      <c r="AC27" s="255"/>
      <c r="AD27" s="255"/>
      <c r="AE27" s="255"/>
      <c r="AF27" s="255"/>
      <c r="AG27" s="255"/>
      <c r="AH27" s="414"/>
      <c r="AI27" s="398" t="str">
        <f>IF(プロジェクト完了報告書!AI64="","",プロジェクト完了報告書!AI64)</f>
        <v/>
      </c>
      <c r="AJ27" s="398"/>
      <c r="AK27" s="398"/>
      <c r="AL27" s="398"/>
      <c r="AM27" s="398"/>
      <c r="AN27" s="398"/>
      <c r="AO27" s="398"/>
      <c r="AP27" s="398"/>
      <c r="AQ27" s="398"/>
      <c r="AR27" s="398"/>
      <c r="AS27" s="398"/>
      <c r="AT27" s="398"/>
      <c r="AU27" s="398"/>
    </row>
    <row r="28" spans="1:47" ht="16.899999999999999" customHeight="1">
      <c r="A28" s="53"/>
      <c r="B28" s="252" t="s">
        <v>104</v>
      </c>
      <c r="C28" s="253"/>
      <c r="D28" s="253"/>
      <c r="E28" s="253"/>
      <c r="F28" s="253"/>
      <c r="G28" s="253"/>
      <c r="H28" s="253"/>
      <c r="I28" s="253"/>
      <c r="J28" s="253"/>
      <c r="K28" s="254"/>
      <c r="L28" s="398" t="str">
        <f>IF(プロジェクト完了報告書!L65="","",プロジェクト完了報告書!L65)</f>
        <v/>
      </c>
      <c r="M28" s="398"/>
      <c r="N28" s="398"/>
      <c r="O28" s="398"/>
      <c r="P28" s="398"/>
      <c r="Q28" s="398"/>
      <c r="R28" s="398"/>
      <c r="S28" s="398"/>
      <c r="T28" s="398"/>
      <c r="U28" s="398"/>
      <c r="V28" s="398"/>
      <c r="W28" s="398"/>
      <c r="X28" s="398"/>
      <c r="Y28" s="255" t="s">
        <v>105</v>
      </c>
      <c r="Z28" s="255"/>
      <c r="AA28" s="255"/>
      <c r="AB28" s="255"/>
      <c r="AC28" s="255"/>
      <c r="AD28" s="255"/>
      <c r="AE28" s="255"/>
      <c r="AF28" s="255"/>
      <c r="AG28" s="255"/>
      <c r="AH28" s="414"/>
      <c r="AI28" s="398" t="str">
        <f>IF(プロジェクト完了報告書!AI65="","",プロジェクト完了報告書!AI65)</f>
        <v/>
      </c>
      <c r="AJ28" s="398"/>
      <c r="AK28" s="398"/>
      <c r="AL28" s="398"/>
      <c r="AM28" s="398"/>
      <c r="AN28" s="398"/>
      <c r="AO28" s="398"/>
      <c r="AP28" s="398"/>
      <c r="AQ28" s="398"/>
      <c r="AR28" s="398"/>
      <c r="AS28" s="398"/>
      <c r="AT28" s="398"/>
      <c r="AU28" s="398"/>
    </row>
    <row r="29" spans="1:47" ht="16.899999999999999" customHeight="1">
      <c r="A29" s="53"/>
      <c r="B29" s="414" t="s">
        <v>106</v>
      </c>
      <c r="C29" s="414"/>
      <c r="D29" s="414"/>
      <c r="E29" s="414"/>
      <c r="F29" s="414"/>
      <c r="G29" s="414"/>
      <c r="H29" s="414"/>
      <c r="I29" s="414"/>
      <c r="J29" s="414"/>
      <c r="K29" s="414"/>
      <c r="L29" s="398" t="str">
        <f>IF(プロジェクト完了報告書!L66="","",プロジェクト完了報告書!L66)</f>
        <v/>
      </c>
      <c r="M29" s="398"/>
      <c r="N29" s="398"/>
      <c r="O29" s="398"/>
      <c r="P29" s="398"/>
      <c r="Q29" s="398"/>
      <c r="R29" s="398"/>
      <c r="S29" s="398"/>
      <c r="T29" s="398"/>
      <c r="U29" s="398"/>
      <c r="V29" s="398"/>
      <c r="W29" s="398"/>
      <c r="X29" s="398"/>
      <c r="Y29" s="252" t="s">
        <v>107</v>
      </c>
      <c r="Z29" s="253"/>
      <c r="AA29" s="253"/>
      <c r="AB29" s="253"/>
      <c r="AC29" s="253"/>
      <c r="AD29" s="253"/>
      <c r="AE29" s="253"/>
      <c r="AF29" s="253"/>
      <c r="AG29" s="253"/>
      <c r="AH29" s="254"/>
      <c r="AI29" s="398">
        <f>IF(プロジェクト完了報告書!AI66="","",プロジェクト完了報告書!AI66)</f>
        <v>0</v>
      </c>
      <c r="AJ29" s="398"/>
      <c r="AK29" s="398"/>
      <c r="AL29" s="398"/>
      <c r="AM29" s="398"/>
      <c r="AN29" s="398"/>
      <c r="AO29" s="398"/>
      <c r="AP29" s="398"/>
      <c r="AQ29" s="398"/>
      <c r="AR29" s="398"/>
      <c r="AS29" s="398"/>
      <c r="AT29" s="398"/>
      <c r="AU29" s="398"/>
    </row>
    <row r="30" spans="1:47" s="57" customFormat="1" ht="16.899999999999999" customHeight="1">
      <c r="A30" s="55"/>
      <c r="B30" s="252" t="s">
        <v>53</v>
      </c>
      <c r="C30" s="253"/>
      <c r="D30" s="253"/>
      <c r="E30" s="253"/>
      <c r="F30" s="253"/>
      <c r="G30" s="253"/>
      <c r="H30" s="253"/>
      <c r="I30" s="253"/>
      <c r="J30" s="253"/>
      <c r="K30" s="254"/>
      <c r="L30" s="239" t="str">
        <f>IF(プロジェクト完了報告書!L67="","",プロジェクト完了報告書!L67)</f>
        <v/>
      </c>
      <c r="M30" s="240"/>
      <c r="N30" s="240"/>
      <c r="O30" s="240"/>
      <c r="P30" s="240"/>
      <c r="Q30" s="240"/>
      <c r="R30" s="240"/>
      <c r="S30" s="240"/>
      <c r="T30" s="240"/>
      <c r="U30" s="240"/>
      <c r="V30" s="240"/>
      <c r="W30" s="240"/>
      <c r="X30" s="240"/>
      <c r="Y30" s="240"/>
      <c r="Z30" s="240"/>
      <c r="AA30" s="240"/>
      <c r="AB30" s="240"/>
      <c r="AC30" s="240"/>
      <c r="AD30" s="240"/>
      <c r="AE30" s="240"/>
      <c r="AF30" s="240"/>
      <c r="AG30" s="240"/>
      <c r="AH30" s="240"/>
      <c r="AI30" s="240"/>
      <c r="AJ30" s="240"/>
      <c r="AK30" s="240"/>
      <c r="AL30" s="240"/>
      <c r="AM30" s="240"/>
      <c r="AN30" s="240"/>
      <c r="AO30" s="240"/>
      <c r="AP30" s="240"/>
      <c r="AQ30" s="240"/>
      <c r="AR30" s="240"/>
      <c r="AS30" s="240"/>
      <c r="AT30" s="240"/>
      <c r="AU30" s="241"/>
    </row>
    <row r="31" spans="1:47" ht="16.899999999999999" customHeight="1">
      <c r="A31" s="53"/>
    </row>
    <row r="32" spans="1:47" s="46" customFormat="1" ht="16.899999999999999" customHeight="1">
      <c r="B32" s="45" t="s">
        <v>186</v>
      </c>
    </row>
    <row r="33" spans="2:47" s="46" customFormat="1" ht="16.899999999999999" customHeight="1">
      <c r="B33" s="419" t="s">
        <v>187</v>
      </c>
      <c r="C33" s="419"/>
      <c r="D33" s="419"/>
      <c r="E33" s="419"/>
      <c r="F33" s="419"/>
      <c r="G33" s="419"/>
      <c r="H33" s="419"/>
      <c r="I33" s="419"/>
      <c r="J33" s="419"/>
      <c r="K33" s="419"/>
      <c r="L33" s="399" t="str">
        <f>IF(プロジェクト完了報告書!L70="","",プロジェクト完了報告書!L70)</f>
        <v/>
      </c>
      <c r="M33" s="399"/>
      <c r="N33" s="399"/>
      <c r="O33" s="399"/>
      <c r="P33" s="399"/>
      <c r="Q33" s="399"/>
      <c r="R33" s="399"/>
      <c r="S33" s="399"/>
      <c r="T33" s="399"/>
      <c r="U33" s="399"/>
      <c r="V33" s="399"/>
      <c r="W33" s="399"/>
      <c r="X33" s="399"/>
      <c r="Y33" s="419" t="s">
        <v>188</v>
      </c>
      <c r="Z33" s="419"/>
      <c r="AA33" s="419"/>
      <c r="AB33" s="419"/>
      <c r="AC33" s="419"/>
      <c r="AD33" s="419"/>
      <c r="AE33" s="419"/>
      <c r="AF33" s="419"/>
      <c r="AG33" s="419"/>
      <c r="AH33" s="419"/>
      <c r="AI33" s="399" t="str">
        <f>IF(プロジェクト完了報告書!AI70="","",プロジェクト完了報告書!AI70)</f>
        <v/>
      </c>
      <c r="AJ33" s="399"/>
      <c r="AK33" s="399"/>
      <c r="AL33" s="399"/>
      <c r="AM33" s="399"/>
      <c r="AN33" s="399"/>
      <c r="AO33" s="399"/>
      <c r="AP33" s="399"/>
      <c r="AQ33" s="399"/>
      <c r="AR33" s="399"/>
      <c r="AS33" s="399"/>
      <c r="AT33" s="399"/>
      <c r="AU33" s="399"/>
    </row>
    <row r="34" spans="2:47" s="46" customFormat="1" ht="16.899999999999999" customHeight="1">
      <c r="B34" s="419" t="s">
        <v>189</v>
      </c>
      <c r="C34" s="419"/>
      <c r="D34" s="419"/>
      <c r="E34" s="419"/>
      <c r="F34" s="419"/>
      <c r="G34" s="419"/>
      <c r="H34" s="419"/>
      <c r="I34" s="419"/>
      <c r="J34" s="419"/>
      <c r="K34" s="420"/>
      <c r="L34" s="261" t="str">
        <f>IF(プロジェクト完了報告書!L71="","",プロジェクト完了報告書!L71)</f>
        <v/>
      </c>
      <c r="M34" s="262"/>
      <c r="N34" s="262"/>
      <c r="O34" s="262"/>
      <c r="P34" s="262"/>
      <c r="Q34" s="262"/>
      <c r="R34" s="262"/>
      <c r="S34" s="262"/>
      <c r="T34" s="262"/>
      <c r="U34" s="262"/>
      <c r="V34" s="262"/>
      <c r="W34" s="262"/>
      <c r="X34" s="263"/>
      <c r="Y34" s="419" t="s">
        <v>190</v>
      </c>
      <c r="Z34" s="419"/>
      <c r="AA34" s="419"/>
      <c r="AB34" s="419"/>
      <c r="AC34" s="419"/>
      <c r="AD34" s="419"/>
      <c r="AE34" s="419"/>
      <c r="AF34" s="419"/>
      <c r="AG34" s="419"/>
      <c r="AH34" s="420"/>
      <c r="AI34" s="413" t="str">
        <f>IF(プロジェクト完了報告書!AI71="","",プロジェクト完了報告書!AI71)</f>
        <v/>
      </c>
      <c r="AJ34" s="413"/>
      <c r="AK34" s="413"/>
      <c r="AL34" s="413"/>
      <c r="AM34" s="413"/>
      <c r="AN34" s="413"/>
      <c r="AO34" s="413"/>
      <c r="AP34" s="413"/>
      <c r="AQ34" s="413"/>
      <c r="AR34" s="413"/>
      <c r="AS34" s="413"/>
      <c r="AT34" s="413"/>
      <c r="AU34" s="413"/>
    </row>
    <row r="35" spans="2:47" s="46" customFormat="1" ht="16.899999999999999" customHeight="1">
      <c r="B35" s="419" t="s">
        <v>191</v>
      </c>
      <c r="C35" s="419"/>
      <c r="D35" s="419"/>
      <c r="E35" s="419"/>
      <c r="F35" s="419"/>
      <c r="G35" s="419"/>
      <c r="H35" s="419"/>
      <c r="I35" s="419"/>
      <c r="J35" s="419"/>
      <c r="K35" s="420"/>
      <c r="L35" s="410" t="str">
        <f>IF(プロジェクト完了報告書!L72="","",プロジェクト完了報告書!L72)</f>
        <v/>
      </c>
      <c r="M35" s="411"/>
      <c r="N35" s="411"/>
      <c r="O35" s="411"/>
      <c r="P35" s="411"/>
      <c r="Q35" s="411"/>
      <c r="R35" s="411"/>
      <c r="S35" s="411"/>
      <c r="T35" s="411"/>
      <c r="U35" s="411"/>
      <c r="V35" s="411"/>
      <c r="W35" s="411"/>
      <c r="X35" s="412"/>
      <c r="Y35" s="419" t="s">
        <v>192</v>
      </c>
      <c r="Z35" s="419"/>
      <c r="AA35" s="419"/>
      <c r="AB35" s="419"/>
      <c r="AC35" s="419"/>
      <c r="AD35" s="419"/>
      <c r="AE35" s="419"/>
      <c r="AF35" s="419"/>
      <c r="AG35" s="419"/>
      <c r="AH35" s="420"/>
      <c r="AI35" s="409" t="str">
        <f>IF(プロジェクト完了報告書!AI72="","",プロジェクト完了報告書!AI72)</f>
        <v/>
      </c>
      <c r="AJ35" s="409"/>
      <c r="AK35" s="409"/>
      <c r="AL35" s="409"/>
      <c r="AM35" s="409"/>
      <c r="AN35" s="409"/>
      <c r="AO35" s="409"/>
      <c r="AP35" s="409"/>
      <c r="AQ35" s="409"/>
      <c r="AR35" s="409"/>
      <c r="AS35" s="409"/>
      <c r="AT35" s="409"/>
      <c r="AU35" s="409"/>
    </row>
    <row r="36" spans="2:47" s="46" customFormat="1" ht="16.899999999999999" customHeight="1">
      <c r="B36" s="419" t="s">
        <v>193</v>
      </c>
      <c r="C36" s="419"/>
      <c r="D36" s="419"/>
      <c r="E36" s="419"/>
      <c r="F36" s="419"/>
      <c r="G36" s="419"/>
      <c r="H36" s="419"/>
      <c r="I36" s="419"/>
      <c r="J36" s="419"/>
      <c r="K36" s="420"/>
      <c r="L36" s="409" t="str">
        <f>IF(プロジェクト完了報告書!L73="","",プロジェクト完了報告書!L73)</f>
        <v/>
      </c>
      <c r="M36" s="409"/>
      <c r="N36" s="409"/>
      <c r="O36" s="409"/>
      <c r="P36" s="409"/>
      <c r="Q36" s="409"/>
      <c r="R36" s="409"/>
      <c r="S36" s="409"/>
      <c r="T36" s="409"/>
      <c r="U36" s="409"/>
      <c r="V36" s="409"/>
      <c r="W36" s="409"/>
      <c r="X36" s="409"/>
      <c r="Y36" s="419" t="s">
        <v>194</v>
      </c>
      <c r="Z36" s="419"/>
      <c r="AA36" s="419"/>
      <c r="AB36" s="419"/>
      <c r="AC36" s="419"/>
      <c r="AD36" s="419"/>
      <c r="AE36" s="419"/>
      <c r="AF36" s="419"/>
      <c r="AG36" s="419"/>
      <c r="AH36" s="420"/>
      <c r="AI36" s="409" t="str">
        <f>IF(プロジェクト完了報告書!AI73="","",プロジェクト完了報告書!AI73)</f>
        <v/>
      </c>
      <c r="AJ36" s="409"/>
      <c r="AK36" s="409"/>
      <c r="AL36" s="409"/>
      <c r="AM36" s="409"/>
      <c r="AN36" s="409"/>
      <c r="AO36" s="409"/>
      <c r="AP36" s="409"/>
      <c r="AQ36" s="409"/>
      <c r="AR36" s="409"/>
      <c r="AS36" s="409"/>
      <c r="AT36" s="409"/>
      <c r="AU36" s="409"/>
    </row>
    <row r="37" spans="2:47" s="46" customFormat="1" ht="16.899999999999999" customHeight="1">
      <c r="B37" s="419" t="s">
        <v>220</v>
      </c>
      <c r="C37" s="419"/>
      <c r="D37" s="419"/>
      <c r="E37" s="419"/>
      <c r="F37" s="419"/>
      <c r="G37" s="419"/>
      <c r="H37" s="419"/>
      <c r="I37" s="419"/>
      <c r="J37" s="419"/>
      <c r="K37" s="420"/>
      <c r="L37" s="400" t="str">
        <f>IF(プロジェクト完了報告書!L74="","",プロジェクト完了報告書!L74)</f>
        <v/>
      </c>
      <c r="M37" s="401"/>
      <c r="N37" s="401"/>
      <c r="O37" s="401"/>
      <c r="P37" s="401"/>
      <c r="Q37" s="401"/>
      <c r="R37" s="401"/>
      <c r="S37" s="401"/>
      <c r="T37" s="401"/>
      <c r="U37" s="401"/>
      <c r="V37" s="401"/>
      <c r="W37" s="401"/>
      <c r="X37" s="402"/>
      <c r="Y37" s="427"/>
      <c r="Z37" s="428"/>
      <c r="AA37" s="428"/>
      <c r="AB37" s="428"/>
      <c r="AC37" s="428"/>
      <c r="AD37" s="428"/>
      <c r="AE37" s="428"/>
      <c r="AF37" s="428"/>
      <c r="AG37" s="428"/>
      <c r="AH37" s="429"/>
      <c r="AI37" s="351"/>
      <c r="AJ37" s="351"/>
      <c r="AK37" s="351"/>
      <c r="AL37" s="351"/>
      <c r="AM37" s="351"/>
      <c r="AN37" s="351"/>
      <c r="AO37" s="351"/>
      <c r="AP37" s="351"/>
      <c r="AQ37" s="351"/>
      <c r="AR37" s="351"/>
      <c r="AS37" s="351"/>
      <c r="AT37" s="351"/>
      <c r="AU37" s="351"/>
    </row>
    <row r="38" spans="2:47" s="46" customFormat="1" ht="16.899999999999999" customHeight="1"/>
    <row r="39" spans="2:47" s="46" customFormat="1" ht="16.899999999999999" customHeight="1">
      <c r="B39" s="45" t="s">
        <v>196</v>
      </c>
    </row>
    <row r="40" spans="2:47" s="46" customFormat="1" ht="16.899999999999999" customHeight="1">
      <c r="B40" s="419" t="s">
        <v>221</v>
      </c>
      <c r="C40" s="419"/>
      <c r="D40" s="419"/>
      <c r="E40" s="419"/>
      <c r="F40" s="419"/>
      <c r="G40" s="419"/>
      <c r="H40" s="419"/>
      <c r="I40" s="419"/>
      <c r="J40" s="419"/>
      <c r="K40" s="420"/>
      <c r="L40" s="352" t="str">
        <f>IF(プロジェクト完了報告書!L77="","",プロジェクト完了報告書!L77)</f>
        <v/>
      </c>
      <c r="M40" s="352"/>
      <c r="N40" s="352"/>
      <c r="O40" s="352"/>
      <c r="P40" s="352"/>
      <c r="Q40" s="352"/>
      <c r="R40" s="352"/>
      <c r="S40" s="352"/>
      <c r="T40" s="352"/>
      <c r="U40" s="352"/>
      <c r="V40" s="352"/>
      <c r="W40" s="352"/>
      <c r="X40" s="352"/>
      <c r="Y40" s="419" t="s">
        <v>198</v>
      </c>
      <c r="Z40" s="419"/>
      <c r="AA40" s="419"/>
      <c r="AB40" s="419"/>
      <c r="AC40" s="419"/>
      <c r="AD40" s="419"/>
      <c r="AE40" s="419"/>
      <c r="AF40" s="419"/>
      <c r="AG40" s="419"/>
      <c r="AH40" s="420"/>
      <c r="AI40" s="352" t="str">
        <f>IF(プロジェクト完了報告書!AI77="","",プロジェクト完了報告書!AI77)</f>
        <v/>
      </c>
      <c r="AJ40" s="352"/>
      <c r="AK40" s="352"/>
      <c r="AL40" s="352"/>
      <c r="AM40" s="352"/>
      <c r="AN40" s="352"/>
      <c r="AO40" s="352"/>
      <c r="AP40" s="352"/>
      <c r="AQ40" s="352"/>
      <c r="AR40" s="352"/>
      <c r="AS40" s="352"/>
      <c r="AT40" s="352"/>
      <c r="AU40" s="352"/>
    </row>
    <row r="41" spans="2:47" s="46" customFormat="1" ht="16.899999999999999" customHeight="1">
      <c r="B41" s="51"/>
      <c r="C41" s="51"/>
      <c r="D41" s="51"/>
      <c r="E41" s="51"/>
      <c r="F41" s="51"/>
      <c r="G41" s="51"/>
      <c r="H41" s="51"/>
      <c r="I41" s="51"/>
      <c r="J41" s="51"/>
      <c r="K41" s="81"/>
      <c r="L41" s="82"/>
      <c r="M41" s="82"/>
      <c r="N41" s="82"/>
      <c r="O41" s="82"/>
      <c r="P41" s="82"/>
      <c r="Q41" s="82"/>
      <c r="R41" s="82"/>
      <c r="S41" s="82"/>
      <c r="T41" s="82"/>
      <c r="U41" s="82"/>
      <c r="V41" s="82"/>
      <c r="W41" s="82"/>
      <c r="X41" s="82"/>
      <c r="Y41" s="51"/>
      <c r="Z41" s="51"/>
      <c r="AA41" s="51"/>
      <c r="AB41" s="51"/>
      <c r="AC41" s="51"/>
      <c r="AD41" s="51"/>
      <c r="AE41" s="51"/>
      <c r="AF41" s="51"/>
      <c r="AG41" s="51"/>
      <c r="AH41" s="81"/>
      <c r="AI41" s="82"/>
      <c r="AJ41" s="82"/>
      <c r="AK41" s="82"/>
      <c r="AL41" s="82"/>
      <c r="AM41" s="82"/>
      <c r="AN41" s="82"/>
      <c r="AO41" s="82"/>
      <c r="AP41" s="82"/>
      <c r="AQ41" s="82"/>
      <c r="AR41" s="82"/>
      <c r="AS41" s="82"/>
      <c r="AT41" s="82"/>
      <c r="AU41" s="82"/>
    </row>
    <row r="42" spans="2:47" s="46" customFormat="1" ht="16.899999999999999" customHeight="1">
      <c r="B42" s="51" t="s">
        <v>222</v>
      </c>
      <c r="C42" s="51"/>
      <c r="D42" s="51"/>
      <c r="E42" s="51"/>
      <c r="F42" s="51"/>
      <c r="G42" s="51"/>
      <c r="H42" s="51"/>
      <c r="I42" s="51"/>
      <c r="J42" s="51"/>
      <c r="K42" s="81"/>
      <c r="L42" s="83"/>
      <c r="M42" s="83"/>
      <c r="N42" s="83"/>
      <c r="O42" s="83"/>
      <c r="P42" s="83"/>
      <c r="Q42" s="83"/>
      <c r="R42" s="83"/>
      <c r="S42" s="83"/>
      <c r="T42" s="83"/>
      <c r="U42" s="83"/>
      <c r="V42" s="83"/>
      <c r="W42" s="83"/>
      <c r="X42" s="83"/>
      <c r="Y42" s="51"/>
      <c r="Z42" s="51"/>
      <c r="AA42" s="51"/>
      <c r="AB42" s="51"/>
      <c r="AC42" s="51"/>
      <c r="AD42" s="51"/>
      <c r="AE42" s="51"/>
      <c r="AF42" s="51"/>
      <c r="AG42" s="51"/>
      <c r="AH42" s="81"/>
      <c r="AI42" s="83"/>
      <c r="AJ42" s="83"/>
      <c r="AK42" s="83"/>
      <c r="AL42" s="83"/>
      <c r="AM42" s="83"/>
      <c r="AN42" s="83"/>
      <c r="AO42" s="83"/>
      <c r="AP42" s="83"/>
      <c r="AQ42" s="83"/>
      <c r="AR42" s="83"/>
      <c r="AS42" s="83"/>
      <c r="AT42" s="83"/>
      <c r="AU42" s="83"/>
    </row>
    <row r="43" spans="2:47" s="46" customFormat="1" ht="16.899999999999999" customHeight="1">
      <c r="B43" s="389" t="s">
        <v>223</v>
      </c>
      <c r="C43" s="389"/>
      <c r="D43" s="389"/>
      <c r="E43" s="389"/>
      <c r="F43" s="389"/>
      <c r="G43" s="389"/>
      <c r="H43" s="389"/>
      <c r="I43" s="389"/>
      <c r="J43" s="389"/>
      <c r="K43" s="389"/>
      <c r="L43" s="389"/>
      <c r="M43" s="389"/>
      <c r="N43" s="389"/>
      <c r="O43" s="389"/>
      <c r="P43" s="389"/>
      <c r="Q43" s="389"/>
      <c r="R43" s="389"/>
      <c r="S43" s="389"/>
      <c r="T43" s="389"/>
      <c r="U43" s="389"/>
      <c r="V43" s="389"/>
      <c r="W43" s="389"/>
      <c r="X43" s="389"/>
      <c r="Y43" s="389" t="s">
        <v>224</v>
      </c>
      <c r="Z43" s="389"/>
      <c r="AA43" s="389"/>
      <c r="AB43" s="389"/>
      <c r="AC43" s="389"/>
      <c r="AD43" s="389"/>
      <c r="AE43" s="389"/>
      <c r="AF43" s="389"/>
      <c r="AG43" s="389"/>
      <c r="AH43" s="389"/>
      <c r="AI43" s="389"/>
      <c r="AJ43" s="389"/>
      <c r="AK43" s="389"/>
      <c r="AL43" s="389"/>
      <c r="AM43" s="389"/>
      <c r="AN43" s="389"/>
      <c r="AO43" s="389"/>
      <c r="AP43" s="389"/>
      <c r="AQ43" s="389"/>
      <c r="AR43" s="389"/>
      <c r="AS43" s="389"/>
      <c r="AT43" s="389"/>
      <c r="AU43" s="389"/>
    </row>
    <row r="44" spans="2:47" s="46" customFormat="1" ht="16.899999999999999" customHeight="1">
      <c r="B44" s="383" t="s">
        <v>225</v>
      </c>
      <c r="C44" s="384"/>
      <c r="D44" s="384"/>
      <c r="E44" s="384"/>
      <c r="F44" s="385"/>
      <c r="G44" s="397" t="s">
        <v>226</v>
      </c>
      <c r="H44" s="397"/>
      <c r="I44" s="397"/>
      <c r="J44" s="397"/>
      <c r="K44" s="397"/>
      <c r="L44" s="390">
        <v>539.1</v>
      </c>
      <c r="M44" s="391"/>
      <c r="N44" s="391"/>
      <c r="O44" s="391"/>
      <c r="P44" s="391"/>
      <c r="Q44" s="391"/>
      <c r="R44" s="49" t="s">
        <v>227</v>
      </c>
      <c r="S44" s="394">
        <v>2393.6999999999998</v>
      </c>
      <c r="T44" s="395"/>
      <c r="U44" s="395"/>
      <c r="V44" s="395"/>
      <c r="W44" s="395"/>
      <c r="X44" s="395"/>
      <c r="Y44" s="383" t="s">
        <v>225</v>
      </c>
      <c r="Z44" s="384"/>
      <c r="AA44" s="384"/>
      <c r="AB44" s="384"/>
      <c r="AC44" s="385"/>
      <c r="AD44" s="397" t="s">
        <v>226</v>
      </c>
      <c r="AE44" s="397"/>
      <c r="AF44" s="397"/>
      <c r="AG44" s="397"/>
      <c r="AH44" s="397"/>
      <c r="AI44" s="390">
        <v>107.9</v>
      </c>
      <c r="AJ44" s="391"/>
      <c r="AK44" s="391"/>
      <c r="AL44" s="391"/>
      <c r="AM44" s="391"/>
      <c r="AN44" s="391"/>
      <c r="AO44" s="49" t="s">
        <v>227</v>
      </c>
      <c r="AP44" s="394">
        <v>659.1</v>
      </c>
      <c r="AQ44" s="395"/>
      <c r="AR44" s="395"/>
      <c r="AS44" s="395"/>
      <c r="AT44" s="395"/>
      <c r="AU44" s="395"/>
    </row>
    <row r="45" spans="2:47" s="46" customFormat="1" ht="16.899999999999999" customHeight="1">
      <c r="B45" s="386"/>
      <c r="C45" s="387"/>
      <c r="D45" s="387"/>
      <c r="E45" s="387"/>
      <c r="F45" s="388"/>
      <c r="G45" s="396" t="s">
        <v>228</v>
      </c>
      <c r="H45" s="396"/>
      <c r="I45" s="396"/>
      <c r="J45" s="396"/>
      <c r="K45" s="396"/>
      <c r="L45" s="381">
        <v>950.1</v>
      </c>
      <c r="M45" s="382"/>
      <c r="N45" s="382"/>
      <c r="O45" s="382"/>
      <c r="P45" s="382"/>
      <c r="Q45" s="382"/>
      <c r="R45" s="50" t="s">
        <v>227</v>
      </c>
      <c r="S45" s="392">
        <v>8914.1</v>
      </c>
      <c r="T45" s="393"/>
      <c r="U45" s="393"/>
      <c r="V45" s="393"/>
      <c r="W45" s="393"/>
      <c r="X45" s="393"/>
      <c r="Y45" s="386"/>
      <c r="Z45" s="387"/>
      <c r="AA45" s="387"/>
      <c r="AB45" s="387"/>
      <c r="AC45" s="388"/>
      <c r="AD45" s="396" t="s">
        <v>228</v>
      </c>
      <c r="AE45" s="396"/>
      <c r="AF45" s="396"/>
      <c r="AG45" s="396"/>
      <c r="AH45" s="396"/>
      <c r="AI45" s="381">
        <v>511.1</v>
      </c>
      <c r="AJ45" s="382"/>
      <c r="AK45" s="382"/>
      <c r="AL45" s="382"/>
      <c r="AM45" s="382"/>
      <c r="AN45" s="382"/>
      <c r="AO45" s="50" t="s">
        <v>227</v>
      </c>
      <c r="AP45" s="392">
        <v>2058.1</v>
      </c>
      <c r="AQ45" s="393"/>
      <c r="AR45" s="393"/>
      <c r="AS45" s="393"/>
      <c r="AT45" s="393"/>
      <c r="AU45" s="393"/>
    </row>
    <row r="46" spans="2:47" s="46" customFormat="1" ht="16.899999999999999" customHeight="1">
      <c r="B46" s="383" t="s">
        <v>229</v>
      </c>
      <c r="C46" s="384"/>
      <c r="D46" s="384"/>
      <c r="E46" s="384"/>
      <c r="F46" s="385"/>
      <c r="G46" s="397" t="s">
        <v>226</v>
      </c>
      <c r="H46" s="397"/>
      <c r="I46" s="397"/>
      <c r="J46" s="397"/>
      <c r="K46" s="397"/>
      <c r="L46" s="390">
        <v>36.6</v>
      </c>
      <c r="M46" s="391"/>
      <c r="N46" s="391"/>
      <c r="O46" s="391"/>
      <c r="P46" s="391"/>
      <c r="Q46" s="391"/>
      <c r="R46" s="49" t="s">
        <v>227</v>
      </c>
      <c r="S46" s="394">
        <v>159.69999999999999</v>
      </c>
      <c r="T46" s="395"/>
      <c r="U46" s="395"/>
      <c r="V46" s="395"/>
      <c r="W46" s="395"/>
      <c r="X46" s="395"/>
      <c r="Y46" s="383" t="s">
        <v>229</v>
      </c>
      <c r="Z46" s="384"/>
      <c r="AA46" s="384"/>
      <c r="AB46" s="384"/>
      <c r="AC46" s="385"/>
      <c r="AD46" s="397" t="s">
        <v>226</v>
      </c>
      <c r="AE46" s="397"/>
      <c r="AF46" s="397"/>
      <c r="AG46" s="397"/>
      <c r="AH46" s="397"/>
      <c r="AI46" s="390">
        <v>14.8</v>
      </c>
      <c r="AJ46" s="391"/>
      <c r="AK46" s="391"/>
      <c r="AL46" s="391"/>
      <c r="AM46" s="391"/>
      <c r="AN46" s="391"/>
      <c r="AO46" s="49" t="s">
        <v>227</v>
      </c>
      <c r="AP46" s="394">
        <v>104.7</v>
      </c>
      <c r="AQ46" s="395"/>
      <c r="AR46" s="395"/>
      <c r="AS46" s="395"/>
      <c r="AT46" s="395"/>
      <c r="AU46" s="395"/>
    </row>
    <row r="47" spans="2:47" s="46" customFormat="1" ht="16.899999999999999" customHeight="1">
      <c r="B47" s="386"/>
      <c r="C47" s="387"/>
      <c r="D47" s="387"/>
      <c r="E47" s="387"/>
      <c r="F47" s="388"/>
      <c r="G47" s="396" t="s">
        <v>228</v>
      </c>
      <c r="H47" s="396"/>
      <c r="I47" s="396"/>
      <c r="J47" s="396"/>
      <c r="K47" s="396"/>
      <c r="L47" s="381">
        <v>36.6</v>
      </c>
      <c r="M47" s="382"/>
      <c r="N47" s="382"/>
      <c r="O47" s="382"/>
      <c r="P47" s="382"/>
      <c r="Q47" s="382"/>
      <c r="R47" s="50" t="s">
        <v>227</v>
      </c>
      <c r="S47" s="392">
        <v>137.80000000000001</v>
      </c>
      <c r="T47" s="393"/>
      <c r="U47" s="393"/>
      <c r="V47" s="393"/>
      <c r="W47" s="393"/>
      <c r="X47" s="393"/>
      <c r="Y47" s="386"/>
      <c r="Z47" s="387"/>
      <c r="AA47" s="387"/>
      <c r="AB47" s="387"/>
      <c r="AC47" s="388"/>
      <c r="AD47" s="396" t="s">
        <v>228</v>
      </c>
      <c r="AE47" s="396"/>
      <c r="AF47" s="396"/>
      <c r="AG47" s="396"/>
      <c r="AH47" s="396"/>
      <c r="AI47" s="381">
        <v>14.7</v>
      </c>
      <c r="AJ47" s="382"/>
      <c r="AK47" s="382"/>
      <c r="AL47" s="382"/>
      <c r="AM47" s="382"/>
      <c r="AN47" s="382"/>
      <c r="AO47" s="50" t="s">
        <v>227</v>
      </c>
      <c r="AP47" s="392">
        <v>45.2</v>
      </c>
      <c r="AQ47" s="393"/>
      <c r="AR47" s="393"/>
      <c r="AS47" s="393"/>
      <c r="AT47" s="393"/>
      <c r="AU47" s="393"/>
    </row>
    <row r="48" spans="2:47" s="46" customFormat="1" ht="16.899999999999999" customHeight="1">
      <c r="B48" s="84"/>
      <c r="C48" s="84"/>
      <c r="D48" s="84"/>
      <c r="E48" s="84"/>
      <c r="F48" s="84"/>
      <c r="G48" s="84"/>
      <c r="H48" s="84"/>
      <c r="I48" s="84"/>
      <c r="J48" s="84"/>
      <c r="K48" s="85"/>
      <c r="L48" s="83"/>
      <c r="M48" s="83"/>
      <c r="N48" s="83"/>
      <c r="O48" s="83"/>
      <c r="P48" s="83"/>
      <c r="Q48" s="83"/>
      <c r="R48" s="83"/>
      <c r="S48" s="83"/>
      <c r="T48" s="83"/>
      <c r="U48" s="83"/>
      <c r="V48" s="83"/>
      <c r="W48" s="83"/>
      <c r="X48" s="83"/>
      <c r="Y48" s="84"/>
      <c r="Z48" s="84"/>
      <c r="AA48" s="84"/>
      <c r="AB48" s="84"/>
      <c r="AC48" s="84"/>
      <c r="AD48" s="84"/>
      <c r="AE48" s="84"/>
      <c r="AF48" s="84"/>
      <c r="AG48" s="84"/>
      <c r="AH48" s="85"/>
      <c r="AI48" s="83"/>
      <c r="AJ48" s="83"/>
      <c r="AK48" s="83"/>
      <c r="AL48" s="83"/>
      <c r="AM48" s="83"/>
      <c r="AN48" s="83"/>
      <c r="AO48" s="83"/>
      <c r="AP48" s="83"/>
      <c r="AQ48" s="83"/>
      <c r="AR48" s="83"/>
      <c r="AS48" s="83"/>
      <c r="AT48" s="83"/>
      <c r="AU48" s="83"/>
    </row>
    <row r="49" spans="2:47" s="46" customFormat="1" ht="16.899999999999999" customHeight="1">
      <c r="B49" s="45" t="s">
        <v>230</v>
      </c>
      <c r="C49" s="84"/>
      <c r="D49" s="84"/>
    </row>
    <row r="50" spans="2:47" s="46" customFormat="1" ht="16.899999999999999" customHeight="1">
      <c r="B50" s="379" t="s">
        <v>231</v>
      </c>
      <c r="C50" s="380"/>
      <c r="D50" s="380"/>
      <c r="E50" s="380"/>
      <c r="F50" s="380"/>
      <c r="G50" s="377" t="s">
        <v>232</v>
      </c>
      <c r="H50" s="377"/>
      <c r="I50" s="377"/>
      <c r="J50" s="377"/>
      <c r="K50" s="377" t="s">
        <v>233</v>
      </c>
      <c r="L50" s="377"/>
      <c r="M50" s="377"/>
      <c r="N50" s="377"/>
      <c r="O50" s="377" t="s">
        <v>234</v>
      </c>
      <c r="P50" s="377"/>
      <c r="Q50" s="377"/>
      <c r="R50" s="377"/>
      <c r="S50" s="377" t="s">
        <v>235</v>
      </c>
      <c r="T50" s="377"/>
      <c r="U50" s="377"/>
      <c r="V50" s="377"/>
      <c r="W50" s="377" t="s">
        <v>236</v>
      </c>
      <c r="X50" s="377"/>
      <c r="Y50" s="377"/>
      <c r="Z50" s="377"/>
      <c r="AA50" s="377" t="s">
        <v>237</v>
      </c>
      <c r="AB50" s="377"/>
      <c r="AC50" s="377"/>
      <c r="AD50" s="377"/>
      <c r="AE50" s="377" t="s">
        <v>238</v>
      </c>
      <c r="AF50" s="377"/>
      <c r="AG50" s="377"/>
      <c r="AH50" s="377"/>
      <c r="AI50" s="377" t="s">
        <v>239</v>
      </c>
      <c r="AJ50" s="377"/>
      <c r="AK50" s="377"/>
      <c r="AL50" s="378"/>
      <c r="AM50" s="179" t="s">
        <v>240</v>
      </c>
      <c r="AN50" s="377"/>
      <c r="AO50" s="377"/>
      <c r="AP50" s="377"/>
      <c r="AQ50" s="377" t="s">
        <v>241</v>
      </c>
      <c r="AR50" s="377"/>
      <c r="AS50" s="377"/>
      <c r="AT50" s="377"/>
      <c r="AU50" s="377"/>
    </row>
    <row r="51" spans="2:47" s="46" customFormat="1" ht="16.899999999999999" customHeight="1">
      <c r="B51" s="380"/>
      <c r="C51" s="380"/>
      <c r="D51" s="380"/>
      <c r="E51" s="380"/>
      <c r="F51" s="380"/>
      <c r="G51" s="377"/>
      <c r="H51" s="377"/>
      <c r="I51" s="377"/>
      <c r="J51" s="377"/>
      <c r="K51" s="377"/>
      <c r="L51" s="377"/>
      <c r="M51" s="377"/>
      <c r="N51" s="377"/>
      <c r="O51" s="377"/>
      <c r="P51" s="377"/>
      <c r="Q51" s="377"/>
      <c r="R51" s="377"/>
      <c r="S51" s="377"/>
      <c r="T51" s="377"/>
      <c r="U51" s="377"/>
      <c r="V51" s="377"/>
      <c r="W51" s="377"/>
      <c r="X51" s="377"/>
      <c r="Y51" s="377"/>
      <c r="Z51" s="377"/>
      <c r="AA51" s="377"/>
      <c r="AB51" s="377"/>
      <c r="AC51" s="377"/>
      <c r="AD51" s="377"/>
      <c r="AE51" s="377"/>
      <c r="AF51" s="377"/>
      <c r="AG51" s="377"/>
      <c r="AH51" s="377"/>
      <c r="AI51" s="377"/>
      <c r="AJ51" s="377"/>
      <c r="AK51" s="377"/>
      <c r="AL51" s="378"/>
      <c r="AM51" s="179"/>
      <c r="AN51" s="377"/>
      <c r="AO51" s="377"/>
      <c r="AP51" s="377"/>
      <c r="AQ51" s="377"/>
      <c r="AR51" s="377"/>
      <c r="AS51" s="377"/>
      <c r="AT51" s="377"/>
      <c r="AU51" s="377"/>
    </row>
    <row r="52" spans="2:47" s="46" customFormat="1" ht="16.899999999999999" customHeight="1">
      <c r="B52" s="376" t="s">
        <v>232</v>
      </c>
      <c r="C52" s="376"/>
      <c r="D52" s="376"/>
      <c r="E52" s="376"/>
      <c r="F52" s="376"/>
      <c r="G52" s="364"/>
      <c r="H52" s="365"/>
      <c r="I52" s="365"/>
      <c r="J52" s="366"/>
      <c r="K52" s="261"/>
      <c r="L52" s="262"/>
      <c r="M52" s="262"/>
      <c r="N52" s="263"/>
      <c r="O52" s="261"/>
      <c r="P52" s="262"/>
      <c r="Q52" s="262"/>
      <c r="R52" s="263"/>
      <c r="S52" s="261"/>
      <c r="T52" s="262"/>
      <c r="U52" s="262"/>
      <c r="V52" s="263"/>
      <c r="W52" s="261"/>
      <c r="X52" s="262"/>
      <c r="Y52" s="262"/>
      <c r="Z52" s="263"/>
      <c r="AA52" s="261"/>
      <c r="AB52" s="262"/>
      <c r="AC52" s="262"/>
      <c r="AD52" s="263"/>
      <c r="AE52" s="261"/>
      <c r="AF52" s="262"/>
      <c r="AG52" s="262"/>
      <c r="AH52" s="263"/>
      <c r="AI52" s="261"/>
      <c r="AJ52" s="262"/>
      <c r="AK52" s="262"/>
      <c r="AL52" s="372"/>
      <c r="AM52" s="262">
        <f>SUM(G52:AL52)</f>
        <v>0</v>
      </c>
      <c r="AN52" s="262"/>
      <c r="AO52" s="262"/>
      <c r="AP52" s="263"/>
      <c r="AQ52" s="356" t="e">
        <f>AM52/G60</f>
        <v>#DIV/0!</v>
      </c>
      <c r="AR52" s="356"/>
      <c r="AS52" s="356"/>
      <c r="AT52" s="356"/>
      <c r="AU52" s="356"/>
    </row>
    <row r="53" spans="2:47" s="46" customFormat="1" ht="16.899999999999999" customHeight="1">
      <c r="B53" s="376" t="s">
        <v>242</v>
      </c>
      <c r="C53" s="376"/>
      <c r="D53" s="376"/>
      <c r="E53" s="376"/>
      <c r="F53" s="376"/>
      <c r="G53" s="364"/>
      <c r="H53" s="365"/>
      <c r="I53" s="365"/>
      <c r="J53" s="366"/>
      <c r="K53" s="364"/>
      <c r="L53" s="365"/>
      <c r="M53" s="365"/>
      <c r="N53" s="366"/>
      <c r="O53" s="261"/>
      <c r="P53" s="262"/>
      <c r="Q53" s="262"/>
      <c r="R53" s="263"/>
      <c r="S53" s="261"/>
      <c r="T53" s="262"/>
      <c r="U53" s="262"/>
      <c r="V53" s="263"/>
      <c r="W53" s="261"/>
      <c r="X53" s="262"/>
      <c r="Y53" s="262"/>
      <c r="Z53" s="263"/>
      <c r="AA53" s="261"/>
      <c r="AB53" s="262"/>
      <c r="AC53" s="262"/>
      <c r="AD53" s="263"/>
      <c r="AE53" s="261"/>
      <c r="AF53" s="262"/>
      <c r="AG53" s="262"/>
      <c r="AH53" s="263"/>
      <c r="AI53" s="261"/>
      <c r="AJ53" s="262"/>
      <c r="AK53" s="262"/>
      <c r="AL53" s="372"/>
      <c r="AM53" s="262">
        <f t="shared" ref="AM53:AM59" si="0">SUM(G53:AL53)</f>
        <v>0</v>
      </c>
      <c r="AN53" s="262"/>
      <c r="AO53" s="262"/>
      <c r="AP53" s="263"/>
      <c r="AQ53" s="356" t="e">
        <f>AM53/SUM(G53:N59)</f>
        <v>#DIV/0!</v>
      </c>
      <c r="AR53" s="356"/>
      <c r="AS53" s="356"/>
      <c r="AT53" s="356"/>
      <c r="AU53" s="356"/>
    </row>
    <row r="54" spans="2:47" s="46" customFormat="1" ht="16.899999999999999" customHeight="1">
      <c r="B54" s="376" t="s">
        <v>243</v>
      </c>
      <c r="C54" s="376"/>
      <c r="D54" s="376"/>
      <c r="E54" s="376"/>
      <c r="F54" s="376"/>
      <c r="G54" s="364"/>
      <c r="H54" s="365"/>
      <c r="I54" s="365"/>
      <c r="J54" s="366"/>
      <c r="K54" s="364"/>
      <c r="L54" s="365"/>
      <c r="M54" s="365"/>
      <c r="N54" s="366"/>
      <c r="O54" s="364"/>
      <c r="P54" s="365"/>
      <c r="Q54" s="365"/>
      <c r="R54" s="366"/>
      <c r="S54" s="261"/>
      <c r="T54" s="262"/>
      <c r="U54" s="262"/>
      <c r="V54" s="263"/>
      <c r="W54" s="261"/>
      <c r="X54" s="262"/>
      <c r="Y54" s="262"/>
      <c r="Z54" s="263"/>
      <c r="AA54" s="261"/>
      <c r="AB54" s="262"/>
      <c r="AC54" s="262"/>
      <c r="AD54" s="263"/>
      <c r="AE54" s="261"/>
      <c r="AF54" s="262"/>
      <c r="AG54" s="262"/>
      <c r="AH54" s="263"/>
      <c r="AI54" s="261"/>
      <c r="AJ54" s="262"/>
      <c r="AK54" s="262"/>
      <c r="AL54" s="372"/>
      <c r="AM54" s="262">
        <f t="shared" si="0"/>
        <v>0</v>
      </c>
      <c r="AN54" s="262"/>
      <c r="AO54" s="262"/>
      <c r="AP54" s="263"/>
      <c r="AQ54" s="356" t="e">
        <f>AM54/SUM(G54:R59)</f>
        <v>#DIV/0!</v>
      </c>
      <c r="AR54" s="356"/>
      <c r="AS54" s="356"/>
      <c r="AT54" s="356"/>
      <c r="AU54" s="356"/>
    </row>
    <row r="55" spans="2:47" s="46" customFormat="1" ht="16.899999999999999" customHeight="1">
      <c r="B55" s="376" t="s">
        <v>235</v>
      </c>
      <c r="C55" s="376"/>
      <c r="D55" s="376"/>
      <c r="E55" s="376"/>
      <c r="F55" s="376"/>
      <c r="G55" s="364"/>
      <c r="H55" s="365"/>
      <c r="I55" s="365"/>
      <c r="J55" s="366"/>
      <c r="K55" s="364"/>
      <c r="L55" s="365"/>
      <c r="M55" s="365"/>
      <c r="N55" s="366"/>
      <c r="O55" s="364"/>
      <c r="P55" s="365"/>
      <c r="Q55" s="365"/>
      <c r="R55" s="366"/>
      <c r="S55" s="364"/>
      <c r="T55" s="365"/>
      <c r="U55" s="365"/>
      <c r="V55" s="366"/>
      <c r="W55" s="261"/>
      <c r="X55" s="262"/>
      <c r="Y55" s="262"/>
      <c r="Z55" s="263"/>
      <c r="AA55" s="261"/>
      <c r="AB55" s="262"/>
      <c r="AC55" s="262"/>
      <c r="AD55" s="263"/>
      <c r="AE55" s="261"/>
      <c r="AF55" s="262"/>
      <c r="AG55" s="262"/>
      <c r="AH55" s="263"/>
      <c r="AI55" s="261"/>
      <c r="AJ55" s="262"/>
      <c r="AK55" s="262"/>
      <c r="AL55" s="372"/>
      <c r="AM55" s="262">
        <f t="shared" si="0"/>
        <v>0</v>
      </c>
      <c r="AN55" s="262"/>
      <c r="AO55" s="262"/>
      <c r="AP55" s="263"/>
      <c r="AQ55" s="356" t="e">
        <f>AM55/SUM(G55:V59)</f>
        <v>#DIV/0!</v>
      </c>
      <c r="AR55" s="356"/>
      <c r="AS55" s="356"/>
      <c r="AT55" s="356"/>
      <c r="AU55" s="356"/>
    </row>
    <row r="56" spans="2:47" s="46" customFormat="1" ht="16.899999999999999" customHeight="1">
      <c r="B56" s="376" t="s">
        <v>236</v>
      </c>
      <c r="C56" s="376"/>
      <c r="D56" s="376"/>
      <c r="E56" s="376"/>
      <c r="F56" s="376"/>
      <c r="G56" s="364"/>
      <c r="H56" s="365"/>
      <c r="I56" s="365"/>
      <c r="J56" s="366"/>
      <c r="K56" s="364"/>
      <c r="L56" s="365"/>
      <c r="M56" s="365"/>
      <c r="N56" s="366"/>
      <c r="O56" s="364"/>
      <c r="P56" s="365"/>
      <c r="Q56" s="365"/>
      <c r="R56" s="366"/>
      <c r="S56" s="364"/>
      <c r="T56" s="365"/>
      <c r="U56" s="365"/>
      <c r="V56" s="366"/>
      <c r="W56" s="364"/>
      <c r="X56" s="365"/>
      <c r="Y56" s="365"/>
      <c r="Z56" s="366"/>
      <c r="AA56" s="261"/>
      <c r="AB56" s="262"/>
      <c r="AC56" s="262"/>
      <c r="AD56" s="263"/>
      <c r="AE56" s="261"/>
      <c r="AF56" s="262"/>
      <c r="AG56" s="262"/>
      <c r="AH56" s="263"/>
      <c r="AI56" s="261"/>
      <c r="AJ56" s="262"/>
      <c r="AK56" s="262"/>
      <c r="AL56" s="372"/>
      <c r="AM56" s="262">
        <f t="shared" si="0"/>
        <v>0</v>
      </c>
      <c r="AN56" s="262"/>
      <c r="AO56" s="262"/>
      <c r="AP56" s="263"/>
      <c r="AQ56" s="356" t="e">
        <f>AM56/SUM(G56:Z59)</f>
        <v>#DIV/0!</v>
      </c>
      <c r="AR56" s="356"/>
      <c r="AS56" s="356"/>
      <c r="AT56" s="356"/>
      <c r="AU56" s="356"/>
    </row>
    <row r="57" spans="2:47" s="46" customFormat="1" ht="16.899999999999999" customHeight="1">
      <c r="B57" s="376" t="s">
        <v>237</v>
      </c>
      <c r="C57" s="376"/>
      <c r="D57" s="376"/>
      <c r="E57" s="376"/>
      <c r="F57" s="376"/>
      <c r="G57" s="364"/>
      <c r="H57" s="365"/>
      <c r="I57" s="365"/>
      <c r="J57" s="366"/>
      <c r="K57" s="364"/>
      <c r="L57" s="365"/>
      <c r="M57" s="365"/>
      <c r="N57" s="366"/>
      <c r="O57" s="364"/>
      <c r="P57" s="365"/>
      <c r="Q57" s="365"/>
      <c r="R57" s="366"/>
      <c r="S57" s="364"/>
      <c r="T57" s="365"/>
      <c r="U57" s="365"/>
      <c r="V57" s="366"/>
      <c r="W57" s="364"/>
      <c r="X57" s="365"/>
      <c r="Y57" s="365"/>
      <c r="Z57" s="366"/>
      <c r="AA57" s="364"/>
      <c r="AB57" s="365"/>
      <c r="AC57" s="365"/>
      <c r="AD57" s="366"/>
      <c r="AE57" s="261"/>
      <c r="AF57" s="262"/>
      <c r="AG57" s="262"/>
      <c r="AH57" s="263"/>
      <c r="AI57" s="261"/>
      <c r="AJ57" s="262"/>
      <c r="AK57" s="262"/>
      <c r="AL57" s="372"/>
      <c r="AM57" s="262">
        <f t="shared" si="0"/>
        <v>0</v>
      </c>
      <c r="AN57" s="262"/>
      <c r="AO57" s="262"/>
      <c r="AP57" s="263"/>
      <c r="AQ57" s="356" t="e">
        <f>AM57/SUM(G57:AD59)</f>
        <v>#DIV/0!</v>
      </c>
      <c r="AR57" s="356"/>
      <c r="AS57" s="356"/>
      <c r="AT57" s="356"/>
      <c r="AU57" s="356"/>
    </row>
    <row r="58" spans="2:47" s="46" customFormat="1" ht="16.899999999999999" customHeight="1">
      <c r="B58" s="376" t="s">
        <v>238</v>
      </c>
      <c r="C58" s="376"/>
      <c r="D58" s="376"/>
      <c r="E58" s="376"/>
      <c r="F58" s="376"/>
      <c r="G58" s="364"/>
      <c r="H58" s="365"/>
      <c r="I58" s="365"/>
      <c r="J58" s="366"/>
      <c r="K58" s="364"/>
      <c r="L58" s="365"/>
      <c r="M58" s="365"/>
      <c r="N58" s="366"/>
      <c r="O58" s="364"/>
      <c r="P58" s="365"/>
      <c r="Q58" s="365"/>
      <c r="R58" s="366"/>
      <c r="S58" s="364"/>
      <c r="T58" s="365"/>
      <c r="U58" s="365"/>
      <c r="V58" s="366"/>
      <c r="W58" s="364"/>
      <c r="X58" s="365"/>
      <c r="Y58" s="365"/>
      <c r="Z58" s="366"/>
      <c r="AA58" s="364"/>
      <c r="AB58" s="365"/>
      <c r="AC58" s="365"/>
      <c r="AD58" s="366"/>
      <c r="AE58" s="364"/>
      <c r="AF58" s="365"/>
      <c r="AG58" s="365"/>
      <c r="AH58" s="366"/>
      <c r="AI58" s="261"/>
      <c r="AJ58" s="262"/>
      <c r="AK58" s="262"/>
      <c r="AL58" s="372"/>
      <c r="AM58" s="262">
        <f t="shared" si="0"/>
        <v>0</v>
      </c>
      <c r="AN58" s="262"/>
      <c r="AO58" s="262"/>
      <c r="AP58" s="263"/>
      <c r="AQ58" s="356" t="e">
        <f>AM58/SUM(G58:AH59)</f>
        <v>#DIV/0!</v>
      </c>
      <c r="AR58" s="356"/>
      <c r="AS58" s="356"/>
      <c r="AT58" s="356"/>
      <c r="AU58" s="356"/>
    </row>
    <row r="59" spans="2:47" s="46" customFormat="1" ht="16.899999999999999" customHeight="1" thickBot="1">
      <c r="B59" s="374" t="s">
        <v>244</v>
      </c>
      <c r="C59" s="374"/>
      <c r="D59" s="374"/>
      <c r="E59" s="374"/>
      <c r="F59" s="374"/>
      <c r="G59" s="367"/>
      <c r="H59" s="368"/>
      <c r="I59" s="368"/>
      <c r="J59" s="369"/>
      <c r="K59" s="367"/>
      <c r="L59" s="368"/>
      <c r="M59" s="368"/>
      <c r="N59" s="369"/>
      <c r="O59" s="367"/>
      <c r="P59" s="368"/>
      <c r="Q59" s="368"/>
      <c r="R59" s="369"/>
      <c r="S59" s="367"/>
      <c r="T59" s="368"/>
      <c r="U59" s="368"/>
      <c r="V59" s="369"/>
      <c r="W59" s="367"/>
      <c r="X59" s="368"/>
      <c r="Y59" s="368"/>
      <c r="Z59" s="369"/>
      <c r="AA59" s="367"/>
      <c r="AB59" s="368"/>
      <c r="AC59" s="368"/>
      <c r="AD59" s="369"/>
      <c r="AE59" s="367"/>
      <c r="AF59" s="368"/>
      <c r="AG59" s="368"/>
      <c r="AH59" s="369"/>
      <c r="AI59" s="367"/>
      <c r="AJ59" s="368"/>
      <c r="AK59" s="368"/>
      <c r="AL59" s="373"/>
      <c r="AM59" s="370">
        <f t="shared" si="0"/>
        <v>0</v>
      </c>
      <c r="AN59" s="370"/>
      <c r="AO59" s="370"/>
      <c r="AP59" s="371"/>
      <c r="AQ59" s="357" t="e">
        <f>AM59/SUM(G59:AL59)</f>
        <v>#DIV/0!</v>
      </c>
      <c r="AR59" s="357"/>
      <c r="AS59" s="357"/>
      <c r="AT59" s="357"/>
      <c r="AU59" s="357"/>
    </row>
    <row r="60" spans="2:47" s="46" customFormat="1" ht="16.899999999999999" customHeight="1" thickTop="1">
      <c r="B60" s="375" t="s">
        <v>240</v>
      </c>
      <c r="C60" s="375"/>
      <c r="D60" s="375"/>
      <c r="E60" s="375"/>
      <c r="F60" s="375"/>
      <c r="G60" s="358">
        <f>SUM(G52:J59)</f>
        <v>0</v>
      </c>
      <c r="H60" s="353"/>
      <c r="I60" s="353"/>
      <c r="J60" s="354"/>
      <c r="K60" s="358">
        <f t="shared" ref="K60" si="1">SUM(K52:N59)</f>
        <v>0</v>
      </c>
      <c r="L60" s="353"/>
      <c r="M60" s="353"/>
      <c r="N60" s="354"/>
      <c r="O60" s="358">
        <f t="shared" ref="O60" si="2">SUM(O52:R59)</f>
        <v>0</v>
      </c>
      <c r="P60" s="353"/>
      <c r="Q60" s="353"/>
      <c r="R60" s="354"/>
      <c r="S60" s="358">
        <f t="shared" ref="S60" si="3">SUM(S52:V59)</f>
        <v>0</v>
      </c>
      <c r="T60" s="353"/>
      <c r="U60" s="353"/>
      <c r="V60" s="354"/>
      <c r="W60" s="358">
        <f t="shared" ref="W60" si="4">SUM(W52:Z59)</f>
        <v>0</v>
      </c>
      <c r="X60" s="353"/>
      <c r="Y60" s="353"/>
      <c r="Z60" s="354"/>
      <c r="AA60" s="358">
        <f t="shared" ref="AA60" si="5">SUM(AA52:AD59)</f>
        <v>0</v>
      </c>
      <c r="AB60" s="353"/>
      <c r="AC60" s="353"/>
      <c r="AD60" s="354"/>
      <c r="AE60" s="358">
        <f t="shared" ref="AE60" si="6">SUM(AE52:AH59)</f>
        <v>0</v>
      </c>
      <c r="AF60" s="353"/>
      <c r="AG60" s="353"/>
      <c r="AH60" s="354"/>
      <c r="AI60" s="358">
        <f t="shared" ref="AI60" si="7">SUM(AI52:AL59)</f>
        <v>0</v>
      </c>
      <c r="AJ60" s="353"/>
      <c r="AK60" s="353"/>
      <c r="AL60" s="359"/>
      <c r="AM60" s="353">
        <f>SUM(AM52:AP59)</f>
        <v>0</v>
      </c>
      <c r="AN60" s="353"/>
      <c r="AO60" s="353"/>
      <c r="AP60" s="354"/>
      <c r="AQ60" s="361"/>
      <c r="AR60" s="361"/>
      <c r="AS60" s="361"/>
      <c r="AT60" s="361"/>
      <c r="AU60" s="361"/>
    </row>
    <row r="61" spans="2:47" s="46" customFormat="1" ht="16.899999999999999" customHeight="1">
      <c r="B61" s="376" t="s">
        <v>245</v>
      </c>
      <c r="C61" s="376"/>
      <c r="D61" s="376"/>
      <c r="E61" s="376"/>
      <c r="F61" s="376"/>
      <c r="G61" s="141" t="e">
        <f>G60/$AM60</f>
        <v>#DIV/0!</v>
      </c>
      <c r="H61" s="142"/>
      <c r="I61" s="142"/>
      <c r="J61" s="143"/>
      <c r="K61" s="141" t="e">
        <f t="shared" ref="K61" si="8">K60/$AM60</f>
        <v>#DIV/0!</v>
      </c>
      <c r="L61" s="142"/>
      <c r="M61" s="142"/>
      <c r="N61" s="143"/>
      <c r="O61" s="141" t="e">
        <f t="shared" ref="O61" si="9">O60/$AM60</f>
        <v>#DIV/0!</v>
      </c>
      <c r="P61" s="142"/>
      <c r="Q61" s="142"/>
      <c r="R61" s="143"/>
      <c r="S61" s="141" t="e">
        <f t="shared" ref="S61" si="10">S60/$AM60</f>
        <v>#DIV/0!</v>
      </c>
      <c r="T61" s="142"/>
      <c r="U61" s="142"/>
      <c r="V61" s="143"/>
      <c r="W61" s="141" t="e">
        <f t="shared" ref="W61" si="11">W60/$AM60</f>
        <v>#DIV/0!</v>
      </c>
      <c r="X61" s="142"/>
      <c r="Y61" s="142"/>
      <c r="Z61" s="143"/>
      <c r="AA61" s="141" t="e">
        <f t="shared" ref="AA61" si="12">AA60/$AM60</f>
        <v>#DIV/0!</v>
      </c>
      <c r="AB61" s="142"/>
      <c r="AC61" s="142"/>
      <c r="AD61" s="143"/>
      <c r="AE61" s="141" t="e">
        <f t="shared" ref="AE61" si="13">AE60/$AM60</f>
        <v>#DIV/0!</v>
      </c>
      <c r="AF61" s="142"/>
      <c r="AG61" s="142"/>
      <c r="AH61" s="143"/>
      <c r="AI61" s="141" t="e">
        <f t="shared" ref="AI61" si="14">AI60/$AM60</f>
        <v>#DIV/0!</v>
      </c>
      <c r="AJ61" s="142"/>
      <c r="AK61" s="142"/>
      <c r="AL61" s="360"/>
      <c r="AM61" s="355"/>
      <c r="AN61" s="355"/>
      <c r="AO61" s="355"/>
      <c r="AP61" s="355"/>
      <c r="AQ61" s="362"/>
      <c r="AR61" s="363"/>
      <c r="AS61" s="363"/>
      <c r="AT61" s="363"/>
      <c r="AU61" s="363"/>
    </row>
    <row r="62" spans="2:47" s="46" customFormat="1" ht="16.899999999999999" customHeight="1">
      <c r="B62" s="84"/>
      <c r="C62" s="84"/>
      <c r="D62" s="84"/>
      <c r="E62" s="84"/>
      <c r="F62" s="84"/>
      <c r="G62" s="84"/>
      <c r="H62" s="84"/>
      <c r="I62" s="84"/>
      <c r="J62" s="84"/>
      <c r="K62" s="85"/>
      <c r="L62" s="83"/>
      <c r="M62" s="83"/>
      <c r="N62" s="83"/>
      <c r="O62" s="83"/>
      <c r="P62" s="83"/>
      <c r="Q62" s="83"/>
      <c r="R62" s="83"/>
      <c r="S62" s="83"/>
      <c r="T62" s="83"/>
      <c r="U62" s="83"/>
      <c r="V62" s="83"/>
      <c r="W62" s="83"/>
      <c r="X62" s="83"/>
      <c r="Y62" s="84"/>
      <c r="Z62" s="84"/>
      <c r="AA62" s="84"/>
      <c r="AB62" s="84"/>
      <c r="AC62" s="84"/>
      <c r="AD62" s="84"/>
      <c r="AE62" s="84"/>
      <c r="AF62" s="84"/>
      <c r="AG62" s="84"/>
      <c r="AH62" s="85"/>
      <c r="AI62" s="83"/>
      <c r="AJ62" s="83"/>
      <c r="AK62" s="83"/>
      <c r="AL62" s="83"/>
      <c r="AM62" s="83"/>
      <c r="AN62" s="83"/>
      <c r="AO62" s="83"/>
      <c r="AP62" s="83"/>
      <c r="AQ62" s="83"/>
      <c r="AR62" s="83"/>
      <c r="AS62" s="83"/>
      <c r="AT62" s="83"/>
      <c r="AU62" s="83"/>
    </row>
    <row r="63" spans="2:47" ht="16.899999999999999" customHeight="1">
      <c r="B63" s="41" t="s">
        <v>246</v>
      </c>
    </row>
    <row r="64" spans="2:47" ht="16.899999999999999" customHeight="1">
      <c r="B64" s="227"/>
      <c r="C64" s="228"/>
      <c r="D64" s="228"/>
      <c r="E64" s="228"/>
      <c r="F64" s="228"/>
      <c r="G64" s="228"/>
      <c r="H64" s="228"/>
      <c r="I64" s="228"/>
      <c r="J64" s="228"/>
      <c r="K64" s="228"/>
      <c r="L64" s="228"/>
      <c r="M64" s="228"/>
      <c r="N64" s="228"/>
      <c r="O64" s="228"/>
      <c r="P64" s="228"/>
      <c r="Q64" s="228"/>
      <c r="R64" s="228"/>
      <c r="S64" s="228"/>
      <c r="T64" s="228"/>
      <c r="U64" s="228"/>
      <c r="V64" s="228"/>
      <c r="W64" s="228"/>
      <c r="X64" s="228"/>
      <c r="Y64" s="228"/>
      <c r="Z64" s="228"/>
      <c r="AA64" s="228"/>
      <c r="AB64" s="228"/>
      <c r="AC64" s="228"/>
      <c r="AD64" s="228"/>
      <c r="AE64" s="228"/>
      <c r="AF64" s="228"/>
      <c r="AG64" s="228"/>
      <c r="AH64" s="228"/>
      <c r="AI64" s="228"/>
      <c r="AJ64" s="228"/>
      <c r="AK64" s="228"/>
      <c r="AL64" s="228"/>
      <c r="AM64" s="228"/>
      <c r="AN64" s="228"/>
      <c r="AO64" s="228"/>
      <c r="AP64" s="228"/>
      <c r="AQ64" s="228"/>
      <c r="AR64" s="228"/>
      <c r="AS64" s="228"/>
      <c r="AT64" s="228"/>
      <c r="AU64" s="229"/>
    </row>
    <row r="65" spans="2:47" ht="16.899999999999999" customHeight="1">
      <c r="B65" s="304"/>
      <c r="C65" s="305"/>
      <c r="D65" s="305"/>
      <c r="E65" s="305"/>
      <c r="F65" s="305"/>
      <c r="G65" s="305"/>
      <c r="H65" s="305"/>
      <c r="I65" s="305"/>
      <c r="J65" s="305"/>
      <c r="K65" s="305"/>
      <c r="L65" s="305"/>
      <c r="M65" s="305"/>
      <c r="N65" s="305"/>
      <c r="O65" s="305"/>
      <c r="P65" s="305"/>
      <c r="Q65" s="305"/>
      <c r="R65" s="305"/>
      <c r="S65" s="305"/>
      <c r="T65" s="305"/>
      <c r="U65" s="305"/>
      <c r="V65" s="305"/>
      <c r="W65" s="305"/>
      <c r="X65" s="305"/>
      <c r="Y65" s="305"/>
      <c r="Z65" s="305"/>
      <c r="AA65" s="305"/>
      <c r="AB65" s="305"/>
      <c r="AC65" s="305"/>
      <c r="AD65" s="305"/>
      <c r="AE65" s="305"/>
      <c r="AF65" s="305"/>
      <c r="AG65" s="305"/>
      <c r="AH65" s="305"/>
      <c r="AI65" s="305"/>
      <c r="AJ65" s="305"/>
      <c r="AK65" s="305"/>
      <c r="AL65" s="305"/>
      <c r="AM65" s="305"/>
      <c r="AN65" s="305"/>
      <c r="AO65" s="305"/>
      <c r="AP65" s="305"/>
      <c r="AQ65" s="305"/>
      <c r="AR65" s="305"/>
      <c r="AS65" s="305"/>
      <c r="AT65" s="305"/>
      <c r="AU65" s="306"/>
    </row>
    <row r="66" spans="2:47" ht="16.899999999999999" customHeight="1">
      <c r="B66" s="304"/>
      <c r="C66" s="305"/>
      <c r="D66" s="305"/>
      <c r="E66" s="305"/>
      <c r="F66" s="305"/>
      <c r="G66" s="305"/>
      <c r="H66" s="305"/>
      <c r="I66" s="305"/>
      <c r="J66" s="305"/>
      <c r="K66" s="305"/>
      <c r="L66" s="305"/>
      <c r="M66" s="305"/>
      <c r="N66" s="305"/>
      <c r="O66" s="305"/>
      <c r="P66" s="305"/>
      <c r="Q66" s="305"/>
      <c r="R66" s="305"/>
      <c r="S66" s="305"/>
      <c r="T66" s="305"/>
      <c r="U66" s="305"/>
      <c r="V66" s="305"/>
      <c r="W66" s="305"/>
      <c r="X66" s="305"/>
      <c r="Y66" s="305"/>
      <c r="Z66" s="305"/>
      <c r="AA66" s="305"/>
      <c r="AB66" s="305"/>
      <c r="AC66" s="305"/>
      <c r="AD66" s="305"/>
      <c r="AE66" s="305"/>
      <c r="AF66" s="305"/>
      <c r="AG66" s="305"/>
      <c r="AH66" s="305"/>
      <c r="AI66" s="305"/>
      <c r="AJ66" s="305"/>
      <c r="AK66" s="305"/>
      <c r="AL66" s="305"/>
      <c r="AM66" s="305"/>
      <c r="AN66" s="305"/>
      <c r="AO66" s="305"/>
      <c r="AP66" s="305"/>
      <c r="AQ66" s="305"/>
      <c r="AR66" s="305"/>
      <c r="AS66" s="305"/>
      <c r="AT66" s="305"/>
      <c r="AU66" s="306"/>
    </row>
    <row r="67" spans="2:47" ht="16.899999999999999" customHeight="1">
      <c r="B67" s="304"/>
      <c r="C67" s="305"/>
      <c r="D67" s="305"/>
      <c r="E67" s="305"/>
      <c r="F67" s="305"/>
      <c r="G67" s="305"/>
      <c r="H67" s="305"/>
      <c r="I67" s="305"/>
      <c r="J67" s="305"/>
      <c r="K67" s="305"/>
      <c r="L67" s="305"/>
      <c r="M67" s="305"/>
      <c r="N67" s="305"/>
      <c r="O67" s="305"/>
      <c r="P67" s="305"/>
      <c r="Q67" s="305"/>
      <c r="R67" s="305"/>
      <c r="S67" s="305"/>
      <c r="T67" s="305"/>
      <c r="U67" s="305"/>
      <c r="V67" s="305"/>
      <c r="W67" s="305"/>
      <c r="X67" s="305"/>
      <c r="Y67" s="305"/>
      <c r="Z67" s="305"/>
      <c r="AA67" s="305"/>
      <c r="AB67" s="305"/>
      <c r="AC67" s="305"/>
      <c r="AD67" s="305"/>
      <c r="AE67" s="305"/>
      <c r="AF67" s="305"/>
      <c r="AG67" s="305"/>
      <c r="AH67" s="305"/>
      <c r="AI67" s="305"/>
      <c r="AJ67" s="305"/>
      <c r="AK67" s="305"/>
      <c r="AL67" s="305"/>
      <c r="AM67" s="305"/>
      <c r="AN67" s="305"/>
      <c r="AO67" s="305"/>
      <c r="AP67" s="305"/>
      <c r="AQ67" s="305"/>
      <c r="AR67" s="305"/>
      <c r="AS67" s="305"/>
      <c r="AT67" s="305"/>
      <c r="AU67" s="306"/>
    </row>
    <row r="68" spans="2:47" ht="16.899999999999999" customHeight="1">
      <c r="B68" s="304"/>
      <c r="C68" s="305"/>
      <c r="D68" s="305"/>
      <c r="E68" s="305"/>
      <c r="F68" s="305"/>
      <c r="G68" s="305"/>
      <c r="H68" s="305"/>
      <c r="I68" s="305"/>
      <c r="J68" s="305"/>
      <c r="K68" s="305"/>
      <c r="L68" s="305"/>
      <c r="M68" s="305"/>
      <c r="N68" s="305"/>
      <c r="O68" s="305"/>
      <c r="P68" s="305"/>
      <c r="Q68" s="305"/>
      <c r="R68" s="305"/>
      <c r="S68" s="305"/>
      <c r="T68" s="305"/>
      <c r="U68" s="305"/>
      <c r="V68" s="305"/>
      <c r="W68" s="305"/>
      <c r="X68" s="305"/>
      <c r="Y68" s="305"/>
      <c r="Z68" s="305"/>
      <c r="AA68" s="305"/>
      <c r="AB68" s="305"/>
      <c r="AC68" s="305"/>
      <c r="AD68" s="305"/>
      <c r="AE68" s="305"/>
      <c r="AF68" s="305"/>
      <c r="AG68" s="305"/>
      <c r="AH68" s="305"/>
      <c r="AI68" s="305"/>
      <c r="AJ68" s="305"/>
      <c r="AK68" s="305"/>
      <c r="AL68" s="305"/>
      <c r="AM68" s="305"/>
      <c r="AN68" s="305"/>
      <c r="AO68" s="305"/>
      <c r="AP68" s="305"/>
      <c r="AQ68" s="305"/>
      <c r="AR68" s="305"/>
      <c r="AS68" s="305"/>
      <c r="AT68" s="305"/>
      <c r="AU68" s="306"/>
    </row>
    <row r="69" spans="2:47" ht="16.899999999999999" customHeight="1">
      <c r="B69" s="304"/>
      <c r="C69" s="305"/>
      <c r="D69" s="305"/>
      <c r="E69" s="305"/>
      <c r="F69" s="305"/>
      <c r="G69" s="305"/>
      <c r="H69" s="305"/>
      <c r="I69" s="305"/>
      <c r="J69" s="305"/>
      <c r="K69" s="305"/>
      <c r="L69" s="305"/>
      <c r="M69" s="305"/>
      <c r="N69" s="305"/>
      <c r="O69" s="305"/>
      <c r="P69" s="305"/>
      <c r="Q69" s="305"/>
      <c r="R69" s="305"/>
      <c r="S69" s="305"/>
      <c r="T69" s="305"/>
      <c r="U69" s="305"/>
      <c r="V69" s="305"/>
      <c r="W69" s="305"/>
      <c r="X69" s="305"/>
      <c r="Y69" s="305"/>
      <c r="Z69" s="305"/>
      <c r="AA69" s="305"/>
      <c r="AB69" s="305"/>
      <c r="AC69" s="305"/>
      <c r="AD69" s="305"/>
      <c r="AE69" s="305"/>
      <c r="AF69" s="305"/>
      <c r="AG69" s="305"/>
      <c r="AH69" s="305"/>
      <c r="AI69" s="305"/>
      <c r="AJ69" s="305"/>
      <c r="AK69" s="305"/>
      <c r="AL69" s="305"/>
      <c r="AM69" s="305"/>
      <c r="AN69" s="305"/>
      <c r="AO69" s="305"/>
      <c r="AP69" s="305"/>
      <c r="AQ69" s="305"/>
      <c r="AR69" s="305"/>
      <c r="AS69" s="305"/>
      <c r="AT69" s="305"/>
      <c r="AU69" s="306"/>
    </row>
    <row r="70" spans="2:47" ht="16.899999999999999" customHeight="1">
      <c r="B70" s="304"/>
      <c r="C70" s="305"/>
      <c r="D70" s="305"/>
      <c r="E70" s="305"/>
      <c r="F70" s="305"/>
      <c r="G70" s="305"/>
      <c r="H70" s="305"/>
      <c r="I70" s="305"/>
      <c r="J70" s="305"/>
      <c r="K70" s="305"/>
      <c r="L70" s="305"/>
      <c r="M70" s="305"/>
      <c r="N70" s="305"/>
      <c r="O70" s="305"/>
      <c r="P70" s="305"/>
      <c r="Q70" s="305"/>
      <c r="R70" s="305"/>
      <c r="S70" s="305"/>
      <c r="T70" s="305"/>
      <c r="U70" s="305"/>
      <c r="V70" s="305"/>
      <c r="W70" s="305"/>
      <c r="X70" s="305"/>
      <c r="Y70" s="305"/>
      <c r="Z70" s="305"/>
      <c r="AA70" s="305"/>
      <c r="AB70" s="305"/>
      <c r="AC70" s="305"/>
      <c r="AD70" s="305"/>
      <c r="AE70" s="305"/>
      <c r="AF70" s="305"/>
      <c r="AG70" s="305"/>
      <c r="AH70" s="305"/>
      <c r="AI70" s="305"/>
      <c r="AJ70" s="305"/>
      <c r="AK70" s="305"/>
      <c r="AL70" s="305"/>
      <c r="AM70" s="305"/>
      <c r="AN70" s="305"/>
      <c r="AO70" s="305"/>
      <c r="AP70" s="305"/>
      <c r="AQ70" s="305"/>
      <c r="AR70" s="305"/>
      <c r="AS70" s="305"/>
      <c r="AT70" s="305"/>
      <c r="AU70" s="306"/>
    </row>
    <row r="71" spans="2:47" ht="16.899999999999999" customHeight="1">
      <c r="B71" s="304"/>
      <c r="C71" s="305"/>
      <c r="D71" s="305"/>
      <c r="E71" s="305"/>
      <c r="F71" s="305"/>
      <c r="G71" s="305"/>
      <c r="H71" s="305"/>
      <c r="I71" s="305"/>
      <c r="J71" s="305"/>
      <c r="K71" s="305"/>
      <c r="L71" s="305"/>
      <c r="M71" s="305"/>
      <c r="N71" s="305"/>
      <c r="O71" s="305"/>
      <c r="P71" s="305"/>
      <c r="Q71" s="305"/>
      <c r="R71" s="305"/>
      <c r="S71" s="305"/>
      <c r="T71" s="305"/>
      <c r="U71" s="305"/>
      <c r="V71" s="305"/>
      <c r="W71" s="305"/>
      <c r="X71" s="305"/>
      <c r="Y71" s="305"/>
      <c r="Z71" s="305"/>
      <c r="AA71" s="305"/>
      <c r="AB71" s="305"/>
      <c r="AC71" s="305"/>
      <c r="AD71" s="305"/>
      <c r="AE71" s="305"/>
      <c r="AF71" s="305"/>
      <c r="AG71" s="305"/>
      <c r="AH71" s="305"/>
      <c r="AI71" s="305"/>
      <c r="AJ71" s="305"/>
      <c r="AK71" s="305"/>
      <c r="AL71" s="305"/>
      <c r="AM71" s="305"/>
      <c r="AN71" s="305"/>
      <c r="AO71" s="305"/>
      <c r="AP71" s="305"/>
      <c r="AQ71" s="305"/>
      <c r="AR71" s="305"/>
      <c r="AS71" s="305"/>
      <c r="AT71" s="305"/>
      <c r="AU71" s="306"/>
    </row>
    <row r="72" spans="2:47" ht="16.899999999999999" customHeight="1">
      <c r="B72" s="304"/>
      <c r="C72" s="305"/>
      <c r="D72" s="305"/>
      <c r="E72" s="305"/>
      <c r="F72" s="305"/>
      <c r="G72" s="305"/>
      <c r="H72" s="305"/>
      <c r="I72" s="305"/>
      <c r="J72" s="305"/>
      <c r="K72" s="305"/>
      <c r="L72" s="305"/>
      <c r="M72" s="305"/>
      <c r="N72" s="305"/>
      <c r="O72" s="305"/>
      <c r="P72" s="305"/>
      <c r="Q72" s="305"/>
      <c r="R72" s="305"/>
      <c r="S72" s="305"/>
      <c r="T72" s="305"/>
      <c r="U72" s="305"/>
      <c r="V72" s="305"/>
      <c r="W72" s="305"/>
      <c r="X72" s="305"/>
      <c r="Y72" s="305"/>
      <c r="Z72" s="305"/>
      <c r="AA72" s="305"/>
      <c r="AB72" s="305"/>
      <c r="AC72" s="305"/>
      <c r="AD72" s="305"/>
      <c r="AE72" s="305"/>
      <c r="AF72" s="305"/>
      <c r="AG72" s="305"/>
      <c r="AH72" s="305"/>
      <c r="AI72" s="305"/>
      <c r="AJ72" s="305"/>
      <c r="AK72" s="305"/>
      <c r="AL72" s="305"/>
      <c r="AM72" s="305"/>
      <c r="AN72" s="305"/>
      <c r="AO72" s="305"/>
      <c r="AP72" s="305"/>
      <c r="AQ72" s="305"/>
      <c r="AR72" s="305"/>
      <c r="AS72" s="305"/>
      <c r="AT72" s="305"/>
      <c r="AU72" s="306"/>
    </row>
    <row r="73" spans="2:47" ht="16.899999999999999" customHeight="1">
      <c r="B73" s="230"/>
      <c r="C73" s="231"/>
      <c r="D73" s="231"/>
      <c r="E73" s="231"/>
      <c r="F73" s="231"/>
      <c r="G73" s="231"/>
      <c r="H73" s="231"/>
      <c r="I73" s="231"/>
      <c r="J73" s="231"/>
      <c r="K73" s="231"/>
      <c r="L73" s="231"/>
      <c r="M73" s="231"/>
      <c r="N73" s="231"/>
      <c r="O73" s="231"/>
      <c r="P73" s="231"/>
      <c r="Q73" s="231"/>
      <c r="R73" s="231"/>
      <c r="S73" s="231"/>
      <c r="T73" s="231"/>
      <c r="U73" s="231"/>
      <c r="V73" s="231"/>
      <c r="W73" s="231"/>
      <c r="X73" s="231"/>
      <c r="Y73" s="231"/>
      <c r="Z73" s="231"/>
      <c r="AA73" s="231"/>
      <c r="AB73" s="231"/>
      <c r="AC73" s="231"/>
      <c r="AD73" s="231"/>
      <c r="AE73" s="231"/>
      <c r="AF73" s="231"/>
      <c r="AG73" s="231"/>
      <c r="AH73" s="231"/>
      <c r="AI73" s="231"/>
      <c r="AJ73" s="231"/>
      <c r="AK73" s="231"/>
      <c r="AL73" s="231"/>
      <c r="AM73" s="231"/>
      <c r="AN73" s="231"/>
      <c r="AO73" s="231"/>
      <c r="AP73" s="231"/>
      <c r="AQ73" s="231"/>
      <c r="AR73" s="231"/>
      <c r="AS73" s="231"/>
      <c r="AT73" s="231"/>
      <c r="AU73" s="232"/>
    </row>
    <row r="75" spans="2:47" ht="16.899999999999999" customHeight="1">
      <c r="B75" s="41" t="s">
        <v>247</v>
      </c>
    </row>
    <row r="76" spans="2:47" ht="16.899999999999999" customHeight="1">
      <c r="B76" s="342"/>
      <c r="C76" s="343"/>
      <c r="D76" s="343"/>
      <c r="E76" s="343"/>
      <c r="F76" s="343"/>
      <c r="G76" s="343"/>
      <c r="H76" s="343"/>
      <c r="I76" s="343"/>
      <c r="J76" s="343"/>
      <c r="K76" s="343"/>
      <c r="L76" s="343"/>
      <c r="M76" s="343"/>
      <c r="N76" s="343"/>
      <c r="O76" s="343"/>
      <c r="P76" s="343"/>
      <c r="Q76" s="343"/>
      <c r="R76" s="343"/>
      <c r="S76" s="343"/>
      <c r="T76" s="343"/>
      <c r="U76" s="343"/>
      <c r="V76" s="343"/>
      <c r="W76" s="343"/>
      <c r="X76" s="343"/>
      <c r="Y76" s="343"/>
      <c r="Z76" s="343"/>
      <c r="AA76" s="343"/>
      <c r="AB76" s="343"/>
      <c r="AC76" s="343"/>
      <c r="AD76" s="343"/>
      <c r="AE76" s="343"/>
      <c r="AF76" s="343"/>
      <c r="AG76" s="343"/>
      <c r="AH76" s="343"/>
      <c r="AI76" s="343"/>
      <c r="AJ76" s="343"/>
      <c r="AK76" s="343"/>
      <c r="AL76" s="343"/>
      <c r="AM76" s="343"/>
      <c r="AN76" s="343"/>
      <c r="AO76" s="343"/>
      <c r="AP76" s="343"/>
      <c r="AQ76" s="343"/>
      <c r="AR76" s="343"/>
      <c r="AS76" s="343"/>
      <c r="AT76" s="343"/>
      <c r="AU76" s="344"/>
    </row>
    <row r="77" spans="2:47" ht="16.899999999999999" customHeight="1">
      <c r="B77" s="345"/>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6"/>
      <c r="AC77" s="346"/>
      <c r="AD77" s="346"/>
      <c r="AE77" s="346"/>
      <c r="AF77" s="346"/>
      <c r="AG77" s="346"/>
      <c r="AH77" s="346"/>
      <c r="AI77" s="346"/>
      <c r="AJ77" s="346"/>
      <c r="AK77" s="346"/>
      <c r="AL77" s="346"/>
      <c r="AM77" s="346"/>
      <c r="AN77" s="346"/>
      <c r="AO77" s="346"/>
      <c r="AP77" s="346"/>
      <c r="AQ77" s="346"/>
      <c r="AR77" s="346"/>
      <c r="AS77" s="346"/>
      <c r="AT77" s="346"/>
      <c r="AU77" s="347"/>
    </row>
    <row r="78" spans="2:47" ht="16.899999999999999" customHeight="1">
      <c r="B78" s="345"/>
      <c r="C78" s="346"/>
      <c r="D78" s="346"/>
      <c r="E78" s="346"/>
      <c r="F78" s="346"/>
      <c r="G78" s="346"/>
      <c r="H78" s="346"/>
      <c r="I78" s="346"/>
      <c r="J78" s="346"/>
      <c r="K78" s="346"/>
      <c r="L78" s="346"/>
      <c r="M78" s="346"/>
      <c r="N78" s="346"/>
      <c r="O78" s="346"/>
      <c r="P78" s="346"/>
      <c r="Q78" s="346"/>
      <c r="R78" s="346"/>
      <c r="S78" s="346"/>
      <c r="T78" s="346"/>
      <c r="U78" s="346"/>
      <c r="V78" s="346"/>
      <c r="W78" s="346"/>
      <c r="X78" s="346"/>
      <c r="Y78" s="346"/>
      <c r="Z78" s="346"/>
      <c r="AA78" s="346"/>
      <c r="AB78" s="346"/>
      <c r="AC78" s="346"/>
      <c r="AD78" s="346"/>
      <c r="AE78" s="346"/>
      <c r="AF78" s="346"/>
      <c r="AG78" s="346"/>
      <c r="AH78" s="346"/>
      <c r="AI78" s="346"/>
      <c r="AJ78" s="346"/>
      <c r="AK78" s="346"/>
      <c r="AL78" s="346"/>
      <c r="AM78" s="346"/>
      <c r="AN78" s="346"/>
      <c r="AO78" s="346"/>
      <c r="AP78" s="346"/>
      <c r="AQ78" s="346"/>
      <c r="AR78" s="346"/>
      <c r="AS78" s="346"/>
      <c r="AT78" s="346"/>
      <c r="AU78" s="347"/>
    </row>
    <row r="79" spans="2:47" ht="16.899999999999999" customHeight="1">
      <c r="B79" s="345"/>
      <c r="C79" s="346"/>
      <c r="D79" s="346"/>
      <c r="E79" s="346"/>
      <c r="F79" s="346"/>
      <c r="G79" s="346"/>
      <c r="H79" s="346"/>
      <c r="I79" s="346"/>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46"/>
      <c r="AP79" s="346"/>
      <c r="AQ79" s="346"/>
      <c r="AR79" s="346"/>
      <c r="AS79" s="346"/>
      <c r="AT79" s="346"/>
      <c r="AU79" s="347"/>
    </row>
    <row r="80" spans="2:47" ht="16.899999999999999" customHeight="1">
      <c r="B80" s="345"/>
      <c r="C80" s="346"/>
      <c r="D80" s="346"/>
      <c r="E80" s="346"/>
      <c r="F80" s="346"/>
      <c r="G80" s="346"/>
      <c r="H80" s="346"/>
      <c r="I80" s="346"/>
      <c r="J80" s="346"/>
      <c r="K80" s="346"/>
      <c r="L80" s="346"/>
      <c r="M80" s="346"/>
      <c r="N80" s="346"/>
      <c r="O80" s="346"/>
      <c r="P80" s="346"/>
      <c r="Q80" s="346"/>
      <c r="R80" s="346"/>
      <c r="S80" s="346"/>
      <c r="T80" s="346"/>
      <c r="U80" s="346"/>
      <c r="V80" s="346"/>
      <c r="W80" s="346"/>
      <c r="X80" s="346"/>
      <c r="Y80" s="346"/>
      <c r="Z80" s="346"/>
      <c r="AA80" s="346"/>
      <c r="AB80" s="346"/>
      <c r="AC80" s="346"/>
      <c r="AD80" s="346"/>
      <c r="AE80" s="346"/>
      <c r="AF80" s="346"/>
      <c r="AG80" s="346"/>
      <c r="AH80" s="346"/>
      <c r="AI80" s="346"/>
      <c r="AJ80" s="346"/>
      <c r="AK80" s="346"/>
      <c r="AL80" s="346"/>
      <c r="AM80" s="346"/>
      <c r="AN80" s="346"/>
      <c r="AO80" s="346"/>
      <c r="AP80" s="346"/>
      <c r="AQ80" s="346"/>
      <c r="AR80" s="346"/>
      <c r="AS80" s="346"/>
      <c r="AT80" s="346"/>
      <c r="AU80" s="347"/>
    </row>
    <row r="81" spans="2:47" ht="16.899999999999999" customHeight="1">
      <c r="B81" s="345"/>
      <c r="C81" s="346"/>
      <c r="D81" s="346"/>
      <c r="E81" s="346"/>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346"/>
      <c r="AJ81" s="346"/>
      <c r="AK81" s="346"/>
      <c r="AL81" s="346"/>
      <c r="AM81" s="346"/>
      <c r="AN81" s="346"/>
      <c r="AO81" s="346"/>
      <c r="AP81" s="346"/>
      <c r="AQ81" s="346"/>
      <c r="AR81" s="346"/>
      <c r="AS81" s="346"/>
      <c r="AT81" s="346"/>
      <c r="AU81" s="347"/>
    </row>
    <row r="82" spans="2:47" ht="16.899999999999999" customHeight="1">
      <c r="B82" s="345"/>
      <c r="C82" s="346"/>
      <c r="D82" s="346"/>
      <c r="E82" s="346"/>
      <c r="F82" s="346"/>
      <c r="G82" s="346"/>
      <c r="H82" s="346"/>
      <c r="I82" s="346"/>
      <c r="J82" s="346"/>
      <c r="K82" s="346"/>
      <c r="L82" s="346"/>
      <c r="M82" s="346"/>
      <c r="N82" s="346"/>
      <c r="O82" s="346"/>
      <c r="P82" s="346"/>
      <c r="Q82" s="346"/>
      <c r="R82" s="346"/>
      <c r="S82" s="346"/>
      <c r="T82" s="346"/>
      <c r="U82" s="346"/>
      <c r="V82" s="346"/>
      <c r="W82" s="346"/>
      <c r="X82" s="346"/>
      <c r="Y82" s="346"/>
      <c r="Z82" s="346"/>
      <c r="AA82" s="346"/>
      <c r="AB82" s="346"/>
      <c r="AC82" s="346"/>
      <c r="AD82" s="346"/>
      <c r="AE82" s="346"/>
      <c r="AF82" s="346"/>
      <c r="AG82" s="346"/>
      <c r="AH82" s="346"/>
      <c r="AI82" s="346"/>
      <c r="AJ82" s="346"/>
      <c r="AK82" s="346"/>
      <c r="AL82" s="346"/>
      <c r="AM82" s="346"/>
      <c r="AN82" s="346"/>
      <c r="AO82" s="346"/>
      <c r="AP82" s="346"/>
      <c r="AQ82" s="346"/>
      <c r="AR82" s="346"/>
      <c r="AS82" s="346"/>
      <c r="AT82" s="346"/>
      <c r="AU82" s="347"/>
    </row>
    <row r="83" spans="2:47" ht="16.899999999999999" customHeight="1">
      <c r="B83" s="345"/>
      <c r="C83" s="346"/>
      <c r="D83" s="346"/>
      <c r="E83" s="346"/>
      <c r="F83" s="346"/>
      <c r="G83" s="346"/>
      <c r="H83" s="346"/>
      <c r="I83" s="346"/>
      <c r="J83" s="346"/>
      <c r="K83" s="346"/>
      <c r="L83" s="346"/>
      <c r="M83" s="346"/>
      <c r="N83" s="346"/>
      <c r="O83" s="346"/>
      <c r="P83" s="346"/>
      <c r="Q83" s="346"/>
      <c r="R83" s="346"/>
      <c r="S83" s="346"/>
      <c r="T83" s="346"/>
      <c r="U83" s="346"/>
      <c r="V83" s="346"/>
      <c r="W83" s="346"/>
      <c r="X83" s="346"/>
      <c r="Y83" s="346"/>
      <c r="Z83" s="346"/>
      <c r="AA83" s="346"/>
      <c r="AB83" s="346"/>
      <c r="AC83" s="346"/>
      <c r="AD83" s="346"/>
      <c r="AE83" s="346"/>
      <c r="AF83" s="346"/>
      <c r="AG83" s="346"/>
      <c r="AH83" s="346"/>
      <c r="AI83" s="346"/>
      <c r="AJ83" s="346"/>
      <c r="AK83" s="346"/>
      <c r="AL83" s="346"/>
      <c r="AM83" s="346"/>
      <c r="AN83" s="346"/>
      <c r="AO83" s="346"/>
      <c r="AP83" s="346"/>
      <c r="AQ83" s="346"/>
      <c r="AR83" s="346"/>
      <c r="AS83" s="346"/>
      <c r="AT83" s="346"/>
      <c r="AU83" s="347"/>
    </row>
    <row r="84" spans="2:47" ht="16.899999999999999" customHeight="1">
      <c r="B84" s="345"/>
      <c r="C84" s="346"/>
      <c r="D84" s="346"/>
      <c r="E84" s="346"/>
      <c r="F84" s="346"/>
      <c r="G84" s="346"/>
      <c r="H84" s="346"/>
      <c r="I84" s="346"/>
      <c r="J84" s="346"/>
      <c r="K84" s="346"/>
      <c r="L84" s="346"/>
      <c r="M84" s="346"/>
      <c r="N84" s="346"/>
      <c r="O84" s="346"/>
      <c r="P84" s="346"/>
      <c r="Q84" s="346"/>
      <c r="R84" s="346"/>
      <c r="S84" s="346"/>
      <c r="T84" s="346"/>
      <c r="U84" s="346"/>
      <c r="V84" s="346"/>
      <c r="W84" s="346"/>
      <c r="X84" s="346"/>
      <c r="Y84" s="346"/>
      <c r="Z84" s="346"/>
      <c r="AA84" s="346"/>
      <c r="AB84" s="346"/>
      <c r="AC84" s="346"/>
      <c r="AD84" s="346"/>
      <c r="AE84" s="346"/>
      <c r="AF84" s="346"/>
      <c r="AG84" s="346"/>
      <c r="AH84" s="346"/>
      <c r="AI84" s="346"/>
      <c r="AJ84" s="346"/>
      <c r="AK84" s="346"/>
      <c r="AL84" s="346"/>
      <c r="AM84" s="346"/>
      <c r="AN84" s="346"/>
      <c r="AO84" s="346"/>
      <c r="AP84" s="346"/>
      <c r="AQ84" s="346"/>
      <c r="AR84" s="346"/>
      <c r="AS84" s="346"/>
      <c r="AT84" s="346"/>
      <c r="AU84" s="347"/>
    </row>
    <row r="85" spans="2:47" ht="16.899999999999999" customHeight="1">
      <c r="B85" s="348"/>
      <c r="C85" s="349"/>
      <c r="D85" s="349"/>
      <c r="E85" s="349"/>
      <c r="F85" s="349"/>
      <c r="G85" s="349"/>
      <c r="H85" s="349"/>
      <c r="I85" s="349"/>
      <c r="J85" s="349"/>
      <c r="K85" s="349"/>
      <c r="L85" s="349"/>
      <c r="M85" s="349"/>
      <c r="N85" s="349"/>
      <c r="O85" s="349"/>
      <c r="P85" s="349"/>
      <c r="Q85" s="349"/>
      <c r="R85" s="349"/>
      <c r="S85" s="349"/>
      <c r="T85" s="349"/>
      <c r="U85" s="349"/>
      <c r="V85" s="349"/>
      <c r="W85" s="349"/>
      <c r="X85" s="349"/>
      <c r="Y85" s="349"/>
      <c r="Z85" s="349"/>
      <c r="AA85" s="349"/>
      <c r="AB85" s="349"/>
      <c r="AC85" s="349"/>
      <c r="AD85" s="349"/>
      <c r="AE85" s="349"/>
      <c r="AF85" s="349"/>
      <c r="AG85" s="349"/>
      <c r="AH85" s="349"/>
      <c r="AI85" s="349"/>
      <c r="AJ85" s="349"/>
      <c r="AK85" s="349"/>
      <c r="AL85" s="349"/>
      <c r="AM85" s="349"/>
      <c r="AN85" s="349"/>
      <c r="AO85" s="349"/>
      <c r="AP85" s="349"/>
      <c r="AQ85" s="349"/>
      <c r="AR85" s="349"/>
      <c r="AS85" s="349"/>
      <c r="AT85" s="349"/>
      <c r="AU85" s="350"/>
    </row>
    <row r="86" spans="2:47" s="46" customFormat="1" ht="16.899999999999999" customHeight="1">
      <c r="B86" s="84"/>
      <c r="C86" s="84"/>
      <c r="D86" s="84"/>
      <c r="E86" s="84"/>
      <c r="F86" s="84"/>
      <c r="G86" s="84"/>
      <c r="H86" s="84"/>
      <c r="I86" s="84"/>
      <c r="J86" s="84"/>
      <c r="K86" s="85"/>
      <c r="L86" s="83"/>
      <c r="M86" s="83"/>
      <c r="N86" s="83"/>
      <c r="O86" s="83"/>
      <c r="P86" s="83"/>
      <c r="Q86" s="83"/>
      <c r="R86" s="83"/>
      <c r="S86" s="83"/>
      <c r="T86" s="83"/>
      <c r="U86" s="83"/>
      <c r="V86" s="83"/>
      <c r="W86" s="83"/>
      <c r="X86" s="83"/>
      <c r="Y86" s="84"/>
      <c r="Z86" s="84"/>
      <c r="AA86" s="84"/>
      <c r="AB86" s="84"/>
      <c r="AC86" s="84"/>
      <c r="AD86" s="84"/>
      <c r="AE86" s="84"/>
      <c r="AF86" s="84"/>
      <c r="AG86" s="84"/>
      <c r="AH86" s="85"/>
      <c r="AI86" s="83"/>
      <c r="AJ86" s="83"/>
      <c r="AK86" s="83"/>
      <c r="AL86" s="83"/>
      <c r="AM86" s="83"/>
      <c r="AN86" s="83"/>
      <c r="AO86" s="83"/>
      <c r="AP86" s="83"/>
      <c r="AQ86" s="83"/>
      <c r="AR86" s="83"/>
      <c r="AS86" s="83"/>
      <c r="AT86" s="83"/>
      <c r="AU86" s="83"/>
    </row>
    <row r="87" spans="2:47" s="46" customFormat="1" ht="16.899999999999999" customHeight="1">
      <c r="B87" s="84"/>
      <c r="C87" s="84"/>
      <c r="D87" s="84"/>
      <c r="E87" s="84"/>
      <c r="F87" s="84"/>
      <c r="G87" s="84"/>
      <c r="H87" s="84"/>
      <c r="I87" s="84"/>
      <c r="J87" s="84"/>
      <c r="K87" s="85"/>
      <c r="L87" s="83"/>
      <c r="M87" s="83"/>
      <c r="N87" s="83"/>
      <c r="O87" s="83"/>
      <c r="P87" s="83"/>
      <c r="Q87" s="83"/>
      <c r="R87" s="83"/>
      <c r="S87" s="83"/>
      <c r="T87" s="83"/>
      <c r="U87" s="83"/>
      <c r="V87" s="83"/>
      <c r="W87" s="83"/>
      <c r="X87" s="83"/>
      <c r="Y87" s="84"/>
      <c r="Z87" s="84"/>
      <c r="AA87" s="84"/>
      <c r="AB87" s="84"/>
      <c r="AC87" s="84"/>
      <c r="AD87" s="84"/>
      <c r="AE87" s="84"/>
      <c r="AF87" s="84"/>
      <c r="AG87" s="84"/>
      <c r="AH87" s="85"/>
      <c r="AI87" s="83"/>
      <c r="AJ87" s="83"/>
      <c r="AK87" s="83"/>
      <c r="AL87" s="83"/>
      <c r="AM87" s="83"/>
      <c r="AN87" s="83"/>
      <c r="AO87" s="83"/>
      <c r="AP87" s="83"/>
      <c r="AQ87" s="83"/>
      <c r="AR87" s="83"/>
      <c r="AS87" s="83"/>
      <c r="AT87" s="83"/>
      <c r="AU87" s="83"/>
    </row>
  </sheetData>
  <protectedRanges>
    <protectedRange sqref="AJ46:AL47 AQ46:AS47 AI86:AU87 AM44:AN47 AT44:AU47 AI62:AU62 AQ52:AU61 AI48:AU48 L40:X40 AI34:AU37 AI40:AU42 L36:X36" name="範囲1_1_1_1"/>
    <protectedRange sqref="AT43:AU43 W43:X47 AM43:AO43 P43:R47 L86:X87 L62:X62 AH50:AH51 AD50:AD51 Z50:Z51 V50:V51 R50:R51 N50:N51 J50:J51 AP50:AP51 AL50:AL51 L48:X48 AO44:AO47 L34:X35 L41:X42 L37:X37" name="範囲1_2_1_1"/>
    <protectedRange sqref="AI19:AU19" name="範囲1_2_4"/>
    <protectedRange sqref="L19:M19" name="範囲1_3_1"/>
    <protectedRange sqref="H76:AK83 H64:AK71" name="範囲1_4_2"/>
    <protectedRange sqref="AI15:AU15 AI17:AU17" name="範囲1_1"/>
    <protectedRange sqref="AI18:AU18 AI16:AU16 L15:X15 L17:X17" name="範囲1_2"/>
    <protectedRange sqref="L16:M16 L18:M18" name="範囲1_3"/>
  </protectedRanges>
  <mergeCells count="241">
    <mergeCell ref="B4:AI5"/>
    <mergeCell ref="AL4:AP4"/>
    <mergeCell ref="AQ4:AU4"/>
    <mergeCell ref="AL5:AP7"/>
    <mergeCell ref="AQ5:AU7"/>
    <mergeCell ref="AL8:AP8"/>
    <mergeCell ref="AQ8:AU8"/>
    <mergeCell ref="AI33:AU33"/>
    <mergeCell ref="B24:K24"/>
    <mergeCell ref="Y28:AH28"/>
    <mergeCell ref="AI28:AU28"/>
    <mergeCell ref="B29:K29"/>
    <mergeCell ref="B21:K21"/>
    <mergeCell ref="L21:X21"/>
    <mergeCell ref="Y21:AH21"/>
    <mergeCell ref="AI21:AU21"/>
    <mergeCell ref="B22:K22"/>
    <mergeCell ref="L22:X22"/>
    <mergeCell ref="B27:K27"/>
    <mergeCell ref="L27:X27"/>
    <mergeCell ref="Y27:AH27"/>
    <mergeCell ref="AI27:AU27"/>
    <mergeCell ref="B28:K28"/>
    <mergeCell ref="L28:X28"/>
    <mergeCell ref="AI29:AU29"/>
    <mergeCell ref="L30:AU30"/>
    <mergeCell ref="Y14:AH14"/>
    <mergeCell ref="AI14:AU14"/>
    <mergeCell ref="L23:X23"/>
    <mergeCell ref="Y23:AH23"/>
    <mergeCell ref="AI23:AU23"/>
    <mergeCell ref="L24:AU24"/>
    <mergeCell ref="B36:K36"/>
    <mergeCell ref="L36:X36"/>
    <mergeCell ref="Y36:AH36"/>
    <mergeCell ref="AI36:AU36"/>
    <mergeCell ref="B30:K30"/>
    <mergeCell ref="B35:K35"/>
    <mergeCell ref="L35:X35"/>
    <mergeCell ref="Y35:AH35"/>
    <mergeCell ref="AI35:AU35"/>
    <mergeCell ref="B34:K34"/>
    <mergeCell ref="L34:X34"/>
    <mergeCell ref="Y34:AH34"/>
    <mergeCell ref="AI34:AU34"/>
    <mergeCell ref="Y22:AH22"/>
    <mergeCell ref="AI22:AU22"/>
    <mergeCell ref="B23:K23"/>
    <mergeCell ref="B13:K13"/>
    <mergeCell ref="L13:AU13"/>
    <mergeCell ref="B14:K14"/>
    <mergeCell ref="L14:X14"/>
    <mergeCell ref="B15:K15"/>
    <mergeCell ref="L15:X15"/>
    <mergeCell ref="Y15:AH15"/>
    <mergeCell ref="AI15:AU15"/>
    <mergeCell ref="B11:K11"/>
    <mergeCell ref="L11:X11"/>
    <mergeCell ref="Y11:AH11"/>
    <mergeCell ref="AI11:AN11"/>
    <mergeCell ref="AP11:AU11"/>
    <mergeCell ref="B12:K12"/>
    <mergeCell ref="L12:AU12"/>
    <mergeCell ref="AI18:AU18"/>
    <mergeCell ref="B17:K17"/>
    <mergeCell ref="L17:X17"/>
    <mergeCell ref="Y17:AH17"/>
    <mergeCell ref="AI17:AU17"/>
    <mergeCell ref="B16:K16"/>
    <mergeCell ref="L16:X16"/>
    <mergeCell ref="Y16:AH16"/>
    <mergeCell ref="AI16:AU16"/>
    <mergeCell ref="G45:K45"/>
    <mergeCell ref="G46:K46"/>
    <mergeCell ref="G47:K47"/>
    <mergeCell ref="AD44:AH44"/>
    <mergeCell ref="AD45:AH45"/>
    <mergeCell ref="AD46:AH46"/>
    <mergeCell ref="B18:K18"/>
    <mergeCell ref="L18:X18"/>
    <mergeCell ref="Y18:AH18"/>
    <mergeCell ref="L29:X29"/>
    <mergeCell ref="Y29:AH29"/>
    <mergeCell ref="B33:K33"/>
    <mergeCell ref="L33:X33"/>
    <mergeCell ref="Y33:AH33"/>
    <mergeCell ref="B37:K37"/>
    <mergeCell ref="L37:X37"/>
    <mergeCell ref="Y37:AH37"/>
    <mergeCell ref="AI47:AN47"/>
    <mergeCell ref="B44:F45"/>
    <mergeCell ref="B46:F47"/>
    <mergeCell ref="Y43:AU43"/>
    <mergeCell ref="B43:X43"/>
    <mergeCell ref="Y44:AC45"/>
    <mergeCell ref="Y46:AC47"/>
    <mergeCell ref="AI44:AN44"/>
    <mergeCell ref="AI45:AN45"/>
    <mergeCell ref="L44:Q44"/>
    <mergeCell ref="L45:Q45"/>
    <mergeCell ref="L46:Q46"/>
    <mergeCell ref="L47:Q47"/>
    <mergeCell ref="S47:X47"/>
    <mergeCell ref="AP44:AU44"/>
    <mergeCell ref="AP45:AU45"/>
    <mergeCell ref="AP46:AU46"/>
    <mergeCell ref="AP47:AU47"/>
    <mergeCell ref="AI46:AN46"/>
    <mergeCell ref="S44:X44"/>
    <mergeCell ref="S45:X45"/>
    <mergeCell ref="S46:X46"/>
    <mergeCell ref="AD47:AH47"/>
    <mergeCell ref="G44:K44"/>
    <mergeCell ref="AE50:AH51"/>
    <mergeCell ref="AI50:AL51"/>
    <mergeCell ref="AM50:AP51"/>
    <mergeCell ref="AQ50:AU51"/>
    <mergeCell ref="B50:F51"/>
    <mergeCell ref="G52:J52"/>
    <mergeCell ref="B52:F52"/>
    <mergeCell ref="G50:J51"/>
    <mergeCell ref="K50:N51"/>
    <mergeCell ref="O50:R51"/>
    <mergeCell ref="S50:V51"/>
    <mergeCell ref="W50:Z51"/>
    <mergeCell ref="AA50:AD51"/>
    <mergeCell ref="K52:N52"/>
    <mergeCell ref="O52:R52"/>
    <mergeCell ref="S52:V52"/>
    <mergeCell ref="W52:Z52"/>
    <mergeCell ref="AA52:AD52"/>
    <mergeCell ref="AE52:AH52"/>
    <mergeCell ref="AI52:AL52"/>
    <mergeCell ref="B59:F59"/>
    <mergeCell ref="B60:F60"/>
    <mergeCell ref="B61:F61"/>
    <mergeCell ref="G53:J53"/>
    <mergeCell ref="G54:J54"/>
    <mergeCell ref="G55:J55"/>
    <mergeCell ref="G56:J56"/>
    <mergeCell ref="G57:J57"/>
    <mergeCell ref="G58:J58"/>
    <mergeCell ref="G59:J59"/>
    <mergeCell ref="B53:F53"/>
    <mergeCell ref="B54:F54"/>
    <mergeCell ref="B55:F55"/>
    <mergeCell ref="B56:F56"/>
    <mergeCell ref="B57:F57"/>
    <mergeCell ref="B58:F58"/>
    <mergeCell ref="G60:J60"/>
    <mergeCell ref="G61:J61"/>
    <mergeCell ref="K53:N53"/>
    <mergeCell ref="K54:N54"/>
    <mergeCell ref="K55:N55"/>
    <mergeCell ref="K56:N56"/>
    <mergeCell ref="K57:N57"/>
    <mergeCell ref="K58:N58"/>
    <mergeCell ref="K59:N59"/>
    <mergeCell ref="K60:N60"/>
    <mergeCell ref="K61:N61"/>
    <mergeCell ref="O53:R53"/>
    <mergeCell ref="O54:R54"/>
    <mergeCell ref="O55:R55"/>
    <mergeCell ref="O56:R56"/>
    <mergeCell ref="O57:R57"/>
    <mergeCell ref="O58:R58"/>
    <mergeCell ref="O59:R59"/>
    <mergeCell ref="O60:R60"/>
    <mergeCell ref="O61:R61"/>
    <mergeCell ref="S53:V53"/>
    <mergeCell ref="S54:V54"/>
    <mergeCell ref="S55:V55"/>
    <mergeCell ref="S56:V56"/>
    <mergeCell ref="S57:V57"/>
    <mergeCell ref="S58:V58"/>
    <mergeCell ref="S59:V59"/>
    <mergeCell ref="S60:V60"/>
    <mergeCell ref="S61:V61"/>
    <mergeCell ref="W53:Z53"/>
    <mergeCell ref="W54:Z54"/>
    <mergeCell ref="W55:Z55"/>
    <mergeCell ref="W56:Z56"/>
    <mergeCell ref="W57:Z57"/>
    <mergeCell ref="W58:Z58"/>
    <mergeCell ref="W59:Z59"/>
    <mergeCell ref="W60:Z60"/>
    <mergeCell ref="W61:Z61"/>
    <mergeCell ref="AA53:AD53"/>
    <mergeCell ref="AA54:AD54"/>
    <mergeCell ref="AA55:AD55"/>
    <mergeCell ref="AA56:AD56"/>
    <mergeCell ref="AA57:AD57"/>
    <mergeCell ref="AA58:AD58"/>
    <mergeCell ref="AA59:AD59"/>
    <mergeCell ref="AA60:AD60"/>
    <mergeCell ref="AA61:AD61"/>
    <mergeCell ref="AQ60:AU60"/>
    <mergeCell ref="AQ61:AU61"/>
    <mergeCell ref="AE53:AH53"/>
    <mergeCell ref="AE54:AH54"/>
    <mergeCell ref="AE55:AH55"/>
    <mergeCell ref="AE56:AH56"/>
    <mergeCell ref="AE57:AH57"/>
    <mergeCell ref="AE58:AH58"/>
    <mergeCell ref="AE59:AH59"/>
    <mergeCell ref="AE60:AH60"/>
    <mergeCell ref="AE61:AH61"/>
    <mergeCell ref="AM57:AP57"/>
    <mergeCell ref="AM58:AP58"/>
    <mergeCell ref="AM59:AP59"/>
    <mergeCell ref="AI53:AL53"/>
    <mergeCell ref="AI54:AL54"/>
    <mergeCell ref="AI55:AL55"/>
    <mergeCell ref="AI56:AL56"/>
    <mergeCell ref="AI57:AL57"/>
    <mergeCell ref="AI58:AL58"/>
    <mergeCell ref="AI59:AL59"/>
    <mergeCell ref="AI37:AU37"/>
    <mergeCell ref="B40:K40"/>
    <mergeCell ref="L40:X40"/>
    <mergeCell ref="Y40:AH40"/>
    <mergeCell ref="AI40:AU40"/>
    <mergeCell ref="B64:AU73"/>
    <mergeCell ref="B76:AU85"/>
    <mergeCell ref="AM60:AP60"/>
    <mergeCell ref="AM61:AP61"/>
    <mergeCell ref="AQ52:AU52"/>
    <mergeCell ref="AQ53:AU53"/>
    <mergeCell ref="AQ54:AU54"/>
    <mergeCell ref="AQ55:AU55"/>
    <mergeCell ref="AQ56:AU56"/>
    <mergeCell ref="AQ57:AU57"/>
    <mergeCell ref="AQ58:AU58"/>
    <mergeCell ref="AQ59:AU59"/>
    <mergeCell ref="AI60:AL60"/>
    <mergeCell ref="AI61:AL61"/>
    <mergeCell ref="AM52:AP52"/>
    <mergeCell ref="AM53:AP53"/>
    <mergeCell ref="AM54:AP54"/>
    <mergeCell ref="AM55:AP55"/>
    <mergeCell ref="AM56:AP56"/>
  </mergeCells>
  <phoneticPr fontId="9"/>
  <conditionalFormatting sqref="L35 AI35">
    <cfRule type="expression" dxfId="1" priority="1">
      <formula>OR(AND($AI$18="新規開発",L44&lt;=L35,L35&lt;=S44),AND($AI$18="改良開発",L45&lt;=L35,L35&lt;=S45))</formula>
    </cfRule>
  </conditionalFormatting>
  <conditionalFormatting sqref="L36 AI36">
    <cfRule type="expression" dxfId="0" priority="2">
      <formula>OR(AND($AI$18="新規開発",L46&lt;=L36,L36&lt;=S46),AND($AI$18="改良開発",L47&lt;=L36,L36&lt;=S47))</formula>
    </cfRule>
  </conditionalFormatting>
  <dataValidations count="1">
    <dataValidation type="list" allowBlank="1" showInputMessage="1" showErrorMessage="1" sqref="AI19:AU19" xr:uid="{79CF97CE-5F89-4B9B-82AD-2310BFB51723}">
      <formula1>"新規開発,保守開発,その他"</formula1>
    </dataValidation>
  </dataValidations>
  <printOptions horizontalCentered="1"/>
  <pageMargins left="0.39370078740157483" right="0.39370078740157483" top="0.39370078740157483" bottom="0.39370078740157483" header="0.19685039370078741" footer="0.19685039370078741"/>
  <pageSetup paperSize="9" scale="63" fitToHeight="0" orientation="portrait" r:id="rId1"/>
  <headerFooter alignWithMargins="0">
    <oddFooter>&amp;C&amp;P / &amp;N</oddFooter>
  </headerFooter>
  <rowBreaks count="1" manualBreakCount="1">
    <brk id="61" max="47"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D208D-EF61-496C-964D-D4A0D85919EF}">
  <sheetPr codeName="Sheet4"/>
  <dimension ref="A1:G47"/>
  <sheetViews>
    <sheetView workbookViewId="0">
      <selection activeCell="AC27" sqref="AC27"/>
    </sheetView>
  </sheetViews>
  <sheetFormatPr defaultColWidth="3.140625" defaultRowHeight="18.75" customHeight="1"/>
  <sheetData>
    <row r="1" spans="1:7" ht="18.75" customHeight="1">
      <c r="A1" s="4" t="s">
        <v>248</v>
      </c>
    </row>
    <row r="3" spans="1:7" ht="18.75" customHeight="1">
      <c r="B3" s="4" t="s">
        <v>249</v>
      </c>
      <c r="C3" s="4" t="s">
        <v>250</v>
      </c>
    </row>
    <row r="5" spans="1:7" ht="18.75" customHeight="1">
      <c r="C5" s="4" t="s">
        <v>251</v>
      </c>
      <c r="D5" s="4" t="s">
        <v>252</v>
      </c>
    </row>
    <row r="6" spans="1:7" ht="18.75" customHeight="1">
      <c r="D6" s="4" t="s">
        <v>253</v>
      </c>
      <c r="E6" s="4" t="s">
        <v>254</v>
      </c>
    </row>
    <row r="7" spans="1:7" ht="18.75" customHeight="1">
      <c r="D7" s="4" t="s">
        <v>255</v>
      </c>
      <c r="E7" s="4" t="s">
        <v>256</v>
      </c>
    </row>
    <row r="8" spans="1:7" ht="18.75" customHeight="1">
      <c r="E8" s="4" t="s">
        <v>257</v>
      </c>
      <c r="F8" s="4" t="s">
        <v>258</v>
      </c>
    </row>
    <row r="9" spans="1:7" ht="18.75" customHeight="1">
      <c r="E9" s="4" t="s">
        <v>259</v>
      </c>
      <c r="F9" s="4" t="s">
        <v>260</v>
      </c>
    </row>
    <row r="10" spans="1:7" ht="18.75" customHeight="1">
      <c r="F10" s="4" t="s">
        <v>261</v>
      </c>
      <c r="G10" s="4" t="s">
        <v>262</v>
      </c>
    </row>
    <row r="11" spans="1:7" ht="18.75" customHeight="1">
      <c r="F11" s="4" t="s">
        <v>261</v>
      </c>
      <c r="G11" s="4" t="s">
        <v>263</v>
      </c>
    </row>
    <row r="12" spans="1:7" ht="18.75" customHeight="1">
      <c r="E12" s="4" t="s">
        <v>264</v>
      </c>
      <c r="F12" s="4" t="s">
        <v>265</v>
      </c>
    </row>
    <row r="13" spans="1:7" ht="18.75" customHeight="1">
      <c r="E13" s="4" t="s">
        <v>266</v>
      </c>
      <c r="F13" s="4" t="s">
        <v>267</v>
      </c>
    </row>
    <row r="14" spans="1:7" ht="18.75" customHeight="1">
      <c r="E14" s="4" t="s">
        <v>268</v>
      </c>
      <c r="F14" s="4" t="s">
        <v>269</v>
      </c>
    </row>
    <row r="15" spans="1:7" ht="18.75" customHeight="1">
      <c r="E15" s="4" t="s">
        <v>270</v>
      </c>
      <c r="F15" s="4" t="s">
        <v>271</v>
      </c>
    </row>
    <row r="16" spans="1:7" ht="18.75" customHeight="1">
      <c r="E16" s="4" t="s">
        <v>272</v>
      </c>
      <c r="F16" s="4" t="s">
        <v>273</v>
      </c>
    </row>
    <row r="17" spans="3:6" ht="18.75" customHeight="1">
      <c r="E17" s="4" t="s">
        <v>274</v>
      </c>
      <c r="F17" s="4" t="s">
        <v>275</v>
      </c>
    </row>
    <row r="19" spans="3:6" ht="18.75" customHeight="1">
      <c r="C19" s="4" t="s">
        <v>276</v>
      </c>
      <c r="D19" s="4" t="s">
        <v>277</v>
      </c>
    </row>
    <row r="20" spans="3:6" ht="18.75" customHeight="1">
      <c r="D20" s="4" t="s">
        <v>253</v>
      </c>
      <c r="E20" s="4" t="s">
        <v>278</v>
      </c>
    </row>
    <row r="21" spans="3:6" ht="18.75" customHeight="1">
      <c r="E21" s="4" t="s">
        <v>257</v>
      </c>
      <c r="F21" s="4" t="s">
        <v>279</v>
      </c>
    </row>
    <row r="22" spans="3:6" ht="18.75" customHeight="1">
      <c r="E22" s="4" t="s">
        <v>259</v>
      </c>
      <c r="F22" s="4" t="s">
        <v>280</v>
      </c>
    </row>
    <row r="23" spans="3:6" ht="18.75" customHeight="1">
      <c r="D23" s="4" t="s">
        <v>255</v>
      </c>
      <c r="E23" s="4" t="s">
        <v>281</v>
      </c>
    </row>
    <row r="25" spans="3:6" ht="18.75" customHeight="1">
      <c r="C25" s="4" t="s">
        <v>282</v>
      </c>
      <c r="D25" s="4" t="s">
        <v>283</v>
      </c>
    </row>
    <row r="26" spans="3:6" ht="18.75" customHeight="1">
      <c r="D26" s="4" t="s">
        <v>253</v>
      </c>
      <c r="E26" s="4" t="s">
        <v>284</v>
      </c>
    </row>
    <row r="27" spans="3:6" ht="18.75" customHeight="1">
      <c r="E27" s="4" t="s">
        <v>257</v>
      </c>
      <c r="F27" s="4" t="s">
        <v>285</v>
      </c>
    </row>
    <row r="28" spans="3:6" ht="18.75" customHeight="1">
      <c r="E28" s="4" t="s">
        <v>259</v>
      </c>
      <c r="F28" s="4" t="s">
        <v>286</v>
      </c>
    </row>
    <row r="29" spans="3:6" ht="18.75" customHeight="1">
      <c r="E29" s="4" t="s">
        <v>264</v>
      </c>
      <c r="F29" s="4" t="s">
        <v>287</v>
      </c>
    </row>
    <row r="30" spans="3:6" ht="18.75" customHeight="1">
      <c r="E30" s="4" t="s">
        <v>266</v>
      </c>
      <c r="F30" s="4" t="s">
        <v>288</v>
      </c>
    </row>
    <row r="31" spans="3:6" ht="18.75" customHeight="1">
      <c r="E31" s="4" t="s">
        <v>268</v>
      </c>
      <c r="F31" s="4" t="s">
        <v>289</v>
      </c>
    </row>
    <row r="32" spans="3:6" ht="18.75" customHeight="1">
      <c r="E32" s="4" t="s">
        <v>270</v>
      </c>
      <c r="F32" s="4" t="s">
        <v>290</v>
      </c>
    </row>
    <row r="33" spans="3:6" ht="18.75" customHeight="1">
      <c r="E33" s="4" t="s">
        <v>272</v>
      </c>
      <c r="F33" s="4" t="s">
        <v>291</v>
      </c>
    </row>
    <row r="34" spans="3:6" ht="18.75" customHeight="1">
      <c r="E34" s="4" t="s">
        <v>274</v>
      </c>
      <c r="F34" s="4" t="s">
        <v>292</v>
      </c>
    </row>
    <row r="35" spans="3:6" ht="18.75" customHeight="1">
      <c r="E35" s="4" t="s">
        <v>293</v>
      </c>
      <c r="F35" s="4" t="s">
        <v>294</v>
      </c>
    </row>
    <row r="36" spans="3:6" ht="18.75" customHeight="1">
      <c r="E36" s="4" t="s">
        <v>295</v>
      </c>
      <c r="F36" s="4" t="s">
        <v>296</v>
      </c>
    </row>
    <row r="37" spans="3:6" ht="18.75" customHeight="1">
      <c r="D37" s="4" t="s">
        <v>255</v>
      </c>
      <c r="E37" s="4" t="s">
        <v>297</v>
      </c>
    </row>
    <row r="39" spans="3:6" ht="18.75" customHeight="1">
      <c r="C39" s="4" t="s">
        <v>298</v>
      </c>
      <c r="D39" s="4" t="s">
        <v>299</v>
      </c>
    </row>
    <row r="40" spans="3:6" ht="18.75" customHeight="1">
      <c r="D40" s="4" t="s">
        <v>253</v>
      </c>
      <c r="E40" s="4" t="s">
        <v>300</v>
      </c>
    </row>
    <row r="41" spans="3:6" ht="18.75" customHeight="1">
      <c r="D41" s="4" t="s">
        <v>255</v>
      </c>
      <c r="E41" s="4" t="s">
        <v>301</v>
      </c>
    </row>
    <row r="42" spans="3:6" ht="18.75" customHeight="1">
      <c r="D42" s="4" t="s">
        <v>302</v>
      </c>
      <c r="E42" s="4" t="s">
        <v>303</v>
      </c>
    </row>
    <row r="44" spans="3:6" ht="18.75" customHeight="1">
      <c r="C44" s="4" t="s">
        <v>304</v>
      </c>
      <c r="D44" s="4" t="s">
        <v>305</v>
      </c>
    </row>
    <row r="45" spans="3:6" ht="18.75" customHeight="1">
      <c r="D45" s="4" t="s">
        <v>253</v>
      </c>
      <c r="E45" s="4" t="s">
        <v>306</v>
      </c>
    </row>
    <row r="46" spans="3:6" ht="18.75" customHeight="1">
      <c r="D46" s="4" t="s">
        <v>255</v>
      </c>
      <c r="E46" s="4" t="s">
        <v>307</v>
      </c>
    </row>
    <row r="47" spans="3:6" ht="18.75" customHeight="1">
      <c r="D47" s="4" t="s">
        <v>302</v>
      </c>
      <c r="E47" s="4" t="s">
        <v>308</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DB1E2-5BB1-41CE-B1CF-33BD284E8156}">
  <sheetPr codeName="Sheet5">
    <pageSetUpPr fitToPage="1"/>
  </sheetPr>
  <dimension ref="A1:J24"/>
  <sheetViews>
    <sheetView zoomScaleNormal="100" workbookViewId="0">
      <pane ySplit="4" topLeftCell="A5" activePane="bottomLeft" state="frozen"/>
      <selection pane="bottomLeft" activeCell="B6" sqref="B6"/>
    </sheetView>
  </sheetViews>
  <sheetFormatPr defaultColWidth="3" defaultRowHeight="16.5"/>
  <cols>
    <col min="1" max="1" width="5" style="16" customWidth="1"/>
    <col min="2" max="2" width="12.42578125" style="17" customWidth="1"/>
    <col min="3" max="3" width="12.42578125" style="18" customWidth="1"/>
    <col min="4" max="4" width="67.42578125" style="17" customWidth="1"/>
    <col min="5" max="5" width="20" style="19" customWidth="1"/>
    <col min="6" max="6" width="12.42578125" style="17" customWidth="1"/>
    <col min="7" max="7" width="20" style="20" customWidth="1"/>
    <col min="8" max="8" width="12.42578125" style="20" customWidth="1"/>
    <col min="9" max="9" width="50" style="20" customWidth="1"/>
    <col min="10" max="10" width="12.42578125" style="17" customWidth="1"/>
    <col min="11" max="16384" width="3" style="10"/>
  </cols>
  <sheetData>
    <row r="1" spans="1:10" ht="18" customHeight="1">
      <c r="A1" s="5"/>
      <c r="B1" s="6"/>
      <c r="C1" s="7"/>
      <c r="D1" s="6"/>
      <c r="E1" s="8"/>
      <c r="F1" s="6"/>
      <c r="G1" s="9"/>
      <c r="H1" s="9"/>
      <c r="I1" s="9"/>
      <c r="J1" s="6"/>
    </row>
    <row r="2" spans="1:10" ht="18" customHeight="1" thickBot="1">
      <c r="A2" s="11"/>
      <c r="B2" s="12"/>
      <c r="C2" s="13"/>
      <c r="D2" s="12"/>
      <c r="E2" s="14"/>
      <c r="F2" s="12"/>
      <c r="G2" s="15"/>
      <c r="H2" s="15"/>
      <c r="I2" s="15"/>
      <c r="J2" s="12"/>
    </row>
    <row r="3" spans="1:10" ht="18" customHeight="1" thickTop="1"/>
    <row r="4" spans="1:10" s="16" customFormat="1">
      <c r="A4" s="21" t="s">
        <v>309</v>
      </c>
      <c r="B4" s="22" t="s">
        <v>310</v>
      </c>
      <c r="C4" s="23" t="s">
        <v>311</v>
      </c>
      <c r="D4" s="22" t="s">
        <v>312</v>
      </c>
      <c r="E4" s="22" t="s">
        <v>313</v>
      </c>
      <c r="F4" s="22" t="s">
        <v>314</v>
      </c>
      <c r="G4" s="23" t="s">
        <v>315</v>
      </c>
      <c r="H4" s="23" t="s">
        <v>316</v>
      </c>
      <c r="I4" s="23" t="s">
        <v>317</v>
      </c>
      <c r="J4" s="22" t="s">
        <v>318</v>
      </c>
    </row>
    <row r="5" spans="1:10">
      <c r="A5" s="24">
        <v>1</v>
      </c>
      <c r="B5" s="25">
        <v>1</v>
      </c>
      <c r="C5" s="26"/>
      <c r="D5" s="27" t="s">
        <v>319</v>
      </c>
      <c r="E5" s="24"/>
      <c r="F5" s="26"/>
      <c r="G5" s="24"/>
      <c r="H5" s="26"/>
      <c r="I5" s="27"/>
      <c r="J5" s="28" t="str">
        <f t="shared" ref="J5:J24" ca="1" si="0">IF(B5="","",IF(F5="","更新中",IF(H5="","更新済み",IF(C5="","承認済み",IF(C5&gt;TODAY(),"発行待ち","発行済み")))))</f>
        <v>更新中</v>
      </c>
    </row>
    <row r="6" spans="1:10">
      <c r="A6" s="24">
        <v>2</v>
      </c>
      <c r="B6" s="25"/>
      <c r="C6" s="26"/>
      <c r="D6" s="27"/>
      <c r="E6" s="24"/>
      <c r="F6" s="26"/>
      <c r="G6" s="24"/>
      <c r="H6" s="26"/>
      <c r="I6" s="27"/>
      <c r="J6" s="28" t="str">
        <f t="shared" ca="1" si="0"/>
        <v/>
      </c>
    </row>
    <row r="7" spans="1:10">
      <c r="A7" s="24">
        <v>3</v>
      </c>
      <c r="B7" s="25"/>
      <c r="C7" s="26"/>
      <c r="D7" s="27"/>
      <c r="E7" s="24"/>
      <c r="F7" s="26"/>
      <c r="G7" s="24"/>
      <c r="H7" s="26"/>
      <c r="I7" s="27"/>
      <c r="J7" s="28" t="str">
        <f t="shared" ca="1" si="0"/>
        <v/>
      </c>
    </row>
    <row r="8" spans="1:10">
      <c r="A8" s="24">
        <v>4</v>
      </c>
      <c r="B8" s="25"/>
      <c r="C8" s="26"/>
      <c r="D8" s="27"/>
      <c r="E8" s="24"/>
      <c r="F8" s="26"/>
      <c r="G8" s="24"/>
      <c r="H8" s="26"/>
      <c r="I8" s="27"/>
      <c r="J8" s="28" t="str">
        <f t="shared" ca="1" si="0"/>
        <v/>
      </c>
    </row>
    <row r="9" spans="1:10">
      <c r="A9" s="24">
        <v>5</v>
      </c>
      <c r="B9" s="25"/>
      <c r="C9" s="26"/>
      <c r="D9" s="27"/>
      <c r="E9" s="24"/>
      <c r="F9" s="26"/>
      <c r="G9" s="24"/>
      <c r="H9" s="26"/>
      <c r="I9" s="27"/>
      <c r="J9" s="28" t="str">
        <f t="shared" ca="1" si="0"/>
        <v/>
      </c>
    </row>
    <row r="10" spans="1:10">
      <c r="A10" s="24">
        <v>6</v>
      </c>
      <c r="B10" s="25"/>
      <c r="C10" s="26"/>
      <c r="D10" s="27"/>
      <c r="E10" s="24"/>
      <c r="F10" s="26"/>
      <c r="G10" s="24"/>
      <c r="H10" s="26"/>
      <c r="I10" s="27"/>
      <c r="J10" s="28" t="str">
        <f t="shared" ca="1" si="0"/>
        <v/>
      </c>
    </row>
    <row r="11" spans="1:10">
      <c r="A11" s="24">
        <v>7</v>
      </c>
      <c r="B11" s="25"/>
      <c r="C11" s="26"/>
      <c r="D11" s="27"/>
      <c r="E11" s="24"/>
      <c r="F11" s="26"/>
      <c r="G11" s="24"/>
      <c r="H11" s="26"/>
      <c r="I11" s="27"/>
      <c r="J11" s="28" t="str">
        <f t="shared" ca="1" si="0"/>
        <v/>
      </c>
    </row>
    <row r="12" spans="1:10">
      <c r="A12" s="24">
        <v>8</v>
      </c>
      <c r="B12" s="25"/>
      <c r="C12" s="26"/>
      <c r="D12" s="27"/>
      <c r="E12" s="24"/>
      <c r="F12" s="26"/>
      <c r="G12" s="24"/>
      <c r="H12" s="26"/>
      <c r="I12" s="27"/>
      <c r="J12" s="28" t="str">
        <f t="shared" ca="1" si="0"/>
        <v/>
      </c>
    </row>
    <row r="13" spans="1:10">
      <c r="A13" s="24">
        <v>9</v>
      </c>
      <c r="B13" s="25"/>
      <c r="C13" s="26"/>
      <c r="D13" s="27"/>
      <c r="E13" s="24"/>
      <c r="F13" s="26"/>
      <c r="G13" s="24"/>
      <c r="H13" s="26"/>
      <c r="I13" s="27"/>
      <c r="J13" s="28" t="str">
        <f t="shared" ca="1" si="0"/>
        <v/>
      </c>
    </row>
    <row r="14" spans="1:10">
      <c r="A14" s="24">
        <v>10</v>
      </c>
      <c r="B14" s="25"/>
      <c r="C14" s="26"/>
      <c r="D14" s="27"/>
      <c r="E14" s="24"/>
      <c r="F14" s="26"/>
      <c r="G14" s="24"/>
      <c r="H14" s="26"/>
      <c r="I14" s="27"/>
      <c r="J14" s="28" t="str">
        <f t="shared" ca="1" si="0"/>
        <v/>
      </c>
    </row>
    <row r="15" spans="1:10">
      <c r="A15" s="24">
        <v>11</v>
      </c>
      <c r="B15" s="25"/>
      <c r="C15" s="26"/>
      <c r="D15" s="27"/>
      <c r="E15" s="24"/>
      <c r="F15" s="26"/>
      <c r="G15" s="24"/>
      <c r="H15" s="26"/>
      <c r="I15" s="27"/>
      <c r="J15" s="28" t="str">
        <f t="shared" ca="1" si="0"/>
        <v/>
      </c>
    </row>
    <row r="16" spans="1:10">
      <c r="A16" s="24">
        <v>12</v>
      </c>
      <c r="B16" s="25"/>
      <c r="C16" s="26"/>
      <c r="D16" s="27"/>
      <c r="E16" s="24"/>
      <c r="F16" s="26"/>
      <c r="G16" s="24"/>
      <c r="H16" s="26"/>
      <c r="I16" s="27"/>
      <c r="J16" s="28" t="str">
        <f t="shared" ca="1" si="0"/>
        <v/>
      </c>
    </row>
    <row r="17" spans="1:10">
      <c r="A17" s="24">
        <v>13</v>
      </c>
      <c r="B17" s="25"/>
      <c r="C17" s="26"/>
      <c r="D17" s="27"/>
      <c r="E17" s="24"/>
      <c r="F17" s="26"/>
      <c r="G17" s="24"/>
      <c r="H17" s="26"/>
      <c r="I17" s="27"/>
      <c r="J17" s="28" t="str">
        <f t="shared" ca="1" si="0"/>
        <v/>
      </c>
    </row>
    <row r="18" spans="1:10">
      <c r="A18" s="24">
        <v>14</v>
      </c>
      <c r="B18" s="25"/>
      <c r="C18" s="26"/>
      <c r="D18" s="27"/>
      <c r="E18" s="24"/>
      <c r="F18" s="26"/>
      <c r="G18" s="24"/>
      <c r="H18" s="26"/>
      <c r="I18" s="27"/>
      <c r="J18" s="28" t="str">
        <f t="shared" ca="1" si="0"/>
        <v/>
      </c>
    </row>
    <row r="19" spans="1:10">
      <c r="A19" s="24">
        <v>15</v>
      </c>
      <c r="B19" s="25"/>
      <c r="C19" s="26"/>
      <c r="D19" s="27"/>
      <c r="E19" s="24"/>
      <c r="F19" s="26"/>
      <c r="G19" s="24"/>
      <c r="H19" s="26"/>
      <c r="I19" s="27"/>
      <c r="J19" s="28" t="str">
        <f t="shared" ca="1" si="0"/>
        <v/>
      </c>
    </row>
    <row r="20" spans="1:10">
      <c r="A20" s="24">
        <v>16</v>
      </c>
      <c r="B20" s="25"/>
      <c r="C20" s="26"/>
      <c r="D20" s="27"/>
      <c r="E20" s="24"/>
      <c r="F20" s="26"/>
      <c r="G20" s="24"/>
      <c r="H20" s="26"/>
      <c r="I20" s="27"/>
      <c r="J20" s="28" t="str">
        <f t="shared" ca="1" si="0"/>
        <v/>
      </c>
    </row>
    <row r="21" spans="1:10">
      <c r="A21" s="24">
        <v>17</v>
      </c>
      <c r="B21" s="25"/>
      <c r="C21" s="26"/>
      <c r="D21" s="27"/>
      <c r="E21" s="24"/>
      <c r="F21" s="26"/>
      <c r="G21" s="24"/>
      <c r="H21" s="26"/>
      <c r="I21" s="27"/>
      <c r="J21" s="28" t="str">
        <f t="shared" ca="1" si="0"/>
        <v/>
      </c>
    </row>
    <row r="22" spans="1:10">
      <c r="A22" s="24">
        <v>18</v>
      </c>
      <c r="B22" s="25"/>
      <c r="C22" s="26"/>
      <c r="D22" s="27"/>
      <c r="E22" s="24"/>
      <c r="F22" s="26"/>
      <c r="G22" s="24"/>
      <c r="H22" s="26"/>
      <c r="I22" s="27"/>
      <c r="J22" s="28" t="str">
        <f t="shared" ca="1" si="0"/>
        <v/>
      </c>
    </row>
    <row r="23" spans="1:10">
      <c r="A23" s="24">
        <v>19</v>
      </c>
      <c r="B23" s="25"/>
      <c r="C23" s="26"/>
      <c r="D23" s="27"/>
      <c r="E23" s="24"/>
      <c r="F23" s="26"/>
      <c r="G23" s="24"/>
      <c r="H23" s="26"/>
      <c r="I23" s="27"/>
      <c r="J23" s="28" t="str">
        <f t="shared" ca="1" si="0"/>
        <v/>
      </c>
    </row>
    <row r="24" spans="1:10">
      <c r="A24" s="24">
        <v>20</v>
      </c>
      <c r="B24" s="25"/>
      <c r="C24" s="26"/>
      <c r="D24" s="27"/>
      <c r="E24" s="24"/>
      <c r="F24" s="26"/>
      <c r="G24" s="24"/>
      <c r="H24" s="26"/>
      <c r="I24" s="27"/>
      <c r="J24" s="28" t="str">
        <f t="shared" ca="1" si="0"/>
        <v/>
      </c>
    </row>
  </sheetData>
  <autoFilter ref="A4:J24" xr:uid="{DC53EA12-6126-43F8-9742-FF2EA1EB2EF1}"/>
  <phoneticPr fontId="2"/>
  <dataValidations count="2">
    <dataValidation type="list" allowBlank="1" showInputMessage="1" showErrorMessage="1" sqref="J5:J24" xr:uid="{58B9AD15-D910-4F97-A474-BD0D7B127996}">
      <formula1>改定ステータス</formula1>
    </dataValidation>
    <dataValidation type="list" allowBlank="1" showInputMessage="1" showErrorMessage="1" sqref="E5:E24 G5:G24" xr:uid="{43ADC933-98BD-472B-9DA3-69F33E932E13}">
      <formula1>改定担当者</formula1>
    </dataValidation>
  </dataValidations>
  <printOptions horizontalCentered="1"/>
  <pageMargins left="0.39370078740157483" right="0.39370078740157483" top="0.59055118110236227" bottom="0.39370078740157483" header="0.31496062992125984" footer="0.11811023622047245"/>
  <pageSetup paperSize="9" scale="56" fitToHeight="0" orientation="landscape" horizontalDpi="4294967293" verticalDpi="0" r:id="rId1"/>
  <headerFooter>
    <oddFooter>&amp;C&amp;9&amp;P /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E506D-6FF4-42F6-A1FC-F72A5B1EC0D2}">
  <sheetPr codeName="Sheet6">
    <tabColor theme="9"/>
  </sheetPr>
  <dimension ref="A1:B25"/>
  <sheetViews>
    <sheetView topLeftCell="A10" zoomScaleNormal="100" workbookViewId="0">
      <selection activeCell="B47" sqref="B47"/>
    </sheetView>
  </sheetViews>
  <sheetFormatPr defaultColWidth="9" defaultRowHeight="13.5"/>
  <cols>
    <col min="1" max="1" width="9" style="1"/>
    <col min="2" max="2" width="162.140625" style="1" customWidth="1"/>
    <col min="3" max="3" width="9" style="1"/>
    <col min="4" max="4" width="47.42578125" style="1" customWidth="1"/>
    <col min="5" max="16384" width="9" style="1"/>
  </cols>
  <sheetData>
    <row r="1" spans="1:2">
      <c r="A1" s="1" t="s">
        <v>320</v>
      </c>
      <c r="B1" s="1" t="s">
        <v>321</v>
      </c>
    </row>
    <row r="2" spans="1:2">
      <c r="A2" s="1" t="s">
        <v>322</v>
      </c>
      <c r="B2" s="1" t="str">
        <f>顧客満足度調査の依頼先担当者メールアドレス &amp; ""</f>
        <v/>
      </c>
    </row>
    <row r="3" spans="1:2">
      <c r="A3" s="1" t="s">
        <v>323</v>
      </c>
      <c r="B3" s="1" t="str">
        <f>プロジェクト完了報告書!AI16 &amp; "　" &amp; プロジェクト完了報告書!AI17</f>
        <v>関谷亮　髙浦祐朗</v>
      </c>
    </row>
    <row r="4" spans="1:2">
      <c r="A4" s="1" t="s">
        <v>324</v>
      </c>
      <c r="B4" s="1" t="s">
        <v>321</v>
      </c>
    </row>
    <row r="5" spans="1:2">
      <c r="A5" s="1" t="s">
        <v>325</v>
      </c>
      <c r="B5" s="1" t="s">
        <v>326</v>
      </c>
    </row>
    <row r="6" spans="1:2" ht="409.5" customHeight="1">
      <c r="A6" s="1" t="s">
        <v>327</v>
      </c>
      <c r="B6" s="3" t="str">
        <f>SUBSTITUTE(SUBSTITUTE(SUBSTITUTE(SUBSTITUTE(SUBSTITUTE(B25, "[顧客名]", 顧客名),"[顧客担当者名]",顧客満足度調査の依頼先担当者名),"[プロジェクト名]",プロジェクト名),"[プロジェクトコード]",プロジェクトコード),"[期日]",TEXT(EOMONTH(検収完了日,1),"yyyy/MM/dd"))</f>
        <v>出光興産株式会社
 様
平素は格別のご高配を賜り、厚く御礼申し上げます。
株式会社システムエグゼ 千葉オフィスQMS・ISMS事務局からご連絡となります。
さて、弊社では、お客様が期待する高品質で信頼性の高いシステムを提供するべく、
品質マネジメントシステムの規格「JIS Q 9001」および
情報セキュリティマネジメントシステムの規格「JIS Q 27001」の認証を取得しております。
その取り組みの一環として、弊社の活動が適切なものであったか否かについて、
このたびの以下のプロジェクトに対するお客様の率直なご意見を賜りたく存じます。
　・MES嵌合工程検査のオンライン化対応
ご多用中誠に恐縮ではございますが、趣旨ご理解の上、
下記アンケートサイトにアクセスいただきご回答を賜りますようお願い申し上げます。
　アンケートサイト ：　https://smilesurvey.co/start.php?s=8435515e&amp;id=PJ2025052974
所要時間は、3分～5分程度です。1900/02/28までにご回答いただけますと幸いです。
ご質問やご不明点等がございましたら、下記のメールアドレスまでお問い合わせください。
　お問い合わせ先のメールアドレス：　qms-isms-office@system-exe.jp
尚、アンケートにてご記入いただいた内容につきましては、
お客様満足度調査とその分析を利用目的とし、他の目的に利用することは一切ありません。
弊社の情報セキュリティ基本方針につきましては、下記の弊社WEBサイトよりご確認下さい。
http://www.system-exe.co.jp
——————————————————————————————
　株式会社システムエグゼ
　　千葉オフィス QMS・ISMS事務局
　　MAIL：qms-isms-office@system-exe.jp
——————————————————————————————</v>
      </c>
    </row>
    <row r="24" spans="2:2">
      <c r="B24" s="1" t="s">
        <v>328</v>
      </c>
    </row>
    <row r="25" spans="2:2" ht="17.25" customHeight="1">
      <c r="B25" s="2" t="s">
        <v>329</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0304-7C52-4471-94D2-5EA765902187}">
  <sheetPr codeName="Sheet7"/>
  <dimension ref="A1:B17"/>
  <sheetViews>
    <sheetView workbookViewId="0">
      <selection activeCell="B1" sqref="B1"/>
    </sheetView>
  </sheetViews>
  <sheetFormatPr defaultColWidth="9" defaultRowHeight="30" customHeight="1"/>
  <cols>
    <col min="1" max="1" width="21.5703125" style="31" bestFit="1" customWidth="1"/>
    <col min="2" max="2" width="103.140625" style="36" customWidth="1"/>
    <col min="3" max="16384" width="9" style="31"/>
  </cols>
  <sheetData>
    <row r="1" spans="1:2" ht="30" customHeight="1">
      <c r="A1" s="29" t="s">
        <v>330</v>
      </c>
      <c r="B1" s="35" t="str">
        <f>プロジェクトコード&amp;""</f>
        <v>PJ2025052974</v>
      </c>
    </row>
    <row r="2" spans="1:2" ht="30" customHeight="1">
      <c r="A2" s="29" t="s">
        <v>331</v>
      </c>
      <c r="B2" s="35" t="str">
        <f>プロジェクト名&amp;""</f>
        <v>MES嵌合工程検査のオンライン化対応</v>
      </c>
    </row>
    <row r="3" spans="1:2" ht="30" customHeight="1">
      <c r="A3" s="29" t="s">
        <v>332</v>
      </c>
      <c r="B3" s="35" t="str">
        <f>顧客名&amp;""</f>
        <v>出光興産株式会社</v>
      </c>
    </row>
    <row r="4" spans="1:2" ht="30" customHeight="1">
      <c r="A4" s="29" t="s">
        <v>333</v>
      </c>
      <c r="B4" s="30" t="s">
        <v>334</v>
      </c>
    </row>
    <row r="5" spans="1:2" ht="30" customHeight="1">
      <c r="A5" s="29" t="s">
        <v>335</v>
      </c>
      <c r="B5" s="30" t="s">
        <v>336</v>
      </c>
    </row>
    <row r="6" spans="1:2" ht="30" customHeight="1">
      <c r="A6" s="29" t="s">
        <v>337</v>
      </c>
      <c r="B6" s="30" t="s">
        <v>338</v>
      </c>
    </row>
    <row r="7" spans="1:2" ht="30" customHeight="1">
      <c r="A7" s="29" t="s">
        <v>339</v>
      </c>
      <c r="B7" s="30" t="s">
        <v>340</v>
      </c>
    </row>
    <row r="8" spans="1:2" ht="30" customHeight="1">
      <c r="A8" s="29" t="s">
        <v>311</v>
      </c>
      <c r="B8" s="32" t="str">
        <f>IF(VLOOKUP(版数,改定履歴!B:C,2,FALSE)=0,"未定",VLOOKUP(版数,改定履歴!B:C,2,FALSE))</f>
        <v>未定</v>
      </c>
    </row>
    <row r="9" spans="1:2" ht="30" customHeight="1">
      <c r="A9" s="29" t="s">
        <v>310</v>
      </c>
      <c r="B9" s="33">
        <f>IF(COUNTA(改定履歴!B5:B24)&gt;0,MAX(改定履歴!B5:B24),"-")</f>
        <v>1</v>
      </c>
    </row>
    <row r="10" spans="1:2" ht="30" customHeight="1">
      <c r="A10" s="29" t="s">
        <v>341</v>
      </c>
      <c r="B10" s="34" t="str">
        <f>顧客名 &amp; " " &amp; プロジェクト名</f>
        <v>出光興産株式会社 MES嵌合工程検査のオンライン化対応</v>
      </c>
    </row>
    <row r="11" spans="1:2" ht="30" customHeight="1">
      <c r="A11" s="29" t="s">
        <v>342</v>
      </c>
      <c r="B11" s="35" t="str">
        <f>文書番号 &amp; " プロジェクト計画書"</f>
        <v>53-01 プロジェクト計画書</v>
      </c>
    </row>
    <row r="12" spans="1:2" ht="30" customHeight="1">
      <c r="A12" s="29" t="s">
        <v>343</v>
      </c>
      <c r="B12" s="35" t="str">
        <f>文書番号 &amp; " プロジェクト完了報告書"</f>
        <v>53-01 プロジェクト完了報告書</v>
      </c>
    </row>
    <row r="13" spans="1:2" ht="30" customHeight="1">
      <c r="A13" s="29" t="s">
        <v>344</v>
      </c>
      <c r="B13" s="35" t="str">
        <f>文書番号 &amp; " 品質データ分析報告書"</f>
        <v>53-01 品質データ分析報告書</v>
      </c>
    </row>
    <row r="14" spans="1:2" ht="30" customHeight="1">
      <c r="A14" s="29" t="s">
        <v>345</v>
      </c>
      <c r="B14" s="35" t="str">
        <f>文書番号 &amp; " " &amp; 文書名 &amp; "‐"</f>
        <v>53-01 プロジェクト計画書・完了報告書‐</v>
      </c>
    </row>
    <row r="15" spans="1:2" ht="30" customHeight="1">
      <c r="A15" s="29" t="s">
        <v>346</v>
      </c>
      <c r="B15" s="35" t="str">
        <f>文書番号 &amp; " " &amp; 文書名 &amp; "‐改訂履歴"</f>
        <v>53-01 プロジェクト計画書・完了報告書‐改訂履歴</v>
      </c>
    </row>
    <row r="16" spans="1:2" ht="30" customHeight="1">
      <c r="A16" s="29" t="s">
        <v>347</v>
      </c>
      <c r="B16" s="35" t="str">
        <f xml:space="preserve"> "様式：" &amp; 文書番号 &amp; " " &amp; 文書名 &amp; " " &amp; TEXT(様式版数, "（第 0.0 版）")</f>
        <v>様式：53-01 プロジェクト計画書・完了報告書 (第 4.7 版)</v>
      </c>
    </row>
    <row r="17" spans="1:2" ht="30" customHeight="1">
      <c r="A17" s="29" t="s">
        <v>348</v>
      </c>
      <c r="B17" s="33">
        <v>4.7</v>
      </c>
    </row>
  </sheetData>
  <phoneticPr fontId="2"/>
  <printOptions horizontalCentered="1"/>
  <pageMargins left="0.19685039370078741" right="0.19685039370078741" top="0.39370078740157483" bottom="0.19685039370078741" header="0.31496062992125984" footer="0.31496062992125984"/>
  <pageSetup paperSize="9" orientation="landscape" horizontalDpi="4294967293"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D803-E4ED-4925-A992-FEF7EBCE5261}">
  <sheetPr codeName="Sheet8"/>
  <dimension ref="A1:G21"/>
  <sheetViews>
    <sheetView workbookViewId="0">
      <selection activeCell="G18" sqref="G18"/>
    </sheetView>
  </sheetViews>
  <sheetFormatPr defaultColWidth="9" defaultRowHeight="16.5"/>
  <cols>
    <col min="1" max="1" width="20" style="39" customWidth="1"/>
    <col min="2" max="7" width="12.42578125" style="39" customWidth="1"/>
    <col min="8" max="16384" width="9" style="39"/>
  </cols>
  <sheetData>
    <row r="1" spans="1:7">
      <c r="A1" s="37" t="s">
        <v>349</v>
      </c>
      <c r="B1" s="37" t="s">
        <v>350</v>
      </c>
      <c r="C1" s="38" t="s">
        <v>351</v>
      </c>
      <c r="D1" s="38" t="s">
        <v>352</v>
      </c>
      <c r="E1" s="38" t="s">
        <v>353</v>
      </c>
      <c r="F1" s="38" t="s">
        <v>354</v>
      </c>
      <c r="G1" s="38" t="s">
        <v>318</v>
      </c>
    </row>
    <row r="2" spans="1:7">
      <c r="A2" s="40" t="s">
        <v>355</v>
      </c>
      <c r="B2" s="40" t="s">
        <v>356</v>
      </c>
      <c r="C2" s="40" t="s">
        <v>357</v>
      </c>
      <c r="D2" s="40" t="s">
        <v>358</v>
      </c>
      <c r="E2" s="40" t="s">
        <v>359</v>
      </c>
      <c r="F2" s="40"/>
      <c r="G2" s="40" t="s">
        <v>360</v>
      </c>
    </row>
    <row r="3" spans="1:7">
      <c r="A3" s="40" t="s">
        <v>361</v>
      </c>
      <c r="B3" s="40" t="s">
        <v>362</v>
      </c>
      <c r="C3" s="40" t="s">
        <v>363</v>
      </c>
      <c r="D3" s="40" t="s">
        <v>364</v>
      </c>
      <c r="E3" s="40" t="s">
        <v>365</v>
      </c>
      <c r="F3" s="40"/>
      <c r="G3" s="40" t="s">
        <v>366</v>
      </c>
    </row>
    <row r="4" spans="1:7">
      <c r="A4" s="40" t="s">
        <v>367</v>
      </c>
      <c r="B4" s="40" t="s">
        <v>368</v>
      </c>
      <c r="C4" s="40" t="s">
        <v>369</v>
      </c>
      <c r="D4" s="40" t="s">
        <v>370</v>
      </c>
      <c r="E4" s="40" t="s">
        <v>371</v>
      </c>
      <c r="F4" s="40"/>
      <c r="G4" s="40" t="s">
        <v>372</v>
      </c>
    </row>
    <row r="5" spans="1:7">
      <c r="A5" s="40" t="s">
        <v>373</v>
      </c>
      <c r="B5" s="40" t="s">
        <v>374</v>
      </c>
      <c r="C5" s="40" t="s">
        <v>375</v>
      </c>
      <c r="D5" s="40" t="s">
        <v>376</v>
      </c>
      <c r="E5" s="40" t="s">
        <v>377</v>
      </c>
      <c r="F5" s="40"/>
      <c r="G5" s="40" t="s">
        <v>378</v>
      </c>
    </row>
    <row r="6" spans="1:7">
      <c r="A6" s="40" t="s">
        <v>379</v>
      </c>
      <c r="B6" s="40"/>
      <c r="C6" s="40"/>
      <c r="D6" s="40"/>
      <c r="E6" s="40" t="s">
        <v>380</v>
      </c>
      <c r="F6" s="40"/>
      <c r="G6" s="40" t="s">
        <v>381</v>
      </c>
    </row>
    <row r="7" spans="1:7">
      <c r="A7" s="40" t="s">
        <v>382</v>
      </c>
      <c r="B7" s="40"/>
      <c r="C7" s="40"/>
      <c r="D7" s="40"/>
      <c r="E7" s="40" t="s">
        <v>383</v>
      </c>
      <c r="F7" s="40"/>
      <c r="G7" s="40"/>
    </row>
    <row r="8" spans="1:7">
      <c r="A8" s="40" t="s">
        <v>384</v>
      </c>
      <c r="B8" s="40"/>
      <c r="C8" s="40"/>
      <c r="D8" s="40"/>
      <c r="E8" s="40" t="s">
        <v>385</v>
      </c>
      <c r="F8" s="40"/>
      <c r="G8" s="40"/>
    </row>
    <row r="9" spans="1:7">
      <c r="A9" s="40" t="s">
        <v>386</v>
      </c>
      <c r="B9" s="40"/>
      <c r="C9" s="40"/>
      <c r="D9" s="40"/>
      <c r="E9" s="40" t="s">
        <v>387</v>
      </c>
      <c r="F9" s="40"/>
      <c r="G9" s="40"/>
    </row>
    <row r="10" spans="1:7">
      <c r="A10" s="40" t="s">
        <v>388</v>
      </c>
      <c r="B10" s="40"/>
      <c r="C10" s="40"/>
      <c r="D10" s="40"/>
      <c r="E10" s="40" t="s">
        <v>389</v>
      </c>
      <c r="F10" s="40"/>
      <c r="G10" s="40"/>
    </row>
    <row r="11" spans="1:7">
      <c r="A11" s="40" t="s">
        <v>390</v>
      </c>
      <c r="B11" s="40"/>
      <c r="C11" s="40"/>
      <c r="D11" s="40"/>
      <c r="E11" s="40" t="s">
        <v>391</v>
      </c>
      <c r="F11" s="40"/>
      <c r="G11" s="40"/>
    </row>
    <row r="12" spans="1:7">
      <c r="A12" s="40" t="s">
        <v>392</v>
      </c>
      <c r="B12" s="40"/>
      <c r="C12" s="40"/>
      <c r="D12" s="40"/>
      <c r="E12" s="40"/>
      <c r="F12" s="40"/>
      <c r="G12" s="40"/>
    </row>
    <row r="13" spans="1:7">
      <c r="A13" s="40" t="s">
        <v>393</v>
      </c>
      <c r="B13" s="40"/>
      <c r="C13" s="40"/>
      <c r="D13" s="40"/>
      <c r="E13" s="40"/>
      <c r="F13" s="40"/>
      <c r="G13" s="40"/>
    </row>
    <row r="14" spans="1:7">
      <c r="A14" s="40" t="s">
        <v>394</v>
      </c>
      <c r="B14" s="40"/>
      <c r="C14" s="40"/>
      <c r="D14" s="40"/>
      <c r="E14" s="40"/>
      <c r="F14" s="40"/>
      <c r="G14" s="40"/>
    </row>
    <row r="15" spans="1:7">
      <c r="A15" s="40" t="s">
        <v>395</v>
      </c>
      <c r="B15" s="40"/>
      <c r="C15" s="40"/>
      <c r="D15" s="40"/>
      <c r="E15" s="40"/>
      <c r="F15" s="40"/>
      <c r="G15" s="40"/>
    </row>
    <row r="16" spans="1:7">
      <c r="A16" s="40" t="s">
        <v>396</v>
      </c>
      <c r="B16" s="40"/>
      <c r="C16" s="40"/>
      <c r="D16" s="40"/>
      <c r="E16" s="40"/>
      <c r="F16" s="40"/>
      <c r="G16" s="40"/>
    </row>
    <row r="17" spans="1:7">
      <c r="A17" s="40" t="s">
        <v>397</v>
      </c>
      <c r="B17" s="40"/>
      <c r="C17" s="40"/>
      <c r="D17" s="40"/>
      <c r="E17" s="40"/>
      <c r="F17" s="40"/>
      <c r="G17" s="40"/>
    </row>
    <row r="18" spans="1:7">
      <c r="A18" s="40" t="s">
        <v>398</v>
      </c>
      <c r="B18" s="40"/>
      <c r="C18" s="40"/>
      <c r="D18" s="40"/>
      <c r="E18" s="40"/>
      <c r="F18" s="40"/>
      <c r="G18" s="40"/>
    </row>
    <row r="19" spans="1:7">
      <c r="A19" s="40" t="s">
        <v>399</v>
      </c>
      <c r="B19" s="40"/>
      <c r="C19" s="40"/>
      <c r="D19" s="40"/>
      <c r="E19" s="40"/>
      <c r="F19" s="40"/>
      <c r="G19" s="40"/>
    </row>
    <row r="20" spans="1:7">
      <c r="A20" s="40" t="s">
        <v>400</v>
      </c>
      <c r="B20" s="40"/>
      <c r="C20" s="40"/>
      <c r="D20" s="40"/>
      <c r="E20" s="40" t="s">
        <v>401</v>
      </c>
      <c r="F20" s="40"/>
      <c r="G20" s="40"/>
    </row>
    <row r="21" spans="1:7">
      <c r="A21" s="40"/>
      <c r="B21" s="40"/>
      <c r="C21" s="40"/>
      <c r="D21" s="40"/>
      <c r="E21" s="40" t="s">
        <v>402</v>
      </c>
      <c r="F21" s="40"/>
      <c r="G21" s="40"/>
    </row>
  </sheetData>
  <phoneticPr fontId="2"/>
  <pageMargins left="0.7" right="0.7" top="0.75" bottom="0.75" header="0.3" footer="0.3"/>
  <pageSetup paperSize="9" orientation="portrait" horizontalDpi="4294967293"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d442da-66a9-4fa6-ba31-eb0d54ad1381">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B207C222D4A704392DD812ABE7F848A" ma:contentTypeVersion="10" ma:contentTypeDescription="新しいドキュメントを作成します。" ma:contentTypeScope="" ma:versionID="69aef985f427d6df22868eedf41448bf">
  <xsd:schema xmlns:xsd="http://www.w3.org/2001/XMLSchema" xmlns:xs="http://www.w3.org/2001/XMLSchema" xmlns:p="http://schemas.microsoft.com/office/2006/metadata/properties" xmlns:ns2="2fd442da-66a9-4fa6-ba31-eb0d54ad1381" targetNamespace="http://schemas.microsoft.com/office/2006/metadata/properties" ma:root="true" ma:fieldsID="5ea8d7fed5e91ecceba9cbd3c6ab47c3" ns2:_="">
    <xsd:import namespace="2fd442da-66a9-4fa6-ba31-eb0d54ad13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d442da-66a9-4fa6-ba31-eb0d54ad13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a5fcdd6f-42ce-4fb7-9ce2-d9614ea932c1"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DA0BCBB-4993-4C97-B24D-A8307440F92D}"/>
</file>

<file path=customXml/itemProps2.xml><?xml version="1.0" encoding="utf-8"?>
<ds:datastoreItem xmlns:ds="http://schemas.openxmlformats.org/officeDocument/2006/customXml" ds:itemID="{FA66EC4C-01F7-41CB-BA9A-EE67027248E2}"/>
</file>

<file path=customXml/itemProps3.xml><?xml version="1.0" encoding="utf-8"?>
<ds:datastoreItem xmlns:ds="http://schemas.openxmlformats.org/officeDocument/2006/customXml" ds:itemID="{66CE6C9C-0F81-4BC8-AB6D-69E61E61CCA1}"/>
</file>

<file path=docProps/app.xml><?xml version="1.0" encoding="utf-8"?>
<Properties xmlns="http://schemas.openxmlformats.org/officeDocument/2006/extended-properties" xmlns:vt="http://schemas.openxmlformats.org/officeDocument/2006/docPropsVTypes">
  <Application>Microsoft Excel Online</Application>
  <Manager/>
  <Company>SECOM Trust Systems Co.,Ltd.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安田 裕貴</dc:creator>
  <cp:keywords/>
  <dc:description/>
  <cp:lastModifiedBy>関谷亮</cp:lastModifiedBy>
  <cp:revision/>
  <dcterms:created xsi:type="dcterms:W3CDTF">2010-04-05T07:44:49Z</dcterms:created>
  <dcterms:modified xsi:type="dcterms:W3CDTF">2025-06-05T00:07:55Z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0x0101008B207C222D4A704392DD812ABE7F848A</vt:lpwstr>
  </property>
  <property fmtid="{D5CDD505-2E9C-101B-9397-08002B2CF9AE}" pid="3" name="MediaServiceImageTags">
    <vt:lpwstr/>
  </property>
</Properties>
</file>