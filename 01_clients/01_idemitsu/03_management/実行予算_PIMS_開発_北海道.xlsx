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28" documentId="13_ncr:1_{691ADDC3-AE0A-49E0-A32D-8FEE0169258E}" xr6:coauthVersionLast="47" xr6:coauthVersionMax="47" xr10:uidLastSave="{E2AB6122-8458-4984-B74D-65DF292E2DC1}"/>
  <bookViews>
    <workbookView xWindow="30375" yWindow="4020" windowWidth="21585" windowHeight="11055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" i="2" l="1"/>
  <c r="E3" i="2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9" i="2"/>
  <c r="N4" i="2"/>
  <c r="AF59" i="1" l="1"/>
  <c r="H4" i="1" s="1"/>
  <c r="H4" i="2" s="1"/>
  <c r="AF60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<sst xmlns="http://schemas.openxmlformats.org/spreadsheetml/2006/main" count="107" uniqueCount="84">
  <si>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</si>
  <si>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</si>
  <si>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</si>
  <si>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</si>
  <si>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</si>
  <si>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</si>
  <si>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</si>
  <si>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</si>
  <si>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</si>
  <si>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</si>
  <si>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</si>
  <si>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</si>
  <si>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</si>
  <si>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</si>
  <si>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</si>
  <si>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</si>
  <si>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</si>
  <si>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</si>
  <si>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</si>
  <si>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</si>
  <si>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</si>
  <si>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</si>
  <si>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</si>
  <si>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</si>
  <si>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</si>
  <si>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</si>
  <si>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</si>
  <si>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</si>
  <si>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</si>
  <si>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</si>
  <si>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</si>
  <si>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</si>
  <si>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</si>
  <si>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</si>
  <si>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</si>
  <si>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</si>
  <si>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</si>
  <si>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</si>
  <si>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</si>
  <si>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</si>
  <si>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</si>
  <si>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</si>
  <si>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</si>
  <si>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</si>
  <si>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</si>
  <si>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</si>
  <si>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</si>
  <si>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</si>
  <si>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</si>
  <si>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</si>
  <si>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</si>
  <si>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</si>
  <si>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</si>
  <si>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</si>
  <si>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</si>
  <si>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</si>
  <si>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</si>
  <si>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</si>
  <si>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</si>
  <si>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</si>
  <si>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</si>
  <si>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</si>
  <si>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</si>
  <si>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</si>
  <si>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</si>
  <si>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</si>
  <si>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</si>
  <si>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</si>
  <si>
    <t>2026年度2Q</t>
    <phoneticPr fontId="3"/>
  </si>
  <si>
    <t>2026年度3Q</t>
  </si>
  <si>
    <t>2026年度3Q</t>
    <phoneticPr fontId="3"/>
  </si>
  <si>
    <t>2026年度4Q</t>
  </si>
  <si>
    <t>2026年度4Q</t>
    <phoneticPr fontId="3"/>
  </si>
  <si>
    <t>2027年度1Q</t>
  </si>
  <si>
    <t>2027年度1Q</t>
    <phoneticPr fontId="3"/>
  </si>
  <si>
    <t>2025年度1Q</t>
  </si>
  <si>
    <t>2025年度2Q</t>
  </si>
  <si>
    <t>2025年度3Q</t>
  </si>
  <si>
    <t>2025年度4Q</t>
  </si>
  <si>
    <t>2026年度1Q</t>
  </si>
  <si>
    <t>矢野幸代</t>
    <rPh sb="0" eb="2">
      <t>ヤノ</t>
    </rPh>
    <rPh sb="2" eb="4">
      <t>ユキヨ</t>
    </rPh>
    <phoneticPr fontId="3"/>
  </si>
  <si>
    <t>石井徹</t>
    <rPh sb="0" eb="2">
      <t>イシイ</t>
    </rPh>
    <rPh sb="2" eb="3">
      <t>トオル</t>
    </rPh>
    <phoneticPr fontId="3"/>
  </si>
  <si>
    <t>木村俊介</t>
    <rPh sb="0" eb="2">
      <t>キムラ</t>
    </rPh>
    <rPh sb="2" eb="4">
      <t>シュンスケ</t>
    </rPh>
    <phoneticPr fontId="3"/>
  </si>
  <si>
    <t>↓移行フェーズ</t>
    <rPh sb="1" eb="3">
      <t>イコウ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</si>
</sst>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workbookViewId="0">
      <selection activeCell="B9" sqref="B9:B10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bestFit="1" customWidth="1"/>
    <col min="3" max="3" width="14.58203125" style="2" customWidth="1"/>
    <col min="4" max="31" width="7" style="2" customWidth="1"/>
    <col min="32" max="32" width="7.83203125" style="2" customWidth="1"/>
    <col min="33" max="16384" width="8.08203125" style="2"/>
  </cols>
  <sheetData>
    <row r="1" spans="1:32" ht="19.5" x14ac:dyDescent="0.55000000000000004">
      <c r="A1" s="1" t="s">
        <v>60</v>
      </c>
      <c r="D1" s="3" t="s">
        <v>61</v>
      </c>
    </row>
    <row r="2" spans="1:32" ht="5.25" customHeight="1" x14ac:dyDescent="0.55000000000000004">
      <c r="A2" s="1"/>
    </row>
    <row r="3" spans="1:32" x14ac:dyDescent="0.55000000000000004">
      <c r="A3" s="4" t="s">
        <v>0</v>
      </c>
      <c r="B3" s="25"/>
      <c r="C3" s="26"/>
      <c r="D3" s="5" t="s">
        <v>1</v>
      </c>
      <c r="E3" s="25"/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5" t="s">
        <v>2</v>
      </c>
      <c r="B4" s="25" t="s">
        <v>3</v>
      </c>
      <c r="C4" s="26"/>
      <c r="D4" s="5" t="s">
        <v>4</v>
      </c>
      <c r="E4" s="28"/>
      <c r="F4" s="28"/>
      <c r="G4" s="5" t="s">
        <v>5</v>
      </c>
      <c r="H4" s="29">
        <f>AF59</f>
        <v>248</v>
      </c>
      <c r="I4" s="29"/>
      <c r="J4" s="5" t="s">
        <v>6</v>
      </c>
      <c r="K4" s="30">
        <f>外注費・経費!K4</f>
        <v>1300000</v>
      </c>
      <c r="L4" s="30"/>
      <c r="M4" s="5" t="s">
        <v>7</v>
      </c>
      <c r="N4" s="30">
        <v>0</v>
      </c>
      <c r="O4" s="30"/>
    </row>
    <row r="5" spans="1:32" ht="6" customHeight="1" x14ac:dyDescent="0.55000000000000004"/>
    <row r="6" spans="1:32" s="6" customFormat="1" x14ac:dyDescent="0.55000000000000004">
      <c r="A6" s="40" t="s">
        <v>8</v>
      </c>
      <c r="B6" s="43" t="s">
        <v>9</v>
      </c>
      <c r="C6" s="43" t="s">
        <v>10</v>
      </c>
      <c r="D6" s="46" t="s">
        <v>11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31" t="s">
        <v>12</v>
      </c>
    </row>
    <row r="7" spans="1:32" s="6" customFormat="1" ht="12" customHeight="1" x14ac:dyDescent="0.55000000000000004">
      <c r="A7" s="41"/>
      <c r="B7" s="44"/>
      <c r="C7" s="44"/>
      <c r="D7" s="34" t="s">
        <v>62</v>
      </c>
      <c r="E7" s="35"/>
      <c r="F7" s="36"/>
      <c r="G7" s="34" t="s">
        <v>63</v>
      </c>
      <c r="H7" s="35"/>
      <c r="I7" s="36"/>
      <c r="J7" s="34" t="s">
        <v>64</v>
      </c>
      <c r="K7" s="35"/>
      <c r="L7" s="36"/>
      <c r="M7" s="34" t="s">
        <v>65</v>
      </c>
      <c r="N7" s="35"/>
      <c r="O7" s="36"/>
      <c r="P7" s="34" t="s">
        <v>66</v>
      </c>
      <c r="Q7" s="35"/>
      <c r="R7" s="36"/>
      <c r="S7" s="34" t="s">
        <v>68</v>
      </c>
      <c r="T7" s="35"/>
      <c r="U7" s="36"/>
      <c r="V7" s="34" t="s">
        <v>70</v>
      </c>
      <c r="W7" s="35"/>
      <c r="X7" s="36"/>
      <c r="Y7" s="34" t="s">
        <v>72</v>
      </c>
      <c r="Z7" s="35"/>
      <c r="AA7" s="36"/>
      <c r="AB7" s="34" t="s">
        <v>74</v>
      </c>
      <c r="AC7" s="35"/>
      <c r="AD7" s="36"/>
      <c r="AE7" s="47" t="s">
        <v>13</v>
      </c>
      <c r="AF7" s="32"/>
    </row>
    <row r="8" spans="1:32" s="6" customFormat="1" x14ac:dyDescent="0.55000000000000004">
      <c r="A8" s="42"/>
      <c r="B8" s="45"/>
      <c r="C8" s="45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5"/>
      <c r="AF8" s="33"/>
    </row>
    <row r="9" spans="1:32" x14ac:dyDescent="0.55000000000000004">
      <c r="A9" s="21" t="s">
        <v>14</v>
      </c>
      <c r="B9" s="8">
        <v>1081</v>
      </c>
      <c r="C9" s="8" t="s">
        <v>80</v>
      </c>
      <c r="D9" s="22"/>
      <c r="E9" s="22"/>
      <c r="F9" s="22"/>
      <c r="G9" s="22">
        <v>80</v>
      </c>
      <c r="H9" s="22">
        <v>24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104</v>
      </c>
    </row>
    <row r="10" spans="1:32" x14ac:dyDescent="0.55000000000000004">
      <c r="A10" s="8" t="s">
        <v>14</v>
      </c>
      <c r="B10" s="8">
        <v>397</v>
      </c>
      <c r="C10" s="8" t="s">
        <v>81</v>
      </c>
      <c r="D10" s="22"/>
      <c r="E10" s="22"/>
      <c r="F10" s="22"/>
      <c r="G10" s="22">
        <v>16</v>
      </c>
      <c r="H10" s="22">
        <v>16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32</v>
      </c>
    </row>
    <row r="11" spans="1:32" x14ac:dyDescent="0.55000000000000004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55000000000000004">
      <c r="A12" s="8"/>
      <c r="B12" s="8"/>
      <c r="C12" s="13" t="s">
        <v>83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55000000000000004">
      <c r="A13" s="21" t="s">
        <v>14</v>
      </c>
      <c r="B13" s="8">
        <v>1081</v>
      </c>
      <c r="C13" s="8" t="s">
        <v>80</v>
      </c>
      <c r="D13" s="22"/>
      <c r="E13" s="22"/>
      <c r="F13" s="22"/>
      <c r="G13" s="22"/>
      <c r="H13" s="22"/>
      <c r="I13" s="22">
        <v>32</v>
      </c>
      <c r="J13" s="22">
        <v>32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64</v>
      </c>
    </row>
    <row r="14" spans="1:32" x14ac:dyDescent="0.55000000000000004">
      <c r="A14" s="8" t="s">
        <v>14</v>
      </c>
      <c r="B14" s="8">
        <v>397</v>
      </c>
      <c r="C14" s="8" t="s">
        <v>81</v>
      </c>
      <c r="D14" s="22"/>
      <c r="E14" s="24"/>
      <c r="F14" s="22"/>
      <c r="G14" s="22"/>
      <c r="H14" s="22"/>
      <c r="I14" s="22">
        <v>24</v>
      </c>
      <c r="J14" s="22">
        <v>24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48</v>
      </c>
    </row>
    <row r="15" spans="1:32" x14ac:dyDescent="0.5500000000000000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5500000000000000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5500000000000000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5500000000000000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5500000000000000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5500000000000000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5500000000000000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5500000000000000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5500000000000000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5500000000000000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5500000000000000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5500000000000000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5500000000000000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5500000000000000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5500000000000000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5500000000000000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5500000000000000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5500000000000000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5500000000000000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5500000000000000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5500000000000000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5500000000000000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5500000000000000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5500000000000000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5500000000000000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5500000000000000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5500000000000000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5500000000000000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5500000000000000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5500000000000000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5500000000000000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5500000000000000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5500000000000000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5500000000000000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5500000000000000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5500000000000000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5500000000000000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5500000000000000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5500000000000000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5500000000000000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5500000000000000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5500000000000000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5500000000000000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5500000000000000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55000000000000004">
      <c r="A59" s="37" t="s">
        <v>12</v>
      </c>
      <c r="B59" s="38"/>
      <c r="C59" s="39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96</v>
      </c>
      <c r="H59" s="23">
        <f t="shared" si="1"/>
        <v>40</v>
      </c>
      <c r="I59" s="23">
        <f t="shared" si="1"/>
        <v>56</v>
      </c>
      <c r="J59" s="23">
        <f t="shared" si="1"/>
        <v>56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248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0"/>
  <sheetViews>
    <sheetView workbookViewId="0">
      <selection activeCell="I13" sqref="I13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customWidth="1"/>
    <col min="3" max="3" width="14.58203125" style="2" customWidth="1"/>
    <col min="4" max="31" width="8.33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15</v>
      </c>
    </row>
    <row r="2" spans="1:32" ht="5.25" customHeight="1" x14ac:dyDescent="0.55000000000000004">
      <c r="A2" s="1"/>
    </row>
    <row r="3" spans="1:32" x14ac:dyDescent="0.55000000000000004">
      <c r="A3" s="9" t="s">
        <v>0</v>
      </c>
      <c r="B3" s="25"/>
      <c r="C3" s="26"/>
      <c r="D3" s="10" t="s">
        <v>1</v>
      </c>
      <c r="E3" s="25">
        <f>社員工数!E3</f>
        <v>0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9" t="s">
        <v>2</v>
      </c>
      <c r="B4" s="25" t="s">
        <v>16</v>
      </c>
      <c r="C4" s="26"/>
      <c r="D4" s="11" t="s">
        <v>4</v>
      </c>
      <c r="E4" s="48">
        <f>社員工数!E4</f>
        <v>0</v>
      </c>
      <c r="F4" s="48"/>
      <c r="G4" s="11" t="s">
        <v>5</v>
      </c>
      <c r="H4" s="29">
        <f>社員工数!H4</f>
        <v>248</v>
      </c>
      <c r="I4" s="29"/>
      <c r="J4" s="11" t="s">
        <v>6</v>
      </c>
      <c r="K4" s="49">
        <f>AF60</f>
        <v>1300000</v>
      </c>
      <c r="L4" s="49"/>
      <c r="M4" s="11" t="s">
        <v>7</v>
      </c>
      <c r="N4" s="49">
        <f>SUMIF(A:A,"経費",AF:AF)</f>
        <v>0</v>
      </c>
      <c r="O4" s="49"/>
    </row>
    <row r="5" spans="1:32" ht="6" customHeight="1" x14ac:dyDescent="0.55000000000000004"/>
    <row r="6" spans="1:32" s="6" customFormat="1" x14ac:dyDescent="0.55000000000000004">
      <c r="A6" s="56" t="s">
        <v>8</v>
      </c>
      <c r="B6" s="59" t="s">
        <v>17</v>
      </c>
      <c r="C6" s="59" t="s">
        <v>10</v>
      </c>
      <c r="D6" s="62" t="s">
        <v>18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50" t="s">
        <v>12</v>
      </c>
    </row>
    <row r="7" spans="1:32" s="6" customFormat="1" ht="12" customHeight="1" x14ac:dyDescent="0.55000000000000004">
      <c r="A7" s="57"/>
      <c r="B7" s="60"/>
      <c r="C7" s="60"/>
      <c r="D7" s="53" t="s">
        <v>75</v>
      </c>
      <c r="E7" s="54"/>
      <c r="F7" s="55"/>
      <c r="G7" s="53" t="s">
        <v>76</v>
      </c>
      <c r="H7" s="54"/>
      <c r="I7" s="55"/>
      <c r="J7" s="53" t="s">
        <v>77</v>
      </c>
      <c r="K7" s="54"/>
      <c r="L7" s="55"/>
      <c r="M7" s="53" t="s">
        <v>78</v>
      </c>
      <c r="N7" s="54"/>
      <c r="O7" s="55"/>
      <c r="P7" s="53" t="s">
        <v>79</v>
      </c>
      <c r="Q7" s="54"/>
      <c r="R7" s="55"/>
      <c r="S7" s="53" t="s">
        <v>67</v>
      </c>
      <c r="T7" s="54"/>
      <c r="U7" s="55"/>
      <c r="V7" s="53" t="s">
        <v>69</v>
      </c>
      <c r="W7" s="54"/>
      <c r="X7" s="55"/>
      <c r="Y7" s="53" t="s">
        <v>71</v>
      </c>
      <c r="Z7" s="54"/>
      <c r="AA7" s="55"/>
      <c r="AB7" s="53" t="s">
        <v>73</v>
      </c>
      <c r="AC7" s="54"/>
      <c r="AD7" s="55"/>
      <c r="AE7" s="63" t="s">
        <v>13</v>
      </c>
      <c r="AF7" s="51"/>
    </row>
    <row r="8" spans="1:32" s="6" customFormat="1" x14ac:dyDescent="0.55000000000000004">
      <c r="A8" s="58"/>
      <c r="B8" s="61"/>
      <c r="C8" s="61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61"/>
      <c r="AF8" s="52"/>
    </row>
    <row r="9" spans="1:32" x14ac:dyDescent="0.55000000000000004">
      <c r="A9" s="13" t="s">
        <v>19</v>
      </c>
      <c r="B9" s="14"/>
      <c r="C9" s="13" t="s">
        <v>82</v>
      </c>
      <c r="D9" s="13"/>
      <c r="E9" s="13"/>
      <c r="F9" s="13"/>
      <c r="G9" s="13">
        <v>400000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400000</v>
      </c>
    </row>
    <row r="10" spans="1:32" x14ac:dyDescent="0.55000000000000004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" si="0">SUM(D10:AE10)</f>
        <v>0</v>
      </c>
    </row>
    <row r="11" spans="1:32" x14ac:dyDescent="0.55000000000000004">
      <c r="A11" s="13"/>
      <c r="B11" s="14"/>
      <c r="C11" s="13" t="s">
        <v>83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ref="AF11:AF59" si="1">SUM(D11:AE11)</f>
        <v>0</v>
      </c>
    </row>
    <row r="12" spans="1:32" x14ac:dyDescent="0.55000000000000004">
      <c r="A12" s="13" t="s">
        <v>19</v>
      </c>
      <c r="B12" s="14"/>
      <c r="C12" s="13" t="s">
        <v>82</v>
      </c>
      <c r="D12" s="13"/>
      <c r="E12" s="13"/>
      <c r="F12" s="13"/>
      <c r="G12" s="13"/>
      <c r="H12" s="13"/>
      <c r="I12" s="13">
        <v>900000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1"/>
        <v>900000</v>
      </c>
    </row>
    <row r="13" spans="1:32" x14ac:dyDescent="0.5500000000000000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1"/>
        <v>0</v>
      </c>
    </row>
    <row r="14" spans="1:32" x14ac:dyDescent="0.55000000000000004">
      <c r="A14" s="13"/>
      <c r="B14" s="1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1"/>
        <v>0</v>
      </c>
    </row>
    <row r="15" spans="1:32" x14ac:dyDescent="0.55000000000000004">
      <c r="A15" s="13"/>
      <c r="B15" s="14"/>
      <c r="C15" s="13"/>
      <c r="D15" s="13"/>
      <c r="E15" s="16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1"/>
        <v>0</v>
      </c>
    </row>
    <row r="16" spans="1:32" x14ac:dyDescent="0.5500000000000000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1"/>
        <v>0</v>
      </c>
    </row>
    <row r="17" spans="1:32" x14ac:dyDescent="0.5500000000000000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1"/>
        <v>0</v>
      </c>
    </row>
    <row r="18" spans="1:32" x14ac:dyDescent="0.5500000000000000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1"/>
        <v>0</v>
      </c>
    </row>
    <row r="19" spans="1:32" x14ac:dyDescent="0.5500000000000000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1"/>
        <v>0</v>
      </c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1"/>
        <v>0</v>
      </c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1"/>
        <v>0</v>
      </c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1"/>
        <v>0</v>
      </c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1"/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1"/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1"/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1"/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1"/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1"/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1"/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1"/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1"/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1"/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1"/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1"/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1"/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1"/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1"/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1"/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1"/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1"/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1"/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1"/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1"/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1"/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1"/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1"/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1"/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1"/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1"/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1"/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1"/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1"/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1"/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1"/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1"/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1"/>
        <v>0</v>
      </c>
    </row>
    <row r="57" spans="1:32" x14ac:dyDescent="0.5500000000000000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1"/>
        <v>0</v>
      </c>
    </row>
    <row r="58" spans="1:32" x14ac:dyDescent="0.5500000000000000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1"/>
        <v>0</v>
      </c>
    </row>
    <row r="59" spans="1:32" x14ac:dyDescent="0.55000000000000004">
      <c r="A59" s="13"/>
      <c r="B59" s="14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5">
        <f t="shared" si="1"/>
        <v>0</v>
      </c>
    </row>
    <row r="60" spans="1:32" x14ac:dyDescent="0.55000000000000004">
      <c r="A60" s="37" t="s">
        <v>12</v>
      </c>
      <c r="B60" s="38"/>
      <c r="C60" s="39"/>
      <c r="D60" s="15">
        <f>SUM(D9:D59)</f>
        <v>0</v>
      </c>
      <c r="E60" s="15">
        <f t="shared" ref="E60:AF60" si="2">SUM(E9:E59)</f>
        <v>0</v>
      </c>
      <c r="F60" s="15">
        <f t="shared" si="2"/>
        <v>0</v>
      </c>
      <c r="G60" s="15">
        <f t="shared" si="2"/>
        <v>400000</v>
      </c>
      <c r="H60" s="15">
        <f t="shared" si="2"/>
        <v>0</v>
      </c>
      <c r="I60" s="15">
        <f t="shared" si="2"/>
        <v>900000</v>
      </c>
      <c r="J60" s="15">
        <f t="shared" si="2"/>
        <v>0</v>
      </c>
      <c r="K60" s="15">
        <f t="shared" si="2"/>
        <v>0</v>
      </c>
      <c r="L60" s="15">
        <f t="shared" si="2"/>
        <v>0</v>
      </c>
      <c r="M60" s="15">
        <f t="shared" si="2"/>
        <v>0</v>
      </c>
      <c r="N60" s="15">
        <f t="shared" si="2"/>
        <v>0</v>
      </c>
      <c r="O60" s="15">
        <f t="shared" si="2"/>
        <v>0</v>
      </c>
      <c r="P60" s="15">
        <f t="shared" si="2"/>
        <v>0</v>
      </c>
      <c r="Q60" s="15">
        <f t="shared" si="2"/>
        <v>0</v>
      </c>
      <c r="R60" s="15">
        <f t="shared" si="2"/>
        <v>0</v>
      </c>
      <c r="S60" s="15">
        <f t="shared" si="2"/>
        <v>0</v>
      </c>
      <c r="T60" s="15">
        <f t="shared" si="2"/>
        <v>0</v>
      </c>
      <c r="U60" s="15">
        <f t="shared" si="2"/>
        <v>0</v>
      </c>
      <c r="V60" s="15">
        <f t="shared" si="2"/>
        <v>0</v>
      </c>
      <c r="W60" s="15">
        <f t="shared" si="2"/>
        <v>0</v>
      </c>
      <c r="X60" s="15">
        <f t="shared" si="2"/>
        <v>0</v>
      </c>
      <c r="Y60" s="15">
        <f t="shared" si="2"/>
        <v>0</v>
      </c>
      <c r="Z60" s="15">
        <f t="shared" si="2"/>
        <v>0</v>
      </c>
      <c r="AA60" s="15">
        <f t="shared" si="2"/>
        <v>0</v>
      </c>
      <c r="AB60" s="15">
        <f t="shared" si="2"/>
        <v>0</v>
      </c>
      <c r="AC60" s="15">
        <f t="shared" si="2"/>
        <v>0</v>
      </c>
      <c r="AD60" s="15">
        <f t="shared" si="2"/>
        <v>0</v>
      </c>
      <c r="AE60" s="15">
        <f t="shared" si="2"/>
        <v>0</v>
      </c>
      <c r="AF60" s="15">
        <f t="shared" si="2"/>
        <v>1300000</v>
      </c>
    </row>
  </sheetData>
  <mergeCells count="23">
    <mergeCell ref="A60:C60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A13:A59 A10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 A11:A12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58203125" defaultRowHeight="18" x14ac:dyDescent="0.55000000000000004"/>
  <cols>
    <col min="1" max="1" width="4.58203125" style="18" customWidth="1"/>
    <col min="2" max="2" width="10.5" style="18" customWidth="1"/>
    <col min="3" max="3" width="22" style="18" customWidth="1"/>
    <col min="4" max="4" width="15.08203125" style="18" customWidth="1"/>
    <col min="5" max="5" width="11.08203125" style="18" customWidth="1"/>
    <col min="6" max="6" width="58.33203125" style="18" bestFit="1" customWidth="1"/>
    <col min="7" max="7" width="11.08203125" style="18" customWidth="1"/>
    <col min="8" max="8" width="5.83203125" style="18" customWidth="1"/>
    <col min="9" max="9" width="11.83203125" style="18" customWidth="1"/>
    <col min="10" max="10" width="11.08203125" style="18" customWidth="1"/>
    <col min="11" max="11" width="17.08203125" style="18" bestFit="1" customWidth="1"/>
    <col min="12" max="12" width="11.08203125" style="18" customWidth="1"/>
    <col min="13" max="16384" width="8.58203125" style="18"/>
  </cols>
  <sheetData>
    <row r="1" spans="1:12" x14ac:dyDescent="0.55000000000000004">
      <c r="A1" s="66" t="s">
        <v>20</v>
      </c>
      <c r="B1" s="17" t="s">
        <v>21</v>
      </c>
      <c r="C1" s="66" t="s">
        <v>22</v>
      </c>
      <c r="D1" s="66" t="s">
        <v>23</v>
      </c>
      <c r="E1" s="66" t="s">
        <v>24</v>
      </c>
      <c r="F1" s="66" t="s">
        <v>25</v>
      </c>
      <c r="G1" s="66" t="s">
        <v>26</v>
      </c>
      <c r="H1" s="64" t="s">
        <v>27</v>
      </c>
      <c r="I1" s="65"/>
      <c r="J1" s="66" t="s">
        <v>28</v>
      </c>
      <c r="K1" s="66" t="s">
        <v>29</v>
      </c>
      <c r="L1" s="66" t="s">
        <v>30</v>
      </c>
    </row>
    <row r="2" spans="1:12" x14ac:dyDescent="0.55000000000000004">
      <c r="A2" s="66"/>
      <c r="B2" s="17" t="s">
        <v>31</v>
      </c>
      <c r="C2" s="66"/>
      <c r="D2" s="66"/>
      <c r="E2" s="66"/>
      <c r="F2" s="66"/>
      <c r="G2" s="66"/>
      <c r="H2" s="17" t="s">
        <v>20</v>
      </c>
      <c r="I2" s="17" t="s">
        <v>32</v>
      </c>
      <c r="J2" s="66"/>
      <c r="K2" s="66"/>
      <c r="L2" s="66"/>
    </row>
    <row r="3" spans="1:12" x14ac:dyDescent="0.55000000000000004">
      <c r="A3" s="19">
        <v>1</v>
      </c>
      <c r="B3" s="20">
        <v>0.1</v>
      </c>
      <c r="C3" s="19" t="s">
        <v>33</v>
      </c>
      <c r="D3" s="19" t="s">
        <v>34</v>
      </c>
      <c r="E3" s="19" t="s">
        <v>35</v>
      </c>
      <c r="F3" s="19" t="s">
        <v>36</v>
      </c>
      <c r="G3" s="19" t="s">
        <v>37</v>
      </c>
      <c r="H3" s="19">
        <v>1</v>
      </c>
      <c r="I3" s="19" t="s">
        <v>38</v>
      </c>
      <c r="J3" s="19" t="s">
        <v>39</v>
      </c>
      <c r="K3" s="19" t="s">
        <v>14</v>
      </c>
      <c r="L3" s="19" t="s">
        <v>40</v>
      </c>
    </row>
    <row r="4" spans="1:12" x14ac:dyDescent="0.55000000000000004">
      <c r="A4" s="19">
        <v>2</v>
      </c>
      <c r="B4" s="20"/>
      <c r="C4" s="19"/>
      <c r="D4" s="19"/>
      <c r="E4" s="19" t="s">
        <v>41</v>
      </c>
      <c r="F4" s="19" t="s">
        <v>42</v>
      </c>
      <c r="G4" s="19" t="s">
        <v>43</v>
      </c>
      <c r="H4" s="19">
        <v>2</v>
      </c>
      <c r="I4" s="19" t="s">
        <v>44</v>
      </c>
      <c r="J4" s="19" t="s">
        <v>45</v>
      </c>
      <c r="K4" s="19" t="s">
        <v>46</v>
      </c>
      <c r="L4" s="19" t="s">
        <v>47</v>
      </c>
    </row>
    <row r="5" spans="1:12" x14ac:dyDescent="0.55000000000000004">
      <c r="A5" s="19">
        <v>3</v>
      </c>
      <c r="B5" s="19"/>
      <c r="C5" s="19"/>
      <c r="D5" s="19"/>
      <c r="E5" s="19"/>
      <c r="F5" s="19" t="s">
        <v>48</v>
      </c>
      <c r="G5" s="19" t="s">
        <v>49</v>
      </c>
      <c r="H5" s="19">
        <v>3</v>
      </c>
      <c r="I5" s="19" t="s">
        <v>50</v>
      </c>
      <c r="J5" s="19" t="s">
        <v>51</v>
      </c>
      <c r="K5" s="19" t="s">
        <v>52</v>
      </c>
      <c r="L5" s="19"/>
    </row>
    <row r="6" spans="1:12" x14ac:dyDescent="0.5500000000000000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53</v>
      </c>
      <c r="L6" s="19"/>
    </row>
    <row r="7" spans="1:12" x14ac:dyDescent="0.5500000000000000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54</v>
      </c>
      <c r="L7" s="19"/>
    </row>
    <row r="8" spans="1:12" x14ac:dyDescent="0.5500000000000000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55</v>
      </c>
      <c r="L8" s="19"/>
    </row>
    <row r="9" spans="1:12" x14ac:dyDescent="0.5500000000000000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56</v>
      </c>
      <c r="L9" s="19"/>
    </row>
    <row r="10" spans="1:12" x14ac:dyDescent="0.5500000000000000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57</v>
      </c>
      <c r="L10" s="19"/>
    </row>
    <row r="11" spans="1:12" x14ac:dyDescent="0.5500000000000000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58</v>
      </c>
      <c r="L11" s="19"/>
    </row>
    <row r="12" spans="1:12" x14ac:dyDescent="0.5500000000000000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59</v>
      </c>
      <c r="L12" s="19"/>
    </row>
    <row r="13" spans="1:12" x14ac:dyDescent="0.5500000000000000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DCCBC0-623D-4A49-92CF-2C5C31CE6907}">
  <ds:schemaRefs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2fd442da-66a9-4fa6-ba31-eb0d54ad1381"/>
  </ds:schemaRefs>
</ds:datastoreItem>
</file>

<file path=customXml/itemProps2.xml><?xml version="1.0" encoding="utf-8"?>
<ds:datastoreItem xmlns:ds="http://schemas.openxmlformats.org/officeDocument/2006/customXml" ds:itemID="{1C5E5644-B4AE-4D3F-B3F0-D87C740EFD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F83DEE-81DA-480B-8F13-1AD611F134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石井徹</cp:lastModifiedBy>
  <cp:revision/>
  <dcterms:created xsi:type="dcterms:W3CDTF">2021-04-22T09:34:49Z</dcterms:created>
  <dcterms:modified xsi:type="dcterms:W3CDTF">2025-07-11T07:52:16Z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