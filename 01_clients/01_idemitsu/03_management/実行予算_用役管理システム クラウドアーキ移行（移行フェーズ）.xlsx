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0_提案・見積/"/>
    </mc:Choice>
  </mc:AlternateContent>
  <xr:revisionPtr revIDLastSave="4" documentId="13_ncr:1_{9CB62373-4C2F-400A-B2EE-84B1561E547B}" xr6:coauthVersionLast="47" xr6:coauthVersionMax="47" xr10:uidLastSave="{939ABA06-69A7-4BB0-8470-7E1CE0D91ABF}"/>
  <bookViews>
    <workbookView xWindow="28680" yWindow="-120" windowWidth="29040" windowHeight="15720" activeTab="1" xr2:uid="{00000000-000D-0000-FFFF-FFFF00000000}"/>
  </bookViews>
  <sheets>
    <sheet name="社員工数" sheetId="1" r:id="rId1"/>
    <sheet name="外注費・経費" sheetId="2" r:id="rId2"/>
    <sheet name="リストマスタ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8" i="2" l="1"/>
  <c r="AF16" i="2"/>
  <c r="AF17" i="2"/>
  <c r="E4" i="2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AF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5" i="2"/>
  <c r="AF14" i="2"/>
  <c r="AF13" i="2"/>
  <c r="AF12" i="2"/>
  <c r="AF11" i="2"/>
  <c r="AF10" i="2"/>
  <c r="AF9" i="2"/>
  <c r="N4" i="2"/>
  <c r="AF58" i="1" l="1"/>
  <c r="H4" i="1" s="1"/>
  <c r="AF60" i="2"/>
  <c r="K4" i="2" s="1"/>
  <c r="K4" i="1" s="1"/>
  <c r="H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<sst xmlns="http://schemas.openxmlformats.org/spreadsheetml/2006/main" count="129" uniqueCount="98">
  <si>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</si>
  <si>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</si>
  <si>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</si>
  <si>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</si>
  <si>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用役管理システム クラウドアーキ移行（開発フェーズ）</t>
    <rPh sb="0" eb="2">
      <t>ヨウエキ</t>
    </rPh>
    <rPh sb="2" eb="4">
      <t>カンリ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</si>
  <si>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</si>
  <si>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</si>
  <si>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</si>
  <si>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</si>
  <si>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</si>
  <si>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</si>
  <si>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</si>
  <si>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</si>
  <si>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</si>
  <si>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</si>
  <si>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</si>
  <si>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</si>
  <si>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</si>
  <si>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</si>
  <si>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</si>
  <si>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</si>
  <si>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  <phoneticPr fontId="3"/>
  </si>
  <si>
    <t>2026年度3Q</t>
    <phoneticPr fontId="3"/>
  </si>
  <si>
    <t>2026年度4Q</t>
    <phoneticPr fontId="3"/>
  </si>
  <si>
    <t>2027年度1Q</t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</si>
  <si>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</si>
  <si>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</si>
  <si>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野村康二</t>
    <rPh sb="0" eb="4">
      <t>ノムラコウジ</t>
    </rPh>
    <phoneticPr fontId="3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</si>
  <si>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</si>
  <si>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</si>
  <si>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</si>
  <si>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</si>
  <si>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2025年度1Q</t>
  </si>
  <si>
    <t>2025年度2Q</t>
  </si>
  <si>
    <t>2025年度3Q</t>
  </si>
  <si>
    <t>2025年度4Q</t>
  </si>
  <si>
    <t>2026年度1Q</t>
  </si>
  <si>
    <t>2026年度2Q</t>
  </si>
  <si>
    <t>2026年度3Q</t>
  </si>
  <si>
    <t>2026年度4Q</t>
  </si>
  <si>
    <t>2027年度1Q</t>
  </si>
  <si>
    <t>BP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</si>
  <si>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</si>
  <si>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</si>
  <si>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</si>
  <si>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</si>
  <si>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</si>
  <si>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</si>
  <si>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</si>
  <si>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</si>
  <si>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</si>
  <si>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</si>
  <si>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</si>
  <si>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</si>
  <si>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</si>
  <si>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</si>
  <si>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</si>
  <si>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</si>
  <si>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</si>
  <si>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</si>
  <si>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</si>
  <si>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</si>
  <si>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</si>
  <si>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</si>
  <si>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</si>
  <si>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</si>
  <si>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</si>
  <si>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</si>
  <si>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</si>
  <si>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</si>
  <si>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</si>
  <si>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</si>
  <si>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</si>
  <si>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</si>
  <si>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</si>
  <si>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</si>
  <si>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</si>
  <si>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</si>
  <si>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</si>
  <si>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</si>
  <si>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</si>
  <si>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</si>
  <si>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t>天川絢弥</t>
  </si>
  <si>
    <t>馬場勇輝</t>
    <phoneticPr fontId="3"/>
  </si>
  <si>
    <t>TruongThiTuMy</t>
  </si>
  <si>
    <t>NguyenMinhTho</t>
  </si>
  <si>
    <t>NguyenThiDao</t>
  </si>
  <si>
    <t>HuynhHuuLoc</t>
  </si>
  <si>
    <t>ﾌﾞｲｸｱﾝﾃｨｴﾝ</t>
  </si>
  <si>
    <t>石井徹</t>
    <rPh sb="0" eb="2">
      <t>イシイ</t>
    </rPh>
    <rPh sb="2" eb="3">
      <t>トオル</t>
    </rPh>
    <phoneticPr fontId="3"/>
  </si>
  <si>
    <t>ｸﾞｴﾝﾃｨﾝﾁｭﾝ</t>
  </si>
  <si>
    <t>TranKhanhVy</t>
  </si>
  <si>
    <t>DuongNgocPhu</t>
  </si>
  <si>
    <t>NguyenDangThien</t>
  </si>
  <si>
    <t>PhanNguyenTam</t>
  </si>
  <si>
    <t>DoNguyenThiThuyDuy</t>
    <phoneticPr fontId="3"/>
  </si>
  <si>
    <t>HuynhChiHieu</t>
    <phoneticPr fontId="3"/>
  </si>
  <si>
    <t>DangQuocHai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</si>
</sst>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9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center" vertical="center" wrapText="1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>
      <alignment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0" xfId="1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8"/>
  <sheetViews>
    <sheetView zoomScale="115" zoomScaleNormal="115" workbookViewId="0">
      <selection activeCell="B12" sqref="B12"/>
    </sheetView>
  </sheetViews>
  <sheetFormatPr defaultColWidth="8.08203125" defaultRowHeight="12.5" x14ac:dyDescent="0.55000000000000004"/>
  <cols>
    <col min="1" max="1" width="14.58203125" style="2" customWidth="1"/>
    <col min="2" max="2" width="7.58203125" style="2" bestFit="1" customWidth="1"/>
    <col min="3" max="3" width="14.58203125" style="2" customWidth="1"/>
    <col min="4" max="31" width="7" style="2" customWidth="1"/>
    <col min="32" max="32" width="7.58203125" style="2" customWidth="1"/>
    <col min="33" max="16384" width="8.08203125" style="2"/>
  </cols>
  <sheetData>
    <row r="1" spans="1:32" ht="19.5" x14ac:dyDescent="0.55000000000000004">
      <c r="A1" s="1" t="s">
        <v>0</v>
      </c>
      <c r="D1" s="3" t="s">
        <v>1</v>
      </c>
    </row>
    <row r="2" spans="1:32" ht="5.25" customHeight="1" x14ac:dyDescent="0.55000000000000004">
      <c r="A2" s="1"/>
    </row>
    <row r="3" spans="1:32" x14ac:dyDescent="0.55000000000000004">
      <c r="A3" s="4" t="s">
        <v>2</v>
      </c>
      <c r="B3" s="27"/>
      <c r="C3" s="28"/>
      <c r="D3" s="5" t="s">
        <v>3</v>
      </c>
      <c r="E3" s="27" t="s">
        <v>4</v>
      </c>
      <c r="F3" s="29"/>
      <c r="G3" s="29"/>
      <c r="H3" s="29"/>
      <c r="I3" s="29"/>
      <c r="J3" s="29"/>
      <c r="K3" s="29"/>
      <c r="L3" s="29"/>
      <c r="M3" s="29"/>
      <c r="N3" s="29"/>
      <c r="O3" s="28"/>
    </row>
    <row r="4" spans="1:32" x14ac:dyDescent="0.55000000000000004">
      <c r="A4" s="5" t="s">
        <v>5</v>
      </c>
      <c r="B4" s="27" t="s">
        <v>6</v>
      </c>
      <c r="C4" s="28"/>
      <c r="D4" s="5" t="s">
        <v>7</v>
      </c>
      <c r="E4" s="30"/>
      <c r="F4" s="30"/>
      <c r="G4" s="5" t="s">
        <v>8</v>
      </c>
      <c r="H4" s="31">
        <f>AF58</f>
        <v>608</v>
      </c>
      <c r="I4" s="31"/>
      <c r="J4" s="5" t="s">
        <v>9</v>
      </c>
      <c r="K4" s="32">
        <f>外注費・経費!K4</f>
        <v>3850000</v>
      </c>
      <c r="L4" s="32"/>
      <c r="M4" s="5" t="s">
        <v>10</v>
      </c>
      <c r="N4" s="32">
        <v>0</v>
      </c>
      <c r="O4" s="32"/>
    </row>
    <row r="5" spans="1:32" ht="6" customHeight="1" x14ac:dyDescent="0.55000000000000004"/>
    <row r="6" spans="1:32" s="6" customFormat="1" x14ac:dyDescent="0.55000000000000004">
      <c r="A6" s="42" t="s">
        <v>11</v>
      </c>
      <c r="B6" s="45" t="s">
        <v>12</v>
      </c>
      <c r="C6" s="45" t="s">
        <v>13</v>
      </c>
      <c r="D6" s="48" t="s">
        <v>14</v>
      </c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33" t="s">
        <v>15</v>
      </c>
    </row>
    <row r="7" spans="1:32" s="6" customFormat="1" ht="12" customHeight="1" x14ac:dyDescent="0.55000000000000004">
      <c r="A7" s="43"/>
      <c r="B7" s="46"/>
      <c r="C7" s="46"/>
      <c r="D7" s="36" t="s">
        <v>16</v>
      </c>
      <c r="E7" s="37"/>
      <c r="F7" s="38"/>
      <c r="G7" s="36" t="s">
        <v>17</v>
      </c>
      <c r="H7" s="37"/>
      <c r="I7" s="38"/>
      <c r="J7" s="36" t="s">
        <v>18</v>
      </c>
      <c r="K7" s="37"/>
      <c r="L7" s="38"/>
      <c r="M7" s="36" t="s">
        <v>19</v>
      </c>
      <c r="N7" s="37"/>
      <c r="O7" s="38"/>
      <c r="P7" s="36" t="s">
        <v>20</v>
      </c>
      <c r="Q7" s="37"/>
      <c r="R7" s="38"/>
      <c r="S7" s="36" t="s">
        <v>21</v>
      </c>
      <c r="T7" s="37"/>
      <c r="U7" s="38"/>
      <c r="V7" s="36" t="s">
        <v>22</v>
      </c>
      <c r="W7" s="37"/>
      <c r="X7" s="38"/>
      <c r="Y7" s="36" t="s">
        <v>23</v>
      </c>
      <c r="Z7" s="37"/>
      <c r="AA7" s="38"/>
      <c r="AB7" s="36" t="s">
        <v>24</v>
      </c>
      <c r="AC7" s="37"/>
      <c r="AD7" s="38"/>
      <c r="AE7" s="49" t="s">
        <v>25</v>
      </c>
      <c r="AF7" s="34"/>
    </row>
    <row r="8" spans="1:32" s="6" customFormat="1" x14ac:dyDescent="0.55000000000000004">
      <c r="A8" s="44"/>
      <c r="B8" s="47"/>
      <c r="C8" s="47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47"/>
      <c r="AF8" s="35"/>
    </row>
    <row r="9" spans="1:32" x14ac:dyDescent="0.55000000000000004">
      <c r="A9" s="20" t="s">
        <v>26</v>
      </c>
      <c r="B9" s="8">
        <v>692</v>
      </c>
      <c r="C9" s="8" t="s">
        <v>27</v>
      </c>
      <c r="D9" s="21"/>
      <c r="E9" s="21"/>
      <c r="F9" s="21"/>
      <c r="G9" s="21"/>
      <c r="H9" s="21"/>
      <c r="I9" s="21"/>
      <c r="J9" s="21"/>
      <c r="K9" s="21"/>
      <c r="L9" s="21">
        <v>40</v>
      </c>
      <c r="M9" s="21">
        <v>20</v>
      </c>
      <c r="N9" s="21">
        <v>20</v>
      </c>
      <c r="O9" s="21">
        <v>40</v>
      </c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2">
        <f>SUM(D9:AE9)</f>
        <v>120</v>
      </c>
    </row>
    <row r="10" spans="1:32" x14ac:dyDescent="0.55000000000000004">
      <c r="A10" s="8" t="s">
        <v>26</v>
      </c>
      <c r="B10" s="8">
        <v>1191</v>
      </c>
      <c r="C10" s="8" t="s">
        <v>82</v>
      </c>
      <c r="D10" s="21"/>
      <c r="E10" s="23"/>
      <c r="F10" s="21"/>
      <c r="G10" s="21"/>
      <c r="H10" s="21"/>
      <c r="I10" s="21"/>
      <c r="J10" s="21"/>
      <c r="K10" s="21"/>
      <c r="L10" s="21">
        <v>40</v>
      </c>
      <c r="M10" s="21">
        <v>52</v>
      </c>
      <c r="N10" s="21">
        <v>20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2">
        <f t="shared" ref="AF10:AF57" si="0">SUM(D10:AE10)</f>
        <v>112</v>
      </c>
    </row>
    <row r="11" spans="1:32" x14ac:dyDescent="0.55000000000000004">
      <c r="A11" s="20" t="s">
        <v>26</v>
      </c>
      <c r="B11" s="8">
        <v>1574</v>
      </c>
      <c r="C11" s="8" t="s">
        <v>83</v>
      </c>
      <c r="D11" s="21"/>
      <c r="E11" s="21"/>
      <c r="F11" s="21"/>
      <c r="G11" s="21"/>
      <c r="H11" s="21"/>
      <c r="I11" s="21"/>
      <c r="J11" s="21"/>
      <c r="K11" s="21"/>
      <c r="L11" s="21">
        <v>40</v>
      </c>
      <c r="M11" s="21">
        <v>60</v>
      </c>
      <c r="N11" s="21">
        <v>20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2">
        <f t="shared" si="0"/>
        <v>120</v>
      </c>
    </row>
    <row r="12" spans="1:32" x14ac:dyDescent="0.55000000000000004">
      <c r="A12" s="20" t="s">
        <v>26</v>
      </c>
      <c r="B12" s="8">
        <v>1725</v>
      </c>
      <c r="C12" s="8" t="s">
        <v>88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>
        <v>40</v>
      </c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2">
        <f t="shared" si="0"/>
        <v>40</v>
      </c>
    </row>
    <row r="13" spans="1:32" x14ac:dyDescent="0.55000000000000004">
      <c r="A13" s="20" t="s">
        <v>26</v>
      </c>
      <c r="B13" s="8">
        <v>397</v>
      </c>
      <c r="C13" s="8" t="s">
        <v>89</v>
      </c>
      <c r="D13" s="21"/>
      <c r="E13" s="21"/>
      <c r="F13" s="21"/>
      <c r="G13" s="21"/>
      <c r="H13" s="21"/>
      <c r="I13" s="21"/>
      <c r="J13" s="21"/>
      <c r="K13" s="21"/>
      <c r="L13" s="21">
        <v>40</v>
      </c>
      <c r="M13" s="21">
        <v>28</v>
      </c>
      <c r="N13" s="21">
        <v>28</v>
      </c>
      <c r="O13" s="21">
        <v>80</v>
      </c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2">
        <f t="shared" si="0"/>
        <v>176</v>
      </c>
    </row>
    <row r="14" spans="1:32" x14ac:dyDescent="0.55000000000000004">
      <c r="A14" s="8" t="s">
        <v>26</v>
      </c>
      <c r="B14" s="8">
        <v>1820</v>
      </c>
      <c r="C14" s="8" t="s">
        <v>90</v>
      </c>
      <c r="D14" s="21"/>
      <c r="E14" s="21"/>
      <c r="F14" s="21"/>
      <c r="G14" s="21"/>
      <c r="H14" s="21"/>
      <c r="I14" s="21"/>
      <c r="J14" s="21"/>
      <c r="K14" s="21"/>
      <c r="L14" s="21">
        <v>40</v>
      </c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2">
        <f>SUM(D14:AE14)</f>
        <v>40</v>
      </c>
    </row>
    <row r="15" spans="1:32" x14ac:dyDescent="0.55000000000000004">
      <c r="A15" s="8"/>
      <c r="B15" s="8"/>
      <c r="C15" s="8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2">
        <f t="shared" si="0"/>
        <v>0</v>
      </c>
    </row>
    <row r="16" spans="1:32" x14ac:dyDescent="0.55000000000000004">
      <c r="A16" s="8"/>
      <c r="B16" s="8"/>
      <c r="C16" s="8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2">
        <f t="shared" si="0"/>
        <v>0</v>
      </c>
    </row>
    <row r="17" spans="1:32" x14ac:dyDescent="0.55000000000000004">
      <c r="A17" s="8"/>
      <c r="B17" s="8"/>
      <c r="C17" s="8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2">
        <f t="shared" si="0"/>
        <v>0</v>
      </c>
    </row>
    <row r="18" spans="1:32" x14ac:dyDescent="0.55000000000000004">
      <c r="A18" s="8"/>
      <c r="B18" s="8"/>
      <c r="C18" s="8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2">
        <f t="shared" si="0"/>
        <v>0</v>
      </c>
    </row>
    <row r="19" spans="1:32" x14ac:dyDescent="0.55000000000000004">
      <c r="A19" s="8"/>
      <c r="B19" s="8"/>
      <c r="C19" s="8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2">
        <f t="shared" si="0"/>
        <v>0</v>
      </c>
    </row>
    <row r="20" spans="1:32" x14ac:dyDescent="0.55000000000000004">
      <c r="A20" s="8"/>
      <c r="B20" s="8"/>
      <c r="C20" s="8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2">
        <f t="shared" si="0"/>
        <v>0</v>
      </c>
    </row>
    <row r="21" spans="1:32" x14ac:dyDescent="0.55000000000000004">
      <c r="A21" s="8"/>
      <c r="B21" s="8"/>
      <c r="C21" s="8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2">
        <f t="shared" si="0"/>
        <v>0</v>
      </c>
    </row>
    <row r="22" spans="1:32" x14ac:dyDescent="0.55000000000000004">
      <c r="A22" s="8"/>
      <c r="B22" s="8"/>
      <c r="C22" s="8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>
        <f t="shared" si="0"/>
        <v>0</v>
      </c>
    </row>
    <row r="23" spans="1:32" x14ac:dyDescent="0.55000000000000004">
      <c r="A23" s="8"/>
      <c r="B23" s="8"/>
      <c r="C23" s="8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2">
        <f t="shared" si="0"/>
        <v>0</v>
      </c>
    </row>
    <row r="24" spans="1:32" x14ac:dyDescent="0.55000000000000004">
      <c r="A24" s="8"/>
      <c r="B24" s="8"/>
      <c r="C24" s="8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2">
        <f t="shared" si="0"/>
        <v>0</v>
      </c>
    </row>
    <row r="25" spans="1:32" x14ac:dyDescent="0.55000000000000004">
      <c r="A25" s="8"/>
      <c r="B25" s="8"/>
      <c r="C25" s="8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2">
        <f t="shared" si="0"/>
        <v>0</v>
      </c>
    </row>
    <row r="26" spans="1:32" x14ac:dyDescent="0.55000000000000004">
      <c r="A26" s="8"/>
      <c r="B26" s="8"/>
      <c r="C26" s="8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2">
        <f t="shared" si="0"/>
        <v>0</v>
      </c>
    </row>
    <row r="27" spans="1:32" x14ac:dyDescent="0.55000000000000004">
      <c r="A27" s="8"/>
      <c r="B27" s="8"/>
      <c r="C27" s="8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2">
        <f t="shared" si="0"/>
        <v>0</v>
      </c>
    </row>
    <row r="28" spans="1:32" x14ac:dyDescent="0.55000000000000004">
      <c r="A28" s="8"/>
      <c r="B28" s="8"/>
      <c r="C28" s="8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2">
        <f t="shared" si="0"/>
        <v>0</v>
      </c>
    </row>
    <row r="29" spans="1:32" x14ac:dyDescent="0.55000000000000004">
      <c r="A29" s="8"/>
      <c r="B29" s="8"/>
      <c r="C29" s="8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2">
        <f t="shared" si="0"/>
        <v>0</v>
      </c>
    </row>
    <row r="30" spans="1:32" x14ac:dyDescent="0.55000000000000004">
      <c r="A30" s="8"/>
      <c r="B30" s="8"/>
      <c r="C30" s="8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2">
        <f t="shared" si="0"/>
        <v>0</v>
      </c>
    </row>
    <row r="31" spans="1:32" x14ac:dyDescent="0.55000000000000004">
      <c r="A31" s="8"/>
      <c r="B31" s="8"/>
      <c r="C31" s="8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2">
        <f t="shared" si="0"/>
        <v>0</v>
      </c>
    </row>
    <row r="32" spans="1:32" x14ac:dyDescent="0.55000000000000004">
      <c r="A32" s="8"/>
      <c r="B32" s="8"/>
      <c r="C32" s="8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2">
        <f t="shared" si="0"/>
        <v>0</v>
      </c>
    </row>
    <row r="33" spans="1:32" x14ac:dyDescent="0.55000000000000004">
      <c r="A33" s="8"/>
      <c r="B33" s="8"/>
      <c r="C33" s="8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2">
        <f t="shared" si="0"/>
        <v>0</v>
      </c>
    </row>
    <row r="34" spans="1:32" x14ac:dyDescent="0.55000000000000004">
      <c r="A34" s="8"/>
      <c r="B34" s="8"/>
      <c r="C34" s="8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2">
        <f t="shared" si="0"/>
        <v>0</v>
      </c>
    </row>
    <row r="35" spans="1:32" x14ac:dyDescent="0.55000000000000004">
      <c r="A35" s="8"/>
      <c r="B35" s="8"/>
      <c r="C35" s="8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2">
        <f t="shared" si="0"/>
        <v>0</v>
      </c>
    </row>
    <row r="36" spans="1:32" x14ac:dyDescent="0.55000000000000004">
      <c r="A36" s="8"/>
      <c r="B36" s="8"/>
      <c r="C36" s="8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2">
        <f t="shared" si="0"/>
        <v>0</v>
      </c>
    </row>
    <row r="37" spans="1:32" x14ac:dyDescent="0.55000000000000004">
      <c r="A37" s="8"/>
      <c r="B37" s="8"/>
      <c r="C37" s="8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2">
        <f t="shared" si="0"/>
        <v>0</v>
      </c>
    </row>
    <row r="38" spans="1:32" x14ac:dyDescent="0.55000000000000004">
      <c r="A38" s="8"/>
      <c r="B38" s="8"/>
      <c r="C38" s="8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2">
        <f t="shared" si="0"/>
        <v>0</v>
      </c>
    </row>
    <row r="39" spans="1:32" x14ac:dyDescent="0.55000000000000004">
      <c r="A39" s="8"/>
      <c r="B39" s="8"/>
      <c r="C39" s="8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2">
        <f t="shared" si="0"/>
        <v>0</v>
      </c>
    </row>
    <row r="40" spans="1:32" x14ac:dyDescent="0.55000000000000004">
      <c r="A40" s="8"/>
      <c r="B40" s="8"/>
      <c r="C40" s="8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2">
        <f t="shared" si="0"/>
        <v>0</v>
      </c>
    </row>
    <row r="41" spans="1:32" x14ac:dyDescent="0.55000000000000004">
      <c r="A41" s="8"/>
      <c r="B41" s="8"/>
      <c r="C41" s="8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2">
        <f t="shared" si="0"/>
        <v>0</v>
      </c>
    </row>
    <row r="42" spans="1:32" x14ac:dyDescent="0.55000000000000004">
      <c r="A42" s="8"/>
      <c r="B42" s="8"/>
      <c r="C42" s="8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2">
        <f t="shared" si="0"/>
        <v>0</v>
      </c>
    </row>
    <row r="43" spans="1:32" x14ac:dyDescent="0.55000000000000004">
      <c r="A43" s="8"/>
      <c r="B43" s="8"/>
      <c r="C43" s="8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2">
        <f t="shared" si="0"/>
        <v>0</v>
      </c>
    </row>
    <row r="44" spans="1:32" x14ac:dyDescent="0.55000000000000004">
      <c r="A44" s="8"/>
      <c r="B44" s="8"/>
      <c r="C44" s="8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2">
        <f t="shared" si="0"/>
        <v>0</v>
      </c>
    </row>
    <row r="45" spans="1:32" x14ac:dyDescent="0.55000000000000004">
      <c r="A45" s="8"/>
      <c r="B45" s="8"/>
      <c r="C45" s="8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2">
        <f t="shared" si="0"/>
        <v>0</v>
      </c>
    </row>
    <row r="46" spans="1:32" x14ac:dyDescent="0.55000000000000004">
      <c r="A46" s="8"/>
      <c r="B46" s="8"/>
      <c r="C46" s="8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2">
        <f t="shared" si="0"/>
        <v>0</v>
      </c>
    </row>
    <row r="47" spans="1:32" x14ac:dyDescent="0.55000000000000004">
      <c r="A47" s="8"/>
      <c r="B47" s="8"/>
      <c r="C47" s="8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2">
        <f t="shared" si="0"/>
        <v>0</v>
      </c>
    </row>
    <row r="48" spans="1:32" x14ac:dyDescent="0.55000000000000004">
      <c r="A48" s="8"/>
      <c r="B48" s="8"/>
      <c r="C48" s="8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2">
        <f t="shared" si="0"/>
        <v>0</v>
      </c>
    </row>
    <row r="49" spans="1:32" x14ac:dyDescent="0.55000000000000004">
      <c r="A49" s="8"/>
      <c r="B49" s="8"/>
      <c r="C49" s="8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2">
        <f t="shared" si="0"/>
        <v>0</v>
      </c>
    </row>
    <row r="50" spans="1:32" x14ac:dyDescent="0.55000000000000004">
      <c r="A50" s="8"/>
      <c r="B50" s="8"/>
      <c r="C50" s="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2">
        <f t="shared" si="0"/>
        <v>0</v>
      </c>
    </row>
    <row r="51" spans="1:32" x14ac:dyDescent="0.55000000000000004">
      <c r="A51" s="8"/>
      <c r="B51" s="8"/>
      <c r="C51" s="8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2">
        <f t="shared" si="0"/>
        <v>0</v>
      </c>
    </row>
    <row r="52" spans="1:32" x14ac:dyDescent="0.55000000000000004">
      <c r="A52" s="8"/>
      <c r="B52" s="8"/>
      <c r="C52" s="8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2">
        <f t="shared" si="0"/>
        <v>0</v>
      </c>
    </row>
    <row r="53" spans="1:32" x14ac:dyDescent="0.55000000000000004">
      <c r="A53" s="8"/>
      <c r="B53" s="8"/>
      <c r="C53" s="8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2">
        <f t="shared" si="0"/>
        <v>0</v>
      </c>
    </row>
    <row r="54" spans="1:32" x14ac:dyDescent="0.55000000000000004">
      <c r="A54" s="8"/>
      <c r="B54" s="8"/>
      <c r="C54" s="8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2">
        <f t="shared" si="0"/>
        <v>0</v>
      </c>
    </row>
    <row r="55" spans="1:32" x14ac:dyDescent="0.55000000000000004">
      <c r="A55" s="8"/>
      <c r="B55" s="8"/>
      <c r="C55" s="8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2">
        <f t="shared" si="0"/>
        <v>0</v>
      </c>
    </row>
    <row r="56" spans="1:32" x14ac:dyDescent="0.55000000000000004">
      <c r="A56" s="8"/>
      <c r="B56" s="8"/>
      <c r="C56" s="8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2">
        <f t="shared" si="0"/>
        <v>0</v>
      </c>
    </row>
    <row r="57" spans="1:32" x14ac:dyDescent="0.55000000000000004">
      <c r="A57" s="8"/>
      <c r="B57" s="8"/>
      <c r="C57" s="8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2">
        <f t="shared" si="0"/>
        <v>0</v>
      </c>
    </row>
    <row r="58" spans="1:32" x14ac:dyDescent="0.55000000000000004">
      <c r="A58" s="39" t="s">
        <v>15</v>
      </c>
      <c r="B58" s="40"/>
      <c r="C58" s="41"/>
      <c r="D58" s="22">
        <f>SUM(D9:D57)</f>
        <v>0</v>
      </c>
      <c r="E58" s="22">
        <f t="shared" ref="E58:AF58" si="1">SUM(E9:E57)</f>
        <v>0</v>
      </c>
      <c r="F58" s="22">
        <f t="shared" si="1"/>
        <v>0</v>
      </c>
      <c r="G58" s="22">
        <f t="shared" si="1"/>
        <v>0</v>
      </c>
      <c r="H58" s="22">
        <f t="shared" si="1"/>
        <v>0</v>
      </c>
      <c r="I58" s="22">
        <f t="shared" si="1"/>
        <v>0</v>
      </c>
      <c r="J58" s="22">
        <f t="shared" si="1"/>
        <v>0</v>
      </c>
      <c r="K58" s="22">
        <f t="shared" si="1"/>
        <v>0</v>
      </c>
      <c r="L58" s="22">
        <f t="shared" si="1"/>
        <v>200</v>
      </c>
      <c r="M58" s="22">
        <f t="shared" si="1"/>
        <v>160</v>
      </c>
      <c r="N58" s="22">
        <f t="shared" si="1"/>
        <v>88</v>
      </c>
      <c r="O58" s="22">
        <f t="shared" si="1"/>
        <v>160</v>
      </c>
      <c r="P58" s="22">
        <f t="shared" si="1"/>
        <v>0</v>
      </c>
      <c r="Q58" s="22">
        <f t="shared" si="1"/>
        <v>0</v>
      </c>
      <c r="R58" s="22">
        <f t="shared" si="1"/>
        <v>0</v>
      </c>
      <c r="S58" s="22">
        <f t="shared" si="1"/>
        <v>0</v>
      </c>
      <c r="T58" s="22">
        <f t="shared" si="1"/>
        <v>0</v>
      </c>
      <c r="U58" s="22">
        <f t="shared" si="1"/>
        <v>0</v>
      </c>
      <c r="V58" s="22">
        <f t="shared" si="1"/>
        <v>0</v>
      </c>
      <c r="W58" s="22">
        <f t="shared" si="1"/>
        <v>0</v>
      </c>
      <c r="X58" s="22">
        <f t="shared" si="1"/>
        <v>0</v>
      </c>
      <c r="Y58" s="22">
        <f t="shared" si="1"/>
        <v>0</v>
      </c>
      <c r="Z58" s="22">
        <f t="shared" si="1"/>
        <v>0</v>
      </c>
      <c r="AA58" s="22">
        <f t="shared" si="1"/>
        <v>0</v>
      </c>
      <c r="AB58" s="22">
        <f t="shared" si="1"/>
        <v>0</v>
      </c>
      <c r="AC58" s="22">
        <f t="shared" si="1"/>
        <v>0</v>
      </c>
      <c r="AD58" s="22">
        <f t="shared" si="1"/>
        <v>0</v>
      </c>
      <c r="AE58" s="22">
        <f t="shared" si="1"/>
        <v>0</v>
      </c>
      <c r="AF58" s="22">
        <f t="shared" si="1"/>
        <v>608</v>
      </c>
    </row>
  </sheetData>
  <mergeCells count="23">
    <mergeCell ref="A58:C58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A15:A57 A14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60"/>
  <sheetViews>
    <sheetView tabSelected="1" topLeftCell="A5" zoomScaleNormal="100" workbookViewId="0">
      <selection activeCell="D23" sqref="D23"/>
    </sheetView>
  </sheetViews>
  <sheetFormatPr defaultColWidth="8.08203125" defaultRowHeight="12.5" x14ac:dyDescent="0.55000000000000004"/>
  <cols>
    <col min="1" max="1" width="14.58203125" style="2" customWidth="1"/>
    <col min="2" max="2" width="7.58203125" style="2" customWidth="1"/>
    <col min="3" max="3" width="14.58203125" style="2" customWidth="1"/>
    <col min="4" max="31" width="8.08203125" style="2" customWidth="1"/>
    <col min="32" max="32" width="11.08203125" style="2" customWidth="1"/>
    <col min="33" max="16384" width="8.08203125" style="2"/>
  </cols>
  <sheetData>
    <row r="1" spans="1:32" ht="19.5" x14ac:dyDescent="0.55000000000000004">
      <c r="A1" s="1" t="s">
        <v>28</v>
      </c>
    </row>
    <row r="2" spans="1:32" ht="5.25" customHeight="1" x14ac:dyDescent="0.55000000000000004">
      <c r="A2" s="1"/>
    </row>
    <row r="3" spans="1:32" x14ac:dyDescent="0.55000000000000004">
      <c r="A3" s="9" t="s">
        <v>2</v>
      </c>
      <c r="B3" s="27"/>
      <c r="C3" s="28"/>
      <c r="D3" s="10" t="s">
        <v>3</v>
      </c>
      <c r="E3" s="24" t="s">
        <v>4</v>
      </c>
      <c r="F3" s="26"/>
      <c r="G3" s="26"/>
      <c r="H3" s="26"/>
      <c r="I3" s="26"/>
      <c r="J3" s="26"/>
      <c r="K3" s="26"/>
      <c r="L3" s="26"/>
      <c r="M3" s="26"/>
      <c r="N3" s="26"/>
      <c r="O3" s="25"/>
    </row>
    <row r="4" spans="1:32" x14ac:dyDescent="0.55000000000000004">
      <c r="A4" s="9" t="s">
        <v>5</v>
      </c>
      <c r="B4" s="27" t="s">
        <v>29</v>
      </c>
      <c r="C4" s="28"/>
      <c r="D4" s="11" t="s">
        <v>7</v>
      </c>
      <c r="E4" s="50">
        <f>社員工数!E4</f>
        <v>0</v>
      </c>
      <c r="F4" s="50"/>
      <c r="G4" s="11" t="s">
        <v>8</v>
      </c>
      <c r="H4" s="31">
        <f>社員工数!H4</f>
        <v>608</v>
      </c>
      <c r="I4" s="31"/>
      <c r="J4" s="11" t="s">
        <v>9</v>
      </c>
      <c r="K4" s="51">
        <f>AF60</f>
        <v>3850000</v>
      </c>
      <c r="L4" s="51"/>
      <c r="M4" s="11" t="s">
        <v>10</v>
      </c>
      <c r="N4" s="51">
        <f>SUMIF(A:A,"経費",AF:AF)</f>
        <v>0</v>
      </c>
      <c r="O4" s="51"/>
    </row>
    <row r="5" spans="1:32" ht="6" customHeight="1" x14ac:dyDescent="0.55000000000000004"/>
    <row r="6" spans="1:32" s="6" customFormat="1" x14ac:dyDescent="0.55000000000000004">
      <c r="A6" s="58" t="s">
        <v>11</v>
      </c>
      <c r="B6" s="61" t="s">
        <v>30</v>
      </c>
      <c r="C6" s="61" t="s">
        <v>13</v>
      </c>
      <c r="D6" s="64" t="s">
        <v>31</v>
      </c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52" t="s">
        <v>15</v>
      </c>
    </row>
    <row r="7" spans="1:32" s="6" customFormat="1" ht="12" customHeight="1" x14ac:dyDescent="0.55000000000000004">
      <c r="A7" s="59"/>
      <c r="B7" s="62"/>
      <c r="C7" s="62"/>
      <c r="D7" s="55" t="s">
        <v>32</v>
      </c>
      <c r="E7" s="56"/>
      <c r="F7" s="57"/>
      <c r="G7" s="55" t="s">
        <v>33</v>
      </c>
      <c r="H7" s="56"/>
      <c r="I7" s="57"/>
      <c r="J7" s="55" t="s">
        <v>34</v>
      </c>
      <c r="K7" s="56"/>
      <c r="L7" s="57"/>
      <c r="M7" s="55" t="s">
        <v>35</v>
      </c>
      <c r="N7" s="56"/>
      <c r="O7" s="57"/>
      <c r="P7" s="55" t="s">
        <v>36</v>
      </c>
      <c r="Q7" s="56"/>
      <c r="R7" s="57"/>
      <c r="S7" s="55" t="s">
        <v>37</v>
      </c>
      <c r="T7" s="56"/>
      <c r="U7" s="57"/>
      <c r="V7" s="55" t="s">
        <v>38</v>
      </c>
      <c r="W7" s="56"/>
      <c r="X7" s="57"/>
      <c r="Y7" s="55" t="s">
        <v>39</v>
      </c>
      <c r="Z7" s="56"/>
      <c r="AA7" s="57"/>
      <c r="AB7" s="55" t="s">
        <v>40</v>
      </c>
      <c r="AC7" s="56"/>
      <c r="AD7" s="57"/>
      <c r="AE7" s="65" t="s">
        <v>25</v>
      </c>
      <c r="AF7" s="53"/>
    </row>
    <row r="8" spans="1:32" s="6" customFormat="1" x14ac:dyDescent="0.55000000000000004">
      <c r="A8" s="60"/>
      <c r="B8" s="63"/>
      <c r="C8" s="63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63"/>
      <c r="AF8" s="54"/>
    </row>
    <row r="9" spans="1:32" x14ac:dyDescent="0.55000000000000004">
      <c r="A9" s="13" t="s">
        <v>41</v>
      </c>
      <c r="B9" s="14">
        <v>4657</v>
      </c>
      <c r="C9" s="13" t="s">
        <v>95</v>
      </c>
      <c r="D9" s="13"/>
      <c r="E9" s="13"/>
      <c r="F9" s="13"/>
      <c r="G9" s="13"/>
      <c r="H9" s="13"/>
      <c r="I9" s="13"/>
      <c r="J9" s="13"/>
      <c r="K9" s="13"/>
      <c r="L9" s="13">
        <v>350000</v>
      </c>
      <c r="M9" s="13">
        <v>700000</v>
      </c>
      <c r="N9" s="13">
        <v>700000</v>
      </c>
      <c r="O9" s="13">
        <v>350000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 t="shared" ref="AF9:AF40" si="0">SUM(D9:AE9)</f>
        <v>2100000</v>
      </c>
    </row>
    <row r="10" spans="1:32" x14ac:dyDescent="0.55000000000000004">
      <c r="A10" s="13" t="s">
        <v>41</v>
      </c>
      <c r="B10" s="14">
        <v>5477</v>
      </c>
      <c r="C10" s="13" t="s">
        <v>84</v>
      </c>
      <c r="D10" s="13"/>
      <c r="E10" s="13"/>
      <c r="F10" s="13"/>
      <c r="G10" s="13"/>
      <c r="H10" s="13"/>
      <c r="I10" s="13"/>
      <c r="J10" s="13"/>
      <c r="K10" s="13"/>
      <c r="L10" s="13">
        <v>175000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si="0"/>
        <v>175000</v>
      </c>
    </row>
    <row r="11" spans="1:32" x14ac:dyDescent="0.55000000000000004">
      <c r="A11" s="13" t="s">
        <v>41</v>
      </c>
      <c r="B11" s="14">
        <v>5412</v>
      </c>
      <c r="C11" s="13" t="s">
        <v>85</v>
      </c>
      <c r="D11" s="13"/>
      <c r="E11" s="13"/>
      <c r="F11" s="13"/>
      <c r="G11" s="13"/>
      <c r="H11" s="13"/>
      <c r="I11" s="13"/>
      <c r="J11" s="13"/>
      <c r="K11" s="13"/>
      <c r="L11" s="13">
        <v>175000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175000</v>
      </c>
    </row>
    <row r="12" spans="1:32" x14ac:dyDescent="0.55000000000000004">
      <c r="A12" s="13" t="s">
        <v>41</v>
      </c>
      <c r="B12" s="14">
        <v>3712</v>
      </c>
      <c r="C12" s="13" t="s">
        <v>86</v>
      </c>
      <c r="D12" s="13"/>
      <c r="E12" s="13"/>
      <c r="F12" s="13"/>
      <c r="G12" s="13"/>
      <c r="H12" s="13"/>
      <c r="I12" s="13"/>
      <c r="J12" s="13"/>
      <c r="K12" s="13"/>
      <c r="L12" s="13">
        <v>175000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175000</v>
      </c>
    </row>
    <row r="13" spans="1:32" x14ac:dyDescent="0.55000000000000004">
      <c r="A13" s="13" t="s">
        <v>41</v>
      </c>
      <c r="B13" s="14">
        <v>5473</v>
      </c>
      <c r="C13" s="13" t="s">
        <v>87</v>
      </c>
      <c r="D13" s="13"/>
      <c r="E13" s="13"/>
      <c r="F13" s="13"/>
      <c r="G13" s="13"/>
      <c r="H13" s="13"/>
      <c r="I13" s="13"/>
      <c r="J13" s="13"/>
      <c r="K13" s="13"/>
      <c r="L13" s="13">
        <v>175000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175000</v>
      </c>
    </row>
    <row r="14" spans="1:32" x14ac:dyDescent="0.55000000000000004">
      <c r="A14" s="13" t="s">
        <v>41</v>
      </c>
      <c r="B14" s="14">
        <v>4617</v>
      </c>
      <c r="C14" s="13" t="s">
        <v>91</v>
      </c>
      <c r="D14" s="13"/>
      <c r="E14" s="13"/>
      <c r="F14" s="13"/>
      <c r="G14" s="13"/>
      <c r="H14" s="13"/>
      <c r="I14" s="13"/>
      <c r="J14" s="13"/>
      <c r="K14" s="13"/>
      <c r="L14" s="13">
        <v>175000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175000</v>
      </c>
    </row>
    <row r="15" spans="1:32" x14ac:dyDescent="0.55000000000000004">
      <c r="A15" s="13" t="s">
        <v>41</v>
      </c>
      <c r="B15" s="14">
        <v>3258</v>
      </c>
      <c r="C15" s="13" t="s">
        <v>92</v>
      </c>
      <c r="D15" s="13"/>
      <c r="E15" s="13"/>
      <c r="F15" s="13"/>
      <c r="G15" s="13"/>
      <c r="H15" s="13"/>
      <c r="I15" s="13"/>
      <c r="J15" s="13"/>
      <c r="K15" s="13"/>
      <c r="L15" s="13">
        <v>175000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175000</v>
      </c>
    </row>
    <row r="16" spans="1:32" x14ac:dyDescent="0.55000000000000004">
      <c r="A16" s="13" t="s">
        <v>41</v>
      </c>
      <c r="B16" s="14">
        <v>4506</v>
      </c>
      <c r="C16" s="13" t="s">
        <v>93</v>
      </c>
      <c r="D16" s="13"/>
      <c r="E16" s="13"/>
      <c r="F16" s="13"/>
      <c r="G16" s="13"/>
      <c r="H16" s="13"/>
      <c r="I16" s="13"/>
      <c r="J16" s="13"/>
      <c r="K16" s="13"/>
      <c r="L16" s="13">
        <v>175000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175000</v>
      </c>
    </row>
    <row r="17" spans="1:32" x14ac:dyDescent="0.55000000000000004">
      <c r="A17" s="13" t="s">
        <v>41</v>
      </c>
      <c r="B17" s="14">
        <v>4959</v>
      </c>
      <c r="C17" s="13" t="s">
        <v>94</v>
      </c>
      <c r="D17" s="13"/>
      <c r="E17" s="13"/>
      <c r="F17" s="13"/>
      <c r="G17" s="13"/>
      <c r="H17" s="13"/>
      <c r="I17" s="13"/>
      <c r="J17" s="13"/>
      <c r="K17" s="13"/>
      <c r="L17" s="13">
        <v>175000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175000</v>
      </c>
    </row>
    <row r="18" spans="1:32" x14ac:dyDescent="0.55000000000000004">
      <c r="A18" s="13" t="s">
        <v>41</v>
      </c>
      <c r="B18" s="14">
        <v>5482</v>
      </c>
      <c r="C18" s="13" t="s">
        <v>96</v>
      </c>
      <c r="D18" s="13"/>
      <c r="E18" s="13"/>
      <c r="F18" s="13"/>
      <c r="G18" s="13"/>
      <c r="H18" s="13"/>
      <c r="I18" s="13"/>
      <c r="J18" s="13"/>
      <c r="K18" s="13"/>
      <c r="L18" s="13">
        <v>175000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175000</v>
      </c>
    </row>
    <row r="19" spans="1:32" x14ac:dyDescent="0.55000000000000004">
      <c r="A19" s="13" t="s">
        <v>41</v>
      </c>
      <c r="B19" s="14">
        <v>4158</v>
      </c>
      <c r="C19" s="13" t="s">
        <v>97</v>
      </c>
      <c r="D19" s="13"/>
      <c r="E19" s="13"/>
      <c r="F19" s="13"/>
      <c r="G19" s="13"/>
      <c r="H19" s="13"/>
      <c r="I19" s="13"/>
      <c r="J19" s="13"/>
      <c r="K19" s="13"/>
      <c r="L19" s="13">
        <v>175000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175000</v>
      </c>
    </row>
    <row r="20" spans="1:32" x14ac:dyDescent="0.55000000000000004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 x14ac:dyDescent="0.55000000000000004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 x14ac:dyDescent="0.55000000000000004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 x14ac:dyDescent="0.55000000000000004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 x14ac:dyDescent="0.55000000000000004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 x14ac:dyDescent="0.55000000000000004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 x14ac:dyDescent="0.55000000000000004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 x14ac:dyDescent="0.55000000000000004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 x14ac:dyDescent="0.55000000000000004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 x14ac:dyDescent="0.55000000000000004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 x14ac:dyDescent="0.55000000000000004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 x14ac:dyDescent="0.55000000000000004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 x14ac:dyDescent="0.55000000000000004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 x14ac:dyDescent="0.55000000000000004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 x14ac:dyDescent="0.55000000000000004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 x14ac:dyDescent="0.55000000000000004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 x14ac:dyDescent="0.55000000000000004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 x14ac:dyDescent="0.55000000000000004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 x14ac:dyDescent="0.55000000000000004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 x14ac:dyDescent="0.55000000000000004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 x14ac:dyDescent="0.55000000000000004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 x14ac:dyDescent="0.55000000000000004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ref="AF41:AF59" si="1">SUM(D41:AE41)</f>
        <v>0</v>
      </c>
    </row>
    <row r="42" spans="1:32" x14ac:dyDescent="0.55000000000000004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1"/>
        <v>0</v>
      </c>
    </row>
    <row r="43" spans="1:32" x14ac:dyDescent="0.55000000000000004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1"/>
        <v>0</v>
      </c>
    </row>
    <row r="44" spans="1:32" x14ac:dyDescent="0.55000000000000004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1"/>
        <v>0</v>
      </c>
    </row>
    <row r="45" spans="1:32" x14ac:dyDescent="0.55000000000000004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1"/>
        <v>0</v>
      </c>
    </row>
    <row r="46" spans="1:32" x14ac:dyDescent="0.55000000000000004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1"/>
        <v>0</v>
      </c>
    </row>
    <row r="47" spans="1:32" x14ac:dyDescent="0.55000000000000004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1"/>
        <v>0</v>
      </c>
    </row>
    <row r="48" spans="1:32" x14ac:dyDescent="0.55000000000000004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1"/>
        <v>0</v>
      </c>
    </row>
    <row r="49" spans="1:32" x14ac:dyDescent="0.55000000000000004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1"/>
        <v>0</v>
      </c>
    </row>
    <row r="50" spans="1:32" x14ac:dyDescent="0.55000000000000004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1"/>
        <v>0</v>
      </c>
    </row>
    <row r="51" spans="1:32" x14ac:dyDescent="0.55000000000000004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1"/>
        <v>0</v>
      </c>
    </row>
    <row r="52" spans="1:32" x14ac:dyDescent="0.55000000000000004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1"/>
        <v>0</v>
      </c>
    </row>
    <row r="53" spans="1:32" x14ac:dyDescent="0.55000000000000004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1"/>
        <v>0</v>
      </c>
    </row>
    <row r="54" spans="1:32" x14ac:dyDescent="0.55000000000000004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1"/>
        <v>0</v>
      </c>
    </row>
    <row r="55" spans="1:32" x14ac:dyDescent="0.55000000000000004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1"/>
        <v>0</v>
      </c>
    </row>
    <row r="56" spans="1:32" x14ac:dyDescent="0.55000000000000004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1"/>
        <v>0</v>
      </c>
    </row>
    <row r="57" spans="1:32" x14ac:dyDescent="0.55000000000000004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1"/>
        <v>0</v>
      </c>
    </row>
    <row r="58" spans="1:32" x14ac:dyDescent="0.55000000000000004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1"/>
        <v>0</v>
      </c>
    </row>
    <row r="59" spans="1:32" x14ac:dyDescent="0.55000000000000004">
      <c r="A59" s="13"/>
      <c r="B59" s="14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5">
        <f t="shared" si="1"/>
        <v>0</v>
      </c>
    </row>
    <row r="60" spans="1:32" x14ac:dyDescent="0.55000000000000004">
      <c r="A60" s="39" t="s">
        <v>15</v>
      </c>
      <c r="B60" s="40"/>
      <c r="C60" s="41"/>
      <c r="D60" s="15">
        <f t="shared" ref="D60:AF60" si="2">SUM(D9:D59)</f>
        <v>0</v>
      </c>
      <c r="E60" s="15">
        <f t="shared" si="2"/>
        <v>0</v>
      </c>
      <c r="F60" s="15">
        <f t="shared" si="2"/>
        <v>0</v>
      </c>
      <c r="G60" s="15">
        <f t="shared" si="2"/>
        <v>0</v>
      </c>
      <c r="H60" s="15">
        <f t="shared" si="2"/>
        <v>0</v>
      </c>
      <c r="I60" s="15">
        <f t="shared" si="2"/>
        <v>0</v>
      </c>
      <c r="J60" s="15">
        <f t="shared" si="2"/>
        <v>0</v>
      </c>
      <c r="K60" s="15">
        <f t="shared" si="2"/>
        <v>0</v>
      </c>
      <c r="L60" s="15">
        <f t="shared" si="2"/>
        <v>2100000</v>
      </c>
      <c r="M60" s="15">
        <f t="shared" si="2"/>
        <v>700000</v>
      </c>
      <c r="N60" s="15">
        <f t="shared" si="2"/>
        <v>700000</v>
      </c>
      <c r="O60" s="15">
        <f t="shared" si="2"/>
        <v>350000</v>
      </c>
      <c r="P60" s="15">
        <f t="shared" si="2"/>
        <v>0</v>
      </c>
      <c r="Q60" s="15">
        <f t="shared" si="2"/>
        <v>0</v>
      </c>
      <c r="R60" s="15">
        <f t="shared" si="2"/>
        <v>0</v>
      </c>
      <c r="S60" s="15">
        <f t="shared" si="2"/>
        <v>0</v>
      </c>
      <c r="T60" s="15">
        <f t="shared" si="2"/>
        <v>0</v>
      </c>
      <c r="U60" s="15">
        <f t="shared" si="2"/>
        <v>0</v>
      </c>
      <c r="V60" s="15">
        <f t="shared" si="2"/>
        <v>0</v>
      </c>
      <c r="W60" s="15">
        <f t="shared" si="2"/>
        <v>0</v>
      </c>
      <c r="X60" s="15">
        <f t="shared" si="2"/>
        <v>0</v>
      </c>
      <c r="Y60" s="15">
        <f t="shared" si="2"/>
        <v>0</v>
      </c>
      <c r="Z60" s="15">
        <f t="shared" si="2"/>
        <v>0</v>
      </c>
      <c r="AA60" s="15">
        <f t="shared" si="2"/>
        <v>0</v>
      </c>
      <c r="AB60" s="15">
        <f t="shared" si="2"/>
        <v>0</v>
      </c>
      <c r="AC60" s="15">
        <f t="shared" si="2"/>
        <v>0</v>
      </c>
      <c r="AD60" s="15">
        <f t="shared" si="2"/>
        <v>0</v>
      </c>
      <c r="AE60" s="15">
        <f t="shared" si="2"/>
        <v>0</v>
      </c>
      <c r="AF60" s="15">
        <f t="shared" si="2"/>
        <v>3850000</v>
      </c>
    </row>
  </sheetData>
  <mergeCells count="22">
    <mergeCell ref="A60:C60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N4:O4"/>
    <mergeCell ref="AF6:AF8"/>
    <mergeCell ref="D7:F7"/>
    <mergeCell ref="G7:I7"/>
    <mergeCell ref="J7:L7"/>
    <mergeCell ref="M7:O7"/>
    <mergeCell ref="P7:R7"/>
    <mergeCell ref="B3:C3"/>
    <mergeCell ref="B4:C4"/>
    <mergeCell ref="E4:F4"/>
    <mergeCell ref="H4:I4"/>
    <mergeCell ref="K4:L4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03B764-5E4C-4AB0-986A-C5CCF563F30D}">
          <x14:formula1>
            <xm:f>リストマスタ!$L$3:$L$13</xm:f>
          </x14:formula1>
          <xm:sqref>A20:A59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opLeftCell="F1" workbookViewId="0">
      <selection activeCell="E20" sqref="E20"/>
    </sheetView>
  </sheetViews>
  <sheetFormatPr defaultColWidth="8.58203125" defaultRowHeight="18" x14ac:dyDescent="0.55000000000000004"/>
  <cols>
    <col min="1" max="1" width="4.58203125" style="17" customWidth="1"/>
    <col min="2" max="2" width="10.5" style="17" customWidth="1"/>
    <col min="3" max="3" width="22" style="17" customWidth="1"/>
    <col min="4" max="4" width="15.08203125" style="17" customWidth="1"/>
    <col min="5" max="5" width="11.08203125" style="17" customWidth="1"/>
    <col min="6" max="6" width="58.08203125" style="17" bestFit="1" customWidth="1"/>
    <col min="7" max="7" width="11.08203125" style="17" customWidth="1"/>
    <col min="8" max="8" width="5.58203125" style="17" customWidth="1"/>
    <col min="9" max="9" width="11.58203125" style="17" customWidth="1"/>
    <col min="10" max="10" width="11.08203125" style="17" customWidth="1"/>
    <col min="11" max="11" width="17.08203125" style="17" bestFit="1" customWidth="1"/>
    <col min="12" max="12" width="11.08203125" style="17" customWidth="1"/>
    <col min="13" max="16384" width="8.58203125" style="17"/>
  </cols>
  <sheetData>
    <row r="1" spans="1:12" x14ac:dyDescent="0.55000000000000004">
      <c r="A1" s="68" t="s">
        <v>42</v>
      </c>
      <c r="B1" s="16" t="s">
        <v>43</v>
      </c>
      <c r="C1" s="68" t="s">
        <v>44</v>
      </c>
      <c r="D1" s="68" t="s">
        <v>45</v>
      </c>
      <c r="E1" s="68" t="s">
        <v>46</v>
      </c>
      <c r="F1" s="68" t="s">
        <v>47</v>
      </c>
      <c r="G1" s="68" t="s">
        <v>48</v>
      </c>
      <c r="H1" s="66" t="s">
        <v>49</v>
      </c>
      <c r="I1" s="67"/>
      <c r="J1" s="68" t="s">
        <v>50</v>
      </c>
      <c r="K1" s="68" t="s">
        <v>51</v>
      </c>
      <c r="L1" s="68" t="s">
        <v>52</v>
      </c>
    </row>
    <row r="2" spans="1:12" x14ac:dyDescent="0.55000000000000004">
      <c r="A2" s="68"/>
      <c r="B2" s="16" t="s">
        <v>53</v>
      </c>
      <c r="C2" s="68"/>
      <c r="D2" s="68"/>
      <c r="E2" s="68"/>
      <c r="F2" s="68"/>
      <c r="G2" s="68"/>
      <c r="H2" s="16" t="s">
        <v>42</v>
      </c>
      <c r="I2" s="16" t="s">
        <v>54</v>
      </c>
      <c r="J2" s="68"/>
      <c r="K2" s="68"/>
      <c r="L2" s="68"/>
    </row>
    <row r="3" spans="1:12" x14ac:dyDescent="0.55000000000000004">
      <c r="A3" s="18">
        <v>1</v>
      </c>
      <c r="B3" s="19">
        <v>0.1</v>
      </c>
      <c r="C3" s="18" t="s">
        <v>55</v>
      </c>
      <c r="D3" s="18" t="s">
        <v>56</v>
      </c>
      <c r="E3" s="18" t="s">
        <v>57</v>
      </c>
      <c r="F3" s="18" t="s">
        <v>58</v>
      </c>
      <c r="G3" s="18" t="s">
        <v>59</v>
      </c>
      <c r="H3" s="18">
        <v>1</v>
      </c>
      <c r="I3" s="18" t="s">
        <v>60</v>
      </c>
      <c r="J3" s="18" t="s">
        <v>61</v>
      </c>
      <c r="K3" s="18" t="s">
        <v>26</v>
      </c>
      <c r="L3" s="18" t="s">
        <v>62</v>
      </c>
    </row>
    <row r="4" spans="1:12" x14ac:dyDescent="0.55000000000000004">
      <c r="A4" s="18">
        <v>2</v>
      </c>
      <c r="B4" s="19"/>
      <c r="C4" s="18"/>
      <c r="D4" s="18"/>
      <c r="E4" s="18" t="s">
        <v>63</v>
      </c>
      <c r="F4" s="18" t="s">
        <v>64</v>
      </c>
      <c r="G4" s="18" t="s">
        <v>65</v>
      </c>
      <c r="H4" s="18">
        <v>2</v>
      </c>
      <c r="I4" s="18" t="s">
        <v>66</v>
      </c>
      <c r="J4" s="18" t="s">
        <v>67</v>
      </c>
      <c r="K4" s="18" t="s">
        <v>68</v>
      </c>
      <c r="L4" s="18" t="s">
        <v>69</v>
      </c>
    </row>
    <row r="5" spans="1:12" x14ac:dyDescent="0.55000000000000004">
      <c r="A5" s="18">
        <v>3</v>
      </c>
      <c r="B5" s="18"/>
      <c r="C5" s="18"/>
      <c r="D5" s="18"/>
      <c r="E5" s="18"/>
      <c r="F5" s="18" t="s">
        <v>70</v>
      </c>
      <c r="G5" s="18" t="s">
        <v>71</v>
      </c>
      <c r="H5" s="18">
        <v>3</v>
      </c>
      <c r="I5" s="18" t="s">
        <v>72</v>
      </c>
      <c r="J5" s="18" t="s">
        <v>73</v>
      </c>
      <c r="K5" s="18" t="s">
        <v>74</v>
      </c>
      <c r="L5" s="18"/>
    </row>
    <row r="6" spans="1:12" x14ac:dyDescent="0.55000000000000004">
      <c r="A6" s="18">
        <v>4</v>
      </c>
      <c r="B6" s="18"/>
      <c r="C6" s="18"/>
      <c r="D6" s="18"/>
      <c r="E6" s="18"/>
      <c r="F6" s="18"/>
      <c r="G6" s="18"/>
      <c r="H6" s="18"/>
      <c r="I6" s="18"/>
      <c r="J6" s="18"/>
      <c r="K6" s="18" t="s">
        <v>75</v>
      </c>
      <c r="L6" s="18"/>
    </row>
    <row r="7" spans="1:12" x14ac:dyDescent="0.55000000000000004">
      <c r="A7" s="18">
        <v>5</v>
      </c>
      <c r="B7" s="18"/>
      <c r="C7" s="18"/>
      <c r="D7" s="18"/>
      <c r="E7" s="18"/>
      <c r="F7" s="18"/>
      <c r="G7" s="18"/>
      <c r="H7" s="18"/>
      <c r="I7" s="18"/>
      <c r="J7" s="18"/>
      <c r="K7" s="18" t="s">
        <v>76</v>
      </c>
      <c r="L7" s="18"/>
    </row>
    <row r="8" spans="1:12" x14ac:dyDescent="0.55000000000000004">
      <c r="A8" s="18">
        <v>6</v>
      </c>
      <c r="B8" s="18"/>
      <c r="C8" s="18"/>
      <c r="D8" s="18"/>
      <c r="E8" s="18"/>
      <c r="F8" s="18"/>
      <c r="G8" s="18"/>
      <c r="H8" s="18"/>
      <c r="I8" s="18"/>
      <c r="J8" s="18"/>
      <c r="K8" s="18" t="s">
        <v>77</v>
      </c>
      <c r="L8" s="18"/>
    </row>
    <row r="9" spans="1:12" x14ac:dyDescent="0.55000000000000004">
      <c r="A9" s="18">
        <v>7</v>
      </c>
      <c r="B9" s="18"/>
      <c r="C9" s="18"/>
      <c r="D9" s="18"/>
      <c r="E9" s="18"/>
      <c r="F9" s="18"/>
      <c r="G9" s="18"/>
      <c r="H9" s="18"/>
      <c r="I9" s="18"/>
      <c r="J9" s="18"/>
      <c r="K9" s="18" t="s">
        <v>78</v>
      </c>
      <c r="L9" s="18"/>
    </row>
    <row r="10" spans="1:12" x14ac:dyDescent="0.55000000000000004">
      <c r="A10" s="18">
        <v>8</v>
      </c>
      <c r="B10" s="18"/>
      <c r="C10" s="18"/>
      <c r="D10" s="18"/>
      <c r="E10" s="18"/>
      <c r="F10" s="18"/>
      <c r="G10" s="18"/>
      <c r="H10" s="18"/>
      <c r="I10" s="18"/>
      <c r="J10" s="18"/>
      <c r="K10" s="18" t="s">
        <v>79</v>
      </c>
      <c r="L10" s="18"/>
    </row>
    <row r="11" spans="1:12" x14ac:dyDescent="0.55000000000000004">
      <c r="A11" s="18">
        <v>9</v>
      </c>
      <c r="B11" s="18"/>
      <c r="C11" s="18"/>
      <c r="D11" s="18"/>
      <c r="E11" s="18"/>
      <c r="F11" s="18"/>
      <c r="G11" s="18"/>
      <c r="H11" s="18"/>
      <c r="I11" s="18"/>
      <c r="J11" s="18"/>
      <c r="K11" s="18" t="s">
        <v>80</v>
      </c>
      <c r="L11" s="18"/>
    </row>
    <row r="12" spans="1:12" x14ac:dyDescent="0.55000000000000004">
      <c r="A12" s="18">
        <v>10</v>
      </c>
      <c r="B12" s="18"/>
      <c r="C12" s="18"/>
      <c r="D12" s="18"/>
      <c r="E12" s="18"/>
      <c r="F12" s="18"/>
      <c r="G12" s="18"/>
      <c r="H12" s="18"/>
      <c r="I12" s="18"/>
      <c r="J12" s="18"/>
      <c r="K12" s="18" t="s">
        <v>81</v>
      </c>
      <c r="L12" s="18"/>
    </row>
    <row r="13" spans="1:12" x14ac:dyDescent="0.55000000000000004">
      <c r="A13" s="18">
        <v>11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b7644d4de02ded20394603be2720d07a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2cb02ba061cb2e2c8687b0626190540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1A7A2F-2173-4D7F-BAE0-C65A7B0E90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E6A4BA-F386-4DF4-9C1E-5FC1525CA7B8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2fd442da-66a9-4fa6-ba31-eb0d54ad1381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49A60F8-E17A-4040-9F5A-9546630000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社員工数</vt:lpstr>
      <vt:lpstr>外注費・経費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石井徹</cp:lastModifiedBy>
  <cp:revision/>
  <dcterms:created xsi:type="dcterms:W3CDTF">2021-04-22T09:34:49Z</dcterms:created>
  <dcterms:modified xsi:type="dcterms:W3CDTF">2025-12-05T07:01:54Z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