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oru.ishii.SYSTEM-EXE\Desktop\新しいフォルダー\"/>
    </mc:Choice>
  </mc:AlternateContent>
  <xr:revisionPtr revIDLastSave="0" documentId="13_ncr:1_{9394E695-5761-4719-ACF1-2A99B11C289D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社員工数" sheetId="1" r:id="rId1"/>
    <sheet name="外注費・経費" sheetId="2" r:id="rId2"/>
    <sheet name="リストマスタ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0" i="2" l="1"/>
  <c r="E3" i="2" l="1"/>
  <c r="E4" i="2" l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AF56" i="2"/>
  <c r="AF55" i="2"/>
  <c r="AF54" i="2"/>
  <c r="AF53" i="2"/>
  <c r="AF52" i="2"/>
  <c r="AF51" i="2"/>
  <c r="AF50" i="2"/>
  <c r="AF49" i="2"/>
  <c r="AF48" i="2"/>
  <c r="AF47" i="2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9" i="2"/>
  <c r="N4" i="2"/>
  <c r="AF58" i="1" l="1"/>
  <c r="H4" i="1" s="1"/>
  <c r="AF57" i="2"/>
  <c r="K4" i="2" s="1"/>
  <c r="K4" i="1" s="1"/>
  <c r="H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渡辺圭</author>
  </authors>
  <commentList>
    <comment ref="B3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初回申請時は空欄ですが問題ありません。</t>
        </r>
      </text>
    </comment>
  </commentList>
</comments>
</file>

<file path=xl/sharedStrings.xml><?xml version="1.0" encoding="utf-8"?>
<sst xmlns="http://schemas.openxmlformats.org/spreadsheetml/2006/main" count="110" uniqueCount="89">
  <si>
    <r>
      <t>社員工数入力（単位：</t>
    </r>
    <r>
      <rPr>
        <sz val="14"/>
        <color rgb="FFFF0000"/>
        <rFont val="Meiryo UI"/>
        <family val="3"/>
        <charset val="128"/>
      </rPr>
      <t>時間</t>
    </r>
    <r>
      <rPr>
        <sz val="14"/>
        <color theme="1"/>
        <rFont val="Meiryo UI"/>
        <family val="3"/>
        <charset val="128"/>
      </rPr>
      <t>）</t>
    </r>
    <rPh sb="7" eb="9">
      <t>タンイ</t>
    </rPh>
    <rPh sb="10" eb="12">
      <t>ジカン</t>
    </rPh>
    <phoneticPr fontId="3"/>
  </si>
  <si>
    <t>小数点以下は受発注システムに入力ができない仕様となってます</t>
    <rPh sb="0" eb="3">
      <t>ショウスウテン</t>
    </rPh>
    <rPh sb="3" eb="5">
      <t>イカ</t>
    </rPh>
    <rPh sb="6" eb="9">
      <t>ジュハッチュウ</t>
    </rPh>
    <rPh sb="14" eb="16">
      <t>ニュウリョク</t>
    </rPh>
    <rPh sb="21" eb="23">
      <t>シヨウ</t>
    </rPh>
    <phoneticPr fontId="3"/>
  </si>
  <si>
    <t>見積番号</t>
    <rPh sb="0" eb="2">
      <t>ミツモリ</t>
    </rPh>
    <rPh sb="2" eb="4">
      <t>バンゴウ</t>
    </rPh>
    <phoneticPr fontId="3"/>
  </si>
  <si>
    <t>案件名</t>
    <rPh sb="0" eb="2">
      <t>アンケン</t>
    </rPh>
    <rPh sb="2" eb="3">
      <t>メイ</t>
    </rPh>
    <phoneticPr fontId="3"/>
  </si>
  <si>
    <t>数量確定システム クラウドアーキ移行（開発フェーズ）</t>
    <rPh sb="0" eb="2">
      <t>スウリョウ</t>
    </rPh>
    <rPh sb="2" eb="4">
      <t>カクテイ</t>
    </rPh>
    <rPh sb="16" eb="18">
      <t>イコウ</t>
    </rPh>
    <rPh sb="19" eb="21">
      <t>カイハツ</t>
    </rPh>
    <phoneticPr fontId="3"/>
  </si>
  <si>
    <t>受注番号</t>
    <rPh sb="0" eb="2">
      <t>ジュチュウ</t>
    </rPh>
    <rPh sb="2" eb="4">
      <t>バンゴウ</t>
    </rPh>
    <phoneticPr fontId="3"/>
  </si>
  <si>
    <t>-</t>
    <phoneticPr fontId="7"/>
  </si>
  <si>
    <t>契約金額</t>
    <rPh sb="0" eb="2">
      <t>ケイヤク</t>
    </rPh>
    <rPh sb="2" eb="4">
      <t>キンガク</t>
    </rPh>
    <phoneticPr fontId="3"/>
  </si>
  <si>
    <t>社員工数</t>
    <rPh sb="0" eb="2">
      <t>シャイン</t>
    </rPh>
    <rPh sb="2" eb="4">
      <t>コウスウ</t>
    </rPh>
    <phoneticPr fontId="3"/>
  </si>
  <si>
    <t>外注費金額</t>
    <rPh sb="0" eb="3">
      <t>ガイチュウヒ</t>
    </rPh>
    <rPh sb="3" eb="5">
      <t>キンガク</t>
    </rPh>
    <phoneticPr fontId="3"/>
  </si>
  <si>
    <t>経費金額</t>
    <rPh sb="0" eb="2">
      <t>ケイヒ</t>
    </rPh>
    <rPh sb="2" eb="4">
      <t>キンガク</t>
    </rPh>
    <phoneticPr fontId="3"/>
  </si>
  <si>
    <t>区分</t>
    <rPh sb="0" eb="2">
      <t>クブン</t>
    </rPh>
    <phoneticPr fontId="3"/>
  </si>
  <si>
    <t>社員番号</t>
    <rPh sb="0" eb="2">
      <t>シャイン</t>
    </rPh>
    <rPh sb="2" eb="4">
      <t>バンゴウ</t>
    </rPh>
    <phoneticPr fontId="3"/>
  </si>
  <si>
    <t>氏名</t>
    <rPh sb="0" eb="2">
      <t>シメイ</t>
    </rPh>
    <phoneticPr fontId="3"/>
  </si>
  <si>
    <t>見積工数</t>
    <rPh sb="2" eb="4">
      <t>コウスウ</t>
    </rPh>
    <phoneticPr fontId="3"/>
  </si>
  <si>
    <t>合計</t>
    <rPh sb="0" eb="2">
      <t>ゴウケイ</t>
    </rPh>
    <phoneticPr fontId="3"/>
  </si>
  <si>
    <t>2025年度1Q</t>
    <phoneticPr fontId="3"/>
  </si>
  <si>
    <t>2025年度2Q</t>
    <phoneticPr fontId="3"/>
  </si>
  <si>
    <t>2025年度3Q</t>
    <phoneticPr fontId="3"/>
  </si>
  <si>
    <t>2025年度4Q</t>
    <phoneticPr fontId="3"/>
  </si>
  <si>
    <t>2026年度1Q</t>
    <phoneticPr fontId="3"/>
  </si>
  <si>
    <t>2026年度2Q</t>
    <phoneticPr fontId="3"/>
  </si>
  <si>
    <t>2026年度3Q</t>
    <phoneticPr fontId="3"/>
  </si>
  <si>
    <t>2026年度4Q</t>
    <phoneticPr fontId="3"/>
  </si>
  <si>
    <t>2027年度1Q</t>
    <phoneticPr fontId="3"/>
  </si>
  <si>
    <t>それ以降</t>
    <rPh sb="2" eb="4">
      <t>イコウ</t>
    </rPh>
    <phoneticPr fontId="3"/>
  </si>
  <si>
    <t>入社済社員</t>
    <rPh sb="0" eb="2">
      <t>ニュウシャ</t>
    </rPh>
    <rPh sb="2" eb="3">
      <t>ズ</t>
    </rPh>
    <rPh sb="3" eb="5">
      <t>シャイン</t>
    </rPh>
    <phoneticPr fontId="10"/>
  </si>
  <si>
    <t>外注費・経費（単位：円）</t>
    <rPh sb="0" eb="3">
      <t>ガイチュウヒ</t>
    </rPh>
    <rPh sb="4" eb="6">
      <t>ケイヒ</t>
    </rPh>
    <rPh sb="7" eb="9">
      <t>タンイ</t>
    </rPh>
    <rPh sb="10" eb="11">
      <t>エン</t>
    </rPh>
    <phoneticPr fontId="3"/>
  </si>
  <si>
    <t>-</t>
  </si>
  <si>
    <t>BPID</t>
    <phoneticPr fontId="3"/>
  </si>
  <si>
    <t>見積金額</t>
    <rPh sb="2" eb="4">
      <t>キンガク</t>
    </rPh>
    <phoneticPr fontId="3"/>
  </si>
  <si>
    <t>2025年度1Q</t>
  </si>
  <si>
    <t>2025年度2Q</t>
  </si>
  <si>
    <t>2025年度3Q</t>
  </si>
  <si>
    <t>2025年度4Q</t>
  </si>
  <si>
    <t>2026年度1Q</t>
  </si>
  <si>
    <t>2026年度2Q</t>
  </si>
  <si>
    <t>2026年度3Q</t>
  </si>
  <si>
    <t>2026年度4Q</t>
  </si>
  <si>
    <t>2027年度1Q</t>
  </si>
  <si>
    <t>BP</t>
  </si>
  <si>
    <t>No</t>
    <phoneticPr fontId="7"/>
  </si>
  <si>
    <t>消費税</t>
    <rPh sb="0" eb="3">
      <t>ショウヒゼイ</t>
    </rPh>
    <phoneticPr fontId="7"/>
  </si>
  <si>
    <t>見積有効期限</t>
    <rPh sb="0" eb="2">
      <t>ミツ</t>
    </rPh>
    <rPh sb="2" eb="4">
      <t>ユウコウ</t>
    </rPh>
    <rPh sb="4" eb="6">
      <t>キゲン</t>
    </rPh>
    <phoneticPr fontId="7"/>
  </si>
  <si>
    <t>作業形態</t>
    <rPh sb="0" eb="2">
      <t>サギョウ</t>
    </rPh>
    <rPh sb="2" eb="4">
      <t>ケイタイ</t>
    </rPh>
    <phoneticPr fontId="7"/>
  </si>
  <si>
    <t>作業場所</t>
    <rPh sb="0" eb="2">
      <t>サギョウ</t>
    </rPh>
    <rPh sb="2" eb="4">
      <t>バショ</t>
    </rPh>
    <phoneticPr fontId="7"/>
  </si>
  <si>
    <t>支払条件</t>
    <rPh sb="0" eb="2">
      <t>シハライ</t>
    </rPh>
    <rPh sb="2" eb="4">
      <t>ジョウケン</t>
    </rPh>
    <phoneticPr fontId="7"/>
  </si>
  <si>
    <t>摘要</t>
    <phoneticPr fontId="7"/>
  </si>
  <si>
    <t>契約区分</t>
    <rPh sb="0" eb="2">
      <t>ケイヤク</t>
    </rPh>
    <rPh sb="2" eb="4">
      <t>クブン</t>
    </rPh>
    <phoneticPr fontId="7"/>
  </si>
  <si>
    <t>単位</t>
    <rPh sb="0" eb="2">
      <t>タンイ</t>
    </rPh>
    <phoneticPr fontId="7"/>
  </si>
  <si>
    <t>社員区分</t>
    <rPh sb="0" eb="2">
      <t>シャイン</t>
    </rPh>
    <rPh sb="2" eb="4">
      <t>クブン</t>
    </rPh>
    <phoneticPr fontId="10"/>
  </si>
  <si>
    <t>経費区分</t>
    <rPh sb="0" eb="2">
      <t>ケイヒ</t>
    </rPh>
    <rPh sb="2" eb="4">
      <t>クブン</t>
    </rPh>
    <phoneticPr fontId="10"/>
  </si>
  <si>
    <t>税率</t>
    <rPh sb="0" eb="2">
      <t>ゼイリツ</t>
    </rPh>
    <phoneticPr fontId="7"/>
  </si>
  <si>
    <t>契約名</t>
    <rPh sb="0" eb="2">
      <t>ケイヤク</t>
    </rPh>
    <rPh sb="2" eb="3">
      <t>メイ</t>
    </rPh>
    <phoneticPr fontId="7"/>
  </si>
  <si>
    <t>見積年月日より一ヶ月後</t>
    <rPh sb="0" eb="2">
      <t>ミツモリ</t>
    </rPh>
    <rPh sb="2" eb="5">
      <t>ネンガッピ</t>
    </rPh>
    <rPh sb="7" eb="8">
      <t>イッ</t>
    </rPh>
    <rPh sb="9" eb="11">
      <t>ゲツゴ</t>
    </rPh>
    <phoneticPr fontId="7"/>
  </si>
  <si>
    <t>準委任契約</t>
  </si>
  <si>
    <t>貴社内</t>
    <rPh sb="0" eb="2">
      <t>キシャ</t>
    </rPh>
    <rPh sb="2" eb="3">
      <t>ウチ</t>
    </rPh>
    <phoneticPr fontId="7"/>
  </si>
  <si>
    <t>検収後翌月15日払い（但し、金融機関休業日の場合はその前営業日）</t>
    <rPh sb="7" eb="8">
      <t>ニチ</t>
    </rPh>
    <rPh sb="27" eb="28">
      <t>ゼン</t>
    </rPh>
    <phoneticPr fontId="7"/>
  </si>
  <si>
    <t>ﾌﾟﾛｸﾞﾗﾏ</t>
    <phoneticPr fontId="7"/>
  </si>
  <si>
    <t>固定契約</t>
    <rPh sb="0" eb="2">
      <t>コテイ</t>
    </rPh>
    <rPh sb="2" eb="4">
      <t>ケイヤク</t>
    </rPh>
    <phoneticPr fontId="7"/>
  </si>
  <si>
    <t>人月</t>
    <rPh sb="0" eb="1">
      <t>ニン</t>
    </rPh>
    <rPh sb="1" eb="2">
      <t>ゲツ</t>
    </rPh>
    <phoneticPr fontId="10"/>
  </si>
  <si>
    <t>BP</t>
    <phoneticPr fontId="10"/>
  </si>
  <si>
    <t>弊社内</t>
    <rPh sb="0" eb="2">
      <t>ヘイシャ</t>
    </rPh>
    <rPh sb="2" eb="3">
      <t>ウチ</t>
    </rPh>
    <phoneticPr fontId="7"/>
  </si>
  <si>
    <t>検収後翌月末日払い（但し、金融機関休業日の場合はその翌営業日）</t>
    <phoneticPr fontId="7"/>
  </si>
  <si>
    <t>ｼｽﾃﾑｴﾝｼﾞﾆｱ</t>
    <phoneticPr fontId="7"/>
  </si>
  <si>
    <t>変動契約</t>
    <rPh sb="0" eb="2">
      <t>ヘンドウ</t>
    </rPh>
    <rPh sb="2" eb="4">
      <t>ケイヤク</t>
    </rPh>
    <phoneticPr fontId="7"/>
  </si>
  <si>
    <t>人日</t>
    <rPh sb="0" eb="1">
      <t>ニン</t>
    </rPh>
    <rPh sb="1" eb="2">
      <t>ニチ</t>
    </rPh>
    <phoneticPr fontId="10"/>
  </si>
  <si>
    <t>計画要員（等級1）</t>
    <rPh sb="0" eb="2">
      <t>ケイカク</t>
    </rPh>
    <rPh sb="2" eb="4">
      <t>ヨウイン</t>
    </rPh>
    <rPh sb="5" eb="7">
      <t>トウキュウ</t>
    </rPh>
    <phoneticPr fontId="10"/>
  </si>
  <si>
    <t>経費</t>
    <rPh sb="0" eb="2">
      <t>ケイヒ</t>
    </rPh>
    <phoneticPr fontId="10"/>
  </si>
  <si>
    <t>検収後翌々月10日払い（但し、金融機関休業日の場合はその翌営業日）</t>
    <rPh sb="3" eb="5">
      <t>ヨクヨク</t>
    </rPh>
    <phoneticPr fontId="7"/>
  </si>
  <si>
    <t>ｵﾍﾟﾚｰﾀ</t>
    <phoneticPr fontId="7"/>
  </si>
  <si>
    <t>時間契約</t>
    <rPh sb="0" eb="2">
      <t>ジカン</t>
    </rPh>
    <rPh sb="2" eb="4">
      <t>ケイヤク</t>
    </rPh>
    <phoneticPr fontId="7"/>
  </si>
  <si>
    <t>時給</t>
    <rPh sb="0" eb="1">
      <t>ジ</t>
    </rPh>
    <rPh sb="1" eb="2">
      <t>キュウ</t>
    </rPh>
    <phoneticPr fontId="10"/>
  </si>
  <si>
    <t>計画要員（等級2）</t>
    <rPh sb="0" eb="2">
      <t>ケイカク</t>
    </rPh>
    <rPh sb="2" eb="4">
      <t>ヨウイン</t>
    </rPh>
    <rPh sb="5" eb="7">
      <t>トウキュウ</t>
    </rPh>
    <phoneticPr fontId="10"/>
  </si>
  <si>
    <t>計画要員（等級3）</t>
    <rPh sb="0" eb="2">
      <t>ケイカク</t>
    </rPh>
    <rPh sb="2" eb="4">
      <t>ヨウイン</t>
    </rPh>
    <rPh sb="5" eb="7">
      <t>トウキュウ</t>
    </rPh>
    <phoneticPr fontId="11"/>
  </si>
  <si>
    <t>計画要員（等級4）</t>
    <rPh sb="0" eb="2">
      <t>ケイカク</t>
    </rPh>
    <rPh sb="2" eb="4">
      <t>ヨウイン</t>
    </rPh>
    <rPh sb="5" eb="7">
      <t>トウキュウ</t>
    </rPh>
    <phoneticPr fontId="11"/>
  </si>
  <si>
    <t>計画要員（等級5）</t>
    <rPh sb="0" eb="2">
      <t>ケイカク</t>
    </rPh>
    <rPh sb="2" eb="4">
      <t>ヨウイン</t>
    </rPh>
    <rPh sb="5" eb="7">
      <t>トウキュウ</t>
    </rPh>
    <phoneticPr fontId="11"/>
  </si>
  <si>
    <t>計画要員（等級6）</t>
    <rPh sb="0" eb="2">
      <t>ケイカク</t>
    </rPh>
    <rPh sb="2" eb="4">
      <t>ヨウイン</t>
    </rPh>
    <rPh sb="5" eb="7">
      <t>トウキュウ</t>
    </rPh>
    <phoneticPr fontId="11"/>
  </si>
  <si>
    <t>計画要員（等級7）</t>
    <rPh sb="0" eb="2">
      <t>ケイカク</t>
    </rPh>
    <rPh sb="2" eb="4">
      <t>ヨウイン</t>
    </rPh>
    <rPh sb="5" eb="7">
      <t>トウキュウ</t>
    </rPh>
    <phoneticPr fontId="11"/>
  </si>
  <si>
    <t>計画要員（等級8）</t>
    <rPh sb="0" eb="2">
      <t>ケイカク</t>
    </rPh>
    <rPh sb="2" eb="4">
      <t>ヨウイン</t>
    </rPh>
    <rPh sb="5" eb="7">
      <t>トウキュウ</t>
    </rPh>
    <phoneticPr fontId="11"/>
  </si>
  <si>
    <t>計画要員（等級9）</t>
    <rPh sb="0" eb="2">
      <t>ケイカク</t>
    </rPh>
    <rPh sb="2" eb="4">
      <t>ヨウイン</t>
    </rPh>
    <rPh sb="5" eb="7">
      <t>トウキュウ</t>
    </rPh>
    <phoneticPr fontId="11"/>
  </si>
  <si>
    <t>野村康二</t>
    <rPh sb="0" eb="4">
      <t>ノムラコウジ</t>
    </rPh>
    <phoneticPr fontId="3"/>
  </si>
  <si>
    <t>天川絢弥</t>
  </si>
  <si>
    <t>馬場勇輝</t>
    <phoneticPr fontId="3"/>
  </si>
  <si>
    <t>NguyenTanDuoc</t>
  </si>
  <si>
    <t>TranQuocDuy</t>
  </si>
  <si>
    <t>LePhamBaoLoc</t>
  </si>
  <si>
    <t>CaoThiMaiTram</t>
  </si>
  <si>
    <t>ﾌﾞｲｸｱﾝﾃｨｴﾝ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</si>
</sst>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¥&quot;#,##0;&quot;¥&quot;\-#,##0"/>
    <numFmt numFmtId="6" formatCode="&quot;¥&quot;#,##0;[Red]&quot;¥&quot;\-#,##0"/>
    <numFmt numFmtId="176" formatCode="m&quot;月&quot;"/>
    <numFmt numFmtId="177" formatCode="&quot;¥&quot;#,##0_);[Red]\(&quot;¥&quot;#,##0\)"/>
    <numFmt numFmtId="178" formatCode="#,##0_ "/>
    <numFmt numFmtId="179" formatCode="0.00&quot;時間&quot;"/>
    <numFmt numFmtId="180" formatCode="0_ "/>
  </numFmts>
  <fonts count="1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4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4"/>
      <color rgb="FFFF0000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6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color theme="1" tint="0.24994659260841701"/>
      <name val="Meiryo UI"/>
      <family val="3"/>
      <charset val="128"/>
    </font>
    <font>
      <sz val="11"/>
      <name val="Meiryo UI"/>
      <family val="3"/>
      <charset val="128"/>
    </font>
    <font>
      <b/>
      <sz val="20"/>
      <name val="ＭＳ Ｐ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AFB7D8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rgb="FF00579D"/>
      </left>
      <right style="thin">
        <color rgb="FF00579D"/>
      </right>
      <top style="thin">
        <color rgb="FF00579D"/>
      </top>
      <bottom style="thin">
        <color rgb="FF00579D"/>
      </bottom>
      <diagonal/>
    </border>
    <border>
      <left style="thin">
        <color rgb="FF00579D"/>
      </left>
      <right/>
      <top style="thin">
        <color rgb="FF00579D"/>
      </top>
      <bottom style="thin">
        <color rgb="FF00579D"/>
      </bottom>
      <diagonal/>
    </border>
    <border>
      <left/>
      <right style="thin">
        <color rgb="FF00579D"/>
      </right>
      <top style="thin">
        <color rgb="FF00579D"/>
      </top>
      <bottom style="thin">
        <color rgb="FF00579D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66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5" fillId="0" borderId="0" xfId="1" applyFont="1">
      <alignment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76" fontId="6" fillId="2" borderId="16" xfId="1" applyNumberFormat="1" applyFont="1" applyFill="1" applyBorder="1" applyAlignment="1">
      <alignment horizontal="center" vertical="center"/>
    </xf>
    <xf numFmtId="0" fontId="4" fillId="4" borderId="4" xfId="1" applyFont="1" applyFill="1" applyBorder="1" applyProtection="1">
      <alignment vertical="center"/>
      <protection locked="0"/>
    </xf>
    <xf numFmtId="0" fontId="6" fillId="5" borderId="1" xfId="1" applyFont="1" applyFill="1" applyBorder="1" applyAlignment="1">
      <alignment horizontal="center" vertical="center"/>
    </xf>
    <xf numFmtId="0" fontId="6" fillId="5" borderId="18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176" fontId="6" fillId="5" borderId="16" xfId="1" applyNumberFormat="1" applyFont="1" applyFill="1" applyBorder="1" applyAlignment="1">
      <alignment horizontal="center" vertical="center"/>
    </xf>
    <xf numFmtId="38" fontId="4" fillId="4" borderId="4" xfId="2" applyFont="1" applyFill="1" applyBorder="1" applyAlignment="1" applyProtection="1">
      <alignment vertical="center"/>
      <protection locked="0"/>
    </xf>
    <xf numFmtId="0" fontId="4" fillId="4" borderId="4" xfId="2" applyNumberFormat="1" applyFont="1" applyFill="1" applyBorder="1" applyAlignment="1" applyProtection="1">
      <alignment vertical="center"/>
      <protection locked="0"/>
    </xf>
    <xf numFmtId="178" fontId="4" fillId="3" borderId="4" xfId="1" applyNumberFormat="1" applyFont="1" applyFill="1" applyBorder="1">
      <alignment vertical="center"/>
    </xf>
    <xf numFmtId="0" fontId="9" fillId="6" borderId="19" xfId="0" applyFont="1" applyFill="1" applyBorder="1" applyAlignment="1">
      <alignment horizontal="center" vertical="center"/>
    </xf>
    <xf numFmtId="0" fontId="0" fillId="0" borderId="0" xfId="0" applyAlignment="1"/>
    <xf numFmtId="0" fontId="9" fillId="7" borderId="19" xfId="0" applyFont="1" applyFill="1" applyBorder="1" applyAlignment="1"/>
    <xf numFmtId="9" fontId="9" fillId="7" borderId="19" xfId="0" applyNumberFormat="1" applyFont="1" applyFill="1" applyBorder="1" applyAlignment="1"/>
    <xf numFmtId="0" fontId="4" fillId="4" borderId="4" xfId="3" applyFont="1" applyFill="1" applyBorder="1" applyProtection="1">
      <alignment vertical="center"/>
      <protection locked="0"/>
    </xf>
    <xf numFmtId="180" fontId="4" fillId="4" borderId="4" xfId="1" applyNumberFormat="1" applyFont="1" applyFill="1" applyBorder="1" applyProtection="1">
      <alignment vertical="center"/>
      <protection locked="0"/>
    </xf>
    <xf numFmtId="180" fontId="4" fillId="3" borderId="4" xfId="1" applyNumberFormat="1" applyFont="1" applyFill="1" applyBorder="1">
      <alignment vertical="center"/>
    </xf>
    <xf numFmtId="180" fontId="4" fillId="4" borderId="0" xfId="1" applyNumberFormat="1" applyFont="1" applyFill="1" applyProtection="1">
      <alignment vertical="center"/>
      <protection locked="0"/>
    </xf>
    <xf numFmtId="0" fontId="4" fillId="3" borderId="2" xfId="1" applyFont="1" applyFill="1" applyBorder="1">
      <alignment vertical="center"/>
    </xf>
    <xf numFmtId="0" fontId="4" fillId="3" borderId="3" xfId="1" applyFont="1" applyFill="1" applyBorder="1">
      <alignment vertical="center"/>
    </xf>
    <xf numFmtId="0" fontId="4" fillId="3" borderId="5" xfId="1" applyFont="1" applyFill="1" applyBorder="1">
      <alignment vertical="center"/>
    </xf>
    <xf numFmtId="6" fontId="4" fillId="3" borderId="4" xfId="2" applyNumberFormat="1" applyFont="1" applyFill="1" applyBorder="1" applyAlignment="1" applyProtection="1">
      <alignment vertical="center"/>
    </xf>
    <xf numFmtId="179" fontId="4" fillId="3" borderId="4" xfId="1" applyNumberFormat="1" applyFont="1" applyFill="1" applyBorder="1">
      <alignment vertical="center"/>
    </xf>
    <xf numFmtId="5" fontId="4" fillId="3" borderId="4" xfId="1" applyNumberFormat="1" applyFont="1" applyFill="1" applyBorder="1">
      <alignment vertical="center"/>
    </xf>
    <xf numFmtId="0" fontId="6" fillId="2" borderId="8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6" fillId="2" borderId="11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4" fillId="0" borderId="2" xfId="1" applyFont="1" applyBorder="1" applyAlignment="1">
      <alignment horizontal="right" vertical="center"/>
    </xf>
    <xf numFmtId="0" fontId="4" fillId="0" borderId="5" xfId="1" applyFont="1" applyBorder="1" applyAlignment="1">
      <alignment horizontal="right" vertical="center"/>
    </xf>
    <xf numFmtId="0" fontId="4" fillId="0" borderId="3" xfId="1" applyFont="1" applyBorder="1" applyAlignment="1">
      <alignment horizontal="right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left" vertical="center"/>
    </xf>
    <xf numFmtId="0" fontId="6" fillId="2" borderId="10" xfId="1" applyFont="1" applyFill="1" applyBorder="1" applyAlignment="1">
      <alignment horizontal="center" vertical="center" wrapText="1"/>
    </xf>
    <xf numFmtId="6" fontId="4" fillId="3" borderId="4" xfId="2" applyNumberFormat="1" applyFont="1" applyFill="1" applyBorder="1" applyAlignment="1">
      <alignment vertical="center"/>
    </xf>
    <xf numFmtId="177" fontId="4" fillId="3" borderId="4" xfId="1" applyNumberFormat="1" applyFont="1" applyFill="1" applyBorder="1">
      <alignment vertical="center"/>
    </xf>
    <xf numFmtId="0" fontId="6" fillId="5" borderId="8" xfId="1" applyFont="1" applyFill="1" applyBorder="1" applyAlignment="1">
      <alignment horizontal="center" vertical="center"/>
    </xf>
    <xf numFmtId="0" fontId="6" fillId="5" borderId="14" xfId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1" xfId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center" vertical="center"/>
    </xf>
    <xf numFmtId="0" fontId="6" fillId="5" borderId="13" xfId="1" applyFont="1" applyFill="1" applyBorder="1" applyAlignment="1">
      <alignment horizontal="center" vertical="center"/>
    </xf>
    <xf numFmtId="0" fontId="6" fillId="5" borderId="6" xfId="1" applyFont="1" applyFill="1" applyBorder="1" applyAlignment="1">
      <alignment horizontal="center" vertical="center"/>
    </xf>
    <xf numFmtId="0" fontId="6" fillId="5" borderId="9" xfId="1" applyFont="1" applyFill="1" applyBorder="1" applyAlignment="1">
      <alignment horizontal="center" vertical="center"/>
    </xf>
    <xf numFmtId="0" fontId="6" fillId="5" borderId="15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/>
    </xf>
    <xf numFmtId="0" fontId="6" fillId="5" borderId="16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left" vertical="center"/>
    </xf>
    <xf numFmtId="0" fontId="6" fillId="5" borderId="10" xfId="1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/>
    </xf>
    <xf numFmtId="0" fontId="9" fillId="6" borderId="21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</cellXfs>
  <cellStyles count="4">
    <cellStyle name="桁区切り 2" xfId="2" xr:uid="{00000000-0005-0000-0000-000000000000}"/>
    <cellStyle name="標準" xfId="0" builtinId="0"/>
    <cellStyle name="標準 2" xfId="1" xr:uid="{00000000-0005-0000-0000-000002000000}"/>
    <cellStyle name="標準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8"/>
  <sheetViews>
    <sheetView topLeftCell="F1" zoomScale="130" zoomScaleNormal="130" workbookViewId="0">
      <selection activeCell="Q21" sqref="Q21"/>
    </sheetView>
  </sheetViews>
  <sheetFormatPr defaultColWidth="8.08203125" defaultRowHeight="12.5" x14ac:dyDescent="0.55000000000000004"/>
  <cols>
    <col min="1" max="1" width="14.58203125" style="2" customWidth="1"/>
    <col min="2" max="2" width="7.58203125" style="2" bestFit="1" customWidth="1"/>
    <col min="3" max="3" width="14.58203125" style="2" customWidth="1"/>
    <col min="4" max="31" width="7" style="2" customWidth="1"/>
    <col min="32" max="32" width="7.58203125" style="2" customWidth="1"/>
    <col min="33" max="16384" width="8.08203125" style="2"/>
  </cols>
  <sheetData>
    <row r="1" spans="1:32" ht="19.5" x14ac:dyDescent="0.55000000000000004">
      <c r="A1" s="1" t="s">
        <v>0</v>
      </c>
      <c r="D1" s="3" t="s">
        <v>1</v>
      </c>
    </row>
    <row r="2" spans="1:32" ht="5.25" customHeight="1" x14ac:dyDescent="0.55000000000000004">
      <c r="A2" s="1"/>
    </row>
    <row r="3" spans="1:32" x14ac:dyDescent="0.55000000000000004">
      <c r="A3" s="4" t="s">
        <v>2</v>
      </c>
      <c r="B3" s="24"/>
      <c r="C3" s="25"/>
      <c r="D3" s="5" t="s">
        <v>3</v>
      </c>
      <c r="E3" s="24" t="s">
        <v>4</v>
      </c>
      <c r="F3" s="26"/>
      <c r="G3" s="26"/>
      <c r="H3" s="26"/>
      <c r="I3" s="26"/>
      <c r="J3" s="26"/>
      <c r="K3" s="26"/>
      <c r="L3" s="26"/>
      <c r="M3" s="26"/>
      <c r="N3" s="26"/>
      <c r="O3" s="25"/>
    </row>
    <row r="4" spans="1:32" x14ac:dyDescent="0.55000000000000004">
      <c r="A4" s="5" t="s">
        <v>5</v>
      </c>
      <c r="B4" s="24" t="s">
        <v>6</v>
      </c>
      <c r="C4" s="25"/>
      <c r="D4" s="5" t="s">
        <v>7</v>
      </c>
      <c r="E4" s="27"/>
      <c r="F4" s="27"/>
      <c r="G4" s="5" t="s">
        <v>8</v>
      </c>
      <c r="H4" s="28">
        <f>AF58</f>
        <v>420</v>
      </c>
      <c r="I4" s="28"/>
      <c r="J4" s="5" t="s">
        <v>9</v>
      </c>
      <c r="K4" s="29">
        <f>外注費・経費!K4</f>
        <v>3500000</v>
      </c>
      <c r="L4" s="29"/>
      <c r="M4" s="5" t="s">
        <v>10</v>
      </c>
      <c r="N4" s="29">
        <v>0</v>
      </c>
      <c r="O4" s="29"/>
    </row>
    <row r="5" spans="1:32" ht="6" customHeight="1" x14ac:dyDescent="0.55000000000000004"/>
    <row r="6" spans="1:32" s="6" customFormat="1" x14ac:dyDescent="0.55000000000000004">
      <c r="A6" s="39" t="s">
        <v>11</v>
      </c>
      <c r="B6" s="42" t="s">
        <v>12</v>
      </c>
      <c r="C6" s="42" t="s">
        <v>13</v>
      </c>
      <c r="D6" s="45" t="s">
        <v>14</v>
      </c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30" t="s">
        <v>15</v>
      </c>
    </row>
    <row r="7" spans="1:32" s="6" customFormat="1" ht="12" customHeight="1" x14ac:dyDescent="0.55000000000000004">
      <c r="A7" s="40"/>
      <c r="B7" s="43"/>
      <c r="C7" s="43"/>
      <c r="D7" s="33" t="s">
        <v>16</v>
      </c>
      <c r="E7" s="34"/>
      <c r="F7" s="35"/>
      <c r="G7" s="33" t="s">
        <v>17</v>
      </c>
      <c r="H7" s="34"/>
      <c r="I7" s="35"/>
      <c r="J7" s="33" t="s">
        <v>18</v>
      </c>
      <c r="K7" s="34"/>
      <c r="L7" s="35"/>
      <c r="M7" s="33" t="s">
        <v>19</v>
      </c>
      <c r="N7" s="34"/>
      <c r="O7" s="35"/>
      <c r="P7" s="33" t="s">
        <v>20</v>
      </c>
      <c r="Q7" s="34"/>
      <c r="R7" s="35"/>
      <c r="S7" s="33" t="s">
        <v>21</v>
      </c>
      <c r="T7" s="34"/>
      <c r="U7" s="35"/>
      <c r="V7" s="33" t="s">
        <v>22</v>
      </c>
      <c r="W7" s="34"/>
      <c r="X7" s="35"/>
      <c r="Y7" s="33" t="s">
        <v>23</v>
      </c>
      <c r="Z7" s="34"/>
      <c r="AA7" s="35"/>
      <c r="AB7" s="33" t="s">
        <v>24</v>
      </c>
      <c r="AC7" s="34"/>
      <c r="AD7" s="35"/>
      <c r="AE7" s="46" t="s">
        <v>25</v>
      </c>
      <c r="AF7" s="31"/>
    </row>
    <row r="8" spans="1:32" s="6" customFormat="1" x14ac:dyDescent="0.55000000000000004">
      <c r="A8" s="41"/>
      <c r="B8" s="44"/>
      <c r="C8" s="44"/>
      <c r="D8" s="7">
        <v>44287</v>
      </c>
      <c r="E8" s="7">
        <v>44317</v>
      </c>
      <c r="F8" s="7">
        <v>44348</v>
      </c>
      <c r="G8" s="7">
        <v>44378</v>
      </c>
      <c r="H8" s="7">
        <v>44409</v>
      </c>
      <c r="I8" s="7">
        <v>44440</v>
      </c>
      <c r="J8" s="7">
        <v>44470</v>
      </c>
      <c r="K8" s="7">
        <v>44501</v>
      </c>
      <c r="L8" s="7">
        <v>44531</v>
      </c>
      <c r="M8" s="7">
        <v>44562</v>
      </c>
      <c r="N8" s="7">
        <v>44593</v>
      </c>
      <c r="O8" s="7">
        <v>44621</v>
      </c>
      <c r="P8" s="7">
        <v>44287</v>
      </c>
      <c r="Q8" s="7">
        <v>44317</v>
      </c>
      <c r="R8" s="7">
        <v>44348</v>
      </c>
      <c r="S8" s="7">
        <v>44378</v>
      </c>
      <c r="T8" s="7">
        <v>44409</v>
      </c>
      <c r="U8" s="7">
        <v>44440</v>
      </c>
      <c r="V8" s="7">
        <v>44470</v>
      </c>
      <c r="W8" s="7">
        <v>44501</v>
      </c>
      <c r="X8" s="7">
        <v>44531</v>
      </c>
      <c r="Y8" s="7">
        <v>44562</v>
      </c>
      <c r="Z8" s="7">
        <v>44593</v>
      </c>
      <c r="AA8" s="7">
        <v>44621</v>
      </c>
      <c r="AB8" s="7">
        <v>44287</v>
      </c>
      <c r="AC8" s="7">
        <v>44317</v>
      </c>
      <c r="AD8" s="7">
        <v>44348</v>
      </c>
      <c r="AE8" s="44"/>
      <c r="AF8" s="32"/>
    </row>
    <row r="9" spans="1:32" x14ac:dyDescent="0.55000000000000004">
      <c r="A9" s="20" t="s">
        <v>26</v>
      </c>
      <c r="B9" s="8">
        <v>692</v>
      </c>
      <c r="C9" s="8" t="s">
        <v>81</v>
      </c>
      <c r="D9" s="21"/>
      <c r="E9" s="21"/>
      <c r="F9" s="21"/>
      <c r="G9" s="21"/>
      <c r="H9" s="21"/>
      <c r="I9" s="21"/>
      <c r="J9" s="21"/>
      <c r="K9" s="21"/>
      <c r="L9" s="21">
        <v>40</v>
      </c>
      <c r="M9" s="21">
        <v>20</v>
      </c>
      <c r="N9" s="21">
        <v>40</v>
      </c>
      <c r="O9" s="21">
        <v>40</v>
      </c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2">
        <f t="shared" ref="AF9:AF57" si="0">SUM(D9:AE9)</f>
        <v>140</v>
      </c>
    </row>
    <row r="10" spans="1:32" x14ac:dyDescent="0.55000000000000004">
      <c r="A10" s="8" t="s">
        <v>26</v>
      </c>
      <c r="B10" s="8">
        <v>1191</v>
      </c>
      <c r="C10" s="8" t="s">
        <v>82</v>
      </c>
      <c r="D10" s="21"/>
      <c r="E10" s="23"/>
      <c r="F10" s="21"/>
      <c r="G10" s="21"/>
      <c r="H10" s="21"/>
      <c r="I10" s="21"/>
      <c r="J10" s="21"/>
      <c r="K10" s="21"/>
      <c r="L10" s="21">
        <v>40</v>
      </c>
      <c r="M10" s="21">
        <v>60</v>
      </c>
      <c r="N10" s="21">
        <v>20</v>
      </c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2">
        <f t="shared" si="0"/>
        <v>120</v>
      </c>
    </row>
    <row r="11" spans="1:32" x14ac:dyDescent="0.55000000000000004">
      <c r="A11" s="20" t="s">
        <v>26</v>
      </c>
      <c r="B11" s="8">
        <v>1574</v>
      </c>
      <c r="C11" s="8" t="s">
        <v>83</v>
      </c>
      <c r="D11" s="21"/>
      <c r="E11" s="21"/>
      <c r="F11" s="21"/>
      <c r="G11" s="21"/>
      <c r="H11" s="21"/>
      <c r="I11" s="21"/>
      <c r="J11" s="21"/>
      <c r="K11" s="21"/>
      <c r="L11" s="21">
        <v>40</v>
      </c>
      <c r="M11" s="21">
        <v>60</v>
      </c>
      <c r="N11" s="21">
        <v>20</v>
      </c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2">
        <f t="shared" si="0"/>
        <v>120</v>
      </c>
    </row>
    <row r="12" spans="1:32" x14ac:dyDescent="0.55000000000000004">
      <c r="A12" s="20" t="s">
        <v>26</v>
      </c>
      <c r="B12" s="8">
        <v>1725</v>
      </c>
      <c r="C12" s="8" t="s">
        <v>88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>
        <v>40</v>
      </c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2">
        <f t="shared" si="0"/>
        <v>40</v>
      </c>
    </row>
    <row r="13" spans="1:32" x14ac:dyDescent="0.55000000000000004">
      <c r="A13" s="8"/>
      <c r="B13" s="8"/>
      <c r="C13" s="8"/>
      <c r="D13" s="21"/>
      <c r="E13" s="23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2">
        <f t="shared" si="0"/>
        <v>0</v>
      </c>
    </row>
    <row r="14" spans="1:32" x14ac:dyDescent="0.55000000000000004">
      <c r="A14" s="8"/>
      <c r="B14" s="8"/>
      <c r="C14" s="8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2">
        <f t="shared" si="0"/>
        <v>0</v>
      </c>
    </row>
    <row r="15" spans="1:32" x14ac:dyDescent="0.55000000000000004">
      <c r="A15" s="8"/>
      <c r="B15" s="8"/>
      <c r="C15" s="8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2">
        <f t="shared" si="0"/>
        <v>0</v>
      </c>
    </row>
    <row r="16" spans="1:32" x14ac:dyDescent="0.55000000000000004">
      <c r="A16" s="8"/>
      <c r="B16" s="8"/>
      <c r="C16" s="8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2">
        <f t="shared" si="0"/>
        <v>0</v>
      </c>
    </row>
    <row r="17" spans="1:32" x14ac:dyDescent="0.55000000000000004">
      <c r="A17" s="8"/>
      <c r="B17" s="8"/>
      <c r="C17" s="8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2">
        <f t="shared" si="0"/>
        <v>0</v>
      </c>
    </row>
    <row r="18" spans="1:32" x14ac:dyDescent="0.55000000000000004">
      <c r="A18" s="8"/>
      <c r="B18" s="8"/>
      <c r="C18" s="8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2">
        <f t="shared" si="0"/>
        <v>0</v>
      </c>
    </row>
    <row r="19" spans="1:32" x14ac:dyDescent="0.55000000000000004">
      <c r="A19" s="8"/>
      <c r="B19" s="8"/>
      <c r="C19" s="8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2">
        <f t="shared" si="0"/>
        <v>0</v>
      </c>
    </row>
    <row r="20" spans="1:32" x14ac:dyDescent="0.55000000000000004">
      <c r="A20" s="8"/>
      <c r="B20" s="8"/>
      <c r="C20" s="8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2">
        <f t="shared" si="0"/>
        <v>0</v>
      </c>
    </row>
    <row r="21" spans="1:32" x14ac:dyDescent="0.55000000000000004">
      <c r="A21" s="8"/>
      <c r="B21" s="8"/>
      <c r="C21" s="8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2">
        <f t="shared" si="0"/>
        <v>0</v>
      </c>
    </row>
    <row r="22" spans="1:32" x14ac:dyDescent="0.55000000000000004">
      <c r="A22" s="8"/>
      <c r="B22" s="8"/>
      <c r="C22" s="8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>
        <f t="shared" si="0"/>
        <v>0</v>
      </c>
    </row>
    <row r="23" spans="1:32" x14ac:dyDescent="0.55000000000000004">
      <c r="A23" s="8"/>
      <c r="B23" s="8"/>
      <c r="C23" s="8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2">
        <f t="shared" si="0"/>
        <v>0</v>
      </c>
    </row>
    <row r="24" spans="1:32" x14ac:dyDescent="0.55000000000000004">
      <c r="A24" s="8"/>
      <c r="B24" s="8"/>
      <c r="C24" s="8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2">
        <f t="shared" si="0"/>
        <v>0</v>
      </c>
    </row>
    <row r="25" spans="1:32" x14ac:dyDescent="0.55000000000000004">
      <c r="A25" s="8"/>
      <c r="B25" s="8"/>
      <c r="C25" s="8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2">
        <f t="shared" si="0"/>
        <v>0</v>
      </c>
    </row>
    <row r="26" spans="1:32" x14ac:dyDescent="0.55000000000000004">
      <c r="A26" s="8"/>
      <c r="B26" s="8"/>
      <c r="C26" s="8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2">
        <f t="shared" si="0"/>
        <v>0</v>
      </c>
    </row>
    <row r="27" spans="1:32" x14ac:dyDescent="0.55000000000000004">
      <c r="A27" s="8"/>
      <c r="B27" s="8"/>
      <c r="C27" s="8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2">
        <f t="shared" si="0"/>
        <v>0</v>
      </c>
    </row>
    <row r="28" spans="1:32" x14ac:dyDescent="0.55000000000000004">
      <c r="A28" s="8"/>
      <c r="B28" s="8"/>
      <c r="C28" s="8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2">
        <f t="shared" si="0"/>
        <v>0</v>
      </c>
    </row>
    <row r="29" spans="1:32" x14ac:dyDescent="0.55000000000000004">
      <c r="A29" s="8"/>
      <c r="B29" s="8"/>
      <c r="C29" s="8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2">
        <f t="shared" si="0"/>
        <v>0</v>
      </c>
    </row>
    <row r="30" spans="1:32" x14ac:dyDescent="0.55000000000000004">
      <c r="A30" s="8"/>
      <c r="B30" s="8"/>
      <c r="C30" s="8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2">
        <f t="shared" si="0"/>
        <v>0</v>
      </c>
    </row>
    <row r="31" spans="1:32" x14ac:dyDescent="0.55000000000000004">
      <c r="A31" s="8"/>
      <c r="B31" s="8"/>
      <c r="C31" s="8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2">
        <f t="shared" si="0"/>
        <v>0</v>
      </c>
    </row>
    <row r="32" spans="1:32" x14ac:dyDescent="0.55000000000000004">
      <c r="A32" s="8"/>
      <c r="B32" s="8"/>
      <c r="C32" s="8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2">
        <f t="shared" si="0"/>
        <v>0</v>
      </c>
    </row>
    <row r="33" spans="1:32" x14ac:dyDescent="0.55000000000000004">
      <c r="A33" s="8"/>
      <c r="B33" s="8"/>
      <c r="C33" s="8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2">
        <f t="shared" si="0"/>
        <v>0</v>
      </c>
    </row>
    <row r="34" spans="1:32" x14ac:dyDescent="0.55000000000000004">
      <c r="A34" s="8"/>
      <c r="B34" s="8"/>
      <c r="C34" s="8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2">
        <f t="shared" si="0"/>
        <v>0</v>
      </c>
    </row>
    <row r="35" spans="1:32" x14ac:dyDescent="0.55000000000000004">
      <c r="A35" s="8"/>
      <c r="B35" s="8"/>
      <c r="C35" s="8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2">
        <f t="shared" si="0"/>
        <v>0</v>
      </c>
    </row>
    <row r="36" spans="1:32" x14ac:dyDescent="0.55000000000000004">
      <c r="A36" s="8"/>
      <c r="B36" s="8"/>
      <c r="C36" s="8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2">
        <f t="shared" si="0"/>
        <v>0</v>
      </c>
    </row>
    <row r="37" spans="1:32" x14ac:dyDescent="0.55000000000000004">
      <c r="A37" s="8"/>
      <c r="B37" s="8"/>
      <c r="C37" s="8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2">
        <f t="shared" si="0"/>
        <v>0</v>
      </c>
    </row>
    <row r="38" spans="1:32" x14ac:dyDescent="0.55000000000000004">
      <c r="A38" s="8"/>
      <c r="B38" s="8"/>
      <c r="C38" s="8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2">
        <f t="shared" si="0"/>
        <v>0</v>
      </c>
    </row>
    <row r="39" spans="1:32" x14ac:dyDescent="0.55000000000000004">
      <c r="A39" s="8"/>
      <c r="B39" s="8"/>
      <c r="C39" s="8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2">
        <f t="shared" si="0"/>
        <v>0</v>
      </c>
    </row>
    <row r="40" spans="1:32" x14ac:dyDescent="0.55000000000000004">
      <c r="A40" s="8"/>
      <c r="B40" s="8"/>
      <c r="C40" s="8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2">
        <f t="shared" si="0"/>
        <v>0</v>
      </c>
    </row>
    <row r="41" spans="1:32" x14ac:dyDescent="0.55000000000000004">
      <c r="A41" s="8"/>
      <c r="B41" s="8"/>
      <c r="C41" s="8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2">
        <f t="shared" si="0"/>
        <v>0</v>
      </c>
    </row>
    <row r="42" spans="1:32" x14ac:dyDescent="0.55000000000000004">
      <c r="A42" s="8"/>
      <c r="B42" s="8"/>
      <c r="C42" s="8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2">
        <f t="shared" si="0"/>
        <v>0</v>
      </c>
    </row>
    <row r="43" spans="1:32" x14ac:dyDescent="0.55000000000000004">
      <c r="A43" s="8"/>
      <c r="B43" s="8"/>
      <c r="C43" s="8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2">
        <f t="shared" si="0"/>
        <v>0</v>
      </c>
    </row>
    <row r="44" spans="1:32" x14ac:dyDescent="0.55000000000000004">
      <c r="A44" s="8"/>
      <c r="B44" s="8"/>
      <c r="C44" s="8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2">
        <f t="shared" si="0"/>
        <v>0</v>
      </c>
    </row>
    <row r="45" spans="1:32" x14ac:dyDescent="0.55000000000000004">
      <c r="A45" s="8"/>
      <c r="B45" s="8"/>
      <c r="C45" s="8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2">
        <f t="shared" si="0"/>
        <v>0</v>
      </c>
    </row>
    <row r="46" spans="1:32" x14ac:dyDescent="0.55000000000000004">
      <c r="A46" s="8"/>
      <c r="B46" s="8"/>
      <c r="C46" s="8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2">
        <f t="shared" si="0"/>
        <v>0</v>
      </c>
    </row>
    <row r="47" spans="1:32" x14ac:dyDescent="0.55000000000000004">
      <c r="A47" s="8"/>
      <c r="B47" s="8"/>
      <c r="C47" s="8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2">
        <f t="shared" si="0"/>
        <v>0</v>
      </c>
    </row>
    <row r="48" spans="1:32" x14ac:dyDescent="0.55000000000000004">
      <c r="A48" s="8"/>
      <c r="B48" s="8"/>
      <c r="C48" s="8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2">
        <f t="shared" si="0"/>
        <v>0</v>
      </c>
    </row>
    <row r="49" spans="1:32" x14ac:dyDescent="0.55000000000000004">
      <c r="A49" s="8"/>
      <c r="B49" s="8"/>
      <c r="C49" s="8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2">
        <f t="shared" si="0"/>
        <v>0</v>
      </c>
    </row>
    <row r="50" spans="1:32" x14ac:dyDescent="0.55000000000000004">
      <c r="A50" s="8"/>
      <c r="B50" s="8"/>
      <c r="C50" s="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2">
        <f t="shared" si="0"/>
        <v>0</v>
      </c>
    </row>
    <row r="51" spans="1:32" x14ac:dyDescent="0.55000000000000004">
      <c r="A51" s="8"/>
      <c r="B51" s="8"/>
      <c r="C51" s="8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2">
        <f t="shared" si="0"/>
        <v>0</v>
      </c>
    </row>
    <row r="52" spans="1:32" x14ac:dyDescent="0.55000000000000004">
      <c r="A52" s="8"/>
      <c r="B52" s="8"/>
      <c r="C52" s="8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2">
        <f t="shared" si="0"/>
        <v>0</v>
      </c>
    </row>
    <row r="53" spans="1:32" x14ac:dyDescent="0.55000000000000004">
      <c r="A53" s="8"/>
      <c r="B53" s="8"/>
      <c r="C53" s="8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2">
        <f t="shared" si="0"/>
        <v>0</v>
      </c>
    </row>
    <row r="54" spans="1:32" x14ac:dyDescent="0.55000000000000004">
      <c r="A54" s="8"/>
      <c r="B54" s="8"/>
      <c r="C54" s="8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2">
        <f t="shared" si="0"/>
        <v>0</v>
      </c>
    </row>
    <row r="55" spans="1:32" x14ac:dyDescent="0.55000000000000004">
      <c r="A55" s="8"/>
      <c r="B55" s="8"/>
      <c r="C55" s="8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2">
        <f t="shared" si="0"/>
        <v>0</v>
      </c>
    </row>
    <row r="56" spans="1:32" x14ac:dyDescent="0.55000000000000004">
      <c r="A56" s="8"/>
      <c r="B56" s="8"/>
      <c r="C56" s="8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2">
        <f t="shared" si="0"/>
        <v>0</v>
      </c>
    </row>
    <row r="57" spans="1:32" x14ac:dyDescent="0.55000000000000004">
      <c r="A57" s="8"/>
      <c r="B57" s="8"/>
      <c r="C57" s="8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2">
        <f t="shared" si="0"/>
        <v>0</v>
      </c>
    </row>
    <row r="58" spans="1:32" x14ac:dyDescent="0.55000000000000004">
      <c r="A58" s="36" t="s">
        <v>15</v>
      </c>
      <c r="B58" s="37"/>
      <c r="C58" s="38"/>
      <c r="D58" s="22">
        <f t="shared" ref="D58:AF58" si="1">SUM(D9:D57)</f>
        <v>0</v>
      </c>
      <c r="E58" s="22">
        <f t="shared" si="1"/>
        <v>0</v>
      </c>
      <c r="F58" s="22">
        <f t="shared" si="1"/>
        <v>0</v>
      </c>
      <c r="G58" s="22">
        <f t="shared" si="1"/>
        <v>0</v>
      </c>
      <c r="H58" s="22">
        <f t="shared" si="1"/>
        <v>0</v>
      </c>
      <c r="I58" s="22">
        <f t="shared" si="1"/>
        <v>0</v>
      </c>
      <c r="J58" s="22">
        <f t="shared" si="1"/>
        <v>0</v>
      </c>
      <c r="K58" s="22">
        <f t="shared" si="1"/>
        <v>0</v>
      </c>
      <c r="L58" s="22">
        <f t="shared" si="1"/>
        <v>120</v>
      </c>
      <c r="M58" s="22">
        <f t="shared" si="1"/>
        <v>140</v>
      </c>
      <c r="N58" s="22">
        <f t="shared" si="1"/>
        <v>80</v>
      </c>
      <c r="O58" s="22">
        <f t="shared" si="1"/>
        <v>80</v>
      </c>
      <c r="P58" s="22">
        <f t="shared" si="1"/>
        <v>0</v>
      </c>
      <c r="Q58" s="22">
        <f t="shared" si="1"/>
        <v>0</v>
      </c>
      <c r="R58" s="22">
        <f t="shared" si="1"/>
        <v>0</v>
      </c>
      <c r="S58" s="22">
        <f t="shared" si="1"/>
        <v>0</v>
      </c>
      <c r="T58" s="22">
        <f t="shared" si="1"/>
        <v>0</v>
      </c>
      <c r="U58" s="22">
        <f t="shared" si="1"/>
        <v>0</v>
      </c>
      <c r="V58" s="22">
        <f t="shared" si="1"/>
        <v>0</v>
      </c>
      <c r="W58" s="22">
        <f t="shared" si="1"/>
        <v>0</v>
      </c>
      <c r="X58" s="22">
        <f t="shared" si="1"/>
        <v>0</v>
      </c>
      <c r="Y58" s="22">
        <f t="shared" si="1"/>
        <v>0</v>
      </c>
      <c r="Z58" s="22">
        <f t="shared" si="1"/>
        <v>0</v>
      </c>
      <c r="AA58" s="22">
        <f t="shared" si="1"/>
        <v>0</v>
      </c>
      <c r="AB58" s="22">
        <f t="shared" si="1"/>
        <v>0</v>
      </c>
      <c r="AC58" s="22">
        <f t="shared" si="1"/>
        <v>0</v>
      </c>
      <c r="AD58" s="22">
        <f t="shared" si="1"/>
        <v>0</v>
      </c>
      <c r="AE58" s="22">
        <f t="shared" si="1"/>
        <v>0</v>
      </c>
      <c r="AF58" s="22">
        <f t="shared" si="1"/>
        <v>420</v>
      </c>
    </row>
  </sheetData>
  <mergeCells count="23">
    <mergeCell ref="A58:C58"/>
    <mergeCell ref="A6:A8"/>
    <mergeCell ref="B6:B8"/>
    <mergeCell ref="C6:C8"/>
    <mergeCell ref="D6:AE6"/>
    <mergeCell ref="S7:U7"/>
    <mergeCell ref="V7:X7"/>
    <mergeCell ref="Y7:AA7"/>
    <mergeCell ref="AB7:AD7"/>
    <mergeCell ref="AE7:AE8"/>
    <mergeCell ref="AF6:AF8"/>
    <mergeCell ref="D7:F7"/>
    <mergeCell ref="G7:I7"/>
    <mergeCell ref="J7:L7"/>
    <mergeCell ref="M7:O7"/>
    <mergeCell ref="P7:R7"/>
    <mergeCell ref="B3:C3"/>
    <mergeCell ref="E3:O3"/>
    <mergeCell ref="B4:C4"/>
    <mergeCell ref="E4:F4"/>
    <mergeCell ref="H4:I4"/>
    <mergeCell ref="K4:L4"/>
    <mergeCell ref="N4:O4"/>
  </mergeCells>
  <phoneticPr fontId="3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リストマスタ!$K$3:$K$12</xm:f>
          </x14:formula1>
          <xm:sqref>A13:A57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7"/>
  <sheetViews>
    <sheetView tabSelected="1" zoomScale="130" zoomScaleNormal="130" workbookViewId="0"/>
  </sheetViews>
  <sheetFormatPr defaultColWidth="8.08203125" defaultRowHeight="12.5" x14ac:dyDescent="0.55000000000000004"/>
  <cols>
    <col min="1" max="1" width="14.58203125" style="2" customWidth="1"/>
    <col min="2" max="2" width="7.58203125" style="2" customWidth="1"/>
    <col min="3" max="3" width="14.58203125" style="2" customWidth="1"/>
    <col min="4" max="31" width="8.08203125" style="2" customWidth="1"/>
    <col min="32" max="32" width="11.08203125" style="2" customWidth="1"/>
    <col min="33" max="16384" width="8.08203125" style="2"/>
  </cols>
  <sheetData>
    <row r="1" spans="1:32" ht="19.5" x14ac:dyDescent="0.55000000000000004">
      <c r="A1" s="1" t="s">
        <v>27</v>
      </c>
    </row>
    <row r="2" spans="1:32" ht="5.25" customHeight="1" x14ac:dyDescent="0.55000000000000004">
      <c r="A2" s="1"/>
    </row>
    <row r="3" spans="1:32" x14ac:dyDescent="0.55000000000000004">
      <c r="A3" s="9" t="s">
        <v>2</v>
      </c>
      <c r="B3" s="24"/>
      <c r="C3" s="25"/>
      <c r="D3" s="10" t="s">
        <v>3</v>
      </c>
      <c r="E3" s="24" t="str">
        <f>社員工数!E3</f>
        <v>数量確定システム クラウドアーキ移行（開発フェーズ）</v>
      </c>
      <c r="F3" s="26"/>
      <c r="G3" s="26"/>
      <c r="H3" s="26"/>
      <c r="I3" s="26"/>
      <c r="J3" s="26"/>
      <c r="K3" s="26"/>
      <c r="L3" s="26"/>
      <c r="M3" s="26"/>
      <c r="N3" s="26"/>
      <c r="O3" s="25"/>
    </row>
    <row r="4" spans="1:32" x14ac:dyDescent="0.55000000000000004">
      <c r="A4" s="9" t="s">
        <v>5</v>
      </c>
      <c r="B4" s="24" t="s">
        <v>28</v>
      </c>
      <c r="C4" s="25"/>
      <c r="D4" s="11" t="s">
        <v>7</v>
      </c>
      <c r="E4" s="47">
        <f>社員工数!E4</f>
        <v>0</v>
      </c>
      <c r="F4" s="47"/>
      <c r="G4" s="11" t="s">
        <v>8</v>
      </c>
      <c r="H4" s="28">
        <f>社員工数!H4</f>
        <v>420</v>
      </c>
      <c r="I4" s="28"/>
      <c r="J4" s="11" t="s">
        <v>9</v>
      </c>
      <c r="K4" s="48">
        <f>AF57</f>
        <v>3500000</v>
      </c>
      <c r="L4" s="48"/>
      <c r="M4" s="11" t="s">
        <v>10</v>
      </c>
      <c r="N4" s="48">
        <f>SUMIF(A:A,"経費",AF:AF)</f>
        <v>0</v>
      </c>
      <c r="O4" s="48"/>
    </row>
    <row r="5" spans="1:32" ht="6" customHeight="1" x14ac:dyDescent="0.55000000000000004"/>
    <row r="6" spans="1:32" s="6" customFormat="1" x14ac:dyDescent="0.55000000000000004">
      <c r="A6" s="55" t="s">
        <v>11</v>
      </c>
      <c r="B6" s="58" t="s">
        <v>29</v>
      </c>
      <c r="C6" s="58" t="s">
        <v>13</v>
      </c>
      <c r="D6" s="61" t="s">
        <v>30</v>
      </c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49" t="s">
        <v>15</v>
      </c>
    </row>
    <row r="7" spans="1:32" s="6" customFormat="1" ht="12" customHeight="1" x14ac:dyDescent="0.55000000000000004">
      <c r="A7" s="56"/>
      <c r="B7" s="59"/>
      <c r="C7" s="59"/>
      <c r="D7" s="52" t="s">
        <v>31</v>
      </c>
      <c r="E7" s="53"/>
      <c r="F7" s="54"/>
      <c r="G7" s="52" t="s">
        <v>32</v>
      </c>
      <c r="H7" s="53"/>
      <c r="I7" s="54"/>
      <c r="J7" s="52" t="s">
        <v>33</v>
      </c>
      <c r="K7" s="53"/>
      <c r="L7" s="54"/>
      <c r="M7" s="52" t="s">
        <v>34</v>
      </c>
      <c r="N7" s="53"/>
      <c r="O7" s="54"/>
      <c r="P7" s="52" t="s">
        <v>35</v>
      </c>
      <c r="Q7" s="53"/>
      <c r="R7" s="54"/>
      <c r="S7" s="52" t="s">
        <v>36</v>
      </c>
      <c r="T7" s="53"/>
      <c r="U7" s="54"/>
      <c r="V7" s="52" t="s">
        <v>37</v>
      </c>
      <c r="W7" s="53"/>
      <c r="X7" s="54"/>
      <c r="Y7" s="52" t="s">
        <v>38</v>
      </c>
      <c r="Z7" s="53"/>
      <c r="AA7" s="54"/>
      <c r="AB7" s="52" t="s">
        <v>39</v>
      </c>
      <c r="AC7" s="53"/>
      <c r="AD7" s="54"/>
      <c r="AE7" s="62" t="s">
        <v>25</v>
      </c>
      <c r="AF7" s="50"/>
    </row>
    <row r="8" spans="1:32" s="6" customFormat="1" x14ac:dyDescent="0.55000000000000004">
      <c r="A8" s="57"/>
      <c r="B8" s="60"/>
      <c r="C8" s="60"/>
      <c r="D8" s="12">
        <v>44287</v>
      </c>
      <c r="E8" s="12">
        <v>44317</v>
      </c>
      <c r="F8" s="12">
        <v>44348</v>
      </c>
      <c r="G8" s="12">
        <v>44378</v>
      </c>
      <c r="H8" s="12">
        <v>44409</v>
      </c>
      <c r="I8" s="12">
        <v>44440</v>
      </c>
      <c r="J8" s="12">
        <v>44470</v>
      </c>
      <c r="K8" s="12">
        <v>44501</v>
      </c>
      <c r="L8" s="12">
        <v>44531</v>
      </c>
      <c r="M8" s="12">
        <v>44562</v>
      </c>
      <c r="N8" s="12">
        <v>44593</v>
      </c>
      <c r="O8" s="12">
        <v>44621</v>
      </c>
      <c r="P8" s="12">
        <v>44287</v>
      </c>
      <c r="Q8" s="12">
        <v>44317</v>
      </c>
      <c r="R8" s="12">
        <v>44348</v>
      </c>
      <c r="S8" s="12">
        <v>44378</v>
      </c>
      <c r="T8" s="12">
        <v>44409</v>
      </c>
      <c r="U8" s="12">
        <v>44440</v>
      </c>
      <c r="V8" s="12">
        <v>44470</v>
      </c>
      <c r="W8" s="12">
        <v>44501</v>
      </c>
      <c r="X8" s="12">
        <v>44531</v>
      </c>
      <c r="Y8" s="12">
        <v>44562</v>
      </c>
      <c r="Z8" s="12">
        <v>44593</v>
      </c>
      <c r="AA8" s="12">
        <v>44621</v>
      </c>
      <c r="AB8" s="12">
        <v>44287</v>
      </c>
      <c r="AC8" s="12">
        <v>44317</v>
      </c>
      <c r="AD8" s="12">
        <v>44348</v>
      </c>
      <c r="AE8" s="60"/>
      <c r="AF8" s="51"/>
    </row>
    <row r="9" spans="1:32" x14ac:dyDescent="0.55000000000000004">
      <c r="A9" s="13" t="s">
        <v>40</v>
      </c>
      <c r="B9" s="14">
        <v>4189</v>
      </c>
      <c r="C9" s="13" t="s">
        <v>84</v>
      </c>
      <c r="D9" s="13"/>
      <c r="E9" s="13"/>
      <c r="F9" s="13"/>
      <c r="G9" s="13"/>
      <c r="H9" s="13"/>
      <c r="I9" s="13"/>
      <c r="J9" s="13"/>
      <c r="K9" s="13"/>
      <c r="L9" s="13">
        <v>350000</v>
      </c>
      <c r="M9" s="13">
        <v>700000</v>
      </c>
      <c r="N9" s="13">
        <v>700000</v>
      </c>
      <c r="O9" s="13">
        <v>350000</v>
      </c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5">
        <f>SUM(D9:AE9)</f>
        <v>2100000</v>
      </c>
    </row>
    <row r="10" spans="1:32" x14ac:dyDescent="0.55000000000000004">
      <c r="A10" s="13" t="s">
        <v>40</v>
      </c>
      <c r="B10" s="14">
        <v>4949</v>
      </c>
      <c r="C10" s="13" t="s">
        <v>85</v>
      </c>
      <c r="D10" s="13"/>
      <c r="E10" s="13"/>
      <c r="F10" s="13"/>
      <c r="G10" s="13"/>
      <c r="H10" s="13"/>
      <c r="I10" s="13"/>
      <c r="J10" s="13"/>
      <c r="K10" s="13"/>
      <c r="L10" s="13"/>
      <c r="M10" s="13">
        <v>350000</v>
      </c>
      <c r="N10" s="13">
        <v>350000</v>
      </c>
      <c r="O10" s="13">
        <v>350000</v>
      </c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5">
        <f>SUM(D10:AE10)</f>
        <v>1050000</v>
      </c>
    </row>
    <row r="11" spans="1:32" x14ac:dyDescent="0.55000000000000004">
      <c r="A11" s="13" t="s">
        <v>40</v>
      </c>
      <c r="B11" s="14">
        <v>5327</v>
      </c>
      <c r="C11" s="13" t="s">
        <v>86</v>
      </c>
      <c r="D11" s="13"/>
      <c r="E11" s="13"/>
      <c r="F11" s="13"/>
      <c r="G11" s="13"/>
      <c r="H11" s="13"/>
      <c r="I11" s="13"/>
      <c r="J11" s="13"/>
      <c r="K11" s="13"/>
      <c r="L11" s="13">
        <v>175000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5">
        <f>SUM(D11:AE11)</f>
        <v>175000</v>
      </c>
    </row>
    <row r="12" spans="1:32" x14ac:dyDescent="0.55000000000000004">
      <c r="A12" s="13" t="s">
        <v>40</v>
      </c>
      <c r="B12" s="14">
        <v>5411</v>
      </c>
      <c r="C12" s="13" t="s">
        <v>87</v>
      </c>
      <c r="D12" s="13"/>
      <c r="E12" s="13"/>
      <c r="F12" s="13"/>
      <c r="G12" s="13"/>
      <c r="H12" s="13"/>
      <c r="I12" s="13"/>
      <c r="J12" s="13"/>
      <c r="K12" s="13"/>
      <c r="L12" s="13">
        <v>175000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5">
        <f>SUM(D12:AE12)</f>
        <v>175000</v>
      </c>
    </row>
    <row r="13" spans="1:32" x14ac:dyDescent="0.55000000000000004">
      <c r="A13" s="13"/>
      <c r="B13" s="14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5">
        <f>SUM(D13:AE13)</f>
        <v>0</v>
      </c>
    </row>
    <row r="14" spans="1:32" x14ac:dyDescent="0.55000000000000004">
      <c r="A14" s="13"/>
      <c r="B14" s="14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5">
        <f>SUM(D14:AE14)</f>
        <v>0</v>
      </c>
    </row>
    <row r="15" spans="1:32" x14ac:dyDescent="0.55000000000000004">
      <c r="A15" s="13"/>
      <c r="B15" s="14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5">
        <f>SUM(D15:AE15)</f>
        <v>0</v>
      </c>
    </row>
    <row r="16" spans="1:32" x14ac:dyDescent="0.55000000000000004">
      <c r="A16" s="13"/>
      <c r="B16" s="14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5">
        <f>SUM(D16:AE16)</f>
        <v>0</v>
      </c>
    </row>
    <row r="17" spans="1:32" x14ac:dyDescent="0.55000000000000004">
      <c r="A17" s="13"/>
      <c r="B17" s="14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5">
        <f>SUM(D17:AE17)</f>
        <v>0</v>
      </c>
    </row>
    <row r="18" spans="1:32" x14ac:dyDescent="0.55000000000000004">
      <c r="A18" s="13"/>
      <c r="B18" s="14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5">
        <f>SUM(D18:AE18)</f>
        <v>0</v>
      </c>
    </row>
    <row r="19" spans="1:32" x14ac:dyDescent="0.55000000000000004">
      <c r="A19" s="13"/>
      <c r="B19" s="14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5">
        <f>SUM(D19:AE19)</f>
        <v>0</v>
      </c>
    </row>
    <row r="20" spans="1:32" x14ac:dyDescent="0.55000000000000004">
      <c r="A20" s="13"/>
      <c r="B20" s="14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5">
        <f>SUM(D20:AE20)</f>
        <v>0</v>
      </c>
    </row>
    <row r="21" spans="1:32" x14ac:dyDescent="0.55000000000000004">
      <c r="A21" s="13"/>
      <c r="B21" s="14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5">
        <f>SUM(D21:AE21)</f>
        <v>0</v>
      </c>
    </row>
    <row r="22" spans="1:32" x14ac:dyDescent="0.55000000000000004">
      <c r="A22" s="13"/>
      <c r="B22" s="14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5">
        <f>SUM(D22:AE22)</f>
        <v>0</v>
      </c>
    </row>
    <row r="23" spans="1:32" x14ac:dyDescent="0.55000000000000004">
      <c r="A23" s="13"/>
      <c r="B23" s="14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5">
        <f>SUM(D23:AE23)</f>
        <v>0</v>
      </c>
    </row>
    <row r="24" spans="1:32" x14ac:dyDescent="0.55000000000000004">
      <c r="A24" s="13"/>
      <c r="B24" s="14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5">
        <f>SUM(D24:AE24)</f>
        <v>0</v>
      </c>
    </row>
    <row r="25" spans="1:32" x14ac:dyDescent="0.55000000000000004">
      <c r="A25" s="13"/>
      <c r="B25" s="14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5">
        <f>SUM(D25:AE25)</f>
        <v>0</v>
      </c>
    </row>
    <row r="26" spans="1:32" x14ac:dyDescent="0.55000000000000004">
      <c r="A26" s="13"/>
      <c r="B26" s="14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5">
        <f>SUM(D26:AE26)</f>
        <v>0</v>
      </c>
    </row>
    <row r="27" spans="1:32" x14ac:dyDescent="0.55000000000000004">
      <c r="A27" s="13"/>
      <c r="B27" s="14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5">
        <f>SUM(D27:AE27)</f>
        <v>0</v>
      </c>
    </row>
    <row r="28" spans="1:32" x14ac:dyDescent="0.55000000000000004">
      <c r="A28" s="13"/>
      <c r="B28" s="14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5">
        <f>SUM(D28:AE28)</f>
        <v>0</v>
      </c>
    </row>
    <row r="29" spans="1:32" x14ac:dyDescent="0.55000000000000004">
      <c r="A29" s="13"/>
      <c r="B29" s="14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5">
        <f>SUM(D29:AE29)</f>
        <v>0</v>
      </c>
    </row>
    <row r="30" spans="1:32" x14ac:dyDescent="0.55000000000000004">
      <c r="A30" s="13"/>
      <c r="B30" s="14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5">
        <f>SUM(D30:AE30)</f>
        <v>0</v>
      </c>
    </row>
    <row r="31" spans="1:32" x14ac:dyDescent="0.55000000000000004">
      <c r="A31" s="13"/>
      <c r="B31" s="14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5">
        <f>SUM(D31:AE31)</f>
        <v>0</v>
      </c>
    </row>
    <row r="32" spans="1:32" x14ac:dyDescent="0.55000000000000004">
      <c r="A32" s="13"/>
      <c r="B32" s="14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5">
        <f>SUM(D32:AE32)</f>
        <v>0</v>
      </c>
    </row>
    <row r="33" spans="1:32" x14ac:dyDescent="0.55000000000000004">
      <c r="A33" s="13"/>
      <c r="B33" s="14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5">
        <f>SUM(D33:AE33)</f>
        <v>0</v>
      </c>
    </row>
    <row r="34" spans="1:32" x14ac:dyDescent="0.55000000000000004">
      <c r="A34" s="13"/>
      <c r="B34" s="14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5">
        <f>SUM(D34:AE34)</f>
        <v>0</v>
      </c>
    </row>
    <row r="35" spans="1:32" x14ac:dyDescent="0.55000000000000004">
      <c r="A35" s="13"/>
      <c r="B35" s="14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5">
        <f>SUM(D35:AE35)</f>
        <v>0</v>
      </c>
    </row>
    <row r="36" spans="1:32" x14ac:dyDescent="0.55000000000000004">
      <c r="A36" s="13"/>
      <c r="B36" s="14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5">
        <f>SUM(D36:AE36)</f>
        <v>0</v>
      </c>
    </row>
    <row r="37" spans="1:32" x14ac:dyDescent="0.55000000000000004">
      <c r="A37" s="13"/>
      <c r="B37" s="14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5">
        <f>SUM(D37:AE37)</f>
        <v>0</v>
      </c>
    </row>
    <row r="38" spans="1:32" x14ac:dyDescent="0.55000000000000004">
      <c r="A38" s="13"/>
      <c r="B38" s="14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5">
        <f>SUM(D38:AE38)</f>
        <v>0</v>
      </c>
    </row>
    <row r="39" spans="1:32" x14ac:dyDescent="0.55000000000000004">
      <c r="A39" s="13"/>
      <c r="B39" s="14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5">
        <f>SUM(D39:AE39)</f>
        <v>0</v>
      </c>
    </row>
    <row r="40" spans="1:32" x14ac:dyDescent="0.55000000000000004">
      <c r="A40" s="13"/>
      <c r="B40" s="14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5">
        <f>SUM(D40:AE40)</f>
        <v>0</v>
      </c>
    </row>
    <row r="41" spans="1:32" x14ac:dyDescent="0.55000000000000004">
      <c r="A41" s="13"/>
      <c r="B41" s="14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5">
        <f>SUM(D41:AE41)</f>
        <v>0</v>
      </c>
    </row>
    <row r="42" spans="1:32" x14ac:dyDescent="0.55000000000000004">
      <c r="A42" s="13"/>
      <c r="B42" s="14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5">
        <f>SUM(D42:AE42)</f>
        <v>0</v>
      </c>
    </row>
    <row r="43" spans="1:32" x14ac:dyDescent="0.55000000000000004">
      <c r="A43" s="13"/>
      <c r="B43" s="14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5">
        <f>SUM(D43:AE43)</f>
        <v>0</v>
      </c>
    </row>
    <row r="44" spans="1:32" x14ac:dyDescent="0.55000000000000004">
      <c r="A44" s="13"/>
      <c r="B44" s="14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5">
        <f>SUM(D44:AE44)</f>
        <v>0</v>
      </c>
    </row>
    <row r="45" spans="1:32" x14ac:dyDescent="0.55000000000000004">
      <c r="A45" s="13"/>
      <c r="B45" s="14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5">
        <f>SUM(D45:AE45)</f>
        <v>0</v>
      </c>
    </row>
    <row r="46" spans="1:32" x14ac:dyDescent="0.55000000000000004">
      <c r="A46" s="13"/>
      <c r="B46" s="14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5">
        <f>SUM(D46:AE46)</f>
        <v>0</v>
      </c>
    </row>
    <row r="47" spans="1:32" x14ac:dyDescent="0.55000000000000004">
      <c r="A47" s="13"/>
      <c r="B47" s="14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5">
        <f>SUM(D47:AE47)</f>
        <v>0</v>
      </c>
    </row>
    <row r="48" spans="1:32" x14ac:dyDescent="0.55000000000000004">
      <c r="A48" s="13"/>
      <c r="B48" s="14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5">
        <f>SUM(D48:AE48)</f>
        <v>0</v>
      </c>
    </row>
    <row r="49" spans="1:32" x14ac:dyDescent="0.55000000000000004">
      <c r="A49" s="13"/>
      <c r="B49" s="14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5">
        <f>SUM(D49:AE49)</f>
        <v>0</v>
      </c>
    </row>
    <row r="50" spans="1:32" x14ac:dyDescent="0.55000000000000004">
      <c r="A50" s="13"/>
      <c r="B50" s="14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5">
        <f>SUM(D50:AE50)</f>
        <v>0</v>
      </c>
    </row>
    <row r="51" spans="1:32" x14ac:dyDescent="0.55000000000000004">
      <c r="A51" s="13"/>
      <c r="B51" s="14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5">
        <f>SUM(D51:AE51)</f>
        <v>0</v>
      </c>
    </row>
    <row r="52" spans="1:32" x14ac:dyDescent="0.55000000000000004">
      <c r="A52" s="13"/>
      <c r="B52" s="14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5">
        <f>SUM(D52:AE52)</f>
        <v>0</v>
      </c>
    </row>
    <row r="53" spans="1:32" x14ac:dyDescent="0.55000000000000004">
      <c r="A53" s="13"/>
      <c r="B53" s="14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5">
        <f>SUM(D53:AE53)</f>
        <v>0</v>
      </c>
    </row>
    <row r="54" spans="1:32" x14ac:dyDescent="0.55000000000000004">
      <c r="A54" s="13"/>
      <c r="B54" s="14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5">
        <f>SUM(D54:AE54)</f>
        <v>0</v>
      </c>
    </row>
    <row r="55" spans="1:32" x14ac:dyDescent="0.55000000000000004">
      <c r="A55" s="13"/>
      <c r="B55" s="14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5">
        <f>SUM(D55:AE55)</f>
        <v>0</v>
      </c>
    </row>
    <row r="56" spans="1:32" x14ac:dyDescent="0.55000000000000004">
      <c r="A56" s="13"/>
      <c r="B56" s="14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5">
        <f>SUM(D56:AE56)</f>
        <v>0</v>
      </c>
    </row>
    <row r="57" spans="1:32" x14ac:dyDescent="0.55000000000000004">
      <c r="A57" s="36" t="s">
        <v>15</v>
      </c>
      <c r="B57" s="37"/>
      <c r="C57" s="38"/>
      <c r="D57" s="15">
        <f>SUM(D9:D56)</f>
        <v>0</v>
      </c>
      <c r="E57" s="15">
        <f>SUM(E9:E56)</f>
        <v>0</v>
      </c>
      <c r="F57" s="15">
        <f>SUM(F9:F56)</f>
        <v>0</v>
      </c>
      <c r="G57" s="15">
        <f>SUM(G9:G56)</f>
        <v>0</v>
      </c>
      <c r="H57" s="15">
        <f>SUM(H9:H56)</f>
        <v>0</v>
      </c>
      <c r="I57" s="15">
        <f>SUM(I9:I56)</f>
        <v>0</v>
      </c>
      <c r="J57" s="15">
        <f>SUM(J9:J56)</f>
        <v>0</v>
      </c>
      <c r="K57" s="15">
        <f>SUM(K9:K56)</f>
        <v>0</v>
      </c>
      <c r="L57" s="15">
        <f>SUM(L9:L56)</f>
        <v>700000</v>
      </c>
      <c r="M57" s="15">
        <f>SUM(M9:M56)</f>
        <v>1050000</v>
      </c>
      <c r="N57" s="15">
        <f>SUM(N9:N56)</f>
        <v>1050000</v>
      </c>
      <c r="O57" s="15">
        <f>SUM(O9:O56)</f>
        <v>700000</v>
      </c>
      <c r="P57" s="15">
        <f>SUM(P9:P56)</f>
        <v>0</v>
      </c>
      <c r="Q57" s="15">
        <f>SUM(Q9:Q56)</f>
        <v>0</v>
      </c>
      <c r="R57" s="15">
        <f>SUM(R9:R56)</f>
        <v>0</v>
      </c>
      <c r="S57" s="15">
        <f>SUM(S9:S56)</f>
        <v>0</v>
      </c>
      <c r="T57" s="15">
        <f>SUM(T9:T56)</f>
        <v>0</v>
      </c>
      <c r="U57" s="15">
        <f>SUM(U9:U56)</f>
        <v>0</v>
      </c>
      <c r="V57" s="15">
        <f>SUM(V9:V56)</f>
        <v>0</v>
      </c>
      <c r="W57" s="15">
        <f>SUM(W9:W56)</f>
        <v>0</v>
      </c>
      <c r="X57" s="15">
        <f>SUM(X9:X56)</f>
        <v>0</v>
      </c>
      <c r="Y57" s="15">
        <f>SUM(Y9:Y56)</f>
        <v>0</v>
      </c>
      <c r="Z57" s="15">
        <f>SUM(Z9:Z56)</f>
        <v>0</v>
      </c>
      <c r="AA57" s="15">
        <f>SUM(AA9:AA56)</f>
        <v>0</v>
      </c>
      <c r="AB57" s="15">
        <f>SUM(AB9:AB56)</f>
        <v>0</v>
      </c>
      <c r="AC57" s="15">
        <f>SUM(AC9:AC56)</f>
        <v>0</v>
      </c>
      <c r="AD57" s="15">
        <f>SUM(AD9:AD56)</f>
        <v>0</v>
      </c>
      <c r="AE57" s="15">
        <f>SUM(AE9:AE56)</f>
        <v>0</v>
      </c>
      <c r="AF57" s="15">
        <f>SUM(AF9:AF56)</f>
        <v>3500000</v>
      </c>
    </row>
  </sheetData>
  <mergeCells count="23">
    <mergeCell ref="A57:C57"/>
    <mergeCell ref="A6:A8"/>
    <mergeCell ref="B6:B8"/>
    <mergeCell ref="C6:C8"/>
    <mergeCell ref="D6:AE6"/>
    <mergeCell ref="S7:U7"/>
    <mergeCell ref="V7:X7"/>
    <mergeCell ref="Y7:AA7"/>
    <mergeCell ref="AB7:AD7"/>
    <mergeCell ref="AE7:AE8"/>
    <mergeCell ref="AF6:AF8"/>
    <mergeCell ref="D7:F7"/>
    <mergeCell ref="G7:I7"/>
    <mergeCell ref="J7:L7"/>
    <mergeCell ref="M7:O7"/>
    <mergeCell ref="P7:R7"/>
    <mergeCell ref="B3:C3"/>
    <mergeCell ref="E3:O3"/>
    <mergeCell ref="B4:C4"/>
    <mergeCell ref="E4:F4"/>
    <mergeCell ref="H4:I4"/>
    <mergeCell ref="K4:L4"/>
    <mergeCell ref="N4:O4"/>
  </mergeCells>
  <phoneticPr fontId="3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003B764-5E4C-4AB0-986A-C5CCF563F30D}">
          <x14:formula1>
            <xm:f>リストマスタ!$L$3:$L$13</xm:f>
          </x14:formula1>
          <xm:sqref>A17:A56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topLeftCell="F1" workbookViewId="0">
      <selection activeCell="E20" sqref="E20"/>
    </sheetView>
  </sheetViews>
  <sheetFormatPr defaultColWidth="8.58203125" defaultRowHeight="18" x14ac:dyDescent="0.55000000000000004"/>
  <cols>
    <col min="1" max="1" width="4.58203125" style="17" customWidth="1"/>
    <col min="2" max="2" width="10.5" style="17" customWidth="1"/>
    <col min="3" max="3" width="22" style="17" customWidth="1"/>
    <col min="4" max="4" width="15.08203125" style="17" customWidth="1"/>
    <col min="5" max="5" width="11.08203125" style="17" customWidth="1"/>
    <col min="6" max="6" width="58.08203125" style="17" bestFit="1" customWidth="1"/>
    <col min="7" max="7" width="11.08203125" style="17" customWidth="1"/>
    <col min="8" max="8" width="5.58203125" style="17" customWidth="1"/>
    <col min="9" max="9" width="11.58203125" style="17" customWidth="1"/>
    <col min="10" max="10" width="11.08203125" style="17" customWidth="1"/>
    <col min="11" max="11" width="17.08203125" style="17" bestFit="1" customWidth="1"/>
    <col min="12" max="12" width="11.08203125" style="17" customWidth="1"/>
    <col min="13" max="16384" width="8.58203125" style="17"/>
  </cols>
  <sheetData>
    <row r="1" spans="1:12" x14ac:dyDescent="0.55000000000000004">
      <c r="A1" s="65" t="s">
        <v>41</v>
      </c>
      <c r="B1" s="16" t="s">
        <v>42</v>
      </c>
      <c r="C1" s="65" t="s">
        <v>43</v>
      </c>
      <c r="D1" s="65" t="s">
        <v>44</v>
      </c>
      <c r="E1" s="65" t="s">
        <v>45</v>
      </c>
      <c r="F1" s="65" t="s">
        <v>46</v>
      </c>
      <c r="G1" s="65" t="s">
        <v>47</v>
      </c>
      <c r="H1" s="63" t="s">
        <v>48</v>
      </c>
      <c r="I1" s="64"/>
      <c r="J1" s="65" t="s">
        <v>49</v>
      </c>
      <c r="K1" s="65" t="s">
        <v>50</v>
      </c>
      <c r="L1" s="65" t="s">
        <v>51</v>
      </c>
    </row>
    <row r="2" spans="1:12" x14ac:dyDescent="0.55000000000000004">
      <c r="A2" s="65"/>
      <c r="B2" s="16" t="s">
        <v>52</v>
      </c>
      <c r="C2" s="65"/>
      <c r="D2" s="65"/>
      <c r="E2" s="65"/>
      <c r="F2" s="65"/>
      <c r="G2" s="65"/>
      <c r="H2" s="16" t="s">
        <v>41</v>
      </c>
      <c r="I2" s="16" t="s">
        <v>53</v>
      </c>
      <c r="J2" s="65"/>
      <c r="K2" s="65"/>
      <c r="L2" s="65"/>
    </row>
    <row r="3" spans="1:12" x14ac:dyDescent="0.55000000000000004">
      <c r="A3" s="18">
        <v>1</v>
      </c>
      <c r="B3" s="19">
        <v>0.1</v>
      </c>
      <c r="C3" s="18" t="s">
        <v>54</v>
      </c>
      <c r="D3" s="18" t="s">
        <v>55</v>
      </c>
      <c r="E3" s="18" t="s">
        <v>56</v>
      </c>
      <c r="F3" s="18" t="s">
        <v>57</v>
      </c>
      <c r="G3" s="18" t="s">
        <v>58</v>
      </c>
      <c r="H3" s="18">
        <v>1</v>
      </c>
      <c r="I3" s="18" t="s">
        <v>59</v>
      </c>
      <c r="J3" s="18" t="s">
        <v>60</v>
      </c>
      <c r="K3" s="18" t="s">
        <v>26</v>
      </c>
      <c r="L3" s="18" t="s">
        <v>61</v>
      </c>
    </row>
    <row r="4" spans="1:12" x14ac:dyDescent="0.55000000000000004">
      <c r="A4" s="18">
        <v>2</v>
      </c>
      <c r="B4" s="19"/>
      <c r="C4" s="18"/>
      <c r="D4" s="18"/>
      <c r="E4" s="18" t="s">
        <v>62</v>
      </c>
      <c r="F4" s="18" t="s">
        <v>63</v>
      </c>
      <c r="G4" s="18" t="s">
        <v>64</v>
      </c>
      <c r="H4" s="18">
        <v>2</v>
      </c>
      <c r="I4" s="18" t="s">
        <v>65</v>
      </c>
      <c r="J4" s="18" t="s">
        <v>66</v>
      </c>
      <c r="K4" s="18" t="s">
        <v>67</v>
      </c>
      <c r="L4" s="18" t="s">
        <v>68</v>
      </c>
    </row>
    <row r="5" spans="1:12" x14ac:dyDescent="0.55000000000000004">
      <c r="A5" s="18">
        <v>3</v>
      </c>
      <c r="B5" s="18"/>
      <c r="C5" s="18"/>
      <c r="D5" s="18"/>
      <c r="E5" s="18"/>
      <c r="F5" s="18" t="s">
        <v>69</v>
      </c>
      <c r="G5" s="18" t="s">
        <v>70</v>
      </c>
      <c r="H5" s="18">
        <v>3</v>
      </c>
      <c r="I5" s="18" t="s">
        <v>71</v>
      </c>
      <c r="J5" s="18" t="s">
        <v>72</v>
      </c>
      <c r="K5" s="18" t="s">
        <v>73</v>
      </c>
      <c r="L5" s="18"/>
    </row>
    <row r="6" spans="1:12" x14ac:dyDescent="0.55000000000000004">
      <c r="A6" s="18">
        <v>4</v>
      </c>
      <c r="B6" s="18"/>
      <c r="C6" s="18"/>
      <c r="D6" s="18"/>
      <c r="E6" s="18"/>
      <c r="F6" s="18"/>
      <c r="G6" s="18"/>
      <c r="H6" s="18"/>
      <c r="I6" s="18"/>
      <c r="J6" s="18"/>
      <c r="K6" s="18" t="s">
        <v>74</v>
      </c>
      <c r="L6" s="18"/>
    </row>
    <row r="7" spans="1:12" x14ac:dyDescent="0.55000000000000004">
      <c r="A7" s="18">
        <v>5</v>
      </c>
      <c r="B7" s="18"/>
      <c r="C7" s="18"/>
      <c r="D7" s="18"/>
      <c r="E7" s="18"/>
      <c r="F7" s="18"/>
      <c r="G7" s="18"/>
      <c r="H7" s="18"/>
      <c r="I7" s="18"/>
      <c r="J7" s="18"/>
      <c r="K7" s="18" t="s">
        <v>75</v>
      </c>
      <c r="L7" s="18"/>
    </row>
    <row r="8" spans="1:12" x14ac:dyDescent="0.55000000000000004">
      <c r="A8" s="18">
        <v>6</v>
      </c>
      <c r="B8" s="18"/>
      <c r="C8" s="18"/>
      <c r="D8" s="18"/>
      <c r="E8" s="18"/>
      <c r="F8" s="18"/>
      <c r="G8" s="18"/>
      <c r="H8" s="18"/>
      <c r="I8" s="18"/>
      <c r="J8" s="18"/>
      <c r="K8" s="18" t="s">
        <v>76</v>
      </c>
      <c r="L8" s="18"/>
    </row>
    <row r="9" spans="1:12" x14ac:dyDescent="0.55000000000000004">
      <c r="A9" s="18">
        <v>7</v>
      </c>
      <c r="B9" s="18"/>
      <c r="C9" s="18"/>
      <c r="D9" s="18"/>
      <c r="E9" s="18"/>
      <c r="F9" s="18"/>
      <c r="G9" s="18"/>
      <c r="H9" s="18"/>
      <c r="I9" s="18"/>
      <c r="J9" s="18"/>
      <c r="K9" s="18" t="s">
        <v>77</v>
      </c>
      <c r="L9" s="18"/>
    </row>
    <row r="10" spans="1:12" x14ac:dyDescent="0.55000000000000004">
      <c r="A10" s="18">
        <v>8</v>
      </c>
      <c r="B10" s="18"/>
      <c r="C10" s="18"/>
      <c r="D10" s="18"/>
      <c r="E10" s="18"/>
      <c r="F10" s="18"/>
      <c r="G10" s="18"/>
      <c r="H10" s="18"/>
      <c r="I10" s="18"/>
      <c r="J10" s="18"/>
      <c r="K10" s="18" t="s">
        <v>78</v>
      </c>
      <c r="L10" s="18"/>
    </row>
    <row r="11" spans="1:12" x14ac:dyDescent="0.55000000000000004">
      <c r="A11" s="18">
        <v>9</v>
      </c>
      <c r="B11" s="18"/>
      <c r="C11" s="18"/>
      <c r="D11" s="18"/>
      <c r="E11" s="18"/>
      <c r="F11" s="18"/>
      <c r="G11" s="18"/>
      <c r="H11" s="18"/>
      <c r="I11" s="18"/>
      <c r="J11" s="18"/>
      <c r="K11" s="18" t="s">
        <v>79</v>
      </c>
      <c r="L11" s="18"/>
    </row>
    <row r="12" spans="1:12" x14ac:dyDescent="0.55000000000000004">
      <c r="A12" s="18">
        <v>10</v>
      </c>
      <c r="B12" s="18"/>
      <c r="C12" s="18"/>
      <c r="D12" s="18"/>
      <c r="E12" s="18"/>
      <c r="F12" s="18"/>
      <c r="G12" s="18"/>
      <c r="H12" s="18"/>
      <c r="I12" s="18"/>
      <c r="J12" s="18"/>
      <c r="K12" s="18" t="s">
        <v>80</v>
      </c>
      <c r="L12" s="18"/>
    </row>
    <row r="13" spans="1:12" x14ac:dyDescent="0.55000000000000004">
      <c r="A13" s="18">
        <v>11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</row>
  </sheetData>
  <mergeCells count="10">
    <mergeCell ref="H1:I1"/>
    <mergeCell ref="J1:J2"/>
    <mergeCell ref="K1:K2"/>
    <mergeCell ref="L1:L2"/>
    <mergeCell ref="A1:A2"/>
    <mergeCell ref="C1:C2"/>
    <mergeCell ref="D1:D2"/>
    <mergeCell ref="E1:E2"/>
    <mergeCell ref="F1:F2"/>
    <mergeCell ref="G1:G2"/>
  </mergeCells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10" ma:contentTypeDescription="新しいドキュメントを作成します。" ma:contentTypeScope="" ma:versionID="b7644d4de02ded20394603be2720d07a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2cb02ba061cb2e2c8687b06261905403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5fcdd6f-42ce-4fb7-9ce2-d9614ea93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d442da-66a9-4fa6-ba31-eb0d54ad138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9A60F8-E17A-4040-9F5A-9546630000D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053316A-4C00-4B96-84F3-654AD4EF30C3}"/>
</file>

<file path=customXml/itemProps3.xml><?xml version="1.0" encoding="utf-8"?>
<ds:datastoreItem xmlns:ds="http://schemas.openxmlformats.org/officeDocument/2006/customXml" ds:itemID="{31E6A4BA-F386-4DF4-9C1E-5FC1525CA7B8}">
  <ds:schemaRefs>
    <ds:schemaRef ds:uri="http://schemas.microsoft.com/office/2006/metadata/properties"/>
    <ds:schemaRef ds:uri="http://schemas.microsoft.com/office/infopath/2007/PartnerControls"/>
    <ds:schemaRef ds:uri="2fd442da-66a9-4fa6-ba31-eb0d54ad138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社員工数</vt:lpstr>
      <vt:lpstr>外注費・経費</vt:lpstr>
      <vt:lpstr>リストマスタ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髙浦 祐朗</dc:creator>
  <cp:keywords/>
  <dc:description/>
  <cp:lastModifiedBy>石井徹</cp:lastModifiedBy>
  <cp:revision/>
  <dcterms:created xsi:type="dcterms:W3CDTF">2021-04-22T09:34:49Z</dcterms:created>
  <dcterms:modified xsi:type="dcterms:W3CDTF">2025-12-04T08:37:00Z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  <property fmtid="{D5CDD505-2E9C-101B-9397-08002B2CF9AE}" pid="3" name="MediaServiceImageTags">
    <vt:lpwstr/>
  </property>
</Properties>
</file>