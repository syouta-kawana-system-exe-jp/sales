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14" documentId="13_ncr:1_{691ADDC3-AE0A-49E0-A32D-8FEE0169258E}" xr6:coauthVersionLast="47" xr6:coauthVersionMax="47" xr10:uidLastSave="{A0E3EA34-333E-475A-8FB9-CB9B5C131DE6}"/>
  <bookViews>
    <workbookView xWindow="-120" yWindow="-120" windowWidth="29040" windowHeight="15720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<sst xmlns="http://schemas.openxmlformats.org/spreadsheetml/2006/main" count="98" uniqueCount="82">
  <si>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</si>
  <si>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</si>
  <si>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</si>
  <si>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</si>
  <si>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</si>
  <si>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</si>
  <si>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</si>
  <si>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</si>
  <si>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</si>
  <si>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</si>
  <si>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</si>
  <si>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</si>
  <si>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</si>
  <si>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</si>
  <si>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</si>
  <si>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</si>
  <si>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</si>
  <si>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</si>
  <si>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</si>
  <si>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</si>
  <si>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</si>
  <si>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</si>
  <si>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</si>
  <si>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</si>
  <si>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</si>
  <si>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</si>
  <si>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</si>
  <si>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</si>
  <si>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</si>
  <si>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</si>
  <si>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</si>
  <si>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</si>
  <si>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</si>
  <si>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</si>
  <si>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</si>
  <si>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</si>
  <si>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</si>
  <si>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</si>
  <si>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</si>
  <si>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</si>
  <si>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</si>
  <si>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</si>
  <si>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</si>
  <si>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</si>
  <si>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</si>
  <si>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</si>
  <si>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</si>
  <si>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</si>
  <si>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</si>
  <si>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</si>
  <si>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</si>
  <si>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</si>
  <si>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</si>
  <si>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</si>
  <si>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</si>
  <si>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</si>
  <si>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</si>
  <si>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</si>
  <si>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</si>
  <si>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</si>
  <si>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</si>
  <si>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</si>
  <si>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</si>
  <si>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</si>
  <si>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</si>
  <si>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</si>
  <si>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</si>
  <si>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</si>
  <si>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</si>
  <si>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</si>
  <si>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</si>
  <si>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</si>
  <si>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</si>
  <si>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</si>
  <si>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</si>
  <si>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</si>
  <si>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</si>
  <si>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</si>
  <si>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</si>
  <si>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</si>
  <si>
    <t>桝井</t>
    <rPh sb="0" eb="2">
      <t>マスイ</t>
    </rPh>
    <phoneticPr fontId="3"/>
  </si>
  <si>
    <t>今井太郎</t>
    <rPh sb="0" eb="2">
      <t>イマイ</t>
    </rPh>
    <rPh sb="2" eb="4">
      <t>タロウ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</si>
</sst>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10" sqref="A10"/>
    </sheetView>
  </sheetViews>
  <sheetFormatPr defaultColWidth="8.125" defaultRowHeight="12" x14ac:dyDescent="0.4"/>
  <cols>
    <col min="1" max="1" width="14.625" style="2" customWidth="1"/>
    <col min="2" max="2" width="7.875" style="2" bestFit="1" customWidth="1"/>
    <col min="3" max="3" width="14.625" style="2" customWidth="1"/>
    <col min="4" max="31" width="7" style="2" customWidth="1"/>
    <col min="32" max="32" width="7.875" style="2" customWidth="1"/>
    <col min="33" max="16384" width="8.125" style="2"/>
  </cols>
  <sheetData>
    <row r="1" spans="1:32" ht="19.5" x14ac:dyDescent="0.4">
      <c r="A1" s="1" t="s">
        <v>60</v>
      </c>
      <c r="D1" s="3" t="s">
        <v>61</v>
      </c>
    </row>
    <row r="2" spans="1:32" ht="5.25" customHeight="1" x14ac:dyDescent="0.4">
      <c r="A2" s="1"/>
    </row>
    <row r="3" spans="1:32" x14ac:dyDescent="0.4">
      <c r="A3" s="4" t="s">
        <v>0</v>
      </c>
      <c r="B3" s="25"/>
      <c r="C3" s="26"/>
      <c r="D3" s="5" t="s">
        <v>1</v>
      </c>
      <c r="E3" s="25"/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4">
      <c r="A4" s="5" t="s">
        <v>2</v>
      </c>
      <c r="B4" s="25" t="s">
        <v>3</v>
      </c>
      <c r="C4" s="26"/>
      <c r="D4" s="5" t="s">
        <v>4</v>
      </c>
      <c r="E4" s="28"/>
      <c r="F4" s="28"/>
      <c r="G4" s="5" t="s">
        <v>5</v>
      </c>
      <c r="H4" s="29">
        <f>AF59</f>
        <v>2.5</v>
      </c>
      <c r="I4" s="29"/>
      <c r="J4" s="5" t="s">
        <v>6</v>
      </c>
      <c r="K4" s="30">
        <f>外注費・経費!K4</f>
        <v>3750000</v>
      </c>
      <c r="L4" s="30"/>
      <c r="M4" s="5" t="s">
        <v>7</v>
      </c>
      <c r="N4" s="30">
        <v>0</v>
      </c>
      <c r="O4" s="30"/>
    </row>
    <row r="5" spans="1:32" ht="6" customHeight="1" x14ac:dyDescent="0.4"/>
    <row r="6" spans="1:32" s="6" customFormat="1" x14ac:dyDescent="0.4">
      <c r="A6" s="40" t="s">
        <v>8</v>
      </c>
      <c r="B6" s="43" t="s">
        <v>9</v>
      </c>
      <c r="C6" s="43" t="s">
        <v>10</v>
      </c>
      <c r="D6" s="46" t="s">
        <v>11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12</v>
      </c>
    </row>
    <row r="7" spans="1:32" s="6" customFormat="1" ht="12" customHeight="1" x14ac:dyDescent="0.4">
      <c r="A7" s="41"/>
      <c r="B7" s="44"/>
      <c r="C7" s="44"/>
      <c r="D7" s="34" t="s">
        <v>62</v>
      </c>
      <c r="E7" s="35"/>
      <c r="F7" s="36"/>
      <c r="G7" s="34" t="s">
        <v>63</v>
      </c>
      <c r="H7" s="35"/>
      <c r="I7" s="36"/>
      <c r="J7" s="34" t="s">
        <v>64</v>
      </c>
      <c r="K7" s="35"/>
      <c r="L7" s="36"/>
      <c r="M7" s="34" t="s">
        <v>65</v>
      </c>
      <c r="N7" s="35"/>
      <c r="O7" s="36"/>
      <c r="P7" s="34" t="s">
        <v>66</v>
      </c>
      <c r="Q7" s="35"/>
      <c r="R7" s="36"/>
      <c r="S7" s="34" t="s">
        <v>68</v>
      </c>
      <c r="T7" s="35"/>
      <c r="U7" s="36"/>
      <c r="V7" s="34" t="s">
        <v>70</v>
      </c>
      <c r="W7" s="35"/>
      <c r="X7" s="36"/>
      <c r="Y7" s="34" t="s">
        <v>72</v>
      </c>
      <c r="Z7" s="35"/>
      <c r="AA7" s="36"/>
      <c r="AB7" s="34" t="s">
        <v>74</v>
      </c>
      <c r="AC7" s="35"/>
      <c r="AD7" s="36"/>
      <c r="AE7" s="47" t="s">
        <v>13</v>
      </c>
      <c r="AF7" s="32"/>
    </row>
    <row r="8" spans="1:32" s="6" customFormat="1" x14ac:dyDescent="0.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4">
      <c r="A9" s="21" t="s">
        <v>14</v>
      </c>
      <c r="B9" s="8"/>
      <c r="C9" s="8" t="s">
        <v>80</v>
      </c>
      <c r="D9" s="22"/>
      <c r="E9" s="22"/>
      <c r="F9" s="22"/>
      <c r="G9" s="22"/>
      <c r="H9" s="22"/>
      <c r="I9" s="22"/>
      <c r="J9" s="22">
        <v>0.5</v>
      </c>
      <c r="K9" s="22">
        <v>0.5</v>
      </c>
      <c r="L9" s="22">
        <v>0.5</v>
      </c>
      <c r="M9" s="22">
        <v>0.5</v>
      </c>
      <c r="N9" s="22">
        <v>0.5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2.5</v>
      </c>
    </row>
    <row r="10" spans="1:32" x14ac:dyDescent="0.4">
      <c r="A10" s="8" t="s">
        <v>14</v>
      </c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">
      <c r="A59" s="37" t="s">
        <v>12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0.5</v>
      </c>
      <c r="K59" s="23">
        <f t="shared" si="1"/>
        <v>0.5</v>
      </c>
      <c r="L59" s="23">
        <f t="shared" si="1"/>
        <v>0.5</v>
      </c>
      <c r="M59" s="23">
        <f t="shared" si="1"/>
        <v>0.5</v>
      </c>
      <c r="N59" s="23">
        <f t="shared" si="1"/>
        <v>0.5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2.5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abSelected="1" workbookViewId="0">
      <selection activeCell="N9" sqref="N9"/>
    </sheetView>
  </sheetViews>
  <sheetFormatPr defaultColWidth="8.125" defaultRowHeight="12" x14ac:dyDescent="0.4"/>
  <cols>
    <col min="1" max="1" width="14.625" style="2" customWidth="1"/>
    <col min="2" max="2" width="7.875" style="2" customWidth="1"/>
    <col min="3" max="3" width="14.625" style="2" customWidth="1"/>
    <col min="4" max="31" width="8.375" style="2" customWidth="1"/>
    <col min="32" max="32" width="11.125" style="2" customWidth="1"/>
    <col min="33" max="16384" width="8.125" style="2"/>
  </cols>
  <sheetData>
    <row r="1" spans="1:32" ht="19.5" x14ac:dyDescent="0.4">
      <c r="A1" s="1" t="s">
        <v>15</v>
      </c>
    </row>
    <row r="2" spans="1:32" ht="5.25" customHeight="1" x14ac:dyDescent="0.4">
      <c r="A2" s="1"/>
    </row>
    <row r="3" spans="1:32" x14ac:dyDescent="0.4">
      <c r="A3" s="9" t="s">
        <v>0</v>
      </c>
      <c r="B3" s="25"/>
      <c r="C3" s="26"/>
      <c r="D3" s="10" t="s">
        <v>1</v>
      </c>
      <c r="E3" s="25">
        <f>社員工数!E3</f>
        <v>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4">
      <c r="A4" s="9" t="s">
        <v>2</v>
      </c>
      <c r="B4" s="25" t="s">
        <v>16</v>
      </c>
      <c r="C4" s="26"/>
      <c r="D4" s="11" t="s">
        <v>4</v>
      </c>
      <c r="E4" s="48">
        <f>社員工数!E4</f>
        <v>0</v>
      </c>
      <c r="F4" s="48"/>
      <c r="G4" s="11" t="s">
        <v>5</v>
      </c>
      <c r="H4" s="29">
        <f>社員工数!H4</f>
        <v>2.5</v>
      </c>
      <c r="I4" s="29"/>
      <c r="J4" s="11" t="s">
        <v>6</v>
      </c>
      <c r="K4" s="49">
        <f>AF59</f>
        <v>3750000</v>
      </c>
      <c r="L4" s="49"/>
      <c r="M4" s="11" t="s">
        <v>7</v>
      </c>
      <c r="N4" s="49">
        <f>SUMIF(A:A,"経費",AF:AF)</f>
        <v>0</v>
      </c>
      <c r="O4" s="49"/>
    </row>
    <row r="5" spans="1:32" ht="6" customHeight="1" x14ac:dyDescent="0.4"/>
    <row r="6" spans="1:32" s="6" customFormat="1" x14ac:dyDescent="0.4">
      <c r="A6" s="56" t="s">
        <v>8</v>
      </c>
      <c r="B6" s="59" t="s">
        <v>17</v>
      </c>
      <c r="C6" s="59" t="s">
        <v>10</v>
      </c>
      <c r="D6" s="62" t="s">
        <v>18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12</v>
      </c>
    </row>
    <row r="7" spans="1:32" s="6" customFormat="1" ht="12" customHeight="1" x14ac:dyDescent="0.4">
      <c r="A7" s="57"/>
      <c r="B7" s="60"/>
      <c r="C7" s="60"/>
      <c r="D7" s="53" t="s">
        <v>75</v>
      </c>
      <c r="E7" s="54"/>
      <c r="F7" s="55"/>
      <c r="G7" s="53" t="s">
        <v>76</v>
      </c>
      <c r="H7" s="54"/>
      <c r="I7" s="55"/>
      <c r="J7" s="53" t="s">
        <v>77</v>
      </c>
      <c r="K7" s="54"/>
      <c r="L7" s="55"/>
      <c r="M7" s="53" t="s">
        <v>78</v>
      </c>
      <c r="N7" s="54"/>
      <c r="O7" s="55"/>
      <c r="P7" s="53" t="s">
        <v>79</v>
      </c>
      <c r="Q7" s="54"/>
      <c r="R7" s="55"/>
      <c r="S7" s="53" t="s">
        <v>67</v>
      </c>
      <c r="T7" s="54"/>
      <c r="U7" s="55"/>
      <c r="V7" s="53" t="s">
        <v>69</v>
      </c>
      <c r="W7" s="54"/>
      <c r="X7" s="55"/>
      <c r="Y7" s="53" t="s">
        <v>71</v>
      </c>
      <c r="Z7" s="54"/>
      <c r="AA7" s="55"/>
      <c r="AB7" s="53" t="s">
        <v>73</v>
      </c>
      <c r="AC7" s="54"/>
      <c r="AD7" s="55"/>
      <c r="AE7" s="63" t="s">
        <v>13</v>
      </c>
      <c r="AF7" s="51"/>
    </row>
    <row r="8" spans="1:32" s="6" customFormat="1" x14ac:dyDescent="0.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4">
      <c r="A9" s="13" t="s">
        <v>19</v>
      </c>
      <c r="B9" s="14"/>
      <c r="C9" s="13" t="s">
        <v>81</v>
      </c>
      <c r="D9" s="13"/>
      <c r="E9" s="13"/>
      <c r="F9" s="13"/>
      <c r="G9" s="13"/>
      <c r="H9" s="13"/>
      <c r="I9" s="13"/>
      <c r="J9" s="13">
        <v>750000</v>
      </c>
      <c r="K9" s="13">
        <v>750000</v>
      </c>
      <c r="L9" s="13">
        <v>750000</v>
      </c>
      <c r="M9" s="13">
        <v>750000</v>
      </c>
      <c r="N9" s="13">
        <v>750000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3750000</v>
      </c>
    </row>
    <row r="10" spans="1:32" x14ac:dyDescent="0.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">
      <c r="A59" s="37" t="s">
        <v>12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750000</v>
      </c>
      <c r="K59" s="15">
        <f t="shared" si="1"/>
        <v>750000</v>
      </c>
      <c r="L59" s="15">
        <f t="shared" si="1"/>
        <v>750000</v>
      </c>
      <c r="M59" s="15">
        <f t="shared" si="1"/>
        <v>750000</v>
      </c>
      <c r="N59" s="15">
        <f t="shared" si="1"/>
        <v>750000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3750000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625" defaultRowHeight="18.75" x14ac:dyDescent="0.4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375" style="18" bestFit="1" customWidth="1"/>
    <col min="7" max="7" width="11.125" style="18" customWidth="1"/>
    <col min="8" max="8" width="5.875" style="18" customWidth="1"/>
    <col min="9" max="9" width="11.8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 x14ac:dyDescent="0.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E34EED-3188-40F1-A9AF-A71D3EA61029}">
  <ds:schemaRefs>
    <ds:schemaRef ds:uri="http://www.w3.org/XML/1998/namespace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2fd442da-66a9-4fa6-ba31-eb0d54ad1381"/>
    <ds:schemaRef ds:uri="http://schemas.openxmlformats.org/package/2006/metadata/core-properties"/>
    <ds:schemaRef ds:uri="http://purl.org/dc/terms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4F6DDF2-E500-44EF-BA79-B91EE8CE16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70ED30-56B6-4F5C-8234-685F85E62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川名翔太</cp:lastModifiedBy>
  <cp:revision/>
  <dcterms:created xsi:type="dcterms:W3CDTF">2021-04-22T09:34:49Z</dcterms:created>
  <dcterms:modified xsi:type="dcterms:W3CDTF">2025-09-26T00:35:55Z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