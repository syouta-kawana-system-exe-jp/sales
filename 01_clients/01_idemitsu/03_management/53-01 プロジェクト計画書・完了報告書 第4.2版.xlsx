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17"/>
  <workbookPr defaultThemeVersion="124226"/>
  <mc:AlternateContent xmlns:mc="http://schemas.openxmlformats.org/markup-compatibility/2006">
    <mc:Choice Requires="x15">
      <x15ac:absPath xmlns:x15ac="http://schemas.microsoft.com/office/spreadsheetml/2010/11/ac" url="\\192.168.130.201\全社共有\02_オフィス管理\13_千葉オフィス\26_QMS・ISMS\03.記録\2024年度\1.全般\1.規定\更新中\"/>
    </mc:Choice>
  </mc:AlternateContent>
  <xr:revisionPtr revIDLastSave="0" documentId="13_ncr:1_{B54AA75A-C2E4-4E5A-B04B-6B317561B48E}" xr6:coauthVersionLast="47" xr6:coauthVersionMax="47" xr10:uidLastSave="{00000000-0000-0000-0000-000000000000}"/>
  <bookViews>
    <workbookView xWindow="-120" yWindow="-120" windowWidth="29040" windowHeight="15840" tabRatio="780" xr2:uid="{00000000-000D-0000-FFFF-FFFF00000000}"/>
  </bookViews>
  <sheets>
    <sheet name="プロジェクト計画書" sheetId="7" r:id="rId1"/>
    <sheet name="プロジェクト完了報告書" sheetId="2" r:id="rId2"/>
    <sheet name="品質データ分析報告書" sheetId="11" r:id="rId3"/>
    <sheet name="開発及びサポートプロセスにおけるセキュリティ" sheetId="6" r:id="rId4"/>
    <sheet name="更新履歴" sheetId="3" r:id="rId5"/>
    <sheet name="【事務局用】顧客満足度調査依頼 メール文面" sheetId="5" r:id="rId6"/>
  </sheets>
  <externalReferences>
    <externalReference r:id="rId7"/>
    <externalReference r:id="rId8"/>
  </externalReferences>
  <definedNames>
    <definedName name="PJ番号">#REF!</definedName>
    <definedName name="ＰＪ表紙名">#REF!</definedName>
    <definedName name="ＰＭ名">[1]プロジェクト実施計画書!$G$7</definedName>
    <definedName name="_xlnm.Print_Area" localSheetId="1">プロジェクト完了報告書!$A$1:$AU$145</definedName>
    <definedName name="_xlnm.Print_Area" localSheetId="0">プロジェクト計画書!$A$1:$AV$133</definedName>
    <definedName name="_xlnm.Print_Area" localSheetId="2">品質データ分析報告書!$A$1:$AV$77</definedName>
    <definedName name="_xlnm.Print_Titles" localSheetId="1">プロジェクト完了報告書!$1:$10</definedName>
    <definedName name="_xlnm.Print_Titles" localSheetId="0">プロジェクト計画書!$1:$10</definedName>
    <definedName name="_xlnm.Print_Titles" localSheetId="2">品質データ分析報告書!$1:$77</definedName>
    <definedName name="プロジェクトコード" localSheetId="0">'[2]プロジェクト報告書（3.3版）'!$L$9</definedName>
    <definedName name="プロジェクトコード" localSheetId="2">'[2]プロジェクト報告書（3.3版）'!$L$9</definedName>
    <definedName name="プロジェクトコード">プロジェクト完了報告書!$L$9</definedName>
    <definedName name="プロジェクト名" localSheetId="0">'[2]プロジェクト報告書（3.3版）'!$L$10</definedName>
    <definedName name="プロジェクト名" localSheetId="2">'[2]プロジェクト報告書（3.3版）'!$L$10</definedName>
    <definedName name="プロジェクト名">プロジェクト完了報告書!$L$10</definedName>
    <definedName name="プロジェクト名称">#REF!</definedName>
    <definedName name="月">#REF!</definedName>
    <definedName name="検収完了日" localSheetId="0">'[2]プロジェクト報告書（3.3版）'!$AI$21</definedName>
    <definedName name="検収完了日" localSheetId="2">'[2]プロジェクト報告書（3.3版）'!$AI$21</definedName>
    <definedName name="検収完了日">プロジェクト完了報告書!$AI$21</definedName>
    <definedName name="顧客コード">#REF!</definedName>
    <definedName name="顧客満足度調査の依頼先担当者メールアドレス" localSheetId="0">'[2]プロジェクト報告書（3.3版）'!$AI$48</definedName>
    <definedName name="顧客満足度調査の依頼先担当者メールアドレス" localSheetId="2">'[2]プロジェクト報告書（3.3版）'!$AI$48</definedName>
    <definedName name="顧客満足度調査の依頼先担当者メールアドレス">プロジェクト完了報告書!$AI$48</definedName>
    <definedName name="顧客満足度調査の依頼先担当者名" localSheetId="0">'[2]プロジェクト報告書（3.3版）'!$L$48</definedName>
    <definedName name="顧客満足度調査の依頼先担当者名" localSheetId="2">'[2]プロジェクト報告書（3.3版）'!$L$48</definedName>
    <definedName name="顧客満足度調査の依頼先担当者名">プロジェクト完了報告書!$L$48</definedName>
    <definedName name="顧客名" localSheetId="0">'[2]プロジェクト報告書（3.3版）'!$L$13</definedName>
    <definedName name="顧客名" localSheetId="2">'[2]プロジェクト報告書（3.3版）'!$L$13</definedName>
    <definedName name="顧客名">プロジェクト完了報告書!$L$12</definedName>
    <definedName name="顧客名称">#REF!</definedName>
    <definedName name="作成者">#REF!</definedName>
    <definedName name="主管部門">#REF!</definedName>
    <definedName name="日">#REF!</definedName>
    <definedName name="年">#REF!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J90" i="2" l="1"/>
  <c r="AB90" i="2"/>
  <c r="AR90" i="2" s="1"/>
  <c r="X90" i="2"/>
  <c r="AF90" i="2" s="1"/>
  <c r="P90" i="2"/>
  <c r="L90" i="2"/>
  <c r="AR89" i="2"/>
  <c r="AN89" i="2"/>
  <c r="AF89" i="2"/>
  <c r="T89" i="2"/>
  <c r="AR88" i="2"/>
  <c r="AN88" i="2"/>
  <c r="AF88" i="2"/>
  <c r="T88" i="2"/>
  <c r="AR87" i="2"/>
  <c r="AN87" i="2"/>
  <c r="AF87" i="2"/>
  <c r="T87" i="2"/>
  <c r="AR86" i="2"/>
  <c r="AN86" i="2"/>
  <c r="AF86" i="2"/>
  <c r="T86" i="2"/>
  <c r="AR85" i="2"/>
  <c r="AN85" i="2"/>
  <c r="AF85" i="2"/>
  <c r="T85" i="2"/>
  <c r="AR84" i="2"/>
  <c r="AN84" i="2"/>
  <c r="AF84" i="2"/>
  <c r="T84" i="2"/>
  <c r="AR83" i="2"/>
  <c r="AN83" i="2"/>
  <c r="AF83" i="2"/>
  <c r="T83" i="2"/>
  <c r="AR82" i="2"/>
  <c r="AN82" i="2"/>
  <c r="AF82" i="2"/>
  <c r="T82" i="2"/>
  <c r="AR81" i="2"/>
  <c r="AN81" i="2"/>
  <c r="AF81" i="2"/>
  <c r="T81" i="2"/>
  <c r="AJ109" i="7"/>
  <c r="AB109" i="7"/>
  <c r="X109" i="7"/>
  <c r="P109" i="7"/>
  <c r="L109" i="7"/>
  <c r="AR107" i="7"/>
  <c r="AR105" i="7"/>
  <c r="AR104" i="7"/>
  <c r="AN108" i="7"/>
  <c r="AR108" i="7" s="1"/>
  <c r="AN107" i="7"/>
  <c r="AN106" i="7"/>
  <c r="AR106" i="7" s="1"/>
  <c r="AN105" i="7"/>
  <c r="AN104" i="7"/>
  <c r="AN103" i="7"/>
  <c r="AR103" i="7" s="1"/>
  <c r="AN102" i="7"/>
  <c r="AR102" i="7" s="1"/>
  <c r="AN101" i="7"/>
  <c r="AR101" i="7" s="1"/>
  <c r="AN100" i="7"/>
  <c r="AR100" i="7" s="1"/>
  <c r="AF108" i="7"/>
  <c r="T108" i="7"/>
  <c r="AF107" i="7"/>
  <c r="AF106" i="7"/>
  <c r="AF105" i="7"/>
  <c r="AF104" i="7"/>
  <c r="AF103" i="7"/>
  <c r="AF102" i="7"/>
  <c r="AF100" i="7"/>
  <c r="AF101" i="7"/>
  <c r="T107" i="7"/>
  <c r="T106" i="7"/>
  <c r="T105" i="7"/>
  <c r="T104" i="7"/>
  <c r="T103" i="7"/>
  <c r="T102" i="7"/>
  <c r="T101" i="7"/>
  <c r="T100" i="7"/>
  <c r="AI54" i="11"/>
  <c r="AE54" i="11"/>
  <c r="AA54" i="11"/>
  <c r="W54" i="11"/>
  <c r="S54" i="11"/>
  <c r="O54" i="11"/>
  <c r="K54" i="11"/>
  <c r="G54" i="11"/>
  <c r="AM53" i="11"/>
  <c r="AQ53" i="11" s="1"/>
  <c r="AM52" i="11"/>
  <c r="AQ52" i="11" s="1"/>
  <c r="AM51" i="11"/>
  <c r="AQ51" i="11" s="1"/>
  <c r="AM50" i="11"/>
  <c r="AQ50" i="11" s="1"/>
  <c r="AM49" i="11"/>
  <c r="AQ49" i="11" s="1"/>
  <c r="AM48" i="11"/>
  <c r="AQ48" i="11" s="1"/>
  <c r="AM47" i="11"/>
  <c r="AQ47" i="11" s="1"/>
  <c r="AM46" i="11"/>
  <c r="AI16" i="11"/>
  <c r="L16" i="11"/>
  <c r="AI14" i="11"/>
  <c r="L14" i="11"/>
  <c r="AI15" i="11"/>
  <c r="L15" i="11"/>
  <c r="AI13" i="11"/>
  <c r="L13" i="11"/>
  <c r="AI12" i="11"/>
  <c r="L12" i="11"/>
  <c r="L11" i="11"/>
  <c r="L10" i="11"/>
  <c r="AP9" i="11"/>
  <c r="AI9" i="11"/>
  <c r="L9" i="11"/>
  <c r="T90" i="2" l="1"/>
  <c r="AN90" i="2"/>
  <c r="AF109" i="7"/>
  <c r="T109" i="7"/>
  <c r="AN109" i="7"/>
  <c r="AR109" i="7" s="1"/>
  <c r="AQ46" i="11"/>
  <c r="AM54" i="11"/>
  <c r="G55" i="11" s="1"/>
  <c r="K55" i="11" l="1"/>
  <c r="O55" i="11"/>
  <c r="S55" i="11"/>
  <c r="W55" i="11"/>
  <c r="AA55" i="11"/>
  <c r="AE55" i="11"/>
  <c r="AI55" i="11"/>
  <c r="L28" i="11" l="1"/>
  <c r="AI26" i="11"/>
  <c r="AI25" i="11"/>
  <c r="L27" i="11"/>
  <c r="L26" i="11"/>
  <c r="L25" i="11"/>
  <c r="L22" i="11"/>
  <c r="AI20" i="11"/>
  <c r="AI19" i="11"/>
  <c r="L21" i="11"/>
  <c r="L20" i="11"/>
  <c r="L19" i="11"/>
  <c r="AI54" i="2"/>
  <c r="AI63" i="7"/>
  <c r="AI21" i="11" s="1"/>
  <c r="AI32" i="11"/>
  <c r="AI31" i="11"/>
  <c r="L32" i="11"/>
  <c r="L31" i="11"/>
  <c r="AI61" i="2" l="1"/>
  <c r="AI34" i="11" s="1"/>
  <c r="L61" i="2"/>
  <c r="L34" i="11" s="1"/>
  <c r="L60" i="2"/>
  <c r="L33" i="11" s="1"/>
  <c r="AI27" i="11"/>
  <c r="AI60" i="2"/>
  <c r="AI33" i="11" s="1"/>
  <c r="L16" i="2" l="1"/>
  <c r="L32" i="2"/>
  <c r="L30" i="2"/>
  <c r="L28" i="2"/>
  <c r="L26" i="2"/>
  <c r="L24" i="2"/>
  <c r="AI16" i="2"/>
  <c r="AI14" i="2"/>
  <c r="AI15" i="2"/>
  <c r="AI13" i="2"/>
  <c r="AI12" i="2"/>
  <c r="L14" i="2"/>
  <c r="L15" i="2"/>
  <c r="L13" i="2"/>
  <c r="L12" i="2"/>
  <c r="L11" i="2"/>
  <c r="AP9" i="2"/>
  <c r="AI9" i="2"/>
  <c r="L10" i="2"/>
  <c r="L9" i="2"/>
  <c r="B6" i="5" l="1"/>
  <c r="B2"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福田慎</author>
  </authors>
  <commentList>
    <comment ref="B25" authorId="0" shapeId="0" xr:uid="{DFD55E76-B4A1-4705-888F-2462201B50C7}">
      <text>
        <r>
          <rPr>
            <b/>
            <sz val="9"/>
            <color indexed="81"/>
            <rFont val="MS P ゴシック"/>
            <family val="3"/>
            <charset val="128"/>
          </rPr>
          <t>プロジェクトとしてのセキュリティ</t>
        </r>
      </text>
    </comment>
    <comment ref="B27" authorId="0" shapeId="0" xr:uid="{9BB53AF7-C0B3-4776-A9EA-D156E002B2E8}">
      <text>
        <r>
          <rPr>
            <b/>
            <sz val="9"/>
            <color indexed="81"/>
            <rFont val="MS P ゴシック"/>
            <family val="3"/>
            <charset val="128"/>
          </rPr>
          <t>成果物のセキュリティ
⇒開発及びサポートプロセスにおけるセキュリティを参照</t>
        </r>
      </text>
    </comment>
    <comment ref="L43" authorId="0" shapeId="0" xr:uid="{C63AD14A-40EA-47F2-9167-BC1B3D068B75}">
      <text>
        <r>
          <rPr>
            <b/>
            <sz val="9"/>
            <color indexed="81"/>
            <rFont val="MS P ゴシック"/>
            <family val="3"/>
            <charset val="128"/>
          </rPr>
          <t>納品物については、○印をつける</t>
        </r>
        <r>
          <rPr>
            <sz val="9"/>
            <color indexed="81"/>
            <rFont val="MS P ゴシック"/>
            <family val="3"/>
            <charset val="128"/>
          </rPr>
          <t xml:space="preserve">
</t>
        </r>
      </text>
    </comment>
    <comment ref="Q43" authorId="0" shapeId="0" xr:uid="{4CE76C36-7686-4629-BACC-BBD72BD453E3}">
      <text>
        <r>
          <rPr>
            <b/>
            <sz val="9"/>
            <color indexed="81"/>
            <rFont val="MS P ゴシック"/>
            <family val="3"/>
            <charset val="128"/>
          </rPr>
          <t xml:space="preserve">作成物については、〇印をつける
</t>
        </r>
      </text>
    </comment>
    <comment ref="B57" authorId="0" shapeId="0" xr:uid="{B0AC174B-AC4B-4F20-BC0B-B47B09C296D2}">
      <text>
        <r>
          <rPr>
            <b/>
            <sz val="9"/>
            <color indexed="81"/>
            <rFont val="MS P ゴシック"/>
            <family val="3"/>
            <charset val="128"/>
          </rPr>
          <t>備考に詳細を記載</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福田慎</author>
  </authors>
  <commentList>
    <comment ref="B30" authorId="0" shapeId="0" xr:uid="{6BCBB09A-DDEB-4727-B38D-9A3F95AD3B79}">
      <text>
        <r>
          <rPr>
            <b/>
            <sz val="9"/>
            <color indexed="81"/>
            <rFont val="MS P ゴシック"/>
            <family val="3"/>
            <charset val="128"/>
          </rPr>
          <t>プロジェクトとしてのセキュリティ</t>
        </r>
      </text>
    </comment>
    <comment ref="B32" authorId="0" shapeId="0" xr:uid="{E5FE6EB0-4918-4285-A64A-B22BF1272BDF}">
      <text>
        <r>
          <rPr>
            <b/>
            <sz val="9"/>
            <color indexed="81"/>
            <rFont val="MS P ゴシック"/>
            <family val="3"/>
            <charset val="128"/>
          </rPr>
          <t>成果物のセキュリティ
⇒開発及びサポートプロセスにおけるセキュリティを参照</t>
        </r>
      </text>
    </comment>
    <comment ref="B42" authorId="0" shapeId="0" xr:uid="{7506FE83-2792-448A-9C6F-44D6F820F470}">
      <text>
        <r>
          <rPr>
            <b/>
            <sz val="9"/>
            <color indexed="81"/>
            <rFont val="MS P ゴシック"/>
            <family val="3"/>
            <charset val="128"/>
          </rPr>
          <t>成果物のセキュリティ
⇒開発及びサポートプロセスにおけるセキュリティを参照</t>
        </r>
      </text>
    </comment>
    <comment ref="B46" authorId="0" shapeId="0" xr:uid="{EEA1ABD5-8467-421E-B27F-8D49838A0772}">
      <text>
        <r>
          <rPr>
            <b/>
            <sz val="9"/>
            <color indexed="81"/>
            <rFont val="MS P ゴシック"/>
            <family val="3"/>
            <charset val="128"/>
          </rPr>
          <t>原則「あり」を選択
「なし」を選択する場合は、理由を明記すること</t>
        </r>
      </text>
    </comment>
    <comment ref="B48" authorId="0" shapeId="0" xr:uid="{4D6E1BB7-96B6-4F24-B492-0D0A653004C5}">
      <text>
        <r>
          <rPr>
            <b/>
            <sz val="9"/>
            <color indexed="81"/>
            <rFont val="MS P ゴシック"/>
            <family val="3"/>
            <charset val="128"/>
          </rPr>
          <t>敬称略</t>
        </r>
      </text>
    </comment>
    <comment ref="Y48" authorId="0" shapeId="0" xr:uid="{E42335D4-A0E2-4208-AE8D-63C031F1BF73}">
      <text>
        <r>
          <rPr>
            <b/>
            <sz val="9"/>
            <color indexed="81"/>
            <rFont val="MS P ゴシック"/>
            <family val="3"/>
            <charset val="128"/>
          </rPr>
          <t>1名</t>
        </r>
      </text>
    </comment>
    <comment ref="B142" authorId="0" shapeId="0" xr:uid="{00000000-0006-0000-0000-000001000000}">
      <text>
        <r>
          <rPr>
            <b/>
            <sz val="9"/>
            <color indexed="81"/>
            <rFont val="MS P ゴシック"/>
            <family val="3"/>
            <charset val="128"/>
          </rPr>
          <t>結果が「不満足」、または意見・クレーム記載有の場合</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福田慎</author>
  </authors>
  <commentList>
    <comment ref="AQ44" authorId="0" shapeId="0" xr:uid="{3F6A8B57-749B-49D3-80AA-B697663254C3}">
      <text>
        <r>
          <rPr>
            <b/>
            <sz val="9"/>
            <color indexed="81"/>
            <rFont val="MS P ゴシック"/>
            <family val="3"/>
            <charset val="128"/>
          </rPr>
          <t xml:space="preserve">欠陥検出率はテスト・レビューの欠陥検出の能力を表す。
欠陥検出数／残存欠陥数で算出。
どこの工程のレビュー・テストを強化すべきかを確認できる。
</t>
        </r>
      </text>
    </comment>
  </commentList>
</comments>
</file>

<file path=xl/sharedStrings.xml><?xml version="1.0" encoding="utf-8"?>
<sst xmlns="http://schemas.openxmlformats.org/spreadsheetml/2006/main" count="412" uniqueCount="261">
  <si>
    <t>プロジェクト計画書</t>
    <rPh sb="6" eb="8">
      <t>ケイカク</t>
    </rPh>
    <rPh sb="8" eb="9">
      <t>ショ</t>
    </rPh>
    <phoneticPr fontId="2"/>
  </si>
  <si>
    <t>作成(PM)</t>
    <rPh sb="0" eb="2">
      <t>サクセイ</t>
    </rPh>
    <phoneticPr fontId="2"/>
  </si>
  <si>
    <t>承認(責任者)</t>
    <rPh sb="0" eb="2">
      <t>ショウニン</t>
    </rPh>
    <rPh sb="3" eb="6">
      <t>セキニンシャ</t>
    </rPh>
    <phoneticPr fontId="2"/>
  </si>
  <si>
    <t>○○ 太郎</t>
    <rPh sb="3" eb="5">
      <t>タロウ</t>
    </rPh>
    <phoneticPr fontId="2"/>
  </si>
  <si>
    <t>○○ 花子</t>
    <rPh sb="3" eb="5">
      <t>ハナコ</t>
    </rPh>
    <phoneticPr fontId="2"/>
  </si>
  <si>
    <t>20XX/XX/XX</t>
    <phoneticPr fontId="2"/>
  </si>
  <si>
    <t>＜基本情報＞</t>
    <rPh sb="1" eb="3">
      <t>キホン</t>
    </rPh>
    <rPh sb="3" eb="5">
      <t>ジョウホウ</t>
    </rPh>
    <phoneticPr fontId="2"/>
  </si>
  <si>
    <t>プロジェクトコード</t>
    <phoneticPr fontId="2"/>
  </si>
  <si>
    <t>プロジェクト期間</t>
    <rPh sb="6" eb="8">
      <t>キカン</t>
    </rPh>
    <phoneticPr fontId="2"/>
  </si>
  <si>
    <t>～</t>
    <phoneticPr fontId="2"/>
  </si>
  <si>
    <t>プロジェクト名</t>
    <rPh sb="6" eb="7">
      <t>メイ</t>
    </rPh>
    <phoneticPr fontId="2"/>
  </si>
  <si>
    <t>プロジェクト概要</t>
    <rPh sb="6" eb="8">
      <t>ガイヨウ</t>
    </rPh>
    <phoneticPr fontId="2"/>
  </si>
  <si>
    <t>顧客名</t>
    <rPh sb="0" eb="2">
      <t>コキャク</t>
    </rPh>
    <rPh sb="2" eb="3">
      <t>メイ</t>
    </rPh>
    <phoneticPr fontId="2"/>
  </si>
  <si>
    <t>顧客担当部署</t>
    <rPh sb="0" eb="2">
      <t>コキャク</t>
    </rPh>
    <rPh sb="2" eb="4">
      <t>タントウ</t>
    </rPh>
    <rPh sb="4" eb="6">
      <t>ブショ</t>
    </rPh>
    <phoneticPr fontId="2"/>
  </si>
  <si>
    <t>担当本部</t>
    <rPh sb="0" eb="2">
      <t>タントウ</t>
    </rPh>
    <rPh sb="2" eb="4">
      <t>ホンブ</t>
    </rPh>
    <phoneticPr fontId="2"/>
  </si>
  <si>
    <t>担当部門</t>
    <rPh sb="0" eb="2">
      <t>タントウ</t>
    </rPh>
    <rPh sb="2" eb="4">
      <t>ブモン</t>
    </rPh>
    <phoneticPr fontId="2"/>
  </si>
  <si>
    <t>プロジェクト責任者</t>
    <rPh sb="6" eb="9">
      <t>セキニンシャ</t>
    </rPh>
    <phoneticPr fontId="2"/>
  </si>
  <si>
    <t>プロジェクトマネージャ</t>
    <phoneticPr fontId="2"/>
  </si>
  <si>
    <t>品質管理担当者</t>
    <rPh sb="0" eb="2">
      <t>ヒンシツ</t>
    </rPh>
    <rPh sb="2" eb="4">
      <t>カンリ</t>
    </rPh>
    <rPh sb="4" eb="7">
      <t>タントウシャ</t>
    </rPh>
    <phoneticPr fontId="2"/>
  </si>
  <si>
    <t>営業担当者</t>
    <rPh sb="0" eb="2">
      <t>エイギョウ</t>
    </rPh>
    <rPh sb="2" eb="5">
      <t>タントウシャ</t>
    </rPh>
    <phoneticPr fontId="2"/>
  </si>
  <si>
    <t>受注額（プロジェクト全体）</t>
    <rPh sb="0" eb="2">
      <t>ジュチュウ</t>
    </rPh>
    <rPh sb="2" eb="3">
      <t>ガク</t>
    </rPh>
    <rPh sb="10" eb="12">
      <t>ゼンタイ</t>
    </rPh>
    <phoneticPr fontId="2"/>
  </si>
  <si>
    <t>プロジェクト区分</t>
    <rPh sb="6" eb="8">
      <t>クブン</t>
    </rPh>
    <phoneticPr fontId="2"/>
  </si>
  <si>
    <t>＜プロジェクト目的及び品質目標＞</t>
    <rPh sb="7" eb="9">
      <t>モクテキ</t>
    </rPh>
    <rPh sb="9" eb="10">
      <t>オヨ</t>
    </rPh>
    <rPh sb="11" eb="13">
      <t>ヒンシツ</t>
    </rPh>
    <rPh sb="13" eb="15">
      <t>モクヒョウ</t>
    </rPh>
    <phoneticPr fontId="2"/>
  </si>
  <si>
    <t>プロジェクト目的</t>
    <rPh sb="6" eb="8">
      <t>モクテキ</t>
    </rPh>
    <phoneticPr fontId="2"/>
  </si>
  <si>
    <t>成功要因</t>
    <rPh sb="0" eb="2">
      <t>セイコウ</t>
    </rPh>
    <rPh sb="2" eb="4">
      <t>ヨウイン</t>
    </rPh>
    <phoneticPr fontId="2"/>
  </si>
  <si>
    <t>品質目標</t>
    <rPh sb="0" eb="2">
      <t>ヒンシツ</t>
    </rPh>
    <rPh sb="2" eb="4">
      <t>モクヒョウ</t>
    </rPh>
    <phoneticPr fontId="2"/>
  </si>
  <si>
    <t>セキュリティ目標</t>
    <rPh sb="6" eb="8">
      <t>モクヒョウ</t>
    </rPh>
    <phoneticPr fontId="2"/>
  </si>
  <si>
    <t>セキュリティに配慮した開発計画</t>
    <rPh sb="13" eb="15">
      <t>ケイカク</t>
    </rPh>
    <phoneticPr fontId="2"/>
  </si>
  <si>
    <t>＜インプット＞</t>
    <phoneticPr fontId="2"/>
  </si>
  <si>
    <t>インプット項目</t>
    <rPh sb="5" eb="7">
      <t>コウモク</t>
    </rPh>
    <phoneticPr fontId="2"/>
  </si>
  <si>
    <t>あり／なし</t>
    <phoneticPr fontId="2"/>
  </si>
  <si>
    <t>備考</t>
    <rPh sb="0" eb="2">
      <t>ビコウ</t>
    </rPh>
    <phoneticPr fontId="2"/>
  </si>
  <si>
    <t>提案依頼書</t>
    <rPh sb="0" eb="2">
      <t>テイアン</t>
    </rPh>
    <rPh sb="2" eb="4">
      <t>イライ</t>
    </rPh>
    <rPh sb="4" eb="5">
      <t>ショ</t>
    </rPh>
    <phoneticPr fontId="2"/>
  </si>
  <si>
    <t>提案書</t>
    <rPh sb="0" eb="3">
      <t>テイアンショ</t>
    </rPh>
    <phoneticPr fontId="2"/>
  </si>
  <si>
    <t>見積書</t>
    <rPh sb="0" eb="3">
      <t>ミツモリショ</t>
    </rPh>
    <phoneticPr fontId="2"/>
  </si>
  <si>
    <t>注文書</t>
    <rPh sb="0" eb="3">
      <t>チュウモンショ</t>
    </rPh>
    <phoneticPr fontId="2"/>
  </si>
  <si>
    <t>個別契約書</t>
    <rPh sb="0" eb="2">
      <t>コベツ</t>
    </rPh>
    <rPh sb="2" eb="5">
      <t>ケイヤクショ</t>
    </rPh>
    <phoneticPr fontId="2"/>
  </si>
  <si>
    <t>仕様書</t>
    <rPh sb="0" eb="3">
      <t>シヨウショ</t>
    </rPh>
    <phoneticPr fontId="2"/>
  </si>
  <si>
    <t>要件定義書</t>
    <rPh sb="0" eb="2">
      <t>ヨウケン</t>
    </rPh>
    <rPh sb="2" eb="4">
      <t>テイギ</t>
    </rPh>
    <rPh sb="4" eb="5">
      <t>ショ</t>
    </rPh>
    <phoneticPr fontId="2"/>
  </si>
  <si>
    <t>影響度調査結果（改修の場合）</t>
    <rPh sb="0" eb="2">
      <t>エイキョウ</t>
    </rPh>
    <rPh sb="2" eb="3">
      <t>ド</t>
    </rPh>
    <rPh sb="3" eb="5">
      <t>チョウサ</t>
    </rPh>
    <rPh sb="5" eb="7">
      <t>ケッカ</t>
    </rPh>
    <rPh sb="8" eb="10">
      <t>カイシュウ</t>
    </rPh>
    <rPh sb="11" eb="13">
      <t>バアイ</t>
    </rPh>
    <phoneticPr fontId="2"/>
  </si>
  <si>
    <t>その他</t>
    <rPh sb="2" eb="3">
      <t>タ</t>
    </rPh>
    <phoneticPr fontId="2"/>
  </si>
  <si>
    <t>＜アウトプット＞</t>
    <phoneticPr fontId="2"/>
  </si>
  <si>
    <t>アウトプット項目</t>
    <rPh sb="6" eb="8">
      <t>コウモク</t>
    </rPh>
    <phoneticPr fontId="2"/>
  </si>
  <si>
    <t>納品</t>
    <rPh sb="0" eb="2">
      <t>ノウヒン</t>
    </rPh>
    <phoneticPr fontId="2"/>
  </si>
  <si>
    <t>作成</t>
    <rPh sb="0" eb="2">
      <t>サクセイ</t>
    </rPh>
    <phoneticPr fontId="2"/>
  </si>
  <si>
    <t>プロジェクト計画書</t>
    <rPh sb="6" eb="9">
      <t>ケイカクショ</t>
    </rPh>
    <phoneticPr fontId="2"/>
  </si>
  <si>
    <t>要件定義書</t>
    <rPh sb="0" eb="2">
      <t>ヨウケン</t>
    </rPh>
    <rPh sb="2" eb="5">
      <t>テイギショ</t>
    </rPh>
    <phoneticPr fontId="2"/>
  </si>
  <si>
    <t>基本設計書</t>
    <rPh sb="0" eb="2">
      <t>キホン</t>
    </rPh>
    <rPh sb="2" eb="4">
      <t>セッケイ</t>
    </rPh>
    <rPh sb="4" eb="5">
      <t>ショ</t>
    </rPh>
    <phoneticPr fontId="2"/>
  </si>
  <si>
    <t>詳細設計書</t>
    <rPh sb="0" eb="2">
      <t>ショウサイ</t>
    </rPh>
    <rPh sb="2" eb="4">
      <t>セッケイ</t>
    </rPh>
    <rPh sb="4" eb="5">
      <t>ショ</t>
    </rPh>
    <phoneticPr fontId="2"/>
  </si>
  <si>
    <t>プログラム</t>
    <phoneticPr fontId="2"/>
  </si>
  <si>
    <t>単体テスト仕様書・結果報告書</t>
    <rPh sb="0" eb="2">
      <t>タンタイ</t>
    </rPh>
    <rPh sb="5" eb="8">
      <t>シヨウショ</t>
    </rPh>
    <rPh sb="9" eb="11">
      <t>ケッカ</t>
    </rPh>
    <rPh sb="11" eb="14">
      <t>ホウコクショ</t>
    </rPh>
    <phoneticPr fontId="2"/>
  </si>
  <si>
    <t>結合テスト仕様書・結果報告書</t>
    <rPh sb="0" eb="2">
      <t>ケツゴウ</t>
    </rPh>
    <rPh sb="5" eb="8">
      <t>シヨウショ</t>
    </rPh>
    <rPh sb="9" eb="11">
      <t>ケッカ</t>
    </rPh>
    <rPh sb="11" eb="14">
      <t>ホウコクショ</t>
    </rPh>
    <phoneticPr fontId="2"/>
  </si>
  <si>
    <t>システムテスト仕様書・結果報告書</t>
    <rPh sb="7" eb="10">
      <t>シヨウショ</t>
    </rPh>
    <rPh sb="11" eb="13">
      <t>ケッカ</t>
    </rPh>
    <rPh sb="13" eb="16">
      <t>ホウコクショ</t>
    </rPh>
    <phoneticPr fontId="2"/>
  </si>
  <si>
    <t>操作マニュアル</t>
    <rPh sb="0" eb="2">
      <t>ソウサ</t>
    </rPh>
    <phoneticPr fontId="2"/>
  </si>
  <si>
    <t>運用マニュアル</t>
    <rPh sb="0" eb="2">
      <t>ウンヨウ</t>
    </rPh>
    <phoneticPr fontId="2"/>
  </si>
  <si>
    <t>移行方式設計書</t>
    <rPh sb="0" eb="2">
      <t>イコウ</t>
    </rPh>
    <rPh sb="2" eb="4">
      <t>ホウシキ</t>
    </rPh>
    <rPh sb="4" eb="7">
      <t>セッケイショ</t>
    </rPh>
    <phoneticPr fontId="2"/>
  </si>
  <si>
    <t>運用設計書</t>
    <rPh sb="0" eb="2">
      <t>ウンヨウ</t>
    </rPh>
    <rPh sb="2" eb="4">
      <t>セッケイ</t>
    </rPh>
    <rPh sb="4" eb="5">
      <t>ショ</t>
    </rPh>
    <phoneticPr fontId="2"/>
  </si>
  <si>
    <t>プロジェクト管理資料</t>
    <rPh sb="6" eb="10">
      <t>カンリシリョウ</t>
    </rPh>
    <phoneticPr fontId="2"/>
  </si>
  <si>
    <t>＜開発規模（想定）＞</t>
    <rPh sb="1" eb="3">
      <t>カイハツ</t>
    </rPh>
    <rPh sb="3" eb="5">
      <t>キボ</t>
    </rPh>
    <rPh sb="6" eb="8">
      <t>ソウテイ</t>
    </rPh>
    <phoneticPr fontId="2"/>
  </si>
  <si>
    <t>画面数</t>
    <rPh sb="0" eb="2">
      <t>ガメン</t>
    </rPh>
    <rPh sb="2" eb="3">
      <t>スウ</t>
    </rPh>
    <phoneticPr fontId="2"/>
  </si>
  <si>
    <t>帳票数</t>
    <rPh sb="0" eb="2">
      <t>チョウヒョウ</t>
    </rPh>
    <rPh sb="2" eb="3">
      <t>スウ</t>
    </rPh>
    <phoneticPr fontId="2"/>
  </si>
  <si>
    <t>バッチ数</t>
    <rPh sb="3" eb="4">
      <t>スウ</t>
    </rPh>
    <phoneticPr fontId="2"/>
  </si>
  <si>
    <t>外部IF数</t>
    <rPh sb="0" eb="2">
      <t>ガイブ</t>
    </rPh>
    <rPh sb="4" eb="5">
      <t>スウ</t>
    </rPh>
    <phoneticPr fontId="2"/>
  </si>
  <si>
    <t>テーブル数</t>
    <rPh sb="4" eb="5">
      <t>スウ</t>
    </rPh>
    <phoneticPr fontId="2"/>
  </si>
  <si>
    <t>概算FP</t>
    <rPh sb="0" eb="2">
      <t>ガイサン</t>
    </rPh>
    <phoneticPr fontId="2"/>
  </si>
  <si>
    <t>＜プロジェクト体制＞</t>
    <rPh sb="7" eb="9">
      <t>タイセイ</t>
    </rPh>
    <phoneticPr fontId="2"/>
  </si>
  <si>
    <t>＜スケジュールおよび工程別収支計画＞</t>
    <rPh sb="13" eb="15">
      <t>シュウシ</t>
    </rPh>
    <rPh sb="15" eb="17">
      <t>ケイカク</t>
    </rPh>
    <phoneticPr fontId="2"/>
  </si>
  <si>
    <t>工程</t>
    <rPh sb="0" eb="2">
      <t>コウテイ</t>
    </rPh>
    <phoneticPr fontId="2"/>
  </si>
  <si>
    <t>開始日</t>
    <rPh sb="0" eb="3">
      <t>カイシビ</t>
    </rPh>
    <phoneticPr fontId="2"/>
  </si>
  <si>
    <t>終了日</t>
    <rPh sb="0" eb="3">
      <t>シュウリョウビ</t>
    </rPh>
    <phoneticPr fontId="2"/>
  </si>
  <si>
    <t>工期（月）</t>
    <rPh sb="0" eb="2">
      <t>コウキ</t>
    </rPh>
    <rPh sb="3" eb="4">
      <t>ツキ</t>
    </rPh>
    <phoneticPr fontId="2"/>
  </si>
  <si>
    <t>工数（人月）</t>
    <rPh sb="0" eb="2">
      <t>コウスウ</t>
    </rPh>
    <rPh sb="3" eb="5">
      <t>ニンゲツ</t>
    </rPh>
    <phoneticPr fontId="2"/>
  </si>
  <si>
    <t>売上（千円）</t>
    <rPh sb="0" eb="2">
      <t>ウリアゲ</t>
    </rPh>
    <rPh sb="3" eb="5">
      <t>センエン</t>
    </rPh>
    <phoneticPr fontId="2"/>
  </si>
  <si>
    <t>単価（千円）</t>
    <rPh sb="0" eb="2">
      <t>タンカ</t>
    </rPh>
    <rPh sb="3" eb="5">
      <t>センエン</t>
    </rPh>
    <phoneticPr fontId="2"/>
  </si>
  <si>
    <t>原価（千円）</t>
    <rPh sb="0" eb="2">
      <t>ゲンカ</t>
    </rPh>
    <phoneticPr fontId="2"/>
  </si>
  <si>
    <t>粗利（千円）</t>
    <rPh sb="0" eb="2">
      <t>アラリ</t>
    </rPh>
    <rPh sb="3" eb="5">
      <t>センエン</t>
    </rPh>
    <phoneticPr fontId="2"/>
  </si>
  <si>
    <t>粗利率（%）</t>
    <rPh sb="0" eb="3">
      <t>アラリリツ</t>
    </rPh>
    <phoneticPr fontId="2"/>
  </si>
  <si>
    <t>要件定義</t>
    <phoneticPr fontId="2"/>
  </si>
  <si>
    <t>基本設計</t>
  </si>
  <si>
    <t>詳細設計</t>
  </si>
  <si>
    <t>製造</t>
  </si>
  <si>
    <t>結合テスト</t>
  </si>
  <si>
    <t>システムテスト</t>
  </si>
  <si>
    <t>ユーザーテスト</t>
  </si>
  <si>
    <t>本稼働</t>
  </si>
  <si>
    <t>その他</t>
  </si>
  <si>
    <t>計</t>
    <rPh sb="0" eb="1">
      <t>ケイ</t>
    </rPh>
    <phoneticPr fontId="2"/>
  </si>
  <si>
    <t>＜会議体計画＞</t>
    <rPh sb="1" eb="4">
      <t>カイギタイ</t>
    </rPh>
    <rPh sb="4" eb="6">
      <t>ケイカク</t>
    </rPh>
    <phoneticPr fontId="2"/>
  </si>
  <si>
    <t>会議名称</t>
    <rPh sb="0" eb="2">
      <t>カイギ</t>
    </rPh>
    <rPh sb="2" eb="4">
      <t>メイショウ</t>
    </rPh>
    <phoneticPr fontId="2"/>
  </si>
  <si>
    <t>目的</t>
    <rPh sb="0" eb="2">
      <t>モクテキ</t>
    </rPh>
    <phoneticPr fontId="2"/>
  </si>
  <si>
    <t>開催周期</t>
    <rPh sb="0" eb="4">
      <t>カイサイシュウキ</t>
    </rPh>
    <phoneticPr fontId="2"/>
  </si>
  <si>
    <t>参加者</t>
    <rPh sb="0" eb="3">
      <t>サンカシャ</t>
    </rPh>
    <phoneticPr fontId="2"/>
  </si>
  <si>
    <t>記録</t>
    <rPh sb="0" eb="2">
      <t>キロク</t>
    </rPh>
    <phoneticPr fontId="2"/>
  </si>
  <si>
    <t>＜要員研修計画＞</t>
    <rPh sb="1" eb="3">
      <t>ヨウイン</t>
    </rPh>
    <rPh sb="3" eb="5">
      <t>ケンシュウ</t>
    </rPh>
    <rPh sb="5" eb="7">
      <t>ケイカク</t>
    </rPh>
    <phoneticPr fontId="2"/>
  </si>
  <si>
    <t>教育・訓練コ－ス名</t>
    <rPh sb="0" eb="2">
      <t>キョウイク</t>
    </rPh>
    <rPh sb="3" eb="5">
      <t>クンレン</t>
    </rPh>
    <rPh sb="8" eb="9">
      <t>メイ</t>
    </rPh>
    <phoneticPr fontId="2"/>
  </si>
  <si>
    <t>受講予定日</t>
    <rPh sb="0" eb="2">
      <t>ジュコウ</t>
    </rPh>
    <rPh sb="2" eb="5">
      <t>ヨテイビ</t>
    </rPh>
    <phoneticPr fontId="2"/>
  </si>
  <si>
    <t>受講予定者</t>
    <rPh sb="0" eb="2">
      <t>ジュコウ</t>
    </rPh>
    <rPh sb="2" eb="5">
      <t>ヨテイシャ</t>
    </rPh>
    <phoneticPr fontId="2"/>
  </si>
  <si>
    <t>修得目標スキル／レベル</t>
    <phoneticPr fontId="2"/>
  </si>
  <si>
    <t>＜保守・運用への引継ぎ計画＞</t>
    <rPh sb="1" eb="3">
      <t>ホシュ</t>
    </rPh>
    <rPh sb="4" eb="6">
      <t>ウンヨウ</t>
    </rPh>
    <rPh sb="8" eb="10">
      <t>ヒキツ</t>
    </rPh>
    <rPh sb="11" eb="13">
      <t>ケイカク</t>
    </rPh>
    <phoneticPr fontId="2"/>
  </si>
  <si>
    <t>保守・運用への引継ぎ有無</t>
    <rPh sb="0" eb="2">
      <t>ホシュ</t>
    </rPh>
    <rPh sb="3" eb="5">
      <t>ウンヨウ</t>
    </rPh>
    <rPh sb="7" eb="9">
      <t>ヒキツ</t>
    </rPh>
    <rPh sb="10" eb="12">
      <t>ウム</t>
    </rPh>
    <phoneticPr fontId="2"/>
  </si>
  <si>
    <t>引継ぎ予定日</t>
    <rPh sb="0" eb="2">
      <t>ヒキツ</t>
    </rPh>
    <rPh sb="3" eb="6">
      <t>ヨテイビ</t>
    </rPh>
    <phoneticPr fontId="2"/>
  </si>
  <si>
    <t>プロジェクト完了報告書</t>
    <rPh sb="6" eb="8">
      <t>カンリョウ</t>
    </rPh>
    <rPh sb="8" eb="10">
      <t>ホウコク</t>
    </rPh>
    <rPh sb="10" eb="11">
      <t>ショ</t>
    </rPh>
    <phoneticPr fontId="2"/>
  </si>
  <si>
    <t>※ ★の項目は顧客満足度調査の依頼メールの本文に記載されますので間違いがないよう記載してください。</t>
    <rPh sb="4" eb="6">
      <t>コウモク</t>
    </rPh>
    <rPh sb="7" eb="9">
      <t>コキャク</t>
    </rPh>
    <rPh sb="9" eb="12">
      <t>マンゾクド</t>
    </rPh>
    <rPh sb="12" eb="14">
      <t>チョウサ</t>
    </rPh>
    <rPh sb="15" eb="17">
      <t>イライ</t>
    </rPh>
    <rPh sb="21" eb="23">
      <t>ホンブン</t>
    </rPh>
    <rPh sb="24" eb="26">
      <t>キサイ</t>
    </rPh>
    <rPh sb="32" eb="34">
      <t>マチガ</t>
    </rPh>
    <rPh sb="40" eb="42">
      <t>キサイ</t>
    </rPh>
    <phoneticPr fontId="2"/>
  </si>
  <si>
    <t>プロジェクトコード ★</t>
    <phoneticPr fontId="2"/>
  </si>
  <si>
    <t>プロジェクト名 ★</t>
    <rPh sb="6" eb="7">
      <t>メイ</t>
    </rPh>
    <phoneticPr fontId="2"/>
  </si>
  <si>
    <t>顧客名 ★</t>
    <rPh sb="0" eb="2">
      <t>コキャク</t>
    </rPh>
    <rPh sb="2" eb="3">
      <t>メイ</t>
    </rPh>
    <phoneticPr fontId="2"/>
  </si>
  <si>
    <t>プロジェクトメンバー</t>
    <phoneticPr fontId="2"/>
  </si>
  <si>
    <t>＜プロジェクトの状況＞</t>
    <rPh sb="8" eb="10">
      <t>ジョウキョウ</t>
    </rPh>
    <phoneticPr fontId="2"/>
  </si>
  <si>
    <t>納品完了日</t>
    <rPh sb="0" eb="2">
      <t>ノウヒン</t>
    </rPh>
    <rPh sb="2" eb="4">
      <t>カンリョウ</t>
    </rPh>
    <rPh sb="4" eb="5">
      <t>ビ</t>
    </rPh>
    <phoneticPr fontId="2"/>
  </si>
  <si>
    <t>検収完了日</t>
    <rPh sb="0" eb="2">
      <t>ケンシュウ</t>
    </rPh>
    <rPh sb="2" eb="4">
      <t>カンリョウ</t>
    </rPh>
    <rPh sb="4" eb="5">
      <t>ビ</t>
    </rPh>
    <phoneticPr fontId="2"/>
  </si>
  <si>
    <t>＜プロジェクト目的及び品質目標に対する評価＞</t>
    <rPh sb="7" eb="9">
      <t>モクテキ</t>
    </rPh>
    <rPh sb="9" eb="10">
      <t>オヨ</t>
    </rPh>
    <rPh sb="11" eb="13">
      <t>ヒンシツ</t>
    </rPh>
    <rPh sb="13" eb="15">
      <t>モクヒョウ</t>
    </rPh>
    <rPh sb="16" eb="17">
      <t>タイ</t>
    </rPh>
    <rPh sb="19" eb="21">
      <t>ヒョウカ</t>
    </rPh>
    <phoneticPr fontId="2"/>
  </si>
  <si>
    <t>プロジェクト目的の達成状況</t>
    <rPh sb="6" eb="8">
      <t>モクテキ</t>
    </rPh>
    <rPh sb="9" eb="11">
      <t>タッセイ</t>
    </rPh>
    <rPh sb="11" eb="13">
      <t>ジョウキョウ</t>
    </rPh>
    <phoneticPr fontId="2"/>
  </si>
  <si>
    <t>品質目標に対する評価</t>
    <rPh sb="0" eb="2">
      <t>ヒンシツ</t>
    </rPh>
    <rPh sb="2" eb="4">
      <t>モクヒョウ</t>
    </rPh>
    <rPh sb="5" eb="6">
      <t>タイ</t>
    </rPh>
    <rPh sb="8" eb="10">
      <t>ヒョウカ</t>
    </rPh>
    <phoneticPr fontId="2"/>
  </si>
  <si>
    <t>セキュリティ目標に対する評価</t>
    <rPh sb="6" eb="8">
      <t>モクヒョウ</t>
    </rPh>
    <rPh sb="9" eb="10">
      <t>タイ</t>
    </rPh>
    <rPh sb="12" eb="14">
      <t>ヒョウカ</t>
    </rPh>
    <phoneticPr fontId="2"/>
  </si>
  <si>
    <t>セキュリティに配慮した開発計画に対する評価</t>
    <rPh sb="13" eb="15">
      <t>ケイカク</t>
    </rPh>
    <rPh sb="16" eb="17">
      <t>タイ</t>
    </rPh>
    <rPh sb="19" eb="21">
      <t>ヒョウカ</t>
    </rPh>
    <phoneticPr fontId="2"/>
  </si>
  <si>
    <t>＜顧客満足度調査＞</t>
    <rPh sb="1" eb="3">
      <t>コキャク</t>
    </rPh>
    <rPh sb="3" eb="6">
      <t>マンゾクド</t>
    </rPh>
    <rPh sb="6" eb="8">
      <t>チョウサ</t>
    </rPh>
    <phoneticPr fontId="2"/>
  </si>
  <si>
    <t>顧客満足度調査の依頼予定</t>
    <rPh sb="0" eb="2">
      <t>コキャク</t>
    </rPh>
    <rPh sb="2" eb="7">
      <t>マンゾクドチョウサ</t>
    </rPh>
    <rPh sb="8" eb="10">
      <t>イライ</t>
    </rPh>
    <rPh sb="10" eb="12">
      <t>ヨテイ</t>
    </rPh>
    <phoneticPr fontId="2"/>
  </si>
  <si>
    <t>顧客満足度調査の依頼予定がなしの理由</t>
    <rPh sb="0" eb="2">
      <t>コキャク</t>
    </rPh>
    <rPh sb="2" eb="5">
      <t>マンゾクド</t>
    </rPh>
    <rPh sb="5" eb="7">
      <t>チョウサ</t>
    </rPh>
    <rPh sb="8" eb="10">
      <t>イライ</t>
    </rPh>
    <rPh sb="10" eb="12">
      <t>ヨテイ</t>
    </rPh>
    <rPh sb="16" eb="18">
      <t>リユウ</t>
    </rPh>
    <phoneticPr fontId="2"/>
  </si>
  <si>
    <t>顧客満足度調査の依頼先
担当者名 ★</t>
    <rPh sb="0" eb="2">
      <t>コキャク</t>
    </rPh>
    <rPh sb="2" eb="5">
      <t>マンゾクド</t>
    </rPh>
    <rPh sb="5" eb="7">
      <t>チョウサ</t>
    </rPh>
    <rPh sb="8" eb="11">
      <t>イライサキ</t>
    </rPh>
    <phoneticPr fontId="2"/>
  </si>
  <si>
    <t>顧客満足度調査の依頼先
担当者メールアドレス ★</t>
    <rPh sb="12" eb="15">
      <t>タントウシャ</t>
    </rPh>
    <phoneticPr fontId="2"/>
  </si>
  <si>
    <t>＜開発規模（結果）＞</t>
    <rPh sb="1" eb="3">
      <t>カイハツ</t>
    </rPh>
    <rPh sb="3" eb="5">
      <t>キボ</t>
    </rPh>
    <rPh sb="6" eb="8">
      <t>ケッカ</t>
    </rPh>
    <phoneticPr fontId="2"/>
  </si>
  <si>
    <t>＜テスト実績＞</t>
    <rPh sb="4" eb="6">
      <t>ジッセキ</t>
    </rPh>
    <phoneticPr fontId="2"/>
  </si>
  <si>
    <t>結合テストケース数</t>
    <rPh sb="0" eb="2">
      <t>ケツゴウ</t>
    </rPh>
    <rPh sb="8" eb="9">
      <t>スウ</t>
    </rPh>
    <phoneticPr fontId="2"/>
  </si>
  <si>
    <t>システムテストケース数</t>
    <rPh sb="10" eb="11">
      <t>スウ</t>
    </rPh>
    <phoneticPr fontId="2"/>
  </si>
  <si>
    <t>結合テスト不具合摘出数</t>
    <rPh sb="0" eb="2">
      <t>ケツゴウ</t>
    </rPh>
    <rPh sb="5" eb="8">
      <t>フグアイ</t>
    </rPh>
    <rPh sb="8" eb="10">
      <t>テキシュツ</t>
    </rPh>
    <rPh sb="10" eb="11">
      <t>スウ</t>
    </rPh>
    <phoneticPr fontId="2"/>
  </si>
  <si>
    <t>システムテスト不具合摘出数</t>
    <rPh sb="7" eb="10">
      <t>フグアイ</t>
    </rPh>
    <rPh sb="10" eb="12">
      <t>テキシュツ</t>
    </rPh>
    <rPh sb="12" eb="13">
      <t>スウ</t>
    </rPh>
    <phoneticPr fontId="2"/>
  </si>
  <si>
    <t>結合テストケース密度</t>
    <rPh sb="0" eb="2">
      <t>ケツゴウ</t>
    </rPh>
    <rPh sb="8" eb="10">
      <t>ミツド</t>
    </rPh>
    <phoneticPr fontId="2"/>
  </si>
  <si>
    <t>システムテストケース密度</t>
    <rPh sb="10" eb="12">
      <t>ミツド</t>
    </rPh>
    <phoneticPr fontId="2"/>
  </si>
  <si>
    <t>結合テストバグ密度</t>
    <rPh sb="0" eb="2">
      <t>ケツゴウ</t>
    </rPh>
    <rPh sb="7" eb="9">
      <t>ミツド</t>
    </rPh>
    <phoneticPr fontId="2"/>
  </si>
  <si>
    <t>システムテストバグ密度</t>
    <rPh sb="9" eb="11">
      <t>ミツド</t>
    </rPh>
    <phoneticPr fontId="2"/>
  </si>
  <si>
    <t>ユーザーテスト不具合摘出数</t>
    <rPh sb="7" eb="10">
      <t>フグアイ</t>
    </rPh>
    <rPh sb="10" eb="13">
      <t>テキシュツスウ</t>
    </rPh>
    <phoneticPr fontId="2"/>
  </si>
  <si>
    <t>＜本稼働実績＞</t>
    <rPh sb="1" eb="2">
      <t>ホン</t>
    </rPh>
    <rPh sb="2" eb="4">
      <t>カドウ</t>
    </rPh>
    <rPh sb="4" eb="6">
      <t>ジッセキ</t>
    </rPh>
    <phoneticPr fontId="2"/>
  </si>
  <si>
    <t>本稼働後の障害件数</t>
    <rPh sb="0" eb="1">
      <t>ホン</t>
    </rPh>
    <rPh sb="1" eb="3">
      <t>カドウ</t>
    </rPh>
    <rPh sb="3" eb="4">
      <t>ゴ</t>
    </rPh>
    <rPh sb="5" eb="7">
      <t>ショウガイ</t>
    </rPh>
    <rPh sb="7" eb="9">
      <t>ケンスウ</t>
    </rPh>
    <phoneticPr fontId="2"/>
  </si>
  <si>
    <t>内）本稼働後の重大障害件数</t>
    <rPh sb="0" eb="1">
      <t>ウチ</t>
    </rPh>
    <rPh sb="2" eb="3">
      <t>ホン</t>
    </rPh>
    <rPh sb="3" eb="5">
      <t>カドウ</t>
    </rPh>
    <rPh sb="5" eb="6">
      <t>ゴ</t>
    </rPh>
    <rPh sb="7" eb="9">
      <t>ジュウダイ</t>
    </rPh>
    <rPh sb="9" eb="11">
      <t>ショウガイ</t>
    </rPh>
    <rPh sb="11" eb="13">
      <t>ケンスウ</t>
    </rPh>
    <phoneticPr fontId="2"/>
  </si>
  <si>
    <t>本稼働後の障害内容</t>
    <rPh sb="0" eb="1">
      <t>ホン</t>
    </rPh>
    <rPh sb="1" eb="3">
      <t>カドウ</t>
    </rPh>
    <rPh sb="3" eb="4">
      <t>ゴ</t>
    </rPh>
    <rPh sb="5" eb="7">
      <t>ショウガイ</t>
    </rPh>
    <rPh sb="7" eb="9">
      <t>ナイヨウ</t>
    </rPh>
    <phoneticPr fontId="2"/>
  </si>
  <si>
    <t>本稼働後の障害対策</t>
    <rPh sb="0" eb="1">
      <t>ホン</t>
    </rPh>
    <rPh sb="1" eb="3">
      <t>カドウ</t>
    </rPh>
    <rPh sb="3" eb="4">
      <t>ゴ</t>
    </rPh>
    <rPh sb="5" eb="7">
      <t>ショウガイ</t>
    </rPh>
    <rPh sb="7" eb="9">
      <t>タイサク</t>
    </rPh>
    <phoneticPr fontId="2"/>
  </si>
  <si>
    <t>本稼働後の障害の解決状況</t>
    <rPh sb="0" eb="1">
      <t>ホン</t>
    </rPh>
    <rPh sb="1" eb="3">
      <t>カドウ</t>
    </rPh>
    <rPh sb="3" eb="4">
      <t>ゴ</t>
    </rPh>
    <rPh sb="5" eb="7">
      <t>ショウガイ</t>
    </rPh>
    <rPh sb="8" eb="10">
      <t>カイケツ</t>
    </rPh>
    <rPh sb="10" eb="12">
      <t>ジョウキョウ</t>
    </rPh>
    <phoneticPr fontId="2"/>
  </si>
  <si>
    <t>発生した作業ミスやヒヤリハット</t>
    <rPh sb="0" eb="2">
      <t>ハッセイ</t>
    </rPh>
    <rPh sb="4" eb="6">
      <t>サギョウ</t>
    </rPh>
    <phoneticPr fontId="2"/>
  </si>
  <si>
    <t>＜スケジュールおよび工程別収支実績＞</t>
    <rPh sb="13" eb="15">
      <t>シュウシ</t>
    </rPh>
    <rPh sb="15" eb="17">
      <t>ジッセキ</t>
    </rPh>
    <phoneticPr fontId="2"/>
  </si>
  <si>
    <t>＜ＱＭＳへの改善要望＞</t>
    <rPh sb="6" eb="8">
      <t>カイゼン</t>
    </rPh>
    <rPh sb="8" eb="10">
      <t>ヨウボウ</t>
    </rPh>
    <phoneticPr fontId="2"/>
  </si>
  <si>
    <t>＜反省事項・今後の課題＞</t>
    <rPh sb="1" eb="3">
      <t>ハンセイ</t>
    </rPh>
    <rPh sb="3" eb="5">
      <t>ジコウ</t>
    </rPh>
    <rPh sb="6" eb="8">
      <t>コンゴ</t>
    </rPh>
    <rPh sb="9" eb="11">
      <t>カダイ</t>
    </rPh>
    <phoneticPr fontId="2"/>
  </si>
  <si>
    <t>＜保守・運用への引継ぎ状況＞</t>
    <rPh sb="1" eb="3">
      <t>ホシュ</t>
    </rPh>
    <rPh sb="4" eb="6">
      <t>ウンヨウ</t>
    </rPh>
    <rPh sb="8" eb="10">
      <t>ヒキツ</t>
    </rPh>
    <rPh sb="11" eb="13">
      <t>ジョウキョウ</t>
    </rPh>
    <phoneticPr fontId="2"/>
  </si>
  <si>
    <t>＜総括＞</t>
    <rPh sb="1" eb="3">
      <t>ソウカツ</t>
    </rPh>
    <phoneticPr fontId="2"/>
  </si>
  <si>
    <t>【リーダー】
【メンバー】</t>
    <phoneticPr fontId="2"/>
  </si>
  <si>
    <t>＜備考＞</t>
    <rPh sb="1" eb="3">
      <t>ビコウ</t>
    </rPh>
    <phoneticPr fontId="2"/>
  </si>
  <si>
    <t>＜事務局更新欄＞</t>
    <rPh sb="1" eb="4">
      <t>ジムキョク</t>
    </rPh>
    <rPh sb="4" eb="6">
      <t>コウシン</t>
    </rPh>
    <rPh sb="6" eb="7">
      <t>ラン</t>
    </rPh>
    <phoneticPr fontId="2"/>
  </si>
  <si>
    <t>顧客満足度調査の回収状況</t>
    <rPh sb="0" eb="2">
      <t>コキャク</t>
    </rPh>
    <rPh sb="2" eb="7">
      <t>マンゾクドチョウサ</t>
    </rPh>
    <rPh sb="8" eb="10">
      <t>カイシュウ</t>
    </rPh>
    <rPh sb="10" eb="12">
      <t>ジョウキョウ</t>
    </rPh>
    <phoneticPr fontId="2"/>
  </si>
  <si>
    <t>顧客満足度調査の結果（平均点）</t>
    <rPh sb="0" eb="2">
      <t>コキャク</t>
    </rPh>
    <rPh sb="2" eb="7">
      <t>マンゾクドチョウサ</t>
    </rPh>
    <rPh sb="8" eb="10">
      <t>ケッカ</t>
    </rPh>
    <rPh sb="11" eb="14">
      <t>ヘイキンテン</t>
    </rPh>
    <phoneticPr fontId="2"/>
  </si>
  <si>
    <t>顧客満足度調査の結果に対する施策および実施状況</t>
    <rPh sb="0" eb="2">
      <t>コキャク</t>
    </rPh>
    <rPh sb="2" eb="7">
      <t>マンゾクドチョウサ</t>
    </rPh>
    <rPh sb="8" eb="10">
      <t>ケッカ</t>
    </rPh>
    <rPh sb="11" eb="12">
      <t>タイ</t>
    </rPh>
    <rPh sb="14" eb="16">
      <t>シサク</t>
    </rPh>
    <rPh sb="19" eb="21">
      <t>ジッシ</t>
    </rPh>
    <rPh sb="21" eb="23">
      <t>ジョウキョウ</t>
    </rPh>
    <phoneticPr fontId="2"/>
  </si>
  <si>
    <t>品質データ分析報告書</t>
    <rPh sb="0" eb="2">
      <t>ヒンシツ</t>
    </rPh>
    <rPh sb="5" eb="7">
      <t>ブンセキ</t>
    </rPh>
    <rPh sb="7" eb="10">
      <t>ホウコクショ</t>
    </rPh>
    <phoneticPr fontId="2"/>
  </si>
  <si>
    <t>（参考）IPA指標　P25～P75</t>
    <rPh sb="1" eb="3">
      <t>サンコウ</t>
    </rPh>
    <rPh sb="7" eb="9">
      <t>シヒョウ</t>
    </rPh>
    <phoneticPr fontId="2"/>
  </si>
  <si>
    <t>結合テスト</t>
    <rPh sb="0" eb="2">
      <t>ケツゴウ</t>
    </rPh>
    <phoneticPr fontId="16"/>
  </si>
  <si>
    <t>システムテスト</t>
    <phoneticPr fontId="16"/>
  </si>
  <si>
    <t>テスト密度</t>
    <rPh sb="3" eb="5">
      <t>ミツド</t>
    </rPh>
    <phoneticPr fontId="16"/>
  </si>
  <si>
    <t>新規開発</t>
    <rPh sb="0" eb="2">
      <t>シンキ</t>
    </rPh>
    <rPh sb="2" eb="4">
      <t>カイハツ</t>
    </rPh>
    <phoneticPr fontId="16"/>
  </si>
  <si>
    <t>～</t>
    <phoneticPr fontId="16"/>
  </si>
  <si>
    <t>改良開発</t>
    <rPh sb="0" eb="2">
      <t>カイリョウ</t>
    </rPh>
    <rPh sb="2" eb="4">
      <t>カイハツ</t>
    </rPh>
    <phoneticPr fontId="16"/>
  </si>
  <si>
    <t>バグ密度</t>
    <rPh sb="2" eb="4">
      <t>ミツド</t>
    </rPh>
    <phoneticPr fontId="16"/>
  </si>
  <si>
    <t>＜不具合混入工程別不具合検出一覧＞</t>
    <rPh sb="1" eb="4">
      <t>フグアイ</t>
    </rPh>
    <rPh sb="4" eb="6">
      <t>コンニュウ</t>
    </rPh>
    <rPh sb="6" eb="8">
      <t>コウテイ</t>
    </rPh>
    <rPh sb="8" eb="9">
      <t>ベツ</t>
    </rPh>
    <rPh sb="9" eb="12">
      <t>フグアイ</t>
    </rPh>
    <rPh sb="12" eb="14">
      <t>ケンシュツ</t>
    </rPh>
    <rPh sb="14" eb="16">
      <t>イチラン</t>
    </rPh>
    <phoneticPr fontId="2"/>
  </si>
  <si>
    <t>　　　　　　不具合混入工程
不具合検出工程</t>
    <rPh sb="6" eb="9">
      <t>フグアイ</t>
    </rPh>
    <rPh sb="9" eb="11">
      <t>コンニュウ</t>
    </rPh>
    <rPh sb="11" eb="13">
      <t>コウテイ</t>
    </rPh>
    <rPh sb="15" eb="18">
      <t>フグアイ</t>
    </rPh>
    <rPh sb="18" eb="20">
      <t>ケンシュツ</t>
    </rPh>
    <rPh sb="20" eb="22">
      <t>コウテイ</t>
    </rPh>
    <phoneticPr fontId="16"/>
  </si>
  <si>
    <t>要件定義</t>
    <rPh sb="0" eb="4">
      <t>ヨウケンテイギ</t>
    </rPh>
    <phoneticPr fontId="16"/>
  </si>
  <si>
    <t>基本設計</t>
    <rPh sb="0" eb="2">
      <t>キホン</t>
    </rPh>
    <rPh sb="2" eb="4">
      <t>セッケイ</t>
    </rPh>
    <phoneticPr fontId="16"/>
  </si>
  <si>
    <t>詳細設計</t>
    <rPh sb="0" eb="2">
      <t>ショウサイ</t>
    </rPh>
    <rPh sb="2" eb="4">
      <t>セッケイ</t>
    </rPh>
    <phoneticPr fontId="16"/>
  </si>
  <si>
    <t>製造・単体ﾃｽﾄ</t>
    <rPh sb="0" eb="2">
      <t>セイゾウ</t>
    </rPh>
    <rPh sb="3" eb="5">
      <t>タンタイ</t>
    </rPh>
    <phoneticPr fontId="16"/>
  </si>
  <si>
    <t>結合ﾃｽﾄ</t>
    <rPh sb="0" eb="2">
      <t>ケツゴウ</t>
    </rPh>
    <phoneticPr fontId="16"/>
  </si>
  <si>
    <t>ｼｽﾃﾑﾃｽﾄ</t>
    <phoneticPr fontId="16"/>
  </si>
  <si>
    <t>ﾕｰｻﾞｰﾃｽﾄ</t>
    <phoneticPr fontId="16"/>
  </si>
  <si>
    <t>本稼働以降</t>
    <rPh sb="0" eb="3">
      <t>ホンカドウ</t>
    </rPh>
    <rPh sb="3" eb="5">
      <t>イコウ</t>
    </rPh>
    <phoneticPr fontId="16"/>
  </si>
  <si>
    <t>計</t>
    <rPh sb="0" eb="1">
      <t>ケイ</t>
    </rPh>
    <phoneticPr fontId="16"/>
  </si>
  <si>
    <t>不具合検出率</t>
    <rPh sb="0" eb="3">
      <t>フグアイ</t>
    </rPh>
    <rPh sb="3" eb="5">
      <t>ケンシュツ</t>
    </rPh>
    <rPh sb="5" eb="6">
      <t>リツ</t>
    </rPh>
    <phoneticPr fontId="16"/>
  </si>
  <si>
    <t>基本設計</t>
    <rPh sb="0" eb="4">
      <t>キホンセッケイ</t>
    </rPh>
    <phoneticPr fontId="16"/>
  </si>
  <si>
    <t>詳細設計</t>
    <rPh sb="0" eb="4">
      <t>ショウサイセッケイ</t>
    </rPh>
    <phoneticPr fontId="16"/>
  </si>
  <si>
    <t>本稼働以降</t>
    <rPh sb="0" eb="5">
      <t>ホンカドウイコウ</t>
    </rPh>
    <phoneticPr fontId="16"/>
  </si>
  <si>
    <t>不具合混入工程比率</t>
    <rPh sb="0" eb="3">
      <t>フグアイ</t>
    </rPh>
    <rPh sb="3" eb="5">
      <t>コンニュウ</t>
    </rPh>
    <rPh sb="5" eb="7">
      <t>コウテイ</t>
    </rPh>
    <rPh sb="7" eb="9">
      <t>ヒリツ</t>
    </rPh>
    <phoneticPr fontId="16"/>
  </si>
  <si>
    <t>＜プロジェクトマネージャーコメント＞</t>
    <phoneticPr fontId="2"/>
  </si>
  <si>
    <t>＜プロジェクト責任者コメント＞</t>
    <rPh sb="7" eb="10">
      <t>セキニンシャ</t>
    </rPh>
    <phoneticPr fontId="2"/>
  </si>
  <si>
    <t>以下、ISMS手順書（第 13 章 システム導入・開発・変更のセキュリティ基準）より抜粋</t>
    <rPh sb="0" eb="2">
      <t>イカ</t>
    </rPh>
    <rPh sb="7" eb="10">
      <t>テジュンショ</t>
    </rPh>
    <rPh sb="42" eb="44">
      <t>バッスイ</t>
    </rPh>
    <phoneticPr fontId="2"/>
  </si>
  <si>
    <t xml:space="preserve">4 </t>
  </si>
  <si>
    <t>開発及びサポートプロセスにおけるセキュリティ</t>
  </si>
  <si>
    <t xml:space="preserve">(1) </t>
  </si>
  <si>
    <t>セキュリティに配慮した開発のための方針</t>
  </si>
  <si>
    <t xml:space="preserve">ア </t>
  </si>
  <si>
    <t>セキュリティに配慮したサービス、アーキテクチャ、ソフトウェア及びシステムを構築する。</t>
  </si>
  <si>
    <t xml:space="preserve">イ </t>
  </si>
  <si>
    <t>前号を達成するため、セキュリティに配慮した開発のための方針には、次の側面を考慮する。</t>
  </si>
  <si>
    <t xml:space="preserve">a) </t>
  </si>
  <si>
    <t>開発環境のセキュリティ</t>
  </si>
  <si>
    <t xml:space="preserve">b) </t>
  </si>
  <si>
    <t>ソフトウェア開発のライフサイクルにおける、次に関わるセキュリティに関する手引</t>
  </si>
  <si>
    <t></t>
  </si>
  <si>
    <t>ソフトウェア開発の方法論におけるセキュリティ</t>
  </si>
  <si>
    <t>用いる各プログラミング言語について定めた、セキュリティに配慮したコーディングに関する指針</t>
  </si>
  <si>
    <t xml:space="preserve">c) </t>
  </si>
  <si>
    <t>設計段階におけるセキュリティ要求事項</t>
  </si>
  <si>
    <t xml:space="preserve">d) </t>
  </si>
  <si>
    <t>プロジェクトの開発の節目ごとにおけるセキュリティの確認項目</t>
  </si>
  <si>
    <t xml:space="preserve">e) </t>
  </si>
  <si>
    <t>セキュリティが保たれたリポジトリ</t>
  </si>
  <si>
    <t xml:space="preserve">f) </t>
  </si>
  <si>
    <t>版の管理におけるセキュリティ</t>
  </si>
  <si>
    <t xml:space="preserve">g) </t>
  </si>
  <si>
    <t>アプリケーションのセキュリティに関して必要な知識</t>
  </si>
  <si>
    <t xml:space="preserve">h) </t>
  </si>
  <si>
    <t>ぜい弱性を回避、発見及び修正するに当たっての開発者の能力</t>
  </si>
  <si>
    <t xml:space="preserve">(4) </t>
  </si>
  <si>
    <t>セキュリティに配慮したシステム構築の原則</t>
  </si>
  <si>
    <t>次の事項を考慮して、セキュリティに配慮したシステムの構築を原則とする。</t>
  </si>
  <si>
    <t>セキュリティは、情報セキュリティの必要性とアクセス性の必要性との均衡を保ちながら、全てのアーキテクチャ層（業務、データ、アプリケーション及び技術）において設計する。</t>
  </si>
  <si>
    <t>新技術は、セキュリティ上のリスクについて分析し、その設計を既知の攻撃パターンに照らしてレビューする。</t>
  </si>
  <si>
    <t>QMS手順書に従い、システムを開発、変更する場合は、顧客との合意に基づき、前項を考慮して、セキュリティに配慮したシステムを構築する。</t>
  </si>
  <si>
    <t xml:space="preserve">(5) </t>
  </si>
  <si>
    <t>セキュリティに配慮した開発環境</t>
  </si>
  <si>
    <t>システム開発業務（全てのシステム開発ライフサイクルを含む）に伴うリスクに応じて、次の事項を考慮して、セキュリティに配慮した開発環境を整備する。</t>
  </si>
  <si>
    <t>システムによって処理、保管及び伝送されるデータの取扱いに慎重を要する度合い。</t>
  </si>
  <si>
    <t>適用される外部及び内部の要求事項。例えば、規制又は方針によるもの。</t>
  </si>
  <si>
    <t>組織によって既に実施されており、システム開発を支えるようなセキュリティ管理策。</t>
  </si>
  <si>
    <t>その環境で作業する要員の信頼性。</t>
  </si>
  <si>
    <t>システム開発に関連した外部委託の程度。</t>
  </si>
  <si>
    <t>異なる開発環境の分離の必要性。</t>
  </si>
  <si>
    <t>開発環境へのアクセスの制御。</t>
  </si>
  <si>
    <t>開発環境の変更及びそこに保管されたコードに対する変更の監視。</t>
  </si>
  <si>
    <t xml:space="preserve">i) </t>
  </si>
  <si>
    <t>セキュリティに配慮した遠隔地でのバックアップの保管。</t>
  </si>
  <si>
    <t xml:space="preserve">j) </t>
  </si>
  <si>
    <t>開発環境からの、及び開発環境への、データの移動の管理。</t>
  </si>
  <si>
    <t>前項は、QMS手順書に従い、システムを開発、変更する場合においても適用する。</t>
  </si>
  <si>
    <t xml:space="preserve">(6) </t>
  </si>
  <si>
    <t>システムセキュリティの試験</t>
  </si>
  <si>
    <t>セキュリティ機能（functionality）の試験は、システムが期待どおりに、かつ、期待した形でだけ動作することを確実にするため、開発期間中に実施する。なお、試験の程度は、そのシステムの重要性及び性質に見合ったものとする。</t>
  </si>
  <si>
    <t>システムを開発、変更する場合は、一連の条件の下での試験活動、試験への入力及び予想される出力について、計画を作成し、開発プロセスにおいて試験及び検証を行う。</t>
  </si>
  <si>
    <t xml:space="preserve">ウ </t>
  </si>
  <si>
    <t>前２項は、QMS手順書に従い、システムを開発、変更する場合においても適用する。なお、作成する計画には、プロジェクト計画にて決定したセキュリティ要求事項を含める。</t>
  </si>
  <si>
    <t xml:space="preserve">(7) </t>
  </si>
  <si>
    <t>システムの受入れ試験</t>
  </si>
  <si>
    <t>新しい情報システム及びその改訂版・更新版のために行う、システムの受入れ試験は、情報セキュリティ要求事項の試験及びセキュリティに配慮したシステム開発のための方針の順守を含み、受け入れた構成部品及びシステムに対して、試験を実施する。</t>
  </si>
  <si>
    <t>前項において、コード分析ツール又は脆弱性スキャナーのような自動化ツールを利用して、セキュリティに関連する欠陥を修正した場合は、この修正を検証する。</t>
  </si>
  <si>
    <t>試験は、システムが組織の環境にぜい弱性をもたらさないこと及び試験が信頼できるものであることを確実にするために、現実に即した試験環境で実施する。</t>
  </si>
  <si>
    <t>版数</t>
    <rPh sb="0" eb="2">
      <t>ハンスウ</t>
    </rPh>
    <phoneticPr fontId="2"/>
  </si>
  <si>
    <t>更新内容</t>
    <rPh sb="0" eb="2">
      <t>コウシン</t>
    </rPh>
    <rPh sb="2" eb="4">
      <t>ナイヨウ</t>
    </rPh>
    <phoneticPr fontId="2"/>
  </si>
  <si>
    <t>更新者</t>
    <rPh sb="0" eb="3">
      <t>コウシンシャ</t>
    </rPh>
    <phoneticPr fontId="2"/>
  </si>
  <si>
    <t>更新日</t>
    <rPh sb="0" eb="3">
      <t>コウシンビ</t>
    </rPh>
    <phoneticPr fontId="2"/>
  </si>
  <si>
    <t>更新履歴（当シート）を追加
プロジェクトの成功要因欄を追加
セキュリティ目標を追加
改ページ調整
備考欄のサイズ調整</t>
    <rPh sb="0" eb="2">
      <t>コウシン</t>
    </rPh>
    <rPh sb="2" eb="4">
      <t>リレキ</t>
    </rPh>
    <rPh sb="5" eb="6">
      <t>トウ</t>
    </rPh>
    <rPh sb="11" eb="13">
      <t>ツイカ</t>
    </rPh>
    <rPh sb="25" eb="26">
      <t>ラン</t>
    </rPh>
    <rPh sb="27" eb="29">
      <t>ツイカ</t>
    </rPh>
    <rPh sb="36" eb="38">
      <t>モクヒョウ</t>
    </rPh>
    <rPh sb="39" eb="41">
      <t>ツイカ</t>
    </rPh>
    <rPh sb="42" eb="43">
      <t>カイ</t>
    </rPh>
    <rPh sb="46" eb="48">
      <t>チョウセイ</t>
    </rPh>
    <rPh sb="49" eb="51">
      <t>ビコウ</t>
    </rPh>
    <rPh sb="51" eb="52">
      <t>ラン</t>
    </rPh>
    <rPh sb="56" eb="58">
      <t>チョウセイ</t>
    </rPh>
    <phoneticPr fontId="2"/>
  </si>
  <si>
    <t>福田慎</t>
    <rPh sb="0" eb="2">
      <t>フクダ</t>
    </rPh>
    <rPh sb="2" eb="3">
      <t>マコト</t>
    </rPh>
    <phoneticPr fontId="2"/>
  </si>
  <si>
    <t>プロジェクトメンバーを追加
セキュリティに配慮した開発計画を追加
開発及びサポートプロセスにおけるセキュリティシートを追加
セキュリティに配慮した開発計画に対する評価項目を追加
顧客満足度調査の依頼予定項目を追加
顧客満足度調査の依頼予定がなしの理由項目を追加
顧客満足度調査の依頼先担当者名項目を追加
顧客満足度調査の依頼先担当者メールアドレス項目を追加
発生した作業ミスやヒヤリハット項目を追加
顧客満足度調査の回収状況項目を追加
顧客満足度調査の結果に対する施策および実施状況項目を追加</t>
    <rPh sb="11" eb="13">
      <t>ツイカ</t>
    </rPh>
    <rPh sb="30" eb="32">
      <t>ツイカ</t>
    </rPh>
    <rPh sb="59" eb="61">
      <t>ツイカ</t>
    </rPh>
    <rPh sb="83" eb="85">
      <t>コウモク</t>
    </rPh>
    <rPh sb="86" eb="88">
      <t>ツイカ</t>
    </rPh>
    <rPh sb="194" eb="196">
      <t>コウモク</t>
    </rPh>
    <rPh sb="197" eb="199">
      <t>ツイカ</t>
    </rPh>
    <rPh sb="212" eb="214">
      <t>コウモク</t>
    </rPh>
    <rPh sb="215" eb="217">
      <t>ツイカ</t>
    </rPh>
    <rPh sb="241" eb="243">
      <t>コウモク</t>
    </rPh>
    <rPh sb="244" eb="246">
      <t>ツイカ</t>
    </rPh>
    <phoneticPr fontId="2"/>
  </si>
  <si>
    <t>回答期限：検収日の３ヶ月⇒１か月　後までに変更
　『プロジェクト名』について記述場所変更
　文言変更　”ご協力を”　⇒　”ご回答を”　　
　以下文を追加
　　『株式会社システムエグゼ千葉オフィスQMS・ISMS事務局からのご連絡となります。』
　署名欄
　　・MAILを追加 （qms-isms-office@system-exe.jp）
　　・電話番号 削除
　CC:PMのほか、営業担当を追加
　BCC:qms-isms-office@system-exe.jp　を追加
　タイトル：【株式会社システムエグゼ】　文言追加</t>
    <phoneticPr fontId="2"/>
  </si>
  <si>
    <t>顧客満足度調査依頼 メール文面におけるURLを2024年度版に変更</t>
    <rPh sb="27" eb="29">
      <t>ネンド</t>
    </rPh>
    <rPh sb="29" eb="30">
      <t>バン</t>
    </rPh>
    <rPh sb="31" eb="33">
      <t>ヘンコウ</t>
    </rPh>
    <phoneticPr fontId="2"/>
  </si>
  <si>
    <t>福田慎</t>
    <rPh sb="0" eb="3">
      <t>フクダマコト</t>
    </rPh>
    <phoneticPr fontId="2"/>
  </si>
  <si>
    <t>プロジェクト計画書・プロジェクト完了報告書・品質分析報告書を１つのファイルに統合
プロジェクト計画書に成功要因を追加
プロジェクト完了報告書にテストケース密度・バグ密度を追加
外部IF数・FPを追加
担当チームを削除、品質管理担当者を追加</t>
    <rPh sb="6" eb="9">
      <t>ケイカクショ</t>
    </rPh>
    <rPh sb="16" eb="18">
      <t>カンリョウ</t>
    </rPh>
    <rPh sb="18" eb="21">
      <t>ホウコクショ</t>
    </rPh>
    <rPh sb="22" eb="24">
      <t>ヒンシツ</t>
    </rPh>
    <rPh sb="24" eb="26">
      <t>ブンセキ</t>
    </rPh>
    <rPh sb="26" eb="29">
      <t>ホウコクショ</t>
    </rPh>
    <rPh sb="38" eb="40">
      <t>トウゴウ</t>
    </rPh>
    <rPh sb="47" eb="50">
      <t>ケイカクショ</t>
    </rPh>
    <rPh sb="51" eb="55">
      <t>セイコウヨウイン</t>
    </rPh>
    <rPh sb="56" eb="58">
      <t>ツイカ</t>
    </rPh>
    <rPh sb="65" eb="67">
      <t>カンリョウ</t>
    </rPh>
    <rPh sb="67" eb="70">
      <t>ホウコクショ</t>
    </rPh>
    <rPh sb="77" eb="79">
      <t>ミツド</t>
    </rPh>
    <rPh sb="82" eb="84">
      <t>ミツド</t>
    </rPh>
    <rPh sb="85" eb="87">
      <t>ツイカ</t>
    </rPh>
    <rPh sb="88" eb="90">
      <t>ガイブ</t>
    </rPh>
    <rPh sb="92" eb="93">
      <t>スウ</t>
    </rPh>
    <rPh sb="97" eb="99">
      <t>ツイカ</t>
    </rPh>
    <rPh sb="100" eb="102">
      <t>タントウ</t>
    </rPh>
    <rPh sb="106" eb="108">
      <t>サクジョ</t>
    </rPh>
    <rPh sb="109" eb="111">
      <t>ヒンシツ</t>
    </rPh>
    <rPh sb="111" eb="113">
      <t>カンリ</t>
    </rPh>
    <rPh sb="113" eb="116">
      <t>タントウシャ</t>
    </rPh>
    <rPh sb="117" eb="119">
      <t>ツイカ</t>
    </rPh>
    <phoneticPr fontId="2"/>
  </si>
  <si>
    <t>品質分析報告書の名称を品質データ分析報告書に変更</t>
    <rPh sb="0" eb="2">
      <t>ヒンシツ</t>
    </rPh>
    <rPh sb="2" eb="4">
      <t>ブンセキ</t>
    </rPh>
    <rPh sb="4" eb="7">
      <t>ホウコクショ</t>
    </rPh>
    <rPh sb="8" eb="10">
      <t>メイショウ</t>
    </rPh>
    <rPh sb="11" eb="13">
      <t>ヒンシツ</t>
    </rPh>
    <rPh sb="16" eb="18">
      <t>ブンセキ</t>
    </rPh>
    <rPh sb="18" eb="21">
      <t>ホウコクショ</t>
    </rPh>
    <rPh sb="22" eb="24">
      <t>ヘンコウ</t>
    </rPh>
    <phoneticPr fontId="2"/>
  </si>
  <si>
    <t>プロジェクト計画書のスケジュールを削除
プロジェクト計画書の収支計画を削除
プロジェクト計画書のアウトプット 移行作業手順書・移行結果報告書を削除
プロジェクト計画書のアウトプット WBS・課題管理表・リスク管理表・議事録を削除
プロジェクト計画書にアウトプット プロジェクト管理資料を追加
プロジェクト計画書にスケジュールおよび工程別収支計画を追加
プロジェクト完了報告書の外注実績を削除
プロジェクト完了報告書にスケジュールおよび工程別収支実績を追加
プロジェクト完了報告書にユーザーテスト不具合摘出数を追加</t>
    <rPh sb="17" eb="19">
      <t>サクジョ</t>
    </rPh>
    <rPh sb="30" eb="34">
      <t>シュウシケイカク</t>
    </rPh>
    <rPh sb="35" eb="37">
      <t>サクジョ</t>
    </rPh>
    <rPh sb="71" eb="73">
      <t>サクジョ</t>
    </rPh>
    <rPh sb="95" eb="100">
      <t>カダイカンリヒョウ</t>
    </rPh>
    <rPh sb="104" eb="107">
      <t>カンリヒョウ</t>
    </rPh>
    <rPh sb="108" eb="111">
      <t>ギジロク</t>
    </rPh>
    <rPh sb="152" eb="155">
      <t>ケイカクショ</t>
    </rPh>
    <rPh sb="173" eb="175">
      <t>ツイカ</t>
    </rPh>
    <rPh sb="182" eb="184">
      <t>カンリョウ</t>
    </rPh>
    <rPh sb="184" eb="186">
      <t>ホウコク</t>
    </rPh>
    <rPh sb="186" eb="187">
      <t>ショ</t>
    </rPh>
    <rPh sb="188" eb="190">
      <t>ガイチュウ</t>
    </rPh>
    <rPh sb="190" eb="192">
      <t>ジッセキ</t>
    </rPh>
    <rPh sb="193" eb="195">
      <t>サクジョ</t>
    </rPh>
    <rPh sb="202" eb="204">
      <t>カンリョウ</t>
    </rPh>
    <rPh sb="204" eb="207">
      <t>ホウコクショ</t>
    </rPh>
    <rPh sb="225" eb="227">
      <t>ツイカ</t>
    </rPh>
    <rPh sb="234" eb="236">
      <t>カンリョウ</t>
    </rPh>
    <rPh sb="236" eb="239">
      <t>ホウコクショ</t>
    </rPh>
    <rPh sb="247" eb="250">
      <t>フグアイ</t>
    </rPh>
    <rPh sb="250" eb="253">
      <t>テキシュツスウ</t>
    </rPh>
    <rPh sb="254" eb="256">
      <t>ツイカ</t>
    </rPh>
    <phoneticPr fontId="2"/>
  </si>
  <si>
    <t>From</t>
    <phoneticPr fontId="2"/>
  </si>
  <si>
    <t>qms-isms-office@system-exe.jp</t>
    <phoneticPr fontId="2"/>
  </si>
  <si>
    <t>To</t>
    <phoneticPr fontId="2"/>
  </si>
  <si>
    <t>CC</t>
    <phoneticPr fontId="2"/>
  </si>
  <si>
    <t>営業担当,PM</t>
    <rPh sb="0" eb="2">
      <t>エイギョウ</t>
    </rPh>
    <rPh sb="2" eb="4">
      <t>タントウ</t>
    </rPh>
    <phoneticPr fontId="2"/>
  </si>
  <si>
    <t>BCC</t>
    <phoneticPr fontId="2"/>
  </si>
  <si>
    <t>タイトル</t>
    <phoneticPr fontId="2"/>
  </si>
  <si>
    <t>【株式会社システムエグゼ】お客様満足度調査へのご協力依頼</t>
    <rPh sb="1" eb="5">
      <t>カブシキガイシャ</t>
    </rPh>
    <phoneticPr fontId="2"/>
  </si>
  <si>
    <t>本文</t>
    <rPh sb="0" eb="2">
      <t>ホンブン</t>
    </rPh>
    <phoneticPr fontId="2"/>
  </si>
  <si>
    <t>↓本文テンプレート　★編集注意</t>
    <rPh sb="1" eb="3">
      <t>ホンブン</t>
    </rPh>
    <rPh sb="11" eb="13">
      <t>ヘンシュウ</t>
    </rPh>
    <rPh sb="13" eb="15">
      <t>チュウイ</t>
    </rPh>
    <phoneticPr fontId="2"/>
  </si>
  <si>
    <t>[顧客名]
[顧客担当者名] 様
平素は格別のご高配を賜り、厚く御礼申し上げます。
株式会社システムエグゼ 千葉オフィスQMS・ISMS事務局からご連絡となります。
さて、弊社では、お客様が期待する高品質で信頼性の高いシステムを提供するべく、
品質マネジメントシステムの規格「JIS Q 9001」および
情報セキュリティマネジメントシステムの規格「JIS Q 27001」の認証を取得しております。
その取り組みの一環として、弊社の活動が適切なものであったか否かについて、
このたびの以下のプロジェクトに対するお客様の率直なご意見を賜りたく存じます。
・[プロジェクト名]
ご多用中誠に恐縮ではございますが、趣旨ご理解の上、
下記アンケートサイトにアクセスいただきご回答を賜りますようお願い申し上げます。
　アンケートサイト ：　https://smilesurvey.co/start.php?s=c32e6cb2&amp;id=[プロジェクトコード]
所要時間は、3分～5分程度です。[期日]までにご回答いただけますと幸いです。
ご質問やご不明点等がございましたら、下記のメールアドレスまでお問い合わせください。
　お問い合わせ先のメールアドレス：　qms-isms-office@system-exe.jp
尚、アンケートにてご記入いただいた内容につきましては、
お客様満足度調査とその分析を利用目的とし、他の目的に利用することは一切ありません。
弊社の情報セキュリティ基本方針につきましては、下記の弊社WEBサイトよりご確認下さい。
http://www.system-exe.co.jp
——————————————————————————————
　株式会社システムエグゼ
　　千葉オフィス QMS・ISMS事務局
　　MAIL：qms-isms-office@system-exe.jp
——————————————————————————————</t>
    <rPh sb="7" eb="9">
      <t>コキャク</t>
    </rPh>
    <rPh sb="9" eb="13">
      <t>タントウシャメイ</t>
    </rPh>
    <rPh sb="15" eb="16">
      <t>サマ</t>
    </rPh>
    <rPh sb="76" eb="78">
      <t>レンラク</t>
    </rPh>
    <rPh sb="190" eb="192">
      <t>ニンショウ</t>
    </rPh>
    <rPh sb="193" eb="195">
      <t>シュトク</t>
    </rPh>
    <rPh sb="205" eb="206">
      <t>ト</t>
    </rPh>
    <rPh sb="207" eb="208">
      <t>ク</t>
    </rPh>
    <rPh sb="245" eb="247">
      <t>イカ</t>
    </rPh>
    <rPh sb="255" eb="256">
      <t>タイ</t>
    </rPh>
    <rPh sb="317" eb="319">
      <t>カキ</t>
    </rPh>
    <rPh sb="337" eb="339">
      <t>カイトウ</t>
    </rPh>
    <rPh sb="431" eb="433">
      <t>ショヨウ</t>
    </rPh>
    <rPh sb="433" eb="435">
      <t>ジカン</t>
    </rPh>
    <rPh sb="440" eb="441">
      <t>フン</t>
    </rPh>
    <rPh sb="442" eb="444">
      <t>テイド</t>
    </rPh>
    <rPh sb="455" eb="457">
      <t>カイトウ</t>
    </rPh>
    <rPh sb="464" eb="465">
      <t>サイワ</t>
    </rPh>
    <rPh sb="477" eb="479">
      <t>フメイ</t>
    </rPh>
    <rPh sb="479" eb="480">
      <t>テン</t>
    </rPh>
    <rPh sb="503" eb="504">
      <t>ト</t>
    </rPh>
    <rPh sb="505" eb="506">
      <t>ア</t>
    </rPh>
    <rPh sb="517" eb="518">
      <t>ト</t>
    </rPh>
    <rPh sb="519" eb="520">
      <t>ア</t>
    </rPh>
    <rPh sb="564" eb="565">
      <t>ナオ</t>
    </rPh>
    <rPh sb="580" eb="582">
      <t>ナイヨウ</t>
    </rPh>
    <rPh sb="690" eb="692">
      <t>ケイグ</t>
    </rPh>
    <rPh sb="737" eb="739">
      <t>チバ</t>
    </rPh>
    <rPh sb="753" eb="756">
      <t>ジムキョク</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</si>
</sst>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76" formatCode="0_);[Red]\(0\)"/>
    <numFmt numFmtId="177" formatCode="0.00_);[Red]\(0.00\)"/>
    <numFmt numFmtId="178" formatCode="&quot;¥&quot;#,##0_);[Red]\(&quot;¥&quot;#,##0\)"/>
    <numFmt numFmtId="179" formatCode="0.0_);[Red]\(0.0\)"/>
  </numFmts>
  <fonts count="20">
    <font>
      <sz val="11"/>
      <name val="ＭＳ Ｐゴシック"/>
      <family val="3"/>
      <charset val="128"/>
    </font>
    <font>
      <sz val="11"/>
      <name val="ＭＳ Ｐゴシック"/>
      <family val="3"/>
      <charset val="128"/>
    </font>
    <font>
      <sz val="6"/>
      <name val="ＭＳ Ｐゴシック"/>
      <family val="3"/>
      <charset val="128"/>
    </font>
    <font>
      <b/>
      <sz val="11"/>
      <name val="ＭＳ Ｐゴシック"/>
      <family val="3"/>
      <charset val="128"/>
    </font>
    <font>
      <b/>
      <sz val="20"/>
      <name val="ＭＳ Ｐゴシック"/>
      <family val="3"/>
      <charset val="128"/>
    </font>
    <font>
      <b/>
      <sz val="9"/>
      <color indexed="81"/>
      <name val="MS P ゴシック"/>
      <family val="3"/>
      <charset val="128"/>
    </font>
    <font>
      <b/>
      <sz val="11"/>
      <color rgb="FFFF0000"/>
      <name val="ＭＳ Ｐゴシック"/>
      <family val="3"/>
      <charset val="128"/>
    </font>
    <font>
      <sz val="11"/>
      <name val="游ゴシック"/>
      <family val="3"/>
      <charset val="128"/>
    </font>
    <font>
      <sz val="11"/>
      <color rgb="FF0000FF"/>
      <name val="ＭＳ Ｐゴシック"/>
      <family val="3"/>
      <charset val="128"/>
    </font>
    <font>
      <sz val="11"/>
      <name val="ＭＳ ゴシック"/>
      <family val="3"/>
      <charset val="128"/>
    </font>
    <font>
      <sz val="9"/>
      <name val="游ゴシック"/>
      <family val="3"/>
      <charset val="128"/>
    </font>
    <font>
      <b/>
      <sz val="16"/>
      <name val="ＭＳ Ｐゴシック"/>
      <family val="3"/>
      <charset val="128"/>
    </font>
    <font>
      <sz val="11"/>
      <color indexed="10"/>
      <name val="ＭＳ Ｐゴシック"/>
      <family val="3"/>
      <charset val="128"/>
    </font>
    <font>
      <sz val="9"/>
      <color indexed="81"/>
      <name val="MS P ゴシック"/>
      <family val="3"/>
      <charset val="128"/>
    </font>
    <font>
      <sz val="11"/>
      <color theme="1"/>
      <name val="Meiryo UI"/>
      <family val="2"/>
      <charset val="128"/>
    </font>
    <font>
      <sz val="11"/>
      <color rgb="FFFF0000"/>
      <name val="ＭＳ Ｐゴシック"/>
      <family val="3"/>
      <charset val="128"/>
    </font>
    <font>
      <sz val="6"/>
      <name val="ＭＳ Ｐゴシック"/>
      <family val="2"/>
      <charset val="128"/>
      <scheme val="minor"/>
    </font>
    <font>
      <sz val="11"/>
      <name val="ＭＳ Ｐゴシック"/>
      <family val="3"/>
      <charset val="128"/>
      <scheme val="major"/>
    </font>
    <font>
      <sz val="8"/>
      <name val="ＭＳ Ｐゴシック"/>
      <family val="3"/>
      <charset val="128"/>
    </font>
    <font>
      <b/>
      <sz val="11"/>
      <color rgb="FF0000FF"/>
      <name val="ＭＳ Ｐゴシック"/>
      <family val="3"/>
      <charset val="128"/>
    </font>
  </fonts>
  <fills count="9">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0" tint="-0.249977111117893"/>
        <bgColor indexed="64"/>
      </patternFill>
    </fill>
    <fill>
      <patternFill patternType="solid">
        <fgColor rgb="FFFF0000"/>
        <bgColor indexed="64"/>
      </patternFill>
    </fill>
    <fill>
      <patternFill patternType="solid">
        <fgColor rgb="FFFFFFC8"/>
        <bgColor indexed="64"/>
      </patternFill>
    </fill>
    <fill>
      <patternFill patternType="solid">
        <fgColor theme="0" tint="-4.9989318521683403E-2"/>
        <bgColor indexed="64"/>
      </patternFill>
    </fill>
    <fill>
      <patternFill patternType="solid">
        <fgColor theme="0" tint="-0.14999847407452621"/>
        <bgColor indexed="64"/>
      </patternFill>
    </fill>
  </fills>
  <borders count="54">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medium">
        <color indexed="64"/>
      </top>
      <bottom/>
      <diagonal/>
    </border>
    <border>
      <left style="medium">
        <color indexed="64"/>
      </left>
      <right/>
      <top/>
      <bottom/>
      <diagonal/>
    </border>
    <border>
      <left style="medium">
        <color indexed="64"/>
      </left>
      <right/>
      <top style="medium">
        <color indexed="64"/>
      </top>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diagonal/>
    </border>
    <border>
      <left style="medium">
        <color indexed="64"/>
      </left>
      <right/>
      <top/>
      <bottom style="dashed">
        <color indexed="64"/>
      </bottom>
      <diagonal/>
    </border>
    <border>
      <left/>
      <right/>
      <top/>
      <bottom style="dashed">
        <color indexed="64"/>
      </bottom>
      <diagonal/>
    </border>
    <border>
      <left/>
      <right style="medium">
        <color indexed="64"/>
      </right>
      <top/>
      <bottom style="dashed">
        <color indexed="64"/>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dotted">
        <color auto="1"/>
      </left>
      <right/>
      <top style="dotted">
        <color auto="1"/>
      </top>
      <bottom/>
      <diagonal/>
    </border>
    <border>
      <left/>
      <right/>
      <top style="dotted">
        <color indexed="64"/>
      </top>
      <bottom/>
      <diagonal/>
    </border>
    <border>
      <left/>
      <right style="dotted">
        <color auto="1"/>
      </right>
      <top style="dotted">
        <color auto="1"/>
      </top>
      <bottom/>
      <diagonal/>
    </border>
    <border>
      <left style="dotted">
        <color auto="1"/>
      </left>
      <right/>
      <top/>
      <bottom/>
      <diagonal/>
    </border>
    <border>
      <left/>
      <right style="dotted">
        <color auto="1"/>
      </right>
      <top/>
      <bottom/>
      <diagonal/>
    </border>
    <border>
      <left style="dotted">
        <color auto="1"/>
      </left>
      <right/>
      <top/>
      <bottom style="dotted">
        <color auto="1"/>
      </bottom>
      <diagonal/>
    </border>
    <border>
      <left/>
      <right/>
      <top/>
      <bottom style="dotted">
        <color auto="1"/>
      </bottom>
      <diagonal/>
    </border>
    <border>
      <left/>
      <right style="dotted">
        <color auto="1"/>
      </right>
      <top/>
      <bottom style="dotted">
        <color auto="1"/>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double">
        <color indexed="64"/>
      </right>
      <top style="thin">
        <color indexed="64"/>
      </top>
      <bottom style="thin">
        <color indexed="64"/>
      </bottom>
      <diagonal/>
    </border>
    <border>
      <left/>
      <right style="double">
        <color indexed="64"/>
      </right>
      <top style="thin">
        <color indexed="64"/>
      </top>
      <bottom style="thin">
        <color indexed="64"/>
      </bottom>
      <diagonal/>
    </border>
    <border>
      <left/>
      <right style="double">
        <color indexed="64"/>
      </right>
      <top style="thin">
        <color indexed="64"/>
      </top>
      <bottom style="double">
        <color indexed="64"/>
      </bottom>
      <diagonal/>
    </border>
    <border>
      <left/>
      <right style="double">
        <color indexed="64"/>
      </right>
      <top/>
      <bottom style="thin">
        <color indexed="64"/>
      </bottom>
      <diagonal/>
    </border>
  </borders>
  <cellStyleXfs count="6">
    <xf numFmtId="0" fontId="0" fillId="0" borderId="0">
      <alignment vertical="center"/>
    </xf>
    <xf numFmtId="0" fontId="1" fillId="0" borderId="0"/>
    <xf numFmtId="0" fontId="1" fillId="0" borderId="0">
      <alignment vertical="center"/>
    </xf>
    <xf numFmtId="0" fontId="14" fillId="0" borderId="0">
      <alignment vertical="center"/>
    </xf>
    <xf numFmtId="0" fontId="1" fillId="0" borderId="0"/>
    <xf numFmtId="9" fontId="1" fillId="0" borderId="0" applyFont="0" applyFill="0" applyBorder="0" applyAlignment="0" applyProtection="0">
      <alignment vertical="center"/>
    </xf>
  </cellStyleXfs>
  <cellXfs count="392">
    <xf numFmtId="0" fontId="0" fillId="0" borderId="0" xfId="0">
      <alignment vertical="center"/>
    </xf>
    <xf numFmtId="14" fontId="1" fillId="3" borderId="0" xfId="2" applyNumberFormat="1" applyFill="1" applyAlignment="1">
      <alignment horizontal="center" vertical="center"/>
    </xf>
    <xf numFmtId="0" fontId="1" fillId="3" borderId="0" xfId="2" applyFill="1">
      <alignment vertical="center"/>
    </xf>
    <xf numFmtId="0" fontId="1" fillId="3" borderId="0" xfId="2" applyFill="1" applyAlignment="1">
      <alignment horizontal="center" vertical="center"/>
    </xf>
    <xf numFmtId="0" fontId="1" fillId="0" borderId="0" xfId="2">
      <alignment vertical="center"/>
    </xf>
    <xf numFmtId="0" fontId="3" fillId="0" borderId="0" xfId="2" applyFont="1">
      <alignment vertical="center"/>
    </xf>
    <xf numFmtId="0" fontId="1" fillId="0" borderId="0" xfId="1" applyAlignment="1">
      <alignment vertical="center"/>
    </xf>
    <xf numFmtId="0" fontId="1" fillId="0" borderId="0" xfId="2" applyAlignment="1">
      <alignment vertical="top"/>
    </xf>
    <xf numFmtId="0" fontId="3" fillId="0" borderId="0" xfId="2" applyFont="1" applyAlignment="1">
      <alignment vertical="top"/>
    </xf>
    <xf numFmtId="0" fontId="3" fillId="3" borderId="0" xfId="2" applyFont="1" applyFill="1" applyAlignment="1">
      <alignment vertical="top"/>
    </xf>
    <xf numFmtId="0" fontId="1" fillId="3" borderId="0" xfId="2" applyFill="1" applyAlignment="1">
      <alignment vertical="top"/>
    </xf>
    <xf numFmtId="0" fontId="3" fillId="0" borderId="0" xfId="1" applyFont="1" applyAlignment="1">
      <alignment vertical="top"/>
    </xf>
    <xf numFmtId="0" fontId="1" fillId="0" borderId="0" xfId="1" applyAlignment="1">
      <alignment vertical="top"/>
    </xf>
    <xf numFmtId="0" fontId="0" fillId="0" borderId="0" xfId="0" applyAlignment="1">
      <alignment horizontal="center" vertical="center"/>
    </xf>
    <xf numFmtId="14" fontId="0" fillId="0" borderId="0" xfId="0" applyNumberFormat="1" applyAlignment="1">
      <alignment horizontal="center" vertical="center"/>
    </xf>
    <xf numFmtId="0" fontId="0" fillId="0" borderId="0" xfId="0" applyAlignment="1">
      <alignment vertical="center" wrapText="1"/>
    </xf>
    <xf numFmtId="0" fontId="1" fillId="0" borderId="0" xfId="2" applyAlignment="1">
      <alignment vertical="top" wrapText="1"/>
    </xf>
    <xf numFmtId="0" fontId="4" fillId="0" borderId="0" xfId="2" applyFont="1">
      <alignment vertical="center"/>
    </xf>
    <xf numFmtId="0" fontId="9" fillId="0" borderId="0" xfId="0" applyFont="1">
      <alignment vertical="center"/>
    </xf>
    <xf numFmtId="0" fontId="9" fillId="5" borderId="0" xfId="0" applyFont="1" applyFill="1" applyAlignment="1">
      <alignment vertical="top" wrapText="1"/>
    </xf>
    <xf numFmtId="0" fontId="10" fillId="0" borderId="0" xfId="0" applyFont="1" applyAlignment="1">
      <alignment vertical="top" wrapText="1"/>
    </xf>
    <xf numFmtId="49" fontId="7" fillId="0" borderId="0" xfId="0" applyNumberFormat="1" applyFont="1">
      <alignment vertical="center"/>
    </xf>
    <xf numFmtId="0" fontId="1" fillId="0" borderId="0" xfId="2" applyAlignment="1">
      <alignment horizontal="left" vertical="top" wrapText="1"/>
    </xf>
    <xf numFmtId="0" fontId="4" fillId="0" borderId="0" xfId="2" applyFont="1" applyAlignment="1">
      <alignment horizontal="left" vertical="center"/>
    </xf>
    <xf numFmtId="0" fontId="11" fillId="0" borderId="0" xfId="2" applyFont="1">
      <alignment vertical="center"/>
    </xf>
    <xf numFmtId="0" fontId="1" fillId="3" borderId="0" xfId="2" applyFill="1" applyAlignment="1">
      <alignment horizontal="center" vertical="top"/>
    </xf>
    <xf numFmtId="0" fontId="1" fillId="3" borderId="0" xfId="2" applyFill="1" applyAlignment="1">
      <alignment vertical="top" wrapText="1"/>
    </xf>
    <xf numFmtId="0" fontId="3" fillId="0" borderId="0" xfId="2" applyFont="1" applyAlignment="1">
      <alignment vertical="top" wrapText="1"/>
    </xf>
    <xf numFmtId="0" fontId="12" fillId="3" borderId="0" xfId="2" applyFont="1" applyFill="1" applyAlignment="1">
      <alignment vertical="top"/>
    </xf>
    <xf numFmtId="0" fontId="0" fillId="3" borderId="0" xfId="0" applyFill="1" applyAlignment="1">
      <alignment vertical="top" wrapText="1"/>
    </xf>
    <xf numFmtId="0" fontId="0" fillId="0" borderId="0" xfId="2" applyFont="1" applyAlignment="1">
      <alignment vertical="top" wrapText="1"/>
    </xf>
    <xf numFmtId="0" fontId="0" fillId="0" borderId="0" xfId="0" applyAlignment="1">
      <alignment horizontal="left" vertical="top" wrapText="1"/>
    </xf>
    <xf numFmtId="49" fontId="0" fillId="0" borderId="0" xfId="0" applyNumberFormat="1" applyAlignment="1">
      <alignment horizontal="left" vertical="top" wrapText="1"/>
    </xf>
    <xf numFmtId="0" fontId="3" fillId="0" borderId="0" xfId="1" applyFont="1" applyAlignment="1">
      <alignment vertical="top" wrapText="1"/>
    </xf>
    <xf numFmtId="0" fontId="1" fillId="0" borderId="27" xfId="1" applyBorder="1" applyAlignment="1">
      <alignment vertical="top" wrapText="1"/>
    </xf>
    <xf numFmtId="0" fontId="1" fillId="0" borderId="28" xfId="1" applyBorder="1" applyAlignment="1">
      <alignment vertical="top" wrapText="1"/>
    </xf>
    <xf numFmtId="0" fontId="1" fillId="0" borderId="29" xfId="1" applyBorder="1" applyAlignment="1">
      <alignment vertical="top" wrapText="1"/>
    </xf>
    <xf numFmtId="0" fontId="1" fillId="0" borderId="0" xfId="1" applyAlignment="1">
      <alignment vertical="top" wrapText="1"/>
    </xf>
    <xf numFmtId="0" fontId="1" fillId="0" borderId="30" xfId="1" applyBorder="1" applyAlignment="1">
      <alignment vertical="top" wrapText="1"/>
    </xf>
    <xf numFmtId="0" fontId="1" fillId="0" borderId="31" xfId="1" applyBorder="1" applyAlignment="1">
      <alignment vertical="top" wrapText="1"/>
    </xf>
    <xf numFmtId="0" fontId="1" fillId="0" borderId="32" xfId="1" applyBorder="1" applyAlignment="1">
      <alignment vertical="top" wrapText="1"/>
    </xf>
    <xf numFmtId="0" fontId="1" fillId="0" borderId="33" xfId="1" applyBorder="1" applyAlignment="1">
      <alignment vertical="top" wrapText="1"/>
    </xf>
    <xf numFmtId="0" fontId="1" fillId="0" borderId="34" xfId="1" applyBorder="1" applyAlignment="1">
      <alignment vertical="top" wrapText="1"/>
    </xf>
    <xf numFmtId="0" fontId="3" fillId="3" borderId="0" xfId="0" applyFont="1" applyFill="1" applyAlignment="1">
      <alignment vertical="top"/>
    </xf>
    <xf numFmtId="14" fontId="1" fillId="0" borderId="0" xfId="2" applyNumberFormat="1" applyAlignment="1">
      <alignment horizontal="left" vertical="top" wrapText="1"/>
    </xf>
    <xf numFmtId="0" fontId="3" fillId="0" borderId="0" xfId="1" applyFont="1" applyAlignment="1">
      <alignment vertical="center"/>
    </xf>
    <xf numFmtId="49" fontId="0" fillId="3" borderId="2" xfId="2" applyNumberFormat="1" applyFont="1" applyFill="1" applyBorder="1" applyAlignment="1">
      <alignment horizontal="center" vertical="top" wrapText="1"/>
    </xf>
    <xf numFmtId="0" fontId="1" fillId="3" borderId="0" xfId="0" applyFont="1" applyFill="1" applyAlignment="1">
      <alignment horizontal="left" vertical="top"/>
    </xf>
    <xf numFmtId="0" fontId="3" fillId="3" borderId="0" xfId="2" applyFont="1" applyFill="1" applyAlignment="1">
      <alignment horizontal="right" vertical="top"/>
    </xf>
    <xf numFmtId="0" fontId="1" fillId="0" borderId="0" xfId="2" applyAlignment="1">
      <alignment horizontal="left" vertical="top"/>
    </xf>
    <xf numFmtId="49" fontId="1" fillId="7" borderId="2" xfId="2" applyNumberFormat="1" applyFill="1" applyBorder="1" applyAlignment="1">
      <alignment horizontal="center" vertical="top"/>
    </xf>
    <xf numFmtId="0" fontId="6" fillId="3" borderId="0" xfId="2" applyFont="1" applyFill="1" applyAlignment="1">
      <alignment horizontal="left" vertical="center"/>
    </xf>
    <xf numFmtId="0" fontId="8" fillId="0" borderId="0" xfId="2" applyFont="1" applyAlignment="1">
      <alignment vertical="top"/>
    </xf>
    <xf numFmtId="0" fontId="8" fillId="0" borderId="0" xfId="0" applyFont="1" applyAlignment="1">
      <alignment vertical="top"/>
    </xf>
    <xf numFmtId="9" fontId="1" fillId="0" borderId="0" xfId="5" applyFont="1" applyFill="1" applyBorder="1" applyAlignment="1">
      <alignment horizontal="right" vertical="top" indent="1"/>
    </xf>
    <xf numFmtId="0" fontId="1" fillId="0" borderId="0" xfId="0" applyFont="1" applyAlignment="1">
      <alignment horizontal="left" vertical="top"/>
    </xf>
    <xf numFmtId="178" fontId="1" fillId="0" borderId="0" xfId="0" applyNumberFormat="1" applyFont="1" applyAlignment="1">
      <alignment horizontal="left" vertical="top"/>
    </xf>
    <xf numFmtId="0" fontId="1" fillId="0" borderId="0" xfId="0" applyFont="1" applyAlignment="1">
      <alignment vertical="top"/>
    </xf>
    <xf numFmtId="177" fontId="1" fillId="0" borderId="0" xfId="5" applyNumberFormat="1" applyFont="1" applyFill="1" applyBorder="1" applyAlignment="1">
      <alignment horizontal="right" vertical="top" indent="1"/>
    </xf>
    <xf numFmtId="2" fontId="17" fillId="7" borderId="39" xfId="0" applyNumberFormat="1" applyFont="1" applyFill="1" applyBorder="1" applyAlignment="1">
      <alignment horizontal="center" vertical="center"/>
    </xf>
    <xf numFmtId="2" fontId="17" fillId="7" borderId="43" xfId="0" applyNumberFormat="1" applyFont="1" applyFill="1" applyBorder="1" applyAlignment="1">
      <alignment horizontal="center" vertical="center"/>
    </xf>
    <xf numFmtId="179" fontId="0" fillId="0" borderId="0" xfId="0" applyNumberFormat="1" applyAlignment="1">
      <alignment horizontal="center" vertical="center"/>
    </xf>
    <xf numFmtId="0" fontId="19" fillId="3" borderId="0" xfId="0" applyFont="1" applyFill="1" applyAlignment="1">
      <alignment vertical="top"/>
    </xf>
    <xf numFmtId="0" fontId="0" fillId="0" borderId="1" xfId="2" applyFont="1" applyBorder="1" applyAlignment="1">
      <alignment horizontal="left" vertical="top" wrapText="1"/>
    </xf>
    <xf numFmtId="0" fontId="0" fillId="0" borderId="2" xfId="2" applyFont="1" applyBorder="1" applyAlignment="1">
      <alignment horizontal="left" vertical="top" wrapText="1"/>
    </xf>
    <xf numFmtId="0" fontId="0" fillId="0" borderId="3" xfId="2" applyFont="1" applyBorder="1" applyAlignment="1">
      <alignment horizontal="left" vertical="top" wrapText="1"/>
    </xf>
    <xf numFmtId="14" fontId="1" fillId="0" borderId="1" xfId="2" applyNumberFormat="1" applyBorder="1" applyAlignment="1">
      <alignment horizontal="left" vertical="top" wrapText="1"/>
    </xf>
    <xf numFmtId="14" fontId="1" fillId="0" borderId="2" xfId="2" applyNumberFormat="1" applyBorder="1" applyAlignment="1">
      <alignment horizontal="left" vertical="top" wrapText="1"/>
    </xf>
    <xf numFmtId="14" fontId="1" fillId="0" borderId="3" xfId="2" applyNumberFormat="1" applyBorder="1" applyAlignment="1">
      <alignment horizontal="left" vertical="top" wrapText="1"/>
    </xf>
    <xf numFmtId="0" fontId="1" fillId="0" borderId="1" xfId="2" applyBorder="1" applyAlignment="1">
      <alignment horizontal="left" vertical="top" wrapText="1"/>
    </xf>
    <xf numFmtId="0" fontId="1" fillId="0" borderId="2" xfId="2" applyBorder="1" applyAlignment="1">
      <alignment horizontal="left" vertical="top" wrapText="1"/>
    </xf>
    <xf numFmtId="0" fontId="1" fillId="0" borderId="3" xfId="2" applyBorder="1" applyAlignment="1">
      <alignment horizontal="left" vertical="top" wrapText="1"/>
    </xf>
    <xf numFmtId="0" fontId="0" fillId="4" borderId="1" xfId="2" applyFont="1" applyFill="1" applyBorder="1" applyAlignment="1">
      <alignment horizontal="left" vertical="top" wrapText="1"/>
    </xf>
    <xf numFmtId="0" fontId="0" fillId="4" borderId="2" xfId="2" applyFont="1" applyFill="1" applyBorder="1" applyAlignment="1">
      <alignment horizontal="left" vertical="top" wrapText="1"/>
    </xf>
    <xf numFmtId="0" fontId="0" fillId="4" borderId="3" xfId="2" applyFont="1" applyFill="1" applyBorder="1" applyAlignment="1">
      <alignment horizontal="left" vertical="top" wrapText="1"/>
    </xf>
    <xf numFmtId="14" fontId="1" fillId="0" borderId="7" xfId="2" applyNumberFormat="1" applyBorder="1" applyAlignment="1">
      <alignment horizontal="left" vertical="top" wrapText="1"/>
    </xf>
    <xf numFmtId="0" fontId="1" fillId="4" borderId="2" xfId="2" applyFill="1" applyBorder="1" applyAlignment="1">
      <alignment horizontal="left" vertical="top" wrapText="1"/>
    </xf>
    <xf numFmtId="0" fontId="1" fillId="4" borderId="3" xfId="2" applyFill="1" applyBorder="1" applyAlignment="1">
      <alignment horizontal="left" vertical="top" wrapText="1"/>
    </xf>
    <xf numFmtId="14" fontId="0" fillId="0" borderId="1" xfId="2" applyNumberFormat="1" applyFont="1" applyBorder="1" applyAlignment="1">
      <alignment vertical="top" wrapText="1"/>
    </xf>
    <xf numFmtId="14" fontId="0" fillId="0" borderId="2" xfId="2" applyNumberFormat="1" applyFont="1" applyBorder="1" applyAlignment="1">
      <alignment vertical="top" wrapText="1"/>
    </xf>
    <xf numFmtId="14" fontId="0" fillId="0" borderId="3" xfId="2" applyNumberFormat="1" applyFont="1" applyBorder="1" applyAlignment="1">
      <alignment vertical="top" wrapText="1"/>
    </xf>
    <xf numFmtId="0" fontId="0" fillId="0" borderId="1" xfId="2" applyFont="1" applyBorder="1" applyAlignment="1">
      <alignment vertical="top" wrapText="1"/>
    </xf>
    <xf numFmtId="0" fontId="0" fillId="0" borderId="2" xfId="2" applyFont="1" applyBorder="1" applyAlignment="1">
      <alignment vertical="top" wrapText="1"/>
    </xf>
    <xf numFmtId="0" fontId="0" fillId="0" borderId="3" xfId="2" applyFont="1" applyBorder="1" applyAlignment="1">
      <alignment vertical="top" wrapText="1"/>
    </xf>
    <xf numFmtId="0" fontId="1" fillId="0" borderId="1" xfId="2" applyBorder="1" applyAlignment="1">
      <alignment vertical="top" wrapText="1"/>
    </xf>
    <xf numFmtId="0" fontId="1" fillId="0" borderId="2" xfId="2" applyBorder="1" applyAlignment="1">
      <alignment vertical="top" wrapText="1"/>
    </xf>
    <xf numFmtId="0" fontId="1" fillId="0" borderId="3" xfId="2" applyBorder="1" applyAlignment="1">
      <alignment vertical="top" wrapText="1"/>
    </xf>
    <xf numFmtId="0" fontId="0" fillId="0" borderId="7" xfId="2" applyFont="1" applyBorder="1" applyAlignment="1">
      <alignment vertical="top" wrapText="1"/>
    </xf>
    <xf numFmtId="0" fontId="1" fillId="0" borderId="7" xfId="2" applyBorder="1" applyAlignment="1">
      <alignment vertical="top" wrapText="1"/>
    </xf>
    <xf numFmtId="0" fontId="0" fillId="7" borderId="1" xfId="2" applyFont="1" applyFill="1" applyBorder="1" applyAlignment="1">
      <alignment horizontal="left" vertical="top" wrapText="1"/>
    </xf>
    <xf numFmtId="0" fontId="0" fillId="7" borderId="2" xfId="2" applyFont="1" applyFill="1" applyBorder="1" applyAlignment="1">
      <alignment horizontal="left" vertical="top" wrapText="1"/>
    </xf>
    <xf numFmtId="0" fontId="0" fillId="7" borderId="3" xfId="2" applyFont="1" applyFill="1" applyBorder="1" applyAlignment="1">
      <alignment horizontal="left" vertical="top" wrapText="1"/>
    </xf>
    <xf numFmtId="10" fontId="1" fillId="7" borderId="47" xfId="5" applyNumberFormat="1" applyFill="1" applyBorder="1" applyAlignment="1">
      <alignment horizontal="right" vertical="top" wrapText="1"/>
    </xf>
    <xf numFmtId="10" fontId="1" fillId="7" borderId="48" xfId="5" applyNumberFormat="1" applyFill="1" applyBorder="1" applyAlignment="1">
      <alignment horizontal="right" vertical="top" wrapText="1"/>
    </xf>
    <xf numFmtId="10" fontId="1" fillId="7" borderId="49" xfId="5" applyNumberFormat="1" applyFill="1" applyBorder="1" applyAlignment="1">
      <alignment horizontal="right" vertical="top" wrapText="1"/>
    </xf>
    <xf numFmtId="0" fontId="0" fillId="7" borderId="47" xfId="2" applyFont="1" applyFill="1" applyBorder="1" applyAlignment="1">
      <alignment horizontal="left" vertical="top" wrapText="1"/>
    </xf>
    <xf numFmtId="0" fontId="0" fillId="7" borderId="48" xfId="2" applyFont="1" applyFill="1" applyBorder="1" applyAlignment="1">
      <alignment horizontal="left" vertical="top" wrapText="1"/>
    </xf>
    <xf numFmtId="0" fontId="0" fillId="7" borderId="49" xfId="2" applyFont="1" applyFill="1" applyBorder="1" applyAlignment="1">
      <alignment horizontal="left" vertical="top" wrapText="1"/>
    </xf>
    <xf numFmtId="14" fontId="1" fillId="0" borderId="47" xfId="2" applyNumberFormat="1" applyBorder="1" applyAlignment="1">
      <alignment horizontal="center" vertical="top" wrapText="1"/>
    </xf>
    <xf numFmtId="14" fontId="1" fillId="0" borderId="48" xfId="2" applyNumberFormat="1" applyBorder="1" applyAlignment="1">
      <alignment horizontal="center" vertical="top" wrapText="1"/>
    </xf>
    <xf numFmtId="14" fontId="1" fillId="0" borderId="49" xfId="2" applyNumberFormat="1" applyBorder="1" applyAlignment="1">
      <alignment horizontal="center" vertical="top" wrapText="1"/>
    </xf>
    <xf numFmtId="177" fontId="1" fillId="7" borderId="47" xfId="2" applyNumberFormat="1" applyFill="1" applyBorder="1" applyAlignment="1">
      <alignment horizontal="right" vertical="top" wrapText="1"/>
    </xf>
    <xf numFmtId="177" fontId="1" fillId="7" borderId="48" xfId="2" applyNumberFormat="1" applyFill="1" applyBorder="1" applyAlignment="1">
      <alignment horizontal="right" vertical="top" wrapText="1"/>
    </xf>
    <xf numFmtId="177" fontId="1" fillId="7" borderId="49" xfId="2" applyNumberFormat="1" applyFill="1" applyBorder="1" applyAlignment="1">
      <alignment horizontal="right" vertical="top" wrapText="1"/>
    </xf>
    <xf numFmtId="177" fontId="1" fillId="0" borderId="47" xfId="2" applyNumberFormat="1" applyBorder="1" applyAlignment="1">
      <alignment horizontal="right" vertical="top" wrapText="1"/>
    </xf>
    <xf numFmtId="177" fontId="1" fillId="0" borderId="48" xfId="2" applyNumberFormat="1" applyBorder="1" applyAlignment="1">
      <alignment horizontal="right" vertical="top" wrapText="1"/>
    </xf>
    <xf numFmtId="177" fontId="1" fillId="0" borderId="49" xfId="2" applyNumberFormat="1" applyBorder="1" applyAlignment="1">
      <alignment horizontal="right" vertical="top" wrapText="1"/>
    </xf>
    <xf numFmtId="178" fontId="1" fillId="0" borderId="47" xfId="2" applyNumberFormat="1" applyBorder="1" applyAlignment="1">
      <alignment horizontal="right" vertical="top" wrapText="1"/>
    </xf>
    <xf numFmtId="178" fontId="1" fillId="0" borderId="48" xfId="2" applyNumberFormat="1" applyBorder="1" applyAlignment="1">
      <alignment horizontal="right" vertical="top" wrapText="1"/>
    </xf>
    <xf numFmtId="178" fontId="1" fillId="0" borderId="49" xfId="2" applyNumberFormat="1" applyBorder="1" applyAlignment="1">
      <alignment horizontal="right" vertical="top" wrapText="1"/>
    </xf>
    <xf numFmtId="178" fontId="1" fillId="7" borderId="47" xfId="2" applyNumberFormat="1" applyFill="1" applyBorder="1" applyAlignment="1">
      <alignment horizontal="right" vertical="top" wrapText="1"/>
    </xf>
    <xf numFmtId="178" fontId="1" fillId="7" borderId="48" xfId="2" applyNumberFormat="1" applyFill="1" applyBorder="1" applyAlignment="1">
      <alignment horizontal="right" vertical="top" wrapText="1"/>
    </xf>
    <xf numFmtId="178" fontId="1" fillId="7" borderId="49" xfId="2" applyNumberFormat="1" applyFill="1" applyBorder="1" applyAlignment="1">
      <alignment horizontal="right" vertical="top" wrapText="1"/>
    </xf>
    <xf numFmtId="0" fontId="0" fillId="4" borderId="1" xfId="2" applyFont="1" applyFill="1" applyBorder="1" applyAlignment="1">
      <alignment vertical="top" wrapText="1"/>
    </xf>
    <xf numFmtId="0" fontId="0" fillId="4" borderId="2" xfId="2" applyFont="1" applyFill="1" applyBorder="1" applyAlignment="1">
      <alignment vertical="top" wrapText="1"/>
    </xf>
    <xf numFmtId="0" fontId="0" fillId="4" borderId="3" xfId="2" applyFont="1" applyFill="1" applyBorder="1" applyAlignment="1">
      <alignment vertical="top" wrapText="1"/>
    </xf>
    <xf numFmtId="0" fontId="0" fillId="4" borderId="7" xfId="2" applyFont="1" applyFill="1" applyBorder="1" applyAlignment="1">
      <alignment vertical="top" wrapText="1"/>
    </xf>
    <xf numFmtId="0" fontId="1" fillId="4" borderId="7" xfId="2" applyFill="1" applyBorder="1" applyAlignment="1">
      <alignment vertical="top" wrapText="1"/>
    </xf>
    <xf numFmtId="176" fontId="1" fillId="3" borderId="7" xfId="2" applyNumberFormat="1" applyFill="1" applyBorder="1" applyAlignment="1">
      <alignment horizontal="right" vertical="top" wrapText="1" indent="1"/>
    </xf>
    <xf numFmtId="0" fontId="0" fillId="4" borderId="7" xfId="0" applyFill="1" applyBorder="1" applyAlignment="1">
      <alignment vertical="top" wrapText="1"/>
    </xf>
    <xf numFmtId="176" fontId="1" fillId="3" borderId="1" xfId="2" applyNumberFormat="1" applyFill="1" applyBorder="1" applyAlignment="1">
      <alignment horizontal="right" vertical="top" wrapText="1" indent="1"/>
    </xf>
    <xf numFmtId="176" fontId="1" fillId="3" borderId="2" xfId="2" applyNumberFormat="1" applyFill="1" applyBorder="1" applyAlignment="1">
      <alignment horizontal="right" vertical="top" wrapText="1" indent="1"/>
    </xf>
    <xf numFmtId="176" fontId="1" fillId="3" borderId="3" xfId="2" applyNumberFormat="1" applyFill="1" applyBorder="1" applyAlignment="1">
      <alignment horizontal="right" vertical="top" wrapText="1" indent="1"/>
    </xf>
    <xf numFmtId="176" fontId="0" fillId="3" borderId="7" xfId="0" applyNumberFormat="1" applyFill="1" applyBorder="1" applyAlignment="1">
      <alignment horizontal="right" vertical="top" wrapText="1" indent="1"/>
    </xf>
    <xf numFmtId="0" fontId="1" fillId="4" borderId="1" xfId="2" applyFill="1" applyBorder="1" applyAlignment="1">
      <alignment vertical="top" wrapText="1"/>
    </xf>
    <xf numFmtId="0" fontId="1" fillId="4" borderId="2" xfId="2" applyFill="1" applyBorder="1" applyAlignment="1">
      <alignment vertical="top" wrapText="1"/>
    </xf>
    <xf numFmtId="0" fontId="1" fillId="4" borderId="3" xfId="2" applyFill="1" applyBorder="1" applyAlignment="1">
      <alignment vertical="top" wrapText="1"/>
    </xf>
    <xf numFmtId="176" fontId="1" fillId="7" borderId="1" xfId="2" applyNumberFormat="1" applyFill="1" applyBorder="1" applyAlignment="1">
      <alignment horizontal="right" vertical="top" wrapText="1" indent="1"/>
    </xf>
    <xf numFmtId="176" fontId="1" fillId="7" borderId="2" xfId="2" applyNumberFormat="1" applyFill="1" applyBorder="1" applyAlignment="1">
      <alignment horizontal="right" vertical="top" wrapText="1" indent="1"/>
    </xf>
    <xf numFmtId="176" fontId="1" fillId="7" borderId="3" xfId="2" applyNumberFormat="1" applyFill="1" applyBorder="1" applyAlignment="1">
      <alignment horizontal="right" vertical="top" wrapText="1" indent="1"/>
    </xf>
    <xf numFmtId="0" fontId="1" fillId="4" borderId="7" xfId="0" applyFont="1" applyFill="1" applyBorder="1" applyAlignment="1">
      <alignment vertical="top" wrapText="1"/>
    </xf>
    <xf numFmtId="0" fontId="8" fillId="7" borderId="1" xfId="2" applyFont="1" applyFill="1" applyBorder="1" applyAlignment="1">
      <alignment horizontal="left" vertical="top" wrapText="1"/>
    </xf>
    <xf numFmtId="0" fontId="8" fillId="7" borderId="2" xfId="2" applyFont="1" applyFill="1" applyBorder="1" applyAlignment="1">
      <alignment horizontal="left" vertical="top" wrapText="1"/>
    </xf>
    <xf numFmtId="0" fontId="8" fillId="7" borderId="3" xfId="2" applyFont="1" applyFill="1" applyBorder="1" applyAlignment="1">
      <alignment horizontal="left" vertical="top" wrapText="1"/>
    </xf>
    <xf numFmtId="0" fontId="1" fillId="7" borderId="1" xfId="2" applyFill="1" applyBorder="1" applyAlignment="1">
      <alignment horizontal="left" vertical="top" wrapText="1"/>
    </xf>
    <xf numFmtId="0" fontId="1" fillId="7" borderId="2" xfId="2" applyFill="1" applyBorder="1" applyAlignment="1">
      <alignment horizontal="left" vertical="top" wrapText="1"/>
    </xf>
    <xf numFmtId="0" fontId="1" fillId="7" borderId="3" xfId="2" applyFill="1" applyBorder="1" applyAlignment="1">
      <alignment horizontal="left" vertical="top" wrapText="1"/>
    </xf>
    <xf numFmtId="0" fontId="0" fillId="0" borderId="7" xfId="2" applyFont="1" applyBorder="1" applyAlignment="1">
      <alignment horizontal="left" vertical="top" wrapText="1"/>
    </xf>
    <xf numFmtId="0" fontId="0" fillId="4" borderId="7" xfId="0" applyFill="1" applyBorder="1" applyAlignment="1">
      <alignment horizontal="left" vertical="top" wrapText="1"/>
    </xf>
    <xf numFmtId="0" fontId="1" fillId="0" borderId="7" xfId="2" applyBorder="1" applyAlignment="1">
      <alignment horizontal="left" vertical="top" wrapText="1"/>
    </xf>
    <xf numFmtId="0" fontId="1" fillId="4" borderId="1" xfId="2" applyFill="1" applyBorder="1" applyAlignment="1">
      <alignment horizontal="left" vertical="top" wrapText="1"/>
    </xf>
    <xf numFmtId="0" fontId="0" fillId="4" borderId="7" xfId="2" applyFont="1" applyFill="1" applyBorder="1" applyAlignment="1">
      <alignment horizontal="left" vertical="top" wrapText="1"/>
    </xf>
    <xf numFmtId="0" fontId="1" fillId="4" borderId="21" xfId="2" applyFill="1" applyBorder="1" applyAlignment="1">
      <alignment horizontal="left" vertical="top" wrapText="1"/>
    </xf>
    <xf numFmtId="0" fontId="1" fillId="4" borderId="19" xfId="2" applyFill="1" applyBorder="1" applyAlignment="1">
      <alignment horizontal="left" vertical="top" wrapText="1"/>
    </xf>
    <xf numFmtId="0" fontId="1" fillId="4" borderId="22" xfId="2" applyFill="1" applyBorder="1" applyAlignment="1">
      <alignment horizontal="left" vertical="top" wrapText="1"/>
    </xf>
    <xf numFmtId="0" fontId="1" fillId="4" borderId="23" xfId="2" applyFill="1" applyBorder="1" applyAlignment="1">
      <alignment horizontal="left" vertical="top" wrapText="1"/>
    </xf>
    <xf numFmtId="0" fontId="1" fillId="4" borderId="20" xfId="2" applyFill="1" applyBorder="1" applyAlignment="1">
      <alignment horizontal="left" vertical="top" wrapText="1"/>
    </xf>
    <xf numFmtId="0" fontId="1" fillId="4" borderId="24" xfId="2" applyFill="1" applyBorder="1" applyAlignment="1">
      <alignment horizontal="left" vertical="top" wrapText="1"/>
    </xf>
    <xf numFmtId="0" fontId="1" fillId="0" borderId="21" xfId="2" applyBorder="1" applyAlignment="1">
      <alignment horizontal="left" vertical="top" wrapText="1"/>
    </xf>
    <xf numFmtId="0" fontId="1" fillId="0" borderId="19" xfId="2" applyBorder="1" applyAlignment="1">
      <alignment horizontal="left" vertical="top" wrapText="1"/>
    </xf>
    <xf numFmtId="0" fontId="1" fillId="0" borderId="22" xfId="2" applyBorder="1" applyAlignment="1">
      <alignment horizontal="left" vertical="top" wrapText="1"/>
    </xf>
    <xf numFmtId="0" fontId="1" fillId="0" borderId="23" xfId="2" applyBorder="1" applyAlignment="1">
      <alignment horizontal="left" vertical="top" wrapText="1"/>
    </xf>
    <xf numFmtId="0" fontId="1" fillId="0" borderId="20" xfId="2" applyBorder="1" applyAlignment="1">
      <alignment horizontal="left" vertical="top" wrapText="1"/>
    </xf>
    <xf numFmtId="0" fontId="1" fillId="0" borderId="24" xfId="2" applyBorder="1" applyAlignment="1">
      <alignment horizontal="left" vertical="top" wrapText="1"/>
    </xf>
    <xf numFmtId="0" fontId="1" fillId="4" borderId="21" xfId="2" applyFill="1" applyBorder="1" applyAlignment="1">
      <alignment horizontal="left" vertical="top"/>
    </xf>
    <xf numFmtId="0" fontId="1" fillId="4" borderId="19" xfId="2" applyFill="1" applyBorder="1" applyAlignment="1">
      <alignment horizontal="left" vertical="top"/>
    </xf>
    <xf numFmtId="0" fontId="1" fillId="4" borderId="22" xfId="2" applyFill="1" applyBorder="1" applyAlignment="1">
      <alignment horizontal="left" vertical="top"/>
    </xf>
    <xf numFmtId="0" fontId="1" fillId="4" borderId="23" xfId="2" applyFill="1" applyBorder="1" applyAlignment="1">
      <alignment horizontal="left" vertical="top"/>
    </xf>
    <xf numFmtId="0" fontId="1" fillId="4" borderId="20" xfId="2" applyFill="1" applyBorder="1" applyAlignment="1">
      <alignment horizontal="left" vertical="top"/>
    </xf>
    <xf numFmtId="0" fontId="1" fillId="4" borderId="24" xfId="2" applyFill="1" applyBorder="1" applyAlignment="1">
      <alignment horizontal="left" vertical="top"/>
    </xf>
    <xf numFmtId="0" fontId="0" fillId="3" borderId="7" xfId="0" applyFill="1" applyBorder="1" applyAlignment="1">
      <alignment horizontal="left" vertical="top" wrapText="1"/>
    </xf>
    <xf numFmtId="0" fontId="1" fillId="4" borderId="7" xfId="2" applyFill="1" applyBorder="1" applyAlignment="1">
      <alignment horizontal="left" vertical="top" wrapText="1"/>
    </xf>
    <xf numFmtId="0" fontId="1" fillId="3" borderId="7" xfId="2" applyFill="1" applyBorder="1" applyAlignment="1">
      <alignment horizontal="left" vertical="top" wrapText="1"/>
    </xf>
    <xf numFmtId="178" fontId="0" fillId="3" borderId="7" xfId="0" applyNumberFormat="1" applyFill="1" applyBorder="1" applyAlignment="1">
      <alignment horizontal="left" vertical="top" wrapText="1"/>
    </xf>
    <xf numFmtId="0" fontId="1" fillId="3" borderId="1" xfId="2" applyFill="1" applyBorder="1" applyAlignment="1">
      <alignment horizontal="left" vertical="top" wrapText="1"/>
    </xf>
    <xf numFmtId="0" fontId="1" fillId="3" borderId="2" xfId="2" applyFill="1" applyBorder="1" applyAlignment="1">
      <alignment horizontal="left" vertical="top" wrapText="1"/>
    </xf>
    <xf numFmtId="0" fontId="1" fillId="3" borderId="3" xfId="2" applyFill="1" applyBorder="1" applyAlignment="1">
      <alignment horizontal="left" vertical="top" wrapText="1"/>
    </xf>
    <xf numFmtId="49" fontId="0" fillId="3" borderId="7" xfId="0" applyNumberFormat="1" applyFill="1" applyBorder="1" applyAlignment="1">
      <alignment horizontal="left" vertical="top" wrapText="1"/>
    </xf>
    <xf numFmtId="49" fontId="1" fillId="3" borderId="7" xfId="2" applyNumberFormat="1" applyFill="1" applyBorder="1" applyAlignment="1">
      <alignment horizontal="left" vertical="top" wrapText="1"/>
    </xf>
    <xf numFmtId="14" fontId="1" fillId="3" borderId="1" xfId="2" applyNumberFormat="1" applyFill="1" applyBorder="1" applyAlignment="1">
      <alignment horizontal="center" vertical="top" wrapText="1"/>
    </xf>
    <xf numFmtId="14" fontId="1" fillId="3" borderId="2" xfId="2" applyNumberFormat="1" applyFill="1" applyBorder="1" applyAlignment="1">
      <alignment horizontal="center" vertical="top" wrapText="1"/>
    </xf>
    <xf numFmtId="14" fontId="1" fillId="3" borderId="3" xfId="2" applyNumberFormat="1" applyFill="1" applyBorder="1" applyAlignment="1">
      <alignment horizontal="center" vertical="top" wrapText="1"/>
    </xf>
    <xf numFmtId="0" fontId="4" fillId="0" borderId="0" xfId="2" applyFont="1" applyAlignment="1">
      <alignment horizontal="left" vertical="center"/>
    </xf>
    <xf numFmtId="0" fontId="1" fillId="2" borderId="16" xfId="1" applyFill="1" applyBorder="1" applyAlignment="1">
      <alignment horizontal="center" vertical="center"/>
    </xf>
    <xf numFmtId="0" fontId="1" fillId="2" borderId="17" xfId="1" applyFill="1" applyBorder="1" applyAlignment="1">
      <alignment horizontal="center" vertical="center"/>
    </xf>
    <xf numFmtId="0" fontId="1" fillId="2" borderId="18" xfId="1" applyFill="1" applyBorder="1" applyAlignment="1">
      <alignment horizontal="center" vertical="center"/>
    </xf>
    <xf numFmtId="0" fontId="1" fillId="0" borderId="6" xfId="1" applyBorder="1" applyAlignment="1">
      <alignment horizontal="center" vertical="center"/>
    </xf>
    <xf numFmtId="0" fontId="1" fillId="0" borderId="4" xfId="1" applyBorder="1" applyAlignment="1">
      <alignment horizontal="center" vertical="center"/>
    </xf>
    <xf numFmtId="0" fontId="1" fillId="0" borderId="8" xfId="1" applyBorder="1" applyAlignment="1">
      <alignment horizontal="center" vertical="center"/>
    </xf>
    <xf numFmtId="0" fontId="1" fillId="0" borderId="5" xfId="1" applyBorder="1" applyAlignment="1">
      <alignment horizontal="center" vertical="center"/>
    </xf>
    <xf numFmtId="0" fontId="1" fillId="0" borderId="0" xfId="1" applyAlignment="1">
      <alignment horizontal="center" vertical="center"/>
    </xf>
    <xf numFmtId="0" fontId="1" fillId="0" borderId="12" xfId="1" applyBorder="1" applyAlignment="1">
      <alignment horizontal="center" vertical="center"/>
    </xf>
    <xf numFmtId="0" fontId="1" fillId="0" borderId="9" xfId="1" applyBorder="1" applyAlignment="1">
      <alignment horizontal="center" vertical="center"/>
    </xf>
    <xf numFmtId="0" fontId="1" fillId="0" borderId="10" xfId="1" applyBorder="1" applyAlignment="1">
      <alignment horizontal="center" vertical="center"/>
    </xf>
    <xf numFmtId="0" fontId="1" fillId="0" borderId="11" xfId="1" applyBorder="1" applyAlignment="1">
      <alignment horizontal="center" vertical="center"/>
    </xf>
    <xf numFmtId="14" fontId="1" fillId="0" borderId="13" xfId="1" applyNumberFormat="1" applyBorder="1" applyAlignment="1">
      <alignment horizontal="center" vertical="center"/>
    </xf>
    <xf numFmtId="14" fontId="1" fillId="0" borderId="14" xfId="1" applyNumberFormat="1" applyBorder="1" applyAlignment="1">
      <alignment horizontal="center" vertical="center"/>
    </xf>
    <xf numFmtId="14" fontId="1" fillId="0" borderId="15" xfId="1" applyNumberFormat="1" applyBorder="1" applyAlignment="1">
      <alignment horizontal="center" vertical="center"/>
    </xf>
    <xf numFmtId="14" fontId="1" fillId="0" borderId="1" xfId="2" applyNumberFormat="1" applyBorder="1" applyAlignment="1">
      <alignment horizontal="center" vertical="top" wrapText="1"/>
    </xf>
    <xf numFmtId="14" fontId="1" fillId="0" borderId="2" xfId="2" applyNumberFormat="1" applyBorder="1" applyAlignment="1">
      <alignment horizontal="center" vertical="top" wrapText="1"/>
    </xf>
    <xf numFmtId="14" fontId="1" fillId="0" borderId="3" xfId="2" applyNumberFormat="1" applyBorder="1" applyAlignment="1">
      <alignment horizontal="center" vertical="top" wrapText="1"/>
    </xf>
    <xf numFmtId="0" fontId="0" fillId="4" borderId="1" xfId="2" applyFont="1" applyFill="1" applyBorder="1" applyAlignment="1">
      <alignment horizontal="center" vertical="top" wrapText="1"/>
    </xf>
    <xf numFmtId="0" fontId="0" fillId="4" borderId="2" xfId="2" applyFont="1" applyFill="1" applyBorder="1" applyAlignment="1">
      <alignment horizontal="center" vertical="top" wrapText="1"/>
    </xf>
    <xf numFmtId="0" fontId="0" fillId="4" borderId="3" xfId="2" applyFont="1" applyFill="1" applyBorder="1" applyAlignment="1">
      <alignment horizontal="center" vertical="top" wrapText="1"/>
    </xf>
    <xf numFmtId="178" fontId="1" fillId="7" borderId="1" xfId="2" applyNumberFormat="1" applyFill="1" applyBorder="1" applyAlignment="1">
      <alignment horizontal="right" vertical="top" wrapText="1"/>
    </xf>
    <xf numFmtId="178" fontId="1" fillId="7" borderId="2" xfId="2" applyNumberFormat="1" applyFill="1" applyBorder="1" applyAlignment="1">
      <alignment horizontal="right" vertical="top" wrapText="1"/>
    </xf>
    <xf numFmtId="178" fontId="1" fillId="7" borderId="3" xfId="2" applyNumberFormat="1" applyFill="1" applyBorder="1" applyAlignment="1">
      <alignment horizontal="right" vertical="top" wrapText="1"/>
    </xf>
    <xf numFmtId="177" fontId="1" fillId="0" borderId="1" xfId="2" applyNumberFormat="1" applyBorder="1" applyAlignment="1">
      <alignment horizontal="right" vertical="top" wrapText="1"/>
    </xf>
    <xf numFmtId="177" fontId="1" fillId="0" borderId="2" xfId="2" applyNumberFormat="1" applyBorder="1" applyAlignment="1">
      <alignment horizontal="right" vertical="top" wrapText="1"/>
    </xf>
    <xf numFmtId="177" fontId="1" fillId="0" borderId="3" xfId="2" applyNumberFormat="1" applyBorder="1" applyAlignment="1">
      <alignment horizontal="right" vertical="top" wrapText="1"/>
    </xf>
    <xf numFmtId="177" fontId="1" fillId="7" borderId="1" xfId="2" applyNumberFormat="1" applyFill="1" applyBorder="1" applyAlignment="1">
      <alignment horizontal="right" vertical="top" wrapText="1"/>
    </xf>
    <xf numFmtId="177" fontId="1" fillId="7" borderId="2" xfId="2" applyNumberFormat="1" applyFill="1" applyBorder="1" applyAlignment="1">
      <alignment horizontal="right" vertical="top" wrapText="1"/>
    </xf>
    <xf numFmtId="177" fontId="1" fillId="7" borderId="3" xfId="2" applyNumberFormat="1" applyFill="1" applyBorder="1" applyAlignment="1">
      <alignment horizontal="right" vertical="top" wrapText="1"/>
    </xf>
    <xf numFmtId="178" fontId="1" fillId="0" borderId="1" xfId="2" applyNumberFormat="1" applyBorder="1" applyAlignment="1">
      <alignment horizontal="right" vertical="top" wrapText="1"/>
    </xf>
    <xf numFmtId="178" fontId="1" fillId="0" borderId="2" xfId="2" applyNumberFormat="1" applyBorder="1" applyAlignment="1">
      <alignment horizontal="right" vertical="top" wrapText="1"/>
    </xf>
    <xf numFmtId="178" fontId="1" fillId="0" borderId="3" xfId="2" applyNumberFormat="1" applyBorder="1" applyAlignment="1">
      <alignment horizontal="right" vertical="top" wrapText="1"/>
    </xf>
    <xf numFmtId="0" fontId="0" fillId="7" borderId="23" xfId="2" applyFont="1" applyFill="1" applyBorder="1" applyAlignment="1">
      <alignment horizontal="left" vertical="top" wrapText="1"/>
    </xf>
    <xf numFmtId="0" fontId="0" fillId="7" borderId="20" xfId="2" applyFont="1" applyFill="1" applyBorder="1" applyAlignment="1">
      <alignment horizontal="left" vertical="top" wrapText="1"/>
    </xf>
    <xf numFmtId="0" fontId="0" fillId="7" borderId="24" xfId="2" applyFont="1" applyFill="1" applyBorder="1" applyAlignment="1">
      <alignment horizontal="left" vertical="top" wrapText="1"/>
    </xf>
    <xf numFmtId="14" fontId="1" fillId="7" borderId="23" xfId="2" applyNumberFormat="1" applyFill="1" applyBorder="1" applyAlignment="1">
      <alignment horizontal="center" vertical="top" wrapText="1"/>
    </xf>
    <xf numFmtId="14" fontId="1" fillId="7" borderId="20" xfId="2" applyNumberFormat="1" applyFill="1" applyBorder="1" applyAlignment="1">
      <alignment horizontal="center" vertical="top" wrapText="1"/>
    </xf>
    <xf numFmtId="14" fontId="1" fillId="7" borderId="24" xfId="2" applyNumberFormat="1" applyFill="1" applyBorder="1" applyAlignment="1">
      <alignment horizontal="center" vertical="top" wrapText="1"/>
    </xf>
    <xf numFmtId="177" fontId="1" fillId="7" borderId="23" xfId="2" applyNumberFormat="1" applyFill="1" applyBorder="1" applyAlignment="1">
      <alignment horizontal="right" vertical="top" wrapText="1"/>
    </xf>
    <xf numFmtId="177" fontId="1" fillId="7" borderId="20" xfId="2" applyNumberFormat="1" applyFill="1" applyBorder="1" applyAlignment="1">
      <alignment horizontal="right" vertical="top" wrapText="1"/>
    </xf>
    <xf numFmtId="177" fontId="1" fillId="7" borderId="24" xfId="2" applyNumberFormat="1" applyFill="1" applyBorder="1" applyAlignment="1">
      <alignment horizontal="right" vertical="top" wrapText="1"/>
    </xf>
    <xf numFmtId="178" fontId="1" fillId="7" borderId="23" xfId="2" applyNumberFormat="1" applyFill="1" applyBorder="1" applyAlignment="1">
      <alignment horizontal="right" vertical="top" wrapText="1"/>
    </xf>
    <xf numFmtId="178" fontId="1" fillId="7" borderId="20" xfId="2" applyNumberFormat="1" applyFill="1" applyBorder="1" applyAlignment="1">
      <alignment horizontal="right" vertical="top" wrapText="1"/>
    </xf>
    <xf numFmtId="178" fontId="1" fillId="7" borderId="24" xfId="2" applyNumberFormat="1" applyFill="1" applyBorder="1" applyAlignment="1">
      <alignment horizontal="right" vertical="top" wrapText="1"/>
    </xf>
    <xf numFmtId="10" fontId="1" fillId="7" borderId="1" xfId="5" applyNumberFormat="1" applyFill="1" applyBorder="1" applyAlignment="1">
      <alignment horizontal="right" vertical="top" wrapText="1"/>
    </xf>
    <xf numFmtId="10" fontId="1" fillId="7" borderId="2" xfId="5" applyNumberFormat="1" applyFill="1" applyBorder="1" applyAlignment="1">
      <alignment horizontal="right" vertical="top" wrapText="1"/>
    </xf>
    <xf numFmtId="10" fontId="1" fillId="7" borderId="3" xfId="5" applyNumberFormat="1" applyFill="1" applyBorder="1" applyAlignment="1">
      <alignment horizontal="right" vertical="top" wrapText="1"/>
    </xf>
    <xf numFmtId="10" fontId="1" fillId="7" borderId="23" xfId="5" applyNumberFormat="1" applyFill="1" applyBorder="1" applyAlignment="1">
      <alignment horizontal="right" vertical="top" wrapText="1"/>
    </xf>
    <xf numFmtId="10" fontId="1" fillId="7" borderId="20" xfId="5" applyNumberFormat="1" applyFill="1" applyBorder="1" applyAlignment="1">
      <alignment horizontal="right" vertical="top" wrapText="1"/>
    </xf>
    <xf numFmtId="10" fontId="1" fillId="7" borderId="24" xfId="5" applyNumberFormat="1" applyFill="1" applyBorder="1" applyAlignment="1">
      <alignment horizontal="right" vertical="top" wrapText="1"/>
    </xf>
    <xf numFmtId="0" fontId="1" fillId="3" borderId="7" xfId="0" applyFont="1" applyFill="1" applyBorder="1" applyAlignment="1">
      <alignment horizontal="left" vertical="top"/>
    </xf>
    <xf numFmtId="0" fontId="1" fillId="4" borderId="25" xfId="2" applyFill="1" applyBorder="1" applyAlignment="1">
      <alignment horizontal="left" vertical="top"/>
    </xf>
    <xf numFmtId="0" fontId="1" fillId="4" borderId="0" xfId="2" applyFill="1" applyAlignment="1">
      <alignment horizontal="left" vertical="top"/>
    </xf>
    <xf numFmtId="0" fontId="1" fillId="4" borderId="26" xfId="2" applyFill="1" applyBorder="1" applyAlignment="1">
      <alignment horizontal="left" vertical="top"/>
    </xf>
    <xf numFmtId="0" fontId="1" fillId="0" borderId="25" xfId="2" applyBorder="1" applyAlignment="1">
      <alignment horizontal="left" vertical="top" wrapText="1"/>
    </xf>
    <xf numFmtId="0" fontId="1" fillId="0" borderId="0" xfId="2" applyAlignment="1">
      <alignment horizontal="left" vertical="top" wrapText="1"/>
    </xf>
    <xf numFmtId="0" fontId="1" fillId="0" borderId="26" xfId="2" applyBorder="1" applyAlignment="1">
      <alignment horizontal="left" vertical="top" wrapText="1"/>
    </xf>
    <xf numFmtId="177" fontId="1" fillId="3" borderId="7" xfId="2" applyNumberFormat="1" applyFill="1" applyBorder="1" applyAlignment="1">
      <alignment horizontal="left" vertical="top"/>
    </xf>
    <xf numFmtId="0" fontId="1" fillId="0" borderId="21" xfId="2" applyBorder="1" applyAlignment="1">
      <alignment horizontal="left" vertical="top"/>
    </xf>
    <xf numFmtId="0" fontId="1" fillId="0" borderId="19" xfId="2" applyBorder="1" applyAlignment="1">
      <alignment horizontal="left" vertical="top"/>
    </xf>
    <xf numFmtId="0" fontId="1" fillId="0" borderId="22" xfId="2" applyBorder="1" applyAlignment="1">
      <alignment horizontal="left" vertical="top"/>
    </xf>
    <xf numFmtId="0" fontId="1" fillId="0" borderId="25" xfId="2" applyBorder="1" applyAlignment="1">
      <alignment horizontal="left" vertical="top"/>
    </xf>
    <xf numFmtId="0" fontId="1" fillId="0" borderId="0" xfId="2" applyAlignment="1">
      <alignment horizontal="left" vertical="top"/>
    </xf>
    <xf numFmtId="0" fontId="1" fillId="0" borderId="26" xfId="2" applyBorder="1" applyAlignment="1">
      <alignment horizontal="left" vertical="top"/>
    </xf>
    <xf numFmtId="0" fontId="1" fillId="0" borderId="23" xfId="2" applyBorder="1" applyAlignment="1">
      <alignment horizontal="left" vertical="top"/>
    </xf>
    <xf numFmtId="0" fontId="1" fillId="0" borderId="20" xfId="2" applyBorder="1" applyAlignment="1">
      <alignment horizontal="left" vertical="top"/>
    </xf>
    <xf numFmtId="0" fontId="1" fillId="0" borderId="24" xfId="2" applyBorder="1" applyAlignment="1">
      <alignment horizontal="left" vertical="top"/>
    </xf>
    <xf numFmtId="0" fontId="1" fillId="3" borderId="19" xfId="0" applyFont="1" applyFill="1" applyBorder="1" applyAlignment="1">
      <alignment horizontal="left" vertical="top"/>
    </xf>
    <xf numFmtId="0" fontId="1" fillId="3" borderId="22" xfId="0" applyFont="1" applyFill="1" applyBorder="1" applyAlignment="1">
      <alignment horizontal="left" vertical="top"/>
    </xf>
    <xf numFmtId="0" fontId="1" fillId="3" borderId="20" xfId="0" applyFont="1" applyFill="1" applyBorder="1" applyAlignment="1">
      <alignment horizontal="left" vertical="top"/>
    </xf>
    <xf numFmtId="0" fontId="1" fillId="3" borderId="24" xfId="0" applyFont="1" applyFill="1" applyBorder="1" applyAlignment="1">
      <alignment horizontal="left" vertical="top"/>
    </xf>
    <xf numFmtId="0" fontId="1" fillId="4" borderId="21" xfId="0" applyFont="1" applyFill="1" applyBorder="1" applyAlignment="1">
      <alignment horizontal="left" vertical="top"/>
    </xf>
    <xf numFmtId="0" fontId="1" fillId="4" borderId="19" xfId="0" applyFont="1" applyFill="1" applyBorder="1" applyAlignment="1">
      <alignment horizontal="left" vertical="top"/>
    </xf>
    <xf numFmtId="0" fontId="1" fillId="4" borderId="22" xfId="0" applyFont="1" applyFill="1" applyBorder="1" applyAlignment="1">
      <alignment horizontal="left" vertical="top"/>
    </xf>
    <xf numFmtId="0" fontId="1" fillId="4" borderId="23" xfId="0" applyFont="1" applyFill="1" applyBorder="1" applyAlignment="1">
      <alignment horizontal="left" vertical="top"/>
    </xf>
    <xf numFmtId="0" fontId="1" fillId="4" borderId="20" xfId="0" applyFont="1" applyFill="1" applyBorder="1" applyAlignment="1">
      <alignment horizontal="left" vertical="top"/>
    </xf>
    <xf numFmtId="0" fontId="1" fillId="4" borderId="24" xfId="0" applyFont="1" applyFill="1" applyBorder="1" applyAlignment="1">
      <alignment horizontal="left" vertical="top"/>
    </xf>
    <xf numFmtId="14" fontId="1" fillId="3" borderId="7" xfId="2" applyNumberFormat="1" applyFill="1" applyBorder="1" applyAlignment="1">
      <alignment horizontal="left" vertical="top"/>
    </xf>
    <xf numFmtId="0" fontId="1" fillId="3" borderId="7" xfId="2" applyFill="1" applyBorder="1" applyAlignment="1">
      <alignment horizontal="left" vertical="top"/>
    </xf>
    <xf numFmtId="177" fontId="1" fillId="7" borderId="7" xfId="5" applyNumberFormat="1" applyFont="1" applyFill="1" applyBorder="1" applyAlignment="1">
      <alignment horizontal="right" vertical="top" indent="1"/>
    </xf>
    <xf numFmtId="49" fontId="1" fillId="7" borderId="1" xfId="0" applyNumberFormat="1" applyFont="1" applyFill="1" applyBorder="1" applyAlignment="1">
      <alignment horizontal="left" vertical="top"/>
    </xf>
    <xf numFmtId="49" fontId="1" fillId="7" borderId="2" xfId="0" applyNumberFormat="1" applyFont="1" applyFill="1" applyBorder="1" applyAlignment="1">
      <alignment horizontal="left" vertical="top"/>
    </xf>
    <xf numFmtId="49" fontId="1" fillId="7" borderId="3" xfId="0" applyNumberFormat="1" applyFont="1" applyFill="1" applyBorder="1" applyAlignment="1">
      <alignment horizontal="left" vertical="top"/>
    </xf>
    <xf numFmtId="0" fontId="1" fillId="4" borderId="7" xfId="0" applyFont="1" applyFill="1" applyBorder="1" applyAlignment="1">
      <alignment horizontal="left" vertical="top" wrapText="1"/>
    </xf>
    <xf numFmtId="0" fontId="1" fillId="4" borderId="1" xfId="2" applyFill="1" applyBorder="1" applyAlignment="1">
      <alignment vertical="top"/>
    </xf>
    <xf numFmtId="0" fontId="1" fillId="4" borderId="2" xfId="2" applyFill="1" applyBorder="1" applyAlignment="1">
      <alignment vertical="top"/>
    </xf>
    <xf numFmtId="0" fontId="1" fillId="4" borderId="3" xfId="2" applyFill="1" applyBorder="1" applyAlignment="1">
      <alignment vertical="top"/>
    </xf>
    <xf numFmtId="0" fontId="1" fillId="7" borderId="1" xfId="2" applyFill="1" applyBorder="1" applyAlignment="1">
      <alignment vertical="top"/>
    </xf>
    <xf numFmtId="0" fontId="1" fillId="7" borderId="2" xfId="2" applyFill="1" applyBorder="1" applyAlignment="1">
      <alignment vertical="top"/>
    </xf>
    <xf numFmtId="0" fontId="1" fillId="7" borderId="3" xfId="2" applyFill="1" applyBorder="1" applyAlignment="1">
      <alignment vertical="top"/>
    </xf>
    <xf numFmtId="14" fontId="1" fillId="3" borderId="7" xfId="0" applyNumberFormat="1" applyFont="1" applyFill="1" applyBorder="1" applyAlignment="1">
      <alignment horizontal="left" vertical="top"/>
    </xf>
    <xf numFmtId="0" fontId="1" fillId="4" borderId="7" xfId="2" applyFill="1" applyBorder="1" applyAlignment="1">
      <alignment vertical="top"/>
    </xf>
    <xf numFmtId="176" fontId="1" fillId="3" borderId="7" xfId="2" applyNumberFormat="1" applyFill="1" applyBorder="1" applyAlignment="1">
      <alignment horizontal="right" vertical="top" indent="1"/>
    </xf>
    <xf numFmtId="0" fontId="1" fillId="4" borderId="7" xfId="0" applyFont="1" applyFill="1" applyBorder="1" applyAlignment="1">
      <alignment vertical="top"/>
    </xf>
    <xf numFmtId="176" fontId="1" fillId="3" borderId="7" xfId="0" applyNumberFormat="1" applyFont="1" applyFill="1" applyBorder="1" applyAlignment="1">
      <alignment horizontal="right" vertical="top" indent="1"/>
    </xf>
    <xf numFmtId="177" fontId="1" fillId="7" borderId="1" xfId="5" applyNumberFormat="1" applyFont="1" applyFill="1" applyBorder="1" applyAlignment="1">
      <alignment horizontal="right" vertical="top" indent="1"/>
    </xf>
    <xf numFmtId="177" fontId="1" fillId="7" borderId="2" xfId="5" applyNumberFormat="1" applyFont="1" applyFill="1" applyBorder="1" applyAlignment="1">
      <alignment horizontal="right" vertical="top" indent="1"/>
    </xf>
    <xf numFmtId="177" fontId="1" fillId="7" borderId="3" xfId="5" applyNumberFormat="1" applyFont="1" applyFill="1" applyBorder="1" applyAlignment="1">
      <alignment horizontal="right" vertical="top" indent="1"/>
    </xf>
    <xf numFmtId="0" fontId="1" fillId="4" borderId="1" xfId="0" applyFont="1" applyFill="1" applyBorder="1" applyAlignment="1">
      <alignment horizontal="left" vertical="top"/>
    </xf>
    <xf numFmtId="0" fontId="1" fillId="4" borderId="2" xfId="0" applyFont="1" applyFill="1" applyBorder="1" applyAlignment="1">
      <alignment horizontal="left" vertical="top"/>
    </xf>
    <xf numFmtId="0" fontId="1" fillId="4" borderId="3" xfId="0" applyFont="1" applyFill="1" applyBorder="1" applyAlignment="1">
      <alignment horizontal="left" vertical="top"/>
    </xf>
    <xf numFmtId="0" fontId="1" fillId="4" borderId="7" xfId="0" applyFont="1" applyFill="1" applyBorder="1" applyAlignment="1">
      <alignment horizontal="left" vertical="top"/>
    </xf>
    <xf numFmtId="0" fontId="15" fillId="4" borderId="21" xfId="0" applyFont="1" applyFill="1" applyBorder="1" applyAlignment="1">
      <alignment horizontal="left" vertical="top" wrapText="1"/>
    </xf>
    <xf numFmtId="0" fontId="15" fillId="4" borderId="19" xfId="0" applyFont="1" applyFill="1" applyBorder="1" applyAlignment="1">
      <alignment horizontal="left" vertical="top"/>
    </xf>
    <xf numFmtId="0" fontId="15" fillId="4" borderId="22" xfId="0" applyFont="1" applyFill="1" applyBorder="1" applyAlignment="1">
      <alignment horizontal="left" vertical="top"/>
    </xf>
    <xf numFmtId="0" fontId="15" fillId="4" borderId="23" xfId="0" applyFont="1" applyFill="1" applyBorder="1" applyAlignment="1">
      <alignment horizontal="left" vertical="top"/>
    </xf>
    <xf numFmtId="0" fontId="15" fillId="4" borderId="20" xfId="0" applyFont="1" applyFill="1" applyBorder="1" applyAlignment="1">
      <alignment horizontal="left" vertical="top"/>
    </xf>
    <xf numFmtId="0" fontId="15" fillId="4" borderId="24" xfId="0" applyFont="1" applyFill="1" applyBorder="1" applyAlignment="1">
      <alignment horizontal="left" vertical="top"/>
    </xf>
    <xf numFmtId="0" fontId="6" fillId="0" borderId="19" xfId="0" applyFont="1" applyBorder="1" applyAlignment="1">
      <alignment horizontal="left" vertical="top"/>
    </xf>
    <xf numFmtId="0" fontId="6" fillId="0" borderId="22" xfId="0" applyFont="1" applyBorder="1" applyAlignment="1">
      <alignment horizontal="left" vertical="top"/>
    </xf>
    <xf numFmtId="0" fontId="6" fillId="0" borderId="20" xfId="0" applyFont="1" applyBorder="1" applyAlignment="1">
      <alignment horizontal="left" vertical="top"/>
    </xf>
    <xf numFmtId="0" fontId="6" fillId="0" borderId="24" xfId="0" applyFont="1" applyBorder="1" applyAlignment="1">
      <alignment horizontal="left" vertical="top"/>
    </xf>
    <xf numFmtId="0" fontId="15" fillId="4" borderId="19" xfId="0" applyFont="1" applyFill="1" applyBorder="1" applyAlignment="1">
      <alignment horizontal="left" vertical="top" wrapText="1"/>
    </xf>
    <xf numFmtId="0" fontId="15" fillId="4" borderId="22" xfId="0" applyFont="1" applyFill="1" applyBorder="1" applyAlignment="1">
      <alignment horizontal="left" vertical="top" wrapText="1"/>
    </xf>
    <xf numFmtId="0" fontId="15" fillId="4" borderId="23" xfId="0" applyFont="1" applyFill="1" applyBorder="1" applyAlignment="1">
      <alignment horizontal="left" vertical="top" wrapText="1"/>
    </xf>
    <xf numFmtId="0" fontId="15" fillId="4" borderId="20" xfId="0" applyFont="1" applyFill="1" applyBorder="1" applyAlignment="1">
      <alignment horizontal="left" vertical="top" wrapText="1"/>
    </xf>
    <xf numFmtId="0" fontId="15" fillId="4" borderId="24" xfId="0" applyFont="1" applyFill="1" applyBorder="1" applyAlignment="1">
      <alignment horizontal="left" vertical="top" wrapText="1"/>
    </xf>
    <xf numFmtId="0" fontId="6" fillId="0" borderId="21" xfId="2" applyFont="1" applyBorder="1" applyAlignment="1">
      <alignment horizontal="left" vertical="top" wrapText="1"/>
    </xf>
    <xf numFmtId="0" fontId="6" fillId="0" borderId="19" xfId="2" applyFont="1" applyBorder="1" applyAlignment="1">
      <alignment horizontal="left" vertical="top" wrapText="1"/>
    </xf>
    <xf numFmtId="0" fontId="6" fillId="0" borderId="22" xfId="2" applyFont="1" applyBorder="1" applyAlignment="1">
      <alignment horizontal="left" vertical="top" wrapText="1"/>
    </xf>
    <xf numFmtId="0" fontId="6" fillId="0" borderId="23" xfId="2" applyFont="1" applyBorder="1" applyAlignment="1">
      <alignment horizontal="left" vertical="top" wrapText="1"/>
    </xf>
    <xf numFmtId="0" fontId="6" fillId="0" borderId="20" xfId="2" applyFont="1" applyBorder="1" applyAlignment="1">
      <alignment horizontal="left" vertical="top" wrapText="1"/>
    </xf>
    <xf numFmtId="0" fontId="6" fillId="0" borderId="24" xfId="2" applyFont="1" applyBorder="1" applyAlignment="1">
      <alignment horizontal="left" vertical="top" wrapText="1"/>
    </xf>
    <xf numFmtId="0" fontId="1" fillId="7" borderId="21" xfId="2" applyFill="1" applyBorder="1" applyAlignment="1">
      <alignment horizontal="left" vertical="top" wrapText="1"/>
    </xf>
    <xf numFmtId="0" fontId="1" fillId="7" borderId="19" xfId="2" applyFill="1" applyBorder="1" applyAlignment="1">
      <alignment horizontal="left" vertical="top" wrapText="1"/>
    </xf>
    <xf numFmtId="0" fontId="1" fillId="7" borderId="22" xfId="2" applyFill="1" applyBorder="1" applyAlignment="1">
      <alignment horizontal="left" vertical="top" wrapText="1"/>
    </xf>
    <xf numFmtId="0" fontId="1" fillId="7" borderId="23" xfId="2" applyFill="1" applyBorder="1" applyAlignment="1">
      <alignment horizontal="left" vertical="top" wrapText="1"/>
    </xf>
    <xf numFmtId="0" fontId="1" fillId="7" borderId="20" xfId="2" applyFill="1" applyBorder="1" applyAlignment="1">
      <alignment horizontal="left" vertical="top" wrapText="1"/>
    </xf>
    <xf numFmtId="0" fontId="1" fillId="7" borderId="24" xfId="2" applyFill="1" applyBorder="1" applyAlignment="1">
      <alignment horizontal="left" vertical="top" wrapText="1"/>
    </xf>
    <xf numFmtId="176" fontId="1" fillId="3" borderId="1" xfId="2" applyNumberFormat="1" applyFill="1" applyBorder="1" applyAlignment="1">
      <alignment horizontal="right" vertical="top" indent="1"/>
    </xf>
    <xf numFmtId="176" fontId="1" fillId="3" borderId="2" xfId="2" applyNumberFormat="1" applyFill="1" applyBorder="1" applyAlignment="1">
      <alignment horizontal="right" vertical="top" indent="1"/>
    </xf>
    <xf numFmtId="176" fontId="1" fillId="3" borderId="3" xfId="2" applyNumberFormat="1" applyFill="1" applyBorder="1" applyAlignment="1">
      <alignment horizontal="right" vertical="top" indent="1"/>
    </xf>
    <xf numFmtId="0" fontId="15" fillId="4" borderId="7" xfId="2" applyFont="1" applyFill="1" applyBorder="1" applyAlignment="1">
      <alignment vertical="top"/>
    </xf>
    <xf numFmtId="0" fontId="6" fillId="7" borderId="1" xfId="2" applyFont="1" applyFill="1" applyBorder="1" applyAlignment="1">
      <alignment vertical="top"/>
    </xf>
    <xf numFmtId="0" fontId="6" fillId="7" borderId="2" xfId="2" applyFont="1" applyFill="1" applyBorder="1" applyAlignment="1">
      <alignment vertical="top"/>
    </xf>
    <xf numFmtId="0" fontId="6" fillId="7" borderId="3" xfId="2" applyFont="1" applyFill="1" applyBorder="1" applyAlignment="1">
      <alignment vertical="top"/>
    </xf>
    <xf numFmtId="0" fontId="15" fillId="4" borderId="1" xfId="2" applyFont="1" applyFill="1" applyBorder="1" applyAlignment="1">
      <alignment vertical="top"/>
    </xf>
    <xf numFmtId="0" fontId="15" fillId="4" borderId="2" xfId="2" applyFont="1" applyFill="1" applyBorder="1" applyAlignment="1">
      <alignment vertical="top"/>
    </xf>
    <xf numFmtId="0" fontId="15" fillId="4" borderId="3" xfId="2" applyFont="1" applyFill="1" applyBorder="1" applyAlignment="1">
      <alignment vertical="top"/>
    </xf>
    <xf numFmtId="14" fontId="1" fillId="7" borderId="1" xfId="2" applyNumberFormat="1" applyFill="1" applyBorder="1" applyAlignment="1">
      <alignment horizontal="center" vertical="top"/>
    </xf>
    <xf numFmtId="14" fontId="1" fillId="7" borderId="2" xfId="2" applyNumberFormat="1" applyFill="1" applyBorder="1" applyAlignment="1">
      <alignment horizontal="center" vertical="top"/>
    </xf>
    <xf numFmtId="14" fontId="1" fillId="7" borderId="3" xfId="2" applyNumberFormat="1" applyFill="1" applyBorder="1" applyAlignment="1">
      <alignment horizontal="center" vertical="top"/>
    </xf>
    <xf numFmtId="0" fontId="6" fillId="7" borderId="7" xfId="2" applyFont="1" applyFill="1" applyBorder="1" applyAlignment="1">
      <alignment vertical="top"/>
    </xf>
    <xf numFmtId="0" fontId="1" fillId="7" borderId="7" xfId="2" applyFill="1" applyBorder="1" applyAlignment="1">
      <alignment vertical="top"/>
    </xf>
    <xf numFmtId="0" fontId="1" fillId="7" borderId="1" xfId="0" applyFont="1" applyFill="1" applyBorder="1" applyAlignment="1">
      <alignment horizontal="left" vertical="top"/>
    </xf>
    <xf numFmtId="0" fontId="1" fillId="7" borderId="2" xfId="0" applyFont="1" applyFill="1" applyBorder="1" applyAlignment="1">
      <alignment horizontal="left" vertical="top"/>
    </xf>
    <xf numFmtId="0" fontId="1" fillId="7" borderId="3" xfId="0" applyFont="1" applyFill="1" applyBorder="1" applyAlignment="1">
      <alignment horizontal="left" vertical="top"/>
    </xf>
    <xf numFmtId="178" fontId="1" fillId="7" borderId="7" xfId="0" applyNumberFormat="1" applyFont="1" applyFill="1" applyBorder="1" applyAlignment="1">
      <alignment horizontal="left" vertical="top"/>
    </xf>
    <xf numFmtId="0" fontId="8" fillId="4" borderId="7" xfId="2" applyFont="1" applyFill="1" applyBorder="1" applyAlignment="1">
      <alignment vertical="top"/>
    </xf>
    <xf numFmtId="0" fontId="8" fillId="4" borderId="7" xfId="0" applyFont="1" applyFill="1" applyBorder="1" applyAlignment="1">
      <alignment vertical="top"/>
    </xf>
    <xf numFmtId="176" fontId="1" fillId="7" borderId="7" xfId="2" applyNumberFormat="1" applyFill="1" applyBorder="1" applyAlignment="1">
      <alignment horizontal="right" vertical="top" indent="1"/>
    </xf>
    <xf numFmtId="176" fontId="1" fillId="7" borderId="7" xfId="2" applyNumberFormat="1" applyFill="1" applyBorder="1" applyAlignment="1">
      <alignment horizontal="right" vertical="top" wrapText="1" indent="1"/>
    </xf>
    <xf numFmtId="0" fontId="1" fillId="7" borderId="1" xfId="2" applyFill="1" applyBorder="1" applyAlignment="1">
      <alignment vertical="top" wrapText="1"/>
    </xf>
    <xf numFmtId="0" fontId="1" fillId="7" borderId="2" xfId="2" applyFill="1" applyBorder="1" applyAlignment="1">
      <alignment vertical="top" wrapText="1"/>
    </xf>
    <xf numFmtId="0" fontId="1" fillId="7" borderId="3" xfId="2" applyFill="1" applyBorder="1" applyAlignment="1">
      <alignment vertical="top" wrapText="1"/>
    </xf>
    <xf numFmtId="176" fontId="1" fillId="7" borderId="1" xfId="2" applyNumberFormat="1" applyFill="1" applyBorder="1" applyAlignment="1">
      <alignment horizontal="right" vertical="top" indent="1"/>
    </xf>
    <xf numFmtId="176" fontId="1" fillId="7" borderId="2" xfId="2" applyNumberFormat="1" applyFill="1" applyBorder="1" applyAlignment="1">
      <alignment horizontal="right" vertical="top" indent="1"/>
    </xf>
    <xf numFmtId="176" fontId="1" fillId="7" borderId="3" xfId="2" applyNumberFormat="1" applyFill="1" applyBorder="1" applyAlignment="1">
      <alignment horizontal="right" vertical="top" indent="1"/>
    </xf>
    <xf numFmtId="176" fontId="1" fillId="7" borderId="7" xfId="0" applyNumberFormat="1" applyFont="1" applyFill="1" applyBorder="1" applyAlignment="1">
      <alignment horizontal="right" vertical="top" indent="1"/>
    </xf>
    <xf numFmtId="0" fontId="0" fillId="4" borderId="7" xfId="2" applyFont="1" applyFill="1" applyBorder="1" applyAlignment="1">
      <alignment vertical="top"/>
    </xf>
    <xf numFmtId="0" fontId="3" fillId="7" borderId="7" xfId="2" applyFont="1" applyFill="1" applyBorder="1" applyAlignment="1">
      <alignment vertical="top"/>
    </xf>
    <xf numFmtId="0" fontId="0" fillId="4" borderId="1" xfId="2" applyFont="1" applyFill="1" applyBorder="1" applyAlignment="1">
      <alignment vertical="top"/>
    </xf>
    <xf numFmtId="0" fontId="3" fillId="7" borderId="1" xfId="2" applyFont="1" applyFill="1" applyBorder="1" applyAlignment="1">
      <alignment vertical="top"/>
    </xf>
    <xf numFmtId="0" fontId="3" fillId="7" borderId="2" xfId="2" applyFont="1" applyFill="1" applyBorder="1" applyAlignment="1">
      <alignment vertical="top"/>
    </xf>
    <xf numFmtId="0" fontId="3" fillId="7" borderId="3" xfId="2" applyFont="1" applyFill="1" applyBorder="1" applyAlignment="1">
      <alignment vertical="top"/>
    </xf>
    <xf numFmtId="0" fontId="17" fillId="8" borderId="41" xfId="0" applyFont="1" applyFill="1" applyBorder="1" applyAlignment="1">
      <alignment horizontal="left" vertical="center"/>
    </xf>
    <xf numFmtId="0" fontId="17" fillId="8" borderId="37" xfId="0" applyFont="1" applyFill="1" applyBorder="1" applyAlignment="1">
      <alignment horizontal="left" vertical="center"/>
    </xf>
    <xf numFmtId="2" fontId="17" fillId="7" borderId="42" xfId="0" applyNumberFormat="1" applyFont="1" applyFill="1" applyBorder="1" applyAlignment="1">
      <alignment horizontal="right" vertical="center" indent="1"/>
    </xf>
    <xf numFmtId="2" fontId="17" fillId="7" borderId="43" xfId="0" applyNumberFormat="1" applyFont="1" applyFill="1" applyBorder="1" applyAlignment="1">
      <alignment horizontal="right" vertical="center" indent="1"/>
    </xf>
    <xf numFmtId="0" fontId="17" fillId="8" borderId="21" xfId="0" applyFont="1" applyFill="1" applyBorder="1" applyAlignment="1">
      <alignment horizontal="left" vertical="top"/>
    </xf>
    <xf numFmtId="0" fontId="17" fillId="8" borderId="19" xfId="0" applyFont="1" applyFill="1" applyBorder="1" applyAlignment="1">
      <alignment horizontal="left" vertical="top"/>
    </xf>
    <xf numFmtId="0" fontId="17" fillId="8" borderId="22" xfId="0" applyFont="1" applyFill="1" applyBorder="1" applyAlignment="1">
      <alignment horizontal="left" vertical="top"/>
    </xf>
    <xf numFmtId="0" fontId="17" fillId="8" borderId="23" xfId="0" applyFont="1" applyFill="1" applyBorder="1" applyAlignment="1">
      <alignment horizontal="left" vertical="top"/>
    </xf>
    <xf numFmtId="0" fontId="17" fillId="8" borderId="20" xfId="0" applyFont="1" applyFill="1" applyBorder="1" applyAlignment="1">
      <alignment horizontal="left" vertical="top"/>
    </xf>
    <xf numFmtId="0" fontId="17" fillId="8" borderId="24" xfId="0" applyFont="1" applyFill="1" applyBorder="1" applyAlignment="1">
      <alignment horizontal="left" vertical="top"/>
    </xf>
    <xf numFmtId="0" fontId="1" fillId="4" borderId="7" xfId="0" applyFont="1" applyFill="1" applyBorder="1" applyAlignment="1">
      <alignment horizontal="center" vertical="center"/>
    </xf>
    <xf numFmtId="2" fontId="17" fillId="7" borderId="38" xfId="0" applyNumberFormat="1" applyFont="1" applyFill="1" applyBorder="1" applyAlignment="1">
      <alignment horizontal="right" vertical="center" indent="1"/>
    </xf>
    <xf numFmtId="2" fontId="17" fillId="7" borderId="39" xfId="0" applyNumberFormat="1" applyFont="1" applyFill="1" applyBorder="1" applyAlignment="1">
      <alignment horizontal="right" vertical="center" indent="1"/>
    </xf>
    <xf numFmtId="2" fontId="17" fillId="7" borderId="44" xfId="0" applyNumberFormat="1" applyFont="1" applyFill="1" applyBorder="1" applyAlignment="1">
      <alignment horizontal="right" vertical="center" indent="1"/>
    </xf>
    <xf numFmtId="2" fontId="17" fillId="7" borderId="41" xfId="0" applyNumberFormat="1" applyFont="1" applyFill="1" applyBorder="1" applyAlignment="1">
      <alignment horizontal="right" vertical="center" indent="1"/>
    </xf>
    <xf numFmtId="2" fontId="17" fillId="7" borderId="40" xfId="0" applyNumberFormat="1" applyFont="1" applyFill="1" applyBorder="1" applyAlignment="1">
      <alignment horizontal="right" vertical="center" indent="1"/>
    </xf>
    <xf numFmtId="2" fontId="17" fillId="7" borderId="37" xfId="0" applyNumberFormat="1" applyFont="1" applyFill="1" applyBorder="1" applyAlignment="1">
      <alignment horizontal="right" vertical="center" indent="1"/>
    </xf>
    <xf numFmtId="0" fontId="1" fillId="4" borderId="7" xfId="2" applyFill="1" applyBorder="1" applyAlignment="1">
      <alignment horizontal="center" vertical="top"/>
    </xf>
    <xf numFmtId="0" fontId="1" fillId="4" borderId="50" xfId="2" applyFill="1" applyBorder="1" applyAlignment="1">
      <alignment horizontal="center" vertical="top"/>
    </xf>
    <xf numFmtId="0" fontId="1" fillId="4" borderId="3" xfId="2" applyFill="1" applyBorder="1" applyAlignment="1">
      <alignment horizontal="center" vertical="top"/>
    </xf>
    <xf numFmtId="0" fontId="18" fillId="4" borderId="45" xfId="2" applyFont="1" applyFill="1" applyBorder="1" applyAlignment="1">
      <alignment horizontal="left" vertical="top" wrapText="1"/>
    </xf>
    <xf numFmtId="0" fontId="18" fillId="4" borderId="45" xfId="2" applyFont="1" applyFill="1" applyBorder="1" applyAlignment="1">
      <alignment horizontal="left" vertical="top"/>
    </xf>
    <xf numFmtId="176" fontId="1" fillId="6" borderId="1" xfId="2" applyNumberFormat="1" applyFill="1" applyBorder="1" applyAlignment="1">
      <alignment horizontal="right" vertical="center" indent="1"/>
    </xf>
    <xf numFmtId="176" fontId="1" fillId="6" borderId="2" xfId="2" applyNumberFormat="1" applyFill="1" applyBorder="1" applyAlignment="1">
      <alignment horizontal="right" vertical="center" indent="1"/>
    </xf>
    <xf numFmtId="176" fontId="1" fillId="6" borderId="3" xfId="2" applyNumberFormat="1" applyFill="1" applyBorder="1" applyAlignment="1">
      <alignment horizontal="right" vertical="center" indent="1"/>
    </xf>
    <xf numFmtId="0" fontId="1" fillId="8" borderId="7" xfId="2" applyFill="1" applyBorder="1" applyAlignment="1">
      <alignment horizontal="left" vertical="center"/>
    </xf>
    <xf numFmtId="176" fontId="1" fillId="7" borderId="1" xfId="2" applyNumberFormat="1" applyFill="1" applyBorder="1" applyAlignment="1">
      <alignment horizontal="right" vertical="center" indent="1"/>
    </xf>
    <xf numFmtId="176" fontId="1" fillId="7" borderId="2" xfId="2" applyNumberFormat="1" applyFill="1" applyBorder="1" applyAlignment="1">
      <alignment horizontal="right" vertical="center" indent="1"/>
    </xf>
    <xf numFmtId="176" fontId="1" fillId="7" borderId="3" xfId="2" applyNumberFormat="1" applyFill="1" applyBorder="1" applyAlignment="1">
      <alignment horizontal="right" vertical="center" indent="1"/>
    </xf>
    <xf numFmtId="176" fontId="1" fillId="7" borderId="51" xfId="2" applyNumberFormat="1" applyFill="1" applyBorder="1" applyAlignment="1">
      <alignment horizontal="right" vertical="center" indent="1"/>
    </xf>
    <xf numFmtId="0" fontId="1" fillId="8" borderId="46" xfId="2" applyFill="1" applyBorder="1" applyAlignment="1">
      <alignment horizontal="left" vertical="center"/>
    </xf>
    <xf numFmtId="0" fontId="1" fillId="8" borderId="36" xfId="2" applyFill="1" applyBorder="1" applyAlignment="1">
      <alignment horizontal="left" vertical="center"/>
    </xf>
    <xf numFmtId="176" fontId="1" fillId="6" borderId="47" xfId="2" applyNumberFormat="1" applyFill="1" applyBorder="1" applyAlignment="1">
      <alignment horizontal="right" vertical="center" indent="1"/>
    </xf>
    <xf numFmtId="176" fontId="1" fillId="6" borderId="48" xfId="2" applyNumberFormat="1" applyFill="1" applyBorder="1" applyAlignment="1">
      <alignment horizontal="right" vertical="center" indent="1"/>
    </xf>
    <xf numFmtId="176" fontId="1" fillId="6" borderId="49" xfId="2" applyNumberFormat="1" applyFill="1" applyBorder="1" applyAlignment="1">
      <alignment horizontal="right" vertical="center" indent="1"/>
    </xf>
    <xf numFmtId="176" fontId="1" fillId="7" borderId="23" xfId="2" applyNumberFormat="1" applyFill="1" applyBorder="1" applyAlignment="1">
      <alignment horizontal="right" vertical="center" indent="1"/>
    </xf>
    <xf numFmtId="176" fontId="1" fillId="7" borderId="20" xfId="2" applyNumberFormat="1" applyFill="1" applyBorder="1" applyAlignment="1">
      <alignment horizontal="right" vertical="center" indent="1"/>
    </xf>
    <xf numFmtId="176" fontId="1" fillId="7" borderId="24" xfId="2" applyNumberFormat="1" applyFill="1" applyBorder="1" applyAlignment="1">
      <alignment horizontal="right" vertical="center" indent="1"/>
    </xf>
    <xf numFmtId="10" fontId="1" fillId="7" borderId="1" xfId="5" applyNumberFormat="1" applyFont="1" applyFill="1" applyBorder="1" applyAlignment="1">
      <alignment horizontal="right" vertical="center" indent="1"/>
    </xf>
    <xf numFmtId="10" fontId="1" fillId="7" borderId="2" xfId="5" applyNumberFormat="1" applyFont="1" applyFill="1" applyBorder="1" applyAlignment="1">
      <alignment horizontal="right" vertical="center" indent="1"/>
    </xf>
    <xf numFmtId="10" fontId="1" fillId="7" borderId="3" xfId="5" applyNumberFormat="1" applyFont="1" applyFill="1" applyBorder="1" applyAlignment="1">
      <alignment horizontal="right" vertical="center" indent="1"/>
    </xf>
    <xf numFmtId="176" fontId="1" fillId="6" borderId="52" xfId="2" applyNumberFormat="1" applyFill="1" applyBorder="1" applyAlignment="1">
      <alignment horizontal="right" vertical="center" indent="1"/>
    </xf>
    <xf numFmtId="9" fontId="1" fillId="0" borderId="35" xfId="5" applyFont="1" applyFill="1" applyBorder="1" applyAlignment="1">
      <alignment horizontal="left" vertical="center"/>
    </xf>
    <xf numFmtId="9" fontId="1" fillId="0" borderId="24" xfId="5" applyFont="1" applyFill="1" applyBorder="1" applyAlignment="1">
      <alignment horizontal="left" vertical="center"/>
    </xf>
    <xf numFmtId="9" fontId="1" fillId="0" borderId="36" xfId="5" applyFont="1" applyFill="1" applyBorder="1" applyAlignment="1">
      <alignment horizontal="left" vertical="center"/>
    </xf>
    <xf numFmtId="176" fontId="1" fillId="0" borderId="2" xfId="2" applyNumberFormat="1" applyBorder="1" applyAlignment="1">
      <alignment horizontal="center" vertical="center"/>
    </xf>
    <xf numFmtId="10" fontId="1" fillId="7" borderId="7" xfId="5" applyNumberFormat="1" applyFont="1" applyFill="1" applyBorder="1" applyAlignment="1">
      <alignment horizontal="right" vertical="center" indent="1"/>
    </xf>
    <xf numFmtId="10" fontId="1" fillId="7" borderId="46" xfId="5" applyNumberFormat="1" applyFont="1" applyFill="1" applyBorder="1" applyAlignment="1">
      <alignment horizontal="right" vertical="center" indent="1"/>
    </xf>
    <xf numFmtId="176" fontId="1" fillId="7" borderId="53" xfId="2" applyNumberFormat="1" applyFill="1" applyBorder="1" applyAlignment="1">
      <alignment horizontal="right" vertical="center" indent="1"/>
    </xf>
    <xf numFmtId="10" fontId="1" fillId="7" borderId="51" xfId="5" applyNumberFormat="1" applyFont="1" applyFill="1" applyBorder="1" applyAlignment="1">
      <alignment horizontal="right" vertical="center" indent="1"/>
    </xf>
    <xf numFmtId="176" fontId="1" fillId="7" borderId="48" xfId="2" applyNumberFormat="1" applyFill="1" applyBorder="1" applyAlignment="1">
      <alignment horizontal="right" vertical="center" indent="1"/>
    </xf>
    <xf numFmtId="176" fontId="1" fillId="7" borderId="49" xfId="2" applyNumberFormat="1" applyFill="1" applyBorder="1" applyAlignment="1">
      <alignment horizontal="right" vertical="center" indent="1"/>
    </xf>
    <xf numFmtId="0" fontId="4" fillId="0" borderId="0" xfId="2" applyFont="1" applyAlignment="1">
      <alignment vertical="center"/>
    </xf>
  </cellXfs>
  <cellStyles count="6">
    <cellStyle name="パーセント" xfId="5" builtinId="5"/>
    <cellStyle name="標準" xfId="0" builtinId="0"/>
    <cellStyle name="標準 2" xfId="3" xr:uid="{BB0AE808-5D97-4F35-9DBD-69BD0F3808F6}"/>
    <cellStyle name="標準 3" xfId="4" xr:uid="{C6FB9180-8F9F-4941-BFD2-37FE6380DDA0}"/>
    <cellStyle name="標準_プロジェクト計画書（大規模）20100405" xfId="1" xr:uid="{00000000-0005-0000-0000-000001000000}"/>
    <cellStyle name="標準_プロジェクト計画書テンプレート【ミニ】v03(040329)" xfId="2" xr:uid="{00000000-0005-0000-0000-000002000000}"/>
  </cellStyles>
  <dxfs count="12">
    <dxf>
      <numFmt numFmtId="19" formatCode="yyyy/m/d"/>
      <alignment horizontal="center" vertical="center" textRotation="0" wrapText="0" indent="0" justifyLastLine="0" shrinkToFit="0" readingOrder="0"/>
    </dxf>
    <dxf>
      <alignment horizontal="center" vertical="center" textRotation="0" wrapText="0" indent="0" justifyLastLine="0" shrinkToFit="0" readingOrder="0"/>
    </dxf>
    <dxf>
      <numFmt numFmtId="179" formatCode="0.0_);[Red]\(0.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ill>
        <patternFill patternType="solid">
          <fgColor theme="0" tint="-0.14996795556505021"/>
          <bgColor theme="0" tint="-4.9989318521683403E-2"/>
        </patternFill>
      </fill>
    </dxf>
    <dxf>
      <fill>
        <patternFill patternType="solid">
          <fgColor theme="0" tint="-0.14996795556505021"/>
          <bgColor theme="0" tint="-4.9989318521683403E-2"/>
        </patternFill>
      </fill>
    </dxf>
    <dxf>
      <font>
        <b/>
        <color theme="1"/>
      </font>
    </dxf>
    <dxf>
      <font>
        <b/>
        <color theme="1"/>
      </font>
    </dxf>
    <dxf>
      <font>
        <b/>
        <color theme="1"/>
      </font>
      <fill>
        <patternFill>
          <bgColor theme="0" tint="-0.24994659260841701"/>
        </patternFill>
      </fill>
      <border>
        <top style="thin">
          <color theme="1"/>
        </top>
      </border>
    </dxf>
    <dxf>
      <font>
        <b/>
        <i val="0"/>
        <color theme="0"/>
      </font>
      <fill>
        <patternFill>
          <bgColor theme="0" tint="-0.499984740745262"/>
        </patternFill>
      </fill>
      <border>
        <bottom style="thin">
          <color theme="1"/>
        </bottom>
      </border>
    </dxf>
    <dxf>
      <font>
        <color theme="1"/>
      </font>
      <border>
        <top style="thin">
          <color theme="1"/>
        </top>
        <bottom style="thin">
          <color theme="1"/>
        </bottom>
      </border>
    </dxf>
  </dxfs>
  <tableStyles count="1" defaultTableStyle="TableStyleMedium2" defaultPivotStyle="PivotStyleLight16">
    <tableStyle name="TableStyleLight1 2" pivot="0" count="7" xr9:uid="{958E00A9-935F-483B-BEA4-AA72F1FA4E85}">
      <tableStyleElement type="wholeTable" dxfId="11"/>
      <tableStyleElement type="headerRow" dxfId="10"/>
      <tableStyleElement type="totalRow" dxfId="9"/>
      <tableStyleElement type="firstColumn" dxfId="8"/>
      <tableStyleElement type="lastColumn" dxfId="7"/>
      <tableStyleElement type="firstRowStripe" dxfId="6"/>
      <tableStyleElement type="firstColumnStripe" dxfId="5"/>
    </tableStyle>
  </tableStyles>
  <colors>
    <mruColors>
      <color rgb="FF0000FF"/>
      <color rgb="FFFFFFC8"/>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172.27.121.23\siono-m\Documents%20and%20Settings\m-shiono\My%20Documents\pj-plan-20040311.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192.168.130.201\&#20840;&#31038;&#20849;&#26377;\02_&#12458;&#12501;&#12451;&#12473;&#31649;&#29702;\13_&#21315;&#33865;&#12458;&#12501;&#12451;&#12473;\26_QMS&#12539;ISMS\02.&#27096;&#24335;\02-04-02_&#12503;&#12525;&#12472;&#12455;&#12463;&#12488;&#23436;&#20102;&#22577;&#21578;&#26360;%20Ver.3.3&#65288;&#25913;&#23450;&#20013;&#65289;.xlsx" TargetMode="External"/><Relationship Id="rId1" Type="http://schemas.openxmlformats.org/officeDocument/2006/relationships/externalLinkPath" Target="/02_&#12458;&#12501;&#12451;&#12473;&#31649;&#29702;/13_&#21315;&#33865;&#12458;&#12501;&#12451;&#12473;/26_QMS&#12539;ISMS/02.&#27096;&#24335;/02-04-02_&#12503;&#12525;&#12472;&#12455;&#12463;&#12488;&#23436;&#20102;&#22577;&#21578;&#26360;%20Ver.3.3&#65288;&#25913;&#23450;&#20013;&#6528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プロジェクト実施計画書　表紙"/>
      <sheetName val="プロジェクト実施計画書"/>
      <sheetName val="プロジェクト計画書【小規模】"/>
      <sheetName val="プロジェクト計画書【中規模】"/>
      <sheetName val="体制図"/>
      <sheetName val="リクワイアメント"/>
      <sheetName val="要員計画表(社内）"/>
      <sheetName val="要員計画表(外注）"/>
      <sheetName val="ＥＷＳ"/>
      <sheetName val="費用計画表"/>
      <sheetName val="外注計画"/>
      <sheetName val="予定実績対比"/>
      <sheetName val="Ｐ．Ｍ．Ｓ"/>
      <sheetName val="マスタースケジュール"/>
      <sheetName val="プロセスフロー【小規模】"/>
      <sheetName val="プロセスフロー【中規模】"/>
      <sheetName val="改訂理由書"/>
      <sheetName val="失注理由書"/>
      <sheetName val="経費振替依頼書"/>
      <sheetName val="プロジェクト完成報告書"/>
      <sheetName val="予実差異理由書"/>
      <sheetName val="書式一覧表"/>
      <sheetName val="発番依頼書"/>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プロジェクト報告書（3.3版）"/>
      <sheetName val="顧客満足度調査依頼 メール文面"/>
      <sheetName val="開発及びサポートプロセスにおけるセキュリティ"/>
      <sheetName val="更新履歴"/>
    </sheetNames>
    <sheetDataSet>
      <sheetData sheetId="0"/>
      <sheetData sheetId="1"/>
      <sheetData sheetId="2"/>
      <sheetData sheetId="3"/>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BD170C0-0678-40B9-9AFF-ED72262530F1}" name="テーブル1" displayName="テーブル1" ref="A1:D9" totalsRowShown="0" headerRowDxfId="4" dataDxfId="3">
  <autoFilter ref="A1:D9" xr:uid="{3BD170C0-0678-40B9-9AFF-ED72262530F1}"/>
  <tableColumns count="4">
    <tableColumn id="1" xr3:uid="{BD247C5C-9C19-468E-9596-F72FD0D0F1E4}" name="版数" dataDxfId="2"/>
    <tableColumn id="2" xr3:uid="{E1AB10D5-0FE8-4FA2-B355-8A4BE9284C26}" name="更新内容"/>
    <tableColumn id="3" xr3:uid="{78EC949F-C738-40CA-8C1A-A46F3297E911}" name="更新者" dataDxfId="1"/>
    <tableColumn id="4" xr3:uid="{30937F69-B7C3-4F4A-8BE8-812FFE74BE31}" name="更新日" dataDxfId="0"/>
  </tableColumns>
  <tableStyleInfo name="TableStyleLight1 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12AD7-EBA4-4838-B1E6-A2278FD6EB3A}">
  <sheetPr>
    <tabColor rgb="FFFFFFC8"/>
    <pageSetUpPr fitToPage="1"/>
  </sheetPr>
  <dimension ref="A1:AU133"/>
  <sheetViews>
    <sheetView showGridLines="0" tabSelected="1" zoomScaleNormal="100" zoomScaleSheetLayoutView="75" workbookViewId="0"/>
  </sheetViews>
  <sheetFormatPr defaultColWidth="3.140625" defaultRowHeight="16.899999999999999" customHeight="1"/>
  <cols>
    <col min="1" max="16384" width="3.140625" style="4"/>
  </cols>
  <sheetData>
    <row r="1" spans="1:47" ht="16.899999999999999" customHeight="1" thickBot="1">
      <c r="A1" s="2"/>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row>
    <row r="2" spans="1:47" ht="16.899999999999999" customHeight="1" thickBot="1">
      <c r="A2" s="2"/>
      <c r="B2" s="172" t="s">
        <v>0</v>
      </c>
      <c r="C2" s="172"/>
      <c r="D2" s="172"/>
      <c r="E2" s="172"/>
      <c r="F2" s="172"/>
      <c r="G2" s="172"/>
      <c r="H2" s="172"/>
      <c r="I2" s="172"/>
      <c r="J2" s="172"/>
      <c r="K2" s="172"/>
      <c r="L2" s="172"/>
      <c r="M2" s="172"/>
      <c r="N2" s="172"/>
      <c r="O2" s="172"/>
      <c r="P2" s="172"/>
      <c r="Q2" s="172"/>
      <c r="R2" s="172"/>
      <c r="S2" s="172"/>
      <c r="T2" s="172"/>
      <c r="U2" s="172"/>
      <c r="V2" s="172"/>
      <c r="W2" s="172"/>
      <c r="X2" s="172"/>
      <c r="Y2" s="172"/>
      <c r="Z2" s="172"/>
      <c r="AA2" s="172"/>
      <c r="AB2" s="172"/>
      <c r="AC2" s="172"/>
      <c r="AD2" s="172"/>
      <c r="AE2" s="172"/>
      <c r="AF2" s="172"/>
      <c r="AG2" s="172"/>
      <c r="AH2" s="172"/>
      <c r="AI2" s="172"/>
      <c r="AJ2" s="23"/>
      <c r="AK2" s="24"/>
      <c r="AL2" s="173" t="s">
        <v>1</v>
      </c>
      <c r="AM2" s="174"/>
      <c r="AN2" s="174"/>
      <c r="AO2" s="174"/>
      <c r="AP2" s="175"/>
      <c r="AQ2" s="173" t="s">
        <v>2</v>
      </c>
      <c r="AR2" s="174"/>
      <c r="AS2" s="174"/>
      <c r="AT2" s="174"/>
      <c r="AU2" s="175"/>
    </row>
    <row r="3" spans="1:47" ht="16.899999999999999" customHeight="1">
      <c r="A3" s="2"/>
      <c r="B3" s="172"/>
      <c r="C3" s="172"/>
      <c r="D3" s="172"/>
      <c r="E3" s="172"/>
      <c r="F3" s="172"/>
      <c r="G3" s="172"/>
      <c r="H3" s="172"/>
      <c r="I3" s="172"/>
      <c r="J3" s="172"/>
      <c r="K3" s="172"/>
      <c r="L3" s="172"/>
      <c r="M3" s="172"/>
      <c r="N3" s="172"/>
      <c r="O3" s="172"/>
      <c r="P3" s="172"/>
      <c r="Q3" s="172"/>
      <c r="R3" s="172"/>
      <c r="S3" s="172"/>
      <c r="T3" s="172"/>
      <c r="U3" s="172"/>
      <c r="V3" s="172"/>
      <c r="W3" s="172"/>
      <c r="X3" s="172"/>
      <c r="Y3" s="172"/>
      <c r="Z3" s="172"/>
      <c r="AA3" s="172"/>
      <c r="AB3" s="172"/>
      <c r="AC3" s="172"/>
      <c r="AD3" s="172"/>
      <c r="AE3" s="172"/>
      <c r="AF3" s="172"/>
      <c r="AG3" s="172"/>
      <c r="AH3" s="172"/>
      <c r="AI3" s="172"/>
      <c r="AJ3" s="23"/>
      <c r="AK3" s="2"/>
      <c r="AL3" s="176" t="s">
        <v>3</v>
      </c>
      <c r="AM3" s="177"/>
      <c r="AN3" s="177"/>
      <c r="AO3" s="177"/>
      <c r="AP3" s="178"/>
      <c r="AQ3" s="176" t="s">
        <v>4</v>
      </c>
      <c r="AR3" s="177"/>
      <c r="AS3" s="177"/>
      <c r="AT3" s="177"/>
      <c r="AU3" s="178"/>
    </row>
    <row r="4" spans="1:47" ht="16.899999999999999" customHeight="1">
      <c r="A4" s="2"/>
      <c r="B4" s="2"/>
      <c r="C4" s="2"/>
      <c r="D4" s="3"/>
      <c r="E4" s="3"/>
      <c r="F4" s="3"/>
      <c r="G4" s="3"/>
      <c r="H4" s="3"/>
      <c r="I4" s="3"/>
      <c r="J4" s="3"/>
      <c r="K4" s="3"/>
      <c r="L4" s="3"/>
      <c r="M4" s="3"/>
      <c r="N4" s="3"/>
      <c r="O4" s="3"/>
      <c r="P4" s="3"/>
      <c r="Q4" s="3"/>
      <c r="R4" s="3"/>
      <c r="S4" s="3"/>
      <c r="T4" s="3"/>
      <c r="U4" s="3"/>
      <c r="V4" s="2"/>
      <c r="W4" s="3"/>
      <c r="X4" s="3"/>
      <c r="Y4" s="3"/>
      <c r="Z4" s="3"/>
      <c r="AA4" s="3"/>
      <c r="AB4" s="3"/>
      <c r="AC4" s="3"/>
      <c r="AD4" s="3"/>
      <c r="AE4" s="3"/>
      <c r="AF4" s="3"/>
      <c r="AG4" s="3"/>
      <c r="AH4" s="3"/>
      <c r="AI4" s="3"/>
      <c r="AJ4" s="3"/>
      <c r="AK4" s="3"/>
      <c r="AL4" s="179"/>
      <c r="AM4" s="180"/>
      <c r="AN4" s="180"/>
      <c r="AO4" s="180"/>
      <c r="AP4" s="181"/>
      <c r="AQ4" s="179"/>
      <c r="AR4" s="180"/>
      <c r="AS4" s="180"/>
      <c r="AT4" s="180"/>
      <c r="AU4" s="181"/>
    </row>
    <row r="5" spans="1:47" ht="16.899999999999999" customHeight="1">
      <c r="A5" s="2"/>
      <c r="B5" s="3"/>
      <c r="C5" s="3"/>
      <c r="D5" s="3"/>
      <c r="E5" s="3"/>
      <c r="F5" s="3"/>
      <c r="G5" s="3"/>
      <c r="H5" s="3"/>
      <c r="I5" s="3"/>
      <c r="J5" s="3"/>
      <c r="K5" s="3"/>
      <c r="L5" s="3"/>
      <c r="M5" s="3"/>
      <c r="N5" s="3"/>
      <c r="O5" s="3"/>
      <c r="P5" s="3"/>
      <c r="Q5" s="3"/>
      <c r="R5" s="3"/>
      <c r="S5" s="3"/>
      <c r="T5" s="3"/>
      <c r="U5" s="3"/>
      <c r="V5" s="2"/>
      <c r="W5" s="3"/>
      <c r="X5" s="3"/>
      <c r="Y5" s="3"/>
      <c r="Z5" s="3"/>
      <c r="AA5" s="3"/>
      <c r="AB5" s="3"/>
      <c r="AC5" s="3"/>
      <c r="AD5" s="3"/>
      <c r="AE5" s="3"/>
      <c r="AF5" s="3"/>
      <c r="AG5" s="3"/>
      <c r="AH5" s="3"/>
      <c r="AI5" s="3"/>
      <c r="AJ5" s="3"/>
      <c r="AK5" s="3"/>
      <c r="AL5" s="182"/>
      <c r="AM5" s="183"/>
      <c r="AN5" s="183"/>
      <c r="AO5" s="183"/>
      <c r="AP5" s="184"/>
      <c r="AQ5" s="182"/>
      <c r="AR5" s="183"/>
      <c r="AS5" s="183"/>
      <c r="AT5" s="183"/>
      <c r="AU5" s="184"/>
    </row>
    <row r="6" spans="1:47" ht="16.899999999999999" customHeight="1" thickBot="1">
      <c r="A6" s="2"/>
      <c r="B6" s="3"/>
      <c r="C6" s="3"/>
      <c r="D6" s="3"/>
      <c r="E6" s="3"/>
      <c r="F6" s="3"/>
      <c r="G6" s="3"/>
      <c r="H6" s="3"/>
      <c r="I6" s="3"/>
      <c r="J6" s="3"/>
      <c r="K6" s="3"/>
      <c r="L6" s="3"/>
      <c r="M6" s="3"/>
      <c r="N6" s="3"/>
      <c r="O6" s="3"/>
      <c r="P6" s="3"/>
      <c r="Q6" s="3"/>
      <c r="R6" s="3"/>
      <c r="S6" s="3"/>
      <c r="T6" s="3"/>
      <c r="U6" s="3"/>
      <c r="V6" s="2"/>
      <c r="W6" s="3"/>
      <c r="X6" s="3"/>
      <c r="Y6" s="3"/>
      <c r="Z6" s="3"/>
      <c r="AA6" s="3"/>
      <c r="AB6" s="3"/>
      <c r="AC6" s="3"/>
      <c r="AD6" s="3"/>
      <c r="AE6" s="3"/>
      <c r="AF6" s="3"/>
      <c r="AG6" s="3"/>
      <c r="AH6" s="3"/>
      <c r="AI6" s="3"/>
      <c r="AJ6" s="3"/>
      <c r="AK6" s="3"/>
      <c r="AL6" s="185" t="s">
        <v>5</v>
      </c>
      <c r="AM6" s="186"/>
      <c r="AN6" s="186"/>
      <c r="AO6" s="186"/>
      <c r="AP6" s="187"/>
      <c r="AQ6" s="185" t="s">
        <v>5</v>
      </c>
      <c r="AR6" s="186"/>
      <c r="AS6" s="186"/>
      <c r="AT6" s="186"/>
      <c r="AU6" s="187"/>
    </row>
    <row r="7" spans="1:47" ht="16.899999999999999" customHeight="1">
      <c r="A7" s="2"/>
      <c r="B7" s="2"/>
      <c r="C7" s="2"/>
      <c r="D7" s="2"/>
      <c r="E7" s="2"/>
      <c r="F7" s="2"/>
      <c r="G7" s="2"/>
      <c r="H7" s="2"/>
      <c r="I7" s="2"/>
      <c r="J7" s="2"/>
      <c r="K7" s="2"/>
      <c r="L7" s="2"/>
      <c r="M7" s="2"/>
      <c r="N7" s="2"/>
      <c r="O7" s="2"/>
      <c r="P7" s="2"/>
      <c r="Q7" s="2"/>
      <c r="R7" s="2"/>
      <c r="S7" s="2"/>
      <c r="T7" s="2"/>
      <c r="U7" s="2"/>
      <c r="V7" s="1"/>
      <c r="W7" s="1"/>
      <c r="X7" s="1"/>
      <c r="Y7" s="1"/>
      <c r="Z7" s="1"/>
      <c r="AA7" s="3"/>
      <c r="AB7" s="3"/>
      <c r="AC7" s="3"/>
      <c r="AD7" s="3"/>
      <c r="AE7" s="3"/>
      <c r="AF7" s="2"/>
      <c r="AG7" s="2"/>
      <c r="AH7" s="2"/>
      <c r="AI7" s="2"/>
      <c r="AJ7" s="2"/>
      <c r="AK7" s="2"/>
      <c r="AL7" s="2"/>
      <c r="AM7" s="2"/>
      <c r="AN7" s="2"/>
      <c r="AO7" s="2"/>
      <c r="AP7" s="2"/>
      <c r="AQ7" s="2"/>
      <c r="AR7" s="2"/>
      <c r="AS7" s="2"/>
      <c r="AT7" s="2"/>
      <c r="AU7" s="2"/>
    </row>
    <row r="8" spans="1:47" s="7" customFormat="1" ht="16.899999999999999" customHeight="1">
      <c r="A8" s="10"/>
      <c r="B8" s="9" t="s">
        <v>6</v>
      </c>
      <c r="C8" s="25"/>
      <c r="D8" s="25"/>
      <c r="E8" s="25"/>
      <c r="F8" s="25"/>
      <c r="G8" s="10"/>
      <c r="H8" s="10"/>
      <c r="I8" s="10"/>
      <c r="J8" s="10"/>
      <c r="K8" s="10"/>
      <c r="L8" s="10"/>
      <c r="M8" s="10"/>
      <c r="N8" s="10"/>
      <c r="O8" s="10"/>
      <c r="P8" s="10"/>
      <c r="Q8" s="10"/>
      <c r="R8" s="10"/>
      <c r="S8" s="10"/>
      <c r="T8" s="10"/>
      <c r="U8" s="10"/>
      <c r="V8" s="10"/>
      <c r="W8" s="10"/>
      <c r="X8" s="10"/>
      <c r="Y8" s="10"/>
      <c r="Z8" s="10"/>
      <c r="AA8" s="10"/>
      <c r="AB8" s="10"/>
      <c r="AC8" s="10"/>
      <c r="AD8" s="10"/>
      <c r="AE8" s="10"/>
      <c r="AF8" s="10"/>
      <c r="AG8" s="10"/>
      <c r="AH8" s="10"/>
      <c r="AI8" s="10"/>
      <c r="AJ8" s="10"/>
      <c r="AK8" s="10"/>
      <c r="AL8" s="10"/>
      <c r="AM8" s="10"/>
      <c r="AN8" s="10"/>
      <c r="AO8" s="10"/>
      <c r="AP8" s="10"/>
      <c r="AQ8" s="10"/>
      <c r="AR8" s="10"/>
      <c r="AS8" s="10"/>
      <c r="AT8" s="10"/>
      <c r="AU8" s="10"/>
    </row>
    <row r="9" spans="1:47" s="16" customFormat="1" ht="16.899999999999999" customHeight="1">
      <c r="A9" s="26"/>
      <c r="B9" s="141" t="s">
        <v>7</v>
      </c>
      <c r="C9" s="161"/>
      <c r="D9" s="161"/>
      <c r="E9" s="161"/>
      <c r="F9" s="161"/>
      <c r="G9" s="161"/>
      <c r="H9" s="161"/>
      <c r="I9" s="161"/>
      <c r="J9" s="161"/>
      <c r="K9" s="161"/>
      <c r="L9" s="168"/>
      <c r="M9" s="168"/>
      <c r="N9" s="168"/>
      <c r="O9" s="168"/>
      <c r="P9" s="168"/>
      <c r="Q9" s="168"/>
      <c r="R9" s="168"/>
      <c r="S9" s="168"/>
      <c r="T9" s="168"/>
      <c r="U9" s="168"/>
      <c r="V9" s="168"/>
      <c r="W9" s="168"/>
      <c r="X9" s="168"/>
      <c r="Y9" s="141" t="s">
        <v>8</v>
      </c>
      <c r="Z9" s="161"/>
      <c r="AA9" s="161"/>
      <c r="AB9" s="161"/>
      <c r="AC9" s="161"/>
      <c r="AD9" s="161"/>
      <c r="AE9" s="161"/>
      <c r="AF9" s="161"/>
      <c r="AG9" s="161"/>
      <c r="AH9" s="161"/>
      <c r="AI9" s="169"/>
      <c r="AJ9" s="170"/>
      <c r="AK9" s="170"/>
      <c r="AL9" s="170"/>
      <c r="AM9" s="170"/>
      <c r="AN9" s="170"/>
      <c r="AO9" s="46" t="s">
        <v>9</v>
      </c>
      <c r="AP9" s="170"/>
      <c r="AQ9" s="170"/>
      <c r="AR9" s="170"/>
      <c r="AS9" s="170"/>
      <c r="AT9" s="170"/>
      <c r="AU9" s="171"/>
    </row>
    <row r="10" spans="1:47" s="16" customFormat="1" ht="16.899999999999999" customHeight="1">
      <c r="A10" s="26"/>
      <c r="B10" s="140" t="s">
        <v>10</v>
      </c>
      <c r="C10" s="76"/>
      <c r="D10" s="76"/>
      <c r="E10" s="76"/>
      <c r="F10" s="76"/>
      <c r="G10" s="76"/>
      <c r="H10" s="76"/>
      <c r="I10" s="76"/>
      <c r="J10" s="76"/>
      <c r="K10" s="77"/>
      <c r="L10" s="69"/>
      <c r="M10" s="70"/>
      <c r="N10" s="70"/>
      <c r="O10" s="70"/>
      <c r="P10" s="70"/>
      <c r="Q10" s="70"/>
      <c r="R10" s="70"/>
      <c r="S10" s="70"/>
      <c r="T10" s="70"/>
      <c r="U10" s="70"/>
      <c r="V10" s="70"/>
      <c r="W10" s="70"/>
      <c r="X10" s="70"/>
      <c r="Y10" s="70"/>
      <c r="Z10" s="70"/>
      <c r="AA10" s="70"/>
      <c r="AB10" s="70"/>
      <c r="AC10" s="70"/>
      <c r="AD10" s="70"/>
      <c r="AE10" s="70"/>
      <c r="AF10" s="70"/>
      <c r="AG10" s="70"/>
      <c r="AH10" s="70"/>
      <c r="AI10" s="70"/>
      <c r="AJ10" s="70"/>
      <c r="AK10" s="70"/>
      <c r="AL10" s="70"/>
      <c r="AM10" s="70"/>
      <c r="AN10" s="70"/>
      <c r="AO10" s="70"/>
      <c r="AP10" s="70"/>
      <c r="AQ10" s="70"/>
      <c r="AR10" s="70"/>
      <c r="AS10" s="70"/>
      <c r="AT10" s="70"/>
      <c r="AU10" s="71"/>
    </row>
    <row r="11" spans="1:47" s="16" customFormat="1" ht="16.899999999999999" customHeight="1">
      <c r="A11" s="26"/>
      <c r="B11" s="72" t="s">
        <v>11</v>
      </c>
      <c r="C11" s="76"/>
      <c r="D11" s="76"/>
      <c r="E11" s="76"/>
      <c r="F11" s="76"/>
      <c r="G11" s="76"/>
      <c r="H11" s="76"/>
      <c r="I11" s="76"/>
      <c r="J11" s="76"/>
      <c r="K11" s="77"/>
      <c r="L11" s="63"/>
      <c r="M11" s="70"/>
      <c r="N11" s="70"/>
      <c r="O11" s="70"/>
      <c r="P11" s="70"/>
      <c r="Q11" s="70"/>
      <c r="R11" s="70"/>
      <c r="S11" s="70"/>
      <c r="T11" s="70"/>
      <c r="U11" s="70"/>
      <c r="V11" s="70"/>
      <c r="W11" s="70"/>
      <c r="X11" s="70"/>
      <c r="Y11" s="70"/>
      <c r="Z11" s="70"/>
      <c r="AA11" s="70"/>
      <c r="AB11" s="70"/>
      <c r="AC11" s="70"/>
      <c r="AD11" s="70"/>
      <c r="AE11" s="70"/>
      <c r="AF11" s="70"/>
      <c r="AG11" s="70"/>
      <c r="AH11" s="70"/>
      <c r="AI11" s="70"/>
      <c r="AJ11" s="70"/>
      <c r="AK11" s="70"/>
      <c r="AL11" s="70"/>
      <c r="AM11" s="70"/>
      <c r="AN11" s="70"/>
      <c r="AO11" s="70"/>
      <c r="AP11" s="70"/>
      <c r="AQ11" s="70"/>
      <c r="AR11" s="70"/>
      <c r="AS11" s="70"/>
      <c r="AT11" s="70"/>
      <c r="AU11" s="71"/>
    </row>
    <row r="12" spans="1:47" s="16" customFormat="1" ht="16.899999999999999" customHeight="1">
      <c r="A12" s="26"/>
      <c r="B12" s="161" t="s">
        <v>12</v>
      </c>
      <c r="C12" s="161"/>
      <c r="D12" s="161"/>
      <c r="E12" s="161"/>
      <c r="F12" s="161"/>
      <c r="G12" s="161"/>
      <c r="H12" s="161"/>
      <c r="I12" s="161"/>
      <c r="J12" s="161"/>
      <c r="K12" s="161"/>
      <c r="L12" s="162"/>
      <c r="M12" s="162"/>
      <c r="N12" s="162"/>
      <c r="O12" s="162"/>
      <c r="P12" s="162"/>
      <c r="Q12" s="162"/>
      <c r="R12" s="162"/>
      <c r="S12" s="162"/>
      <c r="T12" s="162"/>
      <c r="U12" s="162"/>
      <c r="V12" s="162"/>
      <c r="W12" s="162"/>
      <c r="X12" s="162"/>
      <c r="Y12" s="141" t="s">
        <v>13</v>
      </c>
      <c r="Z12" s="161"/>
      <c r="AA12" s="161"/>
      <c r="AB12" s="161"/>
      <c r="AC12" s="161"/>
      <c r="AD12" s="161"/>
      <c r="AE12" s="161"/>
      <c r="AF12" s="161"/>
      <c r="AG12" s="161"/>
      <c r="AH12" s="138"/>
      <c r="AI12" s="162"/>
      <c r="AJ12" s="162"/>
      <c r="AK12" s="162"/>
      <c r="AL12" s="162"/>
      <c r="AM12" s="162"/>
      <c r="AN12" s="162"/>
      <c r="AO12" s="162"/>
      <c r="AP12" s="162"/>
      <c r="AQ12" s="162"/>
      <c r="AR12" s="162"/>
      <c r="AS12" s="162"/>
      <c r="AT12" s="162"/>
      <c r="AU12" s="162"/>
    </row>
    <row r="13" spans="1:47" s="16" customFormat="1" ht="16.899999999999999" customHeight="1">
      <c r="A13" s="26"/>
      <c r="B13" s="72" t="s">
        <v>14</v>
      </c>
      <c r="C13" s="73"/>
      <c r="D13" s="73"/>
      <c r="E13" s="73"/>
      <c r="F13" s="73"/>
      <c r="G13" s="73"/>
      <c r="H13" s="73"/>
      <c r="I13" s="73"/>
      <c r="J13" s="73"/>
      <c r="K13" s="74"/>
      <c r="L13" s="164"/>
      <c r="M13" s="165"/>
      <c r="N13" s="165"/>
      <c r="O13" s="165"/>
      <c r="P13" s="165"/>
      <c r="Q13" s="165"/>
      <c r="R13" s="165"/>
      <c r="S13" s="165"/>
      <c r="T13" s="165"/>
      <c r="U13" s="165"/>
      <c r="V13" s="165"/>
      <c r="W13" s="165"/>
      <c r="X13" s="166"/>
      <c r="Y13" s="138" t="s">
        <v>15</v>
      </c>
      <c r="Z13" s="138"/>
      <c r="AA13" s="138"/>
      <c r="AB13" s="138"/>
      <c r="AC13" s="138"/>
      <c r="AD13" s="138"/>
      <c r="AE13" s="138"/>
      <c r="AF13" s="138"/>
      <c r="AG13" s="138"/>
      <c r="AH13" s="138"/>
      <c r="AI13" s="167"/>
      <c r="AJ13" s="167"/>
      <c r="AK13" s="167"/>
      <c r="AL13" s="167"/>
      <c r="AM13" s="167"/>
      <c r="AN13" s="167"/>
      <c r="AO13" s="167"/>
      <c r="AP13" s="167"/>
      <c r="AQ13" s="167"/>
      <c r="AR13" s="167"/>
      <c r="AS13" s="167"/>
      <c r="AT13" s="167"/>
      <c r="AU13" s="167"/>
    </row>
    <row r="14" spans="1:47" s="16" customFormat="1" ht="16.899999999999999" customHeight="1">
      <c r="A14" s="26"/>
      <c r="B14" s="138" t="s">
        <v>16</v>
      </c>
      <c r="C14" s="138"/>
      <c r="D14" s="138"/>
      <c r="E14" s="138"/>
      <c r="F14" s="138"/>
      <c r="G14" s="138"/>
      <c r="H14" s="138"/>
      <c r="I14" s="138"/>
      <c r="J14" s="138"/>
      <c r="K14" s="138"/>
      <c r="L14" s="160"/>
      <c r="M14" s="160"/>
      <c r="N14" s="160"/>
      <c r="O14" s="160"/>
      <c r="P14" s="160"/>
      <c r="Q14" s="160"/>
      <c r="R14" s="160"/>
      <c r="S14" s="160"/>
      <c r="T14" s="160"/>
      <c r="U14" s="160"/>
      <c r="V14" s="160"/>
      <c r="W14" s="160"/>
      <c r="X14" s="160"/>
      <c r="Y14" s="141" t="s">
        <v>17</v>
      </c>
      <c r="Z14" s="161"/>
      <c r="AA14" s="161"/>
      <c r="AB14" s="161"/>
      <c r="AC14" s="161"/>
      <c r="AD14" s="161"/>
      <c r="AE14" s="161"/>
      <c r="AF14" s="161"/>
      <c r="AG14" s="161"/>
      <c r="AH14" s="161"/>
      <c r="AI14" s="162"/>
      <c r="AJ14" s="162"/>
      <c r="AK14" s="162"/>
      <c r="AL14" s="162"/>
      <c r="AM14" s="162"/>
      <c r="AN14" s="162"/>
      <c r="AO14" s="162"/>
      <c r="AP14" s="162"/>
      <c r="AQ14" s="162"/>
      <c r="AR14" s="162"/>
      <c r="AS14" s="162"/>
      <c r="AT14" s="162"/>
      <c r="AU14" s="162"/>
    </row>
    <row r="15" spans="1:47" s="16" customFormat="1" ht="16.899999999999999" customHeight="1">
      <c r="A15" s="26"/>
      <c r="B15" s="140" t="s">
        <v>18</v>
      </c>
      <c r="C15" s="76"/>
      <c r="D15" s="76"/>
      <c r="E15" s="76"/>
      <c r="F15" s="76"/>
      <c r="G15" s="76"/>
      <c r="H15" s="76"/>
      <c r="I15" s="76"/>
      <c r="J15" s="76"/>
      <c r="K15" s="77"/>
      <c r="L15" s="164"/>
      <c r="M15" s="165"/>
      <c r="N15" s="165"/>
      <c r="O15" s="165"/>
      <c r="P15" s="165"/>
      <c r="Q15" s="165"/>
      <c r="R15" s="165"/>
      <c r="S15" s="165"/>
      <c r="T15" s="165"/>
      <c r="U15" s="165"/>
      <c r="V15" s="165"/>
      <c r="W15" s="165"/>
      <c r="X15" s="166"/>
      <c r="Y15" s="138" t="s">
        <v>19</v>
      </c>
      <c r="Z15" s="138"/>
      <c r="AA15" s="138"/>
      <c r="AB15" s="138"/>
      <c r="AC15" s="138"/>
      <c r="AD15" s="138"/>
      <c r="AE15" s="138"/>
      <c r="AF15" s="138"/>
      <c r="AG15" s="138"/>
      <c r="AH15" s="138"/>
      <c r="AI15" s="167"/>
      <c r="AJ15" s="167"/>
      <c r="AK15" s="167"/>
      <c r="AL15" s="167"/>
      <c r="AM15" s="167"/>
      <c r="AN15" s="167"/>
      <c r="AO15" s="167"/>
      <c r="AP15" s="167"/>
      <c r="AQ15" s="167"/>
      <c r="AR15" s="167"/>
      <c r="AS15" s="167"/>
      <c r="AT15" s="167"/>
      <c r="AU15" s="167"/>
    </row>
    <row r="16" spans="1:47" s="16" customFormat="1" ht="16.899999999999999" customHeight="1">
      <c r="A16" s="26"/>
      <c r="B16" s="138" t="s">
        <v>20</v>
      </c>
      <c r="C16" s="138"/>
      <c r="D16" s="138"/>
      <c r="E16" s="138"/>
      <c r="F16" s="138"/>
      <c r="G16" s="138"/>
      <c r="H16" s="138"/>
      <c r="I16" s="138"/>
      <c r="J16" s="138"/>
      <c r="K16" s="138"/>
      <c r="L16" s="163"/>
      <c r="M16" s="163"/>
      <c r="N16" s="163"/>
      <c r="O16" s="163"/>
      <c r="P16" s="163"/>
      <c r="Q16" s="163"/>
      <c r="R16" s="163"/>
      <c r="S16" s="163"/>
      <c r="T16" s="163"/>
      <c r="U16" s="163"/>
      <c r="V16" s="163"/>
      <c r="W16" s="163"/>
      <c r="X16" s="163"/>
      <c r="Y16" s="141" t="s">
        <v>21</v>
      </c>
      <c r="Z16" s="161"/>
      <c r="AA16" s="161"/>
      <c r="AB16" s="161"/>
      <c r="AC16" s="161"/>
      <c r="AD16" s="161"/>
      <c r="AE16" s="161"/>
      <c r="AF16" s="161"/>
      <c r="AG16" s="161"/>
      <c r="AH16" s="161"/>
      <c r="AI16" s="162"/>
      <c r="AJ16" s="162"/>
      <c r="AK16" s="162"/>
      <c r="AL16" s="162"/>
      <c r="AM16" s="162"/>
      <c r="AN16" s="162"/>
      <c r="AO16" s="162"/>
      <c r="AP16" s="162"/>
      <c r="AQ16" s="162"/>
      <c r="AR16" s="162"/>
      <c r="AS16" s="162"/>
      <c r="AT16" s="162"/>
      <c r="AU16" s="162"/>
    </row>
    <row r="17" spans="1:47" s="16" customFormat="1" ht="16.899999999999999" customHeight="1">
      <c r="A17" s="26"/>
    </row>
    <row r="18" spans="1:47" s="7" customFormat="1" ht="16.899999999999999" customHeight="1">
      <c r="A18" s="10"/>
      <c r="B18" s="9" t="s">
        <v>22</v>
      </c>
      <c r="C18" s="10"/>
      <c r="D18" s="10"/>
      <c r="E18" s="10"/>
      <c r="F18" s="10"/>
      <c r="G18" s="10"/>
      <c r="H18" s="10"/>
      <c r="I18" s="10"/>
      <c r="J18" s="10"/>
      <c r="K18" s="10"/>
      <c r="L18" s="10"/>
      <c r="M18" s="10"/>
      <c r="N18" s="10"/>
      <c r="O18" s="10"/>
      <c r="P18" s="10"/>
      <c r="Q18" s="10"/>
      <c r="R18" s="10"/>
      <c r="S18" s="10"/>
      <c r="T18" s="10"/>
      <c r="U18" s="10"/>
      <c r="V18" s="10"/>
      <c r="W18" s="10"/>
      <c r="X18" s="10"/>
      <c r="Y18" s="10"/>
      <c r="Z18" s="10"/>
      <c r="AA18" s="10"/>
      <c r="AB18" s="10"/>
      <c r="AC18" s="10"/>
      <c r="AD18" s="10"/>
      <c r="AE18" s="10"/>
      <c r="AF18" s="10"/>
      <c r="AG18" s="10"/>
      <c r="AH18" s="10"/>
      <c r="AI18" s="10"/>
      <c r="AJ18" s="10"/>
      <c r="AK18" s="10"/>
      <c r="AL18" s="10"/>
      <c r="AM18" s="10"/>
      <c r="AN18" s="10"/>
      <c r="AO18" s="10"/>
      <c r="AP18" s="10"/>
      <c r="AQ18" s="10"/>
      <c r="AR18" s="10"/>
      <c r="AS18" s="10"/>
      <c r="AT18" s="10"/>
      <c r="AU18" s="10"/>
    </row>
    <row r="19" spans="1:47" s="16" customFormat="1" ht="16.899999999999999" customHeight="1">
      <c r="B19" s="142" t="s">
        <v>23</v>
      </c>
      <c r="C19" s="143"/>
      <c r="D19" s="143"/>
      <c r="E19" s="143"/>
      <c r="F19" s="143"/>
      <c r="G19" s="143"/>
      <c r="H19" s="143"/>
      <c r="I19" s="143"/>
      <c r="J19" s="143"/>
      <c r="K19" s="144"/>
      <c r="L19" s="148"/>
      <c r="M19" s="149"/>
      <c r="N19" s="149"/>
      <c r="O19" s="149"/>
      <c r="P19" s="149"/>
      <c r="Q19" s="149"/>
      <c r="R19" s="149"/>
      <c r="S19" s="149"/>
      <c r="T19" s="149"/>
      <c r="U19" s="149"/>
      <c r="V19" s="149"/>
      <c r="W19" s="149"/>
      <c r="X19" s="149"/>
      <c r="Y19" s="149"/>
      <c r="Z19" s="149"/>
      <c r="AA19" s="149"/>
      <c r="AB19" s="149"/>
      <c r="AC19" s="149"/>
      <c r="AD19" s="149"/>
      <c r="AE19" s="149"/>
      <c r="AF19" s="149"/>
      <c r="AG19" s="149"/>
      <c r="AH19" s="149"/>
      <c r="AI19" s="149"/>
      <c r="AJ19" s="149"/>
      <c r="AK19" s="149"/>
      <c r="AL19" s="149"/>
      <c r="AM19" s="149"/>
      <c r="AN19" s="149"/>
      <c r="AO19" s="149"/>
      <c r="AP19" s="149"/>
      <c r="AQ19" s="149"/>
      <c r="AR19" s="149"/>
      <c r="AS19" s="149"/>
      <c r="AT19" s="149"/>
      <c r="AU19" s="150"/>
    </row>
    <row r="20" spans="1:47" s="16" customFormat="1" ht="16.899999999999999" customHeight="1">
      <c r="A20" s="27"/>
      <c r="B20" s="145"/>
      <c r="C20" s="146"/>
      <c r="D20" s="146"/>
      <c r="E20" s="146"/>
      <c r="F20" s="146"/>
      <c r="G20" s="146"/>
      <c r="H20" s="146"/>
      <c r="I20" s="146"/>
      <c r="J20" s="146"/>
      <c r="K20" s="147"/>
      <c r="L20" s="151"/>
      <c r="M20" s="152"/>
      <c r="N20" s="152"/>
      <c r="O20" s="152"/>
      <c r="P20" s="152"/>
      <c r="Q20" s="152"/>
      <c r="R20" s="152"/>
      <c r="S20" s="152"/>
      <c r="T20" s="152"/>
      <c r="U20" s="152"/>
      <c r="V20" s="152"/>
      <c r="W20" s="152"/>
      <c r="X20" s="152"/>
      <c r="Y20" s="152"/>
      <c r="Z20" s="152"/>
      <c r="AA20" s="152"/>
      <c r="AB20" s="152"/>
      <c r="AC20" s="152"/>
      <c r="AD20" s="152"/>
      <c r="AE20" s="152"/>
      <c r="AF20" s="152"/>
      <c r="AG20" s="152"/>
      <c r="AH20" s="152"/>
      <c r="AI20" s="152"/>
      <c r="AJ20" s="152"/>
      <c r="AK20" s="152"/>
      <c r="AL20" s="152"/>
      <c r="AM20" s="152"/>
      <c r="AN20" s="152"/>
      <c r="AO20" s="152"/>
      <c r="AP20" s="152"/>
      <c r="AQ20" s="152"/>
      <c r="AR20" s="152"/>
      <c r="AS20" s="152"/>
      <c r="AT20" s="152"/>
      <c r="AU20" s="153"/>
    </row>
    <row r="21" spans="1:47" ht="16.899999999999999" customHeight="1">
      <c r="B21" s="154" t="s">
        <v>24</v>
      </c>
      <c r="C21" s="155"/>
      <c r="D21" s="155"/>
      <c r="E21" s="155"/>
      <c r="F21" s="155"/>
      <c r="G21" s="155"/>
      <c r="H21" s="155"/>
      <c r="I21" s="155"/>
      <c r="J21" s="155"/>
      <c r="K21" s="156"/>
      <c r="L21" s="148"/>
      <c r="M21" s="149"/>
      <c r="N21" s="149"/>
      <c r="O21" s="149"/>
      <c r="P21" s="149"/>
      <c r="Q21" s="149"/>
      <c r="R21" s="149"/>
      <c r="S21" s="149"/>
      <c r="T21" s="149"/>
      <c r="U21" s="149"/>
      <c r="V21" s="149"/>
      <c r="W21" s="149"/>
      <c r="X21" s="149"/>
      <c r="Y21" s="149"/>
      <c r="Z21" s="149"/>
      <c r="AA21" s="149"/>
      <c r="AB21" s="149"/>
      <c r="AC21" s="149"/>
      <c r="AD21" s="149"/>
      <c r="AE21" s="149"/>
      <c r="AF21" s="149"/>
      <c r="AG21" s="149"/>
      <c r="AH21" s="149"/>
      <c r="AI21" s="149"/>
      <c r="AJ21" s="149"/>
      <c r="AK21" s="149"/>
      <c r="AL21" s="149"/>
      <c r="AM21" s="149"/>
      <c r="AN21" s="149"/>
      <c r="AO21" s="149"/>
      <c r="AP21" s="149"/>
      <c r="AQ21" s="149"/>
      <c r="AR21" s="149"/>
      <c r="AS21" s="149"/>
      <c r="AT21" s="149"/>
      <c r="AU21" s="150"/>
    </row>
    <row r="22" spans="1:47" ht="16.899999999999999" customHeight="1">
      <c r="B22" s="157"/>
      <c r="C22" s="158"/>
      <c r="D22" s="158"/>
      <c r="E22" s="158"/>
      <c r="F22" s="158"/>
      <c r="G22" s="158"/>
      <c r="H22" s="158"/>
      <c r="I22" s="158"/>
      <c r="J22" s="158"/>
      <c r="K22" s="159"/>
      <c r="L22" s="151"/>
      <c r="M22" s="152"/>
      <c r="N22" s="152"/>
      <c r="O22" s="152"/>
      <c r="P22" s="152"/>
      <c r="Q22" s="152"/>
      <c r="R22" s="152"/>
      <c r="S22" s="152"/>
      <c r="T22" s="152"/>
      <c r="U22" s="152"/>
      <c r="V22" s="152"/>
      <c r="W22" s="152"/>
      <c r="X22" s="152"/>
      <c r="Y22" s="152"/>
      <c r="Z22" s="152"/>
      <c r="AA22" s="152"/>
      <c r="AB22" s="152"/>
      <c r="AC22" s="152"/>
      <c r="AD22" s="152"/>
      <c r="AE22" s="152"/>
      <c r="AF22" s="152"/>
      <c r="AG22" s="152"/>
      <c r="AH22" s="152"/>
      <c r="AI22" s="152"/>
      <c r="AJ22" s="152"/>
      <c r="AK22" s="152"/>
      <c r="AL22" s="152"/>
      <c r="AM22" s="152"/>
      <c r="AN22" s="152"/>
      <c r="AO22" s="152"/>
      <c r="AP22" s="152"/>
      <c r="AQ22" s="152"/>
      <c r="AR22" s="152"/>
      <c r="AS22" s="152"/>
      <c r="AT22" s="152"/>
      <c r="AU22" s="153"/>
    </row>
    <row r="23" spans="1:47" s="16" customFormat="1" ht="16.899999999999999" customHeight="1">
      <c r="B23" s="142" t="s">
        <v>25</v>
      </c>
      <c r="C23" s="143"/>
      <c r="D23" s="143"/>
      <c r="E23" s="143"/>
      <c r="F23" s="143"/>
      <c r="G23" s="143"/>
      <c r="H23" s="143"/>
      <c r="I23" s="143"/>
      <c r="J23" s="143"/>
      <c r="K23" s="144"/>
      <c r="L23" s="148"/>
      <c r="M23" s="149"/>
      <c r="N23" s="149"/>
      <c r="O23" s="149"/>
      <c r="P23" s="149"/>
      <c r="Q23" s="149"/>
      <c r="R23" s="149"/>
      <c r="S23" s="149"/>
      <c r="T23" s="149"/>
      <c r="U23" s="149"/>
      <c r="V23" s="149"/>
      <c r="W23" s="149"/>
      <c r="X23" s="149"/>
      <c r="Y23" s="149"/>
      <c r="Z23" s="149"/>
      <c r="AA23" s="149"/>
      <c r="AB23" s="149"/>
      <c r="AC23" s="149"/>
      <c r="AD23" s="149"/>
      <c r="AE23" s="149"/>
      <c r="AF23" s="149"/>
      <c r="AG23" s="149"/>
      <c r="AH23" s="149"/>
      <c r="AI23" s="149"/>
      <c r="AJ23" s="149"/>
      <c r="AK23" s="149"/>
      <c r="AL23" s="149"/>
      <c r="AM23" s="149"/>
      <c r="AN23" s="149"/>
      <c r="AO23" s="149"/>
      <c r="AP23" s="149"/>
      <c r="AQ23" s="149"/>
      <c r="AR23" s="149"/>
      <c r="AS23" s="149"/>
      <c r="AT23" s="149"/>
      <c r="AU23" s="150"/>
    </row>
    <row r="24" spans="1:47" s="16" customFormat="1" ht="16.899999999999999" customHeight="1">
      <c r="B24" s="145"/>
      <c r="C24" s="146"/>
      <c r="D24" s="146"/>
      <c r="E24" s="146"/>
      <c r="F24" s="146"/>
      <c r="G24" s="146"/>
      <c r="H24" s="146"/>
      <c r="I24" s="146"/>
      <c r="J24" s="146"/>
      <c r="K24" s="147"/>
      <c r="L24" s="151"/>
      <c r="M24" s="152"/>
      <c r="N24" s="152"/>
      <c r="O24" s="152"/>
      <c r="P24" s="152"/>
      <c r="Q24" s="152"/>
      <c r="R24" s="152"/>
      <c r="S24" s="152"/>
      <c r="T24" s="152"/>
      <c r="U24" s="152"/>
      <c r="V24" s="152"/>
      <c r="W24" s="152"/>
      <c r="X24" s="152"/>
      <c r="Y24" s="152"/>
      <c r="Z24" s="152"/>
      <c r="AA24" s="152"/>
      <c r="AB24" s="152"/>
      <c r="AC24" s="152"/>
      <c r="AD24" s="152"/>
      <c r="AE24" s="152"/>
      <c r="AF24" s="152"/>
      <c r="AG24" s="152"/>
      <c r="AH24" s="152"/>
      <c r="AI24" s="152"/>
      <c r="AJ24" s="152"/>
      <c r="AK24" s="152"/>
      <c r="AL24" s="152"/>
      <c r="AM24" s="152"/>
      <c r="AN24" s="152"/>
      <c r="AO24" s="152"/>
      <c r="AP24" s="152"/>
      <c r="AQ24" s="152"/>
      <c r="AR24" s="152"/>
      <c r="AS24" s="152"/>
      <c r="AT24" s="152"/>
      <c r="AU24" s="153"/>
    </row>
    <row r="25" spans="1:47" s="16" customFormat="1" ht="16.899999999999999" customHeight="1">
      <c r="B25" s="142" t="s">
        <v>26</v>
      </c>
      <c r="C25" s="143"/>
      <c r="D25" s="143"/>
      <c r="E25" s="143"/>
      <c r="F25" s="143"/>
      <c r="G25" s="143"/>
      <c r="H25" s="143"/>
      <c r="I25" s="143"/>
      <c r="J25" s="143"/>
      <c r="K25" s="144"/>
      <c r="L25" s="148"/>
      <c r="M25" s="149"/>
      <c r="N25" s="149"/>
      <c r="O25" s="149"/>
      <c r="P25" s="149"/>
      <c r="Q25" s="149"/>
      <c r="R25" s="149"/>
      <c r="S25" s="149"/>
      <c r="T25" s="149"/>
      <c r="U25" s="149"/>
      <c r="V25" s="149"/>
      <c r="W25" s="149"/>
      <c r="X25" s="149"/>
      <c r="Y25" s="149"/>
      <c r="Z25" s="149"/>
      <c r="AA25" s="149"/>
      <c r="AB25" s="149"/>
      <c r="AC25" s="149"/>
      <c r="AD25" s="149"/>
      <c r="AE25" s="149"/>
      <c r="AF25" s="149"/>
      <c r="AG25" s="149"/>
      <c r="AH25" s="149"/>
      <c r="AI25" s="149"/>
      <c r="AJ25" s="149"/>
      <c r="AK25" s="149"/>
      <c r="AL25" s="149"/>
      <c r="AM25" s="149"/>
      <c r="AN25" s="149"/>
      <c r="AO25" s="149"/>
      <c r="AP25" s="149"/>
      <c r="AQ25" s="149"/>
      <c r="AR25" s="149"/>
      <c r="AS25" s="149"/>
      <c r="AT25" s="149"/>
      <c r="AU25" s="150"/>
    </row>
    <row r="26" spans="1:47" s="16" customFormat="1" ht="16.899999999999999" customHeight="1">
      <c r="B26" s="145"/>
      <c r="C26" s="146"/>
      <c r="D26" s="146"/>
      <c r="E26" s="146"/>
      <c r="F26" s="146"/>
      <c r="G26" s="146"/>
      <c r="H26" s="146"/>
      <c r="I26" s="146"/>
      <c r="J26" s="146"/>
      <c r="K26" s="147"/>
      <c r="L26" s="151"/>
      <c r="M26" s="152"/>
      <c r="N26" s="152"/>
      <c r="O26" s="152"/>
      <c r="P26" s="152"/>
      <c r="Q26" s="152"/>
      <c r="R26" s="152"/>
      <c r="S26" s="152"/>
      <c r="T26" s="152"/>
      <c r="U26" s="152"/>
      <c r="V26" s="152"/>
      <c r="W26" s="152"/>
      <c r="X26" s="152"/>
      <c r="Y26" s="152"/>
      <c r="Z26" s="152"/>
      <c r="AA26" s="152"/>
      <c r="AB26" s="152"/>
      <c r="AC26" s="152"/>
      <c r="AD26" s="152"/>
      <c r="AE26" s="152"/>
      <c r="AF26" s="152"/>
      <c r="AG26" s="152"/>
      <c r="AH26" s="152"/>
      <c r="AI26" s="152"/>
      <c r="AJ26" s="152"/>
      <c r="AK26" s="152"/>
      <c r="AL26" s="152"/>
      <c r="AM26" s="152"/>
      <c r="AN26" s="152"/>
      <c r="AO26" s="152"/>
      <c r="AP26" s="152"/>
      <c r="AQ26" s="152"/>
      <c r="AR26" s="152"/>
      <c r="AS26" s="152"/>
      <c r="AT26" s="152"/>
      <c r="AU26" s="153"/>
    </row>
    <row r="27" spans="1:47" ht="16.899999999999999" customHeight="1">
      <c r="B27" s="138" t="s">
        <v>27</v>
      </c>
      <c r="C27" s="138"/>
      <c r="D27" s="138"/>
      <c r="E27" s="138"/>
      <c r="F27" s="138"/>
      <c r="G27" s="138"/>
      <c r="H27" s="138"/>
      <c r="I27" s="138"/>
      <c r="J27" s="138"/>
      <c r="K27" s="138"/>
      <c r="L27" s="137"/>
      <c r="M27" s="139"/>
      <c r="N27" s="139"/>
      <c r="O27" s="139"/>
      <c r="P27" s="139"/>
      <c r="Q27" s="139"/>
      <c r="R27" s="139"/>
      <c r="S27" s="139"/>
      <c r="T27" s="139"/>
      <c r="U27" s="139"/>
      <c r="V27" s="139"/>
      <c r="W27" s="139"/>
      <c r="X27" s="139"/>
      <c r="Y27" s="139"/>
      <c r="Z27" s="139"/>
      <c r="AA27" s="139"/>
      <c r="AB27" s="139"/>
      <c r="AC27" s="139"/>
      <c r="AD27" s="139"/>
      <c r="AE27" s="139"/>
      <c r="AF27" s="139"/>
      <c r="AG27" s="139"/>
      <c r="AH27" s="139"/>
      <c r="AI27" s="139"/>
      <c r="AJ27" s="139"/>
      <c r="AK27" s="139"/>
      <c r="AL27" s="139"/>
      <c r="AM27" s="139"/>
      <c r="AN27" s="139"/>
      <c r="AO27" s="139"/>
      <c r="AP27" s="139"/>
      <c r="AQ27" s="139"/>
      <c r="AR27" s="139"/>
      <c r="AS27" s="139"/>
      <c r="AT27" s="139"/>
      <c r="AU27" s="139"/>
    </row>
    <row r="28" spans="1:47" ht="16.899999999999999" customHeight="1">
      <c r="B28" s="138"/>
      <c r="C28" s="138"/>
      <c r="D28" s="138"/>
      <c r="E28" s="138"/>
      <c r="F28" s="138"/>
      <c r="G28" s="138"/>
      <c r="H28" s="138"/>
      <c r="I28" s="138"/>
      <c r="J28" s="138"/>
      <c r="K28" s="138"/>
      <c r="L28" s="139"/>
      <c r="M28" s="139"/>
      <c r="N28" s="139"/>
      <c r="O28" s="139"/>
      <c r="P28" s="139"/>
      <c r="Q28" s="139"/>
      <c r="R28" s="139"/>
      <c r="S28" s="139"/>
      <c r="T28" s="139"/>
      <c r="U28" s="139"/>
      <c r="V28" s="139"/>
      <c r="W28" s="139"/>
      <c r="X28" s="139"/>
      <c r="Y28" s="139"/>
      <c r="Z28" s="139"/>
      <c r="AA28" s="139"/>
      <c r="AB28" s="139"/>
      <c r="AC28" s="139"/>
      <c r="AD28" s="139"/>
      <c r="AE28" s="139"/>
      <c r="AF28" s="139"/>
      <c r="AG28" s="139"/>
      <c r="AH28" s="139"/>
      <c r="AI28" s="139"/>
      <c r="AJ28" s="139"/>
      <c r="AK28" s="139"/>
      <c r="AL28" s="139"/>
      <c r="AM28" s="139"/>
      <c r="AN28" s="139"/>
      <c r="AO28" s="139"/>
      <c r="AP28" s="139"/>
      <c r="AQ28" s="139"/>
      <c r="AR28" s="139"/>
      <c r="AS28" s="139"/>
      <c r="AT28" s="139"/>
      <c r="AU28" s="139"/>
    </row>
    <row r="29" spans="1:47" s="16" customFormat="1" ht="16.899999999999999" customHeight="1">
      <c r="A29" s="26"/>
      <c r="B29" s="26"/>
      <c r="C29" s="26"/>
      <c r="D29" s="26"/>
      <c r="E29" s="26"/>
      <c r="F29" s="26"/>
      <c r="G29" s="26"/>
      <c r="H29" s="26"/>
      <c r="I29" s="26"/>
      <c r="J29" s="26"/>
      <c r="K29" s="26"/>
      <c r="L29" s="26"/>
      <c r="M29" s="26"/>
      <c r="N29" s="26"/>
      <c r="O29" s="26"/>
      <c r="P29" s="26"/>
      <c r="Q29" s="26"/>
      <c r="R29" s="26"/>
      <c r="S29" s="26"/>
      <c r="T29" s="26"/>
      <c r="U29" s="26"/>
      <c r="V29" s="26"/>
      <c r="W29" s="26"/>
      <c r="X29" s="26"/>
      <c r="Y29" s="26"/>
      <c r="Z29" s="26"/>
      <c r="AA29" s="26"/>
      <c r="AB29" s="26"/>
      <c r="AC29" s="26"/>
      <c r="AD29" s="26"/>
      <c r="AE29" s="26"/>
      <c r="AF29" s="26"/>
      <c r="AG29" s="26"/>
      <c r="AH29" s="26"/>
      <c r="AI29" s="26"/>
      <c r="AJ29" s="26"/>
      <c r="AK29" s="26"/>
      <c r="AL29" s="26"/>
      <c r="AM29" s="26"/>
      <c r="AN29" s="26"/>
      <c r="AO29" s="26"/>
      <c r="AP29" s="26"/>
      <c r="AQ29" s="26"/>
      <c r="AR29" s="26"/>
      <c r="AS29" s="26"/>
      <c r="AT29" s="26"/>
      <c r="AU29" s="26"/>
    </row>
    <row r="30" spans="1:47" s="7" customFormat="1" ht="16.899999999999999" customHeight="1">
      <c r="A30" s="10"/>
      <c r="B30" s="9" t="s">
        <v>28</v>
      </c>
      <c r="C30" s="10"/>
      <c r="D30" s="10"/>
      <c r="E30" s="10"/>
      <c r="F30" s="10"/>
      <c r="G30" s="10"/>
      <c r="H30" s="10"/>
      <c r="I30" s="10"/>
      <c r="J30" s="10"/>
      <c r="K30" s="10"/>
      <c r="L30" s="10"/>
      <c r="M30" s="10"/>
      <c r="N30" s="10"/>
      <c r="O30" s="10"/>
      <c r="P30" s="10"/>
      <c r="Q30" s="10"/>
      <c r="R30" s="10"/>
      <c r="S30" s="10"/>
      <c r="T30" s="10"/>
      <c r="U30" s="10"/>
      <c r="V30" s="10"/>
      <c r="W30" s="10"/>
      <c r="X30" s="10"/>
      <c r="Y30" s="10"/>
      <c r="Z30" s="10"/>
      <c r="AA30" s="10"/>
      <c r="AB30" s="10"/>
      <c r="AC30" s="10"/>
      <c r="AD30" s="10"/>
      <c r="AE30" s="10"/>
      <c r="AF30" s="10"/>
      <c r="AG30" s="10"/>
      <c r="AH30" s="10"/>
      <c r="AI30" s="10"/>
      <c r="AJ30" s="10"/>
      <c r="AK30" s="10"/>
      <c r="AL30" s="10"/>
      <c r="AM30" s="10"/>
      <c r="AN30" s="10"/>
      <c r="AO30" s="10"/>
      <c r="AP30" s="10"/>
      <c r="AQ30" s="10"/>
      <c r="AR30" s="10"/>
      <c r="AS30" s="10"/>
      <c r="AT30" s="10"/>
      <c r="AU30" s="10"/>
    </row>
    <row r="31" spans="1:47" s="16" customFormat="1" ht="16.899999999999999" customHeight="1">
      <c r="A31" s="26"/>
      <c r="B31" s="140" t="s">
        <v>29</v>
      </c>
      <c r="C31" s="76"/>
      <c r="D31" s="76"/>
      <c r="E31" s="76"/>
      <c r="F31" s="76"/>
      <c r="G31" s="76"/>
      <c r="H31" s="76"/>
      <c r="I31" s="76"/>
      <c r="J31" s="76"/>
      <c r="K31" s="77"/>
      <c r="L31" s="140" t="s">
        <v>30</v>
      </c>
      <c r="M31" s="76"/>
      <c r="N31" s="76"/>
      <c r="O31" s="76"/>
      <c r="P31" s="77"/>
      <c r="Q31" s="141" t="s">
        <v>31</v>
      </c>
      <c r="R31" s="141"/>
      <c r="S31" s="141"/>
      <c r="T31" s="141"/>
      <c r="U31" s="141"/>
      <c r="V31" s="141"/>
      <c r="W31" s="141"/>
      <c r="X31" s="141"/>
      <c r="Y31" s="141"/>
      <c r="Z31" s="141"/>
      <c r="AA31" s="141"/>
      <c r="AB31" s="141"/>
      <c r="AC31" s="141"/>
      <c r="AD31" s="141"/>
      <c r="AE31" s="141"/>
      <c r="AF31" s="141"/>
      <c r="AG31" s="141"/>
      <c r="AH31" s="141"/>
      <c r="AI31" s="141"/>
      <c r="AJ31" s="141"/>
      <c r="AK31" s="141"/>
      <c r="AL31" s="141"/>
      <c r="AM31" s="141"/>
      <c r="AN31" s="141"/>
      <c r="AO31" s="141"/>
      <c r="AP31" s="141"/>
      <c r="AQ31" s="141"/>
      <c r="AR31" s="141"/>
      <c r="AS31" s="141"/>
      <c r="AT31" s="141"/>
      <c r="AU31" s="141"/>
    </row>
    <row r="32" spans="1:47" s="16" customFormat="1" ht="16.899999999999999" customHeight="1">
      <c r="A32" s="26"/>
      <c r="B32" s="89" t="s">
        <v>32</v>
      </c>
      <c r="C32" s="90"/>
      <c r="D32" s="90"/>
      <c r="E32" s="90"/>
      <c r="F32" s="90"/>
      <c r="G32" s="90"/>
      <c r="H32" s="90"/>
      <c r="I32" s="90"/>
      <c r="J32" s="90"/>
      <c r="K32" s="91"/>
      <c r="L32" s="69"/>
      <c r="M32" s="70"/>
      <c r="N32" s="70"/>
      <c r="O32" s="70"/>
      <c r="P32" s="71"/>
      <c r="Q32" s="137"/>
      <c r="R32" s="137"/>
      <c r="S32" s="137"/>
      <c r="T32" s="137"/>
      <c r="U32" s="137"/>
      <c r="V32" s="137"/>
      <c r="W32" s="137"/>
      <c r="X32" s="137"/>
      <c r="Y32" s="137"/>
      <c r="Z32" s="137"/>
      <c r="AA32" s="137"/>
      <c r="AB32" s="137"/>
      <c r="AC32" s="137"/>
      <c r="AD32" s="137"/>
      <c r="AE32" s="137"/>
      <c r="AF32" s="137"/>
      <c r="AG32" s="137"/>
      <c r="AH32" s="137"/>
      <c r="AI32" s="137"/>
      <c r="AJ32" s="137"/>
      <c r="AK32" s="137"/>
      <c r="AL32" s="137"/>
      <c r="AM32" s="137"/>
      <c r="AN32" s="137"/>
      <c r="AO32" s="137"/>
      <c r="AP32" s="137"/>
      <c r="AQ32" s="137"/>
      <c r="AR32" s="137"/>
      <c r="AS32" s="137"/>
      <c r="AT32" s="137"/>
      <c r="AU32" s="137"/>
    </row>
    <row r="33" spans="1:47" s="16" customFormat="1" ht="16.899999999999999" customHeight="1">
      <c r="B33" s="89" t="s">
        <v>33</v>
      </c>
      <c r="C33" s="90"/>
      <c r="D33" s="90"/>
      <c r="E33" s="90"/>
      <c r="F33" s="90"/>
      <c r="G33" s="90"/>
      <c r="H33" s="90"/>
      <c r="I33" s="90"/>
      <c r="J33" s="90"/>
      <c r="K33" s="91"/>
      <c r="L33" s="69"/>
      <c r="M33" s="70"/>
      <c r="N33" s="70"/>
      <c r="O33" s="70"/>
      <c r="P33" s="71"/>
      <c r="Q33" s="137"/>
      <c r="R33" s="137"/>
      <c r="S33" s="137"/>
      <c r="T33" s="137"/>
      <c r="U33" s="137"/>
      <c r="V33" s="137"/>
      <c r="W33" s="137"/>
      <c r="X33" s="137"/>
      <c r="Y33" s="137"/>
      <c r="Z33" s="137"/>
      <c r="AA33" s="137"/>
      <c r="AB33" s="137"/>
      <c r="AC33" s="137"/>
      <c r="AD33" s="137"/>
      <c r="AE33" s="137"/>
      <c r="AF33" s="137"/>
      <c r="AG33" s="137"/>
      <c r="AH33" s="137"/>
      <c r="AI33" s="137"/>
      <c r="AJ33" s="137"/>
      <c r="AK33" s="137"/>
      <c r="AL33" s="137"/>
      <c r="AM33" s="137"/>
      <c r="AN33" s="137"/>
      <c r="AO33" s="137"/>
      <c r="AP33" s="137"/>
      <c r="AQ33" s="137"/>
      <c r="AR33" s="137"/>
      <c r="AS33" s="137"/>
      <c r="AT33" s="137"/>
      <c r="AU33" s="137"/>
    </row>
    <row r="34" spans="1:47" s="16" customFormat="1" ht="16.899999999999999" customHeight="1">
      <c r="B34" s="89" t="s">
        <v>34</v>
      </c>
      <c r="C34" s="90"/>
      <c r="D34" s="90"/>
      <c r="E34" s="90"/>
      <c r="F34" s="90"/>
      <c r="G34" s="90"/>
      <c r="H34" s="90"/>
      <c r="I34" s="90"/>
      <c r="J34" s="90"/>
      <c r="K34" s="91"/>
      <c r="L34" s="69"/>
      <c r="M34" s="70"/>
      <c r="N34" s="70"/>
      <c r="O34" s="70"/>
      <c r="P34" s="71"/>
      <c r="Q34" s="137"/>
      <c r="R34" s="137"/>
      <c r="S34" s="137"/>
      <c r="T34" s="137"/>
      <c r="U34" s="137"/>
      <c r="V34" s="137"/>
      <c r="W34" s="137"/>
      <c r="X34" s="137"/>
      <c r="Y34" s="137"/>
      <c r="Z34" s="137"/>
      <c r="AA34" s="137"/>
      <c r="AB34" s="137"/>
      <c r="AC34" s="137"/>
      <c r="AD34" s="137"/>
      <c r="AE34" s="137"/>
      <c r="AF34" s="137"/>
      <c r="AG34" s="137"/>
      <c r="AH34" s="137"/>
      <c r="AI34" s="137"/>
      <c r="AJ34" s="137"/>
      <c r="AK34" s="137"/>
      <c r="AL34" s="137"/>
      <c r="AM34" s="137"/>
      <c r="AN34" s="137"/>
      <c r="AO34" s="137"/>
      <c r="AP34" s="137"/>
      <c r="AQ34" s="137"/>
      <c r="AR34" s="137"/>
      <c r="AS34" s="137"/>
      <c r="AT34" s="137"/>
      <c r="AU34" s="137"/>
    </row>
    <row r="35" spans="1:47" s="16" customFormat="1" ht="16.899999999999999" customHeight="1">
      <c r="B35" s="89" t="s">
        <v>35</v>
      </c>
      <c r="C35" s="90"/>
      <c r="D35" s="90"/>
      <c r="E35" s="90"/>
      <c r="F35" s="90"/>
      <c r="G35" s="90"/>
      <c r="H35" s="90"/>
      <c r="I35" s="90"/>
      <c r="J35" s="90"/>
      <c r="K35" s="91"/>
      <c r="L35" s="69"/>
      <c r="M35" s="70"/>
      <c r="N35" s="70"/>
      <c r="O35" s="70"/>
      <c r="P35" s="71"/>
      <c r="Q35" s="137"/>
      <c r="R35" s="137"/>
      <c r="S35" s="137"/>
      <c r="T35" s="137"/>
      <c r="U35" s="137"/>
      <c r="V35" s="137"/>
      <c r="W35" s="137"/>
      <c r="X35" s="137"/>
      <c r="Y35" s="137"/>
      <c r="Z35" s="137"/>
      <c r="AA35" s="137"/>
      <c r="AB35" s="137"/>
      <c r="AC35" s="137"/>
      <c r="AD35" s="137"/>
      <c r="AE35" s="137"/>
      <c r="AF35" s="137"/>
      <c r="AG35" s="137"/>
      <c r="AH35" s="137"/>
      <c r="AI35" s="137"/>
      <c r="AJ35" s="137"/>
      <c r="AK35" s="137"/>
      <c r="AL35" s="137"/>
      <c r="AM35" s="137"/>
      <c r="AN35" s="137"/>
      <c r="AO35" s="137"/>
      <c r="AP35" s="137"/>
      <c r="AQ35" s="137"/>
      <c r="AR35" s="137"/>
      <c r="AS35" s="137"/>
      <c r="AT35" s="137"/>
      <c r="AU35" s="137"/>
    </row>
    <row r="36" spans="1:47" s="16" customFormat="1" ht="16.899999999999999" customHeight="1">
      <c r="B36" s="89" t="s">
        <v>36</v>
      </c>
      <c r="C36" s="90"/>
      <c r="D36" s="90"/>
      <c r="E36" s="90"/>
      <c r="F36" s="90"/>
      <c r="G36" s="90"/>
      <c r="H36" s="90"/>
      <c r="I36" s="90"/>
      <c r="J36" s="90"/>
      <c r="K36" s="91"/>
      <c r="L36" s="69"/>
      <c r="M36" s="70"/>
      <c r="N36" s="70"/>
      <c r="O36" s="70"/>
      <c r="P36" s="71"/>
      <c r="Q36" s="137"/>
      <c r="R36" s="137"/>
      <c r="S36" s="137"/>
      <c r="T36" s="137"/>
      <c r="U36" s="137"/>
      <c r="V36" s="137"/>
      <c r="W36" s="137"/>
      <c r="X36" s="137"/>
      <c r="Y36" s="137"/>
      <c r="Z36" s="137"/>
      <c r="AA36" s="137"/>
      <c r="AB36" s="137"/>
      <c r="AC36" s="137"/>
      <c r="AD36" s="137"/>
      <c r="AE36" s="137"/>
      <c r="AF36" s="137"/>
      <c r="AG36" s="137"/>
      <c r="AH36" s="137"/>
      <c r="AI36" s="137"/>
      <c r="AJ36" s="137"/>
      <c r="AK36" s="137"/>
      <c r="AL36" s="137"/>
      <c r="AM36" s="137"/>
      <c r="AN36" s="137"/>
      <c r="AO36" s="137"/>
      <c r="AP36" s="137"/>
      <c r="AQ36" s="137"/>
      <c r="AR36" s="137"/>
      <c r="AS36" s="137"/>
      <c r="AT36" s="137"/>
      <c r="AU36" s="137"/>
    </row>
    <row r="37" spans="1:47" s="16" customFormat="1" ht="16.899999999999999" customHeight="1">
      <c r="B37" s="89" t="s">
        <v>37</v>
      </c>
      <c r="C37" s="90"/>
      <c r="D37" s="90"/>
      <c r="E37" s="90"/>
      <c r="F37" s="90"/>
      <c r="G37" s="90"/>
      <c r="H37" s="90"/>
      <c r="I37" s="90"/>
      <c r="J37" s="90"/>
      <c r="K37" s="91"/>
      <c r="L37" s="69"/>
      <c r="M37" s="70"/>
      <c r="N37" s="70"/>
      <c r="O37" s="70"/>
      <c r="P37" s="71"/>
      <c r="Q37" s="137"/>
      <c r="R37" s="137"/>
      <c r="S37" s="137"/>
      <c r="T37" s="137"/>
      <c r="U37" s="137"/>
      <c r="V37" s="137"/>
      <c r="W37" s="137"/>
      <c r="X37" s="137"/>
      <c r="Y37" s="137"/>
      <c r="Z37" s="137"/>
      <c r="AA37" s="137"/>
      <c r="AB37" s="137"/>
      <c r="AC37" s="137"/>
      <c r="AD37" s="137"/>
      <c r="AE37" s="137"/>
      <c r="AF37" s="137"/>
      <c r="AG37" s="137"/>
      <c r="AH37" s="137"/>
      <c r="AI37" s="137"/>
      <c r="AJ37" s="137"/>
      <c r="AK37" s="137"/>
      <c r="AL37" s="137"/>
      <c r="AM37" s="137"/>
      <c r="AN37" s="137"/>
      <c r="AO37" s="137"/>
      <c r="AP37" s="137"/>
      <c r="AQ37" s="137"/>
      <c r="AR37" s="137"/>
      <c r="AS37" s="137"/>
      <c r="AT37" s="137"/>
      <c r="AU37" s="137"/>
    </row>
    <row r="38" spans="1:47" s="16" customFormat="1" ht="16.899999999999999" customHeight="1">
      <c r="B38" s="89" t="s">
        <v>38</v>
      </c>
      <c r="C38" s="90"/>
      <c r="D38" s="90"/>
      <c r="E38" s="90"/>
      <c r="F38" s="90"/>
      <c r="G38" s="90"/>
      <c r="H38" s="90"/>
      <c r="I38" s="90"/>
      <c r="J38" s="90"/>
      <c r="K38" s="91"/>
      <c r="L38" s="69"/>
      <c r="M38" s="70"/>
      <c r="N38" s="70"/>
      <c r="O38" s="70"/>
      <c r="P38" s="71"/>
      <c r="Q38" s="137"/>
      <c r="R38" s="137"/>
      <c r="S38" s="137"/>
      <c r="T38" s="137"/>
      <c r="U38" s="137"/>
      <c r="V38" s="137"/>
      <c r="W38" s="137"/>
      <c r="X38" s="137"/>
      <c r="Y38" s="137"/>
      <c r="Z38" s="137"/>
      <c r="AA38" s="137"/>
      <c r="AB38" s="137"/>
      <c r="AC38" s="137"/>
      <c r="AD38" s="137"/>
      <c r="AE38" s="137"/>
      <c r="AF38" s="137"/>
      <c r="AG38" s="137"/>
      <c r="AH38" s="137"/>
      <c r="AI38" s="137"/>
      <c r="AJ38" s="137"/>
      <c r="AK38" s="137"/>
      <c r="AL38" s="137"/>
      <c r="AM38" s="137"/>
      <c r="AN38" s="137"/>
      <c r="AO38" s="137"/>
      <c r="AP38" s="137"/>
      <c r="AQ38" s="137"/>
      <c r="AR38" s="137"/>
      <c r="AS38" s="137"/>
      <c r="AT38" s="137"/>
      <c r="AU38" s="137"/>
    </row>
    <row r="39" spans="1:47" s="16" customFormat="1" ht="16.899999999999999" customHeight="1">
      <c r="B39" s="134" t="s">
        <v>39</v>
      </c>
      <c r="C39" s="135"/>
      <c r="D39" s="135"/>
      <c r="E39" s="135"/>
      <c r="F39" s="135"/>
      <c r="G39" s="135"/>
      <c r="H39" s="135"/>
      <c r="I39" s="135"/>
      <c r="J39" s="135"/>
      <c r="K39" s="136"/>
      <c r="L39" s="69"/>
      <c r="M39" s="70"/>
      <c r="N39" s="70"/>
      <c r="O39" s="70"/>
      <c r="P39" s="71"/>
      <c r="Q39" s="137"/>
      <c r="R39" s="137"/>
      <c r="S39" s="137"/>
      <c r="T39" s="137"/>
      <c r="U39" s="137"/>
      <c r="V39" s="137"/>
      <c r="W39" s="137"/>
      <c r="X39" s="137"/>
      <c r="Y39" s="137"/>
      <c r="Z39" s="137"/>
      <c r="AA39" s="137"/>
      <c r="AB39" s="137"/>
      <c r="AC39" s="137"/>
      <c r="AD39" s="137"/>
      <c r="AE39" s="137"/>
      <c r="AF39" s="137"/>
      <c r="AG39" s="137"/>
      <c r="AH39" s="137"/>
      <c r="AI39" s="137"/>
      <c r="AJ39" s="137"/>
      <c r="AK39" s="137"/>
      <c r="AL39" s="137"/>
      <c r="AM39" s="137"/>
      <c r="AN39" s="137"/>
      <c r="AO39" s="137"/>
      <c r="AP39" s="137"/>
      <c r="AQ39" s="137"/>
      <c r="AR39" s="137"/>
      <c r="AS39" s="137"/>
      <c r="AT39" s="137"/>
      <c r="AU39" s="137"/>
    </row>
    <row r="40" spans="1:47" s="16" customFormat="1" ht="50.45" customHeight="1">
      <c r="B40" s="89" t="s">
        <v>40</v>
      </c>
      <c r="C40" s="90"/>
      <c r="D40" s="90"/>
      <c r="E40" s="90"/>
      <c r="F40" s="90"/>
      <c r="G40" s="90"/>
      <c r="H40" s="90"/>
      <c r="I40" s="90"/>
      <c r="J40" s="90"/>
      <c r="K40" s="91"/>
      <c r="L40" s="69"/>
      <c r="M40" s="70"/>
      <c r="N40" s="70"/>
      <c r="O40" s="70"/>
      <c r="P40" s="71"/>
      <c r="Q40" s="137"/>
      <c r="R40" s="137"/>
      <c r="S40" s="137"/>
      <c r="T40" s="137"/>
      <c r="U40" s="137"/>
      <c r="V40" s="137"/>
      <c r="W40" s="137"/>
      <c r="X40" s="137"/>
      <c r="Y40" s="137"/>
      <c r="Z40" s="137"/>
      <c r="AA40" s="137"/>
      <c r="AB40" s="137"/>
      <c r="AC40" s="137"/>
      <c r="AD40" s="137"/>
      <c r="AE40" s="137"/>
      <c r="AF40" s="137"/>
      <c r="AG40" s="137"/>
      <c r="AH40" s="137"/>
      <c r="AI40" s="137"/>
      <c r="AJ40" s="137"/>
      <c r="AK40" s="137"/>
      <c r="AL40" s="137"/>
      <c r="AM40" s="137"/>
      <c r="AN40" s="137"/>
      <c r="AO40" s="137"/>
      <c r="AP40" s="137"/>
      <c r="AQ40" s="137"/>
      <c r="AR40" s="137"/>
      <c r="AS40" s="137"/>
      <c r="AT40" s="137"/>
      <c r="AU40" s="137"/>
    </row>
    <row r="41" spans="1:47" s="16" customFormat="1" ht="16.899999999999999" customHeight="1">
      <c r="A41" s="26"/>
      <c r="B41" s="26"/>
      <c r="C41" s="26"/>
      <c r="D41" s="26"/>
      <c r="E41" s="26"/>
      <c r="F41" s="26"/>
      <c r="G41" s="26"/>
      <c r="H41" s="26"/>
      <c r="I41" s="26"/>
      <c r="J41" s="26"/>
      <c r="K41" s="26"/>
      <c r="L41" s="26"/>
      <c r="M41" s="26"/>
      <c r="N41" s="26"/>
      <c r="O41" s="26"/>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row>
    <row r="42" spans="1:47" s="7" customFormat="1" ht="16.899999999999999" customHeight="1">
      <c r="A42" s="10"/>
      <c r="B42" s="9" t="s">
        <v>41</v>
      </c>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c r="AF42" s="28"/>
      <c r="AG42" s="10"/>
      <c r="AH42" s="10"/>
      <c r="AI42" s="10"/>
      <c r="AJ42" s="10"/>
      <c r="AK42" s="10"/>
      <c r="AL42" s="10"/>
      <c r="AM42" s="10"/>
      <c r="AN42" s="10"/>
      <c r="AO42" s="10"/>
      <c r="AP42" s="10"/>
      <c r="AQ42" s="10"/>
      <c r="AR42" s="10"/>
      <c r="AS42" s="10"/>
      <c r="AT42" s="10"/>
      <c r="AU42" s="10"/>
    </row>
    <row r="43" spans="1:47" s="16" customFormat="1" ht="16.899999999999999" customHeight="1">
      <c r="A43" s="26"/>
      <c r="B43" s="72" t="s">
        <v>42</v>
      </c>
      <c r="C43" s="73"/>
      <c r="D43" s="73"/>
      <c r="E43" s="73"/>
      <c r="F43" s="73"/>
      <c r="G43" s="73"/>
      <c r="H43" s="73"/>
      <c r="I43" s="73"/>
      <c r="J43" s="73"/>
      <c r="K43" s="74"/>
      <c r="L43" s="72" t="s">
        <v>43</v>
      </c>
      <c r="M43" s="76"/>
      <c r="N43" s="76"/>
      <c r="O43" s="76"/>
      <c r="P43" s="77"/>
      <c r="Q43" s="72" t="s">
        <v>44</v>
      </c>
      <c r="R43" s="76"/>
      <c r="S43" s="76"/>
      <c r="T43" s="76"/>
      <c r="U43" s="77"/>
      <c r="V43" s="72" t="s">
        <v>31</v>
      </c>
      <c r="W43" s="73"/>
      <c r="X43" s="73"/>
      <c r="Y43" s="73"/>
      <c r="Z43" s="73"/>
      <c r="AA43" s="73"/>
      <c r="AB43" s="73"/>
      <c r="AC43" s="73"/>
      <c r="AD43" s="73"/>
      <c r="AE43" s="73"/>
      <c r="AF43" s="73"/>
      <c r="AG43" s="73"/>
      <c r="AH43" s="73"/>
      <c r="AI43" s="73"/>
      <c r="AJ43" s="73"/>
      <c r="AK43" s="73"/>
      <c r="AL43" s="73"/>
      <c r="AM43" s="73"/>
      <c r="AN43" s="73"/>
      <c r="AO43" s="73"/>
      <c r="AP43" s="73"/>
      <c r="AQ43" s="73"/>
      <c r="AR43" s="73"/>
      <c r="AS43" s="73"/>
      <c r="AT43" s="73"/>
      <c r="AU43" s="74"/>
    </row>
    <row r="44" spans="1:47" s="16" customFormat="1" ht="16.899999999999999" customHeight="1">
      <c r="A44" s="26"/>
      <c r="B44" s="89" t="s">
        <v>45</v>
      </c>
      <c r="C44" s="90"/>
      <c r="D44" s="90"/>
      <c r="E44" s="90"/>
      <c r="F44" s="90"/>
      <c r="G44" s="90"/>
      <c r="H44" s="90"/>
      <c r="I44" s="90"/>
      <c r="J44" s="90"/>
      <c r="K44" s="91"/>
      <c r="L44" s="69"/>
      <c r="M44" s="70"/>
      <c r="N44" s="70"/>
      <c r="O44" s="70"/>
      <c r="P44" s="71"/>
      <c r="Q44" s="69"/>
      <c r="R44" s="70"/>
      <c r="S44" s="70"/>
      <c r="T44" s="70"/>
      <c r="U44" s="71"/>
      <c r="V44" s="69"/>
      <c r="W44" s="70"/>
      <c r="X44" s="70"/>
      <c r="Y44" s="70"/>
      <c r="Z44" s="70"/>
      <c r="AA44" s="70"/>
      <c r="AB44" s="70"/>
      <c r="AC44" s="70"/>
      <c r="AD44" s="70"/>
      <c r="AE44" s="70"/>
      <c r="AF44" s="70"/>
      <c r="AG44" s="70"/>
      <c r="AH44" s="70"/>
      <c r="AI44" s="70"/>
      <c r="AJ44" s="70"/>
      <c r="AK44" s="70"/>
      <c r="AL44" s="70"/>
      <c r="AM44" s="70"/>
      <c r="AN44" s="70"/>
      <c r="AO44" s="70"/>
      <c r="AP44" s="70"/>
      <c r="AQ44" s="70"/>
      <c r="AR44" s="70"/>
      <c r="AS44" s="70"/>
      <c r="AT44" s="70"/>
      <c r="AU44" s="71"/>
    </row>
    <row r="45" spans="1:47" s="16" customFormat="1" ht="16.899999999999999" customHeight="1">
      <c r="A45" s="26"/>
      <c r="B45" s="89" t="s">
        <v>46</v>
      </c>
      <c r="C45" s="90"/>
      <c r="D45" s="90"/>
      <c r="E45" s="90"/>
      <c r="F45" s="90"/>
      <c r="G45" s="90"/>
      <c r="H45" s="90"/>
      <c r="I45" s="90"/>
      <c r="J45" s="90"/>
      <c r="K45" s="91"/>
      <c r="L45" s="69"/>
      <c r="M45" s="70"/>
      <c r="N45" s="70"/>
      <c r="O45" s="70"/>
      <c r="P45" s="71"/>
      <c r="Q45" s="69"/>
      <c r="R45" s="70"/>
      <c r="S45" s="70"/>
      <c r="T45" s="70"/>
      <c r="U45" s="71"/>
      <c r="V45" s="69"/>
      <c r="W45" s="70"/>
      <c r="X45" s="70"/>
      <c r="Y45" s="70"/>
      <c r="Z45" s="70"/>
      <c r="AA45" s="70"/>
      <c r="AB45" s="70"/>
      <c r="AC45" s="70"/>
      <c r="AD45" s="70"/>
      <c r="AE45" s="70"/>
      <c r="AF45" s="70"/>
      <c r="AG45" s="70"/>
      <c r="AH45" s="70"/>
      <c r="AI45" s="70"/>
      <c r="AJ45" s="70"/>
      <c r="AK45" s="70"/>
      <c r="AL45" s="70"/>
      <c r="AM45" s="70"/>
      <c r="AN45" s="70"/>
      <c r="AO45" s="70"/>
      <c r="AP45" s="70"/>
      <c r="AQ45" s="70"/>
      <c r="AR45" s="70"/>
      <c r="AS45" s="70"/>
      <c r="AT45" s="70"/>
      <c r="AU45" s="71"/>
    </row>
    <row r="46" spans="1:47" s="16" customFormat="1" ht="16.899999999999999" customHeight="1">
      <c r="A46" s="26"/>
      <c r="B46" s="134" t="s">
        <v>39</v>
      </c>
      <c r="C46" s="135"/>
      <c r="D46" s="135"/>
      <c r="E46" s="135"/>
      <c r="F46" s="135"/>
      <c r="G46" s="135"/>
      <c r="H46" s="135"/>
      <c r="I46" s="135"/>
      <c r="J46" s="135"/>
      <c r="K46" s="136"/>
      <c r="L46" s="69"/>
      <c r="M46" s="70"/>
      <c r="N46" s="70"/>
      <c r="O46" s="70"/>
      <c r="P46" s="71"/>
      <c r="Q46" s="69"/>
      <c r="R46" s="70"/>
      <c r="S46" s="70"/>
      <c r="T46" s="70"/>
      <c r="U46" s="71"/>
      <c r="V46" s="69"/>
      <c r="W46" s="70"/>
      <c r="X46" s="70"/>
      <c r="Y46" s="70"/>
      <c r="Z46" s="70"/>
      <c r="AA46" s="70"/>
      <c r="AB46" s="70"/>
      <c r="AC46" s="70"/>
      <c r="AD46" s="70"/>
      <c r="AE46" s="70"/>
      <c r="AF46" s="70"/>
      <c r="AG46" s="70"/>
      <c r="AH46" s="70"/>
      <c r="AI46" s="70"/>
      <c r="AJ46" s="70"/>
      <c r="AK46" s="70"/>
      <c r="AL46" s="70"/>
      <c r="AM46" s="70"/>
      <c r="AN46" s="70"/>
      <c r="AO46" s="70"/>
      <c r="AP46" s="70"/>
      <c r="AQ46" s="70"/>
      <c r="AR46" s="70"/>
      <c r="AS46" s="70"/>
      <c r="AT46" s="70"/>
      <c r="AU46" s="71"/>
    </row>
    <row r="47" spans="1:47" s="16" customFormat="1" ht="16.899999999999999" customHeight="1">
      <c r="A47" s="26"/>
      <c r="B47" s="89" t="s">
        <v>47</v>
      </c>
      <c r="C47" s="90"/>
      <c r="D47" s="90"/>
      <c r="E47" s="90"/>
      <c r="F47" s="90"/>
      <c r="G47" s="90"/>
      <c r="H47" s="90"/>
      <c r="I47" s="90"/>
      <c r="J47" s="90"/>
      <c r="K47" s="91"/>
      <c r="L47" s="69"/>
      <c r="M47" s="70"/>
      <c r="N47" s="70"/>
      <c r="O47" s="70"/>
      <c r="P47" s="71"/>
      <c r="Q47" s="69"/>
      <c r="R47" s="70"/>
      <c r="S47" s="70"/>
      <c r="T47" s="70"/>
      <c r="U47" s="71"/>
      <c r="V47" s="69"/>
      <c r="W47" s="70"/>
      <c r="X47" s="70"/>
      <c r="Y47" s="70"/>
      <c r="Z47" s="70"/>
      <c r="AA47" s="70"/>
      <c r="AB47" s="70"/>
      <c r="AC47" s="70"/>
      <c r="AD47" s="70"/>
      <c r="AE47" s="70"/>
      <c r="AF47" s="70"/>
      <c r="AG47" s="70"/>
      <c r="AH47" s="70"/>
      <c r="AI47" s="70"/>
      <c r="AJ47" s="70"/>
      <c r="AK47" s="70"/>
      <c r="AL47" s="70"/>
      <c r="AM47" s="70"/>
      <c r="AN47" s="70"/>
      <c r="AO47" s="70"/>
      <c r="AP47" s="70"/>
      <c r="AQ47" s="70"/>
      <c r="AR47" s="70"/>
      <c r="AS47" s="70"/>
      <c r="AT47" s="70"/>
      <c r="AU47" s="71"/>
    </row>
    <row r="48" spans="1:47" s="16" customFormat="1" ht="16.899999999999999" customHeight="1">
      <c r="A48" s="26"/>
      <c r="B48" s="89" t="s">
        <v>48</v>
      </c>
      <c r="C48" s="90"/>
      <c r="D48" s="90"/>
      <c r="E48" s="90"/>
      <c r="F48" s="90"/>
      <c r="G48" s="90"/>
      <c r="H48" s="90"/>
      <c r="I48" s="90"/>
      <c r="J48" s="90"/>
      <c r="K48" s="91"/>
      <c r="L48" s="69"/>
      <c r="M48" s="70"/>
      <c r="N48" s="70"/>
      <c r="O48" s="70"/>
      <c r="P48" s="71"/>
      <c r="Q48" s="69"/>
      <c r="R48" s="70"/>
      <c r="S48" s="70"/>
      <c r="T48" s="70"/>
      <c r="U48" s="71"/>
      <c r="V48" s="69"/>
      <c r="W48" s="70"/>
      <c r="X48" s="70"/>
      <c r="Y48" s="70"/>
      <c r="Z48" s="70"/>
      <c r="AA48" s="70"/>
      <c r="AB48" s="70"/>
      <c r="AC48" s="70"/>
      <c r="AD48" s="70"/>
      <c r="AE48" s="70"/>
      <c r="AF48" s="70"/>
      <c r="AG48" s="70"/>
      <c r="AH48" s="70"/>
      <c r="AI48" s="70"/>
      <c r="AJ48" s="70"/>
      <c r="AK48" s="70"/>
      <c r="AL48" s="70"/>
      <c r="AM48" s="70"/>
      <c r="AN48" s="70"/>
      <c r="AO48" s="70"/>
      <c r="AP48" s="70"/>
      <c r="AQ48" s="70"/>
      <c r="AR48" s="70"/>
      <c r="AS48" s="70"/>
      <c r="AT48" s="70"/>
      <c r="AU48" s="71"/>
    </row>
    <row r="49" spans="1:47" s="16" customFormat="1" ht="16.899999999999999" customHeight="1">
      <c r="A49" s="26"/>
      <c r="B49" s="89" t="s">
        <v>49</v>
      </c>
      <c r="C49" s="90"/>
      <c r="D49" s="90"/>
      <c r="E49" s="90"/>
      <c r="F49" s="90"/>
      <c r="G49" s="90"/>
      <c r="H49" s="90"/>
      <c r="I49" s="90"/>
      <c r="J49" s="90"/>
      <c r="K49" s="91"/>
      <c r="L49" s="69"/>
      <c r="M49" s="70"/>
      <c r="N49" s="70"/>
      <c r="O49" s="70"/>
      <c r="P49" s="71"/>
      <c r="Q49" s="69"/>
      <c r="R49" s="70"/>
      <c r="S49" s="70"/>
      <c r="T49" s="70"/>
      <c r="U49" s="71"/>
      <c r="V49" s="69"/>
      <c r="W49" s="70"/>
      <c r="X49" s="70"/>
      <c r="Y49" s="70"/>
      <c r="Z49" s="70"/>
      <c r="AA49" s="70"/>
      <c r="AB49" s="70"/>
      <c r="AC49" s="70"/>
      <c r="AD49" s="70"/>
      <c r="AE49" s="70"/>
      <c r="AF49" s="70"/>
      <c r="AG49" s="70"/>
      <c r="AH49" s="70"/>
      <c r="AI49" s="70"/>
      <c r="AJ49" s="70"/>
      <c r="AK49" s="70"/>
      <c r="AL49" s="70"/>
      <c r="AM49" s="70"/>
      <c r="AN49" s="70"/>
      <c r="AO49" s="70"/>
      <c r="AP49" s="70"/>
      <c r="AQ49" s="70"/>
      <c r="AR49" s="70"/>
      <c r="AS49" s="70"/>
      <c r="AT49" s="70"/>
      <c r="AU49" s="71"/>
    </row>
    <row r="50" spans="1:47" s="16" customFormat="1" ht="16.899999999999999" customHeight="1">
      <c r="A50" s="26"/>
      <c r="B50" s="89" t="s">
        <v>50</v>
      </c>
      <c r="C50" s="90"/>
      <c r="D50" s="90"/>
      <c r="E50" s="90"/>
      <c r="F50" s="90"/>
      <c r="G50" s="90"/>
      <c r="H50" s="90"/>
      <c r="I50" s="90"/>
      <c r="J50" s="90"/>
      <c r="K50" s="91"/>
      <c r="L50" s="69"/>
      <c r="M50" s="70"/>
      <c r="N50" s="70"/>
      <c r="O50" s="70"/>
      <c r="P50" s="71"/>
      <c r="Q50" s="69"/>
      <c r="R50" s="70"/>
      <c r="S50" s="70"/>
      <c r="T50" s="70"/>
      <c r="U50" s="71"/>
      <c r="V50" s="69"/>
      <c r="W50" s="70"/>
      <c r="X50" s="70"/>
      <c r="Y50" s="70"/>
      <c r="Z50" s="70"/>
      <c r="AA50" s="70"/>
      <c r="AB50" s="70"/>
      <c r="AC50" s="70"/>
      <c r="AD50" s="70"/>
      <c r="AE50" s="70"/>
      <c r="AF50" s="70"/>
      <c r="AG50" s="70"/>
      <c r="AH50" s="70"/>
      <c r="AI50" s="70"/>
      <c r="AJ50" s="70"/>
      <c r="AK50" s="70"/>
      <c r="AL50" s="70"/>
      <c r="AM50" s="70"/>
      <c r="AN50" s="70"/>
      <c r="AO50" s="70"/>
      <c r="AP50" s="70"/>
      <c r="AQ50" s="70"/>
      <c r="AR50" s="70"/>
      <c r="AS50" s="70"/>
      <c r="AT50" s="70"/>
      <c r="AU50" s="71"/>
    </row>
    <row r="51" spans="1:47" s="16" customFormat="1" ht="16.899999999999999" customHeight="1">
      <c r="A51" s="26"/>
      <c r="B51" s="89" t="s">
        <v>51</v>
      </c>
      <c r="C51" s="90"/>
      <c r="D51" s="90"/>
      <c r="E51" s="90"/>
      <c r="F51" s="90"/>
      <c r="G51" s="90"/>
      <c r="H51" s="90"/>
      <c r="I51" s="90"/>
      <c r="J51" s="90"/>
      <c r="K51" s="91"/>
      <c r="L51" s="69"/>
      <c r="M51" s="70"/>
      <c r="N51" s="70"/>
      <c r="O51" s="70"/>
      <c r="P51" s="71"/>
      <c r="Q51" s="69"/>
      <c r="R51" s="70"/>
      <c r="S51" s="70"/>
      <c r="T51" s="70"/>
      <c r="U51" s="71"/>
      <c r="V51" s="69"/>
      <c r="W51" s="70"/>
      <c r="X51" s="70"/>
      <c r="Y51" s="70"/>
      <c r="Z51" s="70"/>
      <c r="AA51" s="70"/>
      <c r="AB51" s="70"/>
      <c r="AC51" s="70"/>
      <c r="AD51" s="70"/>
      <c r="AE51" s="70"/>
      <c r="AF51" s="70"/>
      <c r="AG51" s="70"/>
      <c r="AH51" s="70"/>
      <c r="AI51" s="70"/>
      <c r="AJ51" s="70"/>
      <c r="AK51" s="70"/>
      <c r="AL51" s="70"/>
      <c r="AM51" s="70"/>
      <c r="AN51" s="70"/>
      <c r="AO51" s="70"/>
      <c r="AP51" s="70"/>
      <c r="AQ51" s="70"/>
      <c r="AR51" s="70"/>
      <c r="AS51" s="70"/>
      <c r="AT51" s="70"/>
      <c r="AU51" s="71"/>
    </row>
    <row r="52" spans="1:47" s="16" customFormat="1" ht="16.899999999999999" customHeight="1">
      <c r="A52" s="26"/>
      <c r="B52" s="89" t="s">
        <v>52</v>
      </c>
      <c r="C52" s="90"/>
      <c r="D52" s="90"/>
      <c r="E52" s="90"/>
      <c r="F52" s="90"/>
      <c r="G52" s="90"/>
      <c r="H52" s="90"/>
      <c r="I52" s="90"/>
      <c r="J52" s="90"/>
      <c r="K52" s="91"/>
      <c r="L52" s="69"/>
      <c r="M52" s="70"/>
      <c r="N52" s="70"/>
      <c r="O52" s="70"/>
      <c r="P52" s="71"/>
      <c r="Q52" s="69"/>
      <c r="R52" s="70"/>
      <c r="S52" s="70"/>
      <c r="T52" s="70"/>
      <c r="U52" s="71"/>
      <c r="V52" s="69"/>
      <c r="W52" s="70"/>
      <c r="X52" s="70"/>
      <c r="Y52" s="70"/>
      <c r="Z52" s="70"/>
      <c r="AA52" s="70"/>
      <c r="AB52" s="70"/>
      <c r="AC52" s="70"/>
      <c r="AD52" s="70"/>
      <c r="AE52" s="70"/>
      <c r="AF52" s="70"/>
      <c r="AG52" s="70"/>
      <c r="AH52" s="70"/>
      <c r="AI52" s="70"/>
      <c r="AJ52" s="70"/>
      <c r="AK52" s="70"/>
      <c r="AL52" s="70"/>
      <c r="AM52" s="70"/>
      <c r="AN52" s="70"/>
      <c r="AO52" s="70"/>
      <c r="AP52" s="70"/>
      <c r="AQ52" s="70"/>
      <c r="AR52" s="70"/>
      <c r="AS52" s="70"/>
      <c r="AT52" s="70"/>
      <c r="AU52" s="71"/>
    </row>
    <row r="53" spans="1:47" s="16" customFormat="1" ht="16.899999999999999" customHeight="1">
      <c r="A53" s="26"/>
      <c r="B53" s="89" t="s">
        <v>53</v>
      </c>
      <c r="C53" s="90"/>
      <c r="D53" s="90"/>
      <c r="E53" s="90"/>
      <c r="F53" s="90"/>
      <c r="G53" s="90"/>
      <c r="H53" s="90"/>
      <c r="I53" s="90"/>
      <c r="J53" s="90"/>
      <c r="K53" s="91"/>
      <c r="L53" s="69"/>
      <c r="M53" s="70"/>
      <c r="N53" s="70"/>
      <c r="O53" s="70"/>
      <c r="P53" s="71"/>
      <c r="Q53" s="69"/>
      <c r="R53" s="70"/>
      <c r="S53" s="70"/>
      <c r="T53" s="70"/>
      <c r="U53" s="71"/>
      <c r="V53" s="69"/>
      <c r="W53" s="70"/>
      <c r="X53" s="70"/>
      <c r="Y53" s="70"/>
      <c r="Z53" s="70"/>
      <c r="AA53" s="70"/>
      <c r="AB53" s="70"/>
      <c r="AC53" s="70"/>
      <c r="AD53" s="70"/>
      <c r="AE53" s="70"/>
      <c r="AF53" s="70"/>
      <c r="AG53" s="70"/>
      <c r="AH53" s="70"/>
      <c r="AI53" s="70"/>
      <c r="AJ53" s="70"/>
      <c r="AK53" s="70"/>
      <c r="AL53" s="70"/>
      <c r="AM53" s="70"/>
      <c r="AN53" s="70"/>
      <c r="AO53" s="70"/>
      <c r="AP53" s="70"/>
      <c r="AQ53" s="70"/>
      <c r="AR53" s="70"/>
      <c r="AS53" s="70"/>
      <c r="AT53" s="70"/>
      <c r="AU53" s="71"/>
    </row>
    <row r="54" spans="1:47" s="16" customFormat="1" ht="16.899999999999999" customHeight="1">
      <c r="A54" s="26"/>
      <c r="B54" s="89" t="s">
        <v>54</v>
      </c>
      <c r="C54" s="90"/>
      <c r="D54" s="90"/>
      <c r="E54" s="90"/>
      <c r="F54" s="90"/>
      <c r="G54" s="90"/>
      <c r="H54" s="90"/>
      <c r="I54" s="90"/>
      <c r="J54" s="90"/>
      <c r="K54" s="91"/>
      <c r="L54" s="69"/>
      <c r="M54" s="70"/>
      <c r="N54" s="70"/>
      <c r="O54" s="70"/>
      <c r="P54" s="71"/>
      <c r="Q54" s="69"/>
      <c r="R54" s="70"/>
      <c r="S54" s="70"/>
      <c r="T54" s="70"/>
      <c r="U54" s="71"/>
      <c r="V54" s="69"/>
      <c r="W54" s="70"/>
      <c r="X54" s="70"/>
      <c r="Y54" s="70"/>
      <c r="Z54" s="70"/>
      <c r="AA54" s="70"/>
      <c r="AB54" s="70"/>
      <c r="AC54" s="70"/>
      <c r="AD54" s="70"/>
      <c r="AE54" s="70"/>
      <c r="AF54" s="70"/>
      <c r="AG54" s="70"/>
      <c r="AH54" s="70"/>
      <c r="AI54" s="70"/>
      <c r="AJ54" s="70"/>
      <c r="AK54" s="70"/>
      <c r="AL54" s="70"/>
      <c r="AM54" s="70"/>
      <c r="AN54" s="70"/>
      <c r="AO54" s="70"/>
      <c r="AP54" s="70"/>
      <c r="AQ54" s="70"/>
      <c r="AR54" s="70"/>
      <c r="AS54" s="70"/>
      <c r="AT54" s="70"/>
      <c r="AU54" s="71"/>
    </row>
    <row r="55" spans="1:47" s="16" customFormat="1" ht="16.899999999999999" customHeight="1">
      <c r="A55" s="26"/>
      <c r="B55" s="89" t="s">
        <v>55</v>
      </c>
      <c r="C55" s="90"/>
      <c r="D55" s="90"/>
      <c r="E55" s="90"/>
      <c r="F55" s="90"/>
      <c r="G55" s="90"/>
      <c r="H55" s="90"/>
      <c r="I55" s="90"/>
      <c r="J55" s="90"/>
      <c r="K55" s="91"/>
      <c r="L55" s="69"/>
      <c r="M55" s="70"/>
      <c r="N55" s="70"/>
      <c r="O55" s="70"/>
      <c r="P55" s="71"/>
      <c r="Q55" s="69"/>
      <c r="R55" s="70"/>
      <c r="S55" s="70"/>
      <c r="T55" s="70"/>
      <c r="U55" s="71"/>
      <c r="V55" s="69"/>
      <c r="W55" s="70"/>
      <c r="X55" s="70"/>
      <c r="Y55" s="70"/>
      <c r="Z55" s="70"/>
      <c r="AA55" s="70"/>
      <c r="AB55" s="70"/>
      <c r="AC55" s="70"/>
      <c r="AD55" s="70"/>
      <c r="AE55" s="70"/>
      <c r="AF55" s="70"/>
      <c r="AG55" s="70"/>
      <c r="AH55" s="70"/>
      <c r="AI55" s="70"/>
      <c r="AJ55" s="70"/>
      <c r="AK55" s="70"/>
      <c r="AL55" s="70"/>
      <c r="AM55" s="70"/>
      <c r="AN55" s="70"/>
      <c r="AO55" s="70"/>
      <c r="AP55" s="70"/>
      <c r="AQ55" s="70"/>
      <c r="AR55" s="70"/>
      <c r="AS55" s="70"/>
      <c r="AT55" s="70"/>
      <c r="AU55" s="71"/>
    </row>
    <row r="56" spans="1:47" s="16" customFormat="1" ht="16.899999999999999" customHeight="1">
      <c r="A56" s="26"/>
      <c r="B56" s="89" t="s">
        <v>56</v>
      </c>
      <c r="C56" s="90"/>
      <c r="D56" s="90"/>
      <c r="E56" s="90"/>
      <c r="F56" s="90"/>
      <c r="G56" s="90"/>
      <c r="H56" s="90"/>
      <c r="I56" s="90"/>
      <c r="J56" s="90"/>
      <c r="K56" s="91"/>
      <c r="L56" s="69"/>
      <c r="M56" s="70"/>
      <c r="N56" s="70"/>
      <c r="O56" s="70"/>
      <c r="P56" s="71"/>
      <c r="Q56" s="69"/>
      <c r="R56" s="70"/>
      <c r="S56" s="70"/>
      <c r="T56" s="70"/>
      <c r="U56" s="71"/>
      <c r="V56" s="69"/>
      <c r="W56" s="70"/>
      <c r="X56" s="70"/>
      <c r="Y56" s="70"/>
      <c r="Z56" s="70"/>
      <c r="AA56" s="70"/>
      <c r="AB56" s="70"/>
      <c r="AC56" s="70"/>
      <c r="AD56" s="70"/>
      <c r="AE56" s="70"/>
      <c r="AF56" s="70"/>
      <c r="AG56" s="70"/>
      <c r="AH56" s="70"/>
      <c r="AI56" s="70"/>
      <c r="AJ56" s="70"/>
      <c r="AK56" s="70"/>
      <c r="AL56" s="70"/>
      <c r="AM56" s="70"/>
      <c r="AN56" s="70"/>
      <c r="AO56" s="70"/>
      <c r="AP56" s="70"/>
      <c r="AQ56" s="70"/>
      <c r="AR56" s="70"/>
      <c r="AS56" s="70"/>
      <c r="AT56" s="70"/>
      <c r="AU56" s="71"/>
    </row>
    <row r="57" spans="1:47" s="16" customFormat="1" ht="16.899999999999999" customHeight="1">
      <c r="A57" s="26"/>
      <c r="B57" s="131" t="s">
        <v>57</v>
      </c>
      <c r="C57" s="132"/>
      <c r="D57" s="132"/>
      <c r="E57" s="132"/>
      <c r="F57" s="132"/>
      <c r="G57" s="132"/>
      <c r="H57" s="132"/>
      <c r="I57" s="132"/>
      <c r="J57" s="132"/>
      <c r="K57" s="133"/>
      <c r="L57" s="69"/>
      <c r="M57" s="70"/>
      <c r="N57" s="70"/>
      <c r="O57" s="70"/>
      <c r="P57" s="71"/>
      <c r="Q57" s="69"/>
      <c r="R57" s="70"/>
      <c r="S57" s="70"/>
      <c r="T57" s="70"/>
      <c r="U57" s="71"/>
      <c r="V57" s="69"/>
      <c r="W57" s="70"/>
      <c r="X57" s="70"/>
      <c r="Y57" s="70"/>
      <c r="Z57" s="70"/>
      <c r="AA57" s="70"/>
      <c r="AB57" s="70"/>
      <c r="AC57" s="70"/>
      <c r="AD57" s="70"/>
      <c r="AE57" s="70"/>
      <c r="AF57" s="70"/>
      <c r="AG57" s="70"/>
      <c r="AH57" s="70"/>
      <c r="AI57" s="70"/>
      <c r="AJ57" s="70"/>
      <c r="AK57" s="70"/>
      <c r="AL57" s="70"/>
      <c r="AM57" s="70"/>
      <c r="AN57" s="70"/>
      <c r="AO57" s="70"/>
      <c r="AP57" s="70"/>
      <c r="AQ57" s="70"/>
      <c r="AR57" s="70"/>
      <c r="AS57" s="70"/>
      <c r="AT57" s="70"/>
      <c r="AU57" s="71"/>
    </row>
    <row r="58" spans="1:47" s="16" customFormat="1" ht="50.45" customHeight="1">
      <c r="A58" s="26"/>
      <c r="B58" s="89" t="s">
        <v>40</v>
      </c>
      <c r="C58" s="90"/>
      <c r="D58" s="90"/>
      <c r="E58" s="90"/>
      <c r="F58" s="90"/>
      <c r="G58" s="90"/>
      <c r="H58" s="90"/>
      <c r="I58" s="90"/>
      <c r="J58" s="90"/>
      <c r="K58" s="91"/>
      <c r="L58" s="69"/>
      <c r="M58" s="70"/>
      <c r="N58" s="70"/>
      <c r="O58" s="70"/>
      <c r="P58" s="71"/>
      <c r="Q58" s="69"/>
      <c r="R58" s="70"/>
      <c r="S58" s="70"/>
      <c r="T58" s="70"/>
      <c r="U58" s="71"/>
      <c r="V58" s="69"/>
      <c r="W58" s="70"/>
      <c r="X58" s="70"/>
      <c r="Y58" s="70"/>
      <c r="Z58" s="70"/>
      <c r="AA58" s="70"/>
      <c r="AB58" s="70"/>
      <c r="AC58" s="70"/>
      <c r="AD58" s="70"/>
      <c r="AE58" s="70"/>
      <c r="AF58" s="70"/>
      <c r="AG58" s="70"/>
      <c r="AH58" s="70"/>
      <c r="AI58" s="70"/>
      <c r="AJ58" s="70"/>
      <c r="AK58" s="70"/>
      <c r="AL58" s="70"/>
      <c r="AM58" s="70"/>
      <c r="AN58" s="70"/>
      <c r="AO58" s="70"/>
      <c r="AP58" s="70"/>
      <c r="AQ58" s="70"/>
      <c r="AR58" s="70"/>
      <c r="AS58" s="70"/>
      <c r="AT58" s="70"/>
      <c r="AU58" s="71"/>
    </row>
    <row r="59" spans="1:47" s="16" customFormat="1" ht="16.899999999999999" customHeight="1">
      <c r="A59" s="26"/>
      <c r="B59" s="26"/>
      <c r="C59" s="26"/>
      <c r="D59" s="26"/>
      <c r="E59" s="26"/>
      <c r="F59" s="26"/>
      <c r="G59" s="26"/>
      <c r="H59" s="26"/>
      <c r="I59" s="26"/>
      <c r="J59" s="26"/>
      <c r="K59" s="26"/>
      <c r="L59" s="26"/>
      <c r="M59" s="26"/>
      <c r="N59" s="26"/>
      <c r="O59" s="26"/>
      <c r="P59" s="26"/>
      <c r="Q59" s="26"/>
      <c r="R59" s="26"/>
      <c r="S59" s="26"/>
      <c r="T59" s="26"/>
      <c r="U59" s="26"/>
      <c r="V59" s="26"/>
      <c r="W59" s="26"/>
      <c r="X59" s="26"/>
      <c r="Y59" s="29"/>
      <c r="Z59" s="29"/>
      <c r="AA59" s="29"/>
      <c r="AB59" s="29"/>
      <c r="AC59" s="29"/>
      <c r="AD59" s="29"/>
      <c r="AE59" s="29"/>
      <c r="AF59" s="29"/>
      <c r="AG59" s="29"/>
      <c r="AH59" s="29"/>
      <c r="AI59" s="29"/>
      <c r="AJ59" s="29"/>
      <c r="AK59" s="29"/>
      <c r="AL59" s="29"/>
      <c r="AM59" s="29"/>
      <c r="AN59" s="29"/>
      <c r="AO59" s="29"/>
      <c r="AP59" s="29"/>
      <c r="AQ59" s="29"/>
      <c r="AR59" s="29"/>
      <c r="AS59" s="29"/>
      <c r="AT59" s="29"/>
      <c r="AU59" s="29"/>
    </row>
    <row r="60" spans="1:47" s="12" customFormat="1" ht="16.899999999999999" customHeight="1">
      <c r="B60" s="11" t="s">
        <v>58</v>
      </c>
    </row>
    <row r="61" spans="1:47" s="16" customFormat="1" ht="16.899999999999999" customHeight="1">
      <c r="A61" s="26"/>
      <c r="B61" s="116" t="s">
        <v>59</v>
      </c>
      <c r="C61" s="117"/>
      <c r="D61" s="117"/>
      <c r="E61" s="117"/>
      <c r="F61" s="117"/>
      <c r="G61" s="117"/>
      <c r="H61" s="117"/>
      <c r="I61" s="117"/>
      <c r="J61" s="117"/>
      <c r="K61" s="117"/>
      <c r="L61" s="118"/>
      <c r="M61" s="118"/>
      <c r="N61" s="118"/>
      <c r="O61" s="118"/>
      <c r="P61" s="118"/>
      <c r="Q61" s="118"/>
      <c r="R61" s="118"/>
      <c r="S61" s="118"/>
      <c r="T61" s="118"/>
      <c r="U61" s="118"/>
      <c r="V61" s="118"/>
      <c r="W61" s="118"/>
      <c r="X61" s="118"/>
      <c r="Y61" s="116" t="s">
        <v>60</v>
      </c>
      <c r="Z61" s="117"/>
      <c r="AA61" s="117"/>
      <c r="AB61" s="117"/>
      <c r="AC61" s="117"/>
      <c r="AD61" s="117"/>
      <c r="AE61" s="117"/>
      <c r="AF61" s="117"/>
      <c r="AG61" s="117"/>
      <c r="AH61" s="119"/>
      <c r="AI61" s="118"/>
      <c r="AJ61" s="118"/>
      <c r="AK61" s="118"/>
      <c r="AL61" s="118"/>
      <c r="AM61" s="118"/>
      <c r="AN61" s="118"/>
      <c r="AO61" s="118"/>
      <c r="AP61" s="118"/>
      <c r="AQ61" s="118"/>
      <c r="AR61" s="118"/>
      <c r="AS61" s="118"/>
      <c r="AT61" s="118"/>
      <c r="AU61" s="118"/>
    </row>
    <row r="62" spans="1:47" s="16" customFormat="1" ht="16.899999999999999" customHeight="1">
      <c r="A62" s="26"/>
      <c r="B62" s="113" t="s">
        <v>61</v>
      </c>
      <c r="C62" s="114"/>
      <c r="D62" s="114"/>
      <c r="E62" s="114"/>
      <c r="F62" s="114"/>
      <c r="G62" s="114"/>
      <c r="H62" s="114"/>
      <c r="I62" s="114"/>
      <c r="J62" s="114"/>
      <c r="K62" s="115"/>
      <c r="L62" s="120"/>
      <c r="M62" s="121"/>
      <c r="N62" s="121"/>
      <c r="O62" s="121"/>
      <c r="P62" s="121"/>
      <c r="Q62" s="121"/>
      <c r="R62" s="121"/>
      <c r="S62" s="121"/>
      <c r="T62" s="121"/>
      <c r="U62" s="121"/>
      <c r="V62" s="121"/>
      <c r="W62" s="121"/>
      <c r="X62" s="122"/>
      <c r="Y62" s="117" t="s">
        <v>62</v>
      </c>
      <c r="Z62" s="117"/>
      <c r="AA62" s="117"/>
      <c r="AB62" s="117"/>
      <c r="AC62" s="117"/>
      <c r="AD62" s="117"/>
      <c r="AE62" s="117"/>
      <c r="AF62" s="117"/>
      <c r="AG62" s="117"/>
      <c r="AH62" s="130"/>
      <c r="AI62" s="118"/>
      <c r="AJ62" s="118"/>
      <c r="AK62" s="118"/>
      <c r="AL62" s="118"/>
      <c r="AM62" s="118"/>
      <c r="AN62" s="118"/>
      <c r="AO62" s="118"/>
      <c r="AP62" s="118"/>
      <c r="AQ62" s="118"/>
      <c r="AR62" s="118"/>
      <c r="AS62" s="118"/>
      <c r="AT62" s="118"/>
      <c r="AU62" s="118"/>
    </row>
    <row r="63" spans="1:47" s="16" customFormat="1" ht="16.899999999999999" customHeight="1">
      <c r="A63" s="26"/>
      <c r="B63" s="119" t="s">
        <v>63</v>
      </c>
      <c r="C63" s="119"/>
      <c r="D63" s="119"/>
      <c r="E63" s="119"/>
      <c r="F63" s="119"/>
      <c r="G63" s="119"/>
      <c r="H63" s="119"/>
      <c r="I63" s="119"/>
      <c r="J63" s="119"/>
      <c r="K63" s="119"/>
      <c r="L63" s="123"/>
      <c r="M63" s="123"/>
      <c r="N63" s="123"/>
      <c r="O63" s="123"/>
      <c r="P63" s="123"/>
      <c r="Q63" s="123"/>
      <c r="R63" s="123"/>
      <c r="S63" s="123"/>
      <c r="T63" s="123"/>
      <c r="U63" s="123"/>
      <c r="V63" s="123"/>
      <c r="W63" s="123"/>
      <c r="X63" s="123"/>
      <c r="Y63" s="124" t="s">
        <v>64</v>
      </c>
      <c r="Z63" s="125"/>
      <c r="AA63" s="125"/>
      <c r="AB63" s="125"/>
      <c r="AC63" s="125"/>
      <c r="AD63" s="125"/>
      <c r="AE63" s="125"/>
      <c r="AF63" s="125"/>
      <c r="AG63" s="125"/>
      <c r="AH63" s="126"/>
      <c r="AI63" s="127">
        <f>(L61*4*4)+(AI61*4)+(L62*5)+(AI62*5)+(L63*7)</f>
        <v>0</v>
      </c>
      <c r="AJ63" s="128"/>
      <c r="AK63" s="128"/>
      <c r="AL63" s="128"/>
      <c r="AM63" s="128"/>
      <c r="AN63" s="128"/>
      <c r="AO63" s="128"/>
      <c r="AP63" s="128"/>
      <c r="AQ63" s="128"/>
      <c r="AR63" s="128"/>
      <c r="AS63" s="128"/>
      <c r="AT63" s="128"/>
      <c r="AU63" s="129"/>
    </row>
    <row r="64" spans="1:47" s="16" customFormat="1" ht="16.899999999999999" customHeight="1">
      <c r="A64" s="26"/>
      <c r="B64" s="113" t="s">
        <v>40</v>
      </c>
      <c r="C64" s="114"/>
      <c r="D64" s="114"/>
      <c r="E64" s="114"/>
      <c r="F64" s="114"/>
      <c r="G64" s="114"/>
      <c r="H64" s="114"/>
      <c r="I64" s="114"/>
      <c r="J64" s="114"/>
      <c r="K64" s="115"/>
      <c r="L64" s="81"/>
      <c r="M64" s="85"/>
      <c r="N64" s="85"/>
      <c r="O64" s="85"/>
      <c r="P64" s="85"/>
      <c r="Q64" s="85"/>
      <c r="R64" s="85"/>
      <c r="S64" s="85"/>
      <c r="T64" s="85"/>
      <c r="U64" s="85"/>
      <c r="V64" s="85"/>
      <c r="W64" s="85"/>
      <c r="X64" s="85"/>
      <c r="Y64" s="85"/>
      <c r="Z64" s="85"/>
      <c r="AA64" s="85"/>
      <c r="AB64" s="85"/>
      <c r="AC64" s="85"/>
      <c r="AD64" s="85"/>
      <c r="AE64" s="85"/>
      <c r="AF64" s="85"/>
      <c r="AG64" s="85"/>
      <c r="AH64" s="85"/>
      <c r="AI64" s="85"/>
      <c r="AJ64" s="85"/>
      <c r="AK64" s="85"/>
      <c r="AL64" s="85"/>
      <c r="AM64" s="85"/>
      <c r="AN64" s="85"/>
      <c r="AO64" s="85"/>
      <c r="AP64" s="85"/>
      <c r="AQ64" s="85"/>
      <c r="AR64" s="85"/>
      <c r="AS64" s="85"/>
      <c r="AT64" s="85"/>
      <c r="AU64" s="86"/>
    </row>
    <row r="65" spans="1:47" s="16" customFormat="1" ht="16.899999999999999" customHeight="1">
      <c r="B65" s="30"/>
      <c r="C65" s="30"/>
      <c r="D65" s="30"/>
      <c r="E65" s="30"/>
      <c r="F65" s="30"/>
      <c r="G65" s="30"/>
      <c r="H65" s="30"/>
      <c r="I65" s="30"/>
      <c r="J65" s="30"/>
      <c r="K65" s="30"/>
      <c r="Y65" s="31"/>
      <c r="Z65" s="31"/>
      <c r="AA65" s="31"/>
      <c r="AB65" s="31"/>
      <c r="AC65" s="31"/>
      <c r="AD65" s="31"/>
      <c r="AE65" s="31"/>
      <c r="AF65" s="31"/>
      <c r="AG65" s="31"/>
      <c r="AH65" s="31"/>
      <c r="AI65" s="32"/>
      <c r="AJ65" s="32"/>
      <c r="AK65" s="32"/>
      <c r="AL65" s="32"/>
      <c r="AM65" s="32"/>
      <c r="AN65" s="32"/>
      <c r="AO65" s="32"/>
      <c r="AP65" s="32"/>
      <c r="AQ65" s="32"/>
      <c r="AR65" s="32"/>
      <c r="AS65" s="32"/>
      <c r="AT65" s="32"/>
      <c r="AU65" s="32"/>
    </row>
    <row r="66" spans="1:47" s="12" customFormat="1" ht="16.899999999999999" customHeight="1">
      <c r="B66" s="11" t="s">
        <v>65</v>
      </c>
    </row>
    <row r="67" spans="1:47" s="37" customFormat="1" ht="16.899999999999999" customHeight="1">
      <c r="A67" s="33"/>
      <c r="B67" s="34"/>
      <c r="C67" s="35"/>
      <c r="D67" s="35"/>
      <c r="E67" s="35"/>
      <c r="F67" s="35"/>
      <c r="G67" s="35"/>
      <c r="H67" s="35"/>
      <c r="I67" s="35"/>
      <c r="J67" s="35"/>
      <c r="K67" s="35"/>
      <c r="L67" s="35"/>
      <c r="M67" s="35"/>
      <c r="N67" s="35"/>
      <c r="O67" s="35"/>
      <c r="P67" s="35"/>
      <c r="Q67" s="35"/>
      <c r="R67" s="35"/>
      <c r="S67" s="35"/>
      <c r="T67" s="35"/>
      <c r="U67" s="35"/>
      <c r="V67" s="35"/>
      <c r="W67" s="35"/>
      <c r="X67" s="35"/>
      <c r="Y67" s="35"/>
      <c r="Z67" s="35"/>
      <c r="AA67" s="35"/>
      <c r="AB67" s="35"/>
      <c r="AC67" s="35"/>
      <c r="AD67" s="35"/>
      <c r="AE67" s="35"/>
      <c r="AF67" s="35"/>
      <c r="AG67" s="35"/>
      <c r="AH67" s="35"/>
      <c r="AI67" s="35"/>
      <c r="AJ67" s="35"/>
      <c r="AK67" s="35"/>
      <c r="AL67" s="35"/>
      <c r="AM67" s="35"/>
      <c r="AN67" s="35"/>
      <c r="AO67" s="35"/>
      <c r="AP67" s="35"/>
      <c r="AQ67" s="35"/>
      <c r="AR67" s="35"/>
      <c r="AS67" s="35"/>
      <c r="AT67" s="35"/>
      <c r="AU67" s="36"/>
    </row>
    <row r="68" spans="1:47" s="37" customFormat="1" ht="16.899999999999999" customHeight="1">
      <c r="A68" s="33"/>
      <c r="B68" s="38"/>
      <c r="AU68" s="39"/>
    </row>
    <row r="69" spans="1:47" s="37" customFormat="1" ht="16.899999999999999" customHeight="1">
      <c r="A69" s="33"/>
      <c r="B69" s="38"/>
      <c r="AU69" s="39"/>
    </row>
    <row r="70" spans="1:47" s="37" customFormat="1" ht="16.899999999999999" customHeight="1">
      <c r="A70" s="33"/>
      <c r="B70" s="38"/>
      <c r="AU70" s="39"/>
    </row>
    <row r="71" spans="1:47" s="37" customFormat="1" ht="16.899999999999999" customHeight="1">
      <c r="A71" s="33"/>
      <c r="B71" s="38"/>
      <c r="AU71" s="39"/>
    </row>
    <row r="72" spans="1:47" s="37" customFormat="1" ht="16.899999999999999" customHeight="1">
      <c r="A72" s="33"/>
      <c r="B72" s="38"/>
      <c r="AU72" s="39"/>
    </row>
    <row r="73" spans="1:47" s="37" customFormat="1" ht="16.899999999999999" customHeight="1">
      <c r="A73" s="33"/>
      <c r="B73" s="38"/>
      <c r="AU73" s="39"/>
    </row>
    <row r="74" spans="1:47" s="37" customFormat="1" ht="16.899999999999999" customHeight="1">
      <c r="A74" s="33"/>
      <c r="B74" s="38"/>
      <c r="AU74" s="39"/>
    </row>
    <row r="75" spans="1:47" s="37" customFormat="1" ht="16.899999999999999" customHeight="1">
      <c r="A75" s="33"/>
      <c r="B75" s="38"/>
      <c r="AU75" s="39"/>
    </row>
    <row r="76" spans="1:47" s="37" customFormat="1" ht="16.899999999999999" customHeight="1">
      <c r="A76" s="33"/>
      <c r="B76" s="38"/>
      <c r="AU76" s="39"/>
    </row>
    <row r="77" spans="1:47" s="37" customFormat="1" ht="16.899999999999999" customHeight="1">
      <c r="A77" s="33"/>
      <c r="B77" s="38"/>
      <c r="AU77" s="39"/>
    </row>
    <row r="78" spans="1:47" s="37" customFormat="1" ht="16.899999999999999" customHeight="1">
      <c r="A78" s="33"/>
      <c r="B78" s="38"/>
      <c r="AU78" s="39"/>
    </row>
    <row r="79" spans="1:47" s="37" customFormat="1" ht="16.899999999999999" customHeight="1">
      <c r="A79" s="33"/>
      <c r="B79" s="38"/>
      <c r="AU79" s="39"/>
    </row>
    <row r="80" spans="1:47" s="37" customFormat="1" ht="16.899999999999999" customHeight="1">
      <c r="A80" s="33"/>
      <c r="B80" s="38"/>
      <c r="AU80" s="39"/>
    </row>
    <row r="81" spans="1:47" s="37" customFormat="1" ht="16.899999999999999" customHeight="1">
      <c r="A81" s="33"/>
      <c r="B81" s="38"/>
      <c r="AU81" s="39"/>
    </row>
    <row r="82" spans="1:47" s="37" customFormat="1" ht="16.899999999999999" customHeight="1">
      <c r="A82" s="33"/>
      <c r="B82" s="38"/>
      <c r="AU82" s="39"/>
    </row>
    <row r="83" spans="1:47" s="37" customFormat="1" ht="16.899999999999999" customHeight="1">
      <c r="A83" s="33"/>
      <c r="B83" s="38"/>
      <c r="AU83" s="39"/>
    </row>
    <row r="84" spans="1:47" s="37" customFormat="1" ht="16.899999999999999" customHeight="1">
      <c r="A84" s="33"/>
      <c r="B84" s="38"/>
      <c r="AU84" s="39"/>
    </row>
    <row r="85" spans="1:47" s="37" customFormat="1" ht="16.899999999999999" customHeight="1">
      <c r="A85" s="33"/>
      <c r="B85" s="38"/>
      <c r="AU85" s="39"/>
    </row>
    <row r="86" spans="1:47" s="37" customFormat="1" ht="16.899999999999999" customHeight="1">
      <c r="A86" s="33"/>
      <c r="B86" s="38"/>
      <c r="AU86" s="39"/>
    </row>
    <row r="87" spans="1:47" s="37" customFormat="1" ht="16.899999999999999" customHeight="1">
      <c r="A87" s="33"/>
      <c r="B87" s="38"/>
      <c r="AU87" s="39"/>
    </row>
    <row r="88" spans="1:47" s="37" customFormat="1" ht="16.899999999999999" customHeight="1">
      <c r="A88" s="33"/>
      <c r="B88" s="38"/>
      <c r="AU88" s="39"/>
    </row>
    <row r="89" spans="1:47" s="37" customFormat="1" ht="16.899999999999999" customHeight="1">
      <c r="A89" s="33"/>
      <c r="B89" s="38"/>
      <c r="AU89" s="39"/>
    </row>
    <row r="90" spans="1:47" s="37" customFormat="1" ht="16.899999999999999" customHeight="1">
      <c r="A90" s="33"/>
      <c r="B90" s="38"/>
      <c r="AU90" s="39"/>
    </row>
    <row r="91" spans="1:47" s="37" customFormat="1" ht="16.899999999999999" customHeight="1">
      <c r="A91" s="33"/>
      <c r="B91" s="38"/>
      <c r="AU91" s="39"/>
    </row>
    <row r="92" spans="1:47" s="37" customFormat="1" ht="16.899999999999999" customHeight="1">
      <c r="A92" s="33"/>
      <c r="B92" s="38"/>
      <c r="AU92" s="39"/>
    </row>
    <row r="93" spans="1:47" s="37" customFormat="1" ht="16.899999999999999" customHeight="1">
      <c r="A93" s="33"/>
      <c r="B93" s="38"/>
      <c r="AU93" s="39"/>
    </row>
    <row r="94" spans="1:47" s="37" customFormat="1" ht="16.899999999999999" customHeight="1">
      <c r="A94" s="33"/>
      <c r="B94" s="38"/>
      <c r="AU94" s="39"/>
    </row>
    <row r="95" spans="1:47" s="37" customFormat="1" ht="16.899999999999999" customHeight="1">
      <c r="A95" s="33"/>
      <c r="B95" s="38"/>
      <c r="AU95" s="39"/>
    </row>
    <row r="96" spans="1:47" s="37" customFormat="1" ht="16.899999999999999" customHeight="1">
      <c r="A96" s="33"/>
      <c r="B96" s="40"/>
      <c r="C96" s="41"/>
      <c r="D96" s="41"/>
      <c r="E96" s="41"/>
      <c r="F96" s="41"/>
      <c r="G96" s="41"/>
      <c r="H96" s="41"/>
      <c r="I96" s="41"/>
      <c r="J96" s="41"/>
      <c r="K96" s="41"/>
      <c r="L96" s="41"/>
      <c r="M96" s="41"/>
      <c r="N96" s="41"/>
      <c r="O96" s="41"/>
      <c r="P96" s="41"/>
      <c r="Q96" s="41"/>
      <c r="R96" s="41"/>
      <c r="S96" s="41"/>
      <c r="T96" s="41"/>
      <c r="U96" s="41"/>
      <c r="V96" s="41"/>
      <c r="W96" s="41"/>
      <c r="X96" s="41"/>
      <c r="Y96" s="41"/>
      <c r="Z96" s="41"/>
      <c r="AA96" s="41"/>
      <c r="AB96" s="41"/>
      <c r="AC96" s="41"/>
      <c r="AD96" s="41"/>
      <c r="AE96" s="41"/>
      <c r="AF96" s="41"/>
      <c r="AG96" s="41"/>
      <c r="AH96" s="41"/>
      <c r="AI96" s="41"/>
      <c r="AJ96" s="41"/>
      <c r="AK96" s="41"/>
      <c r="AL96" s="41"/>
      <c r="AM96" s="41"/>
      <c r="AN96" s="41"/>
      <c r="AO96" s="41"/>
      <c r="AP96" s="41"/>
      <c r="AQ96" s="41"/>
      <c r="AR96" s="41"/>
      <c r="AS96" s="41"/>
      <c r="AT96" s="41"/>
      <c r="AU96" s="42"/>
    </row>
    <row r="97" spans="1:47" s="37" customFormat="1" ht="16.899999999999999" customHeight="1">
      <c r="A97" s="33"/>
    </row>
    <row r="98" spans="1:47" ht="16.899999999999999" customHeight="1">
      <c r="B98" s="62" t="s">
        <v>66</v>
      </c>
    </row>
    <row r="99" spans="1:47" ht="16.899999999999999" customHeight="1">
      <c r="B99" s="72" t="s">
        <v>67</v>
      </c>
      <c r="C99" s="73"/>
      <c r="D99" s="73"/>
      <c r="E99" s="73"/>
      <c r="F99" s="73"/>
      <c r="G99" s="73"/>
      <c r="H99" s="73"/>
      <c r="I99" s="73"/>
      <c r="J99" s="73"/>
      <c r="K99" s="74"/>
      <c r="L99" s="191" t="s">
        <v>68</v>
      </c>
      <c r="M99" s="192"/>
      <c r="N99" s="192"/>
      <c r="O99" s="193"/>
      <c r="P99" s="191" t="s">
        <v>69</v>
      </c>
      <c r="Q99" s="192"/>
      <c r="R99" s="192"/>
      <c r="S99" s="193"/>
      <c r="T99" s="191" t="s">
        <v>70</v>
      </c>
      <c r="U99" s="192"/>
      <c r="V99" s="192"/>
      <c r="W99" s="193"/>
      <c r="X99" s="191" t="s">
        <v>71</v>
      </c>
      <c r="Y99" s="192"/>
      <c r="Z99" s="192"/>
      <c r="AA99" s="193"/>
      <c r="AB99" s="191" t="s">
        <v>72</v>
      </c>
      <c r="AC99" s="192"/>
      <c r="AD99" s="192"/>
      <c r="AE99" s="193"/>
      <c r="AF99" s="191" t="s">
        <v>73</v>
      </c>
      <c r="AG99" s="192"/>
      <c r="AH99" s="192"/>
      <c r="AI99" s="193"/>
      <c r="AJ99" s="191" t="s">
        <v>74</v>
      </c>
      <c r="AK99" s="192"/>
      <c r="AL99" s="192"/>
      <c r="AM99" s="193"/>
      <c r="AN99" s="191" t="s">
        <v>75</v>
      </c>
      <c r="AO99" s="192"/>
      <c r="AP99" s="192"/>
      <c r="AQ99" s="193"/>
      <c r="AR99" s="191" t="s">
        <v>76</v>
      </c>
      <c r="AS99" s="192"/>
      <c r="AT99" s="192"/>
      <c r="AU99" s="193"/>
    </row>
    <row r="100" spans="1:47" ht="16.899999999999999" customHeight="1">
      <c r="B100" s="89" t="s">
        <v>77</v>
      </c>
      <c r="C100" s="90"/>
      <c r="D100" s="90"/>
      <c r="E100" s="90"/>
      <c r="F100" s="90"/>
      <c r="G100" s="90"/>
      <c r="H100" s="90"/>
      <c r="I100" s="90"/>
      <c r="J100" s="90"/>
      <c r="K100" s="91"/>
      <c r="L100" s="188"/>
      <c r="M100" s="189"/>
      <c r="N100" s="189"/>
      <c r="O100" s="190"/>
      <c r="P100" s="188"/>
      <c r="Q100" s="189"/>
      <c r="R100" s="189"/>
      <c r="S100" s="190"/>
      <c r="T100" s="200" t="str">
        <f t="shared" ref="T100" si="0">IF(OR(L100="",P100=""),"",(P100-L100)/30)</f>
        <v/>
      </c>
      <c r="U100" s="201"/>
      <c r="V100" s="201"/>
      <c r="W100" s="202"/>
      <c r="X100" s="197"/>
      <c r="Y100" s="198"/>
      <c r="Z100" s="198"/>
      <c r="AA100" s="199"/>
      <c r="AB100" s="203"/>
      <c r="AC100" s="204"/>
      <c r="AD100" s="204"/>
      <c r="AE100" s="205"/>
      <c r="AF100" s="194" t="str">
        <f>IF(X100="","",AB100/X100)</f>
        <v/>
      </c>
      <c r="AG100" s="195"/>
      <c r="AH100" s="195"/>
      <c r="AI100" s="196"/>
      <c r="AJ100" s="203"/>
      <c r="AK100" s="204"/>
      <c r="AL100" s="204"/>
      <c r="AM100" s="205"/>
      <c r="AN100" s="194" t="str">
        <f>IF(AB100="","",AB100-AJ100)</f>
        <v/>
      </c>
      <c r="AO100" s="195"/>
      <c r="AP100" s="195"/>
      <c r="AQ100" s="196"/>
      <c r="AR100" s="218" t="str">
        <f>IF(AB100="","",AN100/AB100)</f>
        <v/>
      </c>
      <c r="AS100" s="219"/>
      <c r="AT100" s="219"/>
      <c r="AU100" s="220"/>
    </row>
    <row r="101" spans="1:47" ht="16.899999999999999" customHeight="1">
      <c r="B101" s="89" t="s">
        <v>78</v>
      </c>
      <c r="C101" s="90"/>
      <c r="D101" s="90"/>
      <c r="E101" s="90"/>
      <c r="F101" s="90"/>
      <c r="G101" s="90"/>
      <c r="H101" s="90"/>
      <c r="I101" s="90"/>
      <c r="J101" s="90"/>
      <c r="K101" s="91"/>
      <c r="L101" s="188"/>
      <c r="M101" s="189"/>
      <c r="N101" s="189"/>
      <c r="O101" s="190"/>
      <c r="P101" s="188"/>
      <c r="Q101" s="189"/>
      <c r="R101" s="189"/>
      <c r="S101" s="190"/>
      <c r="T101" s="200" t="str">
        <f t="shared" ref="T101:T107" si="1">IF(OR(L101="",P101=""),"",(P101-L101)/30)</f>
        <v/>
      </c>
      <c r="U101" s="201"/>
      <c r="V101" s="201"/>
      <c r="W101" s="202"/>
      <c r="X101" s="197"/>
      <c r="Y101" s="198"/>
      <c r="Z101" s="198"/>
      <c r="AA101" s="199"/>
      <c r="AB101" s="203"/>
      <c r="AC101" s="204"/>
      <c r="AD101" s="204"/>
      <c r="AE101" s="205"/>
      <c r="AF101" s="194" t="str">
        <f>IF(X101="","",AB101/X101)</f>
        <v/>
      </c>
      <c r="AG101" s="195"/>
      <c r="AH101" s="195"/>
      <c r="AI101" s="196"/>
      <c r="AJ101" s="203"/>
      <c r="AK101" s="204"/>
      <c r="AL101" s="204"/>
      <c r="AM101" s="205"/>
      <c r="AN101" s="194" t="str">
        <f t="shared" ref="AN101:AN108" si="2">IF(AB101="","",AB101-AJ101)</f>
        <v/>
      </c>
      <c r="AO101" s="195"/>
      <c r="AP101" s="195"/>
      <c r="AQ101" s="196"/>
      <c r="AR101" s="218" t="str">
        <f t="shared" ref="AR101:AR108" si="3">IF(AB101="","",AN101/AB101)</f>
        <v/>
      </c>
      <c r="AS101" s="219"/>
      <c r="AT101" s="219"/>
      <c r="AU101" s="220"/>
    </row>
    <row r="102" spans="1:47" ht="16.899999999999999" customHeight="1">
      <c r="B102" s="89" t="s">
        <v>79</v>
      </c>
      <c r="C102" s="90"/>
      <c r="D102" s="90"/>
      <c r="E102" s="90"/>
      <c r="F102" s="90"/>
      <c r="G102" s="90"/>
      <c r="H102" s="90"/>
      <c r="I102" s="90"/>
      <c r="J102" s="90"/>
      <c r="K102" s="91"/>
      <c r="L102" s="188"/>
      <c r="M102" s="189"/>
      <c r="N102" s="189"/>
      <c r="O102" s="190"/>
      <c r="P102" s="188"/>
      <c r="Q102" s="189"/>
      <c r="R102" s="189"/>
      <c r="S102" s="190"/>
      <c r="T102" s="200" t="str">
        <f t="shared" si="1"/>
        <v/>
      </c>
      <c r="U102" s="201"/>
      <c r="V102" s="201"/>
      <c r="W102" s="202"/>
      <c r="X102" s="197"/>
      <c r="Y102" s="198"/>
      <c r="Z102" s="198"/>
      <c r="AA102" s="199"/>
      <c r="AB102" s="203"/>
      <c r="AC102" s="204"/>
      <c r="AD102" s="204"/>
      <c r="AE102" s="205"/>
      <c r="AF102" s="194" t="str">
        <f t="shared" ref="AF102:AF107" si="4">IF(X102="","",AB102/X102)</f>
        <v/>
      </c>
      <c r="AG102" s="195"/>
      <c r="AH102" s="195"/>
      <c r="AI102" s="196"/>
      <c r="AJ102" s="203"/>
      <c r="AK102" s="204"/>
      <c r="AL102" s="204"/>
      <c r="AM102" s="205"/>
      <c r="AN102" s="194" t="str">
        <f t="shared" si="2"/>
        <v/>
      </c>
      <c r="AO102" s="195"/>
      <c r="AP102" s="195"/>
      <c r="AQ102" s="196"/>
      <c r="AR102" s="218" t="str">
        <f t="shared" si="3"/>
        <v/>
      </c>
      <c r="AS102" s="219"/>
      <c r="AT102" s="219"/>
      <c r="AU102" s="220"/>
    </row>
    <row r="103" spans="1:47" ht="16.899999999999999" customHeight="1">
      <c r="B103" s="89" t="s">
        <v>80</v>
      </c>
      <c r="C103" s="90"/>
      <c r="D103" s="90"/>
      <c r="E103" s="90"/>
      <c r="F103" s="90"/>
      <c r="G103" s="90"/>
      <c r="H103" s="90"/>
      <c r="I103" s="90"/>
      <c r="J103" s="90"/>
      <c r="K103" s="91"/>
      <c r="L103" s="188"/>
      <c r="M103" s="189"/>
      <c r="N103" s="189"/>
      <c r="O103" s="190"/>
      <c r="P103" s="188"/>
      <c r="Q103" s="189"/>
      <c r="R103" s="189"/>
      <c r="S103" s="190"/>
      <c r="T103" s="200" t="str">
        <f t="shared" si="1"/>
        <v/>
      </c>
      <c r="U103" s="201"/>
      <c r="V103" s="201"/>
      <c r="W103" s="202"/>
      <c r="X103" s="197"/>
      <c r="Y103" s="198"/>
      <c r="Z103" s="198"/>
      <c r="AA103" s="199"/>
      <c r="AB103" s="203"/>
      <c r="AC103" s="204"/>
      <c r="AD103" s="204"/>
      <c r="AE103" s="205"/>
      <c r="AF103" s="194" t="str">
        <f t="shared" si="4"/>
        <v/>
      </c>
      <c r="AG103" s="195"/>
      <c r="AH103" s="195"/>
      <c r="AI103" s="196"/>
      <c r="AJ103" s="203"/>
      <c r="AK103" s="204"/>
      <c r="AL103" s="204"/>
      <c r="AM103" s="205"/>
      <c r="AN103" s="194" t="str">
        <f t="shared" si="2"/>
        <v/>
      </c>
      <c r="AO103" s="195"/>
      <c r="AP103" s="195"/>
      <c r="AQ103" s="196"/>
      <c r="AR103" s="218" t="str">
        <f t="shared" si="3"/>
        <v/>
      </c>
      <c r="AS103" s="219"/>
      <c r="AT103" s="219"/>
      <c r="AU103" s="220"/>
    </row>
    <row r="104" spans="1:47" ht="16.899999999999999" customHeight="1">
      <c r="B104" s="89" t="s">
        <v>81</v>
      </c>
      <c r="C104" s="90"/>
      <c r="D104" s="90"/>
      <c r="E104" s="90"/>
      <c r="F104" s="90"/>
      <c r="G104" s="90"/>
      <c r="H104" s="90"/>
      <c r="I104" s="90"/>
      <c r="J104" s="90"/>
      <c r="K104" s="91"/>
      <c r="L104" s="188"/>
      <c r="M104" s="189"/>
      <c r="N104" s="189"/>
      <c r="O104" s="190"/>
      <c r="P104" s="188"/>
      <c r="Q104" s="189"/>
      <c r="R104" s="189"/>
      <c r="S104" s="190"/>
      <c r="T104" s="200" t="str">
        <f t="shared" si="1"/>
        <v/>
      </c>
      <c r="U104" s="201"/>
      <c r="V104" s="201"/>
      <c r="W104" s="202"/>
      <c r="X104" s="197"/>
      <c r="Y104" s="198"/>
      <c r="Z104" s="198"/>
      <c r="AA104" s="199"/>
      <c r="AB104" s="203"/>
      <c r="AC104" s="204"/>
      <c r="AD104" s="204"/>
      <c r="AE104" s="205"/>
      <c r="AF104" s="194" t="str">
        <f t="shared" si="4"/>
        <v/>
      </c>
      <c r="AG104" s="195"/>
      <c r="AH104" s="195"/>
      <c r="AI104" s="196"/>
      <c r="AJ104" s="203"/>
      <c r="AK104" s="204"/>
      <c r="AL104" s="204"/>
      <c r="AM104" s="205"/>
      <c r="AN104" s="194" t="str">
        <f t="shared" si="2"/>
        <v/>
      </c>
      <c r="AO104" s="195"/>
      <c r="AP104" s="195"/>
      <c r="AQ104" s="196"/>
      <c r="AR104" s="218" t="str">
        <f t="shared" si="3"/>
        <v/>
      </c>
      <c r="AS104" s="219"/>
      <c r="AT104" s="219"/>
      <c r="AU104" s="220"/>
    </row>
    <row r="105" spans="1:47" ht="16.899999999999999" customHeight="1">
      <c r="B105" s="89" t="s">
        <v>82</v>
      </c>
      <c r="C105" s="90"/>
      <c r="D105" s="90"/>
      <c r="E105" s="90"/>
      <c r="F105" s="90"/>
      <c r="G105" s="90"/>
      <c r="H105" s="90"/>
      <c r="I105" s="90"/>
      <c r="J105" s="90"/>
      <c r="K105" s="91"/>
      <c r="L105" s="188"/>
      <c r="M105" s="189"/>
      <c r="N105" s="189"/>
      <c r="O105" s="190"/>
      <c r="P105" s="188"/>
      <c r="Q105" s="189"/>
      <c r="R105" s="189"/>
      <c r="S105" s="190"/>
      <c r="T105" s="200" t="str">
        <f t="shared" si="1"/>
        <v/>
      </c>
      <c r="U105" s="201"/>
      <c r="V105" s="201"/>
      <c r="W105" s="202"/>
      <c r="X105" s="197"/>
      <c r="Y105" s="198"/>
      <c r="Z105" s="198"/>
      <c r="AA105" s="199"/>
      <c r="AB105" s="203"/>
      <c r="AC105" s="204"/>
      <c r="AD105" s="204"/>
      <c r="AE105" s="205"/>
      <c r="AF105" s="194" t="str">
        <f t="shared" si="4"/>
        <v/>
      </c>
      <c r="AG105" s="195"/>
      <c r="AH105" s="195"/>
      <c r="AI105" s="196"/>
      <c r="AJ105" s="203"/>
      <c r="AK105" s="204"/>
      <c r="AL105" s="204"/>
      <c r="AM105" s="205"/>
      <c r="AN105" s="194" t="str">
        <f t="shared" si="2"/>
        <v/>
      </c>
      <c r="AO105" s="195"/>
      <c r="AP105" s="195"/>
      <c r="AQ105" s="196"/>
      <c r="AR105" s="218" t="str">
        <f t="shared" si="3"/>
        <v/>
      </c>
      <c r="AS105" s="219"/>
      <c r="AT105" s="219"/>
      <c r="AU105" s="220"/>
    </row>
    <row r="106" spans="1:47" ht="16.899999999999999" customHeight="1">
      <c r="B106" s="89" t="s">
        <v>83</v>
      </c>
      <c r="C106" s="90"/>
      <c r="D106" s="90"/>
      <c r="E106" s="90"/>
      <c r="F106" s="90"/>
      <c r="G106" s="90"/>
      <c r="H106" s="90"/>
      <c r="I106" s="90"/>
      <c r="J106" s="90"/>
      <c r="K106" s="91"/>
      <c r="L106" s="188"/>
      <c r="M106" s="189"/>
      <c r="N106" s="189"/>
      <c r="O106" s="190"/>
      <c r="P106" s="188"/>
      <c r="Q106" s="189"/>
      <c r="R106" s="189"/>
      <c r="S106" s="190"/>
      <c r="T106" s="200" t="str">
        <f t="shared" si="1"/>
        <v/>
      </c>
      <c r="U106" s="201"/>
      <c r="V106" s="201"/>
      <c r="W106" s="202"/>
      <c r="X106" s="197"/>
      <c r="Y106" s="198"/>
      <c r="Z106" s="198"/>
      <c r="AA106" s="199"/>
      <c r="AB106" s="203"/>
      <c r="AC106" s="204"/>
      <c r="AD106" s="204"/>
      <c r="AE106" s="205"/>
      <c r="AF106" s="194" t="str">
        <f t="shared" si="4"/>
        <v/>
      </c>
      <c r="AG106" s="195"/>
      <c r="AH106" s="195"/>
      <c r="AI106" s="196"/>
      <c r="AJ106" s="203"/>
      <c r="AK106" s="204"/>
      <c r="AL106" s="204"/>
      <c r="AM106" s="205"/>
      <c r="AN106" s="194" t="str">
        <f t="shared" si="2"/>
        <v/>
      </c>
      <c r="AO106" s="195"/>
      <c r="AP106" s="195"/>
      <c r="AQ106" s="196"/>
      <c r="AR106" s="218" t="str">
        <f t="shared" si="3"/>
        <v/>
      </c>
      <c r="AS106" s="219"/>
      <c r="AT106" s="219"/>
      <c r="AU106" s="220"/>
    </row>
    <row r="107" spans="1:47" ht="16.899999999999999" customHeight="1">
      <c r="B107" s="89" t="s">
        <v>84</v>
      </c>
      <c r="C107" s="90"/>
      <c r="D107" s="90"/>
      <c r="E107" s="90"/>
      <c r="F107" s="90"/>
      <c r="G107" s="90"/>
      <c r="H107" s="90"/>
      <c r="I107" s="90"/>
      <c r="J107" s="90"/>
      <c r="K107" s="91"/>
      <c r="L107" s="188"/>
      <c r="M107" s="189"/>
      <c r="N107" s="189"/>
      <c r="O107" s="190"/>
      <c r="P107" s="188"/>
      <c r="Q107" s="189"/>
      <c r="R107" s="189"/>
      <c r="S107" s="190"/>
      <c r="T107" s="200" t="str">
        <f t="shared" si="1"/>
        <v/>
      </c>
      <c r="U107" s="201"/>
      <c r="V107" s="201"/>
      <c r="W107" s="202"/>
      <c r="X107" s="197"/>
      <c r="Y107" s="198"/>
      <c r="Z107" s="198"/>
      <c r="AA107" s="199"/>
      <c r="AB107" s="203"/>
      <c r="AC107" s="204"/>
      <c r="AD107" s="204"/>
      <c r="AE107" s="205"/>
      <c r="AF107" s="194" t="str">
        <f t="shared" si="4"/>
        <v/>
      </c>
      <c r="AG107" s="195"/>
      <c r="AH107" s="195"/>
      <c r="AI107" s="196"/>
      <c r="AJ107" s="203"/>
      <c r="AK107" s="204"/>
      <c r="AL107" s="204"/>
      <c r="AM107" s="205"/>
      <c r="AN107" s="194" t="str">
        <f t="shared" si="2"/>
        <v/>
      </c>
      <c r="AO107" s="195"/>
      <c r="AP107" s="195"/>
      <c r="AQ107" s="196"/>
      <c r="AR107" s="218" t="str">
        <f t="shared" si="3"/>
        <v/>
      </c>
      <c r="AS107" s="219"/>
      <c r="AT107" s="219"/>
      <c r="AU107" s="220"/>
    </row>
    <row r="108" spans="1:47" ht="16.899999999999999" customHeight="1" thickBot="1">
      <c r="B108" s="95" t="s">
        <v>85</v>
      </c>
      <c r="C108" s="96"/>
      <c r="D108" s="96"/>
      <c r="E108" s="96"/>
      <c r="F108" s="96"/>
      <c r="G108" s="96"/>
      <c r="H108" s="96"/>
      <c r="I108" s="96"/>
      <c r="J108" s="96"/>
      <c r="K108" s="97"/>
      <c r="L108" s="98"/>
      <c r="M108" s="99"/>
      <c r="N108" s="99"/>
      <c r="O108" s="100"/>
      <c r="P108" s="98"/>
      <c r="Q108" s="99"/>
      <c r="R108" s="99"/>
      <c r="S108" s="100"/>
      <c r="T108" s="101" t="str">
        <f t="shared" ref="T108" si="5">IF(OR(L108="",P108=""),"",(P108-L108)/30)</f>
        <v/>
      </c>
      <c r="U108" s="102"/>
      <c r="V108" s="102"/>
      <c r="W108" s="103"/>
      <c r="X108" s="104"/>
      <c r="Y108" s="105"/>
      <c r="Z108" s="105"/>
      <c r="AA108" s="106"/>
      <c r="AB108" s="107"/>
      <c r="AC108" s="108"/>
      <c r="AD108" s="108"/>
      <c r="AE108" s="109"/>
      <c r="AF108" s="110" t="str">
        <f t="shared" ref="AF108" si="6">IF(X108="","",AB108/X108)</f>
        <v/>
      </c>
      <c r="AG108" s="111"/>
      <c r="AH108" s="111"/>
      <c r="AI108" s="112"/>
      <c r="AJ108" s="107"/>
      <c r="AK108" s="108"/>
      <c r="AL108" s="108"/>
      <c r="AM108" s="109"/>
      <c r="AN108" s="110" t="str">
        <f t="shared" si="2"/>
        <v/>
      </c>
      <c r="AO108" s="111"/>
      <c r="AP108" s="111"/>
      <c r="AQ108" s="112"/>
      <c r="AR108" s="92" t="str">
        <f t="shared" si="3"/>
        <v/>
      </c>
      <c r="AS108" s="93"/>
      <c r="AT108" s="93"/>
      <c r="AU108" s="94"/>
    </row>
    <row r="109" spans="1:47" ht="16.899999999999999" customHeight="1" thickTop="1">
      <c r="B109" s="206" t="s">
        <v>86</v>
      </c>
      <c r="C109" s="207"/>
      <c r="D109" s="207"/>
      <c r="E109" s="207"/>
      <c r="F109" s="207"/>
      <c r="G109" s="207"/>
      <c r="H109" s="207"/>
      <c r="I109" s="207"/>
      <c r="J109" s="207"/>
      <c r="K109" s="208"/>
      <c r="L109" s="209" t="str">
        <f>IF(COUNTA(L100:O108)&gt;0,MIN(L100:O108),"")</f>
        <v/>
      </c>
      <c r="M109" s="210"/>
      <c r="N109" s="210"/>
      <c r="O109" s="211"/>
      <c r="P109" s="209" t="str">
        <f>IF(COUNTA(P100:S108)&gt;0,MAX(P100:S108),"")</f>
        <v/>
      </c>
      <c r="Q109" s="210"/>
      <c r="R109" s="210"/>
      <c r="S109" s="211"/>
      <c r="T109" s="212" t="str">
        <f>IF(OR(L109="",P109=""),"",(P109-L109)/30)</f>
        <v/>
      </c>
      <c r="U109" s="213"/>
      <c r="V109" s="213"/>
      <c r="W109" s="214"/>
      <c r="X109" s="212" t="str">
        <f>IF(COUNTA(X100:AA108)&gt;0,SUM(X100:AA108),"")</f>
        <v/>
      </c>
      <c r="Y109" s="213"/>
      <c r="Z109" s="213"/>
      <c r="AA109" s="214"/>
      <c r="AB109" s="215" t="str">
        <f>IF(COUNTA(AB100:AE108)&gt;0,SUM(AB100:AE108),"")</f>
        <v/>
      </c>
      <c r="AC109" s="216"/>
      <c r="AD109" s="216"/>
      <c r="AE109" s="217"/>
      <c r="AF109" s="215" t="str">
        <f>IF(X109="","",AB109/X109)</f>
        <v/>
      </c>
      <c r="AG109" s="216"/>
      <c r="AH109" s="216"/>
      <c r="AI109" s="217"/>
      <c r="AJ109" s="215" t="str">
        <f>IF(COUNTA(AJ100:AM108)&gt;0,SUM(AJ100:AM108),"")</f>
        <v/>
      </c>
      <c r="AK109" s="216"/>
      <c r="AL109" s="216"/>
      <c r="AM109" s="217"/>
      <c r="AN109" s="215" t="str">
        <f t="shared" ref="AN109" si="7">IF(AB109="","",AB109-AJ109)</f>
        <v/>
      </c>
      <c r="AO109" s="216"/>
      <c r="AP109" s="216"/>
      <c r="AQ109" s="217"/>
      <c r="AR109" s="221" t="str">
        <f t="shared" ref="AR109" si="8">IF(AB109="","",AN109/AB109)</f>
        <v/>
      </c>
      <c r="AS109" s="222"/>
      <c r="AT109" s="222"/>
      <c r="AU109" s="223"/>
    </row>
    <row r="110" spans="1:47" s="37" customFormat="1" ht="16.899999999999999" customHeight="1">
      <c r="A110" s="33"/>
    </row>
    <row r="111" spans="1:47" s="12" customFormat="1" ht="16.899999999999999" customHeight="1">
      <c r="A111" s="11"/>
      <c r="B111" s="43" t="s">
        <v>87</v>
      </c>
    </row>
    <row r="112" spans="1:47" s="37" customFormat="1" ht="16.899999999999999" customHeight="1">
      <c r="A112" s="33"/>
      <c r="B112" s="72" t="s">
        <v>88</v>
      </c>
      <c r="C112" s="73"/>
      <c r="D112" s="73"/>
      <c r="E112" s="73"/>
      <c r="F112" s="73"/>
      <c r="G112" s="73"/>
      <c r="H112" s="73"/>
      <c r="I112" s="73"/>
      <c r="J112" s="73"/>
      <c r="K112" s="74"/>
      <c r="L112" s="113" t="s">
        <v>89</v>
      </c>
      <c r="M112" s="114"/>
      <c r="N112" s="114"/>
      <c r="O112" s="114"/>
      <c r="P112" s="114"/>
      <c r="Q112" s="114"/>
      <c r="R112" s="115"/>
      <c r="S112" s="113" t="s">
        <v>90</v>
      </c>
      <c r="T112" s="114"/>
      <c r="U112" s="114"/>
      <c r="V112" s="114"/>
      <c r="W112" s="114"/>
      <c r="X112" s="114"/>
      <c r="Y112" s="115"/>
      <c r="Z112" s="113" t="s">
        <v>91</v>
      </c>
      <c r="AA112" s="114"/>
      <c r="AB112" s="114"/>
      <c r="AC112" s="114"/>
      <c r="AD112" s="114"/>
      <c r="AE112" s="114"/>
      <c r="AF112" s="114"/>
      <c r="AG112" s="114"/>
      <c r="AH112" s="114"/>
      <c r="AI112" s="114"/>
      <c r="AJ112" s="114"/>
      <c r="AK112" s="114"/>
      <c r="AL112" s="115"/>
      <c r="AM112" s="116" t="s">
        <v>92</v>
      </c>
      <c r="AN112" s="116"/>
      <c r="AO112" s="116"/>
      <c r="AP112" s="116"/>
      <c r="AQ112" s="116"/>
      <c r="AR112" s="116"/>
      <c r="AS112" s="116"/>
      <c r="AT112" s="116"/>
      <c r="AU112" s="116"/>
    </row>
    <row r="113" spans="1:47" s="37" customFormat="1" ht="16.899999999999999" customHeight="1">
      <c r="A113" s="33"/>
      <c r="B113" s="63"/>
      <c r="C113" s="64"/>
      <c r="D113" s="64"/>
      <c r="E113" s="64"/>
      <c r="F113" s="64"/>
      <c r="G113" s="64"/>
      <c r="H113" s="64"/>
      <c r="I113" s="64"/>
      <c r="J113" s="64"/>
      <c r="K113" s="65"/>
      <c r="L113" s="78"/>
      <c r="M113" s="79"/>
      <c r="N113" s="79"/>
      <c r="O113" s="79"/>
      <c r="P113" s="79"/>
      <c r="Q113" s="79"/>
      <c r="R113" s="80"/>
      <c r="S113" s="81"/>
      <c r="T113" s="82"/>
      <c r="U113" s="82"/>
      <c r="V113" s="82"/>
      <c r="W113" s="82"/>
      <c r="X113" s="82"/>
      <c r="Y113" s="83"/>
      <c r="Z113" s="84"/>
      <c r="AA113" s="85"/>
      <c r="AB113" s="85"/>
      <c r="AC113" s="85"/>
      <c r="AD113" s="85"/>
      <c r="AE113" s="85"/>
      <c r="AF113" s="85"/>
      <c r="AG113" s="85"/>
      <c r="AH113" s="85"/>
      <c r="AI113" s="85"/>
      <c r="AJ113" s="85"/>
      <c r="AK113" s="85"/>
      <c r="AL113" s="86"/>
      <c r="AM113" s="87"/>
      <c r="AN113" s="88"/>
      <c r="AO113" s="88"/>
      <c r="AP113" s="88"/>
      <c r="AQ113" s="88"/>
      <c r="AR113" s="88"/>
      <c r="AS113" s="88"/>
      <c r="AT113" s="88"/>
      <c r="AU113" s="88"/>
    </row>
    <row r="114" spans="1:47" s="37" customFormat="1" ht="16.899999999999999" customHeight="1">
      <c r="A114" s="33"/>
      <c r="B114" s="63"/>
      <c r="C114" s="64"/>
      <c r="D114" s="64"/>
      <c r="E114" s="64"/>
      <c r="F114" s="64"/>
      <c r="G114" s="64"/>
      <c r="H114" s="64"/>
      <c r="I114" s="64"/>
      <c r="J114" s="64"/>
      <c r="K114" s="65"/>
      <c r="L114" s="78"/>
      <c r="M114" s="79"/>
      <c r="N114" s="79"/>
      <c r="O114" s="79"/>
      <c r="P114" s="79"/>
      <c r="Q114" s="79"/>
      <c r="R114" s="80"/>
      <c r="S114" s="81"/>
      <c r="T114" s="82"/>
      <c r="U114" s="82"/>
      <c r="V114" s="82"/>
      <c r="W114" s="82"/>
      <c r="X114" s="82"/>
      <c r="Y114" s="83"/>
      <c r="Z114" s="84"/>
      <c r="AA114" s="85"/>
      <c r="AB114" s="85"/>
      <c r="AC114" s="85"/>
      <c r="AD114" s="85"/>
      <c r="AE114" s="85"/>
      <c r="AF114" s="85"/>
      <c r="AG114" s="85"/>
      <c r="AH114" s="85"/>
      <c r="AI114" s="85"/>
      <c r="AJ114" s="85"/>
      <c r="AK114" s="85"/>
      <c r="AL114" s="86"/>
      <c r="AM114" s="87"/>
      <c r="AN114" s="88"/>
      <c r="AO114" s="88"/>
      <c r="AP114" s="88"/>
      <c r="AQ114" s="88"/>
      <c r="AR114" s="88"/>
      <c r="AS114" s="88"/>
      <c r="AT114" s="88"/>
      <c r="AU114" s="88"/>
    </row>
    <row r="115" spans="1:47" s="37" customFormat="1" ht="16.899999999999999" customHeight="1">
      <c r="A115" s="33"/>
      <c r="B115" s="63"/>
      <c r="C115" s="64"/>
      <c r="D115" s="64"/>
      <c r="E115" s="64"/>
      <c r="F115" s="64"/>
      <c r="G115" s="64"/>
      <c r="H115" s="64"/>
      <c r="I115" s="64"/>
      <c r="J115" s="64"/>
      <c r="K115" s="65"/>
      <c r="L115" s="78"/>
      <c r="M115" s="79"/>
      <c r="N115" s="79"/>
      <c r="O115" s="79"/>
      <c r="P115" s="79"/>
      <c r="Q115" s="79"/>
      <c r="R115" s="80"/>
      <c r="S115" s="81"/>
      <c r="T115" s="82"/>
      <c r="U115" s="82"/>
      <c r="V115" s="82"/>
      <c r="W115" s="82"/>
      <c r="X115" s="82"/>
      <c r="Y115" s="83"/>
      <c r="Z115" s="84"/>
      <c r="AA115" s="85"/>
      <c r="AB115" s="85"/>
      <c r="AC115" s="85"/>
      <c r="AD115" s="85"/>
      <c r="AE115" s="85"/>
      <c r="AF115" s="85"/>
      <c r="AG115" s="85"/>
      <c r="AH115" s="85"/>
      <c r="AI115" s="85"/>
      <c r="AJ115" s="85"/>
      <c r="AK115" s="85"/>
      <c r="AL115" s="86"/>
      <c r="AM115" s="87"/>
      <c r="AN115" s="88"/>
      <c r="AO115" s="88"/>
      <c r="AP115" s="88"/>
      <c r="AQ115" s="88"/>
      <c r="AR115" s="88"/>
      <c r="AS115" s="88"/>
      <c r="AT115" s="88"/>
      <c r="AU115" s="88"/>
    </row>
    <row r="116" spans="1:47" s="37" customFormat="1" ht="16.899999999999999" customHeight="1">
      <c r="A116" s="33"/>
      <c r="B116" s="63"/>
      <c r="C116" s="64"/>
      <c r="D116" s="64"/>
      <c r="E116" s="64"/>
      <c r="F116" s="64"/>
      <c r="G116" s="64"/>
      <c r="H116" s="64"/>
      <c r="I116" s="64"/>
      <c r="J116" s="64"/>
      <c r="K116" s="65"/>
      <c r="L116" s="78"/>
      <c r="M116" s="79"/>
      <c r="N116" s="79"/>
      <c r="O116" s="79"/>
      <c r="P116" s="79"/>
      <c r="Q116" s="79"/>
      <c r="R116" s="80"/>
      <c r="S116" s="81"/>
      <c r="T116" s="82"/>
      <c r="U116" s="82"/>
      <c r="V116" s="82"/>
      <c r="W116" s="82"/>
      <c r="X116" s="82"/>
      <c r="Y116" s="83"/>
      <c r="Z116" s="84"/>
      <c r="AA116" s="85"/>
      <c r="AB116" s="85"/>
      <c r="AC116" s="85"/>
      <c r="AD116" s="85"/>
      <c r="AE116" s="85"/>
      <c r="AF116" s="85"/>
      <c r="AG116" s="85"/>
      <c r="AH116" s="85"/>
      <c r="AI116" s="85"/>
      <c r="AJ116" s="85"/>
      <c r="AK116" s="85"/>
      <c r="AL116" s="86"/>
      <c r="AM116" s="87"/>
      <c r="AN116" s="88"/>
      <c r="AO116" s="88"/>
      <c r="AP116" s="88"/>
      <c r="AQ116" s="88"/>
      <c r="AR116" s="88"/>
      <c r="AS116" s="88"/>
      <c r="AT116" s="88"/>
      <c r="AU116" s="88"/>
    </row>
    <row r="117" spans="1:47" s="37" customFormat="1" ht="16.899999999999999" customHeight="1">
      <c r="A117" s="33"/>
      <c r="L117" s="44"/>
      <c r="M117" s="44"/>
      <c r="N117" s="44"/>
      <c r="O117" s="44"/>
      <c r="P117" s="44"/>
      <c r="Q117" s="22"/>
      <c r="R117" s="22"/>
      <c r="S117" s="22"/>
      <c r="T117" s="22"/>
      <c r="U117" s="22"/>
      <c r="V117" s="22"/>
      <c r="W117" s="22"/>
      <c r="X117" s="22"/>
      <c r="Y117" s="22"/>
      <c r="Z117" s="22"/>
      <c r="AA117" s="22"/>
      <c r="AB117" s="22"/>
      <c r="AC117" s="22"/>
      <c r="AD117" s="22"/>
      <c r="AE117" s="22"/>
      <c r="AF117" s="22"/>
      <c r="AG117" s="22"/>
      <c r="AH117" s="22"/>
      <c r="AI117" s="22"/>
      <c r="AJ117" s="22"/>
      <c r="AK117" s="22"/>
      <c r="AL117" s="22"/>
      <c r="AM117" s="22"/>
      <c r="AN117" s="22"/>
      <c r="AO117" s="22"/>
      <c r="AP117" s="22"/>
      <c r="AQ117" s="22"/>
      <c r="AR117" s="22"/>
      <c r="AS117" s="22"/>
      <c r="AT117" s="22"/>
      <c r="AU117" s="22"/>
    </row>
    <row r="118" spans="1:47" s="12" customFormat="1" ht="16.899999999999999" customHeight="1">
      <c r="A118" s="11"/>
      <c r="B118" s="43" t="s">
        <v>93</v>
      </c>
    </row>
    <row r="119" spans="1:47" s="37" customFormat="1" ht="16.899999999999999" customHeight="1">
      <c r="A119" s="33"/>
      <c r="B119" s="72" t="s">
        <v>94</v>
      </c>
      <c r="C119" s="73"/>
      <c r="D119" s="73"/>
      <c r="E119" s="73"/>
      <c r="F119" s="73"/>
      <c r="G119" s="73"/>
      <c r="H119" s="73"/>
      <c r="I119" s="73"/>
      <c r="J119" s="73"/>
      <c r="K119" s="74"/>
      <c r="L119" s="72" t="s">
        <v>95</v>
      </c>
      <c r="M119" s="76"/>
      <c r="N119" s="76"/>
      <c r="O119" s="76"/>
      <c r="P119" s="77"/>
      <c r="Q119" s="72" t="s">
        <v>96</v>
      </c>
      <c r="R119" s="76"/>
      <c r="S119" s="76"/>
      <c r="T119" s="76"/>
      <c r="U119" s="77"/>
      <c r="V119" s="72" t="s">
        <v>97</v>
      </c>
      <c r="W119" s="73"/>
      <c r="X119" s="73"/>
      <c r="Y119" s="73"/>
      <c r="Z119" s="73"/>
      <c r="AA119" s="73"/>
      <c r="AB119" s="73"/>
      <c r="AC119" s="73"/>
      <c r="AD119" s="73"/>
      <c r="AE119" s="73"/>
      <c r="AF119" s="73"/>
      <c r="AG119" s="73"/>
      <c r="AH119" s="73"/>
      <c r="AI119" s="73"/>
      <c r="AJ119" s="73"/>
      <c r="AK119" s="73"/>
      <c r="AL119" s="73"/>
      <c r="AM119" s="73"/>
      <c r="AN119" s="73"/>
      <c r="AO119" s="73"/>
      <c r="AP119" s="73"/>
      <c r="AQ119" s="73"/>
      <c r="AR119" s="73"/>
      <c r="AS119" s="73"/>
      <c r="AT119" s="73"/>
      <c r="AU119" s="74"/>
    </row>
    <row r="120" spans="1:47" s="37" customFormat="1" ht="16.899999999999999" customHeight="1">
      <c r="A120" s="33"/>
      <c r="B120" s="63"/>
      <c r="C120" s="64"/>
      <c r="D120" s="64"/>
      <c r="E120" s="64"/>
      <c r="F120" s="64"/>
      <c r="G120" s="64"/>
      <c r="H120" s="64"/>
      <c r="I120" s="64"/>
      <c r="J120" s="64"/>
      <c r="K120" s="65"/>
      <c r="L120" s="66"/>
      <c r="M120" s="67"/>
      <c r="N120" s="67"/>
      <c r="O120" s="67"/>
      <c r="P120" s="68"/>
      <c r="Q120" s="69"/>
      <c r="R120" s="70"/>
      <c r="S120" s="70"/>
      <c r="T120" s="70"/>
      <c r="U120" s="71"/>
      <c r="V120" s="69"/>
      <c r="W120" s="70"/>
      <c r="X120" s="70"/>
      <c r="Y120" s="70"/>
      <c r="Z120" s="70"/>
      <c r="AA120" s="70"/>
      <c r="AB120" s="70"/>
      <c r="AC120" s="70"/>
      <c r="AD120" s="70"/>
      <c r="AE120" s="70"/>
      <c r="AF120" s="70"/>
      <c r="AG120" s="70"/>
      <c r="AH120" s="70"/>
      <c r="AI120" s="70"/>
      <c r="AJ120" s="70"/>
      <c r="AK120" s="70"/>
      <c r="AL120" s="70"/>
      <c r="AM120" s="70"/>
      <c r="AN120" s="70"/>
      <c r="AO120" s="70"/>
      <c r="AP120" s="70"/>
      <c r="AQ120" s="70"/>
      <c r="AR120" s="70"/>
      <c r="AS120" s="70"/>
      <c r="AT120" s="70"/>
      <c r="AU120" s="71"/>
    </row>
    <row r="121" spans="1:47" s="37" customFormat="1" ht="16.899999999999999" customHeight="1">
      <c r="A121" s="33"/>
      <c r="B121" s="63"/>
      <c r="C121" s="64"/>
      <c r="D121" s="64"/>
      <c r="E121" s="64"/>
      <c r="F121" s="64"/>
      <c r="G121" s="64"/>
      <c r="H121" s="64"/>
      <c r="I121" s="64"/>
      <c r="J121" s="64"/>
      <c r="K121" s="65"/>
      <c r="L121" s="66"/>
      <c r="M121" s="67"/>
      <c r="N121" s="67"/>
      <c r="O121" s="67"/>
      <c r="P121" s="68"/>
      <c r="Q121" s="69"/>
      <c r="R121" s="70"/>
      <c r="S121" s="70"/>
      <c r="T121" s="70"/>
      <c r="U121" s="71"/>
      <c r="V121" s="69"/>
      <c r="W121" s="70"/>
      <c r="X121" s="70"/>
      <c r="Y121" s="70"/>
      <c r="Z121" s="70"/>
      <c r="AA121" s="70"/>
      <c r="AB121" s="70"/>
      <c r="AC121" s="70"/>
      <c r="AD121" s="70"/>
      <c r="AE121" s="70"/>
      <c r="AF121" s="70"/>
      <c r="AG121" s="70"/>
      <c r="AH121" s="70"/>
      <c r="AI121" s="70"/>
      <c r="AJ121" s="70"/>
      <c r="AK121" s="70"/>
      <c r="AL121" s="70"/>
      <c r="AM121" s="70"/>
      <c r="AN121" s="70"/>
      <c r="AO121" s="70"/>
      <c r="AP121" s="70"/>
      <c r="AQ121" s="70"/>
      <c r="AR121" s="70"/>
      <c r="AS121" s="70"/>
      <c r="AT121" s="70"/>
      <c r="AU121" s="71"/>
    </row>
    <row r="122" spans="1:47" s="37" customFormat="1" ht="16.899999999999999" customHeight="1">
      <c r="A122" s="33"/>
      <c r="B122" s="63"/>
      <c r="C122" s="64"/>
      <c r="D122" s="64"/>
      <c r="E122" s="64"/>
      <c r="F122" s="64"/>
      <c r="G122" s="64"/>
      <c r="H122" s="64"/>
      <c r="I122" s="64"/>
      <c r="J122" s="64"/>
      <c r="K122" s="65"/>
      <c r="L122" s="66"/>
      <c r="M122" s="67"/>
      <c r="N122" s="67"/>
      <c r="O122" s="67"/>
      <c r="P122" s="68"/>
      <c r="Q122" s="69"/>
      <c r="R122" s="70"/>
      <c r="S122" s="70"/>
      <c r="T122" s="70"/>
      <c r="U122" s="71"/>
      <c r="V122" s="69"/>
      <c r="W122" s="70"/>
      <c r="X122" s="70"/>
      <c r="Y122" s="70"/>
      <c r="Z122" s="70"/>
      <c r="AA122" s="70"/>
      <c r="AB122" s="70"/>
      <c r="AC122" s="70"/>
      <c r="AD122" s="70"/>
      <c r="AE122" s="70"/>
      <c r="AF122" s="70"/>
      <c r="AG122" s="70"/>
      <c r="AH122" s="70"/>
      <c r="AI122" s="70"/>
      <c r="AJ122" s="70"/>
      <c r="AK122" s="70"/>
      <c r="AL122" s="70"/>
      <c r="AM122" s="70"/>
      <c r="AN122" s="70"/>
      <c r="AO122" s="70"/>
      <c r="AP122" s="70"/>
      <c r="AQ122" s="70"/>
      <c r="AR122" s="70"/>
      <c r="AS122" s="70"/>
      <c r="AT122" s="70"/>
      <c r="AU122" s="71"/>
    </row>
    <row r="123" spans="1:47" s="37" customFormat="1" ht="16.899999999999999" customHeight="1">
      <c r="A123" s="33"/>
      <c r="B123" s="63"/>
      <c r="C123" s="64"/>
      <c r="D123" s="64"/>
      <c r="E123" s="64"/>
      <c r="F123" s="64"/>
      <c r="G123" s="64"/>
      <c r="H123" s="64"/>
      <c r="I123" s="64"/>
      <c r="J123" s="64"/>
      <c r="K123" s="65"/>
      <c r="L123" s="66"/>
      <c r="M123" s="67"/>
      <c r="N123" s="67"/>
      <c r="O123" s="67"/>
      <c r="P123" s="68"/>
      <c r="Q123" s="69"/>
      <c r="R123" s="70"/>
      <c r="S123" s="70"/>
      <c r="T123" s="70"/>
      <c r="U123" s="71"/>
      <c r="V123" s="69"/>
      <c r="W123" s="70"/>
      <c r="X123" s="70"/>
      <c r="Y123" s="70"/>
      <c r="Z123" s="70"/>
      <c r="AA123" s="70"/>
      <c r="AB123" s="70"/>
      <c r="AC123" s="70"/>
      <c r="AD123" s="70"/>
      <c r="AE123" s="70"/>
      <c r="AF123" s="70"/>
      <c r="AG123" s="70"/>
      <c r="AH123" s="70"/>
      <c r="AI123" s="70"/>
      <c r="AJ123" s="70"/>
      <c r="AK123" s="70"/>
      <c r="AL123" s="70"/>
      <c r="AM123" s="70"/>
      <c r="AN123" s="70"/>
      <c r="AO123" s="70"/>
      <c r="AP123" s="70"/>
      <c r="AQ123" s="70"/>
      <c r="AR123" s="70"/>
      <c r="AS123" s="70"/>
      <c r="AT123" s="70"/>
      <c r="AU123" s="71"/>
    </row>
    <row r="124" spans="1:47" s="37" customFormat="1" ht="16.899999999999999" customHeight="1">
      <c r="A124" s="33"/>
      <c r="B124" s="63"/>
      <c r="C124" s="64"/>
      <c r="D124" s="64"/>
      <c r="E124" s="64"/>
      <c r="F124" s="64"/>
      <c r="G124" s="64"/>
      <c r="H124" s="64"/>
      <c r="I124" s="64"/>
      <c r="J124" s="64"/>
      <c r="K124" s="65"/>
      <c r="L124" s="66"/>
      <c r="M124" s="67"/>
      <c r="N124" s="67"/>
      <c r="O124" s="67"/>
      <c r="P124" s="68"/>
      <c r="Q124" s="69"/>
      <c r="R124" s="70"/>
      <c r="S124" s="70"/>
      <c r="T124" s="70"/>
      <c r="U124" s="71"/>
      <c r="V124" s="69"/>
      <c r="W124" s="70"/>
      <c r="X124" s="70"/>
      <c r="Y124" s="70"/>
      <c r="Z124" s="70"/>
      <c r="AA124" s="70"/>
      <c r="AB124" s="70"/>
      <c r="AC124" s="70"/>
      <c r="AD124" s="70"/>
      <c r="AE124" s="70"/>
      <c r="AF124" s="70"/>
      <c r="AG124" s="70"/>
      <c r="AH124" s="70"/>
      <c r="AI124" s="70"/>
      <c r="AJ124" s="70"/>
      <c r="AK124" s="70"/>
      <c r="AL124" s="70"/>
      <c r="AM124" s="70"/>
      <c r="AN124" s="70"/>
      <c r="AO124" s="70"/>
      <c r="AP124" s="70"/>
      <c r="AQ124" s="70"/>
      <c r="AR124" s="70"/>
      <c r="AS124" s="70"/>
      <c r="AT124" s="70"/>
      <c r="AU124" s="71"/>
    </row>
    <row r="125" spans="1:47" s="37" customFormat="1" ht="16.899999999999999" customHeight="1">
      <c r="A125" s="33"/>
      <c r="B125" s="63"/>
      <c r="C125" s="64"/>
      <c r="D125" s="64"/>
      <c r="E125" s="64"/>
      <c r="F125" s="64"/>
      <c r="G125" s="64"/>
      <c r="H125" s="64"/>
      <c r="I125" s="64"/>
      <c r="J125" s="64"/>
      <c r="K125" s="65"/>
      <c r="L125" s="66"/>
      <c r="M125" s="67"/>
      <c r="N125" s="67"/>
      <c r="O125" s="67"/>
      <c r="P125" s="68"/>
      <c r="Q125" s="69"/>
      <c r="R125" s="70"/>
      <c r="S125" s="70"/>
      <c r="T125" s="70"/>
      <c r="U125" s="71"/>
      <c r="V125" s="69"/>
      <c r="W125" s="70"/>
      <c r="X125" s="70"/>
      <c r="Y125" s="70"/>
      <c r="Z125" s="70"/>
      <c r="AA125" s="70"/>
      <c r="AB125" s="70"/>
      <c r="AC125" s="70"/>
      <c r="AD125" s="70"/>
      <c r="AE125" s="70"/>
      <c r="AF125" s="70"/>
      <c r="AG125" s="70"/>
      <c r="AH125" s="70"/>
      <c r="AI125" s="70"/>
      <c r="AJ125" s="70"/>
      <c r="AK125" s="70"/>
      <c r="AL125" s="70"/>
      <c r="AM125" s="70"/>
      <c r="AN125" s="70"/>
      <c r="AO125" s="70"/>
      <c r="AP125" s="70"/>
      <c r="AQ125" s="70"/>
      <c r="AR125" s="70"/>
      <c r="AS125" s="70"/>
      <c r="AT125" s="70"/>
      <c r="AU125" s="71"/>
    </row>
    <row r="126" spans="1:47" s="37" customFormat="1" ht="16.899999999999999" customHeight="1">
      <c r="A126" s="33"/>
      <c r="B126" s="63"/>
      <c r="C126" s="64"/>
      <c r="D126" s="64"/>
      <c r="E126" s="64"/>
      <c r="F126" s="64"/>
      <c r="G126" s="64"/>
      <c r="H126" s="64"/>
      <c r="I126" s="64"/>
      <c r="J126" s="64"/>
      <c r="K126" s="65"/>
      <c r="L126" s="66"/>
      <c r="M126" s="67"/>
      <c r="N126" s="67"/>
      <c r="O126" s="67"/>
      <c r="P126" s="68"/>
      <c r="Q126" s="69"/>
      <c r="R126" s="70"/>
      <c r="S126" s="70"/>
      <c r="T126" s="70"/>
      <c r="U126" s="71"/>
      <c r="V126" s="69"/>
      <c r="W126" s="70"/>
      <c r="X126" s="70"/>
      <c r="Y126" s="70"/>
      <c r="Z126" s="70"/>
      <c r="AA126" s="70"/>
      <c r="AB126" s="70"/>
      <c r="AC126" s="70"/>
      <c r="AD126" s="70"/>
      <c r="AE126" s="70"/>
      <c r="AF126" s="70"/>
      <c r="AG126" s="70"/>
      <c r="AH126" s="70"/>
      <c r="AI126" s="70"/>
      <c r="AJ126" s="70"/>
      <c r="AK126" s="70"/>
      <c r="AL126" s="70"/>
      <c r="AM126" s="70"/>
      <c r="AN126" s="70"/>
      <c r="AO126" s="70"/>
      <c r="AP126" s="70"/>
      <c r="AQ126" s="70"/>
      <c r="AR126" s="70"/>
      <c r="AS126" s="70"/>
      <c r="AT126" s="70"/>
      <c r="AU126" s="71"/>
    </row>
    <row r="127" spans="1:47" s="37" customFormat="1" ht="16.899999999999999" customHeight="1">
      <c r="A127" s="33"/>
      <c r="B127" s="63"/>
      <c r="C127" s="64"/>
      <c r="D127" s="64"/>
      <c r="E127" s="64"/>
      <c r="F127" s="64"/>
      <c r="G127" s="64"/>
      <c r="H127" s="64"/>
      <c r="I127" s="64"/>
      <c r="J127" s="64"/>
      <c r="K127" s="65"/>
      <c r="L127" s="66"/>
      <c r="M127" s="67"/>
      <c r="N127" s="67"/>
      <c r="O127" s="67"/>
      <c r="P127" s="68"/>
      <c r="Q127" s="69"/>
      <c r="R127" s="70"/>
      <c r="S127" s="70"/>
      <c r="T127" s="70"/>
      <c r="U127" s="71"/>
      <c r="V127" s="69"/>
      <c r="W127" s="70"/>
      <c r="X127" s="70"/>
      <c r="Y127" s="70"/>
      <c r="Z127" s="70"/>
      <c r="AA127" s="70"/>
      <c r="AB127" s="70"/>
      <c r="AC127" s="70"/>
      <c r="AD127" s="70"/>
      <c r="AE127" s="70"/>
      <c r="AF127" s="70"/>
      <c r="AG127" s="70"/>
      <c r="AH127" s="70"/>
      <c r="AI127" s="70"/>
      <c r="AJ127" s="70"/>
      <c r="AK127" s="70"/>
      <c r="AL127" s="70"/>
      <c r="AM127" s="70"/>
      <c r="AN127" s="70"/>
      <c r="AO127" s="70"/>
      <c r="AP127" s="70"/>
      <c r="AQ127" s="70"/>
      <c r="AR127" s="70"/>
      <c r="AS127" s="70"/>
      <c r="AT127" s="70"/>
      <c r="AU127" s="71"/>
    </row>
    <row r="128" spans="1:47" s="37" customFormat="1" ht="16.899999999999999" customHeight="1">
      <c r="A128" s="33"/>
      <c r="B128" s="63"/>
      <c r="C128" s="64"/>
      <c r="D128" s="64"/>
      <c r="E128" s="64"/>
      <c r="F128" s="64"/>
      <c r="G128" s="64"/>
      <c r="H128" s="64"/>
      <c r="I128" s="64"/>
      <c r="J128" s="64"/>
      <c r="K128" s="65"/>
      <c r="L128" s="66"/>
      <c r="M128" s="67"/>
      <c r="N128" s="67"/>
      <c r="O128" s="67"/>
      <c r="P128" s="68"/>
      <c r="Q128" s="69"/>
      <c r="R128" s="70"/>
      <c r="S128" s="70"/>
      <c r="T128" s="70"/>
      <c r="U128" s="71"/>
      <c r="V128" s="69"/>
      <c r="W128" s="70"/>
      <c r="X128" s="70"/>
      <c r="Y128" s="70"/>
      <c r="Z128" s="70"/>
      <c r="AA128" s="70"/>
      <c r="AB128" s="70"/>
      <c r="AC128" s="70"/>
      <c r="AD128" s="70"/>
      <c r="AE128" s="70"/>
      <c r="AF128" s="70"/>
      <c r="AG128" s="70"/>
      <c r="AH128" s="70"/>
      <c r="AI128" s="70"/>
      <c r="AJ128" s="70"/>
      <c r="AK128" s="70"/>
      <c r="AL128" s="70"/>
      <c r="AM128" s="70"/>
      <c r="AN128" s="70"/>
      <c r="AO128" s="70"/>
      <c r="AP128" s="70"/>
      <c r="AQ128" s="70"/>
      <c r="AR128" s="70"/>
      <c r="AS128" s="70"/>
      <c r="AT128" s="70"/>
      <c r="AU128" s="71"/>
    </row>
    <row r="129" spans="1:47" s="37" customFormat="1" ht="16.899999999999999" customHeight="1">
      <c r="A129" s="33"/>
      <c r="B129" s="63"/>
      <c r="C129" s="64"/>
      <c r="D129" s="64"/>
      <c r="E129" s="64"/>
      <c r="F129" s="64"/>
      <c r="G129" s="64"/>
      <c r="H129" s="64"/>
      <c r="I129" s="64"/>
      <c r="J129" s="64"/>
      <c r="K129" s="65"/>
      <c r="L129" s="66"/>
      <c r="M129" s="67"/>
      <c r="N129" s="67"/>
      <c r="O129" s="67"/>
      <c r="P129" s="68"/>
      <c r="Q129" s="69"/>
      <c r="R129" s="70"/>
      <c r="S129" s="70"/>
      <c r="T129" s="70"/>
      <c r="U129" s="71"/>
      <c r="V129" s="69"/>
      <c r="W129" s="70"/>
      <c r="X129" s="70"/>
      <c r="Y129" s="70"/>
      <c r="Z129" s="70"/>
      <c r="AA129" s="70"/>
      <c r="AB129" s="70"/>
      <c r="AC129" s="70"/>
      <c r="AD129" s="70"/>
      <c r="AE129" s="70"/>
      <c r="AF129" s="70"/>
      <c r="AG129" s="70"/>
      <c r="AH129" s="70"/>
      <c r="AI129" s="70"/>
      <c r="AJ129" s="70"/>
      <c r="AK129" s="70"/>
      <c r="AL129" s="70"/>
      <c r="AM129" s="70"/>
      <c r="AN129" s="70"/>
      <c r="AO129" s="70"/>
      <c r="AP129" s="70"/>
      <c r="AQ129" s="70"/>
      <c r="AR129" s="70"/>
      <c r="AS129" s="70"/>
      <c r="AT129" s="70"/>
      <c r="AU129" s="71"/>
    </row>
    <row r="130" spans="1:47" s="37" customFormat="1" ht="16.899999999999999" customHeight="1">
      <c r="A130" s="33"/>
    </row>
    <row r="131" spans="1:47" s="12" customFormat="1" ht="16.899999999999999" customHeight="1">
      <c r="A131" s="11"/>
      <c r="B131" s="43" t="s">
        <v>98</v>
      </c>
    </row>
    <row r="132" spans="1:47" s="37" customFormat="1" ht="16.899999999999999" customHeight="1">
      <c r="A132" s="33"/>
      <c r="B132" s="72" t="s">
        <v>99</v>
      </c>
      <c r="C132" s="73"/>
      <c r="D132" s="73"/>
      <c r="E132" s="73"/>
      <c r="F132" s="73"/>
      <c r="G132" s="73"/>
      <c r="H132" s="73"/>
      <c r="I132" s="73"/>
      <c r="J132" s="73"/>
      <c r="K132" s="74"/>
      <c r="L132" s="75"/>
      <c r="M132" s="75"/>
      <c r="N132" s="75"/>
      <c r="O132" s="75"/>
      <c r="P132" s="75"/>
      <c r="Q132" s="75"/>
      <c r="R132" s="75"/>
      <c r="S132" s="75"/>
      <c r="T132" s="75"/>
      <c r="U132" s="75"/>
      <c r="V132" s="75"/>
      <c r="W132" s="75"/>
      <c r="X132" s="75"/>
      <c r="Y132" s="72" t="s">
        <v>100</v>
      </c>
      <c r="Z132" s="73"/>
      <c r="AA132" s="73"/>
      <c r="AB132" s="73"/>
      <c r="AC132" s="73"/>
      <c r="AD132" s="73"/>
      <c r="AE132" s="73"/>
      <c r="AF132" s="73"/>
      <c r="AG132" s="73"/>
      <c r="AH132" s="74"/>
      <c r="AI132" s="75"/>
      <c r="AJ132" s="75"/>
      <c r="AK132" s="75"/>
      <c r="AL132" s="75"/>
      <c r="AM132" s="75"/>
      <c r="AN132" s="75"/>
      <c r="AO132" s="75"/>
      <c r="AP132" s="75"/>
      <c r="AQ132" s="75"/>
      <c r="AR132" s="75"/>
      <c r="AS132" s="75"/>
      <c r="AT132" s="75"/>
      <c r="AU132" s="75"/>
    </row>
    <row r="133" spans="1:47" s="6" customFormat="1" ht="16.899999999999999" customHeight="1">
      <c r="A133" s="45"/>
    </row>
  </sheetData>
  <protectedRanges>
    <protectedRange sqref="AI15:AU15 L63:X63 AI13:AU13 AI65:AU65" name="範囲1_1"/>
    <protectedRange sqref="AI16:AU16 AI14:AU14 AI63:AU63 L62:X62 L15:X15 L13:X13 L65:X65" name="範囲1_2"/>
    <protectedRange sqref="L14:M14 L16:M16" name="範囲1_3"/>
    <protectedRange sqref="R19:AU20 R23:AU26" name="範囲1_4"/>
    <protectedRange sqref="R21:AU22" name="範囲1_4_1"/>
  </protectedRanges>
  <mergeCells count="337">
    <mergeCell ref="AJ109:AM109"/>
    <mergeCell ref="AN109:AQ109"/>
    <mergeCell ref="AR109:AU109"/>
    <mergeCell ref="AF102:AI102"/>
    <mergeCell ref="AF103:AI103"/>
    <mergeCell ref="AF104:AI104"/>
    <mergeCell ref="AF105:AI105"/>
    <mergeCell ref="AF106:AI106"/>
    <mergeCell ref="AF107:AI107"/>
    <mergeCell ref="AN107:AQ107"/>
    <mergeCell ref="B109:K109"/>
    <mergeCell ref="L109:O109"/>
    <mergeCell ref="P109:S109"/>
    <mergeCell ref="T109:W109"/>
    <mergeCell ref="X109:AA109"/>
    <mergeCell ref="AB109:AE109"/>
    <mergeCell ref="AF109:AI109"/>
    <mergeCell ref="AR99:AU99"/>
    <mergeCell ref="AR100:AU100"/>
    <mergeCell ref="AR101:AU101"/>
    <mergeCell ref="AR102:AU102"/>
    <mergeCell ref="AR103:AU103"/>
    <mergeCell ref="AR104:AU104"/>
    <mergeCell ref="AR105:AU105"/>
    <mergeCell ref="AR106:AU106"/>
    <mergeCell ref="AR107:AU107"/>
    <mergeCell ref="AN99:AQ99"/>
    <mergeCell ref="AN100:AQ100"/>
    <mergeCell ref="AN101:AQ101"/>
    <mergeCell ref="AN102:AQ102"/>
    <mergeCell ref="AN103:AQ103"/>
    <mergeCell ref="AN104:AQ104"/>
    <mergeCell ref="AN105:AQ105"/>
    <mergeCell ref="AN106:AQ106"/>
    <mergeCell ref="AB105:AE105"/>
    <mergeCell ref="AB106:AE106"/>
    <mergeCell ref="AB107:AE107"/>
    <mergeCell ref="AJ99:AM99"/>
    <mergeCell ref="AJ100:AM100"/>
    <mergeCell ref="AJ101:AM101"/>
    <mergeCell ref="AJ102:AM102"/>
    <mergeCell ref="AJ103:AM103"/>
    <mergeCell ref="AJ104:AM104"/>
    <mergeCell ref="AJ105:AM105"/>
    <mergeCell ref="AJ106:AM106"/>
    <mergeCell ref="AJ107:AM107"/>
    <mergeCell ref="L107:O107"/>
    <mergeCell ref="X99:AA99"/>
    <mergeCell ref="X100:AA100"/>
    <mergeCell ref="X101:AA101"/>
    <mergeCell ref="X102:AA102"/>
    <mergeCell ref="X103:AA103"/>
    <mergeCell ref="X104:AA104"/>
    <mergeCell ref="X105:AA105"/>
    <mergeCell ref="X106:AA106"/>
    <mergeCell ref="X107:AA107"/>
    <mergeCell ref="T99:W99"/>
    <mergeCell ref="T100:W100"/>
    <mergeCell ref="T101:W101"/>
    <mergeCell ref="T102:W102"/>
    <mergeCell ref="T103:W103"/>
    <mergeCell ref="T104:W104"/>
    <mergeCell ref="T105:W105"/>
    <mergeCell ref="T106:W106"/>
    <mergeCell ref="T107:W107"/>
    <mergeCell ref="P105:S105"/>
    <mergeCell ref="P106:S106"/>
    <mergeCell ref="P99:S99"/>
    <mergeCell ref="P100:S100"/>
    <mergeCell ref="P101:S101"/>
    <mergeCell ref="P102:S102"/>
    <mergeCell ref="P103:S103"/>
    <mergeCell ref="P104:S104"/>
    <mergeCell ref="AF99:AI99"/>
    <mergeCell ref="AF100:AI100"/>
    <mergeCell ref="AF101:AI101"/>
    <mergeCell ref="AB99:AE99"/>
    <mergeCell ref="AB100:AE100"/>
    <mergeCell ref="AB101:AE101"/>
    <mergeCell ref="AB102:AE102"/>
    <mergeCell ref="AB103:AE103"/>
    <mergeCell ref="AB104:AE104"/>
    <mergeCell ref="L99:O99"/>
    <mergeCell ref="L100:O100"/>
    <mergeCell ref="L101:O101"/>
    <mergeCell ref="L102:O102"/>
    <mergeCell ref="L103:O103"/>
    <mergeCell ref="L104:O104"/>
    <mergeCell ref="L105:O105"/>
    <mergeCell ref="L106:O106"/>
    <mergeCell ref="B103:K103"/>
    <mergeCell ref="B104:K104"/>
    <mergeCell ref="B99:K99"/>
    <mergeCell ref="B100:K100"/>
    <mergeCell ref="B101:K101"/>
    <mergeCell ref="B2:AI3"/>
    <mergeCell ref="AL2:AP2"/>
    <mergeCell ref="AQ2:AU2"/>
    <mergeCell ref="AL3:AP5"/>
    <mergeCell ref="AQ3:AU5"/>
    <mergeCell ref="AL6:AP6"/>
    <mergeCell ref="AQ6:AU6"/>
    <mergeCell ref="B11:K11"/>
    <mergeCell ref="L11:AU11"/>
    <mergeCell ref="B12:K12"/>
    <mergeCell ref="L12:X12"/>
    <mergeCell ref="Y12:AH12"/>
    <mergeCell ref="AI12:AU12"/>
    <mergeCell ref="B9:K9"/>
    <mergeCell ref="L9:X9"/>
    <mergeCell ref="Y9:AH9"/>
    <mergeCell ref="AI9:AN9"/>
    <mergeCell ref="AP9:AU9"/>
    <mergeCell ref="B10:K10"/>
    <mergeCell ref="L10:AU10"/>
    <mergeCell ref="B14:K14"/>
    <mergeCell ref="L14:X14"/>
    <mergeCell ref="Y14:AH14"/>
    <mergeCell ref="AI14:AU14"/>
    <mergeCell ref="B16:K16"/>
    <mergeCell ref="L16:X16"/>
    <mergeCell ref="Y16:AH16"/>
    <mergeCell ref="AI16:AU16"/>
    <mergeCell ref="B13:K13"/>
    <mergeCell ref="L13:X13"/>
    <mergeCell ref="Y13:AH13"/>
    <mergeCell ref="AI13:AU13"/>
    <mergeCell ref="B15:K15"/>
    <mergeCell ref="L15:X15"/>
    <mergeCell ref="Y15:AH15"/>
    <mergeCell ref="AI15:AU15"/>
    <mergeCell ref="B27:K28"/>
    <mergeCell ref="L27:AU28"/>
    <mergeCell ref="B31:K31"/>
    <mergeCell ref="L31:P31"/>
    <mergeCell ref="Q31:AU31"/>
    <mergeCell ref="B32:K32"/>
    <mergeCell ref="L32:P32"/>
    <mergeCell ref="Q32:AU32"/>
    <mergeCell ref="B19:K20"/>
    <mergeCell ref="L19:AU20"/>
    <mergeCell ref="B23:K24"/>
    <mergeCell ref="L23:AU24"/>
    <mergeCell ref="B25:K26"/>
    <mergeCell ref="L25:AU26"/>
    <mergeCell ref="B21:K22"/>
    <mergeCell ref="L21:AU22"/>
    <mergeCell ref="B35:K35"/>
    <mergeCell ref="L35:P35"/>
    <mergeCell ref="Q35:AU35"/>
    <mergeCell ref="B36:K36"/>
    <mergeCell ref="L36:P36"/>
    <mergeCell ref="Q36:AU36"/>
    <mergeCell ref="B33:K33"/>
    <mergeCell ref="L33:P33"/>
    <mergeCell ref="Q33:AU33"/>
    <mergeCell ref="B34:K34"/>
    <mergeCell ref="L34:P34"/>
    <mergeCell ref="Q34:AU34"/>
    <mergeCell ref="B39:K39"/>
    <mergeCell ref="L39:P39"/>
    <mergeCell ref="Q39:AU39"/>
    <mergeCell ref="B40:K40"/>
    <mergeCell ref="L40:P40"/>
    <mergeCell ref="Q40:AU40"/>
    <mergeCell ref="B37:K37"/>
    <mergeCell ref="L37:P37"/>
    <mergeCell ref="Q37:AU37"/>
    <mergeCell ref="B38:K38"/>
    <mergeCell ref="L38:P38"/>
    <mergeCell ref="Q38:AU38"/>
    <mergeCell ref="B45:K45"/>
    <mergeCell ref="L45:P45"/>
    <mergeCell ref="Q45:U45"/>
    <mergeCell ref="V45:AU45"/>
    <mergeCell ref="B46:K46"/>
    <mergeCell ref="L46:P46"/>
    <mergeCell ref="Q46:U46"/>
    <mergeCell ref="V46:AU46"/>
    <mergeCell ref="B43:K43"/>
    <mergeCell ref="L43:P43"/>
    <mergeCell ref="Q43:U43"/>
    <mergeCell ref="V43:AU43"/>
    <mergeCell ref="B44:K44"/>
    <mergeCell ref="L44:P44"/>
    <mergeCell ref="Q44:U44"/>
    <mergeCell ref="V44:AU44"/>
    <mergeCell ref="B49:K49"/>
    <mergeCell ref="L49:P49"/>
    <mergeCell ref="Q49:U49"/>
    <mergeCell ref="V49:AU49"/>
    <mergeCell ref="B50:K50"/>
    <mergeCell ref="L50:P50"/>
    <mergeCell ref="Q50:U50"/>
    <mergeCell ref="V50:AU50"/>
    <mergeCell ref="B47:K47"/>
    <mergeCell ref="L47:P47"/>
    <mergeCell ref="Q47:U47"/>
    <mergeCell ref="V47:AU47"/>
    <mergeCell ref="B48:K48"/>
    <mergeCell ref="L48:P48"/>
    <mergeCell ref="Q48:U48"/>
    <mergeCell ref="V48:AU48"/>
    <mergeCell ref="B53:K53"/>
    <mergeCell ref="L53:P53"/>
    <mergeCell ref="Q53:U53"/>
    <mergeCell ref="V53:AU53"/>
    <mergeCell ref="B54:K54"/>
    <mergeCell ref="L54:P54"/>
    <mergeCell ref="Q54:U54"/>
    <mergeCell ref="V54:AU54"/>
    <mergeCell ref="B51:K51"/>
    <mergeCell ref="L51:P51"/>
    <mergeCell ref="Q51:U51"/>
    <mergeCell ref="V51:AU51"/>
    <mergeCell ref="B52:K52"/>
    <mergeCell ref="L52:P52"/>
    <mergeCell ref="Q52:U52"/>
    <mergeCell ref="V52:AU52"/>
    <mergeCell ref="B56:K56"/>
    <mergeCell ref="L56:P56"/>
    <mergeCell ref="Q56:U56"/>
    <mergeCell ref="V56:AU56"/>
    <mergeCell ref="B57:K57"/>
    <mergeCell ref="L57:P57"/>
    <mergeCell ref="Q57:U57"/>
    <mergeCell ref="V57:AU57"/>
    <mergeCell ref="B55:K55"/>
    <mergeCell ref="L55:P55"/>
    <mergeCell ref="Q55:U55"/>
    <mergeCell ref="V55:AU55"/>
    <mergeCell ref="B58:K58"/>
    <mergeCell ref="L58:P58"/>
    <mergeCell ref="Q58:U58"/>
    <mergeCell ref="V58:AU58"/>
    <mergeCell ref="B64:K64"/>
    <mergeCell ref="L64:AU64"/>
    <mergeCell ref="B112:K112"/>
    <mergeCell ref="L112:R112"/>
    <mergeCell ref="S112:Y112"/>
    <mergeCell ref="Z112:AL112"/>
    <mergeCell ref="AM112:AU112"/>
    <mergeCell ref="B61:K61"/>
    <mergeCell ref="L61:X61"/>
    <mergeCell ref="Y61:AH61"/>
    <mergeCell ref="AI61:AU61"/>
    <mergeCell ref="B62:K62"/>
    <mergeCell ref="L62:X62"/>
    <mergeCell ref="B63:K63"/>
    <mergeCell ref="L63:X63"/>
    <mergeCell ref="Y63:AH63"/>
    <mergeCell ref="AI63:AU63"/>
    <mergeCell ref="Y62:AH62"/>
    <mergeCell ref="AI62:AU62"/>
    <mergeCell ref="B105:K105"/>
    <mergeCell ref="B106:K106"/>
    <mergeCell ref="B107:K107"/>
    <mergeCell ref="B102:K102"/>
    <mergeCell ref="B113:K113"/>
    <mergeCell ref="L113:R113"/>
    <mergeCell ref="S113:Y113"/>
    <mergeCell ref="Z113:AL113"/>
    <mergeCell ref="AM113:AU113"/>
    <mergeCell ref="B114:K114"/>
    <mergeCell ref="L114:R114"/>
    <mergeCell ref="S114:Y114"/>
    <mergeCell ref="Z114:AL114"/>
    <mergeCell ref="AM114:AU114"/>
    <mergeCell ref="AR108:AU108"/>
    <mergeCell ref="B108:K108"/>
    <mergeCell ref="L108:O108"/>
    <mergeCell ref="P108:S108"/>
    <mergeCell ref="T108:W108"/>
    <mergeCell ref="X108:AA108"/>
    <mergeCell ref="AB108:AE108"/>
    <mergeCell ref="AF108:AI108"/>
    <mergeCell ref="AJ108:AM108"/>
    <mergeCell ref="AN108:AQ108"/>
    <mergeCell ref="P107:S107"/>
    <mergeCell ref="B115:K115"/>
    <mergeCell ref="L115:R115"/>
    <mergeCell ref="S115:Y115"/>
    <mergeCell ref="Z115:AL115"/>
    <mergeCell ref="AM115:AU115"/>
    <mergeCell ref="B116:K116"/>
    <mergeCell ref="L116:R116"/>
    <mergeCell ref="S116:Y116"/>
    <mergeCell ref="Z116:AL116"/>
    <mergeCell ref="AM116:AU116"/>
    <mergeCell ref="B121:K121"/>
    <mergeCell ref="L121:P121"/>
    <mergeCell ref="Q121:U121"/>
    <mergeCell ref="V121:AU121"/>
    <mergeCell ref="B122:K122"/>
    <mergeCell ref="L122:P122"/>
    <mergeCell ref="Q122:U122"/>
    <mergeCell ref="V122:AU122"/>
    <mergeCell ref="B119:K119"/>
    <mergeCell ref="L119:P119"/>
    <mergeCell ref="Q119:U119"/>
    <mergeCell ref="V119:AU119"/>
    <mergeCell ref="B120:K120"/>
    <mergeCell ref="L120:P120"/>
    <mergeCell ref="Q120:U120"/>
    <mergeCell ref="V120:AU120"/>
    <mergeCell ref="B125:K125"/>
    <mergeCell ref="L125:P125"/>
    <mergeCell ref="Q125:U125"/>
    <mergeCell ref="V125:AU125"/>
    <mergeCell ref="B126:K126"/>
    <mergeCell ref="L126:P126"/>
    <mergeCell ref="Q126:U126"/>
    <mergeCell ref="V126:AU126"/>
    <mergeCell ref="B123:K123"/>
    <mergeCell ref="L123:P123"/>
    <mergeCell ref="Q123:U123"/>
    <mergeCell ref="V123:AU123"/>
    <mergeCell ref="B124:K124"/>
    <mergeCell ref="L124:P124"/>
    <mergeCell ref="Q124:U124"/>
    <mergeCell ref="V124:AU124"/>
    <mergeCell ref="B129:K129"/>
    <mergeCell ref="L129:P129"/>
    <mergeCell ref="Q129:U129"/>
    <mergeCell ref="V129:AU129"/>
    <mergeCell ref="B132:K132"/>
    <mergeCell ref="L132:X132"/>
    <mergeCell ref="Y132:AH132"/>
    <mergeCell ref="AI132:AU132"/>
    <mergeCell ref="B127:K127"/>
    <mergeCell ref="L127:P127"/>
    <mergeCell ref="Q127:U127"/>
    <mergeCell ref="V127:AU127"/>
    <mergeCell ref="B128:K128"/>
    <mergeCell ref="L128:P128"/>
    <mergeCell ref="Q128:U128"/>
    <mergeCell ref="V128:AU128"/>
  </mergeCells>
  <phoneticPr fontId="2"/>
  <dataValidations count="7">
    <dataValidation type="list" allowBlank="1" showInputMessage="1" showErrorMessage="1" sqref="AI16:AU16" xr:uid="{8D08F04B-9AF3-4966-AEB6-5E6B8989AB1D}">
      <formula1>"新規開発,改良開発,その他"</formula1>
    </dataValidation>
    <dataValidation type="list" allowBlank="1" showInputMessage="1" showErrorMessage="1" sqref="L132" xr:uid="{69B65B16-1B72-4D04-8EFC-8A8A53F6FBE6}">
      <formula1>"有,無"</formula1>
    </dataValidation>
    <dataValidation allowBlank="1" showInputMessage="1" prompt="★例）納期を厳守する" sqref="R23 R25 R21" xr:uid="{FD0C5BD0-012B-4BAE-9466-E6901B77DFDD}"/>
    <dataValidation type="list" allowBlank="1" showInputMessage="1" showErrorMessage="1" sqref="L32:L40" xr:uid="{BBBAD1FF-70AB-4E9D-AF85-F0AC339C87E7}">
      <formula1>"あり（右記に文書名記入）,なし"</formula1>
    </dataValidation>
    <dataValidation type="list" allowBlank="1" showInputMessage="1" showErrorMessage="1" sqref="L44:U58" xr:uid="{07534C50-8A5F-46F4-834C-DE9BA9E740AE}">
      <formula1>"○"</formula1>
    </dataValidation>
    <dataValidation allowBlank="1" showDropDown="1" showInputMessage="1" showErrorMessage="1" sqref="B109:K109" xr:uid="{1004B0A8-7368-459C-B567-57BDFDC1A6B4}"/>
    <dataValidation type="list" allowBlank="1" showInputMessage="1" sqref="B100:K108" xr:uid="{859C218E-F886-42FC-A0E0-E4DA9A578742}">
      <formula1>"要件定義,基本設計,詳細設計,製造,結合テスト,システムテスト,ユーザーテスト,本稼働,その他"</formula1>
    </dataValidation>
  </dataValidations>
  <printOptions horizontalCentered="1"/>
  <pageMargins left="0.39370078740157483" right="0.39370078740157483" top="0.39370078740157483" bottom="0.39370078740157483" header="0.19685039370078741" footer="0.19685039370078741"/>
  <pageSetup paperSize="9" scale="63" fitToHeight="0" orientation="portrait" r:id="rId1"/>
  <headerFooter alignWithMargins="0">
    <oddFooter>&amp;C&amp;P / &amp;N</oddFooter>
  </headerFooter>
  <rowBreaks count="1" manualBreakCount="1">
    <brk id="64" max="47" man="1"/>
  </rowBreaks>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C8"/>
    <pageSetUpPr fitToPage="1"/>
  </sheetPr>
  <dimension ref="A1:BG145"/>
  <sheetViews>
    <sheetView showGridLines="0" zoomScaleNormal="100" zoomScaleSheetLayoutView="75" workbookViewId="0">
      <selection activeCell="AB81" sqref="AB81:AE81"/>
    </sheetView>
  </sheetViews>
  <sheetFormatPr defaultColWidth="3.140625" defaultRowHeight="16.899999999999999" customHeight="1"/>
  <cols>
    <col min="1" max="16384" width="3.140625" style="4"/>
  </cols>
  <sheetData>
    <row r="1" spans="1:59" ht="16.899999999999999" customHeight="1" thickBot="1">
      <c r="A1" s="2"/>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row>
    <row r="2" spans="1:59" ht="16.899999999999999" customHeight="1" thickBot="1">
      <c r="A2" s="2"/>
      <c r="B2" s="391" t="s">
        <v>101</v>
      </c>
      <c r="C2" s="391"/>
      <c r="D2" s="391"/>
      <c r="E2" s="391"/>
      <c r="F2" s="391"/>
      <c r="G2" s="391"/>
      <c r="H2" s="391"/>
      <c r="I2" s="391"/>
      <c r="J2" s="391"/>
      <c r="K2" s="391"/>
      <c r="L2" s="391"/>
      <c r="M2" s="391"/>
      <c r="N2" s="391"/>
      <c r="O2" s="391"/>
      <c r="P2" s="391"/>
      <c r="Q2" s="391"/>
      <c r="R2" s="391"/>
      <c r="S2" s="391"/>
      <c r="T2" s="391"/>
      <c r="U2" s="391"/>
      <c r="V2" s="391"/>
      <c r="W2" s="391"/>
      <c r="X2" s="391"/>
      <c r="Y2" s="391"/>
      <c r="Z2" s="391"/>
      <c r="AA2" s="391"/>
      <c r="AB2" s="391"/>
      <c r="AC2" s="391"/>
      <c r="AD2" s="391"/>
      <c r="AE2" s="391"/>
      <c r="AF2" s="17"/>
      <c r="AL2" s="173" t="s">
        <v>1</v>
      </c>
      <c r="AM2" s="174"/>
      <c r="AN2" s="174"/>
      <c r="AO2" s="174"/>
      <c r="AP2" s="175"/>
      <c r="AQ2" s="173" t="s">
        <v>2</v>
      </c>
      <c r="AR2" s="174"/>
      <c r="AS2" s="174"/>
      <c r="AT2" s="174"/>
      <c r="AU2" s="175"/>
    </row>
    <row r="3" spans="1:59" ht="16.899999999999999" customHeight="1">
      <c r="A3" s="2"/>
      <c r="B3" s="391"/>
      <c r="C3" s="391"/>
      <c r="D3" s="391"/>
      <c r="E3" s="391"/>
      <c r="F3" s="391"/>
      <c r="G3" s="391"/>
      <c r="H3" s="391"/>
      <c r="I3" s="391"/>
      <c r="J3" s="391"/>
      <c r="K3" s="391"/>
      <c r="L3" s="391"/>
      <c r="M3" s="391"/>
      <c r="N3" s="391"/>
      <c r="O3" s="391"/>
      <c r="P3" s="391"/>
      <c r="Q3" s="391"/>
      <c r="R3" s="391"/>
      <c r="S3" s="391"/>
      <c r="T3" s="391"/>
      <c r="U3" s="391"/>
      <c r="V3" s="391"/>
      <c r="W3" s="391"/>
      <c r="X3" s="391"/>
      <c r="Y3" s="391"/>
      <c r="Z3" s="391"/>
      <c r="AA3" s="391"/>
      <c r="AB3" s="391"/>
      <c r="AC3" s="391"/>
      <c r="AD3" s="391"/>
      <c r="AE3" s="391"/>
      <c r="AF3" s="17"/>
      <c r="AL3" s="176" t="s">
        <v>3</v>
      </c>
      <c r="AM3" s="177"/>
      <c r="AN3" s="177"/>
      <c r="AO3" s="177"/>
      <c r="AP3" s="178"/>
      <c r="AQ3" s="176" t="s">
        <v>4</v>
      </c>
      <c r="AR3" s="177"/>
      <c r="AS3" s="177"/>
      <c r="AT3" s="177"/>
      <c r="AU3" s="178"/>
    </row>
    <row r="4" spans="1:59" ht="16.899999999999999" customHeight="1">
      <c r="A4" s="2"/>
      <c r="B4" s="2"/>
      <c r="C4" s="2"/>
      <c r="D4" s="3"/>
      <c r="E4" s="3"/>
      <c r="F4" s="3"/>
      <c r="G4" s="3"/>
      <c r="H4" s="3"/>
      <c r="I4" s="3"/>
      <c r="J4" s="3"/>
      <c r="K4" s="3"/>
      <c r="L4" s="3"/>
      <c r="M4" s="3"/>
      <c r="N4" s="3"/>
      <c r="O4" s="3"/>
      <c r="P4" s="3"/>
      <c r="Q4" s="3"/>
      <c r="R4" s="3"/>
      <c r="S4" s="3"/>
      <c r="T4" s="3"/>
      <c r="U4" s="3"/>
      <c r="V4" s="2"/>
      <c r="W4" s="3"/>
      <c r="X4" s="3"/>
      <c r="Y4" s="3"/>
      <c r="Z4" s="3"/>
      <c r="AA4" s="3"/>
      <c r="AB4" s="3"/>
      <c r="AC4" s="3"/>
      <c r="AD4" s="3"/>
      <c r="AE4" s="3"/>
      <c r="AF4" s="3"/>
      <c r="AL4" s="179"/>
      <c r="AM4" s="180"/>
      <c r="AN4" s="180"/>
      <c r="AO4" s="180"/>
      <c r="AP4" s="181"/>
      <c r="AQ4" s="179"/>
      <c r="AR4" s="180"/>
      <c r="AS4" s="180"/>
      <c r="AT4" s="180"/>
      <c r="AU4" s="181"/>
    </row>
    <row r="5" spans="1:59" ht="16.899999999999999" customHeight="1">
      <c r="A5" s="2"/>
      <c r="B5" s="3"/>
      <c r="C5" s="3"/>
      <c r="D5" s="3"/>
      <c r="E5" s="3"/>
      <c r="F5" s="3"/>
      <c r="G5" s="3"/>
      <c r="H5" s="3"/>
      <c r="I5" s="3"/>
      <c r="J5" s="3"/>
      <c r="K5" s="3"/>
      <c r="L5" s="3"/>
      <c r="M5" s="3"/>
      <c r="N5" s="3"/>
      <c r="O5" s="3"/>
      <c r="P5" s="3"/>
      <c r="Q5" s="3"/>
      <c r="R5" s="3"/>
      <c r="S5" s="3"/>
      <c r="T5" s="3"/>
      <c r="U5" s="3"/>
      <c r="V5" s="2"/>
      <c r="W5" s="3"/>
      <c r="X5" s="3"/>
      <c r="Y5" s="3"/>
      <c r="Z5" s="3"/>
      <c r="AA5" s="3"/>
      <c r="AB5" s="3"/>
      <c r="AC5" s="3"/>
      <c r="AD5" s="3"/>
      <c r="AE5" s="3"/>
      <c r="AF5" s="3"/>
      <c r="AL5" s="182"/>
      <c r="AM5" s="183"/>
      <c r="AN5" s="183"/>
      <c r="AO5" s="183"/>
      <c r="AP5" s="184"/>
      <c r="AQ5" s="182"/>
      <c r="AR5" s="183"/>
      <c r="AS5" s="183"/>
      <c r="AT5" s="183"/>
      <c r="AU5" s="184"/>
    </row>
    <row r="6" spans="1:59" ht="16.899999999999999" customHeight="1" thickBot="1">
      <c r="A6" s="2"/>
      <c r="B6" s="51" t="s">
        <v>102</v>
      </c>
      <c r="C6" s="3"/>
      <c r="D6" s="3"/>
      <c r="E6" s="3"/>
      <c r="F6" s="3"/>
      <c r="G6" s="3"/>
      <c r="H6" s="3"/>
      <c r="I6" s="3"/>
      <c r="J6" s="3"/>
      <c r="K6" s="3"/>
      <c r="L6" s="3"/>
      <c r="M6" s="3"/>
      <c r="N6" s="3"/>
      <c r="O6" s="3"/>
      <c r="P6" s="3"/>
      <c r="Q6" s="3"/>
      <c r="R6" s="3"/>
      <c r="S6" s="3"/>
      <c r="T6" s="3"/>
      <c r="U6" s="3"/>
      <c r="V6" s="2"/>
      <c r="W6" s="3"/>
      <c r="X6" s="3"/>
      <c r="Y6" s="3"/>
      <c r="Z6" s="3"/>
      <c r="AA6" s="3"/>
      <c r="AB6" s="3"/>
      <c r="AC6" s="3"/>
      <c r="AD6" s="3"/>
      <c r="AE6" s="3"/>
      <c r="AF6" s="3"/>
      <c r="AL6" s="185" t="s">
        <v>5</v>
      </c>
      <c r="AM6" s="186"/>
      <c r="AN6" s="186"/>
      <c r="AO6" s="186"/>
      <c r="AP6" s="187"/>
      <c r="AQ6" s="185" t="s">
        <v>5</v>
      </c>
      <c r="AR6" s="186"/>
      <c r="AS6" s="186"/>
      <c r="AT6" s="186"/>
      <c r="AU6" s="187"/>
    </row>
    <row r="7" spans="1:59" ht="16.899999999999999" customHeight="1">
      <c r="A7" s="2"/>
      <c r="B7" s="2"/>
      <c r="C7" s="2"/>
      <c r="D7" s="2"/>
      <c r="E7" s="2"/>
      <c r="F7" s="2"/>
      <c r="G7" s="2"/>
      <c r="H7" s="2"/>
      <c r="I7" s="2"/>
      <c r="J7" s="2"/>
      <c r="K7" s="2"/>
      <c r="L7" s="2"/>
      <c r="M7" s="2"/>
      <c r="N7" s="2"/>
      <c r="O7" s="2"/>
      <c r="P7" s="2"/>
      <c r="Q7" s="2"/>
      <c r="R7" s="2"/>
      <c r="S7" s="2"/>
      <c r="T7" s="2"/>
      <c r="U7" s="2"/>
      <c r="V7" s="1"/>
      <c r="W7" s="1"/>
      <c r="X7" s="1"/>
      <c r="Y7" s="1"/>
      <c r="Z7" s="1"/>
      <c r="AA7" s="3"/>
      <c r="AB7" s="3"/>
      <c r="AC7" s="3"/>
      <c r="AD7" s="3"/>
      <c r="AE7" s="3"/>
      <c r="AF7" s="2"/>
      <c r="AG7" s="2"/>
      <c r="AH7" s="2"/>
      <c r="AI7" s="2"/>
      <c r="AJ7" s="2"/>
      <c r="AK7" s="2"/>
      <c r="AL7" s="2"/>
      <c r="AM7" s="2"/>
      <c r="AN7" s="2"/>
      <c r="AO7" s="2"/>
      <c r="AP7" s="2"/>
      <c r="AQ7" s="2"/>
      <c r="AR7" s="2"/>
      <c r="AS7" s="2"/>
      <c r="AT7" s="2"/>
      <c r="AU7" s="2"/>
    </row>
    <row r="8" spans="1:59" ht="16.899999999999999" customHeight="1">
      <c r="A8" s="2"/>
      <c r="B8" s="9" t="s">
        <v>6</v>
      </c>
      <c r="C8" s="3"/>
      <c r="D8" s="3"/>
      <c r="E8" s="3"/>
      <c r="F8" s="3"/>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row>
    <row r="9" spans="1:59" ht="16.899999999999999" customHeight="1">
      <c r="A9" s="2"/>
      <c r="B9" s="306" t="s">
        <v>103</v>
      </c>
      <c r="C9" s="306"/>
      <c r="D9" s="306"/>
      <c r="E9" s="306"/>
      <c r="F9" s="306"/>
      <c r="G9" s="306"/>
      <c r="H9" s="306"/>
      <c r="I9" s="306"/>
      <c r="J9" s="306"/>
      <c r="K9" s="306"/>
      <c r="L9" s="316" t="str">
        <f>プロジェクト計画書!L9 &amp; ""</f>
        <v/>
      </c>
      <c r="M9" s="316"/>
      <c r="N9" s="316"/>
      <c r="O9" s="316"/>
      <c r="P9" s="316"/>
      <c r="Q9" s="316"/>
      <c r="R9" s="316"/>
      <c r="S9" s="316"/>
      <c r="T9" s="316"/>
      <c r="U9" s="316"/>
      <c r="V9" s="316"/>
      <c r="W9" s="316"/>
      <c r="X9" s="316"/>
      <c r="Y9" s="265" t="s">
        <v>8</v>
      </c>
      <c r="Z9" s="265"/>
      <c r="AA9" s="265"/>
      <c r="AB9" s="265"/>
      <c r="AC9" s="265"/>
      <c r="AD9" s="265"/>
      <c r="AE9" s="265"/>
      <c r="AF9" s="265"/>
      <c r="AG9" s="265"/>
      <c r="AH9" s="265"/>
      <c r="AI9" s="313" t="str">
        <f>IF(プロジェクト計画書!AI9="","",プロジェクト計画書!AI9)</f>
        <v/>
      </c>
      <c r="AJ9" s="314"/>
      <c r="AK9" s="314"/>
      <c r="AL9" s="314"/>
      <c r="AM9" s="314"/>
      <c r="AN9" s="314"/>
      <c r="AO9" s="50" t="s">
        <v>9</v>
      </c>
      <c r="AP9" s="314" t="str">
        <f>IF(プロジェクト計画書!AP9="","",プロジェクト計画書!AP9)</f>
        <v/>
      </c>
      <c r="AQ9" s="314"/>
      <c r="AR9" s="314"/>
      <c r="AS9" s="314"/>
      <c r="AT9" s="314"/>
      <c r="AU9" s="315"/>
    </row>
    <row r="10" spans="1:59" ht="16.899999999999999" customHeight="1">
      <c r="A10" s="2"/>
      <c r="B10" s="310" t="s">
        <v>104</v>
      </c>
      <c r="C10" s="311"/>
      <c r="D10" s="311"/>
      <c r="E10" s="311"/>
      <c r="F10" s="311"/>
      <c r="G10" s="311"/>
      <c r="H10" s="311"/>
      <c r="I10" s="311"/>
      <c r="J10" s="311"/>
      <c r="K10" s="312"/>
      <c r="L10" s="307" t="str">
        <f>プロジェクト計画書!L10 &amp; ""</f>
        <v/>
      </c>
      <c r="M10" s="308"/>
      <c r="N10" s="308"/>
      <c r="O10" s="308"/>
      <c r="P10" s="308"/>
      <c r="Q10" s="308"/>
      <c r="R10" s="308"/>
      <c r="S10" s="308"/>
      <c r="T10" s="308"/>
      <c r="U10" s="308"/>
      <c r="V10" s="308"/>
      <c r="W10" s="308"/>
      <c r="X10" s="308"/>
      <c r="Y10" s="308"/>
      <c r="Z10" s="308"/>
      <c r="AA10" s="308"/>
      <c r="AB10" s="308"/>
      <c r="AC10" s="308"/>
      <c r="AD10" s="308"/>
      <c r="AE10" s="308"/>
      <c r="AF10" s="308"/>
      <c r="AG10" s="308"/>
      <c r="AH10" s="308"/>
      <c r="AI10" s="308"/>
      <c r="AJ10" s="308"/>
      <c r="AK10" s="308"/>
      <c r="AL10" s="308"/>
      <c r="AM10" s="308"/>
      <c r="AN10" s="308"/>
      <c r="AO10" s="308"/>
      <c r="AP10" s="308"/>
      <c r="AQ10" s="308"/>
      <c r="AR10" s="308"/>
      <c r="AS10" s="308"/>
      <c r="AT10" s="308"/>
      <c r="AU10" s="309"/>
    </row>
    <row r="11" spans="1:59" ht="16.899999999999999" customHeight="1">
      <c r="A11" s="2"/>
      <c r="B11" s="258" t="s">
        <v>11</v>
      </c>
      <c r="C11" s="259"/>
      <c r="D11" s="259"/>
      <c r="E11" s="259"/>
      <c r="F11" s="259"/>
      <c r="G11" s="259"/>
      <c r="H11" s="259"/>
      <c r="I11" s="259"/>
      <c r="J11" s="259"/>
      <c r="K11" s="260"/>
      <c r="L11" s="261" t="str">
        <f>プロジェクト計画書!L11 &amp; ""</f>
        <v/>
      </c>
      <c r="M11" s="262"/>
      <c r="N11" s="262"/>
      <c r="O11" s="262"/>
      <c r="P11" s="262"/>
      <c r="Q11" s="262"/>
      <c r="R11" s="262"/>
      <c r="S11" s="262"/>
      <c r="T11" s="262"/>
      <c r="U11" s="262"/>
      <c r="V11" s="262"/>
      <c r="W11" s="262"/>
      <c r="X11" s="262"/>
      <c r="Y11" s="262"/>
      <c r="Z11" s="262"/>
      <c r="AA11" s="262"/>
      <c r="AB11" s="262"/>
      <c r="AC11" s="262"/>
      <c r="AD11" s="262"/>
      <c r="AE11" s="262"/>
      <c r="AF11" s="262"/>
      <c r="AG11" s="262"/>
      <c r="AH11" s="262"/>
      <c r="AI11" s="262"/>
      <c r="AJ11" s="262"/>
      <c r="AK11" s="262"/>
      <c r="AL11" s="262"/>
      <c r="AM11" s="262"/>
      <c r="AN11" s="262"/>
      <c r="AO11" s="262"/>
      <c r="AP11" s="262"/>
      <c r="AQ11" s="262"/>
      <c r="AR11" s="262"/>
      <c r="AS11" s="262"/>
      <c r="AT11" s="262"/>
      <c r="AU11" s="263"/>
    </row>
    <row r="12" spans="1:59" ht="16.899999999999999" customHeight="1">
      <c r="A12" s="2"/>
      <c r="B12" s="306" t="s">
        <v>105</v>
      </c>
      <c r="C12" s="306"/>
      <c r="D12" s="306"/>
      <c r="E12" s="306"/>
      <c r="F12" s="306"/>
      <c r="G12" s="306"/>
      <c r="H12" s="306"/>
      <c r="I12" s="306"/>
      <c r="J12" s="306"/>
      <c r="K12" s="306"/>
      <c r="L12" s="316" t="str">
        <f>プロジェクト計画書!L12 &amp; ""</f>
        <v/>
      </c>
      <c r="M12" s="316"/>
      <c r="N12" s="316"/>
      <c r="O12" s="316"/>
      <c r="P12" s="316"/>
      <c r="Q12" s="316"/>
      <c r="R12" s="316"/>
      <c r="S12" s="316"/>
      <c r="T12" s="316"/>
      <c r="U12" s="316"/>
      <c r="V12" s="316"/>
      <c r="W12" s="316"/>
      <c r="X12" s="316"/>
      <c r="Y12" s="265" t="s">
        <v>13</v>
      </c>
      <c r="Z12" s="265"/>
      <c r="AA12" s="265"/>
      <c r="AB12" s="265"/>
      <c r="AC12" s="265"/>
      <c r="AD12" s="265"/>
      <c r="AE12" s="265"/>
      <c r="AF12" s="265"/>
      <c r="AG12" s="265"/>
      <c r="AH12" s="267"/>
      <c r="AI12" s="317" t="str">
        <f>プロジェクト計画書!AI12 &amp; ""</f>
        <v/>
      </c>
      <c r="AJ12" s="317"/>
      <c r="AK12" s="317"/>
      <c r="AL12" s="317"/>
      <c r="AM12" s="317"/>
      <c r="AN12" s="317"/>
      <c r="AO12" s="317"/>
      <c r="AP12" s="317"/>
      <c r="AQ12" s="317"/>
      <c r="AR12" s="317"/>
      <c r="AS12" s="317"/>
      <c r="AT12" s="317"/>
      <c r="AU12" s="317"/>
      <c r="AX12" s="47"/>
      <c r="AY12" s="47"/>
      <c r="AZ12" s="47"/>
      <c r="BA12" s="47"/>
      <c r="BB12" s="47"/>
      <c r="BC12" s="47"/>
      <c r="BD12" s="47"/>
      <c r="BE12" s="47"/>
      <c r="BF12" s="47"/>
      <c r="BG12" s="47"/>
    </row>
    <row r="13" spans="1:59" ht="16.899999999999999" customHeight="1">
      <c r="A13" s="2"/>
      <c r="B13" s="258" t="s">
        <v>14</v>
      </c>
      <c r="C13" s="259"/>
      <c r="D13" s="259"/>
      <c r="E13" s="259"/>
      <c r="F13" s="259"/>
      <c r="G13" s="259"/>
      <c r="H13" s="259"/>
      <c r="I13" s="259"/>
      <c r="J13" s="259"/>
      <c r="K13" s="260"/>
      <c r="L13" s="261" t="str">
        <f>プロジェクト計画書!L13 &amp; ""</f>
        <v/>
      </c>
      <c r="M13" s="262"/>
      <c r="N13" s="262"/>
      <c r="O13" s="262"/>
      <c r="P13" s="262"/>
      <c r="Q13" s="262"/>
      <c r="R13" s="262"/>
      <c r="S13" s="262"/>
      <c r="T13" s="262"/>
      <c r="U13" s="262"/>
      <c r="V13" s="262"/>
      <c r="W13" s="262"/>
      <c r="X13" s="263"/>
      <c r="Y13" s="272" t="s">
        <v>15</v>
      </c>
      <c r="Z13" s="273"/>
      <c r="AA13" s="273"/>
      <c r="AB13" s="273"/>
      <c r="AC13" s="273"/>
      <c r="AD13" s="273"/>
      <c r="AE13" s="273"/>
      <c r="AF13" s="273"/>
      <c r="AG13" s="273"/>
      <c r="AH13" s="274"/>
      <c r="AI13" s="254" t="str">
        <f>プロジェクト計画書!AI13 &amp; ""</f>
        <v/>
      </c>
      <c r="AJ13" s="255"/>
      <c r="AK13" s="255"/>
      <c r="AL13" s="255"/>
      <c r="AM13" s="255"/>
      <c r="AN13" s="255"/>
      <c r="AO13" s="255"/>
      <c r="AP13" s="255"/>
      <c r="AQ13" s="255"/>
      <c r="AR13" s="255"/>
      <c r="AS13" s="255"/>
      <c r="AT13" s="255"/>
      <c r="AU13" s="256"/>
    </row>
    <row r="14" spans="1:59" ht="16.899999999999999" customHeight="1">
      <c r="A14" s="2"/>
      <c r="B14" s="275" t="s">
        <v>16</v>
      </c>
      <c r="C14" s="275"/>
      <c r="D14" s="275"/>
      <c r="E14" s="275"/>
      <c r="F14" s="275"/>
      <c r="G14" s="275"/>
      <c r="H14" s="275"/>
      <c r="I14" s="275"/>
      <c r="J14" s="275"/>
      <c r="K14" s="275"/>
      <c r="L14" s="318" t="str">
        <f>プロジェクト計画書!L14 &amp; ""</f>
        <v/>
      </c>
      <c r="M14" s="319"/>
      <c r="N14" s="319"/>
      <c r="O14" s="319"/>
      <c r="P14" s="319"/>
      <c r="Q14" s="319"/>
      <c r="R14" s="319"/>
      <c r="S14" s="319"/>
      <c r="T14" s="319"/>
      <c r="U14" s="319"/>
      <c r="V14" s="319"/>
      <c r="W14" s="319"/>
      <c r="X14" s="320"/>
      <c r="Y14" s="265" t="s">
        <v>17</v>
      </c>
      <c r="Z14" s="265"/>
      <c r="AA14" s="265"/>
      <c r="AB14" s="265"/>
      <c r="AC14" s="265"/>
      <c r="AD14" s="265"/>
      <c r="AE14" s="265"/>
      <c r="AF14" s="265"/>
      <c r="AG14" s="265"/>
      <c r="AH14" s="265"/>
      <c r="AI14" s="317" t="str">
        <f>プロジェクト計画書!AI14 &amp; ""</f>
        <v/>
      </c>
      <c r="AJ14" s="317"/>
      <c r="AK14" s="317"/>
      <c r="AL14" s="317"/>
      <c r="AM14" s="317"/>
      <c r="AN14" s="317"/>
      <c r="AO14" s="317"/>
      <c r="AP14" s="317"/>
      <c r="AQ14" s="317"/>
      <c r="AR14" s="317"/>
      <c r="AS14" s="317"/>
      <c r="AT14" s="317"/>
      <c r="AU14" s="317"/>
    </row>
    <row r="15" spans="1:59" ht="16.899999999999999" customHeight="1">
      <c r="A15" s="2"/>
      <c r="B15" s="258" t="s">
        <v>18</v>
      </c>
      <c r="C15" s="259"/>
      <c r="D15" s="259"/>
      <c r="E15" s="259"/>
      <c r="F15" s="259"/>
      <c r="G15" s="259"/>
      <c r="H15" s="259"/>
      <c r="I15" s="259"/>
      <c r="J15" s="259"/>
      <c r="K15" s="260"/>
      <c r="L15" s="261" t="str">
        <f>プロジェクト計画書!L15 &amp; ""</f>
        <v/>
      </c>
      <c r="M15" s="262"/>
      <c r="N15" s="262"/>
      <c r="O15" s="262"/>
      <c r="P15" s="262"/>
      <c r="Q15" s="262"/>
      <c r="R15" s="262"/>
      <c r="S15" s="262"/>
      <c r="T15" s="262"/>
      <c r="U15" s="262"/>
      <c r="V15" s="262"/>
      <c r="W15" s="262"/>
      <c r="X15" s="263"/>
      <c r="Y15" s="272" t="s">
        <v>19</v>
      </c>
      <c r="Z15" s="273"/>
      <c r="AA15" s="273"/>
      <c r="AB15" s="273"/>
      <c r="AC15" s="273"/>
      <c r="AD15" s="273"/>
      <c r="AE15" s="273"/>
      <c r="AF15" s="273"/>
      <c r="AG15" s="273"/>
      <c r="AH15" s="274"/>
      <c r="AI15" s="254" t="str">
        <f>プロジェクト計画書!AI15 &amp; ""</f>
        <v/>
      </c>
      <c r="AJ15" s="255"/>
      <c r="AK15" s="255"/>
      <c r="AL15" s="255"/>
      <c r="AM15" s="255"/>
      <c r="AN15" s="255"/>
      <c r="AO15" s="255"/>
      <c r="AP15" s="255"/>
      <c r="AQ15" s="255"/>
      <c r="AR15" s="255"/>
      <c r="AS15" s="255"/>
      <c r="AT15" s="255"/>
      <c r="AU15" s="256"/>
    </row>
    <row r="16" spans="1:59" ht="16.899999999999999" customHeight="1">
      <c r="A16" s="2"/>
      <c r="B16" s="275" t="s">
        <v>20</v>
      </c>
      <c r="C16" s="275"/>
      <c r="D16" s="275"/>
      <c r="E16" s="275"/>
      <c r="F16" s="275"/>
      <c r="G16" s="275"/>
      <c r="H16" s="275"/>
      <c r="I16" s="275"/>
      <c r="J16" s="275"/>
      <c r="K16" s="275"/>
      <c r="L16" s="321" t="str">
        <f>IF(プロジェクト計画書!L16="","",プロジェクト計画書!L16)</f>
        <v/>
      </c>
      <c r="M16" s="321"/>
      <c r="N16" s="321"/>
      <c r="O16" s="321"/>
      <c r="P16" s="321"/>
      <c r="Q16" s="321"/>
      <c r="R16" s="321"/>
      <c r="S16" s="321"/>
      <c r="T16" s="321"/>
      <c r="U16" s="321"/>
      <c r="V16" s="321"/>
      <c r="W16" s="321"/>
      <c r="X16" s="321"/>
      <c r="Y16" s="265" t="s">
        <v>21</v>
      </c>
      <c r="Z16" s="265"/>
      <c r="AA16" s="265"/>
      <c r="AB16" s="265"/>
      <c r="AC16" s="265"/>
      <c r="AD16" s="265"/>
      <c r="AE16" s="265"/>
      <c r="AF16" s="265"/>
      <c r="AG16" s="265"/>
      <c r="AH16" s="265"/>
      <c r="AI16" s="317" t="str">
        <f>プロジェクト計画書!AI16 &amp; ""</f>
        <v/>
      </c>
      <c r="AJ16" s="317"/>
      <c r="AK16" s="317"/>
      <c r="AL16" s="317"/>
      <c r="AM16" s="317"/>
      <c r="AN16" s="317"/>
      <c r="AO16" s="317"/>
      <c r="AP16" s="317"/>
      <c r="AQ16" s="317"/>
      <c r="AR16" s="317"/>
      <c r="AS16" s="317"/>
      <c r="AT16" s="317"/>
      <c r="AU16" s="317"/>
    </row>
    <row r="17" spans="1:47" ht="16.899999999999999" customHeight="1">
      <c r="A17" s="2"/>
      <c r="B17" s="154" t="s">
        <v>106</v>
      </c>
      <c r="C17" s="155"/>
      <c r="D17" s="155"/>
      <c r="E17" s="155"/>
      <c r="F17" s="155"/>
      <c r="G17" s="155"/>
      <c r="H17" s="155"/>
      <c r="I17" s="155"/>
      <c r="J17" s="155"/>
      <c r="K17" s="156"/>
      <c r="L17" s="232"/>
      <c r="M17" s="233"/>
      <c r="N17" s="233"/>
      <c r="O17" s="233"/>
      <c r="P17" s="233"/>
      <c r="Q17" s="233"/>
      <c r="R17" s="233"/>
      <c r="S17" s="233"/>
      <c r="T17" s="233"/>
      <c r="U17" s="233"/>
      <c r="V17" s="233"/>
      <c r="W17" s="233"/>
      <c r="X17" s="233"/>
      <c r="Y17" s="233"/>
      <c r="Z17" s="233"/>
      <c r="AA17" s="233"/>
      <c r="AB17" s="233"/>
      <c r="AC17" s="233"/>
      <c r="AD17" s="233"/>
      <c r="AE17" s="233"/>
      <c r="AF17" s="233"/>
      <c r="AG17" s="233"/>
      <c r="AH17" s="233"/>
      <c r="AI17" s="233"/>
      <c r="AJ17" s="233"/>
      <c r="AK17" s="233"/>
      <c r="AL17" s="233"/>
      <c r="AM17" s="233"/>
      <c r="AN17" s="233"/>
      <c r="AO17" s="233"/>
      <c r="AP17" s="233"/>
      <c r="AQ17" s="233"/>
      <c r="AR17" s="233"/>
      <c r="AS17" s="233"/>
      <c r="AT17" s="233"/>
      <c r="AU17" s="234"/>
    </row>
    <row r="18" spans="1:47" ht="16.899999999999999" customHeight="1">
      <c r="A18" s="2"/>
      <c r="B18" s="157"/>
      <c r="C18" s="158"/>
      <c r="D18" s="158"/>
      <c r="E18" s="158"/>
      <c r="F18" s="158"/>
      <c r="G18" s="158"/>
      <c r="H18" s="158"/>
      <c r="I18" s="158"/>
      <c r="J18" s="158"/>
      <c r="K18" s="159"/>
      <c r="L18" s="238"/>
      <c r="M18" s="239"/>
      <c r="N18" s="239"/>
      <c r="O18" s="239"/>
      <c r="P18" s="239"/>
      <c r="Q18" s="239"/>
      <c r="R18" s="239"/>
      <c r="S18" s="239"/>
      <c r="T18" s="239"/>
      <c r="U18" s="239"/>
      <c r="V18" s="239"/>
      <c r="W18" s="239"/>
      <c r="X18" s="239"/>
      <c r="Y18" s="239"/>
      <c r="Z18" s="239"/>
      <c r="AA18" s="239"/>
      <c r="AB18" s="239"/>
      <c r="AC18" s="239"/>
      <c r="AD18" s="239"/>
      <c r="AE18" s="239"/>
      <c r="AF18" s="239"/>
      <c r="AG18" s="239"/>
      <c r="AH18" s="239"/>
      <c r="AI18" s="239"/>
      <c r="AJ18" s="239"/>
      <c r="AK18" s="239"/>
      <c r="AL18" s="239"/>
      <c r="AM18" s="239"/>
      <c r="AN18" s="239"/>
      <c r="AO18" s="239"/>
      <c r="AP18" s="239"/>
      <c r="AQ18" s="239"/>
      <c r="AR18" s="239"/>
      <c r="AS18" s="239"/>
      <c r="AT18" s="239"/>
      <c r="AU18" s="240"/>
    </row>
    <row r="19" spans="1:47" ht="16.899999999999999" customHeight="1">
      <c r="A19" s="2"/>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row>
    <row r="20" spans="1:47" ht="16.899999999999999" customHeight="1">
      <c r="B20" s="8" t="s">
        <v>107</v>
      </c>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row>
    <row r="21" spans="1:47" ht="16.899999999999999" customHeight="1">
      <c r="B21" s="275" t="s">
        <v>108</v>
      </c>
      <c r="C21" s="275"/>
      <c r="D21" s="275"/>
      <c r="E21" s="275"/>
      <c r="F21" s="275"/>
      <c r="G21" s="275"/>
      <c r="H21" s="275"/>
      <c r="I21" s="275"/>
      <c r="J21" s="275"/>
      <c r="K21" s="275"/>
      <c r="L21" s="264"/>
      <c r="M21" s="224"/>
      <c r="N21" s="224"/>
      <c r="O21" s="224"/>
      <c r="P21" s="224"/>
      <c r="Q21" s="224"/>
      <c r="R21" s="224"/>
      <c r="S21" s="224"/>
      <c r="T21" s="224"/>
      <c r="U21" s="224"/>
      <c r="V21" s="224"/>
      <c r="W21" s="224"/>
      <c r="X21" s="224"/>
      <c r="Y21" s="265" t="s">
        <v>109</v>
      </c>
      <c r="Z21" s="265"/>
      <c r="AA21" s="265"/>
      <c r="AB21" s="265"/>
      <c r="AC21" s="265"/>
      <c r="AD21" s="265"/>
      <c r="AE21" s="265"/>
      <c r="AF21" s="265"/>
      <c r="AG21" s="265"/>
      <c r="AH21" s="265"/>
      <c r="AI21" s="251"/>
      <c r="AJ21" s="252"/>
      <c r="AK21" s="252"/>
      <c r="AL21" s="252"/>
      <c r="AM21" s="252"/>
      <c r="AN21" s="252"/>
      <c r="AO21" s="252"/>
      <c r="AP21" s="252"/>
      <c r="AQ21" s="252"/>
      <c r="AR21" s="252"/>
      <c r="AS21" s="252"/>
      <c r="AT21" s="252"/>
      <c r="AU21" s="252"/>
    </row>
    <row r="22" spans="1:47" ht="16.899999999999999" customHeight="1">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row>
    <row r="23" spans="1:47" ht="16.899999999999999" customHeight="1">
      <c r="A23" s="2"/>
      <c r="B23" s="9" t="s">
        <v>22</v>
      </c>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48"/>
    </row>
    <row r="24" spans="1:47" ht="16.899999999999999" customHeight="1">
      <c r="B24" s="154" t="s">
        <v>23</v>
      </c>
      <c r="C24" s="155"/>
      <c r="D24" s="155"/>
      <c r="E24" s="155"/>
      <c r="F24" s="155"/>
      <c r="G24" s="155"/>
      <c r="H24" s="155"/>
      <c r="I24" s="155"/>
      <c r="J24" s="155"/>
      <c r="K24" s="156"/>
      <c r="L24" s="297" t="str">
        <f>プロジェクト計画書!L19 &amp; ""</f>
        <v/>
      </c>
      <c r="M24" s="298"/>
      <c r="N24" s="298"/>
      <c r="O24" s="298"/>
      <c r="P24" s="298"/>
      <c r="Q24" s="298"/>
      <c r="R24" s="298"/>
      <c r="S24" s="298"/>
      <c r="T24" s="298"/>
      <c r="U24" s="298"/>
      <c r="V24" s="298"/>
      <c r="W24" s="298"/>
      <c r="X24" s="298"/>
      <c r="Y24" s="298"/>
      <c r="Z24" s="298"/>
      <c r="AA24" s="298"/>
      <c r="AB24" s="298"/>
      <c r="AC24" s="298"/>
      <c r="AD24" s="298"/>
      <c r="AE24" s="298"/>
      <c r="AF24" s="298"/>
      <c r="AG24" s="298"/>
      <c r="AH24" s="298"/>
      <c r="AI24" s="298"/>
      <c r="AJ24" s="298"/>
      <c r="AK24" s="298"/>
      <c r="AL24" s="298"/>
      <c r="AM24" s="298"/>
      <c r="AN24" s="298"/>
      <c r="AO24" s="298"/>
      <c r="AP24" s="298"/>
      <c r="AQ24" s="298"/>
      <c r="AR24" s="298"/>
      <c r="AS24" s="298"/>
      <c r="AT24" s="298"/>
      <c r="AU24" s="299"/>
    </row>
    <row r="25" spans="1:47" ht="16.899999999999999" customHeight="1">
      <c r="A25" s="5"/>
      <c r="B25" s="157"/>
      <c r="C25" s="158"/>
      <c r="D25" s="158"/>
      <c r="E25" s="158"/>
      <c r="F25" s="158"/>
      <c r="G25" s="158"/>
      <c r="H25" s="158"/>
      <c r="I25" s="158"/>
      <c r="J25" s="158"/>
      <c r="K25" s="159"/>
      <c r="L25" s="300"/>
      <c r="M25" s="301"/>
      <c r="N25" s="301"/>
      <c r="O25" s="301"/>
      <c r="P25" s="301"/>
      <c r="Q25" s="301"/>
      <c r="R25" s="301"/>
      <c r="S25" s="301"/>
      <c r="T25" s="301"/>
      <c r="U25" s="301"/>
      <c r="V25" s="301"/>
      <c r="W25" s="301"/>
      <c r="X25" s="301"/>
      <c r="Y25" s="301"/>
      <c r="Z25" s="301"/>
      <c r="AA25" s="301"/>
      <c r="AB25" s="301"/>
      <c r="AC25" s="301"/>
      <c r="AD25" s="301"/>
      <c r="AE25" s="301"/>
      <c r="AF25" s="301"/>
      <c r="AG25" s="301"/>
      <c r="AH25" s="301"/>
      <c r="AI25" s="301"/>
      <c r="AJ25" s="301"/>
      <c r="AK25" s="301"/>
      <c r="AL25" s="301"/>
      <c r="AM25" s="301"/>
      <c r="AN25" s="301"/>
      <c r="AO25" s="301"/>
      <c r="AP25" s="301"/>
      <c r="AQ25" s="301"/>
      <c r="AR25" s="301"/>
      <c r="AS25" s="301"/>
      <c r="AT25" s="301"/>
      <c r="AU25" s="302"/>
    </row>
    <row r="26" spans="1:47" ht="16.899999999999999" customHeight="1">
      <c r="B26" s="154" t="s">
        <v>24</v>
      </c>
      <c r="C26" s="155"/>
      <c r="D26" s="155"/>
      <c r="E26" s="155"/>
      <c r="F26" s="155"/>
      <c r="G26" s="155"/>
      <c r="H26" s="155"/>
      <c r="I26" s="155"/>
      <c r="J26" s="155"/>
      <c r="K26" s="156"/>
      <c r="L26" s="297" t="str">
        <f>プロジェクト計画書!L21 &amp; ""</f>
        <v/>
      </c>
      <c r="M26" s="298"/>
      <c r="N26" s="298"/>
      <c r="O26" s="298"/>
      <c r="P26" s="298"/>
      <c r="Q26" s="298"/>
      <c r="R26" s="298"/>
      <c r="S26" s="298"/>
      <c r="T26" s="298"/>
      <c r="U26" s="298"/>
      <c r="V26" s="298"/>
      <c r="W26" s="298"/>
      <c r="X26" s="298"/>
      <c r="Y26" s="298"/>
      <c r="Z26" s="298"/>
      <c r="AA26" s="298"/>
      <c r="AB26" s="298"/>
      <c r="AC26" s="298"/>
      <c r="AD26" s="298"/>
      <c r="AE26" s="298"/>
      <c r="AF26" s="298"/>
      <c r="AG26" s="298"/>
      <c r="AH26" s="298"/>
      <c r="AI26" s="298"/>
      <c r="AJ26" s="298"/>
      <c r="AK26" s="298"/>
      <c r="AL26" s="298"/>
      <c r="AM26" s="298"/>
      <c r="AN26" s="298"/>
      <c r="AO26" s="298"/>
      <c r="AP26" s="298"/>
      <c r="AQ26" s="298"/>
      <c r="AR26" s="298"/>
      <c r="AS26" s="298"/>
      <c r="AT26" s="298"/>
      <c r="AU26" s="299"/>
    </row>
    <row r="27" spans="1:47" ht="16.899999999999999" customHeight="1">
      <c r="B27" s="157"/>
      <c r="C27" s="158"/>
      <c r="D27" s="158"/>
      <c r="E27" s="158"/>
      <c r="F27" s="158"/>
      <c r="G27" s="158"/>
      <c r="H27" s="158"/>
      <c r="I27" s="158"/>
      <c r="J27" s="158"/>
      <c r="K27" s="159"/>
      <c r="L27" s="300"/>
      <c r="M27" s="301"/>
      <c r="N27" s="301"/>
      <c r="O27" s="301"/>
      <c r="P27" s="301"/>
      <c r="Q27" s="301"/>
      <c r="R27" s="301"/>
      <c r="S27" s="301"/>
      <c r="T27" s="301"/>
      <c r="U27" s="301"/>
      <c r="V27" s="301"/>
      <c r="W27" s="301"/>
      <c r="X27" s="301"/>
      <c r="Y27" s="301"/>
      <c r="Z27" s="301"/>
      <c r="AA27" s="301"/>
      <c r="AB27" s="301"/>
      <c r="AC27" s="301"/>
      <c r="AD27" s="301"/>
      <c r="AE27" s="301"/>
      <c r="AF27" s="301"/>
      <c r="AG27" s="301"/>
      <c r="AH27" s="301"/>
      <c r="AI27" s="301"/>
      <c r="AJ27" s="301"/>
      <c r="AK27" s="301"/>
      <c r="AL27" s="301"/>
      <c r="AM27" s="301"/>
      <c r="AN27" s="301"/>
      <c r="AO27" s="301"/>
      <c r="AP27" s="301"/>
      <c r="AQ27" s="301"/>
      <c r="AR27" s="301"/>
      <c r="AS27" s="301"/>
      <c r="AT27" s="301"/>
      <c r="AU27" s="302"/>
    </row>
    <row r="28" spans="1:47" ht="16.899999999999999" customHeight="1">
      <c r="B28" s="154" t="s">
        <v>25</v>
      </c>
      <c r="C28" s="155"/>
      <c r="D28" s="155"/>
      <c r="E28" s="155"/>
      <c r="F28" s="155"/>
      <c r="G28" s="155"/>
      <c r="H28" s="155"/>
      <c r="I28" s="155"/>
      <c r="J28" s="155"/>
      <c r="K28" s="156"/>
      <c r="L28" s="297" t="str">
        <f>プロジェクト計画書!L23 &amp; ""</f>
        <v/>
      </c>
      <c r="M28" s="298"/>
      <c r="N28" s="298"/>
      <c r="O28" s="298"/>
      <c r="P28" s="298"/>
      <c r="Q28" s="298"/>
      <c r="R28" s="298"/>
      <c r="S28" s="298"/>
      <c r="T28" s="298"/>
      <c r="U28" s="298"/>
      <c r="V28" s="298"/>
      <c r="W28" s="298"/>
      <c r="X28" s="298"/>
      <c r="Y28" s="298"/>
      <c r="Z28" s="298"/>
      <c r="AA28" s="298"/>
      <c r="AB28" s="298"/>
      <c r="AC28" s="298"/>
      <c r="AD28" s="298"/>
      <c r="AE28" s="298"/>
      <c r="AF28" s="298"/>
      <c r="AG28" s="298"/>
      <c r="AH28" s="298"/>
      <c r="AI28" s="298"/>
      <c r="AJ28" s="298"/>
      <c r="AK28" s="298"/>
      <c r="AL28" s="298"/>
      <c r="AM28" s="298"/>
      <c r="AN28" s="298"/>
      <c r="AO28" s="298"/>
      <c r="AP28" s="298"/>
      <c r="AQ28" s="298"/>
      <c r="AR28" s="298"/>
      <c r="AS28" s="298"/>
      <c r="AT28" s="298"/>
      <c r="AU28" s="299"/>
    </row>
    <row r="29" spans="1:47" ht="16.899999999999999" customHeight="1">
      <c r="B29" s="157"/>
      <c r="C29" s="158"/>
      <c r="D29" s="158"/>
      <c r="E29" s="158"/>
      <c r="F29" s="158"/>
      <c r="G29" s="158"/>
      <c r="H29" s="158"/>
      <c r="I29" s="158"/>
      <c r="J29" s="158"/>
      <c r="K29" s="159"/>
      <c r="L29" s="300"/>
      <c r="M29" s="301"/>
      <c r="N29" s="301"/>
      <c r="O29" s="301"/>
      <c r="P29" s="301"/>
      <c r="Q29" s="301"/>
      <c r="R29" s="301"/>
      <c r="S29" s="301"/>
      <c r="T29" s="301"/>
      <c r="U29" s="301"/>
      <c r="V29" s="301"/>
      <c r="W29" s="301"/>
      <c r="X29" s="301"/>
      <c r="Y29" s="301"/>
      <c r="Z29" s="301"/>
      <c r="AA29" s="301"/>
      <c r="AB29" s="301"/>
      <c r="AC29" s="301"/>
      <c r="AD29" s="301"/>
      <c r="AE29" s="301"/>
      <c r="AF29" s="301"/>
      <c r="AG29" s="301"/>
      <c r="AH29" s="301"/>
      <c r="AI29" s="301"/>
      <c r="AJ29" s="301"/>
      <c r="AK29" s="301"/>
      <c r="AL29" s="301"/>
      <c r="AM29" s="301"/>
      <c r="AN29" s="301"/>
      <c r="AO29" s="301"/>
      <c r="AP29" s="301"/>
      <c r="AQ29" s="301"/>
      <c r="AR29" s="301"/>
      <c r="AS29" s="301"/>
      <c r="AT29" s="301"/>
      <c r="AU29" s="302"/>
    </row>
    <row r="30" spans="1:47" s="16" customFormat="1" ht="16.899999999999999" customHeight="1">
      <c r="B30" s="142" t="s">
        <v>26</v>
      </c>
      <c r="C30" s="143"/>
      <c r="D30" s="143"/>
      <c r="E30" s="143"/>
      <c r="F30" s="143"/>
      <c r="G30" s="143"/>
      <c r="H30" s="143"/>
      <c r="I30" s="143"/>
      <c r="J30" s="143"/>
      <c r="K30" s="144"/>
      <c r="L30" s="297" t="str">
        <f>プロジェクト計画書!L25 &amp; ""</f>
        <v/>
      </c>
      <c r="M30" s="298"/>
      <c r="N30" s="298"/>
      <c r="O30" s="298"/>
      <c r="P30" s="298"/>
      <c r="Q30" s="298"/>
      <c r="R30" s="298"/>
      <c r="S30" s="298"/>
      <c r="T30" s="298"/>
      <c r="U30" s="298"/>
      <c r="V30" s="298"/>
      <c r="W30" s="298"/>
      <c r="X30" s="298"/>
      <c r="Y30" s="298"/>
      <c r="Z30" s="298"/>
      <c r="AA30" s="298"/>
      <c r="AB30" s="298"/>
      <c r="AC30" s="298"/>
      <c r="AD30" s="298"/>
      <c r="AE30" s="298"/>
      <c r="AF30" s="298"/>
      <c r="AG30" s="298"/>
      <c r="AH30" s="298"/>
      <c r="AI30" s="298"/>
      <c r="AJ30" s="298"/>
      <c r="AK30" s="298"/>
      <c r="AL30" s="298"/>
      <c r="AM30" s="298"/>
      <c r="AN30" s="298"/>
      <c r="AO30" s="298"/>
      <c r="AP30" s="298"/>
      <c r="AQ30" s="298"/>
      <c r="AR30" s="298"/>
      <c r="AS30" s="298"/>
      <c r="AT30" s="298"/>
      <c r="AU30" s="299"/>
    </row>
    <row r="31" spans="1:47" s="16" customFormat="1" ht="16.899999999999999" customHeight="1">
      <c r="B31" s="145"/>
      <c r="C31" s="146"/>
      <c r="D31" s="146"/>
      <c r="E31" s="146"/>
      <c r="F31" s="146"/>
      <c r="G31" s="146"/>
      <c r="H31" s="146"/>
      <c r="I31" s="146"/>
      <c r="J31" s="146"/>
      <c r="K31" s="147"/>
      <c r="L31" s="300"/>
      <c r="M31" s="301"/>
      <c r="N31" s="301"/>
      <c r="O31" s="301"/>
      <c r="P31" s="301"/>
      <c r="Q31" s="301"/>
      <c r="R31" s="301"/>
      <c r="S31" s="301"/>
      <c r="T31" s="301"/>
      <c r="U31" s="301"/>
      <c r="V31" s="301"/>
      <c r="W31" s="301"/>
      <c r="X31" s="301"/>
      <c r="Y31" s="301"/>
      <c r="Z31" s="301"/>
      <c r="AA31" s="301"/>
      <c r="AB31" s="301"/>
      <c r="AC31" s="301"/>
      <c r="AD31" s="301"/>
      <c r="AE31" s="301"/>
      <c r="AF31" s="301"/>
      <c r="AG31" s="301"/>
      <c r="AH31" s="301"/>
      <c r="AI31" s="301"/>
      <c r="AJ31" s="301"/>
      <c r="AK31" s="301"/>
      <c r="AL31" s="301"/>
      <c r="AM31" s="301"/>
      <c r="AN31" s="301"/>
      <c r="AO31" s="301"/>
      <c r="AP31" s="301"/>
      <c r="AQ31" s="301"/>
      <c r="AR31" s="301"/>
      <c r="AS31" s="301"/>
      <c r="AT31" s="301"/>
      <c r="AU31" s="302"/>
    </row>
    <row r="32" spans="1:47" ht="16.899999999999999" customHeight="1">
      <c r="B32" s="257" t="s">
        <v>27</v>
      </c>
      <c r="C32" s="257"/>
      <c r="D32" s="257"/>
      <c r="E32" s="257"/>
      <c r="F32" s="257"/>
      <c r="G32" s="257"/>
      <c r="H32" s="257"/>
      <c r="I32" s="257"/>
      <c r="J32" s="257"/>
      <c r="K32" s="257"/>
      <c r="L32" s="297" t="str">
        <f>プロジェクト計画書!L27 &amp; ""</f>
        <v/>
      </c>
      <c r="M32" s="298"/>
      <c r="N32" s="298"/>
      <c r="O32" s="298"/>
      <c r="P32" s="298"/>
      <c r="Q32" s="298"/>
      <c r="R32" s="298"/>
      <c r="S32" s="298"/>
      <c r="T32" s="298"/>
      <c r="U32" s="298"/>
      <c r="V32" s="298"/>
      <c r="W32" s="298"/>
      <c r="X32" s="298"/>
      <c r="Y32" s="298"/>
      <c r="Z32" s="298"/>
      <c r="AA32" s="298"/>
      <c r="AB32" s="298"/>
      <c r="AC32" s="298"/>
      <c r="AD32" s="298"/>
      <c r="AE32" s="298"/>
      <c r="AF32" s="298"/>
      <c r="AG32" s="298"/>
      <c r="AH32" s="298"/>
      <c r="AI32" s="298"/>
      <c r="AJ32" s="298"/>
      <c r="AK32" s="298"/>
      <c r="AL32" s="298"/>
      <c r="AM32" s="298"/>
      <c r="AN32" s="298"/>
      <c r="AO32" s="298"/>
      <c r="AP32" s="298"/>
      <c r="AQ32" s="298"/>
      <c r="AR32" s="298"/>
      <c r="AS32" s="298"/>
      <c r="AT32" s="298"/>
      <c r="AU32" s="299"/>
    </row>
    <row r="33" spans="1:47" ht="16.899999999999999" customHeight="1">
      <c r="B33" s="257"/>
      <c r="C33" s="257"/>
      <c r="D33" s="257"/>
      <c r="E33" s="257"/>
      <c r="F33" s="257"/>
      <c r="G33" s="257"/>
      <c r="H33" s="257"/>
      <c r="I33" s="257"/>
      <c r="J33" s="257"/>
      <c r="K33" s="257"/>
      <c r="L33" s="300"/>
      <c r="M33" s="301"/>
      <c r="N33" s="301"/>
      <c r="O33" s="301"/>
      <c r="P33" s="301"/>
      <c r="Q33" s="301"/>
      <c r="R33" s="301"/>
      <c r="S33" s="301"/>
      <c r="T33" s="301"/>
      <c r="U33" s="301"/>
      <c r="V33" s="301"/>
      <c r="W33" s="301"/>
      <c r="X33" s="301"/>
      <c r="Y33" s="301"/>
      <c r="Z33" s="301"/>
      <c r="AA33" s="301"/>
      <c r="AB33" s="301"/>
      <c r="AC33" s="301"/>
      <c r="AD33" s="301"/>
      <c r="AE33" s="301"/>
      <c r="AF33" s="301"/>
      <c r="AG33" s="301"/>
      <c r="AH33" s="301"/>
      <c r="AI33" s="301"/>
      <c r="AJ33" s="301"/>
      <c r="AK33" s="301"/>
      <c r="AL33" s="301"/>
      <c r="AM33" s="301"/>
      <c r="AN33" s="301"/>
      <c r="AO33" s="301"/>
      <c r="AP33" s="301"/>
      <c r="AQ33" s="301"/>
      <c r="AR33" s="301"/>
      <c r="AS33" s="301"/>
      <c r="AT33" s="301"/>
      <c r="AU33" s="302"/>
    </row>
    <row r="34" spans="1:47" ht="16.899999999999999" customHeight="1">
      <c r="A34" s="2"/>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c r="AB34" s="10"/>
      <c r="AC34" s="10"/>
      <c r="AD34" s="10"/>
      <c r="AE34" s="10"/>
      <c r="AF34" s="10"/>
      <c r="AG34" s="10"/>
      <c r="AH34" s="10"/>
      <c r="AI34" s="10"/>
      <c r="AJ34" s="10"/>
      <c r="AK34" s="10"/>
      <c r="AL34" s="10"/>
      <c r="AM34" s="10"/>
      <c r="AN34" s="10"/>
      <c r="AO34" s="10"/>
      <c r="AP34" s="10"/>
      <c r="AQ34" s="10"/>
      <c r="AR34" s="10"/>
      <c r="AS34" s="10"/>
      <c r="AT34" s="10"/>
      <c r="AU34" s="10"/>
    </row>
    <row r="35" spans="1:47" ht="16.899999999999999" customHeight="1">
      <c r="B35" s="8" t="s">
        <v>110</v>
      </c>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row>
    <row r="36" spans="1:47" ht="16.899999999999999" customHeight="1">
      <c r="B36" s="154" t="s">
        <v>111</v>
      </c>
      <c r="C36" s="155"/>
      <c r="D36" s="155"/>
      <c r="E36" s="155"/>
      <c r="F36" s="155"/>
      <c r="G36" s="155"/>
      <c r="H36" s="155"/>
      <c r="I36" s="155"/>
      <c r="J36" s="155"/>
      <c r="K36" s="156"/>
      <c r="L36" s="148"/>
      <c r="M36" s="149"/>
      <c r="N36" s="149"/>
      <c r="O36" s="149"/>
      <c r="P36" s="149"/>
      <c r="Q36" s="149"/>
      <c r="R36" s="149"/>
      <c r="S36" s="149"/>
      <c r="T36" s="149"/>
      <c r="U36" s="149"/>
      <c r="V36" s="149"/>
      <c r="W36" s="149"/>
      <c r="X36" s="149"/>
      <c r="Y36" s="149"/>
      <c r="Z36" s="149"/>
      <c r="AA36" s="149"/>
      <c r="AB36" s="149"/>
      <c r="AC36" s="149"/>
      <c r="AD36" s="149"/>
      <c r="AE36" s="149"/>
      <c r="AF36" s="149"/>
      <c r="AG36" s="149"/>
      <c r="AH36" s="149"/>
      <c r="AI36" s="149"/>
      <c r="AJ36" s="149"/>
      <c r="AK36" s="149"/>
      <c r="AL36" s="149"/>
      <c r="AM36" s="149"/>
      <c r="AN36" s="149"/>
      <c r="AO36" s="149"/>
      <c r="AP36" s="149"/>
      <c r="AQ36" s="149"/>
      <c r="AR36" s="149"/>
      <c r="AS36" s="149"/>
      <c r="AT36" s="149"/>
      <c r="AU36" s="150"/>
    </row>
    <row r="37" spans="1:47" ht="16.899999999999999" customHeight="1">
      <c r="B37" s="157"/>
      <c r="C37" s="158"/>
      <c r="D37" s="158"/>
      <c r="E37" s="158"/>
      <c r="F37" s="158"/>
      <c r="G37" s="158"/>
      <c r="H37" s="158"/>
      <c r="I37" s="158"/>
      <c r="J37" s="158"/>
      <c r="K37" s="159"/>
      <c r="L37" s="151"/>
      <c r="M37" s="152"/>
      <c r="N37" s="152"/>
      <c r="O37" s="152"/>
      <c r="P37" s="152"/>
      <c r="Q37" s="152"/>
      <c r="R37" s="152"/>
      <c r="S37" s="152"/>
      <c r="T37" s="152"/>
      <c r="U37" s="152"/>
      <c r="V37" s="152"/>
      <c r="W37" s="152"/>
      <c r="X37" s="152"/>
      <c r="Y37" s="152"/>
      <c r="Z37" s="152"/>
      <c r="AA37" s="152"/>
      <c r="AB37" s="152"/>
      <c r="AC37" s="152"/>
      <c r="AD37" s="152"/>
      <c r="AE37" s="152"/>
      <c r="AF37" s="152"/>
      <c r="AG37" s="152"/>
      <c r="AH37" s="152"/>
      <c r="AI37" s="152"/>
      <c r="AJ37" s="152"/>
      <c r="AK37" s="152"/>
      <c r="AL37" s="152"/>
      <c r="AM37" s="152"/>
      <c r="AN37" s="152"/>
      <c r="AO37" s="152"/>
      <c r="AP37" s="152"/>
      <c r="AQ37" s="152"/>
      <c r="AR37" s="152"/>
      <c r="AS37" s="152"/>
      <c r="AT37" s="152"/>
      <c r="AU37" s="153"/>
    </row>
    <row r="38" spans="1:47" ht="16.899999999999999" customHeight="1">
      <c r="B38" s="154" t="s">
        <v>112</v>
      </c>
      <c r="C38" s="155"/>
      <c r="D38" s="155"/>
      <c r="E38" s="155"/>
      <c r="F38" s="155"/>
      <c r="G38" s="155"/>
      <c r="H38" s="155"/>
      <c r="I38" s="155"/>
      <c r="J38" s="155"/>
      <c r="K38" s="156"/>
      <c r="L38" s="148"/>
      <c r="M38" s="149"/>
      <c r="N38" s="149"/>
      <c r="O38" s="149"/>
      <c r="P38" s="149"/>
      <c r="Q38" s="149"/>
      <c r="R38" s="149"/>
      <c r="S38" s="149"/>
      <c r="T38" s="149"/>
      <c r="U38" s="149"/>
      <c r="V38" s="149"/>
      <c r="W38" s="149"/>
      <c r="X38" s="149"/>
      <c r="Y38" s="149"/>
      <c r="Z38" s="149"/>
      <c r="AA38" s="149"/>
      <c r="AB38" s="149"/>
      <c r="AC38" s="149"/>
      <c r="AD38" s="149"/>
      <c r="AE38" s="149"/>
      <c r="AF38" s="149"/>
      <c r="AG38" s="149"/>
      <c r="AH38" s="149"/>
      <c r="AI38" s="149"/>
      <c r="AJ38" s="149"/>
      <c r="AK38" s="149"/>
      <c r="AL38" s="149"/>
      <c r="AM38" s="149"/>
      <c r="AN38" s="149"/>
      <c r="AO38" s="149"/>
      <c r="AP38" s="149"/>
      <c r="AQ38" s="149"/>
      <c r="AR38" s="149"/>
      <c r="AS38" s="149"/>
      <c r="AT38" s="149"/>
      <c r="AU38" s="150"/>
    </row>
    <row r="39" spans="1:47" ht="16.899999999999999" customHeight="1">
      <c r="B39" s="157"/>
      <c r="C39" s="158"/>
      <c r="D39" s="158"/>
      <c r="E39" s="158"/>
      <c r="F39" s="158"/>
      <c r="G39" s="158"/>
      <c r="H39" s="158"/>
      <c r="I39" s="158"/>
      <c r="J39" s="158"/>
      <c r="K39" s="159"/>
      <c r="L39" s="151"/>
      <c r="M39" s="152"/>
      <c r="N39" s="152"/>
      <c r="O39" s="152"/>
      <c r="P39" s="152"/>
      <c r="Q39" s="152"/>
      <c r="R39" s="152"/>
      <c r="S39" s="152"/>
      <c r="T39" s="152"/>
      <c r="U39" s="152"/>
      <c r="V39" s="152"/>
      <c r="W39" s="152"/>
      <c r="X39" s="152"/>
      <c r="Y39" s="152"/>
      <c r="Z39" s="152"/>
      <c r="AA39" s="152"/>
      <c r="AB39" s="152"/>
      <c r="AC39" s="152"/>
      <c r="AD39" s="152"/>
      <c r="AE39" s="152"/>
      <c r="AF39" s="152"/>
      <c r="AG39" s="152"/>
      <c r="AH39" s="152"/>
      <c r="AI39" s="152"/>
      <c r="AJ39" s="152"/>
      <c r="AK39" s="152"/>
      <c r="AL39" s="152"/>
      <c r="AM39" s="152"/>
      <c r="AN39" s="152"/>
      <c r="AO39" s="152"/>
      <c r="AP39" s="152"/>
      <c r="AQ39" s="152"/>
      <c r="AR39" s="152"/>
      <c r="AS39" s="152"/>
      <c r="AT39" s="152"/>
      <c r="AU39" s="153"/>
    </row>
    <row r="40" spans="1:47" ht="16.899999999999999" customHeight="1">
      <c r="B40" s="154" t="s">
        <v>113</v>
      </c>
      <c r="C40" s="155"/>
      <c r="D40" s="155"/>
      <c r="E40" s="155"/>
      <c r="F40" s="155"/>
      <c r="G40" s="155"/>
      <c r="H40" s="155"/>
      <c r="I40" s="155"/>
      <c r="J40" s="155"/>
      <c r="K40" s="156"/>
      <c r="L40" s="148"/>
      <c r="M40" s="149"/>
      <c r="N40" s="149"/>
      <c r="O40" s="149"/>
      <c r="P40" s="149"/>
      <c r="Q40" s="149"/>
      <c r="R40" s="149"/>
      <c r="S40" s="149"/>
      <c r="T40" s="149"/>
      <c r="U40" s="149"/>
      <c r="V40" s="149"/>
      <c r="W40" s="149"/>
      <c r="X40" s="149"/>
      <c r="Y40" s="149"/>
      <c r="Z40" s="149"/>
      <c r="AA40" s="149"/>
      <c r="AB40" s="149"/>
      <c r="AC40" s="149"/>
      <c r="AD40" s="149"/>
      <c r="AE40" s="149"/>
      <c r="AF40" s="149"/>
      <c r="AG40" s="149"/>
      <c r="AH40" s="149"/>
      <c r="AI40" s="149"/>
      <c r="AJ40" s="149"/>
      <c r="AK40" s="149"/>
      <c r="AL40" s="149"/>
      <c r="AM40" s="149"/>
      <c r="AN40" s="149"/>
      <c r="AO40" s="149"/>
      <c r="AP40" s="149"/>
      <c r="AQ40" s="149"/>
      <c r="AR40" s="149"/>
      <c r="AS40" s="149"/>
      <c r="AT40" s="149"/>
      <c r="AU40" s="150"/>
    </row>
    <row r="41" spans="1:47" ht="16.899999999999999" customHeight="1">
      <c r="B41" s="157"/>
      <c r="C41" s="158"/>
      <c r="D41" s="158"/>
      <c r="E41" s="158"/>
      <c r="F41" s="158"/>
      <c r="G41" s="158"/>
      <c r="H41" s="158"/>
      <c r="I41" s="158"/>
      <c r="J41" s="158"/>
      <c r="K41" s="159"/>
      <c r="L41" s="151"/>
      <c r="M41" s="152"/>
      <c r="N41" s="152"/>
      <c r="O41" s="152"/>
      <c r="P41" s="152"/>
      <c r="Q41" s="152"/>
      <c r="R41" s="152"/>
      <c r="S41" s="152"/>
      <c r="T41" s="152"/>
      <c r="U41" s="152"/>
      <c r="V41" s="152"/>
      <c r="W41" s="152"/>
      <c r="X41" s="152"/>
      <c r="Y41" s="152"/>
      <c r="Z41" s="152"/>
      <c r="AA41" s="152"/>
      <c r="AB41" s="152"/>
      <c r="AC41" s="152"/>
      <c r="AD41" s="152"/>
      <c r="AE41" s="152"/>
      <c r="AF41" s="152"/>
      <c r="AG41" s="152"/>
      <c r="AH41" s="152"/>
      <c r="AI41" s="152"/>
      <c r="AJ41" s="152"/>
      <c r="AK41" s="152"/>
      <c r="AL41" s="152"/>
      <c r="AM41" s="152"/>
      <c r="AN41" s="152"/>
      <c r="AO41" s="152"/>
      <c r="AP41" s="152"/>
      <c r="AQ41" s="152"/>
      <c r="AR41" s="152"/>
      <c r="AS41" s="152"/>
      <c r="AT41" s="152"/>
      <c r="AU41" s="153"/>
    </row>
    <row r="42" spans="1:47" ht="16.899999999999999" customHeight="1">
      <c r="B42" s="257" t="s">
        <v>114</v>
      </c>
      <c r="C42" s="257"/>
      <c r="D42" s="257"/>
      <c r="E42" s="257"/>
      <c r="F42" s="257"/>
      <c r="G42" s="257"/>
      <c r="H42" s="257"/>
      <c r="I42" s="257"/>
      <c r="J42" s="257"/>
      <c r="K42" s="257"/>
      <c r="L42" s="139"/>
      <c r="M42" s="139"/>
      <c r="N42" s="139"/>
      <c r="O42" s="139"/>
      <c r="P42" s="139"/>
      <c r="Q42" s="139"/>
      <c r="R42" s="139"/>
      <c r="S42" s="139"/>
      <c r="T42" s="139"/>
      <c r="U42" s="139"/>
      <c r="V42" s="139"/>
      <c r="W42" s="139"/>
      <c r="X42" s="139"/>
      <c r="Y42" s="139"/>
      <c r="Z42" s="139"/>
      <c r="AA42" s="139"/>
      <c r="AB42" s="139"/>
      <c r="AC42" s="139"/>
      <c r="AD42" s="139"/>
      <c r="AE42" s="139"/>
      <c r="AF42" s="139"/>
      <c r="AG42" s="139"/>
      <c r="AH42" s="139"/>
      <c r="AI42" s="139"/>
      <c r="AJ42" s="139"/>
      <c r="AK42" s="139"/>
      <c r="AL42" s="139"/>
      <c r="AM42" s="139"/>
      <c r="AN42" s="139"/>
      <c r="AO42" s="139"/>
      <c r="AP42" s="139"/>
      <c r="AQ42" s="139"/>
      <c r="AR42" s="139"/>
      <c r="AS42" s="139"/>
      <c r="AT42" s="139"/>
      <c r="AU42" s="139"/>
    </row>
    <row r="43" spans="1:47" ht="16.899999999999999" customHeight="1">
      <c r="B43" s="257"/>
      <c r="C43" s="257"/>
      <c r="D43" s="257"/>
      <c r="E43" s="257"/>
      <c r="F43" s="257"/>
      <c r="G43" s="257"/>
      <c r="H43" s="257"/>
      <c r="I43" s="257"/>
      <c r="J43" s="257"/>
      <c r="K43" s="257"/>
      <c r="L43" s="139"/>
      <c r="M43" s="139"/>
      <c r="N43" s="139"/>
      <c r="O43" s="139"/>
      <c r="P43" s="139"/>
      <c r="Q43" s="139"/>
      <c r="R43" s="139"/>
      <c r="S43" s="139"/>
      <c r="T43" s="139"/>
      <c r="U43" s="139"/>
      <c r="V43" s="139"/>
      <c r="W43" s="139"/>
      <c r="X43" s="139"/>
      <c r="Y43" s="139"/>
      <c r="Z43" s="139"/>
      <c r="AA43" s="139"/>
      <c r="AB43" s="139"/>
      <c r="AC43" s="139"/>
      <c r="AD43" s="139"/>
      <c r="AE43" s="139"/>
      <c r="AF43" s="139"/>
      <c r="AG43" s="139"/>
      <c r="AH43" s="139"/>
      <c r="AI43" s="139"/>
      <c r="AJ43" s="139"/>
      <c r="AK43" s="139"/>
      <c r="AL43" s="139"/>
      <c r="AM43" s="139"/>
      <c r="AN43" s="139"/>
      <c r="AO43" s="139"/>
      <c r="AP43" s="139"/>
      <c r="AQ43" s="139"/>
      <c r="AR43" s="139"/>
      <c r="AS43" s="139"/>
      <c r="AT43" s="139"/>
      <c r="AU43" s="139"/>
    </row>
    <row r="44" spans="1:47" ht="16.899999999999999" customHeight="1">
      <c r="A44" s="2"/>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c r="AD44" s="10"/>
      <c r="AE44" s="10"/>
      <c r="AF44" s="10"/>
      <c r="AG44" s="10"/>
      <c r="AH44" s="10"/>
      <c r="AI44" s="10"/>
      <c r="AJ44" s="10"/>
      <c r="AK44" s="10"/>
      <c r="AL44" s="10"/>
      <c r="AM44" s="10"/>
      <c r="AN44" s="10"/>
      <c r="AO44" s="10"/>
      <c r="AP44" s="10"/>
      <c r="AQ44" s="10"/>
      <c r="AR44" s="10"/>
      <c r="AS44" s="10"/>
      <c r="AT44" s="10"/>
      <c r="AU44" s="10"/>
    </row>
    <row r="45" spans="1:47" ht="16.899999999999999" customHeight="1">
      <c r="B45" s="8" t="s">
        <v>115</v>
      </c>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row>
    <row r="46" spans="1:47" ht="16.899999999999999" customHeight="1">
      <c r="B46" s="245" t="s">
        <v>116</v>
      </c>
      <c r="C46" s="246"/>
      <c r="D46" s="246"/>
      <c r="E46" s="246"/>
      <c r="F46" s="246"/>
      <c r="G46" s="246"/>
      <c r="H46" s="246"/>
      <c r="I46" s="246"/>
      <c r="J46" s="246"/>
      <c r="K46" s="247"/>
      <c r="L46" s="241"/>
      <c r="M46" s="241"/>
      <c r="N46" s="241"/>
      <c r="O46" s="241"/>
      <c r="P46" s="241"/>
      <c r="Q46" s="241"/>
      <c r="R46" s="241"/>
      <c r="S46" s="241"/>
      <c r="T46" s="241"/>
      <c r="U46" s="241"/>
      <c r="V46" s="241"/>
      <c r="W46" s="241"/>
      <c r="X46" s="242"/>
      <c r="Y46" s="142" t="s">
        <v>117</v>
      </c>
      <c r="Z46" s="143"/>
      <c r="AA46" s="143"/>
      <c r="AB46" s="143"/>
      <c r="AC46" s="143"/>
      <c r="AD46" s="143"/>
      <c r="AE46" s="143"/>
      <c r="AF46" s="143"/>
      <c r="AG46" s="143"/>
      <c r="AH46" s="144"/>
      <c r="AI46" s="148"/>
      <c r="AJ46" s="149"/>
      <c r="AK46" s="149"/>
      <c r="AL46" s="149"/>
      <c r="AM46" s="149"/>
      <c r="AN46" s="149"/>
      <c r="AO46" s="149"/>
      <c r="AP46" s="149"/>
      <c r="AQ46" s="149"/>
      <c r="AR46" s="149"/>
      <c r="AS46" s="149"/>
      <c r="AT46" s="149"/>
      <c r="AU46" s="150"/>
    </row>
    <row r="47" spans="1:47" ht="16.899999999999999" customHeight="1">
      <c r="B47" s="248"/>
      <c r="C47" s="249"/>
      <c r="D47" s="249"/>
      <c r="E47" s="249"/>
      <c r="F47" s="249"/>
      <c r="G47" s="249"/>
      <c r="H47" s="249"/>
      <c r="I47" s="249"/>
      <c r="J47" s="249"/>
      <c r="K47" s="250"/>
      <c r="L47" s="243"/>
      <c r="M47" s="243"/>
      <c r="N47" s="243"/>
      <c r="O47" s="243"/>
      <c r="P47" s="243"/>
      <c r="Q47" s="243"/>
      <c r="R47" s="243"/>
      <c r="S47" s="243"/>
      <c r="T47" s="243"/>
      <c r="U47" s="243"/>
      <c r="V47" s="243"/>
      <c r="W47" s="243"/>
      <c r="X47" s="244"/>
      <c r="Y47" s="145"/>
      <c r="Z47" s="146"/>
      <c r="AA47" s="146"/>
      <c r="AB47" s="146"/>
      <c r="AC47" s="146"/>
      <c r="AD47" s="146"/>
      <c r="AE47" s="146"/>
      <c r="AF47" s="146"/>
      <c r="AG47" s="146"/>
      <c r="AH47" s="147"/>
      <c r="AI47" s="151"/>
      <c r="AJ47" s="152"/>
      <c r="AK47" s="152"/>
      <c r="AL47" s="152"/>
      <c r="AM47" s="152"/>
      <c r="AN47" s="152"/>
      <c r="AO47" s="152"/>
      <c r="AP47" s="152"/>
      <c r="AQ47" s="152"/>
      <c r="AR47" s="152"/>
      <c r="AS47" s="152"/>
      <c r="AT47" s="152"/>
      <c r="AU47" s="153"/>
    </row>
    <row r="48" spans="1:47" ht="16.899999999999999" customHeight="1">
      <c r="B48" s="276" t="s">
        <v>118</v>
      </c>
      <c r="C48" s="277"/>
      <c r="D48" s="277"/>
      <c r="E48" s="277"/>
      <c r="F48" s="277"/>
      <c r="G48" s="277"/>
      <c r="H48" s="277"/>
      <c r="I48" s="277"/>
      <c r="J48" s="277"/>
      <c r="K48" s="278"/>
      <c r="L48" s="282"/>
      <c r="M48" s="282"/>
      <c r="N48" s="282"/>
      <c r="O48" s="282"/>
      <c r="P48" s="282"/>
      <c r="Q48" s="282"/>
      <c r="R48" s="282"/>
      <c r="S48" s="282"/>
      <c r="T48" s="282"/>
      <c r="U48" s="282"/>
      <c r="V48" s="282"/>
      <c r="W48" s="282"/>
      <c r="X48" s="283"/>
      <c r="Y48" s="276" t="s">
        <v>119</v>
      </c>
      <c r="Z48" s="286"/>
      <c r="AA48" s="286"/>
      <c r="AB48" s="286"/>
      <c r="AC48" s="286"/>
      <c r="AD48" s="286"/>
      <c r="AE48" s="286"/>
      <c r="AF48" s="286"/>
      <c r="AG48" s="286"/>
      <c r="AH48" s="287"/>
      <c r="AI48" s="291"/>
      <c r="AJ48" s="292"/>
      <c r="AK48" s="292"/>
      <c r="AL48" s="292"/>
      <c r="AM48" s="292"/>
      <c r="AN48" s="292"/>
      <c r="AO48" s="292"/>
      <c r="AP48" s="292"/>
      <c r="AQ48" s="292"/>
      <c r="AR48" s="292"/>
      <c r="AS48" s="292"/>
      <c r="AT48" s="292"/>
      <c r="AU48" s="293"/>
    </row>
    <row r="49" spans="1:47" ht="16.899999999999999" customHeight="1">
      <c r="B49" s="279"/>
      <c r="C49" s="280"/>
      <c r="D49" s="280"/>
      <c r="E49" s="280"/>
      <c r="F49" s="280"/>
      <c r="G49" s="280"/>
      <c r="H49" s="280"/>
      <c r="I49" s="280"/>
      <c r="J49" s="280"/>
      <c r="K49" s="281"/>
      <c r="L49" s="284"/>
      <c r="M49" s="284"/>
      <c r="N49" s="284"/>
      <c r="O49" s="284"/>
      <c r="P49" s="284"/>
      <c r="Q49" s="284"/>
      <c r="R49" s="284"/>
      <c r="S49" s="284"/>
      <c r="T49" s="284"/>
      <c r="U49" s="284"/>
      <c r="V49" s="284"/>
      <c r="W49" s="284"/>
      <c r="X49" s="285"/>
      <c r="Y49" s="288"/>
      <c r="Z49" s="289"/>
      <c r="AA49" s="289"/>
      <c r="AB49" s="289"/>
      <c r="AC49" s="289"/>
      <c r="AD49" s="289"/>
      <c r="AE49" s="289"/>
      <c r="AF49" s="289"/>
      <c r="AG49" s="289"/>
      <c r="AH49" s="290"/>
      <c r="AI49" s="294"/>
      <c r="AJ49" s="295"/>
      <c r="AK49" s="295"/>
      <c r="AL49" s="295"/>
      <c r="AM49" s="295"/>
      <c r="AN49" s="295"/>
      <c r="AO49" s="295"/>
      <c r="AP49" s="295"/>
      <c r="AQ49" s="295"/>
      <c r="AR49" s="295"/>
      <c r="AS49" s="295"/>
      <c r="AT49" s="295"/>
      <c r="AU49" s="296"/>
    </row>
    <row r="50" spans="1:47" ht="16.899999999999999" customHeight="1">
      <c r="B50" s="7"/>
      <c r="C50" s="7"/>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row>
    <row r="51" spans="1:47" s="6" customFormat="1" ht="16.899999999999999" customHeight="1">
      <c r="B51" s="11" t="s">
        <v>120</v>
      </c>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row>
    <row r="52" spans="1:47" ht="16.899999999999999" customHeight="1">
      <c r="A52" s="2"/>
      <c r="B52" s="116" t="s">
        <v>59</v>
      </c>
      <c r="C52" s="117"/>
      <c r="D52" s="117"/>
      <c r="E52" s="117"/>
      <c r="F52" s="117"/>
      <c r="G52" s="117"/>
      <c r="H52" s="117"/>
      <c r="I52" s="117"/>
      <c r="J52" s="117"/>
      <c r="K52" s="117"/>
      <c r="L52" s="118"/>
      <c r="M52" s="118"/>
      <c r="N52" s="118"/>
      <c r="O52" s="118"/>
      <c r="P52" s="118"/>
      <c r="Q52" s="118"/>
      <c r="R52" s="118"/>
      <c r="S52" s="118"/>
      <c r="T52" s="118"/>
      <c r="U52" s="118"/>
      <c r="V52" s="118"/>
      <c r="W52" s="118"/>
      <c r="X52" s="118"/>
      <c r="Y52" s="116" t="s">
        <v>60</v>
      </c>
      <c r="Z52" s="117"/>
      <c r="AA52" s="117"/>
      <c r="AB52" s="117"/>
      <c r="AC52" s="117"/>
      <c r="AD52" s="117"/>
      <c r="AE52" s="117"/>
      <c r="AF52" s="117"/>
      <c r="AG52" s="117"/>
      <c r="AH52" s="119"/>
      <c r="AI52" s="118"/>
      <c r="AJ52" s="118"/>
      <c r="AK52" s="118"/>
      <c r="AL52" s="118"/>
      <c r="AM52" s="118"/>
      <c r="AN52" s="118"/>
      <c r="AO52" s="118"/>
      <c r="AP52" s="118"/>
      <c r="AQ52" s="118"/>
      <c r="AR52" s="118"/>
      <c r="AS52" s="118"/>
      <c r="AT52" s="118"/>
      <c r="AU52" s="118"/>
    </row>
    <row r="53" spans="1:47" ht="16.899999999999999" customHeight="1">
      <c r="A53" s="2"/>
      <c r="B53" s="113" t="s">
        <v>61</v>
      </c>
      <c r="C53" s="114"/>
      <c r="D53" s="114"/>
      <c r="E53" s="114"/>
      <c r="F53" s="114"/>
      <c r="G53" s="114"/>
      <c r="H53" s="114"/>
      <c r="I53" s="114"/>
      <c r="J53" s="114"/>
      <c r="K53" s="115"/>
      <c r="L53" s="120"/>
      <c r="M53" s="121"/>
      <c r="N53" s="121"/>
      <c r="O53" s="121"/>
      <c r="P53" s="121"/>
      <c r="Q53" s="121"/>
      <c r="R53" s="121"/>
      <c r="S53" s="121"/>
      <c r="T53" s="121"/>
      <c r="U53" s="121"/>
      <c r="V53" s="121"/>
      <c r="W53" s="121"/>
      <c r="X53" s="122"/>
      <c r="Y53" s="117" t="s">
        <v>62</v>
      </c>
      <c r="Z53" s="117"/>
      <c r="AA53" s="117"/>
      <c r="AB53" s="117"/>
      <c r="AC53" s="117"/>
      <c r="AD53" s="117"/>
      <c r="AE53" s="117"/>
      <c r="AF53" s="117"/>
      <c r="AG53" s="117"/>
      <c r="AH53" s="130"/>
      <c r="AI53" s="118"/>
      <c r="AJ53" s="118"/>
      <c r="AK53" s="118"/>
      <c r="AL53" s="118"/>
      <c r="AM53" s="118"/>
      <c r="AN53" s="118"/>
      <c r="AO53" s="118"/>
      <c r="AP53" s="118"/>
      <c r="AQ53" s="118"/>
      <c r="AR53" s="118"/>
      <c r="AS53" s="118"/>
      <c r="AT53" s="118"/>
      <c r="AU53" s="118"/>
    </row>
    <row r="54" spans="1:47" ht="16.899999999999999" customHeight="1">
      <c r="A54" s="2"/>
      <c r="B54" s="119" t="s">
        <v>63</v>
      </c>
      <c r="C54" s="119"/>
      <c r="D54" s="119"/>
      <c r="E54" s="119"/>
      <c r="F54" s="119"/>
      <c r="G54" s="119"/>
      <c r="H54" s="119"/>
      <c r="I54" s="119"/>
      <c r="J54" s="119"/>
      <c r="K54" s="119"/>
      <c r="L54" s="123"/>
      <c r="M54" s="123"/>
      <c r="N54" s="123"/>
      <c r="O54" s="123"/>
      <c r="P54" s="123"/>
      <c r="Q54" s="123"/>
      <c r="R54" s="123"/>
      <c r="S54" s="123"/>
      <c r="T54" s="123"/>
      <c r="U54" s="123"/>
      <c r="V54" s="123"/>
      <c r="W54" s="123"/>
      <c r="X54" s="123"/>
      <c r="Y54" s="124" t="s">
        <v>64</v>
      </c>
      <c r="Z54" s="125"/>
      <c r="AA54" s="125"/>
      <c r="AB54" s="125"/>
      <c r="AC54" s="125"/>
      <c r="AD54" s="125"/>
      <c r="AE54" s="125"/>
      <c r="AF54" s="125"/>
      <c r="AG54" s="125"/>
      <c r="AH54" s="126"/>
      <c r="AI54" s="127">
        <f>(L52*4*4)+(AI52*4)+(L53*5)+(AI53*5)+(L54*7)</f>
        <v>0</v>
      </c>
      <c r="AJ54" s="128"/>
      <c r="AK54" s="128"/>
      <c r="AL54" s="128"/>
      <c r="AM54" s="128"/>
      <c r="AN54" s="128"/>
      <c r="AO54" s="128"/>
      <c r="AP54" s="128"/>
      <c r="AQ54" s="128"/>
      <c r="AR54" s="128"/>
      <c r="AS54" s="128"/>
      <c r="AT54" s="128"/>
      <c r="AU54" s="129"/>
    </row>
    <row r="55" spans="1:47" s="16" customFormat="1" ht="16.899999999999999" customHeight="1">
      <c r="A55" s="26"/>
      <c r="B55" s="113" t="s">
        <v>40</v>
      </c>
      <c r="C55" s="114"/>
      <c r="D55" s="114"/>
      <c r="E55" s="114"/>
      <c r="F55" s="114"/>
      <c r="G55" s="114"/>
      <c r="H55" s="114"/>
      <c r="I55" s="114"/>
      <c r="J55" s="114"/>
      <c r="K55" s="115"/>
      <c r="L55" s="81"/>
      <c r="M55" s="85"/>
      <c r="N55" s="85"/>
      <c r="O55" s="85"/>
      <c r="P55" s="85"/>
      <c r="Q55" s="85"/>
      <c r="R55" s="85"/>
      <c r="S55" s="85"/>
      <c r="T55" s="85"/>
      <c r="U55" s="85"/>
      <c r="V55" s="85"/>
      <c r="W55" s="85"/>
      <c r="X55" s="85"/>
      <c r="Y55" s="85"/>
      <c r="Z55" s="85"/>
      <c r="AA55" s="85"/>
      <c r="AB55" s="85"/>
      <c r="AC55" s="85"/>
      <c r="AD55" s="85"/>
      <c r="AE55" s="85"/>
      <c r="AF55" s="85"/>
      <c r="AG55" s="85"/>
      <c r="AH55" s="85"/>
      <c r="AI55" s="85"/>
      <c r="AJ55" s="85"/>
      <c r="AK55" s="85"/>
      <c r="AL55" s="85"/>
      <c r="AM55" s="85"/>
      <c r="AN55" s="85"/>
      <c r="AO55" s="85"/>
      <c r="AP55" s="85"/>
      <c r="AQ55" s="85"/>
      <c r="AR55" s="85"/>
      <c r="AS55" s="85"/>
      <c r="AT55" s="85"/>
      <c r="AU55" s="86"/>
    </row>
    <row r="56" spans="1:47" ht="16.899999999999999" customHeight="1">
      <c r="B56" s="7"/>
      <c r="C56" s="7"/>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c r="AK56" s="7"/>
      <c r="AL56" s="7"/>
      <c r="AM56" s="7"/>
      <c r="AN56" s="7"/>
      <c r="AO56" s="7"/>
      <c r="AP56" s="7"/>
      <c r="AQ56" s="7"/>
      <c r="AR56" s="7"/>
      <c r="AS56" s="7"/>
      <c r="AT56" s="7"/>
      <c r="AU56" s="7"/>
    </row>
    <row r="57" spans="1:47" s="6" customFormat="1" ht="16.899999999999999" customHeight="1">
      <c r="B57" s="11" t="s">
        <v>121</v>
      </c>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row>
    <row r="58" spans="1:47" s="6" customFormat="1" ht="16.899999999999999" customHeight="1">
      <c r="B58" s="265" t="s">
        <v>122</v>
      </c>
      <c r="C58" s="265"/>
      <c r="D58" s="265"/>
      <c r="E58" s="265"/>
      <c r="F58" s="265"/>
      <c r="G58" s="265"/>
      <c r="H58" s="265"/>
      <c r="I58" s="265"/>
      <c r="J58" s="265"/>
      <c r="K58" s="265"/>
      <c r="L58" s="266"/>
      <c r="M58" s="266"/>
      <c r="N58" s="266"/>
      <c r="O58" s="266"/>
      <c r="P58" s="266"/>
      <c r="Q58" s="266"/>
      <c r="R58" s="266"/>
      <c r="S58" s="266"/>
      <c r="T58" s="266"/>
      <c r="U58" s="266"/>
      <c r="V58" s="266"/>
      <c r="W58" s="266"/>
      <c r="X58" s="266"/>
      <c r="Y58" s="265" t="s">
        <v>123</v>
      </c>
      <c r="Z58" s="265"/>
      <c r="AA58" s="265"/>
      <c r="AB58" s="265"/>
      <c r="AC58" s="265"/>
      <c r="AD58" s="265"/>
      <c r="AE58" s="265"/>
      <c r="AF58" s="265"/>
      <c r="AG58" s="265"/>
      <c r="AH58" s="265"/>
      <c r="AI58" s="266"/>
      <c r="AJ58" s="266"/>
      <c r="AK58" s="266"/>
      <c r="AL58" s="266"/>
      <c r="AM58" s="266"/>
      <c r="AN58" s="266"/>
      <c r="AO58" s="266"/>
      <c r="AP58" s="266"/>
      <c r="AQ58" s="266"/>
      <c r="AR58" s="266"/>
      <c r="AS58" s="266"/>
      <c r="AT58" s="266"/>
      <c r="AU58" s="266"/>
    </row>
    <row r="59" spans="1:47" s="6" customFormat="1" ht="16.899999999999999" customHeight="1">
      <c r="B59" s="265" t="s">
        <v>124</v>
      </c>
      <c r="C59" s="265"/>
      <c r="D59" s="265"/>
      <c r="E59" s="265"/>
      <c r="F59" s="265"/>
      <c r="G59" s="265"/>
      <c r="H59" s="265"/>
      <c r="I59" s="265"/>
      <c r="J59" s="265"/>
      <c r="K59" s="267"/>
      <c r="L59" s="303"/>
      <c r="M59" s="304"/>
      <c r="N59" s="304"/>
      <c r="O59" s="304"/>
      <c r="P59" s="304"/>
      <c r="Q59" s="304"/>
      <c r="R59" s="304"/>
      <c r="S59" s="304"/>
      <c r="T59" s="304"/>
      <c r="U59" s="304"/>
      <c r="V59" s="304"/>
      <c r="W59" s="304"/>
      <c r="X59" s="305"/>
      <c r="Y59" s="265" t="s">
        <v>125</v>
      </c>
      <c r="Z59" s="265"/>
      <c r="AA59" s="265"/>
      <c r="AB59" s="265"/>
      <c r="AC59" s="265"/>
      <c r="AD59" s="265"/>
      <c r="AE59" s="265"/>
      <c r="AF59" s="265"/>
      <c r="AG59" s="265"/>
      <c r="AH59" s="267"/>
      <c r="AI59" s="268"/>
      <c r="AJ59" s="268"/>
      <c r="AK59" s="268"/>
      <c r="AL59" s="268"/>
      <c r="AM59" s="268"/>
      <c r="AN59" s="268"/>
      <c r="AO59" s="268"/>
      <c r="AP59" s="268"/>
      <c r="AQ59" s="268"/>
      <c r="AR59" s="268"/>
      <c r="AS59" s="268"/>
      <c r="AT59" s="268"/>
      <c r="AU59" s="268"/>
    </row>
    <row r="60" spans="1:47" s="6" customFormat="1" ht="16.899999999999999" customHeight="1">
      <c r="B60" s="265" t="s">
        <v>126</v>
      </c>
      <c r="C60" s="265"/>
      <c r="D60" s="265"/>
      <c r="E60" s="265"/>
      <c r="F60" s="265"/>
      <c r="G60" s="265"/>
      <c r="H60" s="265"/>
      <c r="I60" s="265"/>
      <c r="J60" s="265"/>
      <c r="K60" s="267"/>
      <c r="L60" s="269" t="str">
        <f>IF(AI54=0,"",L58/(AI54/1000))</f>
        <v/>
      </c>
      <c r="M60" s="270"/>
      <c r="N60" s="270"/>
      <c r="O60" s="270"/>
      <c r="P60" s="270"/>
      <c r="Q60" s="270"/>
      <c r="R60" s="270"/>
      <c r="S60" s="270"/>
      <c r="T60" s="270"/>
      <c r="U60" s="270"/>
      <c r="V60" s="270"/>
      <c r="W60" s="270"/>
      <c r="X60" s="271"/>
      <c r="Y60" s="265" t="s">
        <v>127</v>
      </c>
      <c r="Z60" s="265"/>
      <c r="AA60" s="265"/>
      <c r="AB60" s="265"/>
      <c r="AC60" s="265"/>
      <c r="AD60" s="265"/>
      <c r="AE60" s="265"/>
      <c r="AF60" s="265"/>
      <c r="AG60" s="265"/>
      <c r="AH60" s="267"/>
      <c r="AI60" s="253" t="str">
        <f>IF(AI54=0,"",AI58/(AI54/1000))</f>
        <v/>
      </c>
      <c r="AJ60" s="253"/>
      <c r="AK60" s="253"/>
      <c r="AL60" s="253"/>
      <c r="AM60" s="253"/>
      <c r="AN60" s="253"/>
      <c r="AO60" s="253"/>
      <c r="AP60" s="253"/>
      <c r="AQ60" s="253"/>
      <c r="AR60" s="253"/>
      <c r="AS60" s="253"/>
      <c r="AT60" s="253"/>
      <c r="AU60" s="253"/>
    </row>
    <row r="61" spans="1:47" s="6" customFormat="1" ht="16.899999999999999" customHeight="1">
      <c r="B61" s="265" t="s">
        <v>128</v>
      </c>
      <c r="C61" s="265"/>
      <c r="D61" s="265"/>
      <c r="E61" s="265"/>
      <c r="F61" s="265"/>
      <c r="G61" s="265"/>
      <c r="H61" s="265"/>
      <c r="I61" s="265"/>
      <c r="J61" s="265"/>
      <c r="K61" s="267"/>
      <c r="L61" s="269" t="str">
        <f>IF(AI54=0,"",L59/(AI54/1000))</f>
        <v/>
      </c>
      <c r="M61" s="270"/>
      <c r="N61" s="270"/>
      <c r="O61" s="270"/>
      <c r="P61" s="270"/>
      <c r="Q61" s="270"/>
      <c r="R61" s="270"/>
      <c r="S61" s="270"/>
      <c r="T61" s="270"/>
      <c r="U61" s="270"/>
      <c r="V61" s="270"/>
      <c r="W61" s="270"/>
      <c r="X61" s="271"/>
      <c r="Y61" s="265" t="s">
        <v>129</v>
      </c>
      <c r="Z61" s="265"/>
      <c r="AA61" s="265"/>
      <c r="AB61" s="265"/>
      <c r="AC61" s="265"/>
      <c r="AD61" s="265"/>
      <c r="AE61" s="265"/>
      <c r="AF61" s="265"/>
      <c r="AG61" s="265"/>
      <c r="AH61" s="267"/>
      <c r="AI61" s="269" t="str">
        <f>IF(AI54=0,"",AI59/(AI54/1000))</f>
        <v/>
      </c>
      <c r="AJ61" s="270"/>
      <c r="AK61" s="270"/>
      <c r="AL61" s="270"/>
      <c r="AM61" s="270"/>
      <c r="AN61" s="270"/>
      <c r="AO61" s="270"/>
      <c r="AP61" s="270"/>
      <c r="AQ61" s="270"/>
      <c r="AR61" s="270"/>
      <c r="AS61" s="270"/>
      <c r="AT61" s="270"/>
      <c r="AU61" s="271"/>
    </row>
    <row r="62" spans="1:47" s="6" customFormat="1" ht="16.899999999999999" customHeight="1">
      <c r="B62" s="322" t="s">
        <v>130</v>
      </c>
      <c r="C62" s="322"/>
      <c r="D62" s="322"/>
      <c r="E62" s="322"/>
      <c r="F62" s="322"/>
      <c r="G62" s="322"/>
      <c r="H62" s="322"/>
      <c r="I62" s="322"/>
      <c r="J62" s="322"/>
      <c r="K62" s="323"/>
      <c r="L62" s="266"/>
      <c r="M62" s="266"/>
      <c r="N62" s="266"/>
      <c r="O62" s="266"/>
      <c r="P62" s="266"/>
      <c r="Q62" s="266"/>
      <c r="R62" s="266"/>
      <c r="S62" s="266"/>
      <c r="T62" s="266"/>
      <c r="U62" s="266"/>
      <c r="V62" s="266"/>
      <c r="W62" s="266"/>
      <c r="X62" s="266"/>
    </row>
    <row r="63" spans="1:47" s="6" customFormat="1" ht="16.899999999999999" customHeight="1">
      <c r="B63" s="11"/>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row>
    <row r="64" spans="1:47" s="6" customFormat="1" ht="16.899999999999999" customHeight="1">
      <c r="B64" s="11" t="s">
        <v>131</v>
      </c>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row>
    <row r="65" spans="2:47" s="6" customFormat="1" ht="16.899999999999999" customHeight="1">
      <c r="B65" s="265" t="s">
        <v>132</v>
      </c>
      <c r="C65" s="265"/>
      <c r="D65" s="265"/>
      <c r="E65" s="265"/>
      <c r="F65" s="265"/>
      <c r="G65" s="265"/>
      <c r="H65" s="265"/>
      <c r="I65" s="265"/>
      <c r="J65" s="265"/>
      <c r="K65" s="265"/>
      <c r="L65" s="266"/>
      <c r="M65" s="266"/>
      <c r="N65" s="266"/>
      <c r="O65" s="266"/>
      <c r="P65" s="266"/>
      <c r="Q65" s="266"/>
      <c r="R65" s="266"/>
      <c r="S65" s="266"/>
      <c r="T65" s="266"/>
      <c r="U65" s="266"/>
      <c r="V65" s="266"/>
      <c r="W65" s="266"/>
      <c r="X65" s="266"/>
      <c r="Y65" s="265" t="s">
        <v>133</v>
      </c>
      <c r="Z65" s="265"/>
      <c r="AA65" s="265"/>
      <c r="AB65" s="265"/>
      <c r="AC65" s="265"/>
      <c r="AD65" s="265"/>
      <c r="AE65" s="265"/>
      <c r="AF65" s="265"/>
      <c r="AG65" s="265"/>
      <c r="AH65" s="265"/>
      <c r="AI65" s="266"/>
      <c r="AJ65" s="266"/>
      <c r="AK65" s="266"/>
      <c r="AL65" s="266"/>
      <c r="AM65" s="266"/>
      <c r="AN65" s="266"/>
      <c r="AO65" s="266"/>
      <c r="AP65" s="266"/>
      <c r="AQ65" s="266"/>
      <c r="AR65" s="266"/>
      <c r="AS65" s="266"/>
      <c r="AT65" s="266"/>
      <c r="AU65" s="266"/>
    </row>
    <row r="66" spans="2:47" s="6" customFormat="1" ht="16.899999999999999" customHeight="1">
      <c r="B66" s="154" t="s">
        <v>134</v>
      </c>
      <c r="C66" s="155"/>
      <c r="D66" s="155"/>
      <c r="E66" s="155"/>
      <c r="F66" s="155"/>
      <c r="G66" s="155"/>
      <c r="H66" s="155"/>
      <c r="I66" s="155"/>
      <c r="J66" s="155"/>
      <c r="K66" s="156"/>
      <c r="L66" s="148"/>
      <c r="M66" s="149"/>
      <c r="N66" s="149"/>
      <c r="O66" s="149"/>
      <c r="P66" s="149"/>
      <c r="Q66" s="149"/>
      <c r="R66" s="149"/>
      <c r="S66" s="149"/>
      <c r="T66" s="149"/>
      <c r="U66" s="149"/>
      <c r="V66" s="149"/>
      <c r="W66" s="149"/>
      <c r="X66" s="149"/>
      <c r="Y66" s="149"/>
      <c r="Z66" s="149"/>
      <c r="AA66" s="149"/>
      <c r="AB66" s="149"/>
      <c r="AC66" s="149"/>
      <c r="AD66" s="149"/>
      <c r="AE66" s="149"/>
      <c r="AF66" s="149"/>
      <c r="AG66" s="149"/>
      <c r="AH66" s="149"/>
      <c r="AI66" s="149"/>
      <c r="AJ66" s="149"/>
      <c r="AK66" s="149"/>
      <c r="AL66" s="149"/>
      <c r="AM66" s="149"/>
      <c r="AN66" s="149"/>
      <c r="AO66" s="149"/>
      <c r="AP66" s="149"/>
      <c r="AQ66" s="149"/>
      <c r="AR66" s="149"/>
      <c r="AS66" s="149"/>
      <c r="AT66" s="149"/>
      <c r="AU66" s="150"/>
    </row>
    <row r="67" spans="2:47" s="6" customFormat="1" ht="16.899999999999999" customHeight="1">
      <c r="B67" s="225"/>
      <c r="C67" s="226"/>
      <c r="D67" s="226"/>
      <c r="E67" s="226"/>
      <c r="F67" s="226"/>
      <c r="G67" s="226"/>
      <c r="H67" s="226"/>
      <c r="I67" s="226"/>
      <c r="J67" s="226"/>
      <c r="K67" s="227"/>
      <c r="L67" s="228"/>
      <c r="M67" s="229"/>
      <c r="N67" s="229"/>
      <c r="O67" s="229"/>
      <c r="P67" s="229"/>
      <c r="Q67" s="229"/>
      <c r="R67" s="229"/>
      <c r="S67" s="229"/>
      <c r="T67" s="229"/>
      <c r="U67" s="229"/>
      <c r="V67" s="229"/>
      <c r="W67" s="229"/>
      <c r="X67" s="229"/>
      <c r="Y67" s="229"/>
      <c r="Z67" s="229"/>
      <c r="AA67" s="229"/>
      <c r="AB67" s="229"/>
      <c r="AC67" s="229"/>
      <c r="AD67" s="229"/>
      <c r="AE67" s="229"/>
      <c r="AF67" s="229"/>
      <c r="AG67" s="229"/>
      <c r="AH67" s="229"/>
      <c r="AI67" s="229"/>
      <c r="AJ67" s="229"/>
      <c r="AK67" s="229"/>
      <c r="AL67" s="229"/>
      <c r="AM67" s="229"/>
      <c r="AN67" s="229"/>
      <c r="AO67" s="229"/>
      <c r="AP67" s="229"/>
      <c r="AQ67" s="229"/>
      <c r="AR67" s="229"/>
      <c r="AS67" s="229"/>
      <c r="AT67" s="229"/>
      <c r="AU67" s="230"/>
    </row>
    <row r="68" spans="2:47" s="6" customFormat="1" ht="16.899999999999999" customHeight="1">
      <c r="B68" s="157"/>
      <c r="C68" s="158"/>
      <c r="D68" s="158"/>
      <c r="E68" s="158"/>
      <c r="F68" s="158"/>
      <c r="G68" s="158"/>
      <c r="H68" s="158"/>
      <c r="I68" s="158"/>
      <c r="J68" s="158"/>
      <c r="K68" s="159"/>
      <c r="L68" s="151"/>
      <c r="M68" s="152"/>
      <c r="N68" s="152"/>
      <c r="O68" s="152"/>
      <c r="P68" s="152"/>
      <c r="Q68" s="152"/>
      <c r="R68" s="152"/>
      <c r="S68" s="152"/>
      <c r="T68" s="152"/>
      <c r="U68" s="152"/>
      <c r="V68" s="152"/>
      <c r="W68" s="152"/>
      <c r="X68" s="152"/>
      <c r="Y68" s="152"/>
      <c r="Z68" s="152"/>
      <c r="AA68" s="152"/>
      <c r="AB68" s="152"/>
      <c r="AC68" s="152"/>
      <c r="AD68" s="152"/>
      <c r="AE68" s="152"/>
      <c r="AF68" s="152"/>
      <c r="AG68" s="152"/>
      <c r="AH68" s="152"/>
      <c r="AI68" s="152"/>
      <c r="AJ68" s="152"/>
      <c r="AK68" s="152"/>
      <c r="AL68" s="152"/>
      <c r="AM68" s="152"/>
      <c r="AN68" s="152"/>
      <c r="AO68" s="152"/>
      <c r="AP68" s="152"/>
      <c r="AQ68" s="152"/>
      <c r="AR68" s="152"/>
      <c r="AS68" s="152"/>
      <c r="AT68" s="152"/>
      <c r="AU68" s="153"/>
    </row>
    <row r="69" spans="2:47" s="6" customFormat="1" ht="16.899999999999999" customHeight="1">
      <c r="B69" s="154" t="s">
        <v>135</v>
      </c>
      <c r="C69" s="155"/>
      <c r="D69" s="155"/>
      <c r="E69" s="155"/>
      <c r="F69" s="155"/>
      <c r="G69" s="155"/>
      <c r="H69" s="155"/>
      <c r="I69" s="155"/>
      <c r="J69" s="155"/>
      <c r="K69" s="156"/>
      <c r="L69" s="148"/>
      <c r="M69" s="149"/>
      <c r="N69" s="149"/>
      <c r="O69" s="149"/>
      <c r="P69" s="149"/>
      <c r="Q69" s="149"/>
      <c r="R69" s="149"/>
      <c r="S69" s="149"/>
      <c r="T69" s="149"/>
      <c r="U69" s="149"/>
      <c r="V69" s="149"/>
      <c r="W69" s="149"/>
      <c r="X69" s="149"/>
      <c r="Y69" s="149"/>
      <c r="Z69" s="149"/>
      <c r="AA69" s="149"/>
      <c r="AB69" s="149"/>
      <c r="AC69" s="149"/>
      <c r="AD69" s="149"/>
      <c r="AE69" s="149"/>
      <c r="AF69" s="149"/>
      <c r="AG69" s="149"/>
      <c r="AH69" s="149"/>
      <c r="AI69" s="149"/>
      <c r="AJ69" s="149"/>
      <c r="AK69" s="149"/>
      <c r="AL69" s="149"/>
      <c r="AM69" s="149"/>
      <c r="AN69" s="149"/>
      <c r="AO69" s="149"/>
      <c r="AP69" s="149"/>
      <c r="AQ69" s="149"/>
      <c r="AR69" s="149"/>
      <c r="AS69" s="149"/>
      <c r="AT69" s="149"/>
      <c r="AU69" s="150"/>
    </row>
    <row r="70" spans="2:47" s="6" customFormat="1" ht="16.899999999999999" customHeight="1">
      <c r="B70" s="225"/>
      <c r="C70" s="226"/>
      <c r="D70" s="226"/>
      <c r="E70" s="226"/>
      <c r="F70" s="226"/>
      <c r="G70" s="226"/>
      <c r="H70" s="226"/>
      <c r="I70" s="226"/>
      <c r="J70" s="226"/>
      <c r="K70" s="227"/>
      <c r="L70" s="228"/>
      <c r="M70" s="229"/>
      <c r="N70" s="229"/>
      <c r="O70" s="229"/>
      <c r="P70" s="229"/>
      <c r="Q70" s="229"/>
      <c r="R70" s="229"/>
      <c r="S70" s="229"/>
      <c r="T70" s="229"/>
      <c r="U70" s="229"/>
      <c r="V70" s="229"/>
      <c r="W70" s="229"/>
      <c r="X70" s="229"/>
      <c r="Y70" s="229"/>
      <c r="Z70" s="229"/>
      <c r="AA70" s="229"/>
      <c r="AB70" s="229"/>
      <c r="AC70" s="229"/>
      <c r="AD70" s="229"/>
      <c r="AE70" s="229"/>
      <c r="AF70" s="229"/>
      <c r="AG70" s="229"/>
      <c r="AH70" s="229"/>
      <c r="AI70" s="229"/>
      <c r="AJ70" s="229"/>
      <c r="AK70" s="229"/>
      <c r="AL70" s="229"/>
      <c r="AM70" s="229"/>
      <c r="AN70" s="229"/>
      <c r="AO70" s="229"/>
      <c r="AP70" s="229"/>
      <c r="AQ70" s="229"/>
      <c r="AR70" s="229"/>
      <c r="AS70" s="229"/>
      <c r="AT70" s="229"/>
      <c r="AU70" s="230"/>
    </row>
    <row r="71" spans="2:47" s="6" customFormat="1" ht="16.899999999999999" customHeight="1">
      <c r="B71" s="157"/>
      <c r="C71" s="158"/>
      <c r="D71" s="158"/>
      <c r="E71" s="158"/>
      <c r="F71" s="158"/>
      <c r="G71" s="158"/>
      <c r="H71" s="158"/>
      <c r="I71" s="158"/>
      <c r="J71" s="158"/>
      <c r="K71" s="159"/>
      <c r="L71" s="151"/>
      <c r="M71" s="152"/>
      <c r="N71" s="152"/>
      <c r="O71" s="152"/>
      <c r="P71" s="152"/>
      <c r="Q71" s="152"/>
      <c r="R71" s="152"/>
      <c r="S71" s="152"/>
      <c r="T71" s="152"/>
      <c r="U71" s="152"/>
      <c r="V71" s="152"/>
      <c r="W71" s="152"/>
      <c r="X71" s="152"/>
      <c r="Y71" s="152"/>
      <c r="Z71" s="152"/>
      <c r="AA71" s="152"/>
      <c r="AB71" s="152"/>
      <c r="AC71" s="152"/>
      <c r="AD71" s="152"/>
      <c r="AE71" s="152"/>
      <c r="AF71" s="152"/>
      <c r="AG71" s="152"/>
      <c r="AH71" s="152"/>
      <c r="AI71" s="152"/>
      <c r="AJ71" s="152"/>
      <c r="AK71" s="152"/>
      <c r="AL71" s="152"/>
      <c r="AM71" s="152"/>
      <c r="AN71" s="152"/>
      <c r="AO71" s="152"/>
      <c r="AP71" s="152"/>
      <c r="AQ71" s="152"/>
      <c r="AR71" s="152"/>
      <c r="AS71" s="152"/>
      <c r="AT71" s="152"/>
      <c r="AU71" s="153"/>
    </row>
    <row r="72" spans="2:47" s="6" customFormat="1" ht="16.899999999999999" customHeight="1">
      <c r="B72" s="154" t="s">
        <v>136</v>
      </c>
      <c r="C72" s="155"/>
      <c r="D72" s="155"/>
      <c r="E72" s="155"/>
      <c r="F72" s="155"/>
      <c r="G72" s="155"/>
      <c r="H72" s="155"/>
      <c r="I72" s="155"/>
      <c r="J72" s="155"/>
      <c r="K72" s="156"/>
      <c r="L72" s="148"/>
      <c r="M72" s="149"/>
      <c r="N72" s="149"/>
      <c r="O72" s="149"/>
      <c r="P72" s="149"/>
      <c r="Q72" s="149"/>
      <c r="R72" s="149"/>
      <c r="S72" s="149"/>
      <c r="T72" s="149"/>
      <c r="U72" s="149"/>
      <c r="V72" s="149"/>
      <c r="W72" s="149"/>
      <c r="X72" s="149"/>
      <c r="Y72" s="149"/>
      <c r="Z72" s="149"/>
      <c r="AA72" s="149"/>
      <c r="AB72" s="149"/>
      <c r="AC72" s="149"/>
      <c r="AD72" s="149"/>
      <c r="AE72" s="149"/>
      <c r="AF72" s="149"/>
      <c r="AG72" s="149"/>
      <c r="AH72" s="149"/>
      <c r="AI72" s="149"/>
      <c r="AJ72" s="149"/>
      <c r="AK72" s="149"/>
      <c r="AL72" s="149"/>
      <c r="AM72" s="149"/>
      <c r="AN72" s="149"/>
      <c r="AO72" s="149"/>
      <c r="AP72" s="149"/>
      <c r="AQ72" s="149"/>
      <c r="AR72" s="149"/>
      <c r="AS72" s="149"/>
      <c r="AT72" s="149"/>
      <c r="AU72" s="150"/>
    </row>
    <row r="73" spans="2:47" s="6" customFormat="1" ht="16.899999999999999" customHeight="1">
      <c r="B73" s="225"/>
      <c r="C73" s="226"/>
      <c r="D73" s="226"/>
      <c r="E73" s="226"/>
      <c r="F73" s="226"/>
      <c r="G73" s="226"/>
      <c r="H73" s="226"/>
      <c r="I73" s="226"/>
      <c r="J73" s="226"/>
      <c r="K73" s="227"/>
      <c r="L73" s="228"/>
      <c r="M73" s="229"/>
      <c r="N73" s="229"/>
      <c r="O73" s="229"/>
      <c r="P73" s="229"/>
      <c r="Q73" s="229"/>
      <c r="R73" s="229"/>
      <c r="S73" s="229"/>
      <c r="T73" s="229"/>
      <c r="U73" s="229"/>
      <c r="V73" s="229"/>
      <c r="W73" s="229"/>
      <c r="X73" s="229"/>
      <c r="Y73" s="229"/>
      <c r="Z73" s="229"/>
      <c r="AA73" s="229"/>
      <c r="AB73" s="229"/>
      <c r="AC73" s="229"/>
      <c r="AD73" s="229"/>
      <c r="AE73" s="229"/>
      <c r="AF73" s="229"/>
      <c r="AG73" s="229"/>
      <c r="AH73" s="229"/>
      <c r="AI73" s="229"/>
      <c r="AJ73" s="229"/>
      <c r="AK73" s="229"/>
      <c r="AL73" s="229"/>
      <c r="AM73" s="229"/>
      <c r="AN73" s="229"/>
      <c r="AO73" s="229"/>
      <c r="AP73" s="229"/>
      <c r="AQ73" s="229"/>
      <c r="AR73" s="229"/>
      <c r="AS73" s="229"/>
      <c r="AT73" s="229"/>
      <c r="AU73" s="230"/>
    </row>
    <row r="74" spans="2:47" s="6" customFormat="1" ht="16.899999999999999" customHeight="1">
      <c r="B74" s="157"/>
      <c r="C74" s="158"/>
      <c r="D74" s="158"/>
      <c r="E74" s="158"/>
      <c r="F74" s="158"/>
      <c r="G74" s="158"/>
      <c r="H74" s="158"/>
      <c r="I74" s="158"/>
      <c r="J74" s="158"/>
      <c r="K74" s="159"/>
      <c r="L74" s="151"/>
      <c r="M74" s="152"/>
      <c r="N74" s="152"/>
      <c r="O74" s="152"/>
      <c r="P74" s="152"/>
      <c r="Q74" s="152"/>
      <c r="R74" s="152"/>
      <c r="S74" s="152"/>
      <c r="T74" s="152"/>
      <c r="U74" s="152"/>
      <c r="V74" s="152"/>
      <c r="W74" s="152"/>
      <c r="X74" s="152"/>
      <c r="Y74" s="152"/>
      <c r="Z74" s="152"/>
      <c r="AA74" s="152"/>
      <c r="AB74" s="152"/>
      <c r="AC74" s="152"/>
      <c r="AD74" s="152"/>
      <c r="AE74" s="152"/>
      <c r="AF74" s="152"/>
      <c r="AG74" s="152"/>
      <c r="AH74" s="152"/>
      <c r="AI74" s="152"/>
      <c r="AJ74" s="152"/>
      <c r="AK74" s="152"/>
      <c r="AL74" s="152"/>
      <c r="AM74" s="152"/>
      <c r="AN74" s="152"/>
      <c r="AO74" s="152"/>
      <c r="AP74" s="152"/>
      <c r="AQ74" s="152"/>
      <c r="AR74" s="152"/>
      <c r="AS74" s="152"/>
      <c r="AT74" s="152"/>
      <c r="AU74" s="153"/>
    </row>
    <row r="75" spans="2:47" ht="16.899999999999999" customHeight="1">
      <c r="B75" s="257" t="s">
        <v>137</v>
      </c>
      <c r="C75" s="257"/>
      <c r="D75" s="257"/>
      <c r="E75" s="257"/>
      <c r="F75" s="257"/>
      <c r="G75" s="257"/>
      <c r="H75" s="257"/>
      <c r="I75" s="257"/>
      <c r="J75" s="257"/>
      <c r="K75" s="257"/>
      <c r="L75" s="139"/>
      <c r="M75" s="139"/>
      <c r="N75" s="139"/>
      <c r="O75" s="139"/>
      <c r="P75" s="139"/>
      <c r="Q75" s="139"/>
      <c r="R75" s="139"/>
      <c r="S75" s="139"/>
      <c r="T75" s="139"/>
      <c r="U75" s="139"/>
      <c r="V75" s="139"/>
      <c r="W75" s="139"/>
      <c r="X75" s="139"/>
      <c r="Y75" s="139"/>
      <c r="Z75" s="139"/>
      <c r="AA75" s="139"/>
      <c r="AB75" s="139"/>
      <c r="AC75" s="139"/>
      <c r="AD75" s="139"/>
      <c r="AE75" s="139"/>
      <c r="AF75" s="139"/>
      <c r="AG75" s="139"/>
      <c r="AH75" s="139"/>
      <c r="AI75" s="139"/>
      <c r="AJ75" s="139"/>
      <c r="AK75" s="139"/>
      <c r="AL75" s="139"/>
      <c r="AM75" s="139"/>
      <c r="AN75" s="139"/>
      <c r="AO75" s="139"/>
      <c r="AP75" s="139"/>
      <c r="AQ75" s="139"/>
      <c r="AR75" s="139"/>
      <c r="AS75" s="139"/>
      <c r="AT75" s="139"/>
      <c r="AU75" s="139"/>
    </row>
    <row r="76" spans="2:47" ht="16.899999999999999" customHeight="1">
      <c r="B76" s="257"/>
      <c r="C76" s="257"/>
      <c r="D76" s="257"/>
      <c r="E76" s="257"/>
      <c r="F76" s="257"/>
      <c r="G76" s="257"/>
      <c r="H76" s="257"/>
      <c r="I76" s="257"/>
      <c r="J76" s="257"/>
      <c r="K76" s="257"/>
      <c r="L76" s="139"/>
      <c r="M76" s="139"/>
      <c r="N76" s="139"/>
      <c r="O76" s="139"/>
      <c r="P76" s="139"/>
      <c r="Q76" s="139"/>
      <c r="R76" s="139"/>
      <c r="S76" s="139"/>
      <c r="T76" s="139"/>
      <c r="U76" s="139"/>
      <c r="V76" s="139"/>
      <c r="W76" s="139"/>
      <c r="X76" s="139"/>
      <c r="Y76" s="139"/>
      <c r="Z76" s="139"/>
      <c r="AA76" s="139"/>
      <c r="AB76" s="139"/>
      <c r="AC76" s="139"/>
      <c r="AD76" s="139"/>
      <c r="AE76" s="139"/>
      <c r="AF76" s="139"/>
      <c r="AG76" s="139"/>
      <c r="AH76" s="139"/>
      <c r="AI76" s="139"/>
      <c r="AJ76" s="139"/>
      <c r="AK76" s="139"/>
      <c r="AL76" s="139"/>
      <c r="AM76" s="139"/>
      <c r="AN76" s="139"/>
      <c r="AO76" s="139"/>
      <c r="AP76" s="139"/>
      <c r="AQ76" s="139"/>
      <c r="AR76" s="139"/>
      <c r="AS76" s="139"/>
      <c r="AT76" s="139"/>
      <c r="AU76" s="139"/>
    </row>
    <row r="77" spans="2:47" ht="16.899999999999999" customHeight="1">
      <c r="B77" s="257"/>
      <c r="C77" s="257"/>
      <c r="D77" s="257"/>
      <c r="E77" s="257"/>
      <c r="F77" s="257"/>
      <c r="G77" s="257"/>
      <c r="H77" s="257"/>
      <c r="I77" s="257"/>
      <c r="J77" s="257"/>
      <c r="K77" s="257"/>
      <c r="L77" s="139"/>
      <c r="M77" s="139"/>
      <c r="N77" s="139"/>
      <c r="O77" s="139"/>
      <c r="P77" s="139"/>
      <c r="Q77" s="139"/>
      <c r="R77" s="139"/>
      <c r="S77" s="139"/>
      <c r="T77" s="139"/>
      <c r="U77" s="139"/>
      <c r="V77" s="139"/>
      <c r="W77" s="139"/>
      <c r="X77" s="139"/>
      <c r="Y77" s="139"/>
      <c r="Z77" s="139"/>
      <c r="AA77" s="139"/>
      <c r="AB77" s="139"/>
      <c r="AC77" s="139"/>
      <c r="AD77" s="139"/>
      <c r="AE77" s="139"/>
      <c r="AF77" s="139"/>
      <c r="AG77" s="139"/>
      <c r="AH77" s="139"/>
      <c r="AI77" s="139"/>
      <c r="AJ77" s="139"/>
      <c r="AK77" s="139"/>
      <c r="AL77" s="139"/>
      <c r="AM77" s="139"/>
      <c r="AN77" s="139"/>
      <c r="AO77" s="139"/>
      <c r="AP77" s="139"/>
      <c r="AQ77" s="139"/>
      <c r="AR77" s="139"/>
      <c r="AS77" s="139"/>
      <c r="AT77" s="139"/>
      <c r="AU77" s="139"/>
    </row>
    <row r="78" spans="2:47" s="6" customFormat="1" ht="16.899999999999999" customHeight="1">
      <c r="B78" s="11"/>
      <c r="C78" s="12"/>
      <c r="D78" s="12"/>
      <c r="E78" s="12"/>
      <c r="F78" s="12"/>
      <c r="G78" s="12"/>
      <c r="H78" s="12"/>
      <c r="I78" s="12"/>
      <c r="J78" s="12"/>
      <c r="K78" s="12"/>
      <c r="L78" s="12"/>
      <c r="M78" s="12"/>
      <c r="N78" s="12"/>
      <c r="O78" s="12"/>
      <c r="P78" s="12"/>
      <c r="Q78" s="12"/>
      <c r="R78" s="12"/>
      <c r="S78" s="12"/>
      <c r="T78" s="12"/>
      <c r="U78" s="12"/>
      <c r="V78" s="12"/>
      <c r="W78" s="12"/>
      <c r="X78" s="12"/>
      <c r="Y78" s="12"/>
      <c r="Z78" s="12"/>
      <c r="AA78" s="12"/>
      <c r="AB78" s="12"/>
      <c r="AC78" s="12"/>
      <c r="AD78" s="12"/>
      <c r="AE78" s="12"/>
      <c r="AF78" s="12"/>
      <c r="AG78" s="12"/>
      <c r="AH78" s="12"/>
      <c r="AI78" s="12"/>
      <c r="AJ78" s="12"/>
      <c r="AK78" s="12"/>
      <c r="AL78" s="12"/>
      <c r="AM78" s="12"/>
      <c r="AN78" s="12"/>
      <c r="AO78" s="12"/>
      <c r="AP78" s="12"/>
      <c r="AQ78" s="12"/>
      <c r="AR78" s="12"/>
      <c r="AS78" s="12"/>
      <c r="AT78" s="12"/>
      <c r="AU78" s="12"/>
    </row>
    <row r="79" spans="2:47" s="6" customFormat="1" ht="16.899999999999999" customHeight="1">
      <c r="B79" s="62" t="s">
        <v>138</v>
      </c>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row>
    <row r="80" spans="2:47" s="6" customFormat="1" ht="16.899999999999999" customHeight="1">
      <c r="B80" s="72" t="s">
        <v>67</v>
      </c>
      <c r="C80" s="73"/>
      <c r="D80" s="73"/>
      <c r="E80" s="73"/>
      <c r="F80" s="73"/>
      <c r="G80" s="73"/>
      <c r="H80" s="73"/>
      <c r="I80" s="73"/>
      <c r="J80" s="73"/>
      <c r="K80" s="74"/>
      <c r="L80" s="191" t="s">
        <v>68</v>
      </c>
      <c r="M80" s="192"/>
      <c r="N80" s="192"/>
      <c r="O80" s="193"/>
      <c r="P80" s="191" t="s">
        <v>69</v>
      </c>
      <c r="Q80" s="192"/>
      <c r="R80" s="192"/>
      <c r="S80" s="193"/>
      <c r="T80" s="191" t="s">
        <v>70</v>
      </c>
      <c r="U80" s="192"/>
      <c r="V80" s="192"/>
      <c r="W80" s="193"/>
      <c r="X80" s="191" t="s">
        <v>71</v>
      </c>
      <c r="Y80" s="192"/>
      <c r="Z80" s="192"/>
      <c r="AA80" s="193"/>
      <c r="AB80" s="191" t="s">
        <v>72</v>
      </c>
      <c r="AC80" s="192"/>
      <c r="AD80" s="192"/>
      <c r="AE80" s="193"/>
      <c r="AF80" s="191" t="s">
        <v>73</v>
      </c>
      <c r="AG80" s="192"/>
      <c r="AH80" s="192"/>
      <c r="AI80" s="193"/>
      <c r="AJ80" s="191" t="s">
        <v>74</v>
      </c>
      <c r="AK80" s="192"/>
      <c r="AL80" s="192"/>
      <c r="AM80" s="193"/>
      <c r="AN80" s="191" t="s">
        <v>75</v>
      </c>
      <c r="AO80" s="192"/>
      <c r="AP80" s="192"/>
      <c r="AQ80" s="193"/>
      <c r="AR80" s="191" t="s">
        <v>76</v>
      </c>
      <c r="AS80" s="192"/>
      <c r="AT80" s="192"/>
      <c r="AU80" s="193"/>
    </row>
    <row r="81" spans="2:47" s="6" customFormat="1" ht="16.899999999999999" customHeight="1">
      <c r="B81" s="89" t="s">
        <v>77</v>
      </c>
      <c r="C81" s="90"/>
      <c r="D81" s="90"/>
      <c r="E81" s="90"/>
      <c r="F81" s="90"/>
      <c r="G81" s="90"/>
      <c r="H81" s="90"/>
      <c r="I81" s="90"/>
      <c r="J81" s="90"/>
      <c r="K81" s="91"/>
      <c r="L81" s="188"/>
      <c r="M81" s="189"/>
      <c r="N81" s="189"/>
      <c r="O81" s="190"/>
      <c r="P81" s="188"/>
      <c r="Q81" s="189"/>
      <c r="R81" s="189"/>
      <c r="S81" s="190"/>
      <c r="T81" s="200" t="str">
        <f t="shared" ref="T81:T89" si="0">IF(OR(L81="",P81=""),"",(P81-L81)/30)</f>
        <v/>
      </c>
      <c r="U81" s="201"/>
      <c r="V81" s="201"/>
      <c r="W81" s="202"/>
      <c r="X81" s="197"/>
      <c r="Y81" s="198"/>
      <c r="Z81" s="198"/>
      <c r="AA81" s="199"/>
      <c r="AB81" s="203"/>
      <c r="AC81" s="204"/>
      <c r="AD81" s="204"/>
      <c r="AE81" s="205"/>
      <c r="AF81" s="194" t="str">
        <f>IF(X81="","",AB81/X81)</f>
        <v/>
      </c>
      <c r="AG81" s="195"/>
      <c r="AH81" s="195"/>
      <c r="AI81" s="196"/>
      <c r="AJ81" s="203"/>
      <c r="AK81" s="204"/>
      <c r="AL81" s="204"/>
      <c r="AM81" s="205"/>
      <c r="AN81" s="194" t="str">
        <f>IF(AB81="","",AB81-AJ81)</f>
        <v/>
      </c>
      <c r="AO81" s="195"/>
      <c r="AP81" s="195"/>
      <c r="AQ81" s="196"/>
      <c r="AR81" s="218" t="str">
        <f>IF(AB81="","",AN81/AB81)</f>
        <v/>
      </c>
      <c r="AS81" s="219"/>
      <c r="AT81" s="219"/>
      <c r="AU81" s="220"/>
    </row>
    <row r="82" spans="2:47" s="6" customFormat="1" ht="16.899999999999999" customHeight="1">
      <c r="B82" s="89" t="s">
        <v>78</v>
      </c>
      <c r="C82" s="90"/>
      <c r="D82" s="90"/>
      <c r="E82" s="90"/>
      <c r="F82" s="90"/>
      <c r="G82" s="90"/>
      <c r="H82" s="90"/>
      <c r="I82" s="90"/>
      <c r="J82" s="90"/>
      <c r="K82" s="91"/>
      <c r="L82" s="188"/>
      <c r="M82" s="189"/>
      <c r="N82" s="189"/>
      <c r="O82" s="190"/>
      <c r="P82" s="188"/>
      <c r="Q82" s="189"/>
      <c r="R82" s="189"/>
      <c r="S82" s="190"/>
      <c r="T82" s="200" t="str">
        <f t="shared" si="0"/>
        <v/>
      </c>
      <c r="U82" s="201"/>
      <c r="V82" s="201"/>
      <c r="W82" s="202"/>
      <c r="X82" s="197"/>
      <c r="Y82" s="198"/>
      <c r="Z82" s="198"/>
      <c r="AA82" s="199"/>
      <c r="AB82" s="203"/>
      <c r="AC82" s="204"/>
      <c r="AD82" s="204"/>
      <c r="AE82" s="205"/>
      <c r="AF82" s="194" t="str">
        <f>IF(X82="","",AB82/X82)</f>
        <v/>
      </c>
      <c r="AG82" s="195"/>
      <c r="AH82" s="195"/>
      <c r="AI82" s="196"/>
      <c r="AJ82" s="203"/>
      <c r="AK82" s="204"/>
      <c r="AL82" s="204"/>
      <c r="AM82" s="205"/>
      <c r="AN82" s="194" t="str">
        <f t="shared" ref="AN82:AN90" si="1">IF(AB82="","",AB82-AJ82)</f>
        <v/>
      </c>
      <c r="AO82" s="195"/>
      <c r="AP82" s="195"/>
      <c r="AQ82" s="196"/>
      <c r="AR82" s="218" t="str">
        <f t="shared" ref="AR82:AR90" si="2">IF(AB82="","",AN82/AB82)</f>
        <v/>
      </c>
      <c r="AS82" s="219"/>
      <c r="AT82" s="219"/>
      <c r="AU82" s="220"/>
    </row>
    <row r="83" spans="2:47" s="6" customFormat="1" ht="16.899999999999999" customHeight="1">
      <c r="B83" s="89" t="s">
        <v>79</v>
      </c>
      <c r="C83" s="90"/>
      <c r="D83" s="90"/>
      <c r="E83" s="90"/>
      <c r="F83" s="90"/>
      <c r="G83" s="90"/>
      <c r="H83" s="90"/>
      <c r="I83" s="90"/>
      <c r="J83" s="90"/>
      <c r="K83" s="91"/>
      <c r="L83" s="188"/>
      <c r="M83" s="189"/>
      <c r="N83" s="189"/>
      <c r="O83" s="190"/>
      <c r="P83" s="188"/>
      <c r="Q83" s="189"/>
      <c r="R83" s="189"/>
      <c r="S83" s="190"/>
      <c r="T83" s="200" t="str">
        <f t="shared" si="0"/>
        <v/>
      </c>
      <c r="U83" s="201"/>
      <c r="V83" s="201"/>
      <c r="W83" s="202"/>
      <c r="X83" s="197"/>
      <c r="Y83" s="198"/>
      <c r="Z83" s="198"/>
      <c r="AA83" s="199"/>
      <c r="AB83" s="203"/>
      <c r="AC83" s="204"/>
      <c r="AD83" s="204"/>
      <c r="AE83" s="205"/>
      <c r="AF83" s="194" t="str">
        <f t="shared" ref="AF83:AF89" si="3">IF(X83="","",AB83/X83)</f>
        <v/>
      </c>
      <c r="AG83" s="195"/>
      <c r="AH83" s="195"/>
      <c r="AI83" s="196"/>
      <c r="AJ83" s="203"/>
      <c r="AK83" s="204"/>
      <c r="AL83" s="204"/>
      <c r="AM83" s="205"/>
      <c r="AN83" s="194" t="str">
        <f t="shared" si="1"/>
        <v/>
      </c>
      <c r="AO83" s="195"/>
      <c r="AP83" s="195"/>
      <c r="AQ83" s="196"/>
      <c r="AR83" s="218" t="str">
        <f t="shared" si="2"/>
        <v/>
      </c>
      <c r="AS83" s="219"/>
      <c r="AT83" s="219"/>
      <c r="AU83" s="220"/>
    </row>
    <row r="84" spans="2:47" s="6" customFormat="1" ht="16.899999999999999" customHeight="1">
      <c r="B84" s="89" t="s">
        <v>80</v>
      </c>
      <c r="C84" s="90"/>
      <c r="D84" s="90"/>
      <c r="E84" s="90"/>
      <c r="F84" s="90"/>
      <c r="G84" s="90"/>
      <c r="H84" s="90"/>
      <c r="I84" s="90"/>
      <c r="J84" s="90"/>
      <c r="K84" s="91"/>
      <c r="L84" s="188"/>
      <c r="M84" s="189"/>
      <c r="N84" s="189"/>
      <c r="O84" s="190"/>
      <c r="P84" s="188"/>
      <c r="Q84" s="189"/>
      <c r="R84" s="189"/>
      <c r="S84" s="190"/>
      <c r="T84" s="200" t="str">
        <f t="shared" si="0"/>
        <v/>
      </c>
      <c r="U84" s="201"/>
      <c r="V84" s="201"/>
      <c r="W84" s="202"/>
      <c r="X84" s="197"/>
      <c r="Y84" s="198"/>
      <c r="Z84" s="198"/>
      <c r="AA84" s="199"/>
      <c r="AB84" s="203"/>
      <c r="AC84" s="204"/>
      <c r="AD84" s="204"/>
      <c r="AE84" s="205"/>
      <c r="AF84" s="194" t="str">
        <f t="shared" si="3"/>
        <v/>
      </c>
      <c r="AG84" s="195"/>
      <c r="AH84" s="195"/>
      <c r="AI84" s="196"/>
      <c r="AJ84" s="203"/>
      <c r="AK84" s="204"/>
      <c r="AL84" s="204"/>
      <c r="AM84" s="205"/>
      <c r="AN84" s="194" t="str">
        <f t="shared" si="1"/>
        <v/>
      </c>
      <c r="AO84" s="195"/>
      <c r="AP84" s="195"/>
      <c r="AQ84" s="196"/>
      <c r="AR84" s="218" t="str">
        <f t="shared" si="2"/>
        <v/>
      </c>
      <c r="AS84" s="219"/>
      <c r="AT84" s="219"/>
      <c r="AU84" s="220"/>
    </row>
    <row r="85" spans="2:47" s="6" customFormat="1" ht="16.899999999999999" customHeight="1">
      <c r="B85" s="89" t="s">
        <v>81</v>
      </c>
      <c r="C85" s="90"/>
      <c r="D85" s="90"/>
      <c r="E85" s="90"/>
      <c r="F85" s="90"/>
      <c r="G85" s="90"/>
      <c r="H85" s="90"/>
      <c r="I85" s="90"/>
      <c r="J85" s="90"/>
      <c r="K85" s="91"/>
      <c r="L85" s="188"/>
      <c r="M85" s="189"/>
      <c r="N85" s="189"/>
      <c r="O85" s="190"/>
      <c r="P85" s="188"/>
      <c r="Q85" s="189"/>
      <c r="R85" s="189"/>
      <c r="S85" s="190"/>
      <c r="T85" s="200" t="str">
        <f t="shared" si="0"/>
        <v/>
      </c>
      <c r="U85" s="201"/>
      <c r="V85" s="201"/>
      <c r="W85" s="202"/>
      <c r="X85" s="197"/>
      <c r="Y85" s="198"/>
      <c r="Z85" s="198"/>
      <c r="AA85" s="199"/>
      <c r="AB85" s="203"/>
      <c r="AC85" s="204"/>
      <c r="AD85" s="204"/>
      <c r="AE85" s="205"/>
      <c r="AF85" s="194" t="str">
        <f t="shared" si="3"/>
        <v/>
      </c>
      <c r="AG85" s="195"/>
      <c r="AH85" s="195"/>
      <c r="AI85" s="196"/>
      <c r="AJ85" s="203"/>
      <c r="AK85" s="204"/>
      <c r="AL85" s="204"/>
      <c r="AM85" s="205"/>
      <c r="AN85" s="194" t="str">
        <f t="shared" si="1"/>
        <v/>
      </c>
      <c r="AO85" s="195"/>
      <c r="AP85" s="195"/>
      <c r="AQ85" s="196"/>
      <c r="AR85" s="218" t="str">
        <f t="shared" si="2"/>
        <v/>
      </c>
      <c r="AS85" s="219"/>
      <c r="AT85" s="219"/>
      <c r="AU85" s="220"/>
    </row>
    <row r="86" spans="2:47" ht="16.899999999999999" customHeight="1">
      <c r="B86" s="89" t="s">
        <v>82</v>
      </c>
      <c r="C86" s="90"/>
      <c r="D86" s="90"/>
      <c r="E86" s="90"/>
      <c r="F86" s="90"/>
      <c r="G86" s="90"/>
      <c r="H86" s="90"/>
      <c r="I86" s="90"/>
      <c r="J86" s="90"/>
      <c r="K86" s="91"/>
      <c r="L86" s="188"/>
      <c r="M86" s="189"/>
      <c r="N86" s="189"/>
      <c r="O86" s="190"/>
      <c r="P86" s="188"/>
      <c r="Q86" s="189"/>
      <c r="R86" s="189"/>
      <c r="S86" s="190"/>
      <c r="T86" s="200" t="str">
        <f t="shared" si="0"/>
        <v/>
      </c>
      <c r="U86" s="201"/>
      <c r="V86" s="201"/>
      <c r="W86" s="202"/>
      <c r="X86" s="197"/>
      <c r="Y86" s="198"/>
      <c r="Z86" s="198"/>
      <c r="AA86" s="199"/>
      <c r="AB86" s="203"/>
      <c r="AC86" s="204"/>
      <c r="AD86" s="204"/>
      <c r="AE86" s="205"/>
      <c r="AF86" s="194" t="str">
        <f t="shared" si="3"/>
        <v/>
      </c>
      <c r="AG86" s="195"/>
      <c r="AH86" s="195"/>
      <c r="AI86" s="196"/>
      <c r="AJ86" s="203"/>
      <c r="AK86" s="204"/>
      <c r="AL86" s="204"/>
      <c r="AM86" s="205"/>
      <c r="AN86" s="194" t="str">
        <f t="shared" si="1"/>
        <v/>
      </c>
      <c r="AO86" s="195"/>
      <c r="AP86" s="195"/>
      <c r="AQ86" s="196"/>
      <c r="AR86" s="218" t="str">
        <f t="shared" si="2"/>
        <v/>
      </c>
      <c r="AS86" s="219"/>
      <c r="AT86" s="219"/>
      <c r="AU86" s="220"/>
    </row>
    <row r="87" spans="2:47" ht="16.899999999999999" customHeight="1">
      <c r="B87" s="89" t="s">
        <v>83</v>
      </c>
      <c r="C87" s="90"/>
      <c r="D87" s="90"/>
      <c r="E87" s="90"/>
      <c r="F87" s="90"/>
      <c r="G87" s="90"/>
      <c r="H87" s="90"/>
      <c r="I87" s="90"/>
      <c r="J87" s="90"/>
      <c r="K87" s="91"/>
      <c r="L87" s="188"/>
      <c r="M87" s="189"/>
      <c r="N87" s="189"/>
      <c r="O87" s="190"/>
      <c r="P87" s="188"/>
      <c r="Q87" s="189"/>
      <c r="R87" s="189"/>
      <c r="S87" s="190"/>
      <c r="T87" s="200" t="str">
        <f t="shared" si="0"/>
        <v/>
      </c>
      <c r="U87" s="201"/>
      <c r="V87" s="201"/>
      <c r="W87" s="202"/>
      <c r="X87" s="197"/>
      <c r="Y87" s="198"/>
      <c r="Z87" s="198"/>
      <c r="AA87" s="199"/>
      <c r="AB87" s="203"/>
      <c r="AC87" s="204"/>
      <c r="AD87" s="204"/>
      <c r="AE87" s="205"/>
      <c r="AF87" s="194" t="str">
        <f t="shared" si="3"/>
        <v/>
      </c>
      <c r="AG87" s="195"/>
      <c r="AH87" s="195"/>
      <c r="AI87" s="196"/>
      <c r="AJ87" s="203"/>
      <c r="AK87" s="204"/>
      <c r="AL87" s="204"/>
      <c r="AM87" s="205"/>
      <c r="AN87" s="194" t="str">
        <f t="shared" si="1"/>
        <v/>
      </c>
      <c r="AO87" s="195"/>
      <c r="AP87" s="195"/>
      <c r="AQ87" s="196"/>
      <c r="AR87" s="218" t="str">
        <f t="shared" si="2"/>
        <v/>
      </c>
      <c r="AS87" s="219"/>
      <c r="AT87" s="219"/>
      <c r="AU87" s="220"/>
    </row>
    <row r="88" spans="2:47" ht="16.899999999999999" customHeight="1">
      <c r="B88" s="89" t="s">
        <v>84</v>
      </c>
      <c r="C88" s="90"/>
      <c r="D88" s="90"/>
      <c r="E88" s="90"/>
      <c r="F88" s="90"/>
      <c r="G88" s="90"/>
      <c r="H88" s="90"/>
      <c r="I88" s="90"/>
      <c r="J88" s="90"/>
      <c r="K88" s="91"/>
      <c r="L88" s="188"/>
      <c r="M88" s="189"/>
      <c r="N88" s="189"/>
      <c r="O88" s="190"/>
      <c r="P88" s="188"/>
      <c r="Q88" s="189"/>
      <c r="R88" s="189"/>
      <c r="S88" s="190"/>
      <c r="T88" s="200" t="str">
        <f t="shared" si="0"/>
        <v/>
      </c>
      <c r="U88" s="201"/>
      <c r="V88" s="201"/>
      <c r="W88" s="202"/>
      <c r="X88" s="197"/>
      <c r="Y88" s="198"/>
      <c r="Z88" s="198"/>
      <c r="AA88" s="199"/>
      <c r="AB88" s="203"/>
      <c r="AC88" s="204"/>
      <c r="AD88" s="204"/>
      <c r="AE88" s="205"/>
      <c r="AF88" s="194" t="str">
        <f t="shared" si="3"/>
        <v/>
      </c>
      <c r="AG88" s="195"/>
      <c r="AH88" s="195"/>
      <c r="AI88" s="196"/>
      <c r="AJ88" s="203"/>
      <c r="AK88" s="204"/>
      <c r="AL88" s="204"/>
      <c r="AM88" s="205"/>
      <c r="AN88" s="194" t="str">
        <f t="shared" si="1"/>
        <v/>
      </c>
      <c r="AO88" s="195"/>
      <c r="AP88" s="195"/>
      <c r="AQ88" s="196"/>
      <c r="AR88" s="218" t="str">
        <f t="shared" si="2"/>
        <v/>
      </c>
      <c r="AS88" s="219"/>
      <c r="AT88" s="219"/>
      <c r="AU88" s="220"/>
    </row>
    <row r="89" spans="2:47" ht="16.899999999999999" customHeight="1" thickBot="1">
      <c r="B89" s="95" t="s">
        <v>85</v>
      </c>
      <c r="C89" s="96"/>
      <c r="D89" s="96"/>
      <c r="E89" s="96"/>
      <c r="F89" s="96"/>
      <c r="G89" s="96"/>
      <c r="H89" s="96"/>
      <c r="I89" s="96"/>
      <c r="J89" s="96"/>
      <c r="K89" s="97"/>
      <c r="L89" s="98"/>
      <c r="M89" s="99"/>
      <c r="N89" s="99"/>
      <c r="O89" s="100"/>
      <c r="P89" s="98"/>
      <c r="Q89" s="99"/>
      <c r="R89" s="99"/>
      <c r="S89" s="100"/>
      <c r="T89" s="101" t="str">
        <f t="shared" si="0"/>
        <v/>
      </c>
      <c r="U89" s="102"/>
      <c r="V89" s="102"/>
      <c r="W89" s="103"/>
      <c r="X89" s="104"/>
      <c r="Y89" s="105"/>
      <c r="Z89" s="105"/>
      <c r="AA89" s="106"/>
      <c r="AB89" s="107"/>
      <c r="AC89" s="108"/>
      <c r="AD89" s="108"/>
      <c r="AE89" s="109"/>
      <c r="AF89" s="110" t="str">
        <f t="shared" si="3"/>
        <v/>
      </c>
      <c r="AG89" s="111"/>
      <c r="AH89" s="111"/>
      <c r="AI89" s="112"/>
      <c r="AJ89" s="107"/>
      <c r="AK89" s="108"/>
      <c r="AL89" s="108"/>
      <c r="AM89" s="109"/>
      <c r="AN89" s="110" t="str">
        <f t="shared" si="1"/>
        <v/>
      </c>
      <c r="AO89" s="111"/>
      <c r="AP89" s="111"/>
      <c r="AQ89" s="112"/>
      <c r="AR89" s="92" t="str">
        <f t="shared" si="2"/>
        <v/>
      </c>
      <c r="AS89" s="93"/>
      <c r="AT89" s="93"/>
      <c r="AU89" s="94"/>
    </row>
    <row r="90" spans="2:47" ht="16.899999999999999" customHeight="1" thickTop="1">
      <c r="B90" s="206" t="s">
        <v>86</v>
      </c>
      <c r="C90" s="207"/>
      <c r="D90" s="207"/>
      <c r="E90" s="207"/>
      <c r="F90" s="207"/>
      <c r="G90" s="207"/>
      <c r="H90" s="207"/>
      <c r="I90" s="207"/>
      <c r="J90" s="207"/>
      <c r="K90" s="208"/>
      <c r="L90" s="209" t="str">
        <f>IF(COUNTA(L81:O89)&gt;0,MIN(L81:O89),"")</f>
        <v/>
      </c>
      <c r="M90" s="210"/>
      <c r="N90" s="210"/>
      <c r="O90" s="211"/>
      <c r="P90" s="209" t="str">
        <f>IF(COUNTA(P81:S89)&gt;0,MAX(P81:S89),"")</f>
        <v/>
      </c>
      <c r="Q90" s="210"/>
      <c r="R90" s="210"/>
      <c r="S90" s="211"/>
      <c r="T90" s="212" t="str">
        <f>IF(OR(L90="",P90=""),"",(P90-L90)/30)</f>
        <v/>
      </c>
      <c r="U90" s="213"/>
      <c r="V90" s="213"/>
      <c r="W90" s="214"/>
      <c r="X90" s="212" t="str">
        <f>IF(COUNTA(X81:AA89)&gt;0,SUM(X81:AA89),"")</f>
        <v/>
      </c>
      <c r="Y90" s="213"/>
      <c r="Z90" s="213"/>
      <c r="AA90" s="214"/>
      <c r="AB90" s="215" t="str">
        <f>IF(COUNTA(AB81:AE89)&gt;0,SUM(AB81:AE89),"")</f>
        <v/>
      </c>
      <c r="AC90" s="216"/>
      <c r="AD90" s="216"/>
      <c r="AE90" s="217"/>
      <c r="AF90" s="215" t="str">
        <f>IF(X90="","",AB90/X90)</f>
        <v/>
      </c>
      <c r="AG90" s="216"/>
      <c r="AH90" s="216"/>
      <c r="AI90" s="217"/>
      <c r="AJ90" s="215" t="str">
        <f>IF(COUNTA(AJ81:AM89)&gt;0,SUM(AJ81:AM89),"")</f>
        <v/>
      </c>
      <c r="AK90" s="216"/>
      <c r="AL90" s="216"/>
      <c r="AM90" s="217"/>
      <c r="AN90" s="215" t="str">
        <f t="shared" si="1"/>
        <v/>
      </c>
      <c r="AO90" s="216"/>
      <c r="AP90" s="216"/>
      <c r="AQ90" s="217"/>
      <c r="AR90" s="221" t="str">
        <f t="shared" si="2"/>
        <v/>
      </c>
      <c r="AS90" s="222"/>
      <c r="AT90" s="222"/>
      <c r="AU90" s="223"/>
    </row>
    <row r="91" spans="2:47" ht="16.899999999999999" customHeight="1">
      <c r="B91" s="49"/>
      <c r="C91" s="49"/>
      <c r="D91" s="49"/>
      <c r="E91" s="49"/>
      <c r="F91" s="49"/>
      <c r="G91" s="49"/>
      <c r="H91" s="49"/>
      <c r="I91" s="49"/>
      <c r="J91" s="49"/>
      <c r="K91" s="49"/>
      <c r="L91" s="49"/>
      <c r="M91" s="49"/>
      <c r="N91" s="49"/>
      <c r="O91" s="49"/>
      <c r="P91" s="49"/>
      <c r="Q91" s="49"/>
      <c r="R91" s="49"/>
      <c r="S91" s="49"/>
      <c r="T91" s="49"/>
      <c r="U91" s="49"/>
      <c r="V91" s="49"/>
      <c r="W91" s="49"/>
      <c r="X91" s="49"/>
      <c r="Y91" s="49"/>
      <c r="Z91" s="49"/>
      <c r="AA91" s="49"/>
      <c r="AB91" s="49"/>
      <c r="AC91" s="49"/>
      <c r="AD91" s="49"/>
      <c r="AE91" s="49"/>
      <c r="AF91" s="49"/>
      <c r="AG91" s="49"/>
      <c r="AH91" s="49"/>
      <c r="AI91" s="49"/>
      <c r="AJ91" s="49"/>
      <c r="AK91" s="49"/>
      <c r="AL91" s="49"/>
      <c r="AM91" s="49"/>
      <c r="AN91" s="49"/>
      <c r="AO91" s="49"/>
      <c r="AP91" s="49"/>
      <c r="AQ91" s="49"/>
      <c r="AR91" s="49"/>
      <c r="AS91" s="49"/>
      <c r="AT91" s="49"/>
      <c r="AU91" s="49"/>
    </row>
    <row r="92" spans="2:47" ht="16.899999999999999" customHeight="1">
      <c r="B92" s="8" t="s">
        <v>139</v>
      </c>
      <c r="C92" s="7"/>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c r="AF92" s="7"/>
      <c r="AG92" s="7"/>
      <c r="AH92" s="7"/>
      <c r="AI92" s="7"/>
      <c r="AJ92" s="7"/>
      <c r="AK92" s="7"/>
      <c r="AL92" s="7"/>
      <c r="AM92" s="7"/>
      <c r="AN92" s="7"/>
      <c r="AO92" s="7"/>
      <c r="AP92" s="7"/>
      <c r="AQ92" s="7"/>
      <c r="AR92" s="7"/>
      <c r="AS92" s="7"/>
      <c r="AT92" s="7"/>
      <c r="AU92" s="7"/>
    </row>
    <row r="93" spans="2:47" ht="16.899999999999999" customHeight="1">
      <c r="B93" s="148"/>
      <c r="C93" s="149"/>
      <c r="D93" s="149"/>
      <c r="E93" s="149"/>
      <c r="F93" s="149"/>
      <c r="G93" s="149"/>
      <c r="H93" s="149"/>
      <c r="I93" s="149"/>
      <c r="J93" s="149"/>
      <c r="K93" s="149"/>
      <c r="L93" s="149"/>
      <c r="M93" s="149"/>
      <c r="N93" s="149"/>
      <c r="O93" s="149"/>
      <c r="P93" s="149"/>
      <c r="Q93" s="149"/>
      <c r="R93" s="149"/>
      <c r="S93" s="149"/>
      <c r="T93" s="149"/>
      <c r="U93" s="149"/>
      <c r="V93" s="149"/>
      <c r="W93" s="149"/>
      <c r="X93" s="149"/>
      <c r="Y93" s="149"/>
      <c r="Z93" s="149"/>
      <c r="AA93" s="149"/>
      <c r="AB93" s="149"/>
      <c r="AC93" s="149"/>
      <c r="AD93" s="149"/>
      <c r="AE93" s="149"/>
      <c r="AF93" s="149"/>
      <c r="AG93" s="149"/>
      <c r="AH93" s="149"/>
      <c r="AI93" s="149"/>
      <c r="AJ93" s="149"/>
      <c r="AK93" s="149"/>
      <c r="AL93" s="149"/>
      <c r="AM93" s="149"/>
      <c r="AN93" s="149"/>
      <c r="AO93" s="149"/>
      <c r="AP93" s="149"/>
      <c r="AQ93" s="149"/>
      <c r="AR93" s="149"/>
      <c r="AS93" s="149"/>
      <c r="AT93" s="149"/>
      <c r="AU93" s="150"/>
    </row>
    <row r="94" spans="2:47" ht="16.899999999999999" customHeight="1">
      <c r="B94" s="228"/>
      <c r="C94" s="229"/>
      <c r="D94" s="229"/>
      <c r="E94" s="229"/>
      <c r="F94" s="229"/>
      <c r="G94" s="229"/>
      <c r="H94" s="229"/>
      <c r="I94" s="229"/>
      <c r="J94" s="229"/>
      <c r="K94" s="229"/>
      <c r="L94" s="229"/>
      <c r="M94" s="229"/>
      <c r="N94" s="229"/>
      <c r="O94" s="229"/>
      <c r="P94" s="229"/>
      <c r="Q94" s="229"/>
      <c r="R94" s="229"/>
      <c r="S94" s="229"/>
      <c r="T94" s="229"/>
      <c r="U94" s="229"/>
      <c r="V94" s="229"/>
      <c r="W94" s="229"/>
      <c r="X94" s="229"/>
      <c r="Y94" s="229"/>
      <c r="Z94" s="229"/>
      <c r="AA94" s="229"/>
      <c r="AB94" s="229"/>
      <c r="AC94" s="229"/>
      <c r="AD94" s="229"/>
      <c r="AE94" s="229"/>
      <c r="AF94" s="229"/>
      <c r="AG94" s="229"/>
      <c r="AH94" s="229"/>
      <c r="AI94" s="229"/>
      <c r="AJ94" s="229"/>
      <c r="AK94" s="229"/>
      <c r="AL94" s="229"/>
      <c r="AM94" s="229"/>
      <c r="AN94" s="229"/>
      <c r="AO94" s="229"/>
      <c r="AP94" s="229"/>
      <c r="AQ94" s="229"/>
      <c r="AR94" s="229"/>
      <c r="AS94" s="229"/>
      <c r="AT94" s="229"/>
      <c r="AU94" s="230"/>
    </row>
    <row r="95" spans="2:47" ht="16.899999999999999" customHeight="1">
      <c r="B95" s="151"/>
      <c r="C95" s="152"/>
      <c r="D95" s="152"/>
      <c r="E95" s="152"/>
      <c r="F95" s="152"/>
      <c r="G95" s="152"/>
      <c r="H95" s="152"/>
      <c r="I95" s="152"/>
      <c r="J95" s="152"/>
      <c r="K95" s="152"/>
      <c r="L95" s="152"/>
      <c r="M95" s="152"/>
      <c r="N95" s="152"/>
      <c r="O95" s="152"/>
      <c r="P95" s="152"/>
      <c r="Q95" s="152"/>
      <c r="R95" s="152"/>
      <c r="S95" s="152"/>
      <c r="T95" s="152"/>
      <c r="U95" s="152"/>
      <c r="V95" s="152"/>
      <c r="W95" s="152"/>
      <c r="X95" s="152"/>
      <c r="Y95" s="152"/>
      <c r="Z95" s="152"/>
      <c r="AA95" s="152"/>
      <c r="AB95" s="152"/>
      <c r="AC95" s="152"/>
      <c r="AD95" s="152"/>
      <c r="AE95" s="152"/>
      <c r="AF95" s="152"/>
      <c r="AG95" s="152"/>
      <c r="AH95" s="152"/>
      <c r="AI95" s="152"/>
      <c r="AJ95" s="152"/>
      <c r="AK95" s="152"/>
      <c r="AL95" s="152"/>
      <c r="AM95" s="152"/>
      <c r="AN95" s="152"/>
      <c r="AO95" s="152"/>
      <c r="AP95" s="152"/>
      <c r="AQ95" s="152"/>
      <c r="AR95" s="152"/>
      <c r="AS95" s="152"/>
      <c r="AT95" s="152"/>
      <c r="AU95" s="153"/>
    </row>
    <row r="96" spans="2:47" ht="16.899999999999999" customHeight="1">
      <c r="B96" s="7"/>
      <c r="C96" s="7"/>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c r="AF96" s="7"/>
      <c r="AG96" s="7"/>
      <c r="AH96" s="7"/>
      <c r="AI96" s="7"/>
      <c r="AJ96" s="7"/>
      <c r="AK96" s="7"/>
      <c r="AL96" s="7"/>
      <c r="AM96" s="7"/>
      <c r="AN96" s="7"/>
      <c r="AO96" s="7"/>
      <c r="AP96" s="7"/>
      <c r="AQ96" s="7"/>
      <c r="AR96" s="7"/>
      <c r="AS96" s="7"/>
      <c r="AT96" s="7"/>
      <c r="AU96" s="7"/>
    </row>
    <row r="97" spans="2:47" ht="16.899999999999999" customHeight="1">
      <c r="B97" s="8" t="s">
        <v>140</v>
      </c>
      <c r="C97" s="7"/>
      <c r="D97" s="7"/>
      <c r="E97" s="7"/>
      <c r="F97" s="7"/>
      <c r="G97" s="7"/>
      <c r="H97" s="7"/>
      <c r="I97" s="7"/>
      <c r="J97" s="7"/>
      <c r="K97" s="7"/>
      <c r="L97" s="7"/>
      <c r="M97" s="7"/>
      <c r="N97" s="7"/>
      <c r="O97" s="7"/>
      <c r="P97" s="7"/>
      <c r="Q97" s="7"/>
      <c r="R97" s="7"/>
      <c r="S97" s="7"/>
      <c r="T97" s="7"/>
      <c r="U97" s="7"/>
      <c r="V97" s="7"/>
      <c r="W97" s="7"/>
      <c r="X97" s="7"/>
      <c r="Y97" s="7"/>
      <c r="Z97" s="7"/>
      <c r="AA97" s="7"/>
      <c r="AB97" s="7"/>
      <c r="AC97" s="7"/>
      <c r="AD97" s="7"/>
      <c r="AE97" s="7"/>
      <c r="AF97" s="7"/>
      <c r="AG97" s="7"/>
      <c r="AH97" s="7"/>
      <c r="AI97" s="7"/>
      <c r="AJ97" s="7"/>
      <c r="AK97" s="7"/>
      <c r="AL97" s="7"/>
      <c r="AM97" s="7"/>
      <c r="AN97" s="7"/>
      <c r="AO97" s="7"/>
      <c r="AP97" s="7"/>
      <c r="AQ97" s="7"/>
      <c r="AR97" s="7"/>
      <c r="AS97" s="7"/>
      <c r="AT97" s="7"/>
      <c r="AU97" s="7"/>
    </row>
    <row r="98" spans="2:47" ht="16.899999999999999" customHeight="1">
      <c r="B98" s="148"/>
      <c r="C98" s="149"/>
      <c r="D98" s="149"/>
      <c r="E98" s="149"/>
      <c r="F98" s="149"/>
      <c r="G98" s="149"/>
      <c r="H98" s="149"/>
      <c r="I98" s="149"/>
      <c r="J98" s="149"/>
      <c r="K98" s="149"/>
      <c r="L98" s="149"/>
      <c r="M98" s="149"/>
      <c r="N98" s="149"/>
      <c r="O98" s="149"/>
      <c r="P98" s="149"/>
      <c r="Q98" s="149"/>
      <c r="R98" s="149"/>
      <c r="S98" s="149"/>
      <c r="T98" s="149"/>
      <c r="U98" s="149"/>
      <c r="V98" s="149"/>
      <c r="W98" s="149"/>
      <c r="X98" s="149"/>
      <c r="Y98" s="149"/>
      <c r="Z98" s="149"/>
      <c r="AA98" s="149"/>
      <c r="AB98" s="149"/>
      <c r="AC98" s="149"/>
      <c r="AD98" s="149"/>
      <c r="AE98" s="149"/>
      <c r="AF98" s="149"/>
      <c r="AG98" s="149"/>
      <c r="AH98" s="149"/>
      <c r="AI98" s="149"/>
      <c r="AJ98" s="149"/>
      <c r="AK98" s="149"/>
      <c r="AL98" s="149"/>
      <c r="AM98" s="149"/>
      <c r="AN98" s="149"/>
      <c r="AO98" s="149"/>
      <c r="AP98" s="149"/>
      <c r="AQ98" s="149"/>
      <c r="AR98" s="149"/>
      <c r="AS98" s="149"/>
      <c r="AT98" s="149"/>
      <c r="AU98" s="150"/>
    </row>
    <row r="99" spans="2:47" ht="16.899999999999999" customHeight="1">
      <c r="B99" s="228"/>
      <c r="C99" s="229"/>
      <c r="D99" s="229"/>
      <c r="E99" s="229"/>
      <c r="F99" s="229"/>
      <c r="G99" s="229"/>
      <c r="H99" s="229"/>
      <c r="I99" s="229"/>
      <c r="J99" s="229"/>
      <c r="K99" s="229"/>
      <c r="L99" s="229"/>
      <c r="M99" s="229"/>
      <c r="N99" s="229"/>
      <c r="O99" s="229"/>
      <c r="P99" s="229"/>
      <c r="Q99" s="229"/>
      <c r="R99" s="229"/>
      <c r="S99" s="229"/>
      <c r="T99" s="229"/>
      <c r="U99" s="229"/>
      <c r="V99" s="229"/>
      <c r="W99" s="229"/>
      <c r="X99" s="229"/>
      <c r="Y99" s="229"/>
      <c r="Z99" s="229"/>
      <c r="AA99" s="229"/>
      <c r="AB99" s="229"/>
      <c r="AC99" s="229"/>
      <c r="AD99" s="229"/>
      <c r="AE99" s="229"/>
      <c r="AF99" s="229"/>
      <c r="AG99" s="229"/>
      <c r="AH99" s="229"/>
      <c r="AI99" s="229"/>
      <c r="AJ99" s="229"/>
      <c r="AK99" s="229"/>
      <c r="AL99" s="229"/>
      <c r="AM99" s="229"/>
      <c r="AN99" s="229"/>
      <c r="AO99" s="229"/>
      <c r="AP99" s="229"/>
      <c r="AQ99" s="229"/>
      <c r="AR99" s="229"/>
      <c r="AS99" s="229"/>
      <c r="AT99" s="229"/>
      <c r="AU99" s="230"/>
    </row>
    <row r="100" spans="2:47" ht="16.899999999999999" customHeight="1">
      <c r="B100" s="151"/>
      <c r="C100" s="152"/>
      <c r="D100" s="152"/>
      <c r="E100" s="152"/>
      <c r="F100" s="152"/>
      <c r="G100" s="152"/>
      <c r="H100" s="152"/>
      <c r="I100" s="152"/>
      <c r="J100" s="152"/>
      <c r="K100" s="152"/>
      <c r="L100" s="152"/>
      <c r="M100" s="152"/>
      <c r="N100" s="152"/>
      <c r="O100" s="152"/>
      <c r="P100" s="152"/>
      <c r="Q100" s="152"/>
      <c r="R100" s="152"/>
      <c r="S100" s="152"/>
      <c r="T100" s="152"/>
      <c r="U100" s="152"/>
      <c r="V100" s="152"/>
      <c r="W100" s="152"/>
      <c r="X100" s="152"/>
      <c r="Y100" s="152"/>
      <c r="Z100" s="152"/>
      <c r="AA100" s="152"/>
      <c r="AB100" s="152"/>
      <c r="AC100" s="152"/>
      <c r="AD100" s="152"/>
      <c r="AE100" s="152"/>
      <c r="AF100" s="152"/>
      <c r="AG100" s="152"/>
      <c r="AH100" s="152"/>
      <c r="AI100" s="152"/>
      <c r="AJ100" s="152"/>
      <c r="AK100" s="152"/>
      <c r="AL100" s="152"/>
      <c r="AM100" s="152"/>
      <c r="AN100" s="152"/>
      <c r="AO100" s="152"/>
      <c r="AP100" s="152"/>
      <c r="AQ100" s="152"/>
      <c r="AR100" s="152"/>
      <c r="AS100" s="152"/>
      <c r="AT100" s="152"/>
      <c r="AU100" s="153"/>
    </row>
    <row r="101" spans="2:47" ht="16.899999999999999" customHeight="1">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c r="AF101" s="7"/>
      <c r="AG101" s="7"/>
      <c r="AH101" s="7"/>
      <c r="AI101" s="7"/>
      <c r="AJ101" s="7"/>
      <c r="AK101" s="7"/>
      <c r="AL101" s="7"/>
      <c r="AM101" s="7"/>
      <c r="AN101" s="7"/>
      <c r="AO101" s="7"/>
      <c r="AP101" s="7"/>
      <c r="AQ101" s="7"/>
      <c r="AR101" s="7"/>
      <c r="AS101" s="7"/>
      <c r="AT101" s="7"/>
      <c r="AU101" s="7"/>
    </row>
    <row r="102" spans="2:47" ht="16.899999999999999" customHeight="1">
      <c r="B102" s="8" t="s">
        <v>141</v>
      </c>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c r="AF102" s="7"/>
      <c r="AG102" s="7"/>
      <c r="AH102" s="7"/>
      <c r="AI102" s="7"/>
      <c r="AJ102" s="7"/>
      <c r="AK102" s="7"/>
      <c r="AL102" s="7"/>
      <c r="AM102" s="7"/>
      <c r="AN102" s="7"/>
      <c r="AO102" s="7"/>
      <c r="AP102" s="7"/>
      <c r="AQ102" s="7"/>
      <c r="AR102" s="7"/>
      <c r="AS102" s="7"/>
      <c r="AT102" s="7"/>
      <c r="AU102" s="7"/>
    </row>
    <row r="103" spans="2:47" ht="16.899999999999999" customHeight="1">
      <c r="B103" s="232"/>
      <c r="C103" s="233"/>
      <c r="D103" s="233"/>
      <c r="E103" s="233"/>
      <c r="F103" s="233"/>
      <c r="G103" s="233"/>
      <c r="H103" s="233"/>
      <c r="I103" s="233"/>
      <c r="J103" s="233"/>
      <c r="K103" s="233"/>
      <c r="L103" s="233"/>
      <c r="M103" s="233"/>
      <c r="N103" s="233"/>
      <c r="O103" s="233"/>
      <c r="P103" s="233"/>
      <c r="Q103" s="233"/>
      <c r="R103" s="233"/>
      <c r="S103" s="233"/>
      <c r="T103" s="233"/>
      <c r="U103" s="233"/>
      <c r="V103" s="233"/>
      <c r="W103" s="233"/>
      <c r="X103" s="233"/>
      <c r="Y103" s="233"/>
      <c r="Z103" s="233"/>
      <c r="AA103" s="233"/>
      <c r="AB103" s="233"/>
      <c r="AC103" s="233"/>
      <c r="AD103" s="233"/>
      <c r="AE103" s="233"/>
      <c r="AF103" s="233"/>
      <c r="AG103" s="233"/>
      <c r="AH103" s="233"/>
      <c r="AI103" s="233"/>
      <c r="AJ103" s="233"/>
      <c r="AK103" s="233"/>
      <c r="AL103" s="233"/>
      <c r="AM103" s="233"/>
      <c r="AN103" s="233"/>
      <c r="AO103" s="233"/>
      <c r="AP103" s="233"/>
      <c r="AQ103" s="233"/>
      <c r="AR103" s="233"/>
      <c r="AS103" s="233"/>
      <c r="AT103" s="233"/>
      <c r="AU103" s="234"/>
    </row>
    <row r="104" spans="2:47" ht="16.899999999999999" customHeight="1">
      <c r="B104" s="235"/>
      <c r="C104" s="236"/>
      <c r="D104" s="236"/>
      <c r="E104" s="236"/>
      <c r="F104" s="236"/>
      <c r="G104" s="236"/>
      <c r="H104" s="236"/>
      <c r="I104" s="236"/>
      <c r="J104" s="236"/>
      <c r="K104" s="236"/>
      <c r="L104" s="236"/>
      <c r="M104" s="236"/>
      <c r="N104" s="236"/>
      <c r="O104" s="236"/>
      <c r="P104" s="236"/>
      <c r="Q104" s="236"/>
      <c r="R104" s="236"/>
      <c r="S104" s="236"/>
      <c r="T104" s="236"/>
      <c r="U104" s="236"/>
      <c r="V104" s="236"/>
      <c r="W104" s="236"/>
      <c r="X104" s="236"/>
      <c r="Y104" s="236"/>
      <c r="Z104" s="236"/>
      <c r="AA104" s="236"/>
      <c r="AB104" s="236"/>
      <c r="AC104" s="236"/>
      <c r="AD104" s="236"/>
      <c r="AE104" s="236"/>
      <c r="AF104" s="236"/>
      <c r="AG104" s="236"/>
      <c r="AH104" s="236"/>
      <c r="AI104" s="236"/>
      <c r="AJ104" s="236"/>
      <c r="AK104" s="236"/>
      <c r="AL104" s="236"/>
      <c r="AM104" s="236"/>
      <c r="AN104" s="236"/>
      <c r="AO104" s="236"/>
      <c r="AP104" s="236"/>
      <c r="AQ104" s="236"/>
      <c r="AR104" s="236"/>
      <c r="AS104" s="236"/>
      <c r="AT104" s="236"/>
      <c r="AU104" s="237"/>
    </row>
    <row r="105" spans="2:47" ht="16.899999999999999" customHeight="1">
      <c r="B105" s="238"/>
      <c r="C105" s="239"/>
      <c r="D105" s="239"/>
      <c r="E105" s="239"/>
      <c r="F105" s="239"/>
      <c r="G105" s="239"/>
      <c r="H105" s="239"/>
      <c r="I105" s="239"/>
      <c r="J105" s="239"/>
      <c r="K105" s="239"/>
      <c r="L105" s="239"/>
      <c r="M105" s="239"/>
      <c r="N105" s="239"/>
      <c r="O105" s="239"/>
      <c r="P105" s="239"/>
      <c r="Q105" s="239"/>
      <c r="R105" s="239"/>
      <c r="S105" s="239"/>
      <c r="T105" s="239"/>
      <c r="U105" s="239"/>
      <c r="V105" s="239"/>
      <c r="W105" s="239"/>
      <c r="X105" s="239"/>
      <c r="Y105" s="239"/>
      <c r="Z105" s="239"/>
      <c r="AA105" s="239"/>
      <c r="AB105" s="239"/>
      <c r="AC105" s="239"/>
      <c r="AD105" s="239"/>
      <c r="AE105" s="239"/>
      <c r="AF105" s="239"/>
      <c r="AG105" s="239"/>
      <c r="AH105" s="239"/>
      <c r="AI105" s="239"/>
      <c r="AJ105" s="239"/>
      <c r="AK105" s="239"/>
      <c r="AL105" s="239"/>
      <c r="AM105" s="239"/>
      <c r="AN105" s="239"/>
      <c r="AO105" s="239"/>
      <c r="AP105" s="239"/>
      <c r="AQ105" s="239"/>
      <c r="AR105" s="239"/>
      <c r="AS105" s="239"/>
      <c r="AT105" s="239"/>
      <c r="AU105" s="240"/>
    </row>
    <row r="106" spans="2:47" ht="16.899999999999999" customHeight="1">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c r="AF106" s="7"/>
      <c r="AG106" s="7"/>
      <c r="AH106" s="7"/>
      <c r="AI106" s="7"/>
      <c r="AJ106" s="7"/>
      <c r="AK106" s="7"/>
      <c r="AL106" s="7"/>
      <c r="AM106" s="7"/>
      <c r="AN106" s="7"/>
      <c r="AO106" s="7"/>
      <c r="AP106" s="7"/>
      <c r="AQ106" s="7"/>
      <c r="AR106" s="7"/>
      <c r="AS106" s="7"/>
      <c r="AT106" s="7"/>
      <c r="AU106" s="7"/>
    </row>
    <row r="107" spans="2:47" ht="16.899999999999999" customHeight="1">
      <c r="B107" s="8" t="s">
        <v>142</v>
      </c>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c r="AC107" s="7"/>
      <c r="AD107" s="7"/>
      <c r="AE107" s="7"/>
      <c r="AF107" s="7"/>
      <c r="AG107" s="7"/>
      <c r="AH107" s="7"/>
      <c r="AI107" s="7"/>
      <c r="AJ107" s="7"/>
      <c r="AK107" s="7"/>
      <c r="AL107" s="7"/>
      <c r="AM107" s="7"/>
      <c r="AN107" s="7"/>
      <c r="AO107" s="7"/>
      <c r="AP107" s="7"/>
      <c r="AQ107" s="7"/>
      <c r="AR107" s="7"/>
      <c r="AS107" s="7"/>
      <c r="AT107" s="7"/>
      <c r="AU107" s="7"/>
    </row>
    <row r="108" spans="2:47" ht="16.899999999999999" customHeight="1">
      <c r="B108" s="148" t="s">
        <v>143</v>
      </c>
      <c r="C108" s="149"/>
      <c r="D108" s="149"/>
      <c r="E108" s="149"/>
      <c r="F108" s="149"/>
      <c r="G108" s="149"/>
      <c r="H108" s="149"/>
      <c r="I108" s="149"/>
      <c r="J108" s="149"/>
      <c r="K108" s="149"/>
      <c r="L108" s="149"/>
      <c r="M108" s="149"/>
      <c r="N108" s="149"/>
      <c r="O108" s="149"/>
      <c r="P108" s="149"/>
      <c r="Q108" s="149"/>
      <c r="R108" s="149"/>
      <c r="S108" s="149"/>
      <c r="T108" s="149"/>
      <c r="U108" s="149"/>
      <c r="V108" s="149"/>
      <c r="W108" s="149"/>
      <c r="X108" s="149"/>
      <c r="Y108" s="149"/>
      <c r="Z108" s="149"/>
      <c r="AA108" s="149"/>
      <c r="AB108" s="149"/>
      <c r="AC108" s="149"/>
      <c r="AD108" s="149"/>
      <c r="AE108" s="149"/>
      <c r="AF108" s="149"/>
      <c r="AG108" s="149"/>
      <c r="AH108" s="149"/>
      <c r="AI108" s="149"/>
      <c r="AJ108" s="149"/>
      <c r="AK108" s="149"/>
      <c r="AL108" s="149"/>
      <c r="AM108" s="149"/>
      <c r="AN108" s="149"/>
      <c r="AO108" s="149"/>
      <c r="AP108" s="149"/>
      <c r="AQ108" s="149"/>
      <c r="AR108" s="149"/>
      <c r="AS108" s="149"/>
      <c r="AT108" s="149"/>
      <c r="AU108" s="150"/>
    </row>
    <row r="109" spans="2:47" ht="16.899999999999999" customHeight="1">
      <c r="B109" s="228"/>
      <c r="C109" s="229"/>
      <c r="D109" s="229"/>
      <c r="E109" s="229"/>
      <c r="F109" s="229"/>
      <c r="G109" s="229"/>
      <c r="H109" s="229"/>
      <c r="I109" s="229"/>
      <c r="J109" s="229"/>
      <c r="K109" s="229"/>
      <c r="L109" s="229"/>
      <c r="M109" s="229"/>
      <c r="N109" s="229"/>
      <c r="O109" s="229"/>
      <c r="P109" s="229"/>
      <c r="Q109" s="229"/>
      <c r="R109" s="229"/>
      <c r="S109" s="229"/>
      <c r="T109" s="229"/>
      <c r="U109" s="229"/>
      <c r="V109" s="229"/>
      <c r="W109" s="229"/>
      <c r="X109" s="229"/>
      <c r="Y109" s="229"/>
      <c r="Z109" s="229"/>
      <c r="AA109" s="229"/>
      <c r="AB109" s="229"/>
      <c r="AC109" s="229"/>
      <c r="AD109" s="229"/>
      <c r="AE109" s="229"/>
      <c r="AF109" s="229"/>
      <c r="AG109" s="229"/>
      <c r="AH109" s="229"/>
      <c r="AI109" s="229"/>
      <c r="AJ109" s="229"/>
      <c r="AK109" s="229"/>
      <c r="AL109" s="229"/>
      <c r="AM109" s="229"/>
      <c r="AN109" s="229"/>
      <c r="AO109" s="229"/>
      <c r="AP109" s="229"/>
      <c r="AQ109" s="229"/>
      <c r="AR109" s="229"/>
      <c r="AS109" s="229"/>
      <c r="AT109" s="229"/>
      <c r="AU109" s="230"/>
    </row>
    <row r="110" spans="2:47" ht="16.899999999999999" customHeight="1">
      <c r="B110" s="228"/>
      <c r="C110" s="229"/>
      <c r="D110" s="229"/>
      <c r="E110" s="229"/>
      <c r="F110" s="229"/>
      <c r="G110" s="229"/>
      <c r="H110" s="229"/>
      <c r="I110" s="229"/>
      <c r="J110" s="229"/>
      <c r="K110" s="229"/>
      <c r="L110" s="229"/>
      <c r="M110" s="229"/>
      <c r="N110" s="229"/>
      <c r="O110" s="229"/>
      <c r="P110" s="229"/>
      <c r="Q110" s="229"/>
      <c r="R110" s="229"/>
      <c r="S110" s="229"/>
      <c r="T110" s="229"/>
      <c r="U110" s="229"/>
      <c r="V110" s="229"/>
      <c r="W110" s="229"/>
      <c r="X110" s="229"/>
      <c r="Y110" s="229"/>
      <c r="Z110" s="229"/>
      <c r="AA110" s="229"/>
      <c r="AB110" s="229"/>
      <c r="AC110" s="229"/>
      <c r="AD110" s="229"/>
      <c r="AE110" s="229"/>
      <c r="AF110" s="229"/>
      <c r="AG110" s="229"/>
      <c r="AH110" s="229"/>
      <c r="AI110" s="229"/>
      <c r="AJ110" s="229"/>
      <c r="AK110" s="229"/>
      <c r="AL110" s="229"/>
      <c r="AM110" s="229"/>
      <c r="AN110" s="229"/>
      <c r="AO110" s="229"/>
      <c r="AP110" s="229"/>
      <c r="AQ110" s="229"/>
      <c r="AR110" s="229"/>
      <c r="AS110" s="229"/>
      <c r="AT110" s="229"/>
      <c r="AU110" s="230"/>
    </row>
    <row r="111" spans="2:47" ht="16.899999999999999" customHeight="1">
      <c r="B111" s="228"/>
      <c r="C111" s="229"/>
      <c r="D111" s="229"/>
      <c r="E111" s="229"/>
      <c r="F111" s="229"/>
      <c r="G111" s="229"/>
      <c r="H111" s="229"/>
      <c r="I111" s="229"/>
      <c r="J111" s="229"/>
      <c r="K111" s="229"/>
      <c r="L111" s="229"/>
      <c r="M111" s="229"/>
      <c r="N111" s="229"/>
      <c r="O111" s="229"/>
      <c r="P111" s="229"/>
      <c r="Q111" s="229"/>
      <c r="R111" s="229"/>
      <c r="S111" s="229"/>
      <c r="T111" s="229"/>
      <c r="U111" s="229"/>
      <c r="V111" s="229"/>
      <c r="W111" s="229"/>
      <c r="X111" s="229"/>
      <c r="Y111" s="229"/>
      <c r="Z111" s="229"/>
      <c r="AA111" s="229"/>
      <c r="AB111" s="229"/>
      <c r="AC111" s="229"/>
      <c r="AD111" s="229"/>
      <c r="AE111" s="229"/>
      <c r="AF111" s="229"/>
      <c r="AG111" s="229"/>
      <c r="AH111" s="229"/>
      <c r="AI111" s="229"/>
      <c r="AJ111" s="229"/>
      <c r="AK111" s="229"/>
      <c r="AL111" s="229"/>
      <c r="AM111" s="229"/>
      <c r="AN111" s="229"/>
      <c r="AO111" s="229"/>
      <c r="AP111" s="229"/>
      <c r="AQ111" s="229"/>
      <c r="AR111" s="229"/>
      <c r="AS111" s="229"/>
      <c r="AT111" s="229"/>
      <c r="AU111" s="230"/>
    </row>
    <row r="112" spans="2:47" ht="16.899999999999999" customHeight="1">
      <c r="B112" s="228"/>
      <c r="C112" s="229"/>
      <c r="D112" s="229"/>
      <c r="E112" s="229"/>
      <c r="F112" s="229"/>
      <c r="G112" s="229"/>
      <c r="H112" s="229"/>
      <c r="I112" s="229"/>
      <c r="J112" s="229"/>
      <c r="K112" s="229"/>
      <c r="L112" s="229"/>
      <c r="M112" s="229"/>
      <c r="N112" s="229"/>
      <c r="O112" s="229"/>
      <c r="P112" s="229"/>
      <c r="Q112" s="229"/>
      <c r="R112" s="229"/>
      <c r="S112" s="229"/>
      <c r="T112" s="229"/>
      <c r="U112" s="229"/>
      <c r="V112" s="229"/>
      <c r="W112" s="229"/>
      <c r="X112" s="229"/>
      <c r="Y112" s="229"/>
      <c r="Z112" s="229"/>
      <c r="AA112" s="229"/>
      <c r="AB112" s="229"/>
      <c r="AC112" s="229"/>
      <c r="AD112" s="229"/>
      <c r="AE112" s="229"/>
      <c r="AF112" s="229"/>
      <c r="AG112" s="229"/>
      <c r="AH112" s="229"/>
      <c r="AI112" s="229"/>
      <c r="AJ112" s="229"/>
      <c r="AK112" s="229"/>
      <c r="AL112" s="229"/>
      <c r="AM112" s="229"/>
      <c r="AN112" s="229"/>
      <c r="AO112" s="229"/>
      <c r="AP112" s="229"/>
      <c r="AQ112" s="229"/>
      <c r="AR112" s="229"/>
      <c r="AS112" s="229"/>
      <c r="AT112" s="229"/>
      <c r="AU112" s="230"/>
    </row>
    <row r="113" spans="2:47" ht="16.899999999999999" customHeight="1">
      <c r="B113" s="228"/>
      <c r="C113" s="229"/>
      <c r="D113" s="229"/>
      <c r="E113" s="229"/>
      <c r="F113" s="229"/>
      <c r="G113" s="229"/>
      <c r="H113" s="229"/>
      <c r="I113" s="229"/>
      <c r="J113" s="229"/>
      <c r="K113" s="229"/>
      <c r="L113" s="229"/>
      <c r="M113" s="229"/>
      <c r="N113" s="229"/>
      <c r="O113" s="229"/>
      <c r="P113" s="229"/>
      <c r="Q113" s="229"/>
      <c r="R113" s="229"/>
      <c r="S113" s="229"/>
      <c r="T113" s="229"/>
      <c r="U113" s="229"/>
      <c r="V113" s="229"/>
      <c r="W113" s="229"/>
      <c r="X113" s="229"/>
      <c r="Y113" s="229"/>
      <c r="Z113" s="229"/>
      <c r="AA113" s="229"/>
      <c r="AB113" s="229"/>
      <c r="AC113" s="229"/>
      <c r="AD113" s="229"/>
      <c r="AE113" s="229"/>
      <c r="AF113" s="229"/>
      <c r="AG113" s="229"/>
      <c r="AH113" s="229"/>
      <c r="AI113" s="229"/>
      <c r="AJ113" s="229"/>
      <c r="AK113" s="229"/>
      <c r="AL113" s="229"/>
      <c r="AM113" s="229"/>
      <c r="AN113" s="229"/>
      <c r="AO113" s="229"/>
      <c r="AP113" s="229"/>
      <c r="AQ113" s="229"/>
      <c r="AR113" s="229"/>
      <c r="AS113" s="229"/>
      <c r="AT113" s="229"/>
      <c r="AU113" s="230"/>
    </row>
    <row r="114" spans="2:47" ht="16.899999999999999" customHeight="1">
      <c r="B114" s="228"/>
      <c r="C114" s="229"/>
      <c r="D114" s="229"/>
      <c r="E114" s="229"/>
      <c r="F114" s="229"/>
      <c r="G114" s="229"/>
      <c r="H114" s="229"/>
      <c r="I114" s="229"/>
      <c r="J114" s="229"/>
      <c r="K114" s="229"/>
      <c r="L114" s="229"/>
      <c r="M114" s="229"/>
      <c r="N114" s="229"/>
      <c r="O114" s="229"/>
      <c r="P114" s="229"/>
      <c r="Q114" s="229"/>
      <c r="R114" s="229"/>
      <c r="S114" s="229"/>
      <c r="T114" s="229"/>
      <c r="U114" s="229"/>
      <c r="V114" s="229"/>
      <c r="W114" s="229"/>
      <c r="X114" s="229"/>
      <c r="Y114" s="229"/>
      <c r="Z114" s="229"/>
      <c r="AA114" s="229"/>
      <c r="AB114" s="229"/>
      <c r="AC114" s="229"/>
      <c r="AD114" s="229"/>
      <c r="AE114" s="229"/>
      <c r="AF114" s="229"/>
      <c r="AG114" s="229"/>
      <c r="AH114" s="229"/>
      <c r="AI114" s="229"/>
      <c r="AJ114" s="229"/>
      <c r="AK114" s="229"/>
      <c r="AL114" s="229"/>
      <c r="AM114" s="229"/>
      <c r="AN114" s="229"/>
      <c r="AO114" s="229"/>
      <c r="AP114" s="229"/>
      <c r="AQ114" s="229"/>
      <c r="AR114" s="229"/>
      <c r="AS114" s="229"/>
      <c r="AT114" s="229"/>
      <c r="AU114" s="230"/>
    </row>
    <row r="115" spans="2:47" ht="16.899999999999999" customHeight="1">
      <c r="B115" s="228"/>
      <c r="C115" s="229"/>
      <c r="D115" s="229"/>
      <c r="E115" s="229"/>
      <c r="F115" s="229"/>
      <c r="G115" s="229"/>
      <c r="H115" s="229"/>
      <c r="I115" s="229"/>
      <c r="J115" s="229"/>
      <c r="K115" s="229"/>
      <c r="L115" s="229"/>
      <c r="M115" s="229"/>
      <c r="N115" s="229"/>
      <c r="O115" s="229"/>
      <c r="P115" s="229"/>
      <c r="Q115" s="229"/>
      <c r="R115" s="229"/>
      <c r="S115" s="229"/>
      <c r="T115" s="229"/>
      <c r="U115" s="229"/>
      <c r="V115" s="229"/>
      <c r="W115" s="229"/>
      <c r="X115" s="229"/>
      <c r="Y115" s="229"/>
      <c r="Z115" s="229"/>
      <c r="AA115" s="229"/>
      <c r="AB115" s="229"/>
      <c r="AC115" s="229"/>
      <c r="AD115" s="229"/>
      <c r="AE115" s="229"/>
      <c r="AF115" s="229"/>
      <c r="AG115" s="229"/>
      <c r="AH115" s="229"/>
      <c r="AI115" s="229"/>
      <c r="AJ115" s="229"/>
      <c r="AK115" s="229"/>
      <c r="AL115" s="229"/>
      <c r="AM115" s="229"/>
      <c r="AN115" s="229"/>
      <c r="AO115" s="229"/>
      <c r="AP115" s="229"/>
      <c r="AQ115" s="229"/>
      <c r="AR115" s="229"/>
      <c r="AS115" s="229"/>
      <c r="AT115" s="229"/>
      <c r="AU115" s="230"/>
    </row>
    <row r="116" spans="2:47" ht="16.899999999999999" customHeight="1">
      <c r="B116" s="228"/>
      <c r="C116" s="229"/>
      <c r="D116" s="229"/>
      <c r="E116" s="229"/>
      <c r="F116" s="229"/>
      <c r="G116" s="229"/>
      <c r="H116" s="229"/>
      <c r="I116" s="229"/>
      <c r="J116" s="229"/>
      <c r="K116" s="229"/>
      <c r="L116" s="229"/>
      <c r="M116" s="229"/>
      <c r="N116" s="229"/>
      <c r="O116" s="229"/>
      <c r="P116" s="229"/>
      <c r="Q116" s="229"/>
      <c r="R116" s="229"/>
      <c r="S116" s="229"/>
      <c r="T116" s="229"/>
      <c r="U116" s="229"/>
      <c r="V116" s="229"/>
      <c r="W116" s="229"/>
      <c r="X116" s="229"/>
      <c r="Y116" s="229"/>
      <c r="Z116" s="229"/>
      <c r="AA116" s="229"/>
      <c r="AB116" s="229"/>
      <c r="AC116" s="229"/>
      <c r="AD116" s="229"/>
      <c r="AE116" s="229"/>
      <c r="AF116" s="229"/>
      <c r="AG116" s="229"/>
      <c r="AH116" s="229"/>
      <c r="AI116" s="229"/>
      <c r="AJ116" s="229"/>
      <c r="AK116" s="229"/>
      <c r="AL116" s="229"/>
      <c r="AM116" s="229"/>
      <c r="AN116" s="229"/>
      <c r="AO116" s="229"/>
      <c r="AP116" s="229"/>
      <c r="AQ116" s="229"/>
      <c r="AR116" s="229"/>
      <c r="AS116" s="229"/>
      <c r="AT116" s="229"/>
      <c r="AU116" s="230"/>
    </row>
    <row r="117" spans="2:47" ht="16.5" customHeight="1">
      <c r="B117" s="228"/>
      <c r="C117" s="229"/>
      <c r="D117" s="229"/>
      <c r="E117" s="229"/>
      <c r="F117" s="229"/>
      <c r="G117" s="229"/>
      <c r="H117" s="229"/>
      <c r="I117" s="229"/>
      <c r="J117" s="229"/>
      <c r="K117" s="229"/>
      <c r="L117" s="229"/>
      <c r="M117" s="229"/>
      <c r="N117" s="229"/>
      <c r="O117" s="229"/>
      <c r="P117" s="229"/>
      <c r="Q117" s="229"/>
      <c r="R117" s="229"/>
      <c r="S117" s="229"/>
      <c r="T117" s="229"/>
      <c r="U117" s="229"/>
      <c r="V117" s="229"/>
      <c r="W117" s="229"/>
      <c r="X117" s="229"/>
      <c r="Y117" s="229"/>
      <c r="Z117" s="229"/>
      <c r="AA117" s="229"/>
      <c r="AB117" s="229"/>
      <c r="AC117" s="229"/>
      <c r="AD117" s="229"/>
      <c r="AE117" s="229"/>
      <c r="AF117" s="229"/>
      <c r="AG117" s="229"/>
      <c r="AH117" s="229"/>
      <c r="AI117" s="229"/>
      <c r="AJ117" s="229"/>
      <c r="AK117" s="229"/>
      <c r="AL117" s="229"/>
      <c r="AM117" s="229"/>
      <c r="AN117" s="229"/>
      <c r="AO117" s="229"/>
      <c r="AP117" s="229"/>
      <c r="AQ117" s="229"/>
      <c r="AR117" s="229"/>
      <c r="AS117" s="229"/>
      <c r="AT117" s="229"/>
      <c r="AU117" s="230"/>
    </row>
    <row r="118" spans="2:47" ht="16.899999999999999" customHeight="1">
      <c r="B118" s="228"/>
      <c r="C118" s="229"/>
      <c r="D118" s="229"/>
      <c r="E118" s="229"/>
      <c r="F118" s="229"/>
      <c r="G118" s="229"/>
      <c r="H118" s="229"/>
      <c r="I118" s="229"/>
      <c r="J118" s="229"/>
      <c r="K118" s="229"/>
      <c r="L118" s="229"/>
      <c r="M118" s="229"/>
      <c r="N118" s="229"/>
      <c r="O118" s="229"/>
      <c r="P118" s="229"/>
      <c r="Q118" s="229"/>
      <c r="R118" s="229"/>
      <c r="S118" s="229"/>
      <c r="T118" s="229"/>
      <c r="U118" s="229"/>
      <c r="V118" s="229"/>
      <c r="W118" s="229"/>
      <c r="X118" s="229"/>
      <c r="Y118" s="229"/>
      <c r="Z118" s="229"/>
      <c r="AA118" s="229"/>
      <c r="AB118" s="229"/>
      <c r="AC118" s="229"/>
      <c r="AD118" s="229"/>
      <c r="AE118" s="229"/>
      <c r="AF118" s="229"/>
      <c r="AG118" s="229"/>
      <c r="AH118" s="229"/>
      <c r="AI118" s="229"/>
      <c r="AJ118" s="229"/>
      <c r="AK118" s="229"/>
      <c r="AL118" s="229"/>
      <c r="AM118" s="229"/>
      <c r="AN118" s="229"/>
      <c r="AO118" s="229"/>
      <c r="AP118" s="229"/>
      <c r="AQ118" s="229"/>
      <c r="AR118" s="229"/>
      <c r="AS118" s="229"/>
      <c r="AT118" s="229"/>
      <c r="AU118" s="230"/>
    </row>
    <row r="119" spans="2:47" ht="16.899999999999999" customHeight="1">
      <c r="B119" s="151"/>
      <c r="C119" s="152"/>
      <c r="D119" s="152"/>
      <c r="E119" s="152"/>
      <c r="F119" s="152"/>
      <c r="G119" s="152"/>
      <c r="H119" s="152"/>
      <c r="I119" s="152"/>
      <c r="J119" s="152"/>
      <c r="K119" s="152"/>
      <c r="L119" s="152"/>
      <c r="M119" s="152"/>
      <c r="N119" s="152"/>
      <c r="O119" s="152"/>
      <c r="P119" s="152"/>
      <c r="Q119" s="152"/>
      <c r="R119" s="152"/>
      <c r="S119" s="152"/>
      <c r="T119" s="152"/>
      <c r="U119" s="152"/>
      <c r="V119" s="152"/>
      <c r="W119" s="152"/>
      <c r="X119" s="152"/>
      <c r="Y119" s="152"/>
      <c r="Z119" s="152"/>
      <c r="AA119" s="152"/>
      <c r="AB119" s="152"/>
      <c r="AC119" s="152"/>
      <c r="AD119" s="152"/>
      <c r="AE119" s="152"/>
      <c r="AF119" s="152"/>
      <c r="AG119" s="152"/>
      <c r="AH119" s="152"/>
      <c r="AI119" s="152"/>
      <c r="AJ119" s="152"/>
      <c r="AK119" s="152"/>
      <c r="AL119" s="152"/>
      <c r="AM119" s="152"/>
      <c r="AN119" s="152"/>
      <c r="AO119" s="152"/>
      <c r="AP119" s="152"/>
      <c r="AQ119" s="152"/>
      <c r="AR119" s="152"/>
      <c r="AS119" s="152"/>
      <c r="AT119" s="152"/>
      <c r="AU119" s="153"/>
    </row>
    <row r="120" spans="2:47" ht="16.899999999999999" customHeight="1">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c r="AE120" s="7"/>
      <c r="AF120" s="7"/>
      <c r="AG120" s="7"/>
      <c r="AH120" s="7"/>
      <c r="AI120" s="7"/>
      <c r="AJ120" s="7"/>
      <c r="AK120" s="7"/>
      <c r="AL120" s="7"/>
      <c r="AM120" s="7"/>
      <c r="AN120" s="7"/>
      <c r="AO120" s="7"/>
      <c r="AP120" s="7"/>
      <c r="AQ120" s="7"/>
      <c r="AR120" s="7"/>
      <c r="AS120" s="7"/>
      <c r="AT120" s="7"/>
      <c r="AU120" s="7"/>
    </row>
    <row r="121" spans="2:47" ht="16.899999999999999" customHeight="1">
      <c r="B121" s="8" t="s">
        <v>144</v>
      </c>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c r="AE121" s="7"/>
      <c r="AF121" s="7"/>
      <c r="AG121" s="7"/>
      <c r="AH121" s="7"/>
      <c r="AI121" s="7"/>
      <c r="AJ121" s="7"/>
      <c r="AK121" s="7"/>
      <c r="AL121" s="7"/>
      <c r="AM121" s="7"/>
      <c r="AN121" s="7"/>
      <c r="AO121" s="7"/>
      <c r="AP121" s="7"/>
      <c r="AQ121" s="7"/>
      <c r="AR121" s="7"/>
      <c r="AS121" s="7"/>
      <c r="AT121" s="7"/>
      <c r="AU121" s="7"/>
    </row>
    <row r="122" spans="2:47" ht="16.899999999999999" customHeight="1">
      <c r="B122" s="148"/>
      <c r="C122" s="149"/>
      <c r="D122" s="149"/>
      <c r="E122" s="149"/>
      <c r="F122" s="149"/>
      <c r="G122" s="149"/>
      <c r="H122" s="149"/>
      <c r="I122" s="149"/>
      <c r="J122" s="149"/>
      <c r="K122" s="149"/>
      <c r="L122" s="149"/>
      <c r="M122" s="149"/>
      <c r="N122" s="149"/>
      <c r="O122" s="149"/>
      <c r="P122" s="149"/>
      <c r="Q122" s="149"/>
      <c r="R122" s="149"/>
      <c r="S122" s="149"/>
      <c r="T122" s="149"/>
      <c r="U122" s="149"/>
      <c r="V122" s="149"/>
      <c r="W122" s="149"/>
      <c r="X122" s="149"/>
      <c r="Y122" s="149"/>
      <c r="Z122" s="149"/>
      <c r="AA122" s="149"/>
      <c r="AB122" s="149"/>
      <c r="AC122" s="149"/>
      <c r="AD122" s="149"/>
      <c r="AE122" s="149"/>
      <c r="AF122" s="149"/>
      <c r="AG122" s="149"/>
      <c r="AH122" s="149"/>
      <c r="AI122" s="149"/>
      <c r="AJ122" s="149"/>
      <c r="AK122" s="149"/>
      <c r="AL122" s="149"/>
      <c r="AM122" s="149"/>
      <c r="AN122" s="149"/>
      <c r="AO122" s="149"/>
      <c r="AP122" s="149"/>
      <c r="AQ122" s="149"/>
      <c r="AR122" s="149"/>
      <c r="AS122" s="149"/>
      <c r="AT122" s="149"/>
      <c r="AU122" s="150"/>
    </row>
    <row r="123" spans="2:47" ht="16.899999999999999" customHeight="1">
      <c r="B123" s="228"/>
      <c r="C123" s="229"/>
      <c r="D123" s="229"/>
      <c r="E123" s="229"/>
      <c r="F123" s="229"/>
      <c r="G123" s="229"/>
      <c r="H123" s="229"/>
      <c r="I123" s="229"/>
      <c r="J123" s="229"/>
      <c r="K123" s="229"/>
      <c r="L123" s="229"/>
      <c r="M123" s="229"/>
      <c r="N123" s="229"/>
      <c r="O123" s="229"/>
      <c r="P123" s="229"/>
      <c r="Q123" s="229"/>
      <c r="R123" s="229"/>
      <c r="S123" s="229"/>
      <c r="T123" s="229"/>
      <c r="U123" s="229"/>
      <c r="V123" s="229"/>
      <c r="W123" s="229"/>
      <c r="X123" s="229"/>
      <c r="Y123" s="229"/>
      <c r="Z123" s="229"/>
      <c r="AA123" s="229"/>
      <c r="AB123" s="229"/>
      <c r="AC123" s="229"/>
      <c r="AD123" s="229"/>
      <c r="AE123" s="229"/>
      <c r="AF123" s="229"/>
      <c r="AG123" s="229"/>
      <c r="AH123" s="229"/>
      <c r="AI123" s="229"/>
      <c r="AJ123" s="229"/>
      <c r="AK123" s="229"/>
      <c r="AL123" s="229"/>
      <c r="AM123" s="229"/>
      <c r="AN123" s="229"/>
      <c r="AO123" s="229"/>
      <c r="AP123" s="229"/>
      <c r="AQ123" s="229"/>
      <c r="AR123" s="229"/>
      <c r="AS123" s="229"/>
      <c r="AT123" s="229"/>
      <c r="AU123" s="230"/>
    </row>
    <row r="124" spans="2:47" ht="16.899999999999999" customHeight="1">
      <c r="B124" s="228"/>
      <c r="C124" s="229"/>
      <c r="D124" s="229"/>
      <c r="E124" s="229"/>
      <c r="F124" s="229"/>
      <c r="G124" s="229"/>
      <c r="H124" s="229"/>
      <c r="I124" s="229"/>
      <c r="J124" s="229"/>
      <c r="K124" s="229"/>
      <c r="L124" s="229"/>
      <c r="M124" s="229"/>
      <c r="N124" s="229"/>
      <c r="O124" s="229"/>
      <c r="P124" s="229"/>
      <c r="Q124" s="229"/>
      <c r="R124" s="229"/>
      <c r="S124" s="229"/>
      <c r="T124" s="229"/>
      <c r="U124" s="229"/>
      <c r="V124" s="229"/>
      <c r="W124" s="229"/>
      <c r="X124" s="229"/>
      <c r="Y124" s="229"/>
      <c r="Z124" s="229"/>
      <c r="AA124" s="229"/>
      <c r="AB124" s="229"/>
      <c r="AC124" s="229"/>
      <c r="AD124" s="229"/>
      <c r="AE124" s="229"/>
      <c r="AF124" s="229"/>
      <c r="AG124" s="229"/>
      <c r="AH124" s="229"/>
      <c r="AI124" s="229"/>
      <c r="AJ124" s="229"/>
      <c r="AK124" s="229"/>
      <c r="AL124" s="229"/>
      <c r="AM124" s="229"/>
      <c r="AN124" s="229"/>
      <c r="AO124" s="229"/>
      <c r="AP124" s="229"/>
      <c r="AQ124" s="229"/>
      <c r="AR124" s="229"/>
      <c r="AS124" s="229"/>
      <c r="AT124" s="229"/>
      <c r="AU124" s="230"/>
    </row>
    <row r="125" spans="2:47" ht="16.899999999999999" customHeight="1">
      <c r="B125" s="228"/>
      <c r="C125" s="229"/>
      <c r="D125" s="229"/>
      <c r="E125" s="229"/>
      <c r="F125" s="229"/>
      <c r="G125" s="229"/>
      <c r="H125" s="229"/>
      <c r="I125" s="229"/>
      <c r="J125" s="229"/>
      <c r="K125" s="229"/>
      <c r="L125" s="229"/>
      <c r="M125" s="229"/>
      <c r="N125" s="229"/>
      <c r="O125" s="229"/>
      <c r="P125" s="229"/>
      <c r="Q125" s="229"/>
      <c r="R125" s="229"/>
      <c r="S125" s="229"/>
      <c r="T125" s="229"/>
      <c r="U125" s="229"/>
      <c r="V125" s="229"/>
      <c r="W125" s="229"/>
      <c r="X125" s="229"/>
      <c r="Y125" s="229"/>
      <c r="Z125" s="229"/>
      <c r="AA125" s="229"/>
      <c r="AB125" s="229"/>
      <c r="AC125" s="229"/>
      <c r="AD125" s="229"/>
      <c r="AE125" s="229"/>
      <c r="AF125" s="229"/>
      <c r="AG125" s="229"/>
      <c r="AH125" s="229"/>
      <c r="AI125" s="229"/>
      <c r="AJ125" s="229"/>
      <c r="AK125" s="229"/>
      <c r="AL125" s="229"/>
      <c r="AM125" s="229"/>
      <c r="AN125" s="229"/>
      <c r="AO125" s="229"/>
      <c r="AP125" s="229"/>
      <c r="AQ125" s="229"/>
      <c r="AR125" s="229"/>
      <c r="AS125" s="229"/>
      <c r="AT125" s="229"/>
      <c r="AU125" s="230"/>
    </row>
    <row r="126" spans="2:47" ht="16.899999999999999" customHeight="1">
      <c r="B126" s="228"/>
      <c r="C126" s="229"/>
      <c r="D126" s="229"/>
      <c r="E126" s="229"/>
      <c r="F126" s="229"/>
      <c r="G126" s="229"/>
      <c r="H126" s="229"/>
      <c r="I126" s="229"/>
      <c r="J126" s="229"/>
      <c r="K126" s="229"/>
      <c r="L126" s="229"/>
      <c r="M126" s="229"/>
      <c r="N126" s="229"/>
      <c r="O126" s="229"/>
      <c r="P126" s="229"/>
      <c r="Q126" s="229"/>
      <c r="R126" s="229"/>
      <c r="S126" s="229"/>
      <c r="T126" s="229"/>
      <c r="U126" s="229"/>
      <c r="V126" s="229"/>
      <c r="W126" s="229"/>
      <c r="X126" s="229"/>
      <c r="Y126" s="229"/>
      <c r="Z126" s="229"/>
      <c r="AA126" s="229"/>
      <c r="AB126" s="229"/>
      <c r="AC126" s="229"/>
      <c r="AD126" s="229"/>
      <c r="AE126" s="229"/>
      <c r="AF126" s="229"/>
      <c r="AG126" s="229"/>
      <c r="AH126" s="229"/>
      <c r="AI126" s="229"/>
      <c r="AJ126" s="229"/>
      <c r="AK126" s="229"/>
      <c r="AL126" s="229"/>
      <c r="AM126" s="229"/>
      <c r="AN126" s="229"/>
      <c r="AO126" s="229"/>
      <c r="AP126" s="229"/>
      <c r="AQ126" s="229"/>
      <c r="AR126" s="229"/>
      <c r="AS126" s="229"/>
      <c r="AT126" s="229"/>
      <c r="AU126" s="230"/>
    </row>
    <row r="127" spans="2:47" ht="16.899999999999999" customHeight="1">
      <c r="B127" s="228"/>
      <c r="C127" s="229"/>
      <c r="D127" s="229"/>
      <c r="E127" s="229"/>
      <c r="F127" s="229"/>
      <c r="G127" s="229"/>
      <c r="H127" s="229"/>
      <c r="I127" s="229"/>
      <c r="J127" s="229"/>
      <c r="K127" s="229"/>
      <c r="L127" s="229"/>
      <c r="M127" s="229"/>
      <c r="N127" s="229"/>
      <c r="O127" s="229"/>
      <c r="P127" s="229"/>
      <c r="Q127" s="229"/>
      <c r="R127" s="229"/>
      <c r="S127" s="229"/>
      <c r="T127" s="229"/>
      <c r="U127" s="229"/>
      <c r="V127" s="229"/>
      <c r="W127" s="229"/>
      <c r="X127" s="229"/>
      <c r="Y127" s="229"/>
      <c r="Z127" s="229"/>
      <c r="AA127" s="229"/>
      <c r="AB127" s="229"/>
      <c r="AC127" s="229"/>
      <c r="AD127" s="229"/>
      <c r="AE127" s="229"/>
      <c r="AF127" s="229"/>
      <c r="AG127" s="229"/>
      <c r="AH127" s="229"/>
      <c r="AI127" s="229"/>
      <c r="AJ127" s="229"/>
      <c r="AK127" s="229"/>
      <c r="AL127" s="229"/>
      <c r="AM127" s="229"/>
      <c r="AN127" s="229"/>
      <c r="AO127" s="229"/>
      <c r="AP127" s="229"/>
      <c r="AQ127" s="229"/>
      <c r="AR127" s="229"/>
      <c r="AS127" s="229"/>
      <c r="AT127" s="229"/>
      <c r="AU127" s="230"/>
    </row>
    <row r="128" spans="2:47" ht="16.899999999999999" customHeight="1">
      <c r="B128" s="228"/>
      <c r="C128" s="229"/>
      <c r="D128" s="229"/>
      <c r="E128" s="229"/>
      <c r="F128" s="229"/>
      <c r="G128" s="229"/>
      <c r="H128" s="229"/>
      <c r="I128" s="229"/>
      <c r="J128" s="229"/>
      <c r="K128" s="229"/>
      <c r="L128" s="229"/>
      <c r="M128" s="229"/>
      <c r="N128" s="229"/>
      <c r="O128" s="229"/>
      <c r="P128" s="229"/>
      <c r="Q128" s="229"/>
      <c r="R128" s="229"/>
      <c r="S128" s="229"/>
      <c r="T128" s="229"/>
      <c r="U128" s="229"/>
      <c r="V128" s="229"/>
      <c r="W128" s="229"/>
      <c r="X128" s="229"/>
      <c r="Y128" s="229"/>
      <c r="Z128" s="229"/>
      <c r="AA128" s="229"/>
      <c r="AB128" s="229"/>
      <c r="AC128" s="229"/>
      <c r="AD128" s="229"/>
      <c r="AE128" s="229"/>
      <c r="AF128" s="229"/>
      <c r="AG128" s="229"/>
      <c r="AH128" s="229"/>
      <c r="AI128" s="229"/>
      <c r="AJ128" s="229"/>
      <c r="AK128" s="229"/>
      <c r="AL128" s="229"/>
      <c r="AM128" s="229"/>
      <c r="AN128" s="229"/>
      <c r="AO128" s="229"/>
      <c r="AP128" s="229"/>
      <c r="AQ128" s="229"/>
      <c r="AR128" s="229"/>
      <c r="AS128" s="229"/>
      <c r="AT128" s="229"/>
      <c r="AU128" s="230"/>
    </row>
    <row r="129" spans="2:47" ht="16.899999999999999" customHeight="1">
      <c r="B129" s="228"/>
      <c r="C129" s="229"/>
      <c r="D129" s="229"/>
      <c r="E129" s="229"/>
      <c r="F129" s="229"/>
      <c r="G129" s="229"/>
      <c r="H129" s="229"/>
      <c r="I129" s="229"/>
      <c r="J129" s="229"/>
      <c r="K129" s="229"/>
      <c r="L129" s="229"/>
      <c r="M129" s="229"/>
      <c r="N129" s="229"/>
      <c r="O129" s="229"/>
      <c r="P129" s="229"/>
      <c r="Q129" s="229"/>
      <c r="R129" s="229"/>
      <c r="S129" s="229"/>
      <c r="T129" s="229"/>
      <c r="U129" s="229"/>
      <c r="V129" s="229"/>
      <c r="W129" s="229"/>
      <c r="X129" s="229"/>
      <c r="Y129" s="229"/>
      <c r="Z129" s="229"/>
      <c r="AA129" s="229"/>
      <c r="AB129" s="229"/>
      <c r="AC129" s="229"/>
      <c r="AD129" s="229"/>
      <c r="AE129" s="229"/>
      <c r="AF129" s="229"/>
      <c r="AG129" s="229"/>
      <c r="AH129" s="229"/>
      <c r="AI129" s="229"/>
      <c r="AJ129" s="229"/>
      <c r="AK129" s="229"/>
      <c r="AL129" s="229"/>
      <c r="AM129" s="229"/>
      <c r="AN129" s="229"/>
      <c r="AO129" s="229"/>
      <c r="AP129" s="229"/>
      <c r="AQ129" s="229"/>
      <c r="AR129" s="229"/>
      <c r="AS129" s="229"/>
      <c r="AT129" s="229"/>
      <c r="AU129" s="230"/>
    </row>
    <row r="130" spans="2:47" ht="16.899999999999999" customHeight="1">
      <c r="B130" s="228"/>
      <c r="C130" s="229"/>
      <c r="D130" s="229"/>
      <c r="E130" s="229"/>
      <c r="F130" s="229"/>
      <c r="G130" s="229"/>
      <c r="H130" s="229"/>
      <c r="I130" s="229"/>
      <c r="J130" s="229"/>
      <c r="K130" s="229"/>
      <c r="L130" s="229"/>
      <c r="M130" s="229"/>
      <c r="N130" s="229"/>
      <c r="O130" s="229"/>
      <c r="P130" s="229"/>
      <c r="Q130" s="229"/>
      <c r="R130" s="229"/>
      <c r="S130" s="229"/>
      <c r="T130" s="229"/>
      <c r="U130" s="229"/>
      <c r="V130" s="229"/>
      <c r="W130" s="229"/>
      <c r="X130" s="229"/>
      <c r="Y130" s="229"/>
      <c r="Z130" s="229"/>
      <c r="AA130" s="229"/>
      <c r="AB130" s="229"/>
      <c r="AC130" s="229"/>
      <c r="AD130" s="229"/>
      <c r="AE130" s="229"/>
      <c r="AF130" s="229"/>
      <c r="AG130" s="229"/>
      <c r="AH130" s="229"/>
      <c r="AI130" s="229"/>
      <c r="AJ130" s="229"/>
      <c r="AK130" s="229"/>
      <c r="AL130" s="229"/>
      <c r="AM130" s="229"/>
      <c r="AN130" s="229"/>
      <c r="AO130" s="229"/>
      <c r="AP130" s="229"/>
      <c r="AQ130" s="229"/>
      <c r="AR130" s="229"/>
      <c r="AS130" s="229"/>
      <c r="AT130" s="229"/>
      <c r="AU130" s="230"/>
    </row>
    <row r="131" spans="2:47" ht="16.899999999999999" customHeight="1">
      <c r="B131" s="228"/>
      <c r="C131" s="229"/>
      <c r="D131" s="229"/>
      <c r="E131" s="229"/>
      <c r="F131" s="229"/>
      <c r="G131" s="229"/>
      <c r="H131" s="229"/>
      <c r="I131" s="229"/>
      <c r="J131" s="229"/>
      <c r="K131" s="229"/>
      <c r="L131" s="229"/>
      <c r="M131" s="229"/>
      <c r="N131" s="229"/>
      <c r="O131" s="229"/>
      <c r="P131" s="229"/>
      <c r="Q131" s="229"/>
      <c r="R131" s="229"/>
      <c r="S131" s="229"/>
      <c r="T131" s="229"/>
      <c r="U131" s="229"/>
      <c r="V131" s="229"/>
      <c r="W131" s="229"/>
      <c r="X131" s="229"/>
      <c r="Y131" s="229"/>
      <c r="Z131" s="229"/>
      <c r="AA131" s="229"/>
      <c r="AB131" s="229"/>
      <c r="AC131" s="229"/>
      <c r="AD131" s="229"/>
      <c r="AE131" s="229"/>
      <c r="AF131" s="229"/>
      <c r="AG131" s="229"/>
      <c r="AH131" s="229"/>
      <c r="AI131" s="229"/>
      <c r="AJ131" s="229"/>
      <c r="AK131" s="229"/>
      <c r="AL131" s="229"/>
      <c r="AM131" s="229"/>
      <c r="AN131" s="229"/>
      <c r="AO131" s="229"/>
      <c r="AP131" s="229"/>
      <c r="AQ131" s="229"/>
      <c r="AR131" s="229"/>
      <c r="AS131" s="229"/>
      <c r="AT131" s="229"/>
      <c r="AU131" s="230"/>
    </row>
    <row r="132" spans="2:47" ht="16.899999999999999" customHeight="1">
      <c r="B132" s="228"/>
      <c r="C132" s="229"/>
      <c r="D132" s="229"/>
      <c r="E132" s="229"/>
      <c r="F132" s="229"/>
      <c r="G132" s="229"/>
      <c r="H132" s="229"/>
      <c r="I132" s="229"/>
      <c r="J132" s="229"/>
      <c r="K132" s="229"/>
      <c r="L132" s="229"/>
      <c r="M132" s="229"/>
      <c r="N132" s="229"/>
      <c r="O132" s="229"/>
      <c r="P132" s="229"/>
      <c r="Q132" s="229"/>
      <c r="R132" s="229"/>
      <c r="S132" s="229"/>
      <c r="T132" s="229"/>
      <c r="U132" s="229"/>
      <c r="V132" s="229"/>
      <c r="W132" s="229"/>
      <c r="X132" s="229"/>
      <c r="Y132" s="229"/>
      <c r="Z132" s="229"/>
      <c r="AA132" s="229"/>
      <c r="AB132" s="229"/>
      <c r="AC132" s="229"/>
      <c r="AD132" s="229"/>
      <c r="AE132" s="229"/>
      <c r="AF132" s="229"/>
      <c r="AG132" s="229"/>
      <c r="AH132" s="229"/>
      <c r="AI132" s="229"/>
      <c r="AJ132" s="229"/>
      <c r="AK132" s="229"/>
      <c r="AL132" s="229"/>
      <c r="AM132" s="229"/>
      <c r="AN132" s="229"/>
      <c r="AO132" s="229"/>
      <c r="AP132" s="229"/>
      <c r="AQ132" s="229"/>
      <c r="AR132" s="229"/>
      <c r="AS132" s="229"/>
      <c r="AT132" s="229"/>
      <c r="AU132" s="230"/>
    </row>
    <row r="133" spans="2:47" ht="16.899999999999999" customHeight="1">
      <c r="B133" s="228"/>
      <c r="C133" s="229"/>
      <c r="D133" s="229"/>
      <c r="E133" s="229"/>
      <c r="F133" s="229"/>
      <c r="G133" s="229"/>
      <c r="H133" s="229"/>
      <c r="I133" s="229"/>
      <c r="J133" s="229"/>
      <c r="K133" s="229"/>
      <c r="L133" s="229"/>
      <c r="M133" s="229"/>
      <c r="N133" s="229"/>
      <c r="O133" s="229"/>
      <c r="P133" s="229"/>
      <c r="Q133" s="229"/>
      <c r="R133" s="229"/>
      <c r="S133" s="229"/>
      <c r="T133" s="229"/>
      <c r="U133" s="229"/>
      <c r="V133" s="229"/>
      <c r="W133" s="229"/>
      <c r="X133" s="229"/>
      <c r="Y133" s="229"/>
      <c r="Z133" s="229"/>
      <c r="AA133" s="229"/>
      <c r="AB133" s="229"/>
      <c r="AC133" s="229"/>
      <c r="AD133" s="229"/>
      <c r="AE133" s="229"/>
      <c r="AF133" s="229"/>
      <c r="AG133" s="229"/>
      <c r="AH133" s="229"/>
      <c r="AI133" s="229"/>
      <c r="AJ133" s="229"/>
      <c r="AK133" s="229"/>
      <c r="AL133" s="229"/>
      <c r="AM133" s="229"/>
      <c r="AN133" s="229"/>
      <c r="AO133" s="229"/>
      <c r="AP133" s="229"/>
      <c r="AQ133" s="229"/>
      <c r="AR133" s="229"/>
      <c r="AS133" s="229"/>
      <c r="AT133" s="229"/>
      <c r="AU133" s="230"/>
    </row>
    <row r="134" spans="2:47" ht="16.899999999999999" customHeight="1">
      <c r="B134" s="228"/>
      <c r="C134" s="229"/>
      <c r="D134" s="229"/>
      <c r="E134" s="229"/>
      <c r="F134" s="229"/>
      <c r="G134" s="229"/>
      <c r="H134" s="229"/>
      <c r="I134" s="229"/>
      <c r="J134" s="229"/>
      <c r="K134" s="229"/>
      <c r="L134" s="229"/>
      <c r="M134" s="229"/>
      <c r="N134" s="229"/>
      <c r="O134" s="229"/>
      <c r="P134" s="229"/>
      <c r="Q134" s="229"/>
      <c r="R134" s="229"/>
      <c r="S134" s="229"/>
      <c r="T134" s="229"/>
      <c r="U134" s="229"/>
      <c r="V134" s="229"/>
      <c r="W134" s="229"/>
      <c r="X134" s="229"/>
      <c r="Y134" s="229"/>
      <c r="Z134" s="229"/>
      <c r="AA134" s="229"/>
      <c r="AB134" s="229"/>
      <c r="AC134" s="229"/>
      <c r="AD134" s="229"/>
      <c r="AE134" s="229"/>
      <c r="AF134" s="229"/>
      <c r="AG134" s="229"/>
      <c r="AH134" s="229"/>
      <c r="AI134" s="229"/>
      <c r="AJ134" s="229"/>
      <c r="AK134" s="229"/>
      <c r="AL134" s="229"/>
      <c r="AM134" s="229"/>
      <c r="AN134" s="229"/>
      <c r="AO134" s="229"/>
      <c r="AP134" s="229"/>
      <c r="AQ134" s="229"/>
      <c r="AR134" s="229"/>
      <c r="AS134" s="229"/>
      <c r="AT134" s="229"/>
      <c r="AU134" s="230"/>
    </row>
    <row r="135" spans="2:47" ht="16.899999999999999" customHeight="1">
      <c r="B135" s="228"/>
      <c r="C135" s="229"/>
      <c r="D135" s="229"/>
      <c r="E135" s="229"/>
      <c r="F135" s="229"/>
      <c r="G135" s="229"/>
      <c r="H135" s="229"/>
      <c r="I135" s="229"/>
      <c r="J135" s="229"/>
      <c r="K135" s="229"/>
      <c r="L135" s="229"/>
      <c r="M135" s="229"/>
      <c r="N135" s="229"/>
      <c r="O135" s="229"/>
      <c r="P135" s="229"/>
      <c r="Q135" s="229"/>
      <c r="R135" s="229"/>
      <c r="S135" s="229"/>
      <c r="T135" s="229"/>
      <c r="U135" s="229"/>
      <c r="V135" s="229"/>
      <c r="W135" s="229"/>
      <c r="X135" s="229"/>
      <c r="Y135" s="229"/>
      <c r="Z135" s="229"/>
      <c r="AA135" s="229"/>
      <c r="AB135" s="229"/>
      <c r="AC135" s="229"/>
      <c r="AD135" s="229"/>
      <c r="AE135" s="229"/>
      <c r="AF135" s="229"/>
      <c r="AG135" s="229"/>
      <c r="AH135" s="229"/>
      <c r="AI135" s="229"/>
      <c r="AJ135" s="229"/>
      <c r="AK135" s="229"/>
      <c r="AL135" s="229"/>
      <c r="AM135" s="229"/>
      <c r="AN135" s="229"/>
      <c r="AO135" s="229"/>
      <c r="AP135" s="229"/>
      <c r="AQ135" s="229"/>
      <c r="AR135" s="229"/>
      <c r="AS135" s="229"/>
      <c r="AT135" s="229"/>
      <c r="AU135" s="230"/>
    </row>
    <row r="136" spans="2:47" ht="16.899999999999999" customHeight="1">
      <c r="B136" s="228"/>
      <c r="C136" s="229"/>
      <c r="D136" s="229"/>
      <c r="E136" s="229"/>
      <c r="F136" s="229"/>
      <c r="G136" s="229"/>
      <c r="H136" s="229"/>
      <c r="I136" s="229"/>
      <c r="J136" s="229"/>
      <c r="K136" s="229"/>
      <c r="L136" s="229"/>
      <c r="M136" s="229"/>
      <c r="N136" s="229"/>
      <c r="O136" s="229"/>
      <c r="P136" s="229"/>
      <c r="Q136" s="229"/>
      <c r="R136" s="229"/>
      <c r="S136" s="229"/>
      <c r="T136" s="229"/>
      <c r="U136" s="229"/>
      <c r="V136" s="229"/>
      <c r="W136" s="229"/>
      <c r="X136" s="229"/>
      <c r="Y136" s="229"/>
      <c r="Z136" s="229"/>
      <c r="AA136" s="229"/>
      <c r="AB136" s="229"/>
      <c r="AC136" s="229"/>
      <c r="AD136" s="229"/>
      <c r="AE136" s="229"/>
      <c r="AF136" s="229"/>
      <c r="AG136" s="229"/>
      <c r="AH136" s="229"/>
      <c r="AI136" s="229"/>
      <c r="AJ136" s="229"/>
      <c r="AK136" s="229"/>
      <c r="AL136" s="229"/>
      <c r="AM136" s="229"/>
      <c r="AN136" s="229"/>
      <c r="AO136" s="229"/>
      <c r="AP136" s="229"/>
      <c r="AQ136" s="229"/>
      <c r="AR136" s="229"/>
      <c r="AS136" s="229"/>
      <c r="AT136" s="229"/>
      <c r="AU136" s="230"/>
    </row>
    <row r="137" spans="2:47" ht="16.899999999999999" customHeight="1">
      <c r="B137" s="228"/>
      <c r="C137" s="229"/>
      <c r="D137" s="229"/>
      <c r="E137" s="229"/>
      <c r="F137" s="229"/>
      <c r="G137" s="229"/>
      <c r="H137" s="229"/>
      <c r="I137" s="229"/>
      <c r="J137" s="229"/>
      <c r="K137" s="229"/>
      <c r="L137" s="229"/>
      <c r="M137" s="229"/>
      <c r="N137" s="229"/>
      <c r="O137" s="229"/>
      <c r="P137" s="229"/>
      <c r="Q137" s="229"/>
      <c r="R137" s="229"/>
      <c r="S137" s="229"/>
      <c r="T137" s="229"/>
      <c r="U137" s="229"/>
      <c r="V137" s="229"/>
      <c r="W137" s="229"/>
      <c r="X137" s="229"/>
      <c r="Y137" s="229"/>
      <c r="Z137" s="229"/>
      <c r="AA137" s="229"/>
      <c r="AB137" s="229"/>
      <c r="AC137" s="229"/>
      <c r="AD137" s="229"/>
      <c r="AE137" s="229"/>
      <c r="AF137" s="229"/>
      <c r="AG137" s="229"/>
      <c r="AH137" s="229"/>
      <c r="AI137" s="229"/>
      <c r="AJ137" s="229"/>
      <c r="AK137" s="229"/>
      <c r="AL137" s="229"/>
      <c r="AM137" s="229"/>
      <c r="AN137" s="229"/>
      <c r="AO137" s="229"/>
      <c r="AP137" s="229"/>
      <c r="AQ137" s="229"/>
      <c r="AR137" s="229"/>
      <c r="AS137" s="229"/>
      <c r="AT137" s="229"/>
      <c r="AU137" s="230"/>
    </row>
    <row r="138" spans="2:47" ht="16.899999999999999" customHeight="1">
      <c r="B138" s="151"/>
      <c r="C138" s="152"/>
      <c r="D138" s="152"/>
      <c r="E138" s="152"/>
      <c r="F138" s="152"/>
      <c r="G138" s="152"/>
      <c r="H138" s="152"/>
      <c r="I138" s="152"/>
      <c r="J138" s="152"/>
      <c r="K138" s="152"/>
      <c r="L138" s="152"/>
      <c r="M138" s="152"/>
      <c r="N138" s="152"/>
      <c r="O138" s="152"/>
      <c r="P138" s="152"/>
      <c r="Q138" s="152"/>
      <c r="R138" s="152"/>
      <c r="S138" s="152"/>
      <c r="T138" s="152"/>
      <c r="U138" s="152"/>
      <c r="V138" s="152"/>
      <c r="W138" s="152"/>
      <c r="X138" s="152"/>
      <c r="Y138" s="152"/>
      <c r="Z138" s="152"/>
      <c r="AA138" s="152"/>
      <c r="AB138" s="152"/>
      <c r="AC138" s="152"/>
      <c r="AD138" s="152"/>
      <c r="AE138" s="152"/>
      <c r="AF138" s="152"/>
      <c r="AG138" s="152"/>
      <c r="AH138" s="152"/>
      <c r="AI138" s="152"/>
      <c r="AJ138" s="152"/>
      <c r="AK138" s="152"/>
      <c r="AL138" s="152"/>
      <c r="AM138" s="152"/>
      <c r="AN138" s="152"/>
      <c r="AO138" s="152"/>
      <c r="AP138" s="152"/>
      <c r="AQ138" s="152"/>
      <c r="AR138" s="152"/>
      <c r="AS138" s="152"/>
      <c r="AT138" s="152"/>
      <c r="AU138" s="153"/>
    </row>
    <row r="140" spans="2:47" ht="16.899999999999999" customHeight="1">
      <c r="B140" s="8" t="s">
        <v>145</v>
      </c>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c r="AC140" s="7"/>
      <c r="AD140" s="7"/>
      <c r="AE140" s="7"/>
      <c r="AF140" s="7"/>
      <c r="AG140" s="7"/>
      <c r="AH140" s="7"/>
      <c r="AI140" s="7"/>
      <c r="AJ140" s="7"/>
      <c r="AK140" s="7"/>
      <c r="AL140" s="7"/>
      <c r="AM140" s="7"/>
      <c r="AN140" s="7"/>
      <c r="AO140" s="7"/>
      <c r="AP140" s="7"/>
      <c r="AQ140" s="7"/>
      <c r="AR140" s="7"/>
      <c r="AS140" s="7"/>
      <c r="AT140" s="7"/>
      <c r="AU140" s="7"/>
    </row>
    <row r="141" spans="2:47" ht="16.899999999999999" customHeight="1">
      <c r="B141" s="275" t="s">
        <v>146</v>
      </c>
      <c r="C141" s="275"/>
      <c r="D141" s="275"/>
      <c r="E141" s="275"/>
      <c r="F141" s="275"/>
      <c r="G141" s="275"/>
      <c r="H141" s="275"/>
      <c r="I141" s="275"/>
      <c r="J141" s="275"/>
      <c r="K141" s="275"/>
      <c r="L141" s="224"/>
      <c r="M141" s="224"/>
      <c r="N141" s="224"/>
      <c r="O141" s="224"/>
      <c r="P141" s="224"/>
      <c r="Q141" s="224"/>
      <c r="R141" s="224"/>
      <c r="S141" s="224"/>
      <c r="T141" s="224"/>
      <c r="U141" s="224"/>
      <c r="V141" s="224"/>
      <c r="W141" s="224"/>
      <c r="X141" s="224"/>
      <c r="Y141" s="275" t="s">
        <v>147</v>
      </c>
      <c r="Z141" s="275"/>
      <c r="AA141" s="275"/>
      <c r="AB141" s="275"/>
      <c r="AC141" s="275"/>
      <c r="AD141" s="275"/>
      <c r="AE141" s="275"/>
      <c r="AF141" s="275"/>
      <c r="AG141" s="275"/>
      <c r="AH141" s="275"/>
      <c r="AI141" s="231"/>
      <c r="AJ141" s="231"/>
      <c r="AK141" s="231"/>
      <c r="AL141" s="231"/>
      <c r="AM141" s="231"/>
      <c r="AN141" s="231"/>
      <c r="AO141" s="231"/>
      <c r="AP141" s="231"/>
      <c r="AQ141" s="231"/>
      <c r="AR141" s="231"/>
      <c r="AS141" s="231"/>
      <c r="AT141" s="231"/>
      <c r="AU141" s="231"/>
    </row>
    <row r="142" spans="2:47" ht="16.899999999999999" customHeight="1">
      <c r="B142" s="257" t="s">
        <v>148</v>
      </c>
      <c r="C142" s="257"/>
      <c r="D142" s="257"/>
      <c r="E142" s="257"/>
      <c r="F142" s="257"/>
      <c r="G142" s="257"/>
      <c r="H142" s="257"/>
      <c r="I142" s="257"/>
      <c r="J142" s="257"/>
      <c r="K142" s="257"/>
      <c r="L142" s="139"/>
      <c r="M142" s="139"/>
      <c r="N142" s="139"/>
      <c r="O142" s="139"/>
      <c r="P142" s="139"/>
      <c r="Q142" s="139"/>
      <c r="R142" s="139"/>
      <c r="S142" s="139"/>
      <c r="T142" s="139"/>
      <c r="U142" s="139"/>
      <c r="V142" s="139"/>
      <c r="W142" s="139"/>
      <c r="X142" s="139"/>
      <c r="Y142" s="139"/>
      <c r="Z142" s="139"/>
      <c r="AA142" s="139"/>
      <c r="AB142" s="139"/>
      <c r="AC142" s="139"/>
      <c r="AD142" s="139"/>
      <c r="AE142" s="139"/>
      <c r="AF142" s="139"/>
      <c r="AG142" s="139"/>
      <c r="AH142" s="139"/>
      <c r="AI142" s="139"/>
      <c r="AJ142" s="139"/>
      <c r="AK142" s="139"/>
      <c r="AL142" s="139"/>
      <c r="AM142" s="139"/>
      <c r="AN142" s="139"/>
      <c r="AO142" s="139"/>
      <c r="AP142" s="139"/>
      <c r="AQ142" s="139"/>
      <c r="AR142" s="139"/>
      <c r="AS142" s="139"/>
      <c r="AT142" s="139"/>
      <c r="AU142" s="139"/>
    </row>
    <row r="143" spans="2:47" ht="16.899999999999999" customHeight="1">
      <c r="B143" s="257"/>
      <c r="C143" s="257"/>
      <c r="D143" s="257"/>
      <c r="E143" s="257"/>
      <c r="F143" s="257"/>
      <c r="G143" s="257"/>
      <c r="H143" s="257"/>
      <c r="I143" s="257"/>
      <c r="J143" s="257"/>
      <c r="K143" s="257"/>
      <c r="L143" s="139"/>
      <c r="M143" s="139"/>
      <c r="N143" s="139"/>
      <c r="O143" s="139"/>
      <c r="P143" s="139"/>
      <c r="Q143" s="139"/>
      <c r="R143" s="139"/>
      <c r="S143" s="139"/>
      <c r="T143" s="139"/>
      <c r="U143" s="139"/>
      <c r="V143" s="139"/>
      <c r="W143" s="139"/>
      <c r="X143" s="139"/>
      <c r="Y143" s="139"/>
      <c r="Z143" s="139"/>
      <c r="AA143" s="139"/>
      <c r="AB143" s="139"/>
      <c r="AC143" s="139"/>
      <c r="AD143" s="139"/>
      <c r="AE143" s="139"/>
      <c r="AF143" s="139"/>
      <c r="AG143" s="139"/>
      <c r="AH143" s="139"/>
      <c r="AI143" s="139"/>
      <c r="AJ143" s="139"/>
      <c r="AK143" s="139"/>
      <c r="AL143" s="139"/>
      <c r="AM143" s="139"/>
      <c r="AN143" s="139"/>
      <c r="AO143" s="139"/>
      <c r="AP143" s="139"/>
      <c r="AQ143" s="139"/>
      <c r="AR143" s="139"/>
      <c r="AS143" s="139"/>
      <c r="AT143" s="139"/>
      <c r="AU143" s="139"/>
    </row>
    <row r="144" spans="2:47" ht="16.899999999999999" customHeight="1">
      <c r="B144" s="257"/>
      <c r="C144" s="257"/>
      <c r="D144" s="257"/>
      <c r="E144" s="257"/>
      <c r="F144" s="257"/>
      <c r="G144" s="257"/>
      <c r="H144" s="257"/>
      <c r="I144" s="257"/>
      <c r="J144" s="257"/>
      <c r="K144" s="257"/>
      <c r="L144" s="139"/>
      <c r="M144" s="139"/>
      <c r="N144" s="139"/>
      <c r="O144" s="139"/>
      <c r="P144" s="139"/>
      <c r="Q144" s="139"/>
      <c r="R144" s="139"/>
      <c r="S144" s="139"/>
      <c r="T144" s="139"/>
      <c r="U144" s="139"/>
      <c r="V144" s="139"/>
      <c r="W144" s="139"/>
      <c r="X144" s="139"/>
      <c r="Y144" s="139"/>
      <c r="Z144" s="139"/>
      <c r="AA144" s="139"/>
      <c r="AB144" s="139"/>
      <c r="AC144" s="139"/>
      <c r="AD144" s="139"/>
      <c r="AE144" s="139"/>
      <c r="AF144" s="139"/>
      <c r="AG144" s="139"/>
      <c r="AH144" s="139"/>
      <c r="AI144" s="139"/>
      <c r="AJ144" s="139"/>
      <c r="AK144" s="139"/>
      <c r="AL144" s="139"/>
      <c r="AM144" s="139"/>
      <c r="AN144" s="139"/>
      <c r="AO144" s="139"/>
      <c r="AP144" s="139"/>
      <c r="AQ144" s="139"/>
      <c r="AR144" s="139"/>
      <c r="AS144" s="139"/>
      <c r="AT144" s="139"/>
      <c r="AU144" s="139"/>
    </row>
    <row r="145" spans="2:47" ht="16.899999999999999" customHeight="1">
      <c r="B145" s="257"/>
      <c r="C145" s="257"/>
      <c r="D145" s="257"/>
      <c r="E145" s="257"/>
      <c r="F145" s="257"/>
      <c r="G145" s="257"/>
      <c r="H145" s="257"/>
      <c r="I145" s="257"/>
      <c r="J145" s="257"/>
      <c r="K145" s="257"/>
      <c r="L145" s="139"/>
      <c r="M145" s="139"/>
      <c r="N145" s="139"/>
      <c r="O145" s="139"/>
      <c r="P145" s="139"/>
      <c r="Q145" s="139"/>
      <c r="R145" s="139"/>
      <c r="S145" s="139"/>
      <c r="T145" s="139"/>
      <c r="U145" s="139"/>
      <c r="V145" s="139"/>
      <c r="W145" s="139"/>
      <c r="X145" s="139"/>
      <c r="Y145" s="139"/>
      <c r="Z145" s="139"/>
      <c r="AA145" s="139"/>
      <c r="AB145" s="139"/>
      <c r="AC145" s="139"/>
      <c r="AD145" s="139"/>
      <c r="AE145" s="139"/>
      <c r="AF145" s="139"/>
      <c r="AG145" s="139"/>
      <c r="AH145" s="139"/>
      <c r="AI145" s="139"/>
      <c r="AJ145" s="139"/>
      <c r="AK145" s="139"/>
      <c r="AL145" s="139"/>
      <c r="AM145" s="139"/>
      <c r="AN145" s="139"/>
      <c r="AO145" s="139"/>
      <c r="AP145" s="139"/>
      <c r="AQ145" s="139"/>
      <c r="AR145" s="139"/>
      <c r="AS145" s="139"/>
      <c r="AT145" s="139"/>
      <c r="AU145" s="139"/>
    </row>
  </sheetData>
  <protectedRanges>
    <protectedRange sqref="AI13:AU13 AI15:AU15" name="範囲1_1"/>
    <protectedRange sqref="AI16:AU16 AI21:AU21 AI141:AU141 AI14:AU14 L13:X13 L15:X15" name="範囲1_2"/>
    <protectedRange sqref="L21:M21 L141:M141 L46:M46 L48:M48 L14:M14 L16:M16" name="範囲1_3"/>
    <protectedRange sqref="H93:AK93 H98:AK98 H103:AK103 AI48:AU48 R91:AU91 R36:AU41 H108:AK116 AI46:AU46 R66:AU74 R24:AU33" name="範囲1_4"/>
    <protectedRange sqref="AI59:AU60" name="範囲1_1_1"/>
    <protectedRange sqref="AI61:AU61 L59:X61" name="範囲1_2_1"/>
    <protectedRange sqref="L54:X54" name="範囲1_1_3"/>
    <protectedRange sqref="AI54:AU54 L53:X53" name="範囲1_2_3"/>
  </protectedRanges>
  <mergeCells count="233">
    <mergeCell ref="AR90:AU90"/>
    <mergeCell ref="B62:K62"/>
    <mergeCell ref="L62:X62"/>
    <mergeCell ref="B90:K90"/>
    <mergeCell ref="L90:O90"/>
    <mergeCell ref="P90:S90"/>
    <mergeCell ref="T90:W90"/>
    <mergeCell ref="X90:AA90"/>
    <mergeCell ref="AB90:AE90"/>
    <mergeCell ref="AF90:AI90"/>
    <mergeCell ref="AJ90:AM90"/>
    <mergeCell ref="AN90:AQ90"/>
    <mergeCell ref="B89:K89"/>
    <mergeCell ref="L89:O89"/>
    <mergeCell ref="P89:S89"/>
    <mergeCell ref="T89:W89"/>
    <mergeCell ref="X89:AA89"/>
    <mergeCell ref="AB89:AE89"/>
    <mergeCell ref="AF89:AI89"/>
    <mergeCell ref="AJ89:AM89"/>
    <mergeCell ref="AN89:AQ89"/>
    <mergeCell ref="AR89:AU89"/>
    <mergeCell ref="AR87:AU87"/>
    <mergeCell ref="B88:K88"/>
    <mergeCell ref="L88:O88"/>
    <mergeCell ref="P88:S88"/>
    <mergeCell ref="T88:W88"/>
    <mergeCell ref="X88:AA88"/>
    <mergeCell ref="AB88:AE88"/>
    <mergeCell ref="AF88:AI88"/>
    <mergeCell ref="AJ88:AM88"/>
    <mergeCell ref="AN88:AQ88"/>
    <mergeCell ref="AR88:AU88"/>
    <mergeCell ref="B87:K87"/>
    <mergeCell ref="L87:O87"/>
    <mergeCell ref="P87:S87"/>
    <mergeCell ref="T87:W87"/>
    <mergeCell ref="X87:AA87"/>
    <mergeCell ref="AB87:AE87"/>
    <mergeCell ref="AF87:AI87"/>
    <mergeCell ref="AJ87:AM87"/>
    <mergeCell ref="AN87:AQ87"/>
    <mergeCell ref="AR85:AU85"/>
    <mergeCell ref="B86:K86"/>
    <mergeCell ref="L86:O86"/>
    <mergeCell ref="P86:S86"/>
    <mergeCell ref="T86:W86"/>
    <mergeCell ref="X86:AA86"/>
    <mergeCell ref="AB86:AE86"/>
    <mergeCell ref="AF86:AI86"/>
    <mergeCell ref="AJ86:AM86"/>
    <mergeCell ref="AN86:AQ86"/>
    <mergeCell ref="AR86:AU86"/>
    <mergeCell ref="B85:K85"/>
    <mergeCell ref="L85:O85"/>
    <mergeCell ref="P85:S85"/>
    <mergeCell ref="T85:W85"/>
    <mergeCell ref="X85:AA85"/>
    <mergeCell ref="AB85:AE85"/>
    <mergeCell ref="AF85:AI85"/>
    <mergeCell ref="AJ85:AM85"/>
    <mergeCell ref="AN85:AQ85"/>
    <mergeCell ref="AB84:AE84"/>
    <mergeCell ref="AF84:AI84"/>
    <mergeCell ref="AJ84:AM84"/>
    <mergeCell ref="AN84:AQ84"/>
    <mergeCell ref="AR84:AU84"/>
    <mergeCell ref="B83:K83"/>
    <mergeCell ref="L83:O83"/>
    <mergeCell ref="P83:S83"/>
    <mergeCell ref="T83:W83"/>
    <mergeCell ref="X83:AA83"/>
    <mergeCell ref="AB83:AE83"/>
    <mergeCell ref="AF83:AI83"/>
    <mergeCell ref="AJ83:AM83"/>
    <mergeCell ref="AN83:AQ83"/>
    <mergeCell ref="B2:AE3"/>
    <mergeCell ref="Y46:AH47"/>
    <mergeCell ref="AI46:AU47"/>
    <mergeCell ref="L32:AU33"/>
    <mergeCell ref="AQ2:AU2"/>
    <mergeCell ref="AQ3:AU5"/>
    <mergeCell ref="AQ6:AU6"/>
    <mergeCell ref="L14:X14"/>
    <mergeCell ref="Y14:AH14"/>
    <mergeCell ref="AI14:AU14"/>
    <mergeCell ref="B16:K16"/>
    <mergeCell ref="L16:X16"/>
    <mergeCell ref="Y16:AH16"/>
    <mergeCell ref="AI16:AU16"/>
    <mergeCell ref="B24:K25"/>
    <mergeCell ref="L24:AU25"/>
    <mergeCell ref="B26:K27"/>
    <mergeCell ref="L26:AU27"/>
    <mergeCell ref="B14:K14"/>
    <mergeCell ref="Y13:AH13"/>
    <mergeCell ref="B9:K9"/>
    <mergeCell ref="L9:X9"/>
    <mergeCell ref="B42:K43"/>
    <mergeCell ref="Y9:AH9"/>
    <mergeCell ref="B12:K12"/>
    <mergeCell ref="L10:AU10"/>
    <mergeCell ref="B10:K10"/>
    <mergeCell ref="AI13:AU13"/>
    <mergeCell ref="B11:K11"/>
    <mergeCell ref="L11:AU11"/>
    <mergeCell ref="AI9:AN9"/>
    <mergeCell ref="AP9:AU9"/>
    <mergeCell ref="L12:X12"/>
    <mergeCell ref="Y12:AH12"/>
    <mergeCell ref="AI12:AU12"/>
    <mergeCell ref="L13:X13"/>
    <mergeCell ref="B13:K13"/>
    <mergeCell ref="B28:K29"/>
    <mergeCell ref="L28:AU29"/>
    <mergeCell ref="B142:K145"/>
    <mergeCell ref="B36:K37"/>
    <mergeCell ref="B38:K39"/>
    <mergeCell ref="L42:AU43"/>
    <mergeCell ref="B122:AU138"/>
    <mergeCell ref="B58:K58"/>
    <mergeCell ref="B59:K59"/>
    <mergeCell ref="Y141:AH141"/>
    <mergeCell ref="B55:K55"/>
    <mergeCell ref="L54:X54"/>
    <mergeCell ref="Y54:AH54"/>
    <mergeCell ref="L59:X59"/>
    <mergeCell ref="L52:X52"/>
    <mergeCell ref="Y52:AH52"/>
    <mergeCell ref="AI52:AU52"/>
    <mergeCell ref="L80:O80"/>
    <mergeCell ref="P80:S80"/>
    <mergeCell ref="T80:W80"/>
    <mergeCell ref="X80:AA80"/>
    <mergeCell ref="Y65:AH65"/>
    <mergeCell ref="B60:K60"/>
    <mergeCell ref="L60:X60"/>
    <mergeCell ref="Y15:AH15"/>
    <mergeCell ref="L142:AU145"/>
    <mergeCell ref="L36:AU37"/>
    <mergeCell ref="L38:AU39"/>
    <mergeCell ref="B108:AU119"/>
    <mergeCell ref="B141:K141"/>
    <mergeCell ref="B48:K49"/>
    <mergeCell ref="B40:K41"/>
    <mergeCell ref="L66:AU68"/>
    <mergeCell ref="B69:K71"/>
    <mergeCell ref="L69:AU71"/>
    <mergeCell ref="B65:K65"/>
    <mergeCell ref="B21:K21"/>
    <mergeCell ref="B52:K52"/>
    <mergeCell ref="B53:K53"/>
    <mergeCell ref="B54:K54"/>
    <mergeCell ref="AI65:AU65"/>
    <mergeCell ref="B66:K68"/>
    <mergeCell ref="L48:X49"/>
    <mergeCell ref="Y48:AH49"/>
    <mergeCell ref="AI48:AU49"/>
    <mergeCell ref="AI54:AU54"/>
    <mergeCell ref="L30:AU31"/>
    <mergeCell ref="L65:X65"/>
    <mergeCell ref="Y60:AH60"/>
    <mergeCell ref="B98:AU100"/>
    <mergeCell ref="B61:K61"/>
    <mergeCell ref="L61:X61"/>
    <mergeCell ref="Y61:AH61"/>
    <mergeCell ref="AI61:AU61"/>
    <mergeCell ref="L53:X53"/>
    <mergeCell ref="Y53:AH53"/>
    <mergeCell ref="B75:K77"/>
    <mergeCell ref="L75:AU77"/>
    <mergeCell ref="AB80:AE80"/>
    <mergeCell ref="AF80:AI80"/>
    <mergeCell ref="AJ80:AM80"/>
    <mergeCell ref="AN80:AQ80"/>
    <mergeCell ref="AR80:AU80"/>
    <mergeCell ref="B81:K81"/>
    <mergeCell ref="L81:O81"/>
    <mergeCell ref="P81:S81"/>
    <mergeCell ref="AR81:AU81"/>
    <mergeCell ref="B82:K82"/>
    <mergeCell ref="L82:O82"/>
    <mergeCell ref="P82:S82"/>
    <mergeCell ref="T82:W82"/>
    <mergeCell ref="X82:AA82"/>
    <mergeCell ref="AL2:AP2"/>
    <mergeCell ref="AL3:AP5"/>
    <mergeCell ref="AL6:AP6"/>
    <mergeCell ref="L46:X47"/>
    <mergeCell ref="B46:K47"/>
    <mergeCell ref="AI21:AU21"/>
    <mergeCell ref="L17:AU18"/>
    <mergeCell ref="AI60:AU60"/>
    <mergeCell ref="AI15:AU15"/>
    <mergeCell ref="B30:K31"/>
    <mergeCell ref="B32:K33"/>
    <mergeCell ref="L40:AU41"/>
    <mergeCell ref="B15:K15"/>
    <mergeCell ref="L15:X15"/>
    <mergeCell ref="B17:K18"/>
    <mergeCell ref="L21:X21"/>
    <mergeCell ref="Y21:AH21"/>
    <mergeCell ref="L55:AU55"/>
    <mergeCell ref="AI53:AU53"/>
    <mergeCell ref="L58:X58"/>
    <mergeCell ref="Y58:AH58"/>
    <mergeCell ref="AI58:AU58"/>
    <mergeCell ref="Y59:AH59"/>
    <mergeCell ref="AI59:AU59"/>
    <mergeCell ref="L141:X141"/>
    <mergeCell ref="B72:K74"/>
    <mergeCell ref="L72:AU74"/>
    <mergeCell ref="B80:K80"/>
    <mergeCell ref="AI141:AU141"/>
    <mergeCell ref="B103:AU105"/>
    <mergeCell ref="B93:AU95"/>
    <mergeCell ref="T81:W81"/>
    <mergeCell ref="X81:AA81"/>
    <mergeCell ref="AB81:AE81"/>
    <mergeCell ref="AF81:AI81"/>
    <mergeCell ref="AJ81:AM81"/>
    <mergeCell ref="AN81:AQ81"/>
    <mergeCell ref="AB82:AE82"/>
    <mergeCell ref="AF82:AI82"/>
    <mergeCell ref="AJ82:AM82"/>
    <mergeCell ref="AN82:AQ82"/>
    <mergeCell ref="AR82:AU82"/>
    <mergeCell ref="AR83:AU83"/>
    <mergeCell ref="B84:K84"/>
    <mergeCell ref="L84:O84"/>
    <mergeCell ref="P84:S84"/>
    <mergeCell ref="T84:W84"/>
    <mergeCell ref="X84:AA84"/>
  </mergeCells>
  <phoneticPr fontId="2"/>
  <dataValidations count="6">
    <dataValidation allowBlank="1" showInputMessage="1" prompt="★例）納期を厳守する" sqref="R40 R36 R38 R66:R67 R69:R70 R72:R73" xr:uid="{00000000-0002-0000-0000-000000000000}"/>
    <dataValidation type="list" allowBlank="1" showInputMessage="1" showErrorMessage="1" sqref="AI16:AU16" xr:uid="{00000000-0002-0000-0000-000001000000}">
      <formula1>"新規開発,改良開発,その他"</formula1>
    </dataValidation>
    <dataValidation type="list" allowBlank="1" showInputMessage="1" showErrorMessage="1" sqref="L141:X141" xr:uid="{00000000-0002-0000-0000-000002000000}">
      <formula1>"依頼済み未回収,回収済み,依頼なし"</formula1>
    </dataValidation>
    <dataValidation type="list" allowBlank="1" showInputMessage="1" showErrorMessage="1" sqref="L46" xr:uid="{E63558E8-BDC1-4334-9970-52F0EA126EF8}">
      <formula1>"あり,なし"</formula1>
    </dataValidation>
    <dataValidation allowBlank="1" showDropDown="1" showInputMessage="1" showErrorMessage="1" sqref="B90:K90" xr:uid="{B5019F62-44C1-4517-B1FD-B89662077367}"/>
    <dataValidation type="list" allowBlank="1" showInputMessage="1" sqref="B81:K89" xr:uid="{D2C92F76-3375-4D6E-9456-A821E13E494D}">
      <formula1>"要件定義,基本設計,詳細設計,製造,結合テスト,システムテスト,ユーザーテスト,本稼働,その他"</formula1>
    </dataValidation>
  </dataValidations>
  <printOptions horizontalCentered="1"/>
  <pageMargins left="0.39370078740157483" right="0.39370078740157483" top="0.39370078740157483" bottom="0.39370078740157483" header="0.19685039370078741" footer="0.19685039370078741"/>
  <pageSetup paperSize="9" scale="65" fitToHeight="0" orientation="portrait" r:id="rId1"/>
  <headerFooter alignWithMargins="0">
    <oddFooter>&amp;C&amp;P / &amp;N</oddFooter>
  </headerFooter>
  <rowBreaks count="1" manualBreakCount="1">
    <brk id="77" max="46" man="1"/>
  </rowBreaks>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E0B30-7B28-4A4B-96B1-EB7F6C4EA8DA}">
  <sheetPr>
    <tabColor rgb="FFFFFFC8"/>
    <pageSetUpPr fitToPage="1"/>
  </sheetPr>
  <dimension ref="A1:BG77"/>
  <sheetViews>
    <sheetView showGridLines="0" zoomScaleNormal="100" zoomScaleSheetLayoutView="75" workbookViewId="0">
      <selection activeCell="B58" sqref="B58:AU65"/>
    </sheetView>
  </sheetViews>
  <sheetFormatPr defaultColWidth="3.140625" defaultRowHeight="16.899999999999999" customHeight="1"/>
  <cols>
    <col min="1" max="16384" width="3.140625" style="4"/>
  </cols>
  <sheetData>
    <row r="1" spans="1:59" ht="16.899999999999999" customHeight="1" thickBot="1">
      <c r="A1" s="2"/>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row>
    <row r="2" spans="1:59" ht="16.899999999999999" customHeight="1" thickBot="1">
      <c r="A2" s="2"/>
      <c r="B2" s="172" t="s">
        <v>149</v>
      </c>
      <c r="C2" s="172"/>
      <c r="D2" s="172"/>
      <c r="E2" s="172"/>
      <c r="F2" s="172"/>
      <c r="G2" s="172"/>
      <c r="H2" s="172"/>
      <c r="I2" s="172"/>
      <c r="J2" s="172"/>
      <c r="K2" s="172"/>
      <c r="L2" s="172"/>
      <c r="M2" s="172"/>
      <c r="N2" s="172"/>
      <c r="O2" s="172"/>
      <c r="P2" s="172"/>
      <c r="Q2" s="172"/>
      <c r="R2" s="172"/>
      <c r="S2" s="172"/>
      <c r="T2" s="172"/>
      <c r="U2" s="172"/>
      <c r="V2" s="172"/>
      <c r="W2" s="172"/>
      <c r="X2" s="172"/>
      <c r="Y2" s="172"/>
      <c r="Z2" s="172"/>
      <c r="AA2" s="172"/>
      <c r="AB2" s="172"/>
      <c r="AC2" s="172"/>
      <c r="AD2" s="172"/>
      <c r="AE2" s="172"/>
      <c r="AF2" s="172"/>
      <c r="AG2" s="172"/>
      <c r="AH2" s="172"/>
      <c r="AI2" s="172"/>
      <c r="AJ2" s="23"/>
      <c r="AK2" s="24"/>
      <c r="AL2" s="173" t="s">
        <v>1</v>
      </c>
      <c r="AM2" s="174"/>
      <c r="AN2" s="174"/>
      <c r="AO2" s="174"/>
      <c r="AP2" s="175"/>
      <c r="AQ2" s="173" t="s">
        <v>2</v>
      </c>
      <c r="AR2" s="174"/>
      <c r="AS2" s="174"/>
      <c r="AT2" s="174"/>
      <c r="AU2" s="175"/>
    </row>
    <row r="3" spans="1:59" ht="16.899999999999999" customHeight="1">
      <c r="A3" s="2"/>
      <c r="B3" s="172"/>
      <c r="C3" s="172"/>
      <c r="D3" s="172"/>
      <c r="E3" s="172"/>
      <c r="F3" s="172"/>
      <c r="G3" s="172"/>
      <c r="H3" s="172"/>
      <c r="I3" s="172"/>
      <c r="J3" s="172"/>
      <c r="K3" s="172"/>
      <c r="L3" s="172"/>
      <c r="M3" s="172"/>
      <c r="N3" s="172"/>
      <c r="O3" s="172"/>
      <c r="P3" s="172"/>
      <c r="Q3" s="172"/>
      <c r="R3" s="172"/>
      <c r="S3" s="172"/>
      <c r="T3" s="172"/>
      <c r="U3" s="172"/>
      <c r="V3" s="172"/>
      <c r="W3" s="172"/>
      <c r="X3" s="172"/>
      <c r="Y3" s="172"/>
      <c r="Z3" s="172"/>
      <c r="AA3" s="172"/>
      <c r="AB3" s="172"/>
      <c r="AC3" s="172"/>
      <c r="AD3" s="172"/>
      <c r="AE3" s="172"/>
      <c r="AF3" s="172"/>
      <c r="AG3" s="172"/>
      <c r="AH3" s="172"/>
      <c r="AI3" s="172"/>
      <c r="AJ3" s="23"/>
      <c r="AK3" s="2"/>
      <c r="AL3" s="176" t="s">
        <v>3</v>
      </c>
      <c r="AM3" s="177"/>
      <c r="AN3" s="177"/>
      <c r="AO3" s="177"/>
      <c r="AP3" s="178"/>
      <c r="AQ3" s="176" t="s">
        <v>4</v>
      </c>
      <c r="AR3" s="177"/>
      <c r="AS3" s="177"/>
      <c r="AT3" s="177"/>
      <c r="AU3" s="178"/>
    </row>
    <row r="4" spans="1:59" ht="16.899999999999999" customHeight="1">
      <c r="A4" s="2"/>
      <c r="B4" s="2"/>
      <c r="C4" s="2"/>
      <c r="D4" s="3"/>
      <c r="E4" s="3"/>
      <c r="F4" s="3"/>
      <c r="G4" s="3"/>
      <c r="H4" s="3"/>
      <c r="I4" s="3"/>
      <c r="J4" s="3"/>
      <c r="K4" s="3"/>
      <c r="L4" s="3"/>
      <c r="M4" s="3"/>
      <c r="N4" s="3"/>
      <c r="O4" s="3"/>
      <c r="P4" s="3"/>
      <c r="Q4" s="3"/>
      <c r="R4" s="3"/>
      <c r="S4" s="3"/>
      <c r="T4" s="3"/>
      <c r="U4" s="3"/>
      <c r="V4" s="2"/>
      <c r="W4" s="3"/>
      <c r="X4" s="3"/>
      <c r="Y4" s="3"/>
      <c r="Z4" s="3"/>
      <c r="AA4" s="3"/>
      <c r="AB4" s="3"/>
      <c r="AC4" s="3"/>
      <c r="AD4" s="3"/>
      <c r="AE4" s="3"/>
      <c r="AF4" s="3"/>
      <c r="AG4" s="3"/>
      <c r="AH4" s="3"/>
      <c r="AI4" s="3"/>
      <c r="AJ4" s="3"/>
      <c r="AK4" s="3"/>
      <c r="AL4" s="179"/>
      <c r="AM4" s="180"/>
      <c r="AN4" s="180"/>
      <c r="AO4" s="180"/>
      <c r="AP4" s="181"/>
      <c r="AQ4" s="179"/>
      <c r="AR4" s="180"/>
      <c r="AS4" s="180"/>
      <c r="AT4" s="180"/>
      <c r="AU4" s="181"/>
    </row>
    <row r="5" spans="1:59" ht="16.899999999999999" customHeight="1">
      <c r="A5" s="2"/>
      <c r="B5" s="3"/>
      <c r="C5" s="3"/>
      <c r="D5" s="3"/>
      <c r="E5" s="3"/>
      <c r="F5" s="3"/>
      <c r="G5" s="3"/>
      <c r="H5" s="3"/>
      <c r="I5" s="3"/>
      <c r="J5" s="3"/>
      <c r="K5" s="3"/>
      <c r="L5" s="3"/>
      <c r="M5" s="3"/>
      <c r="N5" s="3"/>
      <c r="O5" s="3"/>
      <c r="P5" s="3"/>
      <c r="Q5" s="3"/>
      <c r="R5" s="3"/>
      <c r="S5" s="3"/>
      <c r="T5" s="3"/>
      <c r="U5" s="3"/>
      <c r="V5" s="2"/>
      <c r="W5" s="3"/>
      <c r="X5" s="3"/>
      <c r="Y5" s="3"/>
      <c r="Z5" s="3"/>
      <c r="AA5" s="3"/>
      <c r="AB5" s="3"/>
      <c r="AC5" s="3"/>
      <c r="AD5" s="3"/>
      <c r="AE5" s="3"/>
      <c r="AF5" s="3"/>
      <c r="AG5" s="3"/>
      <c r="AH5" s="3"/>
      <c r="AI5" s="3"/>
      <c r="AJ5" s="3"/>
      <c r="AK5" s="3"/>
      <c r="AL5" s="182"/>
      <c r="AM5" s="183"/>
      <c r="AN5" s="183"/>
      <c r="AO5" s="183"/>
      <c r="AP5" s="184"/>
      <c r="AQ5" s="182"/>
      <c r="AR5" s="183"/>
      <c r="AS5" s="183"/>
      <c r="AT5" s="183"/>
      <c r="AU5" s="184"/>
    </row>
    <row r="6" spans="1:59" ht="16.899999999999999" customHeight="1" thickBot="1">
      <c r="A6" s="2"/>
      <c r="B6" s="3"/>
      <c r="C6" s="3"/>
      <c r="D6" s="3"/>
      <c r="E6" s="3"/>
      <c r="F6" s="3"/>
      <c r="G6" s="3"/>
      <c r="H6" s="3"/>
      <c r="I6" s="3"/>
      <c r="J6" s="3"/>
      <c r="K6" s="3"/>
      <c r="L6" s="3"/>
      <c r="M6" s="3"/>
      <c r="N6" s="3"/>
      <c r="O6" s="3"/>
      <c r="P6" s="3"/>
      <c r="Q6" s="3"/>
      <c r="R6" s="3"/>
      <c r="S6" s="3"/>
      <c r="T6" s="3"/>
      <c r="U6" s="3"/>
      <c r="V6" s="2"/>
      <c r="W6" s="3"/>
      <c r="X6" s="3"/>
      <c r="Y6" s="3"/>
      <c r="Z6" s="3"/>
      <c r="AA6" s="3"/>
      <c r="AB6" s="3"/>
      <c r="AC6" s="3"/>
      <c r="AD6" s="3"/>
      <c r="AE6" s="3"/>
      <c r="AF6" s="3"/>
      <c r="AG6" s="3"/>
      <c r="AH6" s="3"/>
      <c r="AI6" s="3"/>
      <c r="AJ6" s="3"/>
      <c r="AK6" s="3"/>
      <c r="AL6" s="185" t="s">
        <v>5</v>
      </c>
      <c r="AM6" s="186"/>
      <c r="AN6" s="186"/>
      <c r="AO6" s="186"/>
      <c r="AP6" s="187"/>
      <c r="AQ6" s="185" t="s">
        <v>5</v>
      </c>
      <c r="AR6" s="186"/>
      <c r="AS6" s="186"/>
      <c r="AT6" s="186"/>
      <c r="AU6" s="187"/>
    </row>
    <row r="7" spans="1:59" ht="16.899999999999999" customHeight="1">
      <c r="A7" s="2"/>
      <c r="B7" s="2"/>
      <c r="C7" s="2"/>
      <c r="D7" s="2"/>
      <c r="E7" s="2"/>
      <c r="F7" s="2"/>
      <c r="G7" s="2"/>
      <c r="H7" s="2"/>
      <c r="I7" s="2"/>
      <c r="J7" s="2"/>
      <c r="K7" s="2"/>
      <c r="L7" s="2"/>
      <c r="M7" s="2"/>
      <c r="N7" s="2"/>
      <c r="O7" s="2"/>
      <c r="P7" s="2"/>
      <c r="Q7" s="2"/>
      <c r="R7" s="2"/>
      <c r="S7" s="2"/>
      <c r="T7" s="2"/>
      <c r="U7" s="2"/>
      <c r="V7" s="1"/>
      <c r="W7" s="1"/>
      <c r="X7" s="1"/>
      <c r="Y7" s="1"/>
      <c r="Z7" s="1"/>
      <c r="AA7" s="3"/>
      <c r="AB7" s="3"/>
      <c r="AC7" s="3"/>
      <c r="AD7" s="3"/>
      <c r="AE7" s="3"/>
      <c r="AF7" s="2"/>
      <c r="AG7" s="2"/>
      <c r="AH7" s="2"/>
      <c r="AI7" s="2"/>
      <c r="AJ7" s="2"/>
      <c r="AK7" s="2"/>
      <c r="AL7" s="2"/>
      <c r="AM7" s="2"/>
      <c r="AN7" s="2"/>
      <c r="AO7" s="2"/>
      <c r="AP7" s="2"/>
      <c r="AQ7" s="2"/>
      <c r="AR7" s="2"/>
      <c r="AS7" s="2"/>
      <c r="AT7" s="2"/>
      <c r="AU7" s="2"/>
    </row>
    <row r="8" spans="1:59" ht="16.899999999999999" customHeight="1">
      <c r="A8" s="2"/>
      <c r="B8" s="9" t="s">
        <v>6</v>
      </c>
      <c r="C8" s="3"/>
      <c r="D8" s="3"/>
      <c r="E8" s="3"/>
      <c r="F8" s="3"/>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row>
    <row r="9" spans="1:59" ht="16.899999999999999" customHeight="1">
      <c r="A9" s="2"/>
      <c r="B9" s="333" t="s">
        <v>7</v>
      </c>
      <c r="C9" s="265"/>
      <c r="D9" s="265"/>
      <c r="E9" s="265"/>
      <c r="F9" s="265"/>
      <c r="G9" s="265"/>
      <c r="H9" s="265"/>
      <c r="I9" s="265"/>
      <c r="J9" s="265"/>
      <c r="K9" s="265"/>
      <c r="L9" s="334" t="str">
        <f>プロジェクト計画書!L9 &amp; ""</f>
        <v/>
      </c>
      <c r="M9" s="334"/>
      <c r="N9" s="334"/>
      <c r="O9" s="334"/>
      <c r="P9" s="334"/>
      <c r="Q9" s="334"/>
      <c r="R9" s="334"/>
      <c r="S9" s="334"/>
      <c r="T9" s="334"/>
      <c r="U9" s="334"/>
      <c r="V9" s="334"/>
      <c r="W9" s="334"/>
      <c r="X9" s="334"/>
      <c r="Y9" s="265" t="s">
        <v>8</v>
      </c>
      <c r="Z9" s="265"/>
      <c r="AA9" s="265"/>
      <c r="AB9" s="265"/>
      <c r="AC9" s="265"/>
      <c r="AD9" s="265"/>
      <c r="AE9" s="265"/>
      <c r="AF9" s="265"/>
      <c r="AG9" s="265"/>
      <c r="AH9" s="265"/>
      <c r="AI9" s="313" t="str">
        <f>IF(プロジェクト計画書!AI9="","",プロジェクト計画書!AI9)</f>
        <v/>
      </c>
      <c r="AJ9" s="314"/>
      <c r="AK9" s="314"/>
      <c r="AL9" s="314"/>
      <c r="AM9" s="314"/>
      <c r="AN9" s="314"/>
      <c r="AO9" s="50" t="s">
        <v>9</v>
      </c>
      <c r="AP9" s="314" t="str">
        <f>IF(プロジェクト計画書!AP9="","",プロジェクト計画書!AP9)</f>
        <v/>
      </c>
      <c r="AQ9" s="314"/>
      <c r="AR9" s="314"/>
      <c r="AS9" s="314"/>
      <c r="AT9" s="314"/>
      <c r="AU9" s="315"/>
    </row>
    <row r="10" spans="1:59" ht="16.899999999999999" customHeight="1">
      <c r="A10" s="2"/>
      <c r="B10" s="335" t="s">
        <v>10</v>
      </c>
      <c r="C10" s="259"/>
      <c r="D10" s="259"/>
      <c r="E10" s="259"/>
      <c r="F10" s="259"/>
      <c r="G10" s="259"/>
      <c r="H10" s="259"/>
      <c r="I10" s="259"/>
      <c r="J10" s="259"/>
      <c r="K10" s="260"/>
      <c r="L10" s="336" t="str">
        <f>プロジェクト計画書!L10 &amp; ""</f>
        <v/>
      </c>
      <c r="M10" s="337"/>
      <c r="N10" s="337"/>
      <c r="O10" s="337"/>
      <c r="P10" s="337"/>
      <c r="Q10" s="337"/>
      <c r="R10" s="337"/>
      <c r="S10" s="337"/>
      <c r="T10" s="337"/>
      <c r="U10" s="337"/>
      <c r="V10" s="337"/>
      <c r="W10" s="337"/>
      <c r="X10" s="337"/>
      <c r="Y10" s="337"/>
      <c r="Z10" s="337"/>
      <c r="AA10" s="337"/>
      <c r="AB10" s="337"/>
      <c r="AC10" s="337"/>
      <c r="AD10" s="337"/>
      <c r="AE10" s="337"/>
      <c r="AF10" s="337"/>
      <c r="AG10" s="337"/>
      <c r="AH10" s="337"/>
      <c r="AI10" s="337"/>
      <c r="AJ10" s="337"/>
      <c r="AK10" s="337"/>
      <c r="AL10" s="337"/>
      <c r="AM10" s="337"/>
      <c r="AN10" s="337"/>
      <c r="AO10" s="337"/>
      <c r="AP10" s="337"/>
      <c r="AQ10" s="337"/>
      <c r="AR10" s="337"/>
      <c r="AS10" s="337"/>
      <c r="AT10" s="337"/>
      <c r="AU10" s="338"/>
    </row>
    <row r="11" spans="1:59" ht="16.899999999999999" customHeight="1">
      <c r="A11" s="2"/>
      <c r="B11" s="258" t="s">
        <v>11</v>
      </c>
      <c r="C11" s="259"/>
      <c r="D11" s="259"/>
      <c r="E11" s="259"/>
      <c r="F11" s="259"/>
      <c r="G11" s="259"/>
      <c r="H11" s="259"/>
      <c r="I11" s="259"/>
      <c r="J11" s="259"/>
      <c r="K11" s="260"/>
      <c r="L11" s="261" t="str">
        <f>プロジェクト計画書!L11 &amp; ""</f>
        <v/>
      </c>
      <c r="M11" s="262"/>
      <c r="N11" s="262"/>
      <c r="O11" s="262"/>
      <c r="P11" s="262"/>
      <c r="Q11" s="262"/>
      <c r="R11" s="262"/>
      <c r="S11" s="262"/>
      <c r="T11" s="262"/>
      <c r="U11" s="262"/>
      <c r="V11" s="262"/>
      <c r="W11" s="262"/>
      <c r="X11" s="262"/>
      <c r="Y11" s="262"/>
      <c r="Z11" s="262"/>
      <c r="AA11" s="262"/>
      <c r="AB11" s="262"/>
      <c r="AC11" s="262"/>
      <c r="AD11" s="262"/>
      <c r="AE11" s="262"/>
      <c r="AF11" s="262"/>
      <c r="AG11" s="262"/>
      <c r="AH11" s="262"/>
      <c r="AI11" s="262"/>
      <c r="AJ11" s="262"/>
      <c r="AK11" s="262"/>
      <c r="AL11" s="262"/>
      <c r="AM11" s="262"/>
      <c r="AN11" s="262"/>
      <c r="AO11" s="262"/>
      <c r="AP11" s="262"/>
      <c r="AQ11" s="262"/>
      <c r="AR11" s="262"/>
      <c r="AS11" s="262"/>
      <c r="AT11" s="262"/>
      <c r="AU11" s="263"/>
    </row>
    <row r="12" spans="1:59" ht="16.899999999999999" customHeight="1">
      <c r="A12" s="2"/>
      <c r="B12" s="333" t="s">
        <v>12</v>
      </c>
      <c r="C12" s="265"/>
      <c r="D12" s="265"/>
      <c r="E12" s="265"/>
      <c r="F12" s="265"/>
      <c r="G12" s="265"/>
      <c r="H12" s="265"/>
      <c r="I12" s="265"/>
      <c r="J12" s="265"/>
      <c r="K12" s="265"/>
      <c r="L12" s="334" t="str">
        <f>プロジェクト計画書!L12 &amp; ""</f>
        <v/>
      </c>
      <c r="M12" s="334"/>
      <c r="N12" s="334"/>
      <c r="O12" s="334"/>
      <c r="P12" s="334"/>
      <c r="Q12" s="334"/>
      <c r="R12" s="334"/>
      <c r="S12" s="334"/>
      <c r="T12" s="334"/>
      <c r="U12" s="334"/>
      <c r="V12" s="334"/>
      <c r="W12" s="334"/>
      <c r="X12" s="334"/>
      <c r="Y12" s="265" t="s">
        <v>13</v>
      </c>
      <c r="Z12" s="265"/>
      <c r="AA12" s="265"/>
      <c r="AB12" s="265"/>
      <c r="AC12" s="265"/>
      <c r="AD12" s="265"/>
      <c r="AE12" s="265"/>
      <c r="AF12" s="265"/>
      <c r="AG12" s="265"/>
      <c r="AH12" s="267"/>
      <c r="AI12" s="317" t="str">
        <f>プロジェクト計画書!AI12 &amp; ""</f>
        <v/>
      </c>
      <c r="AJ12" s="317"/>
      <c r="AK12" s="317"/>
      <c r="AL12" s="317"/>
      <c r="AM12" s="317"/>
      <c r="AN12" s="317"/>
      <c r="AO12" s="317"/>
      <c r="AP12" s="317"/>
      <c r="AQ12" s="317"/>
      <c r="AR12" s="317"/>
      <c r="AS12" s="317"/>
      <c r="AT12" s="317"/>
      <c r="AU12" s="317"/>
      <c r="AX12" s="47"/>
      <c r="AY12" s="47"/>
      <c r="AZ12" s="47"/>
      <c r="BA12" s="47"/>
      <c r="BB12" s="47"/>
      <c r="BC12" s="47"/>
      <c r="BD12" s="47"/>
      <c r="BE12" s="47"/>
      <c r="BF12" s="47"/>
      <c r="BG12" s="47"/>
    </row>
    <row r="13" spans="1:59" ht="16.899999999999999" customHeight="1">
      <c r="A13" s="2"/>
      <c r="B13" s="258" t="s">
        <v>14</v>
      </c>
      <c r="C13" s="259"/>
      <c r="D13" s="259"/>
      <c r="E13" s="259"/>
      <c r="F13" s="259"/>
      <c r="G13" s="259"/>
      <c r="H13" s="259"/>
      <c r="I13" s="259"/>
      <c r="J13" s="259"/>
      <c r="K13" s="260"/>
      <c r="L13" s="261" t="str">
        <f>プロジェクト計画書!L13 &amp; ""</f>
        <v/>
      </c>
      <c r="M13" s="262"/>
      <c r="N13" s="262"/>
      <c r="O13" s="262"/>
      <c r="P13" s="262"/>
      <c r="Q13" s="262"/>
      <c r="R13" s="262"/>
      <c r="S13" s="262"/>
      <c r="T13" s="262"/>
      <c r="U13" s="262"/>
      <c r="V13" s="262"/>
      <c r="W13" s="262"/>
      <c r="X13" s="263"/>
      <c r="Y13" s="272" t="s">
        <v>15</v>
      </c>
      <c r="Z13" s="273"/>
      <c r="AA13" s="273"/>
      <c r="AB13" s="273"/>
      <c r="AC13" s="273"/>
      <c r="AD13" s="273"/>
      <c r="AE13" s="273"/>
      <c r="AF13" s="273"/>
      <c r="AG13" s="273"/>
      <c r="AH13" s="274"/>
      <c r="AI13" s="254" t="str">
        <f>プロジェクト計画書!AI13 &amp; ""</f>
        <v/>
      </c>
      <c r="AJ13" s="255"/>
      <c r="AK13" s="255"/>
      <c r="AL13" s="255"/>
      <c r="AM13" s="255"/>
      <c r="AN13" s="255"/>
      <c r="AO13" s="255"/>
      <c r="AP13" s="255"/>
      <c r="AQ13" s="255"/>
      <c r="AR13" s="255"/>
      <c r="AS13" s="255"/>
      <c r="AT13" s="255"/>
      <c r="AU13" s="256"/>
    </row>
    <row r="14" spans="1:59" ht="16.899999999999999" customHeight="1">
      <c r="A14" s="2"/>
      <c r="B14" s="275" t="s">
        <v>16</v>
      </c>
      <c r="C14" s="275"/>
      <c r="D14" s="275"/>
      <c r="E14" s="275"/>
      <c r="F14" s="275"/>
      <c r="G14" s="275"/>
      <c r="H14" s="275"/>
      <c r="I14" s="275"/>
      <c r="J14" s="275"/>
      <c r="K14" s="275"/>
      <c r="L14" s="318" t="str">
        <f>プロジェクト計画書!L14 &amp; ""</f>
        <v/>
      </c>
      <c r="M14" s="319"/>
      <c r="N14" s="319"/>
      <c r="O14" s="319"/>
      <c r="P14" s="319"/>
      <c r="Q14" s="319"/>
      <c r="R14" s="319"/>
      <c r="S14" s="319"/>
      <c r="T14" s="319"/>
      <c r="U14" s="319"/>
      <c r="V14" s="319"/>
      <c r="W14" s="319"/>
      <c r="X14" s="320"/>
      <c r="Y14" s="265" t="s">
        <v>17</v>
      </c>
      <c r="Z14" s="265"/>
      <c r="AA14" s="265"/>
      <c r="AB14" s="265"/>
      <c r="AC14" s="265"/>
      <c r="AD14" s="265"/>
      <c r="AE14" s="265"/>
      <c r="AF14" s="265"/>
      <c r="AG14" s="265"/>
      <c r="AH14" s="265"/>
      <c r="AI14" s="317" t="str">
        <f>プロジェクト計画書!AI14 &amp; ""</f>
        <v/>
      </c>
      <c r="AJ14" s="317"/>
      <c r="AK14" s="317"/>
      <c r="AL14" s="317"/>
      <c r="AM14" s="317"/>
      <c r="AN14" s="317"/>
      <c r="AO14" s="317"/>
      <c r="AP14" s="317"/>
      <c r="AQ14" s="317"/>
      <c r="AR14" s="317"/>
      <c r="AS14" s="317"/>
      <c r="AT14" s="317"/>
      <c r="AU14" s="317"/>
    </row>
    <row r="15" spans="1:59" ht="16.899999999999999" customHeight="1">
      <c r="A15" s="2"/>
      <c r="B15" s="335" t="s">
        <v>18</v>
      </c>
      <c r="C15" s="259"/>
      <c r="D15" s="259"/>
      <c r="E15" s="259"/>
      <c r="F15" s="259"/>
      <c r="G15" s="259"/>
      <c r="H15" s="259"/>
      <c r="I15" s="259"/>
      <c r="J15" s="259"/>
      <c r="K15" s="260"/>
      <c r="L15" s="261" t="str">
        <f>プロジェクト計画書!L15 &amp; ""</f>
        <v/>
      </c>
      <c r="M15" s="262"/>
      <c r="N15" s="262"/>
      <c r="O15" s="262"/>
      <c r="P15" s="262"/>
      <c r="Q15" s="262"/>
      <c r="R15" s="262"/>
      <c r="S15" s="262"/>
      <c r="T15" s="262"/>
      <c r="U15" s="262"/>
      <c r="V15" s="262"/>
      <c r="W15" s="262"/>
      <c r="X15" s="263"/>
      <c r="Y15" s="272" t="s">
        <v>19</v>
      </c>
      <c r="Z15" s="273"/>
      <c r="AA15" s="273"/>
      <c r="AB15" s="273"/>
      <c r="AC15" s="273"/>
      <c r="AD15" s="273"/>
      <c r="AE15" s="273"/>
      <c r="AF15" s="273"/>
      <c r="AG15" s="273"/>
      <c r="AH15" s="274"/>
      <c r="AI15" s="254" t="str">
        <f>プロジェクト計画書!AI15 &amp; ""</f>
        <v/>
      </c>
      <c r="AJ15" s="255"/>
      <c r="AK15" s="255"/>
      <c r="AL15" s="255"/>
      <c r="AM15" s="255"/>
      <c r="AN15" s="255"/>
      <c r="AO15" s="255"/>
      <c r="AP15" s="255"/>
      <c r="AQ15" s="255"/>
      <c r="AR15" s="255"/>
      <c r="AS15" s="255"/>
      <c r="AT15" s="255"/>
      <c r="AU15" s="256"/>
    </row>
    <row r="16" spans="1:59" ht="16.899999999999999" customHeight="1">
      <c r="A16" s="2"/>
      <c r="B16" s="275" t="s">
        <v>20</v>
      </c>
      <c r="C16" s="275"/>
      <c r="D16" s="275"/>
      <c r="E16" s="275"/>
      <c r="F16" s="275"/>
      <c r="G16" s="275"/>
      <c r="H16" s="275"/>
      <c r="I16" s="275"/>
      <c r="J16" s="275"/>
      <c r="K16" s="275"/>
      <c r="L16" s="321" t="str">
        <f>IF(プロジェクト計画書!L16="","",プロジェクト計画書!L16)</f>
        <v/>
      </c>
      <c r="M16" s="321"/>
      <c r="N16" s="321"/>
      <c r="O16" s="321"/>
      <c r="P16" s="321"/>
      <c r="Q16" s="321"/>
      <c r="R16" s="321"/>
      <c r="S16" s="321"/>
      <c r="T16" s="321"/>
      <c r="U16" s="321"/>
      <c r="V16" s="321"/>
      <c r="W16" s="321"/>
      <c r="X16" s="321"/>
      <c r="Y16" s="265" t="s">
        <v>21</v>
      </c>
      <c r="Z16" s="265"/>
      <c r="AA16" s="265"/>
      <c r="AB16" s="265"/>
      <c r="AC16" s="265"/>
      <c r="AD16" s="265"/>
      <c r="AE16" s="265"/>
      <c r="AF16" s="265"/>
      <c r="AG16" s="265"/>
      <c r="AH16" s="265"/>
      <c r="AI16" s="317" t="str">
        <f>プロジェクト計画書!AI16 &amp; ""</f>
        <v/>
      </c>
      <c r="AJ16" s="317"/>
      <c r="AK16" s="317"/>
      <c r="AL16" s="317"/>
      <c r="AM16" s="317"/>
      <c r="AN16" s="317"/>
      <c r="AO16" s="317"/>
      <c r="AP16" s="317"/>
      <c r="AQ16" s="317"/>
      <c r="AR16" s="317"/>
      <c r="AS16" s="317"/>
      <c r="AT16" s="317"/>
      <c r="AU16" s="317"/>
    </row>
    <row r="17" spans="1:47" ht="16.899999999999999" customHeight="1">
      <c r="B17" s="55"/>
      <c r="C17" s="55"/>
      <c r="D17" s="55"/>
      <c r="E17" s="55"/>
      <c r="F17" s="55"/>
      <c r="G17" s="55"/>
      <c r="H17" s="55"/>
      <c r="I17" s="55"/>
      <c r="J17" s="55"/>
      <c r="K17" s="55"/>
      <c r="L17" s="56"/>
      <c r="M17" s="56"/>
      <c r="N17" s="56"/>
      <c r="O17" s="56"/>
      <c r="P17" s="56"/>
      <c r="Q17" s="56"/>
      <c r="R17" s="56"/>
      <c r="S17" s="56"/>
      <c r="T17" s="56"/>
      <c r="U17" s="56"/>
      <c r="V17" s="56"/>
      <c r="W17" s="56"/>
      <c r="X17" s="56"/>
      <c r="Y17" s="7"/>
      <c r="Z17" s="7"/>
      <c r="AA17" s="7"/>
      <c r="AB17" s="7"/>
      <c r="AC17" s="7"/>
      <c r="AD17" s="7"/>
      <c r="AE17" s="7"/>
      <c r="AF17" s="7"/>
      <c r="AG17" s="7"/>
      <c r="AH17" s="7"/>
      <c r="AI17" s="7"/>
      <c r="AJ17" s="7"/>
      <c r="AK17" s="7"/>
      <c r="AL17" s="7"/>
      <c r="AM17" s="7"/>
      <c r="AN17" s="7"/>
      <c r="AO17" s="7"/>
      <c r="AP17" s="7"/>
      <c r="AQ17" s="7"/>
      <c r="AR17" s="7"/>
      <c r="AS17" s="7"/>
      <c r="AT17" s="7"/>
      <c r="AU17" s="7"/>
    </row>
    <row r="18" spans="1:47" s="12" customFormat="1" ht="16.899999999999999" customHeight="1">
      <c r="B18" s="11" t="s">
        <v>58</v>
      </c>
    </row>
    <row r="19" spans="1:47" s="16" customFormat="1" ht="16.899999999999999" customHeight="1">
      <c r="A19" s="26"/>
      <c r="B19" s="117" t="s">
        <v>59</v>
      </c>
      <c r="C19" s="117"/>
      <c r="D19" s="117"/>
      <c r="E19" s="117"/>
      <c r="F19" s="117"/>
      <c r="G19" s="117"/>
      <c r="H19" s="117"/>
      <c r="I19" s="117"/>
      <c r="J19" s="117"/>
      <c r="K19" s="117"/>
      <c r="L19" s="325" t="str">
        <f>IF(プロジェクト計画書!L61="","",プロジェクト計画書!L61)</f>
        <v/>
      </c>
      <c r="M19" s="325"/>
      <c r="N19" s="325"/>
      <c r="O19" s="325"/>
      <c r="P19" s="325"/>
      <c r="Q19" s="325"/>
      <c r="R19" s="325"/>
      <c r="S19" s="325"/>
      <c r="T19" s="325"/>
      <c r="U19" s="325"/>
      <c r="V19" s="325"/>
      <c r="W19" s="325"/>
      <c r="X19" s="325"/>
      <c r="Y19" s="117" t="s">
        <v>60</v>
      </c>
      <c r="Z19" s="117"/>
      <c r="AA19" s="117"/>
      <c r="AB19" s="117"/>
      <c r="AC19" s="117"/>
      <c r="AD19" s="117"/>
      <c r="AE19" s="117"/>
      <c r="AF19" s="117"/>
      <c r="AG19" s="117"/>
      <c r="AH19" s="130"/>
      <c r="AI19" s="325" t="str">
        <f>IF(プロジェクト計画書!AI61="","",プロジェクト計画書!AI61)</f>
        <v/>
      </c>
      <c r="AJ19" s="325"/>
      <c r="AK19" s="325"/>
      <c r="AL19" s="325"/>
      <c r="AM19" s="325"/>
      <c r="AN19" s="325"/>
      <c r="AO19" s="325"/>
      <c r="AP19" s="325"/>
      <c r="AQ19" s="325"/>
      <c r="AR19" s="325"/>
      <c r="AS19" s="325"/>
      <c r="AT19" s="325"/>
      <c r="AU19" s="325"/>
    </row>
    <row r="20" spans="1:47" s="16" customFormat="1" ht="16.899999999999999" customHeight="1">
      <c r="A20" s="26"/>
      <c r="B20" s="124" t="s">
        <v>61</v>
      </c>
      <c r="C20" s="125"/>
      <c r="D20" s="125"/>
      <c r="E20" s="125"/>
      <c r="F20" s="125"/>
      <c r="G20" s="125"/>
      <c r="H20" s="125"/>
      <c r="I20" s="125"/>
      <c r="J20" s="125"/>
      <c r="K20" s="126"/>
      <c r="L20" s="325" t="str">
        <f>IF(プロジェクト計画書!L62="","",プロジェクト計画書!L62)</f>
        <v/>
      </c>
      <c r="M20" s="325"/>
      <c r="N20" s="325"/>
      <c r="O20" s="325"/>
      <c r="P20" s="325"/>
      <c r="Q20" s="325"/>
      <c r="R20" s="325"/>
      <c r="S20" s="325"/>
      <c r="T20" s="325"/>
      <c r="U20" s="325"/>
      <c r="V20" s="325"/>
      <c r="W20" s="325"/>
      <c r="X20" s="325"/>
      <c r="Y20" s="117" t="s">
        <v>62</v>
      </c>
      <c r="Z20" s="117"/>
      <c r="AA20" s="117"/>
      <c r="AB20" s="117"/>
      <c r="AC20" s="117"/>
      <c r="AD20" s="117"/>
      <c r="AE20" s="117"/>
      <c r="AF20" s="117"/>
      <c r="AG20" s="117"/>
      <c r="AH20" s="130"/>
      <c r="AI20" s="325" t="str">
        <f>IF(プロジェクト計画書!AI62="","",プロジェクト計画書!AI62)</f>
        <v/>
      </c>
      <c r="AJ20" s="325"/>
      <c r="AK20" s="325"/>
      <c r="AL20" s="325"/>
      <c r="AM20" s="325"/>
      <c r="AN20" s="325"/>
      <c r="AO20" s="325"/>
      <c r="AP20" s="325"/>
      <c r="AQ20" s="325"/>
      <c r="AR20" s="325"/>
      <c r="AS20" s="325"/>
      <c r="AT20" s="325"/>
      <c r="AU20" s="325"/>
    </row>
    <row r="21" spans="1:47" s="16" customFormat="1" ht="16.899999999999999" customHeight="1">
      <c r="A21" s="26"/>
      <c r="B21" s="130" t="s">
        <v>63</v>
      </c>
      <c r="C21" s="130"/>
      <c r="D21" s="130"/>
      <c r="E21" s="130"/>
      <c r="F21" s="130"/>
      <c r="G21" s="130"/>
      <c r="H21" s="130"/>
      <c r="I21" s="130"/>
      <c r="J21" s="130"/>
      <c r="K21" s="130"/>
      <c r="L21" s="325" t="str">
        <f>IF(プロジェクト計画書!L63="","",プロジェクト計画書!L63)</f>
        <v/>
      </c>
      <c r="M21" s="325"/>
      <c r="N21" s="325"/>
      <c r="O21" s="325"/>
      <c r="P21" s="325"/>
      <c r="Q21" s="325"/>
      <c r="R21" s="325"/>
      <c r="S21" s="325"/>
      <c r="T21" s="325"/>
      <c r="U21" s="325"/>
      <c r="V21" s="325"/>
      <c r="W21" s="325"/>
      <c r="X21" s="325"/>
      <c r="Y21" s="113" t="s">
        <v>64</v>
      </c>
      <c r="Z21" s="125"/>
      <c r="AA21" s="125"/>
      <c r="AB21" s="125"/>
      <c r="AC21" s="125"/>
      <c r="AD21" s="125"/>
      <c r="AE21" s="125"/>
      <c r="AF21" s="125"/>
      <c r="AG21" s="125"/>
      <c r="AH21" s="126"/>
      <c r="AI21" s="325">
        <f>IF(プロジェクト計画書!AI63="","",プロジェクト計画書!AI63)</f>
        <v>0</v>
      </c>
      <c r="AJ21" s="325"/>
      <c r="AK21" s="325"/>
      <c r="AL21" s="325"/>
      <c r="AM21" s="325"/>
      <c r="AN21" s="325"/>
      <c r="AO21" s="325"/>
      <c r="AP21" s="325"/>
      <c r="AQ21" s="325"/>
      <c r="AR21" s="325"/>
      <c r="AS21" s="325"/>
      <c r="AT21" s="325"/>
      <c r="AU21" s="325"/>
    </row>
    <row r="22" spans="1:47" s="16" customFormat="1" ht="16.899999999999999" customHeight="1">
      <c r="A22" s="26"/>
      <c r="B22" s="124" t="s">
        <v>40</v>
      </c>
      <c r="C22" s="125"/>
      <c r="D22" s="125"/>
      <c r="E22" s="125"/>
      <c r="F22" s="125"/>
      <c r="G22" s="125"/>
      <c r="H22" s="125"/>
      <c r="I22" s="125"/>
      <c r="J22" s="125"/>
      <c r="K22" s="126"/>
      <c r="L22" s="326" t="str">
        <f>IF(プロジェクト計画書!L64="","",プロジェクト計画書!L64)</f>
        <v/>
      </c>
      <c r="M22" s="327"/>
      <c r="N22" s="327"/>
      <c r="O22" s="327"/>
      <c r="P22" s="327"/>
      <c r="Q22" s="327"/>
      <c r="R22" s="327"/>
      <c r="S22" s="327"/>
      <c r="T22" s="327"/>
      <c r="U22" s="327"/>
      <c r="V22" s="327"/>
      <c r="W22" s="327"/>
      <c r="X22" s="327"/>
      <c r="Y22" s="327"/>
      <c r="Z22" s="327"/>
      <c r="AA22" s="327"/>
      <c r="AB22" s="327"/>
      <c r="AC22" s="327"/>
      <c r="AD22" s="327"/>
      <c r="AE22" s="327"/>
      <c r="AF22" s="327"/>
      <c r="AG22" s="327"/>
      <c r="AH22" s="327"/>
      <c r="AI22" s="327"/>
      <c r="AJ22" s="327"/>
      <c r="AK22" s="327"/>
      <c r="AL22" s="327"/>
      <c r="AM22" s="327"/>
      <c r="AN22" s="327"/>
      <c r="AO22" s="327"/>
      <c r="AP22" s="327"/>
      <c r="AQ22" s="327"/>
      <c r="AR22" s="327"/>
      <c r="AS22" s="327"/>
      <c r="AT22" s="327"/>
      <c r="AU22" s="328"/>
    </row>
    <row r="23" spans="1:47" s="16" customFormat="1" ht="16.899999999999999" customHeight="1"/>
    <row r="24" spans="1:47" s="6" customFormat="1" ht="16.899999999999999" customHeight="1">
      <c r="B24" s="11" t="s">
        <v>120</v>
      </c>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c r="AH24" s="12"/>
      <c r="AI24" s="12"/>
      <c r="AJ24" s="12"/>
      <c r="AK24" s="12"/>
      <c r="AL24" s="12"/>
      <c r="AM24" s="12"/>
      <c r="AN24" s="12"/>
      <c r="AO24" s="12"/>
      <c r="AP24" s="12"/>
      <c r="AQ24" s="12"/>
      <c r="AR24" s="12"/>
      <c r="AS24" s="12"/>
      <c r="AT24" s="12"/>
      <c r="AU24" s="12"/>
    </row>
    <row r="25" spans="1:47" ht="16.899999999999999" customHeight="1">
      <c r="A25" s="2"/>
      <c r="B25" s="117" t="s">
        <v>59</v>
      </c>
      <c r="C25" s="117"/>
      <c r="D25" s="117"/>
      <c r="E25" s="117"/>
      <c r="F25" s="117"/>
      <c r="G25" s="117"/>
      <c r="H25" s="117"/>
      <c r="I25" s="117"/>
      <c r="J25" s="117"/>
      <c r="K25" s="117"/>
      <c r="L25" s="325" t="str">
        <f>IF(プロジェクト完了報告書!L52="","",プロジェクト完了報告書!L52)</f>
        <v/>
      </c>
      <c r="M25" s="325"/>
      <c r="N25" s="325"/>
      <c r="O25" s="325"/>
      <c r="P25" s="325"/>
      <c r="Q25" s="325"/>
      <c r="R25" s="325"/>
      <c r="S25" s="325"/>
      <c r="T25" s="325"/>
      <c r="U25" s="325"/>
      <c r="V25" s="325"/>
      <c r="W25" s="325"/>
      <c r="X25" s="325"/>
      <c r="Y25" s="117" t="s">
        <v>60</v>
      </c>
      <c r="Z25" s="117"/>
      <c r="AA25" s="117"/>
      <c r="AB25" s="117"/>
      <c r="AC25" s="117"/>
      <c r="AD25" s="117"/>
      <c r="AE25" s="117"/>
      <c r="AF25" s="117"/>
      <c r="AG25" s="117"/>
      <c r="AH25" s="130"/>
      <c r="AI25" s="325" t="str">
        <f>IF(プロジェクト完了報告書!AI52="","",プロジェクト完了報告書!AI52)</f>
        <v/>
      </c>
      <c r="AJ25" s="325"/>
      <c r="AK25" s="325"/>
      <c r="AL25" s="325"/>
      <c r="AM25" s="325"/>
      <c r="AN25" s="325"/>
      <c r="AO25" s="325"/>
      <c r="AP25" s="325"/>
      <c r="AQ25" s="325"/>
      <c r="AR25" s="325"/>
      <c r="AS25" s="325"/>
      <c r="AT25" s="325"/>
      <c r="AU25" s="325"/>
    </row>
    <row r="26" spans="1:47" ht="16.899999999999999" customHeight="1">
      <c r="A26" s="2"/>
      <c r="B26" s="124" t="s">
        <v>61</v>
      </c>
      <c r="C26" s="125"/>
      <c r="D26" s="125"/>
      <c r="E26" s="125"/>
      <c r="F26" s="125"/>
      <c r="G26" s="125"/>
      <c r="H26" s="125"/>
      <c r="I26" s="125"/>
      <c r="J26" s="125"/>
      <c r="K26" s="126"/>
      <c r="L26" s="325" t="str">
        <f>IF(プロジェクト完了報告書!L53="","",プロジェクト完了報告書!L53)</f>
        <v/>
      </c>
      <c r="M26" s="325"/>
      <c r="N26" s="325"/>
      <c r="O26" s="325"/>
      <c r="P26" s="325"/>
      <c r="Q26" s="325"/>
      <c r="R26" s="325"/>
      <c r="S26" s="325"/>
      <c r="T26" s="325"/>
      <c r="U26" s="325"/>
      <c r="V26" s="325"/>
      <c r="W26" s="325"/>
      <c r="X26" s="325"/>
      <c r="Y26" s="117" t="s">
        <v>62</v>
      </c>
      <c r="Z26" s="117"/>
      <c r="AA26" s="117"/>
      <c r="AB26" s="117"/>
      <c r="AC26" s="117"/>
      <c r="AD26" s="117"/>
      <c r="AE26" s="117"/>
      <c r="AF26" s="117"/>
      <c r="AG26" s="117"/>
      <c r="AH26" s="130"/>
      <c r="AI26" s="325" t="str">
        <f>IF(プロジェクト完了報告書!AI53="","",プロジェクト完了報告書!AI53)</f>
        <v/>
      </c>
      <c r="AJ26" s="325"/>
      <c r="AK26" s="325"/>
      <c r="AL26" s="325"/>
      <c r="AM26" s="325"/>
      <c r="AN26" s="325"/>
      <c r="AO26" s="325"/>
      <c r="AP26" s="325"/>
      <c r="AQ26" s="325"/>
      <c r="AR26" s="325"/>
      <c r="AS26" s="325"/>
      <c r="AT26" s="325"/>
      <c r="AU26" s="325"/>
    </row>
    <row r="27" spans="1:47" ht="16.899999999999999" customHeight="1">
      <c r="A27" s="2"/>
      <c r="B27" s="130" t="s">
        <v>63</v>
      </c>
      <c r="C27" s="130"/>
      <c r="D27" s="130"/>
      <c r="E27" s="130"/>
      <c r="F27" s="130"/>
      <c r="G27" s="130"/>
      <c r="H27" s="130"/>
      <c r="I27" s="130"/>
      <c r="J27" s="130"/>
      <c r="K27" s="130"/>
      <c r="L27" s="325" t="str">
        <f>IF(プロジェクト完了報告書!L54="","",プロジェクト完了報告書!L54)</f>
        <v/>
      </c>
      <c r="M27" s="325"/>
      <c r="N27" s="325"/>
      <c r="O27" s="325"/>
      <c r="P27" s="325"/>
      <c r="Q27" s="325"/>
      <c r="R27" s="325"/>
      <c r="S27" s="325"/>
      <c r="T27" s="325"/>
      <c r="U27" s="325"/>
      <c r="V27" s="325"/>
      <c r="W27" s="325"/>
      <c r="X27" s="325"/>
      <c r="Y27" s="113" t="s">
        <v>64</v>
      </c>
      <c r="Z27" s="125"/>
      <c r="AA27" s="125"/>
      <c r="AB27" s="125"/>
      <c r="AC27" s="125"/>
      <c r="AD27" s="125"/>
      <c r="AE27" s="125"/>
      <c r="AF27" s="125"/>
      <c r="AG27" s="125"/>
      <c r="AH27" s="126"/>
      <c r="AI27" s="325">
        <f>IF(プロジェクト完了報告書!AI54="","",プロジェクト完了報告書!AI54)</f>
        <v>0</v>
      </c>
      <c r="AJ27" s="325"/>
      <c r="AK27" s="325"/>
      <c r="AL27" s="325"/>
      <c r="AM27" s="325"/>
      <c r="AN27" s="325"/>
      <c r="AO27" s="325"/>
      <c r="AP27" s="325"/>
      <c r="AQ27" s="325"/>
      <c r="AR27" s="325"/>
      <c r="AS27" s="325"/>
      <c r="AT27" s="325"/>
      <c r="AU27" s="325"/>
    </row>
    <row r="28" spans="1:47" s="16" customFormat="1" ht="16.899999999999999" customHeight="1">
      <c r="A28" s="26"/>
      <c r="B28" s="124" t="s">
        <v>40</v>
      </c>
      <c r="C28" s="125"/>
      <c r="D28" s="125"/>
      <c r="E28" s="125"/>
      <c r="F28" s="125"/>
      <c r="G28" s="125"/>
      <c r="H28" s="125"/>
      <c r="I28" s="125"/>
      <c r="J28" s="125"/>
      <c r="K28" s="126"/>
      <c r="L28" s="134" t="str">
        <f>IF(プロジェクト完了報告書!L55="","",プロジェクト完了報告書!L55)</f>
        <v/>
      </c>
      <c r="M28" s="135"/>
      <c r="N28" s="135"/>
      <c r="O28" s="135"/>
      <c r="P28" s="135"/>
      <c r="Q28" s="135"/>
      <c r="R28" s="135"/>
      <c r="S28" s="135"/>
      <c r="T28" s="135"/>
      <c r="U28" s="135"/>
      <c r="V28" s="135"/>
      <c r="W28" s="135"/>
      <c r="X28" s="135"/>
      <c r="Y28" s="135"/>
      <c r="Z28" s="135"/>
      <c r="AA28" s="135"/>
      <c r="AB28" s="135"/>
      <c r="AC28" s="135"/>
      <c r="AD28" s="135"/>
      <c r="AE28" s="135"/>
      <c r="AF28" s="135"/>
      <c r="AG28" s="135"/>
      <c r="AH28" s="135"/>
      <c r="AI28" s="135"/>
      <c r="AJ28" s="135"/>
      <c r="AK28" s="135"/>
      <c r="AL28" s="135"/>
      <c r="AM28" s="135"/>
      <c r="AN28" s="135"/>
      <c r="AO28" s="135"/>
      <c r="AP28" s="135"/>
      <c r="AQ28" s="135"/>
      <c r="AR28" s="135"/>
      <c r="AS28" s="135"/>
      <c r="AT28" s="135"/>
      <c r="AU28" s="136"/>
    </row>
    <row r="29" spans="1:47" ht="16.899999999999999" customHeight="1">
      <c r="A29" s="2"/>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row>
    <row r="30" spans="1:47" s="6" customFormat="1" ht="16.899999999999999" customHeight="1">
      <c r="B30" s="11" t="s">
        <v>121</v>
      </c>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c r="AI30" s="12"/>
      <c r="AJ30" s="12"/>
      <c r="AK30" s="12"/>
      <c r="AL30" s="12"/>
      <c r="AM30" s="12"/>
      <c r="AN30" s="12"/>
      <c r="AO30" s="12"/>
      <c r="AP30" s="12"/>
      <c r="AQ30" s="12"/>
      <c r="AR30" s="12"/>
      <c r="AS30" s="12"/>
      <c r="AT30" s="12"/>
      <c r="AU30" s="12"/>
    </row>
    <row r="31" spans="1:47" s="6" customFormat="1" ht="16.899999999999999" customHeight="1">
      <c r="B31" s="265" t="s">
        <v>122</v>
      </c>
      <c r="C31" s="265"/>
      <c r="D31" s="265"/>
      <c r="E31" s="265"/>
      <c r="F31" s="265"/>
      <c r="G31" s="265"/>
      <c r="H31" s="265"/>
      <c r="I31" s="265"/>
      <c r="J31" s="265"/>
      <c r="K31" s="265"/>
      <c r="L31" s="324" t="str">
        <f>IF(プロジェクト完了報告書!L58="","",プロジェクト完了報告書!L58)</f>
        <v/>
      </c>
      <c r="M31" s="324"/>
      <c r="N31" s="324"/>
      <c r="O31" s="324"/>
      <c r="P31" s="324"/>
      <c r="Q31" s="324"/>
      <c r="R31" s="324"/>
      <c r="S31" s="324"/>
      <c r="T31" s="324"/>
      <c r="U31" s="324"/>
      <c r="V31" s="324"/>
      <c r="W31" s="324"/>
      <c r="X31" s="324"/>
      <c r="Y31" s="265" t="s">
        <v>123</v>
      </c>
      <c r="Z31" s="265"/>
      <c r="AA31" s="265"/>
      <c r="AB31" s="265"/>
      <c r="AC31" s="265"/>
      <c r="AD31" s="265"/>
      <c r="AE31" s="265"/>
      <c r="AF31" s="265"/>
      <c r="AG31" s="265"/>
      <c r="AH31" s="265"/>
      <c r="AI31" s="324" t="str">
        <f>IF(プロジェクト完了報告書!AI58="","",プロジェクト完了報告書!AI58)</f>
        <v/>
      </c>
      <c r="AJ31" s="324"/>
      <c r="AK31" s="324"/>
      <c r="AL31" s="324"/>
      <c r="AM31" s="324"/>
      <c r="AN31" s="324"/>
      <c r="AO31" s="324"/>
      <c r="AP31" s="324"/>
      <c r="AQ31" s="324"/>
      <c r="AR31" s="324"/>
      <c r="AS31" s="324"/>
      <c r="AT31" s="324"/>
      <c r="AU31" s="324"/>
    </row>
    <row r="32" spans="1:47" s="6" customFormat="1" ht="16.899999999999999" customHeight="1">
      <c r="B32" s="265" t="s">
        <v>124</v>
      </c>
      <c r="C32" s="265"/>
      <c r="D32" s="265"/>
      <c r="E32" s="265"/>
      <c r="F32" s="265"/>
      <c r="G32" s="265"/>
      <c r="H32" s="265"/>
      <c r="I32" s="265"/>
      <c r="J32" s="265"/>
      <c r="K32" s="267"/>
      <c r="L32" s="329" t="str">
        <f>IF(プロジェクト完了報告書!L59="","",プロジェクト完了報告書!L59)</f>
        <v/>
      </c>
      <c r="M32" s="330"/>
      <c r="N32" s="330"/>
      <c r="O32" s="330"/>
      <c r="P32" s="330"/>
      <c r="Q32" s="330"/>
      <c r="R32" s="330"/>
      <c r="S32" s="330"/>
      <c r="T32" s="330"/>
      <c r="U32" s="330"/>
      <c r="V32" s="330"/>
      <c r="W32" s="330"/>
      <c r="X32" s="331"/>
      <c r="Y32" s="265" t="s">
        <v>125</v>
      </c>
      <c r="Z32" s="265"/>
      <c r="AA32" s="265"/>
      <c r="AB32" s="265"/>
      <c r="AC32" s="265"/>
      <c r="AD32" s="265"/>
      <c r="AE32" s="265"/>
      <c r="AF32" s="265"/>
      <c r="AG32" s="265"/>
      <c r="AH32" s="267"/>
      <c r="AI32" s="332" t="str">
        <f>IF(プロジェクト完了報告書!AI59="","",プロジェクト完了報告書!AI59)</f>
        <v/>
      </c>
      <c r="AJ32" s="332"/>
      <c r="AK32" s="332"/>
      <c r="AL32" s="332"/>
      <c r="AM32" s="332"/>
      <c r="AN32" s="332"/>
      <c r="AO32" s="332"/>
      <c r="AP32" s="332"/>
      <c r="AQ32" s="332"/>
      <c r="AR32" s="332"/>
      <c r="AS32" s="332"/>
      <c r="AT32" s="332"/>
      <c r="AU32" s="332"/>
    </row>
    <row r="33" spans="2:47" s="6" customFormat="1" ht="16.899999999999999" customHeight="1">
      <c r="B33" s="265" t="s">
        <v>126</v>
      </c>
      <c r="C33" s="265"/>
      <c r="D33" s="265"/>
      <c r="E33" s="265"/>
      <c r="F33" s="265"/>
      <c r="G33" s="265"/>
      <c r="H33" s="265"/>
      <c r="I33" s="265"/>
      <c r="J33" s="265"/>
      <c r="K33" s="267"/>
      <c r="L33" s="269" t="str">
        <f>IF(プロジェクト完了報告書!L60="","",プロジェクト完了報告書!L60)</f>
        <v/>
      </c>
      <c r="M33" s="270"/>
      <c r="N33" s="270"/>
      <c r="O33" s="270"/>
      <c r="P33" s="270"/>
      <c r="Q33" s="270"/>
      <c r="R33" s="270"/>
      <c r="S33" s="270"/>
      <c r="T33" s="270"/>
      <c r="U33" s="270"/>
      <c r="V33" s="270"/>
      <c r="W33" s="270"/>
      <c r="X33" s="271"/>
      <c r="Y33" s="265" t="s">
        <v>127</v>
      </c>
      <c r="Z33" s="265"/>
      <c r="AA33" s="265"/>
      <c r="AB33" s="265"/>
      <c r="AC33" s="265"/>
      <c r="AD33" s="265"/>
      <c r="AE33" s="265"/>
      <c r="AF33" s="265"/>
      <c r="AG33" s="265"/>
      <c r="AH33" s="267"/>
      <c r="AI33" s="253" t="str">
        <f>IF(プロジェクト完了報告書!AI60="","",プロジェクト完了報告書!AI60)</f>
        <v/>
      </c>
      <c r="AJ33" s="253"/>
      <c r="AK33" s="253"/>
      <c r="AL33" s="253"/>
      <c r="AM33" s="253"/>
      <c r="AN33" s="253"/>
      <c r="AO33" s="253"/>
      <c r="AP33" s="253"/>
      <c r="AQ33" s="253"/>
      <c r="AR33" s="253"/>
      <c r="AS33" s="253"/>
      <c r="AT33" s="253"/>
      <c r="AU33" s="253"/>
    </row>
    <row r="34" spans="2:47" s="6" customFormat="1" ht="16.899999999999999" customHeight="1">
      <c r="B34" s="265" t="s">
        <v>128</v>
      </c>
      <c r="C34" s="265"/>
      <c r="D34" s="265"/>
      <c r="E34" s="265"/>
      <c r="F34" s="265"/>
      <c r="G34" s="265"/>
      <c r="H34" s="265"/>
      <c r="I34" s="265"/>
      <c r="J34" s="265"/>
      <c r="K34" s="267"/>
      <c r="L34" s="269" t="str">
        <f>IF(プロジェクト完了報告書!L61="","",プロジェクト完了報告書!L61)</f>
        <v/>
      </c>
      <c r="M34" s="270"/>
      <c r="N34" s="270"/>
      <c r="O34" s="270"/>
      <c r="P34" s="270"/>
      <c r="Q34" s="270"/>
      <c r="R34" s="270"/>
      <c r="S34" s="270"/>
      <c r="T34" s="270"/>
      <c r="U34" s="270"/>
      <c r="V34" s="270"/>
      <c r="W34" s="270"/>
      <c r="X34" s="271"/>
      <c r="Y34" s="265" t="s">
        <v>129</v>
      </c>
      <c r="Z34" s="265"/>
      <c r="AA34" s="265"/>
      <c r="AB34" s="265"/>
      <c r="AC34" s="265"/>
      <c r="AD34" s="265"/>
      <c r="AE34" s="265"/>
      <c r="AF34" s="265"/>
      <c r="AG34" s="265"/>
      <c r="AH34" s="267"/>
      <c r="AI34" s="253" t="str">
        <f>IF(プロジェクト完了報告書!AI61="","",プロジェクト完了報告書!AI61)</f>
        <v/>
      </c>
      <c r="AJ34" s="253"/>
      <c r="AK34" s="253"/>
      <c r="AL34" s="253"/>
      <c r="AM34" s="253"/>
      <c r="AN34" s="253"/>
      <c r="AO34" s="253"/>
      <c r="AP34" s="253"/>
      <c r="AQ34" s="253"/>
      <c r="AR34" s="253"/>
      <c r="AS34" s="253"/>
      <c r="AT34" s="253"/>
      <c r="AU34" s="253"/>
    </row>
    <row r="35" spans="2:47" s="6" customFormat="1" ht="16.899999999999999" customHeight="1">
      <c r="B35" s="7"/>
      <c r="C35" s="7"/>
      <c r="D35" s="7"/>
      <c r="E35" s="7"/>
      <c r="F35" s="7"/>
      <c r="G35" s="7"/>
      <c r="H35" s="7"/>
      <c r="I35" s="7"/>
      <c r="J35" s="7"/>
      <c r="K35" s="57"/>
      <c r="L35" s="58"/>
      <c r="M35" s="58"/>
      <c r="N35" s="58"/>
      <c r="O35" s="58"/>
      <c r="P35" s="58"/>
      <c r="Q35" s="58"/>
      <c r="R35" s="58"/>
      <c r="S35" s="58"/>
      <c r="T35" s="58"/>
      <c r="U35" s="58"/>
      <c r="V35" s="58"/>
      <c r="W35" s="58"/>
      <c r="X35" s="58"/>
      <c r="Y35" s="7"/>
      <c r="Z35" s="7"/>
      <c r="AA35" s="7"/>
      <c r="AB35" s="7"/>
      <c r="AC35" s="7"/>
      <c r="AD35" s="7"/>
      <c r="AE35" s="7"/>
      <c r="AF35" s="7"/>
      <c r="AG35" s="7"/>
      <c r="AH35" s="57"/>
      <c r="AI35" s="58"/>
      <c r="AJ35" s="58"/>
      <c r="AK35" s="58"/>
      <c r="AL35" s="58"/>
      <c r="AM35" s="58"/>
      <c r="AN35" s="58"/>
      <c r="AO35" s="58"/>
      <c r="AP35" s="58"/>
      <c r="AQ35" s="58"/>
      <c r="AR35" s="58"/>
      <c r="AS35" s="58"/>
      <c r="AT35" s="58"/>
      <c r="AU35" s="58"/>
    </row>
    <row r="36" spans="2:47" s="6" customFormat="1" ht="16.899999999999999" customHeight="1">
      <c r="B36" s="7" t="s">
        <v>150</v>
      </c>
      <c r="C36" s="7"/>
      <c r="D36" s="7"/>
      <c r="E36" s="7"/>
      <c r="F36" s="7"/>
      <c r="G36" s="7"/>
      <c r="H36" s="7"/>
      <c r="I36" s="7"/>
      <c r="J36" s="7"/>
      <c r="K36" s="57"/>
      <c r="L36" s="54"/>
      <c r="M36" s="54"/>
      <c r="N36" s="54"/>
      <c r="O36" s="54"/>
      <c r="P36" s="54"/>
      <c r="Q36" s="54"/>
      <c r="R36" s="54"/>
      <c r="S36" s="54"/>
      <c r="T36" s="54"/>
      <c r="U36" s="54"/>
      <c r="V36" s="54"/>
      <c r="W36" s="54"/>
      <c r="X36" s="54"/>
      <c r="Y36" s="7"/>
      <c r="Z36" s="7"/>
      <c r="AA36" s="7"/>
      <c r="AB36" s="7"/>
      <c r="AC36" s="7"/>
      <c r="AD36" s="7"/>
      <c r="AE36" s="7"/>
      <c r="AF36" s="7"/>
      <c r="AG36" s="7"/>
      <c r="AH36" s="57"/>
      <c r="AI36" s="54"/>
      <c r="AJ36" s="54"/>
      <c r="AK36" s="54"/>
      <c r="AL36" s="54"/>
      <c r="AM36" s="54"/>
      <c r="AN36" s="54"/>
      <c r="AO36" s="54"/>
      <c r="AP36" s="54"/>
      <c r="AQ36" s="54"/>
      <c r="AR36" s="54"/>
      <c r="AS36" s="54"/>
      <c r="AT36" s="54"/>
      <c r="AU36" s="54"/>
    </row>
    <row r="37" spans="2:47" s="6" customFormat="1" ht="16.899999999999999" customHeight="1">
      <c r="B37" s="349" t="s">
        <v>151</v>
      </c>
      <c r="C37" s="349"/>
      <c r="D37" s="349"/>
      <c r="E37" s="349"/>
      <c r="F37" s="349"/>
      <c r="G37" s="349"/>
      <c r="H37" s="349"/>
      <c r="I37" s="349"/>
      <c r="J37" s="349"/>
      <c r="K37" s="349"/>
      <c r="L37" s="349"/>
      <c r="M37" s="349"/>
      <c r="N37" s="349"/>
      <c r="O37" s="349"/>
      <c r="P37" s="349"/>
      <c r="Q37" s="349"/>
      <c r="R37" s="349"/>
      <c r="S37" s="349"/>
      <c r="T37" s="349"/>
      <c r="U37" s="349"/>
      <c r="V37" s="349"/>
      <c r="W37" s="349"/>
      <c r="X37" s="349"/>
      <c r="Y37" s="349" t="s">
        <v>152</v>
      </c>
      <c r="Z37" s="349"/>
      <c r="AA37" s="349"/>
      <c r="AB37" s="349"/>
      <c r="AC37" s="349"/>
      <c r="AD37" s="349"/>
      <c r="AE37" s="349"/>
      <c r="AF37" s="349"/>
      <c r="AG37" s="349"/>
      <c r="AH37" s="349"/>
      <c r="AI37" s="349"/>
      <c r="AJ37" s="349"/>
      <c r="AK37" s="349"/>
      <c r="AL37" s="349"/>
      <c r="AM37" s="349"/>
      <c r="AN37" s="349"/>
      <c r="AO37" s="349"/>
      <c r="AP37" s="349"/>
      <c r="AQ37" s="349"/>
      <c r="AR37" s="349"/>
      <c r="AS37" s="349"/>
      <c r="AT37" s="349"/>
      <c r="AU37" s="349"/>
    </row>
    <row r="38" spans="2:47" s="6" customFormat="1" ht="16.899999999999999" customHeight="1">
      <c r="B38" s="343" t="s">
        <v>153</v>
      </c>
      <c r="C38" s="344"/>
      <c r="D38" s="344"/>
      <c r="E38" s="344"/>
      <c r="F38" s="345"/>
      <c r="G38" s="340" t="s">
        <v>154</v>
      </c>
      <c r="H38" s="340"/>
      <c r="I38" s="340"/>
      <c r="J38" s="340"/>
      <c r="K38" s="340"/>
      <c r="L38" s="350">
        <v>539.1</v>
      </c>
      <c r="M38" s="351"/>
      <c r="N38" s="351"/>
      <c r="O38" s="351"/>
      <c r="P38" s="351"/>
      <c r="Q38" s="351"/>
      <c r="R38" s="59" t="s">
        <v>155</v>
      </c>
      <c r="S38" s="354">
        <v>2393.6999999999998</v>
      </c>
      <c r="T38" s="355"/>
      <c r="U38" s="355"/>
      <c r="V38" s="355"/>
      <c r="W38" s="355"/>
      <c r="X38" s="355"/>
      <c r="Y38" s="343" t="s">
        <v>153</v>
      </c>
      <c r="Z38" s="344"/>
      <c r="AA38" s="344"/>
      <c r="AB38" s="344"/>
      <c r="AC38" s="345"/>
      <c r="AD38" s="340" t="s">
        <v>154</v>
      </c>
      <c r="AE38" s="340"/>
      <c r="AF38" s="340"/>
      <c r="AG38" s="340"/>
      <c r="AH38" s="340"/>
      <c r="AI38" s="350">
        <v>107.9</v>
      </c>
      <c r="AJ38" s="351"/>
      <c r="AK38" s="351"/>
      <c r="AL38" s="351"/>
      <c r="AM38" s="351"/>
      <c r="AN38" s="351"/>
      <c r="AO38" s="59" t="s">
        <v>155</v>
      </c>
      <c r="AP38" s="354">
        <v>659.1</v>
      </c>
      <c r="AQ38" s="355"/>
      <c r="AR38" s="355"/>
      <c r="AS38" s="355"/>
      <c r="AT38" s="355"/>
      <c r="AU38" s="355"/>
    </row>
    <row r="39" spans="2:47" s="6" customFormat="1" ht="16.899999999999999" customHeight="1">
      <c r="B39" s="346"/>
      <c r="C39" s="347"/>
      <c r="D39" s="347"/>
      <c r="E39" s="347"/>
      <c r="F39" s="348"/>
      <c r="G39" s="339" t="s">
        <v>156</v>
      </c>
      <c r="H39" s="339"/>
      <c r="I39" s="339"/>
      <c r="J39" s="339"/>
      <c r="K39" s="339"/>
      <c r="L39" s="341">
        <v>950.1</v>
      </c>
      <c r="M39" s="342"/>
      <c r="N39" s="342"/>
      <c r="O39" s="342"/>
      <c r="P39" s="342"/>
      <c r="Q39" s="342"/>
      <c r="R39" s="60" t="s">
        <v>155</v>
      </c>
      <c r="S39" s="352">
        <v>8914.1</v>
      </c>
      <c r="T39" s="353"/>
      <c r="U39" s="353"/>
      <c r="V39" s="353"/>
      <c r="W39" s="353"/>
      <c r="X39" s="353"/>
      <c r="Y39" s="346"/>
      <c r="Z39" s="347"/>
      <c r="AA39" s="347"/>
      <c r="AB39" s="347"/>
      <c r="AC39" s="348"/>
      <c r="AD39" s="339" t="s">
        <v>156</v>
      </c>
      <c r="AE39" s="339"/>
      <c r="AF39" s="339"/>
      <c r="AG39" s="339"/>
      <c r="AH39" s="339"/>
      <c r="AI39" s="341">
        <v>511.1</v>
      </c>
      <c r="AJ39" s="342"/>
      <c r="AK39" s="342"/>
      <c r="AL39" s="342"/>
      <c r="AM39" s="342"/>
      <c r="AN39" s="342"/>
      <c r="AO39" s="60" t="s">
        <v>155</v>
      </c>
      <c r="AP39" s="352">
        <v>2058.1</v>
      </c>
      <c r="AQ39" s="353"/>
      <c r="AR39" s="353"/>
      <c r="AS39" s="353"/>
      <c r="AT39" s="353"/>
      <c r="AU39" s="353"/>
    </row>
    <row r="40" spans="2:47" s="6" customFormat="1" ht="16.899999999999999" customHeight="1">
      <c r="B40" s="343" t="s">
        <v>157</v>
      </c>
      <c r="C40" s="344"/>
      <c r="D40" s="344"/>
      <c r="E40" s="344"/>
      <c r="F40" s="345"/>
      <c r="G40" s="340" t="s">
        <v>154</v>
      </c>
      <c r="H40" s="340"/>
      <c r="I40" s="340"/>
      <c r="J40" s="340"/>
      <c r="K40" s="340"/>
      <c r="L40" s="350">
        <v>36.6</v>
      </c>
      <c r="M40" s="351"/>
      <c r="N40" s="351"/>
      <c r="O40" s="351"/>
      <c r="P40" s="351"/>
      <c r="Q40" s="351"/>
      <c r="R40" s="59" t="s">
        <v>155</v>
      </c>
      <c r="S40" s="354">
        <v>159.69999999999999</v>
      </c>
      <c r="T40" s="355"/>
      <c r="U40" s="355"/>
      <c r="V40" s="355"/>
      <c r="W40" s="355"/>
      <c r="X40" s="355"/>
      <c r="Y40" s="343" t="s">
        <v>157</v>
      </c>
      <c r="Z40" s="344"/>
      <c r="AA40" s="344"/>
      <c r="AB40" s="344"/>
      <c r="AC40" s="345"/>
      <c r="AD40" s="340" t="s">
        <v>154</v>
      </c>
      <c r="AE40" s="340"/>
      <c r="AF40" s="340"/>
      <c r="AG40" s="340"/>
      <c r="AH40" s="340"/>
      <c r="AI40" s="350">
        <v>14.8</v>
      </c>
      <c r="AJ40" s="351"/>
      <c r="AK40" s="351"/>
      <c r="AL40" s="351"/>
      <c r="AM40" s="351"/>
      <c r="AN40" s="351"/>
      <c r="AO40" s="59" t="s">
        <v>155</v>
      </c>
      <c r="AP40" s="354">
        <v>104.7</v>
      </c>
      <c r="AQ40" s="355"/>
      <c r="AR40" s="355"/>
      <c r="AS40" s="355"/>
      <c r="AT40" s="355"/>
      <c r="AU40" s="355"/>
    </row>
    <row r="41" spans="2:47" s="6" customFormat="1" ht="16.899999999999999" customHeight="1">
      <c r="B41" s="346"/>
      <c r="C41" s="347"/>
      <c r="D41" s="347"/>
      <c r="E41" s="347"/>
      <c r="F41" s="348"/>
      <c r="G41" s="339" t="s">
        <v>156</v>
      </c>
      <c r="H41" s="339"/>
      <c r="I41" s="339"/>
      <c r="J41" s="339"/>
      <c r="K41" s="339"/>
      <c r="L41" s="341">
        <v>36.6</v>
      </c>
      <c r="M41" s="342"/>
      <c r="N41" s="342"/>
      <c r="O41" s="342"/>
      <c r="P41" s="342"/>
      <c r="Q41" s="342"/>
      <c r="R41" s="60" t="s">
        <v>155</v>
      </c>
      <c r="S41" s="352">
        <v>137.80000000000001</v>
      </c>
      <c r="T41" s="353"/>
      <c r="U41" s="353"/>
      <c r="V41" s="353"/>
      <c r="W41" s="353"/>
      <c r="X41" s="353"/>
      <c r="Y41" s="346"/>
      <c r="Z41" s="347"/>
      <c r="AA41" s="347"/>
      <c r="AB41" s="347"/>
      <c r="AC41" s="348"/>
      <c r="AD41" s="339" t="s">
        <v>156</v>
      </c>
      <c r="AE41" s="339"/>
      <c r="AF41" s="339"/>
      <c r="AG41" s="339"/>
      <c r="AH41" s="339"/>
      <c r="AI41" s="341">
        <v>14.7</v>
      </c>
      <c r="AJ41" s="342"/>
      <c r="AK41" s="342"/>
      <c r="AL41" s="342"/>
      <c r="AM41" s="342"/>
      <c r="AN41" s="342"/>
      <c r="AO41" s="60" t="s">
        <v>155</v>
      </c>
      <c r="AP41" s="352">
        <v>45.2</v>
      </c>
      <c r="AQ41" s="353"/>
      <c r="AR41" s="353"/>
      <c r="AS41" s="353"/>
      <c r="AT41" s="353"/>
      <c r="AU41" s="353"/>
    </row>
    <row r="42" spans="2:47" s="6" customFormat="1" ht="16.899999999999999" customHeight="1">
      <c r="B42" s="52"/>
      <c r="C42" s="52"/>
      <c r="D42" s="52"/>
      <c r="E42" s="52"/>
      <c r="F42" s="52"/>
      <c r="G42" s="52"/>
      <c r="H42" s="52"/>
      <c r="I42" s="52"/>
      <c r="J42" s="52"/>
      <c r="K42" s="53"/>
      <c r="L42" s="54"/>
      <c r="M42" s="54"/>
      <c r="N42" s="54"/>
      <c r="O42" s="54"/>
      <c r="P42" s="54"/>
      <c r="Q42" s="54"/>
      <c r="R42" s="54"/>
      <c r="S42" s="54"/>
      <c r="T42" s="54"/>
      <c r="U42" s="54"/>
      <c r="V42" s="54"/>
      <c r="W42" s="54"/>
      <c r="X42" s="54"/>
      <c r="Y42" s="52"/>
      <c r="Z42" s="52"/>
      <c r="AA42" s="52"/>
      <c r="AB42" s="52"/>
      <c r="AC42" s="52"/>
      <c r="AD42" s="52"/>
      <c r="AE42" s="52"/>
      <c r="AF42" s="52"/>
      <c r="AG42" s="52"/>
      <c r="AH42" s="53"/>
      <c r="AI42" s="54"/>
      <c r="AJ42" s="54"/>
      <c r="AK42" s="54"/>
      <c r="AL42" s="54"/>
      <c r="AM42" s="54"/>
      <c r="AN42" s="54"/>
      <c r="AO42" s="54"/>
      <c r="AP42" s="54"/>
      <c r="AQ42" s="54"/>
      <c r="AR42" s="54"/>
      <c r="AS42" s="54"/>
      <c r="AT42" s="54"/>
      <c r="AU42" s="54"/>
    </row>
    <row r="43" spans="2:47" s="6" customFormat="1" ht="16.899999999999999" customHeight="1">
      <c r="B43" s="11" t="s">
        <v>158</v>
      </c>
      <c r="C43" s="52"/>
      <c r="D43" s="52"/>
    </row>
    <row r="44" spans="2:47" s="6" customFormat="1" ht="16.899999999999999" customHeight="1">
      <c r="B44" s="359" t="s">
        <v>159</v>
      </c>
      <c r="C44" s="360"/>
      <c r="D44" s="360"/>
      <c r="E44" s="360"/>
      <c r="F44" s="360"/>
      <c r="G44" s="356" t="s">
        <v>160</v>
      </c>
      <c r="H44" s="356"/>
      <c r="I44" s="356"/>
      <c r="J44" s="356"/>
      <c r="K44" s="356" t="s">
        <v>161</v>
      </c>
      <c r="L44" s="356"/>
      <c r="M44" s="356"/>
      <c r="N44" s="356"/>
      <c r="O44" s="356" t="s">
        <v>162</v>
      </c>
      <c r="P44" s="356"/>
      <c r="Q44" s="356"/>
      <c r="R44" s="356"/>
      <c r="S44" s="356" t="s">
        <v>163</v>
      </c>
      <c r="T44" s="356"/>
      <c r="U44" s="356"/>
      <c r="V44" s="356"/>
      <c r="W44" s="356" t="s">
        <v>164</v>
      </c>
      <c r="X44" s="356"/>
      <c r="Y44" s="356"/>
      <c r="Z44" s="356"/>
      <c r="AA44" s="356" t="s">
        <v>165</v>
      </c>
      <c r="AB44" s="356"/>
      <c r="AC44" s="356"/>
      <c r="AD44" s="356"/>
      <c r="AE44" s="356" t="s">
        <v>166</v>
      </c>
      <c r="AF44" s="356"/>
      <c r="AG44" s="356"/>
      <c r="AH44" s="356"/>
      <c r="AI44" s="356" t="s">
        <v>167</v>
      </c>
      <c r="AJ44" s="356"/>
      <c r="AK44" s="356"/>
      <c r="AL44" s="357"/>
      <c r="AM44" s="358" t="s">
        <v>168</v>
      </c>
      <c r="AN44" s="356"/>
      <c r="AO44" s="356"/>
      <c r="AP44" s="356"/>
      <c r="AQ44" s="356" t="s">
        <v>169</v>
      </c>
      <c r="AR44" s="356"/>
      <c r="AS44" s="356"/>
      <c r="AT44" s="356"/>
      <c r="AU44" s="356"/>
    </row>
    <row r="45" spans="2:47" s="6" customFormat="1" ht="16.899999999999999" customHeight="1">
      <c r="B45" s="360"/>
      <c r="C45" s="360"/>
      <c r="D45" s="360"/>
      <c r="E45" s="360"/>
      <c r="F45" s="360"/>
      <c r="G45" s="356"/>
      <c r="H45" s="356"/>
      <c r="I45" s="356"/>
      <c r="J45" s="356"/>
      <c r="K45" s="356"/>
      <c r="L45" s="356"/>
      <c r="M45" s="356"/>
      <c r="N45" s="356"/>
      <c r="O45" s="356"/>
      <c r="P45" s="356"/>
      <c r="Q45" s="356"/>
      <c r="R45" s="356"/>
      <c r="S45" s="356"/>
      <c r="T45" s="356"/>
      <c r="U45" s="356"/>
      <c r="V45" s="356"/>
      <c r="W45" s="356"/>
      <c r="X45" s="356"/>
      <c r="Y45" s="356"/>
      <c r="Z45" s="356"/>
      <c r="AA45" s="356"/>
      <c r="AB45" s="356"/>
      <c r="AC45" s="356"/>
      <c r="AD45" s="356"/>
      <c r="AE45" s="356"/>
      <c r="AF45" s="356"/>
      <c r="AG45" s="356"/>
      <c r="AH45" s="356"/>
      <c r="AI45" s="356"/>
      <c r="AJ45" s="356"/>
      <c r="AK45" s="356"/>
      <c r="AL45" s="357"/>
      <c r="AM45" s="358"/>
      <c r="AN45" s="356"/>
      <c r="AO45" s="356"/>
      <c r="AP45" s="356"/>
      <c r="AQ45" s="356"/>
      <c r="AR45" s="356"/>
      <c r="AS45" s="356"/>
      <c r="AT45" s="356"/>
      <c r="AU45" s="356"/>
    </row>
    <row r="46" spans="2:47" s="6" customFormat="1" ht="16.899999999999999" customHeight="1">
      <c r="B46" s="364" t="s">
        <v>160</v>
      </c>
      <c r="C46" s="364"/>
      <c r="D46" s="364"/>
      <c r="E46" s="364"/>
      <c r="F46" s="364"/>
      <c r="G46" s="361"/>
      <c r="H46" s="362"/>
      <c r="I46" s="362"/>
      <c r="J46" s="363"/>
      <c r="K46" s="365"/>
      <c r="L46" s="366"/>
      <c r="M46" s="366"/>
      <c r="N46" s="367"/>
      <c r="O46" s="365"/>
      <c r="P46" s="366"/>
      <c r="Q46" s="366"/>
      <c r="R46" s="367"/>
      <c r="S46" s="365"/>
      <c r="T46" s="366"/>
      <c r="U46" s="366"/>
      <c r="V46" s="367"/>
      <c r="W46" s="365"/>
      <c r="X46" s="366"/>
      <c r="Y46" s="366"/>
      <c r="Z46" s="367"/>
      <c r="AA46" s="365"/>
      <c r="AB46" s="366"/>
      <c r="AC46" s="366"/>
      <c r="AD46" s="367"/>
      <c r="AE46" s="365"/>
      <c r="AF46" s="366"/>
      <c r="AG46" s="366"/>
      <c r="AH46" s="367"/>
      <c r="AI46" s="365"/>
      <c r="AJ46" s="366"/>
      <c r="AK46" s="366"/>
      <c r="AL46" s="368"/>
      <c r="AM46" s="366">
        <f>SUM(G46:AL46)</f>
        <v>0</v>
      </c>
      <c r="AN46" s="366"/>
      <c r="AO46" s="366"/>
      <c r="AP46" s="367"/>
      <c r="AQ46" s="385" t="e">
        <f>AM46/G54</f>
        <v>#DIV/0!</v>
      </c>
      <c r="AR46" s="385"/>
      <c r="AS46" s="385"/>
      <c r="AT46" s="385"/>
      <c r="AU46" s="385"/>
    </row>
    <row r="47" spans="2:47" s="6" customFormat="1" ht="16.899999999999999" customHeight="1">
      <c r="B47" s="364" t="s">
        <v>170</v>
      </c>
      <c r="C47" s="364"/>
      <c r="D47" s="364"/>
      <c r="E47" s="364"/>
      <c r="F47" s="364"/>
      <c r="G47" s="361"/>
      <c r="H47" s="362"/>
      <c r="I47" s="362"/>
      <c r="J47" s="363"/>
      <c r="K47" s="361"/>
      <c r="L47" s="362"/>
      <c r="M47" s="362"/>
      <c r="N47" s="363"/>
      <c r="O47" s="365"/>
      <c r="P47" s="366"/>
      <c r="Q47" s="366"/>
      <c r="R47" s="367"/>
      <c r="S47" s="365"/>
      <c r="T47" s="366"/>
      <c r="U47" s="366"/>
      <c r="V47" s="367"/>
      <c r="W47" s="365"/>
      <c r="X47" s="366"/>
      <c r="Y47" s="366"/>
      <c r="Z47" s="367"/>
      <c r="AA47" s="365"/>
      <c r="AB47" s="366"/>
      <c r="AC47" s="366"/>
      <c r="AD47" s="367"/>
      <c r="AE47" s="365"/>
      <c r="AF47" s="366"/>
      <c r="AG47" s="366"/>
      <c r="AH47" s="367"/>
      <c r="AI47" s="365"/>
      <c r="AJ47" s="366"/>
      <c r="AK47" s="366"/>
      <c r="AL47" s="368"/>
      <c r="AM47" s="366">
        <f t="shared" ref="AM47:AM53" si="0">SUM(G47:AL47)</f>
        <v>0</v>
      </c>
      <c r="AN47" s="366"/>
      <c r="AO47" s="366"/>
      <c r="AP47" s="367"/>
      <c r="AQ47" s="385" t="e">
        <f>AM47/SUM(G47:N53)</f>
        <v>#DIV/0!</v>
      </c>
      <c r="AR47" s="385"/>
      <c r="AS47" s="385"/>
      <c r="AT47" s="385"/>
      <c r="AU47" s="385"/>
    </row>
    <row r="48" spans="2:47" s="6" customFormat="1" ht="16.899999999999999" customHeight="1">
      <c r="B48" s="364" t="s">
        <v>171</v>
      </c>
      <c r="C48" s="364"/>
      <c r="D48" s="364"/>
      <c r="E48" s="364"/>
      <c r="F48" s="364"/>
      <c r="G48" s="361"/>
      <c r="H48" s="362"/>
      <c r="I48" s="362"/>
      <c r="J48" s="363"/>
      <c r="K48" s="361"/>
      <c r="L48" s="362"/>
      <c r="M48" s="362"/>
      <c r="N48" s="363"/>
      <c r="O48" s="361"/>
      <c r="P48" s="362"/>
      <c r="Q48" s="362"/>
      <c r="R48" s="363"/>
      <c r="S48" s="365"/>
      <c r="T48" s="366"/>
      <c r="U48" s="366"/>
      <c r="V48" s="367"/>
      <c r="W48" s="365"/>
      <c r="X48" s="366"/>
      <c r="Y48" s="366"/>
      <c r="Z48" s="367"/>
      <c r="AA48" s="365"/>
      <c r="AB48" s="366"/>
      <c r="AC48" s="366"/>
      <c r="AD48" s="367"/>
      <c r="AE48" s="365"/>
      <c r="AF48" s="366"/>
      <c r="AG48" s="366"/>
      <c r="AH48" s="367"/>
      <c r="AI48" s="365"/>
      <c r="AJ48" s="366"/>
      <c r="AK48" s="366"/>
      <c r="AL48" s="368"/>
      <c r="AM48" s="366">
        <f t="shared" si="0"/>
        <v>0</v>
      </c>
      <c r="AN48" s="366"/>
      <c r="AO48" s="366"/>
      <c r="AP48" s="367"/>
      <c r="AQ48" s="385" t="e">
        <f>AM48/SUM(G48:R53)</f>
        <v>#DIV/0!</v>
      </c>
      <c r="AR48" s="385"/>
      <c r="AS48" s="385"/>
      <c r="AT48" s="385"/>
      <c r="AU48" s="385"/>
    </row>
    <row r="49" spans="2:47" s="6" customFormat="1" ht="16.899999999999999" customHeight="1">
      <c r="B49" s="364" t="s">
        <v>163</v>
      </c>
      <c r="C49" s="364"/>
      <c r="D49" s="364"/>
      <c r="E49" s="364"/>
      <c r="F49" s="364"/>
      <c r="G49" s="361"/>
      <c r="H49" s="362"/>
      <c r="I49" s="362"/>
      <c r="J49" s="363"/>
      <c r="K49" s="361"/>
      <c r="L49" s="362"/>
      <c r="M49" s="362"/>
      <c r="N49" s="363"/>
      <c r="O49" s="361"/>
      <c r="P49" s="362"/>
      <c r="Q49" s="362"/>
      <c r="R49" s="363"/>
      <c r="S49" s="361"/>
      <c r="T49" s="362"/>
      <c r="U49" s="362"/>
      <c r="V49" s="363"/>
      <c r="W49" s="365"/>
      <c r="X49" s="366"/>
      <c r="Y49" s="366"/>
      <c r="Z49" s="367"/>
      <c r="AA49" s="365"/>
      <c r="AB49" s="366"/>
      <c r="AC49" s="366"/>
      <c r="AD49" s="367"/>
      <c r="AE49" s="365"/>
      <c r="AF49" s="366"/>
      <c r="AG49" s="366"/>
      <c r="AH49" s="367"/>
      <c r="AI49" s="365"/>
      <c r="AJ49" s="366"/>
      <c r="AK49" s="366"/>
      <c r="AL49" s="368"/>
      <c r="AM49" s="366">
        <f t="shared" si="0"/>
        <v>0</v>
      </c>
      <c r="AN49" s="366"/>
      <c r="AO49" s="366"/>
      <c r="AP49" s="367"/>
      <c r="AQ49" s="385" t="e">
        <f>AM49/SUM(G49:V53)</f>
        <v>#DIV/0!</v>
      </c>
      <c r="AR49" s="385"/>
      <c r="AS49" s="385"/>
      <c r="AT49" s="385"/>
      <c r="AU49" s="385"/>
    </row>
    <row r="50" spans="2:47" s="6" customFormat="1" ht="16.899999999999999" customHeight="1">
      <c r="B50" s="364" t="s">
        <v>164</v>
      </c>
      <c r="C50" s="364"/>
      <c r="D50" s="364"/>
      <c r="E50" s="364"/>
      <c r="F50" s="364"/>
      <c r="G50" s="361"/>
      <c r="H50" s="362"/>
      <c r="I50" s="362"/>
      <c r="J50" s="363"/>
      <c r="K50" s="361"/>
      <c r="L50" s="362"/>
      <c r="M50" s="362"/>
      <c r="N50" s="363"/>
      <c r="O50" s="361"/>
      <c r="P50" s="362"/>
      <c r="Q50" s="362"/>
      <c r="R50" s="363"/>
      <c r="S50" s="361"/>
      <c r="T50" s="362"/>
      <c r="U50" s="362"/>
      <c r="V50" s="363"/>
      <c r="W50" s="361"/>
      <c r="X50" s="362"/>
      <c r="Y50" s="362"/>
      <c r="Z50" s="363"/>
      <c r="AA50" s="365"/>
      <c r="AB50" s="366"/>
      <c r="AC50" s="366"/>
      <c r="AD50" s="367"/>
      <c r="AE50" s="365"/>
      <c r="AF50" s="366"/>
      <c r="AG50" s="366"/>
      <c r="AH50" s="367"/>
      <c r="AI50" s="365"/>
      <c r="AJ50" s="366"/>
      <c r="AK50" s="366"/>
      <c r="AL50" s="368"/>
      <c r="AM50" s="366">
        <f t="shared" si="0"/>
        <v>0</v>
      </c>
      <c r="AN50" s="366"/>
      <c r="AO50" s="366"/>
      <c r="AP50" s="367"/>
      <c r="AQ50" s="385" t="e">
        <f>AM50/SUM(G50:Z53)</f>
        <v>#DIV/0!</v>
      </c>
      <c r="AR50" s="385"/>
      <c r="AS50" s="385"/>
      <c r="AT50" s="385"/>
      <c r="AU50" s="385"/>
    </row>
    <row r="51" spans="2:47" s="6" customFormat="1" ht="16.899999999999999" customHeight="1">
      <c r="B51" s="364" t="s">
        <v>165</v>
      </c>
      <c r="C51" s="364"/>
      <c r="D51" s="364"/>
      <c r="E51" s="364"/>
      <c r="F51" s="364"/>
      <c r="G51" s="361"/>
      <c r="H51" s="362"/>
      <c r="I51" s="362"/>
      <c r="J51" s="363"/>
      <c r="K51" s="361"/>
      <c r="L51" s="362"/>
      <c r="M51" s="362"/>
      <c r="N51" s="363"/>
      <c r="O51" s="361"/>
      <c r="P51" s="362"/>
      <c r="Q51" s="362"/>
      <c r="R51" s="363"/>
      <c r="S51" s="361"/>
      <c r="T51" s="362"/>
      <c r="U51" s="362"/>
      <c r="V51" s="363"/>
      <c r="W51" s="361"/>
      <c r="X51" s="362"/>
      <c r="Y51" s="362"/>
      <c r="Z51" s="363"/>
      <c r="AA51" s="361"/>
      <c r="AB51" s="362"/>
      <c r="AC51" s="362"/>
      <c r="AD51" s="363"/>
      <c r="AE51" s="365"/>
      <c r="AF51" s="366"/>
      <c r="AG51" s="366"/>
      <c r="AH51" s="367"/>
      <c r="AI51" s="365"/>
      <c r="AJ51" s="366"/>
      <c r="AK51" s="366"/>
      <c r="AL51" s="368"/>
      <c r="AM51" s="366">
        <f t="shared" si="0"/>
        <v>0</v>
      </c>
      <c r="AN51" s="366"/>
      <c r="AO51" s="366"/>
      <c r="AP51" s="367"/>
      <c r="AQ51" s="385" t="e">
        <f>AM51/SUM(G51:AD53)</f>
        <v>#DIV/0!</v>
      </c>
      <c r="AR51" s="385"/>
      <c r="AS51" s="385"/>
      <c r="AT51" s="385"/>
      <c r="AU51" s="385"/>
    </row>
    <row r="52" spans="2:47" s="6" customFormat="1" ht="16.899999999999999" customHeight="1">
      <c r="B52" s="364" t="s">
        <v>166</v>
      </c>
      <c r="C52" s="364"/>
      <c r="D52" s="364"/>
      <c r="E52" s="364"/>
      <c r="F52" s="364"/>
      <c r="G52" s="361"/>
      <c r="H52" s="362"/>
      <c r="I52" s="362"/>
      <c r="J52" s="363"/>
      <c r="K52" s="361"/>
      <c r="L52" s="362"/>
      <c r="M52" s="362"/>
      <c r="N52" s="363"/>
      <c r="O52" s="361"/>
      <c r="P52" s="362"/>
      <c r="Q52" s="362"/>
      <c r="R52" s="363"/>
      <c r="S52" s="361"/>
      <c r="T52" s="362"/>
      <c r="U52" s="362"/>
      <c r="V52" s="363"/>
      <c r="W52" s="361"/>
      <c r="X52" s="362"/>
      <c r="Y52" s="362"/>
      <c r="Z52" s="363"/>
      <c r="AA52" s="361"/>
      <c r="AB52" s="362"/>
      <c r="AC52" s="362"/>
      <c r="AD52" s="363"/>
      <c r="AE52" s="361"/>
      <c r="AF52" s="362"/>
      <c r="AG52" s="362"/>
      <c r="AH52" s="363"/>
      <c r="AI52" s="365"/>
      <c r="AJ52" s="366"/>
      <c r="AK52" s="366"/>
      <c r="AL52" s="368"/>
      <c r="AM52" s="366">
        <f t="shared" si="0"/>
        <v>0</v>
      </c>
      <c r="AN52" s="366"/>
      <c r="AO52" s="366"/>
      <c r="AP52" s="367"/>
      <c r="AQ52" s="385" t="e">
        <f>AM52/SUM(G52:AH53)</f>
        <v>#DIV/0!</v>
      </c>
      <c r="AR52" s="385"/>
      <c r="AS52" s="385"/>
      <c r="AT52" s="385"/>
      <c r="AU52" s="385"/>
    </row>
    <row r="53" spans="2:47" s="6" customFormat="1" ht="16.899999999999999" customHeight="1" thickBot="1">
      <c r="B53" s="369" t="s">
        <v>172</v>
      </c>
      <c r="C53" s="369"/>
      <c r="D53" s="369"/>
      <c r="E53" s="369"/>
      <c r="F53" s="369"/>
      <c r="G53" s="371"/>
      <c r="H53" s="372"/>
      <c r="I53" s="372"/>
      <c r="J53" s="373"/>
      <c r="K53" s="371"/>
      <c r="L53" s="372"/>
      <c r="M53" s="372"/>
      <c r="N53" s="373"/>
      <c r="O53" s="371"/>
      <c r="P53" s="372"/>
      <c r="Q53" s="372"/>
      <c r="R53" s="373"/>
      <c r="S53" s="371"/>
      <c r="T53" s="372"/>
      <c r="U53" s="372"/>
      <c r="V53" s="373"/>
      <c r="W53" s="371"/>
      <c r="X53" s="372"/>
      <c r="Y53" s="372"/>
      <c r="Z53" s="373"/>
      <c r="AA53" s="371"/>
      <c r="AB53" s="372"/>
      <c r="AC53" s="372"/>
      <c r="AD53" s="373"/>
      <c r="AE53" s="371"/>
      <c r="AF53" s="372"/>
      <c r="AG53" s="372"/>
      <c r="AH53" s="373"/>
      <c r="AI53" s="371"/>
      <c r="AJ53" s="372"/>
      <c r="AK53" s="372"/>
      <c r="AL53" s="380"/>
      <c r="AM53" s="389">
        <f t="shared" si="0"/>
        <v>0</v>
      </c>
      <c r="AN53" s="389"/>
      <c r="AO53" s="389"/>
      <c r="AP53" s="390"/>
      <c r="AQ53" s="386" t="e">
        <f>AM53/SUM(G53:AL53)</f>
        <v>#DIV/0!</v>
      </c>
      <c r="AR53" s="386"/>
      <c r="AS53" s="386"/>
      <c r="AT53" s="386"/>
      <c r="AU53" s="386"/>
    </row>
    <row r="54" spans="2:47" s="6" customFormat="1" ht="16.899999999999999" customHeight="1" thickTop="1">
      <c r="B54" s="370" t="s">
        <v>168</v>
      </c>
      <c r="C54" s="370"/>
      <c r="D54" s="370"/>
      <c r="E54" s="370"/>
      <c r="F54" s="370"/>
      <c r="G54" s="374">
        <f>SUM(G46:J53)</f>
        <v>0</v>
      </c>
      <c r="H54" s="375"/>
      <c r="I54" s="375"/>
      <c r="J54" s="376"/>
      <c r="K54" s="374">
        <f t="shared" ref="K54" si="1">SUM(K46:N53)</f>
        <v>0</v>
      </c>
      <c r="L54" s="375"/>
      <c r="M54" s="375"/>
      <c r="N54" s="376"/>
      <c r="O54" s="374">
        <f t="shared" ref="O54" si="2">SUM(O46:R53)</f>
        <v>0</v>
      </c>
      <c r="P54" s="375"/>
      <c r="Q54" s="375"/>
      <c r="R54" s="376"/>
      <c r="S54" s="374">
        <f t="shared" ref="S54" si="3">SUM(S46:V53)</f>
        <v>0</v>
      </c>
      <c r="T54" s="375"/>
      <c r="U54" s="375"/>
      <c r="V54" s="376"/>
      <c r="W54" s="374">
        <f t="shared" ref="W54" si="4">SUM(W46:Z53)</f>
        <v>0</v>
      </c>
      <c r="X54" s="375"/>
      <c r="Y54" s="375"/>
      <c r="Z54" s="376"/>
      <c r="AA54" s="374">
        <f t="shared" ref="AA54" si="5">SUM(AA46:AD53)</f>
        <v>0</v>
      </c>
      <c r="AB54" s="375"/>
      <c r="AC54" s="375"/>
      <c r="AD54" s="376"/>
      <c r="AE54" s="374">
        <f t="shared" ref="AE54" si="6">SUM(AE46:AH53)</f>
        <v>0</v>
      </c>
      <c r="AF54" s="375"/>
      <c r="AG54" s="375"/>
      <c r="AH54" s="376"/>
      <c r="AI54" s="374">
        <f t="shared" ref="AI54" si="7">SUM(AI46:AL53)</f>
        <v>0</v>
      </c>
      <c r="AJ54" s="375"/>
      <c r="AK54" s="375"/>
      <c r="AL54" s="387"/>
      <c r="AM54" s="375">
        <f>SUM(AM46:AP53)</f>
        <v>0</v>
      </c>
      <c r="AN54" s="375"/>
      <c r="AO54" s="375"/>
      <c r="AP54" s="376"/>
      <c r="AQ54" s="381"/>
      <c r="AR54" s="381"/>
      <c r="AS54" s="381"/>
      <c r="AT54" s="381"/>
      <c r="AU54" s="381"/>
    </row>
    <row r="55" spans="2:47" s="6" customFormat="1" ht="16.899999999999999" customHeight="1">
      <c r="B55" s="364" t="s">
        <v>173</v>
      </c>
      <c r="C55" s="364"/>
      <c r="D55" s="364"/>
      <c r="E55" s="364"/>
      <c r="F55" s="364"/>
      <c r="G55" s="377" t="e">
        <f>G54/$AM54</f>
        <v>#DIV/0!</v>
      </c>
      <c r="H55" s="378"/>
      <c r="I55" s="378"/>
      <c r="J55" s="379"/>
      <c r="K55" s="377" t="e">
        <f t="shared" ref="K55" si="8">K54/$AM54</f>
        <v>#DIV/0!</v>
      </c>
      <c r="L55" s="378"/>
      <c r="M55" s="378"/>
      <c r="N55" s="379"/>
      <c r="O55" s="377" t="e">
        <f t="shared" ref="O55" si="9">O54/$AM54</f>
        <v>#DIV/0!</v>
      </c>
      <c r="P55" s="378"/>
      <c r="Q55" s="378"/>
      <c r="R55" s="379"/>
      <c r="S55" s="377" t="e">
        <f t="shared" ref="S55" si="10">S54/$AM54</f>
        <v>#DIV/0!</v>
      </c>
      <c r="T55" s="378"/>
      <c r="U55" s="378"/>
      <c r="V55" s="379"/>
      <c r="W55" s="377" t="e">
        <f t="shared" ref="W55" si="11">W54/$AM54</f>
        <v>#DIV/0!</v>
      </c>
      <c r="X55" s="378"/>
      <c r="Y55" s="378"/>
      <c r="Z55" s="379"/>
      <c r="AA55" s="377" t="e">
        <f t="shared" ref="AA55" si="12">AA54/$AM54</f>
        <v>#DIV/0!</v>
      </c>
      <c r="AB55" s="378"/>
      <c r="AC55" s="378"/>
      <c r="AD55" s="379"/>
      <c r="AE55" s="377" t="e">
        <f t="shared" ref="AE55" si="13">AE54/$AM54</f>
        <v>#DIV/0!</v>
      </c>
      <c r="AF55" s="378"/>
      <c r="AG55" s="378"/>
      <c r="AH55" s="379"/>
      <c r="AI55" s="377" t="e">
        <f t="shared" ref="AI55" si="14">AI54/$AM54</f>
        <v>#DIV/0!</v>
      </c>
      <c r="AJ55" s="378"/>
      <c r="AK55" s="378"/>
      <c r="AL55" s="388"/>
      <c r="AM55" s="384"/>
      <c r="AN55" s="384"/>
      <c r="AO55" s="384"/>
      <c r="AP55" s="384"/>
      <c r="AQ55" s="382"/>
      <c r="AR55" s="383"/>
      <c r="AS55" s="383"/>
      <c r="AT55" s="383"/>
      <c r="AU55" s="383"/>
    </row>
    <row r="56" spans="2:47" s="6" customFormat="1" ht="16.899999999999999" customHeight="1">
      <c r="B56" s="52"/>
      <c r="C56" s="52"/>
      <c r="D56" s="52"/>
      <c r="E56" s="52"/>
      <c r="F56" s="52"/>
      <c r="G56" s="52"/>
      <c r="H56" s="52"/>
      <c r="I56" s="52"/>
      <c r="J56" s="52"/>
      <c r="K56" s="53"/>
      <c r="L56" s="54"/>
      <c r="M56" s="54"/>
      <c r="N56" s="54"/>
      <c r="O56" s="54"/>
      <c r="P56" s="54"/>
      <c r="Q56" s="54"/>
      <c r="R56" s="54"/>
      <c r="S56" s="54"/>
      <c r="T56" s="54"/>
      <c r="U56" s="54"/>
      <c r="V56" s="54"/>
      <c r="W56" s="54"/>
      <c r="X56" s="54"/>
      <c r="Y56" s="52"/>
      <c r="Z56" s="52"/>
      <c r="AA56" s="52"/>
      <c r="AB56" s="52"/>
      <c r="AC56" s="52"/>
      <c r="AD56" s="52"/>
      <c r="AE56" s="52"/>
      <c r="AF56" s="52"/>
      <c r="AG56" s="52"/>
      <c r="AH56" s="53"/>
      <c r="AI56" s="54"/>
      <c r="AJ56" s="54"/>
      <c r="AK56" s="54"/>
      <c r="AL56" s="54"/>
      <c r="AM56" s="54"/>
      <c r="AN56" s="54"/>
      <c r="AO56" s="54"/>
      <c r="AP56" s="54"/>
      <c r="AQ56" s="54"/>
      <c r="AR56" s="54"/>
      <c r="AS56" s="54"/>
      <c r="AT56" s="54"/>
      <c r="AU56" s="54"/>
    </row>
    <row r="57" spans="2:47" ht="16.899999999999999" customHeight="1">
      <c r="B57" s="8" t="s">
        <v>174</v>
      </c>
      <c r="C57" s="7"/>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row>
    <row r="58" spans="2:47" ht="16.899999999999999" customHeight="1">
      <c r="B58" s="148"/>
      <c r="C58" s="149"/>
      <c r="D58" s="149"/>
      <c r="E58" s="149"/>
      <c r="F58" s="149"/>
      <c r="G58" s="149"/>
      <c r="H58" s="149"/>
      <c r="I58" s="149"/>
      <c r="J58" s="149"/>
      <c r="K58" s="149"/>
      <c r="L58" s="149"/>
      <c r="M58" s="149"/>
      <c r="N58" s="149"/>
      <c r="O58" s="149"/>
      <c r="P58" s="149"/>
      <c r="Q58" s="149"/>
      <c r="R58" s="149"/>
      <c r="S58" s="149"/>
      <c r="T58" s="149"/>
      <c r="U58" s="149"/>
      <c r="V58" s="149"/>
      <c r="W58" s="149"/>
      <c r="X58" s="149"/>
      <c r="Y58" s="149"/>
      <c r="Z58" s="149"/>
      <c r="AA58" s="149"/>
      <c r="AB58" s="149"/>
      <c r="AC58" s="149"/>
      <c r="AD58" s="149"/>
      <c r="AE58" s="149"/>
      <c r="AF58" s="149"/>
      <c r="AG58" s="149"/>
      <c r="AH58" s="149"/>
      <c r="AI58" s="149"/>
      <c r="AJ58" s="149"/>
      <c r="AK58" s="149"/>
      <c r="AL58" s="149"/>
      <c r="AM58" s="149"/>
      <c r="AN58" s="149"/>
      <c r="AO58" s="149"/>
      <c r="AP58" s="149"/>
      <c r="AQ58" s="149"/>
      <c r="AR58" s="149"/>
      <c r="AS58" s="149"/>
      <c r="AT58" s="149"/>
      <c r="AU58" s="150"/>
    </row>
    <row r="59" spans="2:47" ht="16.899999999999999" customHeight="1">
      <c r="B59" s="228"/>
      <c r="C59" s="229"/>
      <c r="D59" s="229"/>
      <c r="E59" s="229"/>
      <c r="F59" s="229"/>
      <c r="G59" s="229"/>
      <c r="H59" s="229"/>
      <c r="I59" s="229"/>
      <c r="J59" s="229"/>
      <c r="K59" s="229"/>
      <c r="L59" s="229"/>
      <c r="M59" s="229"/>
      <c r="N59" s="229"/>
      <c r="O59" s="229"/>
      <c r="P59" s="229"/>
      <c r="Q59" s="229"/>
      <c r="R59" s="229"/>
      <c r="S59" s="229"/>
      <c r="T59" s="229"/>
      <c r="U59" s="229"/>
      <c r="V59" s="229"/>
      <c r="W59" s="229"/>
      <c r="X59" s="229"/>
      <c r="Y59" s="229"/>
      <c r="Z59" s="229"/>
      <c r="AA59" s="229"/>
      <c r="AB59" s="229"/>
      <c r="AC59" s="229"/>
      <c r="AD59" s="229"/>
      <c r="AE59" s="229"/>
      <c r="AF59" s="229"/>
      <c r="AG59" s="229"/>
      <c r="AH59" s="229"/>
      <c r="AI59" s="229"/>
      <c r="AJ59" s="229"/>
      <c r="AK59" s="229"/>
      <c r="AL59" s="229"/>
      <c r="AM59" s="229"/>
      <c r="AN59" s="229"/>
      <c r="AO59" s="229"/>
      <c r="AP59" s="229"/>
      <c r="AQ59" s="229"/>
      <c r="AR59" s="229"/>
      <c r="AS59" s="229"/>
      <c r="AT59" s="229"/>
      <c r="AU59" s="230"/>
    </row>
    <row r="60" spans="2:47" ht="16.899999999999999" customHeight="1">
      <c r="B60" s="228"/>
      <c r="C60" s="229"/>
      <c r="D60" s="229"/>
      <c r="E60" s="229"/>
      <c r="F60" s="229"/>
      <c r="G60" s="229"/>
      <c r="H60" s="229"/>
      <c r="I60" s="229"/>
      <c r="J60" s="229"/>
      <c r="K60" s="229"/>
      <c r="L60" s="229"/>
      <c r="M60" s="229"/>
      <c r="N60" s="229"/>
      <c r="O60" s="229"/>
      <c r="P60" s="229"/>
      <c r="Q60" s="229"/>
      <c r="R60" s="229"/>
      <c r="S60" s="229"/>
      <c r="T60" s="229"/>
      <c r="U60" s="229"/>
      <c r="V60" s="229"/>
      <c r="W60" s="229"/>
      <c r="X60" s="229"/>
      <c r="Y60" s="229"/>
      <c r="Z60" s="229"/>
      <c r="AA60" s="229"/>
      <c r="AB60" s="229"/>
      <c r="AC60" s="229"/>
      <c r="AD60" s="229"/>
      <c r="AE60" s="229"/>
      <c r="AF60" s="229"/>
      <c r="AG60" s="229"/>
      <c r="AH60" s="229"/>
      <c r="AI60" s="229"/>
      <c r="AJ60" s="229"/>
      <c r="AK60" s="229"/>
      <c r="AL60" s="229"/>
      <c r="AM60" s="229"/>
      <c r="AN60" s="229"/>
      <c r="AO60" s="229"/>
      <c r="AP60" s="229"/>
      <c r="AQ60" s="229"/>
      <c r="AR60" s="229"/>
      <c r="AS60" s="229"/>
      <c r="AT60" s="229"/>
      <c r="AU60" s="230"/>
    </row>
    <row r="61" spans="2:47" ht="16.899999999999999" customHeight="1">
      <c r="B61" s="228"/>
      <c r="C61" s="229"/>
      <c r="D61" s="229"/>
      <c r="E61" s="229"/>
      <c r="F61" s="229"/>
      <c r="G61" s="229"/>
      <c r="H61" s="229"/>
      <c r="I61" s="229"/>
      <c r="J61" s="229"/>
      <c r="K61" s="229"/>
      <c r="L61" s="229"/>
      <c r="M61" s="229"/>
      <c r="N61" s="229"/>
      <c r="O61" s="229"/>
      <c r="P61" s="229"/>
      <c r="Q61" s="229"/>
      <c r="R61" s="229"/>
      <c r="S61" s="229"/>
      <c r="T61" s="229"/>
      <c r="U61" s="229"/>
      <c r="V61" s="229"/>
      <c r="W61" s="229"/>
      <c r="X61" s="229"/>
      <c r="Y61" s="229"/>
      <c r="Z61" s="229"/>
      <c r="AA61" s="229"/>
      <c r="AB61" s="229"/>
      <c r="AC61" s="229"/>
      <c r="AD61" s="229"/>
      <c r="AE61" s="229"/>
      <c r="AF61" s="229"/>
      <c r="AG61" s="229"/>
      <c r="AH61" s="229"/>
      <c r="AI61" s="229"/>
      <c r="AJ61" s="229"/>
      <c r="AK61" s="229"/>
      <c r="AL61" s="229"/>
      <c r="AM61" s="229"/>
      <c r="AN61" s="229"/>
      <c r="AO61" s="229"/>
      <c r="AP61" s="229"/>
      <c r="AQ61" s="229"/>
      <c r="AR61" s="229"/>
      <c r="AS61" s="229"/>
      <c r="AT61" s="229"/>
      <c r="AU61" s="230"/>
    </row>
    <row r="62" spans="2:47" ht="16.899999999999999" customHeight="1">
      <c r="B62" s="228"/>
      <c r="C62" s="229"/>
      <c r="D62" s="229"/>
      <c r="E62" s="229"/>
      <c r="F62" s="229"/>
      <c r="G62" s="229"/>
      <c r="H62" s="229"/>
      <c r="I62" s="229"/>
      <c r="J62" s="229"/>
      <c r="K62" s="229"/>
      <c r="L62" s="229"/>
      <c r="M62" s="229"/>
      <c r="N62" s="229"/>
      <c r="O62" s="229"/>
      <c r="P62" s="229"/>
      <c r="Q62" s="229"/>
      <c r="R62" s="229"/>
      <c r="S62" s="229"/>
      <c r="T62" s="229"/>
      <c r="U62" s="229"/>
      <c r="V62" s="229"/>
      <c r="W62" s="229"/>
      <c r="X62" s="229"/>
      <c r="Y62" s="229"/>
      <c r="Z62" s="229"/>
      <c r="AA62" s="229"/>
      <c r="AB62" s="229"/>
      <c r="AC62" s="229"/>
      <c r="AD62" s="229"/>
      <c r="AE62" s="229"/>
      <c r="AF62" s="229"/>
      <c r="AG62" s="229"/>
      <c r="AH62" s="229"/>
      <c r="AI62" s="229"/>
      <c r="AJ62" s="229"/>
      <c r="AK62" s="229"/>
      <c r="AL62" s="229"/>
      <c r="AM62" s="229"/>
      <c r="AN62" s="229"/>
      <c r="AO62" s="229"/>
      <c r="AP62" s="229"/>
      <c r="AQ62" s="229"/>
      <c r="AR62" s="229"/>
      <c r="AS62" s="229"/>
      <c r="AT62" s="229"/>
      <c r="AU62" s="230"/>
    </row>
    <row r="63" spans="2:47" ht="16.899999999999999" customHeight="1">
      <c r="B63" s="228"/>
      <c r="C63" s="229"/>
      <c r="D63" s="229"/>
      <c r="E63" s="229"/>
      <c r="F63" s="229"/>
      <c r="G63" s="229"/>
      <c r="H63" s="229"/>
      <c r="I63" s="229"/>
      <c r="J63" s="229"/>
      <c r="K63" s="229"/>
      <c r="L63" s="229"/>
      <c r="M63" s="229"/>
      <c r="N63" s="229"/>
      <c r="O63" s="229"/>
      <c r="P63" s="229"/>
      <c r="Q63" s="229"/>
      <c r="R63" s="229"/>
      <c r="S63" s="229"/>
      <c r="T63" s="229"/>
      <c r="U63" s="229"/>
      <c r="V63" s="229"/>
      <c r="W63" s="229"/>
      <c r="X63" s="229"/>
      <c r="Y63" s="229"/>
      <c r="Z63" s="229"/>
      <c r="AA63" s="229"/>
      <c r="AB63" s="229"/>
      <c r="AC63" s="229"/>
      <c r="AD63" s="229"/>
      <c r="AE63" s="229"/>
      <c r="AF63" s="229"/>
      <c r="AG63" s="229"/>
      <c r="AH63" s="229"/>
      <c r="AI63" s="229"/>
      <c r="AJ63" s="229"/>
      <c r="AK63" s="229"/>
      <c r="AL63" s="229"/>
      <c r="AM63" s="229"/>
      <c r="AN63" s="229"/>
      <c r="AO63" s="229"/>
      <c r="AP63" s="229"/>
      <c r="AQ63" s="229"/>
      <c r="AR63" s="229"/>
      <c r="AS63" s="229"/>
      <c r="AT63" s="229"/>
      <c r="AU63" s="230"/>
    </row>
    <row r="64" spans="2:47" ht="16.899999999999999" customHeight="1">
      <c r="B64" s="228"/>
      <c r="C64" s="229"/>
      <c r="D64" s="229"/>
      <c r="E64" s="229"/>
      <c r="F64" s="229"/>
      <c r="G64" s="229"/>
      <c r="H64" s="229"/>
      <c r="I64" s="229"/>
      <c r="J64" s="229"/>
      <c r="K64" s="229"/>
      <c r="L64" s="229"/>
      <c r="M64" s="229"/>
      <c r="N64" s="229"/>
      <c r="O64" s="229"/>
      <c r="P64" s="229"/>
      <c r="Q64" s="229"/>
      <c r="R64" s="229"/>
      <c r="S64" s="229"/>
      <c r="T64" s="229"/>
      <c r="U64" s="229"/>
      <c r="V64" s="229"/>
      <c r="W64" s="229"/>
      <c r="X64" s="229"/>
      <c r="Y64" s="229"/>
      <c r="Z64" s="229"/>
      <c r="AA64" s="229"/>
      <c r="AB64" s="229"/>
      <c r="AC64" s="229"/>
      <c r="AD64" s="229"/>
      <c r="AE64" s="229"/>
      <c r="AF64" s="229"/>
      <c r="AG64" s="229"/>
      <c r="AH64" s="229"/>
      <c r="AI64" s="229"/>
      <c r="AJ64" s="229"/>
      <c r="AK64" s="229"/>
      <c r="AL64" s="229"/>
      <c r="AM64" s="229"/>
      <c r="AN64" s="229"/>
      <c r="AO64" s="229"/>
      <c r="AP64" s="229"/>
      <c r="AQ64" s="229"/>
      <c r="AR64" s="229"/>
      <c r="AS64" s="229"/>
      <c r="AT64" s="229"/>
      <c r="AU64" s="230"/>
    </row>
    <row r="65" spans="2:47" ht="16.899999999999999" customHeight="1">
      <c r="B65" s="151"/>
      <c r="C65" s="152"/>
      <c r="D65" s="152"/>
      <c r="E65" s="152"/>
      <c r="F65" s="152"/>
      <c r="G65" s="152"/>
      <c r="H65" s="152"/>
      <c r="I65" s="152"/>
      <c r="J65" s="152"/>
      <c r="K65" s="152"/>
      <c r="L65" s="152"/>
      <c r="M65" s="152"/>
      <c r="N65" s="152"/>
      <c r="O65" s="152"/>
      <c r="P65" s="152"/>
      <c r="Q65" s="152"/>
      <c r="R65" s="152"/>
      <c r="S65" s="152"/>
      <c r="T65" s="152"/>
      <c r="U65" s="152"/>
      <c r="V65" s="152"/>
      <c r="W65" s="152"/>
      <c r="X65" s="152"/>
      <c r="Y65" s="152"/>
      <c r="Z65" s="152"/>
      <c r="AA65" s="152"/>
      <c r="AB65" s="152"/>
      <c r="AC65" s="152"/>
      <c r="AD65" s="152"/>
      <c r="AE65" s="152"/>
      <c r="AF65" s="152"/>
      <c r="AG65" s="152"/>
      <c r="AH65" s="152"/>
      <c r="AI65" s="152"/>
      <c r="AJ65" s="152"/>
      <c r="AK65" s="152"/>
      <c r="AL65" s="152"/>
      <c r="AM65" s="152"/>
      <c r="AN65" s="152"/>
      <c r="AO65" s="152"/>
      <c r="AP65" s="152"/>
      <c r="AQ65" s="152"/>
      <c r="AR65" s="152"/>
      <c r="AS65" s="152"/>
      <c r="AT65" s="152"/>
      <c r="AU65" s="153"/>
    </row>
    <row r="66" spans="2:47" ht="16.899999999999999" customHeight="1">
      <c r="B66" s="7"/>
      <c r="C66" s="7"/>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c r="AI66" s="7"/>
      <c r="AJ66" s="7"/>
      <c r="AK66" s="7"/>
      <c r="AL66" s="7"/>
      <c r="AM66" s="7"/>
      <c r="AN66" s="7"/>
      <c r="AO66" s="7"/>
      <c r="AP66" s="7"/>
      <c r="AQ66" s="7"/>
      <c r="AR66" s="7"/>
      <c r="AS66" s="7"/>
      <c r="AT66" s="7"/>
      <c r="AU66" s="7"/>
    </row>
    <row r="67" spans="2:47" ht="16.899999999999999" customHeight="1">
      <c r="B67" s="8" t="s">
        <v>175</v>
      </c>
      <c r="C67" s="7"/>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row>
    <row r="68" spans="2:47" ht="16.899999999999999" customHeight="1">
      <c r="B68" s="232"/>
      <c r="C68" s="233"/>
      <c r="D68" s="233"/>
      <c r="E68" s="233"/>
      <c r="F68" s="233"/>
      <c r="G68" s="233"/>
      <c r="H68" s="233"/>
      <c r="I68" s="233"/>
      <c r="J68" s="233"/>
      <c r="K68" s="233"/>
      <c r="L68" s="233"/>
      <c r="M68" s="233"/>
      <c r="N68" s="233"/>
      <c r="O68" s="233"/>
      <c r="P68" s="233"/>
      <c r="Q68" s="233"/>
      <c r="R68" s="233"/>
      <c r="S68" s="233"/>
      <c r="T68" s="233"/>
      <c r="U68" s="233"/>
      <c r="V68" s="233"/>
      <c r="W68" s="233"/>
      <c r="X68" s="233"/>
      <c r="Y68" s="233"/>
      <c r="Z68" s="233"/>
      <c r="AA68" s="233"/>
      <c r="AB68" s="233"/>
      <c r="AC68" s="233"/>
      <c r="AD68" s="233"/>
      <c r="AE68" s="233"/>
      <c r="AF68" s="233"/>
      <c r="AG68" s="233"/>
      <c r="AH68" s="233"/>
      <c r="AI68" s="233"/>
      <c r="AJ68" s="233"/>
      <c r="AK68" s="233"/>
      <c r="AL68" s="233"/>
      <c r="AM68" s="233"/>
      <c r="AN68" s="233"/>
      <c r="AO68" s="233"/>
      <c r="AP68" s="233"/>
      <c r="AQ68" s="233"/>
      <c r="AR68" s="233"/>
      <c r="AS68" s="233"/>
      <c r="AT68" s="233"/>
      <c r="AU68" s="234"/>
    </row>
    <row r="69" spans="2:47" ht="16.899999999999999" customHeight="1">
      <c r="B69" s="235"/>
      <c r="C69" s="236"/>
      <c r="D69" s="236"/>
      <c r="E69" s="236"/>
      <c r="F69" s="236"/>
      <c r="G69" s="236"/>
      <c r="H69" s="236"/>
      <c r="I69" s="236"/>
      <c r="J69" s="236"/>
      <c r="K69" s="236"/>
      <c r="L69" s="236"/>
      <c r="M69" s="236"/>
      <c r="N69" s="236"/>
      <c r="O69" s="236"/>
      <c r="P69" s="236"/>
      <c r="Q69" s="236"/>
      <c r="R69" s="236"/>
      <c r="S69" s="236"/>
      <c r="T69" s="236"/>
      <c r="U69" s="236"/>
      <c r="V69" s="236"/>
      <c r="W69" s="236"/>
      <c r="X69" s="236"/>
      <c r="Y69" s="236"/>
      <c r="Z69" s="236"/>
      <c r="AA69" s="236"/>
      <c r="AB69" s="236"/>
      <c r="AC69" s="236"/>
      <c r="AD69" s="236"/>
      <c r="AE69" s="236"/>
      <c r="AF69" s="236"/>
      <c r="AG69" s="236"/>
      <c r="AH69" s="236"/>
      <c r="AI69" s="236"/>
      <c r="AJ69" s="236"/>
      <c r="AK69" s="236"/>
      <c r="AL69" s="236"/>
      <c r="AM69" s="236"/>
      <c r="AN69" s="236"/>
      <c r="AO69" s="236"/>
      <c r="AP69" s="236"/>
      <c r="AQ69" s="236"/>
      <c r="AR69" s="236"/>
      <c r="AS69" s="236"/>
      <c r="AT69" s="236"/>
      <c r="AU69" s="237"/>
    </row>
    <row r="70" spans="2:47" ht="16.899999999999999" customHeight="1">
      <c r="B70" s="235"/>
      <c r="C70" s="236"/>
      <c r="D70" s="236"/>
      <c r="E70" s="236"/>
      <c r="F70" s="236"/>
      <c r="G70" s="236"/>
      <c r="H70" s="236"/>
      <c r="I70" s="236"/>
      <c r="J70" s="236"/>
      <c r="K70" s="236"/>
      <c r="L70" s="236"/>
      <c r="M70" s="236"/>
      <c r="N70" s="236"/>
      <c r="O70" s="236"/>
      <c r="P70" s="236"/>
      <c r="Q70" s="236"/>
      <c r="R70" s="236"/>
      <c r="S70" s="236"/>
      <c r="T70" s="236"/>
      <c r="U70" s="236"/>
      <c r="V70" s="236"/>
      <c r="W70" s="236"/>
      <c r="X70" s="236"/>
      <c r="Y70" s="236"/>
      <c r="Z70" s="236"/>
      <c r="AA70" s="236"/>
      <c r="AB70" s="236"/>
      <c r="AC70" s="236"/>
      <c r="AD70" s="236"/>
      <c r="AE70" s="236"/>
      <c r="AF70" s="236"/>
      <c r="AG70" s="236"/>
      <c r="AH70" s="236"/>
      <c r="AI70" s="236"/>
      <c r="AJ70" s="236"/>
      <c r="AK70" s="236"/>
      <c r="AL70" s="236"/>
      <c r="AM70" s="236"/>
      <c r="AN70" s="236"/>
      <c r="AO70" s="236"/>
      <c r="AP70" s="236"/>
      <c r="AQ70" s="236"/>
      <c r="AR70" s="236"/>
      <c r="AS70" s="236"/>
      <c r="AT70" s="236"/>
      <c r="AU70" s="237"/>
    </row>
    <row r="71" spans="2:47" ht="16.899999999999999" customHeight="1">
      <c r="B71" s="235"/>
      <c r="C71" s="236"/>
      <c r="D71" s="236"/>
      <c r="E71" s="236"/>
      <c r="F71" s="236"/>
      <c r="G71" s="236"/>
      <c r="H71" s="236"/>
      <c r="I71" s="236"/>
      <c r="J71" s="236"/>
      <c r="K71" s="236"/>
      <c r="L71" s="236"/>
      <c r="M71" s="236"/>
      <c r="N71" s="236"/>
      <c r="O71" s="236"/>
      <c r="P71" s="236"/>
      <c r="Q71" s="236"/>
      <c r="R71" s="236"/>
      <c r="S71" s="236"/>
      <c r="T71" s="236"/>
      <c r="U71" s="236"/>
      <c r="V71" s="236"/>
      <c r="W71" s="236"/>
      <c r="X71" s="236"/>
      <c r="Y71" s="236"/>
      <c r="Z71" s="236"/>
      <c r="AA71" s="236"/>
      <c r="AB71" s="236"/>
      <c r="AC71" s="236"/>
      <c r="AD71" s="236"/>
      <c r="AE71" s="236"/>
      <c r="AF71" s="236"/>
      <c r="AG71" s="236"/>
      <c r="AH71" s="236"/>
      <c r="AI71" s="236"/>
      <c r="AJ71" s="236"/>
      <c r="AK71" s="236"/>
      <c r="AL71" s="236"/>
      <c r="AM71" s="236"/>
      <c r="AN71" s="236"/>
      <c r="AO71" s="236"/>
      <c r="AP71" s="236"/>
      <c r="AQ71" s="236"/>
      <c r="AR71" s="236"/>
      <c r="AS71" s="236"/>
      <c r="AT71" s="236"/>
      <c r="AU71" s="237"/>
    </row>
    <row r="72" spans="2:47" ht="16.899999999999999" customHeight="1">
      <c r="B72" s="235"/>
      <c r="C72" s="236"/>
      <c r="D72" s="236"/>
      <c r="E72" s="236"/>
      <c r="F72" s="236"/>
      <c r="G72" s="236"/>
      <c r="H72" s="236"/>
      <c r="I72" s="236"/>
      <c r="J72" s="236"/>
      <c r="K72" s="236"/>
      <c r="L72" s="236"/>
      <c r="M72" s="236"/>
      <c r="N72" s="236"/>
      <c r="O72" s="236"/>
      <c r="P72" s="236"/>
      <c r="Q72" s="236"/>
      <c r="R72" s="236"/>
      <c r="S72" s="236"/>
      <c r="T72" s="236"/>
      <c r="U72" s="236"/>
      <c r="V72" s="236"/>
      <c r="W72" s="236"/>
      <c r="X72" s="236"/>
      <c r="Y72" s="236"/>
      <c r="Z72" s="236"/>
      <c r="AA72" s="236"/>
      <c r="AB72" s="236"/>
      <c r="AC72" s="236"/>
      <c r="AD72" s="236"/>
      <c r="AE72" s="236"/>
      <c r="AF72" s="236"/>
      <c r="AG72" s="236"/>
      <c r="AH72" s="236"/>
      <c r="AI72" s="236"/>
      <c r="AJ72" s="236"/>
      <c r="AK72" s="236"/>
      <c r="AL72" s="236"/>
      <c r="AM72" s="236"/>
      <c r="AN72" s="236"/>
      <c r="AO72" s="236"/>
      <c r="AP72" s="236"/>
      <c r="AQ72" s="236"/>
      <c r="AR72" s="236"/>
      <c r="AS72" s="236"/>
      <c r="AT72" s="236"/>
      <c r="AU72" s="237"/>
    </row>
    <row r="73" spans="2:47" ht="16.899999999999999" customHeight="1">
      <c r="B73" s="235"/>
      <c r="C73" s="236"/>
      <c r="D73" s="236"/>
      <c r="E73" s="236"/>
      <c r="F73" s="236"/>
      <c r="G73" s="236"/>
      <c r="H73" s="236"/>
      <c r="I73" s="236"/>
      <c r="J73" s="236"/>
      <c r="K73" s="236"/>
      <c r="L73" s="236"/>
      <c r="M73" s="236"/>
      <c r="N73" s="236"/>
      <c r="O73" s="236"/>
      <c r="P73" s="236"/>
      <c r="Q73" s="236"/>
      <c r="R73" s="236"/>
      <c r="S73" s="236"/>
      <c r="T73" s="236"/>
      <c r="U73" s="236"/>
      <c r="V73" s="236"/>
      <c r="W73" s="236"/>
      <c r="X73" s="236"/>
      <c r="Y73" s="236"/>
      <c r="Z73" s="236"/>
      <c r="AA73" s="236"/>
      <c r="AB73" s="236"/>
      <c r="AC73" s="236"/>
      <c r="AD73" s="236"/>
      <c r="AE73" s="236"/>
      <c r="AF73" s="236"/>
      <c r="AG73" s="236"/>
      <c r="AH73" s="236"/>
      <c r="AI73" s="236"/>
      <c r="AJ73" s="236"/>
      <c r="AK73" s="236"/>
      <c r="AL73" s="236"/>
      <c r="AM73" s="236"/>
      <c r="AN73" s="236"/>
      <c r="AO73" s="236"/>
      <c r="AP73" s="236"/>
      <c r="AQ73" s="236"/>
      <c r="AR73" s="236"/>
      <c r="AS73" s="236"/>
      <c r="AT73" s="236"/>
      <c r="AU73" s="237"/>
    </row>
    <row r="74" spans="2:47" ht="16.899999999999999" customHeight="1">
      <c r="B74" s="235"/>
      <c r="C74" s="236"/>
      <c r="D74" s="236"/>
      <c r="E74" s="236"/>
      <c r="F74" s="236"/>
      <c r="G74" s="236"/>
      <c r="H74" s="236"/>
      <c r="I74" s="236"/>
      <c r="J74" s="236"/>
      <c r="K74" s="236"/>
      <c r="L74" s="236"/>
      <c r="M74" s="236"/>
      <c r="N74" s="236"/>
      <c r="O74" s="236"/>
      <c r="P74" s="236"/>
      <c r="Q74" s="236"/>
      <c r="R74" s="236"/>
      <c r="S74" s="236"/>
      <c r="T74" s="236"/>
      <c r="U74" s="236"/>
      <c r="V74" s="236"/>
      <c r="W74" s="236"/>
      <c r="X74" s="236"/>
      <c r="Y74" s="236"/>
      <c r="Z74" s="236"/>
      <c r="AA74" s="236"/>
      <c r="AB74" s="236"/>
      <c r="AC74" s="236"/>
      <c r="AD74" s="236"/>
      <c r="AE74" s="236"/>
      <c r="AF74" s="236"/>
      <c r="AG74" s="236"/>
      <c r="AH74" s="236"/>
      <c r="AI74" s="236"/>
      <c r="AJ74" s="236"/>
      <c r="AK74" s="236"/>
      <c r="AL74" s="236"/>
      <c r="AM74" s="236"/>
      <c r="AN74" s="236"/>
      <c r="AO74" s="236"/>
      <c r="AP74" s="236"/>
      <c r="AQ74" s="236"/>
      <c r="AR74" s="236"/>
      <c r="AS74" s="236"/>
      <c r="AT74" s="236"/>
      <c r="AU74" s="237"/>
    </row>
    <row r="75" spans="2:47" ht="16.899999999999999" customHeight="1">
      <c r="B75" s="238"/>
      <c r="C75" s="239"/>
      <c r="D75" s="239"/>
      <c r="E75" s="239"/>
      <c r="F75" s="239"/>
      <c r="G75" s="239"/>
      <c r="H75" s="239"/>
      <c r="I75" s="239"/>
      <c r="J75" s="239"/>
      <c r="K75" s="239"/>
      <c r="L75" s="239"/>
      <c r="M75" s="239"/>
      <c r="N75" s="239"/>
      <c r="O75" s="239"/>
      <c r="P75" s="239"/>
      <c r="Q75" s="239"/>
      <c r="R75" s="239"/>
      <c r="S75" s="239"/>
      <c r="T75" s="239"/>
      <c r="U75" s="239"/>
      <c r="V75" s="239"/>
      <c r="W75" s="239"/>
      <c r="X75" s="239"/>
      <c r="Y75" s="239"/>
      <c r="Z75" s="239"/>
      <c r="AA75" s="239"/>
      <c r="AB75" s="239"/>
      <c r="AC75" s="239"/>
      <c r="AD75" s="239"/>
      <c r="AE75" s="239"/>
      <c r="AF75" s="239"/>
      <c r="AG75" s="239"/>
      <c r="AH75" s="239"/>
      <c r="AI75" s="239"/>
      <c r="AJ75" s="239"/>
      <c r="AK75" s="239"/>
      <c r="AL75" s="239"/>
      <c r="AM75" s="239"/>
      <c r="AN75" s="239"/>
      <c r="AO75" s="239"/>
      <c r="AP75" s="239"/>
      <c r="AQ75" s="239"/>
      <c r="AR75" s="239"/>
      <c r="AS75" s="239"/>
      <c r="AT75" s="239"/>
      <c r="AU75" s="240"/>
    </row>
    <row r="76" spans="2:47" s="6" customFormat="1" ht="16.899999999999999" customHeight="1">
      <c r="B76" s="52"/>
      <c r="C76" s="52"/>
      <c r="D76" s="52"/>
      <c r="E76" s="52"/>
      <c r="F76" s="52"/>
      <c r="G76" s="52"/>
      <c r="H76" s="52"/>
      <c r="I76" s="52"/>
      <c r="J76" s="52"/>
      <c r="K76" s="53"/>
      <c r="L76" s="54"/>
      <c r="M76" s="54"/>
      <c r="N76" s="54"/>
      <c r="O76" s="54"/>
      <c r="P76" s="54"/>
      <c r="Q76" s="54"/>
      <c r="R76" s="54"/>
      <c r="S76" s="54"/>
      <c r="T76" s="54"/>
      <c r="U76" s="54"/>
      <c r="V76" s="54"/>
      <c r="W76" s="54"/>
      <c r="X76" s="54"/>
      <c r="Y76" s="52"/>
      <c r="Z76" s="52"/>
      <c r="AA76" s="52"/>
      <c r="AB76" s="52"/>
      <c r="AC76" s="52"/>
      <c r="AD76" s="52"/>
      <c r="AE76" s="52"/>
      <c r="AF76" s="52"/>
      <c r="AG76" s="52"/>
      <c r="AH76" s="53"/>
      <c r="AI76" s="54"/>
      <c r="AJ76" s="54"/>
      <c r="AK76" s="54"/>
      <c r="AL76" s="54"/>
      <c r="AM76" s="54"/>
      <c r="AN76" s="54"/>
      <c r="AO76" s="54"/>
      <c r="AP76" s="54"/>
      <c r="AQ76" s="54"/>
      <c r="AR76" s="54"/>
      <c r="AS76" s="54"/>
      <c r="AT76" s="54"/>
      <c r="AU76" s="54"/>
    </row>
    <row r="77" spans="2:47" s="6" customFormat="1" ht="16.899999999999999" customHeight="1">
      <c r="B77" s="52"/>
      <c r="C77" s="52"/>
      <c r="D77" s="52"/>
      <c r="E77" s="52"/>
      <c r="F77" s="52"/>
      <c r="G77" s="52"/>
      <c r="H77" s="52"/>
      <c r="I77" s="52"/>
      <c r="J77" s="52"/>
      <c r="K77" s="53"/>
      <c r="L77" s="54"/>
      <c r="M77" s="54"/>
      <c r="N77" s="54"/>
      <c r="O77" s="54"/>
      <c r="P77" s="54"/>
      <c r="Q77" s="54"/>
      <c r="R77" s="54"/>
      <c r="S77" s="54"/>
      <c r="T77" s="54"/>
      <c r="U77" s="54"/>
      <c r="V77" s="54"/>
      <c r="W77" s="54"/>
      <c r="X77" s="54"/>
      <c r="Y77" s="52"/>
      <c r="Z77" s="52"/>
      <c r="AA77" s="52"/>
      <c r="AB77" s="52"/>
      <c r="AC77" s="52"/>
      <c r="AD77" s="52"/>
      <c r="AE77" s="52"/>
      <c r="AF77" s="52"/>
      <c r="AG77" s="52"/>
      <c r="AH77" s="53"/>
      <c r="AI77" s="54"/>
      <c r="AJ77" s="54"/>
      <c r="AK77" s="54"/>
      <c r="AL77" s="54"/>
      <c r="AM77" s="54"/>
      <c r="AN77" s="54"/>
      <c r="AO77" s="54"/>
      <c r="AP77" s="54"/>
      <c r="AQ77" s="54"/>
      <c r="AR77" s="54"/>
      <c r="AS77" s="54"/>
      <c r="AT77" s="54"/>
      <c r="AU77" s="54"/>
    </row>
  </sheetData>
  <protectedRanges>
    <protectedRange sqref="AI32:AU36 AJ40:AL41 AQ40:AS41 AI76:AU77 AM38:AN41 AT38:AU41 AI56:AU56 AQ46:AU55 AI42:AU42" name="範囲1_1_1_1"/>
    <protectedRange sqref="L32:X36 AT37:AU37 W37:X41 AM37:AO37 P37:R41 L76:X77 L56:X56 AH44:AH45 AD44:AD45 Z44:Z45 V44:V45 R44:R45 N44:N45 J44:J45 AP44:AP45 AL44:AL45 L42:X42 AO38:AO41" name="範囲1_2_1_1"/>
    <protectedRange sqref="AI13:AU13 AI15:AU15" name="範囲1_1_4"/>
    <protectedRange sqref="AI16:AU17 AI14:AU14 L13:X13 L15:X15" name="範囲1_2_4"/>
    <protectedRange sqref="L14:M14 L16:M17" name="範囲1_3_1"/>
    <protectedRange sqref="H68:AK73 H58:AK63" name="範囲1_4_2"/>
  </protectedRanges>
  <mergeCells count="233">
    <mergeCell ref="B58:AU65"/>
    <mergeCell ref="B68:AU75"/>
    <mergeCell ref="AM54:AP54"/>
    <mergeCell ref="AM55:AP55"/>
    <mergeCell ref="AQ46:AU46"/>
    <mergeCell ref="AQ47:AU47"/>
    <mergeCell ref="AQ48:AU48"/>
    <mergeCell ref="AQ49:AU49"/>
    <mergeCell ref="AQ50:AU50"/>
    <mergeCell ref="AQ51:AU51"/>
    <mergeCell ref="AQ52:AU52"/>
    <mergeCell ref="AQ53:AU53"/>
    <mergeCell ref="AI54:AL54"/>
    <mergeCell ref="AI55:AL55"/>
    <mergeCell ref="AM46:AP46"/>
    <mergeCell ref="AM47:AP47"/>
    <mergeCell ref="AM48:AP48"/>
    <mergeCell ref="AM49:AP49"/>
    <mergeCell ref="AM50:AP50"/>
    <mergeCell ref="AM51:AP51"/>
    <mergeCell ref="AM52:AP52"/>
    <mergeCell ref="AM53:AP53"/>
    <mergeCell ref="AI47:AL47"/>
    <mergeCell ref="AI48:AL48"/>
    <mergeCell ref="AI49:AL49"/>
    <mergeCell ref="AI50:AL50"/>
    <mergeCell ref="AI51:AL51"/>
    <mergeCell ref="AI52:AL52"/>
    <mergeCell ref="AI53:AL53"/>
    <mergeCell ref="AQ54:AU54"/>
    <mergeCell ref="AQ55:AU55"/>
    <mergeCell ref="AE47:AH47"/>
    <mergeCell ref="AE48:AH48"/>
    <mergeCell ref="AE49:AH49"/>
    <mergeCell ref="AE50:AH50"/>
    <mergeCell ref="AE51:AH51"/>
    <mergeCell ref="AE52:AH52"/>
    <mergeCell ref="AE53:AH53"/>
    <mergeCell ref="AE54:AH54"/>
    <mergeCell ref="AE55:AH55"/>
    <mergeCell ref="AA47:AD47"/>
    <mergeCell ref="AA48:AD48"/>
    <mergeCell ref="AA49:AD49"/>
    <mergeCell ref="AA50:AD50"/>
    <mergeCell ref="AA51:AD51"/>
    <mergeCell ref="AA52:AD52"/>
    <mergeCell ref="AA53:AD53"/>
    <mergeCell ref="AA54:AD54"/>
    <mergeCell ref="AA55:AD55"/>
    <mergeCell ref="W47:Z47"/>
    <mergeCell ref="W48:Z48"/>
    <mergeCell ref="W49:Z49"/>
    <mergeCell ref="W50:Z50"/>
    <mergeCell ref="W51:Z51"/>
    <mergeCell ref="W52:Z52"/>
    <mergeCell ref="W53:Z53"/>
    <mergeCell ref="W54:Z54"/>
    <mergeCell ref="W55:Z55"/>
    <mergeCell ref="S47:V47"/>
    <mergeCell ref="S48:V48"/>
    <mergeCell ref="S49:V49"/>
    <mergeCell ref="S50:V50"/>
    <mergeCell ref="S51:V51"/>
    <mergeCell ref="S52:V52"/>
    <mergeCell ref="S53:V53"/>
    <mergeCell ref="S54:V54"/>
    <mergeCell ref="S55:V55"/>
    <mergeCell ref="O47:R47"/>
    <mergeCell ref="O48:R48"/>
    <mergeCell ref="O49:R49"/>
    <mergeCell ref="O50:R50"/>
    <mergeCell ref="O51:R51"/>
    <mergeCell ref="O52:R52"/>
    <mergeCell ref="O53:R53"/>
    <mergeCell ref="O54:R54"/>
    <mergeCell ref="O55:R55"/>
    <mergeCell ref="K47:N47"/>
    <mergeCell ref="K48:N48"/>
    <mergeCell ref="K49:N49"/>
    <mergeCell ref="K50:N50"/>
    <mergeCell ref="K51:N51"/>
    <mergeCell ref="K52:N52"/>
    <mergeCell ref="K53:N53"/>
    <mergeCell ref="K54:N54"/>
    <mergeCell ref="K55:N55"/>
    <mergeCell ref="B53:F53"/>
    <mergeCell ref="B54:F54"/>
    <mergeCell ref="B55:F55"/>
    <mergeCell ref="G47:J47"/>
    <mergeCell ref="G48:J48"/>
    <mergeCell ref="G49:J49"/>
    <mergeCell ref="G50:J50"/>
    <mergeCell ref="G51:J51"/>
    <mergeCell ref="G52:J52"/>
    <mergeCell ref="G53:J53"/>
    <mergeCell ref="B47:F47"/>
    <mergeCell ref="B48:F48"/>
    <mergeCell ref="B49:F49"/>
    <mergeCell ref="B50:F50"/>
    <mergeCell ref="B51:F51"/>
    <mergeCell ref="B52:F52"/>
    <mergeCell ref="G54:J54"/>
    <mergeCell ref="G55:J55"/>
    <mergeCell ref="AE44:AH45"/>
    <mergeCell ref="AI44:AL45"/>
    <mergeCell ref="AM44:AP45"/>
    <mergeCell ref="AQ44:AU45"/>
    <mergeCell ref="B44:F45"/>
    <mergeCell ref="G46:J46"/>
    <mergeCell ref="B46:F46"/>
    <mergeCell ref="G44:J45"/>
    <mergeCell ref="K44:N45"/>
    <mergeCell ref="O44:R45"/>
    <mergeCell ref="S44:V45"/>
    <mergeCell ref="W44:Z45"/>
    <mergeCell ref="AA44:AD45"/>
    <mergeCell ref="K46:N46"/>
    <mergeCell ref="O46:R46"/>
    <mergeCell ref="S46:V46"/>
    <mergeCell ref="W46:Z46"/>
    <mergeCell ref="AA46:AD46"/>
    <mergeCell ref="AE46:AH46"/>
    <mergeCell ref="AI46:AL46"/>
    <mergeCell ref="AI41:AN41"/>
    <mergeCell ref="B38:F39"/>
    <mergeCell ref="B40:F41"/>
    <mergeCell ref="Y37:AU37"/>
    <mergeCell ref="B37:X37"/>
    <mergeCell ref="Y38:AC39"/>
    <mergeCell ref="Y40:AC41"/>
    <mergeCell ref="AI38:AN38"/>
    <mergeCell ref="AI39:AN39"/>
    <mergeCell ref="L38:Q38"/>
    <mergeCell ref="L39:Q39"/>
    <mergeCell ref="L40:Q40"/>
    <mergeCell ref="L41:Q41"/>
    <mergeCell ref="S41:X41"/>
    <mergeCell ref="AP38:AU38"/>
    <mergeCell ref="AP39:AU39"/>
    <mergeCell ref="AP40:AU40"/>
    <mergeCell ref="AP41:AU41"/>
    <mergeCell ref="AI40:AN40"/>
    <mergeCell ref="S38:X38"/>
    <mergeCell ref="S39:X39"/>
    <mergeCell ref="S40:X40"/>
    <mergeCell ref="AD41:AH41"/>
    <mergeCell ref="G38:K38"/>
    <mergeCell ref="G39:K39"/>
    <mergeCell ref="G40:K40"/>
    <mergeCell ref="G41:K41"/>
    <mergeCell ref="AD38:AH38"/>
    <mergeCell ref="AD39:AH39"/>
    <mergeCell ref="AD40:AH40"/>
    <mergeCell ref="B16:K16"/>
    <mergeCell ref="L16:X16"/>
    <mergeCell ref="Y16:AH16"/>
    <mergeCell ref="L27:X27"/>
    <mergeCell ref="Y27:AH27"/>
    <mergeCell ref="B31:K31"/>
    <mergeCell ref="L31:X31"/>
    <mergeCell ref="Y31:AH31"/>
    <mergeCell ref="AI16:AU16"/>
    <mergeCell ref="B15:K15"/>
    <mergeCell ref="L15:X15"/>
    <mergeCell ref="Y15:AH15"/>
    <mergeCell ref="AI15:AU15"/>
    <mergeCell ref="B14:K14"/>
    <mergeCell ref="L14:X14"/>
    <mergeCell ref="Y14:AH14"/>
    <mergeCell ref="AI14:AU14"/>
    <mergeCell ref="B11:K11"/>
    <mergeCell ref="L11:AU11"/>
    <mergeCell ref="B12:K12"/>
    <mergeCell ref="L12:X12"/>
    <mergeCell ref="B13:K13"/>
    <mergeCell ref="L13:X13"/>
    <mergeCell ref="Y13:AH13"/>
    <mergeCell ref="AI13:AU13"/>
    <mergeCell ref="B9:K9"/>
    <mergeCell ref="L9:X9"/>
    <mergeCell ref="Y9:AH9"/>
    <mergeCell ref="AI9:AN9"/>
    <mergeCell ref="AP9:AU9"/>
    <mergeCell ref="B10:K10"/>
    <mergeCell ref="L10:AU10"/>
    <mergeCell ref="AI27:AU27"/>
    <mergeCell ref="L28:AU28"/>
    <mergeCell ref="Y12:AH12"/>
    <mergeCell ref="AI12:AU12"/>
    <mergeCell ref="L21:X21"/>
    <mergeCell ref="Y21:AH21"/>
    <mergeCell ref="AI21:AU21"/>
    <mergeCell ref="L22:AU22"/>
    <mergeCell ref="B34:K34"/>
    <mergeCell ref="L34:X34"/>
    <mergeCell ref="Y34:AH34"/>
    <mergeCell ref="AI34:AU34"/>
    <mergeCell ref="B28:K28"/>
    <mergeCell ref="B33:K33"/>
    <mergeCell ref="L33:X33"/>
    <mergeCell ref="Y33:AH33"/>
    <mergeCell ref="AI33:AU33"/>
    <mergeCell ref="B32:K32"/>
    <mergeCell ref="L32:X32"/>
    <mergeCell ref="Y32:AH32"/>
    <mergeCell ref="AI32:AU32"/>
    <mergeCell ref="Y20:AH20"/>
    <mergeCell ref="AI20:AU20"/>
    <mergeCell ref="B21:K21"/>
    <mergeCell ref="B2:AI3"/>
    <mergeCell ref="AL2:AP2"/>
    <mergeCell ref="AQ2:AU2"/>
    <mergeCell ref="AL3:AP5"/>
    <mergeCell ref="AQ3:AU5"/>
    <mergeCell ref="AL6:AP6"/>
    <mergeCell ref="AQ6:AU6"/>
    <mergeCell ref="AI31:AU31"/>
    <mergeCell ref="B22:K22"/>
    <mergeCell ref="Y26:AH26"/>
    <mergeCell ref="AI26:AU26"/>
    <mergeCell ref="B27:K27"/>
    <mergeCell ref="B19:K19"/>
    <mergeCell ref="L19:X19"/>
    <mergeCell ref="Y19:AH19"/>
    <mergeCell ref="AI19:AU19"/>
    <mergeCell ref="B20:K20"/>
    <mergeCell ref="L20:X20"/>
    <mergeCell ref="B25:K25"/>
    <mergeCell ref="L25:X25"/>
    <mergeCell ref="Y25:AH25"/>
    <mergeCell ref="AI25:AU25"/>
    <mergeCell ref="B26:K26"/>
    <mergeCell ref="L26:X26"/>
  </mergeCells>
  <phoneticPr fontId="16"/>
  <dataValidations disablePrompts="1" count="1">
    <dataValidation type="list" allowBlank="1" showInputMessage="1" showErrorMessage="1" sqref="AI16:AU17" xr:uid="{79CF97CE-5F89-4B9B-82AD-2310BFB51723}">
      <formula1>"新規開発,保守開発,その他"</formula1>
    </dataValidation>
  </dataValidations>
  <printOptions horizontalCentered="1"/>
  <pageMargins left="0.39370078740157483" right="0.39370078740157483" top="0.39370078740157483" bottom="0.39370078740157483" header="0.19685039370078741" footer="0.19685039370078741"/>
  <pageSetup paperSize="9" scale="63" fitToHeight="0" orientation="portrait" r:id="rId1"/>
  <headerFooter alignWithMargins="0">
    <oddFooter>&amp;C&amp;P / &amp;N</oddFooter>
  </headerFooter>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CD208D-EF61-496C-964D-D4A0D85919EF}">
  <dimension ref="A1:G47"/>
  <sheetViews>
    <sheetView workbookViewId="0">
      <selection activeCell="AC27" sqref="AC27"/>
    </sheetView>
  </sheetViews>
  <sheetFormatPr defaultColWidth="3.140625" defaultRowHeight="18.75" customHeight="1"/>
  <sheetData>
    <row r="1" spans="1:7" ht="18.75" customHeight="1">
      <c r="A1" s="21" t="s">
        <v>176</v>
      </c>
    </row>
    <row r="3" spans="1:7" ht="18.75" customHeight="1">
      <c r="B3" s="21" t="s">
        <v>177</v>
      </c>
      <c r="C3" s="21" t="s">
        <v>178</v>
      </c>
    </row>
    <row r="5" spans="1:7" ht="18.75" customHeight="1">
      <c r="C5" s="21" t="s">
        <v>179</v>
      </c>
      <c r="D5" s="21" t="s">
        <v>180</v>
      </c>
    </row>
    <row r="6" spans="1:7" ht="18.75" customHeight="1">
      <c r="D6" s="21" t="s">
        <v>181</v>
      </c>
      <c r="E6" s="21" t="s">
        <v>182</v>
      </c>
    </row>
    <row r="7" spans="1:7" ht="18.75" customHeight="1">
      <c r="D7" s="21" t="s">
        <v>183</v>
      </c>
      <c r="E7" s="21" t="s">
        <v>184</v>
      </c>
    </row>
    <row r="8" spans="1:7" ht="18.75" customHeight="1">
      <c r="E8" s="21" t="s">
        <v>185</v>
      </c>
      <c r="F8" s="21" t="s">
        <v>186</v>
      </c>
    </row>
    <row r="9" spans="1:7" ht="18.75" customHeight="1">
      <c r="E9" s="21" t="s">
        <v>187</v>
      </c>
      <c r="F9" s="21" t="s">
        <v>188</v>
      </c>
    </row>
    <row r="10" spans="1:7" ht="18.75" customHeight="1">
      <c r="F10" s="21" t="s">
        <v>189</v>
      </c>
      <c r="G10" s="21" t="s">
        <v>190</v>
      </c>
    </row>
    <row r="11" spans="1:7" ht="18.75" customHeight="1">
      <c r="F11" s="21" t="s">
        <v>189</v>
      </c>
      <c r="G11" s="21" t="s">
        <v>191</v>
      </c>
    </row>
    <row r="12" spans="1:7" ht="18.75" customHeight="1">
      <c r="E12" s="21" t="s">
        <v>192</v>
      </c>
      <c r="F12" s="21" t="s">
        <v>193</v>
      </c>
    </row>
    <row r="13" spans="1:7" ht="18.75" customHeight="1">
      <c r="E13" s="21" t="s">
        <v>194</v>
      </c>
      <c r="F13" s="21" t="s">
        <v>195</v>
      </c>
    </row>
    <row r="14" spans="1:7" ht="18.75" customHeight="1">
      <c r="E14" s="21" t="s">
        <v>196</v>
      </c>
      <c r="F14" s="21" t="s">
        <v>197</v>
      </c>
    </row>
    <row r="15" spans="1:7" ht="18.75" customHeight="1">
      <c r="E15" s="21" t="s">
        <v>198</v>
      </c>
      <c r="F15" s="21" t="s">
        <v>199</v>
      </c>
    </row>
    <row r="16" spans="1:7" ht="18.75" customHeight="1">
      <c r="E16" s="21" t="s">
        <v>200</v>
      </c>
      <c r="F16" s="21" t="s">
        <v>201</v>
      </c>
    </row>
    <row r="17" spans="3:6" ht="18.75" customHeight="1">
      <c r="E17" s="21" t="s">
        <v>202</v>
      </c>
      <c r="F17" s="21" t="s">
        <v>203</v>
      </c>
    </row>
    <row r="19" spans="3:6" ht="18.75" customHeight="1">
      <c r="C19" s="21" t="s">
        <v>204</v>
      </c>
      <c r="D19" s="21" t="s">
        <v>205</v>
      </c>
    </row>
    <row r="20" spans="3:6" ht="18.75" customHeight="1">
      <c r="D20" s="21" t="s">
        <v>181</v>
      </c>
      <c r="E20" s="21" t="s">
        <v>206</v>
      </c>
    </row>
    <row r="21" spans="3:6" ht="18.75" customHeight="1">
      <c r="E21" s="21" t="s">
        <v>185</v>
      </c>
      <c r="F21" s="21" t="s">
        <v>207</v>
      </c>
    </row>
    <row r="22" spans="3:6" ht="18.75" customHeight="1">
      <c r="E22" s="21" t="s">
        <v>187</v>
      </c>
      <c r="F22" s="21" t="s">
        <v>208</v>
      </c>
    </row>
    <row r="23" spans="3:6" ht="18.75" customHeight="1">
      <c r="D23" s="21" t="s">
        <v>183</v>
      </c>
      <c r="E23" s="21" t="s">
        <v>209</v>
      </c>
    </row>
    <row r="25" spans="3:6" ht="18.75" customHeight="1">
      <c r="C25" s="21" t="s">
        <v>210</v>
      </c>
      <c r="D25" s="21" t="s">
        <v>211</v>
      </c>
    </row>
    <row r="26" spans="3:6" ht="18.75" customHeight="1">
      <c r="D26" s="21" t="s">
        <v>181</v>
      </c>
      <c r="E26" s="21" t="s">
        <v>212</v>
      </c>
    </row>
    <row r="27" spans="3:6" ht="18.75" customHeight="1">
      <c r="E27" s="21" t="s">
        <v>185</v>
      </c>
      <c r="F27" s="21" t="s">
        <v>213</v>
      </c>
    </row>
    <row r="28" spans="3:6" ht="18.75" customHeight="1">
      <c r="E28" s="21" t="s">
        <v>187</v>
      </c>
      <c r="F28" s="21" t="s">
        <v>214</v>
      </c>
    </row>
    <row r="29" spans="3:6" ht="18.75" customHeight="1">
      <c r="E29" s="21" t="s">
        <v>192</v>
      </c>
      <c r="F29" s="21" t="s">
        <v>215</v>
      </c>
    </row>
    <row r="30" spans="3:6" ht="18.75" customHeight="1">
      <c r="E30" s="21" t="s">
        <v>194</v>
      </c>
      <c r="F30" s="21" t="s">
        <v>216</v>
      </c>
    </row>
    <row r="31" spans="3:6" ht="18.75" customHeight="1">
      <c r="E31" s="21" t="s">
        <v>196</v>
      </c>
      <c r="F31" s="21" t="s">
        <v>217</v>
      </c>
    </row>
    <row r="32" spans="3:6" ht="18.75" customHeight="1">
      <c r="E32" s="21" t="s">
        <v>198</v>
      </c>
      <c r="F32" s="21" t="s">
        <v>218</v>
      </c>
    </row>
    <row r="33" spans="3:6" ht="18.75" customHeight="1">
      <c r="E33" s="21" t="s">
        <v>200</v>
      </c>
      <c r="F33" s="21" t="s">
        <v>219</v>
      </c>
    </row>
    <row r="34" spans="3:6" ht="18.75" customHeight="1">
      <c r="E34" s="21" t="s">
        <v>202</v>
      </c>
      <c r="F34" s="21" t="s">
        <v>220</v>
      </c>
    </row>
    <row r="35" spans="3:6" ht="18.75" customHeight="1">
      <c r="E35" s="21" t="s">
        <v>221</v>
      </c>
      <c r="F35" s="21" t="s">
        <v>222</v>
      </c>
    </row>
    <row r="36" spans="3:6" ht="18.75" customHeight="1">
      <c r="E36" s="21" t="s">
        <v>223</v>
      </c>
      <c r="F36" s="21" t="s">
        <v>224</v>
      </c>
    </row>
    <row r="37" spans="3:6" ht="18.75" customHeight="1">
      <c r="D37" s="21" t="s">
        <v>183</v>
      </c>
      <c r="E37" s="21" t="s">
        <v>225</v>
      </c>
    </row>
    <row r="39" spans="3:6" ht="18.75" customHeight="1">
      <c r="C39" s="21" t="s">
        <v>226</v>
      </c>
      <c r="D39" s="21" t="s">
        <v>227</v>
      </c>
    </row>
    <row r="40" spans="3:6" ht="18.75" customHeight="1">
      <c r="D40" s="21" t="s">
        <v>181</v>
      </c>
      <c r="E40" s="21" t="s">
        <v>228</v>
      </c>
    </row>
    <row r="41" spans="3:6" ht="18.75" customHeight="1">
      <c r="D41" s="21" t="s">
        <v>183</v>
      </c>
      <c r="E41" s="21" t="s">
        <v>229</v>
      </c>
    </row>
    <row r="42" spans="3:6" ht="18.75" customHeight="1">
      <c r="D42" s="21" t="s">
        <v>230</v>
      </c>
      <c r="E42" s="21" t="s">
        <v>231</v>
      </c>
    </row>
    <row r="44" spans="3:6" ht="18.75" customHeight="1">
      <c r="C44" s="21" t="s">
        <v>232</v>
      </c>
      <c r="D44" s="21" t="s">
        <v>233</v>
      </c>
    </row>
    <row r="45" spans="3:6" ht="18.75" customHeight="1">
      <c r="D45" s="21" t="s">
        <v>181</v>
      </c>
      <c r="E45" s="21" t="s">
        <v>234</v>
      </c>
    </row>
    <row r="46" spans="3:6" ht="18.75" customHeight="1">
      <c r="D46" s="21" t="s">
        <v>183</v>
      </c>
      <c r="E46" s="21" t="s">
        <v>235</v>
      </c>
    </row>
    <row r="47" spans="3:6" ht="18.75" customHeight="1">
      <c r="D47" s="21" t="s">
        <v>230</v>
      </c>
      <c r="E47" s="21" t="s">
        <v>236</v>
      </c>
    </row>
  </sheetData>
  <phoneticPr fontId="2"/>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F3D375-3A9E-44D7-8A10-5C297088BF7E}">
  <dimension ref="A1:D9"/>
  <sheetViews>
    <sheetView topLeftCell="A5" zoomScale="145" zoomScaleNormal="145" workbookViewId="0">
      <selection activeCell="B9" sqref="B9"/>
    </sheetView>
  </sheetViews>
  <sheetFormatPr defaultRowHeight="13.5"/>
  <cols>
    <col min="1" max="1" width="8.85546875" style="13" customWidth="1"/>
    <col min="2" max="2" width="66.5703125" customWidth="1"/>
    <col min="3" max="4" width="13.42578125" style="13" customWidth="1"/>
  </cols>
  <sheetData>
    <row r="1" spans="1:4">
      <c r="A1" s="13" t="s">
        <v>237</v>
      </c>
      <c r="B1" t="s">
        <v>238</v>
      </c>
      <c r="C1" s="13" t="s">
        <v>239</v>
      </c>
      <c r="D1" s="13" t="s">
        <v>240</v>
      </c>
    </row>
    <row r="2" spans="1:4">
      <c r="A2" s="61"/>
    </row>
    <row r="3" spans="1:4" ht="67.5">
      <c r="A3" s="61">
        <v>3.1</v>
      </c>
      <c r="B3" s="15" t="s">
        <v>241</v>
      </c>
      <c r="C3" s="13" t="s">
        <v>242</v>
      </c>
      <c r="D3" s="14">
        <v>44579</v>
      </c>
    </row>
    <row r="4" spans="1:4" ht="148.5">
      <c r="A4" s="61">
        <v>3.3</v>
      </c>
      <c r="B4" s="15" t="s">
        <v>243</v>
      </c>
      <c r="C4" s="13" t="s">
        <v>242</v>
      </c>
      <c r="D4" s="14">
        <v>45209</v>
      </c>
    </row>
    <row r="5" spans="1:4" ht="162">
      <c r="A5" s="61">
        <v>3.4</v>
      </c>
      <c r="B5" s="15" t="s">
        <v>244</v>
      </c>
      <c r="C5" s="13" t="s">
        <v>242</v>
      </c>
      <c r="D5" s="14">
        <v>45356</v>
      </c>
    </row>
    <row r="6" spans="1:4">
      <c r="A6" s="61">
        <v>3.5</v>
      </c>
      <c r="B6" t="s">
        <v>245</v>
      </c>
      <c r="C6" s="13" t="s">
        <v>246</v>
      </c>
      <c r="D6" s="14">
        <v>45405</v>
      </c>
    </row>
    <row r="7" spans="1:4" ht="67.5">
      <c r="A7" s="61">
        <v>4</v>
      </c>
      <c r="B7" s="15" t="s">
        <v>247</v>
      </c>
      <c r="C7" s="13" t="s">
        <v>242</v>
      </c>
      <c r="D7" s="14">
        <v>45440</v>
      </c>
    </row>
    <row r="8" spans="1:4">
      <c r="A8" s="61">
        <v>4.0999999999999996</v>
      </c>
      <c r="B8" t="s">
        <v>248</v>
      </c>
      <c r="C8" s="13" t="s">
        <v>242</v>
      </c>
      <c r="D8" s="14">
        <v>45566</v>
      </c>
    </row>
    <row r="9" spans="1:4" ht="121.5">
      <c r="A9" s="61">
        <v>4.2</v>
      </c>
      <c r="B9" s="15" t="s">
        <v>249</v>
      </c>
      <c r="C9" s="13" t="s">
        <v>242</v>
      </c>
      <c r="D9" s="14"/>
    </row>
  </sheetData>
  <phoneticPr fontId="2"/>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E506D-6FF4-42F6-A1FC-F72A5B1EC0D2}">
  <sheetPr>
    <tabColor theme="9"/>
  </sheetPr>
  <dimension ref="A1:B25"/>
  <sheetViews>
    <sheetView zoomScaleNormal="100" workbookViewId="0">
      <selection activeCell="B1" sqref="B1"/>
    </sheetView>
  </sheetViews>
  <sheetFormatPr defaultColWidth="9" defaultRowHeight="13.5"/>
  <cols>
    <col min="1" max="1" width="9" style="18"/>
    <col min="2" max="2" width="162.140625" style="18" customWidth="1"/>
    <col min="3" max="3" width="9" style="18"/>
    <col min="4" max="4" width="47.42578125" style="18" customWidth="1"/>
    <col min="5" max="16384" width="9" style="18"/>
  </cols>
  <sheetData>
    <row r="1" spans="1:2">
      <c r="A1" s="18" t="s">
        <v>250</v>
      </c>
      <c r="B1" s="18" t="s">
        <v>251</v>
      </c>
    </row>
    <row r="2" spans="1:2">
      <c r="A2" s="18" t="s">
        <v>252</v>
      </c>
      <c r="B2" s="18">
        <f>顧客満足度調査の依頼先担当者メールアドレス</f>
        <v>0</v>
      </c>
    </row>
    <row r="3" spans="1:2">
      <c r="A3" s="18" t="s">
        <v>253</v>
      </c>
      <c r="B3" s="18" t="s">
        <v>254</v>
      </c>
    </row>
    <row r="4" spans="1:2">
      <c r="A4" s="18" t="s">
        <v>255</v>
      </c>
      <c r="B4" s="18" t="s">
        <v>251</v>
      </c>
    </row>
    <row r="5" spans="1:2">
      <c r="A5" s="18" t="s">
        <v>256</v>
      </c>
      <c r="B5" s="18" t="s">
        <v>257</v>
      </c>
    </row>
    <row r="6" spans="1:2" ht="409.5" customHeight="1">
      <c r="A6" s="18" t="s">
        <v>258</v>
      </c>
      <c r="B6" s="20" t="str">
        <f>SUBSTITUTE(SUBSTITUTE(SUBSTITUTE(SUBSTITUTE(SUBSTITUTE(B25, "[顧客名]", 顧客名),"[顧客担当者名]",顧客満足度調査の依頼先担当者名),"[プロジェクト名]",プロジェクト名),"[プロジェクトコード]",プロジェクトコード),"[期日]",TEXT(EOMONTH(検収完了日,1),"yyyy/MM/dd"))</f>
        <v xml:space="preserve">
 様
平素は格別のご高配を賜り、厚く御礼申し上げます。
株式会社システムエグゼ 千葉オフィスQMS・ISMS事務局からご連絡となります。
さて、弊社では、お客様が期待する高品質で信頼性の高いシステムを提供するべく、
品質マネジメントシステムの規格「JIS Q 9001」および
情報セキュリティマネジメントシステムの規格「JIS Q 27001」の認証を取得しております。
その取り組みの一環として、弊社の活動が適切なものであったか否かについて、
このたびの以下のプロジェクトに対するお客様の率直なご意見を賜りたく存じます。
・
ご多用中誠に恐縮ではございますが、趣旨ご理解の上、
下記アンケートサイトにアクセスいただきご回答を賜りますようお願い申し上げます。
　アンケートサイト ：　https://smilesurvey.co/start.php?s=c32e6cb2&amp;id=
所要時間は、3分～5分程度です。1900/02/28までにご回答いただけますと幸いです。
ご質問やご不明点等がございましたら、下記のメールアドレスまでお問い合わせください。
　お問い合わせ先のメールアドレス：　qms-isms-office@system-exe.jp
尚、アンケートにてご記入いただいた内容につきましては、
お客様満足度調査とその分析を利用目的とし、他の目的に利用することは一切ありません。
弊社の情報セキュリティ基本方針につきましては、下記の弊社WEBサイトよりご確認下さい。
http://www.system-exe.co.jp
——————————————————————————————
　株式会社システムエグゼ
　　千葉オフィス QMS・ISMS事務局
　　MAIL：qms-isms-office@system-exe.jp
——————————————————————————————</v>
      </c>
    </row>
    <row r="24" spans="2:2">
      <c r="B24" s="18" t="s">
        <v>259</v>
      </c>
    </row>
    <row r="25" spans="2:2" ht="13.5" customHeight="1">
      <c r="B25" s="19" t="s">
        <v>260</v>
      </c>
    </row>
  </sheetData>
  <phoneticPr fontId="2"/>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8B207C222D4A704392DD812ABE7F848A" ma:contentTypeVersion="4" ma:contentTypeDescription="新しいドキュメントを作成します。" ma:contentTypeScope="" ma:versionID="8d136f6bca879cb90346a66279902dfa">
  <xsd:schema xmlns:xsd="http://www.w3.org/2001/XMLSchema" xmlns:xs="http://www.w3.org/2001/XMLSchema" xmlns:p="http://schemas.microsoft.com/office/2006/metadata/properties" xmlns:ns2="2fd442da-66a9-4fa6-ba31-eb0d54ad1381" targetNamespace="http://schemas.microsoft.com/office/2006/metadata/properties" ma:root="true" ma:fieldsID="5b8a779dc52d08a32251a6f3465a5e55" ns2:_="">
    <xsd:import namespace="2fd442da-66a9-4fa6-ba31-eb0d54ad138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d442da-66a9-4fa6-ba31-eb0d54ad13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6CE6C9C-0F81-4BC8-AB6D-69E61E61CCA1}"/>
</file>

<file path=customXml/itemProps2.xml><?xml version="1.0" encoding="utf-8"?>
<ds:datastoreItem xmlns:ds="http://schemas.openxmlformats.org/officeDocument/2006/customXml" ds:itemID="{6DCD0126-E176-4430-ACE3-D50604FC7A8B}"/>
</file>

<file path=customXml/itemProps3.xml><?xml version="1.0" encoding="utf-8"?>
<ds:datastoreItem xmlns:ds="http://schemas.openxmlformats.org/officeDocument/2006/customXml" ds:itemID="{EDA0BCBB-4993-4C97-B24D-A8307440F92D}"/>
</file>

<file path=docProps/app.xml><?xml version="1.0" encoding="utf-8"?>
<Properties xmlns="http://schemas.openxmlformats.org/officeDocument/2006/extended-properties" xmlns:vt="http://schemas.openxmlformats.org/officeDocument/2006/docPropsVTypes">
  <Application>Microsoft Excel Online</Application>
  <Manager/>
  <Company>SECOM Trust Systems Co.,Ltd.</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安田 裕貴</dc:creator>
  <cp:keywords/>
  <dc:description/>
  <cp:lastModifiedBy>小原一眞</cp:lastModifiedBy>
  <cp:revision/>
  <dcterms:created xsi:type="dcterms:W3CDTF">2010-04-05T07:44:49Z</dcterms:created>
  <dcterms:modified xsi:type="dcterms:W3CDTF">2024-11-20T01:53:52Z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0x0101008B207C222D4A704392DD812ABE7F848A</vt:lpwstr>
  </property>
</Properties>
</file>