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01"/>
  <workbookPr/>
  <mc:AlternateContent xmlns:mc="http://schemas.openxmlformats.org/markup-compatibility/2006">
    <mc:Choice Requires="x15">
      <x15ac:absPath xmlns:x15ac="http://schemas.microsoft.com/office/spreadsheetml/2010/11/ac" url="\\192.168.130.201\組織共有\営業本部\00_営業本部共有\90_担当者別\高浦\00 作業用フォルダ\実行予算フォーマット\"/>
    </mc:Choice>
  </mc:AlternateContent>
  <xr:revisionPtr revIDLastSave="8" documentId="13_ncr:1_{691ADDC3-AE0A-49E0-A32D-8FEE0169258E}" xr6:coauthVersionLast="47" xr6:coauthVersionMax="47" xr10:uidLastSave="{B8F1784D-C1E6-4398-82C6-D9092C9531D7}"/>
  <bookViews>
    <workbookView xWindow="28680" yWindow="-120" windowWidth="29040" windowHeight="16440" xr2:uid="{00000000-000D-0000-FFFF-FFFF00000000}"/>
  </bookViews>
  <sheets>
    <sheet name="社員工数" sheetId="1" r:id="rId1"/>
    <sheet name="外注費・経費" sheetId="2" r:id="rId2"/>
    <sheet name="リストマスタ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 l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N4" i="2"/>
  <c r="AF59" i="1" l="1"/>
  <c r="H4" i="1" s="1"/>
  <c r="H4" i="2" s="1"/>
  <c r="AF59" i="2"/>
  <c r="K4" i="2" s="1"/>
  <c r="K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<sst xmlns="http://schemas.openxmlformats.org/spreadsheetml/2006/main" count="98" uniqueCount="82">
  <si>
    <r>
      <t>社員工数入力（単位：</t>
    </r>
    <r>
      <rPr>
        <sz val="14"/>
        <color rgb="FFFF0000"/>
        <rFont val="Meiryo UI"/>
        <family val="3"/>
        <charset val="128"/>
      </rPr>
      <t>時間</t>
    </r>
    <r>
      <rPr>
        <sz val="14"/>
        <color theme="1"/>
        <rFont val="Meiryo UI"/>
        <family val="3"/>
        <charset val="128"/>
      </rPr>
      <t>）</t>
    </r>
    <rPh sb="7" eb="9">
      <t>タンイ</t>
    </rPh>
    <rPh sb="10" eb="12">
      <t>ジカン</t>
    </rPh>
    <phoneticPr fontId="3"/>
  </si>
  <si>
    <t>小数点以下は受発注システムに入力ができない仕様となってます</t>
    <rPh sb="0" eb="3">
      <t>ショウスウテン</t>
    </rPh>
    <rPh sb="3" eb="5">
      <t>イカ</t>
    </rPh>
    <rPh sb="6" eb="9">
      <t>ジュハッチュウ</t>
    </rPh>
    <rPh sb="14" eb="16">
      <t>ニュウリョク</t>
    </rPh>
    <rPh sb="21" eb="23">
      <t>シヨウ</t>
    </rPh>
    <phoneticPr fontId="3"/>
  </si>
  <si>
    <t>見積番号</t>
    <rPh sb="0" eb="2">
      <t>ミツモリ</t>
    </rPh>
    <rPh sb="2" eb="4">
      <t>バンゴウ</t>
    </rPh>
    <phoneticPr fontId="3"/>
  </si>
  <si>
    <t>案件名</t>
    <rPh sb="0" eb="2">
      <t>アンケン</t>
    </rPh>
    <rPh sb="2" eb="3">
      <t>メイ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</si>
  <si>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</si>
  <si>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</si>
  <si>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</si>
  <si>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</si>
  <si>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</si>
  <si>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</si>
  <si>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</si>
  <si>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</si>
  <si>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</si>
  <si>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</si>
  <si>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合計</t>
    <rPh sb="0" eb="2">
      <t>ゴウケイ</t>
    </rPh>
    <phoneticPr fontId="3"/>
  </si>
  <si>
    <t>2025年度1Q</t>
    <phoneticPr fontId="3"/>
  </si>
  <si>
    <t>2025年度2Q</t>
    <phoneticPr fontId="3"/>
  </si>
  <si>
    <t>2025年度3Q</t>
    <phoneticPr fontId="3"/>
  </si>
  <si>
    <t>2025年度4Q</t>
    <phoneticPr fontId="3"/>
  </si>
  <si>
    <t>2026年度1Q</t>
    <phoneticPr fontId="3"/>
  </si>
  <si>
    <t>2026年度2Q</t>
    <phoneticPr fontId="3"/>
  </si>
  <si>
    <t>2026年度3Q</t>
    <phoneticPr fontId="3"/>
  </si>
  <si>
    <t>2026年度4Q</t>
    <phoneticPr fontId="3"/>
  </si>
  <si>
    <t>2027年度1Q</t>
    <phoneticPr fontId="3"/>
  </si>
  <si>
    <t>それ以降</t>
    <rPh sb="2" eb="4">
      <t>イコウ</t>
    </rPh>
    <phoneticPr fontId="3"/>
  </si>
  <si>
    <t>入社済社員</t>
    <rPh sb="0" eb="2">
      <t>ニュウシャ</t>
    </rPh>
    <rPh sb="2" eb="3">
      <t>ズ</t>
    </rPh>
    <rPh sb="3" eb="5">
      <t>シャイン</t>
    </rPh>
    <phoneticPr fontId="10"/>
  </si>
  <si>
    <t>天川絢弥</t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</si>
  <si>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</si>
  <si>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-</t>
  </si>
  <si>
    <t>BPID</t>
    <phoneticPr fontId="3"/>
  </si>
  <si>
    <t>見積金額</t>
    <rPh sb="2" eb="4">
      <t>キンガク</t>
    </rPh>
    <phoneticPr fontId="3"/>
  </si>
  <si>
    <t>2025年度1Q</t>
  </si>
  <si>
    <t>2025年度2Q</t>
  </si>
  <si>
    <t>2025年度3Q</t>
  </si>
  <si>
    <t>2025年度4Q</t>
  </si>
  <si>
    <t>2026年度1Q</t>
  </si>
  <si>
    <t>2026年度2Q</t>
  </si>
  <si>
    <t>2026年度3Q</t>
  </si>
  <si>
    <t>2026年度4Q</t>
  </si>
  <si>
    <t>2027年度1Q</t>
  </si>
  <si>
    <t>BP</t>
  </si>
  <si>
    <t>計画要員</t>
  </si>
  <si>
    <t>No</t>
    <phoneticPr fontId="7"/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</si>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</sst>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6" formatCode="&quot;¥&quot;#,##0;[Red]&quot;¥&quot;\-#,##0"/>
    <numFmt numFmtId="176" formatCode="m&quot;月&quot;"/>
    <numFmt numFmtId="177" formatCode="&quot;¥&quot;#,##0_);[Red]\(&quot;¥&quot;#,##0\)"/>
    <numFmt numFmtId="178" formatCode="#,##0_ "/>
    <numFmt numFmtId="179" formatCode="0.00&quot;時間&quot;"/>
    <numFmt numFmtId="180" formatCode="0_ "/>
  </numFmts>
  <fonts count="12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6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180" fontId="4" fillId="4" borderId="4" xfId="1" applyNumberFormat="1" applyFont="1" applyFill="1" applyBorder="1" applyProtection="1">
      <alignment vertical="center"/>
      <protection locked="0"/>
    </xf>
    <xf numFmtId="180" fontId="4" fillId="3" borderId="4" xfId="1" applyNumberFormat="1" applyFont="1" applyFill="1" applyBorder="1">
      <alignment vertical="center"/>
    </xf>
    <xf numFmtId="180" fontId="4" fillId="4" borderId="0" xfId="1" applyNumberFormat="1" applyFont="1" applyFill="1" applyProtection="1">
      <alignment vertical="center"/>
      <protection locked="0"/>
    </xf>
    <xf numFmtId="6" fontId="4" fillId="3" borderId="4" xfId="2" applyNumberFormat="1" applyFont="1" applyFill="1" applyBorder="1" applyAlignment="1" applyProtection="1">
      <alignment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0" xfId="1" applyFont="1" applyFill="1" applyBorder="1" applyAlignment="1">
      <alignment horizontal="center" vertical="center" wrapText="1"/>
    </xf>
    <xf numFmtId="6" fontId="4" fillId="3" borderId="4" xfId="2" applyNumberFormat="1" applyFont="1" applyFill="1" applyBorder="1" applyAlignment="1">
      <alignment vertical="center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0" xfId="1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4" fillId="3" borderId="2" xfId="1" applyFont="1" applyFill="1" applyBorder="1" applyAlignment="1">
      <alignment vertical="center"/>
    </xf>
    <xf numFmtId="0" fontId="4" fillId="3" borderId="3" xfId="1" applyFont="1" applyFill="1" applyBorder="1" applyAlignment="1">
      <alignment vertical="center"/>
    </xf>
    <xf numFmtId="0" fontId="4" fillId="3" borderId="5" xfId="1" applyFont="1" applyFill="1" applyBorder="1" applyAlignment="1">
      <alignment vertical="center"/>
    </xf>
    <xf numFmtId="179" fontId="4" fillId="3" borderId="4" xfId="1" applyNumberFormat="1" applyFont="1" applyFill="1" applyBorder="1" applyAlignment="1">
      <alignment vertical="center"/>
    </xf>
    <xf numFmtId="5" fontId="4" fillId="3" borderId="4" xfId="1" applyNumberFormat="1" applyFont="1" applyFill="1" applyBorder="1" applyAlignment="1">
      <alignment vertical="center"/>
    </xf>
    <xf numFmtId="177" fontId="4" fillId="3" borderId="4" xfId="1" applyNumberFormat="1" applyFont="1" applyFill="1" applyBorder="1" applyAlignment="1">
      <alignment vertical="center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ystemexe2021.sharepoint.com/sites/-670/Shared%20Documents/General/&#23455;&#34892;&#20104;&#31639;_&#27425;&#19990;&#20195;&#30740;SWAN&#65288;2021&#24180;&#24230;&#25913;&#21892;&#35201;&#26395;&#23550;&#24540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リストマスタ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tabSelected="1" workbookViewId="0">
      <selection activeCell="H10" sqref="H10"/>
    </sheetView>
  </sheetViews>
  <sheetFormatPr defaultColWidth="8.125" defaultRowHeight="12.6"/>
  <cols>
    <col min="1" max="1" width="14.625" style="2" customWidth="1"/>
    <col min="2" max="2" width="7.875" style="2" bestFit="1" customWidth="1"/>
    <col min="3" max="3" width="14.625" style="2" customWidth="1"/>
    <col min="4" max="31" width="7" style="2" customWidth="1"/>
    <col min="32" max="32" width="7.875" style="2" customWidth="1"/>
    <col min="33" max="16384" width="8.125" style="2"/>
  </cols>
  <sheetData>
    <row r="1" spans="1:32" ht="19.5">
      <c r="A1" s="1" t="s">
        <v>0</v>
      </c>
      <c r="D1" s="3" t="s">
        <v>1</v>
      </c>
    </row>
    <row r="2" spans="1:32" ht="5.25" customHeight="1">
      <c r="A2" s="1"/>
    </row>
    <row r="3" spans="1:32">
      <c r="A3" s="4" t="s">
        <v>2</v>
      </c>
      <c r="B3" s="61"/>
      <c r="C3" s="62"/>
      <c r="D3" s="5" t="s">
        <v>3</v>
      </c>
      <c r="E3" s="61"/>
      <c r="F3" s="63"/>
      <c r="G3" s="63"/>
      <c r="H3" s="63"/>
      <c r="I3" s="63"/>
      <c r="J3" s="63"/>
      <c r="K3" s="63"/>
      <c r="L3" s="63"/>
      <c r="M3" s="63"/>
      <c r="N3" s="63"/>
      <c r="O3" s="62"/>
    </row>
    <row r="4" spans="1:32">
      <c r="A4" s="5" t="s">
        <v>4</v>
      </c>
      <c r="B4" s="61" t="s">
        <v>5</v>
      </c>
      <c r="C4" s="62"/>
      <c r="D4" s="5" t="s">
        <v>6</v>
      </c>
      <c r="E4" s="25"/>
      <c r="F4" s="25"/>
      <c r="G4" s="5" t="s">
        <v>7</v>
      </c>
      <c r="H4" s="64">
        <f>AF59</f>
        <v>160</v>
      </c>
      <c r="I4" s="64"/>
      <c r="J4" s="5" t="s">
        <v>8</v>
      </c>
      <c r="K4" s="65">
        <f>外注費・経費!K4</f>
        <v>800000</v>
      </c>
      <c r="L4" s="65"/>
      <c r="M4" s="5" t="s">
        <v>9</v>
      </c>
      <c r="N4" s="65">
        <v>0</v>
      </c>
      <c r="O4" s="65"/>
    </row>
    <row r="5" spans="1:32" ht="6" customHeight="1"/>
    <row r="6" spans="1:32" s="6" customFormat="1">
      <c r="A6" s="35" t="s">
        <v>10</v>
      </c>
      <c r="B6" s="38" t="s">
        <v>11</v>
      </c>
      <c r="C6" s="38" t="s">
        <v>12</v>
      </c>
      <c r="D6" s="41" t="s">
        <v>13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26" t="s">
        <v>14</v>
      </c>
    </row>
    <row r="7" spans="1:32" s="6" customFormat="1" ht="12" customHeight="1">
      <c r="A7" s="36"/>
      <c r="B7" s="39"/>
      <c r="C7" s="39"/>
      <c r="D7" s="29" t="s">
        <v>15</v>
      </c>
      <c r="E7" s="30"/>
      <c r="F7" s="31"/>
      <c r="G7" s="29" t="s">
        <v>16</v>
      </c>
      <c r="H7" s="30"/>
      <c r="I7" s="31"/>
      <c r="J7" s="29" t="s">
        <v>17</v>
      </c>
      <c r="K7" s="30"/>
      <c r="L7" s="31"/>
      <c r="M7" s="29" t="s">
        <v>18</v>
      </c>
      <c r="N7" s="30"/>
      <c r="O7" s="31"/>
      <c r="P7" s="29" t="s">
        <v>19</v>
      </c>
      <c r="Q7" s="30"/>
      <c r="R7" s="31"/>
      <c r="S7" s="29" t="s">
        <v>20</v>
      </c>
      <c r="T7" s="30"/>
      <c r="U7" s="31"/>
      <c r="V7" s="29" t="s">
        <v>21</v>
      </c>
      <c r="W7" s="30"/>
      <c r="X7" s="31"/>
      <c r="Y7" s="29" t="s">
        <v>22</v>
      </c>
      <c r="Z7" s="30"/>
      <c r="AA7" s="31"/>
      <c r="AB7" s="29" t="s">
        <v>23</v>
      </c>
      <c r="AC7" s="30"/>
      <c r="AD7" s="31"/>
      <c r="AE7" s="42" t="s">
        <v>24</v>
      </c>
      <c r="AF7" s="27"/>
    </row>
    <row r="8" spans="1:32" s="6" customFormat="1">
      <c r="A8" s="37"/>
      <c r="B8" s="40"/>
      <c r="C8" s="40"/>
      <c r="D8" s="7">
        <v>44287</v>
      </c>
      <c r="E8" s="7">
        <v>44317</v>
      </c>
      <c r="F8" s="7">
        <v>44348</v>
      </c>
      <c r="G8" s="7">
        <v>44378</v>
      </c>
      <c r="H8" s="7">
        <v>44409</v>
      </c>
      <c r="I8" s="7">
        <v>44440</v>
      </c>
      <c r="J8" s="7">
        <v>44470</v>
      </c>
      <c r="K8" s="7">
        <v>44501</v>
      </c>
      <c r="L8" s="7">
        <v>44531</v>
      </c>
      <c r="M8" s="7">
        <v>44562</v>
      </c>
      <c r="N8" s="7">
        <v>44593</v>
      </c>
      <c r="O8" s="7">
        <v>44621</v>
      </c>
      <c r="P8" s="7">
        <v>44287</v>
      </c>
      <c r="Q8" s="7">
        <v>44317</v>
      </c>
      <c r="R8" s="7">
        <v>44348</v>
      </c>
      <c r="S8" s="7">
        <v>44378</v>
      </c>
      <c r="T8" s="7">
        <v>44409</v>
      </c>
      <c r="U8" s="7">
        <v>44440</v>
      </c>
      <c r="V8" s="7">
        <v>44470</v>
      </c>
      <c r="W8" s="7">
        <v>44501</v>
      </c>
      <c r="X8" s="7">
        <v>44531</v>
      </c>
      <c r="Y8" s="7">
        <v>44562</v>
      </c>
      <c r="Z8" s="7">
        <v>44593</v>
      </c>
      <c r="AA8" s="7">
        <v>44621</v>
      </c>
      <c r="AB8" s="7">
        <v>44287</v>
      </c>
      <c r="AC8" s="7">
        <v>44317</v>
      </c>
      <c r="AD8" s="7">
        <v>44348</v>
      </c>
      <c r="AE8" s="40"/>
      <c r="AF8" s="28"/>
    </row>
    <row r="9" spans="1:32">
      <c r="A9" s="21" t="s">
        <v>25</v>
      </c>
      <c r="B9" s="8">
        <v>1191</v>
      </c>
      <c r="C9" s="8" t="s">
        <v>26</v>
      </c>
      <c r="D9" s="22"/>
      <c r="E9" s="22"/>
      <c r="F9" s="22"/>
      <c r="G9" s="22"/>
      <c r="H9" s="22">
        <v>160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>
        <f>SUM(D9:AE9)</f>
        <v>160</v>
      </c>
    </row>
    <row r="10" spans="1:32">
      <c r="A10" s="8" t="s">
        <v>25</v>
      </c>
      <c r="B10" s="8"/>
      <c r="C10" s="8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3">
        <f t="shared" ref="AF10:AF58" si="0">SUM(D10:AE10)</f>
        <v>0</v>
      </c>
    </row>
    <row r="11" spans="1:32">
      <c r="A11" s="8"/>
      <c r="B11" s="8"/>
      <c r="C11" s="8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3">
        <f t="shared" si="0"/>
        <v>0</v>
      </c>
    </row>
    <row r="12" spans="1:32">
      <c r="A12" s="8"/>
      <c r="B12" s="8"/>
      <c r="C12" s="8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3">
        <f t="shared" si="0"/>
        <v>0</v>
      </c>
    </row>
    <row r="13" spans="1:32">
      <c r="A13" s="8"/>
      <c r="B13" s="8"/>
      <c r="C13" s="8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3">
        <f t="shared" si="0"/>
        <v>0</v>
      </c>
    </row>
    <row r="14" spans="1:32">
      <c r="A14" s="8"/>
      <c r="B14" s="8"/>
      <c r="C14" s="8"/>
      <c r="D14" s="22"/>
      <c r="E14" s="2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3">
        <f t="shared" si="0"/>
        <v>0</v>
      </c>
    </row>
    <row r="15" spans="1:32">
      <c r="A15" s="8"/>
      <c r="B15" s="8"/>
      <c r="C15" s="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3">
        <f t="shared" si="0"/>
        <v>0</v>
      </c>
    </row>
    <row r="16" spans="1:32">
      <c r="A16" s="8"/>
      <c r="B16" s="8"/>
      <c r="C16" s="8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3">
        <f t="shared" si="0"/>
        <v>0</v>
      </c>
    </row>
    <row r="17" spans="1:32">
      <c r="A17" s="8"/>
      <c r="B17" s="8"/>
      <c r="C17" s="8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3">
        <f t="shared" si="0"/>
        <v>0</v>
      </c>
    </row>
    <row r="18" spans="1:32">
      <c r="A18" s="8"/>
      <c r="B18" s="8"/>
      <c r="C18" s="8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3">
        <f t="shared" si="0"/>
        <v>0</v>
      </c>
    </row>
    <row r="19" spans="1:32">
      <c r="A19" s="8"/>
      <c r="B19" s="8"/>
      <c r="C19" s="8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3">
        <f t="shared" si="0"/>
        <v>0</v>
      </c>
    </row>
    <row r="20" spans="1:32">
      <c r="A20" s="8"/>
      <c r="B20" s="8"/>
      <c r="C20" s="8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3">
        <f t="shared" si="0"/>
        <v>0</v>
      </c>
    </row>
    <row r="21" spans="1:32">
      <c r="A21" s="8"/>
      <c r="B21" s="8"/>
      <c r="C21" s="8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3">
        <f t="shared" si="0"/>
        <v>0</v>
      </c>
    </row>
    <row r="22" spans="1:32">
      <c r="A22" s="8"/>
      <c r="B22" s="8"/>
      <c r="C22" s="8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>
        <f t="shared" si="0"/>
        <v>0</v>
      </c>
    </row>
    <row r="23" spans="1:32">
      <c r="A23" s="8"/>
      <c r="B23" s="8"/>
      <c r="C23" s="8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3">
        <f t="shared" si="0"/>
        <v>0</v>
      </c>
    </row>
    <row r="24" spans="1:32">
      <c r="A24" s="8"/>
      <c r="B24" s="8"/>
      <c r="C24" s="8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3">
        <f t="shared" si="0"/>
        <v>0</v>
      </c>
    </row>
    <row r="25" spans="1:32">
      <c r="A25" s="8"/>
      <c r="B25" s="8"/>
      <c r="C25" s="8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3">
        <f t="shared" si="0"/>
        <v>0</v>
      </c>
    </row>
    <row r="26" spans="1:32">
      <c r="A26" s="8"/>
      <c r="B26" s="8"/>
      <c r="C26" s="8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3">
        <f t="shared" si="0"/>
        <v>0</v>
      </c>
    </row>
    <row r="27" spans="1:32">
      <c r="A27" s="8"/>
      <c r="B27" s="8"/>
      <c r="C27" s="8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3">
        <f t="shared" si="0"/>
        <v>0</v>
      </c>
    </row>
    <row r="28" spans="1:32">
      <c r="A28" s="8"/>
      <c r="B28" s="8"/>
      <c r="C28" s="8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>
        <f t="shared" si="0"/>
        <v>0</v>
      </c>
    </row>
    <row r="29" spans="1:32">
      <c r="A29" s="8"/>
      <c r="B29" s="8"/>
      <c r="C29" s="8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3">
        <f t="shared" si="0"/>
        <v>0</v>
      </c>
    </row>
    <row r="30" spans="1:32">
      <c r="A30" s="8"/>
      <c r="B30" s="8"/>
      <c r="C30" s="8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3">
        <f t="shared" si="0"/>
        <v>0</v>
      </c>
    </row>
    <row r="31" spans="1:32">
      <c r="A31" s="8"/>
      <c r="B31" s="8"/>
      <c r="C31" s="8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>
        <f t="shared" si="0"/>
        <v>0</v>
      </c>
    </row>
    <row r="32" spans="1:32">
      <c r="A32" s="8"/>
      <c r="B32" s="8"/>
      <c r="C32" s="8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3">
        <f t="shared" si="0"/>
        <v>0</v>
      </c>
    </row>
    <row r="33" spans="1:32">
      <c r="A33" s="8"/>
      <c r="B33" s="8"/>
      <c r="C33" s="8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3">
        <f t="shared" si="0"/>
        <v>0</v>
      </c>
    </row>
    <row r="34" spans="1:32">
      <c r="A34" s="8"/>
      <c r="B34" s="8"/>
      <c r="C34" s="8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3">
        <f t="shared" si="0"/>
        <v>0</v>
      </c>
    </row>
    <row r="35" spans="1:32">
      <c r="A35" s="8"/>
      <c r="B35" s="8"/>
      <c r="C35" s="8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>
        <f t="shared" si="0"/>
        <v>0</v>
      </c>
    </row>
    <row r="36" spans="1:32">
      <c r="A36" s="8"/>
      <c r="B36" s="8"/>
      <c r="C36" s="8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>
        <f t="shared" si="0"/>
        <v>0</v>
      </c>
    </row>
    <row r="37" spans="1:32">
      <c r="A37" s="8"/>
      <c r="B37" s="8"/>
      <c r="C37" s="8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3">
        <f t="shared" si="0"/>
        <v>0</v>
      </c>
    </row>
    <row r="38" spans="1:32">
      <c r="A38" s="8"/>
      <c r="B38" s="8"/>
      <c r="C38" s="8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3">
        <f t="shared" si="0"/>
        <v>0</v>
      </c>
    </row>
    <row r="39" spans="1:32">
      <c r="A39" s="8"/>
      <c r="B39" s="8"/>
      <c r="C39" s="8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>
        <f t="shared" si="0"/>
        <v>0</v>
      </c>
    </row>
    <row r="40" spans="1:32">
      <c r="A40" s="8"/>
      <c r="B40" s="8"/>
      <c r="C40" s="8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>
        <f t="shared" si="0"/>
        <v>0</v>
      </c>
    </row>
    <row r="41" spans="1:32">
      <c r="A41" s="8"/>
      <c r="B41" s="8"/>
      <c r="C41" s="8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3">
        <f t="shared" si="0"/>
        <v>0</v>
      </c>
    </row>
    <row r="42" spans="1:32">
      <c r="A42" s="8"/>
      <c r="B42" s="8"/>
      <c r="C42" s="8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3">
        <f t="shared" si="0"/>
        <v>0</v>
      </c>
    </row>
    <row r="43" spans="1:32">
      <c r="A43" s="8"/>
      <c r="B43" s="8"/>
      <c r="C43" s="8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>
        <f t="shared" si="0"/>
        <v>0</v>
      </c>
    </row>
    <row r="44" spans="1:32">
      <c r="A44" s="8"/>
      <c r="B44" s="8"/>
      <c r="C44" s="8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>
        <f t="shared" si="0"/>
        <v>0</v>
      </c>
    </row>
    <row r="45" spans="1:32">
      <c r="A45" s="8"/>
      <c r="B45" s="8"/>
      <c r="C45" s="8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3">
        <f t="shared" si="0"/>
        <v>0</v>
      </c>
    </row>
    <row r="46" spans="1:32">
      <c r="A46" s="8"/>
      <c r="B46" s="8"/>
      <c r="C46" s="8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3">
        <f t="shared" si="0"/>
        <v>0</v>
      </c>
    </row>
    <row r="47" spans="1:32">
      <c r="A47" s="8"/>
      <c r="B47" s="8"/>
      <c r="C47" s="8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3">
        <f t="shared" si="0"/>
        <v>0</v>
      </c>
    </row>
    <row r="48" spans="1:32">
      <c r="A48" s="8"/>
      <c r="B48" s="8"/>
      <c r="C48" s="8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3">
        <f t="shared" si="0"/>
        <v>0</v>
      </c>
    </row>
    <row r="49" spans="1:32">
      <c r="A49" s="8"/>
      <c r="B49" s="8"/>
      <c r="C49" s="8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3">
        <f t="shared" si="0"/>
        <v>0</v>
      </c>
    </row>
    <row r="50" spans="1:32">
      <c r="A50" s="8"/>
      <c r="B50" s="8"/>
      <c r="C50" s="8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3">
        <f t="shared" si="0"/>
        <v>0</v>
      </c>
    </row>
    <row r="51" spans="1:32">
      <c r="A51" s="8"/>
      <c r="B51" s="8"/>
      <c r="C51" s="8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3">
        <f t="shared" si="0"/>
        <v>0</v>
      </c>
    </row>
    <row r="52" spans="1:32">
      <c r="A52" s="8"/>
      <c r="B52" s="8"/>
      <c r="C52" s="8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3">
        <f t="shared" si="0"/>
        <v>0</v>
      </c>
    </row>
    <row r="53" spans="1:32">
      <c r="A53" s="8"/>
      <c r="B53" s="8"/>
      <c r="C53" s="8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3">
        <f t="shared" si="0"/>
        <v>0</v>
      </c>
    </row>
    <row r="54" spans="1:32">
      <c r="A54" s="8"/>
      <c r="B54" s="8"/>
      <c r="C54" s="8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3">
        <f t="shared" si="0"/>
        <v>0</v>
      </c>
    </row>
    <row r="55" spans="1:32">
      <c r="A55" s="8"/>
      <c r="B55" s="8"/>
      <c r="C55" s="8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3">
        <f t="shared" si="0"/>
        <v>0</v>
      </c>
    </row>
    <row r="56" spans="1:32">
      <c r="A56" s="8"/>
      <c r="B56" s="8"/>
      <c r="C56" s="8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3">
        <f t="shared" si="0"/>
        <v>0</v>
      </c>
    </row>
    <row r="57" spans="1:32">
      <c r="A57" s="8"/>
      <c r="B57" s="8"/>
      <c r="C57" s="8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3">
        <f t="shared" si="0"/>
        <v>0</v>
      </c>
    </row>
    <row r="58" spans="1:32">
      <c r="A58" s="8"/>
      <c r="B58" s="8"/>
      <c r="C58" s="8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3">
        <f t="shared" si="0"/>
        <v>0</v>
      </c>
    </row>
    <row r="59" spans="1:32">
      <c r="A59" s="32" t="s">
        <v>14</v>
      </c>
      <c r="B59" s="33"/>
      <c r="C59" s="34"/>
      <c r="D59" s="23">
        <f>SUM(D9:D58)</f>
        <v>0</v>
      </c>
      <c r="E59" s="23">
        <f t="shared" ref="E59:AF59" si="1">SUM(E9:E58)</f>
        <v>0</v>
      </c>
      <c r="F59" s="23">
        <f t="shared" si="1"/>
        <v>0</v>
      </c>
      <c r="G59" s="23">
        <f t="shared" si="1"/>
        <v>0</v>
      </c>
      <c r="H59" s="23">
        <f t="shared" si="1"/>
        <v>160</v>
      </c>
      <c r="I59" s="23">
        <f t="shared" si="1"/>
        <v>0</v>
      </c>
      <c r="J59" s="23">
        <f t="shared" si="1"/>
        <v>0</v>
      </c>
      <c r="K59" s="23">
        <f t="shared" si="1"/>
        <v>0</v>
      </c>
      <c r="L59" s="23">
        <f t="shared" si="1"/>
        <v>0</v>
      </c>
      <c r="M59" s="23">
        <f t="shared" si="1"/>
        <v>0</v>
      </c>
      <c r="N59" s="23">
        <f t="shared" si="1"/>
        <v>0</v>
      </c>
      <c r="O59" s="23">
        <f t="shared" si="1"/>
        <v>0</v>
      </c>
      <c r="P59" s="23">
        <f t="shared" si="1"/>
        <v>0</v>
      </c>
      <c r="Q59" s="23">
        <f t="shared" si="1"/>
        <v>0</v>
      </c>
      <c r="R59" s="23">
        <f t="shared" si="1"/>
        <v>0</v>
      </c>
      <c r="S59" s="23">
        <f t="shared" si="1"/>
        <v>0</v>
      </c>
      <c r="T59" s="23">
        <f t="shared" si="1"/>
        <v>0</v>
      </c>
      <c r="U59" s="23">
        <f t="shared" si="1"/>
        <v>0</v>
      </c>
      <c r="V59" s="23">
        <f t="shared" si="1"/>
        <v>0</v>
      </c>
      <c r="W59" s="23">
        <f t="shared" si="1"/>
        <v>0</v>
      </c>
      <c r="X59" s="23">
        <f t="shared" si="1"/>
        <v>0</v>
      </c>
      <c r="Y59" s="23">
        <f t="shared" si="1"/>
        <v>0</v>
      </c>
      <c r="Z59" s="23">
        <f t="shared" si="1"/>
        <v>0</v>
      </c>
      <c r="AA59" s="23">
        <f t="shared" si="1"/>
        <v>0</v>
      </c>
      <c r="AB59" s="23">
        <f t="shared" si="1"/>
        <v>0</v>
      </c>
      <c r="AC59" s="23">
        <f t="shared" si="1"/>
        <v>0</v>
      </c>
      <c r="AD59" s="23">
        <f t="shared" si="1"/>
        <v>0</v>
      </c>
      <c r="AE59" s="23">
        <f t="shared" si="1"/>
        <v>0</v>
      </c>
      <c r="AF59" s="23">
        <f t="shared" si="1"/>
        <v>160</v>
      </c>
    </row>
  </sheetData>
  <mergeCells count="23"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A9:A58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workbookViewId="0">
      <selection activeCell="H10" sqref="H10"/>
    </sheetView>
  </sheetViews>
  <sheetFormatPr defaultColWidth="8.125" defaultRowHeight="12.6"/>
  <cols>
    <col min="1" max="1" width="14.625" style="2" customWidth="1"/>
    <col min="2" max="2" width="7.875" style="2" customWidth="1"/>
    <col min="3" max="3" width="14.625" style="2" customWidth="1"/>
    <col min="4" max="31" width="8.375" style="2" customWidth="1"/>
    <col min="32" max="32" width="11.125" style="2" customWidth="1"/>
    <col min="33" max="16384" width="8.125" style="2"/>
  </cols>
  <sheetData>
    <row r="1" spans="1:32" ht="19.5">
      <c r="A1" s="1" t="s">
        <v>27</v>
      </c>
    </row>
    <row r="2" spans="1:32" ht="5.25" customHeight="1">
      <c r="A2" s="1"/>
    </row>
    <row r="3" spans="1:32">
      <c r="A3" s="9" t="s">
        <v>2</v>
      </c>
      <c r="B3" s="61"/>
      <c r="C3" s="62"/>
      <c r="D3" s="10" t="s">
        <v>3</v>
      </c>
      <c r="E3" s="61">
        <f>社員工数!E3</f>
        <v>0</v>
      </c>
      <c r="F3" s="63"/>
      <c r="G3" s="63"/>
      <c r="H3" s="63"/>
      <c r="I3" s="63"/>
      <c r="J3" s="63"/>
      <c r="K3" s="63"/>
      <c r="L3" s="63"/>
      <c r="M3" s="63"/>
      <c r="N3" s="63"/>
      <c r="O3" s="62"/>
    </row>
    <row r="4" spans="1:32">
      <c r="A4" s="9" t="s">
        <v>4</v>
      </c>
      <c r="B4" s="61" t="s">
        <v>28</v>
      </c>
      <c r="C4" s="62"/>
      <c r="D4" s="11" t="s">
        <v>6</v>
      </c>
      <c r="E4" s="43">
        <f>社員工数!E4</f>
        <v>0</v>
      </c>
      <c r="F4" s="43"/>
      <c r="G4" s="11" t="s">
        <v>7</v>
      </c>
      <c r="H4" s="64">
        <f>社員工数!H4</f>
        <v>160</v>
      </c>
      <c r="I4" s="64"/>
      <c r="J4" s="11" t="s">
        <v>8</v>
      </c>
      <c r="K4" s="66">
        <f>AF59</f>
        <v>800000</v>
      </c>
      <c r="L4" s="66"/>
      <c r="M4" s="11" t="s">
        <v>9</v>
      </c>
      <c r="N4" s="66">
        <f>SUMIF(A:A,"経費",AF:AF)</f>
        <v>0</v>
      </c>
      <c r="O4" s="66"/>
    </row>
    <row r="5" spans="1:32" ht="6" customHeight="1"/>
    <row r="6" spans="1:32" s="6" customFormat="1">
      <c r="A6" s="50" t="s">
        <v>10</v>
      </c>
      <c r="B6" s="53" t="s">
        <v>29</v>
      </c>
      <c r="C6" s="53" t="s">
        <v>12</v>
      </c>
      <c r="D6" s="56" t="s">
        <v>30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44" t="s">
        <v>14</v>
      </c>
    </row>
    <row r="7" spans="1:32" s="6" customFormat="1" ht="12" customHeight="1">
      <c r="A7" s="51"/>
      <c r="B7" s="54"/>
      <c r="C7" s="54"/>
      <c r="D7" s="47" t="s">
        <v>31</v>
      </c>
      <c r="E7" s="48"/>
      <c r="F7" s="49"/>
      <c r="G7" s="47" t="s">
        <v>32</v>
      </c>
      <c r="H7" s="48"/>
      <c r="I7" s="49"/>
      <c r="J7" s="47" t="s">
        <v>33</v>
      </c>
      <c r="K7" s="48"/>
      <c r="L7" s="49"/>
      <c r="M7" s="47" t="s">
        <v>34</v>
      </c>
      <c r="N7" s="48"/>
      <c r="O7" s="49"/>
      <c r="P7" s="47" t="s">
        <v>35</v>
      </c>
      <c r="Q7" s="48"/>
      <c r="R7" s="49"/>
      <c r="S7" s="47" t="s">
        <v>36</v>
      </c>
      <c r="T7" s="48"/>
      <c r="U7" s="49"/>
      <c r="V7" s="47" t="s">
        <v>37</v>
      </c>
      <c r="W7" s="48"/>
      <c r="X7" s="49"/>
      <c r="Y7" s="47" t="s">
        <v>38</v>
      </c>
      <c r="Z7" s="48"/>
      <c r="AA7" s="49"/>
      <c r="AB7" s="47" t="s">
        <v>39</v>
      </c>
      <c r="AC7" s="48"/>
      <c r="AD7" s="49"/>
      <c r="AE7" s="57" t="s">
        <v>24</v>
      </c>
      <c r="AF7" s="45"/>
    </row>
    <row r="8" spans="1:32" s="6" customFormat="1">
      <c r="A8" s="52"/>
      <c r="B8" s="55"/>
      <c r="C8" s="55"/>
      <c r="D8" s="12">
        <v>44287</v>
      </c>
      <c r="E8" s="12">
        <v>44317</v>
      </c>
      <c r="F8" s="12">
        <v>44348</v>
      </c>
      <c r="G8" s="12">
        <v>44378</v>
      </c>
      <c r="H8" s="12">
        <v>44409</v>
      </c>
      <c r="I8" s="12">
        <v>44440</v>
      </c>
      <c r="J8" s="12">
        <v>44470</v>
      </c>
      <c r="K8" s="12">
        <v>44501</v>
      </c>
      <c r="L8" s="12">
        <v>44531</v>
      </c>
      <c r="M8" s="12">
        <v>44562</v>
      </c>
      <c r="N8" s="12">
        <v>44593</v>
      </c>
      <c r="O8" s="12">
        <v>44621</v>
      </c>
      <c r="P8" s="12">
        <v>44287</v>
      </c>
      <c r="Q8" s="12">
        <v>44317</v>
      </c>
      <c r="R8" s="12">
        <v>44348</v>
      </c>
      <c r="S8" s="12">
        <v>44378</v>
      </c>
      <c r="T8" s="12">
        <v>44409</v>
      </c>
      <c r="U8" s="12">
        <v>44440</v>
      </c>
      <c r="V8" s="12">
        <v>44470</v>
      </c>
      <c r="W8" s="12">
        <v>44501</v>
      </c>
      <c r="X8" s="12">
        <v>44531</v>
      </c>
      <c r="Y8" s="12">
        <v>44562</v>
      </c>
      <c r="Z8" s="12">
        <v>44593</v>
      </c>
      <c r="AA8" s="12">
        <v>44621</v>
      </c>
      <c r="AB8" s="12">
        <v>44287</v>
      </c>
      <c r="AC8" s="12">
        <v>44317</v>
      </c>
      <c r="AD8" s="12">
        <v>44348</v>
      </c>
      <c r="AE8" s="55"/>
      <c r="AF8" s="46"/>
    </row>
    <row r="9" spans="1:32">
      <c r="A9" s="13" t="s">
        <v>40</v>
      </c>
      <c r="B9" s="14"/>
      <c r="C9" s="13" t="s">
        <v>41</v>
      </c>
      <c r="D9" s="13"/>
      <c r="E9" s="13"/>
      <c r="F9" s="13"/>
      <c r="G9" s="13"/>
      <c r="H9" s="13">
        <v>800000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5">
        <f>SUM(D9:AE9)</f>
        <v>800000</v>
      </c>
    </row>
    <row r="10" spans="1:32">
      <c r="A10" s="13"/>
      <c r="B10" s="14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5">
        <f t="shared" ref="AF10:AF58" si="0">SUM(D10:AE10)</f>
        <v>0</v>
      </c>
    </row>
    <row r="11" spans="1:32">
      <c r="A11" s="13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>
        <f t="shared" si="0"/>
        <v>0</v>
      </c>
    </row>
    <row r="12" spans="1:32">
      <c r="A12" s="13"/>
      <c r="B12" s="14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5">
        <f t="shared" si="0"/>
        <v>0</v>
      </c>
    </row>
    <row r="13" spans="1:32">
      <c r="A13" s="13"/>
      <c r="B13" s="1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>
        <f t="shared" si="0"/>
        <v>0</v>
      </c>
    </row>
    <row r="14" spans="1:32">
      <c r="A14" s="13"/>
      <c r="B14" s="14"/>
      <c r="C14" s="13"/>
      <c r="D14" s="13"/>
      <c r="E14" s="16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5">
        <f t="shared" si="0"/>
        <v>0</v>
      </c>
    </row>
    <row r="15" spans="1:32">
      <c r="A15" s="13"/>
      <c r="B15" s="1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5">
        <f t="shared" si="0"/>
        <v>0</v>
      </c>
    </row>
    <row r="16" spans="1:32">
      <c r="A16" s="13"/>
      <c r="B16" s="1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5">
        <f t="shared" si="0"/>
        <v>0</v>
      </c>
    </row>
    <row r="17" spans="1:32">
      <c r="A17" s="13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5">
        <f t="shared" si="0"/>
        <v>0</v>
      </c>
    </row>
    <row r="18" spans="1:32">
      <c r="A18" s="13"/>
      <c r="B18" s="1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5">
        <f t="shared" si="0"/>
        <v>0</v>
      </c>
    </row>
    <row r="19" spans="1:32">
      <c r="A19" s="13"/>
      <c r="B19" s="1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5">
        <f t="shared" si="0"/>
        <v>0</v>
      </c>
    </row>
    <row r="20" spans="1:32">
      <c r="A20" s="13"/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5">
        <f t="shared" si="0"/>
        <v>0</v>
      </c>
    </row>
    <row r="21" spans="1:32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5">
        <f t="shared" si="0"/>
        <v>0</v>
      </c>
    </row>
    <row r="22" spans="1:32">
      <c r="A22" s="13"/>
      <c r="B22" s="1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5">
        <f t="shared" si="0"/>
        <v>0</v>
      </c>
    </row>
    <row r="23" spans="1:32">
      <c r="A23" s="13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5">
        <f t="shared" si="0"/>
        <v>0</v>
      </c>
    </row>
    <row r="24" spans="1:32">
      <c r="A24" s="13"/>
      <c r="B24" s="1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5">
        <f t="shared" si="0"/>
        <v>0</v>
      </c>
    </row>
    <row r="25" spans="1:32">
      <c r="A25" s="13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>
        <f t="shared" si="0"/>
        <v>0</v>
      </c>
    </row>
    <row r="26" spans="1:32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>
        <f t="shared" si="0"/>
        <v>0</v>
      </c>
    </row>
    <row r="27" spans="1:32">
      <c r="A27" s="13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>
        <f t="shared" si="0"/>
        <v>0</v>
      </c>
    </row>
    <row r="28" spans="1:32">
      <c r="A28" s="13"/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>
        <f t="shared" si="0"/>
        <v>0</v>
      </c>
    </row>
    <row r="29" spans="1:32">
      <c r="A29" s="13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5">
        <f t="shared" si="0"/>
        <v>0</v>
      </c>
    </row>
    <row r="30" spans="1:32">
      <c r="A30" s="13"/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5">
        <f t="shared" si="0"/>
        <v>0</v>
      </c>
    </row>
    <row r="31" spans="1:32">
      <c r="A31" s="13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5">
        <f t="shared" si="0"/>
        <v>0</v>
      </c>
    </row>
    <row r="32" spans="1:32">
      <c r="A32" s="13"/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5">
        <f t="shared" si="0"/>
        <v>0</v>
      </c>
    </row>
    <row r="33" spans="1:32">
      <c r="A33" s="13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5">
        <f t="shared" si="0"/>
        <v>0</v>
      </c>
    </row>
    <row r="34" spans="1:32">
      <c r="A34" s="13"/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5">
        <f t="shared" si="0"/>
        <v>0</v>
      </c>
    </row>
    <row r="35" spans="1:32">
      <c r="A35" s="13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5">
        <f t="shared" si="0"/>
        <v>0</v>
      </c>
    </row>
    <row r="36" spans="1:32">
      <c r="A36" s="13"/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5">
        <f t="shared" si="0"/>
        <v>0</v>
      </c>
    </row>
    <row r="37" spans="1:32">
      <c r="A37" s="13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>
        <f t="shared" si="0"/>
        <v>0</v>
      </c>
    </row>
    <row r="38" spans="1:32">
      <c r="A38" s="13"/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>
        <f t="shared" si="0"/>
        <v>0</v>
      </c>
    </row>
    <row r="39" spans="1:32">
      <c r="A39" s="13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5">
        <f t="shared" si="0"/>
        <v>0</v>
      </c>
    </row>
    <row r="40" spans="1:32">
      <c r="A40" s="13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>
        <f t="shared" si="0"/>
        <v>0</v>
      </c>
    </row>
    <row r="41" spans="1:32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5">
        <f t="shared" si="0"/>
        <v>0</v>
      </c>
    </row>
    <row r="42" spans="1:32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5">
        <f t="shared" si="0"/>
        <v>0</v>
      </c>
    </row>
    <row r="43" spans="1:32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>
        <f t="shared" si="0"/>
        <v>0</v>
      </c>
    </row>
    <row r="44" spans="1:32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5">
        <f t="shared" si="0"/>
        <v>0</v>
      </c>
    </row>
    <row r="45" spans="1:32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5">
        <f t="shared" si="0"/>
        <v>0</v>
      </c>
    </row>
    <row r="46" spans="1:32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5">
        <f t="shared" si="0"/>
        <v>0</v>
      </c>
    </row>
    <row r="47" spans="1:32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>
        <f t="shared" si="0"/>
        <v>0</v>
      </c>
    </row>
    <row r="48" spans="1:32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>
        <f t="shared" si="0"/>
        <v>0</v>
      </c>
    </row>
    <row r="49" spans="1:32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>
        <f t="shared" si="0"/>
        <v>0</v>
      </c>
    </row>
    <row r="50" spans="1:32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5">
        <f t="shared" si="0"/>
        <v>0</v>
      </c>
    </row>
    <row r="51" spans="1:32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5">
        <f t="shared" si="0"/>
        <v>0</v>
      </c>
    </row>
    <row r="52" spans="1:32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>
        <f t="shared" si="0"/>
        <v>0</v>
      </c>
    </row>
    <row r="53" spans="1:32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>
        <f t="shared" si="0"/>
        <v>0</v>
      </c>
    </row>
    <row r="54" spans="1:32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5">
        <f t="shared" si="0"/>
        <v>0</v>
      </c>
    </row>
    <row r="55" spans="1:32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>
        <f t="shared" si="0"/>
        <v>0</v>
      </c>
    </row>
    <row r="56" spans="1:32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5">
        <f t="shared" si="0"/>
        <v>0</v>
      </c>
    </row>
    <row r="57" spans="1:32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5">
        <f t="shared" si="0"/>
        <v>0</v>
      </c>
    </row>
    <row r="58" spans="1:32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5">
        <f t="shared" si="0"/>
        <v>0</v>
      </c>
    </row>
    <row r="59" spans="1:32">
      <c r="A59" s="32" t="s">
        <v>14</v>
      </c>
      <c r="B59" s="33"/>
      <c r="C59" s="34"/>
      <c r="D59" s="15">
        <f>SUM(D9:D58)</f>
        <v>0</v>
      </c>
      <c r="E59" s="15">
        <f t="shared" ref="E59:AF59" si="1">SUM(E9:E58)</f>
        <v>0</v>
      </c>
      <c r="F59" s="15">
        <f t="shared" si="1"/>
        <v>0</v>
      </c>
      <c r="G59" s="15">
        <f t="shared" si="1"/>
        <v>0</v>
      </c>
      <c r="H59" s="15">
        <f t="shared" si="1"/>
        <v>800000</v>
      </c>
      <c r="I59" s="15">
        <f t="shared" si="1"/>
        <v>0</v>
      </c>
      <c r="J59" s="15">
        <f t="shared" si="1"/>
        <v>0</v>
      </c>
      <c r="K59" s="15">
        <f t="shared" si="1"/>
        <v>0</v>
      </c>
      <c r="L59" s="15">
        <f t="shared" si="1"/>
        <v>0</v>
      </c>
      <c r="M59" s="15">
        <f t="shared" si="1"/>
        <v>0</v>
      </c>
      <c r="N59" s="15">
        <f t="shared" si="1"/>
        <v>0</v>
      </c>
      <c r="O59" s="15">
        <f t="shared" si="1"/>
        <v>0</v>
      </c>
      <c r="P59" s="15">
        <f t="shared" si="1"/>
        <v>0</v>
      </c>
      <c r="Q59" s="15">
        <f t="shared" si="1"/>
        <v>0</v>
      </c>
      <c r="R59" s="15">
        <f t="shared" si="1"/>
        <v>0</v>
      </c>
      <c r="S59" s="15">
        <f t="shared" si="1"/>
        <v>0</v>
      </c>
      <c r="T59" s="15">
        <f t="shared" si="1"/>
        <v>0</v>
      </c>
      <c r="U59" s="15">
        <f t="shared" si="1"/>
        <v>0</v>
      </c>
      <c r="V59" s="15">
        <f t="shared" si="1"/>
        <v>0</v>
      </c>
      <c r="W59" s="15">
        <f t="shared" si="1"/>
        <v>0</v>
      </c>
      <c r="X59" s="15">
        <f t="shared" si="1"/>
        <v>0</v>
      </c>
      <c r="Y59" s="15">
        <f t="shared" si="1"/>
        <v>0</v>
      </c>
      <c r="Z59" s="15">
        <f t="shared" si="1"/>
        <v>0</v>
      </c>
      <c r="AA59" s="15">
        <f t="shared" si="1"/>
        <v>0</v>
      </c>
      <c r="AB59" s="15">
        <f t="shared" si="1"/>
        <v>0</v>
      </c>
      <c r="AC59" s="15">
        <f t="shared" si="1"/>
        <v>0</v>
      </c>
      <c r="AD59" s="15">
        <f t="shared" si="1"/>
        <v>0</v>
      </c>
      <c r="AE59" s="15">
        <f t="shared" si="1"/>
        <v>0</v>
      </c>
      <c r="AF59" s="15">
        <f t="shared" si="1"/>
        <v>800000</v>
      </c>
    </row>
  </sheetData>
  <mergeCells count="23"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リストマスタ!$L$3:$L$4</xm:f>
          </x14:formula1>
          <xm:sqref>A12:A58</xm:sqref>
        </x14:dataValidation>
        <x14:dataValidation type="list" allowBlank="1" showInputMessage="1" showErrorMessage="1" xr:uid="{00000000-0002-0000-0100-000001000000}">
          <x14:formula1>
            <xm:f>'https://systemexe2021.sharepoint.com/sites/-670/Shared Documents/General/[実行予算_次世代研SWAN（2021年度改善要望対応）.xlsx]リストマスタ'!#REF!</xm:f>
          </x14:formula1>
          <xm:sqref>A9:A11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>
      <selection activeCell="E20" sqref="E20"/>
    </sheetView>
  </sheetViews>
  <sheetFormatPr defaultColWidth="8.625" defaultRowHeight="18"/>
  <cols>
    <col min="1" max="1" width="4.625" style="18" customWidth="1"/>
    <col min="2" max="2" width="10.5" style="18" customWidth="1"/>
    <col min="3" max="3" width="22" style="18" customWidth="1"/>
    <col min="4" max="4" width="15.125" style="18" customWidth="1"/>
    <col min="5" max="5" width="11.125" style="18" customWidth="1"/>
    <col min="6" max="6" width="58.375" style="18" bestFit="1" customWidth="1"/>
    <col min="7" max="7" width="11.125" style="18" customWidth="1"/>
    <col min="8" max="8" width="5.875" style="18" customWidth="1"/>
    <col min="9" max="9" width="11.875" style="18" customWidth="1"/>
    <col min="10" max="10" width="11.125" style="18" customWidth="1"/>
    <col min="11" max="11" width="17.125" style="18" bestFit="1" customWidth="1"/>
    <col min="12" max="12" width="11.125" style="18" customWidth="1"/>
    <col min="13" max="16384" width="8.625" style="18"/>
  </cols>
  <sheetData>
    <row r="1" spans="1:12">
      <c r="A1" s="60" t="s">
        <v>42</v>
      </c>
      <c r="B1" s="17" t="s">
        <v>43</v>
      </c>
      <c r="C1" s="60" t="s">
        <v>44</v>
      </c>
      <c r="D1" s="60" t="s">
        <v>45</v>
      </c>
      <c r="E1" s="60" t="s">
        <v>46</v>
      </c>
      <c r="F1" s="60" t="s">
        <v>47</v>
      </c>
      <c r="G1" s="60" t="s">
        <v>48</v>
      </c>
      <c r="H1" s="58" t="s">
        <v>49</v>
      </c>
      <c r="I1" s="59"/>
      <c r="J1" s="60" t="s">
        <v>50</v>
      </c>
      <c r="K1" s="60" t="s">
        <v>51</v>
      </c>
      <c r="L1" s="60" t="s">
        <v>52</v>
      </c>
    </row>
    <row r="2" spans="1:12">
      <c r="A2" s="60"/>
      <c r="B2" s="17" t="s">
        <v>53</v>
      </c>
      <c r="C2" s="60"/>
      <c r="D2" s="60"/>
      <c r="E2" s="60"/>
      <c r="F2" s="60"/>
      <c r="G2" s="60"/>
      <c r="H2" s="17" t="s">
        <v>42</v>
      </c>
      <c r="I2" s="17" t="s">
        <v>54</v>
      </c>
      <c r="J2" s="60"/>
      <c r="K2" s="60"/>
      <c r="L2" s="60"/>
    </row>
    <row r="3" spans="1:12">
      <c r="A3" s="19">
        <v>1</v>
      </c>
      <c r="B3" s="20">
        <v>0.1</v>
      </c>
      <c r="C3" s="19" t="s">
        <v>55</v>
      </c>
      <c r="D3" s="19" t="s">
        <v>56</v>
      </c>
      <c r="E3" s="19" t="s">
        <v>57</v>
      </c>
      <c r="F3" s="19" t="s">
        <v>58</v>
      </c>
      <c r="G3" s="19" t="s">
        <v>59</v>
      </c>
      <c r="H3" s="19">
        <v>1</v>
      </c>
      <c r="I3" s="19" t="s">
        <v>60</v>
      </c>
      <c r="J3" s="19" t="s">
        <v>61</v>
      </c>
      <c r="K3" s="19" t="s">
        <v>25</v>
      </c>
      <c r="L3" s="19" t="s">
        <v>62</v>
      </c>
    </row>
    <row r="4" spans="1:12">
      <c r="A4" s="19">
        <v>2</v>
      </c>
      <c r="B4" s="20"/>
      <c r="C4" s="19"/>
      <c r="D4" s="19"/>
      <c r="E4" s="19" t="s">
        <v>63</v>
      </c>
      <c r="F4" s="19" t="s">
        <v>64</v>
      </c>
      <c r="G4" s="19" t="s">
        <v>65</v>
      </c>
      <c r="H4" s="19">
        <v>2</v>
      </c>
      <c r="I4" s="19" t="s">
        <v>66</v>
      </c>
      <c r="J4" s="19" t="s">
        <v>67</v>
      </c>
      <c r="K4" s="19" t="s">
        <v>68</v>
      </c>
      <c r="L4" s="19" t="s">
        <v>69</v>
      </c>
    </row>
    <row r="5" spans="1:12">
      <c r="A5" s="19">
        <v>3</v>
      </c>
      <c r="B5" s="19"/>
      <c r="C5" s="19"/>
      <c r="D5" s="19"/>
      <c r="E5" s="19"/>
      <c r="F5" s="19" t="s">
        <v>70</v>
      </c>
      <c r="G5" s="19" t="s">
        <v>71</v>
      </c>
      <c r="H5" s="19">
        <v>3</v>
      </c>
      <c r="I5" s="19" t="s">
        <v>72</v>
      </c>
      <c r="J5" s="19" t="s">
        <v>73</v>
      </c>
      <c r="K5" s="19" t="s">
        <v>74</v>
      </c>
      <c r="L5" s="19"/>
    </row>
    <row r="6" spans="1:12">
      <c r="A6" s="19">
        <v>4</v>
      </c>
      <c r="B6" s="19"/>
      <c r="C6" s="19"/>
      <c r="D6" s="19"/>
      <c r="E6" s="19"/>
      <c r="F6" s="19"/>
      <c r="G6" s="19"/>
      <c r="H6" s="19"/>
      <c r="I6" s="19"/>
      <c r="J6" s="19"/>
      <c r="K6" s="19" t="s">
        <v>75</v>
      </c>
      <c r="L6" s="19"/>
    </row>
    <row r="7" spans="1:12">
      <c r="A7" s="19">
        <v>5</v>
      </c>
      <c r="B7" s="19"/>
      <c r="C7" s="19"/>
      <c r="D7" s="19"/>
      <c r="E7" s="19"/>
      <c r="F7" s="19"/>
      <c r="G7" s="19"/>
      <c r="H7" s="19"/>
      <c r="I7" s="19"/>
      <c r="J7" s="19"/>
      <c r="K7" s="19" t="s">
        <v>76</v>
      </c>
      <c r="L7" s="19"/>
    </row>
    <row r="8" spans="1:12">
      <c r="A8" s="19">
        <v>6</v>
      </c>
      <c r="B8" s="19"/>
      <c r="C8" s="19"/>
      <c r="D8" s="19"/>
      <c r="E8" s="19"/>
      <c r="F8" s="19"/>
      <c r="G8" s="19"/>
      <c r="H8" s="19"/>
      <c r="I8" s="19"/>
      <c r="J8" s="19"/>
      <c r="K8" s="19" t="s">
        <v>77</v>
      </c>
      <c r="L8" s="19"/>
    </row>
    <row r="9" spans="1:12">
      <c r="A9" s="19">
        <v>7</v>
      </c>
      <c r="B9" s="19"/>
      <c r="C9" s="19"/>
      <c r="D9" s="19"/>
      <c r="E9" s="19"/>
      <c r="F9" s="19"/>
      <c r="G9" s="19"/>
      <c r="H9" s="19"/>
      <c r="I9" s="19"/>
      <c r="J9" s="19"/>
      <c r="K9" s="19" t="s">
        <v>78</v>
      </c>
      <c r="L9" s="19"/>
    </row>
    <row r="10" spans="1:12">
      <c r="A10" s="19">
        <v>8</v>
      </c>
      <c r="B10" s="19"/>
      <c r="C10" s="19"/>
      <c r="D10" s="19"/>
      <c r="E10" s="19"/>
      <c r="F10" s="19"/>
      <c r="G10" s="19"/>
      <c r="H10" s="19"/>
      <c r="I10" s="19"/>
      <c r="J10" s="19"/>
      <c r="K10" s="19" t="s">
        <v>79</v>
      </c>
      <c r="L10" s="19"/>
    </row>
    <row r="11" spans="1:12">
      <c r="A11" s="19">
        <v>9</v>
      </c>
      <c r="B11" s="19"/>
      <c r="C11" s="19"/>
      <c r="D11" s="19"/>
      <c r="E11" s="19"/>
      <c r="F11" s="19"/>
      <c r="G11" s="19"/>
      <c r="H11" s="19"/>
      <c r="I11" s="19"/>
      <c r="J11" s="19"/>
      <c r="K11" s="19" t="s">
        <v>80</v>
      </c>
      <c r="L11" s="19"/>
    </row>
    <row r="12" spans="1:12">
      <c r="A12" s="19">
        <v>10</v>
      </c>
      <c r="B12" s="19"/>
      <c r="C12" s="19"/>
      <c r="D12" s="19"/>
      <c r="E12" s="19"/>
      <c r="F12" s="19"/>
      <c r="G12" s="19"/>
      <c r="H12" s="19"/>
      <c r="I12" s="19"/>
      <c r="J12" s="19"/>
      <c r="K12" s="19" t="s">
        <v>81</v>
      </c>
      <c r="L12" s="19"/>
    </row>
    <row r="13" spans="1:12">
      <c r="A13" s="19">
        <v>11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46E2C9-36EF-4495-8AB4-709DED465F38}"/>
</file>

<file path=customXml/itemProps2.xml><?xml version="1.0" encoding="utf-8"?>
<ds:datastoreItem xmlns:ds="http://schemas.openxmlformats.org/officeDocument/2006/customXml" ds:itemID="{F0FBA995-5F0E-4EFF-9742-036E8ED7F987}"/>
</file>

<file path=customXml/itemProps3.xml><?xml version="1.0" encoding="utf-8"?>
<ds:datastoreItem xmlns:ds="http://schemas.openxmlformats.org/officeDocument/2006/customXml" ds:itemID="{2286B141-893B-4F36-B50A-233195D898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髙浦 祐朗</dc:creator>
  <cp:keywords/>
  <dc:description/>
  <cp:lastModifiedBy>野村康二</cp:lastModifiedBy>
  <cp:revision/>
  <dcterms:created xsi:type="dcterms:W3CDTF">2021-04-22T09:34:49Z</dcterms:created>
  <dcterms:modified xsi:type="dcterms:W3CDTF">2025-07-04T08:10:02Z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